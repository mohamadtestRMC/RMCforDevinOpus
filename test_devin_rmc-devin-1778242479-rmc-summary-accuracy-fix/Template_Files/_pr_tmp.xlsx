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_Files/"/>
    </mc:Choice>
  </mc:AlternateContent>
  <xr:revisionPtr revIDLastSave="1" documentId="13_ncr:1_{CD757591-6D98-4153-BCAA-9058D4C433E7}" xr6:coauthVersionLast="47" xr6:coauthVersionMax="47" xr10:uidLastSave="{CA2B87DE-F5F3-46A8-9DA4-1F993BDAD972}"/>
  <bookViews>
    <workbookView xWindow="-110" yWindow="-110" windowWidth="19420" windowHeight="10420" xr2:uid="{00000000-000D-0000-FFFF-FFFF00000000}"/>
  </bookViews>
  <sheets>
    <sheet name="Purchase Register." sheetId="2" r:id="rId1"/>
  </sheets>
  <definedNames>
    <definedName name="_xlnm._FilterDatabase" localSheetId="0" hidden="1">'Purchase Register.'!$A$3:$X$191</definedName>
    <definedName name="CR_2" localSheetId="0">'Purchase Register.'!$E$2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9" i="2" l="1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T119" i="2"/>
  <c r="U119" i="2"/>
  <c r="V119" i="2"/>
  <c r="T120" i="2"/>
  <c r="U120" i="2"/>
  <c r="V120" i="2"/>
  <c r="T121" i="2"/>
  <c r="U121" i="2"/>
  <c r="V121" i="2"/>
  <c r="T122" i="2"/>
  <c r="U122" i="2"/>
  <c r="V122" i="2"/>
  <c r="T123" i="2"/>
  <c r="U123" i="2"/>
  <c r="V123" i="2"/>
  <c r="T124" i="2"/>
  <c r="U124" i="2"/>
  <c r="V124" i="2"/>
  <c r="T125" i="2"/>
  <c r="U125" i="2"/>
  <c r="V125" i="2"/>
  <c r="T126" i="2"/>
  <c r="U126" i="2"/>
  <c r="V126" i="2"/>
  <c r="T127" i="2"/>
  <c r="U127" i="2"/>
  <c r="V127" i="2"/>
  <c r="T128" i="2"/>
  <c r="U128" i="2"/>
  <c r="V128" i="2"/>
  <c r="T129" i="2"/>
  <c r="U129" i="2"/>
  <c r="V129" i="2"/>
  <c r="T130" i="2"/>
  <c r="U130" i="2"/>
  <c r="V130" i="2"/>
  <c r="T131" i="2"/>
  <c r="U131" i="2"/>
  <c r="V131" i="2"/>
  <c r="T132" i="2"/>
  <c r="U132" i="2"/>
  <c r="V132" i="2"/>
  <c r="T133" i="2"/>
  <c r="U133" i="2"/>
  <c r="V133" i="2"/>
  <c r="T134" i="2"/>
  <c r="U134" i="2"/>
  <c r="V134" i="2"/>
  <c r="T135" i="2"/>
  <c r="U135" i="2"/>
  <c r="V135" i="2"/>
  <c r="T136" i="2"/>
  <c r="U136" i="2"/>
  <c r="V136" i="2"/>
  <c r="T137" i="2"/>
  <c r="U137" i="2"/>
  <c r="V137" i="2"/>
  <c r="T138" i="2"/>
  <c r="U138" i="2"/>
  <c r="V138" i="2"/>
  <c r="T139" i="2"/>
  <c r="U139" i="2"/>
  <c r="V139" i="2"/>
  <c r="T140" i="2"/>
  <c r="U140" i="2"/>
  <c r="V140" i="2"/>
  <c r="T141" i="2"/>
  <c r="U141" i="2"/>
  <c r="V141" i="2"/>
  <c r="T142" i="2"/>
  <c r="U142" i="2"/>
  <c r="V142" i="2"/>
  <c r="T143" i="2"/>
  <c r="U143" i="2"/>
  <c r="V143" i="2"/>
  <c r="T144" i="2"/>
  <c r="U144" i="2"/>
  <c r="V144" i="2"/>
  <c r="T145" i="2"/>
  <c r="U145" i="2"/>
  <c r="V145" i="2"/>
  <c r="T146" i="2"/>
  <c r="U146" i="2"/>
  <c r="V146" i="2"/>
  <c r="T147" i="2"/>
  <c r="U147" i="2"/>
  <c r="V147" i="2"/>
  <c r="T148" i="2"/>
  <c r="U148" i="2"/>
  <c r="V148" i="2"/>
  <c r="T149" i="2"/>
  <c r="U149" i="2"/>
  <c r="V149" i="2"/>
  <c r="T150" i="2"/>
  <c r="U150" i="2"/>
  <c r="V150" i="2"/>
  <c r="T151" i="2"/>
  <c r="U151" i="2"/>
  <c r="V151" i="2"/>
  <c r="T152" i="2"/>
  <c r="U152" i="2"/>
  <c r="V152" i="2"/>
  <c r="T153" i="2"/>
  <c r="U153" i="2"/>
  <c r="V153" i="2"/>
  <c r="T154" i="2"/>
  <c r="U154" i="2"/>
  <c r="V154" i="2"/>
  <c r="T155" i="2"/>
  <c r="U155" i="2"/>
  <c r="V155" i="2"/>
  <c r="T156" i="2"/>
  <c r="U156" i="2"/>
  <c r="V156" i="2"/>
  <c r="T157" i="2"/>
  <c r="U157" i="2"/>
  <c r="V157" i="2"/>
  <c r="T158" i="2"/>
  <c r="U158" i="2"/>
  <c r="V158" i="2"/>
  <c r="T159" i="2"/>
  <c r="U159" i="2"/>
  <c r="V159" i="2"/>
  <c r="T160" i="2"/>
  <c r="U160" i="2"/>
  <c r="V160" i="2"/>
  <c r="T161" i="2"/>
  <c r="U161" i="2"/>
  <c r="V161" i="2"/>
  <c r="T162" i="2"/>
  <c r="U162" i="2"/>
  <c r="V162" i="2"/>
  <c r="T163" i="2"/>
  <c r="U163" i="2"/>
  <c r="V163" i="2"/>
  <c r="T164" i="2"/>
  <c r="U164" i="2"/>
  <c r="V164" i="2"/>
  <c r="T165" i="2"/>
  <c r="U165" i="2"/>
  <c r="V165" i="2"/>
  <c r="T166" i="2"/>
  <c r="U166" i="2"/>
  <c r="V166" i="2"/>
  <c r="T167" i="2"/>
  <c r="U167" i="2"/>
  <c r="V167" i="2"/>
  <c r="T168" i="2"/>
  <c r="U168" i="2"/>
  <c r="V168" i="2"/>
  <c r="T169" i="2"/>
  <c r="U169" i="2"/>
  <c r="V169" i="2"/>
  <c r="T170" i="2"/>
  <c r="U170" i="2"/>
  <c r="V170" i="2"/>
  <c r="T171" i="2"/>
  <c r="U171" i="2"/>
  <c r="V171" i="2"/>
  <c r="T172" i="2"/>
  <c r="U172" i="2"/>
  <c r="V172" i="2"/>
  <c r="T173" i="2"/>
  <c r="U173" i="2"/>
  <c r="V173" i="2"/>
  <c r="T174" i="2"/>
  <c r="U174" i="2"/>
  <c r="V174" i="2"/>
  <c r="T175" i="2"/>
  <c r="U175" i="2"/>
  <c r="V175" i="2"/>
  <c r="T176" i="2"/>
  <c r="U176" i="2"/>
  <c r="V176" i="2"/>
  <c r="T177" i="2"/>
  <c r="U177" i="2"/>
  <c r="V177" i="2"/>
  <c r="T178" i="2"/>
  <c r="U178" i="2"/>
  <c r="V178" i="2"/>
  <c r="T179" i="2"/>
  <c r="U179" i="2"/>
  <c r="V179" i="2"/>
  <c r="T180" i="2"/>
  <c r="U180" i="2"/>
  <c r="V180" i="2"/>
  <c r="T181" i="2"/>
  <c r="U181" i="2"/>
  <c r="V181" i="2"/>
  <c r="T182" i="2"/>
  <c r="U182" i="2"/>
  <c r="V182" i="2"/>
  <c r="T183" i="2"/>
  <c r="U183" i="2"/>
  <c r="V183" i="2"/>
  <c r="T184" i="2"/>
  <c r="U184" i="2"/>
  <c r="V184" i="2"/>
  <c r="T185" i="2"/>
  <c r="U185" i="2"/>
  <c r="V185" i="2"/>
  <c r="T186" i="2"/>
  <c r="U186" i="2"/>
  <c r="V186" i="2"/>
  <c r="T187" i="2"/>
  <c r="U187" i="2"/>
  <c r="V187" i="2"/>
  <c r="T188" i="2"/>
  <c r="U188" i="2"/>
  <c r="V188" i="2"/>
  <c r="T189" i="2"/>
  <c r="U189" i="2"/>
  <c r="V189" i="2"/>
  <c r="T190" i="2"/>
  <c r="U190" i="2"/>
  <c r="V190" i="2"/>
  <c r="T191" i="2"/>
  <c r="U191" i="2"/>
  <c r="V191" i="2"/>
  <c r="T16" i="2"/>
  <c r="U16" i="2"/>
  <c r="V16" i="2"/>
  <c r="X16" i="2"/>
  <c r="T17" i="2"/>
  <c r="U17" i="2"/>
  <c r="V17" i="2"/>
  <c r="X17" i="2"/>
  <c r="T18" i="2"/>
  <c r="U18" i="2"/>
  <c r="V18" i="2"/>
  <c r="X18" i="2"/>
  <c r="T19" i="2"/>
  <c r="U19" i="2"/>
  <c r="V19" i="2"/>
  <c r="X19" i="2"/>
  <c r="T20" i="2"/>
  <c r="U20" i="2"/>
  <c r="V20" i="2"/>
  <c r="X20" i="2"/>
  <c r="T21" i="2"/>
  <c r="U21" i="2"/>
  <c r="V21" i="2"/>
  <c r="X21" i="2"/>
  <c r="T22" i="2"/>
  <c r="U22" i="2"/>
  <c r="V22" i="2"/>
  <c r="X22" i="2"/>
  <c r="T23" i="2"/>
  <c r="U23" i="2"/>
  <c r="V23" i="2"/>
  <c r="X23" i="2"/>
  <c r="T24" i="2"/>
  <c r="U24" i="2"/>
  <c r="V24" i="2"/>
  <c r="X24" i="2"/>
  <c r="T25" i="2"/>
  <c r="U25" i="2"/>
  <c r="V25" i="2"/>
  <c r="X25" i="2"/>
  <c r="T26" i="2"/>
  <c r="U26" i="2"/>
  <c r="V26" i="2"/>
  <c r="X26" i="2"/>
  <c r="T27" i="2"/>
  <c r="U27" i="2"/>
  <c r="V27" i="2"/>
  <c r="X27" i="2"/>
  <c r="T28" i="2"/>
  <c r="U28" i="2"/>
  <c r="V28" i="2"/>
  <c r="X28" i="2"/>
  <c r="T29" i="2"/>
  <c r="U29" i="2"/>
  <c r="V29" i="2"/>
  <c r="X29" i="2"/>
  <c r="T30" i="2"/>
  <c r="U30" i="2"/>
  <c r="V30" i="2"/>
  <c r="X30" i="2"/>
  <c r="T31" i="2"/>
  <c r="U31" i="2"/>
  <c r="V31" i="2"/>
  <c r="X31" i="2"/>
  <c r="T32" i="2"/>
  <c r="U32" i="2"/>
  <c r="V32" i="2"/>
  <c r="X32" i="2"/>
  <c r="T33" i="2"/>
  <c r="U33" i="2"/>
  <c r="V33" i="2"/>
  <c r="X33" i="2"/>
  <c r="T34" i="2"/>
  <c r="U34" i="2"/>
  <c r="V34" i="2"/>
  <c r="X34" i="2"/>
  <c r="T35" i="2"/>
  <c r="U35" i="2"/>
  <c r="V35" i="2"/>
  <c r="X35" i="2"/>
  <c r="T36" i="2"/>
  <c r="U36" i="2"/>
  <c r="V36" i="2"/>
  <c r="X36" i="2"/>
  <c r="T37" i="2"/>
  <c r="U37" i="2"/>
  <c r="V37" i="2"/>
  <c r="X37" i="2"/>
  <c r="T38" i="2"/>
  <c r="U38" i="2"/>
  <c r="V38" i="2"/>
  <c r="X38" i="2"/>
  <c r="T39" i="2"/>
  <c r="U39" i="2"/>
  <c r="V39" i="2"/>
  <c r="X39" i="2"/>
  <c r="T40" i="2"/>
  <c r="U40" i="2"/>
  <c r="V40" i="2"/>
  <c r="X40" i="2"/>
  <c r="T41" i="2"/>
  <c r="U41" i="2"/>
  <c r="V41" i="2"/>
  <c r="X41" i="2"/>
  <c r="T42" i="2"/>
  <c r="U42" i="2"/>
  <c r="V42" i="2"/>
  <c r="X42" i="2"/>
  <c r="T43" i="2"/>
  <c r="U43" i="2"/>
  <c r="V43" i="2"/>
  <c r="X43" i="2"/>
  <c r="T44" i="2"/>
  <c r="U44" i="2"/>
  <c r="V44" i="2"/>
  <c r="X44" i="2"/>
  <c r="T45" i="2"/>
  <c r="U45" i="2"/>
  <c r="V45" i="2"/>
  <c r="X45" i="2"/>
  <c r="T46" i="2"/>
  <c r="U46" i="2"/>
  <c r="V46" i="2"/>
  <c r="X46" i="2"/>
  <c r="T47" i="2"/>
  <c r="U47" i="2"/>
  <c r="V47" i="2"/>
  <c r="X47" i="2"/>
  <c r="T48" i="2"/>
  <c r="U48" i="2"/>
  <c r="V48" i="2"/>
  <c r="X48" i="2"/>
  <c r="T49" i="2"/>
  <c r="U49" i="2"/>
  <c r="V49" i="2"/>
  <c r="X49" i="2"/>
  <c r="T50" i="2"/>
  <c r="U50" i="2"/>
  <c r="V50" i="2"/>
  <c r="X50" i="2"/>
  <c r="T51" i="2"/>
  <c r="U51" i="2"/>
  <c r="V51" i="2"/>
  <c r="X51" i="2"/>
  <c r="T52" i="2"/>
  <c r="U52" i="2"/>
  <c r="V52" i="2"/>
  <c r="X52" i="2"/>
  <c r="T53" i="2"/>
  <c r="U53" i="2"/>
  <c r="V53" i="2"/>
  <c r="X53" i="2"/>
  <c r="T54" i="2"/>
  <c r="U54" i="2"/>
  <c r="V54" i="2"/>
  <c r="X54" i="2"/>
  <c r="T55" i="2"/>
  <c r="U55" i="2"/>
  <c r="V55" i="2"/>
  <c r="X55" i="2"/>
  <c r="T56" i="2"/>
  <c r="U56" i="2"/>
  <c r="V56" i="2"/>
  <c r="X56" i="2"/>
  <c r="T57" i="2"/>
  <c r="U57" i="2"/>
  <c r="V57" i="2"/>
  <c r="X57" i="2"/>
  <c r="T58" i="2"/>
  <c r="U58" i="2"/>
  <c r="V58" i="2"/>
  <c r="X58" i="2"/>
  <c r="T59" i="2"/>
  <c r="U59" i="2"/>
  <c r="V59" i="2"/>
  <c r="X59" i="2"/>
  <c r="T60" i="2"/>
  <c r="U60" i="2"/>
  <c r="V60" i="2"/>
  <c r="X60" i="2"/>
  <c r="T61" i="2"/>
  <c r="U61" i="2"/>
  <c r="V61" i="2"/>
  <c r="X61" i="2"/>
  <c r="T62" i="2"/>
  <c r="U62" i="2"/>
  <c r="V62" i="2"/>
  <c r="X62" i="2"/>
  <c r="T63" i="2"/>
  <c r="U63" i="2"/>
  <c r="V63" i="2"/>
  <c r="X63" i="2"/>
  <c r="T64" i="2"/>
  <c r="U64" i="2"/>
  <c r="V64" i="2"/>
  <c r="X64" i="2"/>
  <c r="T65" i="2"/>
  <c r="U65" i="2"/>
  <c r="V65" i="2"/>
  <c r="X65" i="2"/>
  <c r="T66" i="2"/>
  <c r="U66" i="2"/>
  <c r="V66" i="2"/>
  <c r="X66" i="2"/>
  <c r="T67" i="2"/>
  <c r="U67" i="2"/>
  <c r="V67" i="2"/>
  <c r="X67" i="2"/>
  <c r="T68" i="2"/>
  <c r="U68" i="2"/>
  <c r="V68" i="2"/>
  <c r="X68" i="2"/>
  <c r="T69" i="2"/>
  <c r="U69" i="2"/>
  <c r="V69" i="2"/>
  <c r="X69" i="2"/>
  <c r="T70" i="2"/>
  <c r="U70" i="2"/>
  <c r="V70" i="2"/>
  <c r="X70" i="2"/>
  <c r="T71" i="2"/>
  <c r="U71" i="2"/>
  <c r="V71" i="2"/>
  <c r="X71" i="2"/>
  <c r="T72" i="2"/>
  <c r="U72" i="2"/>
  <c r="V72" i="2"/>
  <c r="X72" i="2"/>
  <c r="T73" i="2"/>
  <c r="U73" i="2"/>
  <c r="V73" i="2"/>
  <c r="X73" i="2"/>
  <c r="T74" i="2"/>
  <c r="U74" i="2"/>
  <c r="V74" i="2"/>
  <c r="X74" i="2"/>
  <c r="T75" i="2"/>
  <c r="U75" i="2"/>
  <c r="V75" i="2"/>
  <c r="X75" i="2"/>
  <c r="T76" i="2"/>
  <c r="U76" i="2"/>
  <c r="V76" i="2"/>
  <c r="X76" i="2"/>
  <c r="T77" i="2"/>
  <c r="U77" i="2"/>
  <c r="V77" i="2"/>
  <c r="X77" i="2"/>
  <c r="T78" i="2"/>
  <c r="U78" i="2"/>
  <c r="V78" i="2"/>
  <c r="X78" i="2"/>
  <c r="T79" i="2"/>
  <c r="U79" i="2"/>
  <c r="V79" i="2"/>
  <c r="X79" i="2"/>
  <c r="T80" i="2"/>
  <c r="U80" i="2"/>
  <c r="V80" i="2"/>
  <c r="X80" i="2"/>
  <c r="T81" i="2"/>
  <c r="U81" i="2"/>
  <c r="V81" i="2"/>
  <c r="X81" i="2"/>
  <c r="T82" i="2"/>
  <c r="U82" i="2"/>
  <c r="V82" i="2"/>
  <c r="X82" i="2"/>
  <c r="T83" i="2"/>
  <c r="U83" i="2"/>
  <c r="V83" i="2"/>
  <c r="X83" i="2"/>
  <c r="T84" i="2"/>
  <c r="U84" i="2"/>
  <c r="V84" i="2"/>
  <c r="X84" i="2"/>
  <c r="T85" i="2"/>
  <c r="U85" i="2"/>
  <c r="V85" i="2"/>
  <c r="X85" i="2"/>
  <c r="T86" i="2"/>
  <c r="U86" i="2"/>
  <c r="V86" i="2"/>
  <c r="X86" i="2"/>
  <c r="T87" i="2"/>
  <c r="U87" i="2"/>
  <c r="V87" i="2"/>
  <c r="X87" i="2"/>
  <c r="T88" i="2"/>
  <c r="U88" i="2"/>
  <c r="V88" i="2"/>
  <c r="X88" i="2"/>
  <c r="T89" i="2"/>
  <c r="U89" i="2"/>
  <c r="V89" i="2"/>
  <c r="X89" i="2"/>
  <c r="T90" i="2"/>
  <c r="U90" i="2"/>
  <c r="V90" i="2"/>
  <c r="X90" i="2"/>
  <c r="T91" i="2"/>
  <c r="U91" i="2"/>
  <c r="V91" i="2"/>
  <c r="X91" i="2"/>
  <c r="T92" i="2"/>
  <c r="U92" i="2"/>
  <c r="V92" i="2"/>
  <c r="X92" i="2"/>
  <c r="T93" i="2"/>
  <c r="U93" i="2"/>
  <c r="V93" i="2"/>
  <c r="X93" i="2"/>
  <c r="T94" i="2"/>
  <c r="U94" i="2"/>
  <c r="V94" i="2"/>
  <c r="X94" i="2"/>
  <c r="T95" i="2"/>
  <c r="U95" i="2"/>
  <c r="V95" i="2"/>
  <c r="X95" i="2"/>
  <c r="T96" i="2"/>
  <c r="U96" i="2"/>
  <c r="V96" i="2"/>
  <c r="X96" i="2"/>
  <c r="T97" i="2"/>
  <c r="U97" i="2"/>
  <c r="V97" i="2"/>
  <c r="X97" i="2"/>
  <c r="T98" i="2"/>
  <c r="U98" i="2"/>
  <c r="V98" i="2"/>
  <c r="X98" i="2"/>
  <c r="T99" i="2"/>
  <c r="U99" i="2"/>
  <c r="V99" i="2"/>
  <c r="X99" i="2"/>
  <c r="T100" i="2"/>
  <c r="U100" i="2"/>
  <c r="V100" i="2"/>
  <c r="X100" i="2"/>
  <c r="T101" i="2"/>
  <c r="U101" i="2"/>
  <c r="V101" i="2"/>
  <c r="X101" i="2"/>
  <c r="T102" i="2"/>
  <c r="U102" i="2"/>
  <c r="V102" i="2"/>
  <c r="X102" i="2"/>
  <c r="T103" i="2"/>
  <c r="U103" i="2"/>
  <c r="V103" i="2"/>
  <c r="X103" i="2"/>
  <c r="T104" i="2"/>
  <c r="U104" i="2"/>
  <c r="V104" i="2"/>
  <c r="X104" i="2"/>
  <c r="T105" i="2"/>
  <c r="U105" i="2"/>
  <c r="V105" i="2"/>
  <c r="X105" i="2"/>
  <c r="T106" i="2"/>
  <c r="U106" i="2"/>
  <c r="V106" i="2"/>
  <c r="X106" i="2"/>
  <c r="T107" i="2"/>
  <c r="U107" i="2"/>
  <c r="V107" i="2"/>
  <c r="X107" i="2"/>
  <c r="T108" i="2"/>
  <c r="U108" i="2"/>
  <c r="V108" i="2"/>
  <c r="X108" i="2"/>
  <c r="T109" i="2"/>
  <c r="U109" i="2"/>
  <c r="V109" i="2"/>
  <c r="X109" i="2"/>
  <c r="T110" i="2"/>
  <c r="U110" i="2"/>
  <c r="V110" i="2"/>
  <c r="X110" i="2"/>
  <c r="T111" i="2"/>
  <c r="U111" i="2"/>
  <c r="V111" i="2"/>
  <c r="X111" i="2"/>
  <c r="T112" i="2"/>
  <c r="U112" i="2"/>
  <c r="V112" i="2"/>
  <c r="X112" i="2"/>
  <c r="T113" i="2"/>
  <c r="U113" i="2"/>
  <c r="V113" i="2"/>
  <c r="X113" i="2"/>
  <c r="T114" i="2"/>
  <c r="U114" i="2"/>
  <c r="V114" i="2"/>
  <c r="X114" i="2"/>
  <c r="T115" i="2"/>
  <c r="U115" i="2"/>
  <c r="V115" i="2"/>
  <c r="X115" i="2"/>
  <c r="T116" i="2"/>
  <c r="U116" i="2"/>
  <c r="V116" i="2"/>
  <c r="X116" i="2"/>
  <c r="T117" i="2"/>
  <c r="U117" i="2"/>
  <c r="V117" i="2"/>
  <c r="X117" i="2"/>
  <c r="T118" i="2"/>
  <c r="U118" i="2"/>
  <c r="V118" i="2"/>
  <c r="X118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T13" i="2"/>
  <c r="U13" i="2"/>
  <c r="V13" i="2"/>
  <c r="X13" i="2"/>
  <c r="T14" i="2"/>
  <c r="U14" i="2"/>
  <c r="V14" i="2"/>
  <c r="X14" i="2"/>
  <c r="T15" i="2"/>
  <c r="U15" i="2"/>
  <c r="V15" i="2"/>
  <c r="X15" i="2"/>
  <c r="T9" i="2"/>
  <c r="U9" i="2"/>
  <c r="V9" i="2"/>
  <c r="X9" i="2"/>
  <c r="T10" i="2"/>
  <c r="U10" i="2"/>
  <c r="V10" i="2"/>
  <c r="X10" i="2"/>
  <c r="T11" i="2"/>
  <c r="U11" i="2"/>
  <c r="V11" i="2"/>
  <c r="X11" i="2"/>
  <c r="T12" i="2"/>
  <c r="U12" i="2"/>
  <c r="V12" i="2"/>
  <c r="X12" i="2"/>
  <c r="T6" i="2" l="1"/>
  <c r="U6" i="2"/>
  <c r="V6" i="2"/>
  <c r="X6" i="2"/>
  <c r="T7" i="2"/>
  <c r="U7" i="2"/>
  <c r="V7" i="2"/>
  <c r="X7" i="2"/>
  <c r="T8" i="2"/>
  <c r="U8" i="2"/>
  <c r="V8" i="2"/>
  <c r="X8" i="2"/>
  <c r="Y5" i="2" l="1"/>
  <c r="X5" i="2"/>
  <c r="V5" i="2"/>
  <c r="U5" i="2"/>
  <c r="T5" i="2"/>
  <c r="Y4" i="2"/>
  <c r="X4" i="2"/>
  <c r="V4" i="2"/>
  <c r="U4" i="2"/>
  <c r="T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Entry</author>
  </authors>
  <commentList>
    <comment ref="B1" authorId="0" shapeId="0" xr:uid="{CD23A939-80C7-44F6-B380-0559A3DF84BE}">
      <text>
        <r>
          <rPr>
            <i/>
            <sz val="9"/>
            <color indexed="81"/>
            <rFont val="Tahoma"/>
            <family val="2"/>
          </rPr>
          <t xml:space="preserve">technova outsource rate as per </t>
        </r>
        <r>
          <rPr>
            <b/>
            <i/>
            <sz val="9"/>
            <color indexed="81"/>
            <rFont val="Tahoma"/>
            <family val="2"/>
          </rPr>
          <t>Robert'</t>
        </r>
        <r>
          <rPr>
            <i/>
            <sz val="9"/>
            <color indexed="81"/>
            <rFont val="Tahoma"/>
            <family val="2"/>
          </rPr>
          <t>s report</t>
        </r>
      </text>
    </comment>
  </commentList>
</comments>
</file>

<file path=xl/sharedStrings.xml><?xml version="1.0" encoding="utf-8"?>
<sst xmlns="http://schemas.openxmlformats.org/spreadsheetml/2006/main" count="1842" uniqueCount="413">
  <si>
    <t>Date</t>
  </si>
  <si>
    <t>Party Name</t>
  </si>
  <si>
    <t>PO #</t>
  </si>
  <si>
    <t>Item Name</t>
  </si>
  <si>
    <t>Size</t>
  </si>
  <si>
    <t>Mic</t>
  </si>
  <si>
    <t>Actual Quantity</t>
  </si>
  <si>
    <t>Rate</t>
  </si>
  <si>
    <t>Unit</t>
  </si>
  <si>
    <t>Amount</t>
  </si>
  <si>
    <t>Rate Check</t>
  </si>
  <si>
    <t>Purchase/Sales Ledger</t>
  </si>
  <si>
    <t>Voucher Number</t>
  </si>
  <si>
    <t>Reference</t>
  </si>
  <si>
    <t>Kg</t>
  </si>
  <si>
    <t>FILM</t>
  </si>
  <si>
    <t>FOIL</t>
  </si>
  <si>
    <t>Flex Middle East Fze</t>
  </si>
  <si>
    <t>MET PET</t>
  </si>
  <si>
    <t>PET</t>
  </si>
  <si>
    <t>TPE</t>
  </si>
  <si>
    <t>WPE</t>
  </si>
  <si>
    <t>CHEM PET/12 MIC/1033mm/OSCP</t>
  </si>
  <si>
    <t>CHEM PET/12 MIC/1213mm/OSCP</t>
  </si>
  <si>
    <t>MOPP</t>
  </si>
  <si>
    <t>TOPP</t>
  </si>
  <si>
    <t>Kemsol</t>
  </si>
  <si>
    <t>Solvent - Ethyl Acetate</t>
  </si>
  <si>
    <t>ETHYL ACETATE</t>
  </si>
  <si>
    <t>Solvent - Ethanol</t>
  </si>
  <si>
    <t>ETHANOL</t>
  </si>
  <si>
    <t>Solvent - Iso Propyl Alcohol</t>
  </si>
  <si>
    <t>IPA</t>
  </si>
  <si>
    <t>Solvent - N Propyl Acetate</t>
  </si>
  <si>
    <t>NPA</t>
  </si>
  <si>
    <t>Univsl PET UPF/12 MIC/973mm/OSC</t>
  </si>
  <si>
    <t>CHEM PET/12 MIC/1093mm/OSCP</t>
  </si>
  <si>
    <t/>
  </si>
  <si>
    <t>CHEM PET/12 MIC/1105mm/OSCP</t>
  </si>
  <si>
    <t>CHEM PET/12 MIC/713mm/OSC</t>
  </si>
  <si>
    <t>CHEM PET/12 MIC/913mm/OSCP</t>
  </si>
  <si>
    <t>MATTE TOPP</t>
  </si>
  <si>
    <t>CHEM PET/12 MIC/1173mm/OSCP</t>
  </si>
  <si>
    <t>CHEM PET/12 MIC/1003mm/OSCP</t>
  </si>
  <si>
    <t>Solvent - Methoxy Propanol (PM)</t>
  </si>
  <si>
    <t>PM</t>
  </si>
  <si>
    <t>CHEM PET/12 MIC/973mm/OSCP</t>
  </si>
  <si>
    <t>CHEM PET/12 MIC/1013mm/OSCP</t>
  </si>
  <si>
    <t>MPOPP</t>
  </si>
  <si>
    <t>CHEM PET/12 Mic/748 Mm/OSCP</t>
  </si>
  <si>
    <t>CHEM PET/12 MIC/1238mm/OSCP</t>
  </si>
  <si>
    <t>CHEM PET/12 MIC/945mm/OSCP</t>
  </si>
  <si>
    <t>M POPP/28 MIC/1165mm/OST/2HS</t>
  </si>
  <si>
    <t>CHEM PET/12 MIC/1063mm/OSCP</t>
  </si>
  <si>
    <t>CHEM PET/12 MIC/1113mm/OSCP</t>
  </si>
  <si>
    <t>CHEM PET/12 MIC/678mm/OSC</t>
  </si>
  <si>
    <t>JBF Rak LLc</t>
  </si>
  <si>
    <t>CHEM PET/12 MIC/1197 MM/OSCP</t>
  </si>
  <si>
    <t>Adhesive  - More Free 75-300</t>
  </si>
  <si>
    <t>MF 75-300</t>
  </si>
  <si>
    <t>GULF PACKAGING INDUSTRIES LTD</t>
  </si>
  <si>
    <t>Purchase Film - UAE - PE - TPE</t>
  </si>
  <si>
    <t>Purchase Film - GCC - OPP - MATTE OPP</t>
  </si>
  <si>
    <t>Purchase Film - GCC - OPP - TOPP</t>
  </si>
  <si>
    <t>Purchase Solvent - UAE</t>
  </si>
  <si>
    <t>Purchase Film - GCC - OPP - MOPP</t>
  </si>
  <si>
    <t>Purchase Ink - UAE</t>
  </si>
  <si>
    <t>M.H Enterprises (L.L.C)</t>
  </si>
  <si>
    <t>Purchase Film - UAE - PET - CHEMICAL</t>
  </si>
  <si>
    <t>Purchase Adhesive - UAE</t>
  </si>
  <si>
    <t>Purchase Film - UAE - PE - WPE</t>
  </si>
  <si>
    <t xml:space="preserve">MARS MIDDLE EAST TRADING (FZC)_x000D_
</t>
  </si>
  <si>
    <t>Purchase Adhesive - Import</t>
  </si>
  <si>
    <t>Purchase Film - Import - FOIL</t>
  </si>
  <si>
    <t>A.Foil/9 Mic/1033 Mm/soft</t>
  </si>
  <si>
    <t>Chem Pet/12 mic/1165 mm/OSCP</t>
  </si>
  <si>
    <t>TOPP/30 MIC/1093mm/OST/2HS</t>
  </si>
  <si>
    <t>Adhesive  - HERBERTS  CAT B</t>
  </si>
  <si>
    <t>CAT B</t>
  </si>
  <si>
    <t>Adhesive  - HERBERTS LG 59A</t>
  </si>
  <si>
    <t>LG 59A</t>
  </si>
  <si>
    <t>Purchase Film - Import - OPP - M POPP</t>
  </si>
  <si>
    <t>WPE/90 mic/1197 mm/INT</t>
  </si>
  <si>
    <t>TPE/75 mic/1033 mm/INT</t>
  </si>
  <si>
    <t>Speciality Adhesive -CT85</t>
  </si>
  <si>
    <t>CT85</t>
  </si>
  <si>
    <t>Speciality Adhesive- MB655</t>
  </si>
  <si>
    <t>MB655</t>
  </si>
  <si>
    <t>SPECIALITY ADHESIVES AND COATINGS (FZC)</t>
  </si>
  <si>
    <t>A.Foil/7 mic/1138 mm/soft</t>
  </si>
  <si>
    <t>Purchase Film (Job Work Charge)- UAE - PE - TPE</t>
  </si>
  <si>
    <t>TPE/92 mic/1213 mm/INT</t>
  </si>
  <si>
    <t>Adhesive  - Brilliant S310 - OH</t>
  </si>
  <si>
    <t>S310</t>
  </si>
  <si>
    <t>Adhesive  - Brilliant S631 - NCO</t>
  </si>
  <si>
    <t>S631</t>
  </si>
  <si>
    <t>Adhesive  - Brilliant S110 - OH</t>
  </si>
  <si>
    <t>S110</t>
  </si>
  <si>
    <t>UPF MET PET/12 mic/1063 mm/OSCP</t>
  </si>
  <si>
    <t>Adhesive  - More Free  CR 84 Coreactant</t>
  </si>
  <si>
    <t>CR 84</t>
  </si>
  <si>
    <t>UPF MET PET/12 mic/933 mm/OSCP</t>
  </si>
  <si>
    <t>UPF MET PET/12 Mic/773 Mm/OSCP</t>
  </si>
  <si>
    <t>UPF MET PET/12 MIC/1153mm/OSCP</t>
  </si>
  <si>
    <t>TPE/100MIC/893MM/INT</t>
  </si>
  <si>
    <t>Purchase Film - UAE - PET - UPF MET PET</t>
  </si>
  <si>
    <t>UPF MET PET/12 mic/1173 mm/soft</t>
  </si>
  <si>
    <t>MATTE OPP/30 mic/1093 mm/soft</t>
  </si>
  <si>
    <t>TOPP/30 mic/1003 mm/OST</t>
  </si>
  <si>
    <t>MATTE OPP/30 mic/964 mm/OST</t>
  </si>
  <si>
    <t>MOPP/30 mic/964 mm/OST</t>
  </si>
  <si>
    <t>MOPP/30 mic/939 mm/OST</t>
  </si>
  <si>
    <t>MATTE OPP/30 mic/880 mm/OST</t>
  </si>
  <si>
    <t>Univsl PET UPF/12 MIC/1213mm/OSC</t>
  </si>
  <si>
    <t>Univsl PET UPF/12 Mic/1093 Mm/OSC</t>
  </si>
  <si>
    <t>Univsl PET UPF/12 Mic/945 Mm/OSC</t>
  </si>
  <si>
    <t>MOPP/30 mic/1003 mm/OST</t>
  </si>
  <si>
    <t>MATTE OPP/30 mic/939 mm</t>
  </si>
  <si>
    <t>Megapack Plastic industries Ltd</t>
  </si>
  <si>
    <t>CHEM PET / 12 MIC/ 873MM/OST</t>
  </si>
  <si>
    <t>MATTE OPP/30 mic/1048 mm/OST</t>
  </si>
  <si>
    <t>Univsl PET UPF/12 MIC/1105mm/OSCP</t>
  </si>
  <si>
    <t>Univsl PET UPF/12 MIC/1003mm/OSCP</t>
  </si>
  <si>
    <t>A.Foil/7 mic/860 mm/soft</t>
  </si>
  <si>
    <t xml:space="preserve">TPE/50 MIC/1065mm/INT_x000D_
</t>
  </si>
  <si>
    <t>A.Foil/9 mic/1173 mm/soft</t>
  </si>
  <si>
    <t>Chem Pet/12 Mic/893 Mm/OSCP</t>
  </si>
  <si>
    <t>naration</t>
  </si>
  <si>
    <t>month</t>
  </si>
  <si>
    <t>CHEM PET/12 MIC/860mm/OSCP</t>
  </si>
  <si>
    <t>year</t>
  </si>
  <si>
    <t>month-t</t>
  </si>
  <si>
    <t>CHEM PET/12 MIC/1048mm/OSCP</t>
  </si>
  <si>
    <t>UPF MET PET/12 mic/1238 mm/soft</t>
  </si>
  <si>
    <t>SL720</t>
  </si>
  <si>
    <t>ADHESIVE ECOLAD SL816</t>
  </si>
  <si>
    <t>SL816</t>
  </si>
  <si>
    <t>CATEGERY</t>
  </si>
  <si>
    <t>Adhesive  - Brilliant S621 - NCO</t>
  </si>
  <si>
    <t>S621</t>
  </si>
  <si>
    <t>Material</t>
  </si>
  <si>
    <t>Adhesive  - More Free Additive CR 88-300</t>
  </si>
  <si>
    <t>CR 800-300</t>
  </si>
  <si>
    <t>TOPPAN SPECIALITY FILMS PRIVATE LIMITED</t>
  </si>
  <si>
    <t>Purchase Film - UAE - PET - UPF PET</t>
  </si>
  <si>
    <t>CHEM PET/12MIC/728MM/INT</t>
  </si>
  <si>
    <t>CHEM PET/12 MIC/1293mm/OSCP</t>
  </si>
  <si>
    <t>MOPP/30 mic/1048mm/OST</t>
  </si>
  <si>
    <t>PET Corona /12 mic/1173 mm</t>
  </si>
  <si>
    <t>Adhesive - Ecolad SL720</t>
  </si>
  <si>
    <t>AL MEHRAJ GENERAL TRADING L.L.C</t>
  </si>
  <si>
    <t>Univsl PET UPF/12 MIC/678mm/OSC</t>
  </si>
  <si>
    <t>Film</t>
  </si>
  <si>
    <t>Solvent</t>
  </si>
  <si>
    <t>Adhesive</t>
  </si>
  <si>
    <t>Brilliant Polymers Pvt. Ltd.</t>
  </si>
  <si>
    <t>LONGDING GLOBAL (SINGAPORE) PTE. LTD.</t>
  </si>
  <si>
    <t>ARKEMA ADESIVI S.R.L</t>
  </si>
  <si>
    <t>BCI INTERNATIONAL FZE</t>
  </si>
  <si>
    <t>CHEM PET/12 MIC/733mm/OSCP</t>
  </si>
  <si>
    <t>MPOPP/28 mic/1146 mm</t>
  </si>
  <si>
    <t>TPE/92 MIC/1104 MM/INT</t>
  </si>
  <si>
    <t>IPP/RM/39141</t>
  </si>
  <si>
    <t>81185 @29.05.2025</t>
  </si>
  <si>
    <t>Ashkal Industries L.L.C.</t>
  </si>
  <si>
    <t>Tracking N o.</t>
  </si>
  <si>
    <t>IPP/RM/40305</t>
  </si>
  <si>
    <t>83464 @11.10.2025</t>
  </si>
  <si>
    <t>CHEM PET/12 MIC/985mm/OSCP</t>
  </si>
  <si>
    <t>IPP/RM/40613</t>
  </si>
  <si>
    <t>SI-BFD-601-4898</t>
  </si>
  <si>
    <t>84080 @13.11.2025</t>
  </si>
  <si>
    <t>UPF MET PET/12 mic/885 MM</t>
  </si>
  <si>
    <t>IPP/RM/41032</t>
  </si>
  <si>
    <t>84851 @25.12.2025</t>
  </si>
  <si>
    <t>TOPP/40 MIC/1173 mm</t>
  </si>
  <si>
    <t>IPP/RM/41129</t>
  </si>
  <si>
    <t>CRWSI-2601000023</t>
  </si>
  <si>
    <t>84986 @05.01.2026</t>
  </si>
  <si>
    <t>IPP/RM/41130</t>
  </si>
  <si>
    <t>CRWSI-2601000040</t>
  </si>
  <si>
    <t>85002 @07.01.2026</t>
  </si>
  <si>
    <t>IPP/RM/41131</t>
  </si>
  <si>
    <t>SAC003240</t>
  </si>
  <si>
    <t>84985 @05.01.2026</t>
  </si>
  <si>
    <t>Trychem FZCO</t>
  </si>
  <si>
    <t>IPP/RM/41134</t>
  </si>
  <si>
    <t>84989 @06.01.2025</t>
  </si>
  <si>
    <t>IPP/RM/41150</t>
  </si>
  <si>
    <t>SAC003249</t>
  </si>
  <si>
    <t>85109 @14.12.2026</t>
  </si>
  <si>
    <t>IPP/RM/41156</t>
  </si>
  <si>
    <t>LCIF260037</t>
  </si>
  <si>
    <t>85051 @10.01.2026</t>
  </si>
  <si>
    <t>IPP/RM/41157</t>
  </si>
  <si>
    <t>LCIF260033</t>
  </si>
  <si>
    <t>85039 @09.01.2026</t>
  </si>
  <si>
    <t>UPF MET PET/12 mic/879 mm</t>
  </si>
  <si>
    <t>IPP/RM/41169</t>
  </si>
  <si>
    <t>IN-326000027</t>
  </si>
  <si>
    <t>85044 @09.01.2026</t>
  </si>
  <si>
    <t>IPP/RM/41170</t>
  </si>
  <si>
    <t>CRWSI-2601000086</t>
  </si>
  <si>
    <t>85100 @13.01.2026</t>
  </si>
  <si>
    <t>IPP/RM/41171</t>
  </si>
  <si>
    <t>CRWSI-2601000069</t>
  </si>
  <si>
    <t>85064 @10.01.2026</t>
  </si>
  <si>
    <t>IPP/RM/41172</t>
  </si>
  <si>
    <t>INV/2026/00077</t>
  </si>
  <si>
    <t>85043 @09.01.2025</t>
  </si>
  <si>
    <t>IPP/RM/41173</t>
  </si>
  <si>
    <t>INV/2026/00097</t>
  </si>
  <si>
    <t>85101 @13.01.2026</t>
  </si>
  <si>
    <t>IPP/RM/41174</t>
  </si>
  <si>
    <t>INV/2026/00076</t>
  </si>
  <si>
    <t>85042 @09.01.2026</t>
  </si>
  <si>
    <t>IPP/RM/41175</t>
  </si>
  <si>
    <t>INV/2026/00096</t>
  </si>
  <si>
    <t>85102 @13.01.2026</t>
  </si>
  <si>
    <t>IPP/RM/41219</t>
  </si>
  <si>
    <t>LCIF260093</t>
  </si>
  <si>
    <t>85330 @22.01.2026</t>
  </si>
  <si>
    <t>IPP/RM/41222</t>
  </si>
  <si>
    <t>LCIF260081-2</t>
  </si>
  <si>
    <t>85226 @20.01.2026</t>
  </si>
  <si>
    <t>IPP/RM/41225</t>
  </si>
  <si>
    <t>85157 @15.01.2026</t>
  </si>
  <si>
    <t>IPP/RM/41237</t>
  </si>
  <si>
    <t>INV/2026/00132</t>
  </si>
  <si>
    <t>85158 @16.1.2026</t>
  </si>
  <si>
    <t>IPP/RM/41238</t>
  </si>
  <si>
    <t>INV/2026/00177</t>
  </si>
  <si>
    <t>85243 @20.01.2026</t>
  </si>
  <si>
    <t>IPP/RM/41239</t>
  </si>
  <si>
    <t>INV/2026/00133</t>
  </si>
  <si>
    <t>85159 @16.01.2026</t>
  </si>
  <si>
    <t>IPP/RM/41240</t>
  </si>
  <si>
    <t>INV/2026/00178</t>
  </si>
  <si>
    <t>85244 @20.01.2026</t>
  </si>
  <si>
    <t>IPP/RM/41241</t>
  </si>
  <si>
    <t>INV/2026/00237</t>
  </si>
  <si>
    <t>85379 @27.01.2026</t>
  </si>
  <si>
    <t>IPP/RM/41242</t>
  </si>
  <si>
    <t>INV/2026/00238</t>
  </si>
  <si>
    <t>85380 @27.01.2026</t>
  </si>
  <si>
    <t>IPP/RM/41245</t>
  </si>
  <si>
    <t>MA/2026/1016</t>
  </si>
  <si>
    <t>85276 @21.01.2026</t>
  </si>
  <si>
    <t>IPP/RM/41246</t>
  </si>
  <si>
    <t>SAC003265</t>
  </si>
  <si>
    <t>85291 @22.01.2026</t>
  </si>
  <si>
    <t>IPP/RM/41248</t>
  </si>
  <si>
    <t>85215 @19.01.2026</t>
  </si>
  <si>
    <t>IPP/RM/41249</t>
  </si>
  <si>
    <t>CRWSI-2601000129</t>
  </si>
  <si>
    <t>85234 @20.01.2026</t>
  </si>
  <si>
    <t>IPP/RM/41250</t>
  </si>
  <si>
    <t>CRWSI-2601000170</t>
  </si>
  <si>
    <t>85356 @26.01.2026</t>
  </si>
  <si>
    <t>IPP/RM/41251</t>
  </si>
  <si>
    <t>CRWSI-2601000166</t>
  </si>
  <si>
    <t>85350 @24.01.2026</t>
  </si>
  <si>
    <t>IPP/RM/41252</t>
  </si>
  <si>
    <t>CRWSI-2601000169</t>
  </si>
  <si>
    <t>85355 @26.01.2026</t>
  </si>
  <si>
    <t>A.FOIL/9 MIC/893 Mic /soft</t>
  </si>
  <si>
    <t>IPP/RM/41286</t>
  </si>
  <si>
    <t>IPPL251223</t>
  </si>
  <si>
    <t>IPP/RM/41290</t>
  </si>
  <si>
    <t>CRWSI-2601000194</t>
  </si>
  <si>
    <t>85414 @28.01.2026</t>
  </si>
  <si>
    <t>IPP/RM/41291</t>
  </si>
  <si>
    <t>CRWSI-2601000233</t>
  </si>
  <si>
    <t>IPP/RM/41292</t>
  </si>
  <si>
    <t>CRWSI-2601000226</t>
  </si>
  <si>
    <t>85457 @30.01.2026</t>
  </si>
  <si>
    <t>IPP/RM/41293</t>
  </si>
  <si>
    <t>CRWSI-2601000236</t>
  </si>
  <si>
    <t>85483 @31.01.2026</t>
  </si>
  <si>
    <t>IPP/RM/41294</t>
  </si>
  <si>
    <t>MA/2026/1026</t>
  </si>
  <si>
    <t>85415 @28.01.2026</t>
  </si>
  <si>
    <t>IPP/RM/41305</t>
  </si>
  <si>
    <t>85284 @25.01.2026</t>
  </si>
  <si>
    <t>MOPP/30 mic/956 mm</t>
  </si>
  <si>
    <t>IPP/RM/41321</t>
  </si>
  <si>
    <t>mr-85245</t>
  </si>
  <si>
    <t>85245 @25.01.2026</t>
  </si>
  <si>
    <t>IPP/RM/41322</t>
  </si>
  <si>
    <t>mr-85146</t>
  </si>
  <si>
    <t>85146 @16.01.2026</t>
  </si>
  <si>
    <t>IPP/RM/41402</t>
  </si>
  <si>
    <t>INV/2026/00331</t>
  </si>
  <si>
    <t>85575 @05.02.2026</t>
  </si>
  <si>
    <t>IPP/RM/41403</t>
  </si>
  <si>
    <t>INV/2026/00350</t>
  </si>
  <si>
    <t>85582 @06.02.2026</t>
  </si>
  <si>
    <t>IPP/RM/41404</t>
  </si>
  <si>
    <t>INV/2026/00330</t>
  </si>
  <si>
    <t>85621 @07.02.2026</t>
  </si>
  <si>
    <t>IPP/RM/41405</t>
  </si>
  <si>
    <t>CRWSI-2602000032</t>
  </si>
  <si>
    <t>85623 @07.02.2026</t>
  </si>
  <si>
    <t>IPP/RM/41408</t>
  </si>
  <si>
    <t>INV/2026/00332</t>
  </si>
  <si>
    <t>85574 @05.02.2026</t>
  </si>
  <si>
    <t>IPP/RM/41410</t>
  </si>
  <si>
    <t>SAC003279</t>
  </si>
  <si>
    <t>85514 @0302.2026</t>
  </si>
  <si>
    <t>IPP/RM/41415</t>
  </si>
  <si>
    <t>AMT/3115/26</t>
  </si>
  <si>
    <t>85540 @04.2026</t>
  </si>
  <si>
    <t>IPP/RM/41416</t>
  </si>
  <si>
    <t>85595 @06.02.206</t>
  </si>
  <si>
    <t>IPP/RM/41417</t>
  </si>
  <si>
    <t>85572 @04.02.2026</t>
  </si>
  <si>
    <t>IPP/RM/41418</t>
  </si>
  <si>
    <t>85573 @05.02.2026</t>
  </si>
  <si>
    <t>IPP/RM/41419</t>
  </si>
  <si>
    <t>85587 @05.02.2026</t>
  </si>
  <si>
    <t>85525 @03.02.2026</t>
  </si>
  <si>
    <t>IPP/RM/41424</t>
  </si>
  <si>
    <t>LCIF260144 2</t>
  </si>
  <si>
    <t>IPP/RM/41425</t>
  </si>
  <si>
    <t>LCIF260154</t>
  </si>
  <si>
    <t>85588 @05.02.2026</t>
  </si>
  <si>
    <t>IPP/RM/41426</t>
  </si>
  <si>
    <t>LCIF260149</t>
  </si>
  <si>
    <t>85547 @04.02.2026</t>
  </si>
  <si>
    <t>IPP/RM/41427</t>
  </si>
  <si>
    <t>SIV-SIK-26-0245</t>
  </si>
  <si>
    <t>85527 @04.02.2026</t>
  </si>
  <si>
    <t>IPP/RM/41469</t>
  </si>
  <si>
    <t>85581 @07.02.2026</t>
  </si>
  <si>
    <t>IPP/RM/41483</t>
  </si>
  <si>
    <t>INV/2026/00408</t>
  </si>
  <si>
    <t>85677 @11.02.2026</t>
  </si>
  <si>
    <t>IPP/RM/41484</t>
  </si>
  <si>
    <t>INV/2026/00414</t>
  </si>
  <si>
    <t>85691 @12.02.2026</t>
  </si>
  <si>
    <t>IPP/RM/41485</t>
  </si>
  <si>
    <t>INV/2026/00390</t>
  </si>
  <si>
    <t>85658 @10.02.2026</t>
  </si>
  <si>
    <t>IPP/RM/41486</t>
  </si>
  <si>
    <t>INV/2026/00406</t>
  </si>
  <si>
    <t>85676 @11.02.2026</t>
  </si>
  <si>
    <t>IPP/RM/41487</t>
  </si>
  <si>
    <t>INV/2026/00413</t>
  </si>
  <si>
    <t>85690 @12.02.2026</t>
  </si>
  <si>
    <t>IPP/RM/41488</t>
  </si>
  <si>
    <t>INV/2026/00407</t>
  </si>
  <si>
    <t>85675 @11.02.2026</t>
  </si>
  <si>
    <t>IPP/RM/41490</t>
  </si>
  <si>
    <t>CRWSI-2602000109</t>
  </si>
  <si>
    <t>85744 @13.02.2026</t>
  </si>
  <si>
    <t>IPP/RM/41491</t>
  </si>
  <si>
    <t>SAC003290</t>
  </si>
  <si>
    <t>85689 @12.02.2026</t>
  </si>
  <si>
    <t>IPP/RM/41538</t>
  </si>
  <si>
    <t>SIV-AIK-26-0287</t>
  </si>
  <si>
    <t>85654 @10.02.2026</t>
  </si>
  <si>
    <t>IPP/RM/41546</t>
  </si>
  <si>
    <t>CRWSI-2602000124</t>
  </si>
  <si>
    <t>85788 @16.02.2026</t>
  </si>
  <si>
    <t>IPP/RM/41589</t>
  </si>
  <si>
    <t>SIV-AIK-26-0373</t>
  </si>
  <si>
    <t>85854 @21.02.2026</t>
  </si>
  <si>
    <t>IPP/RM/41590</t>
  </si>
  <si>
    <t>SIV-AIK-26-0385</t>
  </si>
  <si>
    <t>85871 @21.02.2026</t>
  </si>
  <si>
    <t>IPP/RM/41652</t>
  </si>
  <si>
    <t>INV/2026/00568</t>
  </si>
  <si>
    <t>86023 @26.02.2026</t>
  </si>
  <si>
    <t>IPP/RM/41653</t>
  </si>
  <si>
    <t>INV/2026/00518</t>
  </si>
  <si>
    <t>85931 @23.02.2026</t>
  </si>
  <si>
    <t>IPP/RM/41654</t>
  </si>
  <si>
    <t>INV/2026/00501</t>
  </si>
  <si>
    <t>85865 @22.02.2026</t>
  </si>
  <si>
    <t>IPP/RM/41655</t>
  </si>
  <si>
    <t>INV/2026/00464</t>
  </si>
  <si>
    <t>85813 @17.02.2026</t>
  </si>
  <si>
    <t>IPP/RM/41656</t>
  </si>
  <si>
    <t>INV/2026/00500</t>
  </si>
  <si>
    <t>IPP/RM/41657</t>
  </si>
  <si>
    <t>INV/2026/00569</t>
  </si>
  <si>
    <t>86044 @26.02.2026</t>
  </si>
  <si>
    <t>IPP/RM/41658</t>
  </si>
  <si>
    <t>INV/2026/00499</t>
  </si>
  <si>
    <t>85866 @20.02.2026</t>
  </si>
  <si>
    <t>IPP/RM/41659</t>
  </si>
  <si>
    <t>INV/2026/00570</t>
  </si>
  <si>
    <t>86021@26.02.2026</t>
  </si>
  <si>
    <t>IPP/RM/41660</t>
  </si>
  <si>
    <t>INV/2026/00571</t>
  </si>
  <si>
    <t>86022@26.02.2026</t>
  </si>
  <si>
    <t>IPP/RM/41661</t>
  </si>
  <si>
    <t>INV/2026/00519</t>
  </si>
  <si>
    <t>85932 @23.02.2026</t>
  </si>
  <si>
    <t>IPP/RM/41664</t>
  </si>
  <si>
    <t>SAC003297</t>
  </si>
  <si>
    <t>85868 @22.02.2026</t>
  </si>
  <si>
    <t>IPP/RM/41665</t>
  </si>
  <si>
    <t>85930 @22.02.2026</t>
  </si>
  <si>
    <t>IPP/RM/41666</t>
  </si>
  <si>
    <t>IN-326000412</t>
  </si>
  <si>
    <t>85968 @25.02.2026</t>
  </si>
  <si>
    <t>IPP/RM/41673</t>
  </si>
  <si>
    <t>CRWSI-26020000225</t>
  </si>
  <si>
    <t>86101 @28.02.2026</t>
  </si>
  <si>
    <t>IPP/RM/41675</t>
  </si>
  <si>
    <t>INV/2026/00581</t>
  </si>
  <si>
    <t>86053 @27.02.2026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</si>
</sst>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&quot;0.000"/>
    <numFmt numFmtId="166" formatCode="[$-409]d\-mmm\-yyyy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2" tint="-9.9978637043366805E-2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1" applyFont="1" applyFill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164" fontId="4" fillId="2" borderId="5" xfId="1" applyFont="1" applyFill="1" applyBorder="1" applyAlignment="1">
      <alignment horizontal="right" vertical="center"/>
    </xf>
    <xf numFmtId="49" fontId="4" fillId="0" borderId="6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2" fontId="1" fillId="0" borderId="0" xfId="0" applyNumberFormat="1" applyFont="1" applyAlignment="1">
      <alignment vertical="center"/>
    </xf>
    <xf numFmtId="2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4" borderId="7" xfId="4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3" fontId="4" fillId="0" borderId="6" xfId="0" applyNumberFormat="1" applyFont="1" applyBorder="1" applyAlignment="1">
      <alignment vertical="center"/>
    </xf>
    <xf numFmtId="167" fontId="1" fillId="0" borderId="0" xfId="1" applyNumberFormat="1" applyFont="1" applyAlignment="1">
      <alignment vertical="center"/>
    </xf>
  </cellXfs>
  <cellStyles count="5">
    <cellStyle name="Comma" xfId="1" builtinId="3"/>
    <cellStyle name="Comma 2" xfId="3" xr:uid="{15F68428-E686-44CB-AEB0-01E9297746C4}"/>
    <cellStyle name="Comma 3" xfId="2" xr:uid="{826DFCD4-DD26-4764-AFD6-81F71195020C}"/>
    <cellStyle name="Normal" xfId="0" builtinId="0"/>
    <cellStyle name="Normal 3" xfId="4" xr:uid="{BC1A3D73-4C41-45D5-A8D2-AE5A317BCB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8A93-78A5-4126-9E07-5F3D5B28E23D}">
  <sheetPr codeName="Sheet2" filterMode="1"/>
  <dimension ref="A1:Y192"/>
  <sheetViews>
    <sheetView showGridLines="0" tabSelected="1" topLeftCell="C1" zoomScaleNormal="100" workbookViewId="0">
      <selection activeCell="B2" sqref="B2"/>
    </sheetView>
  </sheetViews>
  <sheetFormatPr defaultColWidth="9.1796875" defaultRowHeight="14.5" x14ac:dyDescent="0.35"/>
  <cols>
    <col min="1" max="1" width="2" style="2" customWidth="1"/>
    <col min="2" max="2" width="12.453125" style="3" customWidth="1"/>
    <col min="3" max="3" width="38.81640625" style="2" customWidth="1"/>
    <col min="4" max="4" width="9.54296875" style="3" customWidth="1"/>
    <col min="5" max="5" width="11.1796875" style="2" customWidth="1"/>
    <col min="6" max="6" width="59.54296875" style="2" customWidth="1"/>
    <col min="7" max="7" width="11.1796875" style="2" customWidth="1"/>
    <col min="8" max="8" width="13.26953125" style="2" customWidth="1"/>
    <col min="9" max="9" width="8" style="3" customWidth="1"/>
    <col min="10" max="10" width="9.81640625" style="3" customWidth="1"/>
    <col min="11" max="11" width="12.54296875" style="2" customWidth="1"/>
    <col min="12" max="12" width="11.453125" style="22" bestFit="1" customWidth="1"/>
    <col min="13" max="13" width="8" style="2" customWidth="1"/>
    <col min="14" max="14" width="17.1796875" style="2" customWidth="1"/>
    <col min="15" max="15" width="7.54296875" style="4" customWidth="1"/>
    <col min="16" max="16" width="19.26953125" style="2" customWidth="1"/>
    <col min="17" max="17" width="12.81640625" style="3" customWidth="1"/>
    <col min="18" max="18" width="12.26953125" style="3" customWidth="1"/>
    <col min="19" max="20" width="12.54296875" style="2" customWidth="1"/>
    <col min="21" max="21" width="5.1796875" style="2" customWidth="1"/>
    <col min="22" max="22" width="9.1796875" style="2"/>
    <col min="23" max="23" width="11.453125" style="2" bestFit="1" customWidth="1"/>
    <col min="24" max="16384" width="9.1796875" style="2"/>
  </cols>
  <sheetData>
    <row r="1" spans="1:25" x14ac:dyDescent="0.35">
      <c r="A1" s="20"/>
      <c r="B1" s="1"/>
    </row>
    <row r="2" spans="1:25" ht="17.25" customHeight="1" thickBot="1" x14ac:dyDescent="0.4"/>
    <row r="3" spans="1:25" s="3" customFormat="1" ht="15" thickBot="1" x14ac:dyDescent="0.4">
      <c r="B3" s="5" t="s">
        <v>0</v>
      </c>
      <c r="C3" s="6" t="s">
        <v>1</v>
      </c>
      <c r="D3" s="6" t="s">
        <v>2</v>
      </c>
      <c r="E3" s="24" t="s">
        <v>165</v>
      </c>
      <c r="F3" s="6" t="s">
        <v>3</v>
      </c>
      <c r="G3" s="6" t="s">
        <v>137</v>
      </c>
      <c r="H3" s="24" t="s">
        <v>140</v>
      </c>
      <c r="I3" s="25" t="s">
        <v>4</v>
      </c>
      <c r="J3" s="25" t="s">
        <v>5</v>
      </c>
      <c r="K3" s="6" t="s">
        <v>6</v>
      </c>
      <c r="L3" s="23" t="s">
        <v>7</v>
      </c>
      <c r="M3" s="6" t="s">
        <v>8</v>
      </c>
      <c r="N3" s="6" t="s">
        <v>9</v>
      </c>
      <c r="O3" s="8" t="s">
        <v>10</v>
      </c>
      <c r="P3" s="6" t="s">
        <v>11</v>
      </c>
      <c r="Q3" s="6" t="s">
        <v>12</v>
      </c>
      <c r="R3" s="6" t="s">
        <v>13</v>
      </c>
      <c r="S3" s="9" t="s">
        <v>127</v>
      </c>
      <c r="T3" s="18" t="s">
        <v>128</v>
      </c>
      <c r="U3" s="3" t="s">
        <v>130</v>
      </c>
      <c r="V3" s="3" t="s">
        <v>131</v>
      </c>
      <c r="W3" s="7" t="s">
        <v>7</v>
      </c>
    </row>
    <row r="4" spans="1:25" hidden="1" x14ac:dyDescent="0.3">
      <c r="B4" s="17">
        <v>45806</v>
      </c>
      <c r="C4" s="10" t="s">
        <v>143</v>
      </c>
      <c r="D4" s="11">
        <v>175286</v>
      </c>
      <c r="E4" s="26">
        <v>81185</v>
      </c>
      <c r="F4" s="10" t="s">
        <v>52</v>
      </c>
      <c r="G4" s="10" t="s">
        <v>152</v>
      </c>
      <c r="H4" s="10" t="s">
        <v>48</v>
      </c>
      <c r="I4" s="12">
        <v>1165</v>
      </c>
      <c r="J4" s="12">
        <v>28</v>
      </c>
      <c r="K4" s="13">
        <v>11676.4</v>
      </c>
      <c r="L4" s="21">
        <v>14.336</v>
      </c>
      <c r="M4" s="14" t="s">
        <v>14</v>
      </c>
      <c r="N4" s="13">
        <v>167397.541</v>
      </c>
      <c r="O4" s="15">
        <v>0</v>
      </c>
      <c r="P4" s="10" t="s">
        <v>81</v>
      </c>
      <c r="Q4" s="11" t="s">
        <v>162</v>
      </c>
      <c r="R4" s="27">
        <v>25000128</v>
      </c>
      <c r="S4" s="16" t="s">
        <v>163</v>
      </c>
      <c r="T4" s="19" t="str">
        <f t="shared" ref="T4:T35" si="0">MONTH(B4)&amp;"-"&amp;YEAR(B4)</f>
        <v>5-2025</v>
      </c>
      <c r="U4" s="2">
        <f t="shared" ref="U4:U35" si="1">YEAR(B4)</f>
        <v>2025</v>
      </c>
      <c r="V4" s="2" t="str">
        <f t="shared" ref="V4:V35" si="2">IF(DAY(B4)&gt;15,MONTH(B4)&amp;"-C",MONTH(B4)&amp;"-N")</f>
        <v>5-C</v>
      </c>
      <c r="W4" s="21">
        <v>91.9</v>
      </c>
      <c r="X4" s="2" t="b">
        <f t="shared" ref="X4:X5" si="3">+L4=W4</f>
        <v>0</v>
      </c>
      <c r="Y4" s="2" t="str">
        <f>E4&amp;H4&amp;I4&amp;J4</f>
        <v>81185MPOPP116528</v>
      </c>
    </row>
    <row r="5" spans="1:25" hidden="1" x14ac:dyDescent="0.3">
      <c r="B5" s="17">
        <v>45806</v>
      </c>
      <c r="C5" s="10" t="s">
        <v>143</v>
      </c>
      <c r="D5" s="11">
        <v>175286</v>
      </c>
      <c r="E5" s="26">
        <v>81185</v>
      </c>
      <c r="F5" s="10" t="s">
        <v>160</v>
      </c>
      <c r="G5" s="10" t="s">
        <v>152</v>
      </c>
      <c r="H5" s="10" t="s">
        <v>48</v>
      </c>
      <c r="I5" s="12">
        <v>1146</v>
      </c>
      <c r="J5" s="12">
        <v>28</v>
      </c>
      <c r="K5" s="13">
        <v>10527.7</v>
      </c>
      <c r="L5" s="21">
        <v>14.336</v>
      </c>
      <c r="M5" s="14" t="s">
        <v>14</v>
      </c>
      <c r="N5" s="13">
        <v>150929.318</v>
      </c>
      <c r="O5" s="15">
        <v>0</v>
      </c>
      <c r="P5" s="10" t="s">
        <v>81</v>
      </c>
      <c r="Q5" s="11" t="s">
        <v>162</v>
      </c>
      <c r="R5" s="27">
        <v>25000128</v>
      </c>
      <c r="S5" s="16" t="s">
        <v>163</v>
      </c>
      <c r="T5" s="19" t="str">
        <f t="shared" si="0"/>
        <v>5-2025</v>
      </c>
      <c r="U5" s="2">
        <f t="shared" si="1"/>
        <v>2025</v>
      </c>
      <c r="V5" s="2" t="str">
        <f t="shared" si="2"/>
        <v>5-C</v>
      </c>
      <c r="W5" s="21">
        <v>91.9</v>
      </c>
      <c r="X5" s="2" t="b">
        <f t="shared" si="3"/>
        <v>0</v>
      </c>
      <c r="Y5" s="2" t="str">
        <f>E5&amp;H5&amp;I5&amp;J5</f>
        <v>81185MPOPP114628</v>
      </c>
    </row>
    <row r="6" spans="1:25" hidden="1" x14ac:dyDescent="0.3">
      <c r="B6" s="17">
        <v>45941</v>
      </c>
      <c r="C6" s="10" t="s">
        <v>60</v>
      </c>
      <c r="D6" s="11">
        <v>177044</v>
      </c>
      <c r="E6" s="26">
        <v>83464</v>
      </c>
      <c r="F6" s="10" t="s">
        <v>112</v>
      </c>
      <c r="G6" s="10" t="s">
        <v>152</v>
      </c>
      <c r="H6" s="10" t="s">
        <v>41</v>
      </c>
      <c r="I6" s="12">
        <v>880</v>
      </c>
      <c r="J6" s="12">
        <v>30</v>
      </c>
      <c r="K6" s="13">
        <v>1898.2</v>
      </c>
      <c r="L6" s="21">
        <v>6.47</v>
      </c>
      <c r="M6" s="14" t="s">
        <v>14</v>
      </c>
      <c r="N6" s="13">
        <v>12280.897999999999</v>
      </c>
      <c r="O6" s="15">
        <v>0</v>
      </c>
      <c r="P6" s="10" t="s">
        <v>62</v>
      </c>
      <c r="Q6" s="11" t="s">
        <v>166</v>
      </c>
      <c r="R6" s="27">
        <v>7100021074</v>
      </c>
      <c r="S6" s="16" t="s">
        <v>167</v>
      </c>
      <c r="T6" s="19" t="str">
        <f t="shared" si="0"/>
        <v>10-2025</v>
      </c>
      <c r="U6" s="2">
        <f t="shared" si="1"/>
        <v>2025</v>
      </c>
      <c r="V6" s="2" t="str">
        <f t="shared" si="2"/>
        <v>10-N</v>
      </c>
      <c r="W6" s="21"/>
      <c r="X6" s="2" t="b">
        <f t="shared" ref="X6:X8" si="4">+L6=W6</f>
        <v>0</v>
      </c>
    </row>
    <row r="7" spans="1:25" hidden="1" x14ac:dyDescent="0.3">
      <c r="B7" s="17">
        <v>45941</v>
      </c>
      <c r="C7" s="10" t="s">
        <v>60</v>
      </c>
      <c r="D7" s="11">
        <v>177044</v>
      </c>
      <c r="E7" s="26">
        <v>83464</v>
      </c>
      <c r="F7" s="10" t="s">
        <v>117</v>
      </c>
      <c r="G7" s="10" t="s">
        <v>152</v>
      </c>
      <c r="H7" s="10" t="s">
        <v>41</v>
      </c>
      <c r="I7" s="12">
        <v>939</v>
      </c>
      <c r="J7" s="12">
        <v>30</v>
      </c>
      <c r="K7" s="13">
        <v>1684.6</v>
      </c>
      <c r="L7" s="21">
        <v>6.47</v>
      </c>
      <c r="M7" s="14" t="s">
        <v>14</v>
      </c>
      <c r="N7" s="13">
        <v>10898.958000000001</v>
      </c>
      <c r="O7" s="15">
        <v>0</v>
      </c>
      <c r="P7" s="10" t="s">
        <v>62</v>
      </c>
      <c r="Q7" s="11" t="s">
        <v>166</v>
      </c>
      <c r="R7" s="27">
        <v>7100021074</v>
      </c>
      <c r="S7" s="16" t="s">
        <v>167</v>
      </c>
      <c r="T7" s="19" t="str">
        <f t="shared" si="0"/>
        <v>10-2025</v>
      </c>
      <c r="U7" s="2">
        <f t="shared" si="1"/>
        <v>2025</v>
      </c>
      <c r="V7" s="2" t="str">
        <f t="shared" si="2"/>
        <v>10-N</v>
      </c>
      <c r="W7" s="21"/>
      <c r="X7" s="2" t="b">
        <f t="shared" si="4"/>
        <v>0</v>
      </c>
    </row>
    <row r="8" spans="1:25" hidden="1" x14ac:dyDescent="0.3">
      <c r="B8" s="17">
        <v>45941</v>
      </c>
      <c r="C8" s="10" t="s">
        <v>60</v>
      </c>
      <c r="D8" s="11">
        <v>177044</v>
      </c>
      <c r="E8" s="26">
        <v>83464</v>
      </c>
      <c r="F8" s="10" t="s">
        <v>109</v>
      </c>
      <c r="G8" s="10" t="s">
        <v>152</v>
      </c>
      <c r="H8" s="10" t="s">
        <v>41</v>
      </c>
      <c r="I8" s="12">
        <v>964</v>
      </c>
      <c r="J8" s="12">
        <v>30</v>
      </c>
      <c r="K8" s="13">
        <v>2770.8</v>
      </c>
      <c r="L8" s="21">
        <v>6.47</v>
      </c>
      <c r="M8" s="14" t="s">
        <v>14</v>
      </c>
      <c r="N8" s="13">
        <v>17926.411</v>
      </c>
      <c r="O8" s="15">
        <v>0</v>
      </c>
      <c r="P8" s="10" t="s">
        <v>62</v>
      </c>
      <c r="Q8" s="11" t="s">
        <v>166</v>
      </c>
      <c r="R8" s="27">
        <v>7100021074</v>
      </c>
      <c r="S8" s="16" t="s">
        <v>167</v>
      </c>
      <c r="T8" s="19" t="str">
        <f t="shared" si="0"/>
        <v>10-2025</v>
      </c>
      <c r="U8" s="2">
        <f t="shared" si="1"/>
        <v>2025</v>
      </c>
      <c r="V8" s="2" t="str">
        <f t="shared" si="2"/>
        <v>10-N</v>
      </c>
      <c r="W8" s="21"/>
      <c r="X8" s="2" t="b">
        <f t="shared" si="4"/>
        <v>0</v>
      </c>
    </row>
    <row r="9" spans="1:25" hidden="1" x14ac:dyDescent="0.3">
      <c r="B9" s="17">
        <v>45974</v>
      </c>
      <c r="C9" s="10" t="s">
        <v>118</v>
      </c>
      <c r="D9" s="11">
        <v>177318</v>
      </c>
      <c r="E9" s="26">
        <v>84080</v>
      </c>
      <c r="F9" s="10" t="s">
        <v>104</v>
      </c>
      <c r="G9" s="10" t="s">
        <v>152</v>
      </c>
      <c r="H9" s="10" t="s">
        <v>20</v>
      </c>
      <c r="I9" s="12">
        <v>893</v>
      </c>
      <c r="J9" s="12">
        <v>100</v>
      </c>
      <c r="K9" s="13">
        <v>2255.4</v>
      </c>
      <c r="L9" s="21">
        <v>0.9</v>
      </c>
      <c r="M9" s="14" t="s">
        <v>14</v>
      </c>
      <c r="N9" s="13">
        <v>2029.86</v>
      </c>
      <c r="O9" s="15">
        <v>0</v>
      </c>
      <c r="P9" s="10" t="s">
        <v>90</v>
      </c>
      <c r="Q9" s="11" t="s">
        <v>169</v>
      </c>
      <c r="R9" s="11" t="s">
        <v>170</v>
      </c>
      <c r="S9" s="16" t="s">
        <v>171</v>
      </c>
      <c r="T9" s="19" t="str">
        <f t="shared" si="0"/>
        <v>11-2025</v>
      </c>
      <c r="U9" s="2">
        <f t="shared" si="1"/>
        <v>2025</v>
      </c>
      <c r="V9" s="2" t="str">
        <f t="shared" si="2"/>
        <v>11-N</v>
      </c>
      <c r="W9" s="21"/>
      <c r="X9" s="2" t="b">
        <f t="shared" ref="X9:X12" si="5">+L9=W9</f>
        <v>0</v>
      </c>
    </row>
    <row r="10" spans="1:25" hidden="1" x14ac:dyDescent="0.3">
      <c r="B10" s="17">
        <v>45974</v>
      </c>
      <c r="C10" s="10" t="s">
        <v>118</v>
      </c>
      <c r="D10" s="11">
        <v>177318</v>
      </c>
      <c r="E10" s="26">
        <v>84080</v>
      </c>
      <c r="F10" s="10" t="s">
        <v>161</v>
      </c>
      <c r="G10" s="10" t="s">
        <v>152</v>
      </c>
      <c r="H10" s="10" t="s">
        <v>20</v>
      </c>
      <c r="I10" s="12">
        <v>1104</v>
      </c>
      <c r="J10" s="12">
        <v>92</v>
      </c>
      <c r="K10" s="13">
        <v>717.8</v>
      </c>
      <c r="L10" s="21">
        <v>0.9</v>
      </c>
      <c r="M10" s="14" t="s">
        <v>14</v>
      </c>
      <c r="N10" s="13">
        <v>646.02</v>
      </c>
      <c r="O10" s="15">
        <v>0</v>
      </c>
      <c r="P10" s="10" t="s">
        <v>90</v>
      </c>
      <c r="Q10" s="11" t="s">
        <v>169</v>
      </c>
      <c r="R10" s="11" t="s">
        <v>170</v>
      </c>
      <c r="S10" s="16" t="s">
        <v>171</v>
      </c>
      <c r="T10" s="19" t="str">
        <f t="shared" si="0"/>
        <v>11-2025</v>
      </c>
      <c r="U10" s="2">
        <f t="shared" si="1"/>
        <v>2025</v>
      </c>
      <c r="V10" s="2" t="str">
        <f t="shared" si="2"/>
        <v>11-N</v>
      </c>
      <c r="W10" s="21"/>
      <c r="X10" s="2" t="b">
        <f t="shared" si="5"/>
        <v>0</v>
      </c>
    </row>
    <row r="11" spans="1:25" hidden="1" x14ac:dyDescent="0.3">
      <c r="B11" s="17">
        <v>45974</v>
      </c>
      <c r="C11" s="10" t="s">
        <v>118</v>
      </c>
      <c r="D11" s="11">
        <v>177318</v>
      </c>
      <c r="E11" s="26">
        <v>84080</v>
      </c>
      <c r="F11" s="10" t="s">
        <v>91</v>
      </c>
      <c r="G11" s="10" t="s">
        <v>152</v>
      </c>
      <c r="H11" s="10" t="s">
        <v>20</v>
      </c>
      <c r="I11" s="12">
        <v>1213</v>
      </c>
      <c r="J11" s="12">
        <v>92</v>
      </c>
      <c r="K11" s="13">
        <v>2799.7</v>
      </c>
      <c r="L11" s="21">
        <v>0.9</v>
      </c>
      <c r="M11" s="14" t="s">
        <v>14</v>
      </c>
      <c r="N11" s="13">
        <v>2519.73</v>
      </c>
      <c r="O11" s="15">
        <v>0</v>
      </c>
      <c r="P11" s="10" t="s">
        <v>90</v>
      </c>
      <c r="Q11" s="11" t="s">
        <v>169</v>
      </c>
      <c r="R11" s="11" t="s">
        <v>170</v>
      </c>
      <c r="S11" s="16" t="s">
        <v>171</v>
      </c>
      <c r="T11" s="19" t="str">
        <f t="shared" si="0"/>
        <v>11-2025</v>
      </c>
      <c r="U11" s="2">
        <f t="shared" si="1"/>
        <v>2025</v>
      </c>
      <c r="V11" s="2" t="str">
        <f t="shared" si="2"/>
        <v>11-N</v>
      </c>
      <c r="W11" s="21"/>
      <c r="X11" s="2" t="b">
        <f t="shared" si="5"/>
        <v>0</v>
      </c>
    </row>
    <row r="12" spans="1:25" hidden="1" x14ac:dyDescent="0.3">
      <c r="B12" s="17">
        <v>45974</v>
      </c>
      <c r="C12" s="10" t="s">
        <v>118</v>
      </c>
      <c r="D12" s="11">
        <v>177361</v>
      </c>
      <c r="E12" s="26">
        <v>84080</v>
      </c>
      <c r="F12" s="10" t="s">
        <v>91</v>
      </c>
      <c r="G12" s="10" t="s">
        <v>152</v>
      </c>
      <c r="H12" s="10" t="s">
        <v>20</v>
      </c>
      <c r="I12" s="12">
        <v>1213</v>
      </c>
      <c r="J12" s="12">
        <v>92</v>
      </c>
      <c r="K12" s="13">
        <v>1754.6</v>
      </c>
      <c r="L12" s="21">
        <v>0.9</v>
      </c>
      <c r="M12" s="14" t="s">
        <v>14</v>
      </c>
      <c r="N12" s="13">
        <v>1579.14</v>
      </c>
      <c r="O12" s="15">
        <v>0</v>
      </c>
      <c r="P12" s="10" t="s">
        <v>90</v>
      </c>
      <c r="Q12" s="11" t="s">
        <v>169</v>
      </c>
      <c r="R12" s="11" t="s">
        <v>170</v>
      </c>
      <c r="S12" s="16" t="s">
        <v>171</v>
      </c>
      <c r="T12" s="19" t="str">
        <f t="shared" si="0"/>
        <v>11-2025</v>
      </c>
      <c r="U12" s="2">
        <f t="shared" si="1"/>
        <v>2025</v>
      </c>
      <c r="V12" s="2" t="str">
        <f t="shared" si="2"/>
        <v>11-N</v>
      </c>
      <c r="W12" s="21"/>
      <c r="X12" s="2" t="b">
        <f t="shared" si="5"/>
        <v>0</v>
      </c>
    </row>
    <row r="13" spans="1:25" hidden="1" x14ac:dyDescent="0.3">
      <c r="B13" s="17">
        <v>46016</v>
      </c>
      <c r="C13" s="10" t="s">
        <v>60</v>
      </c>
      <c r="D13" s="11">
        <v>177471</v>
      </c>
      <c r="E13" s="26">
        <v>84851</v>
      </c>
      <c r="F13" s="10" t="s">
        <v>109</v>
      </c>
      <c r="G13" s="10" t="s">
        <v>152</v>
      </c>
      <c r="H13" s="10" t="s">
        <v>41</v>
      </c>
      <c r="I13" s="12">
        <v>964</v>
      </c>
      <c r="J13" s="12">
        <v>30</v>
      </c>
      <c r="K13" s="13">
        <v>2073.1999999999998</v>
      </c>
      <c r="L13" s="21">
        <v>6.359</v>
      </c>
      <c r="M13" s="14" t="s">
        <v>14</v>
      </c>
      <c r="N13" s="13">
        <v>13184.474</v>
      </c>
      <c r="O13" s="15">
        <v>0</v>
      </c>
      <c r="P13" s="10" t="s">
        <v>62</v>
      </c>
      <c r="Q13" s="11" t="s">
        <v>173</v>
      </c>
      <c r="R13" s="27">
        <v>7100022725</v>
      </c>
      <c r="S13" s="16" t="s">
        <v>174</v>
      </c>
      <c r="T13" s="19" t="str">
        <f t="shared" si="0"/>
        <v>12-2025</v>
      </c>
      <c r="U13" s="2">
        <f t="shared" si="1"/>
        <v>2025</v>
      </c>
      <c r="V13" s="2" t="str">
        <f t="shared" si="2"/>
        <v>12-C</v>
      </c>
      <c r="W13" s="21"/>
      <c r="X13" s="2" t="b">
        <f t="shared" ref="X13:X15" si="6">+L13=W13</f>
        <v>0</v>
      </c>
    </row>
    <row r="14" spans="1:25" hidden="1" x14ac:dyDescent="0.3">
      <c r="B14" s="17">
        <v>46016</v>
      </c>
      <c r="C14" s="10" t="s">
        <v>60</v>
      </c>
      <c r="D14" s="11">
        <v>177471</v>
      </c>
      <c r="E14" s="26">
        <v>84851</v>
      </c>
      <c r="F14" s="10" t="s">
        <v>147</v>
      </c>
      <c r="G14" s="10" t="s">
        <v>152</v>
      </c>
      <c r="H14" s="10" t="s">
        <v>24</v>
      </c>
      <c r="I14" s="12">
        <v>1048</v>
      </c>
      <c r="J14" s="12">
        <v>30</v>
      </c>
      <c r="K14" s="13">
        <v>754.1</v>
      </c>
      <c r="L14" s="21">
        <v>6.1760000000000002</v>
      </c>
      <c r="M14" s="14" t="s">
        <v>14</v>
      </c>
      <c r="N14" s="13">
        <v>4657.08</v>
      </c>
      <c r="O14" s="15">
        <v>0</v>
      </c>
      <c r="P14" s="10" t="s">
        <v>65</v>
      </c>
      <c r="Q14" s="11" t="s">
        <v>173</v>
      </c>
      <c r="R14" s="27">
        <v>7100022725</v>
      </c>
      <c r="S14" s="16" t="s">
        <v>174</v>
      </c>
      <c r="T14" s="19" t="str">
        <f t="shared" si="0"/>
        <v>12-2025</v>
      </c>
      <c r="U14" s="2">
        <f t="shared" si="1"/>
        <v>2025</v>
      </c>
      <c r="V14" s="2" t="str">
        <f t="shared" si="2"/>
        <v>12-C</v>
      </c>
      <c r="W14" s="21"/>
      <c r="X14" s="2" t="b">
        <f t="shared" si="6"/>
        <v>0</v>
      </c>
    </row>
    <row r="15" spans="1:25" hidden="1" x14ac:dyDescent="0.3">
      <c r="B15" s="17">
        <v>46016</v>
      </c>
      <c r="C15" s="10" t="s">
        <v>60</v>
      </c>
      <c r="D15" s="11">
        <v>177471</v>
      </c>
      <c r="E15" s="26">
        <v>84851</v>
      </c>
      <c r="F15" s="10" t="s">
        <v>110</v>
      </c>
      <c r="G15" s="10" t="s">
        <v>152</v>
      </c>
      <c r="H15" s="10" t="s">
        <v>24</v>
      </c>
      <c r="I15" s="12">
        <v>964</v>
      </c>
      <c r="J15" s="12">
        <v>30</v>
      </c>
      <c r="K15" s="13">
        <v>2140.66</v>
      </c>
      <c r="L15" s="21">
        <v>6.1760000000000002</v>
      </c>
      <c r="M15" s="14" t="s">
        <v>14</v>
      </c>
      <c r="N15" s="13">
        <v>13220.031999999999</v>
      </c>
      <c r="O15" s="15">
        <v>0</v>
      </c>
      <c r="P15" s="10" t="s">
        <v>65</v>
      </c>
      <c r="Q15" s="11" t="s">
        <v>173</v>
      </c>
      <c r="R15" s="27">
        <v>7100022725</v>
      </c>
      <c r="S15" s="16" t="s">
        <v>174</v>
      </c>
      <c r="T15" s="19" t="str">
        <f t="shared" si="0"/>
        <v>12-2025</v>
      </c>
      <c r="U15" s="2">
        <f t="shared" si="1"/>
        <v>2025</v>
      </c>
      <c r="V15" s="2" t="str">
        <f t="shared" si="2"/>
        <v>12-C</v>
      </c>
      <c r="W15" s="21"/>
      <c r="X15" s="2" t="b">
        <f t="shared" si="6"/>
        <v>0</v>
      </c>
    </row>
    <row r="16" spans="1:25" hidden="1" x14ac:dyDescent="0.3">
      <c r="B16" s="17">
        <v>46027</v>
      </c>
      <c r="C16" s="10" t="s">
        <v>67</v>
      </c>
      <c r="D16" s="11">
        <v>177603</v>
      </c>
      <c r="E16" s="26">
        <v>84986</v>
      </c>
      <c r="F16" s="10" t="s">
        <v>27</v>
      </c>
      <c r="G16" s="10" t="s">
        <v>153</v>
      </c>
      <c r="H16" s="10" t="s">
        <v>28</v>
      </c>
      <c r="I16" s="12" t="s">
        <v>37</v>
      </c>
      <c r="J16" s="12" t="s">
        <v>37</v>
      </c>
      <c r="K16" s="13">
        <v>6300</v>
      </c>
      <c r="L16" s="21">
        <v>3.05</v>
      </c>
      <c r="M16" s="14" t="s">
        <v>14</v>
      </c>
      <c r="N16" s="13">
        <v>19215</v>
      </c>
      <c r="O16" s="15">
        <f t="shared" ref="O16:O21" si="7">(N16/K16)-L16</f>
        <v>0</v>
      </c>
      <c r="P16" s="10" t="s">
        <v>64</v>
      </c>
      <c r="Q16" s="11" t="s">
        <v>176</v>
      </c>
      <c r="R16" s="11" t="s">
        <v>177</v>
      </c>
      <c r="S16" s="16" t="s">
        <v>178</v>
      </c>
      <c r="T16" s="19" t="str">
        <f t="shared" si="0"/>
        <v>1-2026</v>
      </c>
      <c r="U16" s="2">
        <f t="shared" si="1"/>
        <v>2026</v>
      </c>
      <c r="V16" s="2" t="str">
        <f t="shared" si="2"/>
        <v>1-N</v>
      </c>
      <c r="W16" s="21"/>
      <c r="X16" s="2" t="b">
        <f t="shared" ref="X16:X21" si="8">+L16=W16</f>
        <v>0</v>
      </c>
    </row>
    <row r="17" spans="2:24" hidden="1" x14ac:dyDescent="0.3">
      <c r="B17" s="17">
        <v>46029</v>
      </c>
      <c r="C17" s="10" t="s">
        <v>67</v>
      </c>
      <c r="D17" s="11">
        <v>177760</v>
      </c>
      <c r="E17" s="26">
        <v>85002</v>
      </c>
      <c r="F17" s="10" t="s">
        <v>33</v>
      </c>
      <c r="G17" s="10" t="s">
        <v>153</v>
      </c>
      <c r="H17" s="10" t="s">
        <v>34</v>
      </c>
      <c r="I17" s="12" t="s">
        <v>37</v>
      </c>
      <c r="J17" s="12" t="s">
        <v>37</v>
      </c>
      <c r="K17" s="13">
        <v>1080</v>
      </c>
      <c r="L17" s="21">
        <v>5.75</v>
      </c>
      <c r="M17" s="14" t="s">
        <v>14</v>
      </c>
      <c r="N17" s="13">
        <v>6210</v>
      </c>
      <c r="O17" s="15">
        <f t="shared" si="7"/>
        <v>0</v>
      </c>
      <c r="P17" s="10" t="s">
        <v>66</v>
      </c>
      <c r="Q17" s="11" t="s">
        <v>179</v>
      </c>
      <c r="R17" s="11" t="s">
        <v>180</v>
      </c>
      <c r="S17" s="16" t="s">
        <v>181</v>
      </c>
      <c r="T17" s="19" t="str">
        <f t="shared" si="0"/>
        <v>1-2026</v>
      </c>
      <c r="U17" s="2">
        <f t="shared" si="1"/>
        <v>2026</v>
      </c>
      <c r="V17" s="2" t="str">
        <f t="shared" si="2"/>
        <v>1-N</v>
      </c>
      <c r="W17" s="21"/>
      <c r="X17" s="2" t="b">
        <f t="shared" si="8"/>
        <v>0</v>
      </c>
    </row>
    <row r="18" spans="2:24" hidden="1" x14ac:dyDescent="0.3">
      <c r="B18" s="17">
        <v>46027</v>
      </c>
      <c r="C18" s="10" t="s">
        <v>88</v>
      </c>
      <c r="D18" s="11">
        <v>176992</v>
      </c>
      <c r="E18" s="26">
        <v>84985</v>
      </c>
      <c r="F18" s="10" t="s">
        <v>84</v>
      </c>
      <c r="G18" s="10" t="s">
        <v>154</v>
      </c>
      <c r="H18" s="10" t="s">
        <v>85</v>
      </c>
      <c r="I18" s="12" t="s">
        <v>37</v>
      </c>
      <c r="J18" s="12" t="s">
        <v>37</v>
      </c>
      <c r="K18" s="13">
        <v>100</v>
      </c>
      <c r="L18" s="21">
        <v>47.46</v>
      </c>
      <c r="M18" s="14" t="s">
        <v>14</v>
      </c>
      <c r="N18" s="13">
        <v>4746</v>
      </c>
      <c r="O18" s="15">
        <f t="shared" si="7"/>
        <v>0</v>
      </c>
      <c r="P18" s="10" t="s">
        <v>69</v>
      </c>
      <c r="Q18" s="11" t="s">
        <v>182</v>
      </c>
      <c r="R18" s="11" t="s">
        <v>183</v>
      </c>
      <c r="S18" s="16" t="s">
        <v>184</v>
      </c>
      <c r="T18" s="19" t="str">
        <f t="shared" si="0"/>
        <v>1-2026</v>
      </c>
      <c r="U18" s="2">
        <f t="shared" si="1"/>
        <v>2026</v>
      </c>
      <c r="V18" s="2" t="str">
        <f t="shared" si="2"/>
        <v>1-N</v>
      </c>
      <c r="W18" s="21"/>
      <c r="X18" s="2" t="b">
        <f t="shared" si="8"/>
        <v>0</v>
      </c>
    </row>
    <row r="19" spans="2:24" hidden="1" x14ac:dyDescent="0.3">
      <c r="B19" s="17">
        <v>46027</v>
      </c>
      <c r="C19" s="10" t="s">
        <v>88</v>
      </c>
      <c r="D19" s="11">
        <v>176992</v>
      </c>
      <c r="E19" s="26">
        <v>84985</v>
      </c>
      <c r="F19" s="10" t="s">
        <v>86</v>
      </c>
      <c r="G19" s="10" t="s">
        <v>154</v>
      </c>
      <c r="H19" s="10" t="s">
        <v>87</v>
      </c>
      <c r="I19" s="12" t="s">
        <v>37</v>
      </c>
      <c r="J19" s="12" t="s">
        <v>37</v>
      </c>
      <c r="K19" s="13">
        <v>2880</v>
      </c>
      <c r="L19" s="21">
        <v>11.72</v>
      </c>
      <c r="M19" s="14" t="s">
        <v>14</v>
      </c>
      <c r="N19" s="13">
        <v>33753.599999999999</v>
      </c>
      <c r="O19" s="15">
        <f t="shared" si="7"/>
        <v>0</v>
      </c>
      <c r="P19" s="10" t="s">
        <v>69</v>
      </c>
      <c r="Q19" s="11" t="s">
        <v>182</v>
      </c>
      <c r="R19" s="11" t="s">
        <v>183</v>
      </c>
      <c r="S19" s="16" t="s">
        <v>184</v>
      </c>
      <c r="T19" s="19" t="str">
        <f t="shared" si="0"/>
        <v>1-2026</v>
      </c>
      <c r="U19" s="2">
        <f t="shared" si="1"/>
        <v>2026</v>
      </c>
      <c r="V19" s="2" t="str">
        <f t="shared" si="2"/>
        <v>1-N</v>
      </c>
      <c r="W19" s="21"/>
      <c r="X19" s="2" t="b">
        <f t="shared" si="8"/>
        <v>0</v>
      </c>
    </row>
    <row r="20" spans="2:24" hidden="1" x14ac:dyDescent="0.3">
      <c r="B20" s="17">
        <v>46027</v>
      </c>
      <c r="C20" s="10" t="s">
        <v>88</v>
      </c>
      <c r="D20" s="11">
        <v>177458</v>
      </c>
      <c r="E20" s="26">
        <v>84985</v>
      </c>
      <c r="F20" s="10" t="s">
        <v>86</v>
      </c>
      <c r="G20" s="10" t="s">
        <v>154</v>
      </c>
      <c r="H20" s="10" t="s">
        <v>87</v>
      </c>
      <c r="I20" s="12" t="s">
        <v>37</v>
      </c>
      <c r="J20" s="12" t="s">
        <v>37</v>
      </c>
      <c r="K20" s="13">
        <v>3280</v>
      </c>
      <c r="L20" s="21">
        <v>11.72</v>
      </c>
      <c r="M20" s="14" t="s">
        <v>14</v>
      </c>
      <c r="N20" s="13">
        <v>38441.599999999999</v>
      </c>
      <c r="O20" s="15">
        <f t="shared" si="7"/>
        <v>0</v>
      </c>
      <c r="P20" s="10" t="s">
        <v>69</v>
      </c>
      <c r="Q20" s="11" t="s">
        <v>182</v>
      </c>
      <c r="R20" s="11" t="s">
        <v>183</v>
      </c>
      <c r="S20" s="16" t="s">
        <v>184</v>
      </c>
      <c r="T20" s="19" t="str">
        <f t="shared" si="0"/>
        <v>1-2026</v>
      </c>
      <c r="U20" s="2">
        <f t="shared" si="1"/>
        <v>2026</v>
      </c>
      <c r="V20" s="2" t="str">
        <f t="shared" si="2"/>
        <v>1-N</v>
      </c>
      <c r="W20" s="21"/>
      <c r="X20" s="2" t="b">
        <f t="shared" si="8"/>
        <v>0</v>
      </c>
    </row>
    <row r="21" spans="2:24" hidden="1" x14ac:dyDescent="0.3">
      <c r="B21" s="17">
        <v>46028</v>
      </c>
      <c r="C21" s="10" t="s">
        <v>185</v>
      </c>
      <c r="D21" s="11">
        <v>177539</v>
      </c>
      <c r="E21" s="26">
        <v>84989</v>
      </c>
      <c r="F21" s="10" t="s">
        <v>27</v>
      </c>
      <c r="G21" s="10" t="s">
        <v>153</v>
      </c>
      <c r="H21" s="10" t="s">
        <v>28</v>
      </c>
      <c r="I21" s="12" t="s">
        <v>37</v>
      </c>
      <c r="J21" s="12" t="s">
        <v>37</v>
      </c>
      <c r="K21" s="13">
        <v>16200</v>
      </c>
      <c r="L21" s="21">
        <v>3.06</v>
      </c>
      <c r="M21" s="14" t="s">
        <v>14</v>
      </c>
      <c r="N21" s="13">
        <v>49572</v>
      </c>
      <c r="O21" s="15">
        <f t="shared" si="7"/>
        <v>0</v>
      </c>
      <c r="P21" s="10" t="s">
        <v>64</v>
      </c>
      <c r="Q21" s="11" t="s">
        <v>186</v>
      </c>
      <c r="R21" s="27">
        <v>41653865775</v>
      </c>
      <c r="S21" s="16" t="s">
        <v>187</v>
      </c>
      <c r="T21" s="19" t="str">
        <f t="shared" si="0"/>
        <v>1-2026</v>
      </c>
      <c r="U21" s="2">
        <f t="shared" si="1"/>
        <v>2026</v>
      </c>
      <c r="V21" s="2" t="str">
        <f t="shared" si="2"/>
        <v>1-N</v>
      </c>
      <c r="W21" s="21"/>
      <c r="X21" s="2" t="b">
        <f t="shared" si="8"/>
        <v>0</v>
      </c>
    </row>
    <row r="22" spans="2:24" hidden="1" x14ac:dyDescent="0.3">
      <c r="B22" s="17">
        <v>46036</v>
      </c>
      <c r="C22" s="10" t="s">
        <v>88</v>
      </c>
      <c r="D22" s="11">
        <v>177458</v>
      </c>
      <c r="E22" s="26">
        <v>85109</v>
      </c>
      <c r="F22" s="10" t="s">
        <v>84</v>
      </c>
      <c r="G22" s="10" t="s">
        <v>154</v>
      </c>
      <c r="H22" s="10" t="s">
        <v>85</v>
      </c>
      <c r="I22" s="12" t="s">
        <v>37</v>
      </c>
      <c r="J22" s="12" t="s">
        <v>37</v>
      </c>
      <c r="K22" s="13">
        <v>260</v>
      </c>
      <c r="L22" s="21">
        <v>47.46</v>
      </c>
      <c r="M22" s="14" t="s">
        <v>14</v>
      </c>
      <c r="N22" s="13">
        <v>12339.6</v>
      </c>
      <c r="O22" s="15">
        <f t="shared" ref="O22:O26" si="9">(N22/K22)-L22</f>
        <v>0</v>
      </c>
      <c r="P22" s="10" t="s">
        <v>69</v>
      </c>
      <c r="Q22" s="11" t="s">
        <v>188</v>
      </c>
      <c r="R22" s="11" t="s">
        <v>189</v>
      </c>
      <c r="S22" s="16" t="s">
        <v>190</v>
      </c>
      <c r="T22" s="19" t="str">
        <f t="shared" si="0"/>
        <v>1-2026</v>
      </c>
      <c r="U22" s="2">
        <f t="shared" si="1"/>
        <v>2026</v>
      </c>
      <c r="V22" s="2" t="str">
        <f t="shared" si="2"/>
        <v>1-N</v>
      </c>
      <c r="W22" s="21"/>
      <c r="X22" s="2" t="b">
        <f t="shared" ref="X22:X26" si="10">+L22=W22</f>
        <v>0</v>
      </c>
    </row>
    <row r="23" spans="2:24" hidden="1" x14ac:dyDescent="0.3">
      <c r="B23" s="17">
        <v>46036</v>
      </c>
      <c r="C23" s="10" t="s">
        <v>88</v>
      </c>
      <c r="D23" s="11">
        <v>177458</v>
      </c>
      <c r="E23" s="26">
        <v>85109</v>
      </c>
      <c r="F23" s="10" t="s">
        <v>86</v>
      </c>
      <c r="G23" s="10" t="s">
        <v>154</v>
      </c>
      <c r="H23" s="10" t="s">
        <v>87</v>
      </c>
      <c r="I23" s="12" t="s">
        <v>37</v>
      </c>
      <c r="J23" s="12" t="s">
        <v>37</v>
      </c>
      <c r="K23" s="13">
        <v>6160</v>
      </c>
      <c r="L23" s="21">
        <v>11.72</v>
      </c>
      <c r="M23" s="14" t="s">
        <v>14</v>
      </c>
      <c r="N23" s="13">
        <v>72195.199999999997</v>
      </c>
      <c r="O23" s="15">
        <f t="shared" si="9"/>
        <v>0</v>
      </c>
      <c r="P23" s="10" t="s">
        <v>69</v>
      </c>
      <c r="Q23" s="11" t="s">
        <v>188</v>
      </c>
      <c r="R23" s="11" t="s">
        <v>189</v>
      </c>
      <c r="S23" s="16" t="s">
        <v>190</v>
      </c>
      <c r="T23" s="19" t="str">
        <f t="shared" si="0"/>
        <v>1-2026</v>
      </c>
      <c r="U23" s="2">
        <f t="shared" si="1"/>
        <v>2026</v>
      </c>
      <c r="V23" s="2" t="str">
        <f t="shared" si="2"/>
        <v>1-N</v>
      </c>
      <c r="W23" s="21"/>
      <c r="X23" s="2" t="b">
        <f t="shared" si="10"/>
        <v>0</v>
      </c>
    </row>
    <row r="24" spans="2:24" hidden="1" x14ac:dyDescent="0.3">
      <c r="B24" s="17">
        <v>46032</v>
      </c>
      <c r="C24" s="10" t="s">
        <v>56</v>
      </c>
      <c r="D24" s="11">
        <v>177754</v>
      </c>
      <c r="E24" s="26">
        <v>85051</v>
      </c>
      <c r="F24" s="10" t="s">
        <v>119</v>
      </c>
      <c r="G24" s="10" t="s">
        <v>152</v>
      </c>
      <c r="H24" s="10" t="s">
        <v>19</v>
      </c>
      <c r="I24" s="12">
        <v>873</v>
      </c>
      <c r="J24" s="12">
        <v>12</v>
      </c>
      <c r="K24" s="13">
        <v>350.8</v>
      </c>
      <c r="L24" s="21">
        <v>4.22</v>
      </c>
      <c r="M24" s="14" t="s">
        <v>14</v>
      </c>
      <c r="N24" s="13">
        <v>1480.376</v>
      </c>
      <c r="O24" s="15">
        <f t="shared" si="9"/>
        <v>0</v>
      </c>
      <c r="P24" s="10" t="s">
        <v>68</v>
      </c>
      <c r="Q24" s="11" t="s">
        <v>191</v>
      </c>
      <c r="R24" s="11" t="s">
        <v>192</v>
      </c>
      <c r="S24" s="16" t="s">
        <v>193</v>
      </c>
      <c r="T24" s="19" t="str">
        <f t="shared" si="0"/>
        <v>1-2026</v>
      </c>
      <c r="U24" s="2">
        <f t="shared" si="1"/>
        <v>2026</v>
      </c>
      <c r="V24" s="2" t="str">
        <f t="shared" si="2"/>
        <v>1-N</v>
      </c>
      <c r="W24" s="21"/>
      <c r="X24" s="2" t="b">
        <f t="shared" si="10"/>
        <v>0</v>
      </c>
    </row>
    <row r="25" spans="2:24" hidden="1" x14ac:dyDescent="0.3">
      <c r="B25" s="17">
        <v>46032</v>
      </c>
      <c r="C25" s="10" t="s">
        <v>56</v>
      </c>
      <c r="D25" s="11">
        <v>177754</v>
      </c>
      <c r="E25" s="26">
        <v>85051</v>
      </c>
      <c r="F25" s="10" t="s">
        <v>22</v>
      </c>
      <c r="G25" s="10" t="s">
        <v>152</v>
      </c>
      <c r="H25" s="10" t="s">
        <v>19</v>
      </c>
      <c r="I25" s="12">
        <v>1033</v>
      </c>
      <c r="J25" s="12">
        <v>12</v>
      </c>
      <c r="K25" s="13">
        <v>1252.0999999999999</v>
      </c>
      <c r="L25" s="21">
        <v>4.22</v>
      </c>
      <c r="M25" s="14" t="s">
        <v>14</v>
      </c>
      <c r="N25" s="13">
        <v>5283.8620000000001</v>
      </c>
      <c r="O25" s="15">
        <f t="shared" si="9"/>
        <v>0</v>
      </c>
      <c r="P25" s="10" t="s">
        <v>68</v>
      </c>
      <c r="Q25" s="11" t="s">
        <v>191</v>
      </c>
      <c r="R25" s="11" t="s">
        <v>192</v>
      </c>
      <c r="S25" s="16" t="s">
        <v>193</v>
      </c>
      <c r="T25" s="19" t="str">
        <f t="shared" si="0"/>
        <v>1-2026</v>
      </c>
      <c r="U25" s="2">
        <f t="shared" si="1"/>
        <v>2026</v>
      </c>
      <c r="V25" s="2" t="str">
        <f t="shared" si="2"/>
        <v>1-N</v>
      </c>
      <c r="W25" s="21"/>
      <c r="X25" s="2" t="b">
        <f t="shared" si="10"/>
        <v>0</v>
      </c>
    </row>
    <row r="26" spans="2:24" hidden="1" x14ac:dyDescent="0.3">
      <c r="B26" s="17">
        <v>46032</v>
      </c>
      <c r="C26" s="10" t="s">
        <v>56</v>
      </c>
      <c r="D26" s="11">
        <v>177754</v>
      </c>
      <c r="E26" s="26">
        <v>85051</v>
      </c>
      <c r="F26" s="10" t="s">
        <v>132</v>
      </c>
      <c r="G26" s="10" t="s">
        <v>152</v>
      </c>
      <c r="H26" s="10" t="s">
        <v>19</v>
      </c>
      <c r="I26" s="12">
        <v>1048</v>
      </c>
      <c r="J26" s="12">
        <v>12</v>
      </c>
      <c r="K26" s="13">
        <v>1264.7</v>
      </c>
      <c r="L26" s="21">
        <v>4.22</v>
      </c>
      <c r="M26" s="14" t="s">
        <v>14</v>
      </c>
      <c r="N26" s="13">
        <v>5337.0339999999997</v>
      </c>
      <c r="O26" s="15">
        <f t="shared" si="9"/>
        <v>0</v>
      </c>
      <c r="P26" s="10" t="s">
        <v>68</v>
      </c>
      <c r="Q26" s="11" t="s">
        <v>191</v>
      </c>
      <c r="R26" s="11" t="s">
        <v>192</v>
      </c>
      <c r="S26" s="16" t="s">
        <v>193</v>
      </c>
      <c r="T26" s="19" t="str">
        <f t="shared" si="0"/>
        <v>1-2026</v>
      </c>
      <c r="U26" s="2">
        <f t="shared" si="1"/>
        <v>2026</v>
      </c>
      <c r="V26" s="2" t="str">
        <f t="shared" si="2"/>
        <v>1-N</v>
      </c>
      <c r="W26" s="21"/>
      <c r="X26" s="2" t="b">
        <f t="shared" si="10"/>
        <v>0</v>
      </c>
    </row>
    <row r="27" spans="2:24" hidden="1" x14ac:dyDescent="0.3">
      <c r="B27" s="17">
        <v>46032</v>
      </c>
      <c r="C27" s="10" t="s">
        <v>56</v>
      </c>
      <c r="D27" s="11">
        <v>177754</v>
      </c>
      <c r="E27" s="26">
        <v>85051</v>
      </c>
      <c r="F27" s="10" t="s">
        <v>146</v>
      </c>
      <c r="G27" s="10" t="s">
        <v>152</v>
      </c>
      <c r="H27" s="10" t="s">
        <v>19</v>
      </c>
      <c r="I27" s="12">
        <v>1293</v>
      </c>
      <c r="J27" s="12">
        <v>12</v>
      </c>
      <c r="K27" s="13">
        <v>523.1</v>
      </c>
      <c r="L27" s="21">
        <v>4.22</v>
      </c>
      <c r="M27" s="14" t="s">
        <v>14</v>
      </c>
      <c r="N27" s="13">
        <v>2207.482</v>
      </c>
      <c r="O27" s="15">
        <f t="shared" ref="O27:O45" si="11">(N27/K27)-L27</f>
        <v>0</v>
      </c>
      <c r="P27" s="10" t="s">
        <v>68</v>
      </c>
      <c r="Q27" s="11" t="s">
        <v>191</v>
      </c>
      <c r="R27" s="11" t="s">
        <v>192</v>
      </c>
      <c r="S27" s="16" t="s">
        <v>193</v>
      </c>
      <c r="T27" s="19" t="str">
        <f t="shared" si="0"/>
        <v>1-2026</v>
      </c>
      <c r="U27" s="2">
        <f t="shared" si="1"/>
        <v>2026</v>
      </c>
      <c r="V27" s="2" t="str">
        <f t="shared" si="2"/>
        <v>1-N</v>
      </c>
      <c r="W27" s="21"/>
      <c r="X27" s="2" t="b">
        <f t="shared" ref="X27:X45" si="12">+L27=W27</f>
        <v>0</v>
      </c>
    </row>
    <row r="28" spans="2:24" hidden="1" x14ac:dyDescent="0.3">
      <c r="B28" s="17">
        <v>46032</v>
      </c>
      <c r="C28" s="10" t="s">
        <v>56</v>
      </c>
      <c r="D28" s="11">
        <v>177754</v>
      </c>
      <c r="E28" s="26">
        <v>85051</v>
      </c>
      <c r="F28" s="10" t="s">
        <v>159</v>
      </c>
      <c r="G28" s="10" t="s">
        <v>152</v>
      </c>
      <c r="H28" s="10" t="s">
        <v>19</v>
      </c>
      <c r="I28" s="12">
        <v>733</v>
      </c>
      <c r="J28" s="12">
        <v>12</v>
      </c>
      <c r="K28" s="13">
        <v>1770.3</v>
      </c>
      <c r="L28" s="21">
        <v>4.22</v>
      </c>
      <c r="M28" s="14" t="s">
        <v>14</v>
      </c>
      <c r="N28" s="13">
        <v>7470.6660000000002</v>
      </c>
      <c r="O28" s="15">
        <f t="shared" si="11"/>
        <v>0</v>
      </c>
      <c r="P28" s="10" t="s">
        <v>68</v>
      </c>
      <c r="Q28" s="11" t="s">
        <v>191</v>
      </c>
      <c r="R28" s="11" t="s">
        <v>192</v>
      </c>
      <c r="S28" s="16" t="s">
        <v>193</v>
      </c>
      <c r="T28" s="19" t="str">
        <f t="shared" si="0"/>
        <v>1-2026</v>
      </c>
      <c r="U28" s="2">
        <f t="shared" si="1"/>
        <v>2026</v>
      </c>
      <c r="V28" s="2" t="str">
        <f t="shared" si="2"/>
        <v>1-N</v>
      </c>
      <c r="W28" s="21"/>
      <c r="X28" s="2" t="b">
        <f t="shared" si="12"/>
        <v>0</v>
      </c>
    </row>
    <row r="29" spans="2:24" hidden="1" x14ac:dyDescent="0.3">
      <c r="B29" s="17">
        <v>46032</v>
      </c>
      <c r="C29" s="10" t="s">
        <v>56</v>
      </c>
      <c r="D29" s="11">
        <v>177754</v>
      </c>
      <c r="E29" s="26">
        <v>85051</v>
      </c>
      <c r="F29" s="10" t="s">
        <v>46</v>
      </c>
      <c r="G29" s="10" t="s">
        <v>152</v>
      </c>
      <c r="H29" s="10" t="s">
        <v>19</v>
      </c>
      <c r="I29" s="12">
        <v>973</v>
      </c>
      <c r="J29" s="12">
        <v>12</v>
      </c>
      <c r="K29" s="13">
        <v>3893.5</v>
      </c>
      <c r="L29" s="21">
        <v>4.22</v>
      </c>
      <c r="M29" s="14" t="s">
        <v>14</v>
      </c>
      <c r="N29" s="13">
        <v>16430.57</v>
      </c>
      <c r="O29" s="15">
        <f t="shared" si="11"/>
        <v>0</v>
      </c>
      <c r="P29" s="10" t="s">
        <v>68</v>
      </c>
      <c r="Q29" s="11" t="s">
        <v>191</v>
      </c>
      <c r="R29" s="11" t="s">
        <v>192</v>
      </c>
      <c r="S29" s="16" t="s">
        <v>193</v>
      </c>
      <c r="T29" s="19" t="str">
        <f t="shared" si="0"/>
        <v>1-2026</v>
      </c>
      <c r="U29" s="2">
        <f t="shared" si="1"/>
        <v>2026</v>
      </c>
      <c r="V29" s="2" t="str">
        <f t="shared" si="2"/>
        <v>1-N</v>
      </c>
      <c r="W29" s="21"/>
      <c r="X29" s="2" t="b">
        <f t="shared" si="12"/>
        <v>0</v>
      </c>
    </row>
    <row r="30" spans="2:24" hidden="1" x14ac:dyDescent="0.3">
      <c r="B30" s="17">
        <v>46032</v>
      </c>
      <c r="C30" s="10" t="s">
        <v>56</v>
      </c>
      <c r="D30" s="11">
        <v>177754</v>
      </c>
      <c r="E30" s="26">
        <v>85051</v>
      </c>
      <c r="F30" s="10" t="s">
        <v>168</v>
      </c>
      <c r="G30" s="10" t="s">
        <v>152</v>
      </c>
      <c r="H30" s="10" t="s">
        <v>19</v>
      </c>
      <c r="I30" s="12">
        <v>985</v>
      </c>
      <c r="J30" s="12">
        <v>12</v>
      </c>
      <c r="K30" s="13">
        <v>1191.8</v>
      </c>
      <c r="L30" s="21">
        <v>4.22</v>
      </c>
      <c r="M30" s="14" t="s">
        <v>14</v>
      </c>
      <c r="N30" s="13">
        <v>5029.3959999999997</v>
      </c>
      <c r="O30" s="15">
        <f t="shared" si="11"/>
        <v>0</v>
      </c>
      <c r="P30" s="10" t="s">
        <v>68</v>
      </c>
      <c r="Q30" s="11" t="s">
        <v>191</v>
      </c>
      <c r="R30" s="11" t="s">
        <v>192</v>
      </c>
      <c r="S30" s="16" t="s">
        <v>193</v>
      </c>
      <c r="T30" s="19" t="str">
        <f t="shared" si="0"/>
        <v>1-2026</v>
      </c>
      <c r="U30" s="2">
        <f t="shared" si="1"/>
        <v>2026</v>
      </c>
      <c r="V30" s="2" t="str">
        <f t="shared" si="2"/>
        <v>1-N</v>
      </c>
      <c r="W30" s="21"/>
      <c r="X30" s="2" t="b">
        <f t="shared" si="12"/>
        <v>0</v>
      </c>
    </row>
    <row r="31" spans="2:24" hidden="1" x14ac:dyDescent="0.3">
      <c r="B31" s="17">
        <v>46031</v>
      </c>
      <c r="C31" s="10" t="s">
        <v>56</v>
      </c>
      <c r="D31" s="11">
        <v>177720</v>
      </c>
      <c r="E31" s="26">
        <v>85039</v>
      </c>
      <c r="F31" s="10" t="s">
        <v>103</v>
      </c>
      <c r="G31" s="10" t="s">
        <v>152</v>
      </c>
      <c r="H31" s="10" t="s">
        <v>18</v>
      </c>
      <c r="I31" s="12">
        <v>1153</v>
      </c>
      <c r="J31" s="12">
        <v>12</v>
      </c>
      <c r="K31" s="13">
        <v>946.2</v>
      </c>
      <c r="L31" s="21">
        <v>5.32</v>
      </c>
      <c r="M31" s="14" t="s">
        <v>14</v>
      </c>
      <c r="N31" s="13">
        <v>5033.7839999999997</v>
      </c>
      <c r="O31" s="15">
        <f t="shared" si="11"/>
        <v>0</v>
      </c>
      <c r="P31" s="10" t="s">
        <v>105</v>
      </c>
      <c r="Q31" s="11" t="s">
        <v>194</v>
      </c>
      <c r="R31" s="11" t="s">
        <v>195</v>
      </c>
      <c r="S31" s="16" t="s">
        <v>196</v>
      </c>
      <c r="T31" s="19" t="str">
        <f t="shared" si="0"/>
        <v>1-2026</v>
      </c>
      <c r="U31" s="2">
        <f t="shared" si="1"/>
        <v>2026</v>
      </c>
      <c r="V31" s="2" t="str">
        <f t="shared" si="2"/>
        <v>1-N</v>
      </c>
      <c r="W31" s="21"/>
      <c r="X31" s="2" t="b">
        <f t="shared" si="12"/>
        <v>0</v>
      </c>
    </row>
    <row r="32" spans="2:24" hidden="1" x14ac:dyDescent="0.3">
      <c r="B32" s="17">
        <v>46031</v>
      </c>
      <c r="C32" s="10" t="s">
        <v>56</v>
      </c>
      <c r="D32" s="11">
        <v>177720</v>
      </c>
      <c r="E32" s="26">
        <v>85039</v>
      </c>
      <c r="F32" s="10" t="s">
        <v>98</v>
      </c>
      <c r="G32" s="10" t="s">
        <v>152</v>
      </c>
      <c r="H32" s="10" t="s">
        <v>18</v>
      </c>
      <c r="I32" s="12">
        <v>1063</v>
      </c>
      <c r="J32" s="12">
        <v>12</v>
      </c>
      <c r="K32" s="13">
        <v>2593.4</v>
      </c>
      <c r="L32" s="21">
        <v>5.32</v>
      </c>
      <c r="M32" s="14" t="s">
        <v>14</v>
      </c>
      <c r="N32" s="13">
        <v>13796.888000000001</v>
      </c>
      <c r="O32" s="15">
        <f t="shared" si="11"/>
        <v>0</v>
      </c>
      <c r="P32" s="10" t="s">
        <v>105</v>
      </c>
      <c r="Q32" s="11" t="s">
        <v>194</v>
      </c>
      <c r="R32" s="11" t="s">
        <v>195</v>
      </c>
      <c r="S32" s="16" t="s">
        <v>196</v>
      </c>
      <c r="T32" s="19" t="str">
        <f t="shared" si="0"/>
        <v>1-2026</v>
      </c>
      <c r="U32" s="2">
        <f t="shared" si="1"/>
        <v>2026</v>
      </c>
      <c r="V32" s="2" t="str">
        <f t="shared" si="2"/>
        <v>1-N</v>
      </c>
      <c r="W32" s="21"/>
      <c r="X32" s="2" t="b">
        <f t="shared" si="12"/>
        <v>0</v>
      </c>
    </row>
    <row r="33" spans="2:24" hidden="1" x14ac:dyDescent="0.3">
      <c r="B33" s="17">
        <v>46031</v>
      </c>
      <c r="C33" s="10" t="s">
        <v>56</v>
      </c>
      <c r="D33" s="11">
        <v>177720</v>
      </c>
      <c r="E33" s="26">
        <v>85039</v>
      </c>
      <c r="F33" s="10" t="s">
        <v>106</v>
      </c>
      <c r="G33" s="10" t="s">
        <v>152</v>
      </c>
      <c r="H33" s="10" t="s">
        <v>18</v>
      </c>
      <c r="I33" s="12">
        <v>1173</v>
      </c>
      <c r="J33" s="12">
        <v>12</v>
      </c>
      <c r="K33" s="13">
        <v>961.4</v>
      </c>
      <c r="L33" s="21">
        <v>5.32</v>
      </c>
      <c r="M33" s="14" t="s">
        <v>14</v>
      </c>
      <c r="N33" s="13">
        <v>5114.6480000000001</v>
      </c>
      <c r="O33" s="15">
        <f t="shared" si="11"/>
        <v>0</v>
      </c>
      <c r="P33" s="10" t="s">
        <v>105</v>
      </c>
      <c r="Q33" s="11" t="s">
        <v>194</v>
      </c>
      <c r="R33" s="11" t="s">
        <v>195</v>
      </c>
      <c r="S33" s="16" t="s">
        <v>196</v>
      </c>
      <c r="T33" s="19" t="str">
        <f t="shared" si="0"/>
        <v>1-2026</v>
      </c>
      <c r="U33" s="2">
        <f t="shared" si="1"/>
        <v>2026</v>
      </c>
      <c r="V33" s="2" t="str">
        <f t="shared" si="2"/>
        <v>1-N</v>
      </c>
      <c r="W33" s="21"/>
      <c r="X33" s="2" t="b">
        <f t="shared" si="12"/>
        <v>0</v>
      </c>
    </row>
    <row r="34" spans="2:24" hidden="1" x14ac:dyDescent="0.3">
      <c r="B34" s="17">
        <v>46031</v>
      </c>
      <c r="C34" s="10" t="s">
        <v>56</v>
      </c>
      <c r="D34" s="11">
        <v>177720</v>
      </c>
      <c r="E34" s="26">
        <v>85039</v>
      </c>
      <c r="F34" s="10" t="s">
        <v>133</v>
      </c>
      <c r="G34" s="10" t="s">
        <v>152</v>
      </c>
      <c r="H34" s="10" t="s">
        <v>18</v>
      </c>
      <c r="I34" s="12">
        <v>1238</v>
      </c>
      <c r="J34" s="12">
        <v>12</v>
      </c>
      <c r="K34" s="13">
        <v>1017.2</v>
      </c>
      <c r="L34" s="21">
        <v>5.32</v>
      </c>
      <c r="M34" s="14" t="s">
        <v>14</v>
      </c>
      <c r="N34" s="13">
        <v>5411.5039999999999</v>
      </c>
      <c r="O34" s="15">
        <f t="shared" si="11"/>
        <v>0</v>
      </c>
      <c r="P34" s="10" t="s">
        <v>105</v>
      </c>
      <c r="Q34" s="11" t="s">
        <v>194</v>
      </c>
      <c r="R34" s="11" t="s">
        <v>195</v>
      </c>
      <c r="S34" s="16" t="s">
        <v>196</v>
      </c>
      <c r="T34" s="19" t="str">
        <f t="shared" si="0"/>
        <v>1-2026</v>
      </c>
      <c r="U34" s="2">
        <f t="shared" si="1"/>
        <v>2026</v>
      </c>
      <c r="V34" s="2" t="str">
        <f t="shared" si="2"/>
        <v>1-N</v>
      </c>
      <c r="W34" s="21"/>
      <c r="X34" s="2" t="b">
        <f t="shared" si="12"/>
        <v>0</v>
      </c>
    </row>
    <row r="35" spans="2:24" hidden="1" x14ac:dyDescent="0.3">
      <c r="B35" s="17">
        <v>46031</v>
      </c>
      <c r="C35" s="10" t="s">
        <v>56</v>
      </c>
      <c r="D35" s="11">
        <v>177720</v>
      </c>
      <c r="E35" s="26">
        <v>85039</v>
      </c>
      <c r="F35" s="10" t="s">
        <v>197</v>
      </c>
      <c r="G35" s="10" t="s">
        <v>152</v>
      </c>
      <c r="H35" s="10" t="s">
        <v>18</v>
      </c>
      <c r="I35" s="12">
        <v>879</v>
      </c>
      <c r="J35" s="12">
        <v>12</v>
      </c>
      <c r="K35" s="13">
        <v>722</v>
      </c>
      <c r="L35" s="21">
        <v>5.32</v>
      </c>
      <c r="M35" s="14" t="s">
        <v>14</v>
      </c>
      <c r="N35" s="13">
        <v>3841.04</v>
      </c>
      <c r="O35" s="15">
        <f t="shared" si="11"/>
        <v>0</v>
      </c>
      <c r="P35" s="10" t="s">
        <v>105</v>
      </c>
      <c r="Q35" s="11" t="s">
        <v>194</v>
      </c>
      <c r="R35" s="11" t="s">
        <v>195</v>
      </c>
      <c r="S35" s="16" t="s">
        <v>196</v>
      </c>
      <c r="T35" s="19" t="str">
        <f t="shared" si="0"/>
        <v>1-2026</v>
      </c>
      <c r="U35" s="2">
        <f t="shared" si="1"/>
        <v>2026</v>
      </c>
      <c r="V35" s="2" t="str">
        <f t="shared" si="2"/>
        <v>1-N</v>
      </c>
      <c r="W35" s="21"/>
      <c r="X35" s="2" t="b">
        <f t="shared" si="12"/>
        <v>0</v>
      </c>
    </row>
    <row r="36" spans="2:24" hidden="1" x14ac:dyDescent="0.3">
      <c r="B36" s="17">
        <v>46031</v>
      </c>
      <c r="C36" s="10" t="s">
        <v>56</v>
      </c>
      <c r="D36" s="11">
        <v>177720</v>
      </c>
      <c r="E36" s="26">
        <v>85039</v>
      </c>
      <c r="F36" s="10" t="s">
        <v>101</v>
      </c>
      <c r="G36" s="10" t="s">
        <v>152</v>
      </c>
      <c r="H36" s="10" t="s">
        <v>18</v>
      </c>
      <c r="I36" s="12">
        <v>933</v>
      </c>
      <c r="J36" s="12">
        <v>12</v>
      </c>
      <c r="K36" s="13">
        <v>756.8</v>
      </c>
      <c r="L36" s="21">
        <v>5.32</v>
      </c>
      <c r="M36" s="14" t="s">
        <v>14</v>
      </c>
      <c r="N36" s="13">
        <v>4026.1759999999999</v>
      </c>
      <c r="O36" s="15">
        <f t="shared" si="11"/>
        <v>0</v>
      </c>
      <c r="P36" s="10" t="s">
        <v>105</v>
      </c>
      <c r="Q36" s="11" t="s">
        <v>194</v>
      </c>
      <c r="R36" s="11" t="s">
        <v>195</v>
      </c>
      <c r="S36" s="16" t="s">
        <v>196</v>
      </c>
      <c r="T36" s="19" t="str">
        <f t="shared" ref="T36:T67" si="13">MONTH(B36)&amp;"-"&amp;YEAR(B36)</f>
        <v>1-2026</v>
      </c>
      <c r="U36" s="2">
        <f t="shared" ref="U36:U67" si="14">YEAR(B36)</f>
        <v>2026</v>
      </c>
      <c r="V36" s="2" t="str">
        <f t="shared" ref="V36:V67" si="15">IF(DAY(B36)&gt;15,MONTH(B36)&amp;"-C",MONTH(B36)&amp;"-N")</f>
        <v>1-N</v>
      </c>
      <c r="W36" s="21"/>
      <c r="X36" s="2" t="b">
        <f t="shared" si="12"/>
        <v>0</v>
      </c>
    </row>
    <row r="37" spans="2:24" hidden="1" x14ac:dyDescent="0.3">
      <c r="B37" s="17">
        <v>46031</v>
      </c>
      <c r="C37" s="10" t="s">
        <v>158</v>
      </c>
      <c r="D37" s="11">
        <v>177770</v>
      </c>
      <c r="E37" s="26">
        <v>85044</v>
      </c>
      <c r="F37" s="10" t="s">
        <v>135</v>
      </c>
      <c r="G37" s="10" t="s">
        <v>154</v>
      </c>
      <c r="H37" s="10" t="s">
        <v>136</v>
      </c>
      <c r="I37" s="12" t="s">
        <v>37</v>
      </c>
      <c r="J37" s="12" t="s">
        <v>37</v>
      </c>
      <c r="K37" s="13">
        <v>2760</v>
      </c>
      <c r="L37" s="21">
        <v>9.85</v>
      </c>
      <c r="M37" s="14" t="s">
        <v>14</v>
      </c>
      <c r="N37" s="13">
        <v>27186</v>
      </c>
      <c r="O37" s="15">
        <f t="shared" si="11"/>
        <v>0</v>
      </c>
      <c r="P37" s="10" t="s">
        <v>69</v>
      </c>
      <c r="Q37" s="11" t="s">
        <v>198</v>
      </c>
      <c r="R37" s="11" t="s">
        <v>199</v>
      </c>
      <c r="S37" s="16" t="s">
        <v>200</v>
      </c>
      <c r="T37" s="19" t="str">
        <f t="shared" si="13"/>
        <v>1-2026</v>
      </c>
      <c r="U37" s="2">
        <f t="shared" si="14"/>
        <v>2026</v>
      </c>
      <c r="V37" s="2" t="str">
        <f t="shared" si="15"/>
        <v>1-N</v>
      </c>
      <c r="W37" s="21"/>
      <c r="X37" s="2" t="b">
        <f t="shared" si="12"/>
        <v>0</v>
      </c>
    </row>
    <row r="38" spans="2:24" hidden="1" x14ac:dyDescent="0.3">
      <c r="B38" s="17">
        <v>46031</v>
      </c>
      <c r="C38" s="10" t="s">
        <v>158</v>
      </c>
      <c r="D38" s="11">
        <v>177770</v>
      </c>
      <c r="E38" s="26">
        <v>85044</v>
      </c>
      <c r="F38" s="10" t="s">
        <v>149</v>
      </c>
      <c r="G38" s="10" t="s">
        <v>154</v>
      </c>
      <c r="H38" s="10" t="s">
        <v>134</v>
      </c>
      <c r="I38" s="12" t="s">
        <v>37</v>
      </c>
      <c r="J38" s="12" t="s">
        <v>37</v>
      </c>
      <c r="K38" s="13">
        <v>2200</v>
      </c>
      <c r="L38" s="21">
        <v>9.85</v>
      </c>
      <c r="M38" s="14" t="s">
        <v>14</v>
      </c>
      <c r="N38" s="13">
        <v>21670</v>
      </c>
      <c r="O38" s="15">
        <f t="shared" si="11"/>
        <v>0</v>
      </c>
      <c r="P38" s="10" t="s">
        <v>69</v>
      </c>
      <c r="Q38" s="11" t="s">
        <v>198</v>
      </c>
      <c r="R38" s="11" t="s">
        <v>199</v>
      </c>
      <c r="S38" s="16" t="s">
        <v>200</v>
      </c>
      <c r="T38" s="19" t="str">
        <f t="shared" si="13"/>
        <v>1-2026</v>
      </c>
      <c r="U38" s="2">
        <f t="shared" si="14"/>
        <v>2026</v>
      </c>
      <c r="V38" s="2" t="str">
        <f t="shared" si="15"/>
        <v>1-N</v>
      </c>
      <c r="W38" s="21"/>
      <c r="X38" s="2" t="b">
        <f t="shared" si="12"/>
        <v>0</v>
      </c>
    </row>
    <row r="39" spans="2:24" hidden="1" x14ac:dyDescent="0.3">
      <c r="B39" s="17">
        <v>46035</v>
      </c>
      <c r="C39" s="10" t="s">
        <v>67</v>
      </c>
      <c r="D39" s="11">
        <v>177603</v>
      </c>
      <c r="E39" s="26">
        <v>85100</v>
      </c>
      <c r="F39" s="10" t="s">
        <v>27</v>
      </c>
      <c r="G39" s="10" t="s">
        <v>153</v>
      </c>
      <c r="H39" s="10" t="s">
        <v>28</v>
      </c>
      <c r="I39" s="12" t="s">
        <v>37</v>
      </c>
      <c r="J39" s="12" t="s">
        <v>37</v>
      </c>
      <c r="K39" s="13">
        <v>5400</v>
      </c>
      <c r="L39" s="21">
        <v>3.05</v>
      </c>
      <c r="M39" s="14" t="s">
        <v>14</v>
      </c>
      <c r="N39" s="13">
        <v>16470</v>
      </c>
      <c r="O39" s="15">
        <f t="shared" si="11"/>
        <v>0</v>
      </c>
      <c r="P39" s="10" t="s">
        <v>64</v>
      </c>
      <c r="Q39" s="11" t="s">
        <v>201</v>
      </c>
      <c r="R39" s="11" t="s">
        <v>202</v>
      </c>
      <c r="S39" s="16" t="s">
        <v>203</v>
      </c>
      <c r="T39" s="19" t="str">
        <f t="shared" si="13"/>
        <v>1-2026</v>
      </c>
      <c r="U39" s="2">
        <f t="shared" si="14"/>
        <v>2026</v>
      </c>
      <c r="V39" s="2" t="str">
        <f t="shared" si="15"/>
        <v>1-N</v>
      </c>
      <c r="W39" s="21"/>
      <c r="X39" s="2" t="b">
        <f t="shared" si="12"/>
        <v>0</v>
      </c>
    </row>
    <row r="40" spans="2:24" hidden="1" x14ac:dyDescent="0.3">
      <c r="B40" s="17">
        <v>46032</v>
      </c>
      <c r="C40" s="10" t="s">
        <v>67</v>
      </c>
      <c r="D40" s="11">
        <v>177788</v>
      </c>
      <c r="E40" s="26">
        <v>85064</v>
      </c>
      <c r="F40" s="10" t="s">
        <v>33</v>
      </c>
      <c r="G40" s="10" t="s">
        <v>153</v>
      </c>
      <c r="H40" s="10" t="s">
        <v>34</v>
      </c>
      <c r="I40" s="12" t="s">
        <v>37</v>
      </c>
      <c r="J40" s="12" t="s">
        <v>37</v>
      </c>
      <c r="K40" s="13">
        <v>720</v>
      </c>
      <c r="L40" s="21">
        <v>5.75</v>
      </c>
      <c r="M40" s="14" t="s">
        <v>14</v>
      </c>
      <c r="N40" s="13">
        <v>4140</v>
      </c>
      <c r="O40" s="15">
        <f t="shared" si="11"/>
        <v>0</v>
      </c>
      <c r="P40" s="10" t="s">
        <v>64</v>
      </c>
      <c r="Q40" s="11" t="s">
        <v>204</v>
      </c>
      <c r="R40" s="11" t="s">
        <v>205</v>
      </c>
      <c r="S40" s="16" t="s">
        <v>206</v>
      </c>
      <c r="T40" s="19" t="str">
        <f t="shared" si="13"/>
        <v>1-2026</v>
      </c>
      <c r="U40" s="2">
        <f t="shared" si="14"/>
        <v>2026</v>
      </c>
      <c r="V40" s="2" t="str">
        <f t="shared" si="15"/>
        <v>1-N</v>
      </c>
      <c r="W40" s="21"/>
      <c r="X40" s="2" t="b">
        <f t="shared" si="12"/>
        <v>0</v>
      </c>
    </row>
    <row r="41" spans="2:24" hidden="1" x14ac:dyDescent="0.3">
      <c r="B41" s="17">
        <v>46031</v>
      </c>
      <c r="C41" s="10" t="s">
        <v>26</v>
      </c>
      <c r="D41" s="11">
        <v>177565</v>
      </c>
      <c r="E41" s="26">
        <v>85043</v>
      </c>
      <c r="F41" s="10" t="s">
        <v>29</v>
      </c>
      <c r="G41" s="10" t="s">
        <v>153</v>
      </c>
      <c r="H41" s="10" t="s">
        <v>30</v>
      </c>
      <c r="I41" s="12" t="s">
        <v>37</v>
      </c>
      <c r="J41" s="12" t="s">
        <v>37</v>
      </c>
      <c r="K41" s="13">
        <v>1320</v>
      </c>
      <c r="L41" s="21">
        <v>3.37</v>
      </c>
      <c r="M41" s="14" t="s">
        <v>14</v>
      </c>
      <c r="N41" s="13">
        <v>4448.3999999999996</v>
      </c>
      <c r="O41" s="15">
        <f t="shared" si="11"/>
        <v>0</v>
      </c>
      <c r="P41" s="10" t="s">
        <v>64</v>
      </c>
      <c r="Q41" s="11" t="s">
        <v>207</v>
      </c>
      <c r="R41" s="11" t="s">
        <v>208</v>
      </c>
      <c r="S41" s="16" t="s">
        <v>209</v>
      </c>
      <c r="T41" s="19" t="str">
        <f t="shared" si="13"/>
        <v>1-2026</v>
      </c>
      <c r="U41" s="2">
        <f t="shared" si="14"/>
        <v>2026</v>
      </c>
      <c r="V41" s="2" t="str">
        <f t="shared" si="15"/>
        <v>1-N</v>
      </c>
      <c r="W41" s="21"/>
      <c r="X41" s="2" t="b">
        <f t="shared" si="12"/>
        <v>0</v>
      </c>
    </row>
    <row r="42" spans="2:24" hidden="1" x14ac:dyDescent="0.3">
      <c r="B42" s="17">
        <v>46031</v>
      </c>
      <c r="C42" s="10" t="s">
        <v>26</v>
      </c>
      <c r="D42" s="11">
        <v>177565</v>
      </c>
      <c r="E42" s="26">
        <v>85043</v>
      </c>
      <c r="F42" s="10" t="s">
        <v>33</v>
      </c>
      <c r="G42" s="10" t="s">
        <v>153</v>
      </c>
      <c r="H42" s="10" t="s">
        <v>34</v>
      </c>
      <c r="I42" s="12" t="s">
        <v>37</v>
      </c>
      <c r="J42" s="12" t="s">
        <v>37</v>
      </c>
      <c r="K42" s="13">
        <v>360</v>
      </c>
      <c r="L42" s="21">
        <v>4.4000000000000004</v>
      </c>
      <c r="M42" s="14" t="s">
        <v>14</v>
      </c>
      <c r="N42" s="13">
        <v>1584</v>
      </c>
      <c r="O42" s="15">
        <f t="shared" si="11"/>
        <v>0</v>
      </c>
      <c r="P42" s="10" t="s">
        <v>64</v>
      </c>
      <c r="Q42" s="11" t="s">
        <v>207</v>
      </c>
      <c r="R42" s="11" t="s">
        <v>208</v>
      </c>
      <c r="S42" s="16" t="s">
        <v>209</v>
      </c>
      <c r="T42" s="19" t="str">
        <f t="shared" si="13"/>
        <v>1-2026</v>
      </c>
      <c r="U42" s="2">
        <f t="shared" si="14"/>
        <v>2026</v>
      </c>
      <c r="V42" s="2" t="str">
        <f t="shared" si="15"/>
        <v>1-N</v>
      </c>
      <c r="W42" s="21"/>
      <c r="X42" s="2" t="b">
        <f t="shared" si="12"/>
        <v>0</v>
      </c>
    </row>
    <row r="43" spans="2:24" hidden="1" x14ac:dyDescent="0.3">
      <c r="B43" s="17">
        <v>46035</v>
      </c>
      <c r="C43" s="10" t="s">
        <v>26</v>
      </c>
      <c r="D43" s="11">
        <v>177565</v>
      </c>
      <c r="E43" s="26">
        <v>85101</v>
      </c>
      <c r="F43" s="10" t="s">
        <v>33</v>
      </c>
      <c r="G43" s="10" t="s">
        <v>153</v>
      </c>
      <c r="H43" s="10" t="s">
        <v>34</v>
      </c>
      <c r="I43" s="12" t="s">
        <v>37</v>
      </c>
      <c r="J43" s="12" t="s">
        <v>37</v>
      </c>
      <c r="K43" s="13">
        <v>1800</v>
      </c>
      <c r="L43" s="21">
        <v>4.4000000000000004</v>
      </c>
      <c r="M43" s="14" t="s">
        <v>14</v>
      </c>
      <c r="N43" s="13">
        <v>7920</v>
      </c>
      <c r="O43" s="15">
        <f t="shared" si="11"/>
        <v>0</v>
      </c>
      <c r="P43" s="10" t="s">
        <v>64</v>
      </c>
      <c r="Q43" s="11" t="s">
        <v>210</v>
      </c>
      <c r="R43" s="11" t="s">
        <v>211</v>
      </c>
      <c r="S43" s="16" t="s">
        <v>212</v>
      </c>
      <c r="T43" s="19" t="str">
        <f t="shared" si="13"/>
        <v>1-2026</v>
      </c>
      <c r="U43" s="2">
        <f t="shared" si="14"/>
        <v>2026</v>
      </c>
      <c r="V43" s="2" t="str">
        <f t="shared" si="15"/>
        <v>1-N</v>
      </c>
      <c r="W43" s="21"/>
      <c r="X43" s="2" t="b">
        <f t="shared" si="12"/>
        <v>0</v>
      </c>
    </row>
    <row r="44" spans="2:24" hidden="1" x14ac:dyDescent="0.3">
      <c r="B44" s="17">
        <v>46031</v>
      </c>
      <c r="C44" s="10" t="s">
        <v>26</v>
      </c>
      <c r="D44" s="11">
        <v>177275</v>
      </c>
      <c r="E44" s="26">
        <v>85042</v>
      </c>
      <c r="F44" s="10" t="s">
        <v>31</v>
      </c>
      <c r="G44" s="10" t="s">
        <v>153</v>
      </c>
      <c r="H44" s="10" t="s">
        <v>32</v>
      </c>
      <c r="I44" s="12" t="s">
        <v>37</v>
      </c>
      <c r="J44" s="12" t="s">
        <v>37</v>
      </c>
      <c r="K44" s="13">
        <v>320</v>
      </c>
      <c r="L44" s="21">
        <v>4.45</v>
      </c>
      <c r="M44" s="14" t="s">
        <v>14</v>
      </c>
      <c r="N44" s="13">
        <v>1424</v>
      </c>
      <c r="O44" s="15">
        <f t="shared" si="11"/>
        <v>0</v>
      </c>
      <c r="P44" s="10" t="s">
        <v>64</v>
      </c>
      <c r="Q44" s="11" t="s">
        <v>213</v>
      </c>
      <c r="R44" s="11" t="s">
        <v>214</v>
      </c>
      <c r="S44" s="16" t="s">
        <v>215</v>
      </c>
      <c r="T44" s="19" t="str">
        <f t="shared" si="13"/>
        <v>1-2026</v>
      </c>
      <c r="U44" s="2">
        <f t="shared" si="14"/>
        <v>2026</v>
      </c>
      <c r="V44" s="2" t="str">
        <f t="shared" si="15"/>
        <v>1-N</v>
      </c>
      <c r="W44" s="21"/>
      <c r="X44" s="2" t="b">
        <f t="shared" si="12"/>
        <v>0</v>
      </c>
    </row>
    <row r="45" spans="2:24" hidden="1" x14ac:dyDescent="0.3">
      <c r="B45" s="17">
        <v>46035</v>
      </c>
      <c r="C45" s="10" t="s">
        <v>26</v>
      </c>
      <c r="D45" s="11">
        <v>177275</v>
      </c>
      <c r="E45" s="26">
        <v>85102</v>
      </c>
      <c r="F45" s="10" t="s">
        <v>31</v>
      </c>
      <c r="G45" s="10" t="s">
        <v>153</v>
      </c>
      <c r="H45" s="10" t="s">
        <v>32</v>
      </c>
      <c r="I45" s="12" t="s">
        <v>37</v>
      </c>
      <c r="J45" s="12" t="s">
        <v>37</v>
      </c>
      <c r="K45" s="13">
        <v>320</v>
      </c>
      <c r="L45" s="21">
        <v>4.45</v>
      </c>
      <c r="M45" s="14" t="s">
        <v>14</v>
      </c>
      <c r="N45" s="13">
        <v>1424</v>
      </c>
      <c r="O45" s="15">
        <f t="shared" si="11"/>
        <v>0</v>
      </c>
      <c r="P45" s="10" t="s">
        <v>64</v>
      </c>
      <c r="Q45" s="11" t="s">
        <v>216</v>
      </c>
      <c r="R45" s="11" t="s">
        <v>217</v>
      </c>
      <c r="S45" s="16" t="s">
        <v>218</v>
      </c>
      <c r="T45" s="19" t="str">
        <f t="shared" si="13"/>
        <v>1-2026</v>
      </c>
      <c r="U45" s="2">
        <f t="shared" si="14"/>
        <v>2026</v>
      </c>
      <c r="V45" s="2" t="str">
        <f t="shared" si="15"/>
        <v>1-N</v>
      </c>
      <c r="W45" s="21"/>
      <c r="X45" s="2" t="b">
        <f t="shared" si="12"/>
        <v>0</v>
      </c>
    </row>
    <row r="46" spans="2:24" hidden="1" x14ac:dyDescent="0.3">
      <c r="B46" s="17">
        <v>46044</v>
      </c>
      <c r="C46" s="10" t="s">
        <v>56</v>
      </c>
      <c r="D46" s="11">
        <v>177840</v>
      </c>
      <c r="E46" s="26">
        <v>85330</v>
      </c>
      <c r="F46" s="10" t="s">
        <v>36</v>
      </c>
      <c r="G46" s="10" t="s">
        <v>152</v>
      </c>
      <c r="H46" s="10" t="s">
        <v>19</v>
      </c>
      <c r="I46" s="12">
        <v>1093</v>
      </c>
      <c r="J46" s="12">
        <v>12</v>
      </c>
      <c r="K46" s="13">
        <v>1306.4000000000001</v>
      </c>
      <c r="L46" s="21">
        <v>4.22</v>
      </c>
      <c r="M46" s="14" t="s">
        <v>14</v>
      </c>
      <c r="N46" s="13">
        <v>5513.0079999999998</v>
      </c>
      <c r="O46" s="15">
        <f t="shared" ref="O46" si="16">(N46/K46)-L46</f>
        <v>0</v>
      </c>
      <c r="P46" s="10" t="s">
        <v>68</v>
      </c>
      <c r="Q46" s="11" t="s">
        <v>219</v>
      </c>
      <c r="R46" s="11" t="s">
        <v>220</v>
      </c>
      <c r="S46" s="16" t="s">
        <v>221</v>
      </c>
      <c r="T46" s="19" t="str">
        <f t="shared" si="13"/>
        <v>1-2026</v>
      </c>
      <c r="U46" s="2">
        <f t="shared" si="14"/>
        <v>2026</v>
      </c>
      <c r="V46" s="2" t="str">
        <f t="shared" si="15"/>
        <v>1-C</v>
      </c>
      <c r="W46" s="21"/>
      <c r="X46" s="2" t="b">
        <f t="shared" ref="X46" si="17">+L46=W46</f>
        <v>0</v>
      </c>
    </row>
    <row r="47" spans="2:24" hidden="1" x14ac:dyDescent="0.3">
      <c r="B47" s="17">
        <v>46044</v>
      </c>
      <c r="C47" s="10" t="s">
        <v>56</v>
      </c>
      <c r="D47" s="11">
        <v>177840</v>
      </c>
      <c r="E47" s="26">
        <v>85330</v>
      </c>
      <c r="F47" s="10" t="s">
        <v>39</v>
      </c>
      <c r="G47" s="10" t="s">
        <v>152</v>
      </c>
      <c r="H47" s="10" t="s">
        <v>19</v>
      </c>
      <c r="I47" s="12">
        <v>713</v>
      </c>
      <c r="J47" s="12">
        <v>12</v>
      </c>
      <c r="K47" s="13">
        <v>853.3</v>
      </c>
      <c r="L47" s="21">
        <v>4.22</v>
      </c>
      <c r="M47" s="14" t="s">
        <v>14</v>
      </c>
      <c r="N47" s="13">
        <v>3600.9259999999999</v>
      </c>
      <c r="O47" s="15">
        <f t="shared" ref="O47:O77" si="18">(N47/K47)-L47</f>
        <v>0</v>
      </c>
      <c r="P47" s="10" t="s">
        <v>68</v>
      </c>
      <c r="Q47" s="11" t="s">
        <v>219</v>
      </c>
      <c r="R47" s="11" t="s">
        <v>220</v>
      </c>
      <c r="S47" s="16" t="s">
        <v>221</v>
      </c>
      <c r="T47" s="19" t="str">
        <f t="shared" si="13"/>
        <v>1-2026</v>
      </c>
      <c r="U47" s="2">
        <f t="shared" si="14"/>
        <v>2026</v>
      </c>
      <c r="V47" s="2" t="str">
        <f t="shared" si="15"/>
        <v>1-C</v>
      </c>
      <c r="W47" s="21"/>
      <c r="X47" s="2" t="b">
        <f t="shared" ref="X47:X77" si="19">+L47=W47</f>
        <v>0</v>
      </c>
    </row>
    <row r="48" spans="2:24" hidden="1" x14ac:dyDescent="0.3">
      <c r="B48" s="17">
        <v>46046</v>
      </c>
      <c r="C48" s="10" t="s">
        <v>56</v>
      </c>
      <c r="D48" s="11">
        <v>177813</v>
      </c>
      <c r="E48" s="26">
        <v>85226</v>
      </c>
      <c r="F48" s="10" t="s">
        <v>43</v>
      </c>
      <c r="G48" s="10" t="s">
        <v>152</v>
      </c>
      <c r="H48" s="10" t="s">
        <v>19</v>
      </c>
      <c r="I48" s="12">
        <v>1003</v>
      </c>
      <c r="J48" s="12">
        <v>12</v>
      </c>
      <c r="K48" s="13">
        <v>408.9</v>
      </c>
      <c r="L48" s="21">
        <v>4.22</v>
      </c>
      <c r="M48" s="14" t="s">
        <v>14</v>
      </c>
      <c r="N48" s="13">
        <v>1725.558</v>
      </c>
      <c r="O48" s="15">
        <f t="shared" si="18"/>
        <v>0</v>
      </c>
      <c r="P48" s="10" t="s">
        <v>68</v>
      </c>
      <c r="Q48" s="11" t="s">
        <v>222</v>
      </c>
      <c r="R48" s="11" t="s">
        <v>223</v>
      </c>
      <c r="S48" s="16" t="s">
        <v>224</v>
      </c>
      <c r="T48" s="19" t="str">
        <f t="shared" si="13"/>
        <v>1-2026</v>
      </c>
      <c r="U48" s="2">
        <f t="shared" si="14"/>
        <v>2026</v>
      </c>
      <c r="V48" s="2" t="str">
        <f t="shared" si="15"/>
        <v>1-C</v>
      </c>
      <c r="W48" s="21"/>
      <c r="X48" s="2" t="b">
        <f t="shared" si="19"/>
        <v>0</v>
      </c>
    </row>
    <row r="49" spans="2:24" hidden="1" x14ac:dyDescent="0.3">
      <c r="B49" s="17">
        <v>46046</v>
      </c>
      <c r="C49" s="10" t="s">
        <v>56</v>
      </c>
      <c r="D49" s="11">
        <v>177813</v>
      </c>
      <c r="E49" s="26">
        <v>85226</v>
      </c>
      <c r="F49" s="10" t="s">
        <v>47</v>
      </c>
      <c r="G49" s="10" t="s">
        <v>152</v>
      </c>
      <c r="H49" s="10" t="s">
        <v>19</v>
      </c>
      <c r="I49" s="12">
        <v>1013</v>
      </c>
      <c r="J49" s="12">
        <v>12</v>
      </c>
      <c r="K49" s="13">
        <v>4113</v>
      </c>
      <c r="L49" s="21">
        <v>4.22</v>
      </c>
      <c r="M49" s="14" t="s">
        <v>14</v>
      </c>
      <c r="N49" s="13">
        <v>17356.86</v>
      </c>
      <c r="O49" s="15">
        <f t="shared" si="18"/>
        <v>0</v>
      </c>
      <c r="P49" s="10" t="s">
        <v>68</v>
      </c>
      <c r="Q49" s="11" t="s">
        <v>222</v>
      </c>
      <c r="R49" s="11" t="s">
        <v>223</v>
      </c>
      <c r="S49" s="16" t="s">
        <v>224</v>
      </c>
      <c r="T49" s="19" t="str">
        <f t="shared" si="13"/>
        <v>1-2026</v>
      </c>
      <c r="U49" s="2">
        <f t="shared" si="14"/>
        <v>2026</v>
      </c>
      <c r="V49" s="2" t="str">
        <f t="shared" si="15"/>
        <v>1-C</v>
      </c>
      <c r="W49" s="21"/>
      <c r="X49" s="2" t="b">
        <f t="shared" si="19"/>
        <v>0</v>
      </c>
    </row>
    <row r="50" spans="2:24" hidden="1" x14ac:dyDescent="0.3">
      <c r="B50" s="17">
        <v>46046</v>
      </c>
      <c r="C50" s="10" t="s">
        <v>56</v>
      </c>
      <c r="D50" s="11">
        <v>177813</v>
      </c>
      <c r="E50" s="26">
        <v>85226</v>
      </c>
      <c r="F50" s="10" t="s">
        <v>38</v>
      </c>
      <c r="G50" s="10" t="s">
        <v>152</v>
      </c>
      <c r="H50" s="10" t="s">
        <v>19</v>
      </c>
      <c r="I50" s="12">
        <v>1105</v>
      </c>
      <c r="J50" s="12">
        <v>12</v>
      </c>
      <c r="K50" s="13">
        <v>452.4</v>
      </c>
      <c r="L50" s="21">
        <v>4.22</v>
      </c>
      <c r="M50" s="14" t="s">
        <v>14</v>
      </c>
      <c r="N50" s="13">
        <v>1909.1279999999999</v>
      </c>
      <c r="O50" s="15">
        <f t="shared" si="18"/>
        <v>0</v>
      </c>
      <c r="P50" s="10" t="s">
        <v>68</v>
      </c>
      <c r="Q50" s="11" t="s">
        <v>222</v>
      </c>
      <c r="R50" s="11" t="s">
        <v>223</v>
      </c>
      <c r="S50" s="16" t="s">
        <v>224</v>
      </c>
      <c r="T50" s="19" t="str">
        <f t="shared" si="13"/>
        <v>1-2026</v>
      </c>
      <c r="U50" s="2">
        <f t="shared" si="14"/>
        <v>2026</v>
      </c>
      <c r="V50" s="2" t="str">
        <f t="shared" si="15"/>
        <v>1-C</v>
      </c>
      <c r="W50" s="21"/>
      <c r="X50" s="2" t="b">
        <f t="shared" si="19"/>
        <v>0</v>
      </c>
    </row>
    <row r="51" spans="2:24" hidden="1" x14ac:dyDescent="0.3">
      <c r="B51" s="17">
        <v>46046</v>
      </c>
      <c r="C51" s="10" t="s">
        <v>56</v>
      </c>
      <c r="D51" s="11">
        <v>177813</v>
      </c>
      <c r="E51" s="26">
        <v>85226</v>
      </c>
      <c r="F51" s="10" t="s">
        <v>42</v>
      </c>
      <c r="G51" s="10" t="s">
        <v>152</v>
      </c>
      <c r="H51" s="10" t="s">
        <v>19</v>
      </c>
      <c r="I51" s="12">
        <v>1173</v>
      </c>
      <c r="J51" s="12">
        <v>12</v>
      </c>
      <c r="K51" s="13">
        <v>2383.6999999999998</v>
      </c>
      <c r="L51" s="21">
        <v>4.22</v>
      </c>
      <c r="M51" s="14" t="s">
        <v>14</v>
      </c>
      <c r="N51" s="13">
        <v>10059.214</v>
      </c>
      <c r="O51" s="15">
        <f t="shared" si="18"/>
        <v>0</v>
      </c>
      <c r="P51" s="10" t="s">
        <v>68</v>
      </c>
      <c r="Q51" s="11" t="s">
        <v>222</v>
      </c>
      <c r="R51" s="11" t="s">
        <v>223</v>
      </c>
      <c r="S51" s="16" t="s">
        <v>224</v>
      </c>
      <c r="T51" s="19" t="str">
        <f t="shared" si="13"/>
        <v>1-2026</v>
      </c>
      <c r="U51" s="2">
        <f t="shared" si="14"/>
        <v>2026</v>
      </c>
      <c r="V51" s="2" t="str">
        <f t="shared" si="15"/>
        <v>1-C</v>
      </c>
      <c r="W51" s="21"/>
      <c r="X51" s="2" t="b">
        <f t="shared" si="19"/>
        <v>0</v>
      </c>
    </row>
    <row r="52" spans="2:24" hidden="1" x14ac:dyDescent="0.3">
      <c r="B52" s="17">
        <v>46046</v>
      </c>
      <c r="C52" s="10" t="s">
        <v>56</v>
      </c>
      <c r="D52" s="11">
        <v>177813</v>
      </c>
      <c r="E52" s="26">
        <v>85226</v>
      </c>
      <c r="F52" s="10" t="s">
        <v>57</v>
      </c>
      <c r="G52" s="10" t="s">
        <v>152</v>
      </c>
      <c r="H52" s="10" t="s">
        <v>19</v>
      </c>
      <c r="I52" s="12">
        <v>1197</v>
      </c>
      <c r="J52" s="12">
        <v>12</v>
      </c>
      <c r="K52" s="13">
        <v>489.6</v>
      </c>
      <c r="L52" s="21">
        <v>4.22</v>
      </c>
      <c r="M52" s="14" t="s">
        <v>14</v>
      </c>
      <c r="N52" s="13">
        <v>2066.1120000000001</v>
      </c>
      <c r="O52" s="15">
        <f t="shared" si="18"/>
        <v>0</v>
      </c>
      <c r="P52" s="10" t="s">
        <v>68</v>
      </c>
      <c r="Q52" s="11" t="s">
        <v>222</v>
      </c>
      <c r="R52" s="11" t="s">
        <v>223</v>
      </c>
      <c r="S52" s="16" t="s">
        <v>224</v>
      </c>
      <c r="T52" s="19" t="str">
        <f t="shared" si="13"/>
        <v>1-2026</v>
      </c>
      <c r="U52" s="2">
        <f t="shared" si="14"/>
        <v>2026</v>
      </c>
      <c r="V52" s="2" t="str">
        <f t="shared" si="15"/>
        <v>1-C</v>
      </c>
      <c r="W52" s="21"/>
      <c r="X52" s="2" t="b">
        <f t="shared" si="19"/>
        <v>0</v>
      </c>
    </row>
    <row r="53" spans="2:24" hidden="1" x14ac:dyDescent="0.3">
      <c r="B53" s="17">
        <v>46046</v>
      </c>
      <c r="C53" s="10" t="s">
        <v>56</v>
      </c>
      <c r="D53" s="11">
        <v>177813</v>
      </c>
      <c r="E53" s="26">
        <v>85226</v>
      </c>
      <c r="F53" s="10" t="s">
        <v>50</v>
      </c>
      <c r="G53" s="10" t="s">
        <v>152</v>
      </c>
      <c r="H53" s="10" t="s">
        <v>19</v>
      </c>
      <c r="I53" s="12">
        <v>1238</v>
      </c>
      <c r="J53" s="12">
        <v>12</v>
      </c>
      <c r="K53" s="13">
        <v>504.9</v>
      </c>
      <c r="L53" s="21">
        <v>4.22</v>
      </c>
      <c r="M53" s="14" t="s">
        <v>14</v>
      </c>
      <c r="N53" s="13">
        <v>2130.6779999999999</v>
      </c>
      <c r="O53" s="15">
        <f t="shared" si="18"/>
        <v>0</v>
      </c>
      <c r="P53" s="10" t="s">
        <v>68</v>
      </c>
      <c r="Q53" s="11" t="s">
        <v>222</v>
      </c>
      <c r="R53" s="11" t="s">
        <v>223</v>
      </c>
      <c r="S53" s="16" t="s">
        <v>224</v>
      </c>
      <c r="T53" s="19" t="str">
        <f t="shared" si="13"/>
        <v>1-2026</v>
      </c>
      <c r="U53" s="2">
        <f t="shared" si="14"/>
        <v>2026</v>
      </c>
      <c r="V53" s="2" t="str">
        <f t="shared" si="15"/>
        <v>1-C</v>
      </c>
      <c r="W53" s="21"/>
      <c r="X53" s="2" t="b">
        <f t="shared" si="19"/>
        <v>0</v>
      </c>
    </row>
    <row r="54" spans="2:24" hidden="1" x14ac:dyDescent="0.3">
      <c r="B54" s="17">
        <v>46046</v>
      </c>
      <c r="C54" s="10" t="s">
        <v>56</v>
      </c>
      <c r="D54" s="11">
        <v>177813</v>
      </c>
      <c r="E54" s="26">
        <v>85226</v>
      </c>
      <c r="F54" s="10" t="s">
        <v>40</v>
      </c>
      <c r="G54" s="10" t="s">
        <v>152</v>
      </c>
      <c r="H54" s="10" t="s">
        <v>19</v>
      </c>
      <c r="I54" s="12">
        <v>913</v>
      </c>
      <c r="J54" s="12">
        <v>12</v>
      </c>
      <c r="K54" s="13">
        <v>372.1</v>
      </c>
      <c r="L54" s="21">
        <v>4.22</v>
      </c>
      <c r="M54" s="14" t="s">
        <v>14</v>
      </c>
      <c r="N54" s="13">
        <v>1570.2619999999999</v>
      </c>
      <c r="O54" s="15">
        <f t="shared" si="18"/>
        <v>0</v>
      </c>
      <c r="P54" s="10" t="s">
        <v>68</v>
      </c>
      <c r="Q54" s="11" t="s">
        <v>222</v>
      </c>
      <c r="R54" s="11" t="s">
        <v>223</v>
      </c>
      <c r="S54" s="16" t="s">
        <v>224</v>
      </c>
      <c r="T54" s="19" t="str">
        <f t="shared" si="13"/>
        <v>1-2026</v>
      </c>
      <c r="U54" s="2">
        <f t="shared" si="14"/>
        <v>2026</v>
      </c>
      <c r="V54" s="2" t="str">
        <f t="shared" si="15"/>
        <v>1-C</v>
      </c>
      <c r="W54" s="21"/>
      <c r="X54" s="2" t="b">
        <f t="shared" si="19"/>
        <v>0</v>
      </c>
    </row>
    <row r="55" spans="2:24" hidden="1" x14ac:dyDescent="0.3">
      <c r="B55" s="17">
        <v>46046</v>
      </c>
      <c r="C55" s="10" t="s">
        <v>56</v>
      </c>
      <c r="D55" s="11">
        <v>177813</v>
      </c>
      <c r="E55" s="26">
        <v>85226</v>
      </c>
      <c r="F55" s="10" t="s">
        <v>51</v>
      </c>
      <c r="G55" s="10" t="s">
        <v>152</v>
      </c>
      <c r="H55" s="10" t="s">
        <v>19</v>
      </c>
      <c r="I55" s="12">
        <v>945</v>
      </c>
      <c r="J55" s="12">
        <v>12</v>
      </c>
      <c r="K55" s="13">
        <v>765.7</v>
      </c>
      <c r="L55" s="21">
        <v>4.22</v>
      </c>
      <c r="M55" s="14" t="s">
        <v>14</v>
      </c>
      <c r="N55" s="13">
        <v>3231.2539999999999</v>
      </c>
      <c r="O55" s="15">
        <f t="shared" si="18"/>
        <v>0</v>
      </c>
      <c r="P55" s="10" t="s">
        <v>68</v>
      </c>
      <c r="Q55" s="11" t="s">
        <v>222</v>
      </c>
      <c r="R55" s="11" t="s">
        <v>223</v>
      </c>
      <c r="S55" s="16" t="s">
        <v>224</v>
      </c>
      <c r="T55" s="19" t="str">
        <f t="shared" si="13"/>
        <v>1-2026</v>
      </c>
      <c r="U55" s="2">
        <f t="shared" si="14"/>
        <v>2026</v>
      </c>
      <c r="V55" s="2" t="str">
        <f t="shared" si="15"/>
        <v>1-C</v>
      </c>
      <c r="W55" s="21"/>
      <c r="X55" s="2" t="b">
        <f t="shared" si="19"/>
        <v>0</v>
      </c>
    </row>
    <row r="56" spans="2:24" hidden="1" x14ac:dyDescent="0.3">
      <c r="B56" s="17">
        <v>46046</v>
      </c>
      <c r="C56" s="10" t="s">
        <v>56</v>
      </c>
      <c r="D56" s="11">
        <v>177813</v>
      </c>
      <c r="E56" s="26">
        <v>85226</v>
      </c>
      <c r="F56" s="10" t="s">
        <v>46</v>
      </c>
      <c r="G56" s="10" t="s">
        <v>152</v>
      </c>
      <c r="H56" s="10" t="s">
        <v>19</v>
      </c>
      <c r="I56" s="12">
        <v>973</v>
      </c>
      <c r="J56" s="12">
        <v>12</v>
      </c>
      <c r="K56" s="13">
        <v>392.3</v>
      </c>
      <c r="L56" s="21">
        <v>4.22</v>
      </c>
      <c r="M56" s="14" t="s">
        <v>14</v>
      </c>
      <c r="N56" s="13">
        <v>1655.5060000000001</v>
      </c>
      <c r="O56" s="15">
        <f t="shared" si="18"/>
        <v>0</v>
      </c>
      <c r="P56" s="10" t="s">
        <v>68</v>
      </c>
      <c r="Q56" s="11" t="s">
        <v>222</v>
      </c>
      <c r="R56" s="11" t="s">
        <v>223</v>
      </c>
      <c r="S56" s="16" t="s">
        <v>224</v>
      </c>
      <c r="T56" s="19" t="str">
        <f t="shared" si="13"/>
        <v>1-2026</v>
      </c>
      <c r="U56" s="2">
        <f t="shared" si="14"/>
        <v>2026</v>
      </c>
      <c r="V56" s="2" t="str">
        <f t="shared" si="15"/>
        <v>1-C</v>
      </c>
      <c r="W56" s="21"/>
      <c r="X56" s="2" t="b">
        <f t="shared" si="19"/>
        <v>0</v>
      </c>
    </row>
    <row r="57" spans="2:24" hidden="1" x14ac:dyDescent="0.3">
      <c r="B57" s="17">
        <v>46046</v>
      </c>
      <c r="C57" s="10" t="s">
        <v>56</v>
      </c>
      <c r="D57" s="11">
        <v>177813</v>
      </c>
      <c r="E57" s="26">
        <v>85226</v>
      </c>
      <c r="F57" s="10" t="s">
        <v>49</v>
      </c>
      <c r="G57" s="10" t="s">
        <v>152</v>
      </c>
      <c r="H57" s="10" t="s">
        <v>19</v>
      </c>
      <c r="I57" s="12">
        <v>748</v>
      </c>
      <c r="J57" s="12">
        <v>12</v>
      </c>
      <c r="K57" s="13">
        <v>302.7</v>
      </c>
      <c r="L57" s="21">
        <v>4.22</v>
      </c>
      <c r="M57" s="14" t="s">
        <v>14</v>
      </c>
      <c r="N57" s="13">
        <v>1277.394</v>
      </c>
      <c r="O57" s="15">
        <f t="shared" si="18"/>
        <v>0</v>
      </c>
      <c r="P57" s="10" t="s">
        <v>68</v>
      </c>
      <c r="Q57" s="11" t="s">
        <v>222</v>
      </c>
      <c r="R57" s="11" t="s">
        <v>223</v>
      </c>
      <c r="S57" s="16" t="s">
        <v>224</v>
      </c>
      <c r="T57" s="19" t="str">
        <f t="shared" si="13"/>
        <v>1-2026</v>
      </c>
      <c r="U57" s="2">
        <f t="shared" si="14"/>
        <v>2026</v>
      </c>
      <c r="V57" s="2" t="str">
        <f t="shared" si="15"/>
        <v>1-C</v>
      </c>
      <c r="W57" s="21"/>
      <c r="X57" s="2" t="b">
        <f t="shared" si="19"/>
        <v>0</v>
      </c>
    </row>
    <row r="58" spans="2:24" hidden="1" x14ac:dyDescent="0.3">
      <c r="B58" s="17">
        <v>46046</v>
      </c>
      <c r="C58" s="10" t="s">
        <v>56</v>
      </c>
      <c r="D58" s="11">
        <v>177813</v>
      </c>
      <c r="E58" s="26">
        <v>85226</v>
      </c>
      <c r="F58" s="10" t="s">
        <v>102</v>
      </c>
      <c r="G58" s="10" t="s">
        <v>152</v>
      </c>
      <c r="H58" s="10" t="s">
        <v>18</v>
      </c>
      <c r="I58" s="12">
        <v>773</v>
      </c>
      <c r="J58" s="12">
        <v>12</v>
      </c>
      <c r="K58" s="13">
        <v>317.5</v>
      </c>
      <c r="L58" s="21">
        <v>5.13</v>
      </c>
      <c r="M58" s="14" t="s">
        <v>14</v>
      </c>
      <c r="N58" s="13">
        <v>1628.7750000000001</v>
      </c>
      <c r="O58" s="15">
        <f t="shared" si="18"/>
        <v>0</v>
      </c>
      <c r="P58" s="10" t="s">
        <v>105</v>
      </c>
      <c r="Q58" s="11" t="s">
        <v>222</v>
      </c>
      <c r="R58" s="11" t="s">
        <v>223</v>
      </c>
      <c r="S58" s="16" t="s">
        <v>224</v>
      </c>
      <c r="T58" s="19" t="str">
        <f t="shared" si="13"/>
        <v>1-2026</v>
      </c>
      <c r="U58" s="2">
        <f t="shared" si="14"/>
        <v>2026</v>
      </c>
      <c r="V58" s="2" t="str">
        <f t="shared" si="15"/>
        <v>1-C</v>
      </c>
      <c r="W58" s="21"/>
      <c r="X58" s="2" t="b">
        <f t="shared" si="19"/>
        <v>0</v>
      </c>
    </row>
    <row r="59" spans="2:24" hidden="1" x14ac:dyDescent="0.3">
      <c r="B59" s="17">
        <v>46046</v>
      </c>
      <c r="C59" s="10" t="s">
        <v>56</v>
      </c>
      <c r="D59" s="11">
        <v>177813</v>
      </c>
      <c r="E59" s="26">
        <v>85226</v>
      </c>
      <c r="F59" s="10" t="s">
        <v>133</v>
      </c>
      <c r="G59" s="10" t="s">
        <v>152</v>
      </c>
      <c r="H59" s="10" t="s">
        <v>18</v>
      </c>
      <c r="I59" s="12">
        <v>1238</v>
      </c>
      <c r="J59" s="12">
        <v>12</v>
      </c>
      <c r="K59" s="13">
        <v>507</v>
      </c>
      <c r="L59" s="21">
        <v>5.13</v>
      </c>
      <c r="M59" s="14" t="s">
        <v>14</v>
      </c>
      <c r="N59" s="13">
        <v>2600.91</v>
      </c>
      <c r="O59" s="15">
        <f t="shared" si="18"/>
        <v>0</v>
      </c>
      <c r="P59" s="10" t="s">
        <v>105</v>
      </c>
      <c r="Q59" s="11" t="s">
        <v>222</v>
      </c>
      <c r="R59" s="11" t="s">
        <v>223</v>
      </c>
      <c r="S59" s="16" t="s">
        <v>224</v>
      </c>
      <c r="T59" s="19" t="str">
        <f t="shared" si="13"/>
        <v>1-2026</v>
      </c>
      <c r="U59" s="2">
        <f t="shared" si="14"/>
        <v>2026</v>
      </c>
      <c r="V59" s="2" t="str">
        <f t="shared" si="15"/>
        <v>1-C</v>
      </c>
      <c r="W59" s="21"/>
      <c r="X59" s="2" t="b">
        <f t="shared" si="19"/>
        <v>0</v>
      </c>
    </row>
    <row r="60" spans="2:24" hidden="1" x14ac:dyDescent="0.3">
      <c r="B60" s="17">
        <v>46046</v>
      </c>
      <c r="C60" s="10" t="s">
        <v>56</v>
      </c>
      <c r="D60" s="11">
        <v>177813</v>
      </c>
      <c r="E60" s="26">
        <v>85226</v>
      </c>
      <c r="F60" s="10" t="s">
        <v>122</v>
      </c>
      <c r="G60" s="10" t="s">
        <v>152</v>
      </c>
      <c r="H60" s="10" t="s">
        <v>19</v>
      </c>
      <c r="I60" s="12">
        <v>1003</v>
      </c>
      <c r="J60" s="12">
        <v>12</v>
      </c>
      <c r="K60" s="13">
        <v>1639.7</v>
      </c>
      <c r="L60" s="21">
        <v>4.22</v>
      </c>
      <c r="M60" s="14" t="s">
        <v>14</v>
      </c>
      <c r="N60" s="13">
        <v>6919.5339999999997</v>
      </c>
      <c r="O60" s="15">
        <f t="shared" si="18"/>
        <v>0</v>
      </c>
      <c r="P60" s="10" t="s">
        <v>144</v>
      </c>
      <c r="Q60" s="11" t="s">
        <v>222</v>
      </c>
      <c r="R60" s="11" t="s">
        <v>223</v>
      </c>
      <c r="S60" s="16" t="s">
        <v>224</v>
      </c>
      <c r="T60" s="19" t="str">
        <f t="shared" si="13"/>
        <v>1-2026</v>
      </c>
      <c r="U60" s="2">
        <f t="shared" si="14"/>
        <v>2026</v>
      </c>
      <c r="V60" s="2" t="str">
        <f t="shared" si="15"/>
        <v>1-C</v>
      </c>
      <c r="W60" s="21"/>
      <c r="X60" s="2" t="b">
        <f t="shared" si="19"/>
        <v>0</v>
      </c>
    </row>
    <row r="61" spans="2:24" hidden="1" x14ac:dyDescent="0.3">
      <c r="B61" s="17">
        <v>46046</v>
      </c>
      <c r="C61" s="10" t="s">
        <v>56</v>
      </c>
      <c r="D61" s="11">
        <v>177813</v>
      </c>
      <c r="E61" s="26">
        <v>85226</v>
      </c>
      <c r="F61" s="10" t="s">
        <v>121</v>
      </c>
      <c r="G61" s="10" t="s">
        <v>152</v>
      </c>
      <c r="H61" s="10" t="s">
        <v>19</v>
      </c>
      <c r="I61" s="12">
        <v>1105</v>
      </c>
      <c r="J61" s="12">
        <v>12</v>
      </c>
      <c r="K61" s="13">
        <v>896.1</v>
      </c>
      <c r="L61" s="21">
        <v>4.22</v>
      </c>
      <c r="M61" s="14" t="s">
        <v>14</v>
      </c>
      <c r="N61" s="13">
        <v>3781.5419999999999</v>
      </c>
      <c r="O61" s="15">
        <f t="shared" si="18"/>
        <v>0</v>
      </c>
      <c r="P61" s="10" t="s">
        <v>144</v>
      </c>
      <c r="Q61" s="11" t="s">
        <v>222</v>
      </c>
      <c r="R61" s="11" t="s">
        <v>223</v>
      </c>
      <c r="S61" s="16" t="s">
        <v>224</v>
      </c>
      <c r="T61" s="19" t="str">
        <f t="shared" si="13"/>
        <v>1-2026</v>
      </c>
      <c r="U61" s="2">
        <f t="shared" si="14"/>
        <v>2026</v>
      </c>
      <c r="V61" s="2" t="str">
        <f t="shared" si="15"/>
        <v>1-C</v>
      </c>
      <c r="W61" s="21"/>
      <c r="X61" s="2" t="b">
        <f t="shared" si="19"/>
        <v>0</v>
      </c>
    </row>
    <row r="62" spans="2:24" hidden="1" x14ac:dyDescent="0.3">
      <c r="B62" s="17">
        <v>46046</v>
      </c>
      <c r="C62" s="10" t="s">
        <v>56</v>
      </c>
      <c r="D62" s="11">
        <v>177813</v>
      </c>
      <c r="E62" s="26">
        <v>85226</v>
      </c>
      <c r="F62" s="10" t="s">
        <v>113</v>
      </c>
      <c r="G62" s="10" t="s">
        <v>152</v>
      </c>
      <c r="H62" s="10" t="s">
        <v>19</v>
      </c>
      <c r="I62" s="12">
        <v>1213</v>
      </c>
      <c r="J62" s="12">
        <v>12</v>
      </c>
      <c r="K62" s="13">
        <v>991.3</v>
      </c>
      <c r="L62" s="21">
        <v>4.22</v>
      </c>
      <c r="M62" s="14" t="s">
        <v>14</v>
      </c>
      <c r="N62" s="13">
        <v>4183.2860000000001</v>
      </c>
      <c r="O62" s="15">
        <f t="shared" si="18"/>
        <v>0</v>
      </c>
      <c r="P62" s="10" t="s">
        <v>144</v>
      </c>
      <c r="Q62" s="11" t="s">
        <v>222</v>
      </c>
      <c r="R62" s="11" t="s">
        <v>223</v>
      </c>
      <c r="S62" s="16" t="s">
        <v>224</v>
      </c>
      <c r="T62" s="19" t="str">
        <f t="shared" si="13"/>
        <v>1-2026</v>
      </c>
      <c r="U62" s="2">
        <f t="shared" si="14"/>
        <v>2026</v>
      </c>
      <c r="V62" s="2" t="str">
        <f t="shared" si="15"/>
        <v>1-C</v>
      </c>
      <c r="W62" s="21"/>
      <c r="X62" s="2" t="b">
        <f t="shared" si="19"/>
        <v>0</v>
      </c>
    </row>
    <row r="63" spans="2:24" hidden="1" x14ac:dyDescent="0.3">
      <c r="B63" s="17">
        <v>46046</v>
      </c>
      <c r="C63" s="10" t="s">
        <v>56</v>
      </c>
      <c r="D63" s="11">
        <v>177813</v>
      </c>
      <c r="E63" s="26">
        <v>85226</v>
      </c>
      <c r="F63" s="10" t="s">
        <v>151</v>
      </c>
      <c r="G63" s="10" t="s">
        <v>152</v>
      </c>
      <c r="H63" s="10" t="s">
        <v>19</v>
      </c>
      <c r="I63" s="12">
        <v>678</v>
      </c>
      <c r="J63" s="12">
        <v>12</v>
      </c>
      <c r="K63" s="13">
        <v>1094.5999999999999</v>
      </c>
      <c r="L63" s="21">
        <v>4.22</v>
      </c>
      <c r="M63" s="14" t="s">
        <v>14</v>
      </c>
      <c r="N63" s="13">
        <v>4619.2120000000004</v>
      </c>
      <c r="O63" s="15">
        <f t="shared" si="18"/>
        <v>0</v>
      </c>
      <c r="P63" s="10" t="s">
        <v>144</v>
      </c>
      <c r="Q63" s="11" t="s">
        <v>222</v>
      </c>
      <c r="R63" s="11" t="s">
        <v>223</v>
      </c>
      <c r="S63" s="16" t="s">
        <v>224</v>
      </c>
      <c r="T63" s="19" t="str">
        <f t="shared" si="13"/>
        <v>1-2026</v>
      </c>
      <c r="U63" s="2">
        <f t="shared" si="14"/>
        <v>2026</v>
      </c>
      <c r="V63" s="2" t="str">
        <f t="shared" si="15"/>
        <v>1-C</v>
      </c>
      <c r="W63" s="21"/>
      <c r="X63" s="2" t="b">
        <f t="shared" si="19"/>
        <v>0</v>
      </c>
    </row>
    <row r="64" spans="2:24" hidden="1" x14ac:dyDescent="0.3">
      <c r="B64" s="17">
        <v>46046</v>
      </c>
      <c r="C64" s="10" t="s">
        <v>56</v>
      </c>
      <c r="D64" s="11">
        <v>177813</v>
      </c>
      <c r="E64" s="26">
        <v>85226</v>
      </c>
      <c r="F64" s="10" t="s">
        <v>35</v>
      </c>
      <c r="G64" s="10" t="s">
        <v>152</v>
      </c>
      <c r="H64" s="10" t="s">
        <v>19</v>
      </c>
      <c r="I64" s="12">
        <v>973</v>
      </c>
      <c r="J64" s="12">
        <v>12</v>
      </c>
      <c r="K64" s="13">
        <v>395.4</v>
      </c>
      <c r="L64" s="21">
        <v>4.22</v>
      </c>
      <c r="M64" s="14" t="s">
        <v>14</v>
      </c>
      <c r="N64" s="13">
        <v>1668.588</v>
      </c>
      <c r="O64" s="15">
        <f t="shared" si="18"/>
        <v>0</v>
      </c>
      <c r="P64" s="10" t="s">
        <v>144</v>
      </c>
      <c r="Q64" s="11" t="s">
        <v>222</v>
      </c>
      <c r="R64" s="11" t="s">
        <v>223</v>
      </c>
      <c r="S64" s="16" t="s">
        <v>224</v>
      </c>
      <c r="T64" s="19" t="str">
        <f t="shared" si="13"/>
        <v>1-2026</v>
      </c>
      <c r="U64" s="2">
        <f t="shared" si="14"/>
        <v>2026</v>
      </c>
      <c r="V64" s="2" t="str">
        <f t="shared" si="15"/>
        <v>1-C</v>
      </c>
      <c r="W64" s="21"/>
      <c r="X64" s="2" t="b">
        <f t="shared" si="19"/>
        <v>0</v>
      </c>
    </row>
    <row r="65" spans="2:24" hidden="1" x14ac:dyDescent="0.3">
      <c r="B65" s="17">
        <v>46046</v>
      </c>
      <c r="C65" s="10" t="s">
        <v>56</v>
      </c>
      <c r="D65" s="11">
        <v>177813</v>
      </c>
      <c r="E65" s="26">
        <v>85226</v>
      </c>
      <c r="F65" s="10" t="s">
        <v>115</v>
      </c>
      <c r="G65" s="10" t="s">
        <v>152</v>
      </c>
      <c r="H65" s="10" t="s">
        <v>19</v>
      </c>
      <c r="I65" s="12">
        <v>945</v>
      </c>
      <c r="J65" s="12">
        <v>12</v>
      </c>
      <c r="K65" s="13">
        <v>2684.5</v>
      </c>
      <c r="L65" s="21">
        <v>4.22</v>
      </c>
      <c r="M65" s="14" t="s">
        <v>14</v>
      </c>
      <c r="N65" s="13">
        <v>11328.59</v>
      </c>
      <c r="O65" s="15">
        <f t="shared" si="18"/>
        <v>0</v>
      </c>
      <c r="P65" s="10" t="s">
        <v>144</v>
      </c>
      <c r="Q65" s="11" t="s">
        <v>222</v>
      </c>
      <c r="R65" s="11" t="s">
        <v>223</v>
      </c>
      <c r="S65" s="16" t="s">
        <v>224</v>
      </c>
      <c r="T65" s="19" t="str">
        <f t="shared" si="13"/>
        <v>1-2026</v>
      </c>
      <c r="U65" s="2">
        <f t="shared" si="14"/>
        <v>2026</v>
      </c>
      <c r="V65" s="2" t="str">
        <f t="shared" si="15"/>
        <v>1-C</v>
      </c>
      <c r="W65" s="21"/>
      <c r="X65" s="2" t="b">
        <f t="shared" si="19"/>
        <v>0</v>
      </c>
    </row>
    <row r="66" spans="2:24" hidden="1" x14ac:dyDescent="0.3">
      <c r="B66" s="17">
        <v>46042</v>
      </c>
      <c r="C66" s="10" t="s">
        <v>17</v>
      </c>
      <c r="D66" s="11">
        <v>177665</v>
      </c>
      <c r="E66" s="26">
        <v>85157</v>
      </c>
      <c r="F66" s="10" t="s">
        <v>47</v>
      </c>
      <c r="G66" s="10" t="s">
        <v>152</v>
      </c>
      <c r="H66" s="10" t="s">
        <v>19</v>
      </c>
      <c r="I66" s="12">
        <v>1013</v>
      </c>
      <c r="J66" s="12">
        <v>12</v>
      </c>
      <c r="K66" s="13">
        <v>2442.4</v>
      </c>
      <c r="L66" s="21">
        <v>4.4039999999999999</v>
      </c>
      <c r="M66" s="14" t="s">
        <v>14</v>
      </c>
      <c r="N66" s="13">
        <v>10756.33</v>
      </c>
      <c r="O66" s="15">
        <f t="shared" si="18"/>
        <v>1.637733380022155E-7</v>
      </c>
      <c r="P66" s="10" t="s">
        <v>68</v>
      </c>
      <c r="Q66" s="11" t="s">
        <v>225</v>
      </c>
      <c r="R66" s="27">
        <v>516111260608</v>
      </c>
      <c r="S66" s="16" t="s">
        <v>226</v>
      </c>
      <c r="T66" s="19" t="str">
        <f t="shared" si="13"/>
        <v>1-2026</v>
      </c>
      <c r="U66" s="2">
        <f t="shared" si="14"/>
        <v>2026</v>
      </c>
      <c r="V66" s="2" t="str">
        <f t="shared" si="15"/>
        <v>1-C</v>
      </c>
      <c r="W66" s="21"/>
      <c r="X66" s="2" t="b">
        <f t="shared" si="19"/>
        <v>0</v>
      </c>
    </row>
    <row r="67" spans="2:24" hidden="1" x14ac:dyDescent="0.3">
      <c r="B67" s="17">
        <v>46042</v>
      </c>
      <c r="C67" s="10" t="s">
        <v>17</v>
      </c>
      <c r="D67" s="11">
        <v>177665</v>
      </c>
      <c r="E67" s="26">
        <v>85157</v>
      </c>
      <c r="F67" s="10" t="s">
        <v>53</v>
      </c>
      <c r="G67" s="10" t="s">
        <v>152</v>
      </c>
      <c r="H67" s="10" t="s">
        <v>19</v>
      </c>
      <c r="I67" s="12">
        <v>1063</v>
      </c>
      <c r="J67" s="12">
        <v>12</v>
      </c>
      <c r="K67" s="13">
        <v>1719.6</v>
      </c>
      <c r="L67" s="21">
        <v>4.4039999999999999</v>
      </c>
      <c r="M67" s="14" t="s">
        <v>14</v>
      </c>
      <c r="N67" s="13">
        <v>7573.1180000000004</v>
      </c>
      <c r="O67" s="15">
        <f t="shared" si="18"/>
        <v>-2.3261223525139485E-7</v>
      </c>
      <c r="P67" s="10" t="s">
        <v>68</v>
      </c>
      <c r="Q67" s="11" t="s">
        <v>225</v>
      </c>
      <c r="R67" s="27">
        <v>516111260608</v>
      </c>
      <c r="S67" s="16" t="s">
        <v>226</v>
      </c>
      <c r="T67" s="19" t="str">
        <f t="shared" si="13"/>
        <v>1-2026</v>
      </c>
      <c r="U67" s="2">
        <f t="shared" si="14"/>
        <v>2026</v>
      </c>
      <c r="V67" s="2" t="str">
        <f t="shared" si="15"/>
        <v>1-C</v>
      </c>
      <c r="W67" s="21"/>
      <c r="X67" s="2" t="b">
        <f t="shared" si="19"/>
        <v>0</v>
      </c>
    </row>
    <row r="68" spans="2:24" hidden="1" x14ac:dyDescent="0.3">
      <c r="B68" s="17">
        <v>46042</v>
      </c>
      <c r="C68" s="10" t="s">
        <v>17</v>
      </c>
      <c r="D68" s="11">
        <v>177665</v>
      </c>
      <c r="E68" s="26">
        <v>85157</v>
      </c>
      <c r="F68" s="10" t="s">
        <v>54</v>
      </c>
      <c r="G68" s="10" t="s">
        <v>152</v>
      </c>
      <c r="H68" s="10" t="s">
        <v>19</v>
      </c>
      <c r="I68" s="12">
        <v>1113</v>
      </c>
      <c r="J68" s="12">
        <v>12</v>
      </c>
      <c r="K68" s="13">
        <v>446.9</v>
      </c>
      <c r="L68" s="21">
        <v>4.4039999999999999</v>
      </c>
      <c r="M68" s="14" t="s">
        <v>14</v>
      </c>
      <c r="N68" s="13">
        <v>1968.1479999999999</v>
      </c>
      <c r="O68" s="15">
        <f t="shared" si="18"/>
        <v>8.9505482225860078E-7</v>
      </c>
      <c r="P68" s="10" t="s">
        <v>68</v>
      </c>
      <c r="Q68" s="11" t="s">
        <v>225</v>
      </c>
      <c r="R68" s="27">
        <v>516111260608</v>
      </c>
      <c r="S68" s="16" t="s">
        <v>226</v>
      </c>
      <c r="T68" s="19" t="str">
        <f t="shared" ref="T68:T99" si="20">MONTH(B68)&amp;"-"&amp;YEAR(B68)</f>
        <v>1-2026</v>
      </c>
      <c r="U68" s="2">
        <f t="shared" ref="U68:U99" si="21">YEAR(B68)</f>
        <v>2026</v>
      </c>
      <c r="V68" s="2" t="str">
        <f t="shared" ref="V68:V99" si="22">IF(DAY(B68)&gt;15,MONTH(B68)&amp;"-C",MONTH(B68)&amp;"-N")</f>
        <v>1-C</v>
      </c>
      <c r="W68" s="21"/>
      <c r="X68" s="2" t="b">
        <f t="shared" si="19"/>
        <v>0</v>
      </c>
    </row>
    <row r="69" spans="2:24" hidden="1" x14ac:dyDescent="0.3">
      <c r="B69" s="17">
        <v>46042</v>
      </c>
      <c r="C69" s="10" t="s">
        <v>17</v>
      </c>
      <c r="D69" s="11">
        <v>177665</v>
      </c>
      <c r="E69" s="26">
        <v>85157</v>
      </c>
      <c r="F69" s="10" t="s">
        <v>23</v>
      </c>
      <c r="G69" s="10" t="s">
        <v>152</v>
      </c>
      <c r="H69" s="10" t="s">
        <v>19</v>
      </c>
      <c r="I69" s="12">
        <v>1213</v>
      </c>
      <c r="J69" s="12">
        <v>12</v>
      </c>
      <c r="K69" s="13">
        <v>486.4</v>
      </c>
      <c r="L69" s="21">
        <v>4.4039999999999999</v>
      </c>
      <c r="M69" s="14" t="s">
        <v>14</v>
      </c>
      <c r="N69" s="13">
        <v>2142.1060000000002</v>
      </c>
      <c r="O69" s="15">
        <f t="shared" si="18"/>
        <v>8.2236842136040877E-7</v>
      </c>
      <c r="P69" s="10" t="s">
        <v>68</v>
      </c>
      <c r="Q69" s="11" t="s">
        <v>225</v>
      </c>
      <c r="R69" s="27">
        <v>516111260608</v>
      </c>
      <c r="S69" s="16" t="s">
        <v>226</v>
      </c>
      <c r="T69" s="19" t="str">
        <f t="shared" si="20"/>
        <v>1-2026</v>
      </c>
      <c r="U69" s="2">
        <f t="shared" si="21"/>
        <v>2026</v>
      </c>
      <c r="V69" s="2" t="str">
        <f t="shared" si="22"/>
        <v>1-C</v>
      </c>
      <c r="W69" s="21"/>
      <c r="X69" s="2" t="b">
        <f t="shared" si="19"/>
        <v>0</v>
      </c>
    </row>
    <row r="70" spans="2:24" hidden="1" x14ac:dyDescent="0.3">
      <c r="B70" s="17">
        <v>46042</v>
      </c>
      <c r="C70" s="10" t="s">
        <v>17</v>
      </c>
      <c r="D70" s="11">
        <v>177665</v>
      </c>
      <c r="E70" s="26">
        <v>85157</v>
      </c>
      <c r="F70" s="10" t="s">
        <v>50</v>
      </c>
      <c r="G70" s="10" t="s">
        <v>152</v>
      </c>
      <c r="H70" s="10" t="s">
        <v>19</v>
      </c>
      <c r="I70" s="12">
        <v>1238</v>
      </c>
      <c r="J70" s="12">
        <v>12</v>
      </c>
      <c r="K70" s="13">
        <v>497.8</v>
      </c>
      <c r="L70" s="21">
        <v>4.4039999999999999</v>
      </c>
      <c r="M70" s="14" t="s">
        <v>14</v>
      </c>
      <c r="N70" s="13">
        <v>2192.3110000000001</v>
      </c>
      <c r="O70" s="15">
        <f t="shared" si="18"/>
        <v>-4.0176777815759124E-7</v>
      </c>
      <c r="P70" s="10" t="s">
        <v>68</v>
      </c>
      <c r="Q70" s="11" t="s">
        <v>225</v>
      </c>
      <c r="R70" s="27">
        <v>516111260608</v>
      </c>
      <c r="S70" s="16" t="s">
        <v>226</v>
      </c>
      <c r="T70" s="19" t="str">
        <f t="shared" si="20"/>
        <v>1-2026</v>
      </c>
      <c r="U70" s="2">
        <f t="shared" si="21"/>
        <v>2026</v>
      </c>
      <c r="V70" s="2" t="str">
        <f t="shared" si="22"/>
        <v>1-C</v>
      </c>
      <c r="W70" s="21"/>
      <c r="X70" s="2" t="b">
        <f t="shared" si="19"/>
        <v>0</v>
      </c>
    </row>
    <row r="71" spans="2:24" hidden="1" x14ac:dyDescent="0.3">
      <c r="B71" s="17">
        <v>46042</v>
      </c>
      <c r="C71" s="10" t="s">
        <v>17</v>
      </c>
      <c r="D71" s="11">
        <v>177665</v>
      </c>
      <c r="E71" s="26">
        <v>85157</v>
      </c>
      <c r="F71" s="10" t="s">
        <v>40</v>
      </c>
      <c r="G71" s="10" t="s">
        <v>152</v>
      </c>
      <c r="H71" s="10" t="s">
        <v>19</v>
      </c>
      <c r="I71" s="12">
        <v>913</v>
      </c>
      <c r="J71" s="12">
        <v>12</v>
      </c>
      <c r="K71" s="13">
        <v>729.6</v>
      </c>
      <c r="L71" s="21">
        <v>4.4039999999999999</v>
      </c>
      <c r="M71" s="14" t="s">
        <v>14</v>
      </c>
      <c r="N71" s="13">
        <v>3213.1579999999999</v>
      </c>
      <c r="O71" s="15">
        <f t="shared" si="18"/>
        <v>-5.4824561424027252E-7</v>
      </c>
      <c r="P71" s="10" t="s">
        <v>68</v>
      </c>
      <c r="Q71" s="11" t="s">
        <v>225</v>
      </c>
      <c r="R71" s="27">
        <v>516111260608</v>
      </c>
      <c r="S71" s="16" t="s">
        <v>226</v>
      </c>
      <c r="T71" s="19" t="str">
        <f t="shared" si="20"/>
        <v>1-2026</v>
      </c>
      <c r="U71" s="2">
        <f t="shared" si="21"/>
        <v>2026</v>
      </c>
      <c r="V71" s="2" t="str">
        <f t="shared" si="22"/>
        <v>1-C</v>
      </c>
      <c r="W71" s="21"/>
      <c r="X71" s="2" t="b">
        <f t="shared" si="19"/>
        <v>0</v>
      </c>
    </row>
    <row r="72" spans="2:24" hidden="1" x14ac:dyDescent="0.3">
      <c r="B72" s="17">
        <v>46042</v>
      </c>
      <c r="C72" s="10" t="s">
        <v>17</v>
      </c>
      <c r="D72" s="11">
        <v>177665</v>
      </c>
      <c r="E72" s="26">
        <v>85157</v>
      </c>
      <c r="F72" s="10" t="s">
        <v>98</v>
      </c>
      <c r="G72" s="10" t="s">
        <v>152</v>
      </c>
      <c r="H72" s="10" t="s">
        <v>18</v>
      </c>
      <c r="I72" s="12">
        <v>1063</v>
      </c>
      <c r="J72" s="12">
        <v>12</v>
      </c>
      <c r="K72" s="13">
        <v>863</v>
      </c>
      <c r="L72" s="21">
        <v>5.3209999999999997</v>
      </c>
      <c r="M72" s="14" t="s">
        <v>14</v>
      </c>
      <c r="N72" s="13">
        <v>4592.0230000000001</v>
      </c>
      <c r="O72" s="15">
        <f t="shared" si="18"/>
        <v>0</v>
      </c>
      <c r="P72" s="10" t="s">
        <v>105</v>
      </c>
      <c r="Q72" s="11" t="s">
        <v>225</v>
      </c>
      <c r="R72" s="27">
        <v>516111260608</v>
      </c>
      <c r="S72" s="16" t="s">
        <v>226</v>
      </c>
      <c r="T72" s="19" t="str">
        <f t="shared" si="20"/>
        <v>1-2026</v>
      </c>
      <c r="U72" s="2">
        <f t="shared" si="21"/>
        <v>2026</v>
      </c>
      <c r="V72" s="2" t="str">
        <f t="shared" si="22"/>
        <v>1-C</v>
      </c>
      <c r="W72" s="21"/>
      <c r="X72" s="2" t="b">
        <f t="shared" si="19"/>
        <v>0</v>
      </c>
    </row>
    <row r="73" spans="2:24" hidden="1" x14ac:dyDescent="0.3">
      <c r="B73" s="17">
        <v>46042</v>
      </c>
      <c r="C73" s="10" t="s">
        <v>17</v>
      </c>
      <c r="D73" s="11">
        <v>177665</v>
      </c>
      <c r="E73" s="26">
        <v>85157</v>
      </c>
      <c r="F73" s="10" t="s">
        <v>133</v>
      </c>
      <c r="G73" s="10" t="s">
        <v>152</v>
      </c>
      <c r="H73" s="10" t="s">
        <v>18</v>
      </c>
      <c r="I73" s="12">
        <v>1238</v>
      </c>
      <c r="J73" s="12">
        <v>12</v>
      </c>
      <c r="K73" s="13">
        <v>1000.6</v>
      </c>
      <c r="L73" s="21">
        <v>5.3209999999999997</v>
      </c>
      <c r="M73" s="14" t="s">
        <v>14</v>
      </c>
      <c r="N73" s="13">
        <v>5324.1930000000002</v>
      </c>
      <c r="O73" s="15">
        <f t="shared" si="18"/>
        <v>3.9976014409859317E-7</v>
      </c>
      <c r="P73" s="10" t="s">
        <v>105</v>
      </c>
      <c r="Q73" s="11" t="s">
        <v>225</v>
      </c>
      <c r="R73" s="27">
        <v>516111260608</v>
      </c>
      <c r="S73" s="16" t="s">
        <v>226</v>
      </c>
      <c r="T73" s="19" t="str">
        <f t="shared" si="20"/>
        <v>1-2026</v>
      </c>
      <c r="U73" s="2">
        <f t="shared" si="21"/>
        <v>2026</v>
      </c>
      <c r="V73" s="2" t="str">
        <f t="shared" si="22"/>
        <v>1-C</v>
      </c>
      <c r="W73" s="21"/>
      <c r="X73" s="2" t="b">
        <f t="shared" si="19"/>
        <v>0</v>
      </c>
    </row>
    <row r="74" spans="2:24" hidden="1" x14ac:dyDescent="0.3">
      <c r="B74" s="17">
        <v>46042</v>
      </c>
      <c r="C74" s="10" t="s">
        <v>17</v>
      </c>
      <c r="D74" s="11">
        <v>177665</v>
      </c>
      <c r="E74" s="26">
        <v>85157</v>
      </c>
      <c r="F74" s="10" t="s">
        <v>172</v>
      </c>
      <c r="G74" s="10" t="s">
        <v>152</v>
      </c>
      <c r="H74" s="10" t="s">
        <v>18</v>
      </c>
      <c r="I74" s="12">
        <v>885</v>
      </c>
      <c r="J74" s="12">
        <v>12</v>
      </c>
      <c r="K74" s="13">
        <v>717.4</v>
      </c>
      <c r="L74" s="21">
        <v>5.3209999999999997</v>
      </c>
      <c r="M74" s="14" t="s">
        <v>14</v>
      </c>
      <c r="N74" s="13">
        <v>3817.2849999999999</v>
      </c>
      <c r="O74" s="15">
        <f t="shared" si="18"/>
        <v>-5.5756899897119183E-7</v>
      </c>
      <c r="P74" s="10" t="s">
        <v>105</v>
      </c>
      <c r="Q74" s="11" t="s">
        <v>225</v>
      </c>
      <c r="R74" s="27">
        <v>516111260608</v>
      </c>
      <c r="S74" s="16" t="s">
        <v>226</v>
      </c>
      <c r="T74" s="19" t="str">
        <f t="shared" si="20"/>
        <v>1-2026</v>
      </c>
      <c r="U74" s="2">
        <f t="shared" si="21"/>
        <v>2026</v>
      </c>
      <c r="V74" s="2" t="str">
        <f t="shared" si="22"/>
        <v>1-C</v>
      </c>
      <c r="W74" s="21"/>
      <c r="X74" s="2" t="b">
        <f t="shared" si="19"/>
        <v>0</v>
      </c>
    </row>
    <row r="75" spans="2:24" hidden="1" x14ac:dyDescent="0.3">
      <c r="B75" s="17">
        <v>46042</v>
      </c>
      <c r="C75" s="10" t="s">
        <v>17</v>
      </c>
      <c r="D75" s="11">
        <v>177665</v>
      </c>
      <c r="E75" s="26">
        <v>85157</v>
      </c>
      <c r="F75" s="10" t="s">
        <v>114</v>
      </c>
      <c r="G75" s="10" t="s">
        <v>152</v>
      </c>
      <c r="H75" s="10" t="s">
        <v>19</v>
      </c>
      <c r="I75" s="12">
        <v>1093</v>
      </c>
      <c r="J75" s="12">
        <v>12</v>
      </c>
      <c r="K75" s="13">
        <v>2208</v>
      </c>
      <c r="L75" s="21">
        <v>4.4039999999999999</v>
      </c>
      <c r="M75" s="14" t="s">
        <v>14</v>
      </c>
      <c r="N75" s="13">
        <v>9724.0319999999992</v>
      </c>
      <c r="O75" s="15">
        <f t="shared" si="18"/>
        <v>0</v>
      </c>
      <c r="P75" s="10" t="s">
        <v>144</v>
      </c>
      <c r="Q75" s="11" t="s">
        <v>225</v>
      </c>
      <c r="R75" s="27">
        <v>516111260608</v>
      </c>
      <c r="S75" s="16" t="s">
        <v>226</v>
      </c>
      <c r="T75" s="19" t="str">
        <f t="shared" si="20"/>
        <v>1-2026</v>
      </c>
      <c r="U75" s="2">
        <f t="shared" si="21"/>
        <v>2026</v>
      </c>
      <c r="V75" s="2" t="str">
        <f t="shared" si="22"/>
        <v>1-C</v>
      </c>
      <c r="W75" s="21"/>
      <c r="X75" s="2" t="b">
        <f t="shared" si="19"/>
        <v>0</v>
      </c>
    </row>
    <row r="76" spans="2:24" hidden="1" x14ac:dyDescent="0.3">
      <c r="B76" s="17">
        <v>46042</v>
      </c>
      <c r="C76" s="10" t="s">
        <v>26</v>
      </c>
      <c r="D76" s="11">
        <v>177275</v>
      </c>
      <c r="E76" s="26">
        <v>85158</v>
      </c>
      <c r="F76" s="10" t="s">
        <v>31</v>
      </c>
      <c r="G76" s="10" t="s">
        <v>153</v>
      </c>
      <c r="H76" s="10" t="s">
        <v>32</v>
      </c>
      <c r="I76" s="12" t="s">
        <v>37</v>
      </c>
      <c r="J76" s="12" t="s">
        <v>37</v>
      </c>
      <c r="K76" s="13">
        <v>640</v>
      </c>
      <c r="L76" s="21">
        <v>4.45</v>
      </c>
      <c r="M76" s="14" t="s">
        <v>14</v>
      </c>
      <c r="N76" s="13">
        <v>2848</v>
      </c>
      <c r="O76" s="15">
        <f t="shared" si="18"/>
        <v>0</v>
      </c>
      <c r="P76" s="10" t="s">
        <v>64</v>
      </c>
      <c r="Q76" s="11" t="s">
        <v>227</v>
      </c>
      <c r="R76" s="11" t="s">
        <v>228</v>
      </c>
      <c r="S76" s="16" t="s">
        <v>229</v>
      </c>
      <c r="T76" s="19" t="str">
        <f t="shared" si="20"/>
        <v>1-2026</v>
      </c>
      <c r="U76" s="2">
        <f t="shared" si="21"/>
        <v>2026</v>
      </c>
      <c r="V76" s="2" t="str">
        <f t="shared" si="22"/>
        <v>1-C</v>
      </c>
      <c r="W76" s="21"/>
      <c r="X76" s="2" t="b">
        <f t="shared" si="19"/>
        <v>0</v>
      </c>
    </row>
    <row r="77" spans="2:24" hidden="1" x14ac:dyDescent="0.3">
      <c r="B77" s="17">
        <v>46042</v>
      </c>
      <c r="C77" s="10" t="s">
        <v>26</v>
      </c>
      <c r="D77" s="11">
        <v>177565</v>
      </c>
      <c r="E77" s="26">
        <v>85243</v>
      </c>
      <c r="F77" s="10" t="s">
        <v>31</v>
      </c>
      <c r="G77" s="10" t="s">
        <v>153</v>
      </c>
      <c r="H77" s="10" t="s">
        <v>32</v>
      </c>
      <c r="I77" s="12" t="s">
        <v>37</v>
      </c>
      <c r="J77" s="12" t="s">
        <v>37</v>
      </c>
      <c r="K77" s="13">
        <v>160</v>
      </c>
      <c r="L77" s="21">
        <v>4.4000000000000004</v>
      </c>
      <c r="M77" s="14" t="s">
        <v>14</v>
      </c>
      <c r="N77" s="13">
        <v>704</v>
      </c>
      <c r="O77" s="15">
        <f t="shared" si="18"/>
        <v>0</v>
      </c>
      <c r="P77" s="10" t="s">
        <v>64</v>
      </c>
      <c r="Q77" s="11" t="s">
        <v>230</v>
      </c>
      <c r="R77" s="11" t="s">
        <v>231</v>
      </c>
      <c r="S77" s="16" t="s">
        <v>232</v>
      </c>
      <c r="T77" s="19" t="str">
        <f t="shared" si="20"/>
        <v>1-2026</v>
      </c>
      <c r="U77" s="2">
        <f t="shared" si="21"/>
        <v>2026</v>
      </c>
      <c r="V77" s="2" t="str">
        <f t="shared" si="22"/>
        <v>1-C</v>
      </c>
      <c r="W77" s="21"/>
      <c r="X77" s="2" t="b">
        <f t="shared" si="19"/>
        <v>0</v>
      </c>
    </row>
    <row r="78" spans="2:24" hidden="1" x14ac:dyDescent="0.3">
      <c r="B78" s="17">
        <v>46042</v>
      </c>
      <c r="C78" s="10" t="s">
        <v>26</v>
      </c>
      <c r="D78" s="11">
        <v>177565</v>
      </c>
      <c r="E78" s="26">
        <v>85243</v>
      </c>
      <c r="F78" s="10" t="s">
        <v>33</v>
      </c>
      <c r="G78" s="10" t="s">
        <v>153</v>
      </c>
      <c r="H78" s="10" t="s">
        <v>34</v>
      </c>
      <c r="I78" s="12" t="s">
        <v>37</v>
      </c>
      <c r="J78" s="12" t="s">
        <v>37</v>
      </c>
      <c r="K78" s="13">
        <v>540</v>
      </c>
      <c r="L78" s="21">
        <v>4.4000000000000004</v>
      </c>
      <c r="M78" s="14" t="s">
        <v>14</v>
      </c>
      <c r="N78" s="13">
        <v>2376</v>
      </c>
      <c r="O78" s="15">
        <f t="shared" ref="O78:O97" si="23">(N78/K78)-L78</f>
        <v>0</v>
      </c>
      <c r="P78" s="10" t="s">
        <v>64</v>
      </c>
      <c r="Q78" s="11" t="s">
        <v>230</v>
      </c>
      <c r="R78" s="11" t="s">
        <v>231</v>
      </c>
      <c r="S78" s="16" t="s">
        <v>232</v>
      </c>
      <c r="T78" s="19" t="str">
        <f t="shared" si="20"/>
        <v>1-2026</v>
      </c>
      <c r="U78" s="2">
        <f t="shared" si="21"/>
        <v>2026</v>
      </c>
      <c r="V78" s="2" t="str">
        <f t="shared" si="22"/>
        <v>1-C</v>
      </c>
      <c r="W78" s="21"/>
      <c r="X78" s="2" t="b">
        <f t="shared" ref="X78:X97" si="24">+L78=W78</f>
        <v>0</v>
      </c>
    </row>
    <row r="79" spans="2:24" hidden="1" x14ac:dyDescent="0.3">
      <c r="B79" s="17">
        <v>46042</v>
      </c>
      <c r="C79" s="10" t="s">
        <v>26</v>
      </c>
      <c r="D79" s="11">
        <v>177565</v>
      </c>
      <c r="E79" s="26">
        <v>85159</v>
      </c>
      <c r="F79" s="10" t="s">
        <v>29</v>
      </c>
      <c r="G79" s="10" t="s">
        <v>153</v>
      </c>
      <c r="H79" s="10" t="s">
        <v>30</v>
      </c>
      <c r="I79" s="12" t="s">
        <v>37</v>
      </c>
      <c r="J79" s="12" t="s">
        <v>37</v>
      </c>
      <c r="K79" s="13">
        <v>330</v>
      </c>
      <c r="L79" s="21">
        <v>3.37</v>
      </c>
      <c r="M79" s="14" t="s">
        <v>14</v>
      </c>
      <c r="N79" s="13">
        <v>1112.0999999999999</v>
      </c>
      <c r="O79" s="15">
        <f t="shared" si="23"/>
        <v>0</v>
      </c>
      <c r="P79" s="10" t="s">
        <v>64</v>
      </c>
      <c r="Q79" s="11" t="s">
        <v>233</v>
      </c>
      <c r="R79" s="11" t="s">
        <v>234</v>
      </c>
      <c r="S79" s="16" t="s">
        <v>235</v>
      </c>
      <c r="T79" s="19" t="str">
        <f t="shared" si="20"/>
        <v>1-2026</v>
      </c>
      <c r="U79" s="2">
        <f t="shared" si="21"/>
        <v>2026</v>
      </c>
      <c r="V79" s="2" t="str">
        <f t="shared" si="22"/>
        <v>1-C</v>
      </c>
      <c r="W79" s="21"/>
      <c r="X79" s="2" t="b">
        <f t="shared" si="24"/>
        <v>0</v>
      </c>
    </row>
    <row r="80" spans="2:24" hidden="1" x14ac:dyDescent="0.3">
      <c r="B80" s="17">
        <v>46042</v>
      </c>
      <c r="C80" s="10" t="s">
        <v>26</v>
      </c>
      <c r="D80" s="11">
        <v>177565</v>
      </c>
      <c r="E80" s="26">
        <v>85159</v>
      </c>
      <c r="F80" s="10" t="s">
        <v>31</v>
      </c>
      <c r="G80" s="10" t="s">
        <v>153</v>
      </c>
      <c r="H80" s="10" t="s">
        <v>32</v>
      </c>
      <c r="I80" s="12" t="s">
        <v>37</v>
      </c>
      <c r="J80" s="12" t="s">
        <v>37</v>
      </c>
      <c r="K80" s="13">
        <v>160</v>
      </c>
      <c r="L80" s="21">
        <v>4.4000000000000004</v>
      </c>
      <c r="M80" s="14" t="s">
        <v>14</v>
      </c>
      <c r="N80" s="13">
        <v>704</v>
      </c>
      <c r="O80" s="15">
        <f t="shared" si="23"/>
        <v>0</v>
      </c>
      <c r="P80" s="10" t="s">
        <v>64</v>
      </c>
      <c r="Q80" s="11" t="s">
        <v>233</v>
      </c>
      <c r="R80" s="11" t="s">
        <v>234</v>
      </c>
      <c r="S80" s="16" t="s">
        <v>235</v>
      </c>
      <c r="T80" s="19" t="str">
        <f t="shared" si="20"/>
        <v>1-2026</v>
      </c>
      <c r="U80" s="2">
        <f t="shared" si="21"/>
        <v>2026</v>
      </c>
      <c r="V80" s="2" t="str">
        <f t="shared" si="22"/>
        <v>1-C</v>
      </c>
      <c r="W80" s="21"/>
      <c r="X80" s="2" t="b">
        <f t="shared" si="24"/>
        <v>0</v>
      </c>
    </row>
    <row r="81" spans="2:24" hidden="1" x14ac:dyDescent="0.3">
      <c r="B81" s="17">
        <v>46042</v>
      </c>
      <c r="C81" s="10" t="s">
        <v>26</v>
      </c>
      <c r="D81" s="11">
        <v>177565</v>
      </c>
      <c r="E81" s="26">
        <v>85159</v>
      </c>
      <c r="F81" s="10" t="s">
        <v>33</v>
      </c>
      <c r="G81" s="10" t="s">
        <v>153</v>
      </c>
      <c r="H81" s="10" t="s">
        <v>34</v>
      </c>
      <c r="I81" s="12" t="s">
        <v>37</v>
      </c>
      <c r="J81" s="12" t="s">
        <v>37</v>
      </c>
      <c r="K81" s="13">
        <v>360</v>
      </c>
      <c r="L81" s="21">
        <v>4.4000000000000004</v>
      </c>
      <c r="M81" s="14" t="s">
        <v>14</v>
      </c>
      <c r="N81" s="13">
        <v>1584</v>
      </c>
      <c r="O81" s="15">
        <f t="shared" si="23"/>
        <v>0</v>
      </c>
      <c r="P81" s="10" t="s">
        <v>64</v>
      </c>
      <c r="Q81" s="11" t="s">
        <v>233</v>
      </c>
      <c r="R81" s="11" t="s">
        <v>234</v>
      </c>
      <c r="S81" s="16" t="s">
        <v>235</v>
      </c>
      <c r="T81" s="19" t="str">
        <f t="shared" si="20"/>
        <v>1-2026</v>
      </c>
      <c r="U81" s="2">
        <f t="shared" si="21"/>
        <v>2026</v>
      </c>
      <c r="V81" s="2" t="str">
        <f t="shared" si="22"/>
        <v>1-C</v>
      </c>
      <c r="W81" s="21"/>
      <c r="X81" s="2" t="b">
        <f t="shared" si="24"/>
        <v>0</v>
      </c>
    </row>
    <row r="82" spans="2:24" hidden="1" x14ac:dyDescent="0.3">
      <c r="B82" s="17">
        <v>46042</v>
      </c>
      <c r="C82" s="10" t="s">
        <v>26</v>
      </c>
      <c r="D82" s="11">
        <v>177876</v>
      </c>
      <c r="E82" s="26">
        <v>85244</v>
      </c>
      <c r="F82" s="10" t="s">
        <v>29</v>
      </c>
      <c r="G82" s="10" t="s">
        <v>153</v>
      </c>
      <c r="H82" s="10" t="s">
        <v>30</v>
      </c>
      <c r="I82" s="12" t="s">
        <v>37</v>
      </c>
      <c r="J82" s="12" t="s">
        <v>37</v>
      </c>
      <c r="K82" s="13">
        <v>1320</v>
      </c>
      <c r="L82" s="21">
        <v>3.37</v>
      </c>
      <c r="M82" s="14" t="s">
        <v>14</v>
      </c>
      <c r="N82" s="13">
        <v>4448.3999999999996</v>
      </c>
      <c r="O82" s="15">
        <f t="shared" si="23"/>
        <v>0</v>
      </c>
      <c r="P82" s="10" t="s">
        <v>64</v>
      </c>
      <c r="Q82" s="11" t="s">
        <v>236</v>
      </c>
      <c r="R82" s="11" t="s">
        <v>237</v>
      </c>
      <c r="S82" s="16" t="s">
        <v>238</v>
      </c>
      <c r="T82" s="19" t="str">
        <f t="shared" si="20"/>
        <v>1-2026</v>
      </c>
      <c r="U82" s="2">
        <f t="shared" si="21"/>
        <v>2026</v>
      </c>
      <c r="V82" s="2" t="str">
        <f t="shared" si="22"/>
        <v>1-C</v>
      </c>
      <c r="W82" s="21"/>
      <c r="X82" s="2" t="b">
        <f t="shared" si="24"/>
        <v>0</v>
      </c>
    </row>
    <row r="83" spans="2:24" hidden="1" x14ac:dyDescent="0.3">
      <c r="B83" s="17">
        <v>46049</v>
      </c>
      <c r="C83" s="10" t="s">
        <v>26</v>
      </c>
      <c r="D83" s="11">
        <v>177565</v>
      </c>
      <c r="E83" s="26">
        <v>85379</v>
      </c>
      <c r="F83" s="10" t="s">
        <v>31</v>
      </c>
      <c r="G83" s="10" t="s">
        <v>153</v>
      </c>
      <c r="H83" s="10" t="s">
        <v>32</v>
      </c>
      <c r="I83" s="12" t="s">
        <v>37</v>
      </c>
      <c r="J83" s="12" t="s">
        <v>37</v>
      </c>
      <c r="K83" s="13">
        <v>480</v>
      </c>
      <c r="L83" s="21">
        <v>4.4000000000000004</v>
      </c>
      <c r="M83" s="14" t="s">
        <v>14</v>
      </c>
      <c r="N83" s="13">
        <v>2112</v>
      </c>
      <c r="O83" s="15">
        <f t="shared" si="23"/>
        <v>0</v>
      </c>
      <c r="P83" s="10" t="s">
        <v>64</v>
      </c>
      <c r="Q83" s="11" t="s">
        <v>239</v>
      </c>
      <c r="R83" s="11" t="s">
        <v>240</v>
      </c>
      <c r="S83" s="16" t="s">
        <v>241</v>
      </c>
      <c r="T83" s="19" t="str">
        <f t="shared" si="20"/>
        <v>1-2026</v>
      </c>
      <c r="U83" s="2">
        <f t="shared" si="21"/>
        <v>2026</v>
      </c>
      <c r="V83" s="2" t="str">
        <f t="shared" si="22"/>
        <v>1-C</v>
      </c>
      <c r="W83" s="21"/>
      <c r="X83" s="2" t="b">
        <f t="shared" si="24"/>
        <v>0</v>
      </c>
    </row>
    <row r="84" spans="2:24" hidden="1" x14ac:dyDescent="0.3">
      <c r="B84" s="17">
        <v>46049</v>
      </c>
      <c r="C84" s="10" t="s">
        <v>26</v>
      </c>
      <c r="D84" s="11">
        <v>177565</v>
      </c>
      <c r="E84" s="26">
        <v>85379</v>
      </c>
      <c r="F84" s="10" t="s">
        <v>33</v>
      </c>
      <c r="G84" s="10" t="s">
        <v>153</v>
      </c>
      <c r="H84" s="10" t="s">
        <v>34</v>
      </c>
      <c r="I84" s="12" t="s">
        <v>37</v>
      </c>
      <c r="J84" s="12" t="s">
        <v>37</v>
      </c>
      <c r="K84" s="13">
        <v>900</v>
      </c>
      <c r="L84" s="21">
        <v>4.4000000000000004</v>
      </c>
      <c r="M84" s="14" t="s">
        <v>14</v>
      </c>
      <c r="N84" s="13">
        <v>3960</v>
      </c>
      <c r="O84" s="15">
        <f t="shared" si="23"/>
        <v>0</v>
      </c>
      <c r="P84" s="10" t="s">
        <v>64</v>
      </c>
      <c r="Q84" s="11" t="s">
        <v>239</v>
      </c>
      <c r="R84" s="11" t="s">
        <v>240</v>
      </c>
      <c r="S84" s="16" t="s">
        <v>241</v>
      </c>
      <c r="T84" s="19" t="str">
        <f t="shared" si="20"/>
        <v>1-2026</v>
      </c>
      <c r="U84" s="2">
        <f t="shared" si="21"/>
        <v>2026</v>
      </c>
      <c r="V84" s="2" t="str">
        <f t="shared" si="22"/>
        <v>1-C</v>
      </c>
      <c r="W84" s="21"/>
      <c r="X84" s="2" t="b">
        <f t="shared" si="24"/>
        <v>0</v>
      </c>
    </row>
    <row r="85" spans="2:24" hidden="1" x14ac:dyDescent="0.3">
      <c r="B85" s="17">
        <v>46049</v>
      </c>
      <c r="C85" s="10" t="s">
        <v>26</v>
      </c>
      <c r="D85" s="11">
        <v>177876</v>
      </c>
      <c r="E85" s="26">
        <v>85380</v>
      </c>
      <c r="F85" s="10" t="s">
        <v>29</v>
      </c>
      <c r="G85" s="10" t="s">
        <v>153</v>
      </c>
      <c r="H85" s="10" t="s">
        <v>30</v>
      </c>
      <c r="I85" s="12" t="s">
        <v>37</v>
      </c>
      <c r="J85" s="12" t="s">
        <v>37</v>
      </c>
      <c r="K85" s="13">
        <v>660</v>
      </c>
      <c r="L85" s="21">
        <v>3.37</v>
      </c>
      <c r="M85" s="14" t="s">
        <v>14</v>
      </c>
      <c r="N85" s="13">
        <v>2224.1999999999998</v>
      </c>
      <c r="O85" s="15">
        <f t="shared" si="23"/>
        <v>0</v>
      </c>
      <c r="P85" s="10" t="s">
        <v>64</v>
      </c>
      <c r="Q85" s="11" t="s">
        <v>242</v>
      </c>
      <c r="R85" s="11" t="s">
        <v>243</v>
      </c>
      <c r="S85" s="16" t="s">
        <v>244</v>
      </c>
      <c r="T85" s="19" t="str">
        <f t="shared" si="20"/>
        <v>1-2026</v>
      </c>
      <c r="U85" s="2">
        <f t="shared" si="21"/>
        <v>2026</v>
      </c>
      <c r="V85" s="2" t="str">
        <f t="shared" si="22"/>
        <v>1-C</v>
      </c>
      <c r="W85" s="21"/>
      <c r="X85" s="2" t="b">
        <f t="shared" si="24"/>
        <v>0</v>
      </c>
    </row>
    <row r="86" spans="2:24" hidden="1" x14ac:dyDescent="0.3">
      <c r="B86" s="17">
        <v>46043</v>
      </c>
      <c r="C86" s="10" t="s">
        <v>71</v>
      </c>
      <c r="D86" s="11">
        <v>177795</v>
      </c>
      <c r="E86" s="26">
        <v>85276</v>
      </c>
      <c r="F86" s="10" t="s">
        <v>77</v>
      </c>
      <c r="G86" s="10" t="s">
        <v>154</v>
      </c>
      <c r="H86" s="10" t="s">
        <v>78</v>
      </c>
      <c r="I86" s="12" t="s">
        <v>37</v>
      </c>
      <c r="J86" s="12" t="s">
        <v>37</v>
      </c>
      <c r="K86" s="13">
        <v>32</v>
      </c>
      <c r="L86" s="21">
        <v>11.25</v>
      </c>
      <c r="M86" s="14" t="s">
        <v>14</v>
      </c>
      <c r="N86" s="13">
        <v>360</v>
      </c>
      <c r="O86" s="15">
        <f t="shared" si="23"/>
        <v>0</v>
      </c>
      <c r="P86" s="10" t="s">
        <v>69</v>
      </c>
      <c r="Q86" s="11" t="s">
        <v>245</v>
      </c>
      <c r="R86" s="11" t="s">
        <v>246</v>
      </c>
      <c r="S86" s="16" t="s">
        <v>247</v>
      </c>
      <c r="T86" s="19" t="str">
        <f t="shared" si="20"/>
        <v>1-2026</v>
      </c>
      <c r="U86" s="2">
        <f t="shared" si="21"/>
        <v>2026</v>
      </c>
      <c r="V86" s="2" t="str">
        <f t="shared" si="22"/>
        <v>1-C</v>
      </c>
      <c r="W86" s="21"/>
      <c r="X86" s="2" t="b">
        <f t="shared" si="24"/>
        <v>0</v>
      </c>
    </row>
    <row r="87" spans="2:24" hidden="1" x14ac:dyDescent="0.3">
      <c r="B87" s="17">
        <v>46043</v>
      </c>
      <c r="C87" s="10" t="s">
        <v>71</v>
      </c>
      <c r="D87" s="11">
        <v>177795</v>
      </c>
      <c r="E87" s="26">
        <v>85276</v>
      </c>
      <c r="F87" s="10" t="s">
        <v>79</v>
      </c>
      <c r="G87" s="10" t="s">
        <v>154</v>
      </c>
      <c r="H87" s="10" t="s">
        <v>80</v>
      </c>
      <c r="I87" s="12" t="s">
        <v>37</v>
      </c>
      <c r="J87" s="12" t="s">
        <v>37</v>
      </c>
      <c r="K87" s="13">
        <v>1600</v>
      </c>
      <c r="L87" s="21">
        <v>13.22</v>
      </c>
      <c r="M87" s="14" t="s">
        <v>14</v>
      </c>
      <c r="N87" s="13">
        <v>21152</v>
      </c>
      <c r="O87" s="15">
        <f t="shared" si="23"/>
        <v>0</v>
      </c>
      <c r="P87" s="10" t="s">
        <v>69</v>
      </c>
      <c r="Q87" s="11" t="s">
        <v>245</v>
      </c>
      <c r="R87" s="11" t="s">
        <v>246</v>
      </c>
      <c r="S87" s="16" t="s">
        <v>247</v>
      </c>
      <c r="T87" s="19" t="str">
        <f t="shared" si="20"/>
        <v>1-2026</v>
      </c>
      <c r="U87" s="2">
        <f t="shared" si="21"/>
        <v>2026</v>
      </c>
      <c r="V87" s="2" t="str">
        <f t="shared" si="22"/>
        <v>1-C</v>
      </c>
      <c r="W87" s="21"/>
      <c r="X87" s="2" t="b">
        <f t="shared" si="24"/>
        <v>0</v>
      </c>
    </row>
    <row r="88" spans="2:24" hidden="1" x14ac:dyDescent="0.3">
      <c r="B88" s="17">
        <v>46044</v>
      </c>
      <c r="C88" s="10" t="s">
        <v>88</v>
      </c>
      <c r="D88" s="11">
        <v>177458</v>
      </c>
      <c r="E88" s="26">
        <v>85291</v>
      </c>
      <c r="F88" s="10" t="s">
        <v>84</v>
      </c>
      <c r="G88" s="10" t="s">
        <v>154</v>
      </c>
      <c r="H88" s="10" t="s">
        <v>85</v>
      </c>
      <c r="I88" s="12" t="s">
        <v>37</v>
      </c>
      <c r="J88" s="12" t="s">
        <v>37</v>
      </c>
      <c r="K88" s="13">
        <v>185</v>
      </c>
      <c r="L88" s="21">
        <v>47.46</v>
      </c>
      <c r="M88" s="14" t="s">
        <v>14</v>
      </c>
      <c r="N88" s="13">
        <v>8780.1</v>
      </c>
      <c r="O88" s="15">
        <f t="shared" si="23"/>
        <v>0</v>
      </c>
      <c r="P88" s="10" t="s">
        <v>69</v>
      </c>
      <c r="Q88" s="11" t="s">
        <v>248</v>
      </c>
      <c r="R88" s="11" t="s">
        <v>249</v>
      </c>
      <c r="S88" s="16" t="s">
        <v>250</v>
      </c>
      <c r="T88" s="19" t="str">
        <f t="shared" si="20"/>
        <v>1-2026</v>
      </c>
      <c r="U88" s="2">
        <f t="shared" si="21"/>
        <v>2026</v>
      </c>
      <c r="V88" s="2" t="str">
        <f t="shared" si="22"/>
        <v>1-C</v>
      </c>
      <c r="W88" s="21"/>
      <c r="X88" s="2" t="b">
        <f t="shared" si="24"/>
        <v>0</v>
      </c>
    </row>
    <row r="89" spans="2:24" hidden="1" x14ac:dyDescent="0.3">
      <c r="B89" s="17">
        <v>46044</v>
      </c>
      <c r="C89" s="10" t="s">
        <v>88</v>
      </c>
      <c r="D89" s="11">
        <v>177458</v>
      </c>
      <c r="E89" s="26">
        <v>85291</v>
      </c>
      <c r="F89" s="10" t="s">
        <v>86</v>
      </c>
      <c r="G89" s="10" t="s">
        <v>154</v>
      </c>
      <c r="H89" s="10" t="s">
        <v>87</v>
      </c>
      <c r="I89" s="12" t="s">
        <v>37</v>
      </c>
      <c r="J89" s="12" t="s">
        <v>37</v>
      </c>
      <c r="K89" s="13">
        <v>6160</v>
      </c>
      <c r="L89" s="21">
        <v>11.72</v>
      </c>
      <c r="M89" s="14" t="s">
        <v>14</v>
      </c>
      <c r="N89" s="13">
        <v>72195.199999999997</v>
      </c>
      <c r="O89" s="15">
        <f t="shared" si="23"/>
        <v>0</v>
      </c>
      <c r="P89" s="10" t="s">
        <v>69</v>
      </c>
      <c r="Q89" s="11" t="s">
        <v>248</v>
      </c>
      <c r="R89" s="11" t="s">
        <v>249</v>
      </c>
      <c r="S89" s="16" t="s">
        <v>250</v>
      </c>
      <c r="T89" s="19" t="str">
        <f t="shared" si="20"/>
        <v>1-2026</v>
      </c>
      <c r="U89" s="2">
        <f t="shared" si="21"/>
        <v>2026</v>
      </c>
      <c r="V89" s="2" t="str">
        <f t="shared" si="22"/>
        <v>1-C</v>
      </c>
      <c r="W89" s="21"/>
      <c r="X89" s="2" t="b">
        <f t="shared" si="24"/>
        <v>0</v>
      </c>
    </row>
    <row r="90" spans="2:24" hidden="1" x14ac:dyDescent="0.3">
      <c r="B90" s="17">
        <v>46042</v>
      </c>
      <c r="C90" s="10" t="s">
        <v>157</v>
      </c>
      <c r="D90" s="11">
        <v>177242</v>
      </c>
      <c r="E90" s="26">
        <v>85215</v>
      </c>
      <c r="F90" s="10" t="s">
        <v>99</v>
      </c>
      <c r="G90" s="10" t="s">
        <v>154</v>
      </c>
      <c r="H90" s="10" t="s">
        <v>100</v>
      </c>
      <c r="I90" s="12" t="s">
        <v>37</v>
      </c>
      <c r="J90" s="12" t="s">
        <v>37</v>
      </c>
      <c r="K90" s="13">
        <v>3600</v>
      </c>
      <c r="L90" s="21">
        <v>9.7409999999999997</v>
      </c>
      <c r="M90" s="14" t="s">
        <v>14</v>
      </c>
      <c r="N90" s="13">
        <v>35069.040000000001</v>
      </c>
      <c r="O90" s="15">
        <f t="shared" si="23"/>
        <v>4.0000000000084412E-4</v>
      </c>
      <c r="P90" s="10" t="s">
        <v>72</v>
      </c>
      <c r="Q90" s="11" t="s">
        <v>251</v>
      </c>
      <c r="R90" s="27">
        <v>900013264</v>
      </c>
      <c r="S90" s="16" t="s">
        <v>252</v>
      </c>
      <c r="T90" s="19" t="str">
        <f t="shared" si="20"/>
        <v>1-2026</v>
      </c>
      <c r="U90" s="2">
        <f t="shared" si="21"/>
        <v>2026</v>
      </c>
      <c r="V90" s="2" t="str">
        <f t="shared" si="22"/>
        <v>1-C</v>
      </c>
      <c r="W90" s="21"/>
      <c r="X90" s="2" t="b">
        <f t="shared" si="24"/>
        <v>0</v>
      </c>
    </row>
    <row r="91" spans="2:24" hidden="1" x14ac:dyDescent="0.3">
      <c r="B91" s="17">
        <v>46042</v>
      </c>
      <c r="C91" s="10" t="s">
        <v>157</v>
      </c>
      <c r="D91" s="11">
        <v>177242</v>
      </c>
      <c r="E91" s="26">
        <v>85215</v>
      </c>
      <c r="F91" s="10" t="s">
        <v>58</v>
      </c>
      <c r="G91" s="10" t="s">
        <v>154</v>
      </c>
      <c r="H91" s="10" t="s">
        <v>59</v>
      </c>
      <c r="I91" s="12" t="s">
        <v>37</v>
      </c>
      <c r="J91" s="12" t="s">
        <v>37</v>
      </c>
      <c r="K91" s="13">
        <v>11200</v>
      </c>
      <c r="L91" s="21">
        <v>9.5939999999999994</v>
      </c>
      <c r="M91" s="14" t="s">
        <v>14</v>
      </c>
      <c r="N91" s="13">
        <v>107456.83199999999</v>
      </c>
      <c r="O91" s="15">
        <f t="shared" si="23"/>
        <v>3.6000000000058208E-4</v>
      </c>
      <c r="P91" s="10" t="s">
        <v>72</v>
      </c>
      <c r="Q91" s="11" t="s">
        <v>251</v>
      </c>
      <c r="R91" s="27">
        <v>900013264</v>
      </c>
      <c r="S91" s="16" t="s">
        <v>252</v>
      </c>
      <c r="T91" s="19" t="str">
        <f t="shared" si="20"/>
        <v>1-2026</v>
      </c>
      <c r="U91" s="2">
        <f t="shared" si="21"/>
        <v>2026</v>
      </c>
      <c r="V91" s="2" t="str">
        <f t="shared" si="22"/>
        <v>1-C</v>
      </c>
      <c r="W91" s="21"/>
      <c r="X91" s="2" t="b">
        <f t="shared" si="24"/>
        <v>0</v>
      </c>
    </row>
    <row r="92" spans="2:24" hidden="1" x14ac:dyDescent="0.3">
      <c r="B92" s="17">
        <v>46042</v>
      </c>
      <c r="C92" s="10" t="s">
        <v>157</v>
      </c>
      <c r="D92" s="11">
        <v>177242</v>
      </c>
      <c r="E92" s="26">
        <v>85215</v>
      </c>
      <c r="F92" s="10" t="s">
        <v>141</v>
      </c>
      <c r="G92" s="10" t="s">
        <v>154</v>
      </c>
      <c r="H92" s="10" t="s">
        <v>142</v>
      </c>
      <c r="I92" s="12" t="s">
        <v>37</v>
      </c>
      <c r="J92" s="12" t="s">
        <v>37</v>
      </c>
      <c r="K92" s="13">
        <v>1200</v>
      </c>
      <c r="L92" s="21">
        <v>9.5210000000000008</v>
      </c>
      <c r="M92" s="14" t="s">
        <v>14</v>
      </c>
      <c r="N92" s="13">
        <v>11425.008</v>
      </c>
      <c r="O92" s="15">
        <f t="shared" si="23"/>
        <v>-1.6000000000104819E-4</v>
      </c>
      <c r="P92" s="10" t="s">
        <v>72</v>
      </c>
      <c r="Q92" s="11" t="s">
        <v>251</v>
      </c>
      <c r="R92" s="27">
        <v>900013264</v>
      </c>
      <c r="S92" s="16" t="s">
        <v>252</v>
      </c>
      <c r="T92" s="19" t="str">
        <f t="shared" si="20"/>
        <v>1-2026</v>
      </c>
      <c r="U92" s="2">
        <f t="shared" si="21"/>
        <v>2026</v>
      </c>
      <c r="V92" s="2" t="str">
        <f t="shared" si="22"/>
        <v>1-C</v>
      </c>
      <c r="W92" s="21"/>
      <c r="X92" s="2" t="b">
        <f t="shared" si="24"/>
        <v>0</v>
      </c>
    </row>
    <row r="93" spans="2:24" hidden="1" x14ac:dyDescent="0.3">
      <c r="B93" s="17">
        <v>46042</v>
      </c>
      <c r="C93" s="10" t="s">
        <v>67</v>
      </c>
      <c r="D93" s="11">
        <v>177603</v>
      </c>
      <c r="E93" s="26">
        <v>85234</v>
      </c>
      <c r="F93" s="10" t="s">
        <v>27</v>
      </c>
      <c r="G93" s="10" t="s">
        <v>153</v>
      </c>
      <c r="H93" s="10" t="s">
        <v>28</v>
      </c>
      <c r="I93" s="12" t="s">
        <v>37</v>
      </c>
      <c r="J93" s="12" t="s">
        <v>37</v>
      </c>
      <c r="K93" s="13">
        <v>5400</v>
      </c>
      <c r="L93" s="21">
        <v>3.05</v>
      </c>
      <c r="M93" s="14" t="s">
        <v>14</v>
      </c>
      <c r="N93" s="13">
        <v>16470</v>
      </c>
      <c r="O93" s="15">
        <f t="shared" si="23"/>
        <v>0</v>
      </c>
      <c r="P93" s="10" t="s">
        <v>64</v>
      </c>
      <c r="Q93" s="11" t="s">
        <v>253</v>
      </c>
      <c r="R93" s="11" t="s">
        <v>254</v>
      </c>
      <c r="S93" s="16" t="s">
        <v>255</v>
      </c>
      <c r="T93" s="19" t="str">
        <f t="shared" si="20"/>
        <v>1-2026</v>
      </c>
      <c r="U93" s="2">
        <f t="shared" si="21"/>
        <v>2026</v>
      </c>
      <c r="V93" s="2" t="str">
        <f t="shared" si="22"/>
        <v>1-C</v>
      </c>
      <c r="W93" s="21"/>
      <c r="X93" s="2" t="b">
        <f t="shared" si="24"/>
        <v>0</v>
      </c>
    </row>
    <row r="94" spans="2:24" hidden="1" x14ac:dyDescent="0.3">
      <c r="B94" s="17">
        <v>46048</v>
      </c>
      <c r="C94" s="10" t="s">
        <v>67</v>
      </c>
      <c r="D94" s="11">
        <v>177904</v>
      </c>
      <c r="E94" s="26">
        <v>85356</v>
      </c>
      <c r="F94" s="10" t="s">
        <v>27</v>
      </c>
      <c r="G94" s="10" t="s">
        <v>153</v>
      </c>
      <c r="H94" s="10" t="s">
        <v>28</v>
      </c>
      <c r="I94" s="12" t="s">
        <v>37</v>
      </c>
      <c r="J94" s="12" t="s">
        <v>37</v>
      </c>
      <c r="K94" s="13">
        <v>1800</v>
      </c>
      <c r="L94" s="21">
        <v>3.05</v>
      </c>
      <c r="M94" s="14" t="s">
        <v>14</v>
      </c>
      <c r="N94" s="13">
        <v>5490</v>
      </c>
      <c r="O94" s="15">
        <f t="shared" si="23"/>
        <v>0</v>
      </c>
      <c r="P94" s="10" t="s">
        <v>64</v>
      </c>
      <c r="Q94" s="11" t="s">
        <v>256</v>
      </c>
      <c r="R94" s="11" t="s">
        <v>257</v>
      </c>
      <c r="S94" s="16" t="s">
        <v>258</v>
      </c>
      <c r="T94" s="19" t="str">
        <f t="shared" si="20"/>
        <v>1-2026</v>
      </c>
      <c r="U94" s="2">
        <f t="shared" si="21"/>
        <v>2026</v>
      </c>
      <c r="V94" s="2" t="str">
        <f t="shared" si="22"/>
        <v>1-C</v>
      </c>
      <c r="W94" s="21"/>
      <c r="X94" s="2" t="b">
        <f t="shared" si="24"/>
        <v>0</v>
      </c>
    </row>
    <row r="95" spans="2:24" hidden="1" x14ac:dyDescent="0.3">
      <c r="B95" s="17">
        <v>46046</v>
      </c>
      <c r="C95" s="10" t="s">
        <v>67</v>
      </c>
      <c r="D95" s="11">
        <v>177904</v>
      </c>
      <c r="E95" s="26">
        <v>85350</v>
      </c>
      <c r="F95" s="10" t="s">
        <v>27</v>
      </c>
      <c r="G95" s="10" t="s">
        <v>153</v>
      </c>
      <c r="H95" s="10" t="s">
        <v>28</v>
      </c>
      <c r="I95" s="12" t="s">
        <v>37</v>
      </c>
      <c r="J95" s="12" t="s">
        <v>37</v>
      </c>
      <c r="K95" s="13">
        <v>7200</v>
      </c>
      <c r="L95" s="21">
        <v>3.05</v>
      </c>
      <c r="M95" s="14" t="s">
        <v>14</v>
      </c>
      <c r="N95" s="13">
        <v>21960</v>
      </c>
      <c r="O95" s="15">
        <f t="shared" si="23"/>
        <v>0</v>
      </c>
      <c r="P95" s="10" t="s">
        <v>64</v>
      </c>
      <c r="Q95" s="11" t="s">
        <v>259</v>
      </c>
      <c r="R95" s="11" t="s">
        <v>260</v>
      </c>
      <c r="S95" s="16" t="s">
        <v>261</v>
      </c>
      <c r="T95" s="19" t="str">
        <f t="shared" si="20"/>
        <v>1-2026</v>
      </c>
      <c r="U95" s="2">
        <f t="shared" si="21"/>
        <v>2026</v>
      </c>
      <c r="V95" s="2" t="str">
        <f t="shared" si="22"/>
        <v>1-C</v>
      </c>
      <c r="W95" s="21"/>
      <c r="X95" s="2" t="b">
        <f t="shared" si="24"/>
        <v>0</v>
      </c>
    </row>
    <row r="96" spans="2:24" hidden="1" x14ac:dyDescent="0.3">
      <c r="B96" s="17">
        <v>46048</v>
      </c>
      <c r="C96" s="10" t="s">
        <v>67</v>
      </c>
      <c r="D96" s="11">
        <v>177788</v>
      </c>
      <c r="E96" s="26">
        <v>85355</v>
      </c>
      <c r="F96" s="10" t="s">
        <v>33</v>
      </c>
      <c r="G96" s="10" t="s">
        <v>153</v>
      </c>
      <c r="H96" s="10" t="s">
        <v>34</v>
      </c>
      <c r="I96" s="12" t="s">
        <v>37</v>
      </c>
      <c r="J96" s="12" t="s">
        <v>37</v>
      </c>
      <c r="K96" s="13">
        <v>360</v>
      </c>
      <c r="L96" s="21">
        <v>5.75</v>
      </c>
      <c r="M96" s="14" t="s">
        <v>14</v>
      </c>
      <c r="N96" s="13">
        <v>2070</v>
      </c>
      <c r="O96" s="15">
        <f t="shared" si="23"/>
        <v>0</v>
      </c>
      <c r="P96" s="10" t="s">
        <v>64</v>
      </c>
      <c r="Q96" s="11" t="s">
        <v>262</v>
      </c>
      <c r="R96" s="11" t="s">
        <v>263</v>
      </c>
      <c r="S96" s="16" t="s">
        <v>264</v>
      </c>
      <c r="T96" s="19" t="str">
        <f t="shared" si="20"/>
        <v>1-2026</v>
      </c>
      <c r="U96" s="2">
        <f t="shared" si="21"/>
        <v>2026</v>
      </c>
      <c r="V96" s="2" t="str">
        <f t="shared" si="22"/>
        <v>1-C</v>
      </c>
      <c r="W96" s="21"/>
      <c r="X96" s="2" t="b">
        <f t="shared" si="24"/>
        <v>0</v>
      </c>
    </row>
    <row r="97" spans="2:24" hidden="1" x14ac:dyDescent="0.3">
      <c r="B97" s="17">
        <v>46048</v>
      </c>
      <c r="C97" s="10" t="s">
        <v>67</v>
      </c>
      <c r="D97" s="11">
        <v>177911</v>
      </c>
      <c r="E97" s="26">
        <v>85355</v>
      </c>
      <c r="F97" s="10" t="s">
        <v>33</v>
      </c>
      <c r="G97" s="10" t="s">
        <v>153</v>
      </c>
      <c r="H97" s="10" t="s">
        <v>34</v>
      </c>
      <c r="I97" s="12" t="s">
        <v>37</v>
      </c>
      <c r="J97" s="12" t="s">
        <v>37</v>
      </c>
      <c r="K97" s="13">
        <v>540</v>
      </c>
      <c r="L97" s="21">
        <v>5.75</v>
      </c>
      <c r="M97" s="14" t="s">
        <v>14</v>
      </c>
      <c r="N97" s="13">
        <v>3105</v>
      </c>
      <c r="O97" s="15">
        <f t="shared" si="23"/>
        <v>0</v>
      </c>
      <c r="P97" s="10" t="s">
        <v>64</v>
      </c>
      <c r="Q97" s="11" t="s">
        <v>262</v>
      </c>
      <c r="R97" s="11" t="s">
        <v>263</v>
      </c>
      <c r="S97" s="16" t="s">
        <v>264</v>
      </c>
      <c r="T97" s="19" t="str">
        <f t="shared" si="20"/>
        <v>1-2026</v>
      </c>
      <c r="U97" s="2">
        <f t="shared" si="21"/>
        <v>2026</v>
      </c>
      <c r="V97" s="2" t="str">
        <f t="shared" si="22"/>
        <v>1-C</v>
      </c>
      <c r="W97" s="21"/>
      <c r="X97" s="2" t="b">
        <f t="shared" si="24"/>
        <v>0</v>
      </c>
    </row>
    <row r="98" spans="2:24" hidden="1" x14ac:dyDescent="0.3">
      <c r="B98" s="17">
        <v>46053</v>
      </c>
      <c r="C98" s="10" t="s">
        <v>156</v>
      </c>
      <c r="D98" s="11">
        <v>177235</v>
      </c>
      <c r="E98" s="26">
        <v>85473</v>
      </c>
      <c r="F98" s="10" t="s">
        <v>265</v>
      </c>
      <c r="G98" s="10" t="s">
        <v>15</v>
      </c>
      <c r="H98" s="10" t="s">
        <v>16</v>
      </c>
      <c r="I98" s="12">
        <v>893</v>
      </c>
      <c r="J98" s="12">
        <v>9</v>
      </c>
      <c r="K98" s="13">
        <v>2023</v>
      </c>
      <c r="L98" s="21">
        <v>13.528</v>
      </c>
      <c r="M98" s="14" t="s">
        <v>14</v>
      </c>
      <c r="N98" s="13">
        <v>27366.496999999999</v>
      </c>
      <c r="O98" s="15">
        <f t="shared" ref="O98:O100" si="25">(N98/K98)-L98</f>
        <v>-3.198220464657453E-4</v>
      </c>
      <c r="P98" s="10" t="s">
        <v>73</v>
      </c>
      <c r="Q98" s="11" t="s">
        <v>266</v>
      </c>
      <c r="R98" s="11" t="s">
        <v>267</v>
      </c>
      <c r="S98" s="29">
        <v>8546485473</v>
      </c>
      <c r="T98" s="19" t="str">
        <f t="shared" si="20"/>
        <v>1-2026</v>
      </c>
      <c r="U98" s="2">
        <f t="shared" si="21"/>
        <v>2026</v>
      </c>
      <c r="V98" s="2" t="str">
        <f t="shared" si="22"/>
        <v>1-C</v>
      </c>
      <c r="W98" s="21"/>
      <c r="X98" s="2" t="b">
        <f t="shared" ref="X98:X100" si="26">+L98=W98</f>
        <v>0</v>
      </c>
    </row>
    <row r="99" spans="2:24" hidden="1" x14ac:dyDescent="0.3">
      <c r="B99" s="17">
        <v>46053</v>
      </c>
      <c r="C99" s="10" t="s">
        <v>156</v>
      </c>
      <c r="D99" s="11">
        <v>177235</v>
      </c>
      <c r="E99" s="26">
        <v>85473</v>
      </c>
      <c r="F99" s="10" t="s">
        <v>89</v>
      </c>
      <c r="G99" s="10" t="s">
        <v>152</v>
      </c>
      <c r="H99" s="10" t="s">
        <v>16</v>
      </c>
      <c r="I99" s="12">
        <v>1138</v>
      </c>
      <c r="J99" s="12">
        <v>7</v>
      </c>
      <c r="K99" s="13">
        <v>6763</v>
      </c>
      <c r="L99" s="21">
        <v>13.895</v>
      </c>
      <c r="M99" s="14" t="s">
        <v>14</v>
      </c>
      <c r="N99" s="13">
        <v>93973.778999999995</v>
      </c>
      <c r="O99" s="15">
        <f t="shared" si="25"/>
        <v>2.8005323081359279E-4</v>
      </c>
      <c r="P99" s="10" t="s">
        <v>73</v>
      </c>
      <c r="Q99" s="11" t="s">
        <v>266</v>
      </c>
      <c r="R99" s="11" t="s">
        <v>267</v>
      </c>
      <c r="S99" s="29">
        <v>8546485473</v>
      </c>
      <c r="T99" s="19" t="str">
        <f t="shared" si="20"/>
        <v>1-2026</v>
      </c>
      <c r="U99" s="2">
        <f t="shared" si="21"/>
        <v>2026</v>
      </c>
      <c r="V99" s="2" t="str">
        <f t="shared" si="22"/>
        <v>1-C</v>
      </c>
      <c r="W99" s="21"/>
      <c r="X99" s="2" t="b">
        <f t="shared" si="26"/>
        <v>0</v>
      </c>
    </row>
    <row r="100" spans="2:24" hidden="1" x14ac:dyDescent="0.3">
      <c r="B100" s="17">
        <v>46053</v>
      </c>
      <c r="C100" s="10" t="s">
        <v>156</v>
      </c>
      <c r="D100" s="11">
        <v>177235</v>
      </c>
      <c r="E100" s="26">
        <v>85473</v>
      </c>
      <c r="F100" s="10" t="s">
        <v>123</v>
      </c>
      <c r="G100" s="10" t="s">
        <v>152</v>
      </c>
      <c r="H100" s="10" t="s">
        <v>16</v>
      </c>
      <c r="I100" s="12">
        <v>860</v>
      </c>
      <c r="J100" s="12">
        <v>7</v>
      </c>
      <c r="K100" s="13">
        <v>1961</v>
      </c>
      <c r="L100" s="21">
        <v>13.895</v>
      </c>
      <c r="M100" s="14" t="s">
        <v>14</v>
      </c>
      <c r="N100" s="13">
        <v>27248.644</v>
      </c>
      <c r="O100" s="15">
        <f t="shared" si="25"/>
        <v>2.7995920448731226E-4</v>
      </c>
      <c r="P100" s="10" t="s">
        <v>73</v>
      </c>
      <c r="Q100" s="11" t="s">
        <v>266</v>
      </c>
      <c r="R100" s="11" t="s">
        <v>267</v>
      </c>
      <c r="S100" s="29">
        <v>8546485473</v>
      </c>
      <c r="T100" s="19" t="str">
        <f t="shared" ref="T100:T131" si="27">MONTH(B100)&amp;"-"&amp;YEAR(B100)</f>
        <v>1-2026</v>
      </c>
      <c r="U100" s="2">
        <f t="shared" ref="U100:U131" si="28">YEAR(B100)</f>
        <v>2026</v>
      </c>
      <c r="V100" s="2" t="str">
        <f t="shared" ref="V100:V131" si="29">IF(DAY(B100)&gt;15,MONTH(B100)&amp;"-C",MONTH(B100)&amp;"-N")</f>
        <v>1-C</v>
      </c>
      <c r="W100" s="21"/>
      <c r="X100" s="2" t="b">
        <f t="shared" si="26"/>
        <v>0</v>
      </c>
    </row>
    <row r="101" spans="2:24" hidden="1" x14ac:dyDescent="0.3">
      <c r="B101" s="17">
        <v>46053</v>
      </c>
      <c r="C101" s="10" t="s">
        <v>156</v>
      </c>
      <c r="D101" s="11">
        <v>177235</v>
      </c>
      <c r="E101" s="26">
        <v>85473</v>
      </c>
      <c r="F101" s="10" t="s">
        <v>74</v>
      </c>
      <c r="G101" s="10" t="s">
        <v>152</v>
      </c>
      <c r="H101" s="10" t="s">
        <v>16</v>
      </c>
      <c r="I101" s="12">
        <v>1033</v>
      </c>
      <c r="J101" s="12">
        <v>9</v>
      </c>
      <c r="K101" s="13">
        <v>8799</v>
      </c>
      <c r="L101" s="21">
        <v>13.528</v>
      </c>
      <c r="M101" s="14" t="s">
        <v>14</v>
      </c>
      <c r="N101" s="13">
        <v>119030.056</v>
      </c>
      <c r="O101" s="15">
        <f t="shared" ref="O101:O108" si="30">(N101/K101)-L101</f>
        <v>-3.2003636776956057E-4</v>
      </c>
      <c r="P101" s="10" t="s">
        <v>73</v>
      </c>
      <c r="Q101" s="11" t="s">
        <v>266</v>
      </c>
      <c r="R101" s="11" t="s">
        <v>267</v>
      </c>
      <c r="S101" s="29">
        <v>8546485473</v>
      </c>
      <c r="T101" s="19" t="str">
        <f t="shared" si="27"/>
        <v>1-2026</v>
      </c>
      <c r="U101" s="2">
        <f t="shared" si="28"/>
        <v>2026</v>
      </c>
      <c r="V101" s="2" t="str">
        <f t="shared" si="29"/>
        <v>1-C</v>
      </c>
      <c r="W101" s="21"/>
      <c r="X101" s="2" t="b">
        <f t="shared" ref="X101:X108" si="31">+L101=W101</f>
        <v>0</v>
      </c>
    </row>
    <row r="102" spans="2:24" hidden="1" x14ac:dyDescent="0.3">
      <c r="B102" s="17">
        <v>46053</v>
      </c>
      <c r="C102" s="10" t="s">
        <v>156</v>
      </c>
      <c r="D102" s="11">
        <v>177235</v>
      </c>
      <c r="E102" s="26">
        <v>85473</v>
      </c>
      <c r="F102" s="10" t="s">
        <v>125</v>
      </c>
      <c r="G102" s="10" t="s">
        <v>152</v>
      </c>
      <c r="H102" s="10" t="s">
        <v>16</v>
      </c>
      <c r="I102" s="12">
        <v>1173</v>
      </c>
      <c r="J102" s="12">
        <v>9</v>
      </c>
      <c r="K102" s="13">
        <v>2852</v>
      </c>
      <c r="L102" s="21">
        <v>13.528</v>
      </c>
      <c r="M102" s="14" t="s">
        <v>14</v>
      </c>
      <c r="N102" s="13">
        <v>38580.942999999999</v>
      </c>
      <c r="O102" s="15">
        <f t="shared" si="30"/>
        <v>-3.2012622721033779E-4</v>
      </c>
      <c r="P102" s="10" t="s">
        <v>73</v>
      </c>
      <c r="Q102" s="11" t="s">
        <v>266</v>
      </c>
      <c r="R102" s="11" t="s">
        <v>267</v>
      </c>
      <c r="S102" s="29">
        <v>8546485473</v>
      </c>
      <c r="T102" s="19" t="str">
        <f t="shared" si="27"/>
        <v>1-2026</v>
      </c>
      <c r="U102" s="2">
        <f t="shared" si="28"/>
        <v>2026</v>
      </c>
      <c r="V102" s="2" t="str">
        <f t="shared" si="29"/>
        <v>1-C</v>
      </c>
      <c r="W102" s="21"/>
      <c r="X102" s="2" t="b">
        <f t="shared" si="31"/>
        <v>0</v>
      </c>
    </row>
    <row r="103" spans="2:24" hidden="1" x14ac:dyDescent="0.3">
      <c r="B103" s="17">
        <v>46050</v>
      </c>
      <c r="C103" s="10" t="s">
        <v>67</v>
      </c>
      <c r="D103" s="11">
        <v>177904</v>
      </c>
      <c r="E103" s="26">
        <v>85414</v>
      </c>
      <c r="F103" s="10" t="s">
        <v>27</v>
      </c>
      <c r="G103" s="10" t="s">
        <v>153</v>
      </c>
      <c r="H103" s="10" t="s">
        <v>28</v>
      </c>
      <c r="I103" s="12" t="s">
        <v>37</v>
      </c>
      <c r="J103" s="12" t="s">
        <v>37</v>
      </c>
      <c r="K103" s="13">
        <v>9000</v>
      </c>
      <c r="L103" s="21">
        <v>3.05</v>
      </c>
      <c r="M103" s="14" t="s">
        <v>14</v>
      </c>
      <c r="N103" s="13">
        <v>27450</v>
      </c>
      <c r="O103" s="15">
        <f t="shared" si="30"/>
        <v>0</v>
      </c>
      <c r="P103" s="10" t="s">
        <v>64</v>
      </c>
      <c r="Q103" s="11" t="s">
        <v>268</v>
      </c>
      <c r="R103" s="11" t="s">
        <v>269</v>
      </c>
      <c r="S103" s="16" t="s">
        <v>270</v>
      </c>
      <c r="T103" s="19" t="str">
        <f t="shared" si="27"/>
        <v>1-2026</v>
      </c>
      <c r="U103" s="2">
        <f t="shared" si="28"/>
        <v>2026</v>
      </c>
      <c r="V103" s="2" t="str">
        <f t="shared" si="29"/>
        <v>1-C</v>
      </c>
      <c r="W103" s="21"/>
      <c r="X103" s="2" t="b">
        <f t="shared" si="31"/>
        <v>0</v>
      </c>
    </row>
    <row r="104" spans="2:24" hidden="1" x14ac:dyDescent="0.3">
      <c r="B104" s="17">
        <v>46053</v>
      </c>
      <c r="C104" s="10" t="s">
        <v>67</v>
      </c>
      <c r="D104" s="11">
        <v>177904</v>
      </c>
      <c r="E104" s="26">
        <v>85481</v>
      </c>
      <c r="F104" s="10" t="s">
        <v>27</v>
      </c>
      <c r="G104" s="10" t="s">
        <v>153</v>
      </c>
      <c r="H104" s="10" t="s">
        <v>28</v>
      </c>
      <c r="I104" s="12" t="s">
        <v>37</v>
      </c>
      <c r="J104" s="12" t="s">
        <v>37</v>
      </c>
      <c r="K104" s="13">
        <v>7200</v>
      </c>
      <c r="L104" s="21">
        <v>3.05</v>
      </c>
      <c r="M104" s="14" t="s">
        <v>14</v>
      </c>
      <c r="N104" s="13">
        <v>21960</v>
      </c>
      <c r="O104" s="15">
        <f t="shared" si="30"/>
        <v>0</v>
      </c>
      <c r="P104" s="10" t="s">
        <v>64</v>
      </c>
      <c r="Q104" s="11" t="s">
        <v>271</v>
      </c>
      <c r="R104" s="11" t="s">
        <v>272</v>
      </c>
      <c r="S104" s="28">
        <v>85481</v>
      </c>
      <c r="T104" s="19" t="str">
        <f t="shared" si="27"/>
        <v>1-2026</v>
      </c>
      <c r="U104" s="2">
        <f t="shared" si="28"/>
        <v>2026</v>
      </c>
      <c r="V104" s="2" t="str">
        <f t="shared" si="29"/>
        <v>1-C</v>
      </c>
      <c r="W104" s="21"/>
      <c r="X104" s="2" t="b">
        <f t="shared" si="31"/>
        <v>0</v>
      </c>
    </row>
    <row r="105" spans="2:24" hidden="1" x14ac:dyDescent="0.3">
      <c r="B105" s="17">
        <v>46052</v>
      </c>
      <c r="C105" s="10" t="s">
        <v>67</v>
      </c>
      <c r="D105" s="11">
        <v>177904</v>
      </c>
      <c r="E105" s="26">
        <v>85457</v>
      </c>
      <c r="F105" s="10" t="s">
        <v>27</v>
      </c>
      <c r="G105" s="10" t="s">
        <v>153</v>
      </c>
      <c r="H105" s="10" t="s">
        <v>28</v>
      </c>
      <c r="I105" s="12" t="s">
        <v>37</v>
      </c>
      <c r="J105" s="12" t="s">
        <v>37</v>
      </c>
      <c r="K105" s="13">
        <v>5400</v>
      </c>
      <c r="L105" s="21">
        <v>3.05</v>
      </c>
      <c r="M105" s="14" t="s">
        <v>14</v>
      </c>
      <c r="N105" s="13">
        <v>16470</v>
      </c>
      <c r="O105" s="15">
        <f t="shared" si="30"/>
        <v>0</v>
      </c>
      <c r="P105" s="10" t="s">
        <v>64</v>
      </c>
      <c r="Q105" s="11" t="s">
        <v>273</v>
      </c>
      <c r="R105" s="11" t="s">
        <v>274</v>
      </c>
      <c r="S105" s="16" t="s">
        <v>275</v>
      </c>
      <c r="T105" s="19" t="str">
        <f t="shared" si="27"/>
        <v>1-2026</v>
      </c>
      <c r="U105" s="2">
        <f t="shared" si="28"/>
        <v>2026</v>
      </c>
      <c r="V105" s="2" t="str">
        <f t="shared" si="29"/>
        <v>1-C</v>
      </c>
      <c r="W105" s="21"/>
      <c r="X105" s="2" t="b">
        <f t="shared" si="31"/>
        <v>0</v>
      </c>
    </row>
    <row r="106" spans="2:24" hidden="1" x14ac:dyDescent="0.3">
      <c r="B106" s="17">
        <v>46053</v>
      </c>
      <c r="C106" s="10" t="s">
        <v>67</v>
      </c>
      <c r="D106" s="11">
        <v>177982</v>
      </c>
      <c r="E106" s="26">
        <v>85483</v>
      </c>
      <c r="F106" s="10" t="s">
        <v>33</v>
      </c>
      <c r="G106" s="10" t="s">
        <v>153</v>
      </c>
      <c r="H106" s="10" t="s">
        <v>34</v>
      </c>
      <c r="I106" s="12" t="s">
        <v>37</v>
      </c>
      <c r="J106" s="12" t="s">
        <v>37</v>
      </c>
      <c r="K106" s="13">
        <v>720</v>
      </c>
      <c r="L106" s="21">
        <v>5.75</v>
      </c>
      <c r="M106" s="14" t="s">
        <v>14</v>
      </c>
      <c r="N106" s="13">
        <v>4140</v>
      </c>
      <c r="O106" s="15">
        <f t="shared" si="30"/>
        <v>0</v>
      </c>
      <c r="P106" s="10" t="s">
        <v>64</v>
      </c>
      <c r="Q106" s="11" t="s">
        <v>276</v>
      </c>
      <c r="R106" s="11" t="s">
        <v>277</v>
      </c>
      <c r="S106" s="16" t="s">
        <v>278</v>
      </c>
      <c r="T106" s="19" t="str">
        <f t="shared" si="27"/>
        <v>1-2026</v>
      </c>
      <c r="U106" s="2">
        <f t="shared" si="28"/>
        <v>2026</v>
      </c>
      <c r="V106" s="2" t="str">
        <f t="shared" si="29"/>
        <v>1-C</v>
      </c>
      <c r="W106" s="21"/>
      <c r="X106" s="2" t="b">
        <f t="shared" si="31"/>
        <v>0</v>
      </c>
    </row>
    <row r="107" spans="2:24" hidden="1" x14ac:dyDescent="0.3">
      <c r="B107" s="17">
        <v>46050</v>
      </c>
      <c r="C107" s="10" t="s">
        <v>71</v>
      </c>
      <c r="D107" s="11">
        <v>177905</v>
      </c>
      <c r="E107" s="26">
        <v>85415</v>
      </c>
      <c r="F107" s="10" t="s">
        <v>77</v>
      </c>
      <c r="G107" s="10" t="s">
        <v>154</v>
      </c>
      <c r="H107" s="10" t="s">
        <v>78</v>
      </c>
      <c r="I107" s="12" t="s">
        <v>37</v>
      </c>
      <c r="J107" s="12" t="s">
        <v>37</v>
      </c>
      <c r="K107" s="13">
        <v>32</v>
      </c>
      <c r="L107" s="21">
        <v>11.25</v>
      </c>
      <c r="M107" s="14" t="s">
        <v>14</v>
      </c>
      <c r="N107" s="13">
        <v>360</v>
      </c>
      <c r="O107" s="15">
        <f t="shared" si="30"/>
        <v>0</v>
      </c>
      <c r="P107" s="10" t="s">
        <v>69</v>
      </c>
      <c r="Q107" s="11" t="s">
        <v>279</v>
      </c>
      <c r="R107" s="11" t="s">
        <v>280</v>
      </c>
      <c r="S107" s="16" t="s">
        <v>281</v>
      </c>
      <c r="T107" s="19" t="str">
        <f t="shared" si="27"/>
        <v>1-2026</v>
      </c>
      <c r="U107" s="2">
        <f t="shared" si="28"/>
        <v>2026</v>
      </c>
      <c r="V107" s="2" t="str">
        <f t="shared" si="29"/>
        <v>1-C</v>
      </c>
      <c r="W107" s="21"/>
      <c r="X107" s="2" t="b">
        <f t="shared" si="31"/>
        <v>0</v>
      </c>
    </row>
    <row r="108" spans="2:24" hidden="1" x14ac:dyDescent="0.3">
      <c r="B108" s="17">
        <v>46050</v>
      </c>
      <c r="C108" s="10" t="s">
        <v>71</v>
      </c>
      <c r="D108" s="11">
        <v>177905</v>
      </c>
      <c r="E108" s="26">
        <v>85415</v>
      </c>
      <c r="F108" s="10" t="s">
        <v>79</v>
      </c>
      <c r="G108" s="10" t="s">
        <v>154</v>
      </c>
      <c r="H108" s="10" t="s">
        <v>80</v>
      </c>
      <c r="I108" s="12" t="s">
        <v>37</v>
      </c>
      <c r="J108" s="12" t="s">
        <v>37</v>
      </c>
      <c r="K108" s="13">
        <v>1600</v>
      </c>
      <c r="L108" s="21">
        <v>13.22</v>
      </c>
      <c r="M108" s="14" t="s">
        <v>14</v>
      </c>
      <c r="N108" s="13">
        <v>21152</v>
      </c>
      <c r="O108" s="15">
        <f t="shared" si="30"/>
        <v>0</v>
      </c>
      <c r="P108" s="10" t="s">
        <v>69</v>
      </c>
      <c r="Q108" s="11" t="s">
        <v>279</v>
      </c>
      <c r="R108" s="11" t="s">
        <v>280</v>
      </c>
      <c r="S108" s="16" t="s">
        <v>281</v>
      </c>
      <c r="T108" s="19" t="str">
        <f t="shared" si="27"/>
        <v>1-2026</v>
      </c>
      <c r="U108" s="2">
        <f t="shared" si="28"/>
        <v>2026</v>
      </c>
      <c r="V108" s="2" t="str">
        <f t="shared" si="29"/>
        <v>1-C</v>
      </c>
      <c r="W108" s="21"/>
      <c r="X108" s="2" t="b">
        <f t="shared" si="31"/>
        <v>0</v>
      </c>
    </row>
    <row r="109" spans="2:24" hidden="1" x14ac:dyDescent="0.3">
      <c r="B109" s="17">
        <v>46047</v>
      </c>
      <c r="C109" s="10" t="s">
        <v>60</v>
      </c>
      <c r="D109" s="11">
        <v>177778</v>
      </c>
      <c r="E109" s="26">
        <v>85284</v>
      </c>
      <c r="F109" s="10" t="s">
        <v>120</v>
      </c>
      <c r="G109" s="10" t="s">
        <v>152</v>
      </c>
      <c r="H109" s="10" t="s">
        <v>41</v>
      </c>
      <c r="I109" s="12">
        <v>1048</v>
      </c>
      <c r="J109" s="12">
        <v>30</v>
      </c>
      <c r="K109" s="13">
        <v>4076.7</v>
      </c>
      <c r="L109" s="21">
        <v>6.1020000000000003</v>
      </c>
      <c r="M109" s="14" t="s">
        <v>14</v>
      </c>
      <c r="N109" s="13">
        <v>24876.675999999999</v>
      </c>
      <c r="O109" s="15">
        <f t="shared" ref="O109:O116" si="32">(N109/K109)-L109</f>
        <v>1.6008045723214792E-4</v>
      </c>
      <c r="P109" s="10" t="s">
        <v>62</v>
      </c>
      <c r="Q109" s="11" t="s">
        <v>282</v>
      </c>
      <c r="R109" s="27">
        <v>7100023283</v>
      </c>
      <c r="S109" s="16" t="s">
        <v>283</v>
      </c>
      <c r="T109" s="19" t="str">
        <f t="shared" si="27"/>
        <v>1-2026</v>
      </c>
      <c r="U109" s="2">
        <f t="shared" si="28"/>
        <v>2026</v>
      </c>
      <c r="V109" s="2" t="str">
        <f t="shared" si="29"/>
        <v>1-C</v>
      </c>
      <c r="W109" s="21"/>
      <c r="X109" s="2" t="b">
        <f t="shared" ref="X109:X116" si="33">+L109=W109</f>
        <v>0</v>
      </c>
    </row>
    <row r="110" spans="2:24" hidden="1" x14ac:dyDescent="0.3">
      <c r="B110" s="17">
        <v>46047</v>
      </c>
      <c r="C110" s="10" t="s">
        <v>60</v>
      </c>
      <c r="D110" s="11">
        <v>177778</v>
      </c>
      <c r="E110" s="26">
        <v>85284</v>
      </c>
      <c r="F110" s="10" t="s">
        <v>107</v>
      </c>
      <c r="G110" s="10" t="s">
        <v>152</v>
      </c>
      <c r="H110" s="10" t="s">
        <v>41</v>
      </c>
      <c r="I110" s="12">
        <v>1093</v>
      </c>
      <c r="J110" s="12">
        <v>30</v>
      </c>
      <c r="K110" s="13">
        <v>728.6</v>
      </c>
      <c r="L110" s="21">
        <v>6.1020000000000003</v>
      </c>
      <c r="M110" s="14" t="s">
        <v>14</v>
      </c>
      <c r="N110" s="13">
        <v>4446.0339999999997</v>
      </c>
      <c r="O110" s="15">
        <f t="shared" si="32"/>
        <v>1.603074389233683E-4</v>
      </c>
      <c r="P110" s="10" t="s">
        <v>62</v>
      </c>
      <c r="Q110" s="11" t="s">
        <v>282</v>
      </c>
      <c r="R110" s="27">
        <v>7100023283</v>
      </c>
      <c r="S110" s="16" t="s">
        <v>283</v>
      </c>
      <c r="T110" s="19" t="str">
        <f t="shared" si="27"/>
        <v>1-2026</v>
      </c>
      <c r="U110" s="2">
        <f t="shared" si="28"/>
        <v>2026</v>
      </c>
      <c r="V110" s="2" t="str">
        <f t="shared" si="29"/>
        <v>1-C</v>
      </c>
      <c r="W110" s="21"/>
      <c r="X110" s="2" t="b">
        <f t="shared" si="33"/>
        <v>0</v>
      </c>
    </row>
    <row r="111" spans="2:24" hidden="1" x14ac:dyDescent="0.3">
      <c r="B111" s="17">
        <v>46047</v>
      </c>
      <c r="C111" s="10" t="s">
        <v>60</v>
      </c>
      <c r="D111" s="11">
        <v>177778</v>
      </c>
      <c r="E111" s="26">
        <v>85284</v>
      </c>
      <c r="F111" s="10" t="s">
        <v>116</v>
      </c>
      <c r="G111" s="10" t="s">
        <v>152</v>
      </c>
      <c r="H111" s="10" t="s">
        <v>24</v>
      </c>
      <c r="I111" s="12">
        <v>1003</v>
      </c>
      <c r="J111" s="12">
        <v>30</v>
      </c>
      <c r="K111" s="13">
        <v>720.48</v>
      </c>
      <c r="L111" s="21">
        <v>5.9180000000000001</v>
      </c>
      <c r="M111" s="14" t="s">
        <v>14</v>
      </c>
      <c r="N111" s="13">
        <v>4264.0609999999997</v>
      </c>
      <c r="O111" s="15">
        <f t="shared" si="32"/>
        <v>3.613701976457051E-4</v>
      </c>
      <c r="P111" s="10" t="s">
        <v>65</v>
      </c>
      <c r="Q111" s="11" t="s">
        <v>282</v>
      </c>
      <c r="R111" s="27">
        <v>7100023283</v>
      </c>
      <c r="S111" s="16" t="s">
        <v>283</v>
      </c>
      <c r="T111" s="19" t="str">
        <f t="shared" si="27"/>
        <v>1-2026</v>
      </c>
      <c r="U111" s="2">
        <f t="shared" si="28"/>
        <v>2026</v>
      </c>
      <c r="V111" s="2" t="str">
        <f t="shared" si="29"/>
        <v>1-C</v>
      </c>
      <c r="W111" s="21"/>
      <c r="X111" s="2" t="b">
        <f t="shared" si="33"/>
        <v>0</v>
      </c>
    </row>
    <row r="112" spans="2:24" hidden="1" x14ac:dyDescent="0.3">
      <c r="B112" s="17">
        <v>46047</v>
      </c>
      <c r="C112" s="10" t="s">
        <v>60</v>
      </c>
      <c r="D112" s="11">
        <v>177778</v>
      </c>
      <c r="E112" s="26">
        <v>85284</v>
      </c>
      <c r="F112" s="10" t="s">
        <v>111</v>
      </c>
      <c r="G112" s="10" t="s">
        <v>152</v>
      </c>
      <c r="H112" s="10" t="s">
        <v>24</v>
      </c>
      <c r="I112" s="12">
        <v>939</v>
      </c>
      <c r="J112" s="12">
        <v>30</v>
      </c>
      <c r="K112" s="13">
        <v>3785.52</v>
      </c>
      <c r="L112" s="21">
        <v>5.9180000000000001</v>
      </c>
      <c r="M112" s="14" t="s">
        <v>14</v>
      </c>
      <c r="N112" s="13">
        <v>22404.069</v>
      </c>
      <c r="O112" s="15">
        <f t="shared" si="32"/>
        <v>3.5969695048443384E-4</v>
      </c>
      <c r="P112" s="10" t="s">
        <v>65</v>
      </c>
      <c r="Q112" s="11" t="s">
        <v>282</v>
      </c>
      <c r="R112" s="27">
        <v>7100023283</v>
      </c>
      <c r="S112" s="16" t="s">
        <v>283</v>
      </c>
      <c r="T112" s="19" t="str">
        <f t="shared" si="27"/>
        <v>1-2026</v>
      </c>
      <c r="U112" s="2">
        <f t="shared" si="28"/>
        <v>2026</v>
      </c>
      <c r="V112" s="2" t="str">
        <f t="shared" si="29"/>
        <v>1-C</v>
      </c>
      <c r="W112" s="21"/>
      <c r="X112" s="2" t="b">
        <f t="shared" si="33"/>
        <v>0</v>
      </c>
    </row>
    <row r="113" spans="2:24" hidden="1" x14ac:dyDescent="0.3">
      <c r="B113" s="17">
        <v>46047</v>
      </c>
      <c r="C113" s="10" t="s">
        <v>60</v>
      </c>
      <c r="D113" s="11">
        <v>177778</v>
      </c>
      <c r="E113" s="26">
        <v>85284</v>
      </c>
      <c r="F113" s="10" t="s">
        <v>284</v>
      </c>
      <c r="G113" s="10" t="s">
        <v>152</v>
      </c>
      <c r="H113" s="10" t="s">
        <v>24</v>
      </c>
      <c r="I113" s="12">
        <v>956</v>
      </c>
      <c r="J113" s="12">
        <v>30</v>
      </c>
      <c r="K113" s="13">
        <v>651.29999999999995</v>
      </c>
      <c r="L113" s="21">
        <v>5.9180000000000001</v>
      </c>
      <c r="M113" s="14" t="s">
        <v>14</v>
      </c>
      <c r="N113" s="13">
        <v>3854.6280000000002</v>
      </c>
      <c r="O113" s="15">
        <f t="shared" si="32"/>
        <v>3.6020267158054509E-4</v>
      </c>
      <c r="P113" s="10" t="s">
        <v>65</v>
      </c>
      <c r="Q113" s="11" t="s">
        <v>282</v>
      </c>
      <c r="R113" s="27">
        <v>7100023283</v>
      </c>
      <c r="S113" s="16" t="s">
        <v>283</v>
      </c>
      <c r="T113" s="19" t="str">
        <f t="shared" si="27"/>
        <v>1-2026</v>
      </c>
      <c r="U113" s="2">
        <f t="shared" si="28"/>
        <v>2026</v>
      </c>
      <c r="V113" s="2" t="str">
        <f t="shared" si="29"/>
        <v>1-C</v>
      </c>
      <c r="W113" s="21"/>
      <c r="X113" s="2" t="b">
        <f t="shared" si="33"/>
        <v>0</v>
      </c>
    </row>
    <row r="114" spans="2:24" hidden="1" x14ac:dyDescent="0.3">
      <c r="B114" s="17">
        <v>46047</v>
      </c>
      <c r="C114" s="10" t="s">
        <v>60</v>
      </c>
      <c r="D114" s="11">
        <v>177778</v>
      </c>
      <c r="E114" s="26">
        <v>85284</v>
      </c>
      <c r="F114" s="10" t="s">
        <v>76</v>
      </c>
      <c r="G114" s="10" t="s">
        <v>152</v>
      </c>
      <c r="H114" s="10" t="s">
        <v>25</v>
      </c>
      <c r="I114" s="12">
        <v>1093</v>
      </c>
      <c r="J114" s="12">
        <v>30</v>
      </c>
      <c r="K114" s="13">
        <v>803.4</v>
      </c>
      <c r="L114" s="21">
        <v>4.9989999999999997</v>
      </c>
      <c r="M114" s="14" t="s">
        <v>14</v>
      </c>
      <c r="N114" s="13">
        <v>4016.4859999999999</v>
      </c>
      <c r="O114" s="15">
        <f t="shared" si="32"/>
        <v>3.602190689573348E-4</v>
      </c>
      <c r="P114" s="10" t="s">
        <v>63</v>
      </c>
      <c r="Q114" s="11" t="s">
        <v>282</v>
      </c>
      <c r="R114" s="27">
        <v>7100023283</v>
      </c>
      <c r="S114" s="16" t="s">
        <v>283</v>
      </c>
      <c r="T114" s="19" t="str">
        <f t="shared" si="27"/>
        <v>1-2026</v>
      </c>
      <c r="U114" s="2">
        <f t="shared" si="28"/>
        <v>2026</v>
      </c>
      <c r="V114" s="2" t="str">
        <f t="shared" si="29"/>
        <v>1-C</v>
      </c>
      <c r="W114" s="21"/>
      <c r="X114" s="2" t="b">
        <f t="shared" si="33"/>
        <v>0</v>
      </c>
    </row>
    <row r="115" spans="2:24" hidden="1" x14ac:dyDescent="0.3">
      <c r="B115" s="17">
        <v>46047</v>
      </c>
      <c r="C115" s="10" t="s">
        <v>60</v>
      </c>
      <c r="D115" s="11">
        <v>177778</v>
      </c>
      <c r="E115" s="26">
        <v>85284</v>
      </c>
      <c r="F115" s="10" t="s">
        <v>108</v>
      </c>
      <c r="G115" s="10" t="s">
        <v>152</v>
      </c>
      <c r="H115" s="10" t="s">
        <v>25</v>
      </c>
      <c r="I115" s="12">
        <v>1003</v>
      </c>
      <c r="J115" s="12">
        <v>30</v>
      </c>
      <c r="K115" s="13">
        <v>10358.99</v>
      </c>
      <c r="L115" s="21">
        <v>4.9989999999999997</v>
      </c>
      <c r="M115" s="14" t="s">
        <v>14</v>
      </c>
      <c r="N115" s="13">
        <v>51788.319000000003</v>
      </c>
      <c r="O115" s="15">
        <f t="shared" si="32"/>
        <v>3.5987967939021814E-4</v>
      </c>
      <c r="P115" s="10" t="s">
        <v>63</v>
      </c>
      <c r="Q115" s="11" t="s">
        <v>282</v>
      </c>
      <c r="R115" s="27">
        <v>7100023283</v>
      </c>
      <c r="S115" s="16" t="s">
        <v>283</v>
      </c>
      <c r="T115" s="19" t="str">
        <f t="shared" si="27"/>
        <v>1-2026</v>
      </c>
      <c r="U115" s="2">
        <f t="shared" si="28"/>
        <v>2026</v>
      </c>
      <c r="V115" s="2" t="str">
        <f t="shared" si="29"/>
        <v>1-C</v>
      </c>
      <c r="W115" s="21"/>
      <c r="X115" s="2" t="b">
        <f t="shared" si="33"/>
        <v>0</v>
      </c>
    </row>
    <row r="116" spans="2:24" hidden="1" x14ac:dyDescent="0.3">
      <c r="B116" s="17">
        <v>46047</v>
      </c>
      <c r="C116" s="10" t="s">
        <v>60</v>
      </c>
      <c r="D116" s="11">
        <v>177778</v>
      </c>
      <c r="E116" s="26">
        <v>85284</v>
      </c>
      <c r="F116" s="10" t="s">
        <v>175</v>
      </c>
      <c r="G116" s="10" t="s">
        <v>152</v>
      </c>
      <c r="H116" s="10" t="s">
        <v>25</v>
      </c>
      <c r="I116" s="12">
        <v>1173</v>
      </c>
      <c r="J116" s="12">
        <v>40</v>
      </c>
      <c r="K116" s="13">
        <v>1295.7</v>
      </c>
      <c r="L116" s="21">
        <v>4.9989999999999997</v>
      </c>
      <c r="M116" s="14" t="s">
        <v>14</v>
      </c>
      <c r="N116" s="13">
        <v>6477.6710000000003</v>
      </c>
      <c r="O116" s="15">
        <f t="shared" si="32"/>
        <v>3.6019140233101155E-4</v>
      </c>
      <c r="P116" s="10" t="s">
        <v>63</v>
      </c>
      <c r="Q116" s="11" t="s">
        <v>282</v>
      </c>
      <c r="R116" s="27">
        <v>7100023283</v>
      </c>
      <c r="S116" s="16" t="s">
        <v>283</v>
      </c>
      <c r="T116" s="19" t="str">
        <f t="shared" si="27"/>
        <v>1-2026</v>
      </c>
      <c r="U116" s="2">
        <f t="shared" si="28"/>
        <v>2026</v>
      </c>
      <c r="V116" s="2" t="str">
        <f t="shared" si="29"/>
        <v>1-C</v>
      </c>
      <c r="W116" s="21"/>
      <c r="X116" s="2" t="b">
        <f t="shared" si="33"/>
        <v>0</v>
      </c>
    </row>
    <row r="117" spans="2:24" hidden="1" x14ac:dyDescent="0.3">
      <c r="B117" s="17">
        <v>46047</v>
      </c>
      <c r="C117" s="10" t="s">
        <v>185</v>
      </c>
      <c r="D117" s="11">
        <v>177539</v>
      </c>
      <c r="E117" s="26">
        <v>85245</v>
      </c>
      <c r="F117" s="10" t="s">
        <v>27</v>
      </c>
      <c r="G117" s="10" t="s">
        <v>153</v>
      </c>
      <c r="H117" s="10" t="s">
        <v>28</v>
      </c>
      <c r="I117" s="12" t="s">
        <v>37</v>
      </c>
      <c r="J117" s="12" t="s">
        <v>37</v>
      </c>
      <c r="K117" s="13">
        <v>12600</v>
      </c>
      <c r="L117" s="21">
        <v>3.06</v>
      </c>
      <c r="M117" s="14" t="s">
        <v>14</v>
      </c>
      <c r="N117" s="13">
        <v>38556</v>
      </c>
      <c r="O117" s="15">
        <f t="shared" ref="O117:O118" si="34">(N117/K117)-L117</f>
        <v>0</v>
      </c>
      <c r="P117" s="10" t="s">
        <v>64</v>
      </c>
      <c r="Q117" s="11" t="s">
        <v>285</v>
      </c>
      <c r="R117" s="11" t="s">
        <v>286</v>
      </c>
      <c r="S117" s="16" t="s">
        <v>287</v>
      </c>
      <c r="T117" s="19" t="str">
        <f t="shared" si="27"/>
        <v>1-2026</v>
      </c>
      <c r="U117" s="2">
        <f t="shared" si="28"/>
        <v>2026</v>
      </c>
      <c r="V117" s="2" t="str">
        <f t="shared" si="29"/>
        <v>1-C</v>
      </c>
      <c r="W117" s="21"/>
      <c r="X117" s="2" t="b">
        <f t="shared" ref="X117:X118" si="35">+L117=W117</f>
        <v>0</v>
      </c>
    </row>
    <row r="118" spans="2:24" hidden="1" x14ac:dyDescent="0.3">
      <c r="B118" s="17">
        <v>46047</v>
      </c>
      <c r="C118" s="10" t="s">
        <v>185</v>
      </c>
      <c r="D118" s="11">
        <v>177539</v>
      </c>
      <c r="E118" s="26">
        <v>85146</v>
      </c>
      <c r="F118" s="10" t="s">
        <v>27</v>
      </c>
      <c r="G118" s="10" t="s">
        <v>153</v>
      </c>
      <c r="H118" s="10" t="s">
        <v>28</v>
      </c>
      <c r="I118" s="12" t="s">
        <v>37</v>
      </c>
      <c r="J118" s="12" t="s">
        <v>37</v>
      </c>
      <c r="K118" s="13">
        <v>13500</v>
      </c>
      <c r="L118" s="21">
        <v>3.06</v>
      </c>
      <c r="M118" s="14" t="s">
        <v>14</v>
      </c>
      <c r="N118" s="13">
        <v>41310</v>
      </c>
      <c r="O118" s="15">
        <f t="shared" si="34"/>
        <v>0</v>
      </c>
      <c r="P118" s="10" t="s">
        <v>64</v>
      </c>
      <c r="Q118" s="11" t="s">
        <v>288</v>
      </c>
      <c r="R118" s="11" t="s">
        <v>289</v>
      </c>
      <c r="S118" s="16" t="s">
        <v>290</v>
      </c>
      <c r="T118" s="19" t="str">
        <f t="shared" si="27"/>
        <v>1-2026</v>
      </c>
      <c r="U118" s="2">
        <f t="shared" si="28"/>
        <v>2026</v>
      </c>
      <c r="V118" s="2" t="str">
        <f t="shared" si="29"/>
        <v>1-C</v>
      </c>
      <c r="W118" s="21"/>
      <c r="X118" s="2" t="b">
        <f t="shared" si="35"/>
        <v>0</v>
      </c>
    </row>
    <row r="119" spans="2:24" hidden="1" x14ac:dyDescent="0.3">
      <c r="B119" s="17">
        <v>46058</v>
      </c>
      <c r="C119" s="10" t="s">
        <v>26</v>
      </c>
      <c r="D119" s="11">
        <v>177876</v>
      </c>
      <c r="E119" s="26">
        <v>85575</v>
      </c>
      <c r="F119" s="10" t="s">
        <v>29</v>
      </c>
      <c r="G119" s="10" t="s">
        <v>153</v>
      </c>
      <c r="H119" s="10" t="s">
        <v>30</v>
      </c>
      <c r="I119" s="12" t="s">
        <v>37</v>
      </c>
      <c r="J119" s="12" t="s">
        <v>37</v>
      </c>
      <c r="K119" s="13">
        <v>330</v>
      </c>
      <c r="L119" s="21">
        <v>3.37</v>
      </c>
      <c r="M119" s="14" t="s">
        <v>14</v>
      </c>
      <c r="N119" s="13">
        <v>1112.0999999999999</v>
      </c>
      <c r="O119" s="15">
        <v>0</v>
      </c>
      <c r="P119" s="10" t="s">
        <v>64</v>
      </c>
      <c r="Q119" s="11" t="s">
        <v>291</v>
      </c>
      <c r="R119" s="11" t="s">
        <v>292</v>
      </c>
      <c r="S119" s="16" t="s">
        <v>293</v>
      </c>
      <c r="T119" s="19" t="str">
        <f t="shared" si="27"/>
        <v>2-2026</v>
      </c>
      <c r="U119" s="2">
        <f t="shared" si="28"/>
        <v>2026</v>
      </c>
      <c r="V119" s="2" t="str">
        <f t="shared" si="29"/>
        <v>2-N</v>
      </c>
      <c r="W119" s="21"/>
      <c r="X119" s="2" t="b">
        <f t="shared" ref="X119:X155" si="36">+L119=W119</f>
        <v>0</v>
      </c>
    </row>
    <row r="120" spans="2:24" hidden="1" x14ac:dyDescent="0.3">
      <c r="B120" s="17">
        <v>46059</v>
      </c>
      <c r="C120" s="10" t="s">
        <v>26</v>
      </c>
      <c r="D120" s="11">
        <v>177876</v>
      </c>
      <c r="E120" s="26">
        <v>85582</v>
      </c>
      <c r="F120" s="10" t="s">
        <v>29</v>
      </c>
      <c r="G120" s="10" t="s">
        <v>153</v>
      </c>
      <c r="H120" s="10" t="s">
        <v>30</v>
      </c>
      <c r="I120" s="12" t="s">
        <v>37</v>
      </c>
      <c r="J120" s="12" t="s">
        <v>37</v>
      </c>
      <c r="K120" s="13">
        <v>1155</v>
      </c>
      <c r="L120" s="21">
        <v>3.37</v>
      </c>
      <c r="M120" s="14" t="s">
        <v>14</v>
      </c>
      <c r="N120" s="13">
        <v>3892.35</v>
      </c>
      <c r="O120" s="15">
        <v>0</v>
      </c>
      <c r="P120" s="10" t="s">
        <v>64</v>
      </c>
      <c r="Q120" s="11" t="s">
        <v>294</v>
      </c>
      <c r="R120" s="11" t="s">
        <v>295</v>
      </c>
      <c r="S120" s="16" t="s">
        <v>296</v>
      </c>
      <c r="T120" s="19" t="str">
        <f t="shared" si="27"/>
        <v>2-2026</v>
      </c>
      <c r="U120" s="2">
        <f t="shared" si="28"/>
        <v>2026</v>
      </c>
      <c r="V120" s="2" t="str">
        <f t="shared" si="29"/>
        <v>2-N</v>
      </c>
      <c r="W120" s="21"/>
      <c r="X120" s="2" t="b">
        <f t="shared" si="36"/>
        <v>0</v>
      </c>
    </row>
    <row r="121" spans="2:24" hidden="1" x14ac:dyDescent="0.3">
      <c r="B121" s="17">
        <v>46060</v>
      </c>
      <c r="C121" s="10" t="s">
        <v>26</v>
      </c>
      <c r="D121" s="11">
        <v>177565</v>
      </c>
      <c r="E121" s="26">
        <v>85621</v>
      </c>
      <c r="F121" s="10" t="s">
        <v>31</v>
      </c>
      <c r="G121" s="10" t="s">
        <v>153</v>
      </c>
      <c r="H121" s="10" t="s">
        <v>32</v>
      </c>
      <c r="I121" s="12" t="s">
        <v>37</v>
      </c>
      <c r="J121" s="12" t="s">
        <v>37</v>
      </c>
      <c r="K121" s="13">
        <v>640</v>
      </c>
      <c r="L121" s="21">
        <v>4.4000000000000004</v>
      </c>
      <c r="M121" s="14" t="s">
        <v>14</v>
      </c>
      <c r="N121" s="13">
        <v>2816</v>
      </c>
      <c r="O121" s="15">
        <v>0</v>
      </c>
      <c r="P121" s="10" t="s">
        <v>64</v>
      </c>
      <c r="Q121" s="11" t="s">
        <v>297</v>
      </c>
      <c r="R121" s="11" t="s">
        <v>298</v>
      </c>
      <c r="S121" s="16" t="s">
        <v>299</v>
      </c>
      <c r="T121" s="19" t="str">
        <f t="shared" si="27"/>
        <v>2-2026</v>
      </c>
      <c r="U121" s="2">
        <f t="shared" si="28"/>
        <v>2026</v>
      </c>
      <c r="V121" s="2" t="str">
        <f t="shared" si="29"/>
        <v>2-N</v>
      </c>
      <c r="W121" s="21"/>
      <c r="X121" s="2" t="b">
        <f t="shared" si="36"/>
        <v>0</v>
      </c>
    </row>
    <row r="122" spans="2:24" hidden="1" x14ac:dyDescent="0.3">
      <c r="B122" s="17">
        <v>46060</v>
      </c>
      <c r="C122" s="10" t="s">
        <v>26</v>
      </c>
      <c r="D122" s="11">
        <v>177565</v>
      </c>
      <c r="E122" s="26">
        <v>85621</v>
      </c>
      <c r="F122" s="10" t="s">
        <v>33</v>
      </c>
      <c r="G122" s="10" t="s">
        <v>153</v>
      </c>
      <c r="H122" s="10" t="s">
        <v>34</v>
      </c>
      <c r="I122" s="12" t="s">
        <v>37</v>
      </c>
      <c r="J122" s="12" t="s">
        <v>37</v>
      </c>
      <c r="K122" s="13">
        <v>45</v>
      </c>
      <c r="L122" s="21">
        <v>4.4000000000000004</v>
      </c>
      <c r="M122" s="14" t="s">
        <v>14</v>
      </c>
      <c r="N122" s="13">
        <v>198</v>
      </c>
      <c r="O122" s="15">
        <v>0</v>
      </c>
      <c r="P122" s="10" t="s">
        <v>64</v>
      </c>
      <c r="Q122" s="11" t="s">
        <v>297</v>
      </c>
      <c r="R122" s="11" t="s">
        <v>298</v>
      </c>
      <c r="S122" s="16" t="s">
        <v>299</v>
      </c>
      <c r="T122" s="19" t="str">
        <f t="shared" si="27"/>
        <v>2-2026</v>
      </c>
      <c r="U122" s="2">
        <f t="shared" si="28"/>
        <v>2026</v>
      </c>
      <c r="V122" s="2" t="str">
        <f t="shared" si="29"/>
        <v>2-N</v>
      </c>
      <c r="W122" s="21"/>
      <c r="X122" s="2" t="b">
        <f t="shared" si="36"/>
        <v>0</v>
      </c>
    </row>
    <row r="123" spans="2:24" hidden="1" x14ac:dyDescent="0.3">
      <c r="B123" s="17">
        <v>46060</v>
      </c>
      <c r="C123" s="10" t="s">
        <v>26</v>
      </c>
      <c r="D123" s="11">
        <v>178037</v>
      </c>
      <c r="E123" s="26">
        <v>85621</v>
      </c>
      <c r="F123" s="10" t="s">
        <v>33</v>
      </c>
      <c r="G123" s="10" t="s">
        <v>153</v>
      </c>
      <c r="H123" s="10" t="s">
        <v>34</v>
      </c>
      <c r="I123" s="12" t="s">
        <v>37</v>
      </c>
      <c r="J123" s="12" t="s">
        <v>37</v>
      </c>
      <c r="K123" s="13">
        <v>315</v>
      </c>
      <c r="L123" s="21">
        <v>4.4000000000000004</v>
      </c>
      <c r="M123" s="14" t="s">
        <v>14</v>
      </c>
      <c r="N123" s="13">
        <v>1386</v>
      </c>
      <c r="O123" s="15">
        <v>0</v>
      </c>
      <c r="P123" s="10" t="s">
        <v>64</v>
      </c>
      <c r="Q123" s="11" t="s">
        <v>297</v>
      </c>
      <c r="R123" s="11" t="s">
        <v>298</v>
      </c>
      <c r="S123" s="16" t="s">
        <v>299</v>
      </c>
      <c r="T123" s="19" t="str">
        <f t="shared" si="27"/>
        <v>2-2026</v>
      </c>
      <c r="U123" s="2">
        <f t="shared" si="28"/>
        <v>2026</v>
      </c>
      <c r="V123" s="2" t="str">
        <f t="shared" si="29"/>
        <v>2-N</v>
      </c>
      <c r="W123" s="21"/>
      <c r="X123" s="2" t="b">
        <f t="shared" si="36"/>
        <v>0</v>
      </c>
    </row>
    <row r="124" spans="2:24" hidden="1" x14ac:dyDescent="0.3">
      <c r="B124" s="17">
        <v>46060</v>
      </c>
      <c r="C124" s="10" t="s">
        <v>67</v>
      </c>
      <c r="D124" s="11">
        <v>177904</v>
      </c>
      <c r="E124" s="26">
        <v>85623</v>
      </c>
      <c r="F124" s="10" t="s">
        <v>27</v>
      </c>
      <c r="G124" s="10" t="s">
        <v>153</v>
      </c>
      <c r="H124" s="10" t="s">
        <v>28</v>
      </c>
      <c r="I124" s="12" t="s">
        <v>37</v>
      </c>
      <c r="J124" s="12" t="s">
        <v>37</v>
      </c>
      <c r="K124" s="13">
        <v>9900</v>
      </c>
      <c r="L124" s="21">
        <v>3.05</v>
      </c>
      <c r="M124" s="14" t="s">
        <v>14</v>
      </c>
      <c r="N124" s="13">
        <v>30195</v>
      </c>
      <c r="O124" s="15">
        <v>0</v>
      </c>
      <c r="P124" s="10" t="s">
        <v>64</v>
      </c>
      <c r="Q124" s="11" t="s">
        <v>300</v>
      </c>
      <c r="R124" s="11" t="s">
        <v>301</v>
      </c>
      <c r="S124" s="16" t="s">
        <v>302</v>
      </c>
      <c r="T124" s="19" t="str">
        <f t="shared" si="27"/>
        <v>2-2026</v>
      </c>
      <c r="U124" s="2">
        <f t="shared" si="28"/>
        <v>2026</v>
      </c>
      <c r="V124" s="2" t="str">
        <f t="shared" si="29"/>
        <v>2-N</v>
      </c>
      <c r="W124" s="21"/>
      <c r="X124" s="2" t="b">
        <f t="shared" si="36"/>
        <v>0</v>
      </c>
    </row>
    <row r="125" spans="2:24" hidden="1" x14ac:dyDescent="0.3">
      <c r="B125" s="17">
        <v>46058</v>
      </c>
      <c r="C125" s="10" t="s">
        <v>26</v>
      </c>
      <c r="D125" s="11">
        <v>178037</v>
      </c>
      <c r="E125" s="26">
        <v>85574</v>
      </c>
      <c r="F125" s="10" t="s">
        <v>33</v>
      </c>
      <c r="G125" s="10" t="s">
        <v>153</v>
      </c>
      <c r="H125" s="10" t="s">
        <v>34</v>
      </c>
      <c r="I125" s="12" t="s">
        <v>37</v>
      </c>
      <c r="J125" s="12" t="s">
        <v>37</v>
      </c>
      <c r="K125" s="13">
        <v>1800</v>
      </c>
      <c r="L125" s="21">
        <v>4.45</v>
      </c>
      <c r="M125" s="14" t="s">
        <v>14</v>
      </c>
      <c r="N125" s="13">
        <v>8010</v>
      </c>
      <c r="O125" s="15">
        <v>0</v>
      </c>
      <c r="P125" s="10" t="s">
        <v>64</v>
      </c>
      <c r="Q125" s="11" t="s">
        <v>303</v>
      </c>
      <c r="R125" s="11" t="s">
        <v>304</v>
      </c>
      <c r="S125" s="16" t="s">
        <v>305</v>
      </c>
      <c r="T125" s="19" t="str">
        <f t="shared" si="27"/>
        <v>2-2026</v>
      </c>
      <c r="U125" s="2">
        <f t="shared" si="28"/>
        <v>2026</v>
      </c>
      <c r="V125" s="2" t="str">
        <f t="shared" si="29"/>
        <v>2-N</v>
      </c>
      <c r="W125" s="21"/>
      <c r="X125" s="2" t="b">
        <f t="shared" si="36"/>
        <v>0</v>
      </c>
    </row>
    <row r="126" spans="2:24" hidden="1" x14ac:dyDescent="0.3">
      <c r="B126" s="17">
        <v>46056</v>
      </c>
      <c r="C126" s="10" t="s">
        <v>88</v>
      </c>
      <c r="D126" s="11">
        <v>177458</v>
      </c>
      <c r="E126" s="26">
        <v>85514</v>
      </c>
      <c r="F126" s="10" t="s">
        <v>84</v>
      </c>
      <c r="G126" s="10" t="s">
        <v>154</v>
      </c>
      <c r="H126" s="10" t="s">
        <v>85</v>
      </c>
      <c r="I126" s="12" t="s">
        <v>37</v>
      </c>
      <c r="J126" s="12" t="s">
        <v>37</v>
      </c>
      <c r="K126" s="13">
        <v>185</v>
      </c>
      <c r="L126" s="21">
        <v>47.46</v>
      </c>
      <c r="M126" s="14" t="s">
        <v>14</v>
      </c>
      <c r="N126" s="13">
        <v>8780.1</v>
      </c>
      <c r="O126" s="15">
        <v>0</v>
      </c>
      <c r="P126" s="10" t="s">
        <v>69</v>
      </c>
      <c r="Q126" s="11" t="s">
        <v>306</v>
      </c>
      <c r="R126" s="11" t="s">
        <v>307</v>
      </c>
      <c r="S126" s="16" t="s">
        <v>308</v>
      </c>
      <c r="T126" s="19" t="str">
        <f t="shared" si="27"/>
        <v>2-2026</v>
      </c>
      <c r="U126" s="2">
        <f t="shared" si="28"/>
        <v>2026</v>
      </c>
      <c r="V126" s="2" t="str">
        <f t="shared" si="29"/>
        <v>2-N</v>
      </c>
      <c r="W126" s="21"/>
      <c r="X126" s="2" t="b">
        <f t="shared" si="36"/>
        <v>0</v>
      </c>
    </row>
    <row r="127" spans="2:24" hidden="1" x14ac:dyDescent="0.3">
      <c r="B127" s="17">
        <v>46056</v>
      </c>
      <c r="C127" s="10" t="s">
        <v>88</v>
      </c>
      <c r="D127" s="11">
        <v>177458</v>
      </c>
      <c r="E127" s="26">
        <v>85514</v>
      </c>
      <c r="F127" s="10" t="s">
        <v>86</v>
      </c>
      <c r="G127" s="10" t="s">
        <v>154</v>
      </c>
      <c r="H127" s="10" t="s">
        <v>87</v>
      </c>
      <c r="I127" s="12" t="s">
        <v>37</v>
      </c>
      <c r="J127" s="12" t="s">
        <v>37</v>
      </c>
      <c r="K127" s="13">
        <v>6160</v>
      </c>
      <c r="L127" s="21">
        <v>11.72</v>
      </c>
      <c r="M127" s="14" t="s">
        <v>14</v>
      </c>
      <c r="N127" s="13">
        <v>72195.199999999997</v>
      </c>
      <c r="O127" s="15">
        <v>0</v>
      </c>
      <c r="P127" s="10" t="s">
        <v>69</v>
      </c>
      <c r="Q127" s="11" t="s">
        <v>306</v>
      </c>
      <c r="R127" s="11" t="s">
        <v>307</v>
      </c>
      <c r="S127" s="16" t="s">
        <v>308</v>
      </c>
      <c r="T127" s="19" t="str">
        <f t="shared" si="27"/>
        <v>2-2026</v>
      </c>
      <c r="U127" s="2">
        <f t="shared" si="28"/>
        <v>2026</v>
      </c>
      <c r="V127" s="2" t="str">
        <f t="shared" si="29"/>
        <v>2-N</v>
      </c>
      <c r="W127" s="21"/>
      <c r="X127" s="2" t="b">
        <f t="shared" si="36"/>
        <v>0</v>
      </c>
    </row>
    <row r="128" spans="2:24" hidden="1" x14ac:dyDescent="0.3">
      <c r="B128" s="17">
        <v>46057</v>
      </c>
      <c r="C128" s="10" t="s">
        <v>150</v>
      </c>
      <c r="D128" s="11">
        <v>178033</v>
      </c>
      <c r="E128" s="26">
        <v>85540</v>
      </c>
      <c r="F128" s="10" t="s">
        <v>96</v>
      </c>
      <c r="G128" s="10" t="s">
        <v>154</v>
      </c>
      <c r="H128" s="10" t="s">
        <v>97</v>
      </c>
      <c r="I128" s="12" t="s">
        <v>37</v>
      </c>
      <c r="J128" s="12" t="s">
        <v>37</v>
      </c>
      <c r="K128" s="13">
        <v>230</v>
      </c>
      <c r="L128" s="21">
        <v>11.66</v>
      </c>
      <c r="M128" s="14" t="s">
        <v>14</v>
      </c>
      <c r="N128" s="13">
        <v>2681.8</v>
      </c>
      <c r="O128" s="15">
        <v>0</v>
      </c>
      <c r="P128" s="10" t="s">
        <v>69</v>
      </c>
      <c r="Q128" s="11" t="s">
        <v>309</v>
      </c>
      <c r="R128" s="11" t="s">
        <v>310</v>
      </c>
      <c r="S128" s="16" t="s">
        <v>311</v>
      </c>
      <c r="T128" s="19" t="str">
        <f t="shared" si="27"/>
        <v>2-2026</v>
      </c>
      <c r="U128" s="2">
        <f t="shared" si="28"/>
        <v>2026</v>
      </c>
      <c r="V128" s="2" t="str">
        <f t="shared" si="29"/>
        <v>2-N</v>
      </c>
      <c r="W128" s="21"/>
      <c r="X128" s="2" t="b">
        <f t="shared" si="36"/>
        <v>0</v>
      </c>
    </row>
    <row r="129" spans="2:24" hidden="1" x14ac:dyDescent="0.3">
      <c r="B129" s="17">
        <v>46057</v>
      </c>
      <c r="C129" s="10" t="s">
        <v>150</v>
      </c>
      <c r="D129" s="11">
        <v>178033</v>
      </c>
      <c r="E129" s="26">
        <v>85540</v>
      </c>
      <c r="F129" s="10" t="s">
        <v>138</v>
      </c>
      <c r="G129" s="10" t="s">
        <v>154</v>
      </c>
      <c r="H129" s="10" t="s">
        <v>139</v>
      </c>
      <c r="I129" s="12" t="s">
        <v>37</v>
      </c>
      <c r="J129" s="12" t="s">
        <v>37</v>
      </c>
      <c r="K129" s="13">
        <v>230</v>
      </c>
      <c r="L129" s="21">
        <v>12.75</v>
      </c>
      <c r="M129" s="14" t="s">
        <v>14</v>
      </c>
      <c r="N129" s="13">
        <v>2932.5</v>
      </c>
      <c r="O129" s="15">
        <v>0</v>
      </c>
      <c r="P129" s="10" t="s">
        <v>69</v>
      </c>
      <c r="Q129" s="11" t="s">
        <v>309</v>
      </c>
      <c r="R129" s="11" t="s">
        <v>310</v>
      </c>
      <c r="S129" s="16" t="s">
        <v>311</v>
      </c>
      <c r="T129" s="19" t="str">
        <f t="shared" si="27"/>
        <v>2-2026</v>
      </c>
      <c r="U129" s="2">
        <f t="shared" si="28"/>
        <v>2026</v>
      </c>
      <c r="V129" s="2" t="str">
        <f t="shared" si="29"/>
        <v>2-N</v>
      </c>
      <c r="W129" s="21"/>
      <c r="X129" s="2" t="b">
        <f t="shared" si="36"/>
        <v>0</v>
      </c>
    </row>
    <row r="130" spans="2:24" hidden="1" x14ac:dyDescent="0.3">
      <c r="B130" s="17">
        <v>46059</v>
      </c>
      <c r="C130" s="10" t="s">
        <v>157</v>
      </c>
      <c r="D130" s="11">
        <v>177243</v>
      </c>
      <c r="E130" s="26">
        <v>85595</v>
      </c>
      <c r="F130" s="10" t="s">
        <v>99</v>
      </c>
      <c r="G130" s="10" t="s">
        <v>154</v>
      </c>
      <c r="H130" s="10" t="s">
        <v>100</v>
      </c>
      <c r="I130" s="12" t="s">
        <v>37</v>
      </c>
      <c r="J130" s="12" t="s">
        <v>37</v>
      </c>
      <c r="K130" s="13">
        <v>3800</v>
      </c>
      <c r="L130" s="21">
        <v>9.7409999999999997</v>
      </c>
      <c r="M130" s="14" t="s">
        <v>14</v>
      </c>
      <c r="N130" s="13">
        <v>37017.32</v>
      </c>
      <c r="O130" s="15">
        <v>0</v>
      </c>
      <c r="P130" s="10" t="s">
        <v>72</v>
      </c>
      <c r="Q130" s="11" t="s">
        <v>312</v>
      </c>
      <c r="R130" s="27">
        <v>900014199</v>
      </c>
      <c r="S130" s="16" t="s">
        <v>313</v>
      </c>
      <c r="T130" s="19" t="str">
        <f t="shared" si="27"/>
        <v>2-2026</v>
      </c>
      <c r="U130" s="2">
        <f t="shared" si="28"/>
        <v>2026</v>
      </c>
      <c r="V130" s="2" t="str">
        <f t="shared" si="29"/>
        <v>2-N</v>
      </c>
      <c r="W130" s="21"/>
      <c r="X130" s="2" t="b">
        <f t="shared" si="36"/>
        <v>0</v>
      </c>
    </row>
    <row r="131" spans="2:24" hidden="1" x14ac:dyDescent="0.3">
      <c r="B131" s="17">
        <v>46059</v>
      </c>
      <c r="C131" s="10" t="s">
        <v>157</v>
      </c>
      <c r="D131" s="11">
        <v>177243</v>
      </c>
      <c r="E131" s="26">
        <v>85595</v>
      </c>
      <c r="F131" s="10" t="s">
        <v>58</v>
      </c>
      <c r="G131" s="10" t="s">
        <v>154</v>
      </c>
      <c r="H131" s="10" t="s">
        <v>59</v>
      </c>
      <c r="I131" s="12" t="s">
        <v>37</v>
      </c>
      <c r="J131" s="12" t="s">
        <v>37</v>
      </c>
      <c r="K131" s="13">
        <v>11000</v>
      </c>
      <c r="L131" s="21">
        <v>9.5939999999999994</v>
      </c>
      <c r="M131" s="14" t="s">
        <v>14</v>
      </c>
      <c r="N131" s="13">
        <v>105537.96</v>
      </c>
      <c r="O131" s="15">
        <v>0</v>
      </c>
      <c r="P131" s="10" t="s">
        <v>72</v>
      </c>
      <c r="Q131" s="11" t="s">
        <v>312</v>
      </c>
      <c r="R131" s="27">
        <v>900014199</v>
      </c>
      <c r="S131" s="16" t="s">
        <v>313</v>
      </c>
      <c r="T131" s="19" t="str">
        <f t="shared" si="27"/>
        <v>2-2026</v>
      </c>
      <c r="U131" s="2">
        <f t="shared" si="28"/>
        <v>2026</v>
      </c>
      <c r="V131" s="2" t="str">
        <f t="shared" si="29"/>
        <v>2-N</v>
      </c>
      <c r="W131" s="21"/>
      <c r="X131" s="2" t="b">
        <f t="shared" si="36"/>
        <v>0</v>
      </c>
    </row>
    <row r="132" spans="2:24" hidden="1" x14ac:dyDescent="0.3">
      <c r="B132" s="17">
        <v>46059</v>
      </c>
      <c r="C132" s="10" t="s">
        <v>157</v>
      </c>
      <c r="D132" s="11">
        <v>177243</v>
      </c>
      <c r="E132" s="26">
        <v>85595</v>
      </c>
      <c r="F132" s="10" t="s">
        <v>141</v>
      </c>
      <c r="G132" s="10" t="s">
        <v>154</v>
      </c>
      <c r="H132" s="10" t="s">
        <v>142</v>
      </c>
      <c r="I132" s="12" t="s">
        <v>37</v>
      </c>
      <c r="J132" s="12" t="s">
        <v>37</v>
      </c>
      <c r="K132" s="13">
        <v>1200</v>
      </c>
      <c r="L132" s="21">
        <v>9.5210000000000008</v>
      </c>
      <c r="M132" s="14" t="s">
        <v>14</v>
      </c>
      <c r="N132" s="13">
        <v>11425.008</v>
      </c>
      <c r="O132" s="15">
        <v>0</v>
      </c>
      <c r="P132" s="10" t="s">
        <v>72</v>
      </c>
      <c r="Q132" s="11" t="s">
        <v>312</v>
      </c>
      <c r="R132" s="27">
        <v>900014199</v>
      </c>
      <c r="S132" s="16" t="s">
        <v>313</v>
      </c>
      <c r="T132" s="19" t="str">
        <f t="shared" ref="T132:T163" si="37">MONTH(B132)&amp;"-"&amp;YEAR(B132)</f>
        <v>2-2026</v>
      </c>
      <c r="U132" s="2">
        <f t="shared" ref="U132:U163" si="38">YEAR(B132)</f>
        <v>2026</v>
      </c>
      <c r="V132" s="2" t="str">
        <f t="shared" ref="V132:V163" si="39">IF(DAY(B132)&gt;15,MONTH(B132)&amp;"-C",MONTH(B132)&amp;"-N")</f>
        <v>2-N</v>
      </c>
      <c r="W132" s="21"/>
      <c r="X132" s="2" t="b">
        <f t="shared" si="36"/>
        <v>0</v>
      </c>
    </row>
    <row r="133" spans="2:24" hidden="1" x14ac:dyDescent="0.3">
      <c r="B133" s="17">
        <v>46057</v>
      </c>
      <c r="C133" s="10" t="s">
        <v>17</v>
      </c>
      <c r="D133" s="11">
        <v>177937</v>
      </c>
      <c r="E133" s="26">
        <v>85572</v>
      </c>
      <c r="F133" s="10" t="s">
        <v>132</v>
      </c>
      <c r="G133" s="10" t="s">
        <v>152</v>
      </c>
      <c r="H133" s="10" t="s">
        <v>19</v>
      </c>
      <c r="I133" s="12">
        <v>1048</v>
      </c>
      <c r="J133" s="12">
        <v>12</v>
      </c>
      <c r="K133" s="13">
        <v>1727.6</v>
      </c>
      <c r="L133" s="21">
        <v>4.5880000000000001</v>
      </c>
      <c r="M133" s="14" t="s">
        <v>14</v>
      </c>
      <c r="N133" s="13">
        <v>7926.2290000000003</v>
      </c>
      <c r="O133" s="15">
        <v>0</v>
      </c>
      <c r="P133" s="10" t="s">
        <v>68</v>
      </c>
      <c r="Q133" s="11" t="s">
        <v>314</v>
      </c>
      <c r="R133" s="27">
        <v>516111260654</v>
      </c>
      <c r="S133" s="16" t="s">
        <v>315</v>
      </c>
      <c r="T133" s="19" t="str">
        <f t="shared" si="37"/>
        <v>2-2026</v>
      </c>
      <c r="U133" s="2">
        <f t="shared" si="38"/>
        <v>2026</v>
      </c>
      <c r="V133" s="2" t="str">
        <f t="shared" si="39"/>
        <v>2-N</v>
      </c>
      <c r="W133" s="21"/>
      <c r="X133" s="2" t="b">
        <f t="shared" si="36"/>
        <v>0</v>
      </c>
    </row>
    <row r="134" spans="2:24" hidden="1" x14ac:dyDescent="0.3">
      <c r="B134" s="17">
        <v>46057</v>
      </c>
      <c r="C134" s="10" t="s">
        <v>17</v>
      </c>
      <c r="D134" s="11">
        <v>177937</v>
      </c>
      <c r="E134" s="26">
        <v>85572</v>
      </c>
      <c r="F134" s="10" t="s">
        <v>57</v>
      </c>
      <c r="G134" s="10" t="s">
        <v>152</v>
      </c>
      <c r="H134" s="10" t="s">
        <v>19</v>
      </c>
      <c r="I134" s="12">
        <v>1197</v>
      </c>
      <c r="J134" s="12">
        <v>12</v>
      </c>
      <c r="K134" s="13">
        <v>991.2</v>
      </c>
      <c r="L134" s="21">
        <v>4.5880000000000001</v>
      </c>
      <c r="M134" s="14" t="s">
        <v>14</v>
      </c>
      <c r="N134" s="13">
        <v>4547.6260000000002</v>
      </c>
      <c r="O134" s="15">
        <v>0</v>
      </c>
      <c r="P134" s="10" t="s">
        <v>68</v>
      </c>
      <c r="Q134" s="11" t="s">
        <v>314</v>
      </c>
      <c r="R134" s="27">
        <v>516111260654</v>
      </c>
      <c r="S134" s="16" t="s">
        <v>315</v>
      </c>
      <c r="T134" s="19" t="str">
        <f t="shared" si="37"/>
        <v>2-2026</v>
      </c>
      <c r="U134" s="2">
        <f t="shared" si="38"/>
        <v>2026</v>
      </c>
      <c r="V134" s="2" t="str">
        <f t="shared" si="39"/>
        <v>2-N</v>
      </c>
      <c r="W134" s="21"/>
      <c r="X134" s="2" t="b">
        <f t="shared" si="36"/>
        <v>0</v>
      </c>
    </row>
    <row r="135" spans="2:24" hidden="1" x14ac:dyDescent="0.3">
      <c r="B135" s="17">
        <v>46057</v>
      </c>
      <c r="C135" s="10" t="s">
        <v>17</v>
      </c>
      <c r="D135" s="11">
        <v>177937</v>
      </c>
      <c r="E135" s="26">
        <v>85572</v>
      </c>
      <c r="F135" s="10" t="s">
        <v>40</v>
      </c>
      <c r="G135" s="10" t="s">
        <v>152</v>
      </c>
      <c r="H135" s="10" t="s">
        <v>19</v>
      </c>
      <c r="I135" s="12">
        <v>913</v>
      </c>
      <c r="J135" s="12">
        <v>12</v>
      </c>
      <c r="K135" s="13">
        <v>752.4</v>
      </c>
      <c r="L135" s="21">
        <v>4.5880000000000001</v>
      </c>
      <c r="M135" s="14" t="s">
        <v>14</v>
      </c>
      <c r="N135" s="13">
        <v>3452.011</v>
      </c>
      <c r="O135" s="15">
        <v>0</v>
      </c>
      <c r="P135" s="10" t="s">
        <v>68</v>
      </c>
      <c r="Q135" s="11" t="s">
        <v>314</v>
      </c>
      <c r="R135" s="27">
        <v>516111260654</v>
      </c>
      <c r="S135" s="16" t="s">
        <v>315</v>
      </c>
      <c r="T135" s="19" t="str">
        <f t="shared" si="37"/>
        <v>2-2026</v>
      </c>
      <c r="U135" s="2">
        <f t="shared" si="38"/>
        <v>2026</v>
      </c>
      <c r="V135" s="2" t="str">
        <f t="shared" si="39"/>
        <v>2-N</v>
      </c>
      <c r="W135" s="21"/>
      <c r="X135" s="2" t="b">
        <f t="shared" si="36"/>
        <v>0</v>
      </c>
    </row>
    <row r="136" spans="2:24" hidden="1" x14ac:dyDescent="0.3">
      <c r="B136" s="17">
        <v>46057</v>
      </c>
      <c r="C136" s="10" t="s">
        <v>17</v>
      </c>
      <c r="D136" s="11">
        <v>177937</v>
      </c>
      <c r="E136" s="26">
        <v>85572</v>
      </c>
      <c r="F136" s="10" t="s">
        <v>168</v>
      </c>
      <c r="G136" s="10" t="s">
        <v>152</v>
      </c>
      <c r="H136" s="10" t="s">
        <v>19</v>
      </c>
      <c r="I136" s="12">
        <v>985</v>
      </c>
      <c r="J136" s="12">
        <v>12</v>
      </c>
      <c r="K136" s="13">
        <v>812.9</v>
      </c>
      <c r="L136" s="21">
        <v>4.5880000000000001</v>
      </c>
      <c r="M136" s="14" t="s">
        <v>14</v>
      </c>
      <c r="N136" s="13">
        <v>3729.585</v>
      </c>
      <c r="O136" s="15">
        <v>0</v>
      </c>
      <c r="P136" s="10" t="s">
        <v>68</v>
      </c>
      <c r="Q136" s="11" t="s">
        <v>314</v>
      </c>
      <c r="R136" s="27">
        <v>516111260654</v>
      </c>
      <c r="S136" s="16" t="s">
        <v>315</v>
      </c>
      <c r="T136" s="19" t="str">
        <f t="shared" si="37"/>
        <v>2-2026</v>
      </c>
      <c r="U136" s="2">
        <f t="shared" si="38"/>
        <v>2026</v>
      </c>
      <c r="V136" s="2" t="str">
        <f t="shared" si="39"/>
        <v>2-N</v>
      </c>
      <c r="W136" s="21"/>
      <c r="X136" s="2" t="b">
        <f t="shared" si="36"/>
        <v>0</v>
      </c>
    </row>
    <row r="137" spans="2:24" hidden="1" x14ac:dyDescent="0.3">
      <c r="B137" s="17">
        <v>46058</v>
      </c>
      <c r="C137" s="10" t="s">
        <v>17</v>
      </c>
      <c r="D137" s="11">
        <v>177937</v>
      </c>
      <c r="E137" s="26">
        <v>85573</v>
      </c>
      <c r="F137" s="10" t="s">
        <v>132</v>
      </c>
      <c r="G137" s="10" t="s">
        <v>152</v>
      </c>
      <c r="H137" s="10" t="s">
        <v>19</v>
      </c>
      <c r="I137" s="12">
        <v>1048</v>
      </c>
      <c r="J137" s="12">
        <v>12</v>
      </c>
      <c r="K137" s="13">
        <v>865</v>
      </c>
      <c r="L137" s="21">
        <v>4.5880000000000001</v>
      </c>
      <c r="M137" s="14" t="s">
        <v>14</v>
      </c>
      <c r="N137" s="13">
        <v>3968.62</v>
      </c>
      <c r="O137" s="15">
        <v>0</v>
      </c>
      <c r="P137" s="10" t="s">
        <v>68</v>
      </c>
      <c r="Q137" s="11" t="s">
        <v>316</v>
      </c>
      <c r="R137" s="27">
        <v>516111260655</v>
      </c>
      <c r="S137" s="16" t="s">
        <v>317</v>
      </c>
      <c r="T137" s="19" t="str">
        <f t="shared" si="37"/>
        <v>2-2026</v>
      </c>
      <c r="U137" s="2">
        <f t="shared" si="38"/>
        <v>2026</v>
      </c>
      <c r="V137" s="2" t="str">
        <f t="shared" si="39"/>
        <v>2-N</v>
      </c>
      <c r="W137" s="21"/>
      <c r="X137" s="2" t="b">
        <f t="shared" si="36"/>
        <v>0</v>
      </c>
    </row>
    <row r="138" spans="2:24" hidden="1" x14ac:dyDescent="0.3">
      <c r="B138" s="17">
        <v>46058</v>
      </c>
      <c r="C138" s="10" t="s">
        <v>17</v>
      </c>
      <c r="D138" s="11">
        <v>177937</v>
      </c>
      <c r="E138" s="26">
        <v>85573</v>
      </c>
      <c r="F138" s="10" t="s">
        <v>53</v>
      </c>
      <c r="G138" s="10" t="s">
        <v>152</v>
      </c>
      <c r="H138" s="10" t="s">
        <v>19</v>
      </c>
      <c r="I138" s="12">
        <v>1063</v>
      </c>
      <c r="J138" s="12">
        <v>12</v>
      </c>
      <c r="K138" s="13">
        <v>2165.8000000000002</v>
      </c>
      <c r="L138" s="21">
        <v>4.5880000000000001</v>
      </c>
      <c r="M138" s="14" t="s">
        <v>14</v>
      </c>
      <c r="N138" s="13">
        <v>9936.69</v>
      </c>
      <c r="O138" s="15">
        <v>0</v>
      </c>
      <c r="P138" s="10" t="s">
        <v>68</v>
      </c>
      <c r="Q138" s="11" t="s">
        <v>316</v>
      </c>
      <c r="R138" s="27">
        <v>516111260655</v>
      </c>
      <c r="S138" s="16" t="s">
        <v>317</v>
      </c>
      <c r="T138" s="19" t="str">
        <f t="shared" si="37"/>
        <v>2-2026</v>
      </c>
      <c r="U138" s="2">
        <f t="shared" si="38"/>
        <v>2026</v>
      </c>
      <c r="V138" s="2" t="str">
        <f t="shared" si="39"/>
        <v>2-N</v>
      </c>
      <c r="W138" s="21"/>
      <c r="X138" s="2" t="b">
        <f t="shared" si="36"/>
        <v>0</v>
      </c>
    </row>
    <row r="139" spans="2:24" hidden="1" x14ac:dyDescent="0.3">
      <c r="B139" s="17">
        <v>46058</v>
      </c>
      <c r="C139" s="10" t="s">
        <v>17</v>
      </c>
      <c r="D139" s="11">
        <v>177937</v>
      </c>
      <c r="E139" s="26">
        <v>85573</v>
      </c>
      <c r="F139" s="10" t="s">
        <v>54</v>
      </c>
      <c r="G139" s="10" t="s">
        <v>152</v>
      </c>
      <c r="H139" s="10" t="s">
        <v>19</v>
      </c>
      <c r="I139" s="12">
        <v>1113</v>
      </c>
      <c r="J139" s="12">
        <v>12</v>
      </c>
      <c r="K139" s="13">
        <v>910.8</v>
      </c>
      <c r="L139" s="21">
        <v>4.5880000000000001</v>
      </c>
      <c r="M139" s="14" t="s">
        <v>14</v>
      </c>
      <c r="N139" s="13">
        <v>4178.75</v>
      </c>
      <c r="O139" s="15">
        <v>0</v>
      </c>
      <c r="P139" s="10" t="s">
        <v>68</v>
      </c>
      <c r="Q139" s="11" t="s">
        <v>316</v>
      </c>
      <c r="R139" s="27">
        <v>516111260655</v>
      </c>
      <c r="S139" s="16" t="s">
        <v>317</v>
      </c>
      <c r="T139" s="19" t="str">
        <f t="shared" si="37"/>
        <v>2-2026</v>
      </c>
      <c r="U139" s="2">
        <f t="shared" si="38"/>
        <v>2026</v>
      </c>
      <c r="V139" s="2" t="str">
        <f t="shared" si="39"/>
        <v>2-N</v>
      </c>
      <c r="W139" s="21"/>
      <c r="X139" s="2" t="b">
        <f t="shared" si="36"/>
        <v>0</v>
      </c>
    </row>
    <row r="140" spans="2:24" hidden="1" x14ac:dyDescent="0.3">
      <c r="B140" s="17">
        <v>46058</v>
      </c>
      <c r="C140" s="10" t="s">
        <v>17</v>
      </c>
      <c r="D140" s="11">
        <v>177937</v>
      </c>
      <c r="E140" s="26">
        <v>85573</v>
      </c>
      <c r="F140" s="10" t="s">
        <v>57</v>
      </c>
      <c r="G140" s="10" t="s">
        <v>152</v>
      </c>
      <c r="H140" s="10" t="s">
        <v>19</v>
      </c>
      <c r="I140" s="12">
        <v>1197</v>
      </c>
      <c r="J140" s="12">
        <v>12</v>
      </c>
      <c r="K140" s="13">
        <v>499.6</v>
      </c>
      <c r="L140" s="21">
        <v>4.5880000000000001</v>
      </c>
      <c r="M140" s="14" t="s">
        <v>14</v>
      </c>
      <c r="N140" s="13">
        <v>2292.165</v>
      </c>
      <c r="O140" s="15">
        <v>0</v>
      </c>
      <c r="P140" s="10" t="s">
        <v>68</v>
      </c>
      <c r="Q140" s="11" t="s">
        <v>316</v>
      </c>
      <c r="R140" s="27">
        <v>516111260655</v>
      </c>
      <c r="S140" s="16" t="s">
        <v>317</v>
      </c>
      <c r="T140" s="19" t="str">
        <f t="shared" si="37"/>
        <v>2-2026</v>
      </c>
      <c r="U140" s="2">
        <f t="shared" si="38"/>
        <v>2026</v>
      </c>
      <c r="V140" s="2" t="str">
        <f t="shared" si="39"/>
        <v>2-N</v>
      </c>
      <c r="W140" s="21"/>
      <c r="X140" s="2" t="b">
        <f t="shared" si="36"/>
        <v>0</v>
      </c>
    </row>
    <row r="141" spans="2:24" hidden="1" x14ac:dyDescent="0.3">
      <c r="B141" s="17">
        <v>46058</v>
      </c>
      <c r="C141" s="10" t="s">
        <v>17</v>
      </c>
      <c r="D141" s="11">
        <v>177937</v>
      </c>
      <c r="E141" s="26">
        <v>85573</v>
      </c>
      <c r="F141" s="10" t="s">
        <v>55</v>
      </c>
      <c r="G141" s="10" t="s">
        <v>152</v>
      </c>
      <c r="H141" s="10" t="s">
        <v>19</v>
      </c>
      <c r="I141" s="12">
        <v>678</v>
      </c>
      <c r="J141" s="12">
        <v>12</v>
      </c>
      <c r="K141" s="13">
        <v>550.6</v>
      </c>
      <c r="L141" s="21">
        <v>4.5880000000000001</v>
      </c>
      <c r="M141" s="14" t="s">
        <v>14</v>
      </c>
      <c r="N141" s="13">
        <v>2526.1529999999998</v>
      </c>
      <c r="O141" s="15">
        <v>0</v>
      </c>
      <c r="P141" s="10" t="s">
        <v>68</v>
      </c>
      <c r="Q141" s="11" t="s">
        <v>316</v>
      </c>
      <c r="R141" s="27">
        <v>516111260655</v>
      </c>
      <c r="S141" s="16" t="s">
        <v>317</v>
      </c>
      <c r="T141" s="19" t="str">
        <f t="shared" si="37"/>
        <v>2-2026</v>
      </c>
      <c r="U141" s="2">
        <f t="shared" si="38"/>
        <v>2026</v>
      </c>
      <c r="V141" s="2" t="str">
        <f t="shared" si="39"/>
        <v>2-N</v>
      </c>
      <c r="W141" s="21"/>
      <c r="X141" s="2" t="b">
        <f t="shared" si="36"/>
        <v>0</v>
      </c>
    </row>
    <row r="142" spans="2:24" hidden="1" x14ac:dyDescent="0.3">
      <c r="B142" s="17">
        <v>46058</v>
      </c>
      <c r="C142" s="10" t="s">
        <v>17</v>
      </c>
      <c r="D142" s="11">
        <v>177937</v>
      </c>
      <c r="E142" s="26">
        <v>85573</v>
      </c>
      <c r="F142" s="10" t="s">
        <v>51</v>
      </c>
      <c r="G142" s="10" t="s">
        <v>152</v>
      </c>
      <c r="H142" s="10" t="s">
        <v>19</v>
      </c>
      <c r="I142" s="12">
        <v>945</v>
      </c>
      <c r="J142" s="12">
        <v>12</v>
      </c>
      <c r="K142" s="13">
        <v>3079.9</v>
      </c>
      <c r="L142" s="21">
        <v>4.5880000000000001</v>
      </c>
      <c r="M142" s="14" t="s">
        <v>14</v>
      </c>
      <c r="N142" s="13">
        <v>14130.581</v>
      </c>
      <c r="O142" s="15">
        <v>0</v>
      </c>
      <c r="P142" s="10" t="s">
        <v>68</v>
      </c>
      <c r="Q142" s="11" t="s">
        <v>316</v>
      </c>
      <c r="R142" s="27">
        <v>516111260655</v>
      </c>
      <c r="S142" s="16" t="s">
        <v>317</v>
      </c>
      <c r="T142" s="19" t="str">
        <f t="shared" si="37"/>
        <v>2-2026</v>
      </c>
      <c r="U142" s="2">
        <f t="shared" si="38"/>
        <v>2026</v>
      </c>
      <c r="V142" s="2" t="str">
        <f t="shared" si="39"/>
        <v>2-N</v>
      </c>
      <c r="W142" s="21"/>
      <c r="X142" s="2" t="b">
        <f t="shared" si="36"/>
        <v>0</v>
      </c>
    </row>
    <row r="143" spans="2:24" hidden="1" x14ac:dyDescent="0.3">
      <c r="B143" s="17">
        <v>46058</v>
      </c>
      <c r="C143" s="10" t="s">
        <v>17</v>
      </c>
      <c r="D143" s="11">
        <v>177937</v>
      </c>
      <c r="E143" s="26">
        <v>85573</v>
      </c>
      <c r="F143" s="10" t="s">
        <v>168</v>
      </c>
      <c r="G143" s="10" t="s">
        <v>152</v>
      </c>
      <c r="H143" s="10" t="s">
        <v>19</v>
      </c>
      <c r="I143" s="12">
        <v>985</v>
      </c>
      <c r="J143" s="12">
        <v>12</v>
      </c>
      <c r="K143" s="13">
        <v>811.8</v>
      </c>
      <c r="L143" s="21">
        <v>4.5880000000000001</v>
      </c>
      <c r="M143" s="14" t="s">
        <v>14</v>
      </c>
      <c r="N143" s="13">
        <v>3724.538</v>
      </c>
      <c r="O143" s="15">
        <v>0</v>
      </c>
      <c r="P143" s="10" t="s">
        <v>68</v>
      </c>
      <c r="Q143" s="11" t="s">
        <v>316</v>
      </c>
      <c r="R143" s="27">
        <v>516111260655</v>
      </c>
      <c r="S143" s="16" t="s">
        <v>317</v>
      </c>
      <c r="T143" s="19" t="str">
        <f t="shared" si="37"/>
        <v>2-2026</v>
      </c>
      <c r="U143" s="2">
        <f t="shared" si="38"/>
        <v>2026</v>
      </c>
      <c r="V143" s="2" t="str">
        <f t="shared" si="39"/>
        <v>2-N</v>
      </c>
      <c r="W143" s="21"/>
      <c r="X143" s="2" t="b">
        <f t="shared" si="36"/>
        <v>0</v>
      </c>
    </row>
    <row r="144" spans="2:24" hidden="1" x14ac:dyDescent="0.3">
      <c r="B144" s="17">
        <v>46058</v>
      </c>
      <c r="C144" s="10" t="s">
        <v>17</v>
      </c>
      <c r="D144" s="11">
        <v>177991</v>
      </c>
      <c r="E144" s="26">
        <v>85587</v>
      </c>
      <c r="F144" s="10" t="s">
        <v>22</v>
      </c>
      <c r="G144" s="10" t="s">
        <v>152</v>
      </c>
      <c r="H144" s="10" t="s">
        <v>19</v>
      </c>
      <c r="I144" s="12">
        <v>1033</v>
      </c>
      <c r="J144" s="12">
        <v>12</v>
      </c>
      <c r="K144" s="13">
        <v>2107.5</v>
      </c>
      <c r="L144" s="21">
        <v>4.5880000000000001</v>
      </c>
      <c r="M144" s="14" t="s">
        <v>14</v>
      </c>
      <c r="N144" s="13">
        <v>9669.2099999999991</v>
      </c>
      <c r="O144" s="15">
        <v>0</v>
      </c>
      <c r="P144" s="10" t="s">
        <v>68</v>
      </c>
      <c r="Q144" s="11" t="s">
        <v>318</v>
      </c>
      <c r="R144" s="27">
        <v>516111260653</v>
      </c>
      <c r="S144" s="16" t="s">
        <v>319</v>
      </c>
      <c r="T144" s="19" t="str">
        <f t="shared" si="37"/>
        <v>2-2026</v>
      </c>
      <c r="U144" s="2">
        <f t="shared" si="38"/>
        <v>2026</v>
      </c>
      <c r="V144" s="2" t="str">
        <f t="shared" si="39"/>
        <v>2-N</v>
      </c>
      <c r="W144" s="21"/>
      <c r="X144" s="2" t="b">
        <f t="shared" si="36"/>
        <v>0</v>
      </c>
    </row>
    <row r="145" spans="2:24" hidden="1" x14ac:dyDescent="0.3">
      <c r="B145" s="17">
        <v>46058</v>
      </c>
      <c r="C145" s="10" t="s">
        <v>17</v>
      </c>
      <c r="D145" s="11">
        <v>177991</v>
      </c>
      <c r="E145" s="26">
        <v>85587</v>
      </c>
      <c r="F145" s="10" t="s">
        <v>42</v>
      </c>
      <c r="G145" s="10" t="s">
        <v>152</v>
      </c>
      <c r="H145" s="10" t="s">
        <v>19</v>
      </c>
      <c r="I145" s="12">
        <v>1173</v>
      </c>
      <c r="J145" s="12">
        <v>12</v>
      </c>
      <c r="K145" s="13">
        <v>1441.5</v>
      </c>
      <c r="L145" s="21">
        <v>4.5880000000000001</v>
      </c>
      <c r="M145" s="14" t="s">
        <v>14</v>
      </c>
      <c r="N145" s="13">
        <v>6613.6019999999999</v>
      </c>
      <c r="O145" s="15">
        <v>0</v>
      </c>
      <c r="P145" s="10" t="s">
        <v>68</v>
      </c>
      <c r="Q145" s="11" t="s">
        <v>318</v>
      </c>
      <c r="R145" s="27">
        <v>516111260653</v>
      </c>
      <c r="S145" s="16" t="s">
        <v>319</v>
      </c>
      <c r="T145" s="19" t="str">
        <f t="shared" si="37"/>
        <v>2-2026</v>
      </c>
      <c r="U145" s="2">
        <f t="shared" si="38"/>
        <v>2026</v>
      </c>
      <c r="V145" s="2" t="str">
        <f t="shared" si="39"/>
        <v>2-N</v>
      </c>
      <c r="W145" s="21"/>
      <c r="X145" s="2" t="b">
        <f t="shared" si="36"/>
        <v>0</v>
      </c>
    </row>
    <row r="146" spans="2:24" hidden="1" x14ac:dyDescent="0.3">
      <c r="B146" s="17">
        <v>46058</v>
      </c>
      <c r="C146" s="10" t="s">
        <v>17</v>
      </c>
      <c r="D146" s="11">
        <v>177991</v>
      </c>
      <c r="E146" s="26">
        <v>85587</v>
      </c>
      <c r="F146" s="10" t="s">
        <v>129</v>
      </c>
      <c r="G146" s="10" t="s">
        <v>152</v>
      </c>
      <c r="H146" s="10" t="s">
        <v>19</v>
      </c>
      <c r="I146" s="12">
        <v>860</v>
      </c>
      <c r="J146" s="12">
        <v>12</v>
      </c>
      <c r="K146" s="13">
        <v>1400.5</v>
      </c>
      <c r="L146" s="21">
        <v>4.5880000000000001</v>
      </c>
      <c r="M146" s="14" t="s">
        <v>14</v>
      </c>
      <c r="N146" s="13">
        <v>6425.4939999999997</v>
      </c>
      <c r="O146" s="15">
        <v>0</v>
      </c>
      <c r="P146" s="10" t="s">
        <v>68</v>
      </c>
      <c r="Q146" s="11" t="s">
        <v>318</v>
      </c>
      <c r="R146" s="27">
        <v>516111260653</v>
      </c>
      <c r="S146" s="16" t="s">
        <v>319</v>
      </c>
      <c r="T146" s="19" t="str">
        <f t="shared" si="37"/>
        <v>2-2026</v>
      </c>
      <c r="U146" s="2">
        <f t="shared" si="38"/>
        <v>2026</v>
      </c>
      <c r="V146" s="2" t="str">
        <f t="shared" si="39"/>
        <v>2-N</v>
      </c>
      <c r="W146" s="21"/>
      <c r="X146" s="2" t="b">
        <f t="shared" si="36"/>
        <v>0</v>
      </c>
    </row>
    <row r="147" spans="2:24" hidden="1" x14ac:dyDescent="0.3">
      <c r="B147" s="17">
        <v>46058</v>
      </c>
      <c r="C147" s="10" t="s">
        <v>17</v>
      </c>
      <c r="D147" s="11">
        <v>177991</v>
      </c>
      <c r="E147" s="26">
        <v>85587</v>
      </c>
      <c r="F147" s="10" t="s">
        <v>51</v>
      </c>
      <c r="G147" s="10" t="s">
        <v>152</v>
      </c>
      <c r="H147" s="10" t="s">
        <v>19</v>
      </c>
      <c r="I147" s="12">
        <v>945</v>
      </c>
      <c r="J147" s="12">
        <v>12</v>
      </c>
      <c r="K147" s="13">
        <v>1539.6</v>
      </c>
      <c r="L147" s="21">
        <v>4.5880000000000001</v>
      </c>
      <c r="M147" s="14" t="s">
        <v>14</v>
      </c>
      <c r="N147" s="13">
        <v>7063.6850000000004</v>
      </c>
      <c r="O147" s="15">
        <v>0</v>
      </c>
      <c r="P147" s="10" t="s">
        <v>68</v>
      </c>
      <c r="Q147" s="11" t="s">
        <v>318</v>
      </c>
      <c r="R147" s="27">
        <v>516111260653</v>
      </c>
      <c r="S147" s="16" t="s">
        <v>319</v>
      </c>
      <c r="T147" s="19" t="str">
        <f t="shared" si="37"/>
        <v>2-2026</v>
      </c>
      <c r="U147" s="2">
        <f t="shared" si="38"/>
        <v>2026</v>
      </c>
      <c r="V147" s="2" t="str">
        <f t="shared" si="39"/>
        <v>2-N</v>
      </c>
      <c r="W147" s="21"/>
      <c r="X147" s="2" t="b">
        <f t="shared" si="36"/>
        <v>0</v>
      </c>
    </row>
    <row r="148" spans="2:24" hidden="1" x14ac:dyDescent="0.3">
      <c r="B148" s="17">
        <v>46058</v>
      </c>
      <c r="C148" s="10" t="s">
        <v>17</v>
      </c>
      <c r="D148" s="11">
        <v>177991</v>
      </c>
      <c r="E148" s="26">
        <v>85587</v>
      </c>
      <c r="F148" s="10" t="s">
        <v>46</v>
      </c>
      <c r="G148" s="10" t="s">
        <v>152</v>
      </c>
      <c r="H148" s="10" t="s">
        <v>19</v>
      </c>
      <c r="I148" s="12">
        <v>973</v>
      </c>
      <c r="J148" s="12">
        <v>12</v>
      </c>
      <c r="K148" s="13">
        <v>794.2</v>
      </c>
      <c r="L148" s="21">
        <v>4.5880000000000001</v>
      </c>
      <c r="M148" s="14" t="s">
        <v>14</v>
      </c>
      <c r="N148" s="13">
        <v>3643.79</v>
      </c>
      <c r="O148" s="15">
        <v>0</v>
      </c>
      <c r="P148" s="10" t="s">
        <v>68</v>
      </c>
      <c r="Q148" s="11" t="s">
        <v>318</v>
      </c>
      <c r="R148" s="27">
        <v>516111260653</v>
      </c>
      <c r="S148" s="16" t="s">
        <v>319</v>
      </c>
      <c r="T148" s="19" t="str">
        <f t="shared" si="37"/>
        <v>2-2026</v>
      </c>
      <c r="U148" s="2">
        <f t="shared" si="38"/>
        <v>2026</v>
      </c>
      <c r="V148" s="2" t="str">
        <f t="shared" si="39"/>
        <v>2-N</v>
      </c>
      <c r="W148" s="21"/>
      <c r="X148" s="2" t="b">
        <f t="shared" si="36"/>
        <v>0</v>
      </c>
    </row>
    <row r="149" spans="2:24" x14ac:dyDescent="0.3">
      <c r="B149" s="17">
        <v>46056</v>
      </c>
      <c r="C149" s="10" t="s">
        <v>56</v>
      </c>
      <c r="D149" s="11">
        <v>177918</v>
      </c>
      <c r="E149" s="26">
        <v>85526</v>
      </c>
      <c r="F149" s="10" t="s">
        <v>145</v>
      </c>
      <c r="G149" s="10" t="s">
        <v>152</v>
      </c>
      <c r="H149" s="10" t="s">
        <v>19</v>
      </c>
      <c r="I149" s="12">
        <v>728</v>
      </c>
      <c r="J149" s="12">
        <v>12</v>
      </c>
      <c r="K149" s="13">
        <v>2976.4</v>
      </c>
      <c r="L149" s="21">
        <v>4.5869999999999997</v>
      </c>
      <c r="M149" s="14" t="s">
        <v>14</v>
      </c>
      <c r="N149" s="13">
        <v>13652.746999999999</v>
      </c>
      <c r="O149" s="15">
        <v>0</v>
      </c>
      <c r="P149" s="10" t="s">
        <v>68</v>
      </c>
      <c r="Q149" s="11" t="s">
        <v>321</v>
      </c>
      <c r="R149" s="11" t="s">
        <v>322</v>
      </c>
      <c r="S149" s="16" t="s">
        <v>320</v>
      </c>
      <c r="T149" s="19" t="str">
        <f t="shared" si="37"/>
        <v>2-2026</v>
      </c>
      <c r="U149" s="2">
        <f t="shared" si="38"/>
        <v>2026</v>
      </c>
      <c r="V149" s="2" t="str">
        <f t="shared" si="39"/>
        <v>2-N</v>
      </c>
      <c r="W149" s="21"/>
      <c r="X149" s="2" t="b">
        <f t="shared" si="36"/>
        <v>0</v>
      </c>
    </row>
    <row r="150" spans="2:24" x14ac:dyDescent="0.3">
      <c r="B150" s="17">
        <v>46056</v>
      </c>
      <c r="C150" s="10" t="s">
        <v>56</v>
      </c>
      <c r="D150" s="11">
        <v>177918</v>
      </c>
      <c r="E150" s="26">
        <v>85526</v>
      </c>
      <c r="F150" s="10" t="s">
        <v>126</v>
      </c>
      <c r="G150" s="10" t="s">
        <v>152</v>
      </c>
      <c r="H150" s="10" t="s">
        <v>19</v>
      </c>
      <c r="I150" s="12">
        <v>893</v>
      </c>
      <c r="J150" s="12">
        <v>12</v>
      </c>
      <c r="K150" s="13">
        <v>332.2</v>
      </c>
      <c r="L150" s="21">
        <v>4.5869999999999997</v>
      </c>
      <c r="M150" s="14" t="s">
        <v>14</v>
      </c>
      <c r="N150" s="13">
        <v>1523.8009999999999</v>
      </c>
      <c r="O150" s="15">
        <v>0</v>
      </c>
      <c r="P150" s="10" t="s">
        <v>68</v>
      </c>
      <c r="Q150" s="11" t="s">
        <v>321</v>
      </c>
      <c r="R150" s="11" t="s">
        <v>322</v>
      </c>
      <c r="S150" s="16" t="s">
        <v>320</v>
      </c>
      <c r="T150" s="19" t="str">
        <f t="shared" si="37"/>
        <v>2-2026</v>
      </c>
      <c r="U150" s="2">
        <f t="shared" si="38"/>
        <v>2026</v>
      </c>
      <c r="V150" s="2" t="str">
        <f t="shared" si="39"/>
        <v>2-N</v>
      </c>
      <c r="W150" s="21"/>
      <c r="X150" s="2" t="b">
        <f t="shared" si="36"/>
        <v>0</v>
      </c>
    </row>
    <row r="151" spans="2:24" x14ac:dyDescent="0.3">
      <c r="B151" s="17">
        <v>46056</v>
      </c>
      <c r="C151" s="10" t="s">
        <v>56</v>
      </c>
      <c r="D151" s="11">
        <v>177918</v>
      </c>
      <c r="E151" s="26">
        <v>85526</v>
      </c>
      <c r="F151" s="10" t="s">
        <v>75</v>
      </c>
      <c r="G151" s="10" t="s">
        <v>152</v>
      </c>
      <c r="H151" s="10" t="s">
        <v>19</v>
      </c>
      <c r="I151" s="12">
        <v>1165</v>
      </c>
      <c r="J151" s="12">
        <v>12</v>
      </c>
      <c r="K151" s="13">
        <v>957.2</v>
      </c>
      <c r="L151" s="21">
        <v>4.5869999999999997</v>
      </c>
      <c r="M151" s="14" t="s">
        <v>14</v>
      </c>
      <c r="N151" s="13">
        <v>4390.6760000000004</v>
      </c>
      <c r="O151" s="15">
        <v>0</v>
      </c>
      <c r="P151" s="10" t="s">
        <v>68</v>
      </c>
      <c r="Q151" s="11" t="s">
        <v>321</v>
      </c>
      <c r="R151" s="11" t="s">
        <v>322</v>
      </c>
      <c r="S151" s="16" t="s">
        <v>320</v>
      </c>
      <c r="T151" s="19" t="str">
        <f t="shared" si="37"/>
        <v>2-2026</v>
      </c>
      <c r="U151" s="2">
        <f t="shared" si="38"/>
        <v>2026</v>
      </c>
      <c r="V151" s="2" t="str">
        <f t="shared" si="39"/>
        <v>2-N</v>
      </c>
      <c r="W151" s="21"/>
      <c r="X151" s="2" t="b">
        <f t="shared" si="36"/>
        <v>0</v>
      </c>
    </row>
    <row r="152" spans="2:24" hidden="1" x14ac:dyDescent="0.3">
      <c r="B152" s="17">
        <v>46058</v>
      </c>
      <c r="C152" s="10" t="s">
        <v>56</v>
      </c>
      <c r="D152" s="11">
        <v>177741</v>
      </c>
      <c r="E152" s="26">
        <v>85588</v>
      </c>
      <c r="F152" s="10" t="s">
        <v>57</v>
      </c>
      <c r="G152" s="10" t="s">
        <v>152</v>
      </c>
      <c r="H152" s="10" t="s">
        <v>19</v>
      </c>
      <c r="I152" s="12">
        <v>1197</v>
      </c>
      <c r="J152" s="12">
        <v>12</v>
      </c>
      <c r="K152" s="13">
        <v>13939.2</v>
      </c>
      <c r="L152" s="21">
        <v>4.22</v>
      </c>
      <c r="M152" s="14" t="s">
        <v>14</v>
      </c>
      <c r="N152" s="13">
        <v>58823.423999999999</v>
      </c>
      <c r="O152" s="15">
        <v>0</v>
      </c>
      <c r="P152" s="10" t="s">
        <v>68</v>
      </c>
      <c r="Q152" s="11" t="s">
        <v>323</v>
      </c>
      <c r="R152" s="11" t="s">
        <v>324</v>
      </c>
      <c r="S152" s="16" t="s">
        <v>325</v>
      </c>
      <c r="T152" s="19" t="str">
        <f t="shared" si="37"/>
        <v>2-2026</v>
      </c>
      <c r="U152" s="2">
        <f t="shared" si="38"/>
        <v>2026</v>
      </c>
      <c r="V152" s="2" t="str">
        <f t="shared" si="39"/>
        <v>2-N</v>
      </c>
      <c r="W152" s="21"/>
      <c r="X152" s="2" t="b">
        <f t="shared" si="36"/>
        <v>0</v>
      </c>
    </row>
    <row r="153" spans="2:24" hidden="1" x14ac:dyDescent="0.3">
      <c r="B153" s="17">
        <v>46058</v>
      </c>
      <c r="C153" s="10" t="s">
        <v>56</v>
      </c>
      <c r="D153" s="11">
        <v>177741</v>
      </c>
      <c r="E153" s="26">
        <v>85588</v>
      </c>
      <c r="F153" s="10" t="s">
        <v>148</v>
      </c>
      <c r="G153" s="10" t="s">
        <v>152</v>
      </c>
      <c r="H153" s="10" t="s">
        <v>19</v>
      </c>
      <c r="I153" s="12">
        <v>1173</v>
      </c>
      <c r="J153" s="12">
        <v>12</v>
      </c>
      <c r="K153" s="13">
        <v>477.3</v>
      </c>
      <c r="L153" s="21">
        <v>4.22</v>
      </c>
      <c r="M153" s="14" t="s">
        <v>14</v>
      </c>
      <c r="N153" s="13">
        <v>2014.2059999999999</v>
      </c>
      <c r="O153" s="15">
        <v>0</v>
      </c>
      <c r="P153" s="10" t="s">
        <v>68</v>
      </c>
      <c r="Q153" s="11" t="s">
        <v>323</v>
      </c>
      <c r="R153" s="11" t="s">
        <v>324</v>
      </c>
      <c r="S153" s="16" t="s">
        <v>325</v>
      </c>
      <c r="T153" s="19" t="str">
        <f t="shared" si="37"/>
        <v>2-2026</v>
      </c>
      <c r="U153" s="2">
        <f t="shared" si="38"/>
        <v>2026</v>
      </c>
      <c r="V153" s="2" t="str">
        <f t="shared" si="39"/>
        <v>2-N</v>
      </c>
      <c r="W153" s="21"/>
      <c r="X153" s="2" t="b">
        <f t="shared" si="36"/>
        <v>0</v>
      </c>
    </row>
    <row r="154" spans="2:24" hidden="1" x14ac:dyDescent="0.3">
      <c r="B154" s="17">
        <v>46057</v>
      </c>
      <c r="C154" s="10" t="s">
        <v>56</v>
      </c>
      <c r="D154" s="11">
        <v>177741</v>
      </c>
      <c r="E154" s="26">
        <v>85547</v>
      </c>
      <c r="F154" s="10" t="s">
        <v>57</v>
      </c>
      <c r="G154" s="10" t="s">
        <v>152</v>
      </c>
      <c r="H154" s="10" t="s">
        <v>19</v>
      </c>
      <c r="I154" s="12">
        <v>1197</v>
      </c>
      <c r="J154" s="12">
        <v>12</v>
      </c>
      <c r="K154" s="13">
        <v>13571.8</v>
      </c>
      <c r="L154" s="21">
        <v>4.22</v>
      </c>
      <c r="M154" s="14" t="s">
        <v>14</v>
      </c>
      <c r="N154" s="13">
        <v>57272.995999999999</v>
      </c>
      <c r="O154" s="15">
        <v>0</v>
      </c>
      <c r="P154" s="10" t="s">
        <v>68</v>
      </c>
      <c r="Q154" s="11" t="s">
        <v>326</v>
      </c>
      <c r="R154" s="11" t="s">
        <v>327</v>
      </c>
      <c r="S154" s="16" t="s">
        <v>328</v>
      </c>
      <c r="T154" s="19" t="str">
        <f t="shared" si="37"/>
        <v>2-2026</v>
      </c>
      <c r="U154" s="2">
        <f t="shared" si="38"/>
        <v>2026</v>
      </c>
      <c r="V154" s="2" t="str">
        <f t="shared" si="39"/>
        <v>2-N</v>
      </c>
      <c r="W154" s="21"/>
      <c r="X154" s="2" t="b">
        <f t="shared" si="36"/>
        <v>0</v>
      </c>
    </row>
    <row r="155" spans="2:24" hidden="1" x14ac:dyDescent="0.3">
      <c r="B155" s="17">
        <v>46057</v>
      </c>
      <c r="C155" s="10" t="s">
        <v>164</v>
      </c>
      <c r="D155" s="11">
        <v>177927</v>
      </c>
      <c r="E155" s="26">
        <v>85527</v>
      </c>
      <c r="F155" s="10" t="s">
        <v>83</v>
      </c>
      <c r="G155" s="10" t="s">
        <v>152</v>
      </c>
      <c r="H155" s="10" t="s">
        <v>20</v>
      </c>
      <c r="I155" s="12">
        <v>1033</v>
      </c>
      <c r="J155" s="12">
        <v>75</v>
      </c>
      <c r="K155" s="13">
        <v>4980.2</v>
      </c>
      <c r="L155" s="21">
        <v>4.9000000000000004</v>
      </c>
      <c r="M155" s="14" t="s">
        <v>14</v>
      </c>
      <c r="N155" s="13">
        <v>24402.98</v>
      </c>
      <c r="O155" s="15">
        <v>0</v>
      </c>
      <c r="P155" s="10" t="s">
        <v>61</v>
      </c>
      <c r="Q155" s="11" t="s">
        <v>329</v>
      </c>
      <c r="R155" s="11" t="s">
        <v>330</v>
      </c>
      <c r="S155" s="16" t="s">
        <v>331</v>
      </c>
      <c r="T155" s="19" t="str">
        <f t="shared" si="37"/>
        <v>2-2026</v>
      </c>
      <c r="U155" s="2">
        <f t="shared" si="38"/>
        <v>2026</v>
      </c>
      <c r="V155" s="2" t="str">
        <f t="shared" si="39"/>
        <v>2-N</v>
      </c>
      <c r="W155" s="21"/>
      <c r="X155" s="2" t="b">
        <f t="shared" si="36"/>
        <v>0</v>
      </c>
    </row>
    <row r="156" spans="2:24" hidden="1" x14ac:dyDescent="0.3">
      <c r="B156" s="17">
        <v>46060</v>
      </c>
      <c r="C156" s="10" t="s">
        <v>185</v>
      </c>
      <c r="D156" s="11">
        <v>177539</v>
      </c>
      <c r="E156" s="26">
        <v>85581</v>
      </c>
      <c r="F156" s="10" t="s">
        <v>27</v>
      </c>
      <c r="G156" s="10" t="s">
        <v>153</v>
      </c>
      <c r="H156" s="10" t="s">
        <v>28</v>
      </c>
      <c r="I156" s="12" t="s">
        <v>37</v>
      </c>
      <c r="J156" s="12" t="s">
        <v>37</v>
      </c>
      <c r="K156" s="13">
        <v>13500</v>
      </c>
      <c r="L156" s="21">
        <v>3.06</v>
      </c>
      <c r="M156" s="14" t="s">
        <v>14</v>
      </c>
      <c r="N156" s="13">
        <v>41310</v>
      </c>
      <c r="O156" s="15">
        <v>0</v>
      </c>
      <c r="P156" s="10" t="s">
        <v>64</v>
      </c>
      <c r="Q156" s="11" t="s">
        <v>332</v>
      </c>
      <c r="R156" s="27">
        <v>41653864443</v>
      </c>
      <c r="S156" s="16" t="s">
        <v>333</v>
      </c>
      <c r="T156" s="19" t="str">
        <f t="shared" si="37"/>
        <v>2-2026</v>
      </c>
      <c r="U156" s="2">
        <f t="shared" si="38"/>
        <v>2026</v>
      </c>
      <c r="V156" s="2" t="str">
        <f t="shared" si="39"/>
        <v>2-N</v>
      </c>
      <c r="W156" s="21"/>
      <c r="X156" s="2" t="b">
        <f t="shared" ref="X156" si="40">+L156=W156</f>
        <v>0</v>
      </c>
    </row>
    <row r="157" spans="2:24" hidden="1" x14ac:dyDescent="0.3">
      <c r="B157" s="17">
        <v>46064</v>
      </c>
      <c r="C157" s="10" t="s">
        <v>26</v>
      </c>
      <c r="D157" s="11">
        <v>178037</v>
      </c>
      <c r="E157" s="26">
        <v>85677</v>
      </c>
      <c r="F157" s="10" t="s">
        <v>33</v>
      </c>
      <c r="G157" s="10" t="s">
        <v>153</v>
      </c>
      <c r="H157" s="10" t="s">
        <v>34</v>
      </c>
      <c r="I157" s="12" t="s">
        <v>37</v>
      </c>
      <c r="J157" s="12" t="s">
        <v>37</v>
      </c>
      <c r="K157" s="13">
        <v>2160</v>
      </c>
      <c r="L157" s="21">
        <v>4.45</v>
      </c>
      <c r="M157" s="14" t="s">
        <v>14</v>
      </c>
      <c r="N157" s="13">
        <v>9612</v>
      </c>
      <c r="O157" s="15">
        <v>0</v>
      </c>
      <c r="P157" s="10" t="s">
        <v>64</v>
      </c>
      <c r="Q157" s="11" t="s">
        <v>334</v>
      </c>
      <c r="R157" s="11" t="s">
        <v>335</v>
      </c>
      <c r="S157" s="16" t="s">
        <v>336</v>
      </c>
      <c r="T157" s="19" t="str">
        <f t="shared" si="37"/>
        <v>2-2026</v>
      </c>
      <c r="U157" s="2">
        <f t="shared" si="38"/>
        <v>2026</v>
      </c>
      <c r="V157" s="2" t="str">
        <f t="shared" si="39"/>
        <v>2-N</v>
      </c>
      <c r="W157" s="21"/>
      <c r="X157" s="2" t="b">
        <f t="shared" ref="X157:X165" si="41">+L157=W157</f>
        <v>0</v>
      </c>
    </row>
    <row r="158" spans="2:24" hidden="1" x14ac:dyDescent="0.3">
      <c r="B158" s="17">
        <v>46065</v>
      </c>
      <c r="C158" s="10" t="s">
        <v>26</v>
      </c>
      <c r="D158" s="11">
        <v>178037</v>
      </c>
      <c r="E158" s="26">
        <v>85691</v>
      </c>
      <c r="F158" s="10" t="s">
        <v>33</v>
      </c>
      <c r="G158" s="10" t="s">
        <v>153</v>
      </c>
      <c r="H158" s="10" t="s">
        <v>34</v>
      </c>
      <c r="I158" s="12" t="s">
        <v>37</v>
      </c>
      <c r="J158" s="12" t="s">
        <v>37</v>
      </c>
      <c r="K158" s="13">
        <v>1440</v>
      </c>
      <c r="L158" s="21">
        <v>4.45</v>
      </c>
      <c r="M158" s="14" t="s">
        <v>14</v>
      </c>
      <c r="N158" s="13">
        <v>6408</v>
      </c>
      <c r="O158" s="15">
        <v>0</v>
      </c>
      <c r="P158" s="10" t="s">
        <v>64</v>
      </c>
      <c r="Q158" s="11" t="s">
        <v>337</v>
      </c>
      <c r="R158" s="11" t="s">
        <v>338</v>
      </c>
      <c r="S158" s="16" t="s">
        <v>339</v>
      </c>
      <c r="T158" s="19" t="str">
        <f t="shared" si="37"/>
        <v>2-2026</v>
      </c>
      <c r="U158" s="2">
        <f t="shared" si="38"/>
        <v>2026</v>
      </c>
      <c r="V158" s="2" t="str">
        <f t="shared" si="39"/>
        <v>2-N</v>
      </c>
      <c r="W158" s="21"/>
      <c r="X158" s="2" t="b">
        <f t="shared" si="41"/>
        <v>0</v>
      </c>
    </row>
    <row r="159" spans="2:24" hidden="1" x14ac:dyDescent="0.3">
      <c r="B159" s="17">
        <v>46063</v>
      </c>
      <c r="C159" s="10" t="s">
        <v>26</v>
      </c>
      <c r="D159" s="11">
        <v>177565</v>
      </c>
      <c r="E159" s="26">
        <v>85658</v>
      </c>
      <c r="F159" s="10" t="s">
        <v>27</v>
      </c>
      <c r="G159" s="10" t="s">
        <v>153</v>
      </c>
      <c r="H159" s="10" t="s">
        <v>28</v>
      </c>
      <c r="I159" s="12" t="s">
        <v>37</v>
      </c>
      <c r="J159" s="12" t="s">
        <v>37</v>
      </c>
      <c r="K159" s="13">
        <v>15300</v>
      </c>
      <c r="L159" s="21">
        <v>3.03</v>
      </c>
      <c r="M159" s="14" t="s">
        <v>14</v>
      </c>
      <c r="N159" s="13">
        <v>46359</v>
      </c>
      <c r="O159" s="15">
        <v>0</v>
      </c>
      <c r="P159" s="10" t="s">
        <v>64</v>
      </c>
      <c r="Q159" s="11" t="s">
        <v>340</v>
      </c>
      <c r="R159" s="11" t="s">
        <v>341</v>
      </c>
      <c r="S159" s="16" t="s">
        <v>342</v>
      </c>
      <c r="T159" s="19" t="str">
        <f t="shared" si="37"/>
        <v>2-2026</v>
      </c>
      <c r="U159" s="2">
        <f t="shared" si="38"/>
        <v>2026</v>
      </c>
      <c r="V159" s="2" t="str">
        <f t="shared" si="39"/>
        <v>2-N</v>
      </c>
      <c r="W159" s="21"/>
      <c r="X159" s="2" t="b">
        <f t="shared" si="41"/>
        <v>0</v>
      </c>
    </row>
    <row r="160" spans="2:24" hidden="1" x14ac:dyDescent="0.3">
      <c r="B160" s="17">
        <v>46064</v>
      </c>
      <c r="C160" s="10" t="s">
        <v>26</v>
      </c>
      <c r="D160" s="11">
        <v>177565</v>
      </c>
      <c r="E160" s="26">
        <v>85676</v>
      </c>
      <c r="F160" s="10" t="s">
        <v>44</v>
      </c>
      <c r="G160" s="10" t="s">
        <v>153</v>
      </c>
      <c r="H160" s="10" t="s">
        <v>45</v>
      </c>
      <c r="I160" s="12" t="s">
        <v>37</v>
      </c>
      <c r="J160" s="12" t="s">
        <v>37</v>
      </c>
      <c r="K160" s="13">
        <v>760</v>
      </c>
      <c r="L160" s="21">
        <v>4.25</v>
      </c>
      <c r="M160" s="14" t="s">
        <v>14</v>
      </c>
      <c r="N160" s="13">
        <v>3230</v>
      </c>
      <c r="O160" s="15">
        <v>0</v>
      </c>
      <c r="P160" s="10" t="s">
        <v>64</v>
      </c>
      <c r="Q160" s="11" t="s">
        <v>343</v>
      </c>
      <c r="R160" s="11" t="s">
        <v>344</v>
      </c>
      <c r="S160" s="16" t="s">
        <v>345</v>
      </c>
      <c r="T160" s="19" t="str">
        <f t="shared" si="37"/>
        <v>2-2026</v>
      </c>
      <c r="U160" s="2">
        <f t="shared" si="38"/>
        <v>2026</v>
      </c>
      <c r="V160" s="2" t="str">
        <f t="shared" si="39"/>
        <v>2-N</v>
      </c>
      <c r="W160" s="21"/>
      <c r="X160" s="2" t="b">
        <f t="shared" si="41"/>
        <v>0</v>
      </c>
    </row>
    <row r="161" spans="2:24" hidden="1" x14ac:dyDescent="0.3">
      <c r="B161" s="17">
        <v>46065</v>
      </c>
      <c r="C161" s="10" t="s">
        <v>26</v>
      </c>
      <c r="D161" s="11">
        <v>177876</v>
      </c>
      <c r="E161" s="26">
        <v>85690</v>
      </c>
      <c r="F161" s="10" t="s">
        <v>29</v>
      </c>
      <c r="G161" s="10" t="s">
        <v>153</v>
      </c>
      <c r="H161" s="10" t="s">
        <v>30</v>
      </c>
      <c r="I161" s="12" t="s">
        <v>37</v>
      </c>
      <c r="J161" s="12" t="s">
        <v>37</v>
      </c>
      <c r="K161" s="13">
        <v>660</v>
      </c>
      <c r="L161" s="21">
        <v>3.37</v>
      </c>
      <c r="M161" s="14" t="s">
        <v>14</v>
      </c>
      <c r="N161" s="13">
        <v>2224.1999999999998</v>
      </c>
      <c r="O161" s="15">
        <v>0</v>
      </c>
      <c r="P161" s="10" t="s">
        <v>64</v>
      </c>
      <c r="Q161" s="11" t="s">
        <v>346</v>
      </c>
      <c r="R161" s="11" t="s">
        <v>347</v>
      </c>
      <c r="S161" s="16" t="s">
        <v>348</v>
      </c>
      <c r="T161" s="19" t="str">
        <f t="shared" si="37"/>
        <v>2-2026</v>
      </c>
      <c r="U161" s="2">
        <f t="shared" si="38"/>
        <v>2026</v>
      </c>
      <c r="V161" s="2" t="str">
        <f t="shared" si="39"/>
        <v>2-N</v>
      </c>
      <c r="W161" s="21"/>
      <c r="X161" s="2" t="b">
        <f t="shared" si="41"/>
        <v>0</v>
      </c>
    </row>
    <row r="162" spans="2:24" hidden="1" x14ac:dyDescent="0.3">
      <c r="B162" s="17">
        <v>46064</v>
      </c>
      <c r="C162" s="10" t="s">
        <v>26</v>
      </c>
      <c r="D162" s="11">
        <v>177876</v>
      </c>
      <c r="E162" s="26">
        <v>85675</v>
      </c>
      <c r="F162" s="10" t="s">
        <v>29</v>
      </c>
      <c r="G162" s="10" t="s">
        <v>153</v>
      </c>
      <c r="H162" s="10" t="s">
        <v>30</v>
      </c>
      <c r="I162" s="12" t="s">
        <v>37</v>
      </c>
      <c r="J162" s="12" t="s">
        <v>37</v>
      </c>
      <c r="K162" s="13">
        <v>1320</v>
      </c>
      <c r="L162" s="21">
        <v>3.37</v>
      </c>
      <c r="M162" s="14" t="s">
        <v>14</v>
      </c>
      <c r="N162" s="13">
        <v>4448.3999999999996</v>
      </c>
      <c r="O162" s="15">
        <v>0</v>
      </c>
      <c r="P162" s="10" t="s">
        <v>64</v>
      </c>
      <c r="Q162" s="11" t="s">
        <v>349</v>
      </c>
      <c r="R162" s="11" t="s">
        <v>350</v>
      </c>
      <c r="S162" s="16" t="s">
        <v>351</v>
      </c>
      <c r="T162" s="19" t="str">
        <f t="shared" si="37"/>
        <v>2-2026</v>
      </c>
      <c r="U162" s="2">
        <f t="shared" si="38"/>
        <v>2026</v>
      </c>
      <c r="V162" s="2" t="str">
        <f t="shared" si="39"/>
        <v>2-N</v>
      </c>
      <c r="W162" s="21"/>
      <c r="X162" s="2" t="b">
        <f t="shared" si="41"/>
        <v>0</v>
      </c>
    </row>
    <row r="163" spans="2:24" hidden="1" x14ac:dyDescent="0.3">
      <c r="B163" s="17">
        <v>46066</v>
      </c>
      <c r="C163" s="10" t="s">
        <v>67</v>
      </c>
      <c r="D163" s="11">
        <v>178043</v>
      </c>
      <c r="E163" s="26">
        <v>85744</v>
      </c>
      <c r="F163" s="10" t="s">
        <v>27</v>
      </c>
      <c r="G163" s="10" t="s">
        <v>153</v>
      </c>
      <c r="H163" s="10" t="s">
        <v>28</v>
      </c>
      <c r="I163" s="12" t="s">
        <v>37</v>
      </c>
      <c r="J163" s="12" t="s">
        <v>37</v>
      </c>
      <c r="K163" s="13">
        <v>9000</v>
      </c>
      <c r="L163" s="21">
        <v>3.05</v>
      </c>
      <c r="M163" s="14" t="s">
        <v>14</v>
      </c>
      <c r="N163" s="13">
        <v>27450</v>
      </c>
      <c r="O163" s="15">
        <v>0</v>
      </c>
      <c r="P163" s="10" t="s">
        <v>64</v>
      </c>
      <c r="Q163" s="11" t="s">
        <v>352</v>
      </c>
      <c r="R163" s="11" t="s">
        <v>353</v>
      </c>
      <c r="S163" s="16" t="s">
        <v>354</v>
      </c>
      <c r="T163" s="19" t="str">
        <f t="shared" si="37"/>
        <v>2-2026</v>
      </c>
      <c r="U163" s="2">
        <f t="shared" si="38"/>
        <v>2026</v>
      </c>
      <c r="V163" s="2" t="str">
        <f t="shared" si="39"/>
        <v>2-N</v>
      </c>
      <c r="W163" s="21"/>
      <c r="X163" s="2" t="b">
        <f t="shared" si="41"/>
        <v>0</v>
      </c>
    </row>
    <row r="164" spans="2:24" hidden="1" x14ac:dyDescent="0.3">
      <c r="B164" s="17">
        <v>46065</v>
      </c>
      <c r="C164" s="10" t="s">
        <v>88</v>
      </c>
      <c r="D164" s="11">
        <v>177458</v>
      </c>
      <c r="E164" s="26">
        <v>85689</v>
      </c>
      <c r="F164" s="10" t="s">
        <v>84</v>
      </c>
      <c r="G164" s="10" t="s">
        <v>154</v>
      </c>
      <c r="H164" s="10" t="s">
        <v>85</v>
      </c>
      <c r="I164" s="12" t="s">
        <v>37</v>
      </c>
      <c r="J164" s="12" t="s">
        <v>37</v>
      </c>
      <c r="K164" s="13">
        <v>185</v>
      </c>
      <c r="L164" s="21">
        <v>47.46</v>
      </c>
      <c r="M164" s="14" t="s">
        <v>14</v>
      </c>
      <c r="N164" s="13">
        <v>8780.1</v>
      </c>
      <c r="O164" s="15">
        <v>0</v>
      </c>
      <c r="P164" s="10" t="s">
        <v>69</v>
      </c>
      <c r="Q164" s="11" t="s">
        <v>355</v>
      </c>
      <c r="R164" s="11" t="s">
        <v>356</v>
      </c>
      <c r="S164" s="16" t="s">
        <v>357</v>
      </c>
      <c r="T164" s="19" t="str">
        <f t="shared" ref="T164:T191" si="42">MONTH(B164)&amp;"-"&amp;YEAR(B164)</f>
        <v>2-2026</v>
      </c>
      <c r="U164" s="2">
        <f t="shared" ref="U164:U191" si="43">YEAR(B164)</f>
        <v>2026</v>
      </c>
      <c r="V164" s="2" t="str">
        <f t="shared" ref="V164:V191" si="44">IF(DAY(B164)&gt;15,MONTH(B164)&amp;"-C",MONTH(B164)&amp;"-N")</f>
        <v>2-N</v>
      </c>
      <c r="W164" s="21"/>
      <c r="X164" s="2" t="b">
        <f t="shared" si="41"/>
        <v>0</v>
      </c>
    </row>
    <row r="165" spans="2:24" hidden="1" x14ac:dyDescent="0.3">
      <c r="B165" s="17">
        <v>46065</v>
      </c>
      <c r="C165" s="10" t="s">
        <v>88</v>
      </c>
      <c r="D165" s="11">
        <v>177458</v>
      </c>
      <c r="E165" s="26">
        <v>85689</v>
      </c>
      <c r="F165" s="10" t="s">
        <v>86</v>
      </c>
      <c r="G165" s="10" t="s">
        <v>154</v>
      </c>
      <c r="H165" s="10" t="s">
        <v>87</v>
      </c>
      <c r="I165" s="12" t="s">
        <v>37</v>
      </c>
      <c r="J165" s="12" t="s">
        <v>37</v>
      </c>
      <c r="K165" s="13">
        <v>6160</v>
      </c>
      <c r="L165" s="21">
        <v>11.72</v>
      </c>
      <c r="M165" s="14" t="s">
        <v>14</v>
      </c>
      <c r="N165" s="13">
        <v>72195.199999999997</v>
      </c>
      <c r="O165" s="15">
        <v>0</v>
      </c>
      <c r="P165" s="10" t="s">
        <v>69</v>
      </c>
      <c r="Q165" s="11" t="s">
        <v>355</v>
      </c>
      <c r="R165" s="11" t="s">
        <v>356</v>
      </c>
      <c r="S165" s="16" t="s">
        <v>357</v>
      </c>
      <c r="T165" s="19" t="str">
        <f t="shared" si="42"/>
        <v>2-2026</v>
      </c>
      <c r="U165" s="2">
        <f t="shared" si="43"/>
        <v>2026</v>
      </c>
      <c r="V165" s="2" t="str">
        <f t="shared" si="44"/>
        <v>2-N</v>
      </c>
      <c r="W165" s="21"/>
      <c r="X165" s="2" t="b">
        <f t="shared" si="41"/>
        <v>0</v>
      </c>
    </row>
    <row r="166" spans="2:24" hidden="1" x14ac:dyDescent="0.3">
      <c r="B166" s="17">
        <v>46063</v>
      </c>
      <c r="C166" s="10" t="s">
        <v>164</v>
      </c>
      <c r="D166" s="11">
        <v>177868</v>
      </c>
      <c r="E166" s="26">
        <v>85654</v>
      </c>
      <c r="F166" s="10" t="s">
        <v>82</v>
      </c>
      <c r="G166" s="10" t="s">
        <v>152</v>
      </c>
      <c r="H166" s="10" t="s">
        <v>21</v>
      </c>
      <c r="I166" s="12">
        <v>1197</v>
      </c>
      <c r="J166" s="12">
        <v>90</v>
      </c>
      <c r="K166" s="13">
        <v>4308</v>
      </c>
      <c r="L166" s="21">
        <v>5</v>
      </c>
      <c r="M166" s="14" t="s">
        <v>14</v>
      </c>
      <c r="N166" s="13">
        <v>21540</v>
      </c>
      <c r="O166" s="15">
        <v>0</v>
      </c>
      <c r="P166" s="10" t="s">
        <v>70</v>
      </c>
      <c r="Q166" s="11" t="s">
        <v>358</v>
      </c>
      <c r="R166" s="11" t="s">
        <v>359</v>
      </c>
      <c r="S166" s="16" t="s">
        <v>360</v>
      </c>
      <c r="T166" s="19" t="str">
        <f t="shared" si="42"/>
        <v>2-2026</v>
      </c>
      <c r="U166" s="2">
        <f t="shared" si="43"/>
        <v>2026</v>
      </c>
      <c r="V166" s="2" t="str">
        <f t="shared" si="44"/>
        <v>2-N</v>
      </c>
      <c r="W166" s="21"/>
      <c r="X166" s="2" t="b">
        <f t="shared" ref="X166:X167" si="45">+L166=W166</f>
        <v>0</v>
      </c>
    </row>
    <row r="167" spans="2:24" hidden="1" x14ac:dyDescent="0.3">
      <c r="B167" s="17">
        <v>46069</v>
      </c>
      <c r="C167" s="10" t="s">
        <v>67</v>
      </c>
      <c r="D167" s="11">
        <v>178043</v>
      </c>
      <c r="E167" s="26">
        <v>85788</v>
      </c>
      <c r="F167" s="10" t="s">
        <v>27</v>
      </c>
      <c r="G167" s="10" t="s">
        <v>153</v>
      </c>
      <c r="H167" s="10" t="s">
        <v>28</v>
      </c>
      <c r="I167" s="12" t="s">
        <v>37</v>
      </c>
      <c r="J167" s="12" t="s">
        <v>37</v>
      </c>
      <c r="K167" s="13">
        <v>1800</v>
      </c>
      <c r="L167" s="21">
        <v>3.05</v>
      </c>
      <c r="M167" s="14" t="s">
        <v>14</v>
      </c>
      <c r="N167" s="13">
        <v>5490</v>
      </c>
      <c r="O167" s="15">
        <v>0</v>
      </c>
      <c r="P167" s="10" t="s">
        <v>64</v>
      </c>
      <c r="Q167" s="11" t="s">
        <v>361</v>
      </c>
      <c r="R167" s="11" t="s">
        <v>362</v>
      </c>
      <c r="S167" s="16" t="s">
        <v>363</v>
      </c>
      <c r="T167" s="19" t="str">
        <f t="shared" si="42"/>
        <v>2-2026</v>
      </c>
      <c r="U167" s="2">
        <f t="shared" si="43"/>
        <v>2026</v>
      </c>
      <c r="V167" s="2" t="str">
        <f t="shared" si="44"/>
        <v>2-C</v>
      </c>
      <c r="W167" s="21"/>
      <c r="X167" s="2" t="b">
        <f t="shared" si="45"/>
        <v>0</v>
      </c>
    </row>
    <row r="168" spans="2:24" hidden="1" x14ac:dyDescent="0.3">
      <c r="B168" s="17">
        <v>46074</v>
      </c>
      <c r="C168" s="10" t="s">
        <v>164</v>
      </c>
      <c r="D168" s="11">
        <v>178069</v>
      </c>
      <c r="E168" s="26">
        <v>85854</v>
      </c>
      <c r="F168" s="10" t="s">
        <v>124</v>
      </c>
      <c r="G168" s="10" t="s">
        <v>152</v>
      </c>
      <c r="H168" s="10" t="s">
        <v>20</v>
      </c>
      <c r="I168" s="12">
        <v>1065</v>
      </c>
      <c r="J168" s="12">
        <v>50</v>
      </c>
      <c r="K168" s="13">
        <v>5212.3999999999996</v>
      </c>
      <c r="L168" s="21">
        <v>4.9000000000000004</v>
      </c>
      <c r="M168" s="14" t="s">
        <v>14</v>
      </c>
      <c r="N168" s="13">
        <v>25540.76</v>
      </c>
      <c r="O168" s="15">
        <v>0</v>
      </c>
      <c r="P168" s="10" t="s">
        <v>61</v>
      </c>
      <c r="Q168" s="11" t="s">
        <v>364</v>
      </c>
      <c r="R168" s="11" t="s">
        <v>365</v>
      </c>
      <c r="S168" s="16" t="s">
        <v>366</v>
      </c>
      <c r="T168" s="19" t="str">
        <f t="shared" si="42"/>
        <v>2-2026</v>
      </c>
      <c r="U168" s="2">
        <f t="shared" si="43"/>
        <v>2026</v>
      </c>
      <c r="V168" s="2" t="str">
        <f t="shared" si="44"/>
        <v>2-C</v>
      </c>
      <c r="W168" s="21"/>
      <c r="X168" s="2" t="b">
        <f t="shared" ref="X168:X169" si="46">+L168=W168</f>
        <v>0</v>
      </c>
    </row>
    <row r="169" spans="2:24" hidden="1" x14ac:dyDescent="0.3">
      <c r="B169" s="17">
        <v>46074</v>
      </c>
      <c r="C169" s="10" t="s">
        <v>164</v>
      </c>
      <c r="D169" s="11">
        <v>178069</v>
      </c>
      <c r="E169" s="26">
        <v>85871</v>
      </c>
      <c r="F169" s="10" t="s">
        <v>124</v>
      </c>
      <c r="G169" s="10" t="s">
        <v>152</v>
      </c>
      <c r="H169" s="10" t="s">
        <v>20</v>
      </c>
      <c r="I169" s="12">
        <v>1065</v>
      </c>
      <c r="J169" s="12">
        <v>50</v>
      </c>
      <c r="K169" s="13">
        <v>2740.5</v>
      </c>
      <c r="L169" s="21">
        <v>4.9000000000000004</v>
      </c>
      <c r="M169" s="14" t="s">
        <v>14</v>
      </c>
      <c r="N169" s="13">
        <v>13428.45</v>
      </c>
      <c r="O169" s="15">
        <v>0</v>
      </c>
      <c r="P169" s="10" t="s">
        <v>61</v>
      </c>
      <c r="Q169" s="11" t="s">
        <v>367</v>
      </c>
      <c r="R169" s="11" t="s">
        <v>368</v>
      </c>
      <c r="S169" s="16" t="s">
        <v>369</v>
      </c>
      <c r="T169" s="19" t="str">
        <f t="shared" si="42"/>
        <v>2-2026</v>
      </c>
      <c r="U169" s="2">
        <f t="shared" si="43"/>
        <v>2026</v>
      </c>
      <c r="V169" s="2" t="str">
        <f t="shared" si="44"/>
        <v>2-C</v>
      </c>
      <c r="W169" s="21"/>
      <c r="X169" s="2" t="b">
        <f t="shared" si="46"/>
        <v>0</v>
      </c>
    </row>
    <row r="170" spans="2:24" hidden="1" x14ac:dyDescent="0.3">
      <c r="B170" s="17">
        <v>46079</v>
      </c>
      <c r="C170" s="10" t="s">
        <v>26</v>
      </c>
      <c r="D170" s="11">
        <v>177565</v>
      </c>
      <c r="E170" s="26">
        <v>86023</v>
      </c>
      <c r="F170" s="10" t="s">
        <v>31</v>
      </c>
      <c r="G170" s="10" t="s">
        <v>153</v>
      </c>
      <c r="H170" s="10" t="s">
        <v>32</v>
      </c>
      <c r="I170" s="12" t="s">
        <v>37</v>
      </c>
      <c r="J170" s="12" t="s">
        <v>37</v>
      </c>
      <c r="K170" s="13">
        <v>640</v>
      </c>
      <c r="L170" s="21">
        <v>4.4000000000000004</v>
      </c>
      <c r="M170" s="14" t="s">
        <v>14</v>
      </c>
      <c r="N170" s="13">
        <v>2816</v>
      </c>
      <c r="O170" s="15">
        <v>0</v>
      </c>
      <c r="P170" s="10" t="s">
        <v>64</v>
      </c>
      <c r="Q170" s="11" t="s">
        <v>370</v>
      </c>
      <c r="R170" s="11" t="s">
        <v>371</v>
      </c>
      <c r="S170" s="16" t="s">
        <v>372</v>
      </c>
      <c r="T170" s="19" t="str">
        <f t="shared" si="42"/>
        <v>2-2026</v>
      </c>
      <c r="U170" s="2">
        <f t="shared" si="43"/>
        <v>2026</v>
      </c>
      <c r="V170" s="2" t="str">
        <f t="shared" si="44"/>
        <v>2-C</v>
      </c>
      <c r="W170" s="21"/>
      <c r="X170" s="2" t="b">
        <f t="shared" ref="X170:X181" si="47">+L170=W170</f>
        <v>0</v>
      </c>
    </row>
    <row r="171" spans="2:24" hidden="1" x14ac:dyDescent="0.3">
      <c r="B171" s="17">
        <v>46076</v>
      </c>
      <c r="C171" s="10" t="s">
        <v>26</v>
      </c>
      <c r="D171" s="11">
        <v>177565</v>
      </c>
      <c r="E171" s="26">
        <v>85931</v>
      </c>
      <c r="F171" s="10" t="s">
        <v>27</v>
      </c>
      <c r="G171" s="10" t="s">
        <v>153</v>
      </c>
      <c r="H171" s="10" t="s">
        <v>28</v>
      </c>
      <c r="I171" s="12" t="s">
        <v>37</v>
      </c>
      <c r="J171" s="12" t="s">
        <v>37</v>
      </c>
      <c r="K171" s="13">
        <v>2600</v>
      </c>
      <c r="L171" s="21">
        <v>3.03</v>
      </c>
      <c r="M171" s="14" t="s">
        <v>14</v>
      </c>
      <c r="N171" s="13">
        <v>7878</v>
      </c>
      <c r="O171" s="15">
        <v>0</v>
      </c>
      <c r="P171" s="10" t="s">
        <v>64</v>
      </c>
      <c r="Q171" s="11" t="s">
        <v>373</v>
      </c>
      <c r="R171" s="11" t="s">
        <v>374</v>
      </c>
      <c r="S171" s="16" t="s">
        <v>375</v>
      </c>
      <c r="T171" s="19" t="str">
        <f t="shared" si="42"/>
        <v>2-2026</v>
      </c>
      <c r="U171" s="2">
        <f t="shared" si="43"/>
        <v>2026</v>
      </c>
      <c r="V171" s="2" t="str">
        <f t="shared" si="44"/>
        <v>2-C</v>
      </c>
      <c r="W171" s="21"/>
      <c r="X171" s="2" t="b">
        <f t="shared" si="47"/>
        <v>0</v>
      </c>
    </row>
    <row r="172" spans="2:24" hidden="1" x14ac:dyDescent="0.3">
      <c r="B172" s="17">
        <v>46075</v>
      </c>
      <c r="C172" s="10" t="s">
        <v>26</v>
      </c>
      <c r="D172" s="11">
        <v>177565</v>
      </c>
      <c r="E172" s="26">
        <v>85865</v>
      </c>
      <c r="F172" s="10" t="s">
        <v>31</v>
      </c>
      <c r="G172" s="10" t="s">
        <v>153</v>
      </c>
      <c r="H172" s="10" t="s">
        <v>32</v>
      </c>
      <c r="I172" s="12" t="s">
        <v>37</v>
      </c>
      <c r="J172" s="12" t="s">
        <v>37</v>
      </c>
      <c r="K172" s="13">
        <v>960</v>
      </c>
      <c r="L172" s="21">
        <v>4.4000000000000004</v>
      </c>
      <c r="M172" s="14" t="s">
        <v>14</v>
      </c>
      <c r="N172" s="13">
        <v>4224</v>
      </c>
      <c r="O172" s="15">
        <v>0</v>
      </c>
      <c r="P172" s="10" t="s">
        <v>64</v>
      </c>
      <c r="Q172" s="11" t="s">
        <v>376</v>
      </c>
      <c r="R172" s="11" t="s">
        <v>377</v>
      </c>
      <c r="S172" s="16" t="s">
        <v>378</v>
      </c>
      <c r="T172" s="19" t="str">
        <f t="shared" si="42"/>
        <v>2-2026</v>
      </c>
      <c r="U172" s="2">
        <f t="shared" si="43"/>
        <v>2026</v>
      </c>
      <c r="V172" s="2" t="str">
        <f t="shared" si="44"/>
        <v>2-C</v>
      </c>
      <c r="W172" s="21"/>
      <c r="X172" s="2" t="b">
        <f t="shared" si="47"/>
        <v>0</v>
      </c>
    </row>
    <row r="173" spans="2:24" hidden="1" x14ac:dyDescent="0.3">
      <c r="B173" s="17">
        <v>46075</v>
      </c>
      <c r="C173" s="10" t="s">
        <v>26</v>
      </c>
      <c r="D173" s="11">
        <v>177565</v>
      </c>
      <c r="E173" s="26">
        <v>85813</v>
      </c>
      <c r="F173" s="10" t="s">
        <v>27</v>
      </c>
      <c r="G173" s="10" t="s">
        <v>153</v>
      </c>
      <c r="H173" s="10" t="s">
        <v>28</v>
      </c>
      <c r="I173" s="12" t="s">
        <v>37</v>
      </c>
      <c r="J173" s="12" t="s">
        <v>37</v>
      </c>
      <c r="K173" s="13">
        <v>19800</v>
      </c>
      <c r="L173" s="21">
        <v>3.03</v>
      </c>
      <c r="M173" s="14" t="s">
        <v>14</v>
      </c>
      <c r="N173" s="13">
        <v>59994</v>
      </c>
      <c r="O173" s="15">
        <v>0</v>
      </c>
      <c r="P173" s="10" t="s">
        <v>64</v>
      </c>
      <c r="Q173" s="11" t="s">
        <v>379</v>
      </c>
      <c r="R173" s="11" t="s">
        <v>380</v>
      </c>
      <c r="S173" s="16" t="s">
        <v>381</v>
      </c>
      <c r="T173" s="19" t="str">
        <f t="shared" si="42"/>
        <v>2-2026</v>
      </c>
      <c r="U173" s="2">
        <f t="shared" si="43"/>
        <v>2026</v>
      </c>
      <c r="V173" s="2" t="str">
        <f t="shared" si="44"/>
        <v>2-C</v>
      </c>
      <c r="W173" s="21"/>
      <c r="X173" s="2" t="b">
        <f t="shared" si="47"/>
        <v>0</v>
      </c>
    </row>
    <row r="174" spans="2:24" hidden="1" x14ac:dyDescent="0.3">
      <c r="B174" s="17">
        <v>46075</v>
      </c>
      <c r="C174" s="10" t="s">
        <v>26</v>
      </c>
      <c r="D174" s="11">
        <v>177876</v>
      </c>
      <c r="E174" s="26">
        <v>85867</v>
      </c>
      <c r="F174" s="10" t="s">
        <v>29</v>
      </c>
      <c r="G174" s="10" t="s">
        <v>153</v>
      </c>
      <c r="H174" s="10" t="s">
        <v>30</v>
      </c>
      <c r="I174" s="12" t="s">
        <v>37</v>
      </c>
      <c r="J174" s="12" t="s">
        <v>37</v>
      </c>
      <c r="K174" s="13">
        <v>660</v>
      </c>
      <c r="L174" s="21">
        <v>3.37</v>
      </c>
      <c r="M174" s="14" t="s">
        <v>14</v>
      </c>
      <c r="N174" s="13">
        <v>2224.1999999999998</v>
      </c>
      <c r="O174" s="15">
        <v>0</v>
      </c>
      <c r="P174" s="10" t="s">
        <v>64</v>
      </c>
      <c r="Q174" s="11" t="s">
        <v>382</v>
      </c>
      <c r="R174" s="11" t="s">
        <v>383</v>
      </c>
      <c r="S174" s="16" t="s">
        <v>37</v>
      </c>
      <c r="T174" s="19" t="str">
        <f t="shared" si="42"/>
        <v>2-2026</v>
      </c>
      <c r="U174" s="2">
        <f t="shared" si="43"/>
        <v>2026</v>
      </c>
      <c r="V174" s="2" t="str">
        <f t="shared" si="44"/>
        <v>2-C</v>
      </c>
      <c r="W174" s="21"/>
      <c r="X174" s="2" t="b">
        <f t="shared" si="47"/>
        <v>0</v>
      </c>
    </row>
    <row r="175" spans="2:24" hidden="1" x14ac:dyDescent="0.3">
      <c r="B175" s="17">
        <v>46079</v>
      </c>
      <c r="C175" s="10" t="s">
        <v>26</v>
      </c>
      <c r="D175" s="11">
        <v>177876</v>
      </c>
      <c r="E175" s="26">
        <v>86044</v>
      </c>
      <c r="F175" s="10" t="s">
        <v>29</v>
      </c>
      <c r="G175" s="10" t="s">
        <v>153</v>
      </c>
      <c r="H175" s="10" t="s">
        <v>30</v>
      </c>
      <c r="I175" s="12" t="s">
        <v>37</v>
      </c>
      <c r="J175" s="12" t="s">
        <v>37</v>
      </c>
      <c r="K175" s="13">
        <v>295</v>
      </c>
      <c r="L175" s="21">
        <v>3.37</v>
      </c>
      <c r="M175" s="14" t="s">
        <v>14</v>
      </c>
      <c r="N175" s="13">
        <v>994.15</v>
      </c>
      <c r="O175" s="15">
        <v>0</v>
      </c>
      <c r="P175" s="10" t="s">
        <v>64</v>
      </c>
      <c r="Q175" s="11" t="s">
        <v>384</v>
      </c>
      <c r="R175" s="11" t="s">
        <v>385</v>
      </c>
      <c r="S175" s="16" t="s">
        <v>386</v>
      </c>
      <c r="T175" s="19" t="str">
        <f t="shared" si="42"/>
        <v>2-2026</v>
      </c>
      <c r="U175" s="2">
        <f t="shared" si="43"/>
        <v>2026</v>
      </c>
      <c r="V175" s="2" t="str">
        <f t="shared" si="44"/>
        <v>2-C</v>
      </c>
      <c r="W175" s="21"/>
      <c r="X175" s="2" t="b">
        <f t="shared" si="47"/>
        <v>0</v>
      </c>
    </row>
    <row r="176" spans="2:24" hidden="1" x14ac:dyDescent="0.3">
      <c r="B176" s="17">
        <v>46079</v>
      </c>
      <c r="C176" s="10" t="s">
        <v>26</v>
      </c>
      <c r="D176" s="11">
        <v>178037</v>
      </c>
      <c r="E176" s="26">
        <v>86044</v>
      </c>
      <c r="F176" s="10" t="s">
        <v>29</v>
      </c>
      <c r="G176" s="10" t="s">
        <v>153</v>
      </c>
      <c r="H176" s="10" t="s">
        <v>30</v>
      </c>
      <c r="I176" s="12" t="s">
        <v>37</v>
      </c>
      <c r="J176" s="12" t="s">
        <v>37</v>
      </c>
      <c r="K176" s="13">
        <v>200</v>
      </c>
      <c r="L176" s="21">
        <v>3.37</v>
      </c>
      <c r="M176" s="14" t="s">
        <v>14</v>
      </c>
      <c r="N176" s="13">
        <v>674</v>
      </c>
      <c r="O176" s="15">
        <v>0</v>
      </c>
      <c r="P176" s="10" t="s">
        <v>64</v>
      </c>
      <c r="Q176" s="11" t="s">
        <v>384</v>
      </c>
      <c r="R176" s="11" t="s">
        <v>385</v>
      </c>
      <c r="S176" s="16" t="s">
        <v>386</v>
      </c>
      <c r="T176" s="19" t="str">
        <f t="shared" si="42"/>
        <v>2-2026</v>
      </c>
      <c r="U176" s="2">
        <f t="shared" si="43"/>
        <v>2026</v>
      </c>
      <c r="V176" s="2" t="str">
        <f t="shared" si="44"/>
        <v>2-C</v>
      </c>
      <c r="W176" s="21"/>
      <c r="X176" s="2" t="b">
        <f t="shared" si="47"/>
        <v>0</v>
      </c>
    </row>
    <row r="177" spans="2:24" hidden="1" x14ac:dyDescent="0.3">
      <c r="B177" s="17">
        <v>46075</v>
      </c>
      <c r="C177" s="10" t="s">
        <v>26</v>
      </c>
      <c r="D177" s="11">
        <v>178037</v>
      </c>
      <c r="E177" s="26">
        <v>85866</v>
      </c>
      <c r="F177" s="10" t="s">
        <v>33</v>
      </c>
      <c r="G177" s="10" t="s">
        <v>153</v>
      </c>
      <c r="H177" s="10" t="s">
        <v>34</v>
      </c>
      <c r="I177" s="12" t="s">
        <v>37</v>
      </c>
      <c r="J177" s="12" t="s">
        <v>37</v>
      </c>
      <c r="K177" s="13">
        <v>1485</v>
      </c>
      <c r="L177" s="21">
        <v>4.45</v>
      </c>
      <c r="M177" s="14" t="s">
        <v>14</v>
      </c>
      <c r="N177" s="13">
        <v>6608.25</v>
      </c>
      <c r="O177" s="15">
        <v>0</v>
      </c>
      <c r="P177" s="10" t="s">
        <v>64</v>
      </c>
      <c r="Q177" s="11" t="s">
        <v>387</v>
      </c>
      <c r="R177" s="11" t="s">
        <v>388</v>
      </c>
      <c r="S177" s="16" t="s">
        <v>389</v>
      </c>
      <c r="T177" s="19" t="str">
        <f t="shared" si="42"/>
        <v>2-2026</v>
      </c>
      <c r="U177" s="2">
        <f t="shared" si="43"/>
        <v>2026</v>
      </c>
      <c r="V177" s="2" t="str">
        <f t="shared" si="44"/>
        <v>2-C</v>
      </c>
      <c r="W177" s="21"/>
      <c r="X177" s="2" t="b">
        <f t="shared" si="47"/>
        <v>0</v>
      </c>
    </row>
    <row r="178" spans="2:24" hidden="1" x14ac:dyDescent="0.3">
      <c r="B178" s="17">
        <v>46075</v>
      </c>
      <c r="C178" s="10" t="s">
        <v>26</v>
      </c>
      <c r="D178" s="11"/>
      <c r="E178" s="26">
        <v>85866</v>
      </c>
      <c r="F178" s="10" t="s">
        <v>33</v>
      </c>
      <c r="G178" s="10" t="s">
        <v>153</v>
      </c>
      <c r="H178" s="10" t="s">
        <v>34</v>
      </c>
      <c r="I178" s="12" t="s">
        <v>37</v>
      </c>
      <c r="J178" s="12" t="s">
        <v>37</v>
      </c>
      <c r="K178" s="13">
        <v>315</v>
      </c>
      <c r="L178" s="21">
        <v>4.45</v>
      </c>
      <c r="M178" s="14" t="s">
        <v>14</v>
      </c>
      <c r="N178" s="13">
        <v>1401.75</v>
      </c>
      <c r="O178" s="15">
        <v>0</v>
      </c>
      <c r="P178" s="10" t="s">
        <v>64</v>
      </c>
      <c r="Q178" s="11" t="s">
        <v>387</v>
      </c>
      <c r="R178" s="11" t="s">
        <v>388</v>
      </c>
      <c r="S178" s="16" t="s">
        <v>389</v>
      </c>
      <c r="T178" s="19" t="str">
        <f t="shared" si="42"/>
        <v>2-2026</v>
      </c>
      <c r="U178" s="2">
        <f t="shared" si="43"/>
        <v>2026</v>
      </c>
      <c r="V178" s="2" t="str">
        <f t="shared" si="44"/>
        <v>2-C</v>
      </c>
      <c r="W178" s="21"/>
      <c r="X178" s="2" t="b">
        <f t="shared" si="47"/>
        <v>0</v>
      </c>
    </row>
    <row r="179" spans="2:24" hidden="1" x14ac:dyDescent="0.3">
      <c r="B179" s="17">
        <v>46079</v>
      </c>
      <c r="C179" s="10" t="s">
        <v>26</v>
      </c>
      <c r="D179" s="11">
        <v>178037</v>
      </c>
      <c r="E179" s="26">
        <v>86021</v>
      </c>
      <c r="F179" s="10" t="s">
        <v>29</v>
      </c>
      <c r="G179" s="10" t="s">
        <v>153</v>
      </c>
      <c r="H179" s="10" t="s">
        <v>30</v>
      </c>
      <c r="I179" s="12" t="s">
        <v>37</v>
      </c>
      <c r="J179" s="12" t="s">
        <v>37</v>
      </c>
      <c r="K179" s="13">
        <v>165</v>
      </c>
      <c r="L179" s="21">
        <v>3.37</v>
      </c>
      <c r="M179" s="14" t="s">
        <v>14</v>
      </c>
      <c r="N179" s="13">
        <v>556.04999999999995</v>
      </c>
      <c r="O179" s="15">
        <v>0</v>
      </c>
      <c r="P179" s="10" t="s">
        <v>64</v>
      </c>
      <c r="Q179" s="11" t="s">
        <v>390</v>
      </c>
      <c r="R179" s="11" t="s">
        <v>391</v>
      </c>
      <c r="S179" s="16" t="s">
        <v>392</v>
      </c>
      <c r="T179" s="19" t="str">
        <f t="shared" si="42"/>
        <v>2-2026</v>
      </c>
      <c r="U179" s="2">
        <f t="shared" si="43"/>
        <v>2026</v>
      </c>
      <c r="V179" s="2" t="str">
        <f t="shared" si="44"/>
        <v>2-C</v>
      </c>
      <c r="W179" s="21"/>
      <c r="X179" s="2" t="b">
        <f t="shared" si="47"/>
        <v>0</v>
      </c>
    </row>
    <row r="180" spans="2:24" hidden="1" x14ac:dyDescent="0.3">
      <c r="B180" s="17">
        <v>46079</v>
      </c>
      <c r="C180" s="10" t="s">
        <v>26</v>
      </c>
      <c r="D180" s="11">
        <v>178185</v>
      </c>
      <c r="E180" s="26">
        <v>86022</v>
      </c>
      <c r="F180" s="10" t="s">
        <v>33</v>
      </c>
      <c r="G180" s="10" t="s">
        <v>153</v>
      </c>
      <c r="H180" s="10" t="s">
        <v>34</v>
      </c>
      <c r="I180" s="12" t="s">
        <v>37</v>
      </c>
      <c r="J180" s="12" t="s">
        <v>37</v>
      </c>
      <c r="K180" s="13">
        <v>720</v>
      </c>
      <c r="L180" s="21">
        <v>4.45</v>
      </c>
      <c r="M180" s="14" t="s">
        <v>14</v>
      </c>
      <c r="N180" s="13">
        <v>3204</v>
      </c>
      <c r="O180" s="15">
        <v>0</v>
      </c>
      <c r="P180" s="10" t="s">
        <v>64</v>
      </c>
      <c r="Q180" s="11" t="s">
        <v>393</v>
      </c>
      <c r="R180" s="11" t="s">
        <v>394</v>
      </c>
      <c r="S180" s="16" t="s">
        <v>395</v>
      </c>
      <c r="T180" s="19" t="str">
        <f t="shared" si="42"/>
        <v>2-2026</v>
      </c>
      <c r="U180" s="2">
        <f t="shared" si="43"/>
        <v>2026</v>
      </c>
      <c r="V180" s="2" t="str">
        <f t="shared" si="44"/>
        <v>2-C</v>
      </c>
      <c r="W180" s="21"/>
      <c r="X180" s="2" t="b">
        <f t="shared" si="47"/>
        <v>0</v>
      </c>
    </row>
    <row r="181" spans="2:24" hidden="1" x14ac:dyDescent="0.3">
      <c r="B181" s="17">
        <v>46076</v>
      </c>
      <c r="C181" s="10" t="s">
        <v>26</v>
      </c>
      <c r="D181" s="11">
        <v>178042</v>
      </c>
      <c r="E181" s="26">
        <v>85932</v>
      </c>
      <c r="F181" s="10" t="s">
        <v>27</v>
      </c>
      <c r="G181" s="10" t="s">
        <v>153</v>
      </c>
      <c r="H181" s="10" t="s">
        <v>28</v>
      </c>
      <c r="I181" s="12" t="s">
        <v>37</v>
      </c>
      <c r="J181" s="12" t="s">
        <v>37</v>
      </c>
      <c r="K181" s="13">
        <v>13600</v>
      </c>
      <c r="L181" s="21">
        <v>3.03</v>
      </c>
      <c r="M181" s="14" t="s">
        <v>14</v>
      </c>
      <c r="N181" s="13">
        <v>41208</v>
      </c>
      <c r="O181" s="15">
        <v>0</v>
      </c>
      <c r="P181" s="10" t="s">
        <v>64</v>
      </c>
      <c r="Q181" s="11" t="s">
        <v>396</v>
      </c>
      <c r="R181" s="11" t="s">
        <v>397</v>
      </c>
      <c r="S181" s="16" t="s">
        <v>398</v>
      </c>
      <c r="T181" s="19" t="str">
        <f t="shared" si="42"/>
        <v>2-2026</v>
      </c>
      <c r="U181" s="2">
        <f t="shared" si="43"/>
        <v>2026</v>
      </c>
      <c r="V181" s="2" t="str">
        <f t="shared" si="44"/>
        <v>2-C</v>
      </c>
      <c r="W181" s="21"/>
      <c r="X181" s="2" t="b">
        <f t="shared" si="47"/>
        <v>0</v>
      </c>
    </row>
    <row r="182" spans="2:24" hidden="1" x14ac:dyDescent="0.3">
      <c r="B182" s="17">
        <v>46075</v>
      </c>
      <c r="C182" s="10" t="s">
        <v>88</v>
      </c>
      <c r="D182" s="11">
        <v>177458</v>
      </c>
      <c r="E182" s="26">
        <v>85868</v>
      </c>
      <c r="F182" s="10" t="s">
        <v>84</v>
      </c>
      <c r="G182" s="10" t="s">
        <v>154</v>
      </c>
      <c r="H182" s="10" t="s">
        <v>85</v>
      </c>
      <c r="I182" s="12" t="s">
        <v>37</v>
      </c>
      <c r="J182" s="12" t="s">
        <v>37</v>
      </c>
      <c r="K182" s="13">
        <v>185</v>
      </c>
      <c r="L182" s="21">
        <v>47.46</v>
      </c>
      <c r="M182" s="14" t="s">
        <v>14</v>
      </c>
      <c r="N182" s="13">
        <v>8780.1</v>
      </c>
      <c r="O182" s="15">
        <v>0</v>
      </c>
      <c r="P182" s="10" t="s">
        <v>69</v>
      </c>
      <c r="Q182" s="11" t="s">
        <v>399</v>
      </c>
      <c r="R182" s="11" t="s">
        <v>400</v>
      </c>
      <c r="S182" s="16" t="s">
        <v>401</v>
      </c>
      <c r="T182" s="19" t="str">
        <f t="shared" si="42"/>
        <v>2-2026</v>
      </c>
      <c r="U182" s="2">
        <f t="shared" si="43"/>
        <v>2026</v>
      </c>
      <c r="V182" s="2" t="str">
        <f t="shared" si="44"/>
        <v>2-C</v>
      </c>
      <c r="W182" s="21"/>
      <c r="X182" s="2" t="b">
        <f t="shared" ref="X182:X191" si="48">+L182=W182</f>
        <v>0</v>
      </c>
    </row>
    <row r="183" spans="2:24" hidden="1" x14ac:dyDescent="0.3">
      <c r="B183" s="17">
        <v>46075</v>
      </c>
      <c r="C183" s="10" t="s">
        <v>88</v>
      </c>
      <c r="D183" s="11">
        <v>177458</v>
      </c>
      <c r="E183" s="26">
        <v>85868</v>
      </c>
      <c r="F183" s="10" t="s">
        <v>86</v>
      </c>
      <c r="G183" s="10" t="s">
        <v>154</v>
      </c>
      <c r="H183" s="10" t="s">
        <v>87</v>
      </c>
      <c r="I183" s="12" t="s">
        <v>37</v>
      </c>
      <c r="J183" s="12" t="s">
        <v>37</v>
      </c>
      <c r="K183" s="13">
        <v>6160</v>
      </c>
      <c r="L183" s="21">
        <v>11.72</v>
      </c>
      <c r="M183" s="14" t="s">
        <v>14</v>
      </c>
      <c r="N183" s="13">
        <v>72195.199999999997</v>
      </c>
      <c r="O183" s="15">
        <v>0</v>
      </c>
      <c r="P183" s="10" t="s">
        <v>69</v>
      </c>
      <c r="Q183" s="11" t="s">
        <v>399</v>
      </c>
      <c r="R183" s="11" t="s">
        <v>400</v>
      </c>
      <c r="S183" s="16" t="s">
        <v>401</v>
      </c>
      <c r="T183" s="19" t="str">
        <f t="shared" si="42"/>
        <v>2-2026</v>
      </c>
      <c r="U183" s="2">
        <f t="shared" si="43"/>
        <v>2026</v>
      </c>
      <c r="V183" s="2" t="str">
        <f t="shared" si="44"/>
        <v>2-C</v>
      </c>
      <c r="W183" s="21"/>
      <c r="X183" s="2" t="b">
        <f t="shared" si="48"/>
        <v>0</v>
      </c>
    </row>
    <row r="184" spans="2:24" hidden="1" x14ac:dyDescent="0.3">
      <c r="B184" s="17">
        <v>46075</v>
      </c>
      <c r="C184" s="10" t="s">
        <v>155</v>
      </c>
      <c r="D184" s="11">
        <v>177952</v>
      </c>
      <c r="E184" s="26">
        <v>85930</v>
      </c>
      <c r="F184" s="10" t="s">
        <v>96</v>
      </c>
      <c r="G184" s="10" t="s">
        <v>154</v>
      </c>
      <c r="H184" s="10" t="s">
        <v>97</v>
      </c>
      <c r="I184" s="12" t="s">
        <v>37</v>
      </c>
      <c r="J184" s="12" t="s">
        <v>37</v>
      </c>
      <c r="K184" s="13">
        <v>920</v>
      </c>
      <c r="L184" s="21">
        <v>8.5280000000000005</v>
      </c>
      <c r="M184" s="14" t="s">
        <v>14</v>
      </c>
      <c r="N184" s="13">
        <v>7846.0540000000001</v>
      </c>
      <c r="O184" s="15">
        <v>0</v>
      </c>
      <c r="P184" s="10" t="s">
        <v>72</v>
      </c>
      <c r="Q184" s="11" t="s">
        <v>402</v>
      </c>
      <c r="R184" s="27">
        <v>9102000878</v>
      </c>
      <c r="S184" s="16" t="s">
        <v>403</v>
      </c>
      <c r="T184" s="19" t="str">
        <f t="shared" si="42"/>
        <v>2-2026</v>
      </c>
      <c r="U184" s="2">
        <f t="shared" si="43"/>
        <v>2026</v>
      </c>
      <c r="V184" s="2" t="str">
        <f t="shared" si="44"/>
        <v>2-C</v>
      </c>
      <c r="W184" s="21"/>
      <c r="X184" s="2" t="b">
        <f t="shared" si="48"/>
        <v>0</v>
      </c>
    </row>
    <row r="185" spans="2:24" hidden="1" x14ac:dyDescent="0.3">
      <c r="B185" s="17">
        <v>46075</v>
      </c>
      <c r="C185" s="10" t="s">
        <v>155</v>
      </c>
      <c r="D185" s="11">
        <v>177952</v>
      </c>
      <c r="E185" s="26">
        <v>85930</v>
      </c>
      <c r="F185" s="10" t="s">
        <v>92</v>
      </c>
      <c r="G185" s="10" t="s">
        <v>154</v>
      </c>
      <c r="H185" s="10" t="s">
        <v>93</v>
      </c>
      <c r="I185" s="12" t="s">
        <v>37</v>
      </c>
      <c r="J185" s="12" t="s">
        <v>37</v>
      </c>
      <c r="K185" s="13">
        <v>1610</v>
      </c>
      <c r="L185" s="21">
        <v>8.3450000000000006</v>
      </c>
      <c r="M185" s="14" t="s">
        <v>14</v>
      </c>
      <c r="N185" s="13">
        <v>13434.677</v>
      </c>
      <c r="O185" s="15">
        <v>0</v>
      </c>
      <c r="P185" s="10" t="s">
        <v>72</v>
      </c>
      <c r="Q185" s="11" t="s">
        <v>402</v>
      </c>
      <c r="R185" s="27">
        <v>9102000878</v>
      </c>
      <c r="S185" s="16" t="s">
        <v>403</v>
      </c>
      <c r="T185" s="19" t="str">
        <f t="shared" si="42"/>
        <v>2-2026</v>
      </c>
      <c r="U185" s="2">
        <f t="shared" si="43"/>
        <v>2026</v>
      </c>
      <c r="V185" s="2" t="str">
        <f t="shared" si="44"/>
        <v>2-C</v>
      </c>
      <c r="W185" s="21"/>
      <c r="X185" s="2" t="b">
        <f t="shared" si="48"/>
        <v>0</v>
      </c>
    </row>
    <row r="186" spans="2:24" hidden="1" x14ac:dyDescent="0.3">
      <c r="B186" s="17">
        <v>46075</v>
      </c>
      <c r="C186" s="10" t="s">
        <v>155</v>
      </c>
      <c r="D186" s="11">
        <v>177952</v>
      </c>
      <c r="E186" s="26">
        <v>85930</v>
      </c>
      <c r="F186" s="10" t="s">
        <v>138</v>
      </c>
      <c r="G186" s="10" t="s">
        <v>154</v>
      </c>
      <c r="H186" s="10" t="s">
        <v>139</v>
      </c>
      <c r="I186" s="12" t="s">
        <v>37</v>
      </c>
      <c r="J186" s="12" t="s">
        <v>37</v>
      </c>
      <c r="K186" s="13">
        <v>1150</v>
      </c>
      <c r="L186" s="21">
        <v>10.146000000000001</v>
      </c>
      <c r="M186" s="14" t="s">
        <v>14</v>
      </c>
      <c r="N186" s="13">
        <v>11667.624</v>
      </c>
      <c r="O186" s="15">
        <v>0</v>
      </c>
      <c r="P186" s="10" t="s">
        <v>72</v>
      </c>
      <c r="Q186" s="11" t="s">
        <v>402</v>
      </c>
      <c r="R186" s="27">
        <v>9102000878</v>
      </c>
      <c r="S186" s="16" t="s">
        <v>403</v>
      </c>
      <c r="T186" s="19" t="str">
        <f t="shared" si="42"/>
        <v>2-2026</v>
      </c>
      <c r="U186" s="2">
        <f t="shared" si="43"/>
        <v>2026</v>
      </c>
      <c r="V186" s="2" t="str">
        <f t="shared" si="44"/>
        <v>2-C</v>
      </c>
      <c r="W186" s="21"/>
      <c r="X186" s="2" t="b">
        <f t="shared" si="48"/>
        <v>0</v>
      </c>
    </row>
    <row r="187" spans="2:24" hidden="1" x14ac:dyDescent="0.3">
      <c r="B187" s="17">
        <v>46075</v>
      </c>
      <c r="C187" s="10" t="s">
        <v>155</v>
      </c>
      <c r="D187" s="11">
        <v>177952</v>
      </c>
      <c r="E187" s="26">
        <v>85930</v>
      </c>
      <c r="F187" s="10" t="s">
        <v>94</v>
      </c>
      <c r="G187" s="10" t="s">
        <v>154</v>
      </c>
      <c r="H187" s="10" t="s">
        <v>95</v>
      </c>
      <c r="I187" s="12" t="s">
        <v>37</v>
      </c>
      <c r="J187" s="12" t="s">
        <v>37</v>
      </c>
      <c r="K187" s="13">
        <v>2300</v>
      </c>
      <c r="L187" s="21">
        <v>10.035</v>
      </c>
      <c r="M187" s="14" t="s">
        <v>14</v>
      </c>
      <c r="N187" s="13">
        <v>23081.603999999999</v>
      </c>
      <c r="O187" s="15">
        <v>0</v>
      </c>
      <c r="P187" s="10" t="s">
        <v>72</v>
      </c>
      <c r="Q187" s="11" t="s">
        <v>402</v>
      </c>
      <c r="R187" s="27">
        <v>9102000878</v>
      </c>
      <c r="S187" s="16" t="s">
        <v>403</v>
      </c>
      <c r="T187" s="19" t="str">
        <f t="shared" si="42"/>
        <v>2-2026</v>
      </c>
      <c r="U187" s="2">
        <f t="shared" si="43"/>
        <v>2026</v>
      </c>
      <c r="V187" s="2" t="str">
        <f t="shared" si="44"/>
        <v>2-C</v>
      </c>
      <c r="W187" s="21"/>
      <c r="X187" s="2" t="b">
        <f t="shared" si="48"/>
        <v>0</v>
      </c>
    </row>
    <row r="188" spans="2:24" hidden="1" x14ac:dyDescent="0.3">
      <c r="B188" s="17">
        <v>46078</v>
      </c>
      <c r="C188" s="10" t="s">
        <v>158</v>
      </c>
      <c r="D188" s="11">
        <v>178210</v>
      </c>
      <c r="E188" s="26">
        <v>85968</v>
      </c>
      <c r="F188" s="10" t="s">
        <v>135</v>
      </c>
      <c r="G188" s="10" t="s">
        <v>154</v>
      </c>
      <c r="H188" s="10" t="s">
        <v>136</v>
      </c>
      <c r="I188" s="12" t="s">
        <v>37</v>
      </c>
      <c r="J188" s="12" t="s">
        <v>37</v>
      </c>
      <c r="K188" s="13">
        <v>2530</v>
      </c>
      <c r="L188" s="21">
        <v>9.85</v>
      </c>
      <c r="M188" s="14" t="s">
        <v>14</v>
      </c>
      <c r="N188" s="13">
        <v>24920.5</v>
      </c>
      <c r="O188" s="15">
        <v>0</v>
      </c>
      <c r="P188" s="10" t="s">
        <v>69</v>
      </c>
      <c r="Q188" s="11" t="s">
        <v>404</v>
      </c>
      <c r="R188" s="11" t="s">
        <v>405</v>
      </c>
      <c r="S188" s="16" t="s">
        <v>406</v>
      </c>
      <c r="T188" s="19" t="str">
        <f t="shared" si="42"/>
        <v>2-2026</v>
      </c>
      <c r="U188" s="2">
        <f t="shared" si="43"/>
        <v>2026</v>
      </c>
      <c r="V188" s="2" t="str">
        <f t="shared" si="44"/>
        <v>2-C</v>
      </c>
      <c r="W188" s="21"/>
      <c r="X188" s="2" t="b">
        <f t="shared" si="48"/>
        <v>0</v>
      </c>
    </row>
    <row r="189" spans="2:24" hidden="1" x14ac:dyDescent="0.3">
      <c r="B189" s="17">
        <v>46078</v>
      </c>
      <c r="C189" s="10" t="s">
        <v>158</v>
      </c>
      <c r="D189" s="11">
        <v>178210</v>
      </c>
      <c r="E189" s="26">
        <v>85968</v>
      </c>
      <c r="F189" s="10" t="s">
        <v>149</v>
      </c>
      <c r="G189" s="10" t="s">
        <v>154</v>
      </c>
      <c r="H189" s="10" t="s">
        <v>134</v>
      </c>
      <c r="I189" s="12" t="s">
        <v>37</v>
      </c>
      <c r="J189" s="12" t="s">
        <v>37</v>
      </c>
      <c r="K189" s="13">
        <v>2000</v>
      </c>
      <c r="L189" s="21">
        <v>9.85</v>
      </c>
      <c r="M189" s="14" t="s">
        <v>14</v>
      </c>
      <c r="N189" s="13">
        <v>19700</v>
      </c>
      <c r="O189" s="15">
        <v>0</v>
      </c>
      <c r="P189" s="10" t="s">
        <v>69</v>
      </c>
      <c r="Q189" s="11" t="s">
        <v>404</v>
      </c>
      <c r="R189" s="11" t="s">
        <v>405</v>
      </c>
      <c r="S189" s="16" t="s">
        <v>406</v>
      </c>
      <c r="T189" s="19" t="str">
        <f t="shared" si="42"/>
        <v>2-2026</v>
      </c>
      <c r="U189" s="2">
        <f t="shared" si="43"/>
        <v>2026</v>
      </c>
      <c r="V189" s="2" t="str">
        <f t="shared" si="44"/>
        <v>2-C</v>
      </c>
      <c r="W189" s="21"/>
      <c r="X189" s="2" t="b">
        <f t="shared" si="48"/>
        <v>0</v>
      </c>
    </row>
    <row r="190" spans="2:24" hidden="1" x14ac:dyDescent="0.3">
      <c r="B190" s="17">
        <v>46081</v>
      </c>
      <c r="C190" s="10" t="s">
        <v>67</v>
      </c>
      <c r="D190" s="11">
        <v>178043</v>
      </c>
      <c r="E190" s="26">
        <v>86101</v>
      </c>
      <c r="F190" s="10" t="s">
        <v>27</v>
      </c>
      <c r="G190" s="10" t="s">
        <v>153</v>
      </c>
      <c r="H190" s="10" t="s">
        <v>28</v>
      </c>
      <c r="I190" s="12" t="s">
        <v>37</v>
      </c>
      <c r="J190" s="12" t="s">
        <v>37</v>
      </c>
      <c r="K190" s="13">
        <v>1800</v>
      </c>
      <c r="L190" s="21">
        <v>3.05</v>
      </c>
      <c r="M190" s="14" t="s">
        <v>14</v>
      </c>
      <c r="N190" s="13">
        <v>5490</v>
      </c>
      <c r="O190" s="15">
        <v>0</v>
      </c>
      <c r="P190" s="10" t="s">
        <v>64</v>
      </c>
      <c r="Q190" s="11" t="s">
        <v>407</v>
      </c>
      <c r="R190" s="11" t="s">
        <v>408</v>
      </c>
      <c r="S190" s="16" t="s">
        <v>409</v>
      </c>
      <c r="T190" s="19" t="str">
        <f t="shared" si="42"/>
        <v>2-2026</v>
      </c>
      <c r="U190" s="2">
        <f t="shared" si="43"/>
        <v>2026</v>
      </c>
      <c r="V190" s="2" t="str">
        <f t="shared" si="44"/>
        <v>2-C</v>
      </c>
      <c r="W190" s="21"/>
      <c r="X190" s="2" t="b">
        <f t="shared" si="48"/>
        <v>0</v>
      </c>
    </row>
    <row r="191" spans="2:24" hidden="1" x14ac:dyDescent="0.3">
      <c r="B191" s="17">
        <v>46080</v>
      </c>
      <c r="C191" s="10" t="s">
        <v>26</v>
      </c>
      <c r="D191" s="11">
        <v>178042</v>
      </c>
      <c r="E191" s="26">
        <v>86053</v>
      </c>
      <c r="F191" s="10" t="s">
        <v>27</v>
      </c>
      <c r="G191" s="10" t="s">
        <v>153</v>
      </c>
      <c r="H191" s="10" t="s">
        <v>28</v>
      </c>
      <c r="I191" s="12" t="s">
        <v>37</v>
      </c>
      <c r="J191" s="12" t="s">
        <v>37</v>
      </c>
      <c r="K191" s="13">
        <v>19800</v>
      </c>
      <c r="L191" s="21">
        <v>3.03</v>
      </c>
      <c r="M191" s="14" t="s">
        <v>14</v>
      </c>
      <c r="N191" s="13">
        <v>59994</v>
      </c>
      <c r="O191" s="15">
        <v>0</v>
      </c>
      <c r="P191" s="10" t="s">
        <v>64</v>
      </c>
      <c r="Q191" s="11" t="s">
        <v>410</v>
      </c>
      <c r="R191" s="11" t="s">
        <v>411</v>
      </c>
      <c r="S191" s="16" t="s">
        <v>412</v>
      </c>
      <c r="T191" s="19" t="str">
        <f t="shared" si="42"/>
        <v>2-2026</v>
      </c>
      <c r="U191" s="2">
        <f t="shared" si="43"/>
        <v>2026</v>
      </c>
      <c r="V191" s="2" t="str">
        <f t="shared" si="44"/>
        <v>2-C</v>
      </c>
      <c r="W191" s="21"/>
      <c r="X191" s="2" t="b">
        <f t="shared" si="48"/>
        <v>0</v>
      </c>
    </row>
    <row r="192" spans="2:24" x14ac:dyDescent="0.35">
      <c r="N192" s="30"/>
    </row>
  </sheetData>
  <autoFilter ref="A3:X191" xr:uid="{AEAC8A93-78A5-4126-9E07-5F3D5B28E23D}">
    <filterColumn colId="4">
      <filters>
        <filter val="85526"/>
      </filters>
    </filterColumn>
  </autoFilter>
  <dataConsolidate link="1"/>
  <dataValidations count="1">
    <dataValidation type="list" allowBlank="1" showInputMessage="1" showErrorMessage="1" sqref="A1" xr:uid="{DF2DD1FE-246E-4B17-9A6B-FA5A02D59BE1}">
      <formula1>"A,N"</formula1>
    </dataValidation>
  </dataValidations>
  <pageMargins left="0.56000000000000005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Register.</vt:lpstr>
      <vt:lpstr>'Purchase Register.'!CR_2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Entry</dc:creator>
  <cp:lastModifiedBy>Mohamad Alani (AKI)</cp:lastModifiedBy>
  <cp:lastPrinted>2023-11-04T13:03:41Z</cp:lastPrinted>
  <dcterms:created xsi:type="dcterms:W3CDTF">2020-02-04T05:47:08Z</dcterms:created>
  <dcterms:modified xsi:type="dcterms:W3CDTF">2026-04-21T19:41:47Z</dcterms:modified>
</cp:coreProperties>
</file>