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jo\Desktop\For Automation\To Send Nov\"/>
    </mc:Choice>
  </mc:AlternateContent>
  <xr:revisionPtr revIDLastSave="0" documentId="13_ncr:1_{9A3C4BB3-6956-4BF5-8003-A7ABBA119C34}" xr6:coauthVersionLast="47" xr6:coauthVersionMax="47" xr10:uidLastSave="{00000000-0000-0000-0000-000000000000}"/>
  <bookViews>
    <workbookView xWindow="-120" yWindow="-120" windowWidth="29040" windowHeight="15720" xr2:uid="{A6517B53-6EC8-4040-A265-C0158651CF56}"/>
  </bookViews>
  <sheets>
    <sheet name="Granules_November 2025" sheetId="11" r:id="rId1"/>
  </sheets>
  <definedNames>
    <definedName name="_xlnm._FilterDatabase" localSheetId="0" hidden="1">'Granules_November 2025'!$A$7:$MB$10</definedName>
  </definedNames>
  <calcPr calcId="191029" iterate="1" iterateCount="327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M8" i="11" l="1"/>
  <c r="FN8" i="11"/>
  <c r="FO8" i="11"/>
  <c r="FP8" i="11"/>
  <c r="FQ8" i="11"/>
  <c r="FR8" i="11"/>
  <c r="FS8" i="11"/>
  <c r="FT8" i="11"/>
  <c r="FU8" i="11"/>
  <c r="FV8" i="11"/>
  <c r="FW8" i="11"/>
  <c r="FX8" i="11"/>
  <c r="FY8" i="11"/>
  <c r="FZ8" i="11"/>
  <c r="GA8" i="11"/>
  <c r="GB8" i="11"/>
  <c r="GC8" i="11"/>
  <c r="GD8" i="11"/>
  <c r="GE8" i="11"/>
  <c r="GF8" i="11"/>
  <c r="GG8" i="11"/>
  <c r="GH8" i="11"/>
  <c r="GI8" i="11"/>
  <c r="GJ8" i="11"/>
  <c r="GK8" i="11"/>
  <c r="GL8" i="11"/>
  <c r="GM8" i="11"/>
  <c r="GN8" i="11"/>
  <c r="GO8" i="11"/>
  <c r="GP8" i="11"/>
  <c r="GQ8" i="11"/>
  <c r="GR8" i="11"/>
  <c r="GS8" i="11"/>
  <c r="GT8" i="11"/>
  <c r="GU8" i="11"/>
  <c r="GV8" i="11"/>
  <c r="GW8" i="11"/>
  <c r="GX8" i="11"/>
  <c r="GY8" i="11"/>
  <c r="GZ8" i="11"/>
  <c r="HA8" i="11"/>
  <c r="HB8" i="11"/>
  <c r="HC8" i="11"/>
  <c r="HD8" i="11"/>
  <c r="HE8" i="11"/>
  <c r="HF8" i="11"/>
  <c r="HG8" i="11"/>
  <c r="HH8" i="11"/>
  <c r="HI8" i="11"/>
  <c r="HJ8" i="11"/>
  <c r="HK8" i="11"/>
  <c r="HL8" i="11"/>
  <c r="FM9" i="11"/>
  <c r="FN9" i="11"/>
  <c r="FO9" i="11"/>
  <c r="FP9" i="11"/>
  <c r="FQ9" i="11"/>
  <c r="FR9" i="11"/>
  <c r="FS9" i="11"/>
  <c r="FT9" i="11"/>
  <c r="FU9" i="11"/>
  <c r="FV9" i="11"/>
  <c r="FW9" i="11"/>
  <c r="FX9" i="11"/>
  <c r="FY9" i="11"/>
  <c r="FZ9" i="11"/>
  <c r="GA9" i="11"/>
  <c r="GB9" i="11"/>
  <c r="GC9" i="11"/>
  <c r="GD9" i="11"/>
  <c r="GE9" i="11"/>
  <c r="GF9" i="11"/>
  <c r="GG9" i="11"/>
  <c r="GH9" i="11"/>
  <c r="GI9" i="11"/>
  <c r="GJ9" i="11"/>
  <c r="GK9" i="11"/>
  <c r="GL9" i="11"/>
  <c r="GM9" i="11"/>
  <c r="GN9" i="11"/>
  <c r="GO9" i="11"/>
  <c r="GP9" i="11"/>
  <c r="GQ9" i="11"/>
  <c r="GR9" i="11"/>
  <c r="GS9" i="11"/>
  <c r="GT9" i="11"/>
  <c r="GU9" i="11"/>
  <c r="GV9" i="11"/>
  <c r="GW9" i="11"/>
  <c r="GX9" i="11"/>
  <c r="GY9" i="11"/>
  <c r="GZ9" i="11"/>
  <c r="HA9" i="11"/>
  <c r="HB9" i="11"/>
  <c r="HC9" i="11"/>
  <c r="HD9" i="11"/>
  <c r="HE9" i="11"/>
  <c r="HF9" i="11"/>
  <c r="HG9" i="11"/>
  <c r="HH9" i="11"/>
  <c r="HI9" i="11"/>
  <c r="HJ9" i="11"/>
  <c r="HK9" i="11"/>
  <c r="HL9" i="11"/>
  <c r="FM10" i="11"/>
  <c r="FN10" i="11"/>
  <c r="FO10" i="11"/>
  <c r="FP10" i="11"/>
  <c r="FQ10" i="11"/>
  <c r="FR10" i="11"/>
  <c r="FS10" i="11"/>
  <c r="FT10" i="11"/>
  <c r="FU10" i="11"/>
  <c r="FV10" i="11"/>
  <c r="FW10" i="11"/>
  <c r="FX10" i="11"/>
  <c r="FY10" i="11"/>
  <c r="FZ10" i="11"/>
  <c r="GA10" i="11"/>
  <c r="GB10" i="11"/>
  <c r="GC10" i="11"/>
  <c r="GD10" i="11"/>
  <c r="GE10" i="11"/>
  <c r="GF10" i="11"/>
  <c r="GG10" i="11"/>
  <c r="GH10" i="11"/>
  <c r="GI10" i="11"/>
  <c r="GJ10" i="11"/>
  <c r="GK10" i="11"/>
  <c r="GL10" i="11"/>
  <c r="GM10" i="11"/>
  <c r="GN10" i="11"/>
  <c r="GO10" i="11"/>
  <c r="GP10" i="11"/>
  <c r="GQ10" i="11"/>
  <c r="GR10" i="11"/>
  <c r="GS10" i="11"/>
  <c r="GT10" i="11"/>
  <c r="GU10" i="11"/>
  <c r="GV10" i="11"/>
  <c r="GW10" i="11"/>
  <c r="GX10" i="11"/>
  <c r="GY10" i="11"/>
  <c r="GZ10" i="11"/>
  <c r="HA10" i="11"/>
  <c r="HB10" i="11"/>
  <c r="HC10" i="11"/>
  <c r="HD10" i="11"/>
  <c r="HE10" i="11"/>
  <c r="HF10" i="11"/>
  <c r="HG10" i="11"/>
  <c r="HH10" i="11"/>
  <c r="HI10" i="11"/>
  <c r="HJ10" i="11"/>
  <c r="HK10" i="11"/>
  <c r="HL10" i="11"/>
  <c r="LU10" i="11"/>
  <c r="FK10" i="11"/>
  <c r="DJ10" i="11"/>
  <c r="BI10" i="11"/>
  <c r="LU9" i="11"/>
  <c r="FK9" i="11"/>
  <c r="DJ9" i="11"/>
  <c r="BI9" i="11"/>
  <c r="LU8" i="11"/>
  <c r="FK8" i="11"/>
  <c r="DJ8" i="11"/>
  <c r="BI8" i="11"/>
  <c r="LR4" i="11"/>
  <c r="HN3" i="11"/>
  <c r="EY1" i="11"/>
  <c r="BZ1" i="11"/>
  <c r="BY1" i="11"/>
  <c r="CA1" i="11" l="1"/>
  <c r="CC1" i="11" s="1"/>
  <c r="FX2" i="11"/>
  <c r="LU4" i="11"/>
  <c r="GU2" i="11"/>
  <c r="GC2" i="11"/>
  <c r="FM2" i="11"/>
  <c r="HJ2" i="11"/>
  <c r="GT2" i="11"/>
  <c r="FN2" i="11"/>
  <c r="GZ2" i="11"/>
  <c r="GR2" i="11"/>
  <c r="GA2" i="11"/>
  <c r="FT2" i="11"/>
  <c r="GN2" i="11"/>
  <c r="GP2" i="11"/>
  <c r="GQ2" i="11"/>
  <c r="GY2" i="11"/>
  <c r="HC2" i="11"/>
  <c r="GM2" i="11"/>
  <c r="GH2" i="11"/>
  <c r="HB2" i="11"/>
  <c r="GL2" i="11"/>
  <c r="FV2" i="11"/>
  <c r="HA2" i="11"/>
  <c r="GK2" i="11"/>
  <c r="FU2" i="11"/>
  <c r="GJ2" i="11"/>
  <c r="GI2" i="11"/>
  <c r="GX2" i="11"/>
  <c r="GO2" i="11"/>
  <c r="GW2" i="11"/>
  <c r="FQ2" i="11"/>
  <c r="HL2" i="11"/>
  <c r="GV2" i="11"/>
  <c r="FP2" i="11"/>
  <c r="GG2" i="11"/>
  <c r="HK2" i="11"/>
  <c r="FO2" i="11"/>
  <c r="HM9" i="11"/>
  <c r="HM8" i="11"/>
  <c r="HS8" i="11" s="1"/>
  <c r="JU8" i="11" s="1"/>
  <c r="HM10" i="11"/>
  <c r="IX10" i="11" s="1"/>
  <c r="KZ10" i="11" s="1"/>
  <c r="HO10" i="11" l="1"/>
  <c r="JQ10" i="11" s="1"/>
  <c r="IL10" i="11"/>
  <c r="KN10" i="11" s="1"/>
  <c r="IP9" i="11"/>
  <c r="KR9" i="11" s="1"/>
  <c r="HW9" i="11"/>
  <c r="JY9" i="11" s="1"/>
  <c r="JC9" i="11"/>
  <c r="LE9" i="11" s="1"/>
  <c r="HU9" i="11"/>
  <c r="JW9" i="11" s="1"/>
  <c r="IZ9" i="11"/>
  <c r="LB9" i="11" s="1"/>
  <c r="JA9" i="11"/>
  <c r="LC9" i="11" s="1"/>
  <c r="HY10" i="11"/>
  <c r="KA10" i="11" s="1"/>
  <c r="HV10" i="11"/>
  <c r="JX10" i="11" s="1"/>
  <c r="IX8" i="11"/>
  <c r="KZ8" i="11" s="1"/>
  <c r="JG8" i="11"/>
  <c r="LI8" i="11" s="1"/>
  <c r="JF8" i="11"/>
  <c r="LH8" i="11" s="1"/>
  <c r="JC10" i="11"/>
  <c r="LE10" i="11" s="1"/>
  <c r="IH8" i="11"/>
  <c r="KJ8" i="11" s="1"/>
  <c r="IQ8" i="11"/>
  <c r="KS8" i="11" s="1"/>
  <c r="IM10" i="11"/>
  <c r="KO10" i="11" s="1"/>
  <c r="HR8" i="11"/>
  <c r="JT8" i="11" s="1"/>
  <c r="IL8" i="11"/>
  <c r="KN8" i="11" s="1"/>
  <c r="IY10" i="11"/>
  <c r="LA10" i="11" s="1"/>
  <c r="II10" i="11"/>
  <c r="KK10" i="11" s="1"/>
  <c r="IW10" i="11"/>
  <c r="KY10" i="11" s="1"/>
  <c r="IC8" i="11"/>
  <c r="KE8" i="11" s="1"/>
  <c r="IJ8" i="11"/>
  <c r="KL8" i="11" s="1"/>
  <c r="JF10" i="11"/>
  <c r="LH10" i="11" s="1"/>
  <c r="IP10" i="11"/>
  <c r="KR10" i="11" s="1"/>
  <c r="JA8" i="11"/>
  <c r="LC8" i="11" s="1"/>
  <c r="IK8" i="11"/>
  <c r="KM8" i="11" s="1"/>
  <c r="IV10" i="11"/>
  <c r="KX10" i="11" s="1"/>
  <c r="HU8" i="11"/>
  <c r="JW8" i="11" s="1"/>
  <c r="IY8" i="11"/>
  <c r="LA8" i="11" s="1"/>
  <c r="JH8" i="11"/>
  <c r="LJ8" i="11" s="1"/>
  <c r="JJ8" i="11"/>
  <c r="LL8" i="11" s="1"/>
  <c r="II8" i="11"/>
  <c r="KK8" i="11" s="1"/>
  <c r="IR8" i="11"/>
  <c r="KT8" i="11" s="1"/>
  <c r="IT8" i="11"/>
  <c r="KV8" i="11" s="1"/>
  <c r="IB8" i="11"/>
  <c r="KD8" i="11" s="1"/>
  <c r="HY8" i="11"/>
  <c r="KA8" i="11" s="1"/>
  <c r="IW8" i="11"/>
  <c r="KY8" i="11" s="1"/>
  <c r="JK8" i="11"/>
  <c r="LM8" i="11" s="1"/>
  <c r="HX8" i="11"/>
  <c r="JZ8" i="11" s="1"/>
  <c r="IE10" i="11"/>
  <c r="KG10" i="11" s="1"/>
  <c r="HS9" i="11"/>
  <c r="JU9" i="11" s="1"/>
  <c r="ID9" i="11"/>
  <c r="KF9" i="11" s="1"/>
  <c r="IZ8" i="11"/>
  <c r="LB8" i="11" s="1"/>
  <c r="IP8" i="11"/>
  <c r="KR8" i="11" s="1"/>
  <c r="HT8" i="11"/>
  <c r="JV8" i="11" s="1"/>
  <c r="JI10" i="11"/>
  <c r="LK10" i="11" s="1"/>
  <c r="JF9" i="11"/>
  <c r="LH9" i="11" s="1"/>
  <c r="JL10" i="11"/>
  <c r="LN10" i="11" s="1"/>
  <c r="HZ10" i="11"/>
  <c r="KB10" i="11" s="1"/>
  <c r="HW10" i="11"/>
  <c r="JY10" i="11" s="1"/>
  <c r="IS10" i="11"/>
  <c r="KU10" i="11" s="1"/>
  <c r="IM9" i="11"/>
  <c r="KO9" i="11" s="1"/>
  <c r="IK9" i="11"/>
  <c r="KM9" i="11" s="1"/>
  <c r="IC10" i="11"/>
  <c r="KE10" i="11" s="1"/>
  <c r="JH9" i="11"/>
  <c r="LJ9" i="11" s="1"/>
  <c r="IR9" i="11"/>
  <c r="KT9" i="11" s="1"/>
  <c r="IB9" i="11"/>
  <c r="KD9" i="11" s="1"/>
  <c r="IX9" i="11"/>
  <c r="KZ9" i="11" s="1"/>
  <c r="HR9" i="11"/>
  <c r="JT9" i="11" s="1"/>
  <c r="IW9" i="11"/>
  <c r="KY9" i="11" s="1"/>
  <c r="HQ9" i="11"/>
  <c r="JS9" i="11" s="1"/>
  <c r="IV9" i="11"/>
  <c r="KX9" i="11" s="1"/>
  <c r="HP9" i="11"/>
  <c r="JR9" i="11" s="1"/>
  <c r="IU9" i="11"/>
  <c r="KW9" i="11" s="1"/>
  <c r="HO9" i="11"/>
  <c r="IO9" i="11"/>
  <c r="KQ9" i="11" s="1"/>
  <c r="IN9" i="11"/>
  <c r="KP9" i="11" s="1"/>
  <c r="IL9" i="11"/>
  <c r="KN9" i="11" s="1"/>
  <c r="JN9" i="11"/>
  <c r="LP9" i="11" s="1"/>
  <c r="IH9" i="11"/>
  <c r="KJ9" i="11" s="1"/>
  <c r="JM9" i="11"/>
  <c r="LO9" i="11" s="1"/>
  <c r="IG9" i="11"/>
  <c r="KI9" i="11" s="1"/>
  <c r="JL9" i="11"/>
  <c r="LN9" i="11" s="1"/>
  <c r="IF9" i="11"/>
  <c r="KH9" i="11" s="1"/>
  <c r="JK9" i="11"/>
  <c r="LM9" i="11" s="1"/>
  <c r="IE9" i="11"/>
  <c r="KG9" i="11" s="1"/>
  <c r="A9" i="11"/>
  <c r="JE9" i="11"/>
  <c r="LG9" i="11" s="1"/>
  <c r="HY9" i="11"/>
  <c r="KA9" i="11" s="1"/>
  <c r="JD9" i="11"/>
  <c r="LF9" i="11" s="1"/>
  <c r="HX9" i="11"/>
  <c r="JZ9" i="11" s="1"/>
  <c r="HZ9" i="11"/>
  <c r="KB9" i="11" s="1"/>
  <c r="IF10" i="11"/>
  <c r="KH10" i="11" s="1"/>
  <c r="IJ9" i="11"/>
  <c r="KL9" i="11" s="1"/>
  <c r="JE10" i="11"/>
  <c r="LG10" i="11" s="1"/>
  <c r="HP10" i="11"/>
  <c r="JR10" i="11" s="1"/>
  <c r="HT9" i="11"/>
  <c r="JV9" i="11" s="1"/>
  <c r="HQ8" i="11"/>
  <c r="JS8" i="11" s="1"/>
  <c r="JD8" i="11"/>
  <c r="LF8" i="11" s="1"/>
  <c r="HP8" i="11"/>
  <c r="JR8" i="11" s="1"/>
  <c r="JC8" i="11"/>
  <c r="LE8" i="11" s="1"/>
  <c r="IG8" i="11"/>
  <c r="KI8" i="11" s="1"/>
  <c r="HO8" i="11"/>
  <c r="JB8" i="11"/>
  <c r="LD8" i="11" s="1"/>
  <c r="IF8" i="11"/>
  <c r="KH8" i="11" s="1"/>
  <c r="IE8" i="11"/>
  <c r="KG8" i="11" s="1"/>
  <c r="IV8" i="11"/>
  <c r="KX8" i="11" s="1"/>
  <c r="IU8" i="11"/>
  <c r="KW8" i="11" s="1"/>
  <c r="HZ8" i="11"/>
  <c r="KB8" i="11" s="1"/>
  <c r="JM8" i="11"/>
  <c r="LO8" i="11" s="1"/>
  <c r="IS8" i="11"/>
  <c r="KU8" i="11" s="1"/>
  <c r="HW8" i="11"/>
  <c r="JY8" i="11" s="1"/>
  <c r="JL8" i="11"/>
  <c r="LN8" i="11" s="1"/>
  <c r="HV8" i="11"/>
  <c r="JX8" i="11" s="1"/>
  <c r="A8" i="11"/>
  <c r="IN8" i="11"/>
  <c r="KP8" i="11" s="1"/>
  <c r="JI8" i="11"/>
  <c r="LK8" i="11" s="1"/>
  <c r="IM8" i="11"/>
  <c r="KO8" i="11" s="1"/>
  <c r="JN8" i="11"/>
  <c r="LP8" i="11" s="1"/>
  <c r="JB9" i="11"/>
  <c r="LD9" i="11" s="1"/>
  <c r="IO10" i="11"/>
  <c r="KQ10" i="11" s="1"/>
  <c r="JB10" i="11"/>
  <c r="LD10" i="11" s="1"/>
  <c r="JM10" i="11"/>
  <c r="LO10" i="11" s="1"/>
  <c r="JN10" i="11"/>
  <c r="LP10" i="11" s="1"/>
  <c r="JI9" i="11"/>
  <c r="LK9" i="11" s="1"/>
  <c r="HV9" i="11"/>
  <c r="JX9" i="11" s="1"/>
  <c r="JG9" i="11"/>
  <c r="LI9" i="11" s="1"/>
  <c r="IS9" i="11"/>
  <c r="KU9" i="11" s="1"/>
  <c r="IQ9" i="11"/>
  <c r="KS9" i="11" s="1"/>
  <c r="A10" i="11"/>
  <c r="HX10" i="11"/>
  <c r="JZ10" i="11" s="1"/>
  <c r="IT10" i="11"/>
  <c r="KV10" i="11" s="1"/>
  <c r="HU10" i="11"/>
  <c r="JW10" i="11" s="1"/>
  <c r="HT10" i="11"/>
  <c r="JV10" i="11" s="1"/>
  <c r="IR10" i="11"/>
  <c r="KT10" i="11" s="1"/>
  <c r="HR10" i="11"/>
  <c r="JT10" i="11" s="1"/>
  <c r="IQ10" i="11"/>
  <c r="KS10" i="11" s="1"/>
  <c r="HQ10" i="11"/>
  <c r="JS10" i="11" s="1"/>
  <c r="IN10" i="11"/>
  <c r="KP10" i="11" s="1"/>
  <c r="JJ10" i="11"/>
  <c r="LL10" i="11" s="1"/>
  <c r="IK10" i="11"/>
  <c r="KM10" i="11" s="1"/>
  <c r="IJ10" i="11"/>
  <c r="KL10" i="11" s="1"/>
  <c r="IH10" i="11"/>
  <c r="KJ10" i="11" s="1"/>
  <c r="JG10" i="11"/>
  <c r="LI10" i="11" s="1"/>
  <c r="IG10" i="11"/>
  <c r="KI10" i="11" s="1"/>
  <c r="JD10" i="11"/>
  <c r="LF10" i="11" s="1"/>
  <c r="ID10" i="11"/>
  <c r="KF10" i="11" s="1"/>
  <c r="JA10" i="11"/>
  <c r="LC10" i="11" s="1"/>
  <c r="IB10" i="11"/>
  <c r="KD10" i="11" s="1"/>
  <c r="IZ10" i="11"/>
  <c r="LB10" i="11" s="1"/>
  <c r="IA10" i="11"/>
  <c r="KC10" i="11" s="1"/>
  <c r="JH10" i="11"/>
  <c r="LJ10" i="11" s="1"/>
  <c r="IC9" i="11"/>
  <c r="KE9" i="11" s="1"/>
  <c r="IA9" i="11"/>
  <c r="KC9" i="11" s="1"/>
  <c r="HS10" i="11"/>
  <c r="JU10" i="11" s="1"/>
  <c r="JK10" i="11"/>
  <c r="LM10" i="11" s="1"/>
  <c r="IY9" i="11"/>
  <c r="LA9" i="11" s="1"/>
  <c r="JJ9" i="11"/>
  <c r="LL9" i="11" s="1"/>
  <c r="JE8" i="11"/>
  <c r="LG8" i="11" s="1"/>
  <c r="ID8" i="11"/>
  <c r="KF8" i="11" s="1"/>
  <c r="IA8" i="11"/>
  <c r="KC8" i="11" s="1"/>
  <c r="IU10" i="11"/>
  <c r="KW10" i="11" s="1"/>
  <c r="II9" i="11"/>
  <c r="KK9" i="11" s="1"/>
  <c r="IT9" i="11"/>
  <c r="KV9" i="11" s="1"/>
  <c r="IO8" i="11"/>
  <c r="KQ8" i="11" s="1"/>
  <c r="IP2" i="11" l="1"/>
  <c r="IY2" i="11"/>
  <c r="IR2" i="11"/>
  <c r="JC2" i="11"/>
  <c r="JN2" i="11"/>
  <c r="HW2" i="11"/>
  <c r="JL2" i="11"/>
  <c r="HS2" i="11"/>
  <c r="JD2" i="11"/>
  <c r="HV2" i="11"/>
  <c r="IX2" i="11"/>
  <c r="IV2" i="11"/>
  <c r="HO2" i="11"/>
  <c r="IC2" i="11"/>
  <c r="IK2" i="11"/>
  <c r="IW2" i="11"/>
  <c r="IN2" i="11"/>
  <c r="HZ2" i="11"/>
  <c r="IE2" i="11"/>
  <c r="II2" i="11"/>
  <c r="JB2" i="11"/>
  <c r="IL2" i="11"/>
  <c r="HR2" i="11"/>
  <c r="JE2" i="11"/>
  <c r="IZ2" i="11"/>
  <c r="JO9" i="11"/>
  <c r="JP9" i="11" s="1"/>
  <c r="JQ9" i="11"/>
  <c r="LQ9" i="11" s="1"/>
  <c r="IJ2" i="11"/>
  <c r="HX2" i="11"/>
  <c r="IT2" i="11"/>
  <c r="IO2" i="11"/>
  <c r="IM2" i="11"/>
  <c r="LQ10" i="11"/>
  <c r="JA2" i="11"/>
  <c r="IS2" i="11"/>
  <c r="JO10" i="11"/>
  <c r="JP10" i="11" s="1"/>
  <c r="JO8" i="11"/>
  <c r="JP8" i="11" s="1"/>
  <c r="JQ8" i="11"/>
  <c r="LQ8" i="11" s="1"/>
  <c r="IQ2" i="11"/>
  <c r="LS8" i="11" l="1"/>
  <c r="LT8" i="11" s="1"/>
  <c r="MA8" i="11"/>
  <c r="MB8" i="11" s="1"/>
  <c r="LS10" i="11"/>
  <c r="LT10" i="11" s="1"/>
  <c r="MA10" i="11"/>
  <c r="MB10" i="11" s="1"/>
  <c r="JP7" i="11"/>
  <c r="JO4" i="11"/>
  <c r="LQ4" i="11"/>
  <c r="MA9" i="11"/>
  <c r="MB9" i="11" s="1"/>
  <c r="LS9" i="11"/>
  <c r="LT9" i="11" s="1"/>
  <c r="MA4" i="11" l="1"/>
  <c r="MB4" i="11" s="1"/>
  <c r="LS4" i="11"/>
  <c r="LT4" i="11" s="1"/>
</calcChain>
</file>

<file path=xl/sharedStrings.xml><?xml version="1.0" encoding="utf-8"?>
<sst xmlns="http://schemas.openxmlformats.org/spreadsheetml/2006/main" count="207" uniqueCount="75">
  <si>
    <t>* Check Duplicate WO#s</t>
  </si>
  <si>
    <t>AVERAGE</t>
  </si>
  <si>
    <t>WHITE</t>
  </si>
  <si>
    <t>TOPPYL SP2000B</t>
  </si>
  <si>
    <t>Output Rates</t>
  </si>
  <si>
    <t>TPE</t>
  </si>
  <si>
    <t>Input Rates</t>
  </si>
  <si>
    <t>RECEPIE</t>
  </si>
  <si>
    <t>WPE</t>
  </si>
  <si>
    <t>OUTER</t>
  </si>
  <si>
    <t>MIDDLE</t>
  </si>
  <si>
    <t>INNER</t>
  </si>
  <si>
    <t>Total of All Layer (%)(3:4:3) March 2021 onwards as updated by QC/SCM</t>
  </si>
  <si>
    <t>Input Qty</t>
  </si>
  <si>
    <t>Total of All Layer</t>
  </si>
  <si>
    <t>Total of All Layer Value</t>
  </si>
  <si>
    <t>Out Put</t>
  </si>
  <si>
    <t>Rate AED</t>
  </si>
  <si>
    <t>Rate USD</t>
  </si>
  <si>
    <t>TPE PEELABLE</t>
  </si>
  <si>
    <t>Value AED</t>
  </si>
  <si>
    <t>Value USD</t>
  </si>
  <si>
    <t>1818/1810?</t>
  </si>
  <si>
    <t>w</t>
  </si>
  <si>
    <t>Filler</t>
  </si>
  <si>
    <t>BIODEGRADABLE</t>
  </si>
  <si>
    <t>HTA</t>
  </si>
  <si>
    <t>TPSP-2000.B</t>
  </si>
  <si>
    <t>DIFF</t>
  </si>
  <si>
    <t>WPE PEELABLE</t>
  </si>
  <si>
    <t>v</t>
  </si>
  <si>
    <t>WO #</t>
  </si>
  <si>
    <t>DESIGN NAME</t>
  </si>
  <si>
    <t>CUSTOMER NAME</t>
  </si>
  <si>
    <t>JOB STARTING DATE</t>
  </si>
  <si>
    <t>REMARKS</t>
  </si>
  <si>
    <t>MACHINE</t>
  </si>
  <si>
    <t>MATERIAL</t>
  </si>
  <si>
    <t>2645G</t>
  </si>
  <si>
    <t>725N</t>
  </si>
  <si>
    <t>0322</t>
  </si>
  <si>
    <t>118NJ</t>
  </si>
  <si>
    <t>118WJ</t>
  </si>
  <si>
    <t>5401G</t>
  </si>
  <si>
    <t>FB5600</t>
  </si>
  <si>
    <t>450E</t>
  </si>
  <si>
    <t>FB2230</t>
  </si>
  <si>
    <t>FT5230</t>
  </si>
  <si>
    <t>1211P</t>
  </si>
  <si>
    <t>150E</t>
  </si>
  <si>
    <t>352E</t>
  </si>
  <si>
    <t>312E</t>
  </si>
  <si>
    <t>FAB78</t>
  </si>
  <si>
    <t>Recycling</t>
  </si>
  <si>
    <t>PEELABLE</t>
  </si>
  <si>
    <t>SLIP</t>
  </si>
  <si>
    <t>Sample-3237 affinity</t>
  </si>
  <si>
    <t>ASTATC</t>
  </si>
  <si>
    <t>310E</t>
  </si>
  <si>
    <t>AB+PPA</t>
  </si>
  <si>
    <t>Total</t>
  </si>
  <si>
    <t>AST-10</t>
  </si>
  <si>
    <t>Wastage</t>
  </si>
  <si>
    <t>LDPE</t>
  </si>
  <si>
    <t>SFG</t>
  </si>
  <si>
    <t>EC1</t>
  </si>
  <si>
    <t>WLDPE</t>
  </si>
  <si>
    <t>Indian Malai Paneer 1kg roll</t>
  </si>
  <si>
    <t>8784ML</t>
  </si>
  <si>
    <t>TR-144</t>
  </si>
  <si>
    <t>Al Fakher 1Kg 3 Side Seal Pouch</t>
  </si>
  <si>
    <t>B00942</t>
  </si>
  <si>
    <t>G00340</t>
  </si>
  <si>
    <t>Nellara Malabar Parota 5 Pcs Pouch</t>
  </si>
  <si>
    <t>B00969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</si>
</sst>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horizontal="left" indent="1"/>
    </xf>
    <xf numFmtId="0" fontId="2" fillId="0" borderId="0" xfId="0" applyFont="1"/>
    <xf numFmtId="164" fontId="0" fillId="0" borderId="0" xfId="1" applyNumberFormat="1" applyFont="1"/>
    <xf numFmtId="1" fontId="0" fillId="0" borderId="0" xfId="1" applyNumberFormat="1" applyFont="1"/>
    <xf numFmtId="43" fontId="0" fillId="0" borderId="0" xfId="1" applyFont="1"/>
    <xf numFmtId="164" fontId="0" fillId="0" borderId="0" xfId="1" applyNumberFormat="1" applyFont="1" applyFill="1"/>
    <xf numFmtId="164" fontId="4" fillId="0" borderId="0" xfId="1" applyNumberFormat="1" applyFont="1" applyFill="1" applyAlignment="1">
      <alignment horizontal="left" indent="1"/>
    </xf>
    <xf numFmtId="164" fontId="0" fillId="0" borderId="0" xfId="1" applyNumberFormat="1" applyFont="1" applyFill="1" applyAlignment="1">
      <alignment horizontal="left" indent="1"/>
    </xf>
    <xf numFmtId="164" fontId="2" fillId="0" borderId="0" xfId="1" quotePrefix="1" applyNumberFormat="1" applyFont="1" applyFill="1" applyAlignment="1">
      <alignment horizontal="left" indent="1"/>
    </xf>
    <xf numFmtId="9" fontId="0" fillId="0" borderId="0" xfId="2" applyFont="1"/>
    <xf numFmtId="164" fontId="0" fillId="0" borderId="0" xfId="1" applyNumberFormat="1" applyFont="1" applyBorder="1"/>
    <xf numFmtId="164" fontId="3" fillId="0" borderId="0" xfId="1" applyNumberFormat="1" applyFont="1"/>
    <xf numFmtId="43" fontId="3" fillId="0" borderId="0" xfId="1" applyFont="1"/>
    <xf numFmtId="164" fontId="0" fillId="0" borderId="0" xfId="0" applyNumberFormat="1"/>
    <xf numFmtId="1" fontId="0" fillId="0" borderId="0" xfId="0" applyNumberFormat="1"/>
    <xf numFmtId="43" fontId="0" fillId="0" borderId="1" xfId="1" applyFont="1" applyBorder="1" applyAlignment="1"/>
    <xf numFmtId="43" fontId="0" fillId="0" borderId="2" xfId="1" applyFont="1" applyBorder="1" applyAlignment="1"/>
    <xf numFmtId="0" fontId="3" fillId="0" borderId="3" xfId="0" applyFont="1" applyBorder="1"/>
    <xf numFmtId="2" fontId="3" fillId="2" borderId="4" xfId="1" applyNumberFormat="1" applyFont="1" applyFill="1" applyBorder="1" applyAlignment="1">
      <alignment horizontal="left" indent="1"/>
    </xf>
    <xf numFmtId="2" fontId="3" fillId="0" borderId="0" xfId="0" applyNumberFormat="1" applyFont="1"/>
    <xf numFmtId="0" fontId="0" fillId="3" borderId="1" xfId="0" applyFill="1" applyBorder="1" applyAlignment="1">
      <alignment horizontal="left" indent="1"/>
    </xf>
    <xf numFmtId="0" fontId="0" fillId="3" borderId="7" xfId="0" applyFill="1" applyBorder="1" applyAlignment="1">
      <alignment horizontal="left" indent="1"/>
    </xf>
    <xf numFmtId="0" fontId="0" fillId="3" borderId="7" xfId="0" applyFill="1" applyBorder="1"/>
    <xf numFmtId="0" fontId="0" fillId="3" borderId="2" xfId="0" applyFill="1" applyBorder="1"/>
    <xf numFmtId="0" fontId="5" fillId="3" borderId="8" xfId="0" applyFont="1" applyFill="1" applyBorder="1" applyAlignment="1">
      <alignment horizontal="centerContinuous" vertical="center" wrapText="1"/>
    </xf>
    <xf numFmtId="0" fontId="5" fillId="3" borderId="9" xfId="0" applyFont="1" applyFill="1" applyBorder="1" applyAlignment="1">
      <alignment horizontal="centerContinuous" vertical="center" wrapText="1"/>
    </xf>
    <xf numFmtId="0" fontId="5" fillId="3" borderId="10" xfId="0" applyFont="1" applyFill="1" applyBorder="1" applyAlignment="1">
      <alignment horizontal="centerContinuous" vertical="center" wrapText="1"/>
    </xf>
    <xf numFmtId="0" fontId="5" fillId="3" borderId="11" xfId="0" applyFont="1" applyFill="1" applyBorder="1" applyAlignment="1">
      <alignment horizontal="centerContinuous" vertical="center" wrapText="1"/>
    </xf>
    <xf numFmtId="0" fontId="0" fillId="0" borderId="12" xfId="0" applyBorder="1"/>
    <xf numFmtId="2" fontId="6" fillId="4" borderId="8" xfId="0" applyNumberFormat="1" applyFont="1" applyFill="1" applyBorder="1"/>
    <xf numFmtId="2" fontId="0" fillId="4" borderId="8" xfId="0" applyNumberFormat="1" applyFill="1" applyBorder="1"/>
    <xf numFmtId="2" fontId="7" fillId="4" borderId="8" xfId="0" applyNumberFormat="1" applyFont="1" applyFill="1" applyBorder="1"/>
    <xf numFmtId="0" fontId="0" fillId="0" borderId="11" xfId="0" applyBorder="1"/>
    <xf numFmtId="164" fontId="0" fillId="0" borderId="7" xfId="0" applyNumberFormat="1" applyBorder="1"/>
    <xf numFmtId="0" fontId="0" fillId="0" borderId="1" xfId="0" applyBorder="1"/>
    <xf numFmtId="0" fontId="0" fillId="0" borderId="7" xfId="0" applyBorder="1"/>
    <xf numFmtId="43" fontId="0" fillId="0" borderId="2" xfId="1" applyFont="1" applyBorder="1"/>
    <xf numFmtId="0" fontId="0" fillId="0" borderId="13" xfId="0" applyBorder="1"/>
    <xf numFmtId="43" fontId="0" fillId="0" borderId="12" xfId="1" applyFont="1" applyBorder="1"/>
    <xf numFmtId="1" fontId="0" fillId="0" borderId="12" xfId="1" applyNumberFormat="1" applyFont="1" applyBorder="1"/>
    <xf numFmtId="43" fontId="0" fillId="0" borderId="14" xfId="1" applyFont="1" applyBorder="1"/>
    <xf numFmtId="43" fontId="0" fillId="0" borderId="15" xfId="1" applyFont="1" applyBorder="1"/>
    <xf numFmtId="43" fontId="0" fillId="0" borderId="0" xfId="1" applyFont="1" applyBorder="1"/>
    <xf numFmtId="0" fontId="3" fillId="0" borderId="16" xfId="0" applyFont="1" applyBorder="1"/>
    <xf numFmtId="2" fontId="3" fillId="2" borderId="17" xfId="1" applyNumberFormat="1" applyFont="1" applyFill="1" applyBorder="1" applyAlignment="1">
      <alignment horizontal="left" indent="1"/>
    </xf>
    <xf numFmtId="0" fontId="3" fillId="5" borderId="18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20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/>
    </xf>
    <xf numFmtId="0" fontId="0" fillId="6" borderId="23" xfId="0" applyFill="1" applyBorder="1" applyAlignment="1">
      <alignment horizontal="centerContinuous" vertical="center"/>
    </xf>
    <xf numFmtId="0" fontId="0" fillId="6" borderId="24" xfId="0" applyFill="1" applyBorder="1" applyAlignment="1">
      <alignment horizontal="centerContinuous" vertical="center"/>
    </xf>
    <xf numFmtId="0" fontId="0" fillId="6" borderId="25" xfId="0" applyFill="1" applyBorder="1" applyAlignment="1">
      <alignment horizontal="centerContinuous" vertical="center"/>
    </xf>
    <xf numFmtId="0" fontId="0" fillId="7" borderId="25" xfId="0" applyFill="1" applyBorder="1" applyAlignment="1">
      <alignment horizontal="centerContinuous" vertical="center"/>
    </xf>
    <xf numFmtId="0" fontId="0" fillId="7" borderId="26" xfId="0" applyFill="1" applyBorder="1" applyAlignment="1">
      <alignment horizontal="centerContinuous" vertical="center"/>
    </xf>
    <xf numFmtId="0" fontId="0" fillId="0" borderId="0" xfId="0" applyAlignment="1">
      <alignment horizontal="center"/>
    </xf>
    <xf numFmtId="0" fontId="8" fillId="8" borderId="3" xfId="0" applyFont="1" applyFill="1" applyBorder="1" applyAlignment="1">
      <alignment horizontal="centerContinuous" vertical="center"/>
    </xf>
    <xf numFmtId="0" fontId="8" fillId="8" borderId="27" xfId="0" applyFont="1" applyFill="1" applyBorder="1" applyAlignment="1">
      <alignment horizontal="centerContinuous" vertical="center"/>
    </xf>
    <xf numFmtId="0" fontId="8" fillId="8" borderId="28" xfId="0" applyFont="1" applyFill="1" applyBorder="1" applyAlignment="1">
      <alignment horizontal="centerContinuous" vertical="center"/>
    </xf>
    <xf numFmtId="0" fontId="8" fillId="8" borderId="4" xfId="0" applyFont="1" applyFill="1" applyBorder="1" applyAlignment="1">
      <alignment horizontal="centerContinuous" vertical="center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18" xfId="0" applyBorder="1"/>
    <xf numFmtId="0" fontId="0" fillId="10" borderId="7" xfId="0" applyFill="1" applyBorder="1" applyAlignment="1">
      <alignment horizontal="centerContinuous"/>
    </xf>
    <xf numFmtId="0" fontId="0" fillId="10" borderId="2" xfId="0" applyFill="1" applyBorder="1" applyAlignment="1">
      <alignment horizontal="centerContinuous"/>
    </xf>
    <xf numFmtId="0" fontId="0" fillId="0" borderId="15" xfId="0" applyBorder="1"/>
    <xf numFmtId="0" fontId="3" fillId="5" borderId="29" xfId="0" applyFont="1" applyFill="1" applyBorder="1" applyAlignment="1">
      <alignment horizontal="left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0" borderId="39" xfId="0" applyBorder="1"/>
    <xf numFmtId="164" fontId="8" fillId="7" borderId="44" xfId="1" applyNumberFormat="1" applyFont="1" applyFill="1" applyBorder="1" applyAlignment="1"/>
    <xf numFmtId="0" fontId="3" fillId="0" borderId="46" xfId="0" applyFont="1" applyBorder="1"/>
    <xf numFmtId="0" fontId="3" fillId="0" borderId="0" xfId="0" applyFont="1"/>
    <xf numFmtId="14" fontId="0" fillId="0" borderId="0" xfId="0" applyNumberFormat="1"/>
    <xf numFmtId="10" fontId="0" fillId="6" borderId="31" xfId="2" applyNumberFormat="1" applyFont="1" applyFill="1" applyBorder="1"/>
    <xf numFmtId="10" fontId="0" fillId="6" borderId="35" xfId="2" applyNumberFormat="1" applyFont="1" applyFill="1" applyBorder="1"/>
    <xf numFmtId="10" fontId="0" fillId="6" borderId="32" xfId="2" applyNumberFormat="1" applyFont="1" applyFill="1" applyBorder="1"/>
    <xf numFmtId="10" fontId="0" fillId="5" borderId="35" xfId="2" applyNumberFormat="1" applyFont="1" applyFill="1" applyBorder="1"/>
    <xf numFmtId="165" fontId="0" fillId="5" borderId="35" xfId="2" applyNumberFormat="1" applyFont="1" applyFill="1" applyBorder="1"/>
    <xf numFmtId="10" fontId="0" fillId="5" borderId="32" xfId="2" applyNumberFormat="1" applyFont="1" applyFill="1" applyBorder="1"/>
    <xf numFmtId="10" fontId="0" fillId="7" borderId="35" xfId="2" applyNumberFormat="1" applyFont="1" applyFill="1" applyBorder="1"/>
    <xf numFmtId="10" fontId="0" fillId="7" borderId="35" xfId="0" applyNumberFormat="1" applyFill="1" applyBorder="1"/>
    <xf numFmtId="10" fontId="0" fillId="7" borderId="33" xfId="0" applyNumberFormat="1" applyFill="1" applyBorder="1"/>
    <xf numFmtId="10" fontId="0" fillId="0" borderId="0" xfId="0" applyNumberFormat="1"/>
    <xf numFmtId="9" fontId="0" fillId="0" borderId="30" xfId="0" applyNumberFormat="1" applyBorder="1"/>
    <xf numFmtId="9" fontId="0" fillId="0" borderId="33" xfId="0" applyNumberFormat="1" applyBorder="1"/>
    <xf numFmtId="164" fontId="0" fillId="7" borderId="37" xfId="1" applyNumberFormat="1" applyFont="1" applyFill="1" applyBorder="1"/>
    <xf numFmtId="164" fontId="0" fillId="0" borderId="37" xfId="1" applyNumberFormat="1" applyFont="1" applyFill="1" applyBorder="1"/>
    <xf numFmtId="0" fontId="0" fillId="0" borderId="37" xfId="1" applyNumberFormat="1" applyFont="1" applyFill="1" applyBorder="1"/>
    <xf numFmtId="164" fontId="0" fillId="0" borderId="15" xfId="1" applyNumberFormat="1" applyFont="1" applyBorder="1"/>
    <xf numFmtId="164" fontId="0" fillId="0" borderId="18" xfId="1" applyNumberFormat="1" applyFont="1" applyFill="1" applyBorder="1"/>
    <xf numFmtId="164" fontId="0" fillId="0" borderId="2" xfId="1" applyNumberFormat="1" applyFont="1" applyFill="1" applyBorder="1"/>
    <xf numFmtId="164" fontId="0" fillId="0" borderId="15" xfId="0" applyNumberFormat="1" applyBorder="1"/>
    <xf numFmtId="164" fontId="0" fillId="11" borderId="19" xfId="1" applyNumberFormat="1" applyFont="1" applyFill="1" applyBorder="1"/>
    <xf numFmtId="43" fontId="0" fillId="0" borderId="18" xfId="1" applyFont="1" applyFill="1" applyBorder="1"/>
    <xf numFmtId="43" fontId="0" fillId="0" borderId="18" xfId="0" applyNumberFormat="1" applyBorder="1"/>
    <xf numFmtId="43" fontId="0" fillId="0" borderId="39" xfId="0" applyNumberFormat="1" applyBorder="1"/>
    <xf numFmtId="43" fontId="0" fillId="0" borderId="0" xfId="0" applyNumberFormat="1"/>
    <xf numFmtId="0" fontId="9" fillId="0" borderId="0" xfId="0" applyFont="1"/>
    <xf numFmtId="0" fontId="8" fillId="5" borderId="29" xfId="0" applyFont="1" applyFill="1" applyBorder="1" applyAlignment="1">
      <alignment horizontal="left" vertical="center"/>
    </xf>
    <xf numFmtId="0" fontId="8" fillId="6" borderId="40" xfId="0" applyFont="1" applyFill="1" applyBorder="1" applyAlignment="1">
      <alignment horizontal="center" vertical="center"/>
    </xf>
    <xf numFmtId="0" fontId="8" fillId="6" borderId="41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/>
    </xf>
    <xf numFmtId="0" fontId="8" fillId="6" borderId="42" xfId="0" quotePrefix="1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42" xfId="0" quotePrefix="1" applyFont="1" applyFill="1" applyBorder="1" applyAlignment="1">
      <alignment horizontal="center" vertical="center"/>
    </xf>
    <xf numFmtId="0" fontId="8" fillId="7" borderId="42" xfId="0" applyFont="1" applyFill="1" applyBorder="1" applyAlignment="1">
      <alignment horizontal="center" vertical="center"/>
    </xf>
    <xf numFmtId="0" fontId="8" fillId="7" borderId="42" xfId="0" quotePrefix="1" applyFont="1" applyFill="1" applyBorder="1" applyAlignment="1">
      <alignment horizontal="center" vertical="center"/>
    </xf>
    <xf numFmtId="10" fontId="8" fillId="7" borderId="43" xfId="0" applyNumberFormat="1" applyFont="1" applyFill="1" applyBorder="1" applyAlignment="1">
      <alignment horizontal="center" vertical="center"/>
    </xf>
    <xf numFmtId="10" fontId="8" fillId="0" borderId="0" xfId="0" applyNumberFormat="1" applyFont="1"/>
    <xf numFmtId="0" fontId="8" fillId="8" borderId="40" xfId="0" applyFont="1" applyFill="1" applyBorder="1" applyAlignment="1">
      <alignment horizontal="center"/>
    </xf>
    <xf numFmtId="0" fontId="8" fillId="8" borderId="41" xfId="0" applyFont="1" applyFill="1" applyBorder="1" applyAlignment="1">
      <alignment horizontal="center"/>
    </xf>
    <xf numFmtId="0" fontId="8" fillId="8" borderId="42" xfId="0" applyFont="1" applyFill="1" applyBorder="1" applyAlignment="1">
      <alignment horizontal="center"/>
    </xf>
    <xf numFmtId="0" fontId="8" fillId="8" borderId="42" xfId="0" quotePrefix="1" applyFont="1" applyFill="1" applyBorder="1" applyAlignment="1">
      <alignment horizontal="center"/>
    </xf>
    <xf numFmtId="0" fontId="8" fillId="8" borderId="42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/>
    </xf>
    <xf numFmtId="0" fontId="8" fillId="9" borderId="37" xfId="0" applyFont="1" applyFill="1" applyBorder="1" applyAlignment="1">
      <alignment horizontal="center"/>
    </xf>
    <xf numFmtId="0" fontId="8" fillId="9" borderId="36" xfId="0" applyFont="1" applyFill="1" applyBorder="1" applyAlignment="1">
      <alignment horizontal="center"/>
    </xf>
    <xf numFmtId="0" fontId="8" fillId="9" borderId="36" xfId="0" applyFont="1" applyFill="1" applyBorder="1" applyAlignment="1">
      <alignment horizontal="center" wrapText="1"/>
    </xf>
    <xf numFmtId="0" fontId="8" fillId="9" borderId="42" xfId="0" applyFont="1" applyFill="1" applyBorder="1" applyAlignment="1">
      <alignment horizontal="center" vertical="center"/>
    </xf>
    <xf numFmtId="0" fontId="8" fillId="9" borderId="36" xfId="0" applyFont="1" applyFill="1" applyBorder="1" applyAlignment="1">
      <alignment horizontal="center" vertical="center"/>
    </xf>
    <xf numFmtId="164" fontId="9" fillId="0" borderId="18" xfId="0" applyNumberFormat="1" applyFont="1" applyBorder="1"/>
    <xf numFmtId="0" fontId="8" fillId="10" borderId="2" xfId="0" applyFont="1" applyFill="1" applyBorder="1" applyAlignment="1">
      <alignment horizontal="center"/>
    </xf>
    <xf numFmtId="0" fontId="8" fillId="10" borderId="36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10" borderId="42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 wrapText="1"/>
    </xf>
    <xf numFmtId="0" fontId="8" fillId="10" borderId="38" xfId="0" applyFont="1" applyFill="1" applyBorder="1" applyAlignment="1">
      <alignment horizontal="center"/>
    </xf>
    <xf numFmtId="1" fontId="8" fillId="11" borderId="45" xfId="1" applyNumberFormat="1" applyFont="1" applyFill="1" applyBorder="1" applyAlignment="1">
      <alignment horizontal="center" vertical="center"/>
    </xf>
    <xf numFmtId="0" fontId="8" fillId="11" borderId="44" xfId="1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6" xfId="0" applyFont="1" applyBorder="1"/>
    <xf numFmtId="2" fontId="8" fillId="2" borderId="17" xfId="1" applyNumberFormat="1" applyFont="1" applyFill="1" applyBorder="1" applyAlignment="1">
      <alignment horizontal="left" indent="1"/>
    </xf>
    <xf numFmtId="2" fontId="8" fillId="0" borderId="0" xfId="0" applyNumberFormat="1" applyFont="1"/>
    <xf numFmtId="2" fontId="0" fillId="2" borderId="8" xfId="0" applyNumberFormat="1" applyFill="1" applyBorder="1"/>
    <xf numFmtId="2" fontId="6" fillId="2" borderId="8" xfId="0" applyNumberFormat="1" applyFont="1" applyFill="1" applyBorder="1"/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0" fontId="0" fillId="5" borderId="25" xfId="0" applyFill="1" applyBorder="1" applyAlignment="1">
      <alignment horizontal="center" vertical="center"/>
    </xf>
    <xf numFmtId="164" fontId="8" fillId="7" borderId="13" xfId="1" applyNumberFormat="1" applyFont="1" applyFill="1" applyBorder="1" applyAlignment="1">
      <alignment horizontal="center" wrapText="1"/>
    </xf>
    <xf numFmtId="164" fontId="8" fillId="7" borderId="18" xfId="1" applyNumberFormat="1" applyFont="1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" fontId="3" fillId="11" borderId="14" xfId="1" applyNumberFormat="1" applyFont="1" applyFill="1" applyBorder="1" applyAlignment="1">
      <alignment horizontal="center" vertical="center" wrapText="1"/>
    </xf>
    <xf numFmtId="1" fontId="3" fillId="11" borderId="19" xfId="1" applyNumberFormat="1" applyFont="1" applyFill="1" applyBorder="1" applyAlignment="1">
      <alignment horizontal="center" vertical="center" wrapText="1"/>
    </xf>
    <xf numFmtId="43" fontId="3" fillId="11" borderId="13" xfId="1" applyFont="1" applyFill="1" applyBorder="1" applyAlignment="1">
      <alignment horizontal="center" vertical="center" wrapText="1"/>
    </xf>
    <xf numFmtId="43" fontId="3" fillId="11" borderId="18" xfId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D461-9D66-42FB-B125-1DA92C0BF611}">
  <sheetPr>
    <tabColor rgb="FF00B050"/>
  </sheetPr>
  <dimension ref="A1:MB10"/>
  <sheetViews>
    <sheetView tabSelected="1" zoomScale="80" zoomScaleNormal="80" workbookViewId="0">
      <pane xSplit="8" ySplit="7" topLeftCell="I8" activePane="bottomRight" state="frozen"/>
      <selection activeCell="LV35" sqref="LV35"/>
      <selection pane="topRight" activeCell="LV35" sqref="LV35"/>
      <selection pane="bottomLeft" activeCell="LV35" sqref="LV35"/>
      <selection pane="bottomRight" activeCell="F16" sqref="F16"/>
    </sheetView>
  </sheetViews>
  <sheetFormatPr defaultRowHeight="15" outlineLevelCol="1" x14ac:dyDescent="0.25"/>
  <cols>
    <col min="1" max="1" width="8.42578125" bestFit="1" customWidth="1"/>
    <col min="2" max="2" width="12" style="1" customWidth="1"/>
    <col min="3" max="3" width="19.28515625" style="1" customWidth="1"/>
    <col min="4" max="4" width="17" style="1" customWidth="1"/>
    <col min="5" max="5" width="12.42578125" customWidth="1"/>
    <col min="6" max="6" width="12.28515625" customWidth="1"/>
    <col min="7" max="7" width="11.140625" customWidth="1"/>
    <col min="8" max="8" width="15.42578125" customWidth="1"/>
    <col min="9" max="15" width="11.140625" customWidth="1" outlineLevel="1"/>
    <col min="16" max="16" width="10.28515625" customWidth="1" outlineLevel="1"/>
    <col min="17" max="29" width="8.42578125" customWidth="1" outlineLevel="1"/>
    <col min="30" max="30" width="10.140625" customWidth="1" outlineLevel="1"/>
    <col min="31" max="33" width="11.140625" customWidth="1" outlineLevel="1"/>
    <col min="34" max="34" width="10.140625" customWidth="1" outlineLevel="1"/>
    <col min="35" max="35" width="11.5703125" customWidth="1" outlineLevel="1"/>
    <col min="36" max="36" width="10.140625" customWidth="1" outlineLevel="1"/>
    <col min="37" max="37" width="11.140625" customWidth="1" outlineLevel="1"/>
    <col min="38" max="38" width="10.140625" customWidth="1" outlineLevel="1"/>
    <col min="39" max="42" width="11.140625" customWidth="1" outlineLevel="1"/>
    <col min="43" max="46" width="10.140625" customWidth="1" outlineLevel="1"/>
    <col min="47" max="47" width="12" customWidth="1" outlineLevel="1"/>
    <col min="48" max="49" width="10.140625" customWidth="1" outlineLevel="1"/>
    <col min="50" max="57" width="9.5703125" customWidth="1" outlineLevel="1"/>
    <col min="58" max="59" width="9.7109375" customWidth="1" outlineLevel="1"/>
    <col min="60" max="60" width="8.140625" customWidth="1" outlineLevel="1"/>
    <col min="61" max="61" width="9.7109375" customWidth="1"/>
    <col min="62" max="64" width="10.5703125" customWidth="1" outlineLevel="1"/>
    <col min="65" max="82" width="11.140625" customWidth="1" outlineLevel="1"/>
    <col min="83" max="83" width="10.140625" customWidth="1" outlineLevel="1"/>
    <col min="84" max="86" width="9.42578125" customWidth="1" outlineLevel="1"/>
    <col min="87" max="87" width="9.5703125" customWidth="1" outlineLevel="1"/>
    <col min="88" max="88" width="10" customWidth="1" outlineLevel="1"/>
    <col min="89" max="89" width="12.140625" customWidth="1" outlineLevel="1"/>
    <col min="90" max="90" width="10.5703125" customWidth="1" outlineLevel="1"/>
    <col min="91" max="91" width="9.5703125" customWidth="1" outlineLevel="1"/>
    <col min="92" max="95" width="10.5703125" customWidth="1" outlineLevel="1"/>
    <col min="96" max="96" width="9.5703125" customWidth="1" outlineLevel="1"/>
    <col min="97" max="97" width="10.5703125" customWidth="1" outlineLevel="1"/>
    <col min="98" max="99" width="12.42578125" customWidth="1" outlineLevel="1"/>
    <col min="100" max="100" width="11.5703125" customWidth="1" outlineLevel="1"/>
    <col min="101" max="101" width="14.42578125" customWidth="1" outlineLevel="1"/>
    <col min="102" max="102" width="14.5703125" customWidth="1" outlineLevel="1"/>
    <col min="103" max="103" width="9.5703125" customWidth="1" outlineLevel="1"/>
    <col min="104" max="110" width="10.5703125" customWidth="1" outlineLevel="1"/>
    <col min="111" max="112" width="9.7109375" customWidth="1" outlineLevel="1"/>
    <col min="113" max="113" width="13.140625" customWidth="1" outlineLevel="1"/>
    <col min="114" max="114" width="9.5703125" customWidth="1"/>
    <col min="115" max="117" width="10.5703125" customWidth="1" outlineLevel="1"/>
    <col min="118" max="118" width="11.140625" customWidth="1" outlineLevel="1"/>
    <col min="119" max="122" width="10.5703125" customWidth="1" outlineLevel="1"/>
    <col min="123" max="135" width="11.42578125" customWidth="1" outlineLevel="1"/>
    <col min="136" max="136" width="9.5703125" customWidth="1" outlineLevel="1"/>
    <col min="137" max="139" width="10.5703125" customWidth="1" outlineLevel="1"/>
    <col min="140" max="140" width="9.5703125" customWidth="1" outlineLevel="1"/>
    <col min="141" max="141" width="9.7109375" customWidth="1" outlineLevel="1"/>
    <col min="142" max="142" width="12.140625" customWidth="1" outlineLevel="1"/>
    <col min="143" max="143" width="10.5703125" customWidth="1" outlineLevel="1"/>
    <col min="144" max="144" width="9.5703125" customWidth="1" outlineLevel="1"/>
    <col min="145" max="148" width="10.5703125" customWidth="1" outlineLevel="1"/>
    <col min="149" max="149" width="9.5703125" customWidth="1" outlineLevel="1"/>
    <col min="150" max="150" width="10.5703125" customWidth="1" outlineLevel="1"/>
    <col min="151" max="152" width="12.42578125" customWidth="1" outlineLevel="1"/>
    <col min="153" max="153" width="11.5703125" customWidth="1" outlineLevel="1"/>
    <col min="154" max="154" width="14.42578125" customWidth="1" outlineLevel="1"/>
    <col min="155" max="155" width="14.5703125" customWidth="1" outlineLevel="1"/>
    <col min="156" max="156" width="9.5703125" customWidth="1" outlineLevel="1"/>
    <col min="157" max="163" width="10.5703125" customWidth="1" outlineLevel="1"/>
    <col min="164" max="165" width="9.7109375" customWidth="1" outlineLevel="1"/>
    <col min="166" max="166" width="8.140625" customWidth="1" outlineLevel="1"/>
    <col min="167" max="167" width="8.7109375" bestFit="1" customWidth="1"/>
    <col min="168" max="168" width="6.140625" customWidth="1"/>
    <col min="169" max="176" width="10.5703125" customWidth="1" outlineLevel="1"/>
    <col min="177" max="189" width="11.42578125" customWidth="1" outlineLevel="1"/>
    <col min="190" max="190" width="11.5703125" customWidth="1" outlineLevel="1"/>
    <col min="191" max="191" width="10.5703125" customWidth="1" outlineLevel="1"/>
    <col min="192" max="194" width="9.5703125" customWidth="1" outlineLevel="1"/>
    <col min="195" max="195" width="10" customWidth="1" outlineLevel="1"/>
    <col min="196" max="196" width="9.85546875" customWidth="1" outlineLevel="1"/>
    <col min="197" max="197" width="10.5703125" customWidth="1" outlineLevel="1"/>
    <col min="198" max="198" width="9.5703125" customWidth="1" outlineLevel="1"/>
    <col min="199" max="202" width="10.5703125" customWidth="1" outlineLevel="1"/>
    <col min="203" max="203" width="9.5703125" customWidth="1" outlineLevel="1"/>
    <col min="204" max="204" width="10.5703125" customWidth="1" outlineLevel="1"/>
    <col min="205" max="206" width="12.42578125" customWidth="1" outlineLevel="1"/>
    <col min="207" max="207" width="11.5703125" customWidth="1" outlineLevel="1"/>
    <col min="208" max="209" width="11.7109375" customWidth="1" outlineLevel="1"/>
    <col min="210" max="210" width="10.85546875" customWidth="1" outlineLevel="1"/>
    <col min="211" max="217" width="10.5703125" customWidth="1" outlineLevel="1"/>
    <col min="218" max="219" width="9.7109375" customWidth="1" outlineLevel="1"/>
    <col min="220" max="220" width="9" customWidth="1" outlineLevel="1"/>
    <col min="222" max="222" width="11.42578125" style="3" bestFit="1" customWidth="1"/>
    <col min="223" max="225" width="9.140625" customWidth="1" outlineLevel="1"/>
    <col min="226" max="226" width="11.85546875" customWidth="1" outlineLevel="1"/>
    <col min="227" max="229" width="9.140625" customWidth="1" outlineLevel="1"/>
    <col min="230" max="230" width="10.7109375" customWidth="1" outlineLevel="1"/>
    <col min="231" max="231" width="10.5703125" customWidth="1" outlineLevel="1"/>
    <col min="232" max="233" width="9.140625" customWidth="1" outlineLevel="1"/>
    <col min="234" max="234" width="10.85546875" customWidth="1" outlineLevel="1"/>
    <col min="235" max="236" width="9.140625" customWidth="1" outlineLevel="1"/>
    <col min="237" max="237" width="13" customWidth="1" outlineLevel="1"/>
    <col min="238" max="242" width="9.140625" customWidth="1" outlineLevel="1"/>
    <col min="243" max="243" width="11.140625" customWidth="1" outlineLevel="1"/>
    <col min="244" max="244" width="10" customWidth="1" outlineLevel="1"/>
    <col min="245" max="245" width="10.7109375" customWidth="1" outlineLevel="1"/>
    <col min="246" max="248" width="9.7109375" customWidth="1" outlineLevel="1"/>
    <col min="249" max="249" width="10.7109375" customWidth="1" outlineLevel="1"/>
    <col min="250" max="250" width="11.7109375" customWidth="1" outlineLevel="1"/>
    <col min="251" max="251" width="9.140625" customWidth="1" outlineLevel="1"/>
    <col min="252" max="252" width="9.7109375" customWidth="1" outlineLevel="1"/>
    <col min="253" max="256" width="10.7109375" customWidth="1" outlineLevel="1"/>
    <col min="257" max="257" width="9.7109375" customWidth="1" outlineLevel="1"/>
    <col min="258" max="258" width="10.7109375" customWidth="1" outlineLevel="1"/>
    <col min="259" max="260" width="10.140625" customWidth="1" outlineLevel="1"/>
    <col min="261" max="261" width="10.42578125" customWidth="1" outlineLevel="1"/>
    <col min="262" max="262" width="11" customWidth="1" outlineLevel="1"/>
    <col min="263" max="263" width="10.7109375" customWidth="1" outlineLevel="1"/>
    <col min="264" max="264" width="9.7109375" customWidth="1" outlineLevel="1"/>
    <col min="265" max="271" width="10.7109375" customWidth="1" outlineLevel="1"/>
    <col min="272" max="273" width="9.85546875" customWidth="1" outlineLevel="1"/>
    <col min="274" max="274" width="11.28515625" customWidth="1" outlineLevel="1"/>
    <col min="275" max="275" width="12.140625" bestFit="1" customWidth="1"/>
    <col min="277" max="279" width="11.5703125" customWidth="1" outlineLevel="1"/>
    <col min="280" max="284" width="10.7109375" customWidth="1" outlineLevel="1"/>
    <col min="285" max="297" width="11.5703125" customWidth="1" outlineLevel="1"/>
    <col min="298" max="298" width="9.7109375" customWidth="1" outlineLevel="1"/>
    <col min="299" max="299" width="10.7109375" customWidth="1" outlineLevel="1"/>
    <col min="300" max="302" width="9.7109375" customWidth="1" outlineLevel="1"/>
    <col min="303" max="303" width="12.85546875" customWidth="1" outlineLevel="1"/>
    <col min="304" max="304" width="9.7109375" customWidth="1" outlineLevel="1"/>
    <col min="305" max="307" width="9.140625" customWidth="1" outlineLevel="1"/>
    <col min="308" max="309" width="9.28515625" customWidth="1" outlineLevel="1"/>
    <col min="310" max="310" width="10.7109375" customWidth="1" outlineLevel="1"/>
    <col min="311" max="311" width="9.7109375" customWidth="1" outlineLevel="1"/>
    <col min="312" max="312" width="10.7109375" customWidth="1" outlineLevel="1"/>
    <col min="313" max="314" width="11.42578125" customWidth="1" outlineLevel="1"/>
    <col min="315" max="315" width="10.5703125" customWidth="1" outlineLevel="1"/>
    <col min="316" max="316" width="10" customWidth="1" outlineLevel="1"/>
    <col min="317" max="317" width="9.5703125" customWidth="1" outlineLevel="1"/>
    <col min="318" max="328" width="9.140625" customWidth="1" outlineLevel="1"/>
    <col min="329" max="329" width="14" customWidth="1"/>
    <col min="330" max="330" width="9.7109375" style="4" customWidth="1"/>
    <col min="331" max="331" width="9.28515625" style="5" bestFit="1" customWidth="1"/>
    <col min="332" max="332" width="10.28515625" customWidth="1"/>
    <col min="333" max="333" width="10.42578125" customWidth="1"/>
    <col min="334" max="334" width="10.5703125" bestFit="1" customWidth="1"/>
    <col min="335" max="335" width="12" bestFit="1" customWidth="1"/>
    <col min="336" max="336" width="17.5703125" customWidth="1"/>
    <col min="337" max="337" width="11.42578125" customWidth="1"/>
    <col min="339" max="339" width="9.28515625" style="5" bestFit="1" customWidth="1"/>
  </cols>
  <sheetData>
    <row r="1" spans="1:340" x14ac:dyDescent="0.25">
      <c r="H1" s="2"/>
      <c r="BY1">
        <f>6500*3</f>
        <v>19500</v>
      </c>
      <c r="BZ1">
        <f>4100*3</f>
        <v>12300</v>
      </c>
      <c r="CA1">
        <f>+BZ1+BY1</f>
        <v>31800</v>
      </c>
      <c r="CC1">
        <f>+CA1/6</f>
        <v>5300</v>
      </c>
      <c r="EY1">
        <f>6000+5000</f>
        <v>11000</v>
      </c>
    </row>
    <row r="2" spans="1:340" s="3" customFormat="1" ht="19.5" thickBot="1" x14ac:dyDescent="0.35">
      <c r="A2" s="6"/>
      <c r="B2" s="7" t="s">
        <v>0</v>
      </c>
      <c r="C2" s="8"/>
      <c r="D2" s="9"/>
      <c r="E2"/>
      <c r="H2" s="2"/>
      <c r="AR2" s="10"/>
      <c r="FM2" s="5">
        <f>SUBTOTAL(9,FM8:FM10)</f>
        <v>0</v>
      </c>
      <c r="FN2" s="5">
        <f>SUBTOTAL(9,FN8:FN10)</f>
        <v>0</v>
      </c>
      <c r="FO2" s="5">
        <f>SUBTOTAL(9,FO8:FO10)</f>
        <v>0</v>
      </c>
      <c r="FP2" s="5">
        <f>SUBTOTAL(9,FP8:FP10)</f>
        <v>0</v>
      </c>
      <c r="FQ2" s="5">
        <f>SUBTOTAL(9,FQ8:FQ10)</f>
        <v>0</v>
      </c>
      <c r="FR2" s="5"/>
      <c r="FS2" s="5"/>
      <c r="FT2" s="5">
        <f>SUBTOTAL(9,FT8:FT10)</f>
        <v>0</v>
      </c>
      <c r="FU2" s="5">
        <f>SUBTOTAL(9,FU8:FU10)</f>
        <v>0.60000000000000009</v>
      </c>
      <c r="FV2" s="5">
        <f>SUBTOTAL(9,FV8:FV10)</f>
        <v>0</v>
      </c>
      <c r="FW2" s="5"/>
      <c r="FX2" s="5">
        <f>SUBTOTAL(9,FX8:FX10)</f>
        <v>0</v>
      </c>
      <c r="FY2" s="5"/>
      <c r="FZ2" s="5"/>
      <c r="GA2" s="5">
        <f>SUBTOTAL(9,GA8:GA10)</f>
        <v>0.60000000000000009</v>
      </c>
      <c r="GB2" s="5"/>
      <c r="GC2" s="5">
        <f>SUBTOTAL(9,GC8:GC10)</f>
        <v>1.0649999999999999</v>
      </c>
      <c r="GD2" s="5"/>
      <c r="GE2" s="5"/>
      <c r="GF2" s="5"/>
      <c r="GG2" s="5">
        <f>SUBTOTAL(9,GG8:GG10)</f>
        <v>0</v>
      </c>
      <c r="GH2" s="5">
        <f>SUBTOTAL(9,GH8:GH10)</f>
        <v>0</v>
      </c>
      <c r="GI2" s="5">
        <f>SUBTOTAL(9,GI8:GI10)</f>
        <v>0</v>
      </c>
      <c r="GJ2" s="5">
        <f>SUBTOTAL(9,GJ8:GJ10)</f>
        <v>0</v>
      </c>
      <c r="GK2" s="5">
        <f>SUBTOTAL(9,GK8:GK10)</f>
        <v>0</v>
      </c>
      <c r="GL2" s="5">
        <f>SUBTOTAL(9,GL8:GL10)</f>
        <v>0</v>
      </c>
      <c r="GM2" s="5">
        <f>SUBTOTAL(9,GM8:GM10)</f>
        <v>1.5750000000000002</v>
      </c>
      <c r="GN2" s="5">
        <f>SUBTOTAL(9,GN8:GN10)</f>
        <v>4.8499999999999996</v>
      </c>
      <c r="GO2" s="5">
        <f>SUBTOTAL(9,GO8:GO10)</f>
        <v>0</v>
      </c>
      <c r="GP2" s="5">
        <f>SUBTOTAL(9,GP8:GP10)</f>
        <v>0</v>
      </c>
      <c r="GQ2" s="5">
        <f>SUBTOTAL(9,GQ8:GQ10)</f>
        <v>0</v>
      </c>
      <c r="GR2" s="5">
        <f>SUBTOTAL(9,GR8:GR10)</f>
        <v>0</v>
      </c>
      <c r="GS2" s="5"/>
      <c r="GT2" s="5">
        <f>SUBTOTAL(9,GT8:GT10)</f>
        <v>0</v>
      </c>
      <c r="GU2" s="5">
        <f>SUBTOTAL(9,GU8:GU10)</f>
        <v>0</v>
      </c>
      <c r="GV2" s="5">
        <f>SUBTOTAL(9,GV8:GV10)</f>
        <v>0.17500000000000002</v>
      </c>
      <c r="GW2" s="5">
        <f>SUBTOTAL(9,GW8:GW10)</f>
        <v>0.58050000000000002</v>
      </c>
      <c r="GX2" s="5">
        <f>SUBTOTAL(9,GX8:GX10)</f>
        <v>0</v>
      </c>
      <c r="GY2" s="5">
        <f>SUBTOTAL(9,GY8:GY10)</f>
        <v>0</v>
      </c>
      <c r="GZ2" s="5">
        <f>SUBTOTAL(9,GZ8:GZ10)</f>
        <v>0</v>
      </c>
      <c r="HA2" s="5">
        <f>SUBTOTAL(9,HA8:HA10)</f>
        <v>0</v>
      </c>
      <c r="HB2" s="5">
        <f>SUBTOTAL(9,HB8:HB10)</f>
        <v>0</v>
      </c>
      <c r="HC2" s="5">
        <f>SUBTOTAL(9,HC8:HC10)</f>
        <v>2.7E-2</v>
      </c>
      <c r="HD2" s="5"/>
      <c r="HE2" s="5"/>
      <c r="HF2" s="5"/>
      <c r="HG2" s="5"/>
      <c r="HH2" s="5"/>
      <c r="HI2" s="5"/>
      <c r="HJ2" s="5">
        <f>SUBTOTAL(9,HJ8:HJ10)</f>
        <v>0</v>
      </c>
      <c r="HK2" s="5">
        <f>SUBTOTAL(9,HK8:HK10)</f>
        <v>0</v>
      </c>
      <c r="HL2" s="5">
        <f>SUBTOTAL(9,HL8:HL10)</f>
        <v>0.09</v>
      </c>
      <c r="HM2" s="5"/>
      <c r="HO2" s="5">
        <f>SUBTOTAL(9,HO8:HO10)</f>
        <v>0</v>
      </c>
      <c r="HP2" s="5"/>
      <c r="HQ2" s="5"/>
      <c r="HR2" s="5">
        <f>SUBTOTAL(9,HR8:HR10)</f>
        <v>0</v>
      </c>
      <c r="HS2" s="5">
        <f>SUBTOTAL(9,HS8:HS10)</f>
        <v>0</v>
      </c>
      <c r="HT2" s="5"/>
      <c r="HU2" s="5"/>
      <c r="HV2" s="5">
        <f>SUBTOTAL(9,HV8:HV10)</f>
        <v>0</v>
      </c>
      <c r="HW2" s="5">
        <f>SUBTOTAL(9,HW8:HW10)</f>
        <v>111.60000000000001</v>
      </c>
      <c r="HX2" s="5">
        <f>SUBTOTAL(9,HX8:HX10)</f>
        <v>0</v>
      </c>
      <c r="HY2" s="5"/>
      <c r="HZ2" s="5">
        <f>SUBTOTAL(9,HZ8:HZ10)</f>
        <v>0</v>
      </c>
      <c r="IA2" s="5"/>
      <c r="IB2" s="5"/>
      <c r="IC2" s="5">
        <f>SUBTOTAL(9,IC8:IC10)</f>
        <v>224.56</v>
      </c>
      <c r="ID2" s="5"/>
      <c r="IE2" s="5">
        <f>SUBTOTAL(9,IE8:IE10)</f>
        <v>711.846</v>
      </c>
      <c r="IF2" s="5"/>
      <c r="IG2" s="5"/>
      <c r="IH2" s="5"/>
      <c r="II2" s="5">
        <f>SUBTOTAL(9,II8:II10)</f>
        <v>0</v>
      </c>
      <c r="IJ2" s="5">
        <f>SUBTOTAL(9,IJ8:IJ10)</f>
        <v>0</v>
      </c>
      <c r="IK2" s="5">
        <f>SUBTOTAL(9,IK8:IK10)</f>
        <v>0</v>
      </c>
      <c r="IL2" s="5">
        <f>SUBTOTAL(9,IL8:IL10)</f>
        <v>0</v>
      </c>
      <c r="IM2" s="5">
        <f>SUBTOTAL(9,IM8:IM10)</f>
        <v>0</v>
      </c>
      <c r="IN2" s="5">
        <f>SUBTOTAL(9,IN8:IN10)</f>
        <v>0</v>
      </c>
      <c r="IO2" s="5">
        <f>SUBTOTAL(9,IO8:IO10)</f>
        <v>292.95</v>
      </c>
      <c r="IP2" s="5">
        <f>SUBTOTAL(9,IP8:IP10)</f>
        <v>2127.2399999999998</v>
      </c>
      <c r="IQ2" s="5">
        <f>SUBTOTAL(9,IQ8:IQ10)</f>
        <v>0</v>
      </c>
      <c r="IR2" s="5">
        <f>SUBTOTAL(9,IR8:IR10)</f>
        <v>0</v>
      </c>
      <c r="IS2" s="5">
        <f>SUBTOTAL(9,IS8:IS10)</f>
        <v>0</v>
      </c>
      <c r="IT2" s="5">
        <f>SUBTOTAL(9,IT8:IT10)</f>
        <v>0</v>
      </c>
      <c r="IU2" s="5"/>
      <c r="IV2" s="5">
        <f>SUBTOTAL(9,IV8:IV10)</f>
        <v>0</v>
      </c>
      <c r="IW2" s="5">
        <f>SUBTOTAL(9,IW8:IW10)</f>
        <v>0</v>
      </c>
      <c r="IX2" s="5">
        <f>SUBTOTAL(9,IX8:IX10)</f>
        <v>32.549999999999997</v>
      </c>
      <c r="IY2" s="5">
        <f>SUBTOTAL(9,IY8:IY10)</f>
        <v>308.59020000000004</v>
      </c>
      <c r="IZ2" s="5">
        <f>SUBTOTAL(9,IZ8:IZ10)</f>
        <v>0</v>
      </c>
      <c r="JA2" s="5">
        <f>SUBTOTAL(9,JA8:JA10)</f>
        <v>0</v>
      </c>
      <c r="JB2" s="5">
        <f>SUBTOTAL(9,JB8:JB10)</f>
        <v>0</v>
      </c>
      <c r="JC2" s="5">
        <f>SUBTOTAL(9,JC8:JC10)</f>
        <v>0</v>
      </c>
      <c r="JD2" s="5">
        <f>SUBTOTAL(9,JD8:JD10)</f>
        <v>0</v>
      </c>
      <c r="JE2" s="5">
        <f>SUBTOTAL(9,JE8:JE10)</f>
        <v>7.8108000000000004</v>
      </c>
      <c r="JF2" s="5"/>
      <c r="JG2" s="5"/>
      <c r="JH2" s="5"/>
      <c r="JI2" s="5"/>
      <c r="JJ2" s="5"/>
      <c r="JK2" s="5"/>
      <c r="JL2" s="5">
        <f>SUBTOTAL(9,JL8:JL10)</f>
        <v>0</v>
      </c>
      <c r="JN2" s="3">
        <f>SUBTOTAL(9,JN8:JN10)</f>
        <v>32.447999999999993</v>
      </c>
      <c r="JP2" s="11"/>
      <c r="LX2" s="12" t="s">
        <v>1</v>
      </c>
      <c r="LY2" s="13"/>
    </row>
    <row r="3" spans="1:340" ht="15.75" thickBot="1" x14ac:dyDescent="0.3">
      <c r="D3" s="9"/>
      <c r="J3" s="14"/>
      <c r="K3" s="14"/>
      <c r="FA3" s="14"/>
      <c r="GV3" t="s">
        <v>2</v>
      </c>
      <c r="HA3" t="s">
        <v>3</v>
      </c>
      <c r="HN3" s="3">
        <f>SUBTOTAL(9,HN8:HN1048576)</f>
        <v>5408</v>
      </c>
      <c r="LR3" s="15"/>
      <c r="LS3" s="16" t="s">
        <v>4</v>
      </c>
      <c r="LT3" s="17"/>
      <c r="LU3" s="10"/>
      <c r="LX3" s="18" t="s">
        <v>5</v>
      </c>
      <c r="LY3" s="19">
        <v>4.2569917408476643</v>
      </c>
      <c r="LZ3" s="20"/>
      <c r="MA3" s="154" t="s">
        <v>6</v>
      </c>
      <c r="MB3" s="155"/>
    </row>
    <row r="4" spans="1:340" ht="15" customHeight="1" thickBot="1" x14ac:dyDescent="0.3">
      <c r="B4" s="21"/>
      <c r="C4" s="22"/>
      <c r="D4" s="22"/>
      <c r="E4" s="23"/>
      <c r="F4" s="23"/>
      <c r="G4" s="23"/>
      <c r="H4" s="24"/>
      <c r="I4" s="25" t="s">
        <v>7</v>
      </c>
      <c r="J4" s="26"/>
      <c r="K4" s="26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8"/>
      <c r="FL4" s="29"/>
      <c r="FM4" s="30">
        <v>4.4479600000000001</v>
      </c>
      <c r="FN4" s="30">
        <v>4.2640000000000002</v>
      </c>
      <c r="FO4" s="30">
        <v>4.2640000000000002</v>
      </c>
      <c r="FP4" s="152">
        <v>4.0436000000000005</v>
      </c>
      <c r="FQ4" s="31">
        <v>4.9626000000000001</v>
      </c>
      <c r="FR4" s="31">
        <v>4.0425000242424236</v>
      </c>
      <c r="FS4" s="31">
        <v>3.5289999999999999</v>
      </c>
      <c r="FT4" s="31">
        <v>4.9980000000000002</v>
      </c>
      <c r="FU4" s="31">
        <v>4.6317599999999999</v>
      </c>
      <c r="FV4" s="31">
        <v>3.8959999999999999</v>
      </c>
      <c r="FW4" s="31">
        <v>3.6749999999999998</v>
      </c>
      <c r="FX4" s="152">
        <v>3.5652250505050507</v>
      </c>
      <c r="FY4" s="31">
        <v>3.8230400000000002</v>
      </c>
      <c r="FZ4" s="152">
        <v>4.4847200000000003</v>
      </c>
      <c r="GA4" s="152">
        <v>3.63924</v>
      </c>
      <c r="GB4" s="31">
        <v>8.0871999999999993</v>
      </c>
      <c r="GC4" s="152">
        <v>3.8928500202020202</v>
      </c>
      <c r="GD4" s="31">
        <v>4.0764749898989896</v>
      </c>
      <c r="GE4" s="31">
        <v>3.6019999999999999</v>
      </c>
      <c r="GF4" s="31">
        <v>4.3335500202020203</v>
      </c>
      <c r="GG4" s="31">
        <v>4.2601000000000004</v>
      </c>
      <c r="GH4" s="31">
        <v>4.4602133333333329</v>
      </c>
      <c r="GI4" s="153">
        <v>3.6357750303030305</v>
      </c>
      <c r="GJ4" s="30">
        <v>5.5069999999999997</v>
      </c>
      <c r="GK4" s="30">
        <v>5.5069999999999997</v>
      </c>
      <c r="GL4" s="30">
        <v>5.5069999999999997</v>
      </c>
      <c r="GM4" s="152">
        <v>4.1132</v>
      </c>
      <c r="GN4" s="153">
        <v>3.4922</v>
      </c>
      <c r="GO4" s="152">
        <v>3.6576200000000001</v>
      </c>
      <c r="GP4" s="30">
        <v>4.1722600404040406</v>
      </c>
      <c r="GQ4" s="152">
        <v>3.8928500202020202</v>
      </c>
      <c r="GR4" s="152">
        <v>4.4112</v>
      </c>
      <c r="GS4" s="31">
        <v>3.9660000000000002</v>
      </c>
      <c r="GT4" s="31">
        <v>4.9630000000000001</v>
      </c>
      <c r="GU4" s="31">
        <v>4.8523199999999997</v>
      </c>
      <c r="GV4" s="31">
        <v>8.9</v>
      </c>
      <c r="GW4" s="152">
        <v>4.0068399999999995</v>
      </c>
      <c r="GX4" s="31">
        <v>4.4479600000000001</v>
      </c>
      <c r="GY4" s="31">
        <v>3.6</v>
      </c>
      <c r="GZ4" s="32">
        <v>5</v>
      </c>
      <c r="HA4" s="30">
        <v>13.420500000000001</v>
      </c>
      <c r="HB4" s="31">
        <v>4.2830000000000004</v>
      </c>
      <c r="HC4" s="31">
        <v>10.32</v>
      </c>
      <c r="HD4" s="152">
        <v>4.0030249696969697</v>
      </c>
      <c r="HE4" s="31">
        <v>4.8155600000000005</v>
      </c>
      <c r="HF4" s="31">
        <v>4.8155600000000005</v>
      </c>
      <c r="HG4" s="31">
        <v>6.8741199999999996</v>
      </c>
      <c r="HH4" s="152">
        <v>4.1890000000000001</v>
      </c>
      <c r="HI4" s="31">
        <v>6.8741199999999996</v>
      </c>
      <c r="HJ4" s="31">
        <v>9.9</v>
      </c>
      <c r="HK4" s="31">
        <v>4.4479600000000001</v>
      </c>
      <c r="HL4" s="31">
        <v>8.5250000000000004</v>
      </c>
      <c r="HM4" s="33"/>
      <c r="HN4" s="34"/>
      <c r="HO4" s="35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7">
        <f>SUBTOTAL(9,JO8:JO1048576)</f>
        <v>5407.9999999999991</v>
      </c>
      <c r="JP4" s="38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39">
        <f>SUBTOTAL(9,LQ8:LQ1048576)</f>
        <v>21864.784212072725</v>
      </c>
      <c r="LR4" s="40">
        <f>SUBTOTAL(9,LR8:LR1048576)</f>
        <v>5226</v>
      </c>
      <c r="LS4" s="41">
        <f>LQ4/LR4</f>
        <v>4.1838469598302188</v>
      </c>
      <c r="LT4" s="42">
        <f>LS4/3.66</f>
        <v>1.1431275846530653</v>
      </c>
      <c r="LU4" s="40">
        <f>SUBTOTAL(9,LU8:LU1048576)</f>
        <v>182</v>
      </c>
      <c r="LV4" s="43"/>
      <c r="LX4" s="44" t="s">
        <v>8</v>
      </c>
      <c r="LY4" s="45">
        <v>4.5353398212893685</v>
      </c>
      <c r="LZ4" s="20"/>
      <c r="MA4" s="41">
        <f>LQ4/JO4</f>
        <v>4.0430444179128564</v>
      </c>
      <c r="MB4" s="42">
        <f>MA4/3.66</f>
        <v>1.1046569447849335</v>
      </c>
    </row>
    <row r="5" spans="1:340" ht="15" customHeight="1" thickBot="1" x14ac:dyDescent="0.3">
      <c r="B5" s="46"/>
      <c r="C5" s="47"/>
      <c r="D5" s="47"/>
      <c r="E5" s="48"/>
      <c r="F5" s="49"/>
      <c r="G5" s="50"/>
      <c r="H5" s="46"/>
      <c r="I5" s="51" t="s">
        <v>9</v>
      </c>
      <c r="J5" s="52"/>
      <c r="K5" s="52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156" t="s">
        <v>10</v>
      </c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/>
      <c r="DD5" s="156"/>
      <c r="DE5" s="156"/>
      <c r="DF5" s="156"/>
      <c r="DG5" s="156"/>
      <c r="DH5" s="156"/>
      <c r="DI5" s="156"/>
      <c r="DJ5" s="156"/>
      <c r="DK5" s="54" t="s">
        <v>11</v>
      </c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5"/>
      <c r="FL5" s="56"/>
      <c r="FM5" s="57" t="s">
        <v>12</v>
      </c>
      <c r="FN5" s="58"/>
      <c r="FO5" s="58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59"/>
      <c r="HL5" s="59"/>
      <c r="HM5" s="60"/>
      <c r="HN5" s="157" t="s">
        <v>13</v>
      </c>
      <c r="HO5" s="159" t="s">
        <v>14</v>
      </c>
      <c r="HP5" s="160"/>
      <c r="HQ5" s="160"/>
      <c r="HR5" s="160"/>
      <c r="HS5" s="160"/>
      <c r="HT5" s="160"/>
      <c r="HU5" s="160"/>
      <c r="HV5" s="160"/>
      <c r="HW5" s="160"/>
      <c r="HX5" s="160"/>
      <c r="HY5" s="160"/>
      <c r="HZ5" s="160"/>
      <c r="IA5" s="160"/>
      <c r="IB5" s="160"/>
      <c r="IC5" s="160"/>
      <c r="ID5" s="160"/>
      <c r="IE5" s="160"/>
      <c r="IF5" s="160"/>
      <c r="IG5" s="160"/>
      <c r="IH5" s="160"/>
      <c r="II5" s="160"/>
      <c r="IJ5" s="160"/>
      <c r="IK5" s="160"/>
      <c r="IL5" s="160"/>
      <c r="IM5" s="160"/>
      <c r="IN5" s="160"/>
      <c r="IO5" s="160"/>
      <c r="IP5" s="160"/>
      <c r="IQ5" s="160"/>
      <c r="IR5" s="160"/>
      <c r="IS5" s="160"/>
      <c r="IT5" s="160"/>
      <c r="IU5" s="160"/>
      <c r="IV5" s="160"/>
      <c r="IW5" s="160"/>
      <c r="IX5" s="160"/>
      <c r="IY5" s="160"/>
      <c r="IZ5" s="160"/>
      <c r="JA5" s="160"/>
      <c r="JB5" s="160"/>
      <c r="JC5" s="160"/>
      <c r="JD5" s="160"/>
      <c r="JE5" s="160"/>
      <c r="JF5" s="160"/>
      <c r="JG5" s="160"/>
      <c r="JH5" s="160"/>
      <c r="JI5" s="160"/>
      <c r="JJ5" s="160"/>
      <c r="JK5" s="160"/>
      <c r="JL5" s="160"/>
      <c r="JM5" s="160"/>
      <c r="JN5" s="160"/>
      <c r="JO5" s="161"/>
      <c r="JP5" s="63"/>
      <c r="JQ5" s="64" t="s">
        <v>15</v>
      </c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5"/>
      <c r="LR5" s="162" t="s">
        <v>16</v>
      </c>
      <c r="LS5" s="164" t="s">
        <v>17</v>
      </c>
      <c r="LT5" s="164" t="s">
        <v>18</v>
      </c>
      <c r="LU5" s="66"/>
      <c r="LX5" s="44" t="s">
        <v>19</v>
      </c>
      <c r="LY5" s="45">
        <v>0</v>
      </c>
      <c r="LZ5" s="20"/>
      <c r="MA5" s="164" t="s">
        <v>20</v>
      </c>
      <c r="MB5" s="164" t="s">
        <v>21</v>
      </c>
    </row>
    <row r="6" spans="1:340" ht="15" customHeight="1" thickBot="1" x14ac:dyDescent="0.3">
      <c r="B6" s="46"/>
      <c r="C6" s="47"/>
      <c r="D6" s="47"/>
      <c r="E6" s="48"/>
      <c r="F6" s="67"/>
      <c r="G6" s="50"/>
      <c r="H6" s="46"/>
      <c r="I6" s="68"/>
      <c r="J6" s="69"/>
      <c r="K6" s="69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1" t="s">
        <v>22</v>
      </c>
      <c r="Y6" s="71"/>
      <c r="Z6" s="71"/>
      <c r="AA6" s="71"/>
      <c r="AB6" s="71"/>
      <c r="AC6" s="70"/>
      <c r="AD6" s="70"/>
      <c r="AE6" s="70"/>
      <c r="AF6" s="70"/>
      <c r="AG6" s="70"/>
      <c r="AH6" s="70"/>
      <c r="AI6" s="70"/>
      <c r="AJ6" s="70">
        <v>1210</v>
      </c>
      <c r="AK6" s="70"/>
      <c r="AL6" s="70"/>
      <c r="AM6" s="70"/>
      <c r="AN6" s="70"/>
      <c r="AO6" s="70"/>
      <c r="AP6" s="70"/>
      <c r="AQ6" s="70"/>
      <c r="AR6" s="70" t="s">
        <v>23</v>
      </c>
      <c r="AS6" s="70"/>
      <c r="AT6" s="70"/>
      <c r="AU6" s="70" t="s">
        <v>24</v>
      </c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 t="s">
        <v>25</v>
      </c>
      <c r="BH6" s="70"/>
      <c r="BI6" s="70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3">
        <v>1818</v>
      </c>
      <c r="BZ6" s="72"/>
      <c r="CA6" s="72"/>
      <c r="CB6" s="72"/>
      <c r="CC6" s="72"/>
      <c r="CD6" s="72"/>
      <c r="CE6" s="72"/>
      <c r="CF6" s="72" t="s">
        <v>26</v>
      </c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 t="s">
        <v>23</v>
      </c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>
        <v>1818</v>
      </c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 t="s">
        <v>23</v>
      </c>
      <c r="EU6" s="74"/>
      <c r="EV6" s="74"/>
      <c r="EW6" s="74"/>
      <c r="EX6" s="74"/>
      <c r="EY6" s="74" t="s">
        <v>27</v>
      </c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5"/>
      <c r="FL6" s="56"/>
      <c r="FM6" s="76"/>
      <c r="FN6" s="77"/>
      <c r="FO6" s="77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78"/>
      <c r="GY6" s="78"/>
      <c r="GZ6" s="78"/>
      <c r="HA6" s="78"/>
      <c r="HB6" s="78"/>
      <c r="HC6" s="78"/>
      <c r="HD6" s="78"/>
      <c r="HE6" s="78"/>
      <c r="HF6" s="78"/>
      <c r="HG6" s="78"/>
      <c r="HH6" s="78"/>
      <c r="HI6" s="78"/>
      <c r="HJ6" s="78"/>
      <c r="HK6" s="78"/>
      <c r="HL6" s="78"/>
      <c r="HM6" s="79"/>
      <c r="HN6" s="158"/>
      <c r="HO6" s="61"/>
      <c r="HP6" s="62"/>
      <c r="HQ6" s="62"/>
      <c r="HR6" s="62"/>
      <c r="HS6" s="80"/>
      <c r="HT6" s="80"/>
      <c r="HU6" s="80"/>
      <c r="HV6" s="80"/>
      <c r="HW6" s="80"/>
      <c r="HX6" s="80"/>
      <c r="HY6" s="80"/>
      <c r="HZ6" s="80"/>
      <c r="IA6" s="80"/>
      <c r="IB6" s="80"/>
      <c r="IC6" s="80"/>
      <c r="ID6" s="80"/>
      <c r="IE6" s="80"/>
      <c r="IF6" s="80"/>
      <c r="IG6" s="80"/>
      <c r="IH6" s="80"/>
      <c r="II6" s="80"/>
      <c r="IJ6" s="62"/>
      <c r="IK6" s="80"/>
      <c r="IL6" s="80"/>
      <c r="IM6" s="80"/>
      <c r="IN6" s="80"/>
      <c r="IO6" s="80"/>
      <c r="IP6" s="80"/>
      <c r="IQ6" s="80"/>
      <c r="IR6" s="80"/>
      <c r="IS6" s="80"/>
      <c r="IT6" s="80"/>
      <c r="IU6" s="80"/>
      <c r="IV6" s="80"/>
      <c r="IW6" s="80"/>
      <c r="IX6" s="80"/>
      <c r="IY6" s="80"/>
      <c r="IZ6" s="80"/>
      <c r="JA6" s="80"/>
      <c r="JB6" s="80"/>
      <c r="JC6" s="80"/>
      <c r="JD6" s="80"/>
      <c r="JE6" s="80"/>
      <c r="JF6" s="80"/>
      <c r="JG6" s="80"/>
      <c r="JH6" s="80"/>
      <c r="JI6" s="80"/>
      <c r="JJ6" s="80"/>
      <c r="JK6" s="80"/>
      <c r="JL6" s="80"/>
      <c r="JM6" s="80"/>
      <c r="JN6" s="80"/>
      <c r="JO6" s="81"/>
      <c r="JP6" s="63" t="s">
        <v>28</v>
      </c>
      <c r="JQ6" s="82"/>
      <c r="JR6" s="82"/>
      <c r="JS6" s="82"/>
      <c r="JT6" s="82"/>
      <c r="JU6" s="83"/>
      <c r="JV6" s="83"/>
      <c r="JW6" s="83"/>
      <c r="JX6" s="83"/>
      <c r="JY6" s="83"/>
      <c r="JZ6" s="83"/>
      <c r="KA6" s="83"/>
      <c r="KB6" s="83"/>
      <c r="KC6" s="83"/>
      <c r="KD6" s="83"/>
      <c r="KE6" s="83"/>
      <c r="KF6" s="83"/>
      <c r="KG6" s="83"/>
      <c r="KH6" s="83"/>
      <c r="KI6" s="83"/>
      <c r="KJ6" s="83"/>
      <c r="KK6" s="83"/>
      <c r="KL6" s="82"/>
      <c r="KM6" s="83"/>
      <c r="KN6" s="83"/>
      <c r="KO6" s="83"/>
      <c r="KP6" s="83"/>
      <c r="KQ6" s="83"/>
      <c r="KR6" s="83"/>
      <c r="KS6" s="83"/>
      <c r="KT6" s="83"/>
      <c r="KU6" s="83"/>
      <c r="KV6" s="83"/>
      <c r="KW6" s="83"/>
      <c r="KX6" s="83"/>
      <c r="KY6" s="83"/>
      <c r="KZ6" s="83"/>
      <c r="LA6" s="83"/>
      <c r="LB6" s="83"/>
      <c r="LC6" s="83"/>
      <c r="LD6" s="83"/>
      <c r="LE6" s="83"/>
      <c r="LF6" s="83"/>
      <c r="LG6" s="83"/>
      <c r="LH6" s="83"/>
      <c r="LI6" s="83"/>
      <c r="LJ6" s="83"/>
      <c r="LK6" s="83"/>
      <c r="LL6" s="83"/>
      <c r="LM6" s="83"/>
      <c r="LN6" s="83"/>
      <c r="LO6" s="83"/>
      <c r="LP6" s="83"/>
      <c r="LQ6" s="84"/>
      <c r="LR6" s="163"/>
      <c r="LS6" s="165"/>
      <c r="LT6" s="165"/>
      <c r="LU6" s="85"/>
      <c r="LX6" s="44" t="s">
        <v>29</v>
      </c>
      <c r="LY6" s="45">
        <v>0</v>
      </c>
      <c r="LZ6" s="20"/>
      <c r="MA6" s="165"/>
      <c r="MB6" s="165"/>
    </row>
    <row r="7" spans="1:340" s="114" customFormat="1" ht="33.75" customHeight="1" thickBot="1" x14ac:dyDescent="0.3">
      <c r="A7" s="114" t="s">
        <v>30</v>
      </c>
      <c r="B7" s="115" t="s">
        <v>31</v>
      </c>
      <c r="C7" s="115" t="s">
        <v>32</v>
      </c>
      <c r="D7" s="115" t="s">
        <v>33</v>
      </c>
      <c r="E7" s="115" t="s">
        <v>34</v>
      </c>
      <c r="F7" s="115" t="s">
        <v>35</v>
      </c>
      <c r="G7" s="115" t="s">
        <v>36</v>
      </c>
      <c r="H7" s="115" t="s">
        <v>37</v>
      </c>
      <c r="I7" s="116">
        <v>1018</v>
      </c>
      <c r="J7" s="117">
        <v>2005</v>
      </c>
      <c r="K7" s="117">
        <v>108</v>
      </c>
      <c r="L7" s="118" t="s">
        <v>38</v>
      </c>
      <c r="M7" s="118">
        <v>724</v>
      </c>
      <c r="N7" s="118" t="s">
        <v>39</v>
      </c>
      <c r="O7" s="119" t="s">
        <v>40</v>
      </c>
      <c r="P7" s="118">
        <v>2420</v>
      </c>
      <c r="Q7" s="118">
        <v>1012</v>
      </c>
      <c r="R7" s="118" t="s">
        <v>41</v>
      </c>
      <c r="S7" s="118" t="s">
        <v>42</v>
      </c>
      <c r="T7" s="118">
        <v>7047</v>
      </c>
      <c r="U7" s="118">
        <v>7080</v>
      </c>
      <c r="V7" s="118" t="s">
        <v>43</v>
      </c>
      <c r="W7" s="118" t="s">
        <v>44</v>
      </c>
      <c r="X7" s="118">
        <v>1881</v>
      </c>
      <c r="Y7" s="118">
        <v>1826</v>
      </c>
      <c r="Z7" s="118">
        <v>1820</v>
      </c>
      <c r="AA7" s="118">
        <v>6888</v>
      </c>
      <c r="AB7" s="118">
        <v>6236</v>
      </c>
      <c r="AC7" s="118">
        <v>1828</v>
      </c>
      <c r="AD7" s="118" t="s">
        <v>45</v>
      </c>
      <c r="AE7" s="118" t="s">
        <v>46</v>
      </c>
      <c r="AF7" s="118" t="s">
        <v>68</v>
      </c>
      <c r="AG7" s="118" t="s">
        <v>69</v>
      </c>
      <c r="AH7" s="119">
        <v>4660</v>
      </c>
      <c r="AI7" s="118" t="s">
        <v>47</v>
      </c>
      <c r="AJ7" s="118" t="s">
        <v>48</v>
      </c>
      <c r="AK7" s="118">
        <v>7087</v>
      </c>
      <c r="AL7" s="118" t="s">
        <v>49</v>
      </c>
      <c r="AM7" s="118">
        <v>2715</v>
      </c>
      <c r="AN7" s="118">
        <v>2705</v>
      </c>
      <c r="AO7" s="118">
        <v>707</v>
      </c>
      <c r="AP7" s="118">
        <v>722</v>
      </c>
      <c r="AQ7" s="118" t="s">
        <v>50</v>
      </c>
      <c r="AR7" s="118">
        <v>11007</v>
      </c>
      <c r="AS7" s="118" t="s">
        <v>51</v>
      </c>
      <c r="AT7" s="118">
        <v>1516</v>
      </c>
      <c r="AU7" s="118" t="s">
        <v>52</v>
      </c>
      <c r="AV7" s="118" t="s">
        <v>53</v>
      </c>
      <c r="AW7" s="118" t="s">
        <v>54</v>
      </c>
      <c r="AX7" s="118">
        <v>1327</v>
      </c>
      <c r="AY7" s="118" t="s">
        <v>55</v>
      </c>
      <c r="AZ7" s="118">
        <v>6230</v>
      </c>
      <c r="BA7" s="118">
        <v>9243</v>
      </c>
      <c r="BB7" s="118">
        <v>527</v>
      </c>
      <c r="BC7" s="118">
        <v>8000</v>
      </c>
      <c r="BD7" s="118">
        <v>8004</v>
      </c>
      <c r="BE7" s="118" t="s">
        <v>56</v>
      </c>
      <c r="BF7" s="118" t="s">
        <v>57</v>
      </c>
      <c r="BG7" s="118" t="s">
        <v>58</v>
      </c>
      <c r="BH7" s="118" t="s">
        <v>59</v>
      </c>
      <c r="BI7" s="118" t="s">
        <v>60</v>
      </c>
      <c r="BJ7" s="120">
        <v>1018</v>
      </c>
      <c r="BK7" s="120">
        <v>2005</v>
      </c>
      <c r="BL7" s="120">
        <v>108</v>
      </c>
      <c r="BM7" s="120" t="s">
        <v>38</v>
      </c>
      <c r="BN7" s="120">
        <v>724</v>
      </c>
      <c r="BO7" s="120" t="s">
        <v>39</v>
      </c>
      <c r="BP7" s="121" t="s">
        <v>40</v>
      </c>
      <c r="BQ7" s="120">
        <v>2420</v>
      </c>
      <c r="BR7" s="120">
        <v>1012</v>
      </c>
      <c r="BS7" s="120" t="s">
        <v>41</v>
      </c>
      <c r="BT7" s="120" t="s">
        <v>42</v>
      </c>
      <c r="BU7" s="120">
        <v>7047</v>
      </c>
      <c r="BV7" s="120">
        <v>7080</v>
      </c>
      <c r="BW7" s="120" t="s">
        <v>43</v>
      </c>
      <c r="BX7" s="120" t="s">
        <v>44</v>
      </c>
      <c r="BY7" s="120">
        <v>1881</v>
      </c>
      <c r="BZ7" s="120">
        <v>1826</v>
      </c>
      <c r="CA7" s="120">
        <v>1820</v>
      </c>
      <c r="CB7" s="120">
        <v>6888</v>
      </c>
      <c r="CC7" s="120">
        <v>6236</v>
      </c>
      <c r="CD7" s="120">
        <v>1828</v>
      </c>
      <c r="CE7" s="120" t="s">
        <v>45</v>
      </c>
      <c r="CF7" s="120" t="s">
        <v>46</v>
      </c>
      <c r="CG7" s="120" t="s">
        <v>68</v>
      </c>
      <c r="CH7" s="120" t="s">
        <v>69</v>
      </c>
      <c r="CI7" s="120">
        <v>4660</v>
      </c>
      <c r="CJ7" s="120" t="s">
        <v>47</v>
      </c>
      <c r="CK7" s="120" t="s">
        <v>48</v>
      </c>
      <c r="CL7" s="120">
        <v>7087</v>
      </c>
      <c r="CM7" s="120" t="s">
        <v>49</v>
      </c>
      <c r="CN7" s="120">
        <v>2715</v>
      </c>
      <c r="CO7" s="120">
        <v>2705</v>
      </c>
      <c r="CP7" s="120">
        <v>707</v>
      </c>
      <c r="CQ7" s="120">
        <v>722</v>
      </c>
      <c r="CR7" s="120" t="s">
        <v>50</v>
      </c>
      <c r="CS7" s="120">
        <v>11007</v>
      </c>
      <c r="CT7" s="120" t="s">
        <v>51</v>
      </c>
      <c r="CU7" s="120">
        <v>1516</v>
      </c>
      <c r="CV7" s="120" t="s">
        <v>52</v>
      </c>
      <c r="CW7" s="120" t="s">
        <v>53</v>
      </c>
      <c r="CX7" s="120" t="s">
        <v>54</v>
      </c>
      <c r="CY7" s="120">
        <v>1327</v>
      </c>
      <c r="CZ7" s="120" t="s">
        <v>55</v>
      </c>
      <c r="DA7" s="120">
        <v>6230</v>
      </c>
      <c r="DB7" s="120">
        <v>9243</v>
      </c>
      <c r="DC7" s="120">
        <v>527</v>
      </c>
      <c r="DD7" s="120">
        <v>8000</v>
      </c>
      <c r="DE7" s="120">
        <v>8004</v>
      </c>
      <c r="DF7" s="120" t="s">
        <v>56</v>
      </c>
      <c r="DG7" s="120" t="s">
        <v>57</v>
      </c>
      <c r="DH7" s="120" t="s">
        <v>58</v>
      </c>
      <c r="DI7" s="120" t="s">
        <v>59</v>
      </c>
      <c r="DJ7" s="120" t="s">
        <v>60</v>
      </c>
      <c r="DK7" s="122">
        <v>1018</v>
      </c>
      <c r="DL7" s="122">
        <v>2005</v>
      </c>
      <c r="DM7" s="122">
        <v>108</v>
      </c>
      <c r="DN7" s="122" t="s">
        <v>38</v>
      </c>
      <c r="DO7" s="122">
        <v>724</v>
      </c>
      <c r="DP7" s="122" t="s">
        <v>39</v>
      </c>
      <c r="DQ7" s="123" t="s">
        <v>40</v>
      </c>
      <c r="DR7" s="122">
        <v>2420</v>
      </c>
      <c r="DS7" s="122">
        <v>1012</v>
      </c>
      <c r="DT7" s="122" t="s">
        <v>41</v>
      </c>
      <c r="DU7" s="122" t="s">
        <v>42</v>
      </c>
      <c r="DV7" s="122">
        <v>7047</v>
      </c>
      <c r="DW7" s="122">
        <v>7080</v>
      </c>
      <c r="DX7" s="122" t="s">
        <v>43</v>
      </c>
      <c r="DY7" s="122" t="s">
        <v>44</v>
      </c>
      <c r="DZ7" s="122">
        <v>1881</v>
      </c>
      <c r="EA7" s="122">
        <v>1826</v>
      </c>
      <c r="EB7" s="122">
        <v>1820</v>
      </c>
      <c r="EC7" s="122">
        <v>6888</v>
      </c>
      <c r="ED7" s="122">
        <v>6236</v>
      </c>
      <c r="EE7" s="122">
        <v>1828</v>
      </c>
      <c r="EF7" s="122" t="s">
        <v>45</v>
      </c>
      <c r="EG7" s="122" t="s">
        <v>46</v>
      </c>
      <c r="EH7" s="122" t="s">
        <v>68</v>
      </c>
      <c r="EI7" s="122" t="s">
        <v>69</v>
      </c>
      <c r="EJ7" s="122">
        <v>4660</v>
      </c>
      <c r="EK7" s="122" t="s">
        <v>47</v>
      </c>
      <c r="EL7" s="122" t="s">
        <v>48</v>
      </c>
      <c r="EM7" s="122">
        <v>7087</v>
      </c>
      <c r="EN7" s="122" t="s">
        <v>49</v>
      </c>
      <c r="EO7" s="122">
        <v>2715</v>
      </c>
      <c r="EP7" s="122">
        <v>2705</v>
      </c>
      <c r="EQ7" s="122">
        <v>707</v>
      </c>
      <c r="ER7" s="122">
        <v>722</v>
      </c>
      <c r="ES7" s="122" t="s">
        <v>50</v>
      </c>
      <c r="ET7" s="122">
        <v>11007</v>
      </c>
      <c r="EU7" s="122" t="s">
        <v>51</v>
      </c>
      <c r="EV7" s="122">
        <v>1516</v>
      </c>
      <c r="EW7" s="122" t="s">
        <v>52</v>
      </c>
      <c r="EX7" s="122" t="s">
        <v>53</v>
      </c>
      <c r="EY7" s="122" t="s">
        <v>54</v>
      </c>
      <c r="EZ7" s="122">
        <v>1327</v>
      </c>
      <c r="FA7" s="122" t="s">
        <v>55</v>
      </c>
      <c r="FB7" s="122">
        <v>6230</v>
      </c>
      <c r="FC7" s="122">
        <v>9243</v>
      </c>
      <c r="FD7" s="122">
        <v>527</v>
      </c>
      <c r="FE7" s="122">
        <v>8000</v>
      </c>
      <c r="FF7" s="122">
        <v>8004</v>
      </c>
      <c r="FG7" s="122" t="s">
        <v>56</v>
      </c>
      <c r="FH7" s="122" t="s">
        <v>57</v>
      </c>
      <c r="FI7" s="122" t="s">
        <v>58</v>
      </c>
      <c r="FJ7" s="122" t="s">
        <v>59</v>
      </c>
      <c r="FK7" s="124" t="s">
        <v>60</v>
      </c>
      <c r="FL7" s="125"/>
      <c r="FM7" s="126">
        <v>1018</v>
      </c>
      <c r="FN7" s="127">
        <v>2005</v>
      </c>
      <c r="FO7" s="127">
        <v>108</v>
      </c>
      <c r="FP7" s="128" t="s">
        <v>38</v>
      </c>
      <c r="FQ7" s="128">
        <v>724</v>
      </c>
      <c r="FR7" s="128" t="s">
        <v>39</v>
      </c>
      <c r="FS7" s="129" t="s">
        <v>40</v>
      </c>
      <c r="FT7" s="128">
        <v>2420</v>
      </c>
      <c r="FU7" s="128">
        <v>1012</v>
      </c>
      <c r="FV7" s="128" t="s">
        <v>41</v>
      </c>
      <c r="FW7" s="128" t="s">
        <v>42</v>
      </c>
      <c r="FX7" s="128">
        <v>7047</v>
      </c>
      <c r="FY7" s="128">
        <v>7080</v>
      </c>
      <c r="FZ7" s="128" t="s">
        <v>43</v>
      </c>
      <c r="GA7" s="128" t="s">
        <v>44</v>
      </c>
      <c r="GB7" s="128">
        <v>1881</v>
      </c>
      <c r="GC7" s="128">
        <v>1826</v>
      </c>
      <c r="GD7" s="128">
        <v>1820</v>
      </c>
      <c r="GE7" s="128">
        <v>6888</v>
      </c>
      <c r="GF7" s="128">
        <v>6236</v>
      </c>
      <c r="GG7" s="128">
        <v>1828</v>
      </c>
      <c r="GH7" s="128" t="s">
        <v>45</v>
      </c>
      <c r="GI7" s="128" t="s">
        <v>46</v>
      </c>
      <c r="GJ7" s="128" t="s">
        <v>68</v>
      </c>
      <c r="GK7" s="128" t="s">
        <v>69</v>
      </c>
      <c r="GL7" s="128">
        <v>4660</v>
      </c>
      <c r="GM7" s="128" t="s">
        <v>47</v>
      </c>
      <c r="GN7" s="128" t="s">
        <v>48</v>
      </c>
      <c r="GO7" s="128">
        <v>7087</v>
      </c>
      <c r="GP7" s="128" t="s">
        <v>49</v>
      </c>
      <c r="GQ7" s="128">
        <v>2715</v>
      </c>
      <c r="GR7" s="128">
        <v>2705</v>
      </c>
      <c r="GS7" s="128">
        <v>707</v>
      </c>
      <c r="GT7" s="128">
        <v>722</v>
      </c>
      <c r="GU7" s="128" t="s">
        <v>50</v>
      </c>
      <c r="GV7" s="128">
        <v>11007</v>
      </c>
      <c r="GW7" s="128" t="s">
        <v>51</v>
      </c>
      <c r="GX7" s="128">
        <v>1516</v>
      </c>
      <c r="GY7" s="128" t="s">
        <v>52</v>
      </c>
      <c r="GZ7" s="128" t="s">
        <v>53</v>
      </c>
      <c r="HA7" s="128" t="s">
        <v>54</v>
      </c>
      <c r="HB7" s="128">
        <v>1327</v>
      </c>
      <c r="HC7" s="128" t="s">
        <v>55</v>
      </c>
      <c r="HD7" s="130">
        <v>6230</v>
      </c>
      <c r="HE7" s="130">
        <v>9243</v>
      </c>
      <c r="HF7" s="130">
        <v>527</v>
      </c>
      <c r="HG7" s="130">
        <v>8000</v>
      </c>
      <c r="HH7" s="130">
        <v>8004</v>
      </c>
      <c r="HI7" s="130" t="s">
        <v>56</v>
      </c>
      <c r="HJ7" s="130" t="s">
        <v>57</v>
      </c>
      <c r="HK7" s="130" t="s">
        <v>58</v>
      </c>
      <c r="HL7" s="128" t="s">
        <v>59</v>
      </c>
      <c r="HM7" s="131" t="s">
        <v>60</v>
      </c>
      <c r="HN7" s="86">
        <v>0</v>
      </c>
      <c r="HO7" s="132">
        <v>1018</v>
      </c>
      <c r="HP7" s="133">
        <v>2005</v>
      </c>
      <c r="HQ7" s="133">
        <v>108</v>
      </c>
      <c r="HR7" s="133" t="s">
        <v>38</v>
      </c>
      <c r="HS7" s="133">
        <v>724</v>
      </c>
      <c r="HT7" s="133" t="s">
        <v>39</v>
      </c>
      <c r="HU7" s="133" t="s">
        <v>40</v>
      </c>
      <c r="HV7" s="133">
        <v>2420</v>
      </c>
      <c r="HW7" s="133">
        <v>1012</v>
      </c>
      <c r="HX7" s="133" t="s">
        <v>41</v>
      </c>
      <c r="HY7" s="133" t="s">
        <v>42</v>
      </c>
      <c r="HZ7" s="133">
        <v>7047</v>
      </c>
      <c r="IA7" s="133">
        <v>7080</v>
      </c>
      <c r="IB7" s="133" t="s">
        <v>43</v>
      </c>
      <c r="IC7" s="133" t="s">
        <v>44</v>
      </c>
      <c r="ID7" s="133">
        <v>1881</v>
      </c>
      <c r="IE7" s="133">
        <v>1826</v>
      </c>
      <c r="IF7" s="133">
        <v>1820</v>
      </c>
      <c r="IG7" s="133">
        <v>6888</v>
      </c>
      <c r="IH7" s="133">
        <v>6236</v>
      </c>
      <c r="II7" s="133">
        <v>1828</v>
      </c>
      <c r="IJ7" s="132" t="s">
        <v>45</v>
      </c>
      <c r="IK7" s="132" t="s">
        <v>46</v>
      </c>
      <c r="IL7" s="133" t="s">
        <v>68</v>
      </c>
      <c r="IM7" s="133" t="s">
        <v>69</v>
      </c>
      <c r="IN7" s="133">
        <v>4660</v>
      </c>
      <c r="IO7" s="133" t="s">
        <v>47</v>
      </c>
      <c r="IP7" s="133" t="s">
        <v>48</v>
      </c>
      <c r="IQ7" s="133">
        <v>7087</v>
      </c>
      <c r="IR7" s="133" t="s">
        <v>49</v>
      </c>
      <c r="IS7" s="133">
        <v>2715</v>
      </c>
      <c r="IT7" s="133">
        <v>2705</v>
      </c>
      <c r="IU7" s="133">
        <v>707</v>
      </c>
      <c r="IV7" s="133">
        <v>722</v>
      </c>
      <c r="IW7" s="133" t="s">
        <v>50</v>
      </c>
      <c r="IX7" s="133">
        <v>11007</v>
      </c>
      <c r="IY7" s="133" t="s">
        <v>51</v>
      </c>
      <c r="IZ7" s="133" t="s">
        <v>51</v>
      </c>
      <c r="JA7" s="133" t="s">
        <v>52</v>
      </c>
      <c r="JB7" s="133" t="s">
        <v>53</v>
      </c>
      <c r="JC7" s="133" t="s">
        <v>54</v>
      </c>
      <c r="JD7" s="133">
        <v>1327</v>
      </c>
      <c r="JE7" s="133" t="s">
        <v>55</v>
      </c>
      <c r="JF7" s="133">
        <v>6230</v>
      </c>
      <c r="JG7" s="133">
        <v>9243</v>
      </c>
      <c r="JH7" s="133">
        <v>527</v>
      </c>
      <c r="JI7" s="133">
        <v>8000</v>
      </c>
      <c r="JJ7" s="133">
        <v>8004</v>
      </c>
      <c r="JK7" s="134" t="s">
        <v>56</v>
      </c>
      <c r="JL7" s="135" t="s">
        <v>57</v>
      </c>
      <c r="JM7" s="136" t="s">
        <v>58</v>
      </c>
      <c r="JN7" s="133" t="s">
        <v>59</v>
      </c>
      <c r="JO7" s="132" t="s">
        <v>60</v>
      </c>
      <c r="JP7" s="137">
        <f>SUM(JP8:JP10)</f>
        <v>0</v>
      </c>
      <c r="JQ7" s="138">
        <v>1018</v>
      </c>
      <c r="JR7" s="139">
        <v>2005</v>
      </c>
      <c r="JS7" s="139">
        <v>108</v>
      </c>
      <c r="JT7" s="139" t="s">
        <v>38</v>
      </c>
      <c r="JU7" s="139">
        <v>724</v>
      </c>
      <c r="JV7" s="139" t="s">
        <v>39</v>
      </c>
      <c r="JW7" s="139" t="s">
        <v>40</v>
      </c>
      <c r="JX7" s="139">
        <v>2420</v>
      </c>
      <c r="JY7" s="139">
        <v>1012</v>
      </c>
      <c r="JZ7" s="139" t="s">
        <v>41</v>
      </c>
      <c r="KA7" s="139" t="s">
        <v>42</v>
      </c>
      <c r="KB7" s="139">
        <v>7047</v>
      </c>
      <c r="KC7" s="139">
        <v>7080</v>
      </c>
      <c r="KD7" s="139" t="s">
        <v>43</v>
      </c>
      <c r="KE7" s="139" t="s">
        <v>44</v>
      </c>
      <c r="KF7" s="139">
        <v>1881</v>
      </c>
      <c r="KG7" s="139">
        <v>1826</v>
      </c>
      <c r="KH7" s="139">
        <v>1820</v>
      </c>
      <c r="KI7" s="139">
        <v>6888</v>
      </c>
      <c r="KJ7" s="139">
        <v>6236</v>
      </c>
      <c r="KK7" s="139">
        <v>1828</v>
      </c>
      <c r="KL7" s="140" t="s">
        <v>45</v>
      </c>
      <c r="KM7" s="140" t="s">
        <v>46</v>
      </c>
      <c r="KN7" s="139" t="s">
        <v>68</v>
      </c>
      <c r="KO7" s="139" t="s">
        <v>69</v>
      </c>
      <c r="KP7" s="139">
        <v>4660</v>
      </c>
      <c r="KQ7" s="139" t="s">
        <v>47</v>
      </c>
      <c r="KR7" s="139" t="s">
        <v>48</v>
      </c>
      <c r="KS7" s="139">
        <v>7087</v>
      </c>
      <c r="KT7" s="139" t="s">
        <v>49</v>
      </c>
      <c r="KU7" s="139">
        <v>2715</v>
      </c>
      <c r="KV7" s="139">
        <v>2705</v>
      </c>
      <c r="KW7" s="139">
        <v>707</v>
      </c>
      <c r="KX7" s="139">
        <v>722</v>
      </c>
      <c r="KY7" s="139" t="s">
        <v>50</v>
      </c>
      <c r="KZ7" s="139">
        <v>11007</v>
      </c>
      <c r="LA7" s="139" t="s">
        <v>51</v>
      </c>
      <c r="LB7" s="139">
        <v>1516</v>
      </c>
      <c r="LC7" s="139" t="s">
        <v>52</v>
      </c>
      <c r="LD7" s="139" t="s">
        <v>53</v>
      </c>
      <c r="LE7" s="139" t="s">
        <v>54</v>
      </c>
      <c r="LF7" s="141">
        <v>1327</v>
      </c>
      <c r="LG7" s="141" t="s">
        <v>55</v>
      </c>
      <c r="LH7" s="142">
        <v>6230</v>
      </c>
      <c r="LI7" s="142">
        <v>9243</v>
      </c>
      <c r="LJ7" s="142">
        <v>527</v>
      </c>
      <c r="LK7" s="143">
        <v>8000</v>
      </c>
      <c r="LL7" s="143">
        <v>8004</v>
      </c>
      <c r="LM7" s="143" t="s">
        <v>56</v>
      </c>
      <c r="LN7" s="142" t="s">
        <v>61</v>
      </c>
      <c r="LO7" s="142" t="s">
        <v>58</v>
      </c>
      <c r="LP7" s="139" t="s">
        <v>59</v>
      </c>
      <c r="LQ7" s="144" t="s">
        <v>60</v>
      </c>
      <c r="LR7" s="145">
        <v>1</v>
      </c>
      <c r="LS7" s="146">
        <v>2</v>
      </c>
      <c r="LT7" s="146">
        <v>3</v>
      </c>
      <c r="LU7" s="147" t="s">
        <v>62</v>
      </c>
      <c r="LV7" s="148"/>
      <c r="LW7" s="148"/>
      <c r="LX7" s="149"/>
      <c r="LY7" s="150"/>
      <c r="LZ7" s="151"/>
      <c r="MA7" s="146">
        <v>4</v>
      </c>
      <c r="MB7" s="146">
        <v>5</v>
      </c>
    </row>
    <row r="8" spans="1:340" ht="15.75" thickBot="1" x14ac:dyDescent="0.3">
      <c r="A8" t="b">
        <f>IF(G8="","",IF(G8="EC1",HM8=500%,HM8=150%))</f>
        <v>1</v>
      </c>
      <c r="B8" s="87" t="s">
        <v>71</v>
      </c>
      <c r="C8" s="88" t="s">
        <v>70</v>
      </c>
      <c r="D8"/>
      <c r="E8" s="89">
        <v>45962</v>
      </c>
      <c r="F8" t="s">
        <v>64</v>
      </c>
      <c r="G8" t="s">
        <v>65</v>
      </c>
      <c r="H8" t="s">
        <v>63</v>
      </c>
      <c r="I8" s="90"/>
      <c r="J8" s="90"/>
      <c r="K8" s="90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>
        <v>0.3</v>
      </c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>
        <v>0.7</v>
      </c>
      <c r="BD8" s="91"/>
      <c r="BE8" s="91"/>
      <c r="BF8" s="91"/>
      <c r="BG8" s="91"/>
      <c r="BH8" s="91"/>
      <c r="BI8" s="92">
        <f t="shared" ref="BI8:BI9" si="0">SUM(I8:BH8)</f>
        <v>1</v>
      </c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>
        <v>0.2</v>
      </c>
      <c r="BY8" s="93"/>
      <c r="BZ8" s="93"/>
      <c r="CA8" s="93"/>
      <c r="CB8" s="93"/>
      <c r="CC8" s="93"/>
      <c r="CD8" s="93"/>
      <c r="CE8" s="93"/>
      <c r="CF8" s="94"/>
      <c r="CG8" s="94"/>
      <c r="CH8" s="94"/>
      <c r="CI8" s="93"/>
      <c r="CJ8" s="93"/>
      <c r="CK8" s="93">
        <v>0.3</v>
      </c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>
        <v>0.5</v>
      </c>
      <c r="DE8" s="93"/>
      <c r="DF8" s="93"/>
      <c r="DG8" s="93"/>
      <c r="DH8" s="93"/>
      <c r="DI8" s="93"/>
      <c r="DJ8" s="95">
        <f t="shared" ref="DJ8:DJ9" si="1">SUM(BJ8:DI8)</f>
        <v>1</v>
      </c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>
        <v>0.85</v>
      </c>
      <c r="DY8" s="96"/>
      <c r="DZ8" s="96"/>
      <c r="EA8" s="96"/>
      <c r="EB8" s="96"/>
      <c r="EC8" s="96"/>
      <c r="ED8" s="96"/>
      <c r="EE8" s="96"/>
      <c r="EF8" s="96"/>
      <c r="EG8" s="96"/>
      <c r="EH8" s="96"/>
      <c r="EI8" s="96"/>
      <c r="EJ8" s="96"/>
      <c r="EK8" s="96"/>
      <c r="EL8" s="96"/>
      <c r="EM8" s="96"/>
      <c r="EN8" s="96"/>
      <c r="EO8" s="96"/>
      <c r="EP8" s="96"/>
      <c r="EQ8" s="96"/>
      <c r="ER8" s="96"/>
      <c r="ES8" s="97"/>
      <c r="ET8" s="97"/>
      <c r="EU8" s="97">
        <v>0.12</v>
      </c>
      <c r="EV8" s="97"/>
      <c r="EW8" s="97"/>
      <c r="EX8" s="97"/>
      <c r="EY8" s="97"/>
      <c r="EZ8" s="97"/>
      <c r="FA8" s="97">
        <v>0.01</v>
      </c>
      <c r="FB8" s="97"/>
      <c r="FC8" s="97"/>
      <c r="FD8" s="97"/>
      <c r="FE8" s="97"/>
      <c r="FF8" s="97"/>
      <c r="FG8" s="97"/>
      <c r="FH8" s="97"/>
      <c r="FI8" s="97"/>
      <c r="FJ8" s="97">
        <v>0.02</v>
      </c>
      <c r="FK8" s="98">
        <f t="shared" ref="FK8:FK9" si="2">SUM(DK8:FJ8)</f>
        <v>1</v>
      </c>
      <c r="FL8" s="99"/>
      <c r="FM8" s="100">
        <f t="shared" ref="FM8:GB8" si="3">I8*1.5+BJ8*2+DK8*1.5</f>
        <v>0</v>
      </c>
      <c r="FN8" s="100">
        <f t="shared" si="3"/>
        <v>0</v>
      </c>
      <c r="FO8" s="100">
        <f t="shared" si="3"/>
        <v>0</v>
      </c>
      <c r="FP8" s="100">
        <f t="shared" si="3"/>
        <v>0</v>
      </c>
      <c r="FQ8" s="100">
        <f t="shared" si="3"/>
        <v>0</v>
      </c>
      <c r="FR8" s="100">
        <f t="shared" si="3"/>
        <v>0</v>
      </c>
      <c r="FS8" s="100">
        <f t="shared" si="3"/>
        <v>0</v>
      </c>
      <c r="FT8" s="100">
        <f t="shared" si="3"/>
        <v>0</v>
      </c>
      <c r="FU8" s="100">
        <f t="shared" si="3"/>
        <v>0</v>
      </c>
      <c r="FV8" s="100">
        <f t="shared" si="3"/>
        <v>0</v>
      </c>
      <c r="FW8" s="100">
        <f t="shared" si="3"/>
        <v>0</v>
      </c>
      <c r="FX8" s="100">
        <f t="shared" si="3"/>
        <v>0</v>
      </c>
      <c r="FY8" s="100">
        <f t="shared" si="3"/>
        <v>0</v>
      </c>
      <c r="FZ8" s="100">
        <f t="shared" si="3"/>
        <v>1.2749999999999999</v>
      </c>
      <c r="GA8" s="100">
        <f t="shared" si="3"/>
        <v>0.4</v>
      </c>
      <c r="GB8" s="100">
        <f t="shared" si="3"/>
        <v>0</v>
      </c>
      <c r="GC8" s="100">
        <f t="shared" ref="GC8:GR8" si="4">Y8*1.5+BZ8*2+EA8*1.5</f>
        <v>0</v>
      </c>
      <c r="GD8" s="100">
        <f t="shared" si="4"/>
        <v>0</v>
      </c>
      <c r="GE8" s="100">
        <f t="shared" si="4"/>
        <v>0</v>
      </c>
      <c r="GF8" s="100">
        <f t="shared" si="4"/>
        <v>0</v>
      </c>
      <c r="GG8" s="100">
        <f t="shared" si="4"/>
        <v>0</v>
      </c>
      <c r="GH8" s="100">
        <f t="shared" si="4"/>
        <v>0</v>
      </c>
      <c r="GI8" s="100">
        <f t="shared" si="4"/>
        <v>0</v>
      </c>
      <c r="GJ8" s="100">
        <f t="shared" si="4"/>
        <v>0</v>
      </c>
      <c r="GK8" s="100">
        <f t="shared" si="4"/>
        <v>0</v>
      </c>
      <c r="GL8" s="100">
        <f t="shared" si="4"/>
        <v>0</v>
      </c>
      <c r="GM8" s="100">
        <f t="shared" si="4"/>
        <v>0</v>
      </c>
      <c r="GN8" s="100">
        <f t="shared" si="4"/>
        <v>1.0499999999999998</v>
      </c>
      <c r="GO8" s="100">
        <f t="shared" si="4"/>
        <v>0</v>
      </c>
      <c r="GP8" s="100">
        <f t="shared" si="4"/>
        <v>0</v>
      </c>
      <c r="GQ8" s="100">
        <f t="shared" si="4"/>
        <v>0</v>
      </c>
      <c r="GR8" s="100">
        <f t="shared" si="4"/>
        <v>0</v>
      </c>
      <c r="GS8" s="100">
        <f t="shared" ref="GS8:HH8" si="5">AO8*1.5+CP8*2+EQ8*1.5</f>
        <v>0</v>
      </c>
      <c r="GT8" s="100">
        <f t="shared" si="5"/>
        <v>0</v>
      </c>
      <c r="GU8" s="100">
        <f t="shared" si="5"/>
        <v>0</v>
      </c>
      <c r="GV8" s="100">
        <f t="shared" si="5"/>
        <v>0</v>
      </c>
      <c r="GW8" s="100">
        <f t="shared" si="5"/>
        <v>0.18</v>
      </c>
      <c r="GX8" s="100">
        <f t="shared" si="5"/>
        <v>0</v>
      </c>
      <c r="GY8" s="100">
        <f t="shared" si="5"/>
        <v>0</v>
      </c>
      <c r="GZ8" s="100">
        <f t="shared" si="5"/>
        <v>0</v>
      </c>
      <c r="HA8" s="100">
        <f t="shared" si="5"/>
        <v>0</v>
      </c>
      <c r="HB8" s="100">
        <f t="shared" si="5"/>
        <v>0</v>
      </c>
      <c r="HC8" s="100">
        <f t="shared" si="5"/>
        <v>1.4999999999999999E-2</v>
      </c>
      <c r="HD8" s="100">
        <f t="shared" si="5"/>
        <v>0</v>
      </c>
      <c r="HE8" s="100">
        <f t="shared" si="5"/>
        <v>0</v>
      </c>
      <c r="HF8" s="100">
        <f t="shared" si="5"/>
        <v>0</v>
      </c>
      <c r="HG8" s="100">
        <f t="shared" si="5"/>
        <v>2.0499999999999998</v>
      </c>
      <c r="HH8" s="100">
        <f t="shared" si="5"/>
        <v>0</v>
      </c>
      <c r="HI8" s="100">
        <f t="shared" ref="HI8:HL9" si="6">BE8*1.5+DF8*2+FG8*1.5</f>
        <v>0</v>
      </c>
      <c r="HJ8" s="100">
        <f t="shared" si="6"/>
        <v>0</v>
      </c>
      <c r="HK8" s="100">
        <f t="shared" si="6"/>
        <v>0</v>
      </c>
      <c r="HL8" s="100">
        <f t="shared" si="6"/>
        <v>0.03</v>
      </c>
      <c r="HM8" s="101">
        <f t="shared" ref="HM8:HM9" si="7">SUM(FM8:HL8)</f>
        <v>5</v>
      </c>
      <c r="HN8" s="102">
        <v>1136</v>
      </c>
      <c r="HO8" s="103">
        <f>$HN8*FM8/$HM8</f>
        <v>0</v>
      </c>
      <c r="HP8" s="103">
        <f>$HN8*FN8/$HM8</f>
        <v>0</v>
      </c>
      <c r="HQ8" s="103">
        <f>$HN8*FO8/$HM8</f>
        <v>0</v>
      </c>
      <c r="HR8" s="103">
        <f>$HN8*FP8/$HM8</f>
        <v>0</v>
      </c>
      <c r="HS8" s="103">
        <f>$HN8*FQ8/$HM8</f>
        <v>0</v>
      </c>
      <c r="HT8" s="104">
        <f>$HN8*FR8/$HM8</f>
        <v>0</v>
      </c>
      <c r="HU8" s="103">
        <f>$HN8*FS8/$HM8</f>
        <v>0</v>
      </c>
      <c r="HV8" s="103">
        <f>$HN8*FT8/$HM8</f>
        <v>0</v>
      </c>
      <c r="HW8" s="103">
        <f>$HN8*FU8/$HM8</f>
        <v>0</v>
      </c>
      <c r="HX8" s="103">
        <f>$HN8*FV8/$HM8</f>
        <v>0</v>
      </c>
      <c r="HY8" s="103">
        <f>$HN8*FW8/$HM8</f>
        <v>0</v>
      </c>
      <c r="HZ8" s="103">
        <f>$HN8*FX8/$HM8</f>
        <v>0</v>
      </c>
      <c r="IA8" s="103">
        <f>$HN8*FY8/$HM8</f>
        <v>0</v>
      </c>
      <c r="IB8" s="103">
        <f>$HN8*FZ8/$HM8</f>
        <v>289.67999999999995</v>
      </c>
      <c r="IC8" s="103">
        <f>$HN8*GA8/$HM8</f>
        <v>90.88000000000001</v>
      </c>
      <c r="ID8" s="103">
        <f>$HN8*GB8/$HM8</f>
        <v>0</v>
      </c>
      <c r="IE8" s="103">
        <f>$HN8*GC8/$HM8</f>
        <v>0</v>
      </c>
      <c r="IF8" s="104">
        <f>$HN8*GD8/$HM8</f>
        <v>0</v>
      </c>
      <c r="IG8" s="104">
        <f>$HN8*GE8/$HM8</f>
        <v>0</v>
      </c>
      <c r="IH8" s="104">
        <f>$HN8*GF8/$HM8</f>
        <v>0</v>
      </c>
      <c r="II8" s="103">
        <f>$HN8*GG8/$HM8</f>
        <v>0</v>
      </c>
      <c r="IJ8" s="103">
        <f>$HN8*GH8/$HM8</f>
        <v>0</v>
      </c>
      <c r="IK8" s="103">
        <f>$HN8*GI8/$HM8</f>
        <v>0</v>
      </c>
      <c r="IL8" s="103">
        <f>$HN8*GJ8/$HM8</f>
        <v>0</v>
      </c>
      <c r="IM8" s="103">
        <f>$HN8*GK8/$HM8</f>
        <v>0</v>
      </c>
      <c r="IN8" s="103">
        <f>$HN8*GL8/$HM8</f>
        <v>0</v>
      </c>
      <c r="IO8" s="103">
        <f>$HN8*GM8/$HM8</f>
        <v>0</v>
      </c>
      <c r="IP8" s="103">
        <f>$HN8*GN8/$HM8</f>
        <v>238.55999999999995</v>
      </c>
      <c r="IQ8" s="103">
        <f>$HN8*GO8/$HM8</f>
        <v>0</v>
      </c>
      <c r="IR8" s="103">
        <f>$HN8*GP8/$HM8</f>
        <v>0</v>
      </c>
      <c r="IS8" s="103">
        <f>$HN8*GQ8/$HM8</f>
        <v>0</v>
      </c>
      <c r="IT8" s="103">
        <f>$HN8*GR8/$HM8</f>
        <v>0</v>
      </c>
      <c r="IU8" s="103">
        <f>$HN8*GS8/$HM8</f>
        <v>0</v>
      </c>
      <c r="IV8" s="103">
        <f>$HN8*GT8/$HM8</f>
        <v>0</v>
      </c>
      <c r="IW8" s="103">
        <f>$HN8*GU8/$HM8</f>
        <v>0</v>
      </c>
      <c r="IX8" s="103">
        <f>$HN8*GV8/$HM8</f>
        <v>0</v>
      </c>
      <c r="IY8" s="103">
        <f>$HN8*GW8/$HM8</f>
        <v>40.896000000000001</v>
      </c>
      <c r="IZ8" s="103">
        <f>$HN8*GX8/$HM8</f>
        <v>0</v>
      </c>
      <c r="JA8" s="103">
        <f>$HN8*GY8/$HM8</f>
        <v>0</v>
      </c>
      <c r="JB8" s="103">
        <f>$HN8*GZ8/$HM8</f>
        <v>0</v>
      </c>
      <c r="JC8" s="103">
        <f>$HN8*HA8/$HM8</f>
        <v>0</v>
      </c>
      <c r="JD8" s="103">
        <f>$HN8*HB8/$HM8</f>
        <v>0</v>
      </c>
      <c r="JE8" s="103">
        <f>$HN8*HC8/$HM8</f>
        <v>3.4079999999999999</v>
      </c>
      <c r="JF8" s="103">
        <f>$HN8*HD8/$HM8</f>
        <v>0</v>
      </c>
      <c r="JG8" s="103">
        <f>$HN8*HE8/$HM8</f>
        <v>0</v>
      </c>
      <c r="JH8" s="103">
        <f>$HN8*HF8/$HM8</f>
        <v>0</v>
      </c>
      <c r="JI8" s="103">
        <f>$HN8*HG8/$HM8</f>
        <v>465.75999999999993</v>
      </c>
      <c r="JJ8" s="103">
        <f>$HN8*HH8/$HM8</f>
        <v>0</v>
      </c>
      <c r="JK8" s="103">
        <f>$HN8*HI8/$HM8</f>
        <v>0</v>
      </c>
      <c r="JL8" s="103">
        <f>$HN8*HJ8/$HM8</f>
        <v>0</v>
      </c>
      <c r="JM8" s="103">
        <f>$HN8*HK8/$HM8</f>
        <v>0</v>
      </c>
      <c r="JN8" s="103">
        <f>$HN8*HL8/$HM8</f>
        <v>6.8159999999999998</v>
      </c>
      <c r="JO8" s="105">
        <f t="shared" ref="JO8:JO9" si="8">SUM(HO8:JN8)</f>
        <v>1135.9999999999998</v>
      </c>
      <c r="JP8" s="106">
        <f t="shared" ref="JP8:JP9" si="9">JO8-HN8</f>
        <v>0</v>
      </c>
      <c r="JQ8" s="107">
        <f>HO8*$FM$4</f>
        <v>0</v>
      </c>
      <c r="JR8" s="107">
        <f>HP8*$FO$4</f>
        <v>0</v>
      </c>
      <c r="JS8" s="107">
        <f>HQ8*$FO$4</f>
        <v>0</v>
      </c>
      <c r="JT8" s="103">
        <f>HR8*$FP$4</f>
        <v>0</v>
      </c>
      <c r="JU8" s="103">
        <f>HS8*$FQ$4</f>
        <v>0</v>
      </c>
      <c r="JV8" s="103">
        <f>HT8*$FR$4</f>
        <v>0</v>
      </c>
      <c r="JW8" s="103">
        <f>HU8*$FS$4</f>
        <v>0</v>
      </c>
      <c r="JX8" s="103">
        <f>HV8*$FT$4</f>
        <v>0</v>
      </c>
      <c r="JY8" s="103">
        <f>HW8*$FU$4</f>
        <v>0</v>
      </c>
      <c r="JZ8" s="103">
        <f>HX8*$FV$4</f>
        <v>0</v>
      </c>
      <c r="KA8" s="103">
        <f>HY8*$FW$4</f>
        <v>0</v>
      </c>
      <c r="KB8" s="103">
        <f>HZ8*$FX$4</f>
        <v>0</v>
      </c>
      <c r="KC8" s="103">
        <f>+$FY$4*IA8</f>
        <v>0</v>
      </c>
      <c r="KD8" s="103">
        <f>+$FY$4*IB8</f>
        <v>1107.4582271999998</v>
      </c>
      <c r="KE8" s="103">
        <f>IC8*$GA$4</f>
        <v>330.73413120000004</v>
      </c>
      <c r="KF8" s="103">
        <f>+$GB$4*ID8</f>
        <v>0</v>
      </c>
      <c r="KG8" s="103">
        <f>IE8*$GC$4</f>
        <v>0</v>
      </c>
      <c r="KH8" s="103">
        <f t="shared" ref="KH8:KJ9" si="10">IF8*GD$4</f>
        <v>0</v>
      </c>
      <c r="KI8" s="103">
        <f t="shared" si="10"/>
        <v>0</v>
      </c>
      <c r="KJ8" s="103">
        <f t="shared" si="10"/>
        <v>0</v>
      </c>
      <c r="KK8" s="103">
        <f>II8*$GG$4</f>
        <v>0</v>
      </c>
      <c r="KL8" s="103">
        <f>IJ8*$GH$4</f>
        <v>0</v>
      </c>
      <c r="KM8" s="103">
        <f>IK8*$GI$4</f>
        <v>0</v>
      </c>
      <c r="KN8" s="103">
        <f>IL8*$GL$4</f>
        <v>0</v>
      </c>
      <c r="KO8" s="103">
        <f>IM8*$GL$4</f>
        <v>0</v>
      </c>
      <c r="KP8" s="103">
        <f>IN8*$GL$4</f>
        <v>0</v>
      </c>
      <c r="KQ8" s="103">
        <f>IO8*$GM$4</f>
        <v>0</v>
      </c>
      <c r="KR8" s="103">
        <f>IP8*$GN$4</f>
        <v>833.0992319999998</v>
      </c>
      <c r="KS8" s="103">
        <f>IQ8*$GO$4</f>
        <v>0</v>
      </c>
      <c r="KT8" s="103">
        <f>IR8*$GP$4</f>
        <v>0</v>
      </c>
      <c r="KU8" s="103">
        <f>IS8*$GQ$4</f>
        <v>0</v>
      </c>
      <c r="KV8" s="103">
        <f>IT8*$GR$4</f>
        <v>0</v>
      </c>
      <c r="KW8" s="103">
        <f>IU8*$GR$4</f>
        <v>0</v>
      </c>
      <c r="KX8" s="103">
        <f>IV8*$GT$4</f>
        <v>0</v>
      </c>
      <c r="KY8" s="103">
        <f>IW8*$GU$4</f>
        <v>0</v>
      </c>
      <c r="KZ8" s="103">
        <f>IX8*$GV$4</f>
        <v>0</v>
      </c>
      <c r="LA8" s="103">
        <f>IY8*$GX$4</f>
        <v>181.90377216000002</v>
      </c>
      <c r="LB8" s="103">
        <f>IZ8*$GX$4</f>
        <v>0</v>
      </c>
      <c r="LC8" s="103">
        <f>JA8*$GY$4</f>
        <v>0</v>
      </c>
      <c r="LD8" s="103">
        <f>JB8*$GZ$4</f>
        <v>0</v>
      </c>
      <c r="LE8" s="103">
        <f>JC8*$HA$4</f>
        <v>0</v>
      </c>
      <c r="LF8" s="103">
        <f>JD8*$HB$4</f>
        <v>0</v>
      </c>
      <c r="LG8" s="103">
        <f>JE8*$HC$4</f>
        <v>35.170560000000002</v>
      </c>
      <c r="LH8" s="103">
        <f>JF8*$HD$4</f>
        <v>0</v>
      </c>
      <c r="LI8" s="103">
        <f>JG8*$HF$4</f>
        <v>0</v>
      </c>
      <c r="LJ8" s="103">
        <f>JH8*$HF$4</f>
        <v>0</v>
      </c>
      <c r="LK8" s="103">
        <f>JI8*$HF$4</f>
        <v>2242.8952255999998</v>
      </c>
      <c r="LL8" s="103">
        <f>JJ8*$HF$4</f>
        <v>0</v>
      </c>
      <c r="LM8" s="103">
        <f>JK8*$HF$4</f>
        <v>0</v>
      </c>
      <c r="LN8" s="103">
        <f>JL8*$HJ$4</f>
        <v>0</v>
      </c>
      <c r="LO8" s="103">
        <f>JM8*$HK$4</f>
        <v>0</v>
      </c>
      <c r="LP8" s="103">
        <f>JN8*$HL$4</f>
        <v>58.106400000000001</v>
      </c>
      <c r="LQ8" s="108">
        <f t="shared" ref="LQ8:LQ9" si="11">SUM(JQ8:LP8)</f>
        <v>4789.3675481599994</v>
      </c>
      <c r="LR8" s="109">
        <v>1088</v>
      </c>
      <c r="LS8" s="110">
        <f t="shared" ref="LS8:LS9" si="12">LQ8/LR8</f>
        <v>4.4019922317647051</v>
      </c>
      <c r="LT8" s="111">
        <f t="shared" ref="LT8:LT9" si="13">LS8/3.66</f>
        <v>1.2027301179684986</v>
      </c>
      <c r="LU8" s="112">
        <f t="shared" ref="LU8:LU9" si="14">HN8-LR8</f>
        <v>48</v>
      </c>
      <c r="LW8" s="113"/>
      <c r="MA8" s="110">
        <f t="shared" ref="MA8:MA9" si="15">LQ8/JO8</f>
        <v>4.2159925600000001</v>
      </c>
      <c r="MB8" s="111">
        <f t="shared" ref="MB8:MB9" si="16">MA8/3.66</f>
        <v>1.1519105355191257</v>
      </c>
    </row>
    <row r="9" spans="1:340" ht="15.75" thickBot="1" x14ac:dyDescent="0.3">
      <c r="A9" t="b">
        <f>IF(G9="","",IF(G9="EC1",HM9=500%,HM9=150%))</f>
        <v>1</v>
      </c>
      <c r="B9" s="87" t="s">
        <v>72</v>
      </c>
      <c r="C9" s="88" t="s">
        <v>73</v>
      </c>
      <c r="D9"/>
      <c r="E9" s="89">
        <v>45964</v>
      </c>
      <c r="F9" t="s">
        <v>64</v>
      </c>
      <c r="G9" t="s">
        <v>65</v>
      </c>
      <c r="H9" t="s">
        <v>63</v>
      </c>
      <c r="I9" s="90"/>
      <c r="J9" s="90"/>
      <c r="K9" s="90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>
        <v>0.7</v>
      </c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>
        <v>0.3</v>
      </c>
      <c r="BD9" s="91"/>
      <c r="BE9" s="91"/>
      <c r="BF9" s="91"/>
      <c r="BG9" s="91"/>
      <c r="BH9" s="91"/>
      <c r="BI9" s="92">
        <f t="shared" si="0"/>
        <v>1</v>
      </c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>
        <v>0.1</v>
      </c>
      <c r="BY9" s="93"/>
      <c r="BZ9" s="93"/>
      <c r="CA9" s="93"/>
      <c r="CB9" s="93"/>
      <c r="CC9" s="93"/>
      <c r="CD9" s="93"/>
      <c r="CE9" s="93"/>
      <c r="CF9" s="94"/>
      <c r="CG9" s="94"/>
      <c r="CH9" s="94"/>
      <c r="CI9" s="93"/>
      <c r="CJ9" s="93"/>
      <c r="CK9" s="93">
        <v>0.7</v>
      </c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>
        <v>0.2</v>
      </c>
      <c r="DE9" s="93"/>
      <c r="DF9" s="93"/>
      <c r="DG9" s="93"/>
      <c r="DH9" s="93"/>
      <c r="DI9" s="93"/>
      <c r="DJ9" s="95">
        <f t="shared" si="1"/>
        <v>1</v>
      </c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>
        <v>0.71</v>
      </c>
      <c r="EB9" s="96"/>
      <c r="EC9" s="96"/>
      <c r="ED9" s="96"/>
      <c r="EE9" s="96"/>
      <c r="EF9" s="96"/>
      <c r="EG9" s="96"/>
      <c r="EH9" s="96"/>
      <c r="EI9" s="96"/>
      <c r="EJ9" s="96"/>
      <c r="EK9" s="96"/>
      <c r="EL9" s="96"/>
      <c r="EM9" s="96"/>
      <c r="EN9" s="96"/>
      <c r="EO9" s="96"/>
      <c r="EP9" s="96"/>
      <c r="EQ9" s="96"/>
      <c r="ER9" s="96"/>
      <c r="ES9" s="97"/>
      <c r="ET9" s="97"/>
      <c r="EU9" s="97">
        <v>0.26700000000000002</v>
      </c>
      <c r="EV9" s="97"/>
      <c r="EW9" s="97"/>
      <c r="EX9" s="97"/>
      <c r="EY9" s="97"/>
      <c r="EZ9" s="97"/>
      <c r="FA9" s="97">
        <v>3.0000000000000001E-3</v>
      </c>
      <c r="FB9" s="97"/>
      <c r="FC9" s="97"/>
      <c r="FD9" s="97"/>
      <c r="FE9" s="97"/>
      <c r="FF9" s="97"/>
      <c r="FG9" s="97"/>
      <c r="FH9" s="97"/>
      <c r="FI9" s="97"/>
      <c r="FJ9" s="97">
        <v>0.02</v>
      </c>
      <c r="FK9" s="98">
        <f t="shared" si="2"/>
        <v>1</v>
      </c>
      <c r="FL9" s="99"/>
      <c r="FM9" s="100">
        <f t="shared" ref="FM9:GA9" si="17">I9*1.5+BJ9*2+DK9*1.5</f>
        <v>0</v>
      </c>
      <c r="FN9" s="100">
        <f t="shared" si="17"/>
        <v>0</v>
      </c>
      <c r="FO9" s="100">
        <f t="shared" si="17"/>
        <v>0</v>
      </c>
      <c r="FP9" s="100">
        <f t="shared" si="17"/>
        <v>0</v>
      </c>
      <c r="FQ9" s="100">
        <f t="shared" si="17"/>
        <v>0</v>
      </c>
      <c r="FR9" s="100">
        <f t="shared" si="17"/>
        <v>0</v>
      </c>
      <c r="FS9" s="100">
        <f t="shared" si="17"/>
        <v>0</v>
      </c>
      <c r="FT9" s="100">
        <f t="shared" si="17"/>
        <v>0</v>
      </c>
      <c r="FU9" s="100">
        <f t="shared" si="17"/>
        <v>0</v>
      </c>
      <c r="FV9" s="100">
        <f t="shared" si="17"/>
        <v>0</v>
      </c>
      <c r="FW9" s="100">
        <f t="shared" si="17"/>
        <v>0</v>
      </c>
      <c r="FX9" s="100">
        <f t="shared" si="17"/>
        <v>0</v>
      </c>
      <c r="FY9" s="100">
        <f t="shared" si="17"/>
        <v>0</v>
      </c>
      <c r="FZ9" s="100">
        <f t="shared" si="17"/>
        <v>0</v>
      </c>
      <c r="GA9" s="100">
        <f t="shared" si="17"/>
        <v>0.2</v>
      </c>
      <c r="GB9" s="100">
        <f t="shared" ref="GB9:GQ9" si="18">X9*1.5+BY9*2+DZ9*1.5</f>
        <v>0</v>
      </c>
      <c r="GC9" s="100">
        <f t="shared" si="18"/>
        <v>1.0649999999999999</v>
      </c>
      <c r="GD9" s="100">
        <f t="shared" si="18"/>
        <v>0</v>
      </c>
      <c r="GE9" s="100">
        <f t="shared" si="18"/>
        <v>0</v>
      </c>
      <c r="GF9" s="100">
        <f t="shared" si="18"/>
        <v>0</v>
      </c>
      <c r="GG9" s="100">
        <f t="shared" si="18"/>
        <v>0</v>
      </c>
      <c r="GH9" s="100">
        <f t="shared" si="18"/>
        <v>0</v>
      </c>
      <c r="GI9" s="100">
        <f t="shared" si="18"/>
        <v>0</v>
      </c>
      <c r="GJ9" s="100">
        <f t="shared" si="18"/>
        <v>0</v>
      </c>
      <c r="GK9" s="100">
        <f t="shared" si="18"/>
        <v>0</v>
      </c>
      <c r="GL9" s="100">
        <f t="shared" si="18"/>
        <v>0</v>
      </c>
      <c r="GM9" s="100">
        <f t="shared" si="18"/>
        <v>0</v>
      </c>
      <c r="GN9" s="100">
        <f t="shared" si="18"/>
        <v>2.4499999999999997</v>
      </c>
      <c r="GO9" s="100">
        <f t="shared" si="18"/>
        <v>0</v>
      </c>
      <c r="GP9" s="100">
        <f t="shared" si="18"/>
        <v>0</v>
      </c>
      <c r="GQ9" s="100">
        <f t="shared" si="18"/>
        <v>0</v>
      </c>
      <c r="GR9" s="100">
        <f t="shared" ref="GR9:HG9" si="19">AN9*1.5+CO9*2+EP9*1.5</f>
        <v>0</v>
      </c>
      <c r="GS9" s="100">
        <f t="shared" si="19"/>
        <v>0</v>
      </c>
      <c r="GT9" s="100">
        <f t="shared" si="19"/>
        <v>0</v>
      </c>
      <c r="GU9" s="100">
        <f t="shared" si="19"/>
        <v>0</v>
      </c>
      <c r="GV9" s="100">
        <f t="shared" si="19"/>
        <v>0</v>
      </c>
      <c r="GW9" s="100">
        <f t="shared" si="19"/>
        <v>0.40050000000000002</v>
      </c>
      <c r="GX9" s="100">
        <f t="shared" si="19"/>
        <v>0</v>
      </c>
      <c r="GY9" s="100">
        <f t="shared" si="19"/>
        <v>0</v>
      </c>
      <c r="GZ9" s="100">
        <f t="shared" si="19"/>
        <v>0</v>
      </c>
      <c r="HA9" s="100">
        <f t="shared" si="19"/>
        <v>0</v>
      </c>
      <c r="HB9" s="100">
        <f t="shared" si="19"/>
        <v>0</v>
      </c>
      <c r="HC9" s="100">
        <f t="shared" si="19"/>
        <v>4.5000000000000005E-3</v>
      </c>
      <c r="HD9" s="100">
        <f t="shared" si="19"/>
        <v>0</v>
      </c>
      <c r="HE9" s="100">
        <f t="shared" si="19"/>
        <v>0</v>
      </c>
      <c r="HF9" s="100">
        <f t="shared" si="19"/>
        <v>0</v>
      </c>
      <c r="HG9" s="100">
        <f t="shared" si="19"/>
        <v>0.85</v>
      </c>
      <c r="HH9" s="100">
        <f t="shared" ref="HH9" si="20">BD9*1.5+DE9*2+FF9*1.5</f>
        <v>0</v>
      </c>
      <c r="HI9" s="100">
        <f t="shared" si="6"/>
        <v>0</v>
      </c>
      <c r="HJ9" s="100">
        <f t="shared" si="6"/>
        <v>0</v>
      </c>
      <c r="HK9" s="100">
        <f t="shared" si="6"/>
        <v>0</v>
      </c>
      <c r="HL9" s="100">
        <f t="shared" si="6"/>
        <v>0.03</v>
      </c>
      <c r="HM9" s="101">
        <f t="shared" si="7"/>
        <v>5</v>
      </c>
      <c r="HN9" s="102">
        <v>3342</v>
      </c>
      <c r="HO9" s="103">
        <f>$HN9*FM9/$HM9</f>
        <v>0</v>
      </c>
      <c r="HP9" s="103">
        <f>$HN9*FN9/$HM9</f>
        <v>0</v>
      </c>
      <c r="HQ9" s="103">
        <f>$HN9*FO9/$HM9</f>
        <v>0</v>
      </c>
      <c r="HR9" s="103">
        <f>$HN9*FP9/$HM9</f>
        <v>0</v>
      </c>
      <c r="HS9" s="103">
        <f>$HN9*FQ9/$HM9</f>
        <v>0</v>
      </c>
      <c r="HT9" s="104">
        <f>$HN9*FR9/$HM9</f>
        <v>0</v>
      </c>
      <c r="HU9" s="103">
        <f>$HN9*FS9/$HM9</f>
        <v>0</v>
      </c>
      <c r="HV9" s="103">
        <f>$HN9*FT9/$HM9</f>
        <v>0</v>
      </c>
      <c r="HW9" s="103">
        <f>$HN9*FU9/$HM9</f>
        <v>0</v>
      </c>
      <c r="HX9" s="103">
        <f>$HN9*FV9/$HM9</f>
        <v>0</v>
      </c>
      <c r="HY9" s="103">
        <f>$HN9*FW9/$HM9</f>
        <v>0</v>
      </c>
      <c r="HZ9" s="103">
        <f>$HN9*FX9/$HM9</f>
        <v>0</v>
      </c>
      <c r="IA9" s="103">
        <f>$HN9*FY9/$HM9</f>
        <v>0</v>
      </c>
      <c r="IB9" s="103">
        <f>$HN9*FZ9/$HM9</f>
        <v>0</v>
      </c>
      <c r="IC9" s="103">
        <f>$HN9*GA9/$HM9</f>
        <v>133.68</v>
      </c>
      <c r="ID9" s="103">
        <f>$HN9*GB9/$HM9</f>
        <v>0</v>
      </c>
      <c r="IE9" s="103">
        <f>$HN9*GC9/$HM9</f>
        <v>711.846</v>
      </c>
      <c r="IF9" s="104">
        <f>$HN9*GD9/$HM9</f>
        <v>0</v>
      </c>
      <c r="IG9" s="104">
        <f>$HN9*GE9/$HM9</f>
        <v>0</v>
      </c>
      <c r="IH9" s="104">
        <f>$HN9*GF9/$HM9</f>
        <v>0</v>
      </c>
      <c r="II9" s="103">
        <f>$HN9*GG9/$HM9</f>
        <v>0</v>
      </c>
      <c r="IJ9" s="103">
        <f>$HN9*GH9/$HM9</f>
        <v>0</v>
      </c>
      <c r="IK9" s="103">
        <f>$HN9*GI9/$HM9</f>
        <v>0</v>
      </c>
      <c r="IL9" s="103">
        <f>$HN9*GJ9/$HM9</f>
        <v>0</v>
      </c>
      <c r="IM9" s="103">
        <f>$HN9*GK9/$HM9</f>
        <v>0</v>
      </c>
      <c r="IN9" s="103">
        <f>$HN9*GL9/$HM9</f>
        <v>0</v>
      </c>
      <c r="IO9" s="103">
        <f>$HN9*GM9/$HM9</f>
        <v>0</v>
      </c>
      <c r="IP9" s="103">
        <f>$HN9*GN9/$HM9</f>
        <v>1637.5799999999997</v>
      </c>
      <c r="IQ9" s="103">
        <f>$HN9*GO9/$HM9</f>
        <v>0</v>
      </c>
      <c r="IR9" s="103">
        <f>$HN9*GP9/$HM9</f>
        <v>0</v>
      </c>
      <c r="IS9" s="103">
        <f>$HN9*GQ9/$HM9</f>
        <v>0</v>
      </c>
      <c r="IT9" s="103">
        <f>$HN9*GR9/$HM9</f>
        <v>0</v>
      </c>
      <c r="IU9" s="103">
        <f>$HN9*GS9/$HM9</f>
        <v>0</v>
      </c>
      <c r="IV9" s="103">
        <f>$HN9*GT9/$HM9</f>
        <v>0</v>
      </c>
      <c r="IW9" s="103">
        <f>$HN9*GU9/$HM9</f>
        <v>0</v>
      </c>
      <c r="IX9" s="103">
        <f>$HN9*GV9/$HM9</f>
        <v>0</v>
      </c>
      <c r="IY9" s="103">
        <f>$HN9*GW9/$HM9</f>
        <v>267.69420000000002</v>
      </c>
      <c r="IZ9" s="103">
        <f>$HN9*GX9/$HM9</f>
        <v>0</v>
      </c>
      <c r="JA9" s="103">
        <f>$HN9*GY9/$HM9</f>
        <v>0</v>
      </c>
      <c r="JB9" s="103">
        <f>$HN9*GZ9/$HM9</f>
        <v>0</v>
      </c>
      <c r="JC9" s="103">
        <f>$HN9*HA9/$HM9</f>
        <v>0</v>
      </c>
      <c r="JD9" s="103">
        <f>$HN9*HB9/$HM9</f>
        <v>0</v>
      </c>
      <c r="JE9" s="103">
        <f>$HN9*HC9/$HM9</f>
        <v>3.0078000000000005</v>
      </c>
      <c r="JF9" s="103">
        <f>$HN9*HD9/$HM9</f>
        <v>0</v>
      </c>
      <c r="JG9" s="103">
        <f>$HN9*HE9/$HM9</f>
        <v>0</v>
      </c>
      <c r="JH9" s="103">
        <f>$HN9*HF9/$HM9</f>
        <v>0</v>
      </c>
      <c r="JI9" s="103">
        <f>$HN9*HG9/$HM9</f>
        <v>568.14</v>
      </c>
      <c r="JJ9" s="103">
        <f>$HN9*HH9/$HM9</f>
        <v>0</v>
      </c>
      <c r="JK9" s="103">
        <f>$HN9*HI9/$HM9</f>
        <v>0</v>
      </c>
      <c r="JL9" s="103">
        <f>$HN9*HJ9/$HM9</f>
        <v>0</v>
      </c>
      <c r="JM9" s="103">
        <f>$HN9*HK9/$HM9</f>
        <v>0</v>
      </c>
      <c r="JN9" s="103">
        <f>$HN9*HL9/$HM9</f>
        <v>20.052</v>
      </c>
      <c r="JO9" s="105">
        <f t="shared" si="8"/>
        <v>3341.9999999999995</v>
      </c>
      <c r="JP9" s="106">
        <f t="shared" si="9"/>
        <v>0</v>
      </c>
      <c r="JQ9" s="107">
        <f>HO9*$FM$4</f>
        <v>0</v>
      </c>
      <c r="JR9" s="107">
        <f>HP9*$FO$4</f>
        <v>0</v>
      </c>
      <c r="JS9" s="107">
        <f>HQ9*$FO$4</f>
        <v>0</v>
      </c>
      <c r="JT9" s="103">
        <f>HR9*$FP$4</f>
        <v>0</v>
      </c>
      <c r="JU9" s="103">
        <f>HS9*$FQ$4</f>
        <v>0</v>
      </c>
      <c r="JV9" s="103">
        <f>HT9*$FR$4</f>
        <v>0</v>
      </c>
      <c r="JW9" s="103">
        <f>HU9*$FS$4</f>
        <v>0</v>
      </c>
      <c r="JX9" s="103">
        <f>HV9*$FT$4</f>
        <v>0</v>
      </c>
      <c r="JY9" s="103">
        <f>HW9*$FU$4</f>
        <v>0</v>
      </c>
      <c r="JZ9" s="103">
        <f>HX9*$FV$4</f>
        <v>0</v>
      </c>
      <c r="KA9" s="103">
        <f>HY9*$FW$4</f>
        <v>0</v>
      </c>
      <c r="KB9" s="103">
        <f>HZ9*$FX$4</f>
        <v>0</v>
      </c>
      <c r="KC9" s="103">
        <f>+$FY$4*IA9</f>
        <v>0</v>
      </c>
      <c r="KD9" s="103">
        <f>+$FY$4*IB9</f>
        <v>0</v>
      </c>
      <c r="KE9" s="103">
        <f>IC9*$GA$4</f>
        <v>486.49360320000005</v>
      </c>
      <c r="KF9" s="103">
        <f>+$GB$4*ID9</f>
        <v>0</v>
      </c>
      <c r="KG9" s="103">
        <f>IE9*$GC$4</f>
        <v>2771.1097154807271</v>
      </c>
      <c r="KH9" s="103">
        <f t="shared" si="10"/>
        <v>0</v>
      </c>
      <c r="KI9" s="103">
        <f t="shared" si="10"/>
        <v>0</v>
      </c>
      <c r="KJ9" s="103">
        <f t="shared" si="10"/>
        <v>0</v>
      </c>
      <c r="KK9" s="103">
        <f>II9*$GG$4</f>
        <v>0</v>
      </c>
      <c r="KL9" s="103">
        <f>IJ9*$GH$4</f>
        <v>0</v>
      </c>
      <c r="KM9" s="103">
        <f>IK9*$GI$4</f>
        <v>0</v>
      </c>
      <c r="KN9" s="103">
        <f>IL9*$GL$4</f>
        <v>0</v>
      </c>
      <c r="KO9" s="103">
        <f>IM9*$GL$4</f>
        <v>0</v>
      </c>
      <c r="KP9" s="103">
        <f>IN9*$GL$4</f>
        <v>0</v>
      </c>
      <c r="KQ9" s="103">
        <f>IO9*$GM$4</f>
        <v>0</v>
      </c>
      <c r="KR9" s="103">
        <f>IP9*$GN$4</f>
        <v>5718.7568759999986</v>
      </c>
      <c r="KS9" s="103">
        <f>IQ9*$GO$4</f>
        <v>0</v>
      </c>
      <c r="KT9" s="103">
        <f>IR9*$GP$4</f>
        <v>0</v>
      </c>
      <c r="KU9" s="103">
        <f>IS9*$GQ$4</f>
        <v>0</v>
      </c>
      <c r="KV9" s="103">
        <f>IT9*$GR$4</f>
        <v>0</v>
      </c>
      <c r="KW9" s="103">
        <f>IU9*$GR$4</f>
        <v>0</v>
      </c>
      <c r="KX9" s="103">
        <f>IV9*$GT$4</f>
        <v>0</v>
      </c>
      <c r="KY9" s="103">
        <f>IW9*$GU$4</f>
        <v>0</v>
      </c>
      <c r="KZ9" s="103">
        <f>IX9*$GV$4</f>
        <v>0</v>
      </c>
      <c r="LA9" s="103">
        <f>IY9*$GX$4</f>
        <v>1190.6930938320002</v>
      </c>
      <c r="LB9" s="103">
        <f>IZ9*$GX$4</f>
        <v>0</v>
      </c>
      <c r="LC9" s="103">
        <f>JA9*$GY$4</f>
        <v>0</v>
      </c>
      <c r="LD9" s="103">
        <f>JB9*$GZ$4</f>
        <v>0</v>
      </c>
      <c r="LE9" s="103">
        <f>JC9*$HA$4</f>
        <v>0</v>
      </c>
      <c r="LF9" s="103">
        <f>JD9*$HB$4</f>
        <v>0</v>
      </c>
      <c r="LG9" s="103">
        <f>JE9*$HC$4</f>
        <v>31.040496000000005</v>
      </c>
      <c r="LH9" s="103">
        <f>JF9*$HD$4</f>
        <v>0</v>
      </c>
      <c r="LI9" s="103">
        <f>JG9*$HF$4</f>
        <v>0</v>
      </c>
      <c r="LJ9" s="103">
        <f>JH9*$HF$4</f>
        <v>0</v>
      </c>
      <c r="LK9" s="103">
        <f>JI9*$HF$4</f>
        <v>2735.9122584000002</v>
      </c>
      <c r="LL9" s="103">
        <f>JJ9*$HF$4</f>
        <v>0</v>
      </c>
      <c r="LM9" s="103">
        <f>JK9*$HF$4</f>
        <v>0</v>
      </c>
      <c r="LN9" s="103">
        <f>JL9*$HJ$4</f>
        <v>0</v>
      </c>
      <c r="LO9" s="103">
        <f>JM9*$HK$4</f>
        <v>0</v>
      </c>
      <c r="LP9" s="103">
        <f>JN9*$HL$4</f>
        <v>170.94329999999999</v>
      </c>
      <c r="LQ9" s="108">
        <f t="shared" si="11"/>
        <v>13104.949342912725</v>
      </c>
      <c r="LR9" s="109">
        <v>3246</v>
      </c>
      <c r="LS9" s="110">
        <f t="shared" si="12"/>
        <v>4.0372610421789048</v>
      </c>
      <c r="LT9" s="111">
        <f t="shared" si="13"/>
        <v>1.1030767874805751</v>
      </c>
      <c r="LU9" s="112">
        <f t="shared" si="14"/>
        <v>96</v>
      </c>
      <c r="LW9" s="113"/>
      <c r="MA9" s="110">
        <f t="shared" si="15"/>
        <v>3.9212894503030302</v>
      </c>
      <c r="MB9" s="111">
        <f t="shared" si="16"/>
        <v>1.0713905601920848</v>
      </c>
    </row>
    <row r="10" spans="1:340" ht="15.75" thickBot="1" x14ac:dyDescent="0.3">
      <c r="A10" t="b">
        <f>IF(G10="","",IF(G10="EC1",HM10=500%,HM10=150%))</f>
        <v>1</v>
      </c>
      <c r="B10" s="87" t="s">
        <v>74</v>
      </c>
      <c r="C10" s="88" t="s">
        <v>67</v>
      </c>
      <c r="D10"/>
      <c r="E10" s="89">
        <v>45980</v>
      </c>
      <c r="F10" t="s">
        <v>64</v>
      </c>
      <c r="G10" t="s">
        <v>65</v>
      </c>
      <c r="H10" t="s">
        <v>66</v>
      </c>
      <c r="I10" s="90"/>
      <c r="J10" s="90"/>
      <c r="K10" s="90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>
        <v>0.65</v>
      </c>
      <c r="AJ10" s="91">
        <v>0.3</v>
      </c>
      <c r="AK10" s="91"/>
      <c r="AL10" s="91"/>
      <c r="AM10" s="91"/>
      <c r="AN10" s="91"/>
      <c r="AO10" s="91"/>
      <c r="AP10" s="91"/>
      <c r="AQ10" s="91"/>
      <c r="AR10" s="91">
        <v>0.05</v>
      </c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2">
        <f t="shared" ref="BI10" si="21">SUM(I10:BH10)</f>
        <v>1</v>
      </c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4"/>
      <c r="CG10" s="94"/>
      <c r="CH10" s="94"/>
      <c r="CI10" s="93"/>
      <c r="CJ10" s="93">
        <v>0.3</v>
      </c>
      <c r="CK10" s="93">
        <v>0.45</v>
      </c>
      <c r="CL10" s="93"/>
      <c r="CM10" s="93"/>
      <c r="CN10" s="93"/>
      <c r="CO10" s="93"/>
      <c r="CP10" s="93"/>
      <c r="CQ10" s="93"/>
      <c r="CR10" s="93"/>
      <c r="CS10" s="93">
        <v>0.05</v>
      </c>
      <c r="CT10" s="93"/>
      <c r="CU10" s="93"/>
      <c r="CV10" s="93"/>
      <c r="CW10" s="93"/>
      <c r="CX10" s="93"/>
      <c r="CY10" s="93"/>
      <c r="CZ10" s="93"/>
      <c r="DA10" s="93"/>
      <c r="DB10" s="93"/>
      <c r="DC10" s="93">
        <v>0.2</v>
      </c>
      <c r="DD10" s="93"/>
      <c r="DE10" s="93"/>
      <c r="DF10" s="93"/>
      <c r="DG10" s="93"/>
      <c r="DH10" s="93"/>
      <c r="DI10" s="93"/>
      <c r="DJ10" s="95">
        <f t="shared" ref="DJ10" si="22">SUM(BJ10:DI10)</f>
        <v>1</v>
      </c>
      <c r="DK10" s="96"/>
      <c r="DL10" s="96"/>
      <c r="DM10" s="96"/>
      <c r="DN10" s="96"/>
      <c r="DO10" s="96"/>
      <c r="DP10" s="96"/>
      <c r="DQ10" s="96"/>
      <c r="DR10" s="96"/>
      <c r="DS10" s="96">
        <v>0.4</v>
      </c>
      <c r="DT10" s="96"/>
      <c r="DU10" s="96"/>
      <c r="DV10" s="96"/>
      <c r="DW10" s="96"/>
      <c r="DX10" s="96">
        <v>0.4</v>
      </c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7"/>
      <c r="ET10" s="97"/>
      <c r="EU10" s="97"/>
      <c r="EV10" s="97"/>
      <c r="EW10" s="97"/>
      <c r="EX10" s="97"/>
      <c r="EY10" s="97"/>
      <c r="EZ10" s="97"/>
      <c r="FA10" s="97">
        <v>5.0000000000000001E-3</v>
      </c>
      <c r="FB10" s="97"/>
      <c r="FC10" s="97"/>
      <c r="FD10" s="97"/>
      <c r="FE10" s="97"/>
      <c r="FF10" s="97">
        <v>0.17499999999999999</v>
      </c>
      <c r="FG10" s="97"/>
      <c r="FH10" s="97"/>
      <c r="FI10" s="97"/>
      <c r="FJ10" s="97">
        <v>0.02</v>
      </c>
      <c r="FK10" s="98">
        <f t="shared" ref="FK10" si="23">SUM(DK10:FJ10)</f>
        <v>1</v>
      </c>
      <c r="FL10" s="99"/>
      <c r="FM10" s="100">
        <f t="shared" ref="FM10:GB10" si="24">I10*1.5+BJ10*2+DK10*1.5</f>
        <v>0</v>
      </c>
      <c r="FN10" s="100">
        <f t="shared" si="24"/>
        <v>0</v>
      </c>
      <c r="FO10" s="100">
        <f t="shared" si="24"/>
        <v>0</v>
      </c>
      <c r="FP10" s="100">
        <f t="shared" si="24"/>
        <v>0</v>
      </c>
      <c r="FQ10" s="100">
        <f t="shared" si="24"/>
        <v>0</v>
      </c>
      <c r="FR10" s="100">
        <f t="shared" si="24"/>
        <v>0</v>
      </c>
      <c r="FS10" s="100">
        <f t="shared" si="24"/>
        <v>0</v>
      </c>
      <c r="FT10" s="100">
        <f t="shared" si="24"/>
        <v>0</v>
      </c>
      <c r="FU10" s="100">
        <f t="shared" si="24"/>
        <v>0.60000000000000009</v>
      </c>
      <c r="FV10" s="100">
        <f t="shared" si="24"/>
        <v>0</v>
      </c>
      <c r="FW10" s="100">
        <f t="shared" si="24"/>
        <v>0</v>
      </c>
      <c r="FX10" s="100">
        <f t="shared" si="24"/>
        <v>0</v>
      </c>
      <c r="FY10" s="100">
        <f t="shared" si="24"/>
        <v>0</v>
      </c>
      <c r="FZ10" s="100">
        <f t="shared" si="24"/>
        <v>0.60000000000000009</v>
      </c>
      <c r="GA10" s="100">
        <f t="shared" si="24"/>
        <v>0</v>
      </c>
      <c r="GB10" s="100">
        <f t="shared" si="24"/>
        <v>0</v>
      </c>
      <c r="GC10" s="100">
        <f t="shared" ref="GC10:GQ10" si="25">Y10*1.5+BZ10*2+EA10*1.5</f>
        <v>0</v>
      </c>
      <c r="GD10" s="100">
        <f t="shared" si="25"/>
        <v>0</v>
      </c>
      <c r="GE10" s="100">
        <f t="shared" si="25"/>
        <v>0</v>
      </c>
      <c r="GF10" s="100">
        <f t="shared" si="25"/>
        <v>0</v>
      </c>
      <c r="GG10" s="100">
        <f t="shared" si="25"/>
        <v>0</v>
      </c>
      <c r="GH10" s="100">
        <f t="shared" si="25"/>
        <v>0</v>
      </c>
      <c r="GI10" s="100">
        <f t="shared" si="25"/>
        <v>0</v>
      </c>
      <c r="GJ10" s="100">
        <f t="shared" si="25"/>
        <v>0</v>
      </c>
      <c r="GK10" s="100">
        <f t="shared" si="25"/>
        <v>0</v>
      </c>
      <c r="GL10" s="100">
        <f t="shared" si="25"/>
        <v>0</v>
      </c>
      <c r="GM10" s="100">
        <f t="shared" si="25"/>
        <v>1.5750000000000002</v>
      </c>
      <c r="GN10" s="100">
        <f t="shared" si="25"/>
        <v>1.35</v>
      </c>
      <c r="GO10" s="100">
        <f t="shared" si="25"/>
        <v>0</v>
      </c>
      <c r="GP10" s="100">
        <f t="shared" si="25"/>
        <v>0</v>
      </c>
      <c r="GQ10" s="100">
        <f t="shared" si="25"/>
        <v>0</v>
      </c>
      <c r="GR10" s="100">
        <f t="shared" ref="GR10:HA10" si="26">AN10*1.5+CO10*2+EP10*1.5</f>
        <v>0</v>
      </c>
      <c r="GS10" s="100">
        <f t="shared" si="26"/>
        <v>0</v>
      </c>
      <c r="GT10" s="100">
        <f t="shared" si="26"/>
        <v>0</v>
      </c>
      <c r="GU10" s="100">
        <f t="shared" si="26"/>
        <v>0</v>
      </c>
      <c r="GV10" s="100">
        <f t="shared" si="26"/>
        <v>0.17500000000000002</v>
      </c>
      <c r="GW10" s="100">
        <f t="shared" si="26"/>
        <v>0</v>
      </c>
      <c r="GX10" s="100">
        <f t="shared" si="26"/>
        <v>0</v>
      </c>
      <c r="GY10" s="100">
        <f t="shared" si="26"/>
        <v>0</v>
      </c>
      <c r="GZ10" s="100">
        <f t="shared" si="26"/>
        <v>0</v>
      </c>
      <c r="HA10" s="100">
        <f t="shared" si="26"/>
        <v>0</v>
      </c>
      <c r="HB10" s="100">
        <f t="shared" ref="HB10:HL10" si="27">AX10*1.5+CY10*2+EZ10*1.5</f>
        <v>0</v>
      </c>
      <c r="HC10" s="100">
        <f t="shared" si="27"/>
        <v>7.4999999999999997E-3</v>
      </c>
      <c r="HD10" s="100">
        <f t="shared" si="27"/>
        <v>0</v>
      </c>
      <c r="HE10" s="100">
        <f t="shared" si="27"/>
        <v>0</v>
      </c>
      <c r="HF10" s="100">
        <f t="shared" si="27"/>
        <v>0.4</v>
      </c>
      <c r="HG10" s="100">
        <f t="shared" si="27"/>
        <v>0</v>
      </c>
      <c r="HH10" s="100">
        <f t="shared" si="27"/>
        <v>0.26249999999999996</v>
      </c>
      <c r="HI10" s="100">
        <f t="shared" si="27"/>
        <v>0</v>
      </c>
      <c r="HJ10" s="100">
        <f t="shared" si="27"/>
        <v>0</v>
      </c>
      <c r="HK10" s="100">
        <f t="shared" si="27"/>
        <v>0</v>
      </c>
      <c r="HL10" s="100">
        <f t="shared" si="27"/>
        <v>0.03</v>
      </c>
      <c r="HM10" s="101">
        <f t="shared" ref="HM10" si="28">SUM(FM10:HL10)</f>
        <v>5.0000000000000009</v>
      </c>
      <c r="HN10" s="102">
        <v>930</v>
      </c>
      <c r="HO10" s="103">
        <f>$HN10*FM10/$HM10</f>
        <v>0</v>
      </c>
      <c r="HP10" s="103">
        <f>$HN10*FN10/$HM10</f>
        <v>0</v>
      </c>
      <c r="HQ10" s="103">
        <f>$HN10*FO10/$HM10</f>
        <v>0</v>
      </c>
      <c r="HR10" s="103">
        <f>$HN10*FP10/$HM10</f>
        <v>0</v>
      </c>
      <c r="HS10" s="103">
        <f>$HN10*FQ10/$HM10</f>
        <v>0</v>
      </c>
      <c r="HT10" s="104">
        <f>$HN10*FR10/$HM10</f>
        <v>0</v>
      </c>
      <c r="HU10" s="103">
        <f>$HN10*FS10/$HM10</f>
        <v>0</v>
      </c>
      <c r="HV10" s="103">
        <f>$HN10*FT10/$HM10</f>
        <v>0</v>
      </c>
      <c r="HW10" s="103">
        <f>$HN10*FU10/$HM10</f>
        <v>111.60000000000001</v>
      </c>
      <c r="HX10" s="103">
        <f>$HN10*FV10/$HM10</f>
        <v>0</v>
      </c>
      <c r="HY10" s="103">
        <f>$HN10*FW10/$HM10</f>
        <v>0</v>
      </c>
      <c r="HZ10" s="103">
        <f>$HN10*FX10/$HM10</f>
        <v>0</v>
      </c>
      <c r="IA10" s="103">
        <f>$HN10*FY10/$HM10</f>
        <v>0</v>
      </c>
      <c r="IB10" s="103">
        <f>$HN10*FZ10/$HM10</f>
        <v>111.60000000000001</v>
      </c>
      <c r="IC10" s="103">
        <f>$HN10*GA10/$HM10</f>
        <v>0</v>
      </c>
      <c r="ID10" s="103">
        <f>$HN10*GB10/$HM10</f>
        <v>0</v>
      </c>
      <c r="IE10" s="103">
        <f>$HN10*GC10/$HM10</f>
        <v>0</v>
      </c>
      <c r="IF10" s="104">
        <f>$HN10*GD10/$HM10</f>
        <v>0</v>
      </c>
      <c r="IG10" s="104">
        <f>$HN10*GE10/$HM10</f>
        <v>0</v>
      </c>
      <c r="IH10" s="104">
        <f>$HN10*GF10/$HM10</f>
        <v>0</v>
      </c>
      <c r="II10" s="103">
        <f>$HN10*GG10/$HM10</f>
        <v>0</v>
      </c>
      <c r="IJ10" s="103">
        <f>$HN10*GH10/$HM10</f>
        <v>0</v>
      </c>
      <c r="IK10" s="103">
        <f>$HN10*GI10/$HM10</f>
        <v>0</v>
      </c>
      <c r="IL10" s="103">
        <f>$HN10*GJ10/$HM10</f>
        <v>0</v>
      </c>
      <c r="IM10" s="103">
        <f>$HN10*GK10/$HM10</f>
        <v>0</v>
      </c>
      <c r="IN10" s="103">
        <f>$HN10*GL10/$HM10</f>
        <v>0</v>
      </c>
      <c r="IO10" s="103">
        <f>$HN10*GM10/$HM10</f>
        <v>292.95</v>
      </c>
      <c r="IP10" s="103">
        <f>$HN10*GN10/$HM10</f>
        <v>251.09999999999997</v>
      </c>
      <c r="IQ10" s="103">
        <f>$HN10*GO10/$HM10</f>
        <v>0</v>
      </c>
      <c r="IR10" s="103">
        <f>$HN10*GP10/$HM10</f>
        <v>0</v>
      </c>
      <c r="IS10" s="103">
        <f>$HN10*GQ10/$HM10</f>
        <v>0</v>
      </c>
      <c r="IT10" s="103">
        <f>$HN10*GR10/$HM10</f>
        <v>0</v>
      </c>
      <c r="IU10" s="103">
        <f>$HN10*GS10/$HM10</f>
        <v>0</v>
      </c>
      <c r="IV10" s="103">
        <f>$HN10*GT10/$HM10</f>
        <v>0</v>
      </c>
      <c r="IW10" s="103">
        <f>$HN10*GU10/$HM10</f>
        <v>0</v>
      </c>
      <c r="IX10" s="103">
        <f>$HN10*GV10/$HM10</f>
        <v>32.549999999999997</v>
      </c>
      <c r="IY10" s="103">
        <f>$HN10*GW10/$HM10</f>
        <v>0</v>
      </c>
      <c r="IZ10" s="103">
        <f>$HN10*GX10/$HM10</f>
        <v>0</v>
      </c>
      <c r="JA10" s="103">
        <f>$HN10*GY10/$HM10</f>
        <v>0</v>
      </c>
      <c r="JB10" s="103">
        <f>$HN10*GZ10/$HM10</f>
        <v>0</v>
      </c>
      <c r="JC10" s="103">
        <f>$HN10*HA10/$HM10</f>
        <v>0</v>
      </c>
      <c r="JD10" s="103">
        <f>$HN10*HB10/$HM10</f>
        <v>0</v>
      </c>
      <c r="JE10" s="103">
        <f>$HN10*HC10/$HM10</f>
        <v>1.3949999999999996</v>
      </c>
      <c r="JF10" s="103">
        <f>$HN10*HD10/$HM10</f>
        <v>0</v>
      </c>
      <c r="JG10" s="103">
        <f>$HN10*HE10/$HM10</f>
        <v>0</v>
      </c>
      <c r="JH10" s="103">
        <f>$HN10*HF10/$HM10</f>
        <v>74.399999999999991</v>
      </c>
      <c r="JI10" s="103">
        <f>$HN10*HG10/$HM10</f>
        <v>0</v>
      </c>
      <c r="JJ10" s="103">
        <f>$HN10*HH10/$HM10</f>
        <v>48.824999999999989</v>
      </c>
      <c r="JK10" s="103">
        <f>$HN10*HI10/$HM10</f>
        <v>0</v>
      </c>
      <c r="JL10" s="103">
        <f>$HN10*HJ10/$HM10</f>
        <v>0</v>
      </c>
      <c r="JM10" s="103">
        <f>$HN10*HK10/$HM10</f>
        <v>0</v>
      </c>
      <c r="JN10" s="103">
        <f>$HN10*HL10/$HM10</f>
        <v>5.5799999999999983</v>
      </c>
      <c r="JO10" s="105">
        <f t="shared" ref="JO10" si="29">SUM(HO10:JN10)</f>
        <v>929.99999999999989</v>
      </c>
      <c r="JP10" s="106">
        <f t="shared" ref="JP10" si="30">JO10-HN10</f>
        <v>0</v>
      </c>
      <c r="JQ10" s="107">
        <f>HO10*$FM$4</f>
        <v>0</v>
      </c>
      <c r="JR10" s="107">
        <f>HP10*$FO$4</f>
        <v>0</v>
      </c>
      <c r="JS10" s="107">
        <f>HQ10*$FO$4</f>
        <v>0</v>
      </c>
      <c r="JT10" s="103">
        <f>HR10*$FP$4</f>
        <v>0</v>
      </c>
      <c r="JU10" s="103">
        <f>HS10*$FQ$4</f>
        <v>0</v>
      </c>
      <c r="JV10" s="103">
        <f>HT10*$FR$4</f>
        <v>0</v>
      </c>
      <c r="JW10" s="103">
        <f>HU10*$FS$4</f>
        <v>0</v>
      </c>
      <c r="JX10" s="103">
        <f>HV10*$FT$4</f>
        <v>0</v>
      </c>
      <c r="JY10" s="103">
        <f>HW10*$FU$4</f>
        <v>516.90441599999997</v>
      </c>
      <c r="JZ10" s="103">
        <f>HX10*$FV$4</f>
        <v>0</v>
      </c>
      <c r="KA10" s="103">
        <f>HY10*$FW$4</f>
        <v>0</v>
      </c>
      <c r="KB10" s="103">
        <f>HZ10*$FX$4</f>
        <v>0</v>
      </c>
      <c r="KC10" s="103">
        <f>+$FY$4*IA10</f>
        <v>0</v>
      </c>
      <c r="KD10" s="103">
        <f>+$FY$4*IB10</f>
        <v>426.65126400000008</v>
      </c>
      <c r="KE10" s="103">
        <f>IC10*$GA$4</f>
        <v>0</v>
      </c>
      <c r="KF10" s="103">
        <f>+$GB$4*ID10</f>
        <v>0</v>
      </c>
      <c r="KG10" s="103">
        <f>IE10*$GC$4</f>
        <v>0</v>
      </c>
      <c r="KH10" s="103">
        <f t="shared" ref="KH10:KJ10" si="31">IF10*GD$4</f>
        <v>0</v>
      </c>
      <c r="KI10" s="103">
        <f t="shared" si="31"/>
        <v>0</v>
      </c>
      <c r="KJ10" s="103">
        <f t="shared" si="31"/>
        <v>0</v>
      </c>
      <c r="KK10" s="103">
        <f>II10*$GG$4</f>
        <v>0</v>
      </c>
      <c r="KL10" s="103">
        <f>IJ10*$GH$4</f>
        <v>0</v>
      </c>
      <c r="KM10" s="103">
        <f>IK10*$GI$4</f>
        <v>0</v>
      </c>
      <c r="KN10" s="103">
        <f>IL10*$GL$4</f>
        <v>0</v>
      </c>
      <c r="KO10" s="103">
        <f>IM10*$GL$4</f>
        <v>0</v>
      </c>
      <c r="KP10" s="103">
        <f>IN10*$GL$4</f>
        <v>0</v>
      </c>
      <c r="KQ10" s="103">
        <f>IO10*$GM$4</f>
        <v>1204.9619399999999</v>
      </c>
      <c r="KR10" s="103">
        <f>IP10*$GN$4</f>
        <v>876.89141999999993</v>
      </c>
      <c r="KS10" s="103">
        <f>IQ10*$GO$4</f>
        <v>0</v>
      </c>
      <c r="KT10" s="103">
        <f>IR10*$GP$4</f>
        <v>0</v>
      </c>
      <c r="KU10" s="103">
        <f>IS10*$GQ$4</f>
        <v>0</v>
      </c>
      <c r="KV10" s="103">
        <f>IT10*$GR$4</f>
        <v>0</v>
      </c>
      <c r="KW10" s="103">
        <f>IU10*$GR$4</f>
        <v>0</v>
      </c>
      <c r="KX10" s="103">
        <f>IV10*$GT$4</f>
        <v>0</v>
      </c>
      <c r="KY10" s="103">
        <f>IW10*$GU$4</f>
        <v>0</v>
      </c>
      <c r="KZ10" s="103">
        <f>IX10*$GV$4</f>
        <v>289.69499999999999</v>
      </c>
      <c r="LA10" s="103">
        <f>IY10*$GX$4</f>
        <v>0</v>
      </c>
      <c r="LB10" s="103">
        <f>IZ10*$GX$4</f>
        <v>0</v>
      </c>
      <c r="LC10" s="103">
        <f>JA10*$GY$4</f>
        <v>0</v>
      </c>
      <c r="LD10" s="103">
        <f>JB10*$GZ$4</f>
        <v>0</v>
      </c>
      <c r="LE10" s="103">
        <f>JC10*$HA$4</f>
        <v>0</v>
      </c>
      <c r="LF10" s="103">
        <f>JD10*$HB$4</f>
        <v>0</v>
      </c>
      <c r="LG10" s="103">
        <f>JE10*$HC$4</f>
        <v>14.396399999999996</v>
      </c>
      <c r="LH10" s="103">
        <f>JF10*$HD$4</f>
        <v>0</v>
      </c>
      <c r="LI10" s="103">
        <f>JG10*$HF$4</f>
        <v>0</v>
      </c>
      <c r="LJ10" s="103">
        <f>JH10*$HF$4</f>
        <v>358.27766400000002</v>
      </c>
      <c r="LK10" s="103">
        <f>JI10*$HF$4</f>
        <v>0</v>
      </c>
      <c r="LL10" s="103">
        <f>JJ10*$HF$4</f>
        <v>235.11971699999998</v>
      </c>
      <c r="LM10" s="103">
        <f>JK10*$HF$4</f>
        <v>0</v>
      </c>
      <c r="LN10" s="103">
        <f>JL10*$HJ$4</f>
        <v>0</v>
      </c>
      <c r="LO10" s="103">
        <f>JM10*$HK$4</f>
        <v>0</v>
      </c>
      <c r="LP10" s="103">
        <f>JN10*$HL$4</f>
        <v>47.569499999999991</v>
      </c>
      <c r="LQ10" s="108">
        <f t="shared" ref="LQ10" si="32">SUM(JQ10:LP10)</f>
        <v>3970.4673210000005</v>
      </c>
      <c r="LR10" s="109">
        <v>892</v>
      </c>
      <c r="LS10" s="110">
        <f t="shared" ref="LS10" si="33">LQ10/LR10</f>
        <v>4.451196548206279</v>
      </c>
      <c r="LT10" s="111">
        <f t="shared" ref="LT10" si="34">LS10/3.66</f>
        <v>1.2161739202749395</v>
      </c>
      <c r="LU10" s="112">
        <f t="shared" ref="LU10" si="35">HN10-LR10</f>
        <v>38</v>
      </c>
      <c r="LW10" s="113"/>
      <c r="MA10" s="110">
        <f t="shared" ref="MA10" si="36">LQ10/JO10</f>
        <v>4.2693197000000014</v>
      </c>
      <c r="MB10" s="111">
        <f t="shared" ref="MB10" si="37">MA10/3.66</f>
        <v>1.1664807923497271</v>
      </c>
    </row>
  </sheetData>
  <autoFilter ref="A7:MB10" xr:uid="{A305D461-9D66-42FB-B125-1DA92C0BF611}"/>
  <mergeCells count="9">
    <mergeCell ref="MA3:MB3"/>
    <mergeCell ref="BJ5:DJ5"/>
    <mergeCell ref="HN5:HN6"/>
    <mergeCell ref="HO5:JO5"/>
    <mergeCell ref="LR5:LR6"/>
    <mergeCell ref="LS5:LS6"/>
    <mergeCell ref="LT5:LT6"/>
    <mergeCell ref="MA5:MA6"/>
    <mergeCell ref="MB5:MB6"/>
  </mergeCells>
  <conditionalFormatting sqref="A8:A10">
    <cfRule type="cellIs" dxfId="5" priority="1" operator="equal">
      <formula>FALSE</formula>
    </cfRule>
  </conditionalFormatting>
  <conditionalFormatting sqref="F2:F5">
    <cfRule type="cellIs" dxfId="4" priority="3" operator="equal">
      <formula>"SAMPLE"</formula>
    </cfRule>
  </conditionalFormatting>
  <conditionalFormatting sqref="G7">
    <cfRule type="cellIs" dxfId="3" priority="2" operator="equal">
      <formula>"SAMPLE"</formula>
    </cfRule>
  </conditionalFormatting>
  <conditionalFormatting sqref="B1:B7">
    <cfRule type="duplicateValues" dxfId="2" priority="7"/>
  </conditionalFormatting>
  <conditionalFormatting sqref="B2:B7">
    <cfRule type="duplicateValues" dxfId="1" priority="8"/>
  </conditionalFormatting>
  <conditionalFormatting sqref="B7">
    <cfRule type="duplicateValues" dxfId="0" priority="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Granules_November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 Actualcosting</dc:creator>
  <cp:lastModifiedBy>Tharaka W</cp:lastModifiedBy>
  <dcterms:created xsi:type="dcterms:W3CDTF">2025-02-06T06:42:23Z</dcterms:created>
  <dcterms:modified xsi:type="dcterms:W3CDTF">2026-04-23T09:07:14Z</dcterms:modified>
</cp:coreProperties>
</file>