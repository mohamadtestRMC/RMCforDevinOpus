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01 Jan\Base RMC Input Files\"/>
    </mc:Choice>
  </mc:AlternateContent>
  <xr:revisionPtr revIDLastSave="0" documentId="13_ncr:1_{C32A724D-B3CB-4668-A2CF-E4BCF42EFE8B}" xr6:coauthVersionLast="47" xr6:coauthVersionMax="47" xr10:uidLastSave="{00000000-0000-0000-0000-000000000000}"/>
  <bookViews>
    <workbookView xWindow="-120" yWindow="-120" windowWidth="29040" windowHeight="15720" xr2:uid="{FBC65D7A-288B-4602-BC5B-613C10F21E9D}"/>
  </bookViews>
  <sheets>
    <sheet name="OPN_WIP" sheetId="1" r:id="rId1"/>
  </sheets>
  <externalReferences>
    <externalReference r:id="rId2"/>
    <externalReference r:id="rId3"/>
  </externalReferences>
  <definedNames>
    <definedName name="_xlnm._FilterDatabase" localSheetId="0" hidden="1">OPN_WIP!$A$5:$K$193</definedName>
    <definedName name="CHECK">'[1]RMC summary'!$B:$B</definedName>
    <definedName name="OPN_WIP">OPN_WIP!$B$5:$J$251</definedName>
    <definedName name="opn_wip1">OPN_WIP!$A$5:$J$251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8" i="1" l="1"/>
  <c r="E178" i="1"/>
  <c r="I178" i="1" s="1"/>
  <c r="J178" i="1" s="1"/>
  <c r="K177" i="1"/>
  <c r="E177" i="1"/>
  <c r="I177" i="1" s="1"/>
  <c r="J177" i="1" s="1"/>
  <c r="K176" i="1"/>
  <c r="E176" i="1"/>
  <c r="I176" i="1" s="1"/>
  <c r="J176" i="1" s="1"/>
  <c r="K175" i="1"/>
  <c r="E175" i="1"/>
  <c r="I175" i="1" s="1"/>
  <c r="J175" i="1" s="1"/>
  <c r="K174" i="1"/>
  <c r="E174" i="1"/>
  <c r="I174" i="1"/>
  <c r="J174" i="1" s="1"/>
  <c r="K173" i="1"/>
  <c r="E173" i="1"/>
  <c r="I173" i="1" s="1"/>
  <c r="J173" i="1" s="1"/>
  <c r="K172" i="1"/>
  <c r="E172" i="1"/>
  <c r="I172" i="1" s="1"/>
  <c r="J172" i="1" s="1"/>
  <c r="K171" i="1"/>
  <c r="E171" i="1"/>
  <c r="I171" i="1"/>
  <c r="J171" i="1" s="1"/>
  <c r="K170" i="1"/>
  <c r="E170" i="1"/>
  <c r="I170" i="1" s="1"/>
  <c r="J170" i="1" s="1"/>
  <c r="K169" i="1"/>
  <c r="E169" i="1"/>
  <c r="I169" i="1" s="1"/>
  <c r="J169" i="1" s="1"/>
  <c r="K168" i="1"/>
  <c r="E168" i="1"/>
  <c r="I168" i="1" s="1"/>
  <c r="J168" i="1" s="1"/>
  <c r="K167" i="1"/>
  <c r="E167" i="1"/>
  <c r="I167" i="1" s="1"/>
  <c r="J167" i="1" s="1"/>
  <c r="K166" i="1"/>
  <c r="E166" i="1"/>
  <c r="I166" i="1" s="1"/>
  <c r="J166" i="1" s="1"/>
  <c r="K165" i="1"/>
  <c r="E165" i="1"/>
  <c r="I165" i="1"/>
  <c r="J165" i="1" s="1"/>
  <c r="K164" i="1"/>
  <c r="E164" i="1"/>
  <c r="I164" i="1" s="1"/>
  <c r="J164" i="1" s="1"/>
  <c r="K163" i="1"/>
  <c r="E163" i="1"/>
  <c r="I163" i="1" s="1"/>
  <c r="J163" i="1" s="1"/>
  <c r="K162" i="1"/>
  <c r="I162" i="1"/>
  <c r="J162" i="1" s="1"/>
  <c r="K161" i="1"/>
  <c r="E161" i="1"/>
  <c r="I161" i="1"/>
  <c r="J161" i="1" s="1"/>
  <c r="K160" i="1"/>
  <c r="E160" i="1"/>
  <c r="I160" i="1" s="1"/>
  <c r="J160" i="1" s="1"/>
  <c r="K159" i="1"/>
  <c r="E159" i="1"/>
  <c r="I159" i="1" s="1"/>
  <c r="J159" i="1" s="1"/>
  <c r="K158" i="1"/>
  <c r="E158" i="1"/>
  <c r="I158" i="1"/>
  <c r="J158" i="1" s="1"/>
  <c r="K157" i="1"/>
  <c r="E157" i="1"/>
  <c r="I157" i="1" s="1"/>
  <c r="J157" i="1" s="1"/>
  <c r="K156" i="1"/>
  <c r="E156" i="1"/>
  <c r="I156" i="1"/>
  <c r="J156" i="1" s="1"/>
  <c r="K155" i="1"/>
  <c r="E155" i="1"/>
  <c r="I155" i="1" s="1"/>
  <c r="J155" i="1" s="1"/>
  <c r="K154" i="1"/>
  <c r="E154" i="1"/>
  <c r="I154" i="1" s="1"/>
  <c r="J154" i="1" s="1"/>
  <c r="K153" i="1"/>
  <c r="E153" i="1"/>
  <c r="I153" i="1" s="1"/>
  <c r="J153" i="1" s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H129" i="1"/>
  <c r="J129" i="1" s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H107" i="1"/>
  <c r="H106" i="1"/>
  <c r="J106" i="1" s="1"/>
  <c r="H105" i="1"/>
  <c r="J105" i="1" s="1"/>
  <c r="J104" i="1"/>
  <c r="H104" i="1"/>
  <c r="J103" i="1"/>
  <c r="J102" i="1"/>
  <c r="J101" i="1"/>
  <c r="J100" i="1"/>
  <c r="H100" i="1"/>
  <c r="J99" i="1"/>
  <c r="H99" i="1"/>
  <c r="H98" i="1"/>
  <c r="J98" i="1" s="1"/>
  <c r="J97" i="1"/>
  <c r="H97" i="1"/>
  <c r="J96" i="1"/>
  <c r="H96" i="1"/>
  <c r="J95" i="1"/>
  <c r="H95" i="1"/>
  <c r="H94" i="1"/>
  <c r="J94" i="1" s="1"/>
  <c r="J93" i="1"/>
  <c r="H93" i="1"/>
  <c r="J92" i="1"/>
  <c r="J91" i="1"/>
  <c r="J90" i="1"/>
  <c r="J89" i="1"/>
  <c r="J88" i="1"/>
  <c r="J87" i="1"/>
  <c r="J86" i="1"/>
  <c r="J85" i="1"/>
  <c r="J84" i="1"/>
  <c r="J83" i="1"/>
  <c r="J82" i="1"/>
  <c r="H82" i="1"/>
  <c r="J81" i="1"/>
  <c r="H81" i="1"/>
  <c r="H80" i="1"/>
  <c r="J80" i="1" s="1"/>
  <c r="J79" i="1"/>
  <c r="H79" i="1"/>
  <c r="H78" i="1"/>
  <c r="J78" i="1" s="1"/>
  <c r="H77" i="1"/>
  <c r="J77" i="1" s="1"/>
  <c r="J76" i="1"/>
  <c r="H76" i="1"/>
  <c r="H75" i="1"/>
  <c r="J75" i="1" s="1"/>
  <c r="H74" i="1"/>
  <c r="J74" i="1" s="1"/>
  <c r="J73" i="1"/>
  <c r="H73" i="1"/>
  <c r="H72" i="1"/>
  <c r="J72" i="1" s="1"/>
  <c r="H71" i="1"/>
  <c r="J71" i="1" s="1"/>
  <c r="J70" i="1"/>
  <c r="H70" i="1"/>
  <c r="J69" i="1"/>
  <c r="J68" i="1"/>
  <c r="H68" i="1"/>
  <c r="H67" i="1"/>
  <c r="J67" i="1" s="1"/>
  <c r="H66" i="1"/>
  <c r="J66" i="1" s="1"/>
  <c r="J65" i="1"/>
  <c r="H65" i="1"/>
  <c r="H64" i="1"/>
  <c r="J64" i="1" s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H48" i="1"/>
  <c r="J48" i="1" s="1"/>
  <c r="J47" i="1"/>
  <c r="J46" i="1"/>
  <c r="J45" i="1"/>
  <c r="J44" i="1"/>
  <c r="H43" i="1"/>
  <c r="J43" i="1" s="1"/>
  <c r="J42" i="1"/>
  <c r="J41" i="1"/>
  <c r="J40" i="1"/>
  <c r="J39" i="1"/>
  <c r="H38" i="1"/>
  <c r="J38" i="1" s="1"/>
  <c r="H37" i="1"/>
  <c r="J37" i="1" s="1"/>
  <c r="J36" i="1"/>
  <c r="H36" i="1"/>
  <c r="H35" i="1"/>
  <c r="J35" i="1" s="1"/>
  <c r="H34" i="1"/>
  <c r="J34" i="1" s="1"/>
  <c r="J33" i="1"/>
  <c r="H33" i="1"/>
  <c r="H32" i="1"/>
  <c r="J32" i="1" s="1"/>
  <c r="H31" i="1"/>
  <c r="J31" i="1" s="1"/>
  <c r="J30" i="1"/>
  <c r="H30" i="1"/>
  <c r="J29" i="1"/>
  <c r="H29" i="1"/>
  <c r="H28" i="1"/>
  <c r="J28" i="1" s="1"/>
  <c r="J27" i="1"/>
  <c r="H27" i="1"/>
  <c r="J26" i="1"/>
  <c r="H26" i="1"/>
  <c r="J25" i="1"/>
  <c r="H25" i="1"/>
  <c r="H24" i="1"/>
  <c r="J24" i="1" s="1"/>
  <c r="J23" i="1"/>
  <c r="H23" i="1"/>
  <c r="H22" i="1"/>
  <c r="J22" i="1" s="1"/>
  <c r="H21" i="1"/>
  <c r="J21" i="1" s="1"/>
  <c r="J20" i="1"/>
  <c r="H20" i="1"/>
  <c r="H19" i="1"/>
  <c r="J19" i="1" s="1"/>
  <c r="H18" i="1"/>
  <c r="J18" i="1" s="1"/>
  <c r="J17" i="1"/>
  <c r="H17" i="1"/>
  <c r="H16" i="1"/>
  <c r="J16" i="1" s="1"/>
  <c r="H15" i="1"/>
  <c r="H3" i="1" s="1"/>
  <c r="J14" i="1"/>
  <c r="H14" i="1"/>
  <c r="J13" i="1"/>
  <c r="J12" i="1"/>
  <c r="J11" i="1"/>
  <c r="J10" i="1"/>
  <c r="J9" i="1"/>
  <c r="J8" i="1"/>
  <c r="J7" i="1"/>
  <c r="J6" i="1"/>
  <c r="J15" i="1" l="1"/>
  <c r="J3" i="1" s="1"/>
</calcChain>
</file>

<file path=xl/sharedStrings.xml><?xml version="1.0" encoding="utf-8"?>
<sst xmlns="http://schemas.openxmlformats.org/spreadsheetml/2006/main" count="741" uniqueCount="372">
  <si>
    <t>INTEGRATED PLASTICS PACKAGING</t>
  </si>
  <si>
    <t>Semi Processed Film Stock as on 31-12-2025</t>
  </si>
  <si>
    <t>W/O</t>
  </si>
  <si>
    <t>Design Name</t>
  </si>
  <si>
    <t>Mat Structure</t>
  </si>
  <si>
    <t>Process</t>
  </si>
  <si>
    <t>Substrate</t>
  </si>
  <si>
    <t>Lam Pass</t>
  </si>
  <si>
    <t>Qty</t>
  </si>
  <si>
    <t>Rate</t>
  </si>
  <si>
    <t>Value</t>
  </si>
  <si>
    <t>CHECK</t>
  </si>
  <si>
    <t>B00684</t>
  </si>
  <si>
    <t>Capri Sun Korea Orange F &amp; B Foil</t>
  </si>
  <si>
    <t>PET/FOIL/TPE/</t>
  </si>
  <si>
    <t>Printed, Waiting for Lam</t>
  </si>
  <si>
    <t>B00996</t>
  </si>
  <si>
    <t>Capri sun Korea Jungle Combine F &amp; B foil</t>
  </si>
  <si>
    <t>C00611</t>
  </si>
  <si>
    <t>Dettol Sensitive 120 gm X 4 (3+1) Free Roll</t>
  </si>
  <si>
    <t>TOPP/MOPP</t>
  </si>
  <si>
    <t>C00875</t>
  </si>
  <si>
    <t>Britannia 50-50 Maska Chaska 62gm Non GCC</t>
  </si>
  <si>
    <t>J00833</t>
  </si>
  <si>
    <t>FIRE DEPARTMENT COFFEE - Shellback Espresso Ground - 12 Oz - Rollstock</t>
  </si>
  <si>
    <t>PET/FOIL/PET/TPE</t>
  </si>
  <si>
    <t>N00808</t>
  </si>
  <si>
    <t>Film Nadec FPC Ketchup 21g</t>
  </si>
  <si>
    <t>TOPP/MCPP</t>
  </si>
  <si>
    <t>N00875</t>
  </si>
  <si>
    <t>Siafa Milk Chocolate Dates Almond 100gm Pouch</t>
  </si>
  <si>
    <t>PET/MET PET/TPE/</t>
  </si>
  <si>
    <t>N00880</t>
  </si>
  <si>
    <t>Siafa White Chocolate Dates 100g Pouch</t>
  </si>
  <si>
    <t>B01039</t>
  </si>
  <si>
    <t>New Bayara 465x275 Nuts roll</t>
  </si>
  <si>
    <t>PET/TPE</t>
  </si>
  <si>
    <t>F00837</t>
  </si>
  <si>
    <t>Piccadeli Splash Half Dipped Biscuit 22g</t>
  </si>
  <si>
    <t>F00848</t>
  </si>
  <si>
    <t>Inner Pack - Star SF Yellow 25gm</t>
  </si>
  <si>
    <t>F00849</t>
  </si>
  <si>
    <t>Pran Inner Pack Yellow 25gm</t>
  </si>
  <si>
    <t>H01300</t>
  </si>
  <si>
    <t>Ahlia Sesame Seed Roasted 90Gm+ Ahlia Cardamom Excellent 80Gm+ Ahlia Sesame Seed White 90Gm</t>
  </si>
  <si>
    <t>PET/TCPP</t>
  </si>
  <si>
    <t>J00140</t>
  </si>
  <si>
    <t>Daily Crave Lentil Chips Aged White Cheddar 4.25 Oz (120 gm)</t>
  </si>
  <si>
    <t>MATTE TOPP/MOPP</t>
  </si>
  <si>
    <t>N00766</t>
  </si>
  <si>
    <t>Film Nadec FPC Chilli 21g</t>
  </si>
  <si>
    <t>H00512</t>
  </si>
  <si>
    <t xml:space="preserve">Shahi Name Nil Red 1kg </t>
  </si>
  <si>
    <t>B01040</t>
  </si>
  <si>
    <t>Bayara Doy Pack 185x220+40+40</t>
  </si>
  <si>
    <t>C01379</t>
  </si>
  <si>
    <t>Peacock Al Adil 250gm Pouch (165X230)</t>
  </si>
  <si>
    <t>E00981</t>
  </si>
  <si>
    <t>Quanta Adore Crispy 24g Wrapper With Cold Seal GCC</t>
  </si>
  <si>
    <t>F00840</t>
  </si>
  <si>
    <t>Switch Chippy Choco Chips 20g</t>
  </si>
  <si>
    <t>H01284</t>
  </si>
  <si>
    <t>Kamel Salad OW</t>
  </si>
  <si>
    <t>TOPP/TOPP</t>
  </si>
  <si>
    <t>H01298</t>
  </si>
  <si>
    <t>Ahlia Spices Plian Roll 320 mm</t>
  </si>
  <si>
    <t>H01309</t>
  </si>
  <si>
    <t>WFP FORTIFIED BISCUITS 100 GRAMS ON EDGE 210MM</t>
  </si>
  <si>
    <t>PET/MET PET/TCPP/</t>
  </si>
  <si>
    <t>E00982</t>
  </si>
  <si>
    <t>Tiffany Break Delights 14g GCC</t>
  </si>
  <si>
    <t>B01034</t>
  </si>
  <si>
    <t>Al Fakher Flow Wrap 50gm Roll - 15 Kg</t>
  </si>
  <si>
    <t>PET/MCPP</t>
  </si>
  <si>
    <t>L00293</t>
  </si>
  <si>
    <t>MAQ Washing Powder - 2 Kg</t>
  </si>
  <si>
    <t>PET/PET/WPE/</t>
  </si>
  <si>
    <t>E00975</t>
  </si>
  <si>
    <t>Piccadeli Armada Nutty Caramel 22g Wrapper</t>
  </si>
  <si>
    <t>TOPP/POPP</t>
  </si>
  <si>
    <t>E00984</t>
  </si>
  <si>
    <t>Tiffany Break Supa 30gm 2F Wrapper -GCC</t>
  </si>
  <si>
    <t>E00986</t>
  </si>
  <si>
    <t>Tiffany Spada Chocolate Wafer 20 gm Wrapper Size Change</t>
  </si>
  <si>
    <t>PET/MPOPP</t>
  </si>
  <si>
    <t>B01026</t>
  </si>
  <si>
    <t>Perla Tender Chicken Breast 1 Kg Pouch</t>
  </si>
  <si>
    <t>MATTE TOPP/WPE</t>
  </si>
  <si>
    <t>E00980</t>
  </si>
  <si>
    <t>Tiffany Breaksta 13g GCC</t>
  </si>
  <si>
    <t>E00962</t>
  </si>
  <si>
    <t>Tiffany Breaksta 2 Pc 26g GCC</t>
  </si>
  <si>
    <t>H01297</t>
  </si>
  <si>
    <t>Kingsy Chocolate 40 Grams</t>
  </si>
  <si>
    <t>H01361</t>
  </si>
  <si>
    <t>Hellmans Tomato Ketchup 8gm</t>
  </si>
  <si>
    <t>TOPP/MOPP/TPE/</t>
  </si>
  <si>
    <t>H00916</t>
  </si>
  <si>
    <t>Al Wdaq 170 ml</t>
  </si>
  <si>
    <t>POPP</t>
  </si>
  <si>
    <t>Printed, Waiting for Slitting</t>
  </si>
  <si>
    <t>Whole Food 365 Organic Sea Salt Popcorn</t>
  </si>
  <si>
    <t>TPE</t>
  </si>
  <si>
    <t>PCKG - Unique - Laughing Man Dukales Blend - 12 oz</t>
  </si>
  <si>
    <t>Laminated, Waiting for Lam</t>
  </si>
  <si>
    <t>L1</t>
  </si>
  <si>
    <t>Lofty - Keeping it Classy - 5 LBS - 3D Pouch (MB)</t>
  </si>
  <si>
    <t>MDOPE/MET PE/TPE/</t>
  </si>
  <si>
    <t>Mayorga Café Cubano 2 Lbs - Flat Bottom Pouch - MB</t>
  </si>
  <si>
    <t>MATTE TOPP/PET/FOIL/TPE</t>
  </si>
  <si>
    <t>Unprinted Laminated 128mm Roll Bottom Gusset</t>
  </si>
  <si>
    <t>J00394</t>
  </si>
  <si>
    <t>Speicherstadt Orangutang 125g - 3D Pouch with Zipper + Laser Score + Valve (Main Body)</t>
  </si>
  <si>
    <t>PET/MET PET/WPE/</t>
  </si>
  <si>
    <t>B00389</t>
  </si>
  <si>
    <t>Cool Sun Apple Mango 100% Front and Reverse Foil 1.2m Roll</t>
  </si>
  <si>
    <t>B00995</t>
  </si>
  <si>
    <t>Capri Sun Korea Safari Animals Korea F&amp;R Foil</t>
  </si>
  <si>
    <t>B01010</t>
  </si>
  <si>
    <t>Sun Blast Organic Apple 100% F &amp; R Foil</t>
  </si>
  <si>
    <t>H01213</t>
  </si>
  <si>
    <t>A/M Potato Chips Ripple Cheese 75gm</t>
  </si>
  <si>
    <t>TOPP/MET PET/TPE/</t>
  </si>
  <si>
    <t>J00432</t>
  </si>
  <si>
    <t>Mayorga - Café Cubano 2 Lbs - Flat Bottom Pouch - Pocket Zipper + Valve - Main Body</t>
  </si>
  <si>
    <t>J00904</t>
  </si>
  <si>
    <t>HR Lubricanting Jelly 2 X One Shot 36g (1.25 Oz) / 211-Packet / 36.5" Web (8 Up)</t>
  </si>
  <si>
    <t>J00909</t>
  </si>
  <si>
    <t>EcoVue HV Ultra Sound Gel 32g (Non - Sterile) / 383-Packet / 36.5" Web (8 Up)</t>
  </si>
  <si>
    <t>J00927</t>
  </si>
  <si>
    <t>Doy Santa Maria Work Sauce Pad Thai 150g</t>
  </si>
  <si>
    <t>J00928</t>
  </si>
  <si>
    <t>Doy Santa Maria Wok Sauce Sweet Korean 150g</t>
  </si>
  <si>
    <t>J00929</t>
  </si>
  <si>
    <t>Doy - Wagamama Firecracker Stir Fry Sauce 120g</t>
  </si>
  <si>
    <t>J00935</t>
  </si>
  <si>
    <t>DOY - Golden Tiger Chow Mein 120g</t>
  </si>
  <si>
    <t>J00936</t>
  </si>
  <si>
    <t>Doy - Golden Tiger Oyster &amp; Spring Onion 120g</t>
  </si>
  <si>
    <t>J00937</t>
  </si>
  <si>
    <t>DOY - Golden Tiger Sweet Chilli &amp; Garlic 120g</t>
  </si>
  <si>
    <t>J00938</t>
  </si>
  <si>
    <t>DOY - Golden Tiger Sweet &amp; Sour 120g</t>
  </si>
  <si>
    <t>J00949</t>
  </si>
  <si>
    <t>Doy Santa Maria Wok Sauce Chop Suey 150g</t>
  </si>
  <si>
    <t>N00815</t>
  </si>
  <si>
    <t xml:space="preserve">AL Bustan Turkish Coffee 90gm </t>
  </si>
  <si>
    <t>S22-20</t>
  </si>
  <si>
    <t>Caution : FOC 300 mm Below Saline Water Conversion Crop. New Satelite Plants Water Transmission System Project Roll (Yellow)</t>
  </si>
  <si>
    <t>TPE/FOIL/TPE/</t>
  </si>
  <si>
    <t>HAT Hot Sauce 9g Roll</t>
  </si>
  <si>
    <t>B01005</t>
  </si>
  <si>
    <t>Capri Sun Strawberry Fruit Crush KSA Front &amp; Back Foil</t>
  </si>
  <si>
    <t>B01033</t>
  </si>
  <si>
    <t>Al Fakher 250gm - KSA Pouch (Brown) plain with pkg Hologram</t>
  </si>
  <si>
    <t>B01035</t>
  </si>
  <si>
    <t>Al Fakher 250g - 3 Side Seal Pouch</t>
  </si>
  <si>
    <t>E00977</t>
  </si>
  <si>
    <t>Quanta Adore 26g Chocolate GCC</t>
  </si>
  <si>
    <t>J00187</t>
  </si>
  <si>
    <t>N00817</t>
  </si>
  <si>
    <t xml:space="preserve">Al Bustan Egyptian Seeds Salted 250gm Yellow </t>
  </si>
  <si>
    <t>P00443</t>
  </si>
  <si>
    <t>Aqua Brown UAE Roll Hamwi Café Extra 500gm</t>
  </si>
  <si>
    <t>P00455</t>
  </si>
  <si>
    <t>Richo Chicken stock 10g</t>
  </si>
  <si>
    <t>B01036</t>
  </si>
  <si>
    <t>Al Fakher 250g - Authentic Pouch</t>
  </si>
  <si>
    <t>N00757</t>
  </si>
  <si>
    <t>Al Bustan Japanese Cracker 90gm 318mm W x 220mm L 3D Customer's Machine</t>
  </si>
  <si>
    <t>P00440</t>
  </si>
  <si>
    <t>Hamwi Café Classic With Cardamom 450gm Green BG</t>
  </si>
  <si>
    <t>R00015</t>
  </si>
  <si>
    <t>Al Ameed 3 In 1 With Laser Scoring</t>
  </si>
  <si>
    <t>N00818</t>
  </si>
  <si>
    <t xml:space="preserve">Al Bustan Egyptian Seeds Unsalted 250gm RED </t>
  </si>
  <si>
    <t>P00441</t>
  </si>
  <si>
    <t>Hamwi Café Pure Mocha Coffee 450gm Red BG</t>
  </si>
  <si>
    <t>E00894</t>
  </si>
  <si>
    <t>Tiffany Break Supa (1F) 15g GCC</t>
  </si>
  <si>
    <t>E00936</t>
  </si>
  <si>
    <t>P00431</t>
  </si>
  <si>
    <t>Hamwi City Café 2gm 12 Track With Laser Scoring - 720mm</t>
  </si>
  <si>
    <t>Royal V Tomato</t>
  </si>
  <si>
    <t>Sunbulah Baladi Sambusak KSA 1 Kg</t>
  </si>
  <si>
    <t>PET/NYLON/TPE/</t>
  </si>
  <si>
    <t>Laminated, Waiting for Slitting</t>
  </si>
  <si>
    <t>L2</t>
  </si>
  <si>
    <t>Al Salem Coffee Beans 5 Kg 3D Pouch Stifner</t>
  </si>
  <si>
    <t>TPE/PET/TPE/</t>
  </si>
  <si>
    <t>B00919</t>
  </si>
  <si>
    <t>Capri Sun Nigeria Orange Natural Foil Combination</t>
  </si>
  <si>
    <t>B01027</t>
  </si>
  <si>
    <t>Limaz - Chicken Burger Bag 1Kg</t>
  </si>
  <si>
    <t>PET/WPE</t>
  </si>
  <si>
    <t>C01276</t>
  </si>
  <si>
    <t xml:space="preserve">Gusset for Sea Pearl Cotton Balls 100pcs Pouch *Check Meters &amp; UPs - Calculated based on 11Ups*  * Check WIP* </t>
  </si>
  <si>
    <t>C01444</t>
  </si>
  <si>
    <t>Caution : Electrical Cable Below Yellow with 2 Silver Sides 150 mm Roll</t>
  </si>
  <si>
    <t>E00973</t>
  </si>
  <si>
    <t>Piccadeli WOW Hazelnut wafer 20g Wrapper - Size Change 2024</t>
  </si>
  <si>
    <t>F00844</t>
  </si>
  <si>
    <t>Pouch 100gm Chocodate Real Dark Excl.</t>
  </si>
  <si>
    <t>MATTE TOPP/MET PET/TPE/</t>
  </si>
  <si>
    <t>F00845</t>
  </si>
  <si>
    <t>100g Exclusive No added Sugar</t>
  </si>
  <si>
    <t>B01023</t>
  </si>
  <si>
    <t>Sadia Breaded Chicken Burger Jumbo 10 Pcs</t>
  </si>
  <si>
    <t>F00846</t>
  </si>
  <si>
    <t>Outer Bag Stripy 24 X 35 gm With Matt Varnish</t>
  </si>
  <si>
    <t>F00847</t>
  </si>
  <si>
    <t>Outer bag - Star SF Yellow 25 pc X 25g</t>
  </si>
  <si>
    <t>F00850</t>
  </si>
  <si>
    <t>Outer Bag Pran SF Yellow 25X25gm</t>
  </si>
  <si>
    <t>N00919</t>
  </si>
  <si>
    <t>Gandour Doypack Soudan 10X16.5g Standup Pouch</t>
  </si>
  <si>
    <t>TOPP/WPE</t>
  </si>
  <si>
    <t>P00442</t>
  </si>
  <si>
    <t>Aqua Brown UAE Roll Hamwi Café Classic 500gm</t>
  </si>
  <si>
    <t>G00374</t>
  </si>
  <si>
    <t>ID Fresh Malabar Parota 400g - Chilled-Zipper</t>
  </si>
  <si>
    <t>R00014</t>
  </si>
  <si>
    <t>Al Ameed 2 In 1 With Laser Scoring</t>
  </si>
  <si>
    <t>J00735</t>
  </si>
  <si>
    <t>Schamong 500g - 3D Pouch With Pocket Zipper &amp; Valve - Side Gusset</t>
  </si>
  <si>
    <t>Waiting For Bag/Pouch</t>
  </si>
  <si>
    <t>J00744</t>
  </si>
  <si>
    <t>SuckerPunch - Pepper Fire Pickle Bites 3.4 Oz (101 ml) - Main Body</t>
  </si>
  <si>
    <t>J00745</t>
  </si>
  <si>
    <t>SuckerPunch - Spicy Dill Pickle Bites 3.4 Oz (101 ml) - Main Body</t>
  </si>
  <si>
    <t>J00750</t>
  </si>
  <si>
    <t>SuckerPunch - Bread &amp; Butter Pickle Bites 3.4 oz (101 ml) - Bottom Gusset</t>
  </si>
  <si>
    <t>B01028</t>
  </si>
  <si>
    <t>Kwality Minis Cruncho Nuts 6 Sticks</t>
  </si>
  <si>
    <t>J00747</t>
  </si>
  <si>
    <t>SuckerPunch - Classic Dill Pickle Bites - 3.4 Oz (101 ml) - Bottom Gusset</t>
  </si>
  <si>
    <t>L00288</t>
  </si>
  <si>
    <t>Zoom Bottom Gusset Unprinted</t>
  </si>
  <si>
    <t>P00253</t>
  </si>
  <si>
    <t>Hamawi Classic Roasted Nuts 14g 3D Pouch (MB)</t>
  </si>
  <si>
    <t>J00326</t>
  </si>
  <si>
    <t>Schamong 250g - 3D Pouch With Pocket Zipper &amp; Valve - Main Body</t>
  </si>
  <si>
    <t>PET/TPE EVOH</t>
  </si>
  <si>
    <t>N00339</t>
  </si>
  <si>
    <t>Al Bustan 3D Flat Bottom Pouch - Premium Cashew (S G)</t>
  </si>
  <si>
    <t>G00162</t>
  </si>
  <si>
    <t>Magix Blue 22gm - 3D Pouch - Main Body</t>
  </si>
  <si>
    <t>J00399</t>
  </si>
  <si>
    <t>Speicherstadt Orangutang 500g - 3D Pouch with Zipper + Laser Score + Valve (Side Gusset)</t>
  </si>
  <si>
    <t>J00401</t>
  </si>
  <si>
    <t>Speicherstadt Classic 1000g - 3D Pouch with Zipper + Laser Score + Valve (Side Gusset)</t>
  </si>
  <si>
    <t>J00397</t>
  </si>
  <si>
    <t>Speicherstadt Orangutang 250g - 3D Pouch with Zipper + Laser Score + Valve (Side Gusset)</t>
  </si>
  <si>
    <t>J00389</t>
  </si>
  <si>
    <t>Speicherstadt Classic 250g - 3D Pouch with Zipper + Laser Score + Valve (Side Gusset)</t>
  </si>
  <si>
    <t>J00395</t>
  </si>
  <si>
    <t>Speicherstadt Orangutang 125g - 3D Pouch with Zipper + Laser Score + Valve (Side Gusset)</t>
  </si>
  <si>
    <t>J00391</t>
  </si>
  <si>
    <t>Speicherstadt Classic 500g - 3D Pouch with Zipper + Laser Score + Valve (Side Gusset)</t>
  </si>
  <si>
    <t>J00387</t>
  </si>
  <si>
    <t>Speicherstadt Classic 125g - 3D Pouch with Zipper + Laser Score + Valve (Main Body)</t>
  </si>
  <si>
    <t>C00507</t>
  </si>
  <si>
    <t>Britannia Milk Bikis Kreemz 200gm Pouch Side Gusset Non GCC</t>
  </si>
  <si>
    <t>C00505</t>
  </si>
  <si>
    <t>Britannia Milk Bikis Waffles 200gm pouch Side Gusset Non GCC</t>
  </si>
  <si>
    <t>C00711</t>
  </si>
  <si>
    <t>Britannia Milk Bikis Kreemz 200gm Pouch Side Gusset</t>
  </si>
  <si>
    <t>Mawa Natural Raw Nuts - 100gm (Side Gusset)</t>
  </si>
  <si>
    <t>P00252</t>
  </si>
  <si>
    <t>Hamawi Classic Roasted Nuts 500gm Side Gusset</t>
  </si>
  <si>
    <t>P00250</t>
  </si>
  <si>
    <t>Hamawi Classic Roasted Nuts 250gm  (SG)</t>
  </si>
  <si>
    <t>OKAM - Green Farms Classic Rice - 5 Kg - Stifner</t>
  </si>
  <si>
    <t>OKAM - Indian Mazza Rice 10Kg - 3D Pouch</t>
  </si>
  <si>
    <t>N00416</t>
  </si>
  <si>
    <t>Siafa Dates Brown Chocolate Mamool 3D Pouch Side Gusset 210g</t>
  </si>
  <si>
    <t>P00335</t>
  </si>
  <si>
    <t>TBA White Printed With Matt Lacquer 3D pouch Side Gusset</t>
  </si>
  <si>
    <t>PE Strip for 3D Pouch</t>
  </si>
  <si>
    <t>N00546</t>
  </si>
  <si>
    <t>OKAM Indian Mazza Rice 5Kg 3D Pouch Front Body</t>
  </si>
  <si>
    <t>B00641</t>
  </si>
  <si>
    <t>Cali 1 Kg Seeds 3D Pouch Side Gusset Outside Print</t>
  </si>
  <si>
    <t>B00619</t>
  </si>
  <si>
    <t>Devonian 1000 Seeds 3D Pouch Side Gusset Outside Print</t>
  </si>
  <si>
    <t>B00623</t>
  </si>
  <si>
    <t>Devonian 1 kg Seeds 3D Pouch Side Gusset Outside Print</t>
  </si>
  <si>
    <t>N00669</t>
  </si>
  <si>
    <t>J00689</t>
  </si>
  <si>
    <t>SCHUIL Coffee Flat Bottom Flavoured 12 Oz Side Gusset</t>
  </si>
  <si>
    <t>J00699</t>
  </si>
  <si>
    <t>Downeast - Reserve Retail - 12 Oz - Flat Bottom Pouch With Pocket Zipper + Valve - Side Gusset</t>
  </si>
  <si>
    <t>J00697</t>
  </si>
  <si>
    <t>Downeast - 100% Columbian - 12 Oz - Flat Bottom Pouch With Pocket Zipper + Valve - Side Gusset</t>
  </si>
  <si>
    <t>J00691</t>
  </si>
  <si>
    <t>Downeast - Morning Blend - 12 Oz - Flat Bottom Pouch With Pocket Zipper + Valve - Side Gusset</t>
  </si>
  <si>
    <t>J00687</t>
  </si>
  <si>
    <t>SCHUIL Coffee Flat Bottom Original 12 Oz Side Gusset</t>
  </si>
  <si>
    <t>J00693</t>
  </si>
  <si>
    <t>Downeast - Cinnamon Hazelnut - 12 Oz - Flat Bottom Pouch With Pocket Zipper + Valve - Side Gusset</t>
  </si>
  <si>
    <t>B00803</t>
  </si>
  <si>
    <t>Unprinted Cake Pouch</t>
  </si>
  <si>
    <t>NYLON/TPE</t>
  </si>
  <si>
    <t>S17(A)-37</t>
  </si>
  <si>
    <t>Unprinted  Plain Pouch 1.8 kg Block Cheese</t>
  </si>
  <si>
    <t>B00136</t>
  </si>
  <si>
    <t xml:space="preserve">Al Fakher 250gm - KSA Pouch </t>
  </si>
  <si>
    <t>C00566</t>
  </si>
  <si>
    <t xml:space="preserve">Gusset For Sea Pearl Cotton Balls 100 Pcs Pouch </t>
  </si>
  <si>
    <t>B00998</t>
  </si>
  <si>
    <t>Mawa Natural Row Nuts 100gm Side Gusset *Check Tol:*</t>
  </si>
  <si>
    <t>B00999</t>
  </si>
  <si>
    <t>Mawa Natural Row Nuts 500gm Main Body *Check Tol:*</t>
  </si>
  <si>
    <t>Waiting For Spout/Valve</t>
  </si>
  <si>
    <t>J00400</t>
  </si>
  <si>
    <t>Speicherstadt Orangutang 1000g - 3D Pouch with Zipper + Laser Score + Valve (Main Body)</t>
  </si>
  <si>
    <t>J00686</t>
  </si>
  <si>
    <t>SCHUIL Coffee Flat Bottom Original 12 Oz Main Body</t>
  </si>
  <si>
    <t>Lime Green Full Coat</t>
  </si>
  <si>
    <t>PET/NYLON/WPE/</t>
  </si>
  <si>
    <t>Opening C/f</t>
  </si>
  <si>
    <t>J00896</t>
  </si>
  <si>
    <t>Schamong 500g - 3D Pouch With Pocket Zipper &amp; Valve - Side Gusset - RED Promotion</t>
  </si>
  <si>
    <t>J00898</t>
  </si>
  <si>
    <t>Schamong 1000g - 3D Pouch With Pocket Zipper &amp; Valve - Side Gusset - RED Promotion</t>
  </si>
  <si>
    <t>C00605</t>
  </si>
  <si>
    <t>Uno Plus Pure Water Wipes - 28 Wipes Roll</t>
  </si>
  <si>
    <t>C00660</t>
  </si>
  <si>
    <t>Baby Joy Sensitive 76's Wipes Roll</t>
  </si>
  <si>
    <t>F00386</t>
  </si>
  <si>
    <t>Igloo Yummy 65ml Peanut Crunch Bar Wrapper</t>
  </si>
  <si>
    <t>F00468</t>
  </si>
  <si>
    <t>Tiffany Day Break Assorted 225gm Pouch</t>
  </si>
  <si>
    <t>J00631</t>
  </si>
  <si>
    <t>Central Market Veggie Chips 170gm</t>
  </si>
  <si>
    <t>F00626</t>
  </si>
  <si>
    <t>Dari Paratha 400gm Plain</t>
  </si>
  <si>
    <t>G00306</t>
  </si>
  <si>
    <t>ID Fresh -  Natural Whole Wheat Parota Orange 400g Frozen</t>
  </si>
  <si>
    <t>H01120</t>
  </si>
  <si>
    <t>Romana Water 405mm</t>
  </si>
  <si>
    <t>PET/FOIL/PET/</t>
  </si>
  <si>
    <t>S13-38</t>
  </si>
  <si>
    <t>Al Mudhish Ripples Crispy Hot Sauce 15gm</t>
  </si>
  <si>
    <t>E00221</t>
  </si>
  <si>
    <t>Quanta Yonkers 16g GCC</t>
  </si>
  <si>
    <t>J00777</t>
  </si>
  <si>
    <t>Schamong 250g - 3D Pouch With Pocket Zipper &amp; Valve - Main Body - RED Promotion</t>
  </si>
  <si>
    <t>J00780</t>
  </si>
  <si>
    <t>J00782</t>
  </si>
  <si>
    <t>G00324</t>
  </si>
  <si>
    <t>Gulfar 2kg Pouch</t>
  </si>
  <si>
    <t>J00695</t>
  </si>
  <si>
    <t>Downeast - Dark Roast - 12 Oz - Flat Bottom Pouch With Pocket Zipper + Valve - Side Gusset</t>
  </si>
  <si>
    <t>J00331</t>
  </si>
  <si>
    <t>Schamong 1000g - 3D Pouch With Pocket Zipper &amp; Valve - Side Gusset</t>
  </si>
  <si>
    <t>N00337</t>
  </si>
  <si>
    <t>Al Bustan 3D Pouch Flat Bottom Pistachio- Side Gusset</t>
  </si>
  <si>
    <t>J00563</t>
  </si>
  <si>
    <t>Dishaka - SGS AUDIT - OPTION 3</t>
  </si>
  <si>
    <t>J00582</t>
  </si>
  <si>
    <t>MATTE TOPP</t>
  </si>
  <si>
    <t>J00111</t>
  </si>
  <si>
    <t>Unique 16 Oz - Flat Bottom Pouch - Valve + Tin Tie - Main Body</t>
  </si>
  <si>
    <t>P00334</t>
  </si>
  <si>
    <t>TBA White Printed With Matt Lacquer 3D pouch</t>
  </si>
  <si>
    <t>H01065</t>
  </si>
  <si>
    <t>Unprinted 3 Side Seal Pouch 100mm</t>
  </si>
  <si>
    <t>B00774</t>
  </si>
  <si>
    <t>RW Igolie letter 75 x 500g Office FSC</t>
  </si>
  <si>
    <t>TOPP/PAPER</t>
  </si>
  <si>
    <t>Unprinted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</si>
</sst>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2" fontId="0" fillId="0" borderId="0" xfId="0" applyNumberFormat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164" fontId="3" fillId="2" borderId="0" xfId="1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3" fontId="5" fillId="3" borderId="2" xfId="1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4" fillId="0" borderId="4" xfId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left" vertical="center"/>
    </xf>
    <xf numFmtId="0" fontId="0" fillId="0" borderId="6" xfId="0" applyBorder="1"/>
    <xf numFmtId="0" fontId="7" fillId="0" borderId="3" xfId="0" applyFont="1" applyBorder="1" applyAlignment="1">
      <alignment horizontal="left" vertical="center"/>
    </xf>
    <xf numFmtId="164" fontId="4" fillId="0" borderId="5" xfId="1" applyNumberFormat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7" xfId="0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Comma 3 6 3" xfId="2" xr:uid="{0028D082-B95E-46E8-B147-A1D11B536F76}"/>
    <cellStyle name="Normal" xfId="0" builtinId="0"/>
  </cellStyles>
  <dxfs count="14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jo\Desktop\Automation\Base%20RMC%20Documents\01%20Jan\Base%20RMC%20Input%20Files\1%20Base%20RMC%20_%202026%20January.xlsx" TargetMode="External"/><Relationship Id="rId1" Type="http://schemas.openxmlformats.org/officeDocument/2006/relationships/externalLinkPath" Target="1%20Base%20RMC%20_%202026%20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0.%20COSTING%20DATABASE\02%20-%20Gokila\01%20-%20Base%20RMC\2025\12.Dec'25\01%20-%20Base%20RMC%20_%202025%20December.xlsx" TargetMode="External"/><Relationship Id="rId1" Type="http://schemas.openxmlformats.org/officeDocument/2006/relationships/externalLinkPath" Target="file:///Z:\00.%20COSTING%20DATABASE\02%20-%20Gokila\01%20-%20Base%20RMC\2025\12.Dec'25\01%20-%20Base%20RMC%20_%202025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bossing"/>
      <sheetName val="Pivot (BFL)"/>
      <sheetName val="BFL"/>
      <sheetName val="Pivot (Spout&amp;Valve)"/>
      <sheetName val="Spout&amp;Valve"/>
      <sheetName val="Bag&amp;Pouch"/>
      <sheetName val="Pivot (B &amp; P)"/>
      <sheetName val="PTR Rew"/>
      <sheetName val="Pivot_Lam Rates"/>
      <sheetName val="Slit"/>
      <sheetName val="Pivot (S)"/>
      <sheetName val="Pivot (PTR Rew)"/>
      <sheetName val="Lam"/>
      <sheetName val="Pivot (L)"/>
      <sheetName val="Print"/>
      <sheetName val="Matt Laquer"/>
      <sheetName val="prnt wrkg pivot"/>
      <sheetName val="Printing Work"/>
      <sheetName val="Pivot (P)"/>
      <sheetName val="Pivot (HCI Rew)"/>
      <sheetName val="HCI Rew"/>
      <sheetName val="RMC summary"/>
      <sheetName val="Jobtrack"/>
      <sheetName val="FG"/>
      <sheetName val="Overall Wastage - Process Wise"/>
      <sheetName val="OPN_WIP"/>
      <sheetName val="CLS_W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B6" t="str">
            <v>Order No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on KPI"/>
      <sheetName val="Extr JCO"/>
      <sheetName val="Pivot (E)"/>
      <sheetName val="Embossing"/>
      <sheetName val="Pivot (BFL)"/>
      <sheetName val="BFL"/>
      <sheetName val="Pivot (Spout&amp;Valve)"/>
      <sheetName val="Spout&amp;Valve"/>
      <sheetName val="ptd mtrs"/>
      <sheetName val="Bag&amp;Pouch"/>
      <sheetName val="Pivot (B &amp; P)"/>
      <sheetName val="Pivot (S)"/>
      <sheetName val="Slit"/>
      <sheetName val="Pivot_Lam Rates"/>
      <sheetName val="Pivot (L)"/>
      <sheetName val="PTR Rew"/>
      <sheetName val="Pivot (PTR Rew)"/>
      <sheetName val="Lam"/>
      <sheetName val="Print"/>
      <sheetName val="Matt Laquer"/>
      <sheetName val="prnt wrkg pivot"/>
      <sheetName val="Printing Work"/>
      <sheetName val="Pivot (P)"/>
      <sheetName val="Pivot (HCI Rew)"/>
      <sheetName val="HCI Rew"/>
      <sheetName val="Reco-RMC QTY"/>
      <sheetName val="RMC summary"/>
      <sheetName val="Sheet5"/>
      <sheetName val="Jobtrack (ADH adj)"/>
      <sheetName val="Jobtrack"/>
      <sheetName val="FG"/>
      <sheetName val="Overall Wastage - Product Wise"/>
      <sheetName val="Overall Wastage - Process Wise"/>
      <sheetName val="OPN_WIP"/>
      <sheetName val="CLS_WIP"/>
      <sheetName val="NOTE"/>
      <sheetName val="Sheet4"/>
      <sheetName val="Sheet1"/>
      <sheetName val="Sheet3"/>
      <sheetName val="Sheet2"/>
      <sheetName val="NO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">
          <cell r="B2" t="str">
            <v>INTEGRATED PLASTICS PACKAGING</v>
          </cell>
          <cell r="E2"/>
          <cell r="I2"/>
        </row>
        <row r="3">
          <cell r="B3" t="str">
            <v>Semi Processed Film Stock as on 30-11-2025</v>
          </cell>
          <cell r="E3"/>
          <cell r="I3"/>
        </row>
        <row r="4">
          <cell r="B4"/>
          <cell r="E4"/>
        </row>
        <row r="5">
          <cell r="A5" t="str">
            <v>W/OPs</v>
          </cell>
          <cell r="B5" t="str">
            <v>W/O</v>
          </cell>
          <cell r="E5" t="str">
            <v>Process</v>
          </cell>
          <cell r="I5" t="str">
            <v>Rate</v>
          </cell>
        </row>
        <row r="6">
          <cell r="A6" t="str">
            <v>B00684Pm</v>
          </cell>
          <cell r="B6" t="str">
            <v>B00684</v>
          </cell>
          <cell r="E6" t="str">
            <v>Printed, Waiting for Lam</v>
          </cell>
          <cell r="I6">
            <v>9.1503158452713542</v>
          </cell>
        </row>
        <row r="7">
          <cell r="A7" t="str">
            <v>B00955Pm</v>
          </cell>
          <cell r="B7" t="str">
            <v>B00955</v>
          </cell>
          <cell r="E7" t="str">
            <v>Printed, Waiting for Lam</v>
          </cell>
          <cell r="I7">
            <v>10.933513380104772</v>
          </cell>
        </row>
        <row r="8">
          <cell r="A8" t="str">
            <v>C00611Pm</v>
          </cell>
          <cell r="B8" t="str">
            <v>C00611</v>
          </cell>
          <cell r="E8" t="str">
            <v>Printed, Waiting for Lam</v>
          </cell>
          <cell r="I8">
            <v>10.227875677114103</v>
          </cell>
        </row>
        <row r="9">
          <cell r="A9" t="str">
            <v>C00875Pm</v>
          </cell>
          <cell r="B9" t="str">
            <v>C00875</v>
          </cell>
          <cell r="E9" t="str">
            <v>Printed, Waiting for Lam</v>
          </cell>
          <cell r="I9">
            <v>9.5354124757456855</v>
          </cell>
        </row>
        <row r="10">
          <cell r="A10" t="str">
            <v>C01274Pm</v>
          </cell>
          <cell r="B10" t="str">
            <v>C01274</v>
          </cell>
          <cell r="E10" t="str">
            <v>Printed, Waiting for Lam</v>
          </cell>
          <cell r="I10">
            <v>5.9509229494528109</v>
          </cell>
        </row>
        <row r="11">
          <cell r="A11" t="str">
            <v>E00951Pm</v>
          </cell>
          <cell r="B11" t="str">
            <v>E00951</v>
          </cell>
          <cell r="E11" t="str">
            <v>Printed, Waiting for Lam</v>
          </cell>
          <cell r="I11">
            <v>8.8341266956131346</v>
          </cell>
        </row>
        <row r="12">
          <cell r="A12" t="str">
            <v>G00370Pm</v>
          </cell>
          <cell r="B12" t="str">
            <v>G00370</v>
          </cell>
          <cell r="E12" t="str">
            <v>Printed, Waiting for Lam</v>
          </cell>
          <cell r="I12">
            <v>5.7379150073436165</v>
          </cell>
        </row>
        <row r="13">
          <cell r="A13" t="str">
            <v>R00004Pm</v>
          </cell>
          <cell r="B13" t="str">
            <v>R00004</v>
          </cell>
          <cell r="E13" t="str">
            <v>Printed, Waiting for Lam</v>
          </cell>
          <cell r="I13">
            <v>0</v>
          </cell>
        </row>
        <row r="14">
          <cell r="A14" t="str">
            <v>J00140Pm</v>
          </cell>
          <cell r="B14" t="str">
            <v>J00140</v>
          </cell>
          <cell r="E14" t="str">
            <v>Printed, Waiting for Lam</v>
          </cell>
          <cell r="I14">
            <v>11.190991545790414</v>
          </cell>
        </row>
        <row r="15">
          <cell r="A15" t="str">
            <v>J00905Pm</v>
          </cell>
          <cell r="B15" t="str">
            <v>J00905</v>
          </cell>
          <cell r="E15" t="str">
            <v>Printed, Waiting for Lam</v>
          </cell>
          <cell r="I15">
            <v>8.2780670979200952</v>
          </cell>
        </row>
        <row r="16">
          <cell r="A16" t="str">
            <v>N00740Pm</v>
          </cell>
          <cell r="B16" t="str">
            <v>N00740</v>
          </cell>
          <cell r="E16" t="str">
            <v>Printed, Waiting for Lam</v>
          </cell>
          <cell r="I16">
            <v>9.2392441516358925</v>
          </cell>
        </row>
        <row r="17">
          <cell r="A17" t="str">
            <v>N00756Pm</v>
          </cell>
          <cell r="B17" t="str">
            <v>N00756</v>
          </cell>
          <cell r="E17" t="str">
            <v>Printed, Waiting for Lam</v>
          </cell>
          <cell r="I17">
            <v>8.3269055499819871</v>
          </cell>
        </row>
        <row r="18">
          <cell r="A18" t="str">
            <v>B00948Pm</v>
          </cell>
          <cell r="B18" t="str">
            <v>B00948</v>
          </cell>
          <cell r="E18" t="str">
            <v>Printed, Waiting for Lam</v>
          </cell>
          <cell r="I18">
            <v>12.221680945986549</v>
          </cell>
        </row>
        <row r="19">
          <cell r="A19" t="str">
            <v>B00982Pm</v>
          </cell>
          <cell r="B19" t="str">
            <v>B00982</v>
          </cell>
          <cell r="E19" t="str">
            <v>Printed, Waiting for Lam</v>
          </cell>
          <cell r="I19">
            <v>9.0935771837463086</v>
          </cell>
        </row>
        <row r="20">
          <cell r="A20" t="str">
            <v>B01009Pm</v>
          </cell>
          <cell r="B20" t="str">
            <v>B01009</v>
          </cell>
          <cell r="E20" t="str">
            <v>Printed, Waiting for Lam</v>
          </cell>
          <cell r="I20">
            <v>11.817195232696028</v>
          </cell>
        </row>
        <row r="21">
          <cell r="A21" t="str">
            <v>J00900Pm</v>
          </cell>
          <cell r="B21" t="str">
            <v>J00900</v>
          </cell>
          <cell r="E21" t="str">
            <v>Printed, Waiting for Lam</v>
          </cell>
          <cell r="I21">
            <v>9.8316346764040485</v>
          </cell>
        </row>
        <row r="22">
          <cell r="A22" t="str">
            <v>N00754Pm</v>
          </cell>
          <cell r="B22" t="str">
            <v>N00754</v>
          </cell>
          <cell r="E22" t="str">
            <v>Printed, Waiting for Lam</v>
          </cell>
          <cell r="I22">
            <v>7.8822620770929843</v>
          </cell>
        </row>
        <row r="23">
          <cell r="A23" t="str">
            <v>B00980Pm</v>
          </cell>
          <cell r="B23" t="str">
            <v>B00980</v>
          </cell>
          <cell r="E23" t="str">
            <v>Printed, Waiting for Lam</v>
          </cell>
          <cell r="I23">
            <v>9.2237188790349425</v>
          </cell>
        </row>
        <row r="24">
          <cell r="A24" t="str">
            <v>G00349Pm</v>
          </cell>
          <cell r="B24" t="str">
            <v>G00349</v>
          </cell>
          <cell r="E24" t="str">
            <v>Printed, Waiting for Lam</v>
          </cell>
          <cell r="I24">
            <v>9.2132761678638193</v>
          </cell>
        </row>
        <row r="25">
          <cell r="A25" t="str">
            <v>J00546Pm</v>
          </cell>
          <cell r="B25" t="str">
            <v>J00546</v>
          </cell>
          <cell r="E25" t="str">
            <v>Printed, Waiting for Lam</v>
          </cell>
          <cell r="I25">
            <v>16.717548734056624</v>
          </cell>
        </row>
        <row r="26">
          <cell r="A26" t="str">
            <v>H00512Pm</v>
          </cell>
          <cell r="B26" t="str">
            <v>H00512</v>
          </cell>
          <cell r="E26" t="str">
            <v>Printed, Waiting for Lam</v>
          </cell>
          <cell r="I26">
            <v>10.689658891987287</v>
          </cell>
        </row>
        <row r="27">
          <cell r="A27" t="str">
            <v>B00761Pm</v>
          </cell>
          <cell r="B27" t="str">
            <v>B00761</v>
          </cell>
          <cell r="E27" t="str">
            <v>Printed, Waiting for Lam</v>
          </cell>
          <cell r="I27">
            <v>8.6878008252442385</v>
          </cell>
        </row>
        <row r="28">
          <cell r="A28" t="str">
            <v>G00306Pm</v>
          </cell>
          <cell r="B28" t="str">
            <v>G00306</v>
          </cell>
          <cell r="E28" t="str">
            <v>Printed, Waiting for Lam</v>
          </cell>
          <cell r="I28">
            <v>10.079741432108893</v>
          </cell>
        </row>
        <row r="29">
          <cell r="A29" t="str">
            <v>L00283Pm</v>
          </cell>
          <cell r="B29" t="str">
            <v>L00283</v>
          </cell>
          <cell r="E29" t="str">
            <v>Printed, Waiting for Lam</v>
          </cell>
          <cell r="I29">
            <v>10.400385014843662</v>
          </cell>
        </row>
        <row r="30">
          <cell r="A30" t="str">
            <v>L00286Pm</v>
          </cell>
          <cell r="B30" t="str">
            <v>L00286</v>
          </cell>
          <cell r="E30" t="str">
            <v>Printed, Waiting for Lam</v>
          </cell>
          <cell r="I30">
            <v>10.491563212238489</v>
          </cell>
        </row>
        <row r="31">
          <cell r="A31" t="str">
            <v>L00287Pm</v>
          </cell>
          <cell r="B31" t="str">
            <v>L00287</v>
          </cell>
          <cell r="E31" t="str">
            <v>Printed, Waiting for Lam</v>
          </cell>
          <cell r="I31">
            <v>9.7778344387910554</v>
          </cell>
        </row>
        <row r="32">
          <cell r="A32" t="str">
            <v>E00945Pm</v>
          </cell>
          <cell r="B32" t="str">
            <v>E00945</v>
          </cell>
          <cell r="E32" t="str">
            <v>Printed, Waiting for Lam</v>
          </cell>
          <cell r="I32">
            <v>9.207873554329046</v>
          </cell>
        </row>
        <row r="33">
          <cell r="A33" t="str">
            <v>J00899Pm</v>
          </cell>
          <cell r="B33" t="str">
            <v>J00899</v>
          </cell>
          <cell r="E33" t="str">
            <v>Printed, Waiting for Lam</v>
          </cell>
          <cell r="I33">
            <v>9.8924388743150242</v>
          </cell>
        </row>
        <row r="34">
          <cell r="A34" t="str">
            <v>L00282Pm</v>
          </cell>
          <cell r="B34" t="str">
            <v>L00282</v>
          </cell>
          <cell r="E34" t="str">
            <v>Printed, Waiting for Lam</v>
          </cell>
          <cell r="I34">
            <v>9.3711464700688687</v>
          </cell>
        </row>
        <row r="35">
          <cell r="A35" t="str">
            <v>N00755Pm</v>
          </cell>
          <cell r="B35" t="str">
            <v>N00755</v>
          </cell>
          <cell r="E35" t="str">
            <v>Printed, Waiting for Lam</v>
          </cell>
          <cell r="I35">
            <v>7.5312380341909</v>
          </cell>
        </row>
        <row r="36">
          <cell r="A36" t="str">
            <v>G00339Pm</v>
          </cell>
          <cell r="B36" t="str">
            <v>G00339</v>
          </cell>
          <cell r="E36" t="str">
            <v>Printed, Waiting for Lam</v>
          </cell>
          <cell r="I36">
            <v>11.266356039561991</v>
          </cell>
        </row>
        <row r="37">
          <cell r="A37" t="str">
            <v>E00894Pm</v>
          </cell>
          <cell r="B37" t="str">
            <v>E00894</v>
          </cell>
          <cell r="E37" t="str">
            <v>Printed, Waiting for Lam</v>
          </cell>
          <cell r="I37">
            <v>11.104803703817291</v>
          </cell>
        </row>
        <row r="38">
          <cell r="A38" t="str">
            <v>B00963Pm</v>
          </cell>
          <cell r="B38" t="str">
            <v>B00963</v>
          </cell>
          <cell r="E38" t="str">
            <v>Printed, Waiting for Lam</v>
          </cell>
          <cell r="I38">
            <v>8.6509330087566259</v>
          </cell>
        </row>
        <row r="39">
          <cell r="A39" t="str">
            <v>64423Pg</v>
          </cell>
          <cell r="B39">
            <v>64423</v>
          </cell>
          <cell r="E39" t="str">
            <v>Printed, Waiting for Slitting</v>
          </cell>
          <cell r="I39">
            <v>9.6306486450293072</v>
          </cell>
        </row>
        <row r="40">
          <cell r="A40" t="str">
            <v>H00916Pg</v>
          </cell>
          <cell r="B40" t="str">
            <v>H00916</v>
          </cell>
          <cell r="E40" t="str">
            <v>Printed, Waiting for Slitting</v>
          </cell>
          <cell r="I40">
            <v>11.589939782414316</v>
          </cell>
        </row>
        <row r="41">
          <cell r="A41" t="str">
            <v>H01256Pg</v>
          </cell>
          <cell r="B41" t="str">
            <v>H01256</v>
          </cell>
          <cell r="E41" t="str">
            <v>Printed, Waiting for Slitting</v>
          </cell>
          <cell r="I41">
            <v>9.2754388434734096</v>
          </cell>
        </row>
        <row r="42">
          <cell r="A42" t="str">
            <v>J00394LmL1</v>
          </cell>
          <cell r="B42" t="str">
            <v>J00394</v>
          </cell>
          <cell r="E42" t="str">
            <v>Laminated, Waiting for Lam</v>
          </cell>
          <cell r="I42">
            <v>11.463221388253332</v>
          </cell>
        </row>
        <row r="43">
          <cell r="A43" t="str">
            <v>60498LmL1</v>
          </cell>
          <cell r="B43">
            <v>60498</v>
          </cell>
          <cell r="E43" t="str">
            <v>Laminated, Waiting for Lam</v>
          </cell>
          <cell r="I43">
            <v>8.76</v>
          </cell>
        </row>
        <row r="44">
          <cell r="A44" t="str">
            <v>60810LmL1</v>
          </cell>
          <cell r="B44">
            <v>60810</v>
          </cell>
          <cell r="E44" t="str">
            <v>Laminated, Waiting for Lam</v>
          </cell>
          <cell r="I44">
            <v>7.6322089008796938</v>
          </cell>
        </row>
        <row r="45">
          <cell r="A45" t="str">
            <v>62445LmL1</v>
          </cell>
          <cell r="B45">
            <v>62445</v>
          </cell>
          <cell r="E45" t="str">
            <v>Laminated, Waiting for Lam</v>
          </cell>
          <cell r="I45">
            <v>12.199675997791051</v>
          </cell>
        </row>
        <row r="46">
          <cell r="A46" t="str">
            <v>62768LmL1</v>
          </cell>
          <cell r="B46">
            <v>62768</v>
          </cell>
          <cell r="E46" t="str">
            <v>Laminated, Waiting for Lam</v>
          </cell>
          <cell r="I46">
            <v>8.6006250009846621</v>
          </cell>
        </row>
        <row r="47">
          <cell r="A47" t="str">
            <v>B00389LmL1</v>
          </cell>
          <cell r="B47" t="str">
            <v>B00389</v>
          </cell>
          <cell r="E47" t="str">
            <v>Laminated, Waiting for Lam</v>
          </cell>
          <cell r="I47">
            <v>13.211162421954807</v>
          </cell>
        </row>
        <row r="48">
          <cell r="A48" t="str">
            <v>B00859LmL1</v>
          </cell>
          <cell r="B48" t="str">
            <v>B00859</v>
          </cell>
          <cell r="E48" t="str">
            <v>Laminated, Waiting for Lam</v>
          </cell>
          <cell r="I48">
            <v>7.4597543040807359</v>
          </cell>
        </row>
        <row r="49">
          <cell r="A49" t="str">
            <v>B00963LmL1</v>
          </cell>
          <cell r="B49" t="str">
            <v>B00963</v>
          </cell>
          <cell r="E49" t="str">
            <v>Laminated, Waiting for Lam</v>
          </cell>
          <cell r="I49">
            <v>7.503927824693073</v>
          </cell>
        </row>
        <row r="50">
          <cell r="A50" t="str">
            <v>B00964LmL1</v>
          </cell>
          <cell r="B50" t="str">
            <v>B00964</v>
          </cell>
          <cell r="E50" t="str">
            <v>Laminated, Waiting for Lam</v>
          </cell>
          <cell r="I50">
            <v>7.3601280317523932</v>
          </cell>
        </row>
        <row r="51">
          <cell r="A51" t="str">
            <v>B00965LmL1</v>
          </cell>
          <cell r="B51" t="str">
            <v>B00965</v>
          </cell>
          <cell r="E51" t="str">
            <v>Laminated, Waiting for Lam</v>
          </cell>
          <cell r="I51">
            <v>7.434013442852601</v>
          </cell>
        </row>
        <row r="52">
          <cell r="A52" t="str">
            <v>B00975LmL1</v>
          </cell>
          <cell r="B52" t="str">
            <v>B00975</v>
          </cell>
          <cell r="E52" t="str">
            <v>Laminated, Waiting for Lam</v>
          </cell>
          <cell r="I52">
            <v>9.1488760907989946</v>
          </cell>
        </row>
        <row r="53">
          <cell r="A53" t="str">
            <v>B00983LmL1</v>
          </cell>
          <cell r="B53" t="str">
            <v>B00983</v>
          </cell>
          <cell r="E53" t="str">
            <v>Laminated, Waiting for Lam</v>
          </cell>
          <cell r="I53">
            <v>9.5484169121094897</v>
          </cell>
        </row>
        <row r="54">
          <cell r="A54" t="str">
            <v>B00991LmL1</v>
          </cell>
          <cell r="B54" t="str">
            <v>B00991</v>
          </cell>
          <cell r="E54" t="str">
            <v>Laminated, Waiting for Lam</v>
          </cell>
          <cell r="I54">
            <v>9.0657427901325214</v>
          </cell>
        </row>
        <row r="55">
          <cell r="A55" t="str">
            <v>F00813LmL1</v>
          </cell>
          <cell r="B55" t="str">
            <v>F00813</v>
          </cell>
          <cell r="E55" t="str">
            <v>Laminated, Waiting for Lam</v>
          </cell>
          <cell r="I55">
            <v>12.785420719506151</v>
          </cell>
        </row>
        <row r="56">
          <cell r="A56" t="str">
            <v>J00432LmL1</v>
          </cell>
          <cell r="B56" t="str">
            <v>J00432</v>
          </cell>
          <cell r="E56" t="str">
            <v>Laminated, Waiting for Lam</v>
          </cell>
          <cell r="I56">
            <v>9.7770348513598986</v>
          </cell>
        </row>
        <row r="57">
          <cell r="A57" t="str">
            <v>J00593LmL1</v>
          </cell>
          <cell r="B57" t="str">
            <v>J00593</v>
          </cell>
          <cell r="E57" t="str">
            <v>Laminated, Waiting for Lam</v>
          </cell>
          <cell r="I57">
            <v>8.4271675463537292</v>
          </cell>
        </row>
        <row r="58">
          <cell r="A58" t="str">
            <v>J00792LmL1</v>
          </cell>
          <cell r="B58" t="str">
            <v>J00792</v>
          </cell>
          <cell r="E58" t="str">
            <v>Laminated, Waiting for Lam</v>
          </cell>
          <cell r="I58">
            <v>8.0477945008986627</v>
          </cell>
        </row>
        <row r="59">
          <cell r="A59" t="str">
            <v>S22-20LmL1</v>
          </cell>
          <cell r="B59" t="str">
            <v>S22-20</v>
          </cell>
          <cell r="E59" t="str">
            <v>Laminated, Waiting for Lam</v>
          </cell>
          <cell r="I59">
            <v>6.0337383426402944</v>
          </cell>
        </row>
        <row r="60">
          <cell r="A60" t="str">
            <v>59394LmL1</v>
          </cell>
          <cell r="B60">
            <v>59394</v>
          </cell>
          <cell r="E60" t="str">
            <v>Laminated, Waiting for Lam</v>
          </cell>
          <cell r="I60">
            <v>11.438681300267337</v>
          </cell>
        </row>
        <row r="61">
          <cell r="A61" t="str">
            <v>J00187LmL1</v>
          </cell>
          <cell r="B61" t="str">
            <v>J00187</v>
          </cell>
          <cell r="E61" t="str">
            <v>Laminated, Waiting for Lam</v>
          </cell>
          <cell r="I61">
            <v>9.955544915932748</v>
          </cell>
        </row>
        <row r="62">
          <cell r="A62" t="str">
            <v>J00744LmL1</v>
          </cell>
          <cell r="B62" t="str">
            <v>J00744</v>
          </cell>
          <cell r="E62" t="str">
            <v>Laminated, Waiting for Lam</v>
          </cell>
          <cell r="I62">
            <v>15.443872913945441</v>
          </cell>
        </row>
        <row r="63">
          <cell r="A63" t="str">
            <v>J00745LmL1</v>
          </cell>
          <cell r="B63" t="str">
            <v>J00745</v>
          </cell>
          <cell r="E63" t="str">
            <v>Laminated, Waiting for Lam</v>
          </cell>
          <cell r="I63">
            <v>14.93021037418457</v>
          </cell>
        </row>
        <row r="64">
          <cell r="A64" t="str">
            <v>B00984LmL1</v>
          </cell>
          <cell r="B64" t="str">
            <v>B00984</v>
          </cell>
          <cell r="E64" t="str">
            <v>Laminated, Waiting for Lam</v>
          </cell>
          <cell r="I64">
            <v>9.8631700072594466</v>
          </cell>
        </row>
        <row r="65">
          <cell r="A65" t="str">
            <v>J00746LmL1</v>
          </cell>
          <cell r="B65" t="str">
            <v>J00746</v>
          </cell>
          <cell r="E65" t="str">
            <v>Laminated, Waiting for Lam</v>
          </cell>
          <cell r="I65">
            <v>14.988266713951317</v>
          </cell>
        </row>
        <row r="66">
          <cell r="A66" t="str">
            <v>B00857LmL1</v>
          </cell>
          <cell r="B66" t="str">
            <v>B00857</v>
          </cell>
          <cell r="E66" t="str">
            <v>Laminated, Waiting for Lam</v>
          </cell>
          <cell r="I66">
            <v>7.3848515494785332</v>
          </cell>
        </row>
        <row r="67">
          <cell r="A67" t="str">
            <v>B00915LmL1</v>
          </cell>
          <cell r="B67" t="str">
            <v>B00915</v>
          </cell>
          <cell r="E67" t="str">
            <v>Laminated, Waiting for Lam</v>
          </cell>
          <cell r="I67">
            <v>7.5599979971182867</v>
          </cell>
        </row>
        <row r="68">
          <cell r="A68" t="str">
            <v>J00743LmL1</v>
          </cell>
          <cell r="B68" t="str">
            <v>J00743</v>
          </cell>
          <cell r="E68" t="str">
            <v>Laminated, Waiting for Lam</v>
          </cell>
          <cell r="I68">
            <v>14.691726754926327</v>
          </cell>
        </row>
        <row r="69">
          <cell r="A69" t="str">
            <v>B00962LmL1</v>
          </cell>
          <cell r="B69" t="str">
            <v>B00962</v>
          </cell>
          <cell r="E69" t="str">
            <v>Laminated, Waiting for Lam</v>
          </cell>
          <cell r="I69">
            <v>7.4292324289116349</v>
          </cell>
        </row>
        <row r="70">
          <cell r="A70" t="str">
            <v>B00858LmL1</v>
          </cell>
          <cell r="B70" t="str">
            <v>B00858</v>
          </cell>
          <cell r="E70" t="str">
            <v>Laminated, Waiting for Lam</v>
          </cell>
          <cell r="I70">
            <v>7.4235383273299798</v>
          </cell>
        </row>
        <row r="71">
          <cell r="A71" t="str">
            <v>B00966LmL1</v>
          </cell>
          <cell r="B71" t="str">
            <v>B00966</v>
          </cell>
          <cell r="E71" t="str">
            <v>Laminated, Waiting for Lam</v>
          </cell>
          <cell r="I71">
            <v>7.4468458003916504</v>
          </cell>
        </row>
        <row r="72">
          <cell r="A72" t="str">
            <v>59411LmL1</v>
          </cell>
          <cell r="B72">
            <v>59411</v>
          </cell>
          <cell r="E72" t="str">
            <v>Laminated, Waiting for Lam</v>
          </cell>
          <cell r="I72">
            <v>9.7348201684968387</v>
          </cell>
        </row>
        <row r="73">
          <cell r="A73" t="str">
            <v>60503Lg</v>
          </cell>
          <cell r="B73">
            <v>60503</v>
          </cell>
          <cell r="E73" t="str">
            <v>Laminated, Waiting for Slitting</v>
          </cell>
          <cell r="I73">
            <v>7.8134075467195387</v>
          </cell>
        </row>
        <row r="74">
          <cell r="A74" t="str">
            <v>58923Lg</v>
          </cell>
          <cell r="B74">
            <v>58923</v>
          </cell>
          <cell r="E74" t="str">
            <v>Laminated, Waiting for Slitting</v>
          </cell>
          <cell r="I74">
            <v>5.7205730606793024</v>
          </cell>
        </row>
        <row r="75">
          <cell r="A75" t="str">
            <v>B00919Lg</v>
          </cell>
          <cell r="B75" t="str">
            <v>B00919</v>
          </cell>
          <cell r="E75" t="str">
            <v>Laminated, Waiting for Slitting</v>
          </cell>
          <cell r="I75">
            <v>8.1222115769953298</v>
          </cell>
        </row>
        <row r="76">
          <cell r="A76" t="str">
            <v>C01276Lg</v>
          </cell>
          <cell r="B76" t="str">
            <v>C01276</v>
          </cell>
          <cell r="E76" t="str">
            <v>Laminated, Waiting for Slitting</v>
          </cell>
          <cell r="I76">
            <v>5.1987912703531478</v>
          </cell>
        </row>
        <row r="77">
          <cell r="A77" t="str">
            <v>J00748Lg</v>
          </cell>
          <cell r="B77" t="str">
            <v>J00748</v>
          </cell>
          <cell r="E77" t="str">
            <v>Laminated, Waiting for Slitting</v>
          </cell>
          <cell r="I77">
            <v>10.045161613267913</v>
          </cell>
        </row>
        <row r="78">
          <cell r="A78" t="str">
            <v>J00749Lg</v>
          </cell>
          <cell r="B78" t="str">
            <v>J00749</v>
          </cell>
          <cell r="E78" t="str">
            <v>Laminated, Waiting for Slitting</v>
          </cell>
          <cell r="I78">
            <v>9.9235434599971715</v>
          </cell>
        </row>
        <row r="79">
          <cell r="A79" t="str">
            <v>J00847Lg</v>
          </cell>
          <cell r="B79" t="str">
            <v>J00847</v>
          </cell>
          <cell r="E79" t="str">
            <v>Laminated, Waiting for Slitting</v>
          </cell>
          <cell r="I79">
            <v>8.7008796247830844</v>
          </cell>
        </row>
        <row r="80">
          <cell r="A80" t="str">
            <v>J00848Lg</v>
          </cell>
          <cell r="B80" t="str">
            <v>J00848</v>
          </cell>
          <cell r="E80" t="str">
            <v>Laminated, Waiting for Slitting</v>
          </cell>
          <cell r="I80">
            <v>8.4131373546440642</v>
          </cell>
        </row>
        <row r="81">
          <cell r="A81" t="str">
            <v>J00849Lg</v>
          </cell>
          <cell r="B81" t="str">
            <v>J00849</v>
          </cell>
          <cell r="E81" t="str">
            <v>Laminated, Waiting for Slitting</v>
          </cell>
          <cell r="I81">
            <v>8.1490396003259686</v>
          </cell>
        </row>
        <row r="82">
          <cell r="A82" t="str">
            <v>J00893Lg</v>
          </cell>
          <cell r="B82" t="str">
            <v>J00893</v>
          </cell>
          <cell r="E82" t="str">
            <v>Laminated, Waiting for Slitting</v>
          </cell>
          <cell r="I82">
            <v>12.926963480150119</v>
          </cell>
        </row>
        <row r="83">
          <cell r="A83" t="str">
            <v>J00894Lg</v>
          </cell>
          <cell r="B83" t="str">
            <v>J00894</v>
          </cell>
          <cell r="E83" t="str">
            <v>Laminated, Waiting for Slitting</v>
          </cell>
          <cell r="I83">
            <v>13.752837149756537</v>
          </cell>
        </row>
        <row r="84">
          <cell r="A84" t="str">
            <v>J00896Lg</v>
          </cell>
          <cell r="B84" t="str">
            <v>J00896</v>
          </cell>
          <cell r="E84" t="str">
            <v>Laminated, Waiting for Slitting</v>
          </cell>
          <cell r="I84">
            <v>17.953692381082664</v>
          </cell>
        </row>
        <row r="85">
          <cell r="A85" t="str">
            <v>J00898Lg</v>
          </cell>
          <cell r="B85" t="str">
            <v>J00898</v>
          </cell>
          <cell r="E85" t="str">
            <v>Laminated, Waiting for Slitting</v>
          </cell>
          <cell r="I85">
            <v>16.755700848289869</v>
          </cell>
        </row>
        <row r="86">
          <cell r="A86" t="str">
            <v>C01300Lg</v>
          </cell>
          <cell r="B86" t="str">
            <v>C01300</v>
          </cell>
          <cell r="E86" t="str">
            <v>Laminated, Waiting for Slitting</v>
          </cell>
          <cell r="I86">
            <v>5.2069448515059413</v>
          </cell>
        </row>
        <row r="87">
          <cell r="A87" t="str">
            <v>J00743Lg</v>
          </cell>
          <cell r="B87" t="str">
            <v>J00743</v>
          </cell>
          <cell r="E87" t="str">
            <v>Laminated, Waiting for Slitting</v>
          </cell>
          <cell r="I87">
            <v>8.9519840714870735</v>
          </cell>
        </row>
        <row r="88">
          <cell r="A88" t="str">
            <v>J00745Lg</v>
          </cell>
          <cell r="B88" t="str">
            <v>J00745</v>
          </cell>
          <cell r="E88" t="str">
            <v>Laminated, Waiting for Slitting</v>
          </cell>
          <cell r="I88">
            <v>9.3715723451561495</v>
          </cell>
        </row>
        <row r="89">
          <cell r="A89" t="str">
            <v>J00846Lg</v>
          </cell>
          <cell r="B89" t="str">
            <v>J00846</v>
          </cell>
          <cell r="E89" t="str">
            <v>Laminated, Waiting for Slitting</v>
          </cell>
          <cell r="I89">
            <v>9.7878128516973177</v>
          </cell>
        </row>
        <row r="90">
          <cell r="A90" t="str">
            <v>J00895Lg</v>
          </cell>
          <cell r="B90" t="str">
            <v>J00895</v>
          </cell>
          <cell r="E90" t="str">
            <v>Laminated, Waiting for Slitting</v>
          </cell>
          <cell r="I90">
            <v>13.668450908387795</v>
          </cell>
        </row>
        <row r="91">
          <cell r="A91" t="str">
            <v>J00897Lg</v>
          </cell>
          <cell r="B91" t="str">
            <v>J00897</v>
          </cell>
          <cell r="E91" t="str">
            <v>Laminated, Waiting for Slitting</v>
          </cell>
          <cell r="I91">
            <v>15.405906122759033</v>
          </cell>
        </row>
        <row r="92">
          <cell r="A92" t="str">
            <v>P00403Lg</v>
          </cell>
          <cell r="B92" t="str">
            <v>P00403</v>
          </cell>
          <cell r="E92" t="str">
            <v>Laminated, Waiting for Slitting</v>
          </cell>
          <cell r="I92">
            <v>8.474528340183582</v>
          </cell>
        </row>
        <row r="93">
          <cell r="A93" t="str">
            <v>P00404Lg</v>
          </cell>
          <cell r="B93" t="str">
            <v>P00404</v>
          </cell>
          <cell r="E93" t="str">
            <v>Laminated, Waiting for Slitting</v>
          </cell>
          <cell r="I93">
            <v>8.7404384020033117</v>
          </cell>
        </row>
        <row r="94">
          <cell r="A94" t="str">
            <v>P00405Lg</v>
          </cell>
          <cell r="B94" t="str">
            <v>P00405</v>
          </cell>
          <cell r="E94" t="str">
            <v>Laminated, Waiting for Slitting</v>
          </cell>
          <cell r="I94">
            <v>8.5210449855283468</v>
          </cell>
        </row>
        <row r="95">
          <cell r="A95" t="str">
            <v>P00406Lg</v>
          </cell>
          <cell r="B95" t="str">
            <v>P00406</v>
          </cell>
          <cell r="E95" t="str">
            <v>Laminated, Waiting for Slitting</v>
          </cell>
          <cell r="I95">
            <v>8.5855198941811306</v>
          </cell>
        </row>
        <row r="96">
          <cell r="A96" t="str">
            <v>J00744Lg</v>
          </cell>
          <cell r="B96" t="str">
            <v>J00744</v>
          </cell>
          <cell r="E96" t="str">
            <v>Laminated, Waiting for Slitting</v>
          </cell>
          <cell r="I96">
            <v>9.7919894023887064</v>
          </cell>
        </row>
        <row r="97">
          <cell r="A97" t="str">
            <v>J00747Lg</v>
          </cell>
          <cell r="B97" t="str">
            <v>J00747</v>
          </cell>
          <cell r="E97" t="str">
            <v>Laminated, Waiting for Slitting</v>
          </cell>
          <cell r="I97">
            <v>9.4858048922848131</v>
          </cell>
        </row>
        <row r="98">
          <cell r="A98" t="str">
            <v>J00750Lg</v>
          </cell>
          <cell r="B98" t="str">
            <v>J00750</v>
          </cell>
          <cell r="E98" t="str">
            <v>Laminated, Waiting for Slitting</v>
          </cell>
          <cell r="I98">
            <v>9.3618896437630266</v>
          </cell>
        </row>
        <row r="99">
          <cell r="A99" t="str">
            <v>J00746Lg</v>
          </cell>
          <cell r="B99" t="str">
            <v>J00746</v>
          </cell>
          <cell r="E99" t="str">
            <v>Laminated, Waiting for Slitting</v>
          </cell>
          <cell r="I99">
            <v>9.4253746003393442</v>
          </cell>
        </row>
        <row r="100">
          <cell r="A100" t="str">
            <v>B00976Lg</v>
          </cell>
          <cell r="B100" t="str">
            <v>B00976</v>
          </cell>
          <cell r="E100" t="str">
            <v>Laminated, Waiting for Slitting</v>
          </cell>
          <cell r="I100">
            <v>9.5012264713926911</v>
          </cell>
        </row>
        <row r="101">
          <cell r="A101" t="str">
            <v>P00402Lg</v>
          </cell>
          <cell r="B101" t="str">
            <v>P00402</v>
          </cell>
          <cell r="E101" t="str">
            <v>Laminated, Waiting for Slitting</v>
          </cell>
          <cell r="I101">
            <v>8.4356004438221621</v>
          </cell>
        </row>
        <row r="102">
          <cell r="A102" t="str">
            <v>P00429Lg</v>
          </cell>
          <cell r="B102" t="str">
            <v>P00429</v>
          </cell>
          <cell r="E102" t="str">
            <v>Laminated, Waiting for Slitting</v>
          </cell>
          <cell r="I102">
            <v>9.312775323075563</v>
          </cell>
        </row>
        <row r="103">
          <cell r="A103" t="str">
            <v>L00288Lg</v>
          </cell>
          <cell r="B103" t="str">
            <v>L00288</v>
          </cell>
          <cell r="E103" t="str">
            <v>Laminated, Waiting for Slitting</v>
          </cell>
          <cell r="I103">
            <v>4.6025729580204962</v>
          </cell>
        </row>
        <row r="104">
          <cell r="A104" t="str">
            <v>P00420Lg</v>
          </cell>
          <cell r="B104" t="str">
            <v>P00420</v>
          </cell>
          <cell r="E104" t="str">
            <v>Laminated, Waiting for Slitting</v>
          </cell>
          <cell r="I104">
            <v>10.18753855120174</v>
          </cell>
        </row>
        <row r="105">
          <cell r="A105" t="str">
            <v>G00210Wh</v>
          </cell>
          <cell r="B105" t="str">
            <v>G00210</v>
          </cell>
          <cell r="E105" t="str">
            <v>Waiting For Bag/Pouch</v>
          </cell>
          <cell r="I105">
            <v>10.071297774718849</v>
          </cell>
        </row>
        <row r="106">
          <cell r="A106" t="str">
            <v>N00749Wh</v>
          </cell>
          <cell r="B106" t="str">
            <v>N00749</v>
          </cell>
          <cell r="E106" t="str">
            <v>Waiting For Bag/Pouch</v>
          </cell>
          <cell r="I106">
            <v>4.5961919431006129</v>
          </cell>
        </row>
        <row r="107">
          <cell r="A107" t="str">
            <v>G00342Wh</v>
          </cell>
          <cell r="B107" t="str">
            <v>G00342</v>
          </cell>
          <cell r="E107" t="str">
            <v>Waiting For Bag/Pouch</v>
          </cell>
          <cell r="I107">
            <v>5.9564600634195708</v>
          </cell>
        </row>
        <row r="108">
          <cell r="A108" t="str">
            <v>H01224Wh</v>
          </cell>
          <cell r="B108" t="str">
            <v>H01224</v>
          </cell>
          <cell r="E108" t="str">
            <v>Waiting For Bag/Pouch</v>
          </cell>
          <cell r="I108">
            <v>8.0743927405224483</v>
          </cell>
        </row>
        <row r="109">
          <cell r="A109" t="str">
            <v>J00743Wh</v>
          </cell>
          <cell r="B109" t="str">
            <v>J00743</v>
          </cell>
          <cell r="E109" t="str">
            <v>Waiting For Bag/Pouch</v>
          </cell>
          <cell r="I109">
            <v>9.1737630541370905</v>
          </cell>
        </row>
        <row r="110">
          <cell r="A110" t="str">
            <v>G00351Wh</v>
          </cell>
          <cell r="B110" t="str">
            <v>G00351</v>
          </cell>
          <cell r="E110" t="str">
            <v>Waiting For Bag/Pouch</v>
          </cell>
          <cell r="I110">
            <v>6.4319286165387997</v>
          </cell>
        </row>
        <row r="111">
          <cell r="A111" t="str">
            <v>H01142Wh</v>
          </cell>
          <cell r="B111" t="str">
            <v>H01142</v>
          </cell>
          <cell r="E111" t="str">
            <v>Waiting For Bag/Pouch</v>
          </cell>
          <cell r="I111">
            <v>7.0635586984603043</v>
          </cell>
        </row>
        <row r="112">
          <cell r="A112" t="str">
            <v>J00747Wh</v>
          </cell>
          <cell r="B112" t="str">
            <v>J00747</v>
          </cell>
          <cell r="E112" t="str">
            <v>Waiting For Bag/Pouch</v>
          </cell>
          <cell r="I112">
            <v>9.9367146318828574</v>
          </cell>
        </row>
        <row r="113">
          <cell r="A113" t="str">
            <v>L00281Wh</v>
          </cell>
          <cell r="B113" t="str">
            <v>L00281</v>
          </cell>
          <cell r="E113" t="str">
            <v>Waiting For Bag/Pouch</v>
          </cell>
          <cell r="I113">
            <v>4.9367591972036715</v>
          </cell>
        </row>
        <row r="114">
          <cell r="A114" t="str">
            <v>P00253Wh</v>
          </cell>
          <cell r="B114" t="str">
            <v>P00253</v>
          </cell>
          <cell r="E114" t="str">
            <v>Waiting For Bag/Pouch</v>
          </cell>
          <cell r="I114">
            <v>8.3554381450342561</v>
          </cell>
        </row>
        <row r="115">
          <cell r="A115" t="str">
            <v>J00326Wh</v>
          </cell>
          <cell r="B115" t="str">
            <v>J00326</v>
          </cell>
          <cell r="E115" t="str">
            <v>Waiting For Bag/Pouch</v>
          </cell>
          <cell r="I115">
            <v>12.241360299530356</v>
          </cell>
        </row>
        <row r="116">
          <cell r="A116" t="str">
            <v>N00339Wh</v>
          </cell>
          <cell r="B116" t="str">
            <v>N00339</v>
          </cell>
          <cell r="E116" t="str">
            <v>Waiting For Bag/Pouch</v>
          </cell>
          <cell r="I116">
            <v>9.8695874062040172</v>
          </cell>
        </row>
        <row r="117">
          <cell r="A117" t="str">
            <v>G00162Wh</v>
          </cell>
          <cell r="B117" t="str">
            <v>G00162</v>
          </cell>
          <cell r="E117" t="str">
            <v>Waiting For Bag/Pouch</v>
          </cell>
          <cell r="I117">
            <v>5.7884323035875562</v>
          </cell>
        </row>
        <row r="118">
          <cell r="A118" t="str">
            <v>J00399Wh</v>
          </cell>
          <cell r="B118" t="str">
            <v>J00399</v>
          </cell>
          <cell r="E118" t="str">
            <v>Waiting For Bag/Pouch</v>
          </cell>
          <cell r="I118">
            <v>12.748543772023849</v>
          </cell>
        </row>
        <row r="119">
          <cell r="A119" t="str">
            <v>J00401Wh</v>
          </cell>
          <cell r="B119" t="str">
            <v>J00401</v>
          </cell>
          <cell r="E119" t="str">
            <v>Waiting For Bag/Pouch</v>
          </cell>
          <cell r="I119">
            <v>13.929327985427449</v>
          </cell>
        </row>
        <row r="120">
          <cell r="A120" t="str">
            <v>J00397Wh</v>
          </cell>
          <cell r="B120" t="str">
            <v>J00397</v>
          </cell>
          <cell r="E120" t="str">
            <v>Waiting For Bag/Pouch</v>
          </cell>
          <cell r="I120">
            <v>13.863050712158643</v>
          </cell>
        </row>
        <row r="121">
          <cell r="A121" t="str">
            <v>J00389Wh</v>
          </cell>
          <cell r="B121" t="str">
            <v>J00389</v>
          </cell>
          <cell r="E121" t="str">
            <v>Waiting For Bag/Pouch</v>
          </cell>
          <cell r="I121">
            <v>8.8318017097082198</v>
          </cell>
        </row>
        <row r="122">
          <cell r="A122" t="str">
            <v>J00395Wh</v>
          </cell>
          <cell r="B122" t="str">
            <v>J00395</v>
          </cell>
          <cell r="E122" t="str">
            <v>Waiting For Bag/Pouch</v>
          </cell>
          <cell r="I122">
            <v>14.620337906212823</v>
          </cell>
        </row>
        <row r="123">
          <cell r="A123" t="str">
            <v>J00391Wh</v>
          </cell>
          <cell r="B123" t="str">
            <v>J00391</v>
          </cell>
          <cell r="E123" t="str">
            <v>Waiting For Bag/Pouch</v>
          </cell>
          <cell r="I123">
            <v>9.6572938752461059</v>
          </cell>
        </row>
        <row r="124">
          <cell r="A124" t="str">
            <v>J00387Wh</v>
          </cell>
          <cell r="B124" t="str">
            <v>J00387</v>
          </cell>
          <cell r="E124" t="str">
            <v>Waiting For Bag/Pouch</v>
          </cell>
          <cell r="I124">
            <v>11.671582261497329</v>
          </cell>
        </row>
        <row r="125">
          <cell r="A125" t="str">
            <v>C00507Wh</v>
          </cell>
          <cell r="B125" t="str">
            <v>C00507</v>
          </cell>
          <cell r="E125" t="str">
            <v>Waiting For Bag/Pouch</v>
          </cell>
          <cell r="I125">
            <v>9.3693504640545999</v>
          </cell>
        </row>
        <row r="126">
          <cell r="A126" t="str">
            <v>C00505Wh</v>
          </cell>
          <cell r="B126" t="str">
            <v>C00505</v>
          </cell>
          <cell r="E126" t="str">
            <v>Waiting For Bag/Pouch</v>
          </cell>
          <cell r="I126">
            <v>8.8877252636121646</v>
          </cell>
        </row>
        <row r="127">
          <cell r="A127" t="str">
            <v>C00711Wh</v>
          </cell>
          <cell r="B127" t="str">
            <v>C00711</v>
          </cell>
          <cell r="E127" t="str">
            <v>Waiting For Bag/Pouch</v>
          </cell>
          <cell r="I127">
            <v>8.3508498520528835</v>
          </cell>
        </row>
        <row r="128">
          <cell r="A128" t="str">
            <v>59360Wh</v>
          </cell>
          <cell r="B128">
            <v>59360</v>
          </cell>
          <cell r="E128" t="str">
            <v>Waiting For Bag/Pouch</v>
          </cell>
          <cell r="I128">
            <v>14.124674715807837</v>
          </cell>
        </row>
        <row r="129">
          <cell r="A129" t="str">
            <v>P00252Wh</v>
          </cell>
          <cell r="B129" t="str">
            <v>P00252</v>
          </cell>
          <cell r="E129" t="str">
            <v>Waiting For Bag/Pouch</v>
          </cell>
          <cell r="I129">
            <v>5.8439331643201742</v>
          </cell>
        </row>
        <row r="130">
          <cell r="A130" t="str">
            <v>P00250Wh</v>
          </cell>
          <cell r="B130" t="str">
            <v>P00250</v>
          </cell>
          <cell r="E130" t="str">
            <v>Waiting For Bag/Pouch</v>
          </cell>
          <cell r="I130">
            <v>6.0725315159567348</v>
          </cell>
        </row>
        <row r="131">
          <cell r="A131" t="str">
            <v>61362Wh</v>
          </cell>
          <cell r="B131">
            <v>61362</v>
          </cell>
          <cell r="E131" t="str">
            <v>Waiting For Bag/Pouch</v>
          </cell>
          <cell r="I131">
            <v>6.6987425787674661</v>
          </cell>
        </row>
        <row r="132">
          <cell r="A132" t="str">
            <v>61368Wh</v>
          </cell>
          <cell r="B132">
            <v>61368</v>
          </cell>
          <cell r="E132" t="str">
            <v>Waiting For Bag/Pouch</v>
          </cell>
          <cell r="I132">
            <v>5.2963654412631094</v>
          </cell>
        </row>
        <row r="133">
          <cell r="A133" t="str">
            <v>N00416Wh</v>
          </cell>
          <cell r="B133" t="str">
            <v>N00416</v>
          </cell>
          <cell r="E133" t="str">
            <v>Waiting For Bag/Pouch</v>
          </cell>
          <cell r="I133">
            <v>8.9435241461533881</v>
          </cell>
        </row>
        <row r="134">
          <cell r="A134" t="str">
            <v>P00335Wh</v>
          </cell>
          <cell r="B134" t="str">
            <v>P00335</v>
          </cell>
          <cell r="E134" t="str">
            <v>Waiting For Bag/Pouch</v>
          </cell>
          <cell r="I134">
            <v>15.323642102664396</v>
          </cell>
        </row>
        <row r="135">
          <cell r="A135" t="str">
            <v>50014Wh</v>
          </cell>
          <cell r="B135">
            <v>50014</v>
          </cell>
          <cell r="E135" t="str">
            <v>Waiting For Bag/Pouch</v>
          </cell>
          <cell r="I135">
            <v>5.7184246383564323</v>
          </cell>
        </row>
        <row r="136">
          <cell r="A136" t="str">
            <v>N00546Wh</v>
          </cell>
          <cell r="B136" t="str">
            <v>N00546</v>
          </cell>
          <cell r="E136" t="str">
            <v>Waiting For Bag/Pouch</v>
          </cell>
          <cell r="I136">
            <v>7.7386890676842741</v>
          </cell>
        </row>
        <row r="137">
          <cell r="A137" t="str">
            <v>B00641Wh</v>
          </cell>
          <cell r="B137" t="str">
            <v>B00641</v>
          </cell>
          <cell r="E137" t="str">
            <v>Waiting For Bag/Pouch</v>
          </cell>
          <cell r="I137">
            <v>10.18579791763824</v>
          </cell>
        </row>
        <row r="138">
          <cell r="A138" t="str">
            <v>B00619Wh</v>
          </cell>
          <cell r="B138" t="str">
            <v>B00619</v>
          </cell>
          <cell r="E138" t="str">
            <v>Waiting For Bag/Pouch</v>
          </cell>
          <cell r="I138">
            <v>8.7849855103918273</v>
          </cell>
        </row>
        <row r="139">
          <cell r="A139" t="str">
            <v>B00623Wh</v>
          </cell>
          <cell r="B139" t="str">
            <v>B00623</v>
          </cell>
          <cell r="E139" t="str">
            <v>Waiting For Bag/Pouch</v>
          </cell>
          <cell r="I139">
            <v>9.8822043384974201</v>
          </cell>
        </row>
        <row r="140">
          <cell r="A140" t="str">
            <v>N00669Wh</v>
          </cell>
          <cell r="B140" t="str">
            <v>N00669</v>
          </cell>
          <cell r="E140" t="str">
            <v>Waiting For Bag/Pouch</v>
          </cell>
          <cell r="I140">
            <v>8.0097403400043259</v>
          </cell>
        </row>
        <row r="141">
          <cell r="A141" t="str">
            <v>J00689Wh</v>
          </cell>
          <cell r="B141" t="str">
            <v>J00689</v>
          </cell>
          <cell r="E141" t="str">
            <v>Waiting For Bag/Pouch</v>
          </cell>
          <cell r="I141">
            <v>8.8007470114225512</v>
          </cell>
        </row>
        <row r="142">
          <cell r="A142" t="str">
            <v>J00699Wh</v>
          </cell>
          <cell r="B142" t="str">
            <v>J00699</v>
          </cell>
          <cell r="E142" t="str">
            <v>Waiting For Bag/Pouch</v>
          </cell>
          <cell r="I142">
            <v>7.942792175950105</v>
          </cell>
        </row>
        <row r="143">
          <cell r="A143" t="str">
            <v>J00697Wh</v>
          </cell>
          <cell r="B143" t="str">
            <v>J00697</v>
          </cell>
          <cell r="E143" t="str">
            <v>Waiting For Bag/Pouch</v>
          </cell>
          <cell r="I143">
            <v>6.9978889356743172</v>
          </cell>
        </row>
        <row r="144">
          <cell r="A144" t="str">
            <v>J00691Wh</v>
          </cell>
          <cell r="B144" t="str">
            <v>J00691</v>
          </cell>
          <cell r="E144" t="str">
            <v>Waiting For Bag/Pouch</v>
          </cell>
          <cell r="I144">
            <v>7.4759174671956998</v>
          </cell>
        </row>
        <row r="145">
          <cell r="A145" t="str">
            <v>J00687Wh</v>
          </cell>
          <cell r="B145" t="str">
            <v>J00687</v>
          </cell>
          <cell r="E145" t="str">
            <v>Waiting For Bag/Pouch</v>
          </cell>
          <cell r="I145">
            <v>10.351173281493498</v>
          </cell>
        </row>
        <row r="146">
          <cell r="A146" t="str">
            <v>J00693Wh</v>
          </cell>
          <cell r="B146" t="str">
            <v>J00693</v>
          </cell>
          <cell r="E146" t="str">
            <v>Waiting For Bag/Pouch</v>
          </cell>
          <cell r="I146">
            <v>6.797602089174811</v>
          </cell>
        </row>
        <row r="147">
          <cell r="A147" t="str">
            <v>B00803Wh</v>
          </cell>
          <cell r="B147" t="str">
            <v>B00803</v>
          </cell>
          <cell r="E147" t="str">
            <v>Waiting For Bag/Pouch</v>
          </cell>
          <cell r="I147">
            <v>6.2402000683162058</v>
          </cell>
        </row>
        <row r="148">
          <cell r="A148" t="str">
            <v>S17(A)-37Wh</v>
          </cell>
          <cell r="B148" t="str">
            <v>S17(A)-37</v>
          </cell>
          <cell r="E148" t="str">
            <v>Waiting For Bag/Pouch</v>
          </cell>
          <cell r="I148">
            <v>5.732869143925468</v>
          </cell>
        </row>
        <row r="149">
          <cell r="A149" t="str">
            <v>B00136Wh</v>
          </cell>
          <cell r="B149" t="str">
            <v>B00136</v>
          </cell>
          <cell r="E149" t="str">
            <v>Waiting For Bag/Pouch</v>
          </cell>
          <cell r="I149">
            <v>17.989183220277503</v>
          </cell>
        </row>
        <row r="150">
          <cell r="A150" t="str">
            <v>C00566Wh</v>
          </cell>
          <cell r="B150" t="str">
            <v>C00566</v>
          </cell>
          <cell r="E150" t="str">
            <v>Waiting For Bag/Pouch</v>
          </cell>
          <cell r="I150">
            <v>5.6189800921996627</v>
          </cell>
        </row>
        <row r="151">
          <cell r="A151" t="str">
            <v>J00686We</v>
          </cell>
          <cell r="B151" t="str">
            <v>J00686</v>
          </cell>
          <cell r="E151" t="str">
            <v>Waiting For Spout/Valve</v>
          </cell>
          <cell r="I151">
            <v>10.424827131236736</v>
          </cell>
        </row>
        <row r="152">
          <cell r="A152" t="str">
            <v>J00394We</v>
          </cell>
          <cell r="B152" t="str">
            <v>J00394</v>
          </cell>
          <cell r="E152" t="str">
            <v>Waiting For Spout/Valve</v>
          </cell>
          <cell r="I152">
            <v>19.700979202236432</v>
          </cell>
        </row>
        <row r="153">
          <cell r="A153" t="str">
            <v>J00400We</v>
          </cell>
          <cell r="B153" t="str">
            <v>J00400</v>
          </cell>
          <cell r="E153" t="str">
            <v>Waiting For Spout/Valve</v>
          </cell>
          <cell r="I153">
            <v>15.055612689214614</v>
          </cell>
        </row>
        <row r="154">
          <cell r="A154" t="str">
            <v>C00605Pm</v>
          </cell>
          <cell r="B154" t="str">
            <v>C00605</v>
          </cell>
          <cell r="E154" t="str">
            <v>Printed, Waiting for Lam</v>
          </cell>
          <cell r="I154">
            <v>16.98867176779147</v>
          </cell>
        </row>
        <row r="155">
          <cell r="A155" t="str">
            <v>C00660Pm</v>
          </cell>
          <cell r="B155" t="str">
            <v>C00660</v>
          </cell>
          <cell r="E155" t="str">
            <v>Printed, Waiting for Lam</v>
          </cell>
          <cell r="I155">
            <v>18.687132497810975</v>
          </cell>
        </row>
        <row r="156">
          <cell r="A156" t="str">
            <v>F00386Pm</v>
          </cell>
          <cell r="B156" t="str">
            <v>F00386</v>
          </cell>
          <cell r="E156" t="str">
            <v>Printed, Waiting for Lam</v>
          </cell>
          <cell r="I156">
            <v>11.646579105704875</v>
          </cell>
        </row>
        <row r="157">
          <cell r="A157" t="str">
            <v>F00468Pm</v>
          </cell>
          <cell r="B157" t="str">
            <v>F00468</v>
          </cell>
          <cell r="E157" t="str">
            <v>Printed, Waiting for Lam</v>
          </cell>
          <cell r="I157">
            <v>23.952440697568179</v>
          </cell>
        </row>
        <row r="158">
          <cell r="A158" t="str">
            <v>F00626Pm</v>
          </cell>
          <cell r="B158" t="str">
            <v>F00626</v>
          </cell>
          <cell r="E158" t="str">
            <v>Printed, Waiting for Lam</v>
          </cell>
          <cell r="I158">
            <v>9.3852829868030714</v>
          </cell>
        </row>
        <row r="159">
          <cell r="A159" t="str">
            <v>64304LmL1</v>
          </cell>
          <cell r="B159">
            <v>64304</v>
          </cell>
          <cell r="E159" t="str">
            <v>Laminated, Waiting for Lam</v>
          </cell>
          <cell r="I159">
            <v>14.199194641293824</v>
          </cell>
        </row>
        <row r="160">
          <cell r="A160" t="str">
            <v>H01120LmL1</v>
          </cell>
          <cell r="B160" t="str">
            <v>H01120</v>
          </cell>
          <cell r="E160" t="str">
            <v>Laminated, Waiting for Lam</v>
          </cell>
          <cell r="I160">
            <v>27.364734551655275</v>
          </cell>
        </row>
        <row r="161">
          <cell r="A161" t="str">
            <v>S13-38Lg</v>
          </cell>
          <cell r="B161" t="str">
            <v>S13-38</v>
          </cell>
          <cell r="E161" t="str">
            <v>Laminated, Waiting for Slitting</v>
          </cell>
          <cell r="I161">
            <v>7.7733764623275752</v>
          </cell>
        </row>
        <row r="162">
          <cell r="A162" t="str">
            <v>E00221Lg</v>
          </cell>
          <cell r="B162" t="str">
            <v>E00221</v>
          </cell>
          <cell r="E162" t="str">
            <v>Laminated, Waiting for Slitting</v>
          </cell>
          <cell r="I162">
            <v>8.0585807994424759</v>
          </cell>
        </row>
        <row r="163">
          <cell r="A163" t="str">
            <v>J00780Lg</v>
          </cell>
          <cell r="B163" t="str">
            <v>J00780</v>
          </cell>
          <cell r="E163" t="str">
            <v>Laminated, Waiting for Slitting</v>
          </cell>
          <cell r="I163">
            <v>20.431763170995012</v>
          </cell>
        </row>
        <row r="164">
          <cell r="A164" t="str">
            <v>J00782Lg</v>
          </cell>
          <cell r="B164" t="str">
            <v>J00782</v>
          </cell>
          <cell r="E164" t="str">
            <v>Laminated, Waiting for Slitting</v>
          </cell>
          <cell r="I164">
            <v>21.719776730023341</v>
          </cell>
        </row>
        <row r="165">
          <cell r="A165" t="str">
            <v>G00324Wh</v>
          </cell>
          <cell r="B165" t="str">
            <v>G00324</v>
          </cell>
          <cell r="E165" t="str">
            <v>Waiting For Bag/Pouch</v>
          </cell>
          <cell r="I165">
            <v>6.8870875054645273</v>
          </cell>
        </row>
        <row r="166">
          <cell r="A166" t="str">
            <v>J00695Wh</v>
          </cell>
          <cell r="B166" t="str">
            <v>J00695</v>
          </cell>
          <cell r="E166" t="str">
            <v>Waiting For Bag/Pouch</v>
          </cell>
          <cell r="I166">
            <v>7.7087003849953577</v>
          </cell>
        </row>
        <row r="167">
          <cell r="A167" t="str">
            <v>J00331Wh</v>
          </cell>
          <cell r="B167" t="str">
            <v>J00331</v>
          </cell>
          <cell r="E167" t="str">
            <v>Waiting For Bag/Pouch</v>
          </cell>
          <cell r="I167">
            <v>12.275689942832006</v>
          </cell>
        </row>
        <row r="168">
          <cell r="A168" t="str">
            <v>N00337Wh</v>
          </cell>
          <cell r="B168" t="str">
            <v>N00337</v>
          </cell>
          <cell r="E168" t="str">
            <v>Waiting For Bag/Pouch</v>
          </cell>
          <cell r="I168">
            <v>9.1630189022535902</v>
          </cell>
        </row>
        <row r="169">
          <cell r="A169" t="str">
            <v>C00709Wh</v>
          </cell>
          <cell r="B169" t="str">
            <v>C00709</v>
          </cell>
          <cell r="E169" t="str">
            <v>Waiting For Bag/Pouch</v>
          </cell>
          <cell r="I169">
            <v>8.5359805611038126</v>
          </cell>
        </row>
        <row r="170">
          <cell r="A170" t="str">
            <v>B00286Wh</v>
          </cell>
          <cell r="B170" t="str">
            <v>B00286</v>
          </cell>
          <cell r="E170" t="str">
            <v>Waiting For Bag/Pouch</v>
          </cell>
          <cell r="I170">
            <v>10.066345723519886</v>
          </cell>
        </row>
        <row r="171">
          <cell r="A171" t="str">
            <v>L00199Wh</v>
          </cell>
          <cell r="B171" t="str">
            <v>L00199</v>
          </cell>
          <cell r="E171" t="str">
            <v>Waiting For Bag/Pouch</v>
          </cell>
          <cell r="I171">
            <v>4.9027910054489912</v>
          </cell>
        </row>
        <row r="172">
          <cell r="A172" t="str">
            <v>J00563Pm</v>
          </cell>
          <cell r="B172" t="str">
            <v>J00563</v>
          </cell>
          <cell r="E172" t="str">
            <v>Printed, Waiting for Lam</v>
          </cell>
          <cell r="I172">
            <v>10.89024543815297</v>
          </cell>
        </row>
        <row r="173">
          <cell r="A173" t="str">
            <v>J00582Pm</v>
          </cell>
          <cell r="B173" t="str">
            <v>J00582</v>
          </cell>
          <cell r="E173" t="str">
            <v>Printed, Waiting for Lam</v>
          </cell>
          <cell r="I173">
            <v>10.43619021229031</v>
          </cell>
        </row>
        <row r="174">
          <cell r="A174" t="str">
            <v>J00111We</v>
          </cell>
          <cell r="B174" t="str">
            <v>J00111</v>
          </cell>
          <cell r="E174" t="str">
            <v>Waiting For Spout/Valve</v>
          </cell>
          <cell r="I174">
            <v>13.381169056441616</v>
          </cell>
        </row>
        <row r="175">
          <cell r="A175" t="str">
            <v>P00334Wh</v>
          </cell>
          <cell r="B175" t="str">
            <v>P00334</v>
          </cell>
          <cell r="E175" t="str">
            <v>Waiting For Bag/Pouch</v>
          </cell>
          <cell r="I175">
            <v>18.933518608762853</v>
          </cell>
        </row>
        <row r="176">
          <cell r="A176" t="str">
            <v>H01065Lg</v>
          </cell>
          <cell r="B176" t="str">
            <v>H01065</v>
          </cell>
          <cell r="E176" t="str">
            <v>Laminated, Waiting for Slitting</v>
          </cell>
          <cell r="I176">
            <v>16.073773577413274</v>
          </cell>
        </row>
        <row r="177">
          <cell r="A177" t="str">
            <v>B00774Lg</v>
          </cell>
          <cell r="B177" t="str">
            <v>B00774</v>
          </cell>
          <cell r="E177" t="str">
            <v>Laminated, Waiting for Slitting</v>
          </cell>
          <cell r="I177">
            <v>9.4319783698723505</v>
          </cell>
        </row>
        <row r="178">
          <cell r="A178" t="str">
            <v>64418Lg</v>
          </cell>
          <cell r="B178">
            <v>64418</v>
          </cell>
          <cell r="E178" t="str">
            <v>Laminated, Waiting for Slitting</v>
          </cell>
          <cell r="I178">
            <v>21.378959482292846</v>
          </cell>
        </row>
        <row r="179">
          <cell r="A179" t="str">
            <v>J00777Wh</v>
          </cell>
          <cell r="B179" t="str">
            <v>J00777</v>
          </cell>
          <cell r="E179" t="str">
            <v>Waiting For Bag/Pouch</v>
          </cell>
          <cell r="I179">
            <v>15.714606046276685</v>
          </cell>
        </row>
        <row r="180">
          <cell r="A180" t="str">
            <v>J00735Wh</v>
          </cell>
          <cell r="B180" t="str">
            <v>J00735</v>
          </cell>
          <cell r="E180" t="str">
            <v>Waiting For Bag/Pouch</v>
          </cell>
          <cell r="I180">
            <v>12.46449891916186</v>
          </cell>
        </row>
        <row r="181">
          <cell r="A181" t="str">
            <v>64521Pm</v>
          </cell>
          <cell r="B181">
            <v>64521</v>
          </cell>
          <cell r="E181" t="str">
            <v>Printed, Waiting for Lam</v>
          </cell>
          <cell r="I181">
            <v>18.178457196552074</v>
          </cell>
        </row>
        <row r="182">
          <cell r="A182" t="str">
            <v>J00631Pm</v>
          </cell>
          <cell r="B182" t="str">
            <v>J00631</v>
          </cell>
          <cell r="E182" t="str">
            <v>Printed, Waiting for Lam</v>
          </cell>
          <cell r="I182">
            <v>11.088125954670076</v>
          </cell>
        </row>
        <row r="183">
          <cell r="A183" t="str">
            <v/>
          </cell>
          <cell r="B183"/>
          <cell r="E183"/>
          <cell r="I183"/>
        </row>
        <row r="184">
          <cell r="A184" t="str">
            <v/>
          </cell>
          <cell r="B184"/>
          <cell r="E184"/>
          <cell r="I184"/>
        </row>
        <row r="185">
          <cell r="A185" t="str">
            <v/>
          </cell>
          <cell r="B185"/>
          <cell r="E185"/>
          <cell r="I185"/>
        </row>
        <row r="186">
          <cell r="A186" t="str">
            <v/>
          </cell>
          <cell r="B186"/>
          <cell r="E186"/>
          <cell r="I186"/>
        </row>
        <row r="187">
          <cell r="A187" t="str">
            <v/>
          </cell>
          <cell r="B187"/>
          <cell r="E187"/>
          <cell r="I187"/>
        </row>
        <row r="188">
          <cell r="A188" t="str">
            <v/>
          </cell>
          <cell r="B188"/>
          <cell r="E188"/>
          <cell r="I188"/>
        </row>
        <row r="189">
          <cell r="A189" t="str">
            <v/>
          </cell>
          <cell r="B189"/>
          <cell r="E189"/>
          <cell r="I189"/>
        </row>
        <row r="190">
          <cell r="A190" t="str">
            <v/>
          </cell>
          <cell r="B190"/>
          <cell r="E190"/>
          <cell r="I190"/>
        </row>
        <row r="191">
          <cell r="A191" t="str">
            <v/>
          </cell>
          <cell r="B191"/>
          <cell r="E191"/>
          <cell r="I191"/>
        </row>
        <row r="192">
          <cell r="A192" t="str">
            <v/>
          </cell>
          <cell r="B192"/>
          <cell r="E192"/>
          <cell r="I192"/>
        </row>
        <row r="193">
          <cell r="A193" t="str">
            <v/>
          </cell>
          <cell r="B193"/>
          <cell r="E193"/>
          <cell r="I193"/>
        </row>
        <row r="194">
          <cell r="A194"/>
          <cell r="B194"/>
          <cell r="E194"/>
          <cell r="I194"/>
        </row>
        <row r="195">
          <cell r="A195"/>
          <cell r="B195"/>
          <cell r="E195"/>
          <cell r="I195"/>
        </row>
        <row r="196">
          <cell r="A196"/>
          <cell r="B196"/>
          <cell r="E196"/>
          <cell r="I196"/>
        </row>
        <row r="197">
          <cell r="A197"/>
          <cell r="B197"/>
          <cell r="E197"/>
          <cell r="I197"/>
        </row>
        <row r="198">
          <cell r="A198"/>
          <cell r="B198"/>
          <cell r="E198"/>
          <cell r="I198"/>
        </row>
        <row r="199">
          <cell r="A199"/>
          <cell r="B199"/>
          <cell r="E199"/>
          <cell r="I199"/>
        </row>
        <row r="200">
          <cell r="A200"/>
          <cell r="B200"/>
          <cell r="E200"/>
          <cell r="I200"/>
        </row>
        <row r="201">
          <cell r="A201"/>
          <cell r="B201"/>
          <cell r="E201"/>
          <cell r="I201"/>
        </row>
        <row r="202">
          <cell r="A202" t="str">
            <v/>
          </cell>
          <cell r="B202"/>
          <cell r="E202"/>
          <cell r="I202"/>
        </row>
        <row r="203">
          <cell r="A203" t="str">
            <v/>
          </cell>
          <cell r="B203"/>
          <cell r="E203"/>
          <cell r="I203"/>
        </row>
        <row r="204">
          <cell r="A204" t="str">
            <v/>
          </cell>
          <cell r="B204"/>
          <cell r="E204"/>
          <cell r="I204"/>
        </row>
        <row r="205">
          <cell r="A205" t="str">
            <v/>
          </cell>
          <cell r="B205"/>
          <cell r="E205"/>
          <cell r="I205"/>
        </row>
        <row r="206">
          <cell r="A206" t="str">
            <v/>
          </cell>
          <cell r="B206"/>
          <cell r="E206"/>
          <cell r="I206"/>
        </row>
        <row r="207">
          <cell r="A207" t="str">
            <v/>
          </cell>
          <cell r="B207"/>
          <cell r="E207"/>
          <cell r="I207"/>
        </row>
        <row r="208">
          <cell r="A208" t="str">
            <v/>
          </cell>
          <cell r="B208"/>
          <cell r="E208"/>
          <cell r="I208"/>
        </row>
        <row r="209">
          <cell r="A209" t="str">
            <v/>
          </cell>
          <cell r="B209"/>
          <cell r="E209"/>
          <cell r="I209"/>
        </row>
        <row r="210">
          <cell r="A210" t="str">
            <v/>
          </cell>
          <cell r="B210"/>
          <cell r="E210"/>
          <cell r="I210"/>
        </row>
        <row r="211">
          <cell r="A211" t="str">
            <v/>
          </cell>
          <cell r="B211"/>
          <cell r="E211"/>
          <cell r="I211"/>
        </row>
        <row r="212">
          <cell r="A212" t="str">
            <v/>
          </cell>
          <cell r="B212"/>
          <cell r="E212"/>
          <cell r="I212"/>
        </row>
        <row r="213">
          <cell r="A213" t="str">
            <v/>
          </cell>
          <cell r="B213"/>
          <cell r="E213"/>
          <cell r="I213"/>
        </row>
        <row r="214">
          <cell r="A214" t="str">
            <v/>
          </cell>
          <cell r="B214"/>
          <cell r="E214"/>
          <cell r="I214"/>
        </row>
        <row r="215">
          <cell r="A215" t="str">
            <v/>
          </cell>
          <cell r="B215"/>
          <cell r="E215"/>
          <cell r="I215"/>
        </row>
        <row r="216">
          <cell r="A216" t="str">
            <v/>
          </cell>
          <cell r="B216"/>
          <cell r="E216"/>
          <cell r="I216"/>
        </row>
        <row r="217">
          <cell r="A217" t="str">
            <v/>
          </cell>
          <cell r="B217"/>
          <cell r="E217"/>
          <cell r="I217"/>
        </row>
        <row r="218">
          <cell r="A218" t="str">
            <v/>
          </cell>
          <cell r="B218"/>
          <cell r="E218"/>
          <cell r="I218"/>
        </row>
        <row r="219">
          <cell r="A219" t="str">
            <v/>
          </cell>
          <cell r="B219"/>
          <cell r="E219"/>
          <cell r="I219"/>
        </row>
        <row r="220">
          <cell r="A220" t="str">
            <v/>
          </cell>
          <cell r="B220"/>
          <cell r="E220"/>
          <cell r="I220"/>
        </row>
        <row r="221">
          <cell r="A221" t="str">
            <v/>
          </cell>
          <cell r="B221"/>
          <cell r="E221"/>
          <cell r="I221"/>
        </row>
        <row r="222">
          <cell r="A222" t="str">
            <v/>
          </cell>
          <cell r="B222"/>
          <cell r="E222"/>
          <cell r="I222"/>
        </row>
        <row r="223">
          <cell r="A223" t="str">
            <v/>
          </cell>
          <cell r="B223"/>
          <cell r="E223"/>
          <cell r="I223"/>
        </row>
        <row r="224">
          <cell r="A224" t="str">
            <v/>
          </cell>
          <cell r="B224"/>
          <cell r="E224"/>
          <cell r="I224"/>
        </row>
        <row r="225">
          <cell r="A225" t="str">
            <v/>
          </cell>
          <cell r="B225"/>
          <cell r="E225"/>
          <cell r="I225"/>
        </row>
        <row r="226">
          <cell r="A226" t="str">
            <v/>
          </cell>
          <cell r="B226"/>
          <cell r="E226"/>
          <cell r="I226"/>
        </row>
        <row r="227">
          <cell r="A227" t="str">
            <v/>
          </cell>
          <cell r="B227"/>
          <cell r="E227"/>
          <cell r="I227"/>
        </row>
        <row r="228">
          <cell r="A228" t="str">
            <v/>
          </cell>
          <cell r="B228"/>
          <cell r="E228"/>
          <cell r="I228"/>
        </row>
        <row r="229">
          <cell r="A229" t="str">
            <v/>
          </cell>
          <cell r="B229"/>
          <cell r="E229"/>
          <cell r="I229"/>
        </row>
        <row r="230">
          <cell r="A230" t="str">
            <v/>
          </cell>
          <cell r="B230"/>
          <cell r="E230"/>
          <cell r="I230"/>
        </row>
        <row r="231">
          <cell r="A231" t="str">
            <v/>
          </cell>
          <cell r="B231"/>
          <cell r="E231"/>
          <cell r="I231"/>
        </row>
        <row r="232">
          <cell r="A232" t="str">
            <v/>
          </cell>
          <cell r="B232"/>
          <cell r="E232"/>
          <cell r="I232"/>
        </row>
        <row r="233">
          <cell r="A233" t="str">
            <v/>
          </cell>
          <cell r="B233"/>
          <cell r="E233"/>
          <cell r="I233"/>
        </row>
        <row r="234">
          <cell r="A234" t="str">
            <v/>
          </cell>
          <cell r="B234"/>
          <cell r="E234"/>
          <cell r="I234"/>
        </row>
        <row r="235">
          <cell r="A235" t="str">
            <v/>
          </cell>
          <cell r="B235"/>
          <cell r="E235"/>
          <cell r="I235"/>
        </row>
        <row r="236">
          <cell r="A236" t="str">
            <v/>
          </cell>
          <cell r="B236"/>
          <cell r="E236"/>
          <cell r="I236"/>
        </row>
        <row r="237">
          <cell r="A237" t="str">
            <v/>
          </cell>
          <cell r="B237"/>
          <cell r="E237"/>
          <cell r="I237"/>
        </row>
        <row r="238">
          <cell r="A238" t="str">
            <v/>
          </cell>
          <cell r="B238"/>
          <cell r="E238"/>
          <cell r="I238"/>
        </row>
        <row r="239">
          <cell r="A239" t="str">
            <v/>
          </cell>
          <cell r="B239"/>
          <cell r="E239"/>
          <cell r="I239"/>
        </row>
        <row r="240">
          <cell r="A240" t="str">
            <v/>
          </cell>
          <cell r="B240"/>
          <cell r="E240"/>
          <cell r="I240"/>
        </row>
        <row r="241">
          <cell r="A241" t="str">
            <v/>
          </cell>
          <cell r="B241"/>
          <cell r="E241"/>
          <cell r="I241"/>
        </row>
        <row r="242">
          <cell r="A242" t="str">
            <v/>
          </cell>
          <cell r="B242"/>
          <cell r="E242"/>
          <cell r="I242"/>
        </row>
        <row r="243">
          <cell r="A243" t="str">
            <v/>
          </cell>
          <cell r="B243"/>
          <cell r="E243"/>
          <cell r="I243"/>
        </row>
        <row r="244">
          <cell r="A244" t="str">
            <v/>
          </cell>
          <cell r="B244"/>
          <cell r="E244"/>
          <cell r="I244"/>
        </row>
        <row r="245">
          <cell r="A245" t="str">
            <v/>
          </cell>
          <cell r="B245"/>
          <cell r="E245"/>
          <cell r="I245"/>
        </row>
        <row r="246">
          <cell r="A246" t="str">
            <v/>
          </cell>
          <cell r="B246"/>
          <cell r="E246"/>
          <cell r="I246"/>
        </row>
        <row r="247">
          <cell r="A247" t="str">
            <v/>
          </cell>
          <cell r="B247"/>
          <cell r="E247"/>
          <cell r="I247"/>
        </row>
        <row r="248">
          <cell r="A248" t="str">
            <v/>
          </cell>
          <cell r="B248"/>
          <cell r="E248"/>
          <cell r="I248"/>
        </row>
        <row r="249">
          <cell r="A249" t="str">
            <v/>
          </cell>
          <cell r="B249"/>
          <cell r="E249"/>
          <cell r="I249"/>
        </row>
        <row r="250">
          <cell r="A250" t="str">
            <v/>
          </cell>
          <cell r="B250"/>
          <cell r="E250"/>
          <cell r="I250"/>
        </row>
        <row r="251">
          <cell r="A251" t="str">
            <v/>
          </cell>
          <cell r="B251"/>
          <cell r="E251"/>
          <cell r="I251"/>
        </row>
        <row r="262">
          <cell r="B262"/>
        </row>
      </sheetData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B6C9-4FFB-46FC-A7BF-CB6A99A8FC5D}">
  <dimension ref="A1:O262"/>
  <sheetViews>
    <sheetView showGridLines="0" tabSelected="1" zoomScaleNormal="100" workbookViewId="0">
      <pane xSplit="3" ySplit="5" topLeftCell="D22" activePane="bottomRight" state="frozen"/>
      <selection activeCell="O30" sqref="O30"/>
      <selection pane="topRight" activeCell="O30" sqref="O30"/>
      <selection pane="bottomLeft" activeCell="O30" sqref="O30"/>
      <selection pane="bottomRight" activeCell="L31" sqref="L31"/>
    </sheetView>
  </sheetViews>
  <sheetFormatPr defaultColWidth="9.140625" defaultRowHeight="15" x14ac:dyDescent="0.25"/>
  <cols>
    <col min="1" max="1" width="22.140625" style="1" customWidth="1"/>
    <col min="2" max="2" width="11.7109375" style="2" customWidth="1"/>
    <col min="3" max="3" width="38.42578125" style="1" customWidth="1"/>
    <col min="4" max="4" width="13.5703125" style="1" customWidth="1"/>
    <col min="5" max="5" width="25.28515625" style="1" customWidth="1"/>
    <col min="6" max="6" width="10.7109375" style="1" customWidth="1"/>
    <col min="7" max="7" width="9.42578125" style="2" customWidth="1"/>
    <col min="8" max="8" width="11.5703125" style="3" bestFit="1" customWidth="1"/>
    <col min="9" max="9" width="13.5703125" style="4" customWidth="1"/>
    <col min="10" max="10" width="12.28515625" style="2" customWidth="1"/>
    <col min="11" max="11" width="9.5703125" style="1" bestFit="1" customWidth="1"/>
    <col min="12" max="12" width="10.5703125" style="1" bestFit="1" customWidth="1"/>
    <col min="13" max="16384" width="9.140625" style="1"/>
  </cols>
  <sheetData>
    <row r="1" spans="1:12" ht="6" customHeight="1" x14ac:dyDescent="0.25"/>
    <row r="2" spans="1:12" ht="15.75" x14ac:dyDescent="0.25">
      <c r="B2" s="5" t="s">
        <v>0</v>
      </c>
      <c r="C2" s="6"/>
      <c r="D2" s="6"/>
      <c r="E2" s="6"/>
      <c r="G2" s="7"/>
      <c r="I2" s="8"/>
      <c r="J2" s="9"/>
    </row>
    <row r="3" spans="1:12" ht="15.75" x14ac:dyDescent="0.25">
      <c r="B3" s="5" t="s">
        <v>1</v>
      </c>
      <c r="C3" s="6"/>
      <c r="D3" s="6"/>
      <c r="E3" s="6"/>
      <c r="G3" s="7"/>
      <c r="H3" s="10">
        <f>SUBTOTAL(9,H6:H501)</f>
        <v>97948.219999999987</v>
      </c>
      <c r="I3" s="10"/>
      <c r="J3" s="10">
        <f>SUBTOTAL(9,J6:J501)</f>
        <v>941254.67292053788</v>
      </c>
    </row>
    <row r="4" spans="1:12" ht="9" customHeight="1" thickBot="1" x14ac:dyDescent="0.3">
      <c r="B4" s="11"/>
      <c r="C4" s="11"/>
      <c r="D4" s="11"/>
      <c r="E4" s="11"/>
      <c r="F4" s="11"/>
      <c r="G4" s="11"/>
      <c r="H4" s="12"/>
      <c r="J4" s="10"/>
      <c r="L4" s="13"/>
    </row>
    <row r="5" spans="1:12" s="2" customFormat="1" ht="28.5" customHeight="1" thickTop="1" thickBot="1" x14ac:dyDescent="0.3"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5" t="s">
        <v>8</v>
      </c>
      <c r="I5" s="15" t="s">
        <v>9</v>
      </c>
      <c r="J5" s="16" t="s">
        <v>10</v>
      </c>
      <c r="K5" s="2" t="s">
        <v>11</v>
      </c>
    </row>
    <row r="6" spans="1:12" ht="15.75" thickTop="1" x14ac:dyDescent="0.25">
      <c r="A6"/>
      <c r="B6" s="17" t="s">
        <v>12</v>
      </c>
      <c r="C6" s="18" t="s">
        <v>13</v>
      </c>
      <c r="D6" s="18" t="s">
        <v>14</v>
      </c>
      <c r="E6" s="18" t="s">
        <v>15</v>
      </c>
      <c r="F6" s="18"/>
      <c r="G6" s="13"/>
      <c r="H6" s="13">
        <v>70</v>
      </c>
      <c r="I6" s="19">
        <v>9.1503158452713542</v>
      </c>
      <c r="J6" s="20">
        <f>I6*H6</f>
        <v>640.5221091689948</v>
      </c>
      <c r="K6" s="21"/>
    </row>
    <row r="7" spans="1:12" x14ac:dyDescent="0.25">
      <c r="A7"/>
      <c r="B7" s="17" t="s">
        <v>16</v>
      </c>
      <c r="C7" s="18" t="s">
        <v>17</v>
      </c>
      <c r="D7" s="18" t="s">
        <v>14</v>
      </c>
      <c r="E7" s="18" t="s">
        <v>15</v>
      </c>
      <c r="F7" s="18"/>
      <c r="G7" s="13"/>
      <c r="H7" s="13">
        <v>56</v>
      </c>
      <c r="I7" s="19">
        <v>8.2099903270501695</v>
      </c>
      <c r="J7" s="20">
        <f t="shared" ref="J7:J71" si="0">I7*H7</f>
        <v>459.75945831480948</v>
      </c>
      <c r="K7" s="21"/>
    </row>
    <row r="8" spans="1:12" x14ac:dyDescent="0.25">
      <c r="A8"/>
      <c r="B8" s="17" t="s">
        <v>18</v>
      </c>
      <c r="C8" s="18" t="s">
        <v>19</v>
      </c>
      <c r="D8" s="18" t="s">
        <v>20</v>
      </c>
      <c r="E8" s="18" t="s">
        <v>15</v>
      </c>
      <c r="F8" s="18"/>
      <c r="G8" s="13"/>
      <c r="H8" s="13">
        <v>45</v>
      </c>
      <c r="I8" s="19">
        <v>10.227875677114103</v>
      </c>
      <c r="J8" s="20">
        <f t="shared" si="0"/>
        <v>460.2544054701346</v>
      </c>
      <c r="K8" s="21"/>
    </row>
    <row r="9" spans="1:12" x14ac:dyDescent="0.25">
      <c r="A9"/>
      <c r="B9" s="17" t="s">
        <v>21</v>
      </c>
      <c r="C9" s="18" t="s">
        <v>22</v>
      </c>
      <c r="D9" s="18" t="s">
        <v>20</v>
      </c>
      <c r="E9" s="18" t="s">
        <v>15</v>
      </c>
      <c r="F9" s="18"/>
      <c r="G9" s="13"/>
      <c r="H9" s="13">
        <v>56</v>
      </c>
      <c r="I9" s="19">
        <v>9.5354124757456855</v>
      </c>
      <c r="J9" s="20">
        <f t="shared" si="0"/>
        <v>533.98309864175837</v>
      </c>
      <c r="K9" s="21"/>
    </row>
    <row r="10" spans="1:12" x14ac:dyDescent="0.25">
      <c r="A10"/>
      <c r="B10" s="17" t="s">
        <v>23</v>
      </c>
      <c r="C10" s="18" t="s">
        <v>24</v>
      </c>
      <c r="D10" s="18" t="s">
        <v>25</v>
      </c>
      <c r="E10" s="18" t="s">
        <v>15</v>
      </c>
      <c r="F10" s="18"/>
      <c r="G10" s="13"/>
      <c r="H10" s="13">
        <v>60</v>
      </c>
      <c r="I10" s="19">
        <v>17.889012966231263</v>
      </c>
      <c r="J10" s="20">
        <f t="shared" si="0"/>
        <v>1073.3407779738759</v>
      </c>
      <c r="K10" s="21"/>
    </row>
    <row r="11" spans="1:12" x14ac:dyDescent="0.25">
      <c r="A11"/>
      <c r="B11" s="17" t="s">
        <v>26</v>
      </c>
      <c r="C11" s="18" t="s">
        <v>27</v>
      </c>
      <c r="D11" s="18" t="s">
        <v>28</v>
      </c>
      <c r="E11" s="18" t="s">
        <v>15</v>
      </c>
      <c r="F11" s="18"/>
      <c r="G11" s="13"/>
      <c r="H11" s="13">
        <v>122</v>
      </c>
      <c r="I11" s="19">
        <v>12.879015377458829</v>
      </c>
      <c r="J11" s="20">
        <f t="shared" si="0"/>
        <v>1571.2398760499773</v>
      </c>
      <c r="K11" s="21"/>
    </row>
    <row r="12" spans="1:12" x14ac:dyDescent="0.25">
      <c r="A12"/>
      <c r="B12" s="17" t="s">
        <v>29</v>
      </c>
      <c r="C12" s="18" t="s">
        <v>30</v>
      </c>
      <c r="D12" s="18" t="s">
        <v>31</v>
      </c>
      <c r="E12" s="18" t="s">
        <v>15</v>
      </c>
      <c r="F12" s="18"/>
      <c r="G12" s="13"/>
      <c r="H12" s="13">
        <v>88</v>
      </c>
      <c r="I12" s="19">
        <v>17.626827277747935</v>
      </c>
      <c r="J12" s="20">
        <f t="shared" si="0"/>
        <v>1551.1608004418183</v>
      </c>
      <c r="K12" s="21"/>
    </row>
    <row r="13" spans="1:12" x14ac:dyDescent="0.25">
      <c r="A13"/>
      <c r="B13" s="17" t="s">
        <v>32</v>
      </c>
      <c r="C13" s="18" t="s">
        <v>33</v>
      </c>
      <c r="D13" s="18" t="s">
        <v>31</v>
      </c>
      <c r="E13" s="18" t="s">
        <v>15</v>
      </c>
      <c r="F13" s="18"/>
      <c r="G13" s="13"/>
      <c r="H13" s="13">
        <v>94</v>
      </c>
      <c r="I13" s="19">
        <v>18.641959832619811</v>
      </c>
      <c r="J13" s="20">
        <f t="shared" si="0"/>
        <v>1752.3442242662622</v>
      </c>
      <c r="K13" s="21"/>
    </row>
    <row r="14" spans="1:12" x14ac:dyDescent="0.25">
      <c r="A14"/>
      <c r="B14" s="17" t="s">
        <v>34</v>
      </c>
      <c r="C14" s="18" t="s">
        <v>35</v>
      </c>
      <c r="D14" s="18" t="s">
        <v>36</v>
      </c>
      <c r="E14" s="18" t="s">
        <v>15</v>
      </c>
      <c r="F14" s="18"/>
      <c r="G14" s="13"/>
      <c r="H14" s="13">
        <f>65+275</f>
        <v>340</v>
      </c>
      <c r="I14" s="19">
        <v>13.183826388042775</v>
      </c>
      <c r="J14" s="20">
        <f t="shared" si="0"/>
        <v>4482.5009719345435</v>
      </c>
      <c r="K14" s="21"/>
    </row>
    <row r="15" spans="1:12" x14ac:dyDescent="0.25">
      <c r="A15"/>
      <c r="B15" s="17" t="s">
        <v>37</v>
      </c>
      <c r="C15" s="18" t="s">
        <v>38</v>
      </c>
      <c r="D15" s="18" t="s">
        <v>20</v>
      </c>
      <c r="E15" s="18" t="s">
        <v>15</v>
      </c>
      <c r="F15" s="18"/>
      <c r="G15" s="13"/>
      <c r="H15" s="13">
        <f>85+443</f>
        <v>528</v>
      </c>
      <c r="I15" s="19">
        <v>10.004221241977449</v>
      </c>
      <c r="J15" s="20">
        <f t="shared" si="0"/>
        <v>5282.2288157640933</v>
      </c>
      <c r="K15" s="21"/>
    </row>
    <row r="16" spans="1:12" x14ac:dyDescent="0.25">
      <c r="A16"/>
      <c r="B16" s="17" t="s">
        <v>39</v>
      </c>
      <c r="C16" s="18" t="s">
        <v>40</v>
      </c>
      <c r="D16" s="18" t="s">
        <v>31</v>
      </c>
      <c r="E16" s="18" t="s">
        <v>15</v>
      </c>
      <c r="F16" s="18"/>
      <c r="G16" s="13"/>
      <c r="H16" s="13">
        <f>80+200</f>
        <v>280</v>
      </c>
      <c r="I16" s="19">
        <v>10.45493000793676</v>
      </c>
      <c r="J16" s="20">
        <f t="shared" si="0"/>
        <v>2927.3804022222926</v>
      </c>
      <c r="K16" s="21"/>
    </row>
    <row r="17" spans="1:11" x14ac:dyDescent="0.25">
      <c r="A17"/>
      <c r="B17" s="17" t="s">
        <v>41</v>
      </c>
      <c r="C17" s="18" t="s">
        <v>42</v>
      </c>
      <c r="D17" s="18" t="s">
        <v>31</v>
      </c>
      <c r="E17" s="18" t="s">
        <v>15</v>
      </c>
      <c r="F17" s="18"/>
      <c r="G17" s="13"/>
      <c r="H17" s="13">
        <f>235+72</f>
        <v>307</v>
      </c>
      <c r="I17" s="19">
        <v>9.113850481749596</v>
      </c>
      <c r="J17" s="20">
        <f t="shared" si="0"/>
        <v>2797.9520978971259</v>
      </c>
      <c r="K17" s="21"/>
    </row>
    <row r="18" spans="1:11" x14ac:dyDescent="0.25">
      <c r="A18"/>
      <c r="B18" s="17" t="s">
        <v>43</v>
      </c>
      <c r="C18" s="18" t="s">
        <v>44</v>
      </c>
      <c r="D18" s="18" t="s">
        <v>45</v>
      </c>
      <c r="E18" s="18" t="s">
        <v>15</v>
      </c>
      <c r="F18" s="18"/>
      <c r="G18" s="13"/>
      <c r="H18" s="13">
        <f>45+110</f>
        <v>155</v>
      </c>
      <c r="I18" s="19">
        <v>11.056135137658208</v>
      </c>
      <c r="J18" s="20">
        <f t="shared" si="0"/>
        <v>1713.7009463370223</v>
      </c>
      <c r="K18" s="21"/>
    </row>
    <row r="19" spans="1:11" x14ac:dyDescent="0.25">
      <c r="A19"/>
      <c r="B19" s="17" t="s">
        <v>46</v>
      </c>
      <c r="C19" s="18" t="s">
        <v>47</v>
      </c>
      <c r="D19" s="18" t="s">
        <v>48</v>
      </c>
      <c r="E19" s="18" t="s">
        <v>15</v>
      </c>
      <c r="F19" s="18"/>
      <c r="G19" s="13"/>
      <c r="H19" s="13">
        <f>198+140</f>
        <v>338</v>
      </c>
      <c r="I19" s="19">
        <v>11.190991545790414</v>
      </c>
      <c r="J19" s="20">
        <f t="shared" si="0"/>
        <v>3782.5551424771602</v>
      </c>
      <c r="K19" s="21"/>
    </row>
    <row r="20" spans="1:11" x14ac:dyDescent="0.25">
      <c r="A20"/>
      <c r="B20" s="17" t="s">
        <v>49</v>
      </c>
      <c r="C20" s="18" t="s">
        <v>50</v>
      </c>
      <c r="D20" s="18" t="s">
        <v>28</v>
      </c>
      <c r="E20" s="18" t="s">
        <v>15</v>
      </c>
      <c r="F20" s="18"/>
      <c r="G20" s="13"/>
      <c r="H20" s="13">
        <f>272+222</f>
        <v>494</v>
      </c>
      <c r="I20" s="19">
        <v>8.3081124917712987</v>
      </c>
      <c r="J20" s="20">
        <f t="shared" si="0"/>
        <v>4104.207570935022</v>
      </c>
      <c r="K20" s="21"/>
    </row>
    <row r="21" spans="1:11" x14ac:dyDescent="0.25">
      <c r="A21"/>
      <c r="B21" s="17" t="s">
        <v>51</v>
      </c>
      <c r="C21" s="18" t="s">
        <v>52</v>
      </c>
      <c r="D21" s="18" t="s">
        <v>45</v>
      </c>
      <c r="E21" s="18" t="s">
        <v>15</v>
      </c>
      <c r="F21" s="18"/>
      <c r="G21" s="13"/>
      <c r="H21" s="13">
        <f>365+204+320+87</f>
        <v>976</v>
      </c>
      <c r="I21" s="19">
        <v>10.689658891987287</v>
      </c>
      <c r="J21" s="20">
        <f t="shared" si="0"/>
        <v>10433.107078579593</v>
      </c>
      <c r="K21" s="21"/>
    </row>
    <row r="22" spans="1:11" x14ac:dyDescent="0.25">
      <c r="A22"/>
      <c r="B22" s="17" t="s">
        <v>53</v>
      </c>
      <c r="C22" s="18" t="s">
        <v>54</v>
      </c>
      <c r="D22" s="18" t="s">
        <v>36</v>
      </c>
      <c r="E22" s="18" t="s">
        <v>15</v>
      </c>
      <c r="F22" s="18"/>
      <c r="G22" s="13"/>
      <c r="H22" s="13">
        <f>97+198+203</f>
        <v>498</v>
      </c>
      <c r="I22" s="19">
        <v>12.703154354980127</v>
      </c>
      <c r="J22" s="20">
        <f t="shared" si="0"/>
        <v>6326.1708687801029</v>
      </c>
      <c r="K22" s="21"/>
    </row>
    <row r="23" spans="1:11" x14ac:dyDescent="0.25">
      <c r="A23"/>
      <c r="B23" s="17" t="s">
        <v>55</v>
      </c>
      <c r="C23" s="18" t="s">
        <v>56</v>
      </c>
      <c r="D23" s="18" t="s">
        <v>36</v>
      </c>
      <c r="E23" s="18" t="s">
        <v>15</v>
      </c>
      <c r="F23" s="18"/>
      <c r="G23" s="13"/>
      <c r="H23" s="13">
        <f>54+88+50</f>
        <v>192</v>
      </c>
      <c r="I23" s="19">
        <v>6.6952708101252325</v>
      </c>
      <c r="J23" s="20">
        <f t="shared" si="0"/>
        <v>1285.4919955440446</v>
      </c>
      <c r="K23" s="21"/>
    </row>
    <row r="24" spans="1:11" x14ac:dyDescent="0.25">
      <c r="A24"/>
      <c r="B24" s="17" t="s">
        <v>57</v>
      </c>
      <c r="C24" s="18" t="s">
        <v>58</v>
      </c>
      <c r="D24" s="18" t="s">
        <v>20</v>
      </c>
      <c r="E24" s="18" t="s">
        <v>15</v>
      </c>
      <c r="F24" s="18"/>
      <c r="G24" s="13"/>
      <c r="H24" s="13">
        <f>236+227+95</f>
        <v>558</v>
      </c>
      <c r="I24" s="19">
        <v>10.085227505910007</v>
      </c>
      <c r="J24" s="20">
        <f t="shared" si="0"/>
        <v>5627.5569482977835</v>
      </c>
      <c r="K24" s="21"/>
    </row>
    <row r="25" spans="1:11" x14ac:dyDescent="0.25">
      <c r="A25"/>
      <c r="B25" s="17" t="s">
        <v>59</v>
      </c>
      <c r="C25" s="18" t="s">
        <v>60</v>
      </c>
      <c r="D25" s="18" t="s">
        <v>20</v>
      </c>
      <c r="E25" s="18" t="s">
        <v>15</v>
      </c>
      <c r="F25" s="18"/>
      <c r="G25" s="13"/>
      <c r="H25" s="13">
        <f>97+80+130</f>
        <v>307</v>
      </c>
      <c r="I25" s="19">
        <v>11.908218909555096</v>
      </c>
      <c r="J25" s="20">
        <f t="shared" si="0"/>
        <v>3655.8232052334142</v>
      </c>
      <c r="K25" s="21"/>
    </row>
    <row r="26" spans="1:11" x14ac:dyDescent="0.25">
      <c r="A26"/>
      <c r="B26" s="17" t="s">
        <v>61</v>
      </c>
      <c r="C26" s="18" t="s">
        <v>62</v>
      </c>
      <c r="D26" s="18" t="s">
        <v>63</v>
      </c>
      <c r="E26" s="18" t="s">
        <v>15</v>
      </c>
      <c r="F26" s="18"/>
      <c r="G26" s="13"/>
      <c r="H26" s="13">
        <f>91+222+240</f>
        <v>553</v>
      </c>
      <c r="I26" s="19">
        <v>8.8751728024140615</v>
      </c>
      <c r="J26" s="20">
        <f t="shared" si="0"/>
        <v>4907.9705597349757</v>
      </c>
      <c r="K26" s="21"/>
    </row>
    <row r="27" spans="1:11" x14ac:dyDescent="0.25">
      <c r="A27"/>
      <c r="B27" s="17" t="s">
        <v>64</v>
      </c>
      <c r="C27" s="18" t="s">
        <v>65</v>
      </c>
      <c r="D27" s="18" t="s">
        <v>45</v>
      </c>
      <c r="E27" s="18" t="s">
        <v>15</v>
      </c>
      <c r="F27" s="18"/>
      <c r="G27" s="13"/>
      <c r="H27" s="13">
        <f>100+142+153</f>
        <v>395</v>
      </c>
      <c r="I27" s="19">
        <v>10.927644414436767</v>
      </c>
      <c r="J27" s="20">
        <f t="shared" si="0"/>
        <v>4316.4195437025228</v>
      </c>
      <c r="K27" s="21"/>
    </row>
    <row r="28" spans="1:11" x14ac:dyDescent="0.25">
      <c r="A28"/>
      <c r="B28" s="17" t="s">
        <v>66</v>
      </c>
      <c r="C28" s="18" t="s">
        <v>67</v>
      </c>
      <c r="D28" s="18" t="s">
        <v>68</v>
      </c>
      <c r="E28" s="18" t="s">
        <v>15</v>
      </c>
      <c r="F28" s="18"/>
      <c r="G28" s="13"/>
      <c r="H28" s="13">
        <f>70+324+189</f>
        <v>583</v>
      </c>
      <c r="I28" s="19">
        <v>8.9994850579492596</v>
      </c>
      <c r="J28" s="20">
        <f t="shared" si="0"/>
        <v>5246.6997887844182</v>
      </c>
      <c r="K28" s="21"/>
    </row>
    <row r="29" spans="1:11" x14ac:dyDescent="0.25">
      <c r="A29"/>
      <c r="B29" s="17" t="s">
        <v>69</v>
      </c>
      <c r="C29" s="18" t="s">
        <v>70</v>
      </c>
      <c r="D29" s="18" t="s">
        <v>20</v>
      </c>
      <c r="E29" s="18" t="s">
        <v>15</v>
      </c>
      <c r="F29" s="18"/>
      <c r="G29" s="13"/>
      <c r="H29" s="13">
        <f>303+247+103+122</f>
        <v>775</v>
      </c>
      <c r="I29" s="19">
        <v>10.378147210342725</v>
      </c>
      <c r="J29" s="20">
        <f t="shared" si="0"/>
        <v>8043.0640880156116</v>
      </c>
      <c r="K29" s="21"/>
    </row>
    <row r="30" spans="1:11" x14ac:dyDescent="0.25">
      <c r="A30"/>
      <c r="B30" s="17" t="s">
        <v>71</v>
      </c>
      <c r="C30" s="18" t="s">
        <v>72</v>
      </c>
      <c r="D30" s="18" t="s">
        <v>73</v>
      </c>
      <c r="E30" s="18" t="s">
        <v>15</v>
      </c>
      <c r="F30" s="18"/>
      <c r="G30" s="13"/>
      <c r="H30" s="13">
        <f>90+350+348+240+457</f>
        <v>1485</v>
      </c>
      <c r="I30" s="19">
        <v>11.02917893672903</v>
      </c>
      <c r="J30" s="20">
        <f t="shared" si="0"/>
        <v>16378.33072104261</v>
      </c>
      <c r="K30" s="21"/>
    </row>
    <row r="31" spans="1:11" x14ac:dyDescent="0.25">
      <c r="A31"/>
      <c r="B31" s="17" t="s">
        <v>74</v>
      </c>
      <c r="C31" s="18" t="s">
        <v>75</v>
      </c>
      <c r="D31" s="18" t="s">
        <v>76</v>
      </c>
      <c r="E31" s="18" t="s">
        <v>15</v>
      </c>
      <c r="F31" s="18"/>
      <c r="G31" s="13"/>
      <c r="H31" s="13">
        <f>390+516+265+145+160</f>
        <v>1476</v>
      </c>
      <c r="I31" s="19">
        <v>10.852405128313668</v>
      </c>
      <c r="J31" s="20">
        <f t="shared" si="0"/>
        <v>16018.149969390974</v>
      </c>
      <c r="K31" s="21"/>
    </row>
    <row r="32" spans="1:11" x14ac:dyDescent="0.25">
      <c r="A32"/>
      <c r="B32" s="17" t="s">
        <v>77</v>
      </c>
      <c r="C32" s="18" t="s">
        <v>78</v>
      </c>
      <c r="D32" s="18" t="s">
        <v>79</v>
      </c>
      <c r="E32" s="18" t="s">
        <v>15</v>
      </c>
      <c r="F32" s="18"/>
      <c r="G32" s="13"/>
      <c r="H32" s="13">
        <f>116+198+203+329+305+298</f>
        <v>1449</v>
      </c>
      <c r="I32" s="19">
        <v>7.9941625676784431</v>
      </c>
      <c r="J32" s="20">
        <f t="shared" si="0"/>
        <v>11583.541560566064</v>
      </c>
      <c r="K32" s="21"/>
    </row>
    <row r="33" spans="1:11" x14ac:dyDescent="0.25">
      <c r="A33"/>
      <c r="B33" s="17" t="s">
        <v>80</v>
      </c>
      <c r="C33" s="18" t="s">
        <v>81</v>
      </c>
      <c r="D33" s="18" t="s">
        <v>20</v>
      </c>
      <c r="E33" s="18" t="s">
        <v>15</v>
      </c>
      <c r="F33" s="18"/>
      <c r="G33" s="13"/>
      <c r="H33" s="13">
        <f>317+436+436+438+210+120</f>
        <v>1957</v>
      </c>
      <c r="I33" s="19">
        <v>9.4037579756489382</v>
      </c>
      <c r="J33" s="20">
        <f t="shared" si="0"/>
        <v>18403.154358344971</v>
      </c>
      <c r="K33" s="21"/>
    </row>
    <row r="34" spans="1:11" x14ac:dyDescent="0.25">
      <c r="A34"/>
      <c r="B34" s="17" t="s">
        <v>82</v>
      </c>
      <c r="C34" s="18" t="s">
        <v>83</v>
      </c>
      <c r="D34" s="18" t="s">
        <v>84</v>
      </c>
      <c r="E34" s="18" t="s">
        <v>15</v>
      </c>
      <c r="F34" s="18"/>
      <c r="G34" s="13"/>
      <c r="H34" s="13">
        <f>122+331+460+462+468+348</f>
        <v>2191</v>
      </c>
      <c r="I34" s="19">
        <v>8.0011139902024748</v>
      </c>
      <c r="J34" s="20">
        <f t="shared" si="0"/>
        <v>17530.440752533621</v>
      </c>
      <c r="K34" s="21"/>
    </row>
    <row r="35" spans="1:11" x14ac:dyDescent="0.25">
      <c r="A35"/>
      <c r="B35" s="17" t="s">
        <v>85</v>
      </c>
      <c r="C35" s="18" t="s">
        <v>86</v>
      </c>
      <c r="D35" s="18" t="s">
        <v>87</v>
      </c>
      <c r="E35" s="18" t="s">
        <v>15</v>
      </c>
      <c r="F35" s="18"/>
      <c r="G35" s="13"/>
      <c r="H35" s="13">
        <f>147+166+58+150+297+174+158</f>
        <v>1150</v>
      </c>
      <c r="I35" s="19">
        <v>12.270115802658816</v>
      </c>
      <c r="J35" s="20">
        <f t="shared" si="0"/>
        <v>14110.633173057638</v>
      </c>
      <c r="K35" s="21"/>
    </row>
    <row r="36" spans="1:11" x14ac:dyDescent="0.25">
      <c r="A36"/>
      <c r="B36" s="17" t="s">
        <v>88</v>
      </c>
      <c r="C36" s="18" t="s">
        <v>89</v>
      </c>
      <c r="D36" s="18" t="s">
        <v>20</v>
      </c>
      <c r="E36" s="18" t="s">
        <v>15</v>
      </c>
      <c r="F36" s="18"/>
      <c r="G36" s="13"/>
      <c r="H36" s="13">
        <f>73+194+313+252+431+433+430+434+198</f>
        <v>2758</v>
      </c>
      <c r="I36" s="19">
        <v>9.2488905010169411</v>
      </c>
      <c r="J36" s="20">
        <f t="shared" si="0"/>
        <v>25508.440001804724</v>
      </c>
      <c r="K36" s="21"/>
    </row>
    <row r="37" spans="1:11" x14ac:dyDescent="0.25">
      <c r="A37"/>
      <c r="B37" s="17" t="s">
        <v>90</v>
      </c>
      <c r="C37" s="18" t="s">
        <v>91</v>
      </c>
      <c r="D37" s="18" t="s">
        <v>20</v>
      </c>
      <c r="E37" s="18" t="s">
        <v>15</v>
      </c>
      <c r="F37" s="18"/>
      <c r="G37" s="13"/>
      <c r="H37" s="13">
        <f>92+164+363+156+435+258+429+431+417+12</f>
        <v>2757</v>
      </c>
      <c r="I37" s="19">
        <v>9.1138370338666697</v>
      </c>
      <c r="J37" s="20">
        <f t="shared" si="0"/>
        <v>25126.848702370407</v>
      </c>
      <c r="K37" s="21"/>
    </row>
    <row r="38" spans="1:11" x14ac:dyDescent="0.25">
      <c r="A38"/>
      <c r="B38" s="17" t="s">
        <v>92</v>
      </c>
      <c r="C38" s="18" t="s">
        <v>93</v>
      </c>
      <c r="D38" s="18" t="s">
        <v>84</v>
      </c>
      <c r="E38" s="18" t="s">
        <v>15</v>
      </c>
      <c r="F38" s="18"/>
      <c r="G38" s="13"/>
      <c r="H38" s="13">
        <f>325+268+526+525+519+193+520+335+329+308+222+523+275+252+310+218</f>
        <v>5648</v>
      </c>
      <c r="I38" s="19">
        <v>8.7029891985716183</v>
      </c>
      <c r="J38" s="20">
        <f t="shared" si="0"/>
        <v>49154.482993532503</v>
      </c>
      <c r="K38" s="21"/>
    </row>
    <row r="39" spans="1:11" x14ac:dyDescent="0.25">
      <c r="A39"/>
      <c r="B39" s="17" t="s">
        <v>94</v>
      </c>
      <c r="C39" s="18" t="s">
        <v>95</v>
      </c>
      <c r="D39" s="18" t="s">
        <v>96</v>
      </c>
      <c r="E39" s="18" t="s">
        <v>15</v>
      </c>
      <c r="F39" s="18"/>
      <c r="G39" s="13"/>
      <c r="H39" s="13">
        <v>25</v>
      </c>
      <c r="I39" s="19">
        <v>24.621748312261833</v>
      </c>
      <c r="J39" s="20">
        <f t="shared" si="0"/>
        <v>615.54370780654585</v>
      </c>
      <c r="K39" s="21"/>
    </row>
    <row r="40" spans="1:11" x14ac:dyDescent="0.25">
      <c r="A40"/>
      <c r="B40" s="17" t="s">
        <v>97</v>
      </c>
      <c r="C40" s="18" t="s">
        <v>98</v>
      </c>
      <c r="D40" s="18" t="s">
        <v>99</v>
      </c>
      <c r="E40" s="18" t="s">
        <v>100</v>
      </c>
      <c r="F40" s="18"/>
      <c r="G40" s="13"/>
      <c r="H40" s="13">
        <v>46</v>
      </c>
      <c r="I40" s="19">
        <v>11.589939782414316</v>
      </c>
      <c r="J40" s="20">
        <f t="shared" si="0"/>
        <v>533.13722999105858</v>
      </c>
      <c r="K40" s="21"/>
    </row>
    <row r="41" spans="1:11" x14ac:dyDescent="0.25">
      <c r="A41"/>
      <c r="B41" s="17">
        <v>64423</v>
      </c>
      <c r="C41" s="18" t="s">
        <v>101</v>
      </c>
      <c r="D41" s="18" t="s">
        <v>102</v>
      </c>
      <c r="E41" s="18" t="s">
        <v>100</v>
      </c>
      <c r="F41" s="18"/>
      <c r="G41" s="13"/>
      <c r="H41" s="13">
        <v>50</v>
      </c>
      <c r="I41" s="19">
        <v>9.6306486450293072</v>
      </c>
      <c r="J41" s="20">
        <f t="shared" si="0"/>
        <v>481.53243225146537</v>
      </c>
      <c r="K41" s="21"/>
    </row>
    <row r="42" spans="1:11" x14ac:dyDescent="0.25">
      <c r="A42"/>
      <c r="B42" s="17">
        <v>60498</v>
      </c>
      <c r="C42" s="18" t="s">
        <v>103</v>
      </c>
      <c r="D42" s="18" t="s">
        <v>25</v>
      </c>
      <c r="E42" s="18" t="s">
        <v>104</v>
      </c>
      <c r="F42" s="18"/>
      <c r="G42" s="13" t="s">
        <v>105</v>
      </c>
      <c r="H42" s="13">
        <v>73</v>
      </c>
      <c r="I42" s="19">
        <v>8.76</v>
      </c>
      <c r="J42" s="20">
        <f t="shared" si="0"/>
        <v>639.48</v>
      </c>
      <c r="K42" s="21"/>
    </row>
    <row r="43" spans="1:11" x14ac:dyDescent="0.25">
      <c r="A43"/>
      <c r="B43" s="17">
        <v>60810</v>
      </c>
      <c r="C43" s="18" t="s">
        <v>106</v>
      </c>
      <c r="D43" s="18" t="s">
        <v>107</v>
      </c>
      <c r="E43" s="18" t="s">
        <v>104</v>
      </c>
      <c r="F43" s="18"/>
      <c r="G43" s="13" t="s">
        <v>105</v>
      </c>
      <c r="H43" s="13">
        <f>280+335</f>
        <v>615</v>
      </c>
      <c r="I43" s="19">
        <v>7.6322089008796938</v>
      </c>
      <c r="J43" s="20">
        <f t="shared" si="0"/>
        <v>4693.8084740410113</v>
      </c>
      <c r="K43" s="21"/>
    </row>
    <row r="44" spans="1:11" x14ac:dyDescent="0.25">
      <c r="A44"/>
      <c r="B44" s="17">
        <v>62445</v>
      </c>
      <c r="C44" s="18" t="s">
        <v>108</v>
      </c>
      <c r="D44" s="18" t="s">
        <v>109</v>
      </c>
      <c r="E44" s="18" t="s">
        <v>104</v>
      </c>
      <c r="F44" s="18"/>
      <c r="G44" s="13" t="s">
        <v>105</v>
      </c>
      <c r="H44" s="13">
        <v>204</v>
      </c>
      <c r="I44" s="19">
        <v>12.199675997791051</v>
      </c>
      <c r="J44" s="20">
        <f t="shared" si="0"/>
        <v>2488.7339035493742</v>
      </c>
      <c r="K44" s="21"/>
    </row>
    <row r="45" spans="1:11" x14ac:dyDescent="0.25">
      <c r="A45"/>
      <c r="B45" s="17">
        <v>62768</v>
      </c>
      <c r="C45" s="18" t="s">
        <v>110</v>
      </c>
      <c r="D45" s="18" t="s">
        <v>14</v>
      </c>
      <c r="E45" s="18" t="s">
        <v>104</v>
      </c>
      <c r="F45" s="18"/>
      <c r="G45" s="13" t="s">
        <v>105</v>
      </c>
      <c r="H45" s="13">
        <v>54</v>
      </c>
      <c r="I45" s="19">
        <v>8.6006250009846621</v>
      </c>
      <c r="J45" s="20">
        <f t="shared" si="0"/>
        <v>464.43375005317176</v>
      </c>
      <c r="K45" s="21"/>
    </row>
    <row r="46" spans="1:11" x14ac:dyDescent="0.25">
      <c r="A46"/>
      <c r="B46" s="17" t="s">
        <v>111</v>
      </c>
      <c r="C46" s="18" t="s">
        <v>112</v>
      </c>
      <c r="D46" s="18" t="s">
        <v>113</v>
      </c>
      <c r="E46" s="18" t="s">
        <v>104</v>
      </c>
      <c r="F46" s="18"/>
      <c r="G46" s="13" t="s">
        <v>105</v>
      </c>
      <c r="H46" s="13">
        <v>15</v>
      </c>
      <c r="I46" s="19">
        <v>11.463221388253332</v>
      </c>
      <c r="J46" s="20">
        <f t="shared" si="0"/>
        <v>171.94832082379997</v>
      </c>
      <c r="K46" s="21"/>
    </row>
    <row r="47" spans="1:11" x14ac:dyDescent="0.25">
      <c r="A47"/>
      <c r="B47" s="17" t="s">
        <v>114</v>
      </c>
      <c r="C47" s="18" t="s">
        <v>115</v>
      </c>
      <c r="D47" s="18" t="s">
        <v>14</v>
      </c>
      <c r="E47" s="18" t="s">
        <v>104</v>
      </c>
      <c r="F47" s="18"/>
      <c r="G47" s="13" t="s">
        <v>105</v>
      </c>
      <c r="H47" s="13">
        <v>118</v>
      </c>
      <c r="I47" s="19">
        <v>13.211162421954807</v>
      </c>
      <c r="J47" s="20">
        <f t="shared" si="0"/>
        <v>1558.9171657906672</v>
      </c>
      <c r="K47" s="21"/>
    </row>
    <row r="48" spans="1:11" x14ac:dyDescent="0.25">
      <c r="A48"/>
      <c r="B48" s="17" t="s">
        <v>116</v>
      </c>
      <c r="C48" s="18" t="s">
        <v>117</v>
      </c>
      <c r="D48" s="18" t="s">
        <v>14</v>
      </c>
      <c r="E48" s="18" t="s">
        <v>104</v>
      </c>
      <c r="F48" s="18"/>
      <c r="G48" s="13" t="s">
        <v>105</v>
      </c>
      <c r="H48" s="13">
        <f>310+365</f>
        <v>675</v>
      </c>
      <c r="I48" s="19">
        <v>7.483480500951174</v>
      </c>
      <c r="J48" s="20">
        <f t="shared" si="0"/>
        <v>5051.3493381420421</v>
      </c>
      <c r="K48" s="21"/>
    </row>
    <row r="49" spans="1:11" x14ac:dyDescent="0.25">
      <c r="A49"/>
      <c r="B49" s="17" t="s">
        <v>118</v>
      </c>
      <c r="C49" s="18" t="s">
        <v>119</v>
      </c>
      <c r="D49" s="18" t="s">
        <v>14</v>
      </c>
      <c r="E49" s="18" t="s">
        <v>104</v>
      </c>
      <c r="F49" s="18"/>
      <c r="G49" s="13" t="s">
        <v>105</v>
      </c>
      <c r="H49" s="13">
        <v>507</v>
      </c>
      <c r="I49" s="19">
        <v>13.265018079058619</v>
      </c>
      <c r="J49" s="20">
        <f t="shared" si="0"/>
        <v>6725.3641660827197</v>
      </c>
      <c r="K49" s="21"/>
    </row>
    <row r="50" spans="1:11" x14ac:dyDescent="0.25">
      <c r="A50"/>
      <c r="B50" s="17" t="s">
        <v>120</v>
      </c>
      <c r="C50" s="18" t="s">
        <v>121</v>
      </c>
      <c r="D50" s="18" t="s">
        <v>122</v>
      </c>
      <c r="E50" s="18" t="s">
        <v>104</v>
      </c>
      <c r="F50" s="18"/>
      <c r="G50" s="13" t="s">
        <v>105</v>
      </c>
      <c r="H50" s="13">
        <v>314</v>
      </c>
      <c r="I50" s="19">
        <v>8.8818839156980687</v>
      </c>
      <c r="J50" s="20">
        <f t="shared" si="0"/>
        <v>2788.9115495291935</v>
      </c>
      <c r="K50" s="21"/>
    </row>
    <row r="51" spans="1:11" x14ac:dyDescent="0.25">
      <c r="A51"/>
      <c r="B51" s="17" t="s">
        <v>123</v>
      </c>
      <c r="C51" s="18" t="s">
        <v>124</v>
      </c>
      <c r="D51" s="18" t="s">
        <v>109</v>
      </c>
      <c r="E51" s="18" t="s">
        <v>104</v>
      </c>
      <c r="F51" s="18"/>
      <c r="G51" s="13" t="s">
        <v>105</v>
      </c>
      <c r="H51" s="13">
        <v>144</v>
      </c>
      <c r="I51" s="19">
        <v>9.7770348513598986</v>
      </c>
      <c r="J51" s="20">
        <f t="shared" si="0"/>
        <v>1407.8930185958254</v>
      </c>
      <c r="K51" s="21"/>
    </row>
    <row r="52" spans="1:11" x14ac:dyDescent="0.25">
      <c r="A52"/>
      <c r="B52" s="17" t="s">
        <v>125</v>
      </c>
      <c r="C52" s="18" t="s">
        <v>126</v>
      </c>
      <c r="D52" s="18" t="s">
        <v>14</v>
      </c>
      <c r="E52" s="18" t="s">
        <v>104</v>
      </c>
      <c r="F52" s="18"/>
      <c r="G52" s="13" t="s">
        <v>105</v>
      </c>
      <c r="H52" s="13">
        <v>148</v>
      </c>
      <c r="I52" s="19">
        <v>7.9348602237611328</v>
      </c>
      <c r="J52" s="20">
        <f t="shared" si="0"/>
        <v>1174.3593131166476</v>
      </c>
      <c r="K52" s="21"/>
    </row>
    <row r="53" spans="1:11" x14ac:dyDescent="0.25">
      <c r="A53"/>
      <c r="B53" s="17" t="s">
        <v>127</v>
      </c>
      <c r="C53" s="18" t="s">
        <v>128</v>
      </c>
      <c r="D53" s="18" t="s">
        <v>14</v>
      </c>
      <c r="E53" s="18" t="s">
        <v>104</v>
      </c>
      <c r="F53" s="18"/>
      <c r="G53" s="13" t="s">
        <v>105</v>
      </c>
      <c r="H53" s="13">
        <v>75</v>
      </c>
      <c r="I53" s="19">
        <v>8.0904532986196251</v>
      </c>
      <c r="J53" s="20">
        <f t="shared" si="0"/>
        <v>606.78399739647193</v>
      </c>
      <c r="K53" s="21"/>
    </row>
    <row r="54" spans="1:11" x14ac:dyDescent="0.25">
      <c r="A54"/>
      <c r="B54" s="17" t="s">
        <v>129</v>
      </c>
      <c r="C54" s="18" t="s">
        <v>130</v>
      </c>
      <c r="D54" s="18" t="s">
        <v>14</v>
      </c>
      <c r="E54" s="18" t="s">
        <v>104</v>
      </c>
      <c r="F54" s="18"/>
      <c r="G54" s="13" t="s">
        <v>105</v>
      </c>
      <c r="H54" s="13">
        <v>325</v>
      </c>
      <c r="I54" s="19">
        <v>20.006727799446626</v>
      </c>
      <c r="J54" s="20">
        <f t="shared" si="0"/>
        <v>6502.1865348201536</v>
      </c>
      <c r="K54" s="21"/>
    </row>
    <row r="55" spans="1:11" x14ac:dyDescent="0.25">
      <c r="A55"/>
      <c r="B55" s="17" t="s">
        <v>131</v>
      </c>
      <c r="C55" s="18" t="s">
        <v>132</v>
      </c>
      <c r="D55" s="18" t="s">
        <v>14</v>
      </c>
      <c r="E55" s="18" t="s">
        <v>104</v>
      </c>
      <c r="F55" s="18"/>
      <c r="G55" s="13" t="s">
        <v>105</v>
      </c>
      <c r="H55" s="13">
        <v>246</v>
      </c>
      <c r="I55" s="19">
        <v>19.296782678023472</v>
      </c>
      <c r="J55" s="20">
        <f t="shared" si="0"/>
        <v>4747.0085387937743</v>
      </c>
      <c r="K55" s="21"/>
    </row>
    <row r="56" spans="1:11" x14ac:dyDescent="0.25">
      <c r="A56"/>
      <c r="B56" s="17" t="s">
        <v>133</v>
      </c>
      <c r="C56" s="18" t="s">
        <v>134</v>
      </c>
      <c r="D56" s="18" t="s">
        <v>14</v>
      </c>
      <c r="E56" s="18" t="s">
        <v>104</v>
      </c>
      <c r="F56" s="18"/>
      <c r="G56" s="13" t="s">
        <v>105</v>
      </c>
      <c r="H56" s="13">
        <v>305</v>
      </c>
      <c r="I56" s="19">
        <v>19.445077609733513</v>
      </c>
      <c r="J56" s="20">
        <f t="shared" si="0"/>
        <v>5930.7486709687219</v>
      </c>
      <c r="K56" s="21"/>
    </row>
    <row r="57" spans="1:11" x14ac:dyDescent="0.25">
      <c r="A57"/>
      <c r="B57" s="17" t="s">
        <v>135</v>
      </c>
      <c r="C57" s="18" t="s">
        <v>136</v>
      </c>
      <c r="D57" s="18" t="s">
        <v>14</v>
      </c>
      <c r="E57" s="18" t="s">
        <v>104</v>
      </c>
      <c r="F57" s="18"/>
      <c r="G57" s="13" t="s">
        <v>105</v>
      </c>
      <c r="H57" s="13">
        <v>223</v>
      </c>
      <c r="I57" s="19">
        <v>13.882630414652033</v>
      </c>
      <c r="J57" s="20">
        <f t="shared" si="0"/>
        <v>3095.8265824674031</v>
      </c>
      <c r="K57" s="21"/>
    </row>
    <row r="58" spans="1:11" x14ac:dyDescent="0.25">
      <c r="A58"/>
      <c r="B58" s="17" t="s">
        <v>137</v>
      </c>
      <c r="C58" s="18" t="s">
        <v>138</v>
      </c>
      <c r="D58" s="18" t="s">
        <v>14</v>
      </c>
      <c r="E58" s="18" t="s">
        <v>104</v>
      </c>
      <c r="F58" s="18"/>
      <c r="G58" s="13" t="s">
        <v>105</v>
      </c>
      <c r="H58" s="13">
        <v>203</v>
      </c>
      <c r="I58" s="19">
        <v>16.553617678109067</v>
      </c>
      <c r="J58" s="20">
        <f t="shared" si="0"/>
        <v>3360.3843886561403</v>
      </c>
      <c r="K58" s="21"/>
    </row>
    <row r="59" spans="1:11" x14ac:dyDescent="0.25">
      <c r="A59"/>
      <c r="B59" s="17" t="s">
        <v>139</v>
      </c>
      <c r="C59" s="18" t="s">
        <v>140</v>
      </c>
      <c r="D59" s="18" t="s">
        <v>14</v>
      </c>
      <c r="E59" s="18" t="s">
        <v>104</v>
      </c>
      <c r="F59" s="18"/>
      <c r="G59" s="13" t="s">
        <v>105</v>
      </c>
      <c r="H59" s="13">
        <v>214</v>
      </c>
      <c r="I59" s="19">
        <v>16.800884718410721</v>
      </c>
      <c r="J59" s="20">
        <f t="shared" si="0"/>
        <v>3595.3893297398945</v>
      </c>
      <c r="K59" s="21"/>
    </row>
    <row r="60" spans="1:11" x14ac:dyDescent="0.25">
      <c r="A60"/>
      <c r="B60" s="17" t="s">
        <v>141</v>
      </c>
      <c r="C60" s="18" t="s">
        <v>142</v>
      </c>
      <c r="D60" s="18" t="s">
        <v>14</v>
      </c>
      <c r="E60" s="18" t="s">
        <v>104</v>
      </c>
      <c r="F60" s="18"/>
      <c r="G60" s="13" t="s">
        <v>105</v>
      </c>
      <c r="H60" s="13">
        <v>213</v>
      </c>
      <c r="I60" s="19">
        <v>14.37953878205945</v>
      </c>
      <c r="J60" s="20">
        <f t="shared" si="0"/>
        <v>3062.8417605786631</v>
      </c>
      <c r="K60" s="21"/>
    </row>
    <row r="61" spans="1:11" x14ac:dyDescent="0.25">
      <c r="A61"/>
      <c r="B61" s="17" t="s">
        <v>143</v>
      </c>
      <c r="C61" s="18" t="s">
        <v>144</v>
      </c>
      <c r="D61" s="18" t="s">
        <v>14</v>
      </c>
      <c r="E61" s="18" t="s">
        <v>104</v>
      </c>
      <c r="F61" s="18"/>
      <c r="G61" s="13" t="s">
        <v>105</v>
      </c>
      <c r="H61" s="13">
        <v>220</v>
      </c>
      <c r="I61" s="19">
        <v>23.735736967947382</v>
      </c>
      <c r="J61" s="20">
        <f t="shared" si="0"/>
        <v>5221.862132948424</v>
      </c>
      <c r="K61" s="21"/>
    </row>
    <row r="62" spans="1:11" x14ac:dyDescent="0.25">
      <c r="A62"/>
      <c r="B62" s="17" t="s">
        <v>145</v>
      </c>
      <c r="C62" s="18" t="s">
        <v>146</v>
      </c>
      <c r="D62" s="18" t="s">
        <v>14</v>
      </c>
      <c r="E62" s="18" t="s">
        <v>104</v>
      </c>
      <c r="F62" s="18"/>
      <c r="G62" s="13" t="s">
        <v>105</v>
      </c>
      <c r="H62" s="13">
        <v>404</v>
      </c>
      <c r="I62" s="19">
        <v>17.864488833820268</v>
      </c>
      <c r="J62" s="20">
        <f t="shared" si="0"/>
        <v>7217.2534888633882</v>
      </c>
      <c r="K62" s="21"/>
    </row>
    <row r="63" spans="1:11" x14ac:dyDescent="0.25">
      <c r="A63"/>
      <c r="B63" s="17" t="s">
        <v>147</v>
      </c>
      <c r="C63" s="18" t="s">
        <v>148</v>
      </c>
      <c r="D63" s="18" t="s">
        <v>149</v>
      </c>
      <c r="E63" s="18" t="s">
        <v>104</v>
      </c>
      <c r="F63" s="18"/>
      <c r="G63" s="13" t="s">
        <v>105</v>
      </c>
      <c r="H63" s="13">
        <v>77</v>
      </c>
      <c r="I63" s="19">
        <v>6.0337383426402944</v>
      </c>
      <c r="J63" s="20">
        <f t="shared" si="0"/>
        <v>464.59785238330267</v>
      </c>
      <c r="K63" s="21"/>
    </row>
    <row r="64" spans="1:11" x14ac:dyDescent="0.25">
      <c r="A64"/>
      <c r="B64" s="17">
        <v>59394</v>
      </c>
      <c r="C64" s="18" t="s">
        <v>150</v>
      </c>
      <c r="D64" s="18" t="s">
        <v>25</v>
      </c>
      <c r="E64" s="18" t="s">
        <v>104</v>
      </c>
      <c r="F64" s="18"/>
      <c r="G64" s="13" t="s">
        <v>105</v>
      </c>
      <c r="H64" s="13">
        <f>281+223</f>
        <v>504</v>
      </c>
      <c r="I64" s="19">
        <v>11.438681300267337</v>
      </c>
      <c r="J64" s="20">
        <f t="shared" si="0"/>
        <v>5765.0953753347376</v>
      </c>
      <c r="K64" s="21"/>
    </row>
    <row r="65" spans="1:11" x14ac:dyDescent="0.25">
      <c r="A65"/>
      <c r="B65" s="17" t="s">
        <v>151</v>
      </c>
      <c r="C65" s="18" t="s">
        <v>152</v>
      </c>
      <c r="D65" s="18" t="s">
        <v>14</v>
      </c>
      <c r="E65" s="18" t="s">
        <v>104</v>
      </c>
      <c r="F65" s="18"/>
      <c r="G65" s="13" t="s">
        <v>105</v>
      </c>
      <c r="H65" s="13">
        <f>338+490</f>
        <v>828</v>
      </c>
      <c r="I65" s="19">
        <v>7.3941403273577553</v>
      </c>
      <c r="J65" s="20">
        <f t="shared" si="0"/>
        <v>6122.3481910522214</v>
      </c>
      <c r="K65" s="21"/>
    </row>
    <row r="66" spans="1:11" x14ac:dyDescent="0.25">
      <c r="A66"/>
      <c r="B66" s="17" t="s">
        <v>153</v>
      </c>
      <c r="C66" s="18" t="s">
        <v>154</v>
      </c>
      <c r="D66" s="18" t="s">
        <v>31</v>
      </c>
      <c r="E66" s="18" t="s">
        <v>104</v>
      </c>
      <c r="F66" s="18"/>
      <c r="G66" s="13" t="s">
        <v>105</v>
      </c>
      <c r="H66" s="13">
        <f>293+230</f>
        <v>523</v>
      </c>
      <c r="I66" s="19">
        <v>22.674471515033428</v>
      </c>
      <c r="J66" s="20">
        <f t="shared" si="0"/>
        <v>11858.748602362482</v>
      </c>
      <c r="K66" s="21"/>
    </row>
    <row r="67" spans="1:11" x14ac:dyDescent="0.25">
      <c r="A67"/>
      <c r="B67" s="17" t="s">
        <v>155</v>
      </c>
      <c r="C67" s="18" t="s">
        <v>156</v>
      </c>
      <c r="D67" s="18" t="s">
        <v>31</v>
      </c>
      <c r="E67" s="18" t="s">
        <v>104</v>
      </c>
      <c r="F67" s="18"/>
      <c r="G67" s="13" t="s">
        <v>105</v>
      </c>
      <c r="H67" s="13">
        <f>145+340</f>
        <v>485</v>
      </c>
      <c r="I67" s="19">
        <v>8.6051898847214208</v>
      </c>
      <c r="J67" s="20">
        <f t="shared" si="0"/>
        <v>4173.5170940898888</v>
      </c>
      <c r="K67" s="21"/>
    </row>
    <row r="68" spans="1:11" x14ac:dyDescent="0.25">
      <c r="A68"/>
      <c r="B68" s="17" t="s">
        <v>157</v>
      </c>
      <c r="C68" s="18" t="s">
        <v>158</v>
      </c>
      <c r="D68" s="18" t="s">
        <v>20</v>
      </c>
      <c r="E68" s="18" t="s">
        <v>104</v>
      </c>
      <c r="F68" s="18"/>
      <c r="G68" s="13" t="s">
        <v>105</v>
      </c>
      <c r="H68" s="13">
        <f>581+527</f>
        <v>1108</v>
      </c>
      <c r="I68" s="19">
        <v>9.5869347597261871</v>
      </c>
      <c r="J68" s="20">
        <f t="shared" si="0"/>
        <v>10622.323713776615</v>
      </c>
      <c r="K68" s="21"/>
    </row>
    <row r="69" spans="1:11" x14ac:dyDescent="0.25">
      <c r="A69"/>
      <c r="B69" s="17" t="s">
        <v>159</v>
      </c>
      <c r="C69" s="18" t="s">
        <v>124</v>
      </c>
      <c r="D69" s="18" t="s">
        <v>109</v>
      </c>
      <c r="E69" s="18" t="s">
        <v>104</v>
      </c>
      <c r="F69" s="18"/>
      <c r="G69" s="13" t="s">
        <v>105</v>
      </c>
      <c r="H69" s="13">
        <v>50</v>
      </c>
      <c r="I69" s="19">
        <v>9.955544915932748</v>
      </c>
      <c r="J69" s="20">
        <f t="shared" si="0"/>
        <v>497.77724579663743</v>
      </c>
      <c r="K69" s="21"/>
    </row>
    <row r="70" spans="1:11" x14ac:dyDescent="0.25">
      <c r="A70"/>
      <c r="B70" s="17" t="s">
        <v>160</v>
      </c>
      <c r="C70" s="18" t="s">
        <v>161</v>
      </c>
      <c r="D70" s="18" t="s">
        <v>14</v>
      </c>
      <c r="E70" s="18" t="s">
        <v>104</v>
      </c>
      <c r="F70" s="18"/>
      <c r="G70" s="13" t="s">
        <v>105</v>
      </c>
      <c r="H70" s="13">
        <f>436+345</f>
        <v>781</v>
      </c>
      <c r="I70" s="19">
        <v>15.909957511954669</v>
      </c>
      <c r="J70" s="20">
        <f t="shared" si="0"/>
        <v>12425.676816836596</v>
      </c>
      <c r="K70" s="21"/>
    </row>
    <row r="71" spans="1:11" x14ac:dyDescent="0.25">
      <c r="A71"/>
      <c r="B71" s="17" t="s">
        <v>162</v>
      </c>
      <c r="C71" s="18" t="s">
        <v>163</v>
      </c>
      <c r="D71" s="18" t="s">
        <v>14</v>
      </c>
      <c r="E71" s="18" t="s">
        <v>104</v>
      </c>
      <c r="F71" s="18"/>
      <c r="G71" s="13" t="s">
        <v>105</v>
      </c>
      <c r="H71" s="13">
        <f>164+399</f>
        <v>563</v>
      </c>
      <c r="I71" s="19">
        <v>16.217108464133894</v>
      </c>
      <c r="J71" s="20">
        <f t="shared" si="0"/>
        <v>9130.2320653073821</v>
      </c>
      <c r="K71" s="21"/>
    </row>
    <row r="72" spans="1:11" x14ac:dyDescent="0.25">
      <c r="A72"/>
      <c r="B72" s="17" t="s">
        <v>164</v>
      </c>
      <c r="C72" s="18" t="s">
        <v>165</v>
      </c>
      <c r="D72" s="18" t="s">
        <v>14</v>
      </c>
      <c r="E72" s="18" t="s">
        <v>104</v>
      </c>
      <c r="F72" s="18"/>
      <c r="G72" s="13" t="s">
        <v>105</v>
      </c>
      <c r="H72" s="13">
        <f>518+415</f>
        <v>933</v>
      </c>
      <c r="I72" s="19">
        <v>13.185288576815658</v>
      </c>
      <c r="J72" s="20">
        <f t="shared" ref="J72:J135" si="1">I72*H72</f>
        <v>12301.874242169009</v>
      </c>
      <c r="K72" s="21"/>
    </row>
    <row r="73" spans="1:11" x14ac:dyDescent="0.25">
      <c r="A73"/>
      <c r="B73" s="17" t="s">
        <v>166</v>
      </c>
      <c r="C73" s="18" t="s">
        <v>167</v>
      </c>
      <c r="D73" s="18" t="s">
        <v>31</v>
      </c>
      <c r="E73" s="18" t="s">
        <v>104</v>
      </c>
      <c r="F73" s="18"/>
      <c r="G73" s="13" t="s">
        <v>105</v>
      </c>
      <c r="H73" s="13">
        <f>100+445+198</f>
        <v>743</v>
      </c>
      <c r="I73" s="19">
        <v>8.2798302423077548</v>
      </c>
      <c r="J73" s="20">
        <f t="shared" si="1"/>
        <v>6151.9138700346621</v>
      </c>
      <c r="K73" s="21"/>
    </row>
    <row r="74" spans="1:11" x14ac:dyDescent="0.25">
      <c r="A74"/>
      <c r="B74" s="17" t="s">
        <v>168</v>
      </c>
      <c r="C74" s="18" t="s">
        <v>169</v>
      </c>
      <c r="D74" s="18" t="s">
        <v>14</v>
      </c>
      <c r="E74" s="18" t="s">
        <v>104</v>
      </c>
      <c r="F74" s="18"/>
      <c r="G74" s="13" t="s">
        <v>105</v>
      </c>
      <c r="H74" s="13">
        <f>112+472+431</f>
        <v>1015</v>
      </c>
      <c r="I74" s="19">
        <v>15.750432808919522</v>
      </c>
      <c r="J74" s="20">
        <f t="shared" si="1"/>
        <v>15986.689301053315</v>
      </c>
      <c r="K74" s="21"/>
    </row>
    <row r="75" spans="1:11" x14ac:dyDescent="0.25">
      <c r="A75"/>
      <c r="B75" s="17" t="s">
        <v>170</v>
      </c>
      <c r="C75" s="18" t="s">
        <v>171</v>
      </c>
      <c r="D75" s="18" t="s">
        <v>14</v>
      </c>
      <c r="E75" s="18" t="s">
        <v>104</v>
      </c>
      <c r="F75" s="18"/>
      <c r="G75" s="13" t="s">
        <v>105</v>
      </c>
      <c r="H75" s="13">
        <f>147+320+651</f>
        <v>1118</v>
      </c>
      <c r="I75" s="19">
        <v>15.286883140016226</v>
      </c>
      <c r="J75" s="20">
        <f t="shared" si="1"/>
        <v>17090.73535053814</v>
      </c>
      <c r="K75" s="21"/>
    </row>
    <row r="76" spans="1:11" x14ac:dyDescent="0.25">
      <c r="A76"/>
      <c r="B76" s="17" t="s">
        <v>172</v>
      </c>
      <c r="C76" s="18" t="s">
        <v>173</v>
      </c>
      <c r="D76" s="18" t="s">
        <v>14</v>
      </c>
      <c r="E76" s="18" t="s">
        <v>104</v>
      </c>
      <c r="F76" s="18"/>
      <c r="G76" s="13" t="s">
        <v>105</v>
      </c>
      <c r="H76" s="13">
        <f>230+345+295</f>
        <v>870</v>
      </c>
      <c r="I76" s="19">
        <v>13.924857330826962</v>
      </c>
      <c r="J76" s="20">
        <f t="shared" si="1"/>
        <v>12114.625877819457</v>
      </c>
      <c r="K76" s="21"/>
    </row>
    <row r="77" spans="1:11" x14ac:dyDescent="0.25">
      <c r="A77"/>
      <c r="B77" s="17" t="s">
        <v>174</v>
      </c>
      <c r="C77" s="18" t="s">
        <v>175</v>
      </c>
      <c r="D77" s="18" t="s">
        <v>14</v>
      </c>
      <c r="E77" s="18" t="s">
        <v>104</v>
      </c>
      <c r="F77" s="18"/>
      <c r="G77" s="13" t="s">
        <v>105</v>
      </c>
      <c r="H77" s="13">
        <f>297+510+133+303</f>
        <v>1243</v>
      </c>
      <c r="I77" s="19">
        <v>15.213477378553348</v>
      </c>
      <c r="J77" s="20">
        <f t="shared" si="1"/>
        <v>18910.352381541812</v>
      </c>
      <c r="K77" s="21"/>
    </row>
    <row r="78" spans="1:11" x14ac:dyDescent="0.25">
      <c r="A78"/>
      <c r="B78" s="17" t="s">
        <v>176</v>
      </c>
      <c r="C78" s="18" t="s">
        <v>177</v>
      </c>
      <c r="D78" s="18" t="s">
        <v>14</v>
      </c>
      <c r="E78" s="18" t="s">
        <v>104</v>
      </c>
      <c r="F78" s="18"/>
      <c r="G78" s="13" t="s">
        <v>105</v>
      </c>
      <c r="H78" s="13">
        <f>317+312+309+335</f>
        <v>1273</v>
      </c>
      <c r="I78" s="19">
        <v>15.466671564818233</v>
      </c>
      <c r="J78" s="20">
        <f t="shared" si="1"/>
        <v>19689.07290201361</v>
      </c>
      <c r="K78" s="21"/>
    </row>
    <row r="79" spans="1:11" x14ac:dyDescent="0.25">
      <c r="A79"/>
      <c r="B79" s="17" t="s">
        <v>69</v>
      </c>
      <c r="C79" s="18" t="s">
        <v>70</v>
      </c>
      <c r="D79" s="18" t="s">
        <v>20</v>
      </c>
      <c r="E79" s="18" t="s">
        <v>104</v>
      </c>
      <c r="F79" s="18"/>
      <c r="G79" s="13" t="s">
        <v>105</v>
      </c>
      <c r="H79" s="13">
        <f>642+640+668+641+642+640+600+648</f>
        <v>5121</v>
      </c>
      <c r="I79" s="19">
        <v>8.8314463732733035</v>
      </c>
      <c r="J79" s="20">
        <f t="shared" si="1"/>
        <v>45225.836877532587</v>
      </c>
      <c r="K79" s="21"/>
    </row>
    <row r="80" spans="1:11" x14ac:dyDescent="0.25">
      <c r="A80"/>
      <c r="B80" s="17" t="s">
        <v>178</v>
      </c>
      <c r="C80" s="18" t="s">
        <v>179</v>
      </c>
      <c r="D80" s="18" t="s">
        <v>20</v>
      </c>
      <c r="E80" s="18" t="s">
        <v>104</v>
      </c>
      <c r="F80" s="18"/>
      <c r="G80" s="13" t="s">
        <v>105</v>
      </c>
      <c r="H80" s="13">
        <f>398+629+563+571+643+44+568+372+542</f>
        <v>4330</v>
      </c>
      <c r="I80" s="19">
        <v>9.2388748964048837</v>
      </c>
      <c r="J80" s="20">
        <f t="shared" si="1"/>
        <v>40004.328301433146</v>
      </c>
      <c r="K80" s="21"/>
    </row>
    <row r="81" spans="1:11" x14ac:dyDescent="0.25">
      <c r="A81"/>
      <c r="B81" s="17" t="s">
        <v>180</v>
      </c>
      <c r="C81" s="18" t="s">
        <v>89</v>
      </c>
      <c r="D81" s="18" t="s">
        <v>20</v>
      </c>
      <c r="E81" s="18" t="s">
        <v>104</v>
      </c>
      <c r="F81" s="18"/>
      <c r="G81" s="13" t="s">
        <v>105</v>
      </c>
      <c r="H81" s="13">
        <f>505+617+579+531+485+467+560+562+624+624</f>
        <v>5554</v>
      </c>
      <c r="I81" s="19">
        <v>8.4341722605851892</v>
      </c>
      <c r="J81" s="20">
        <f t="shared" si="1"/>
        <v>46843.392735290137</v>
      </c>
      <c r="K81" s="21"/>
    </row>
    <row r="82" spans="1:11" x14ac:dyDescent="0.25">
      <c r="A82"/>
      <c r="B82" s="17" t="s">
        <v>181</v>
      </c>
      <c r="C82" s="18" t="s">
        <v>182</v>
      </c>
      <c r="D82" s="18" t="s">
        <v>14</v>
      </c>
      <c r="E82" s="18" t="s">
        <v>104</v>
      </c>
      <c r="F82" s="18"/>
      <c r="G82" s="13" t="s">
        <v>105</v>
      </c>
      <c r="H82" s="13">
        <f>297+442+421+271+222+210+296+260+315+305+142+302+297+129+90</f>
        <v>3999</v>
      </c>
      <c r="I82" s="19">
        <v>12.920916017153449</v>
      </c>
      <c r="J82" s="20">
        <f t="shared" si="1"/>
        <v>51670.743152596639</v>
      </c>
      <c r="K82" s="21"/>
    </row>
    <row r="83" spans="1:11" x14ac:dyDescent="0.25">
      <c r="A83"/>
      <c r="B83" s="17">
        <v>59411</v>
      </c>
      <c r="C83" s="18" t="s">
        <v>183</v>
      </c>
      <c r="D83" s="18" t="s">
        <v>25</v>
      </c>
      <c r="E83" s="18" t="s">
        <v>104</v>
      </c>
      <c r="F83" s="18"/>
      <c r="G83" s="13" t="s">
        <v>105</v>
      </c>
      <c r="H83" s="13">
        <v>250</v>
      </c>
      <c r="I83" s="19">
        <v>9.7348201684968387</v>
      </c>
      <c r="J83" s="20">
        <f t="shared" si="1"/>
        <v>2433.7050421242097</v>
      </c>
      <c r="K83" s="21"/>
    </row>
    <row r="84" spans="1:11" x14ac:dyDescent="0.25">
      <c r="A84"/>
      <c r="B84" s="17">
        <v>60503</v>
      </c>
      <c r="C84" s="18" t="s">
        <v>184</v>
      </c>
      <c r="D84" s="18" t="s">
        <v>185</v>
      </c>
      <c r="E84" s="18" t="s">
        <v>186</v>
      </c>
      <c r="F84" s="18"/>
      <c r="G84" s="13" t="s">
        <v>187</v>
      </c>
      <c r="H84" s="13">
        <v>212</v>
      </c>
      <c r="I84" s="19">
        <v>7.8134075467195387</v>
      </c>
      <c r="J84" s="20">
        <f t="shared" si="1"/>
        <v>1656.4423999045423</v>
      </c>
      <c r="K84" s="21"/>
    </row>
    <row r="85" spans="1:11" x14ac:dyDescent="0.25">
      <c r="A85"/>
      <c r="B85" s="17">
        <v>58923</v>
      </c>
      <c r="C85" s="18" t="s">
        <v>188</v>
      </c>
      <c r="D85" s="18" t="s">
        <v>189</v>
      </c>
      <c r="E85" s="18" t="s">
        <v>186</v>
      </c>
      <c r="F85" s="18"/>
      <c r="G85" s="13" t="s">
        <v>187</v>
      </c>
      <c r="H85" s="13">
        <v>392</v>
      </c>
      <c r="I85" s="19">
        <v>5.7205730606793024</v>
      </c>
      <c r="J85" s="20">
        <f t="shared" si="1"/>
        <v>2242.4646397862866</v>
      </c>
      <c r="K85" s="21"/>
    </row>
    <row r="86" spans="1:11" x14ac:dyDescent="0.25">
      <c r="A86"/>
      <c r="B86" s="17" t="s">
        <v>190</v>
      </c>
      <c r="C86" s="18" t="s">
        <v>191</v>
      </c>
      <c r="D86" s="18" t="s">
        <v>14</v>
      </c>
      <c r="E86" s="18" t="s">
        <v>186</v>
      </c>
      <c r="F86" s="18"/>
      <c r="G86" s="13" t="s">
        <v>187</v>
      </c>
      <c r="H86" s="13">
        <v>240</v>
      </c>
      <c r="I86" s="19">
        <v>8.1222115769953298</v>
      </c>
      <c r="J86" s="20">
        <f t="shared" si="1"/>
        <v>1949.3307784788792</v>
      </c>
      <c r="K86" s="21"/>
    </row>
    <row r="87" spans="1:11" x14ac:dyDescent="0.25">
      <c r="A87"/>
      <c r="B87" s="17" t="s">
        <v>192</v>
      </c>
      <c r="C87" s="18" t="s">
        <v>193</v>
      </c>
      <c r="D87" s="18" t="s">
        <v>194</v>
      </c>
      <c r="E87" s="18" t="s">
        <v>186</v>
      </c>
      <c r="F87" s="18"/>
      <c r="G87" s="13" t="s">
        <v>105</v>
      </c>
      <c r="H87" s="13">
        <v>554</v>
      </c>
      <c r="I87" s="19">
        <v>6.2354573704128278</v>
      </c>
      <c r="J87" s="20">
        <f t="shared" si="1"/>
        <v>3454.4433832087066</v>
      </c>
      <c r="K87" s="21"/>
    </row>
    <row r="88" spans="1:11" x14ac:dyDescent="0.25">
      <c r="A88"/>
      <c r="B88" s="17" t="s">
        <v>195</v>
      </c>
      <c r="C88" s="18" t="s">
        <v>196</v>
      </c>
      <c r="D88" s="18" t="s">
        <v>36</v>
      </c>
      <c r="E88" s="18" t="s">
        <v>186</v>
      </c>
      <c r="F88" s="18"/>
      <c r="G88" s="13" t="s">
        <v>105</v>
      </c>
      <c r="H88" s="13">
        <v>294</v>
      </c>
      <c r="I88" s="19">
        <v>5.1987912703531478</v>
      </c>
      <c r="J88" s="20">
        <f t="shared" si="1"/>
        <v>1528.4446334838256</v>
      </c>
      <c r="K88" s="21"/>
    </row>
    <row r="89" spans="1:11" x14ac:dyDescent="0.25">
      <c r="A89"/>
      <c r="B89" s="17" t="s">
        <v>197</v>
      </c>
      <c r="C89" s="18" t="s">
        <v>198</v>
      </c>
      <c r="D89" s="18" t="s">
        <v>14</v>
      </c>
      <c r="E89" s="18" t="s">
        <v>186</v>
      </c>
      <c r="F89" s="18"/>
      <c r="G89" s="13" t="s">
        <v>187</v>
      </c>
      <c r="H89" s="13">
        <v>136</v>
      </c>
      <c r="I89" s="19">
        <v>12.110536327279995</v>
      </c>
      <c r="J89" s="20">
        <f t="shared" si="1"/>
        <v>1647.0329405100792</v>
      </c>
      <c r="K89" s="21"/>
    </row>
    <row r="90" spans="1:11" x14ac:dyDescent="0.25">
      <c r="A90"/>
      <c r="B90" s="17" t="s">
        <v>199</v>
      </c>
      <c r="C90" s="18" t="s">
        <v>200</v>
      </c>
      <c r="D90" s="18" t="s">
        <v>84</v>
      </c>
      <c r="E90" s="18" t="s">
        <v>186</v>
      </c>
      <c r="F90" s="18"/>
      <c r="G90" s="13" t="s">
        <v>105</v>
      </c>
      <c r="H90" s="13">
        <v>613</v>
      </c>
      <c r="I90" s="19">
        <v>11.930021673615775</v>
      </c>
      <c r="J90" s="20">
        <f t="shared" si="1"/>
        <v>7313.1032859264697</v>
      </c>
      <c r="K90" s="21"/>
    </row>
    <row r="91" spans="1:11" x14ac:dyDescent="0.25">
      <c r="A91"/>
      <c r="B91" s="17" t="s">
        <v>201</v>
      </c>
      <c r="C91" s="18" t="s">
        <v>202</v>
      </c>
      <c r="D91" s="18" t="s">
        <v>203</v>
      </c>
      <c r="E91" s="18" t="s">
        <v>186</v>
      </c>
      <c r="F91" s="18"/>
      <c r="G91" s="13" t="s">
        <v>187</v>
      </c>
      <c r="H91" s="13">
        <v>510</v>
      </c>
      <c r="I91" s="19">
        <v>7.1766229563295134</v>
      </c>
      <c r="J91" s="20">
        <f t="shared" si="1"/>
        <v>3660.0777077280518</v>
      </c>
      <c r="K91" s="21"/>
    </row>
    <row r="92" spans="1:11" x14ac:dyDescent="0.25">
      <c r="A92"/>
      <c r="B92" s="17" t="s">
        <v>204</v>
      </c>
      <c r="C92" s="18" t="s">
        <v>205</v>
      </c>
      <c r="D92" s="18" t="s">
        <v>203</v>
      </c>
      <c r="E92" s="18" t="s">
        <v>186</v>
      </c>
      <c r="F92" s="18"/>
      <c r="G92" s="13" t="s">
        <v>187</v>
      </c>
      <c r="H92" s="13">
        <v>507</v>
      </c>
      <c r="I92" s="19">
        <v>6.9656343664167064</v>
      </c>
      <c r="J92" s="20">
        <f t="shared" si="1"/>
        <v>3531.5766237732701</v>
      </c>
      <c r="K92" s="21"/>
    </row>
    <row r="93" spans="1:11" x14ac:dyDescent="0.25">
      <c r="A93"/>
      <c r="B93" s="17" t="s">
        <v>206</v>
      </c>
      <c r="C93" s="18" t="s">
        <v>207</v>
      </c>
      <c r="D93" s="18" t="s">
        <v>194</v>
      </c>
      <c r="E93" s="18" t="s">
        <v>186</v>
      </c>
      <c r="F93" s="18"/>
      <c r="G93" s="13" t="s">
        <v>105</v>
      </c>
      <c r="H93" s="13">
        <f>315+310</f>
        <v>625</v>
      </c>
      <c r="I93" s="19">
        <v>6.4321883301481888</v>
      </c>
      <c r="J93" s="20">
        <f t="shared" si="1"/>
        <v>4020.117706342618</v>
      </c>
      <c r="K93" s="21"/>
    </row>
    <row r="94" spans="1:11" x14ac:dyDescent="0.25">
      <c r="A94"/>
      <c r="B94" s="17" t="s">
        <v>208</v>
      </c>
      <c r="C94" s="18" t="s">
        <v>209</v>
      </c>
      <c r="D94" s="18" t="s">
        <v>194</v>
      </c>
      <c r="E94" s="18" t="s">
        <v>186</v>
      </c>
      <c r="F94" s="18"/>
      <c r="G94" s="13" t="s">
        <v>105</v>
      </c>
      <c r="H94" s="13">
        <f>520+572</f>
        <v>1092</v>
      </c>
      <c r="I94" s="19">
        <v>8.1502004571488715</v>
      </c>
      <c r="J94" s="20">
        <f t="shared" si="1"/>
        <v>8900.0188992065669</v>
      </c>
      <c r="K94" s="21"/>
    </row>
    <row r="95" spans="1:11" x14ac:dyDescent="0.25">
      <c r="A95"/>
      <c r="B95" s="17" t="s">
        <v>210</v>
      </c>
      <c r="C95" s="18" t="s">
        <v>211</v>
      </c>
      <c r="D95" s="18" t="s">
        <v>194</v>
      </c>
      <c r="E95" s="18" t="s">
        <v>186</v>
      </c>
      <c r="F95" s="18"/>
      <c r="G95" s="13" t="s">
        <v>105</v>
      </c>
      <c r="H95" s="13">
        <f>297+299</f>
        <v>596</v>
      </c>
      <c r="I95" s="19">
        <v>6.0737256662534289</v>
      </c>
      <c r="J95" s="20">
        <f t="shared" si="1"/>
        <v>3619.9404970870437</v>
      </c>
      <c r="K95" s="21"/>
    </row>
    <row r="96" spans="1:11" x14ac:dyDescent="0.25">
      <c r="A96"/>
      <c r="B96" s="17" t="s">
        <v>212</v>
      </c>
      <c r="C96" s="18" t="s">
        <v>213</v>
      </c>
      <c r="D96" s="18" t="s">
        <v>194</v>
      </c>
      <c r="E96" s="18" t="s">
        <v>186</v>
      </c>
      <c r="F96" s="18"/>
      <c r="G96" s="13" t="s">
        <v>105</v>
      </c>
      <c r="H96" s="13">
        <f>301+304</f>
        <v>605</v>
      </c>
      <c r="I96" s="19">
        <v>6.36614367434691</v>
      </c>
      <c r="J96" s="20">
        <f t="shared" si="1"/>
        <v>3851.5169229798807</v>
      </c>
      <c r="K96" s="21"/>
    </row>
    <row r="97" spans="1:11" x14ac:dyDescent="0.25">
      <c r="A97"/>
      <c r="B97" s="17" t="s">
        <v>214</v>
      </c>
      <c r="C97" s="18" t="s">
        <v>215</v>
      </c>
      <c r="D97" s="18" t="s">
        <v>216</v>
      </c>
      <c r="E97" s="18" t="s">
        <v>186</v>
      </c>
      <c r="F97" s="18"/>
      <c r="G97" s="13" t="s">
        <v>105</v>
      </c>
      <c r="H97" s="13">
        <f>359+564</f>
        <v>923</v>
      </c>
      <c r="I97" s="19">
        <v>7.3132938543187072</v>
      </c>
      <c r="J97" s="20">
        <f t="shared" si="1"/>
        <v>6750.1702275361667</v>
      </c>
      <c r="K97" s="21"/>
    </row>
    <row r="98" spans="1:11" x14ac:dyDescent="0.25">
      <c r="A98"/>
      <c r="B98" s="17" t="s">
        <v>217</v>
      </c>
      <c r="C98" s="18" t="s">
        <v>218</v>
      </c>
      <c r="D98" s="18" t="s">
        <v>14</v>
      </c>
      <c r="E98" s="18" t="s">
        <v>186</v>
      </c>
      <c r="F98" s="18"/>
      <c r="G98" s="13" t="s">
        <v>187</v>
      </c>
      <c r="H98" s="13">
        <f>586+362+687+336+230</f>
        <v>2201</v>
      </c>
      <c r="I98" s="19">
        <v>10.142692836093046</v>
      </c>
      <c r="J98" s="20">
        <f t="shared" si="1"/>
        <v>22324.066932240792</v>
      </c>
      <c r="K98" s="21"/>
    </row>
    <row r="99" spans="1:11" x14ac:dyDescent="0.25">
      <c r="A99"/>
      <c r="B99" s="17" t="s">
        <v>219</v>
      </c>
      <c r="C99" s="18" t="s">
        <v>220</v>
      </c>
      <c r="D99" s="18" t="s">
        <v>36</v>
      </c>
      <c r="E99" s="18" t="s">
        <v>186</v>
      </c>
      <c r="F99" s="18"/>
      <c r="G99" s="13" t="s">
        <v>105</v>
      </c>
      <c r="H99" s="13">
        <f>750+652+754+756+713+790+760+670+615+731</f>
        <v>7191</v>
      </c>
      <c r="I99" s="19">
        <v>6.437917152245471</v>
      </c>
      <c r="J99" s="20">
        <f t="shared" si="1"/>
        <v>46295.062241797183</v>
      </c>
      <c r="K99" s="21"/>
    </row>
    <row r="100" spans="1:11" x14ac:dyDescent="0.25">
      <c r="A100"/>
      <c r="B100" s="17" t="s">
        <v>221</v>
      </c>
      <c r="C100" s="18" t="s">
        <v>222</v>
      </c>
      <c r="D100" s="18" t="s">
        <v>14</v>
      </c>
      <c r="E100" s="18" t="s">
        <v>186</v>
      </c>
      <c r="F100" s="18"/>
      <c r="G100" s="13" t="s">
        <v>187</v>
      </c>
      <c r="H100" s="13">
        <f>683+615+460+345+412+775+60+595+614+542+613+612+613+612+618</f>
        <v>8169</v>
      </c>
      <c r="I100" s="19">
        <v>9.0228823089664605</v>
      </c>
      <c r="J100" s="20">
        <f t="shared" si="1"/>
        <v>73707.925581947013</v>
      </c>
      <c r="K100" s="21"/>
    </row>
    <row r="101" spans="1:11" x14ac:dyDescent="0.25">
      <c r="A101"/>
      <c r="B101" s="17" t="s">
        <v>223</v>
      </c>
      <c r="C101" s="18" t="s">
        <v>224</v>
      </c>
      <c r="D101" s="18" t="s">
        <v>194</v>
      </c>
      <c r="E101" s="18" t="s">
        <v>225</v>
      </c>
      <c r="F101" s="18"/>
      <c r="G101" s="13"/>
      <c r="H101" s="13">
        <v>39.9</v>
      </c>
      <c r="I101" s="19">
        <v>12.46449891916186</v>
      </c>
      <c r="J101" s="20">
        <f t="shared" si="1"/>
        <v>497.33350687455822</v>
      </c>
      <c r="K101" s="21"/>
    </row>
    <row r="102" spans="1:11" x14ac:dyDescent="0.25">
      <c r="A102"/>
      <c r="B102" s="17" t="s">
        <v>226</v>
      </c>
      <c r="C102" s="18" t="s">
        <v>227</v>
      </c>
      <c r="D102" s="18" t="s">
        <v>14</v>
      </c>
      <c r="E102" s="18" t="s">
        <v>225</v>
      </c>
      <c r="F102" s="18"/>
      <c r="G102" s="13"/>
      <c r="H102" s="13">
        <v>173.8</v>
      </c>
      <c r="I102" s="19">
        <v>10.196565832452011</v>
      </c>
      <c r="J102" s="20">
        <f t="shared" si="1"/>
        <v>1772.1631416801597</v>
      </c>
      <c r="K102" s="21"/>
    </row>
    <row r="103" spans="1:11" x14ac:dyDescent="0.25">
      <c r="A103"/>
      <c r="B103" s="17" t="s">
        <v>228</v>
      </c>
      <c r="C103" s="18" t="s">
        <v>229</v>
      </c>
      <c r="D103" s="18" t="s">
        <v>14</v>
      </c>
      <c r="E103" s="18" t="s">
        <v>225</v>
      </c>
      <c r="F103" s="18"/>
      <c r="G103" s="13"/>
      <c r="H103" s="13">
        <v>63</v>
      </c>
      <c r="I103" s="19">
        <v>9.5232298257968377</v>
      </c>
      <c r="J103" s="20">
        <f t="shared" si="1"/>
        <v>599.96347902520074</v>
      </c>
      <c r="K103" s="21"/>
    </row>
    <row r="104" spans="1:11" x14ac:dyDescent="0.25">
      <c r="A104"/>
      <c r="B104" s="17" t="s">
        <v>230</v>
      </c>
      <c r="C104" s="18" t="s">
        <v>231</v>
      </c>
      <c r="D104" s="18" t="s">
        <v>14</v>
      </c>
      <c r="E104" s="18" t="s">
        <v>225</v>
      </c>
      <c r="F104" s="18"/>
      <c r="G104" s="13"/>
      <c r="H104" s="13">
        <f>5+5</f>
        <v>10</v>
      </c>
      <c r="I104" s="19">
        <v>9.9287556547748093</v>
      </c>
      <c r="J104" s="20">
        <f t="shared" si="1"/>
        <v>99.287556547748096</v>
      </c>
      <c r="K104" s="21"/>
    </row>
    <row r="105" spans="1:11" x14ac:dyDescent="0.25">
      <c r="A105"/>
      <c r="B105" s="17" t="s">
        <v>232</v>
      </c>
      <c r="C105" s="18" t="s">
        <v>233</v>
      </c>
      <c r="D105" s="18" t="s">
        <v>73</v>
      </c>
      <c r="E105" s="18" t="s">
        <v>225</v>
      </c>
      <c r="F105" s="18"/>
      <c r="G105" s="13"/>
      <c r="H105" s="13">
        <f>87.1+86.1+31.9</f>
        <v>205.1</v>
      </c>
      <c r="I105" s="19">
        <v>8.6099868200478245</v>
      </c>
      <c r="J105" s="20">
        <f t="shared" si="1"/>
        <v>1765.9082967918087</v>
      </c>
      <c r="K105" s="21"/>
    </row>
    <row r="106" spans="1:11" x14ac:dyDescent="0.25">
      <c r="A106"/>
      <c r="B106" s="17" t="s">
        <v>234</v>
      </c>
      <c r="C106" s="18" t="s">
        <v>235</v>
      </c>
      <c r="D106" s="18" t="s">
        <v>14</v>
      </c>
      <c r="E106" s="18" t="s">
        <v>225</v>
      </c>
      <c r="F106" s="18"/>
      <c r="G106" s="13"/>
      <c r="H106" s="13">
        <f>2.8+2.8+2.8+2.8+2.8+2.8+2.8+2.8+2.8+2.8+2.8+2.8+2.8+2.8+2.8+1+23.8+23.8+23.8</f>
        <v>114.39999999999999</v>
      </c>
      <c r="I106" s="19">
        <v>10.124231214304436</v>
      </c>
      <c r="J106" s="20">
        <f t="shared" si="1"/>
        <v>1158.2120509164274</v>
      </c>
      <c r="K106" s="21"/>
    </row>
    <row r="107" spans="1:11" x14ac:dyDescent="0.25">
      <c r="A107"/>
      <c r="B107" s="17" t="s">
        <v>236</v>
      </c>
      <c r="C107" s="18" t="s">
        <v>237</v>
      </c>
      <c r="D107" s="18" t="s">
        <v>194</v>
      </c>
      <c r="E107" s="18" t="s">
        <v>225</v>
      </c>
      <c r="F107" s="18"/>
      <c r="G107" s="13"/>
      <c r="H107" s="13">
        <f>19.1+19.1+19.1+19.1+19.3+19.3+19.3+4.5+4.5+4.5+5.6+36.5+36.5+36.5+36.5+36.8+36.8+36.8+26.2</f>
        <v>436</v>
      </c>
      <c r="I107" s="19">
        <v>4.8288483652904741</v>
      </c>
      <c r="J107" s="20">
        <f t="shared" si="1"/>
        <v>2105.3778872666467</v>
      </c>
      <c r="K107" s="21"/>
    </row>
    <row r="108" spans="1:11" x14ac:dyDescent="0.25">
      <c r="A108"/>
      <c r="B108" s="17" t="s">
        <v>238</v>
      </c>
      <c r="C108" s="18" t="s">
        <v>239</v>
      </c>
      <c r="D108" s="18" t="s">
        <v>31</v>
      </c>
      <c r="E108" s="18" t="s">
        <v>225</v>
      </c>
      <c r="F108" s="18"/>
      <c r="G108" s="13"/>
      <c r="H108" s="13">
        <v>302.79999999999995</v>
      </c>
      <c r="I108" s="19">
        <v>8.3554381450342561</v>
      </c>
      <c r="J108" s="20">
        <f t="shared" si="1"/>
        <v>2530.0266703163725</v>
      </c>
      <c r="K108" s="21"/>
    </row>
    <row r="109" spans="1:11" x14ac:dyDescent="0.25">
      <c r="A109"/>
      <c r="B109" s="17" t="s">
        <v>240</v>
      </c>
      <c r="C109" s="18" t="s">
        <v>241</v>
      </c>
      <c r="D109" s="18" t="s">
        <v>242</v>
      </c>
      <c r="E109" s="18" t="s">
        <v>225</v>
      </c>
      <c r="F109" s="18"/>
      <c r="G109" s="13"/>
      <c r="H109" s="13">
        <v>118</v>
      </c>
      <c r="I109" s="19">
        <v>12.241360299530356</v>
      </c>
      <c r="J109" s="20">
        <f t="shared" si="1"/>
        <v>1444.480515344582</v>
      </c>
      <c r="K109" s="21"/>
    </row>
    <row r="110" spans="1:11" x14ac:dyDescent="0.25">
      <c r="A110"/>
      <c r="B110" s="17" t="s">
        <v>243</v>
      </c>
      <c r="C110" s="18" t="s">
        <v>244</v>
      </c>
      <c r="D110" s="18" t="s">
        <v>14</v>
      </c>
      <c r="E110" s="18" t="s">
        <v>225</v>
      </c>
      <c r="F110" s="18"/>
      <c r="G110" s="13"/>
      <c r="H110" s="13">
        <v>138.80000000000001</v>
      </c>
      <c r="I110" s="19">
        <v>9.8695874062040172</v>
      </c>
      <c r="J110" s="20">
        <f t="shared" si="1"/>
        <v>1369.8987319811176</v>
      </c>
      <c r="K110" s="21"/>
    </row>
    <row r="111" spans="1:11" x14ac:dyDescent="0.25">
      <c r="A111"/>
      <c r="B111" s="17" t="s">
        <v>245</v>
      </c>
      <c r="C111" s="18" t="s">
        <v>246</v>
      </c>
      <c r="D111" s="18" t="s">
        <v>194</v>
      </c>
      <c r="E111" s="18" t="s">
        <v>225</v>
      </c>
      <c r="F111" s="18"/>
      <c r="G111" s="13"/>
      <c r="H111" s="13">
        <v>70</v>
      </c>
      <c r="I111" s="19">
        <v>5.7884323035875562</v>
      </c>
      <c r="J111" s="20">
        <f t="shared" si="1"/>
        <v>405.19026125112896</v>
      </c>
      <c r="K111" s="21"/>
    </row>
    <row r="112" spans="1:11" x14ac:dyDescent="0.25">
      <c r="A112"/>
      <c r="B112" s="17" t="s">
        <v>247</v>
      </c>
      <c r="C112" s="18" t="s">
        <v>248</v>
      </c>
      <c r="D112" s="18" t="s">
        <v>113</v>
      </c>
      <c r="E112" s="18" t="s">
        <v>225</v>
      </c>
      <c r="F112" s="18"/>
      <c r="G112" s="13"/>
      <c r="H112" s="13">
        <v>117.00000000000001</v>
      </c>
      <c r="I112" s="19">
        <v>12.748543772023849</v>
      </c>
      <c r="J112" s="20">
        <f t="shared" si="1"/>
        <v>1491.5796213267906</v>
      </c>
      <c r="K112" s="21"/>
    </row>
    <row r="113" spans="1:11" x14ac:dyDescent="0.25">
      <c r="A113"/>
      <c r="B113" s="17" t="s">
        <v>249</v>
      </c>
      <c r="C113" s="18" t="s">
        <v>250</v>
      </c>
      <c r="D113" s="18" t="s">
        <v>113</v>
      </c>
      <c r="E113" s="18" t="s">
        <v>225</v>
      </c>
      <c r="F113" s="18"/>
      <c r="G113" s="13"/>
      <c r="H113" s="13">
        <v>87.5</v>
      </c>
      <c r="I113" s="19">
        <v>13.929327985427449</v>
      </c>
      <c r="J113" s="20">
        <f t="shared" si="1"/>
        <v>1218.8161987249018</v>
      </c>
      <c r="K113" s="21"/>
    </row>
    <row r="114" spans="1:11" x14ac:dyDescent="0.25">
      <c r="A114"/>
      <c r="B114" s="17" t="s">
        <v>251</v>
      </c>
      <c r="C114" s="18" t="s">
        <v>252</v>
      </c>
      <c r="D114" s="18" t="s">
        <v>113</v>
      </c>
      <c r="E114" s="18" t="s">
        <v>225</v>
      </c>
      <c r="F114" s="18"/>
      <c r="G114" s="13"/>
      <c r="H114" s="13">
        <v>46.339999999999996</v>
      </c>
      <c r="I114" s="19">
        <v>13.863050712158643</v>
      </c>
      <c r="J114" s="20">
        <f t="shared" si="1"/>
        <v>642.41377000143143</v>
      </c>
      <c r="K114" s="21"/>
    </row>
    <row r="115" spans="1:11" x14ac:dyDescent="0.25">
      <c r="A115"/>
      <c r="B115" s="17" t="s">
        <v>253</v>
      </c>
      <c r="C115" s="18" t="s">
        <v>254</v>
      </c>
      <c r="D115" s="18" t="s">
        <v>113</v>
      </c>
      <c r="E115" s="18" t="s">
        <v>225</v>
      </c>
      <c r="F115" s="18"/>
      <c r="G115" s="13"/>
      <c r="H115" s="13">
        <v>80</v>
      </c>
      <c r="I115" s="19">
        <v>8.8318017097082198</v>
      </c>
      <c r="J115" s="20">
        <f t="shared" si="1"/>
        <v>706.54413677665752</v>
      </c>
      <c r="K115" s="21"/>
    </row>
    <row r="116" spans="1:11" x14ac:dyDescent="0.25">
      <c r="A116"/>
      <c r="B116" s="17" t="s">
        <v>255</v>
      </c>
      <c r="C116" s="18" t="s">
        <v>256</v>
      </c>
      <c r="D116" s="18" t="s">
        <v>113</v>
      </c>
      <c r="E116" s="18" t="s">
        <v>225</v>
      </c>
      <c r="F116" s="18"/>
      <c r="G116" s="13"/>
      <c r="H116" s="13">
        <v>91.8</v>
      </c>
      <c r="I116" s="19">
        <v>14.620337906212823</v>
      </c>
      <c r="J116" s="20">
        <f t="shared" si="1"/>
        <v>1342.147019790337</v>
      </c>
      <c r="K116" s="21"/>
    </row>
    <row r="117" spans="1:11" x14ac:dyDescent="0.25">
      <c r="A117"/>
      <c r="B117" s="17" t="s">
        <v>257</v>
      </c>
      <c r="C117" s="18" t="s">
        <v>258</v>
      </c>
      <c r="D117" s="18" t="s">
        <v>113</v>
      </c>
      <c r="E117" s="18" t="s">
        <v>225</v>
      </c>
      <c r="F117" s="18"/>
      <c r="G117" s="13"/>
      <c r="H117" s="13">
        <v>90</v>
      </c>
      <c r="I117" s="19">
        <v>9.6572938752461059</v>
      </c>
      <c r="J117" s="20">
        <f t="shared" si="1"/>
        <v>869.15644877214959</v>
      </c>
      <c r="K117" s="21"/>
    </row>
    <row r="118" spans="1:11" x14ac:dyDescent="0.25">
      <c r="A118"/>
      <c r="B118" s="17" t="s">
        <v>259</v>
      </c>
      <c r="C118" s="18" t="s">
        <v>260</v>
      </c>
      <c r="D118" s="18" t="s">
        <v>113</v>
      </c>
      <c r="E118" s="18" t="s">
        <v>225</v>
      </c>
      <c r="F118" s="18"/>
      <c r="G118" s="13"/>
      <c r="H118" s="13">
        <v>31.7</v>
      </c>
      <c r="I118" s="19">
        <v>11.671582261497329</v>
      </c>
      <c r="J118" s="20">
        <f t="shared" si="1"/>
        <v>369.98915768946534</v>
      </c>
      <c r="K118" s="21"/>
    </row>
    <row r="119" spans="1:11" x14ac:dyDescent="0.25">
      <c r="A119"/>
      <c r="B119" s="17" t="s">
        <v>261</v>
      </c>
      <c r="C119" s="18" t="s">
        <v>262</v>
      </c>
      <c r="D119" s="18" t="s">
        <v>31</v>
      </c>
      <c r="E119" s="18" t="s">
        <v>225</v>
      </c>
      <c r="F119" s="18"/>
      <c r="G119" s="13"/>
      <c r="H119" s="13">
        <v>33.299999999999997</v>
      </c>
      <c r="I119" s="19">
        <v>9.3693504640545999</v>
      </c>
      <c r="J119" s="20">
        <f t="shared" si="1"/>
        <v>311.99937045301817</v>
      </c>
      <c r="K119" s="21"/>
    </row>
    <row r="120" spans="1:11" x14ac:dyDescent="0.25">
      <c r="A120"/>
      <c r="B120" s="17" t="s">
        <v>263</v>
      </c>
      <c r="C120" s="18" t="s">
        <v>264</v>
      </c>
      <c r="D120" s="18" t="s">
        <v>31</v>
      </c>
      <c r="E120" s="18" t="s">
        <v>225</v>
      </c>
      <c r="F120" s="18"/>
      <c r="G120" s="13"/>
      <c r="H120" s="13">
        <v>31.4</v>
      </c>
      <c r="I120" s="19">
        <v>8.8877252636121646</v>
      </c>
      <c r="J120" s="20">
        <f t="shared" si="1"/>
        <v>279.07457327742196</v>
      </c>
      <c r="K120" s="21"/>
    </row>
    <row r="121" spans="1:11" x14ac:dyDescent="0.25">
      <c r="A121"/>
      <c r="B121" s="17" t="s">
        <v>265</v>
      </c>
      <c r="C121" s="18" t="s">
        <v>266</v>
      </c>
      <c r="D121" s="18" t="s">
        <v>31</v>
      </c>
      <c r="E121" s="18" t="s">
        <v>225</v>
      </c>
      <c r="F121" s="18"/>
      <c r="G121" s="13"/>
      <c r="H121" s="13">
        <v>72.599999999999994</v>
      </c>
      <c r="I121" s="19">
        <v>8.3508498520528835</v>
      </c>
      <c r="J121" s="20">
        <f t="shared" si="1"/>
        <v>606.27169925903934</v>
      </c>
      <c r="K121" s="21"/>
    </row>
    <row r="122" spans="1:11" x14ac:dyDescent="0.25">
      <c r="A122"/>
      <c r="B122" s="17">
        <v>59360</v>
      </c>
      <c r="C122" s="18" t="s">
        <v>267</v>
      </c>
      <c r="D122" s="18" t="s">
        <v>242</v>
      </c>
      <c r="E122" s="18" t="s">
        <v>225</v>
      </c>
      <c r="F122" s="18"/>
      <c r="G122" s="13"/>
      <c r="H122" s="13">
        <v>24</v>
      </c>
      <c r="I122" s="19">
        <v>14.124674715807837</v>
      </c>
      <c r="J122" s="20">
        <f t="shared" si="1"/>
        <v>338.9921931793881</v>
      </c>
      <c r="K122" s="21"/>
    </row>
    <row r="123" spans="1:11" x14ac:dyDescent="0.25">
      <c r="A123"/>
      <c r="B123" s="17" t="s">
        <v>268</v>
      </c>
      <c r="C123" s="18" t="s">
        <v>269</v>
      </c>
      <c r="D123" s="18" t="s">
        <v>36</v>
      </c>
      <c r="E123" s="18" t="s">
        <v>225</v>
      </c>
      <c r="F123" s="18"/>
      <c r="G123" s="13"/>
      <c r="H123" s="13">
        <v>19.7</v>
      </c>
      <c r="I123" s="19">
        <v>5.8439331643201742</v>
      </c>
      <c r="J123" s="20">
        <f t="shared" si="1"/>
        <v>115.12548333710743</v>
      </c>
      <c r="K123" s="21"/>
    </row>
    <row r="124" spans="1:11" x14ac:dyDescent="0.25">
      <c r="A124"/>
      <c r="B124" s="17" t="s">
        <v>270</v>
      </c>
      <c r="C124" s="18" t="s">
        <v>271</v>
      </c>
      <c r="D124" s="18" t="s">
        <v>36</v>
      </c>
      <c r="E124" s="18" t="s">
        <v>225</v>
      </c>
      <c r="F124" s="18"/>
      <c r="G124" s="13"/>
      <c r="H124" s="13">
        <v>5.8</v>
      </c>
      <c r="I124" s="19">
        <v>6.0725315159567348</v>
      </c>
      <c r="J124" s="20">
        <f t="shared" si="1"/>
        <v>35.220682792549063</v>
      </c>
      <c r="K124" s="21"/>
    </row>
    <row r="125" spans="1:11" x14ac:dyDescent="0.25">
      <c r="A125"/>
      <c r="B125" s="17">
        <v>61362</v>
      </c>
      <c r="C125" s="18" t="s">
        <v>272</v>
      </c>
      <c r="D125" s="18" t="s">
        <v>189</v>
      </c>
      <c r="E125" s="18" t="s">
        <v>225</v>
      </c>
      <c r="F125" s="18"/>
      <c r="G125" s="13"/>
      <c r="H125" s="13">
        <v>45</v>
      </c>
      <c r="I125" s="19">
        <v>6.6987425787674661</v>
      </c>
      <c r="J125" s="20">
        <f t="shared" si="1"/>
        <v>301.44341604453598</v>
      </c>
      <c r="K125" s="21"/>
    </row>
    <row r="126" spans="1:11" x14ac:dyDescent="0.25">
      <c r="A126"/>
      <c r="B126" s="17">
        <v>61368</v>
      </c>
      <c r="C126" s="18" t="s">
        <v>273</v>
      </c>
      <c r="D126" s="18" t="s">
        <v>189</v>
      </c>
      <c r="E126" s="18" t="s">
        <v>225</v>
      </c>
      <c r="F126" s="18"/>
      <c r="G126" s="13"/>
      <c r="H126" s="13">
        <v>157.4</v>
      </c>
      <c r="I126" s="19">
        <v>5.2963654412631094</v>
      </c>
      <c r="J126" s="20">
        <f t="shared" si="1"/>
        <v>833.6479204548134</v>
      </c>
      <c r="K126" s="21"/>
    </row>
    <row r="127" spans="1:11" x14ac:dyDescent="0.25">
      <c r="A127"/>
      <c r="B127" s="17" t="s">
        <v>274</v>
      </c>
      <c r="C127" s="18" t="s">
        <v>275</v>
      </c>
      <c r="D127" s="18" t="s">
        <v>36</v>
      </c>
      <c r="E127" s="18" t="s">
        <v>225</v>
      </c>
      <c r="F127" s="18"/>
      <c r="G127" s="13"/>
      <c r="H127" s="13">
        <v>151.5</v>
      </c>
      <c r="I127" s="19">
        <v>8.9435241461533881</v>
      </c>
      <c r="J127" s="20">
        <f t="shared" si="1"/>
        <v>1354.9439081422383</v>
      </c>
      <c r="K127" s="21"/>
    </row>
    <row r="128" spans="1:11" x14ac:dyDescent="0.25">
      <c r="A128"/>
      <c r="B128" s="17" t="s">
        <v>276</v>
      </c>
      <c r="C128" s="18" t="s">
        <v>277</v>
      </c>
      <c r="D128" s="18" t="s">
        <v>14</v>
      </c>
      <c r="E128" s="18" t="s">
        <v>225</v>
      </c>
      <c r="F128" s="18"/>
      <c r="G128" s="13"/>
      <c r="H128" s="13">
        <v>27.8</v>
      </c>
      <c r="I128" s="19">
        <v>15.323642102664396</v>
      </c>
      <c r="J128" s="20">
        <f t="shared" si="1"/>
        <v>425.99725045407018</v>
      </c>
      <c r="K128" s="21"/>
    </row>
    <row r="129" spans="1:11" x14ac:dyDescent="0.25">
      <c r="A129"/>
      <c r="B129" s="17">
        <v>50014</v>
      </c>
      <c r="C129" s="18" t="s">
        <v>278</v>
      </c>
      <c r="D129" s="18" t="s">
        <v>189</v>
      </c>
      <c r="E129" s="18" t="s">
        <v>225</v>
      </c>
      <c r="F129" s="18"/>
      <c r="G129" s="13"/>
      <c r="H129" s="13">
        <f>131.2+56+122.1</f>
        <v>309.29999999999995</v>
      </c>
      <c r="I129" s="19">
        <v>5.7184246383564323</v>
      </c>
      <c r="J129" s="20">
        <f t="shared" si="1"/>
        <v>1768.7087406436442</v>
      </c>
      <c r="K129" s="21"/>
    </row>
    <row r="130" spans="1:11" x14ac:dyDescent="0.25">
      <c r="A130"/>
      <c r="B130" s="17" t="s">
        <v>279</v>
      </c>
      <c r="C130" s="18" t="s">
        <v>280</v>
      </c>
      <c r="D130" s="18" t="s">
        <v>31</v>
      </c>
      <c r="E130" s="18" t="s">
        <v>225</v>
      </c>
      <c r="F130" s="18"/>
      <c r="G130" s="13"/>
      <c r="H130" s="13">
        <v>251.5</v>
      </c>
      <c r="I130" s="19">
        <v>7.7386890676842741</v>
      </c>
      <c r="J130" s="20">
        <f t="shared" si="1"/>
        <v>1946.2803005225949</v>
      </c>
      <c r="K130" s="21"/>
    </row>
    <row r="131" spans="1:11" x14ac:dyDescent="0.25">
      <c r="A131"/>
      <c r="B131" s="17" t="s">
        <v>281</v>
      </c>
      <c r="C131" s="18" t="s">
        <v>282</v>
      </c>
      <c r="D131" s="18" t="s">
        <v>14</v>
      </c>
      <c r="E131" s="18" t="s">
        <v>225</v>
      </c>
      <c r="F131" s="18"/>
      <c r="G131" s="13"/>
      <c r="H131" s="13">
        <v>164.29999999999998</v>
      </c>
      <c r="I131" s="19">
        <v>10.18579791763824</v>
      </c>
      <c r="J131" s="20">
        <f t="shared" si="1"/>
        <v>1673.5265978679627</v>
      </c>
      <c r="K131" s="21"/>
    </row>
    <row r="132" spans="1:11" x14ac:dyDescent="0.25">
      <c r="A132"/>
      <c r="B132" s="17" t="s">
        <v>283</v>
      </c>
      <c r="C132" s="18" t="s">
        <v>284</v>
      </c>
      <c r="D132" s="18" t="s">
        <v>14</v>
      </c>
      <c r="E132" s="18" t="s">
        <v>225</v>
      </c>
      <c r="F132" s="18"/>
      <c r="G132" s="13"/>
      <c r="H132" s="13">
        <v>205.8</v>
      </c>
      <c r="I132" s="19">
        <v>8.7849855103918273</v>
      </c>
      <c r="J132" s="20">
        <f t="shared" si="1"/>
        <v>1807.9500180386381</v>
      </c>
      <c r="K132" s="21"/>
    </row>
    <row r="133" spans="1:11" x14ac:dyDescent="0.25">
      <c r="A133"/>
      <c r="B133" s="17" t="s">
        <v>285</v>
      </c>
      <c r="C133" s="18" t="s">
        <v>286</v>
      </c>
      <c r="D133" s="18" t="s">
        <v>14</v>
      </c>
      <c r="E133" s="18" t="s">
        <v>225</v>
      </c>
      <c r="F133" s="18"/>
      <c r="G133" s="13"/>
      <c r="H133" s="13">
        <v>38.299999999999997</v>
      </c>
      <c r="I133" s="19">
        <v>9.8822043384974201</v>
      </c>
      <c r="J133" s="20">
        <f t="shared" si="1"/>
        <v>378.48842616445114</v>
      </c>
      <c r="K133" s="21"/>
    </row>
    <row r="134" spans="1:11" x14ac:dyDescent="0.25">
      <c r="A134"/>
      <c r="B134" s="17" t="s">
        <v>287</v>
      </c>
      <c r="C134" s="18" t="s">
        <v>244</v>
      </c>
      <c r="D134" s="18" t="s">
        <v>14</v>
      </c>
      <c r="E134" s="18" t="s">
        <v>225</v>
      </c>
      <c r="F134" s="18"/>
      <c r="G134" s="13"/>
      <c r="H134" s="13">
        <v>32.979999999999997</v>
      </c>
      <c r="I134" s="19">
        <v>8.0097403400043259</v>
      </c>
      <c r="J134" s="20">
        <f t="shared" si="1"/>
        <v>264.16123641334264</v>
      </c>
      <c r="K134" s="21"/>
    </row>
    <row r="135" spans="1:11" x14ac:dyDescent="0.25">
      <c r="A135"/>
      <c r="B135" s="17" t="s">
        <v>288</v>
      </c>
      <c r="C135" s="18" t="s">
        <v>289</v>
      </c>
      <c r="D135" s="18" t="s">
        <v>31</v>
      </c>
      <c r="E135" s="18" t="s">
        <v>225</v>
      </c>
      <c r="F135" s="18"/>
      <c r="G135" s="13"/>
      <c r="H135" s="13">
        <v>93.9</v>
      </c>
      <c r="I135" s="19">
        <v>8.8007470114225512</v>
      </c>
      <c r="J135" s="20">
        <f t="shared" si="1"/>
        <v>826.39014437257765</v>
      </c>
      <c r="K135" s="21"/>
    </row>
    <row r="136" spans="1:11" x14ac:dyDescent="0.25">
      <c r="A136"/>
      <c r="B136" s="17" t="s">
        <v>290</v>
      </c>
      <c r="C136" s="18" t="s">
        <v>291</v>
      </c>
      <c r="D136" s="18" t="s">
        <v>203</v>
      </c>
      <c r="E136" s="18" t="s">
        <v>225</v>
      </c>
      <c r="F136" s="18"/>
      <c r="G136" s="13"/>
      <c r="H136" s="13">
        <v>66</v>
      </c>
      <c r="I136" s="19">
        <v>7.942792175950105</v>
      </c>
      <c r="J136" s="20">
        <f t="shared" ref="J136:J150" si="2">I136*H136</f>
        <v>524.22428361270693</v>
      </c>
      <c r="K136" s="21"/>
    </row>
    <row r="137" spans="1:11" x14ac:dyDescent="0.25">
      <c r="A137"/>
      <c r="B137" s="17" t="s">
        <v>292</v>
      </c>
      <c r="C137" s="18" t="s">
        <v>293</v>
      </c>
      <c r="D137" s="18" t="s">
        <v>203</v>
      </c>
      <c r="E137" s="18" t="s">
        <v>225</v>
      </c>
      <c r="F137" s="18"/>
      <c r="G137" s="13"/>
      <c r="H137" s="13">
        <v>66.2</v>
      </c>
      <c r="I137" s="19">
        <v>6.9978889356743172</v>
      </c>
      <c r="J137" s="20">
        <f t="shared" si="2"/>
        <v>463.26024754163984</v>
      </c>
      <c r="K137" s="21"/>
    </row>
    <row r="138" spans="1:11" x14ac:dyDescent="0.25">
      <c r="A138"/>
      <c r="B138" s="17" t="s">
        <v>294</v>
      </c>
      <c r="C138" s="18" t="s">
        <v>295</v>
      </c>
      <c r="D138" s="18" t="s">
        <v>203</v>
      </c>
      <c r="E138" s="18" t="s">
        <v>225</v>
      </c>
      <c r="F138" s="18"/>
      <c r="G138" s="13"/>
      <c r="H138" s="13">
        <v>26</v>
      </c>
      <c r="I138" s="19">
        <v>7.4759174671956998</v>
      </c>
      <c r="J138" s="20">
        <f t="shared" si="2"/>
        <v>194.3738541470882</v>
      </c>
      <c r="K138" s="21"/>
    </row>
    <row r="139" spans="1:11" x14ac:dyDescent="0.25">
      <c r="A139"/>
      <c r="B139" s="17" t="s">
        <v>296</v>
      </c>
      <c r="C139" s="18" t="s">
        <v>297</v>
      </c>
      <c r="D139" s="18" t="s">
        <v>31</v>
      </c>
      <c r="E139" s="18" t="s">
        <v>225</v>
      </c>
      <c r="F139" s="18"/>
      <c r="G139" s="13"/>
      <c r="H139" s="13">
        <v>35.5</v>
      </c>
      <c r="I139" s="19">
        <v>10.351173281493498</v>
      </c>
      <c r="J139" s="20">
        <f t="shared" si="2"/>
        <v>367.46665149301919</v>
      </c>
      <c r="K139" s="21"/>
    </row>
    <row r="140" spans="1:11" x14ac:dyDescent="0.25">
      <c r="A140"/>
      <c r="B140" s="17" t="s">
        <v>298</v>
      </c>
      <c r="C140" s="18" t="s">
        <v>299</v>
      </c>
      <c r="D140" s="18" t="s">
        <v>203</v>
      </c>
      <c r="E140" s="18" t="s">
        <v>225</v>
      </c>
      <c r="F140" s="18"/>
      <c r="G140" s="13"/>
      <c r="H140" s="13">
        <v>96.5</v>
      </c>
      <c r="I140" s="19">
        <v>6.797602089174811</v>
      </c>
      <c r="J140" s="20">
        <f t="shared" si="2"/>
        <v>655.96860160536926</v>
      </c>
      <c r="K140" s="21"/>
    </row>
    <row r="141" spans="1:11" x14ac:dyDescent="0.25">
      <c r="A141"/>
      <c r="B141" s="17" t="s">
        <v>300</v>
      </c>
      <c r="C141" s="18" t="s">
        <v>301</v>
      </c>
      <c r="D141" s="18" t="s">
        <v>302</v>
      </c>
      <c r="E141" s="18" t="s">
        <v>225</v>
      </c>
      <c r="F141" s="18"/>
      <c r="G141" s="13"/>
      <c r="H141" s="13">
        <v>268.39999999999998</v>
      </c>
      <c r="I141" s="19">
        <v>6.2402000683162058</v>
      </c>
      <c r="J141" s="20">
        <f t="shared" si="2"/>
        <v>1674.8696983360694</v>
      </c>
      <c r="K141" s="21"/>
    </row>
    <row r="142" spans="1:11" x14ac:dyDescent="0.25">
      <c r="A142"/>
      <c r="B142" s="17" t="s">
        <v>303</v>
      </c>
      <c r="C142" s="18" t="s">
        <v>304</v>
      </c>
      <c r="D142" s="22" t="s">
        <v>36</v>
      </c>
      <c r="E142" s="18" t="s">
        <v>225</v>
      </c>
      <c r="F142" s="18"/>
      <c r="G142" s="13"/>
      <c r="H142" s="13">
        <v>29.2</v>
      </c>
      <c r="I142" s="19">
        <v>5.732869143925468</v>
      </c>
      <c r="J142" s="20">
        <f t="shared" si="2"/>
        <v>167.39977900262366</v>
      </c>
      <c r="K142" s="21"/>
    </row>
    <row r="143" spans="1:11" x14ac:dyDescent="0.25">
      <c r="A143"/>
      <c r="B143" s="17" t="s">
        <v>305</v>
      </c>
      <c r="C143" s="18" t="s">
        <v>306</v>
      </c>
      <c r="D143" s="22" t="s">
        <v>31</v>
      </c>
      <c r="E143" s="18" t="s">
        <v>225</v>
      </c>
      <c r="F143" s="18"/>
      <c r="G143" s="13"/>
      <c r="H143" s="13">
        <v>56</v>
      </c>
      <c r="I143" s="19">
        <v>17.989183220277503</v>
      </c>
      <c r="J143" s="20">
        <f t="shared" si="2"/>
        <v>1007.3942603355401</v>
      </c>
      <c r="K143" s="21"/>
    </row>
    <row r="144" spans="1:11" x14ac:dyDescent="0.25">
      <c r="A144"/>
      <c r="B144" s="17" t="s">
        <v>307</v>
      </c>
      <c r="C144" s="18" t="s">
        <v>308</v>
      </c>
      <c r="D144" s="18" t="s">
        <v>36</v>
      </c>
      <c r="E144" s="18" t="s">
        <v>225</v>
      </c>
      <c r="F144" s="18"/>
      <c r="G144" s="13"/>
      <c r="H144" s="13">
        <v>442.8</v>
      </c>
      <c r="I144" s="19">
        <v>5.6189800921996627</v>
      </c>
      <c r="J144" s="20">
        <f t="shared" si="2"/>
        <v>2488.0843848260106</v>
      </c>
      <c r="K144" s="21"/>
    </row>
    <row r="145" spans="1:15" x14ac:dyDescent="0.25">
      <c r="A145"/>
      <c r="B145" s="17" t="s">
        <v>309</v>
      </c>
      <c r="C145" s="18" t="s">
        <v>310</v>
      </c>
      <c r="D145" s="18" t="s">
        <v>36</v>
      </c>
      <c r="E145" s="18" t="s">
        <v>225</v>
      </c>
      <c r="F145" s="18"/>
      <c r="G145" s="13"/>
      <c r="H145" s="13">
        <v>225</v>
      </c>
      <c r="I145" s="19">
        <v>6.1739937854179221</v>
      </c>
      <c r="J145" s="20">
        <f t="shared" si="2"/>
        <v>1389.1486017190325</v>
      </c>
      <c r="K145" s="21"/>
    </row>
    <row r="146" spans="1:15" x14ac:dyDescent="0.25">
      <c r="A146"/>
      <c r="B146" s="17" t="s">
        <v>311</v>
      </c>
      <c r="C146" s="18" t="s">
        <v>312</v>
      </c>
      <c r="D146" s="18" t="s">
        <v>36</v>
      </c>
      <c r="E146" s="18" t="s">
        <v>225</v>
      </c>
      <c r="F146" s="18"/>
      <c r="G146" s="13"/>
      <c r="H146" s="13">
        <v>40</v>
      </c>
      <c r="I146" s="19">
        <v>8.8246288593193896</v>
      </c>
      <c r="J146" s="20">
        <f t="shared" si="2"/>
        <v>352.98515437277558</v>
      </c>
      <c r="K146" s="21"/>
    </row>
    <row r="147" spans="1:15" x14ac:dyDescent="0.25">
      <c r="A147"/>
      <c r="B147" s="17" t="s">
        <v>111</v>
      </c>
      <c r="C147" s="18" t="s">
        <v>112</v>
      </c>
      <c r="D147" s="18" t="s">
        <v>113</v>
      </c>
      <c r="E147" s="18" t="s">
        <v>313</v>
      </c>
      <c r="F147" s="18"/>
      <c r="G147" s="13"/>
      <c r="H147" s="13">
        <v>68.400000000000006</v>
      </c>
      <c r="I147" s="19">
        <v>19.700979202236432</v>
      </c>
      <c r="J147" s="20">
        <f t="shared" si="2"/>
        <v>1347.546977432972</v>
      </c>
      <c r="K147" s="21"/>
    </row>
    <row r="148" spans="1:15" x14ac:dyDescent="0.25">
      <c r="A148"/>
      <c r="B148" s="17" t="s">
        <v>314</v>
      </c>
      <c r="C148" s="18" t="s">
        <v>315</v>
      </c>
      <c r="D148" s="18" t="s">
        <v>113</v>
      </c>
      <c r="E148" s="18" t="s">
        <v>313</v>
      </c>
      <c r="F148" s="18"/>
      <c r="G148" s="13"/>
      <c r="H148" s="13">
        <v>66</v>
      </c>
      <c r="I148" s="19">
        <v>15.055612689214614</v>
      </c>
      <c r="J148" s="20">
        <f t="shared" si="2"/>
        <v>993.67043748816457</v>
      </c>
      <c r="K148" s="21"/>
    </row>
    <row r="149" spans="1:15" x14ac:dyDescent="0.25">
      <c r="A149"/>
      <c r="B149" s="17" t="s">
        <v>316</v>
      </c>
      <c r="C149" s="18" t="s">
        <v>317</v>
      </c>
      <c r="D149" s="18" t="s">
        <v>31</v>
      </c>
      <c r="E149" s="18" t="s">
        <v>313</v>
      </c>
      <c r="F149" s="18"/>
      <c r="G149" s="13"/>
      <c r="H149" s="13">
        <v>88</v>
      </c>
      <c r="I149" s="19">
        <v>10.424827131236736</v>
      </c>
      <c r="J149" s="20">
        <f t="shared" si="2"/>
        <v>917.38478754883272</v>
      </c>
      <c r="K149" s="21"/>
    </row>
    <row r="150" spans="1:15" x14ac:dyDescent="0.25">
      <c r="A150"/>
      <c r="B150" s="17">
        <v>64521</v>
      </c>
      <c r="C150" s="18" t="s">
        <v>318</v>
      </c>
      <c r="D150" s="23" t="s">
        <v>319</v>
      </c>
      <c r="E150" s="18" t="s">
        <v>225</v>
      </c>
      <c r="F150" s="18"/>
      <c r="G150" s="13"/>
      <c r="H150" s="13">
        <v>18</v>
      </c>
      <c r="I150" s="19">
        <v>10.761532963315782</v>
      </c>
      <c r="J150" s="20">
        <f t="shared" si="2"/>
        <v>193.70759333968408</v>
      </c>
      <c r="K150" s="21"/>
    </row>
    <row r="151" spans="1:15" x14ac:dyDescent="0.25">
      <c r="A151"/>
      <c r="B151" s="17"/>
      <c r="C151" s="18"/>
      <c r="D151" s="18"/>
      <c r="E151" s="18"/>
      <c r="F151" s="18"/>
      <c r="G151" s="13"/>
      <c r="H151" s="13"/>
      <c r="I151" s="19"/>
      <c r="J151" s="20"/>
      <c r="K151" s="21"/>
    </row>
    <row r="152" spans="1:15" ht="15.75" x14ac:dyDescent="0.25">
      <c r="A152"/>
      <c r="B152" s="24" t="s">
        <v>320</v>
      </c>
      <c r="C152" s="18"/>
      <c r="D152" s="18"/>
      <c r="E152" s="18"/>
      <c r="F152" s="18"/>
      <c r="G152" s="13"/>
      <c r="H152" s="13"/>
      <c r="I152" s="19"/>
      <c r="J152" s="20"/>
      <c r="K152" s="21"/>
    </row>
    <row r="153" spans="1:15" x14ac:dyDescent="0.25">
      <c r="A153"/>
      <c r="B153" s="17" t="s">
        <v>321</v>
      </c>
      <c r="C153" s="18" t="s">
        <v>322</v>
      </c>
      <c r="D153" s="18" t="s">
        <v>194</v>
      </c>
      <c r="E153" s="18" t="str">
        <f>_xlfn.XLOOKUP(B153,[2]OPN_WIP!B:B,[2]OPN_WIP!E:E)</f>
        <v>Laminated, Waiting for Slitting</v>
      </c>
      <c r="F153" s="18"/>
      <c r="G153" s="13"/>
      <c r="H153" s="13">
        <v>118</v>
      </c>
      <c r="I153" s="19">
        <f>_xlfn.XLOOKUP(A153,[2]OPN_WIP!A:A,[2]OPN_WIP!I:I)</f>
        <v>0</v>
      </c>
      <c r="J153" s="20">
        <f t="shared" ref="J153:J178" si="3">I153*H153</f>
        <v>0</v>
      </c>
      <c r="K153" s="21" t="str">
        <f>VLOOKUP(B153,$O$153:$O$177,1,0)</f>
        <v>J00896</v>
      </c>
      <c r="O153" s="1" t="s">
        <v>321</v>
      </c>
    </row>
    <row r="154" spans="1:15" x14ac:dyDescent="0.25">
      <c r="A154"/>
      <c r="B154" s="17" t="s">
        <v>323</v>
      </c>
      <c r="C154" s="18" t="s">
        <v>324</v>
      </c>
      <c r="D154" s="18" t="s">
        <v>194</v>
      </c>
      <c r="E154" s="18" t="str">
        <f>_xlfn.XLOOKUP(B154,[2]OPN_WIP!B:B,[2]OPN_WIP!E:E)</f>
        <v>Laminated, Waiting for Slitting</v>
      </c>
      <c r="F154" s="18"/>
      <c r="G154" s="13"/>
      <c r="H154" s="13">
        <v>152</v>
      </c>
      <c r="I154" s="19">
        <f>_xlfn.XLOOKUP(A154,[2]OPN_WIP!A:A,[2]OPN_WIP!I:I)</f>
        <v>0</v>
      </c>
      <c r="J154" s="20">
        <f t="shared" si="3"/>
        <v>0</v>
      </c>
      <c r="K154" s="21" t="str">
        <f t="shared" ref="K154:K178" si="4">VLOOKUP(B154,$O$153:$O$177,1,0)</f>
        <v>J00898</v>
      </c>
      <c r="O154" s="1" t="s">
        <v>323</v>
      </c>
    </row>
    <row r="155" spans="1:15" x14ac:dyDescent="0.25">
      <c r="A155"/>
      <c r="B155" s="17" t="s">
        <v>325</v>
      </c>
      <c r="C155" s="18" t="s">
        <v>326</v>
      </c>
      <c r="D155" s="18" t="s">
        <v>216</v>
      </c>
      <c r="E155" s="18" t="str">
        <f>_xlfn.XLOOKUP(B155,[2]OPN_WIP!B:B,[2]OPN_WIP!E:E)</f>
        <v>Printed, Waiting for Lam</v>
      </c>
      <c r="F155" s="18"/>
      <c r="G155" s="13"/>
      <c r="H155" s="13">
        <v>10</v>
      </c>
      <c r="I155" s="19">
        <f>_xlfn.XLOOKUP(A155,[2]OPN_WIP!A:A,[2]OPN_WIP!I:I)</f>
        <v>0</v>
      </c>
      <c r="J155" s="20">
        <f t="shared" si="3"/>
        <v>0</v>
      </c>
      <c r="K155" s="21" t="str">
        <f t="shared" si="4"/>
        <v>C00605</v>
      </c>
      <c r="O155" s="1" t="s">
        <v>325</v>
      </c>
    </row>
    <row r="156" spans="1:15" x14ac:dyDescent="0.25">
      <c r="A156"/>
      <c r="B156" s="17" t="s">
        <v>327</v>
      </c>
      <c r="C156" s="18" t="s">
        <v>328</v>
      </c>
      <c r="D156" s="18" t="s">
        <v>216</v>
      </c>
      <c r="E156" s="18" t="str">
        <f>_xlfn.XLOOKUP(B156,[2]OPN_WIP!B:B,[2]OPN_WIP!E:E)</f>
        <v>Printed, Waiting for Lam</v>
      </c>
      <c r="F156" s="18"/>
      <c r="G156" s="13"/>
      <c r="H156" s="13">
        <v>21</v>
      </c>
      <c r="I156" s="19">
        <f>_xlfn.XLOOKUP(A156,[2]OPN_WIP!A:A,[2]OPN_WIP!I:I)</f>
        <v>0</v>
      </c>
      <c r="J156" s="20">
        <f t="shared" si="3"/>
        <v>0</v>
      </c>
      <c r="K156" s="21" t="str">
        <f t="shared" si="4"/>
        <v>C00660</v>
      </c>
      <c r="O156" s="1" t="s">
        <v>327</v>
      </c>
    </row>
    <row r="157" spans="1:15" x14ac:dyDescent="0.25">
      <c r="A157"/>
      <c r="B157" s="17" t="s">
        <v>329</v>
      </c>
      <c r="C157" s="18" t="s">
        <v>330</v>
      </c>
      <c r="D157" s="18" t="s">
        <v>79</v>
      </c>
      <c r="E157" s="18" t="str">
        <f>_xlfn.XLOOKUP(B157,[2]OPN_WIP!B:B,[2]OPN_WIP!E:E)</f>
        <v>Printed, Waiting for Lam</v>
      </c>
      <c r="F157" s="18"/>
      <c r="G157" s="13"/>
      <c r="H157" s="13">
        <v>75</v>
      </c>
      <c r="I157" s="19">
        <f>_xlfn.XLOOKUP(A157,[2]OPN_WIP!A:A,[2]OPN_WIP!I:I)</f>
        <v>0</v>
      </c>
      <c r="J157" s="20">
        <f t="shared" si="3"/>
        <v>0</v>
      </c>
      <c r="K157" s="21" t="str">
        <f t="shared" si="4"/>
        <v>F00386</v>
      </c>
      <c r="O157" s="1" t="s">
        <v>329</v>
      </c>
    </row>
    <row r="158" spans="1:15" x14ac:dyDescent="0.25">
      <c r="A158"/>
      <c r="B158" s="17" t="s">
        <v>331</v>
      </c>
      <c r="C158" s="18" t="s">
        <v>332</v>
      </c>
      <c r="D158" s="18" t="s">
        <v>31</v>
      </c>
      <c r="E158" s="18" t="str">
        <f>_xlfn.XLOOKUP(B158,[2]OPN_WIP!B:B,[2]OPN_WIP!E:E)</f>
        <v>Printed, Waiting for Lam</v>
      </c>
      <c r="F158" s="18"/>
      <c r="G158" s="13"/>
      <c r="H158" s="13">
        <v>16</v>
      </c>
      <c r="I158" s="19">
        <f>_xlfn.XLOOKUP(A158,[2]OPN_WIP!A:A,[2]OPN_WIP!I:I)</f>
        <v>0</v>
      </c>
      <c r="J158" s="20">
        <f t="shared" si="3"/>
        <v>0</v>
      </c>
      <c r="K158" s="21" t="str">
        <f t="shared" si="4"/>
        <v>F00468</v>
      </c>
      <c r="O158" s="1" t="s">
        <v>331</v>
      </c>
    </row>
    <row r="159" spans="1:15" x14ac:dyDescent="0.25">
      <c r="A159"/>
      <c r="B159" s="17" t="s">
        <v>333</v>
      </c>
      <c r="C159" s="18" t="s">
        <v>334</v>
      </c>
      <c r="D159" s="18" t="s">
        <v>48</v>
      </c>
      <c r="E159" s="18" t="str">
        <f>_xlfn.XLOOKUP(B159,[2]OPN_WIP!B:B,[2]OPN_WIP!E:E)</f>
        <v>Printed, Waiting for Lam</v>
      </c>
      <c r="F159" s="18"/>
      <c r="G159" s="13"/>
      <c r="H159" s="13">
        <v>30</v>
      </c>
      <c r="I159" s="19">
        <f>_xlfn.XLOOKUP(A159,[2]OPN_WIP!A:A,[2]OPN_WIP!I:I)</f>
        <v>0</v>
      </c>
      <c r="J159" s="20">
        <f t="shared" si="3"/>
        <v>0</v>
      </c>
      <c r="K159" s="21" t="str">
        <f t="shared" si="4"/>
        <v>J00631</v>
      </c>
      <c r="O159" s="1" t="s">
        <v>333</v>
      </c>
    </row>
    <row r="160" spans="1:15" x14ac:dyDescent="0.25">
      <c r="A160"/>
      <c r="B160" s="17" t="s">
        <v>335</v>
      </c>
      <c r="C160" s="18" t="s">
        <v>336</v>
      </c>
      <c r="D160" s="18" t="s">
        <v>87</v>
      </c>
      <c r="E160" s="18" t="str">
        <f>_xlfn.XLOOKUP(B160,[2]OPN_WIP!B:B,[2]OPN_WIP!E:E)</f>
        <v>Printed, Waiting for Lam</v>
      </c>
      <c r="F160" s="18"/>
      <c r="G160" s="13"/>
      <c r="H160" s="13">
        <v>25</v>
      </c>
      <c r="I160" s="19">
        <f>_xlfn.XLOOKUP(A160,[2]OPN_WIP!A:A,[2]OPN_WIP!I:I)</f>
        <v>0</v>
      </c>
      <c r="J160" s="20">
        <f t="shared" si="3"/>
        <v>0</v>
      </c>
      <c r="K160" s="21" t="str">
        <f t="shared" si="4"/>
        <v>F00626</v>
      </c>
      <c r="O160" s="1" t="s">
        <v>335</v>
      </c>
    </row>
    <row r="161" spans="1:15" x14ac:dyDescent="0.25">
      <c r="A161"/>
      <c r="B161" s="17" t="s">
        <v>337</v>
      </c>
      <c r="C161" s="18" t="s">
        <v>338</v>
      </c>
      <c r="D161" s="18" t="s">
        <v>36</v>
      </c>
      <c r="E161" s="18" t="str">
        <f>_xlfn.XLOOKUP(B161,[2]OPN_WIP!B:B,[2]OPN_WIP!E:E)</f>
        <v>Printed, Waiting for Lam</v>
      </c>
      <c r="F161" s="18"/>
      <c r="G161" s="13"/>
      <c r="H161" s="13">
        <v>140</v>
      </c>
      <c r="I161" s="19">
        <f>_xlfn.XLOOKUP(A161,[2]OPN_WIP!A:A,[2]OPN_WIP!I:I)</f>
        <v>0</v>
      </c>
      <c r="J161" s="20">
        <f t="shared" si="3"/>
        <v>0</v>
      </c>
      <c r="K161" s="21" t="str">
        <f t="shared" si="4"/>
        <v>G00306</v>
      </c>
      <c r="O161" s="1" t="s">
        <v>337</v>
      </c>
    </row>
    <row r="162" spans="1:15" x14ac:dyDescent="0.25">
      <c r="A162"/>
      <c r="B162" s="17" t="s">
        <v>339</v>
      </c>
      <c r="C162" s="18" t="s">
        <v>340</v>
      </c>
      <c r="D162" s="18" t="s">
        <v>341</v>
      </c>
      <c r="E162" s="18" t="s">
        <v>104</v>
      </c>
      <c r="F162" s="18"/>
      <c r="G162" s="13" t="s">
        <v>105</v>
      </c>
      <c r="H162" s="13">
        <v>51</v>
      </c>
      <c r="I162" s="19">
        <f>_xlfn.XLOOKUP(A162,[2]OPN_WIP!A:A,[2]OPN_WIP!I:I)</f>
        <v>0</v>
      </c>
      <c r="J162" s="20">
        <f t="shared" si="3"/>
        <v>0</v>
      </c>
      <c r="K162" s="21" t="str">
        <f t="shared" si="4"/>
        <v>H01120</v>
      </c>
      <c r="O162" s="1" t="s">
        <v>339</v>
      </c>
    </row>
    <row r="163" spans="1:15" x14ac:dyDescent="0.25">
      <c r="A163"/>
      <c r="B163" s="17" t="s">
        <v>342</v>
      </c>
      <c r="C163" s="18" t="s">
        <v>343</v>
      </c>
      <c r="D163" s="18" t="s">
        <v>20</v>
      </c>
      <c r="E163" s="18" t="str">
        <f>_xlfn.XLOOKUP(B163,[2]OPN_WIP!B:B,[2]OPN_WIP!E:E)</f>
        <v>Laminated, Waiting for Slitting</v>
      </c>
      <c r="F163" s="18"/>
      <c r="G163" s="13"/>
      <c r="H163" s="13">
        <v>94</v>
      </c>
      <c r="I163" s="19">
        <f>_xlfn.XLOOKUP(A163,[2]OPN_WIP!A:A,[2]OPN_WIP!I:I)</f>
        <v>0</v>
      </c>
      <c r="J163" s="20">
        <f t="shared" si="3"/>
        <v>0</v>
      </c>
      <c r="K163" s="21" t="str">
        <f t="shared" si="4"/>
        <v>S13-38</v>
      </c>
      <c r="O163" s="1" t="s">
        <v>342</v>
      </c>
    </row>
    <row r="164" spans="1:15" x14ac:dyDescent="0.25">
      <c r="A164"/>
      <c r="B164" s="17" t="s">
        <v>344</v>
      </c>
      <c r="C164" s="18" t="s">
        <v>345</v>
      </c>
      <c r="D164" s="18" t="s">
        <v>79</v>
      </c>
      <c r="E164" s="18" t="str">
        <f>_xlfn.XLOOKUP(B164,[2]OPN_WIP!B:B,[2]OPN_WIP!E:E)</f>
        <v>Laminated, Waiting for Slitting</v>
      </c>
      <c r="F164" s="18"/>
      <c r="G164" s="13"/>
      <c r="H164" s="13">
        <v>164</v>
      </c>
      <c r="I164" s="19">
        <f>_xlfn.XLOOKUP(A164,[2]OPN_WIP!A:A,[2]OPN_WIP!I:I)</f>
        <v>0</v>
      </c>
      <c r="J164" s="20">
        <f t="shared" si="3"/>
        <v>0</v>
      </c>
      <c r="K164" s="21" t="str">
        <f t="shared" si="4"/>
        <v>E00221</v>
      </c>
      <c r="O164" s="1" t="s">
        <v>344</v>
      </c>
    </row>
    <row r="165" spans="1:15" x14ac:dyDescent="0.25">
      <c r="A165"/>
      <c r="B165" s="17" t="s">
        <v>346</v>
      </c>
      <c r="C165" s="18" t="s">
        <v>347</v>
      </c>
      <c r="D165" s="18" t="s">
        <v>194</v>
      </c>
      <c r="E165" s="18" t="str">
        <f>_xlfn.XLOOKUP(B165,[2]OPN_WIP!B:B,[2]OPN_WIP!E:E)</f>
        <v>Waiting For Bag/Pouch</v>
      </c>
      <c r="F165" s="18"/>
      <c r="G165" s="13"/>
      <c r="H165" s="13">
        <v>26</v>
      </c>
      <c r="I165" s="19">
        <f>_xlfn.XLOOKUP(A165,[2]OPN_WIP!A:A,[2]OPN_WIP!I:I)</f>
        <v>0</v>
      </c>
      <c r="J165" s="20">
        <f t="shared" si="3"/>
        <v>0</v>
      </c>
      <c r="K165" s="21" t="str">
        <f t="shared" si="4"/>
        <v>J00777</v>
      </c>
      <c r="O165" s="1" t="s">
        <v>346</v>
      </c>
    </row>
    <row r="166" spans="1:15" x14ac:dyDescent="0.25">
      <c r="A166"/>
      <c r="B166" s="17" t="s">
        <v>348</v>
      </c>
      <c r="C166" s="18" t="s">
        <v>322</v>
      </c>
      <c r="D166" s="18" t="s">
        <v>194</v>
      </c>
      <c r="E166" s="18" t="str">
        <f>_xlfn.XLOOKUP(B166,[2]OPN_WIP!B:B,[2]OPN_WIP!E:E)</f>
        <v>Laminated, Waiting for Slitting</v>
      </c>
      <c r="F166" s="18"/>
      <c r="G166" s="13"/>
      <c r="H166" s="13">
        <v>100</v>
      </c>
      <c r="I166" s="19">
        <f>_xlfn.XLOOKUP(A166,[2]OPN_WIP!A:A,[2]OPN_WIP!I:I)</f>
        <v>0</v>
      </c>
      <c r="J166" s="20">
        <f t="shared" si="3"/>
        <v>0</v>
      </c>
      <c r="K166" s="21" t="str">
        <f t="shared" si="4"/>
        <v>J00780</v>
      </c>
      <c r="O166" s="1" t="s">
        <v>348</v>
      </c>
    </row>
    <row r="167" spans="1:15" x14ac:dyDescent="0.25">
      <c r="A167"/>
      <c r="B167" s="17" t="s">
        <v>349</v>
      </c>
      <c r="C167" s="18" t="s">
        <v>324</v>
      </c>
      <c r="D167" s="18" t="s">
        <v>194</v>
      </c>
      <c r="E167" s="18" t="str">
        <f>_xlfn.XLOOKUP(B167,[2]OPN_WIP!B:B,[2]OPN_WIP!E:E)</f>
        <v>Laminated, Waiting for Slitting</v>
      </c>
      <c r="F167" s="18"/>
      <c r="G167" s="13"/>
      <c r="H167" s="13">
        <v>98</v>
      </c>
      <c r="I167" s="19">
        <f>_xlfn.XLOOKUP(A167,[2]OPN_WIP!A:A,[2]OPN_WIP!I:I)</f>
        <v>0</v>
      </c>
      <c r="J167" s="20">
        <f t="shared" si="3"/>
        <v>0</v>
      </c>
      <c r="K167" s="21" t="str">
        <f t="shared" si="4"/>
        <v>J00782</v>
      </c>
      <c r="O167" s="1" t="s">
        <v>349</v>
      </c>
    </row>
    <row r="168" spans="1:15" x14ac:dyDescent="0.25">
      <c r="A168"/>
      <c r="B168" s="17" t="s">
        <v>350</v>
      </c>
      <c r="C168" s="18" t="s">
        <v>351</v>
      </c>
      <c r="D168" s="18" t="s">
        <v>36</v>
      </c>
      <c r="E168" s="18" t="str">
        <f>_xlfn.XLOOKUP(B168,[2]OPN_WIP!B:B,[2]OPN_WIP!E:E)</f>
        <v>Waiting For Bag/Pouch</v>
      </c>
      <c r="F168" s="18"/>
      <c r="G168" s="13"/>
      <c r="H168" s="13">
        <v>84</v>
      </c>
      <c r="I168" s="19">
        <f>_xlfn.XLOOKUP(A168,[2]OPN_WIP!A:A,[2]OPN_WIP!I:I)</f>
        <v>0</v>
      </c>
      <c r="J168" s="20">
        <f t="shared" si="3"/>
        <v>0</v>
      </c>
      <c r="K168" s="21" t="str">
        <f t="shared" si="4"/>
        <v>G00324</v>
      </c>
      <c r="O168" s="1" t="s">
        <v>350</v>
      </c>
    </row>
    <row r="169" spans="1:15" x14ac:dyDescent="0.25">
      <c r="A169"/>
      <c r="B169" s="17" t="s">
        <v>352</v>
      </c>
      <c r="C169" s="18" t="s">
        <v>353</v>
      </c>
      <c r="D169" s="18" t="s">
        <v>203</v>
      </c>
      <c r="E169" s="18" t="str">
        <f>_xlfn.XLOOKUP(B169,[2]OPN_WIP!B:B,[2]OPN_WIP!E:E)</f>
        <v>Waiting For Bag/Pouch</v>
      </c>
      <c r="F169" s="18"/>
      <c r="G169" s="13"/>
      <c r="H169" s="13">
        <v>21.6</v>
      </c>
      <c r="I169" s="19">
        <f>_xlfn.XLOOKUP(A169,[2]OPN_WIP!A:A,[2]OPN_WIP!I:I)</f>
        <v>0</v>
      </c>
      <c r="J169" s="20">
        <f t="shared" si="3"/>
        <v>0</v>
      </c>
      <c r="K169" s="21" t="str">
        <f t="shared" si="4"/>
        <v>J00695</v>
      </c>
      <c r="O169" s="1" t="s">
        <v>352</v>
      </c>
    </row>
    <row r="170" spans="1:15" x14ac:dyDescent="0.25">
      <c r="A170"/>
      <c r="B170" s="17" t="s">
        <v>354</v>
      </c>
      <c r="C170" s="18" t="s">
        <v>355</v>
      </c>
      <c r="D170" s="18" t="s">
        <v>242</v>
      </c>
      <c r="E170" s="18" t="str">
        <f>_xlfn.XLOOKUP(B170,[2]OPN_WIP!B:B,[2]OPN_WIP!E:E)</f>
        <v>Waiting For Bag/Pouch</v>
      </c>
      <c r="F170" s="18"/>
      <c r="G170" s="13"/>
      <c r="H170" s="13">
        <v>27.2</v>
      </c>
      <c r="I170" s="19">
        <f>_xlfn.XLOOKUP(A170,[2]OPN_WIP!A:A,[2]OPN_WIP!I:I)</f>
        <v>0</v>
      </c>
      <c r="J170" s="20">
        <f t="shared" si="3"/>
        <v>0</v>
      </c>
      <c r="K170" s="21" t="str">
        <f t="shared" si="4"/>
        <v>J00331</v>
      </c>
      <c r="O170" s="1" t="s">
        <v>354</v>
      </c>
    </row>
    <row r="171" spans="1:15" x14ac:dyDescent="0.25">
      <c r="A171"/>
      <c r="B171" s="17" t="s">
        <v>356</v>
      </c>
      <c r="C171" s="18" t="s">
        <v>357</v>
      </c>
      <c r="D171" s="18" t="s">
        <v>14</v>
      </c>
      <c r="E171" s="18" t="str">
        <f>_xlfn.XLOOKUP(B171,[2]OPN_WIP!B:B,[2]OPN_WIP!E:E)</f>
        <v>Waiting For Bag/Pouch</v>
      </c>
      <c r="F171" s="18"/>
      <c r="G171" s="13"/>
      <c r="H171" s="13">
        <v>47.7</v>
      </c>
      <c r="I171" s="19">
        <f>_xlfn.XLOOKUP(A171,[2]OPN_WIP!A:A,[2]OPN_WIP!I:I)</f>
        <v>0</v>
      </c>
      <c r="J171" s="20">
        <f t="shared" si="3"/>
        <v>0</v>
      </c>
      <c r="K171" s="21" t="str">
        <f t="shared" si="4"/>
        <v>N00337</v>
      </c>
      <c r="O171" s="1" t="s">
        <v>356</v>
      </c>
    </row>
    <row r="172" spans="1:15" x14ac:dyDescent="0.25">
      <c r="A172"/>
      <c r="B172" s="17" t="s">
        <v>358</v>
      </c>
      <c r="C172" s="18" t="s">
        <v>359</v>
      </c>
      <c r="D172" s="18" t="s">
        <v>48</v>
      </c>
      <c r="E172" s="18" t="str">
        <f>_xlfn.XLOOKUP(B172,[2]OPN_WIP!B:B,[2]OPN_WIP!E:E)</f>
        <v>Printed, Waiting for Lam</v>
      </c>
      <c r="F172" s="18"/>
      <c r="G172" s="13"/>
      <c r="H172" s="13">
        <v>289</v>
      </c>
      <c r="I172" s="19">
        <f>_xlfn.XLOOKUP(A172,[2]OPN_WIP!A:A,[2]OPN_WIP!I:I)</f>
        <v>0</v>
      </c>
      <c r="J172" s="20">
        <f t="shared" si="3"/>
        <v>0</v>
      </c>
      <c r="K172" s="21" t="str">
        <f t="shared" si="4"/>
        <v>J00563</v>
      </c>
      <c r="O172" s="1" t="s">
        <v>358</v>
      </c>
    </row>
    <row r="173" spans="1:15" x14ac:dyDescent="0.25">
      <c r="A173"/>
      <c r="B173" s="17" t="s">
        <v>360</v>
      </c>
      <c r="C173" s="18" t="s">
        <v>359</v>
      </c>
      <c r="D173" s="18" t="s">
        <v>361</v>
      </c>
      <c r="E173" s="18" t="str">
        <f>_xlfn.XLOOKUP(B173,[2]OPN_WIP!B:B,[2]OPN_WIP!E:E)</f>
        <v>Printed, Waiting for Lam</v>
      </c>
      <c r="F173" s="18"/>
      <c r="G173" s="13"/>
      <c r="H173" s="13">
        <v>166</v>
      </c>
      <c r="I173" s="19">
        <f>_xlfn.XLOOKUP(A173,[2]OPN_WIP!A:A,[2]OPN_WIP!I:I)</f>
        <v>0</v>
      </c>
      <c r="J173" s="20">
        <f t="shared" si="3"/>
        <v>0</v>
      </c>
      <c r="K173" s="21" t="str">
        <f t="shared" si="4"/>
        <v>J00582</v>
      </c>
      <c r="O173" s="1" t="s">
        <v>360</v>
      </c>
    </row>
    <row r="174" spans="1:15" x14ac:dyDescent="0.25">
      <c r="A174"/>
      <c r="B174" s="17" t="s">
        <v>362</v>
      </c>
      <c r="C174" s="18" t="s">
        <v>363</v>
      </c>
      <c r="D174" s="18" t="s">
        <v>14</v>
      </c>
      <c r="E174" s="18" t="str">
        <f>_xlfn.XLOOKUP(B174,[2]OPN_WIP!B:B,[2]OPN_WIP!E:E)</f>
        <v>Waiting For Spout/Valve</v>
      </c>
      <c r="F174" s="18"/>
      <c r="G174" s="13"/>
      <c r="H174" s="13">
        <v>121</v>
      </c>
      <c r="I174" s="19">
        <f>_xlfn.XLOOKUP(A174,[2]OPN_WIP!A:A,[2]OPN_WIP!I:I)</f>
        <v>0</v>
      </c>
      <c r="J174" s="20">
        <f t="shared" si="3"/>
        <v>0</v>
      </c>
      <c r="K174" s="21" t="str">
        <f t="shared" si="4"/>
        <v>J00111</v>
      </c>
      <c r="O174" s="1" t="s">
        <v>362</v>
      </c>
    </row>
    <row r="175" spans="1:15" x14ac:dyDescent="0.25">
      <c r="A175"/>
      <c r="B175" s="17" t="s">
        <v>364</v>
      </c>
      <c r="C175" s="18" t="s">
        <v>365</v>
      </c>
      <c r="D175" s="18" t="s">
        <v>14</v>
      </c>
      <c r="E175" s="18" t="str">
        <f>_xlfn.XLOOKUP(B175,[2]OPN_WIP!B:B,[2]OPN_WIP!E:E)</f>
        <v>Waiting For Bag/Pouch</v>
      </c>
      <c r="F175" s="18"/>
      <c r="G175" s="13"/>
      <c r="H175" s="13">
        <v>90</v>
      </c>
      <c r="I175" s="19">
        <f>_xlfn.XLOOKUP(A175,[2]OPN_WIP!A:A,[2]OPN_WIP!I:I)</f>
        <v>0</v>
      </c>
      <c r="J175" s="20">
        <f t="shared" si="3"/>
        <v>0</v>
      </c>
      <c r="K175" s="21" t="e">
        <f t="shared" si="4"/>
        <v>#N/A</v>
      </c>
      <c r="O175" s="1" t="s">
        <v>366</v>
      </c>
    </row>
    <row r="176" spans="1:15" x14ac:dyDescent="0.25">
      <c r="A176"/>
      <c r="B176" s="17" t="s">
        <v>366</v>
      </c>
      <c r="C176" s="18" t="s">
        <v>367</v>
      </c>
      <c r="D176" s="18" t="s">
        <v>14</v>
      </c>
      <c r="E176" s="18" t="str">
        <f>_xlfn.XLOOKUP(B176,[2]OPN_WIP!B:B,[2]OPN_WIP!E:E)</f>
        <v>Laminated, Waiting for Slitting</v>
      </c>
      <c r="F176" s="18"/>
      <c r="G176" s="13"/>
      <c r="H176" s="13">
        <v>48</v>
      </c>
      <c r="I176" s="19">
        <f>_xlfn.XLOOKUP(A176,[2]OPN_WIP!A:A,[2]OPN_WIP!I:I)</f>
        <v>0</v>
      </c>
      <c r="J176" s="20">
        <f t="shared" si="3"/>
        <v>0</v>
      </c>
      <c r="K176" s="21" t="str">
        <f t="shared" si="4"/>
        <v>H01065</v>
      </c>
      <c r="O176" s="1" t="s">
        <v>368</v>
      </c>
    </row>
    <row r="177" spans="1:15" x14ac:dyDescent="0.25">
      <c r="A177"/>
      <c r="B177" s="17" t="s">
        <v>368</v>
      </c>
      <c r="C177" s="18" t="s">
        <v>369</v>
      </c>
      <c r="D177" s="18" t="s">
        <v>370</v>
      </c>
      <c r="E177" s="18" t="str">
        <f>_xlfn.XLOOKUP(B177,[2]OPN_WIP!B:B,[2]OPN_WIP!E:E)</f>
        <v>Laminated, Waiting for Slitting</v>
      </c>
      <c r="F177" s="18"/>
      <c r="G177" s="13"/>
      <c r="H177" s="13">
        <v>50</v>
      </c>
      <c r="I177" s="19">
        <f>_xlfn.XLOOKUP(A177,[2]OPN_WIP!A:A,[2]OPN_WIP!I:I)</f>
        <v>0</v>
      </c>
      <c r="J177" s="20">
        <f t="shared" si="3"/>
        <v>0</v>
      </c>
      <c r="K177" s="21" t="str">
        <f t="shared" si="4"/>
        <v>B00774</v>
      </c>
      <c r="O177" s="1">
        <v>64418</v>
      </c>
    </row>
    <row r="178" spans="1:15" x14ac:dyDescent="0.25">
      <c r="A178"/>
      <c r="B178" s="17">
        <v>64418</v>
      </c>
      <c r="C178" s="18" t="s">
        <v>371</v>
      </c>
      <c r="D178" s="18" t="s">
        <v>302</v>
      </c>
      <c r="E178" s="18" t="str">
        <f>_xlfn.XLOOKUP(B178,[2]OPN_WIP!B:B,[2]OPN_WIP!E:E)</f>
        <v>Laminated, Waiting for Slitting</v>
      </c>
      <c r="F178" s="18"/>
      <c r="G178" s="13"/>
      <c r="H178" s="13">
        <v>26</v>
      </c>
      <c r="I178" s="19">
        <f>_xlfn.XLOOKUP(A178,[2]OPN_WIP!A:A,[2]OPN_WIP!I:I)</f>
        <v>0</v>
      </c>
      <c r="J178" s="20">
        <f t="shared" si="3"/>
        <v>0</v>
      </c>
      <c r="K178" s="21">
        <f t="shared" si="4"/>
        <v>64418</v>
      </c>
    </row>
    <row r="179" spans="1:15" x14ac:dyDescent="0.25">
      <c r="A179"/>
      <c r="B179" s="17"/>
      <c r="C179" s="18"/>
      <c r="D179" s="18"/>
      <c r="E179" s="18"/>
      <c r="F179" s="18"/>
      <c r="G179" s="13"/>
      <c r="H179" s="13"/>
      <c r="I179" s="19"/>
      <c r="J179" s="25"/>
      <c r="K179" s="21"/>
    </row>
    <row r="180" spans="1:15" x14ac:dyDescent="0.25">
      <c r="A180"/>
      <c r="B180" s="17"/>
      <c r="C180" s="18"/>
      <c r="D180" s="18"/>
      <c r="E180" s="18"/>
      <c r="F180" s="18"/>
      <c r="G180" s="13"/>
      <c r="H180" s="13"/>
      <c r="I180" s="19"/>
      <c r="J180" s="25"/>
      <c r="K180" s="21"/>
    </row>
    <row r="181" spans="1:15" x14ac:dyDescent="0.25">
      <c r="A181"/>
      <c r="B181" s="17"/>
      <c r="C181" s="18"/>
      <c r="D181" s="18"/>
      <c r="E181" s="18"/>
      <c r="F181" s="18"/>
      <c r="G181" s="13"/>
      <c r="H181" s="13"/>
      <c r="I181" s="19"/>
      <c r="J181" s="25"/>
      <c r="K181" s="21"/>
    </row>
    <row r="182" spans="1:15" x14ac:dyDescent="0.25">
      <c r="A182"/>
      <c r="B182" s="17"/>
      <c r="C182" s="18"/>
      <c r="D182" s="18"/>
      <c r="E182" s="18"/>
      <c r="F182" s="18"/>
      <c r="G182" s="13"/>
      <c r="H182" s="13"/>
      <c r="I182" s="19"/>
      <c r="J182" s="25"/>
      <c r="K182" s="21"/>
    </row>
    <row r="183" spans="1:15" x14ac:dyDescent="0.25">
      <c r="A183"/>
      <c r="B183" s="17"/>
      <c r="C183" s="18"/>
      <c r="D183" s="18"/>
      <c r="E183" s="18"/>
      <c r="F183" s="18"/>
      <c r="G183" s="13"/>
      <c r="H183" s="13"/>
      <c r="I183" s="19"/>
      <c r="J183" s="25"/>
      <c r="K183" s="26"/>
    </row>
    <row r="184" spans="1:15" x14ac:dyDescent="0.25">
      <c r="A184"/>
      <c r="B184" s="17"/>
      <c r="C184" s="18"/>
      <c r="D184" s="18"/>
      <c r="E184" s="18"/>
      <c r="F184" s="18"/>
      <c r="G184" s="13"/>
      <c r="H184" s="13"/>
      <c r="I184" s="19"/>
      <c r="J184" s="25"/>
      <c r="K184" s="26"/>
    </row>
    <row r="185" spans="1:15" x14ac:dyDescent="0.25">
      <c r="A185"/>
      <c r="B185" s="27"/>
      <c r="C185" s="18"/>
      <c r="D185" s="18"/>
      <c r="E185" s="18"/>
      <c r="F185" s="18"/>
      <c r="G185" s="13"/>
      <c r="H185" s="13"/>
      <c r="I185" s="19"/>
      <c r="J185" s="25"/>
      <c r="K185" s="26"/>
    </row>
    <row r="186" spans="1:15" x14ac:dyDescent="0.25">
      <c r="A186"/>
      <c r="B186" s="17"/>
      <c r="C186" s="18"/>
      <c r="D186" s="18"/>
      <c r="E186" s="18"/>
      <c r="F186" s="18"/>
      <c r="G186" s="13"/>
      <c r="H186" s="13"/>
      <c r="I186" s="19"/>
      <c r="J186" s="25"/>
      <c r="K186" s="26"/>
    </row>
    <row r="187" spans="1:15" x14ac:dyDescent="0.25">
      <c r="A187"/>
      <c r="B187" s="17"/>
      <c r="C187" s="18"/>
      <c r="D187" s="18"/>
      <c r="E187" s="18"/>
      <c r="F187" s="18"/>
      <c r="G187" s="13"/>
      <c r="H187" s="13"/>
      <c r="I187" s="19"/>
      <c r="J187" s="25"/>
      <c r="K187" s="26"/>
    </row>
    <row r="188" spans="1:15" x14ac:dyDescent="0.25">
      <c r="A188"/>
      <c r="B188" s="17"/>
      <c r="C188" s="18"/>
      <c r="D188" s="18"/>
      <c r="E188" s="18"/>
      <c r="F188" s="18"/>
      <c r="G188" s="13"/>
      <c r="H188" s="13"/>
      <c r="I188" s="19"/>
      <c r="J188" s="25"/>
      <c r="K188" s="26"/>
    </row>
    <row r="189" spans="1:15" x14ac:dyDescent="0.25">
      <c r="A189"/>
      <c r="B189" s="17"/>
      <c r="C189" s="18"/>
      <c r="D189" s="18"/>
      <c r="E189" s="18"/>
      <c r="F189" s="18"/>
      <c r="G189" s="13"/>
      <c r="H189" s="13"/>
      <c r="I189" s="19"/>
      <c r="J189" s="25"/>
      <c r="K189" s="26"/>
    </row>
    <row r="190" spans="1:15" x14ac:dyDescent="0.25">
      <c r="A190"/>
      <c r="B190" s="17"/>
      <c r="C190" s="18"/>
      <c r="D190" s="18"/>
      <c r="E190" s="18"/>
      <c r="F190" s="18"/>
      <c r="G190" s="13"/>
      <c r="H190" s="13"/>
      <c r="I190" s="19"/>
      <c r="J190" s="25"/>
      <c r="K190" s="26"/>
    </row>
    <row r="191" spans="1:15" x14ac:dyDescent="0.25">
      <c r="A191"/>
      <c r="B191" s="17"/>
      <c r="C191" s="18"/>
      <c r="D191" s="18"/>
      <c r="E191" s="18"/>
      <c r="F191" s="18"/>
      <c r="G191" s="13"/>
      <c r="H191" s="13"/>
      <c r="I191" s="19"/>
      <c r="J191" s="25"/>
      <c r="K191" s="26"/>
    </row>
    <row r="192" spans="1:15" x14ac:dyDescent="0.25">
      <c r="A192"/>
      <c r="B192" s="17"/>
      <c r="C192" s="18"/>
      <c r="D192" s="18"/>
      <c r="E192" s="18"/>
      <c r="F192" s="18"/>
      <c r="G192" s="13"/>
      <c r="H192" s="13"/>
      <c r="I192" s="19"/>
      <c r="J192" s="25"/>
      <c r="K192" s="26"/>
    </row>
    <row r="193" spans="1:11" x14ac:dyDescent="0.25">
      <c r="A193"/>
      <c r="B193" s="17"/>
      <c r="C193" s="18"/>
      <c r="D193" s="18"/>
      <c r="E193" s="18"/>
      <c r="F193" s="18"/>
      <c r="G193" s="13"/>
      <c r="H193" s="13"/>
      <c r="I193" s="19"/>
      <c r="J193" s="25"/>
      <c r="K193" s="26"/>
    </row>
    <row r="194" spans="1:11" x14ac:dyDescent="0.25">
      <c r="A194"/>
      <c r="B194" s="17"/>
      <c r="C194" s="18"/>
      <c r="D194" s="18"/>
      <c r="E194" s="18"/>
      <c r="F194" s="18"/>
      <c r="G194" s="13"/>
      <c r="H194" s="13"/>
      <c r="I194" s="19"/>
      <c r="J194" s="25"/>
      <c r="K194" s="26"/>
    </row>
    <row r="195" spans="1:11" x14ac:dyDescent="0.25">
      <c r="A195"/>
      <c r="B195" s="17"/>
      <c r="C195" s="18"/>
      <c r="D195" s="18"/>
      <c r="E195" s="18"/>
      <c r="F195" s="18"/>
      <c r="G195" s="13"/>
      <c r="H195" s="13"/>
      <c r="I195" s="19"/>
      <c r="J195" s="25"/>
      <c r="K195" s="26"/>
    </row>
    <row r="196" spans="1:11" x14ac:dyDescent="0.25">
      <c r="A196"/>
      <c r="B196" s="17"/>
      <c r="C196" s="18"/>
      <c r="D196" s="18"/>
      <c r="E196" s="18"/>
      <c r="F196" s="18"/>
      <c r="G196" s="13"/>
      <c r="H196" s="13"/>
      <c r="I196" s="19"/>
      <c r="J196" s="25"/>
      <c r="K196" s="26"/>
    </row>
    <row r="197" spans="1:11" x14ac:dyDescent="0.25">
      <c r="A197"/>
      <c r="B197" s="17"/>
      <c r="C197" s="18"/>
      <c r="D197" s="18"/>
      <c r="E197" s="18"/>
      <c r="F197" s="18"/>
      <c r="G197" s="13"/>
      <c r="H197" s="13"/>
      <c r="I197" s="19"/>
      <c r="J197" s="25"/>
      <c r="K197" s="26"/>
    </row>
    <row r="198" spans="1:11" x14ac:dyDescent="0.25">
      <c r="A198"/>
      <c r="B198" s="17"/>
      <c r="C198" s="18"/>
      <c r="D198" s="18"/>
      <c r="E198" s="28"/>
      <c r="F198" s="18"/>
      <c r="G198" s="13"/>
      <c r="H198" s="13"/>
      <c r="I198" s="19"/>
      <c r="J198" s="25"/>
      <c r="K198" s="26"/>
    </row>
    <row r="199" spans="1:11" x14ac:dyDescent="0.25">
      <c r="A199"/>
      <c r="B199" s="17"/>
      <c r="C199" s="18"/>
      <c r="D199" s="18"/>
      <c r="E199" s="18"/>
      <c r="F199" s="18"/>
      <c r="G199" s="13"/>
      <c r="H199" s="13"/>
      <c r="I199" s="19"/>
      <c r="J199" s="25"/>
      <c r="K199" s="26"/>
    </row>
    <row r="200" spans="1:11" x14ac:dyDescent="0.25">
      <c r="A200"/>
      <c r="B200" s="17"/>
      <c r="C200" s="18"/>
      <c r="D200" s="18"/>
      <c r="E200" s="18"/>
      <c r="F200" s="18"/>
      <c r="G200" s="13"/>
      <c r="H200" s="13"/>
      <c r="I200" s="19"/>
      <c r="J200" s="25"/>
      <c r="K200" s="26"/>
    </row>
    <row r="201" spans="1:11" x14ac:dyDescent="0.25">
      <c r="A201"/>
      <c r="B201" s="17"/>
      <c r="C201" s="18"/>
      <c r="D201" s="18"/>
      <c r="E201" s="18"/>
      <c r="F201" s="18"/>
      <c r="G201" s="13"/>
      <c r="H201" s="13"/>
      <c r="I201" s="19"/>
      <c r="J201" s="25"/>
      <c r="K201" s="26"/>
    </row>
    <row r="202" spans="1:11" x14ac:dyDescent="0.25">
      <c r="A202"/>
      <c r="B202" s="17"/>
      <c r="C202" s="18"/>
      <c r="D202" s="18"/>
      <c r="E202" s="18"/>
      <c r="F202" s="18"/>
      <c r="G202" s="13"/>
      <c r="H202" s="13"/>
      <c r="I202" s="19"/>
      <c r="J202" s="25"/>
      <c r="K202" s="26"/>
    </row>
    <row r="203" spans="1:11" x14ac:dyDescent="0.25">
      <c r="A203"/>
      <c r="B203" s="17"/>
      <c r="C203" s="18"/>
      <c r="D203" s="18"/>
      <c r="E203" s="18"/>
      <c r="F203" s="18"/>
      <c r="G203" s="13"/>
      <c r="H203" s="13"/>
      <c r="I203" s="19"/>
      <c r="J203" s="25"/>
      <c r="K203" s="26"/>
    </row>
    <row r="204" spans="1:11" x14ac:dyDescent="0.25">
      <c r="A204"/>
      <c r="B204" s="17"/>
      <c r="C204" s="18"/>
      <c r="D204" s="18"/>
      <c r="E204" s="18"/>
      <c r="F204" s="18"/>
      <c r="G204" s="13"/>
      <c r="H204" s="13"/>
      <c r="I204" s="19"/>
      <c r="J204" s="25"/>
      <c r="K204" s="26"/>
    </row>
    <row r="205" spans="1:11" x14ac:dyDescent="0.25">
      <c r="A205"/>
      <c r="B205" s="17"/>
      <c r="C205" s="18"/>
      <c r="D205" s="18"/>
      <c r="E205" s="18"/>
      <c r="F205" s="18"/>
      <c r="G205" s="13"/>
      <c r="H205" s="13"/>
      <c r="I205" s="19"/>
      <c r="J205" s="25"/>
      <c r="K205" s="26"/>
    </row>
    <row r="206" spans="1:11" x14ac:dyDescent="0.25">
      <c r="A206"/>
      <c r="B206" s="17"/>
      <c r="C206" s="18"/>
      <c r="D206" s="18"/>
      <c r="E206" s="18"/>
      <c r="F206" s="18"/>
      <c r="G206" s="13"/>
      <c r="H206" s="13"/>
      <c r="I206" s="19"/>
      <c r="J206" s="25"/>
      <c r="K206" s="26"/>
    </row>
    <row r="207" spans="1:11" x14ac:dyDescent="0.25">
      <c r="A207"/>
      <c r="B207" s="17"/>
      <c r="C207" s="18"/>
      <c r="D207" s="18"/>
      <c r="E207" s="18"/>
      <c r="F207" s="18"/>
      <c r="G207" s="13"/>
      <c r="H207" s="13"/>
      <c r="I207" s="19"/>
      <c r="J207" s="25"/>
      <c r="K207" s="26"/>
    </row>
    <row r="208" spans="1:11" x14ac:dyDescent="0.25">
      <c r="A208"/>
      <c r="B208" s="17"/>
      <c r="C208" s="18"/>
      <c r="D208" s="18"/>
      <c r="E208" s="18"/>
      <c r="F208" s="18"/>
      <c r="G208" s="13"/>
      <c r="H208" s="13"/>
      <c r="I208" s="19"/>
      <c r="J208" s="25"/>
      <c r="K208" s="26"/>
    </row>
    <row r="209" spans="1:11" x14ac:dyDescent="0.25">
      <c r="A209"/>
      <c r="B209" s="17"/>
      <c r="C209" s="18"/>
      <c r="D209" s="18"/>
      <c r="E209" s="18"/>
      <c r="F209" s="18"/>
      <c r="G209" s="13"/>
      <c r="H209" s="13"/>
      <c r="I209" s="19"/>
      <c r="J209" s="25"/>
      <c r="K209" s="26"/>
    </row>
    <row r="210" spans="1:11" x14ac:dyDescent="0.25">
      <c r="A210"/>
      <c r="B210" s="17"/>
      <c r="C210" s="18"/>
      <c r="D210" s="18"/>
      <c r="E210" s="18"/>
      <c r="F210" s="18"/>
      <c r="G210" s="13"/>
      <c r="H210" s="13"/>
      <c r="I210" s="19"/>
      <c r="J210" s="25"/>
      <c r="K210" s="26"/>
    </row>
    <row r="211" spans="1:11" x14ac:dyDescent="0.25">
      <c r="A211"/>
      <c r="B211" s="17"/>
      <c r="C211" s="18"/>
      <c r="D211" s="18"/>
      <c r="E211" s="18"/>
      <c r="F211" s="18"/>
      <c r="G211" s="13"/>
      <c r="H211" s="13"/>
      <c r="I211" s="19"/>
      <c r="J211" s="25"/>
      <c r="K211" s="26"/>
    </row>
    <row r="212" spans="1:11" x14ac:dyDescent="0.25">
      <c r="A212"/>
      <c r="B212" s="17"/>
      <c r="C212" s="18"/>
      <c r="D212" s="18"/>
      <c r="E212" s="18"/>
      <c r="F212" s="18"/>
      <c r="G212" s="13"/>
      <c r="H212" s="13"/>
      <c r="I212" s="19"/>
      <c r="J212" s="25"/>
      <c r="K212" s="26"/>
    </row>
    <row r="213" spans="1:11" x14ac:dyDescent="0.25">
      <c r="A213"/>
      <c r="B213" s="17"/>
      <c r="C213" s="18"/>
      <c r="D213" s="18"/>
      <c r="E213" s="18"/>
      <c r="F213" s="18"/>
      <c r="G213" s="13"/>
      <c r="H213" s="13"/>
      <c r="I213" s="19"/>
      <c r="J213" s="25"/>
      <c r="K213" s="26"/>
    </row>
    <row r="214" spans="1:11" x14ac:dyDescent="0.25">
      <c r="A214"/>
      <c r="B214" s="17"/>
      <c r="C214" s="18"/>
      <c r="D214" s="18"/>
      <c r="E214" s="18"/>
      <c r="F214" s="18"/>
      <c r="G214" s="13"/>
      <c r="H214" s="13"/>
      <c r="I214" s="19"/>
      <c r="J214" s="25"/>
      <c r="K214" s="26"/>
    </row>
    <row r="215" spans="1:11" x14ac:dyDescent="0.25">
      <c r="A215"/>
      <c r="B215" s="17"/>
      <c r="C215" s="18"/>
      <c r="D215" s="18"/>
      <c r="E215" s="18"/>
      <c r="F215" s="18"/>
      <c r="G215" s="13"/>
      <c r="H215" s="13"/>
      <c r="I215" s="19"/>
      <c r="J215" s="25"/>
      <c r="K215" s="26"/>
    </row>
    <row r="216" spans="1:11" x14ac:dyDescent="0.25">
      <c r="A216"/>
      <c r="B216" s="17"/>
      <c r="C216" s="18"/>
      <c r="D216" s="18"/>
      <c r="E216" s="18"/>
      <c r="F216" s="18"/>
      <c r="G216" s="13"/>
      <c r="H216" s="13"/>
      <c r="I216" s="19"/>
      <c r="J216" s="25"/>
      <c r="K216" s="26"/>
    </row>
    <row r="217" spans="1:11" x14ac:dyDescent="0.25">
      <c r="A217"/>
      <c r="B217" s="17"/>
      <c r="C217" s="18"/>
      <c r="D217" s="18"/>
      <c r="E217" s="18"/>
      <c r="F217" s="18"/>
      <c r="G217" s="13"/>
      <c r="H217" s="13"/>
      <c r="I217" s="19"/>
      <c r="J217" s="25"/>
      <c r="K217" s="26"/>
    </row>
    <row r="218" spans="1:11" x14ac:dyDescent="0.25">
      <c r="A218"/>
      <c r="B218" s="17"/>
      <c r="C218" s="18"/>
      <c r="D218" s="18"/>
      <c r="E218" s="18"/>
      <c r="F218" s="18"/>
      <c r="G218" s="13"/>
      <c r="H218" s="13"/>
      <c r="I218" s="19"/>
      <c r="J218" s="25"/>
      <c r="K218" s="26"/>
    </row>
    <row r="219" spans="1:11" x14ac:dyDescent="0.25">
      <c r="A219"/>
      <c r="B219" s="17"/>
      <c r="C219" s="18"/>
      <c r="D219" s="18"/>
      <c r="E219" s="18"/>
      <c r="F219" s="18"/>
      <c r="G219" s="13"/>
      <c r="H219" s="13"/>
      <c r="I219" s="19"/>
      <c r="J219" s="25"/>
      <c r="K219" s="26"/>
    </row>
    <row r="220" spans="1:11" x14ac:dyDescent="0.25">
      <c r="A220"/>
      <c r="B220" s="17"/>
      <c r="C220" s="18"/>
      <c r="D220" s="18"/>
      <c r="E220" s="18"/>
      <c r="F220" s="18"/>
      <c r="G220" s="13"/>
      <c r="H220" s="13"/>
      <c r="I220" s="19"/>
      <c r="J220" s="25"/>
      <c r="K220" s="26"/>
    </row>
    <row r="221" spans="1:11" x14ac:dyDescent="0.25">
      <c r="A221"/>
      <c r="B221" s="17"/>
      <c r="C221" s="18"/>
      <c r="D221" s="18"/>
      <c r="E221" s="18"/>
      <c r="F221" s="18"/>
      <c r="G221" s="13"/>
      <c r="H221" s="13"/>
      <c r="I221" s="19"/>
      <c r="J221" s="25"/>
      <c r="K221" s="26"/>
    </row>
    <row r="222" spans="1:11" x14ac:dyDescent="0.25">
      <c r="A222"/>
      <c r="B222" s="17"/>
      <c r="C222" s="18"/>
      <c r="D222" s="18"/>
      <c r="E222" s="18"/>
      <c r="F222" s="18"/>
      <c r="G222" s="13"/>
      <c r="H222" s="13"/>
      <c r="I222" s="19"/>
      <c r="J222" s="25"/>
      <c r="K222" s="26"/>
    </row>
    <row r="223" spans="1:11" x14ac:dyDescent="0.25">
      <c r="A223"/>
      <c r="B223" s="17"/>
      <c r="C223" s="18"/>
      <c r="D223" s="18"/>
      <c r="E223" s="18"/>
      <c r="F223" s="18"/>
      <c r="G223" s="13"/>
      <c r="H223" s="13"/>
      <c r="I223" s="19"/>
      <c r="J223" s="25"/>
      <c r="K223" s="26"/>
    </row>
    <row r="224" spans="1:11" x14ac:dyDescent="0.25">
      <c r="A224"/>
      <c r="B224" s="17"/>
      <c r="C224" s="18"/>
      <c r="D224" s="18"/>
      <c r="E224" s="18"/>
      <c r="F224" s="18"/>
      <c r="G224" s="13"/>
      <c r="H224" s="13"/>
      <c r="I224" s="19"/>
      <c r="J224" s="25"/>
      <c r="K224" s="26"/>
    </row>
    <row r="225" spans="1:11" x14ac:dyDescent="0.25">
      <c r="A225"/>
      <c r="B225" s="17"/>
      <c r="C225" s="18"/>
      <c r="D225" s="18"/>
      <c r="E225" s="18"/>
      <c r="F225" s="18"/>
      <c r="G225" s="13"/>
      <c r="H225" s="13"/>
      <c r="I225" s="19"/>
      <c r="J225" s="25"/>
      <c r="K225" s="26"/>
    </row>
    <row r="226" spans="1:11" x14ac:dyDescent="0.25">
      <c r="A226"/>
      <c r="B226" s="17"/>
      <c r="C226" s="18"/>
      <c r="D226" s="18"/>
      <c r="E226" s="18"/>
      <c r="F226" s="18"/>
      <c r="G226" s="13"/>
      <c r="H226" s="13"/>
      <c r="I226" s="19"/>
      <c r="J226" s="25"/>
      <c r="K226" s="26"/>
    </row>
    <row r="227" spans="1:11" x14ac:dyDescent="0.25">
      <c r="A227"/>
      <c r="B227" s="17"/>
      <c r="C227" s="18"/>
      <c r="D227" s="18"/>
      <c r="E227" s="18"/>
      <c r="F227" s="18"/>
      <c r="G227" s="13"/>
      <c r="H227" s="13"/>
      <c r="I227" s="19"/>
      <c r="J227" s="25"/>
      <c r="K227" s="26"/>
    </row>
    <row r="228" spans="1:11" x14ac:dyDescent="0.25">
      <c r="A228"/>
      <c r="B228" s="17"/>
      <c r="C228" s="18"/>
      <c r="D228" s="18"/>
      <c r="E228" s="18"/>
      <c r="F228" s="18"/>
      <c r="G228" s="13"/>
      <c r="H228" s="13"/>
      <c r="I228" s="19"/>
      <c r="J228" s="25"/>
      <c r="K228" s="26"/>
    </row>
    <row r="229" spans="1:11" x14ac:dyDescent="0.25">
      <c r="A229"/>
      <c r="B229" s="17"/>
      <c r="C229" s="18"/>
      <c r="D229" s="18"/>
      <c r="E229" s="18"/>
      <c r="F229" s="18"/>
      <c r="G229" s="13"/>
      <c r="H229" s="13"/>
      <c r="I229" s="19"/>
      <c r="J229" s="25"/>
      <c r="K229" s="26"/>
    </row>
    <row r="230" spans="1:11" x14ac:dyDescent="0.25">
      <c r="A230"/>
      <c r="B230" s="17"/>
      <c r="C230" s="18"/>
      <c r="D230" s="18"/>
      <c r="E230" s="18"/>
      <c r="F230" s="18"/>
      <c r="G230" s="13"/>
      <c r="H230" s="13"/>
      <c r="I230" s="19"/>
      <c r="J230" s="25"/>
      <c r="K230" s="26"/>
    </row>
    <row r="231" spans="1:11" x14ac:dyDescent="0.25">
      <c r="A231"/>
      <c r="B231" s="17"/>
      <c r="C231" s="18"/>
      <c r="D231" s="18"/>
      <c r="E231" s="18"/>
      <c r="F231" s="18"/>
      <c r="G231" s="13"/>
      <c r="H231" s="13"/>
      <c r="I231" s="19"/>
      <c r="J231" s="25"/>
      <c r="K231" s="26"/>
    </row>
    <row r="232" spans="1:11" x14ac:dyDescent="0.25">
      <c r="A232"/>
      <c r="B232" s="17"/>
      <c r="C232" s="18"/>
      <c r="D232" s="18"/>
      <c r="E232" s="18"/>
      <c r="F232" s="18"/>
      <c r="G232" s="13"/>
      <c r="H232" s="13"/>
      <c r="I232" s="19"/>
      <c r="J232" s="25"/>
      <c r="K232" s="26"/>
    </row>
    <row r="233" spans="1:11" x14ac:dyDescent="0.25">
      <c r="A233"/>
      <c r="B233" s="17"/>
      <c r="C233" s="18"/>
      <c r="D233" s="18"/>
      <c r="E233" s="18"/>
      <c r="F233" s="18"/>
      <c r="G233" s="13"/>
      <c r="H233" s="13"/>
      <c r="I233" s="19"/>
      <c r="J233" s="25"/>
      <c r="K233" s="26"/>
    </row>
    <row r="234" spans="1:11" x14ac:dyDescent="0.25">
      <c r="A234"/>
      <c r="B234" s="17"/>
      <c r="C234" s="18"/>
      <c r="D234" s="18"/>
      <c r="E234" s="18"/>
      <c r="F234" s="18"/>
      <c r="G234" s="13"/>
      <c r="H234" s="13"/>
      <c r="I234" s="19"/>
      <c r="J234" s="25"/>
      <c r="K234" s="26"/>
    </row>
    <row r="235" spans="1:11" x14ac:dyDescent="0.25">
      <c r="A235"/>
      <c r="B235" s="17"/>
      <c r="C235" s="18"/>
      <c r="D235" s="18"/>
      <c r="E235" s="18"/>
      <c r="F235" s="18"/>
      <c r="G235" s="13"/>
      <c r="H235" s="13"/>
      <c r="I235" s="19"/>
      <c r="J235" s="25"/>
      <c r="K235" s="26"/>
    </row>
    <row r="236" spans="1:11" x14ac:dyDescent="0.25">
      <c r="A236"/>
      <c r="B236" s="17"/>
      <c r="C236" s="18"/>
      <c r="D236" s="18"/>
      <c r="E236" s="18"/>
      <c r="F236" s="18"/>
      <c r="G236" s="13"/>
      <c r="H236" s="13"/>
      <c r="I236" s="19"/>
      <c r="J236" s="25"/>
      <c r="K236" s="26"/>
    </row>
    <row r="237" spans="1:11" x14ac:dyDescent="0.25">
      <c r="A237"/>
      <c r="B237" s="17"/>
      <c r="C237" s="18"/>
      <c r="D237" s="18"/>
      <c r="E237" s="18"/>
      <c r="F237" s="18"/>
      <c r="G237" s="13"/>
      <c r="H237" s="13"/>
      <c r="I237" s="19"/>
      <c r="J237" s="25"/>
      <c r="K237" s="26"/>
    </row>
    <row r="238" spans="1:11" x14ac:dyDescent="0.25">
      <c r="A238"/>
      <c r="B238" s="17"/>
      <c r="C238" s="18"/>
      <c r="D238" s="18"/>
      <c r="E238" s="18"/>
      <c r="F238" s="18"/>
      <c r="G238" s="13"/>
      <c r="H238" s="13"/>
      <c r="I238" s="19"/>
      <c r="J238" s="25"/>
      <c r="K238" s="26"/>
    </row>
    <row r="239" spans="1:11" x14ac:dyDescent="0.25">
      <c r="A239"/>
      <c r="B239" s="17"/>
      <c r="C239" s="18"/>
      <c r="D239" s="18"/>
      <c r="E239" s="18"/>
      <c r="F239" s="18"/>
      <c r="G239" s="13"/>
      <c r="H239" s="13"/>
      <c r="I239" s="19"/>
      <c r="J239" s="25"/>
      <c r="K239" s="26"/>
    </row>
    <row r="240" spans="1:11" x14ac:dyDescent="0.25">
      <c r="A240"/>
      <c r="B240" s="17"/>
      <c r="C240" s="18"/>
      <c r="D240" s="18"/>
      <c r="E240" s="18"/>
      <c r="F240" s="18"/>
      <c r="G240" s="13"/>
      <c r="H240" s="13"/>
      <c r="I240" s="19"/>
      <c r="J240" s="25"/>
      <c r="K240" s="26"/>
    </row>
    <row r="241" spans="1:12" x14ac:dyDescent="0.25">
      <c r="A241"/>
      <c r="B241" s="17"/>
      <c r="C241" s="18"/>
      <c r="D241" s="18"/>
      <c r="E241" s="18"/>
      <c r="F241" s="18"/>
      <c r="G241" s="13"/>
      <c r="H241" s="13"/>
      <c r="I241" s="19"/>
      <c r="J241" s="25"/>
      <c r="K241" s="26"/>
    </row>
    <row r="242" spans="1:12" x14ac:dyDescent="0.25">
      <c r="A242"/>
      <c r="B242" s="17"/>
      <c r="C242" s="18"/>
      <c r="D242" s="18"/>
      <c r="E242" s="18"/>
      <c r="F242" s="18"/>
      <c r="G242" s="13"/>
      <c r="H242" s="13"/>
      <c r="I242" s="19"/>
      <c r="J242" s="25"/>
      <c r="K242" s="26"/>
    </row>
    <row r="243" spans="1:12" x14ac:dyDescent="0.25">
      <c r="A243"/>
      <c r="B243" s="17"/>
      <c r="C243" s="18"/>
      <c r="D243" s="18"/>
      <c r="E243" s="18"/>
      <c r="F243" s="18"/>
      <c r="G243" s="13"/>
      <c r="H243" s="13"/>
      <c r="I243" s="19"/>
      <c r="J243" s="25"/>
      <c r="K243" s="26"/>
    </row>
    <row r="244" spans="1:12" x14ac:dyDescent="0.25">
      <c r="A244"/>
      <c r="B244" s="17"/>
      <c r="C244" s="18"/>
      <c r="D244" s="18"/>
      <c r="E244" s="18"/>
      <c r="F244" s="18"/>
      <c r="G244" s="13"/>
      <c r="H244" s="13"/>
      <c r="I244" s="19"/>
      <c r="J244" s="25"/>
      <c r="K244" s="26"/>
    </row>
    <row r="245" spans="1:12" x14ac:dyDescent="0.25">
      <c r="A245"/>
      <c r="B245" s="17"/>
      <c r="C245" s="18"/>
      <c r="D245" s="18"/>
      <c r="E245" s="18"/>
      <c r="F245" s="18"/>
      <c r="G245" s="13"/>
      <c r="H245" s="13"/>
      <c r="I245" s="19"/>
      <c r="J245" s="25"/>
      <c r="K245" s="26"/>
    </row>
    <row r="246" spans="1:12" x14ac:dyDescent="0.25">
      <c r="A246"/>
      <c r="B246" s="17"/>
      <c r="C246" s="18"/>
      <c r="D246" s="18"/>
      <c r="E246" s="18"/>
      <c r="F246" s="18"/>
      <c r="G246" s="13"/>
      <c r="H246" s="13"/>
      <c r="I246" s="19"/>
      <c r="J246" s="25"/>
      <c r="K246" s="26"/>
    </row>
    <row r="247" spans="1:12" x14ac:dyDescent="0.25">
      <c r="A247"/>
      <c r="B247" s="17"/>
      <c r="C247" s="18"/>
      <c r="D247" s="18"/>
      <c r="E247" s="18"/>
      <c r="F247" s="18"/>
      <c r="G247" s="13"/>
      <c r="H247" s="13"/>
      <c r="I247" s="19"/>
      <c r="J247" s="25"/>
      <c r="K247" s="26"/>
    </row>
    <row r="248" spans="1:12" x14ac:dyDescent="0.25">
      <c r="A248"/>
      <c r="B248" s="17"/>
      <c r="C248" s="18"/>
      <c r="D248" s="18"/>
      <c r="E248" s="18"/>
      <c r="F248" s="18"/>
      <c r="G248" s="13"/>
      <c r="H248" s="13"/>
      <c r="I248" s="19"/>
      <c r="J248" s="25"/>
      <c r="K248" s="26"/>
    </row>
    <row r="249" spans="1:12" x14ac:dyDescent="0.25">
      <c r="A249"/>
      <c r="B249" s="17"/>
      <c r="C249" s="18"/>
      <c r="D249" s="18"/>
      <c r="E249" s="18"/>
      <c r="F249" s="18"/>
      <c r="G249" s="13"/>
      <c r="H249" s="13"/>
      <c r="I249" s="19"/>
      <c r="J249" s="25"/>
      <c r="K249" s="26"/>
    </row>
    <row r="250" spans="1:12" x14ac:dyDescent="0.25">
      <c r="A250"/>
      <c r="B250" s="17"/>
      <c r="C250" s="18"/>
      <c r="D250" s="18"/>
      <c r="E250" s="18"/>
      <c r="F250" s="18"/>
      <c r="G250" s="13"/>
      <c r="H250" s="13"/>
      <c r="I250" s="19"/>
      <c r="J250" s="25"/>
      <c r="K250" s="26"/>
    </row>
    <row r="251" spans="1:12" x14ac:dyDescent="0.25">
      <c r="A251"/>
      <c r="B251" s="17"/>
      <c r="C251" s="18"/>
      <c r="D251" s="18"/>
      <c r="E251" s="18"/>
      <c r="F251" s="18"/>
      <c r="G251" s="13"/>
      <c r="H251" s="13"/>
      <c r="I251" s="19"/>
      <c r="J251" s="25"/>
      <c r="K251" s="26"/>
    </row>
    <row r="252" spans="1:12" x14ac:dyDescent="0.25">
      <c r="L252" s="29"/>
    </row>
    <row r="253" spans="1:12" x14ac:dyDescent="0.25">
      <c r="J253" s="30"/>
      <c r="L253" s="29"/>
    </row>
    <row r="254" spans="1:12" x14ac:dyDescent="0.25">
      <c r="L254" s="26"/>
    </row>
    <row r="255" spans="1:12" x14ac:dyDescent="0.25">
      <c r="L255" s="26"/>
    </row>
    <row r="256" spans="1:12" x14ac:dyDescent="0.25">
      <c r="L256" s="26"/>
    </row>
    <row r="258" spans="2:10" x14ac:dyDescent="0.25">
      <c r="J258" s="31"/>
    </row>
    <row r="262" spans="2:10" x14ac:dyDescent="0.25">
      <c r="B262" s="32"/>
    </row>
  </sheetData>
  <autoFilter ref="A5:K193" xr:uid="{9BAA7038-C5E0-4406-9F68-2DB24AE1D6DE}"/>
  <conditionalFormatting sqref="A6:A178">
    <cfRule type="duplicateValues" dxfId="147" priority="46"/>
  </conditionalFormatting>
  <conditionalFormatting sqref="A179:A251">
    <cfRule type="duplicateValues" dxfId="146" priority="148"/>
  </conditionalFormatting>
  <conditionalFormatting sqref="B1">
    <cfRule type="duplicateValues" dxfId="145" priority="138"/>
    <cfRule type="duplicateValues" dxfId="144" priority="137"/>
    <cfRule type="duplicateValues" dxfId="143" priority="136"/>
  </conditionalFormatting>
  <conditionalFormatting sqref="B2 B4">
    <cfRule type="duplicateValues" dxfId="142" priority="132"/>
    <cfRule type="duplicateValues" dxfId="141" priority="130"/>
  </conditionalFormatting>
  <conditionalFormatting sqref="B3">
    <cfRule type="duplicateValues" dxfId="140" priority="107"/>
    <cfRule type="duplicateValues" dxfId="139" priority="106"/>
    <cfRule type="duplicateValues" dxfId="138" priority="108"/>
  </conditionalFormatting>
  <conditionalFormatting sqref="B4">
    <cfRule type="duplicateValues" dxfId="137" priority="131"/>
  </conditionalFormatting>
  <conditionalFormatting sqref="B5">
    <cfRule type="duplicateValues" dxfId="136" priority="129"/>
    <cfRule type="duplicateValues" dxfId="135" priority="128"/>
    <cfRule type="duplicateValues" dxfId="134" priority="127"/>
    <cfRule type="duplicateValues" dxfId="133" priority="126"/>
  </conditionalFormatting>
  <conditionalFormatting sqref="B6:B161">
    <cfRule type="duplicateValues" dxfId="132" priority="37"/>
    <cfRule type="duplicateValues" dxfId="131" priority="38"/>
    <cfRule type="duplicateValues" dxfId="130" priority="39"/>
    <cfRule type="duplicateValues" dxfId="129" priority="40"/>
    <cfRule type="duplicateValues" dxfId="128" priority="41"/>
    <cfRule type="duplicateValues" dxfId="127" priority="42"/>
    <cfRule type="duplicateValues" dxfId="126" priority="43"/>
    <cfRule type="duplicateValues" dxfId="125" priority="44"/>
    <cfRule type="duplicateValues" dxfId="124" priority="45"/>
  </conditionalFormatting>
  <conditionalFormatting sqref="B160">
    <cfRule type="duplicateValues" dxfId="123" priority="21"/>
    <cfRule type="duplicateValues" dxfId="122" priority="22"/>
    <cfRule type="duplicateValues" dxfId="121" priority="23"/>
    <cfRule type="duplicateValues" dxfId="120" priority="24"/>
    <cfRule type="duplicateValues" dxfId="119" priority="25"/>
    <cfRule type="duplicateValues" dxfId="118" priority="26"/>
    <cfRule type="duplicateValues" dxfId="117" priority="27"/>
    <cfRule type="duplicateValues" dxfId="116" priority="19"/>
    <cfRule type="duplicateValues" dxfId="115" priority="20"/>
  </conditionalFormatting>
  <conditionalFormatting sqref="B162:B165">
    <cfRule type="duplicateValues" dxfId="114" priority="16"/>
    <cfRule type="duplicateValues" dxfId="113" priority="11"/>
    <cfRule type="duplicateValues" dxfId="112" priority="12"/>
    <cfRule type="duplicateValues" dxfId="111" priority="13"/>
    <cfRule type="duplicateValues" dxfId="110" priority="14"/>
    <cfRule type="duplicateValues" dxfId="109" priority="15"/>
    <cfRule type="duplicateValues" dxfId="108" priority="18"/>
    <cfRule type="duplicateValues" dxfId="107" priority="17"/>
    <cfRule type="duplicateValues" dxfId="106" priority="10"/>
  </conditionalFormatting>
  <conditionalFormatting sqref="B166:B170">
    <cfRule type="duplicateValues" dxfId="105" priority="29"/>
    <cfRule type="duplicateValues" dxfId="104" priority="30"/>
    <cfRule type="duplicateValues" dxfId="103" priority="31"/>
    <cfRule type="duplicateValues" dxfId="102" priority="32"/>
    <cfRule type="duplicateValues" dxfId="101" priority="33"/>
    <cfRule type="duplicateValues" dxfId="100" priority="34"/>
    <cfRule type="duplicateValues" dxfId="99" priority="35"/>
    <cfRule type="duplicateValues" dxfId="98" priority="36"/>
    <cfRule type="duplicateValues" dxfId="97" priority="28"/>
  </conditionalFormatting>
  <conditionalFormatting sqref="B171:B178"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  <cfRule type="duplicateValues" dxfId="91" priority="8"/>
    <cfRule type="duplicateValues" dxfId="90" priority="9"/>
    <cfRule type="duplicateValues" dxfId="89" priority="2"/>
    <cfRule type="duplicateValues" dxfId="88" priority="1"/>
  </conditionalFormatting>
  <conditionalFormatting sqref="B179:B184 B186:B249">
    <cfRule type="duplicateValues" dxfId="87" priority="141"/>
    <cfRule type="duplicateValues" dxfId="86" priority="140"/>
    <cfRule type="duplicateValues" dxfId="85" priority="139"/>
    <cfRule type="duplicateValues" dxfId="84" priority="147"/>
    <cfRule type="duplicateValues" dxfId="83" priority="146"/>
    <cfRule type="duplicateValues" dxfId="82" priority="145"/>
    <cfRule type="duplicateValues" dxfId="81" priority="144"/>
    <cfRule type="duplicateValues" dxfId="80" priority="143"/>
    <cfRule type="duplicateValues" dxfId="79" priority="142"/>
  </conditionalFormatting>
  <conditionalFormatting sqref="B179:B184">
    <cfRule type="duplicateValues" dxfId="78" priority="122"/>
    <cfRule type="duplicateValues" dxfId="77" priority="123"/>
    <cfRule type="duplicateValues" dxfId="76" priority="124"/>
    <cfRule type="duplicateValues" dxfId="75" priority="125"/>
    <cfRule type="duplicateValues" dxfId="74" priority="112"/>
    <cfRule type="duplicateValues" dxfId="73" priority="109"/>
    <cfRule type="duplicateValues" dxfId="72" priority="110"/>
    <cfRule type="duplicateValues" dxfId="71" priority="111"/>
    <cfRule type="duplicateValues" dxfId="70" priority="113"/>
    <cfRule type="duplicateValues" dxfId="69" priority="114"/>
    <cfRule type="duplicateValues" dxfId="68" priority="115"/>
    <cfRule type="duplicateValues" dxfId="67" priority="116"/>
    <cfRule type="duplicateValues" dxfId="66" priority="117"/>
    <cfRule type="duplicateValues" dxfId="65" priority="118"/>
    <cfRule type="duplicateValues" dxfId="64" priority="119"/>
    <cfRule type="duplicateValues" dxfId="63" priority="120"/>
    <cfRule type="duplicateValues" dxfId="62" priority="121"/>
  </conditionalFormatting>
  <conditionalFormatting sqref="B185">
    <cfRule type="duplicateValues" dxfId="61" priority="47"/>
  </conditionalFormatting>
  <conditionalFormatting sqref="B186:B246">
    <cfRule type="duplicateValues" dxfId="60" priority="133"/>
    <cfRule type="duplicateValues" dxfId="59" priority="134"/>
    <cfRule type="duplicateValues" dxfId="58" priority="135"/>
  </conditionalFormatting>
  <conditionalFormatting sqref="B250">
    <cfRule type="duplicateValues" dxfId="57" priority="99"/>
    <cfRule type="duplicateValues" dxfId="56" priority="105"/>
    <cfRule type="duplicateValues" dxfId="55" priority="101"/>
    <cfRule type="duplicateValues" dxfId="54" priority="102"/>
    <cfRule type="duplicateValues" dxfId="53" priority="103"/>
    <cfRule type="duplicateValues" dxfId="52" priority="104"/>
    <cfRule type="duplicateValues" dxfId="51" priority="100"/>
    <cfRule type="duplicateValues" dxfId="50" priority="90"/>
    <cfRule type="duplicateValues" dxfId="49" priority="89"/>
    <cfRule type="duplicateValues" dxfId="48" priority="93"/>
    <cfRule type="duplicateValues" dxfId="47" priority="87"/>
    <cfRule type="duplicateValues" dxfId="46" priority="86"/>
    <cfRule type="duplicateValues" dxfId="45" priority="85"/>
    <cfRule type="duplicateValues" dxfId="44" priority="84"/>
    <cfRule type="duplicateValues" dxfId="43" priority="83"/>
    <cfRule type="duplicateValues" dxfId="42" priority="91"/>
    <cfRule type="duplicateValues" dxfId="41" priority="82"/>
    <cfRule type="duplicateValues" dxfId="40" priority="88"/>
    <cfRule type="duplicateValues" dxfId="39" priority="80"/>
    <cfRule type="duplicateValues" dxfId="38" priority="81"/>
    <cfRule type="duplicateValues" dxfId="37" priority="92"/>
    <cfRule type="duplicateValues" dxfId="36" priority="94"/>
    <cfRule type="duplicateValues" dxfId="35" priority="95"/>
    <cfRule type="duplicateValues" dxfId="34" priority="96"/>
    <cfRule type="duplicateValues" dxfId="33" priority="97"/>
    <cfRule type="duplicateValues" dxfId="32" priority="98"/>
  </conditionalFormatting>
  <conditionalFormatting sqref="B251">
    <cfRule type="duplicateValues" dxfId="31" priority="55"/>
    <cfRule type="duplicateValues" dxfId="30" priority="56"/>
    <cfRule type="duplicateValues" dxfId="29" priority="58"/>
    <cfRule type="duplicateValues" dxfId="28" priority="59"/>
    <cfRule type="duplicateValues" dxfId="27" priority="60"/>
    <cfRule type="duplicateValues" dxfId="26" priority="61"/>
    <cfRule type="duplicateValues" dxfId="25" priority="76"/>
    <cfRule type="duplicateValues" dxfId="24" priority="78"/>
    <cfRule type="duplicateValues" dxfId="23" priority="79"/>
    <cfRule type="duplicateValues" dxfId="22" priority="65"/>
    <cfRule type="duplicateValues" dxfId="21" priority="71"/>
    <cfRule type="duplicateValues" dxfId="20" priority="75"/>
    <cfRule type="duplicateValues" dxfId="19" priority="72"/>
    <cfRule type="duplicateValues" dxfId="18" priority="64"/>
    <cfRule type="duplicateValues" dxfId="17" priority="63"/>
    <cfRule type="duplicateValues" dxfId="16" priority="62"/>
    <cfRule type="duplicateValues" dxfId="15" priority="77"/>
    <cfRule type="duplicateValues" dxfId="14" priority="74"/>
    <cfRule type="duplicateValues" dxfId="13" priority="54"/>
    <cfRule type="duplicateValues" dxfId="12" priority="73"/>
    <cfRule type="duplicateValues" dxfId="11" priority="70"/>
    <cfRule type="duplicateValues" dxfId="10" priority="69"/>
    <cfRule type="duplicateValues" dxfId="9" priority="68"/>
    <cfRule type="duplicateValues" dxfId="8" priority="67"/>
    <cfRule type="duplicateValues" dxfId="7" priority="57"/>
    <cfRule type="duplicateValues" dxfId="6" priority="66"/>
  </conditionalFormatting>
  <conditionalFormatting sqref="B262">
    <cfRule type="duplicateValues" dxfId="5" priority="48"/>
    <cfRule type="duplicateValues" dxfId="4" priority="49"/>
    <cfRule type="duplicateValues" dxfId="3" priority="50"/>
    <cfRule type="duplicateValues" dxfId="2" priority="51"/>
    <cfRule type="duplicateValues" dxfId="1" priority="52"/>
    <cfRule type="duplicateValues" dxfId="0" priority="53"/>
  </conditionalFormatting>
  <pageMargins left="0.65" right="7.874015748031496E-2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OPN_WIP</vt:lpstr>
      <vt:lpstr>OPN_WIP</vt:lpstr>
      <vt:lpstr>opn_wip1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2026-05-08T07:35:13Z</dcterms:created>
  <dcterms:modified xsi:type="dcterms:W3CDTF">2026-05-08T07:36:30Z</dcterms:modified>
</cp:coreProperties>
</file>