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Y:\010. Sameer\01. From Tharaka\"/>
    </mc:Choice>
  </mc:AlternateContent>
  <xr:revisionPtr revIDLastSave="0" documentId="13_ncr:1_{BF129A11-4BB8-41D8-B2A7-0B98C721F7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1" i="1" l="1"/>
  <c r="G31" i="1"/>
  <c r="D31" i="1"/>
  <c r="H30" i="1"/>
  <c r="G30" i="1"/>
  <c r="D30" i="1"/>
  <c r="D27" i="1" l="1"/>
  <c r="G24" i="1"/>
  <c r="D24" i="1"/>
  <c r="G23" i="1"/>
  <c r="D23" i="1"/>
  <c r="G22" i="1"/>
  <c r="D22" i="1"/>
  <c r="H21" i="1"/>
  <c r="G21" i="1"/>
  <c r="D21" i="1"/>
  <c r="G20" i="1"/>
  <c r="D20" i="1"/>
  <c r="H19" i="1"/>
  <c r="G19" i="1"/>
  <c r="D19" i="1"/>
  <c r="H18" i="1"/>
  <c r="G18" i="1"/>
  <c r="D18" i="1"/>
  <c r="H17" i="1"/>
  <c r="G17" i="1"/>
  <c r="D17" i="1"/>
  <c r="H16" i="1"/>
  <c r="G16" i="1"/>
  <c r="D16" i="1"/>
  <c r="H15" i="1"/>
  <c r="G15" i="1"/>
  <c r="D15" i="1"/>
  <c r="H14" i="1"/>
  <c r="G14" i="1"/>
  <c r="D14" i="1"/>
  <c r="H13" i="1"/>
  <c r="G13" i="1"/>
  <c r="D13" i="1"/>
  <c r="H12" i="1"/>
  <c r="G12" i="1"/>
  <c r="D12" i="1"/>
  <c r="H11" i="1"/>
  <c r="G11" i="1"/>
  <c r="D11" i="1"/>
  <c r="H10" i="1"/>
  <c r="G10" i="1"/>
  <c r="D10" i="1"/>
  <c r="H9" i="1"/>
  <c r="G9" i="1"/>
  <c r="D9" i="1"/>
  <c r="H8" i="1"/>
  <c r="G8" i="1"/>
  <c r="D8" i="1"/>
  <c r="H7" i="1"/>
  <c r="G7" i="1"/>
  <c r="D7" i="1"/>
  <c r="H6" i="1"/>
  <c r="G6" i="1"/>
  <c r="D6" i="1"/>
  <c r="H5" i="1"/>
  <c r="G5" i="1"/>
  <c r="D5" i="1"/>
</calcChain>
</file>

<file path=xl/sharedStrings.xml><?xml version="1.0" encoding="utf-8"?>
<sst xmlns="http://schemas.openxmlformats.org/spreadsheetml/2006/main" count="19" uniqueCount="10">
  <si>
    <t>MATERIAL SENT TO TECHNOVA/MEGAPACK - FOR STOCK VALUATION</t>
  </si>
  <si>
    <t>Month</t>
  </si>
  <si>
    <t>TPE</t>
  </si>
  <si>
    <t>WPE</t>
  </si>
  <si>
    <t>CONVERSION @ 1 / 0.90</t>
  </si>
  <si>
    <t>NIL</t>
  </si>
  <si>
    <t>Sep/25</t>
  </si>
  <si>
    <t>Oct/25</t>
  </si>
  <si>
    <t>Dec/25</t>
  </si>
  <si>
    <t>Jan/26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</si>
</sst>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[$-409]mmmm\-yy;@"/>
    <numFmt numFmtId="166" formatCode="[$-409]mmm\-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indexed="64"/>
      </right>
      <top/>
      <bottom style="hair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164" fontId="0" fillId="0" borderId="0" xfId="1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2" fillId="2" borderId="4" xfId="1" applyFont="1" applyFill="1" applyBorder="1" applyAlignment="1">
      <alignment horizontal="center" vertical="center"/>
    </xf>
    <xf numFmtId="164" fontId="2" fillId="3" borderId="4" xfId="1" applyFont="1" applyFill="1" applyBorder="1" applyAlignment="1">
      <alignment horizontal="center" vertical="center"/>
    </xf>
    <xf numFmtId="165" fontId="0" fillId="0" borderId="7" xfId="0" quotePrefix="1" applyNumberFormat="1" applyBorder="1" applyAlignment="1">
      <alignment horizontal="left"/>
    </xf>
    <xf numFmtId="166" fontId="0" fillId="0" borderId="8" xfId="0" applyNumberFormat="1" applyBorder="1"/>
    <xf numFmtId="164" fontId="0" fillId="0" borderId="9" xfId="1" applyFont="1" applyBorder="1" applyAlignment="1">
      <alignment horizontal="center"/>
    </xf>
    <xf numFmtId="164" fontId="0" fillId="4" borderId="9" xfId="1" applyFont="1" applyFill="1" applyBorder="1" applyAlignment="1">
      <alignment horizontal="center"/>
    </xf>
    <xf numFmtId="164" fontId="0" fillId="4" borderId="10" xfId="1" applyFont="1" applyFill="1" applyBorder="1" applyAlignment="1">
      <alignment horizontal="center"/>
    </xf>
    <xf numFmtId="164" fontId="0" fillId="0" borderId="9" xfId="1" applyFont="1" applyBorder="1" applyAlignment="1">
      <alignment horizontal="right"/>
    </xf>
    <xf numFmtId="164" fontId="0" fillId="4" borderId="9" xfId="1" applyFont="1" applyFill="1" applyBorder="1" applyAlignment="1">
      <alignment horizontal="right"/>
    </xf>
    <xf numFmtId="164" fontId="0" fillId="4" borderId="10" xfId="1" applyFont="1" applyFill="1" applyBorder="1" applyAlignment="1">
      <alignment horizontal="right"/>
    </xf>
    <xf numFmtId="165" fontId="0" fillId="0" borderId="0" xfId="0" quotePrefix="1" applyNumberFormat="1"/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4" fontId="2" fillId="0" borderId="3" xfId="1" applyFont="1" applyBorder="1" applyAlignment="1">
      <alignment horizontal="center" vertical="center"/>
    </xf>
    <xf numFmtId="164" fontId="2" fillId="0" borderId="4" xfId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topLeftCell="A10" workbookViewId="0">
      <selection activeCell="D30" sqref="D30"/>
    </sheetView>
  </sheetViews>
  <sheetFormatPr defaultRowHeight="15" x14ac:dyDescent="0.25"/>
  <cols>
    <col min="2" max="2" width="16.5703125" customWidth="1"/>
    <col min="3" max="4" width="10.140625" customWidth="1"/>
    <col min="5" max="8" width="11.7109375" customWidth="1"/>
  </cols>
  <sheetData>
    <row r="1" spans="1:8" x14ac:dyDescent="0.25">
      <c r="B1" s="1" t="s">
        <v>0</v>
      </c>
      <c r="C1" s="1"/>
      <c r="D1" s="1"/>
      <c r="E1" s="2"/>
      <c r="F1" s="2"/>
      <c r="G1" s="2"/>
      <c r="H1" s="2"/>
    </row>
    <row r="2" spans="1:8" ht="15.75" thickBot="1" x14ac:dyDescent="0.3">
      <c r="E2" s="2"/>
      <c r="F2" s="2"/>
      <c r="G2" s="2"/>
      <c r="H2" s="2"/>
    </row>
    <row r="3" spans="1:8" ht="15.75" thickBot="1" x14ac:dyDescent="0.3">
      <c r="A3" s="3"/>
      <c r="B3" s="17" t="s">
        <v>1</v>
      </c>
      <c r="C3" s="4"/>
      <c r="D3" s="4"/>
      <c r="E3" s="19" t="s">
        <v>2</v>
      </c>
      <c r="F3" s="20" t="s">
        <v>3</v>
      </c>
      <c r="G3" s="20" t="s">
        <v>4</v>
      </c>
      <c r="H3" s="20"/>
    </row>
    <row r="4" spans="1:8" ht="15.75" thickBot="1" x14ac:dyDescent="0.3">
      <c r="A4" s="3"/>
      <c r="B4" s="18"/>
      <c r="C4" s="5"/>
      <c r="D4" s="5"/>
      <c r="E4" s="19"/>
      <c r="F4" s="20"/>
      <c r="G4" s="6" t="s">
        <v>2</v>
      </c>
      <c r="H4" s="7" t="s">
        <v>3</v>
      </c>
    </row>
    <row r="5" spans="1:8" x14ac:dyDescent="0.25">
      <c r="B5" s="8">
        <v>45292</v>
      </c>
      <c r="C5" s="9">
        <v>45292</v>
      </c>
      <c r="D5" s="9" t="str">
        <f t="shared" ref="D5:D24" si="0">TEXT(C5,"mmm/yy")</f>
        <v>Jan/24</v>
      </c>
      <c r="E5" s="10">
        <v>4.2756859464247681</v>
      </c>
      <c r="F5" s="10">
        <v>4.4432498810721519</v>
      </c>
      <c r="G5" s="11">
        <f t="shared" ref="G5:H20" si="1">+E5+0.9</f>
        <v>5.1756859464247684</v>
      </c>
      <c r="H5" s="12">
        <f t="shared" si="1"/>
        <v>5.3432498810721523</v>
      </c>
    </row>
    <row r="6" spans="1:8" x14ac:dyDescent="0.25">
      <c r="B6" s="8">
        <v>45323</v>
      </c>
      <c r="C6" s="9">
        <v>45323</v>
      </c>
      <c r="D6" s="9" t="str">
        <f t="shared" si="0"/>
        <v>Feb/24</v>
      </c>
      <c r="E6" s="10">
        <v>4.2558239074531015</v>
      </c>
      <c r="F6" s="10">
        <v>4.4247251361599309</v>
      </c>
      <c r="G6" s="11">
        <f t="shared" si="1"/>
        <v>5.1558239074531018</v>
      </c>
      <c r="H6" s="12">
        <f t="shared" si="1"/>
        <v>5.3247251361599313</v>
      </c>
    </row>
    <row r="7" spans="1:8" x14ac:dyDescent="0.25">
      <c r="B7" s="8">
        <v>45352</v>
      </c>
      <c r="C7" s="9">
        <v>45352</v>
      </c>
      <c r="D7" s="9" t="str">
        <f t="shared" si="0"/>
        <v>Mar/24</v>
      </c>
      <c r="E7" s="10">
        <v>4.4307838129458696</v>
      </c>
      <c r="F7" s="10">
        <v>4.5932559751044986</v>
      </c>
      <c r="G7" s="11">
        <f t="shared" si="1"/>
        <v>5.33078381294587</v>
      </c>
      <c r="H7" s="12">
        <f t="shared" si="1"/>
        <v>5.4932559751044989</v>
      </c>
    </row>
    <row r="8" spans="1:8" x14ac:dyDescent="0.25">
      <c r="B8" s="8">
        <v>45383</v>
      </c>
      <c r="C8" s="9">
        <v>45383</v>
      </c>
      <c r="D8" s="9" t="str">
        <f t="shared" si="0"/>
        <v>Apr/24</v>
      </c>
      <c r="E8" s="10">
        <v>4.2996166675384613</v>
      </c>
      <c r="F8" s="10">
        <v>4.4669068945414949</v>
      </c>
      <c r="G8" s="11">
        <f t="shared" si="1"/>
        <v>5.1996166675384616</v>
      </c>
      <c r="H8" s="12">
        <f t="shared" si="1"/>
        <v>5.3669068945414953</v>
      </c>
    </row>
    <row r="9" spans="1:8" x14ac:dyDescent="0.25">
      <c r="B9" s="8">
        <v>45413</v>
      </c>
      <c r="C9" s="9">
        <v>45413</v>
      </c>
      <c r="D9" s="9" t="str">
        <f t="shared" si="0"/>
        <v>May/24</v>
      </c>
      <c r="E9" s="10">
        <v>4.4209641861429683</v>
      </c>
      <c r="F9" s="10">
        <v>4.5841703037888539</v>
      </c>
      <c r="G9" s="11">
        <f t="shared" si="1"/>
        <v>5.3209641861429686</v>
      </c>
      <c r="H9" s="12">
        <f t="shared" si="1"/>
        <v>5.4841703037888543</v>
      </c>
    </row>
    <row r="10" spans="1:8" x14ac:dyDescent="0.25">
      <c r="B10" s="8">
        <v>45444</v>
      </c>
      <c r="C10" s="9">
        <v>45444</v>
      </c>
      <c r="D10" s="9" t="str">
        <f t="shared" si="0"/>
        <v>Jun/24</v>
      </c>
      <c r="E10" s="10">
        <v>4.2475939481598664</v>
      </c>
      <c r="F10" s="10">
        <v>4.4160154862614878</v>
      </c>
      <c r="G10" s="11">
        <f t="shared" si="1"/>
        <v>5.1475939481598667</v>
      </c>
      <c r="H10" s="12">
        <f t="shared" si="1"/>
        <v>5.3160154862614881</v>
      </c>
    </row>
    <row r="11" spans="1:8" x14ac:dyDescent="0.25">
      <c r="B11" s="8">
        <v>45474</v>
      </c>
      <c r="C11" s="9">
        <v>45474</v>
      </c>
      <c r="D11" s="9" t="str">
        <f t="shared" si="0"/>
        <v>Jul/24</v>
      </c>
      <c r="E11" s="10">
        <v>4.3917532105028902</v>
      </c>
      <c r="F11" s="10">
        <v>4.5615094840911947</v>
      </c>
      <c r="G11" s="11">
        <f t="shared" si="1"/>
        <v>5.2917532105028906</v>
      </c>
      <c r="H11" s="12">
        <f t="shared" si="1"/>
        <v>5.4615094840911951</v>
      </c>
    </row>
    <row r="12" spans="1:8" x14ac:dyDescent="0.25">
      <c r="B12" s="8">
        <v>45505</v>
      </c>
      <c r="C12" s="9">
        <v>45505</v>
      </c>
      <c r="D12" s="9" t="str">
        <f t="shared" si="0"/>
        <v>Aug/24</v>
      </c>
      <c r="E12" s="10">
        <v>4.3449668293343064</v>
      </c>
      <c r="F12" s="10">
        <v>4.5068331058404798</v>
      </c>
      <c r="G12" s="11">
        <f t="shared" si="1"/>
        <v>5.2449668293343068</v>
      </c>
      <c r="H12" s="12">
        <f t="shared" si="1"/>
        <v>5.4068331058404802</v>
      </c>
    </row>
    <row r="13" spans="1:8" x14ac:dyDescent="0.25">
      <c r="B13" s="8">
        <v>45536</v>
      </c>
      <c r="C13" s="9">
        <v>45536</v>
      </c>
      <c r="D13" s="9" t="str">
        <f t="shared" si="0"/>
        <v>Sep/24</v>
      </c>
      <c r="E13" s="10">
        <v>4.4469758393210386</v>
      </c>
      <c r="F13" s="10">
        <v>4.6085038600966071</v>
      </c>
      <c r="G13" s="11">
        <f t="shared" si="1"/>
        <v>5.3469758393210389</v>
      </c>
      <c r="H13" s="12">
        <f t="shared" si="1"/>
        <v>5.5085038600966074</v>
      </c>
    </row>
    <row r="14" spans="1:8" x14ac:dyDescent="0.25">
      <c r="B14" s="8">
        <v>45566</v>
      </c>
      <c r="C14" s="9">
        <v>45566</v>
      </c>
      <c r="D14" s="9" t="str">
        <f t="shared" si="0"/>
        <v>Oct/24</v>
      </c>
      <c r="E14" s="10">
        <v>4.3837571288655317</v>
      </c>
      <c r="F14" s="10">
        <v>4.5480539704504572</v>
      </c>
      <c r="G14" s="11">
        <f t="shared" si="1"/>
        <v>5.2837571288655321</v>
      </c>
      <c r="H14" s="12">
        <f t="shared" si="1"/>
        <v>5.4480539704504576</v>
      </c>
    </row>
    <row r="15" spans="1:8" x14ac:dyDescent="0.25">
      <c r="B15" s="8">
        <v>45597</v>
      </c>
      <c r="C15" s="9">
        <v>45597</v>
      </c>
      <c r="D15" s="9" t="str">
        <f t="shared" si="0"/>
        <v>Nov/24</v>
      </c>
      <c r="E15" s="10">
        <v>4.3210125970088722</v>
      </c>
      <c r="F15" s="10">
        <v>4.4872080208529876</v>
      </c>
      <c r="G15" s="11">
        <f t="shared" si="1"/>
        <v>5.2210125970088725</v>
      </c>
      <c r="H15" s="12">
        <f t="shared" si="1"/>
        <v>5.387208020852988</v>
      </c>
    </row>
    <row r="16" spans="1:8" x14ac:dyDescent="0.25">
      <c r="B16" s="8">
        <v>45627</v>
      </c>
      <c r="C16" s="9">
        <v>45627</v>
      </c>
      <c r="D16" s="9" t="str">
        <f t="shared" si="0"/>
        <v>Dec/24</v>
      </c>
      <c r="E16" s="10">
        <v>4.1895849114841308</v>
      </c>
      <c r="F16" s="10">
        <v>4.3599846657342765</v>
      </c>
      <c r="G16" s="11">
        <f t="shared" si="1"/>
        <v>5.0895849114841312</v>
      </c>
      <c r="H16" s="12">
        <f t="shared" si="1"/>
        <v>5.2599846657342768</v>
      </c>
    </row>
    <row r="17" spans="2:8" x14ac:dyDescent="0.25">
      <c r="B17" s="8">
        <v>45658</v>
      </c>
      <c r="C17" s="9">
        <v>45658</v>
      </c>
      <c r="D17" s="9" t="str">
        <f t="shared" si="0"/>
        <v>Jan/25</v>
      </c>
      <c r="E17" s="10">
        <v>4.2320994706337691</v>
      </c>
      <c r="F17" s="10">
        <v>4.4102204514689873</v>
      </c>
      <c r="G17" s="11">
        <f t="shared" si="1"/>
        <v>5.1320994706337695</v>
      </c>
      <c r="H17" s="12">
        <f t="shared" si="1"/>
        <v>5.3102204514689877</v>
      </c>
    </row>
    <row r="18" spans="2:8" x14ac:dyDescent="0.25">
      <c r="B18" s="8">
        <v>45689</v>
      </c>
      <c r="C18" s="9">
        <v>45689</v>
      </c>
      <c r="D18" s="9" t="str">
        <f t="shared" si="0"/>
        <v>Feb/25</v>
      </c>
      <c r="E18" s="10">
        <v>4.2523456020560957</v>
      </c>
      <c r="F18" s="10">
        <v>4.4206405176190309</v>
      </c>
      <c r="G18" s="11">
        <f t="shared" si="1"/>
        <v>5.152345602056096</v>
      </c>
      <c r="H18" s="12">
        <f t="shared" si="1"/>
        <v>5.3206405176190312</v>
      </c>
    </row>
    <row r="19" spans="2:8" x14ac:dyDescent="0.25">
      <c r="B19" s="8">
        <v>45717</v>
      </c>
      <c r="C19" s="9">
        <v>45717</v>
      </c>
      <c r="D19" s="9" t="str">
        <f t="shared" si="0"/>
        <v>Mar/25</v>
      </c>
      <c r="E19" s="10">
        <v>4.255350612826807</v>
      </c>
      <c r="F19" s="10">
        <v>4.4451271689096776</v>
      </c>
      <c r="G19" s="11">
        <f t="shared" si="1"/>
        <v>5.1553506128268074</v>
      </c>
      <c r="H19" s="12">
        <f t="shared" si="1"/>
        <v>5.345127168909678</v>
      </c>
    </row>
    <row r="20" spans="2:8" x14ac:dyDescent="0.25">
      <c r="B20" s="8">
        <v>45748</v>
      </c>
      <c r="C20" s="9">
        <v>45748</v>
      </c>
      <c r="D20" s="9" t="str">
        <f t="shared" si="0"/>
        <v>Apr/25</v>
      </c>
      <c r="E20" s="10">
        <v>4.2140068120290435</v>
      </c>
      <c r="F20" s="13" t="s">
        <v>5</v>
      </c>
      <c r="G20" s="14">
        <f t="shared" si="1"/>
        <v>5.1140068120290438</v>
      </c>
      <c r="H20" s="15" t="s">
        <v>5</v>
      </c>
    </row>
    <row r="21" spans="2:8" x14ac:dyDescent="0.25">
      <c r="B21" s="8">
        <v>45778</v>
      </c>
      <c r="C21" s="9">
        <v>45778</v>
      </c>
      <c r="D21" s="9" t="str">
        <f t="shared" si="0"/>
        <v>May/25</v>
      </c>
      <c r="E21" s="10">
        <v>4.2341105140042288</v>
      </c>
      <c r="F21" s="13">
        <v>4.4038466549337318</v>
      </c>
      <c r="G21" s="14">
        <f t="shared" ref="G21:H24" si="2">+E21+0.9</f>
        <v>5.1341105140042291</v>
      </c>
      <c r="H21" s="15">
        <f t="shared" si="2"/>
        <v>5.3038466549337322</v>
      </c>
    </row>
    <row r="22" spans="2:8" x14ac:dyDescent="0.25">
      <c r="B22" s="8">
        <v>45809</v>
      </c>
      <c r="C22" s="9">
        <v>45809</v>
      </c>
      <c r="D22" s="9" t="str">
        <f t="shared" si="0"/>
        <v>Jun/25</v>
      </c>
      <c r="E22" s="10">
        <v>4.2015195498917857</v>
      </c>
      <c r="F22" s="13" t="s">
        <v>5</v>
      </c>
      <c r="G22" s="14">
        <f t="shared" si="2"/>
        <v>5.101519549891786</v>
      </c>
      <c r="H22" s="15" t="s">
        <v>5</v>
      </c>
    </row>
    <row r="23" spans="2:8" x14ac:dyDescent="0.25">
      <c r="B23" s="8">
        <v>45839</v>
      </c>
      <c r="C23" s="9">
        <v>45839</v>
      </c>
      <c r="D23" s="9" t="str">
        <f t="shared" si="0"/>
        <v>Jul/25</v>
      </c>
      <c r="E23" s="10">
        <v>4.0842143940967714</v>
      </c>
      <c r="F23" s="13" t="s">
        <v>5</v>
      </c>
      <c r="G23" s="14">
        <f t="shared" si="2"/>
        <v>4.9842143940967718</v>
      </c>
      <c r="H23" s="15" t="s">
        <v>5</v>
      </c>
    </row>
    <row r="24" spans="2:8" x14ac:dyDescent="0.25">
      <c r="B24" s="8">
        <v>45870</v>
      </c>
      <c r="C24" s="9">
        <v>45870</v>
      </c>
      <c r="D24" s="9" t="str">
        <f t="shared" si="0"/>
        <v>Aug/25</v>
      </c>
      <c r="E24" s="10">
        <v>4.1397611201805589</v>
      </c>
      <c r="F24" s="13" t="s">
        <v>5</v>
      </c>
      <c r="G24" s="14">
        <f t="shared" si="2"/>
        <v>5.0397611201805592</v>
      </c>
      <c r="H24" s="15" t="s">
        <v>5</v>
      </c>
    </row>
    <row r="25" spans="2:8" x14ac:dyDescent="0.25">
      <c r="B25" s="8">
        <v>45901</v>
      </c>
      <c r="C25" s="9">
        <v>45901</v>
      </c>
      <c r="D25" s="9" t="s">
        <v>6</v>
      </c>
      <c r="E25" s="10">
        <v>4.1285499408803119</v>
      </c>
      <c r="F25" s="13">
        <v>4.3009168474095958</v>
      </c>
      <c r="G25" s="14">
        <v>5.0285499408803123</v>
      </c>
      <c r="H25" s="15">
        <v>5.2009168474095961</v>
      </c>
    </row>
    <row r="26" spans="2:8" x14ac:dyDescent="0.25">
      <c r="B26" s="8">
        <v>45931</v>
      </c>
      <c r="C26" s="9">
        <v>45931</v>
      </c>
      <c r="D26" s="9" t="s">
        <v>7</v>
      </c>
      <c r="E26" s="10">
        <v>4.0635359916778215</v>
      </c>
      <c r="F26" s="13">
        <v>4.240953279154092</v>
      </c>
      <c r="G26" s="14">
        <v>4.9635359916778219</v>
      </c>
      <c r="H26" s="15">
        <v>5.1409532791540924</v>
      </c>
    </row>
    <row r="27" spans="2:8" x14ac:dyDescent="0.25">
      <c r="B27" s="8">
        <v>45962</v>
      </c>
      <c r="C27" s="9">
        <v>45962</v>
      </c>
      <c r="D27" s="9" t="str">
        <f t="shared" ref="D27" si="3">TEXT(C27,"mmm/yy")</f>
        <v>Nov/25</v>
      </c>
      <c r="E27" s="10">
        <v>3.9707525375876451</v>
      </c>
      <c r="F27" s="13">
        <v>4.1380685958485941</v>
      </c>
      <c r="G27" s="14">
        <v>4.870752537587645</v>
      </c>
      <c r="H27" s="15">
        <v>5.0380685958485945</v>
      </c>
    </row>
    <row r="28" spans="2:8" x14ac:dyDescent="0.25">
      <c r="B28" s="8">
        <v>45992</v>
      </c>
      <c r="C28" s="9">
        <v>45992</v>
      </c>
      <c r="D28" s="9" t="s">
        <v>8</v>
      </c>
      <c r="E28" s="10">
        <v>3.8865519423552133</v>
      </c>
      <c r="F28" s="13">
        <v>4.0569069241075466</v>
      </c>
      <c r="G28" s="14">
        <v>4.7865519423552136</v>
      </c>
      <c r="H28" s="15">
        <v>4.956906924107547</v>
      </c>
    </row>
    <row r="29" spans="2:8" x14ac:dyDescent="0.25">
      <c r="B29" s="8">
        <v>46023</v>
      </c>
      <c r="C29" s="9">
        <v>46023</v>
      </c>
      <c r="D29" s="9" t="s">
        <v>9</v>
      </c>
      <c r="E29" s="10">
        <v>4.0091370353767948</v>
      </c>
      <c r="F29" s="13">
        <v>4.1926126055146975</v>
      </c>
      <c r="G29" s="14">
        <v>4.9091370353767951</v>
      </c>
      <c r="H29" s="15">
        <v>5.0926126055146979</v>
      </c>
    </row>
    <row r="30" spans="2:8" x14ac:dyDescent="0.25">
      <c r="B30" s="8">
        <v>46054</v>
      </c>
      <c r="C30" s="9">
        <v>46054</v>
      </c>
      <c r="D30" s="9" t="str">
        <f t="shared" ref="D30:D31" si="4">TEXT(C30,"mmm/yy")</f>
        <v>Feb/26</v>
      </c>
      <c r="E30" s="10">
        <v>3.8848326016150372</v>
      </c>
      <c r="F30" s="13">
        <v>4.0568246866672952</v>
      </c>
      <c r="G30" s="14">
        <f t="shared" ref="G30:H31" si="5">+E30+0.9</f>
        <v>4.7848326016150375</v>
      </c>
      <c r="H30" s="15">
        <f t="shared" si="5"/>
        <v>4.9568246866672956</v>
      </c>
    </row>
    <row r="31" spans="2:8" x14ac:dyDescent="0.25">
      <c r="B31" s="8">
        <v>46082</v>
      </c>
      <c r="C31" s="9">
        <v>46082</v>
      </c>
      <c r="D31" s="9" t="str">
        <f t="shared" si="4"/>
        <v>Mar/26</v>
      </c>
      <c r="E31" s="10">
        <v>4.1284162458216054</v>
      </c>
      <c r="F31" s="13">
        <v>4.2913920795134946</v>
      </c>
      <c r="G31" s="14">
        <f t="shared" si="5"/>
        <v>5.0284162458216057</v>
      </c>
      <c r="H31" s="15">
        <f t="shared" si="5"/>
        <v>5.1913920795134949</v>
      </c>
    </row>
    <row r="32" spans="2:8" x14ac:dyDescent="0.25">
      <c r="B32" s="16"/>
    </row>
  </sheetData>
  <mergeCells count="4">
    <mergeCell ref="B3:B4"/>
    <mergeCell ref="E3:E4"/>
    <mergeCell ref="F3:F4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</dc:creator>
  <cp:lastModifiedBy>Binu Kurian</cp:lastModifiedBy>
  <dcterms:created xsi:type="dcterms:W3CDTF">2015-06-05T18:17:20Z</dcterms:created>
  <dcterms:modified xsi:type="dcterms:W3CDTF">2026-04-07T13:42:37Z</dcterms:modified>
</cp:coreProperties>
</file>