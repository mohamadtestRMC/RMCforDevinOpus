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Base RMC Input Files\"/>
    </mc:Choice>
  </mc:AlternateContent>
  <xr:revisionPtr revIDLastSave="0" documentId="13_ncr:1_{1ED32A03-C17F-4ACB-A8D1-23BCACC1673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Valve" sheetId="3" state="hidden" r:id="rId1"/>
    <sheet name="Zipper" sheetId="7" r:id="rId2"/>
    <sheet name="Valve, Spout &amp; Tintie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" i="3" l="1"/>
  <c r="N32" i="3"/>
  <c r="N17" i="3"/>
  <c r="N18" i="3"/>
  <c r="N34" i="3"/>
  <c r="N46" i="3" l="1"/>
  <c r="N45" i="3"/>
  <c r="P14" i="3"/>
  <c r="P13" i="3"/>
  <c r="P12" i="3"/>
  <c r="P42" i="3"/>
  <c r="P29" i="3"/>
  <c r="N48" i="3"/>
  <c r="N30" i="3"/>
  <c r="N44" i="3" l="1"/>
  <c r="N51" i="3"/>
  <c r="N37" i="3"/>
  <c r="N47" i="3" l="1"/>
  <c r="N49" i="3" s="1"/>
  <c r="N52" i="3" s="1"/>
  <c r="N33" i="3"/>
  <c r="N35" i="3" s="1"/>
  <c r="N38" i="3" l="1"/>
  <c r="N20" i="3"/>
  <c r="N23" i="3"/>
  <c r="N16" i="3"/>
  <c r="BC10" i="3"/>
  <c r="N19" i="3" l="1"/>
  <c r="N21" i="3" s="1"/>
  <c r="N24" i="3" l="1"/>
</calcChain>
</file>

<file path=xl/sharedStrings.xml><?xml version="1.0" encoding="utf-8"?>
<sst xmlns="http://schemas.openxmlformats.org/spreadsheetml/2006/main" count="295" uniqueCount="151">
  <si>
    <t>Qty Purchased (Pcs)</t>
  </si>
  <si>
    <t>Date</t>
  </si>
  <si>
    <t>Party Name</t>
  </si>
  <si>
    <t>PO #</t>
  </si>
  <si>
    <t>Item Name</t>
  </si>
  <si>
    <t>CATEGERY</t>
  </si>
  <si>
    <t>Size</t>
  </si>
  <si>
    <t>Mic</t>
  </si>
  <si>
    <t>Actual Quantity</t>
  </si>
  <si>
    <t>Rate</t>
  </si>
  <si>
    <t>Unit</t>
  </si>
  <si>
    <t>OTHERS</t>
  </si>
  <si>
    <t>-</t>
  </si>
  <si>
    <t>Nos</t>
  </si>
  <si>
    <t>Pcs</t>
  </si>
  <si>
    <t>LCL/
FCL</t>
  </si>
  <si>
    <t>INCO</t>
  </si>
  <si>
    <t>Mode</t>
  </si>
  <si>
    <t>Port</t>
  </si>
  <si>
    <t>Status</t>
  </si>
  <si>
    <t>PI#</t>
  </si>
  <si>
    <t>Material</t>
  </si>
  <si>
    <t>Supplier</t>
  </si>
  <si>
    <t>Pay
ment</t>
  </si>
  <si>
    <t>Tenor</t>
  </si>
  <si>
    <t>Suppl. 
Invoice #</t>
  </si>
  <si>
    <t>Inv 
Qty (Kg)</t>
  </si>
  <si>
    <t>Inv 
Qty
 (Mtr)</t>
  </si>
  <si>
    <t>Inv Value
(USD)</t>
  </si>
  <si>
    <t>Inv Value
(AED)</t>
  </si>
  <si>
    <t>BL 
Number</t>
  </si>
  <si>
    <t>DO / 
BL Date</t>
  </si>
  <si>
    <t>Container</t>
  </si>
  <si>
    <t>Curr</t>
  </si>
  <si>
    <t>LC 
Date</t>
  </si>
  <si>
    <t>Bank</t>
  </si>
  <si>
    <t>Amend</t>
  </si>
  <si>
    <t>LC No / 
DA No</t>
  </si>
  <si>
    <t>LC Amt
(USD)</t>
  </si>
  <si>
    <t>Issuance
Commission</t>
  </si>
  <si>
    <t>SWIFT</t>
  </si>
  <si>
    <t>Amen
dment</t>
  </si>
  <si>
    <t>Cable / POSTAGE
Charge</t>
  </si>
  <si>
    <t>Accept
ance</t>
  </si>
  <si>
    <t>Bill
Handling</t>
  </si>
  <si>
    <t>Reimbursing Bank 
Charges</t>
  </si>
  <si>
    <t>Nego
Comm</t>
  </si>
  <si>
    <t>Avali
zation</t>
  </si>
  <si>
    <t>LC Expiry/LC Overdrawn
Charge</t>
  </si>
  <si>
    <t>Legal
Charges
IPP</t>
  </si>
  <si>
    <t>Comm.
AED</t>
  </si>
  <si>
    <t>Legal/INT
Charges
Bank</t>
  </si>
  <si>
    <r>
      <rPr>
        <b/>
        <sz val="10"/>
        <color theme="1" tint="4.9989318521683403E-2"/>
        <rFont val="Calibri"/>
        <family val="2"/>
        <scheme val="minor"/>
      </rPr>
      <t>Legal Charges</t>
    </r>
    <r>
      <rPr>
        <b/>
        <sz val="10"/>
        <color rgb="FFFF0000"/>
        <rFont val="Calibri"/>
        <family val="2"/>
        <scheme val="minor"/>
      </rPr>
      <t xml:space="preserve"> 
SUPPLIER</t>
    </r>
  </si>
  <si>
    <t>Total Bank 
Charges</t>
  </si>
  <si>
    <t>DO 
Charges</t>
  </si>
  <si>
    <t>Frei
ght</t>
  </si>
  <si>
    <t>Cust
om</t>
  </si>
  <si>
    <t>DP
World</t>
  </si>
  <si>
    <t>Stor
age</t>
  </si>
  <si>
    <t>Trpt</t>
  </si>
  <si>
    <t>Other</t>
  </si>
  <si>
    <t>Service</t>
  </si>
  <si>
    <t>Duty 
Exemp</t>
  </si>
  <si>
    <t>Legal
Charges
IPP A/c</t>
  </si>
  <si>
    <r>
      <t xml:space="preserve">Legaliztion 
Charges
</t>
    </r>
    <r>
      <rPr>
        <b/>
        <sz val="10"/>
        <color rgb="FFFF0000"/>
        <rFont val="Calibri"/>
        <family val="2"/>
        <scheme val="minor"/>
      </rPr>
      <t>SUPPLIER</t>
    </r>
    <r>
      <rPr>
        <sz val="10"/>
        <color theme="0"/>
        <rFont val="Calibri"/>
        <family val="2"/>
        <scheme val="minor"/>
      </rPr>
      <t xml:space="preserve"> </t>
    </r>
    <r>
      <rPr>
        <sz val="10"/>
        <color rgb="FFFF0000"/>
        <rFont val="Calibri"/>
        <family val="2"/>
        <scheme val="minor"/>
      </rPr>
      <t>A/C</t>
    </r>
  </si>
  <si>
    <t>Custom 
Total</t>
  </si>
  <si>
    <t>Total
Custom+
Bank</t>
  </si>
  <si>
    <t>Per Kg
AED</t>
  </si>
  <si>
    <t>Per Kg
USD</t>
  </si>
  <si>
    <t>LCL</t>
  </si>
  <si>
    <t>EXW</t>
  </si>
  <si>
    <t>SEA</t>
  </si>
  <si>
    <t>SHEKOU</t>
  </si>
  <si>
    <t>Close</t>
  </si>
  <si>
    <t>167751</t>
  </si>
  <si>
    <t>COFFEE VALVE</t>
  </si>
  <si>
    <t>CLASSIC PACKAGING PRODUCT LIMITED</t>
  </si>
  <si>
    <t>DA</t>
  </si>
  <si>
    <t>100 % ADV</t>
  </si>
  <si>
    <t>20230206</t>
  </si>
  <si>
    <t>EURFLZ2322210JEA</t>
  </si>
  <si>
    <t>CULU5801610</t>
  </si>
  <si>
    <t>USD</t>
  </si>
  <si>
    <t>DIRECT</t>
  </si>
  <si>
    <t>AIR</t>
  </si>
  <si>
    <t>CHINA MAINLAND</t>
  </si>
  <si>
    <t>20230205</t>
  </si>
  <si>
    <t>UPS AWB # 1Z00R5078699103748</t>
  </si>
  <si>
    <t>13.02.23
16.02.23</t>
  </si>
  <si>
    <t>CHINA</t>
  </si>
  <si>
    <t>168949</t>
  </si>
  <si>
    <t>20230613</t>
  </si>
  <si>
    <t>ADV</t>
  </si>
  <si>
    <t>UPS - 1Z00R5078692440164</t>
  </si>
  <si>
    <t>29BJJD4R8E8</t>
  </si>
  <si>
    <t xml:space="preserve">UPS - 1Z00R5078695648846 </t>
  </si>
  <si>
    <t>29W5SF1N368</t>
  </si>
  <si>
    <t>close</t>
  </si>
  <si>
    <t>168949 + 169027</t>
  </si>
  <si>
    <t>20230613 + 20230621</t>
  </si>
  <si>
    <t>20230613-3</t>
  </si>
  <si>
    <t>Booking # 29SK9DQSMN7
awb # 1Z00R5078691675323</t>
  </si>
  <si>
    <t>UPS
imp5747868 
681301</t>
  </si>
  <si>
    <t>GROUND COFFEE VALVE W616</t>
  </si>
  <si>
    <t>MRR</t>
  </si>
  <si>
    <t>Amount</t>
  </si>
  <si>
    <t>Invoice Price</t>
  </si>
  <si>
    <t>Add: Freight</t>
  </si>
  <si>
    <t>Add: Customs</t>
  </si>
  <si>
    <t>Total</t>
  </si>
  <si>
    <t>Price / Valve</t>
  </si>
  <si>
    <t>Weight of Valve (g)</t>
  </si>
  <si>
    <t>No of Valve in 1 Kg</t>
  </si>
  <si>
    <t>Valve Price per Kg</t>
  </si>
  <si>
    <t>Regular Valve :</t>
  </si>
  <si>
    <t>67238</t>
  </si>
  <si>
    <t>67584</t>
  </si>
  <si>
    <t>Recycle Valve :</t>
  </si>
  <si>
    <t>Tin Tie – Metallic Golden</t>
  </si>
  <si>
    <t>Air lifted</t>
  </si>
  <si>
    <t>Balance</t>
  </si>
  <si>
    <t>Tin Tie - Black ( lined)</t>
  </si>
  <si>
    <t>Code -TI Form</t>
  </si>
  <si>
    <t>Code -For IPP Pre-costing</t>
  </si>
  <si>
    <t xml:space="preserve">Actual Rate - Kg </t>
  </si>
  <si>
    <t>ZIPPER CODE: PEP-A13ZQ</t>
  </si>
  <si>
    <t>ZIPPER - A</t>
  </si>
  <si>
    <t>ZIPPER CODE: PEF-10R2G5</t>
  </si>
  <si>
    <t>ZIPPER</t>
  </si>
  <si>
    <t>ZIPPER CODE: PEP-A13DFK</t>
  </si>
  <si>
    <t>ZIPPER - E</t>
  </si>
  <si>
    <t>ZIPPER CODE: MCX-13FK</t>
  </si>
  <si>
    <t>ZIPPER - C</t>
  </si>
  <si>
    <t>ZIPPER CODE: PEP-13DFK</t>
  </si>
  <si>
    <t>ZIPPER CODE: MXC-13FK</t>
  </si>
  <si>
    <t>ZIPPER CODE:PEP-A13ZQ</t>
  </si>
  <si>
    <t>ZIPPER CODE: PEPA13ZQ</t>
  </si>
  <si>
    <t>ZIPPER CODE: PE-WIN R</t>
  </si>
  <si>
    <t>POCKET ZIPPER - L.SIT</t>
  </si>
  <si>
    <t>ZIPPER CODE: PE13DT</t>
  </si>
  <si>
    <t>ZIPPER CODE: PE-13DT</t>
  </si>
  <si>
    <t>Rate per Pcs</t>
  </si>
  <si>
    <t>Rate per kg</t>
  </si>
  <si>
    <t>8.6 mm - Spout + Cap</t>
  </si>
  <si>
    <t>Purchase Date</t>
  </si>
  <si>
    <t>11 mm Black Spout + Cap</t>
  </si>
  <si>
    <t>11 mm White Spout + Cap</t>
  </si>
  <si>
    <t>Name</t>
  </si>
  <si>
    <t>VALVE W016</t>
  </si>
  <si>
    <t>VALVE W616 - Regular</t>
  </si>
  <si>
    <t>VALVE W616 - LSIT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</si>
</sst>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-409]d\-mmm\-yyyy;@"/>
    <numFmt numFmtId="166" formatCode="&quot;&quot;0.000"/>
    <numFmt numFmtId="173" formatCode="[Black]_ * ###0.00_ ;[Red]_ * \-\ ###0.00_ ;_ * &quot;-&quot;??_ ;_ @_ "/>
    <numFmt numFmtId="174" formatCode="0_ ;[Red]\-0\ "/>
    <numFmt numFmtId="175" formatCode="[$-409]d\-mmm\-yy;@"/>
    <numFmt numFmtId="176" formatCode="0\ &quot;Mtr&quot;"/>
    <numFmt numFmtId="177" formatCode="_ * ###0.00_ ;[Red]_ * \-\ ###0.00_ ;_ * &quot;-&quot;??_ ;_ @_ "/>
    <numFmt numFmtId="178" formatCode="[$-409]dd\-mmm\-yy;@"/>
    <numFmt numFmtId="179" formatCode="[Blue]_ * ###0_ ;[Red]_ * \-\ ###0_ ;_ * &quot;-&quot;??_ ;_ @_ "/>
    <numFmt numFmtId="180" formatCode="0.000"/>
    <numFmt numFmtId="181" formatCode="[$USD]\ #,##0.000;[Red][$USD]\ #,##0.000"/>
    <numFmt numFmtId="182" formatCode="#,##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sz val="10"/>
      <color rgb="FF9C5700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3" tint="-0.249977111117893"/>
        <bgColor theme="1"/>
      </patternFill>
    </fill>
    <fill>
      <patternFill patternType="solid">
        <fgColor rgb="FFFFFF00"/>
        <bgColor theme="1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44" fontId="2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4" fontId="0" fillId="0" borderId="0" xfId="0" applyNumberFormat="1"/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center" wrapText="1"/>
    </xf>
    <xf numFmtId="0" fontId="10" fillId="3" borderId="8" xfId="2" applyFont="1" applyBorder="1" applyAlignment="1">
      <alignment horizontal="center" vertical="center" wrapText="1"/>
    </xf>
    <xf numFmtId="173" fontId="10" fillId="3" borderId="8" xfId="2" applyNumberFormat="1" applyFont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15" fontId="8" fillId="7" borderId="8" xfId="0" applyNumberFormat="1" applyFont="1" applyFill="1" applyBorder="1" applyAlignment="1">
      <alignment horizontal="center" vertical="center" wrapText="1"/>
    </xf>
    <xf numFmtId="0" fontId="11" fillId="4" borderId="8" xfId="3" applyFont="1" applyBorder="1" applyAlignment="1">
      <alignment horizontal="center" vertical="center" wrapText="1"/>
    </xf>
    <xf numFmtId="174" fontId="8" fillId="7" borderId="8" xfId="0" applyNumberFormat="1" applyFont="1" applyFill="1" applyBorder="1" applyAlignment="1">
      <alignment horizontal="center" vertical="center" wrapText="1"/>
    </xf>
    <xf numFmtId="0" fontId="12" fillId="2" borderId="8" xfId="5" applyNumberFormat="1" applyFont="1" applyFill="1" applyBorder="1" applyAlignment="1">
      <alignment horizontal="left" vertical="center" wrapText="1"/>
    </xf>
    <xf numFmtId="0" fontId="9" fillId="2" borderId="8" xfId="5" applyNumberFormat="1" applyFont="1" applyFill="1" applyBorder="1" applyAlignment="1">
      <alignment horizontal="left" vertical="center" wrapText="1"/>
    </xf>
    <xf numFmtId="0" fontId="13" fillId="5" borderId="8" xfId="4" applyNumberFormat="1" applyFont="1" applyBorder="1" applyAlignment="1">
      <alignment horizontal="left" vertical="center" wrapText="1"/>
    </xf>
    <xf numFmtId="0" fontId="13" fillId="10" borderId="8" xfId="4" applyNumberFormat="1" applyFont="1" applyFill="1" applyBorder="1" applyAlignment="1">
      <alignment horizontal="left" vertical="center" wrapText="1"/>
    </xf>
    <xf numFmtId="0" fontId="3" fillId="2" borderId="8" xfId="4" applyNumberFormat="1" applyFont="1" applyFill="1" applyBorder="1" applyAlignment="1">
      <alignment horizontal="left" vertical="center" wrapText="1"/>
    </xf>
    <xf numFmtId="175" fontId="14" fillId="0" borderId="9" xfId="0" applyNumberFormat="1" applyFont="1" applyBorder="1" applyAlignment="1">
      <alignment horizontal="right" vertical="center"/>
    </xf>
    <xf numFmtId="15" fontId="14" fillId="0" borderId="10" xfId="0" applyNumberFormat="1" applyFont="1" applyBorder="1" applyAlignment="1">
      <alignment horizontal="left" vertical="center"/>
    </xf>
    <xf numFmtId="175" fontId="14" fillId="0" borderId="10" xfId="0" applyNumberFormat="1" applyFont="1" applyBorder="1" applyAlignment="1">
      <alignment horizontal="right" vertical="center"/>
    </xf>
    <xf numFmtId="175" fontId="14" fillId="0" borderId="10" xfId="0" applyNumberFormat="1" applyFont="1" applyBorder="1" applyAlignment="1">
      <alignment horizontal="left" vertical="center"/>
    </xf>
    <xf numFmtId="175" fontId="14" fillId="0" borderId="10" xfId="0" applyNumberFormat="1" applyFont="1" applyBorder="1" applyAlignment="1">
      <alignment horizontal="center" vertical="center"/>
    </xf>
    <xf numFmtId="49" fontId="14" fillId="0" borderId="10" xfId="0" applyNumberFormat="1" applyFont="1" applyBorder="1" applyAlignment="1">
      <alignment horizontal="left" vertical="center"/>
    </xf>
    <xf numFmtId="49" fontId="14" fillId="0" borderId="10" xfId="0" applyNumberFormat="1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/>
    </xf>
    <xf numFmtId="1" fontId="14" fillId="0" borderId="10" xfId="0" applyNumberFormat="1" applyFont="1" applyBorder="1" applyAlignment="1">
      <alignment horizontal="left" vertical="center"/>
    </xf>
    <xf numFmtId="2" fontId="14" fillId="0" borderId="10" xfId="0" applyNumberFormat="1" applyFont="1" applyBorder="1" applyAlignment="1">
      <alignment horizontal="right" vertical="center"/>
    </xf>
    <xf numFmtId="176" fontId="14" fillId="0" borderId="10" xfId="0" applyNumberFormat="1" applyFont="1" applyBorder="1" applyAlignment="1">
      <alignment horizontal="right" vertical="center"/>
    </xf>
    <xf numFmtId="177" fontId="14" fillId="0" borderId="10" xfId="0" applyNumberFormat="1" applyFont="1" applyBorder="1" applyAlignment="1">
      <alignment horizontal="right" vertical="center"/>
    </xf>
    <xf numFmtId="178" fontId="14" fillId="0" borderId="10" xfId="0" applyNumberFormat="1" applyFont="1" applyBorder="1" applyAlignment="1">
      <alignment horizontal="right" vertical="center"/>
    </xf>
    <xf numFmtId="178" fontId="14" fillId="0" borderId="10" xfId="0" applyNumberFormat="1" applyFont="1" applyBorder="1" applyAlignment="1">
      <alignment horizontal="left" vertical="center"/>
    </xf>
    <xf numFmtId="0" fontId="14" fillId="0" borderId="10" xfId="0" applyFont="1" applyBorder="1" applyAlignment="1">
      <alignment horizontal="right" vertical="center"/>
    </xf>
    <xf numFmtId="14" fontId="14" fillId="0" borderId="10" xfId="0" applyNumberFormat="1" applyFont="1" applyBorder="1" applyAlignment="1">
      <alignment horizontal="center" vertical="center"/>
    </xf>
    <xf numFmtId="15" fontId="14" fillId="0" borderId="10" xfId="0" applyNumberFormat="1" applyFont="1" applyBorder="1" applyAlignment="1">
      <alignment horizontal="center" vertical="center"/>
    </xf>
    <xf numFmtId="2" fontId="14" fillId="0" borderId="10" xfId="0" applyNumberFormat="1" applyFont="1" applyBorder="1" applyAlignment="1">
      <alignment horizontal="left" vertical="center"/>
    </xf>
    <xf numFmtId="174" fontId="14" fillId="0" borderId="10" xfId="0" applyNumberFormat="1" applyFont="1" applyBorder="1" applyAlignment="1">
      <alignment horizontal="right" vertical="center"/>
    </xf>
    <xf numFmtId="173" fontId="14" fillId="0" borderId="10" xfId="0" applyNumberFormat="1" applyFont="1" applyBorder="1" applyAlignment="1">
      <alignment horizontal="right" vertical="center"/>
    </xf>
    <xf numFmtId="173" fontId="14" fillId="0" borderId="10" xfId="0" applyNumberFormat="1" applyFont="1" applyBorder="1" applyAlignment="1">
      <alignment horizontal="center" vertical="center"/>
    </xf>
    <xf numFmtId="173" fontId="14" fillId="0" borderId="11" xfId="0" applyNumberFormat="1" applyFont="1" applyBorder="1" applyAlignment="1">
      <alignment horizontal="right" vertical="center"/>
    </xf>
    <xf numFmtId="179" fontId="14" fillId="0" borderId="10" xfId="0" applyNumberFormat="1" applyFont="1" applyBorder="1" applyAlignment="1">
      <alignment horizontal="right" vertical="center"/>
    </xf>
    <xf numFmtId="180" fontId="14" fillId="0" borderId="10" xfId="0" applyNumberFormat="1" applyFont="1" applyBorder="1" applyAlignment="1">
      <alignment horizontal="right" vertical="center"/>
    </xf>
    <xf numFmtId="181" fontId="14" fillId="0" borderId="10" xfId="0" applyNumberFormat="1" applyFont="1" applyBorder="1" applyAlignment="1">
      <alignment horizontal="right" vertical="center"/>
    </xf>
    <xf numFmtId="1" fontId="14" fillId="0" borderId="10" xfId="0" applyNumberFormat="1" applyFont="1" applyBorder="1" applyAlignment="1">
      <alignment horizontal="left" vertical="center" wrapText="1"/>
    </xf>
    <xf numFmtId="178" fontId="14" fillId="0" borderId="10" xfId="0" applyNumberFormat="1" applyFont="1" applyBorder="1" applyAlignment="1">
      <alignment horizontal="right" vertical="center" wrapText="1"/>
    </xf>
    <xf numFmtId="178" fontId="14" fillId="0" borderId="10" xfId="0" applyNumberFormat="1" applyFont="1" applyBorder="1" applyAlignment="1">
      <alignment horizontal="left" vertical="center" wrapText="1"/>
    </xf>
    <xf numFmtId="2" fontId="0" fillId="0" borderId="0" xfId="0" applyNumberFormat="1"/>
    <xf numFmtId="165" fontId="15" fillId="0" borderId="4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vertical="center"/>
    </xf>
    <xf numFmtId="49" fontId="15" fillId="0" borderId="5" xfId="0" applyNumberFormat="1" applyFont="1" applyBorder="1" applyAlignment="1">
      <alignment horizontal="center" vertical="center"/>
    </xf>
    <xf numFmtId="0" fontId="15" fillId="0" borderId="5" xfId="1" applyNumberFormat="1" applyFont="1" applyBorder="1" applyAlignment="1">
      <alignment horizontal="center" vertical="center"/>
    </xf>
    <xf numFmtId="166" fontId="15" fillId="0" borderId="5" xfId="0" applyNumberFormat="1" applyFont="1" applyBorder="1" applyAlignment="1">
      <alignment horizontal="right" vertical="center"/>
    </xf>
    <xf numFmtId="0" fontId="15" fillId="0" borderId="5" xfId="0" applyFont="1" applyBorder="1" applyAlignment="1">
      <alignment horizontal="right" vertical="center"/>
    </xf>
    <xf numFmtId="0" fontId="15" fillId="0" borderId="5" xfId="0" applyFont="1" applyBorder="1" applyAlignment="1">
      <alignment vertical="center"/>
    </xf>
    <xf numFmtId="179" fontId="0" fillId="0" borderId="0" xfId="0" applyNumberFormat="1"/>
    <xf numFmtId="166" fontId="1" fillId="0" borderId="0" xfId="0" applyNumberFormat="1" applyFont="1"/>
    <xf numFmtId="180" fontId="0" fillId="0" borderId="0" xfId="0" applyNumberFormat="1"/>
    <xf numFmtId="182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49" fontId="4" fillId="0" borderId="6" xfId="0" applyNumberFormat="1" applyFont="1" applyBorder="1" applyAlignment="1">
      <alignment horizontal="center" vertical="center"/>
    </xf>
    <xf numFmtId="0" fontId="0" fillId="0" borderId="12" xfId="0" applyBorder="1"/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44" fontId="0" fillId="0" borderId="15" xfId="6" applyFont="1" applyBorder="1"/>
    <xf numFmtId="0" fontId="0" fillId="0" borderId="16" xfId="0" applyBorder="1"/>
    <xf numFmtId="44" fontId="0" fillId="0" borderId="17" xfId="6" applyFont="1" applyBorder="1"/>
    <xf numFmtId="0" fontId="0" fillId="0" borderId="18" xfId="0" applyBorder="1"/>
    <xf numFmtId="0" fontId="0" fillId="0" borderId="19" xfId="0" applyBorder="1"/>
    <xf numFmtId="44" fontId="0" fillId="0" borderId="20" xfId="6" applyFont="1" applyBorder="1"/>
    <xf numFmtId="0" fontId="1" fillId="11" borderId="1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15" fontId="0" fillId="0" borderId="12" xfId="0" applyNumberFormat="1" applyBorder="1"/>
    <xf numFmtId="4" fontId="0" fillId="0" borderId="12" xfId="0" applyNumberFormat="1" applyBorder="1"/>
  </cellXfs>
  <cellStyles count="7">
    <cellStyle name="Accent1" xfId="4" builtinId="29"/>
    <cellStyle name="Accent2" xfId="5" builtinId="33"/>
    <cellStyle name="Comma" xfId="1" builtinId="3"/>
    <cellStyle name="Currency" xfId="6" builtinId="4"/>
    <cellStyle name="Good" xfId="2" builtinId="26"/>
    <cellStyle name="Neutral" xfId="3" builtinId="28"/>
    <cellStyle name="Normal" xfId="0" builtinId="0"/>
  </cellStyles>
  <dxfs count="5">
    <dxf>
      <fill>
        <patternFill>
          <fgColor auto="1"/>
          <bgColor rgb="FFFFFFCC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>
          <bgColor theme="6" tint="0.79998168889431442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>
          <bgColor theme="7" tint="0.79998168889431442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8A29-8AD6-4EF8-83BC-61429D0A5E02}">
  <dimension ref="B2:BE52"/>
  <sheetViews>
    <sheetView topLeftCell="A28" workbookViewId="0">
      <selection activeCell="B67" sqref="B67"/>
    </sheetView>
  </sheetViews>
  <sheetFormatPr defaultRowHeight="15" x14ac:dyDescent="0.25"/>
  <cols>
    <col min="2" max="2" width="11.42578125" bestFit="1" customWidth="1"/>
    <col min="14" max="14" width="9.5703125" bestFit="1" customWidth="1"/>
    <col min="18" max="18" width="9.42578125" bestFit="1" customWidth="1"/>
  </cols>
  <sheetData>
    <row r="2" spans="2:57" ht="63.75" x14ac:dyDescent="0.25">
      <c r="B2" s="6" t="s">
        <v>1</v>
      </c>
      <c r="C2" s="7" t="s">
        <v>15</v>
      </c>
      <c r="D2" s="8" t="s">
        <v>16</v>
      </c>
      <c r="E2" s="8" t="s">
        <v>17</v>
      </c>
      <c r="F2" s="9" t="s">
        <v>18</v>
      </c>
      <c r="G2" s="7" t="s">
        <v>19</v>
      </c>
      <c r="H2" s="7" t="s">
        <v>3</v>
      </c>
      <c r="I2" s="7" t="s">
        <v>20</v>
      </c>
      <c r="J2" s="7" t="s">
        <v>21</v>
      </c>
      <c r="K2" s="7" t="s">
        <v>22</v>
      </c>
      <c r="L2" s="7" t="s">
        <v>23</v>
      </c>
      <c r="M2" s="10" t="s">
        <v>24</v>
      </c>
      <c r="N2" s="11" t="s">
        <v>25</v>
      </c>
      <c r="O2" s="11" t="s">
        <v>26</v>
      </c>
      <c r="P2" s="11" t="s">
        <v>27</v>
      </c>
      <c r="Q2" s="12" t="s">
        <v>28</v>
      </c>
      <c r="R2" s="12" t="s">
        <v>29</v>
      </c>
      <c r="S2" s="7" t="s">
        <v>30</v>
      </c>
      <c r="T2" s="7" t="s">
        <v>31</v>
      </c>
      <c r="U2" s="13" t="s">
        <v>32</v>
      </c>
      <c r="V2" s="7" t="s">
        <v>33</v>
      </c>
      <c r="W2" s="14" t="s">
        <v>34</v>
      </c>
      <c r="X2" s="10" t="s">
        <v>35</v>
      </c>
      <c r="Y2" s="14" t="s">
        <v>36</v>
      </c>
      <c r="Z2" s="15" t="s">
        <v>37</v>
      </c>
      <c r="AA2" s="16" t="s">
        <v>38</v>
      </c>
      <c r="AB2" s="17" t="s">
        <v>39</v>
      </c>
      <c r="AC2" s="17" t="s">
        <v>40</v>
      </c>
      <c r="AD2" s="17" t="s">
        <v>41</v>
      </c>
      <c r="AE2" s="17" t="s">
        <v>42</v>
      </c>
      <c r="AF2" s="17" t="s">
        <v>43</v>
      </c>
      <c r="AG2" s="17" t="s">
        <v>44</v>
      </c>
      <c r="AH2" s="17" t="s">
        <v>45</v>
      </c>
      <c r="AI2" s="17" t="s">
        <v>46</v>
      </c>
      <c r="AJ2" s="17" t="s">
        <v>47</v>
      </c>
      <c r="AK2" s="17" t="s">
        <v>48</v>
      </c>
      <c r="AL2" s="17" t="s">
        <v>49</v>
      </c>
      <c r="AM2" s="17" t="s">
        <v>50</v>
      </c>
      <c r="AN2" s="17" t="s">
        <v>51</v>
      </c>
      <c r="AO2" s="18" t="s">
        <v>52</v>
      </c>
      <c r="AP2" s="17" t="s">
        <v>53</v>
      </c>
      <c r="AQ2" s="19" t="s">
        <v>54</v>
      </c>
      <c r="AR2" s="19" t="s">
        <v>55</v>
      </c>
      <c r="AS2" s="19" t="s">
        <v>56</v>
      </c>
      <c r="AT2" s="19" t="s">
        <v>57</v>
      </c>
      <c r="AU2" s="19" t="s">
        <v>58</v>
      </c>
      <c r="AV2" s="19" t="s">
        <v>59</v>
      </c>
      <c r="AW2" s="19" t="s">
        <v>60</v>
      </c>
      <c r="AX2" s="19" t="s">
        <v>61</v>
      </c>
      <c r="AY2" s="19" t="s">
        <v>62</v>
      </c>
      <c r="AZ2" s="19" t="s">
        <v>63</v>
      </c>
      <c r="BA2" s="20" t="s">
        <v>64</v>
      </c>
      <c r="BB2" s="19" t="s">
        <v>65</v>
      </c>
      <c r="BC2" s="19" t="s">
        <v>66</v>
      </c>
      <c r="BD2" s="19" t="s">
        <v>67</v>
      </c>
      <c r="BE2" s="21" t="s">
        <v>68</v>
      </c>
    </row>
    <row r="3" spans="2:57" x14ac:dyDescent="0.25">
      <c r="B3" s="22">
        <v>44963</v>
      </c>
      <c r="C3" s="23" t="s">
        <v>69</v>
      </c>
      <c r="D3" s="24" t="s">
        <v>70</v>
      </c>
      <c r="E3" s="24" t="s">
        <v>71</v>
      </c>
      <c r="F3" s="25" t="s">
        <v>72</v>
      </c>
      <c r="G3" s="26" t="s">
        <v>73</v>
      </c>
      <c r="H3" s="27" t="s">
        <v>74</v>
      </c>
      <c r="I3" s="28"/>
      <c r="J3" s="23" t="s">
        <v>75</v>
      </c>
      <c r="K3" s="29" t="s">
        <v>76</v>
      </c>
      <c r="L3" s="29" t="s">
        <v>77</v>
      </c>
      <c r="M3" s="30" t="s">
        <v>78</v>
      </c>
      <c r="N3" s="27" t="s">
        <v>79</v>
      </c>
      <c r="O3" s="31">
        <v>340</v>
      </c>
      <c r="P3" s="32"/>
      <c r="Q3" s="33">
        <v>12710</v>
      </c>
      <c r="R3" s="33">
        <v>46938.03</v>
      </c>
      <c r="S3" s="30" t="s">
        <v>80</v>
      </c>
      <c r="T3" s="34">
        <v>44985</v>
      </c>
      <c r="U3" s="35" t="s">
        <v>81</v>
      </c>
      <c r="V3" s="36" t="s">
        <v>82</v>
      </c>
      <c r="W3" s="37"/>
      <c r="X3" s="29" t="s">
        <v>83</v>
      </c>
      <c r="Y3" s="38"/>
      <c r="Z3" s="39"/>
      <c r="AA3" s="40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2"/>
      <c r="AM3" s="42"/>
      <c r="AN3" s="41"/>
      <c r="AO3" s="41"/>
      <c r="AP3" s="43">
        <v>0</v>
      </c>
      <c r="AQ3" s="44">
        <v>1050.23</v>
      </c>
      <c r="AR3" s="44"/>
      <c r="AS3" s="44">
        <v>205</v>
      </c>
      <c r="AT3" s="44">
        <v>131.25</v>
      </c>
      <c r="AU3" s="44"/>
      <c r="AV3" s="44">
        <v>200</v>
      </c>
      <c r="AW3" s="44">
        <v>100.36</v>
      </c>
      <c r="AX3" s="44">
        <v>60</v>
      </c>
      <c r="AY3" s="44">
        <v>529.71</v>
      </c>
      <c r="AZ3" s="44"/>
      <c r="BA3" s="44"/>
      <c r="BB3" s="44">
        <v>2276.5500000000002</v>
      </c>
      <c r="BC3" s="31">
        <v>2276.5500000000002</v>
      </c>
      <c r="BD3" s="45">
        <v>6.6957352941176476</v>
      </c>
      <c r="BE3" s="46">
        <v>1.8219687875150061</v>
      </c>
    </row>
    <row r="4" spans="2:57" ht="63.75" x14ac:dyDescent="0.25">
      <c r="B4" s="22">
        <v>44963</v>
      </c>
      <c r="C4" s="23" t="s">
        <v>69</v>
      </c>
      <c r="D4" s="24" t="s">
        <v>70</v>
      </c>
      <c r="E4" s="24" t="s">
        <v>84</v>
      </c>
      <c r="F4" s="25" t="s">
        <v>85</v>
      </c>
      <c r="G4" s="26" t="s">
        <v>73</v>
      </c>
      <c r="H4" s="27" t="s">
        <v>74</v>
      </c>
      <c r="I4" s="28"/>
      <c r="J4" s="23" t="s">
        <v>75</v>
      </c>
      <c r="K4" s="29" t="s">
        <v>76</v>
      </c>
      <c r="L4" s="29" t="s">
        <v>77</v>
      </c>
      <c r="M4" s="30" t="s">
        <v>78</v>
      </c>
      <c r="N4" s="27" t="s">
        <v>86</v>
      </c>
      <c r="O4" s="31">
        <v>54</v>
      </c>
      <c r="P4" s="32"/>
      <c r="Q4" s="33">
        <v>1815</v>
      </c>
      <c r="R4" s="33">
        <v>6702.7950000000001</v>
      </c>
      <c r="S4" s="47" t="s">
        <v>87</v>
      </c>
      <c r="T4" s="48" t="s">
        <v>88</v>
      </c>
      <c r="U4" s="35"/>
      <c r="V4" s="36" t="s">
        <v>82</v>
      </c>
      <c r="W4" s="37"/>
      <c r="X4" s="29" t="s">
        <v>83</v>
      </c>
      <c r="Y4" s="38"/>
      <c r="Z4" s="39"/>
      <c r="AA4" s="40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2"/>
      <c r="AM4" s="42"/>
      <c r="AN4" s="41"/>
      <c r="AO4" s="41"/>
      <c r="AP4" s="43">
        <v>0</v>
      </c>
      <c r="AQ4" s="44"/>
      <c r="AR4" s="44">
        <v>1000</v>
      </c>
      <c r="AS4" s="44">
        <v>460</v>
      </c>
      <c r="AT4" s="44"/>
      <c r="AU4" s="44"/>
      <c r="AV4" s="44"/>
      <c r="AW4" s="44"/>
      <c r="AX4" s="44"/>
      <c r="AY4" s="44"/>
      <c r="AZ4" s="44"/>
      <c r="BA4" s="44"/>
      <c r="BB4" s="44">
        <v>1460</v>
      </c>
      <c r="BC4" s="31">
        <v>1460</v>
      </c>
      <c r="BD4" s="45">
        <v>27.037037037037038</v>
      </c>
      <c r="BE4" s="46">
        <v>7.3570168808264054</v>
      </c>
    </row>
    <row r="5" spans="2:57" x14ac:dyDescent="0.25">
      <c r="B5" s="22">
        <v>45089</v>
      </c>
      <c r="C5" s="23" t="s">
        <v>69</v>
      </c>
      <c r="D5" s="24" t="s">
        <v>70</v>
      </c>
      <c r="E5" s="24" t="s">
        <v>84</v>
      </c>
      <c r="F5" s="25" t="s">
        <v>89</v>
      </c>
      <c r="G5" s="26" t="s">
        <v>73</v>
      </c>
      <c r="H5" s="27" t="s">
        <v>90</v>
      </c>
      <c r="I5" s="28" t="s">
        <v>91</v>
      </c>
      <c r="J5" s="23" t="s">
        <v>75</v>
      </c>
      <c r="K5" s="29" t="s">
        <v>76</v>
      </c>
      <c r="L5" s="29" t="s">
        <v>92</v>
      </c>
      <c r="M5" s="30" t="s">
        <v>78</v>
      </c>
      <c r="N5" s="27" t="s">
        <v>91</v>
      </c>
      <c r="O5" s="31">
        <v>28.04</v>
      </c>
      <c r="P5" s="32"/>
      <c r="Q5" s="33">
        <v>1220</v>
      </c>
      <c r="R5" s="33">
        <v>5038.5999999999995</v>
      </c>
      <c r="S5" s="30" t="s">
        <v>93</v>
      </c>
      <c r="T5" s="34">
        <v>45097</v>
      </c>
      <c r="U5" s="35" t="s">
        <v>94</v>
      </c>
      <c r="V5" s="36" t="s">
        <v>82</v>
      </c>
      <c r="W5" s="37"/>
      <c r="X5" s="29" t="s">
        <v>83</v>
      </c>
      <c r="Y5" s="38"/>
      <c r="Z5" s="39"/>
      <c r="AA5" s="40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2"/>
      <c r="AM5" s="42"/>
      <c r="AN5" s="41"/>
      <c r="AO5" s="41"/>
      <c r="AP5" s="43">
        <v>0</v>
      </c>
      <c r="AQ5" s="44"/>
      <c r="AR5" s="44">
        <v>700</v>
      </c>
      <c r="AS5" s="44">
        <v>335</v>
      </c>
      <c r="AT5" s="44"/>
      <c r="AU5" s="44"/>
      <c r="AV5" s="44"/>
      <c r="AW5" s="44"/>
      <c r="AX5" s="44"/>
      <c r="AY5" s="44"/>
      <c r="AZ5" s="44"/>
      <c r="BA5" s="44"/>
      <c r="BB5" s="44">
        <v>1035</v>
      </c>
      <c r="BC5" s="31">
        <v>1035</v>
      </c>
      <c r="BD5" s="45">
        <v>36.911554921540656</v>
      </c>
      <c r="BE5" s="46">
        <v>10.043960522868206</v>
      </c>
    </row>
    <row r="6" spans="2:57" x14ac:dyDescent="0.25">
      <c r="B6" s="22">
        <v>45089</v>
      </c>
      <c r="C6" s="23" t="s">
        <v>69</v>
      </c>
      <c r="D6" s="24" t="s">
        <v>70</v>
      </c>
      <c r="E6" s="24" t="s">
        <v>84</v>
      </c>
      <c r="F6" s="25" t="s">
        <v>89</v>
      </c>
      <c r="G6" s="26" t="s">
        <v>73</v>
      </c>
      <c r="H6" s="27" t="s">
        <v>90</v>
      </c>
      <c r="I6" s="28" t="s">
        <v>91</v>
      </c>
      <c r="J6" s="23" t="s">
        <v>75</v>
      </c>
      <c r="K6" s="29" t="s">
        <v>76</v>
      </c>
      <c r="L6" s="29" t="s">
        <v>92</v>
      </c>
      <c r="M6" s="30" t="s">
        <v>78</v>
      </c>
      <c r="N6" s="27" t="s">
        <v>91</v>
      </c>
      <c r="O6" s="31">
        <v>42.04</v>
      </c>
      <c r="P6" s="32"/>
      <c r="Q6" s="33">
        <v>1830</v>
      </c>
      <c r="R6" s="33">
        <v>7557.9</v>
      </c>
      <c r="S6" s="30" t="s">
        <v>95</v>
      </c>
      <c r="T6" s="34">
        <v>45099</v>
      </c>
      <c r="U6" s="35" t="s">
        <v>96</v>
      </c>
      <c r="V6" s="36" t="s">
        <v>82</v>
      </c>
      <c r="W6" s="37"/>
      <c r="X6" s="29" t="s">
        <v>83</v>
      </c>
      <c r="Y6" s="38"/>
      <c r="Z6" s="39"/>
      <c r="AA6" s="40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2"/>
      <c r="AM6" s="42"/>
      <c r="AN6" s="41"/>
      <c r="AO6" s="41"/>
      <c r="AP6" s="43">
        <v>0</v>
      </c>
      <c r="AQ6" s="44"/>
      <c r="AR6" s="44">
        <v>850</v>
      </c>
      <c r="AS6" s="44">
        <v>456</v>
      </c>
      <c r="AT6" s="44"/>
      <c r="AU6" s="44"/>
      <c r="AV6" s="44"/>
      <c r="AW6" s="44"/>
      <c r="AX6" s="44"/>
      <c r="AY6" s="44"/>
      <c r="AZ6" s="44"/>
      <c r="BA6" s="44"/>
      <c r="BB6" s="44">
        <v>1306</v>
      </c>
      <c r="BC6" s="31">
        <v>1306</v>
      </c>
      <c r="BD6" s="45">
        <v>31.065651760228356</v>
      </c>
      <c r="BE6" s="46">
        <v>8.453238574211797</v>
      </c>
    </row>
    <row r="7" spans="2:57" ht="89.25" x14ac:dyDescent="0.25">
      <c r="B7" s="22">
        <v>45089</v>
      </c>
      <c r="C7" s="23" t="s">
        <v>69</v>
      </c>
      <c r="D7" s="24" t="s">
        <v>70</v>
      </c>
      <c r="E7" s="24" t="s">
        <v>84</v>
      </c>
      <c r="F7" s="25"/>
      <c r="G7" s="26" t="s">
        <v>97</v>
      </c>
      <c r="H7" s="27" t="s">
        <v>98</v>
      </c>
      <c r="I7" s="28" t="s">
        <v>99</v>
      </c>
      <c r="J7" s="23" t="s">
        <v>75</v>
      </c>
      <c r="K7" s="29" t="s">
        <v>76</v>
      </c>
      <c r="L7" s="29" t="s">
        <v>92</v>
      </c>
      <c r="M7" s="30" t="s">
        <v>78</v>
      </c>
      <c r="N7" s="27" t="s">
        <v>100</v>
      </c>
      <c r="O7" s="31">
        <v>56</v>
      </c>
      <c r="P7" s="32"/>
      <c r="Q7" s="33">
        <v>2440</v>
      </c>
      <c r="R7" s="33">
        <v>10077.199999999999</v>
      </c>
      <c r="S7" s="47" t="s">
        <v>101</v>
      </c>
      <c r="T7" s="34">
        <v>45115</v>
      </c>
      <c r="U7" s="49" t="s">
        <v>102</v>
      </c>
      <c r="V7" s="36" t="s">
        <v>82</v>
      </c>
      <c r="W7" s="37"/>
      <c r="X7" s="29" t="s">
        <v>83</v>
      </c>
      <c r="Y7" s="38"/>
      <c r="Z7" s="39"/>
      <c r="AA7" s="40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2"/>
      <c r="AM7" s="42"/>
      <c r="AN7" s="41"/>
      <c r="AO7" s="41"/>
      <c r="AP7" s="43">
        <v>0</v>
      </c>
      <c r="AQ7" s="44"/>
      <c r="AR7" s="44">
        <v>1000</v>
      </c>
      <c r="AS7" s="44">
        <v>578</v>
      </c>
      <c r="AT7" s="44"/>
      <c r="AU7" s="44"/>
      <c r="AV7" s="44"/>
      <c r="AW7" s="44"/>
      <c r="AX7" s="44"/>
      <c r="AY7" s="44"/>
      <c r="AZ7" s="44"/>
      <c r="BA7" s="44"/>
      <c r="BB7" s="44">
        <v>1578</v>
      </c>
      <c r="BC7" s="31">
        <v>1578</v>
      </c>
      <c r="BD7" s="45">
        <v>28.178571428571427</v>
      </c>
      <c r="BE7" s="46">
        <v>7.6676384839650149</v>
      </c>
    </row>
    <row r="9" spans="2:57" x14ac:dyDescent="0.25">
      <c r="O9" s="50"/>
      <c r="R9" s="60"/>
    </row>
    <row r="10" spans="2:57" ht="15.75" thickBot="1" x14ac:dyDescent="0.3">
      <c r="B10" s="1" t="s">
        <v>114</v>
      </c>
      <c r="O10" s="50"/>
      <c r="R10" s="61"/>
      <c r="S10" s="1"/>
      <c r="T10" s="1"/>
      <c r="U10" s="1"/>
      <c r="V10" s="1"/>
      <c r="BC10" s="50">
        <f>SUM(BC5:BC7)</f>
        <v>3919</v>
      </c>
    </row>
    <row r="11" spans="2:57" ht="15.75" thickBot="1" x14ac:dyDescent="0.3">
      <c r="B11" s="3" t="s">
        <v>1</v>
      </c>
      <c r="C11" s="4" t="s">
        <v>2</v>
      </c>
      <c r="D11" s="4" t="s">
        <v>3</v>
      </c>
      <c r="E11" s="4" t="s">
        <v>104</v>
      </c>
      <c r="F11" s="4" t="s">
        <v>4</v>
      </c>
      <c r="G11" s="4" t="s">
        <v>5</v>
      </c>
      <c r="H11" s="4" t="s">
        <v>21</v>
      </c>
      <c r="I11" s="5" t="s">
        <v>6</v>
      </c>
      <c r="J11" s="5" t="s">
        <v>7</v>
      </c>
      <c r="K11" s="4" t="s">
        <v>8</v>
      </c>
      <c r="L11" s="5" t="s">
        <v>9</v>
      </c>
      <c r="M11" s="4" t="s">
        <v>10</v>
      </c>
      <c r="N11" s="4" t="s">
        <v>105</v>
      </c>
      <c r="P11" s="64" t="s">
        <v>14</v>
      </c>
      <c r="R11" s="61"/>
    </row>
    <row r="12" spans="2:57" x14ac:dyDescent="0.25">
      <c r="B12" s="51">
        <v>45108</v>
      </c>
      <c r="C12" s="52" t="s">
        <v>76</v>
      </c>
      <c r="D12" s="53" t="s">
        <v>90</v>
      </c>
      <c r="E12" s="53">
        <v>69187</v>
      </c>
      <c r="F12" s="52" t="s">
        <v>103</v>
      </c>
      <c r="G12" s="52" t="s">
        <v>11</v>
      </c>
      <c r="H12" s="52" t="s">
        <v>12</v>
      </c>
      <c r="I12" s="54" t="s">
        <v>12</v>
      </c>
      <c r="J12" s="54" t="s">
        <v>12</v>
      </c>
      <c r="K12" s="55">
        <v>2</v>
      </c>
      <c r="L12" s="56">
        <v>2244.1979999999999</v>
      </c>
      <c r="M12" s="57" t="s">
        <v>13</v>
      </c>
      <c r="N12" s="55">
        <v>4488.3959999999997</v>
      </c>
      <c r="P12">
        <f>25000*2</f>
        <v>50000</v>
      </c>
      <c r="R12" s="61"/>
    </row>
    <row r="13" spans="2:57" x14ac:dyDescent="0.25">
      <c r="B13" s="51">
        <v>45110</v>
      </c>
      <c r="C13" s="52" t="s">
        <v>76</v>
      </c>
      <c r="D13" s="53" t="s">
        <v>90</v>
      </c>
      <c r="E13" s="53">
        <v>69217</v>
      </c>
      <c r="F13" s="52" t="s">
        <v>103</v>
      </c>
      <c r="G13" s="52" t="s">
        <v>11</v>
      </c>
      <c r="H13" s="52" t="s">
        <v>12</v>
      </c>
      <c r="I13" s="54" t="s">
        <v>12</v>
      </c>
      <c r="J13" s="54" t="s">
        <v>12</v>
      </c>
      <c r="K13" s="55">
        <v>3</v>
      </c>
      <c r="L13" s="56">
        <v>2244.1979999999999</v>
      </c>
      <c r="M13" s="57" t="s">
        <v>13</v>
      </c>
      <c r="N13" s="55">
        <v>6732.5940000000001</v>
      </c>
      <c r="P13">
        <f>25000*3</f>
        <v>75000</v>
      </c>
    </row>
    <row r="14" spans="2:57" x14ac:dyDescent="0.25">
      <c r="B14" s="51">
        <v>45122</v>
      </c>
      <c r="C14" s="52" t="s">
        <v>76</v>
      </c>
      <c r="D14" s="53" t="s">
        <v>90</v>
      </c>
      <c r="E14" s="53">
        <v>69409</v>
      </c>
      <c r="F14" s="52" t="s">
        <v>103</v>
      </c>
      <c r="G14" s="52" t="s">
        <v>11</v>
      </c>
      <c r="H14" s="52" t="s">
        <v>12</v>
      </c>
      <c r="I14" s="54" t="s">
        <v>12</v>
      </c>
      <c r="J14" s="54" t="s">
        <v>12</v>
      </c>
      <c r="K14" s="55">
        <v>4</v>
      </c>
      <c r="L14" s="56">
        <v>2244.1979999999999</v>
      </c>
      <c r="M14" s="57" t="s">
        <v>13</v>
      </c>
      <c r="N14" s="55">
        <v>8976.7919999999995</v>
      </c>
      <c r="P14">
        <f>25000*4</f>
        <v>100000</v>
      </c>
    </row>
    <row r="16" spans="2:57" x14ac:dyDescent="0.25">
      <c r="L16" s="1" t="s">
        <v>106</v>
      </c>
      <c r="M16" s="1"/>
      <c r="N16" s="59">
        <f>+SUM(N12:N14)</f>
        <v>20197.781999999999</v>
      </c>
    </row>
    <row r="17" spans="2:19" x14ac:dyDescent="0.25">
      <c r="L17" t="s">
        <v>107</v>
      </c>
      <c r="N17" s="58">
        <f>+SUM(AR5:AR7)</f>
        <v>2550</v>
      </c>
    </row>
    <row r="18" spans="2:19" x14ac:dyDescent="0.25">
      <c r="L18" t="s">
        <v>108</v>
      </c>
      <c r="N18" s="58">
        <f>+SUM(AS5:AS7)</f>
        <v>1369</v>
      </c>
    </row>
    <row r="19" spans="2:19" x14ac:dyDescent="0.25">
      <c r="L19" s="1" t="s">
        <v>109</v>
      </c>
      <c r="M19" s="1"/>
      <c r="N19" s="59">
        <f>SUM(N16:N18)</f>
        <v>24116.781999999999</v>
      </c>
    </row>
    <row r="20" spans="2:19" x14ac:dyDescent="0.25">
      <c r="L20" t="s">
        <v>0</v>
      </c>
      <c r="N20">
        <f>25000*(2+3+4)</f>
        <v>225000</v>
      </c>
    </row>
    <row r="21" spans="2:19" x14ac:dyDescent="0.25">
      <c r="L21" t="s">
        <v>110</v>
      </c>
      <c r="N21" s="2">
        <f>+N19/N20</f>
        <v>0.10718569777777777</v>
      </c>
    </row>
    <row r="22" spans="2:19" x14ac:dyDescent="0.25">
      <c r="L22" t="s">
        <v>111</v>
      </c>
      <c r="N22">
        <v>0.57999999999999996</v>
      </c>
      <c r="S22" s="2"/>
    </row>
    <row r="23" spans="2:19" x14ac:dyDescent="0.25">
      <c r="L23" t="s">
        <v>112</v>
      </c>
      <c r="N23">
        <f>1000/N22</f>
        <v>1724.1379310344828</v>
      </c>
    </row>
    <row r="24" spans="2:19" x14ac:dyDescent="0.25">
      <c r="L24" s="62" t="s">
        <v>113</v>
      </c>
      <c r="M24" s="62"/>
      <c r="N24" s="63">
        <f>+N23*N21</f>
        <v>184.80292720306511</v>
      </c>
    </row>
    <row r="26" spans="2:19" ht="15.75" thickBot="1" x14ac:dyDescent="0.3">
      <c r="B26" s="1" t="s">
        <v>117</v>
      </c>
    </row>
    <row r="27" spans="2:19" ht="15.75" thickBot="1" x14ac:dyDescent="0.3">
      <c r="B27" s="3" t="s">
        <v>1</v>
      </c>
      <c r="C27" s="4" t="s">
        <v>2</v>
      </c>
      <c r="D27" s="4" t="s">
        <v>3</v>
      </c>
      <c r="E27" s="4" t="s">
        <v>104</v>
      </c>
      <c r="F27" s="4" t="s">
        <v>4</v>
      </c>
      <c r="G27" s="4" t="s">
        <v>5</v>
      </c>
      <c r="H27" s="4" t="s">
        <v>21</v>
      </c>
      <c r="I27" s="5" t="s">
        <v>6</v>
      </c>
      <c r="J27" s="5" t="s">
        <v>7</v>
      </c>
      <c r="K27" s="4" t="s">
        <v>8</v>
      </c>
      <c r="L27" s="5" t="s">
        <v>9</v>
      </c>
      <c r="M27" s="4" t="s">
        <v>10</v>
      </c>
      <c r="N27" s="4" t="s">
        <v>105</v>
      </c>
      <c r="P27" s="64" t="s">
        <v>14</v>
      </c>
    </row>
    <row r="28" spans="2:19" x14ac:dyDescent="0.25">
      <c r="B28" s="51">
        <v>44987</v>
      </c>
      <c r="C28" s="52" t="s">
        <v>76</v>
      </c>
      <c r="D28" s="53" t="s">
        <v>74</v>
      </c>
      <c r="E28" s="53" t="s">
        <v>115</v>
      </c>
      <c r="F28" s="52" t="s">
        <v>103</v>
      </c>
      <c r="G28" s="52" t="s">
        <v>11</v>
      </c>
      <c r="H28" s="52" t="s">
        <v>12</v>
      </c>
      <c r="I28" s="54" t="s">
        <v>12</v>
      </c>
      <c r="J28" s="54" t="s">
        <v>12</v>
      </c>
      <c r="K28" s="55">
        <v>3</v>
      </c>
      <c r="L28" s="56"/>
      <c r="M28" s="57" t="s">
        <v>13</v>
      </c>
      <c r="N28" s="55">
        <v>7581.75</v>
      </c>
      <c r="P28">
        <v>66000</v>
      </c>
      <c r="Q28" t="s">
        <v>119</v>
      </c>
    </row>
    <row r="29" spans="2:19" x14ac:dyDescent="0.25">
      <c r="B29" s="51">
        <v>45008</v>
      </c>
      <c r="C29" s="52" t="s">
        <v>76</v>
      </c>
      <c r="D29" s="53" t="s">
        <v>74</v>
      </c>
      <c r="E29" s="53" t="s">
        <v>116</v>
      </c>
      <c r="F29" s="52" t="s">
        <v>103</v>
      </c>
      <c r="G29" s="52" t="s">
        <v>11</v>
      </c>
      <c r="H29" s="52" t="s">
        <v>12</v>
      </c>
      <c r="I29" s="54" t="s">
        <v>12</v>
      </c>
      <c r="J29" s="54" t="s">
        <v>12</v>
      </c>
      <c r="K29" s="55">
        <v>11</v>
      </c>
      <c r="L29" s="56">
        <v>2527.25</v>
      </c>
      <c r="M29" s="57" t="s">
        <v>13</v>
      </c>
      <c r="N29" s="55">
        <v>27799.75</v>
      </c>
      <c r="P29">
        <f>484000-200000-66000</f>
        <v>218000</v>
      </c>
      <c r="Q29" t="s">
        <v>120</v>
      </c>
    </row>
    <row r="30" spans="2:19" x14ac:dyDescent="0.25">
      <c r="L30" s="1" t="s">
        <v>106</v>
      </c>
      <c r="M30" s="1"/>
      <c r="N30" s="59">
        <f>SUM(N28:N29)</f>
        <v>35381.5</v>
      </c>
    </row>
    <row r="31" spans="2:19" x14ac:dyDescent="0.25">
      <c r="L31" t="s">
        <v>107</v>
      </c>
      <c r="N31" s="58">
        <f>+AR4+(((AQ3+AT3+AV3+AW3+AX3)/(N29+N42))*N29)</f>
        <v>1935.6200601805415</v>
      </c>
      <c r="P31" s="58"/>
    </row>
    <row r="32" spans="2:19" x14ac:dyDescent="0.25">
      <c r="L32" t="s">
        <v>108</v>
      </c>
      <c r="N32" s="58">
        <f>+AS4+((AS3+AY3)/(N29+N42))*N29</f>
        <v>905.83706118355065</v>
      </c>
      <c r="P32" s="58"/>
    </row>
    <row r="33" spans="2:16" x14ac:dyDescent="0.25">
      <c r="L33" s="1" t="s">
        <v>109</v>
      </c>
      <c r="M33" s="1"/>
      <c r="N33" s="59">
        <f>SUM(N30:N32)</f>
        <v>38222.957121364088</v>
      </c>
    </row>
    <row r="34" spans="2:16" x14ac:dyDescent="0.25">
      <c r="L34" t="s">
        <v>0</v>
      </c>
      <c r="N34">
        <f>22000*3+218000</f>
        <v>284000</v>
      </c>
    </row>
    <row r="35" spans="2:16" x14ac:dyDescent="0.25">
      <c r="L35" t="s">
        <v>110</v>
      </c>
      <c r="N35" s="2">
        <f>+N33/N34</f>
        <v>0.13458787718790172</v>
      </c>
    </row>
    <row r="36" spans="2:16" x14ac:dyDescent="0.25">
      <c r="L36" t="s">
        <v>111</v>
      </c>
      <c r="N36">
        <v>0.62</v>
      </c>
    </row>
    <row r="37" spans="2:16" x14ac:dyDescent="0.25">
      <c r="L37" t="s">
        <v>112</v>
      </c>
      <c r="N37">
        <f>1000/N36</f>
        <v>1612.9032258064517</v>
      </c>
    </row>
    <row r="38" spans="2:16" x14ac:dyDescent="0.25">
      <c r="L38" s="62" t="s">
        <v>113</v>
      </c>
      <c r="M38" s="62"/>
      <c r="N38" s="63">
        <f>+N37*N35</f>
        <v>217.07722127080922</v>
      </c>
    </row>
    <row r="39" spans="2:16" x14ac:dyDescent="0.25">
      <c r="N39" s="2"/>
    </row>
    <row r="40" spans="2:16" ht="15.75" thickBot="1" x14ac:dyDescent="0.3">
      <c r="B40" s="1" t="s">
        <v>114</v>
      </c>
    </row>
    <row r="41" spans="2:16" ht="15.75" thickBot="1" x14ac:dyDescent="0.3">
      <c r="B41" s="3" t="s">
        <v>1</v>
      </c>
      <c r="C41" s="4" t="s">
        <v>2</v>
      </c>
      <c r="D41" s="4" t="s">
        <v>3</v>
      </c>
      <c r="E41" s="4" t="s">
        <v>104</v>
      </c>
      <c r="F41" s="4" t="s">
        <v>4</v>
      </c>
      <c r="G41" s="4" t="s">
        <v>5</v>
      </c>
      <c r="H41" s="4" t="s">
        <v>21</v>
      </c>
      <c r="I41" s="5" t="s">
        <v>6</v>
      </c>
      <c r="J41" s="5" t="s">
        <v>7</v>
      </c>
      <c r="K41" s="4" t="s">
        <v>8</v>
      </c>
      <c r="L41" s="5" t="s">
        <v>9</v>
      </c>
      <c r="M41" s="4" t="s">
        <v>10</v>
      </c>
      <c r="N41" s="4" t="s">
        <v>105</v>
      </c>
      <c r="P41" s="64" t="s">
        <v>14</v>
      </c>
    </row>
    <row r="42" spans="2:16" x14ac:dyDescent="0.25">
      <c r="B42" s="51">
        <v>45008</v>
      </c>
      <c r="C42" s="52" t="s">
        <v>76</v>
      </c>
      <c r="D42" s="53" t="s">
        <v>74</v>
      </c>
      <c r="E42" s="53" t="s">
        <v>116</v>
      </c>
      <c r="F42" s="52" t="s">
        <v>103</v>
      </c>
      <c r="G42" s="52" t="s">
        <v>11</v>
      </c>
      <c r="H42" s="52" t="s">
        <v>12</v>
      </c>
      <c r="I42" s="54" t="s">
        <v>12</v>
      </c>
      <c r="J42" s="54" t="s">
        <v>12</v>
      </c>
      <c r="K42" s="55">
        <v>8</v>
      </c>
      <c r="L42" s="56">
        <v>2251.5500000000002</v>
      </c>
      <c r="M42" s="57" t="s">
        <v>13</v>
      </c>
      <c r="N42" s="55">
        <v>18012.400000000001</v>
      </c>
      <c r="P42">
        <f>25000*8</f>
        <v>200000</v>
      </c>
    </row>
    <row r="44" spans="2:16" x14ac:dyDescent="0.25">
      <c r="L44" s="1" t="s">
        <v>106</v>
      </c>
      <c r="M44" s="1"/>
      <c r="N44" s="59">
        <f>+SUM(N42:N43)</f>
        <v>18012.400000000001</v>
      </c>
    </row>
    <row r="45" spans="2:16" x14ac:dyDescent="0.25">
      <c r="L45" t="s">
        <v>107</v>
      </c>
      <c r="N45" s="58">
        <f>+((AQ3+AT3+AV3+AW3+AX3)/(N29+N42))*N42</f>
        <v>606.21993981945832</v>
      </c>
    </row>
    <row r="46" spans="2:16" x14ac:dyDescent="0.25">
      <c r="L46" t="s">
        <v>108</v>
      </c>
      <c r="N46" s="58">
        <f>+((AS3+AY3)/(N29+N42))*N42</f>
        <v>288.87293881644939</v>
      </c>
    </row>
    <row r="47" spans="2:16" x14ac:dyDescent="0.25">
      <c r="L47" s="1" t="s">
        <v>109</v>
      </c>
      <c r="M47" s="1"/>
      <c r="N47" s="59">
        <f>SUM(N44:N46)</f>
        <v>18907.492878635909</v>
      </c>
    </row>
    <row r="48" spans="2:16" x14ac:dyDescent="0.25">
      <c r="L48" t="s">
        <v>0</v>
      </c>
      <c r="N48">
        <f>8*25000</f>
        <v>200000</v>
      </c>
    </row>
    <row r="49" spans="12:14" x14ac:dyDescent="0.25">
      <c r="L49" t="s">
        <v>110</v>
      </c>
      <c r="N49" s="2">
        <f>+N47/N48</f>
        <v>9.4537464393179546E-2</v>
      </c>
    </row>
    <row r="50" spans="12:14" x14ac:dyDescent="0.25">
      <c r="L50" t="s">
        <v>111</v>
      </c>
      <c r="N50">
        <v>0.57999999999999996</v>
      </c>
    </row>
    <row r="51" spans="12:14" x14ac:dyDescent="0.25">
      <c r="L51" t="s">
        <v>112</v>
      </c>
      <c r="N51">
        <f>1000/N50</f>
        <v>1724.1379310344828</v>
      </c>
    </row>
    <row r="52" spans="12:14" x14ac:dyDescent="0.25">
      <c r="L52" s="62" t="s">
        <v>113</v>
      </c>
      <c r="M52" s="62"/>
      <c r="N52" s="63">
        <f>+N51*N49</f>
        <v>162.99562826410266</v>
      </c>
    </row>
  </sheetData>
  <conditionalFormatting sqref="B3:BE7">
    <cfRule type="expression" dxfId="4" priority="4">
      <formula>$F3="Open"</formula>
    </cfRule>
    <cfRule type="expression" dxfId="3" priority="5">
      <formula>$F3="Close"</formula>
    </cfRule>
  </conditionalFormatting>
  <conditionalFormatting sqref="AZ3:AZ7">
    <cfRule type="expression" dxfId="2" priority="1">
      <formula>LEN($BB3)&gt;=0</formula>
    </cfRule>
  </conditionalFormatting>
  <conditionalFormatting sqref="BA3:BA7">
    <cfRule type="expression" dxfId="1" priority="2">
      <formula>LEN($BC3)&gt;=0</formula>
    </cfRule>
  </conditionalFormatting>
  <conditionalFormatting sqref="BE3:BE7">
    <cfRule type="expression" dxfId="0" priority="3">
      <formula>LEN($BG3)&gt;=0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E563-1B17-4512-9D5F-24E20F5E605F}">
  <dimension ref="B1:D13"/>
  <sheetViews>
    <sheetView tabSelected="1" workbookViewId="0">
      <selection activeCell="G20" sqref="G20"/>
    </sheetView>
  </sheetViews>
  <sheetFormatPr defaultRowHeight="15" x14ac:dyDescent="0.25"/>
  <cols>
    <col min="1" max="1" width="13.7109375" bestFit="1" customWidth="1"/>
    <col min="2" max="2" width="24.42578125" bestFit="1" customWidth="1"/>
    <col min="3" max="3" width="20.140625" bestFit="1" customWidth="1"/>
    <col min="4" max="4" width="11.42578125" customWidth="1"/>
  </cols>
  <sheetData>
    <row r="1" spans="2:4" ht="15.75" thickBot="1" x14ac:dyDescent="0.3"/>
    <row r="2" spans="2:4" ht="30.75" thickBot="1" x14ac:dyDescent="0.3">
      <c r="B2" s="66" t="s">
        <v>122</v>
      </c>
      <c r="C2" s="67" t="s">
        <v>123</v>
      </c>
      <c r="D2" s="68" t="s">
        <v>124</v>
      </c>
    </row>
    <row r="3" spans="2:4" x14ac:dyDescent="0.25">
      <c r="B3" s="69" t="s">
        <v>125</v>
      </c>
      <c r="C3" s="70" t="s">
        <v>126</v>
      </c>
      <c r="D3" s="71">
        <v>3.11</v>
      </c>
    </row>
    <row r="4" spans="2:4" x14ac:dyDescent="0.25">
      <c r="B4" s="72" t="s">
        <v>127</v>
      </c>
      <c r="C4" s="65" t="s">
        <v>128</v>
      </c>
      <c r="D4" s="73">
        <v>3.84</v>
      </c>
    </row>
    <row r="5" spans="2:4" x14ac:dyDescent="0.25">
      <c r="B5" s="72" t="s">
        <v>129</v>
      </c>
      <c r="C5" s="65" t="s">
        <v>130</v>
      </c>
      <c r="D5" s="73">
        <v>3.51</v>
      </c>
    </row>
    <row r="6" spans="2:4" x14ac:dyDescent="0.25">
      <c r="B6" s="72" t="s">
        <v>131</v>
      </c>
      <c r="C6" s="65" t="s">
        <v>132</v>
      </c>
      <c r="D6" s="73">
        <v>6.19</v>
      </c>
    </row>
    <row r="7" spans="2:4" x14ac:dyDescent="0.25">
      <c r="B7" s="72" t="s">
        <v>133</v>
      </c>
      <c r="C7" s="65" t="s">
        <v>130</v>
      </c>
      <c r="D7" s="73">
        <v>3.51</v>
      </c>
    </row>
    <row r="8" spans="2:4" x14ac:dyDescent="0.25">
      <c r="B8" s="72" t="s">
        <v>134</v>
      </c>
      <c r="C8" s="65" t="s">
        <v>132</v>
      </c>
      <c r="D8" s="73">
        <v>6.19</v>
      </c>
    </row>
    <row r="9" spans="2:4" x14ac:dyDescent="0.25">
      <c r="B9" s="72" t="s">
        <v>135</v>
      </c>
      <c r="C9" s="65" t="s">
        <v>126</v>
      </c>
      <c r="D9" s="73">
        <v>3.11</v>
      </c>
    </row>
    <row r="10" spans="2:4" x14ac:dyDescent="0.25">
      <c r="B10" s="72" t="s">
        <v>136</v>
      </c>
      <c r="C10" s="65" t="s">
        <v>126</v>
      </c>
      <c r="D10" s="73">
        <v>3.11</v>
      </c>
    </row>
    <row r="11" spans="2:4" x14ac:dyDescent="0.25">
      <c r="B11" s="72" t="s">
        <v>137</v>
      </c>
      <c r="C11" s="65" t="s">
        <v>138</v>
      </c>
      <c r="D11" s="73">
        <v>6.59</v>
      </c>
    </row>
    <row r="12" spans="2:4" x14ac:dyDescent="0.25">
      <c r="B12" s="72" t="s">
        <v>139</v>
      </c>
      <c r="C12" s="65"/>
      <c r="D12" s="73">
        <v>3.92</v>
      </c>
    </row>
    <row r="13" spans="2:4" ht="15.75" thickBot="1" x14ac:dyDescent="0.3">
      <c r="B13" s="74" t="s">
        <v>140</v>
      </c>
      <c r="C13" s="75"/>
      <c r="D13" s="76">
        <v>3.92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6D8B-B3A7-4CB4-92C7-2FC40C07B559}">
  <dimension ref="B2:E12"/>
  <sheetViews>
    <sheetView workbookViewId="0">
      <selection activeCell="H21" sqref="H21"/>
    </sheetView>
  </sheetViews>
  <sheetFormatPr defaultRowHeight="15" x14ac:dyDescent="0.25"/>
  <cols>
    <col min="1" max="2" width="13.7109375" bestFit="1" customWidth="1"/>
    <col min="3" max="3" width="19.5703125" bestFit="1" customWidth="1"/>
    <col min="4" max="5" width="8.42578125" bestFit="1" customWidth="1"/>
  </cols>
  <sheetData>
    <row r="2" spans="2:5" ht="30" x14ac:dyDescent="0.25">
      <c r="B2" s="77" t="s">
        <v>144</v>
      </c>
      <c r="C2" s="77" t="s">
        <v>147</v>
      </c>
      <c r="D2" s="78" t="s">
        <v>141</v>
      </c>
      <c r="E2" s="78" t="s">
        <v>142</v>
      </c>
    </row>
    <row r="3" spans="2:5" x14ac:dyDescent="0.25">
      <c r="B3" s="79">
        <v>45566</v>
      </c>
      <c r="C3" s="65" t="s">
        <v>143</v>
      </c>
      <c r="D3" s="80">
        <v>5.0933466666666663E-2</v>
      </c>
      <c r="E3" s="80">
        <v>17.383435722411829</v>
      </c>
    </row>
    <row r="4" spans="2:5" x14ac:dyDescent="0.25">
      <c r="B4" s="79">
        <v>45548</v>
      </c>
      <c r="C4" s="65" t="s">
        <v>145</v>
      </c>
      <c r="D4" s="80">
        <v>8.1517400673400672E-2</v>
      </c>
      <c r="E4" s="80">
        <v>30.191629879037283</v>
      </c>
    </row>
    <row r="5" spans="2:5" x14ac:dyDescent="0.25">
      <c r="B5" s="79">
        <v>45548</v>
      </c>
      <c r="C5" s="65" t="s">
        <v>146</v>
      </c>
      <c r="D5" s="80">
        <v>8.1517400673400672E-2</v>
      </c>
      <c r="E5" s="80">
        <v>30.191629879037283</v>
      </c>
    </row>
    <row r="6" spans="2:5" x14ac:dyDescent="0.25">
      <c r="B6" s="79">
        <v>45464</v>
      </c>
      <c r="C6" s="65" t="s">
        <v>121</v>
      </c>
      <c r="D6" s="80">
        <v>0.12280223255813953</v>
      </c>
      <c r="E6" s="80">
        <v>80.262897096823224</v>
      </c>
    </row>
    <row r="7" spans="2:5" x14ac:dyDescent="0.25">
      <c r="B7" s="79">
        <v>45386</v>
      </c>
      <c r="C7" s="65" t="s">
        <v>121</v>
      </c>
      <c r="D7" s="80">
        <v>0.16885354838709676</v>
      </c>
      <c r="E7" s="80">
        <v>110.36179633143578</v>
      </c>
    </row>
    <row r="8" spans="2:5" x14ac:dyDescent="0.25">
      <c r="B8" s="79">
        <v>45058</v>
      </c>
      <c r="C8" s="65" t="s">
        <v>118</v>
      </c>
      <c r="D8" s="80">
        <v>0.3558708571428571</v>
      </c>
      <c r="E8" s="80">
        <v>145.25341107871716</v>
      </c>
    </row>
    <row r="9" spans="2:5" x14ac:dyDescent="0.25">
      <c r="B9" s="79">
        <v>45825</v>
      </c>
      <c r="C9" s="65" t="s">
        <v>148</v>
      </c>
      <c r="D9" s="80">
        <v>9.8717849999999996E-2</v>
      </c>
      <c r="E9" s="80">
        <v>176.28187499999999</v>
      </c>
    </row>
    <row r="10" spans="2:5" x14ac:dyDescent="0.25">
      <c r="B10" s="79">
        <v>45659</v>
      </c>
      <c r="C10" s="65" t="s">
        <v>148</v>
      </c>
      <c r="D10" s="80">
        <v>0.10671625000000001</v>
      </c>
      <c r="E10" s="80">
        <v>190.56473214285714</v>
      </c>
    </row>
    <row r="11" spans="2:5" x14ac:dyDescent="0.25">
      <c r="B11" s="79">
        <v>45523</v>
      </c>
      <c r="C11" s="65" t="s">
        <v>149</v>
      </c>
      <c r="D11" s="80">
        <v>8.1969333333333325E-2</v>
      </c>
      <c r="E11" s="80">
        <v>146.37380952380948</v>
      </c>
    </row>
    <row r="12" spans="2:5" x14ac:dyDescent="0.25">
      <c r="B12" s="79">
        <v>45504</v>
      </c>
      <c r="C12" s="65" t="s">
        <v>150</v>
      </c>
      <c r="D12" s="80">
        <v>0.1033515</v>
      </c>
      <c r="E12" s="80">
        <v>184.55624999999998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Valve</vt:lpstr>
      <vt:lpstr>Zipper</vt:lpstr>
      <vt:lpstr>Valve, Spout &amp; Tintie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Jidin</dc:creator>
  <cp:lastModifiedBy>Tharaka W</cp:lastModifiedBy>
  <dcterms:created xsi:type="dcterms:W3CDTF">2023-06-08T13:56:12Z</dcterms:created>
  <dcterms:modified xsi:type="dcterms:W3CDTF">2026-05-06T13:17:31Z</dcterms:modified>
</cp:coreProperties>
</file>