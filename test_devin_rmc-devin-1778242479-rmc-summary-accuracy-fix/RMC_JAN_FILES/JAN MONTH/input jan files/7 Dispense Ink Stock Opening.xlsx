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jo\Desktop\Automation\Base RMC Documents\01 Jan\Base RMC Input Files\"/>
    </mc:Choice>
  </mc:AlternateContent>
  <xr:revisionPtr revIDLastSave="0" documentId="13_ncr:1_{BE6EA0BF-3C5B-413F-B84B-83A89815B344}" xr6:coauthVersionLast="47" xr6:coauthVersionMax="47" xr10:uidLastSave="{00000000-0000-0000-0000-000000000000}"/>
  <bookViews>
    <workbookView xWindow="-120" yWindow="-120" windowWidth="29040" windowHeight="15720" xr2:uid="{567744A0-BA0C-4A58-8199-4ECDB3503448}"/>
  </bookViews>
  <sheets>
    <sheet name="Dispensed Ink" sheetId="1" r:id="rId1"/>
  </sheets>
  <definedNames>
    <definedName name="_xlnm._FilterDatabase" localSheetId="0" hidden="1">'Dispensed Ink'!$B$5:$J$22</definedName>
    <definedName name="_xlnm.Print_Area" localSheetId="0">'Dispensed Ink'!$B$5:$J$5</definedName>
    <definedName name="_xlnm.Print_Titles" localSheetId="0">'Dispensed Ink'!$4:$5</definedName>
  </definedNames>
  <calcPr calcId="191029" iterate="1" iterateCount="327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14" i="1"/>
  <c r="I15" i="1"/>
  <c r="I16" i="1"/>
  <c r="I17" i="1"/>
  <c r="I18" i="1"/>
  <c r="I6" i="1"/>
  <c r="I19" i="1" l="1"/>
  <c r="G19" i="1" l="1"/>
</calcChain>
</file>

<file path=xl/sharedStrings.xml><?xml version="1.0" encoding="utf-8"?>
<sst xmlns="http://schemas.openxmlformats.org/spreadsheetml/2006/main" count="65" uniqueCount="27">
  <si>
    <t>INTEGRATED PLASTICS PACKAGING</t>
  </si>
  <si>
    <t>New Machine Ink Stock as on 31-12-2025</t>
  </si>
  <si>
    <t>SL</t>
  </si>
  <si>
    <t>Category</t>
  </si>
  <si>
    <t>SUPPLIER</t>
  </si>
  <si>
    <t>CODE</t>
  </si>
  <si>
    <t>COLOUR</t>
  </si>
  <si>
    <t>QTY KG</t>
  </si>
  <si>
    <t>LOCATION</t>
  </si>
  <si>
    <t>INK HS</t>
  </si>
  <si>
    <t>Flint</t>
  </si>
  <si>
    <t>HS YELLOW</t>
  </si>
  <si>
    <t>INK MAKER -INK KITCHEN</t>
  </si>
  <si>
    <t>FRESH INK</t>
  </si>
  <si>
    <t>SUPERLAM GR.GREEN</t>
  </si>
  <si>
    <t>INK CONCENTRATE</t>
  </si>
  <si>
    <t>Sun</t>
  </si>
  <si>
    <t>SUN GREEN</t>
  </si>
  <si>
    <t>HS CYAN</t>
  </si>
  <si>
    <t>HS ORANGE</t>
  </si>
  <si>
    <t>HS BLACK</t>
  </si>
  <si>
    <t>HS AR SR MAGENTA</t>
  </si>
  <si>
    <t>HS RED</t>
  </si>
  <si>
    <t>HS VIOLET</t>
  </si>
  <si>
    <t>Grand Total</t>
  </si>
  <si>
    <t>Rate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</si>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</sst>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1" applyNumberFormat="1" applyFont="1" applyAlignment="1">
      <alignment horizontal="right" vertical="center"/>
    </xf>
    <xf numFmtId="49" fontId="4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1" applyNumberFormat="1" applyFont="1" applyAlignment="1">
      <alignment horizontal="left" vertical="center"/>
    </xf>
    <xf numFmtId="164" fontId="0" fillId="0" borderId="0" xfId="1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64" fontId="6" fillId="3" borderId="3" xfId="1" applyNumberFormat="1" applyFont="1" applyFill="1" applyBorder="1" applyAlignment="1">
      <alignment horizontal="center" vertical="center"/>
    </xf>
    <xf numFmtId="164" fontId="6" fillId="3" borderId="4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4" fontId="7" fillId="0" borderId="7" xfId="2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3" fontId="10" fillId="0" borderId="12" xfId="1" applyFont="1" applyBorder="1" applyAlignment="1">
      <alignment horizontal="center" vertical="center"/>
    </xf>
    <xf numFmtId="164" fontId="10" fillId="0" borderId="11" xfId="1" applyNumberFormat="1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43" fontId="10" fillId="0" borderId="0" xfId="1" applyFont="1" applyBorder="1" applyAlignment="1">
      <alignment horizontal="center" vertical="center"/>
    </xf>
    <xf numFmtId="164" fontId="10" fillId="0" borderId="0" xfId="1" applyNumberFormat="1" applyFont="1" applyBorder="1" applyAlignment="1">
      <alignment horizontal="left" vertical="center"/>
    </xf>
    <xf numFmtId="43" fontId="10" fillId="0" borderId="11" xfId="1" applyFont="1" applyBorder="1" applyAlignment="1">
      <alignment horizontal="center" vertical="center"/>
    </xf>
  </cellXfs>
  <cellStyles count="3">
    <cellStyle name="Comma" xfId="1" builtinId="3"/>
    <cellStyle name="Comma 2" xfId="2" xr:uid="{B7E6892F-6BA8-49C9-9F16-EFA4A04FDC9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3856A-EE7C-4E58-8EC0-588095BE4770}">
  <sheetPr>
    <tabColor rgb="FF92D050"/>
    <pageSetUpPr fitToPage="1"/>
  </sheetPr>
  <dimension ref="B1:Q23"/>
  <sheetViews>
    <sheetView showGridLines="0" tabSelected="1" zoomScale="98" zoomScaleNormal="98" zoomScaleSheetLayoutView="100" workbookViewId="0">
      <pane ySplit="5" topLeftCell="A6" activePane="bottomLeft" state="frozen"/>
      <selection activeCell="E19" activeCellId="1" sqref="E54 E19"/>
      <selection pane="bottomLeft" activeCell="M18" sqref="M18"/>
    </sheetView>
  </sheetViews>
  <sheetFormatPr defaultRowHeight="15" x14ac:dyDescent="0.25"/>
  <cols>
    <col min="1" max="1" width="2.5703125" style="4" customWidth="1"/>
    <col min="2" max="2" width="11.5703125" style="1" customWidth="1"/>
    <col min="3" max="3" width="15.5703125" style="1" bestFit="1" customWidth="1"/>
    <col min="4" max="4" width="13" style="1" bestFit="1" customWidth="1"/>
    <col min="5" max="5" width="57.42578125" style="1" bestFit="1" customWidth="1"/>
    <col min="6" max="6" width="27.5703125" style="1" bestFit="1" customWidth="1"/>
    <col min="7" max="9" width="11.140625" style="4" customWidth="1"/>
    <col min="10" max="10" width="21" style="5" bestFit="1" customWidth="1"/>
    <col min="11" max="11" width="14" style="4" customWidth="1"/>
    <col min="12" max="16384" width="9.140625" style="4"/>
  </cols>
  <sheetData>
    <row r="1" spans="2:17" x14ac:dyDescent="0.25">
      <c r="D1" s="2"/>
      <c r="E1" s="2"/>
      <c r="F1" s="3"/>
    </row>
    <row r="2" spans="2:17" x14ac:dyDescent="0.25">
      <c r="B2" s="6" t="s">
        <v>0</v>
      </c>
      <c r="C2" s="7"/>
      <c r="D2" s="2"/>
      <c r="E2" s="2"/>
      <c r="F2" s="3"/>
    </row>
    <row r="3" spans="2:17" x14ac:dyDescent="0.25">
      <c r="B3" s="6" t="s">
        <v>1</v>
      </c>
      <c r="C3" s="7"/>
      <c r="D3" s="2"/>
      <c r="E3" s="2"/>
      <c r="F3" s="3"/>
    </row>
    <row r="4" spans="2:17" ht="5.25" customHeight="1" thickBot="1" x14ac:dyDescent="0.3">
      <c r="B4" s="8"/>
      <c r="C4" s="8"/>
      <c r="D4" s="9"/>
      <c r="E4" s="9"/>
      <c r="G4" s="10"/>
      <c r="H4" s="10"/>
      <c r="I4" s="10"/>
      <c r="J4" s="11"/>
    </row>
    <row r="5" spans="2:17" s="17" customFormat="1" ht="16.5" thickTop="1" thickBot="1" x14ac:dyDescent="0.3">
      <c r="B5" s="12" t="s">
        <v>2</v>
      </c>
      <c r="C5" s="13" t="s">
        <v>3</v>
      </c>
      <c r="D5" s="14" t="s">
        <v>4</v>
      </c>
      <c r="E5" s="14" t="s">
        <v>5</v>
      </c>
      <c r="F5" s="14" t="s">
        <v>6</v>
      </c>
      <c r="G5" s="15" t="s">
        <v>7</v>
      </c>
      <c r="H5" s="15" t="s">
        <v>25</v>
      </c>
      <c r="I5" s="15" t="s">
        <v>26</v>
      </c>
      <c r="J5" s="16" t="s">
        <v>8</v>
      </c>
    </row>
    <row r="6" spans="2:17" ht="15.75" thickTop="1" x14ac:dyDescent="0.25">
      <c r="B6" s="18">
        <v>1</v>
      </c>
      <c r="C6" s="19" t="s">
        <v>9</v>
      </c>
      <c r="D6" s="19" t="s">
        <v>10</v>
      </c>
      <c r="E6" s="20">
        <v>25864000008</v>
      </c>
      <c r="F6" s="19" t="s">
        <v>11</v>
      </c>
      <c r="G6" s="21">
        <v>115</v>
      </c>
      <c r="H6" s="21">
        <v>11.323837428053189</v>
      </c>
      <c r="I6" s="21">
        <f>+G6*H6</f>
        <v>1302.2413042261167</v>
      </c>
      <c r="J6" s="22" t="s">
        <v>12</v>
      </c>
      <c r="Q6" s="23"/>
    </row>
    <row r="7" spans="2:17" x14ac:dyDescent="0.25">
      <c r="B7" s="18">
        <v>2</v>
      </c>
      <c r="C7" s="19" t="s">
        <v>13</v>
      </c>
      <c r="D7" s="19" t="s">
        <v>10</v>
      </c>
      <c r="E7" s="20" t="s">
        <v>14</v>
      </c>
      <c r="F7" s="19" t="s">
        <v>14</v>
      </c>
      <c r="G7" s="21">
        <v>210</v>
      </c>
      <c r="H7" s="21">
        <v>13.086561904761904</v>
      </c>
      <c r="I7" s="21">
        <f t="shared" ref="I7:I18" si="0">+G7*H7</f>
        <v>2748.1779999999999</v>
      </c>
      <c r="J7" s="22" t="s">
        <v>12</v>
      </c>
      <c r="Q7" s="23"/>
    </row>
    <row r="8" spans="2:17" x14ac:dyDescent="0.25">
      <c r="B8" s="18">
        <v>3</v>
      </c>
      <c r="C8" s="19" t="s">
        <v>15</v>
      </c>
      <c r="D8" s="19" t="s">
        <v>16</v>
      </c>
      <c r="E8" s="20">
        <v>25851000006</v>
      </c>
      <c r="F8" s="19" t="s">
        <v>17</v>
      </c>
      <c r="G8" s="21">
        <v>150</v>
      </c>
      <c r="H8" s="21">
        <v>12.118982648194816</v>
      </c>
      <c r="I8" s="21">
        <f t="shared" si="0"/>
        <v>1817.8473972292225</v>
      </c>
      <c r="J8" s="22" t="s">
        <v>12</v>
      </c>
      <c r="Q8" s="23"/>
    </row>
    <row r="9" spans="2:17" x14ac:dyDescent="0.25">
      <c r="B9" s="18">
        <v>4</v>
      </c>
      <c r="C9" s="19" t="s">
        <v>9</v>
      </c>
      <c r="D9" s="19" t="s">
        <v>10</v>
      </c>
      <c r="E9" s="20">
        <v>25864000009</v>
      </c>
      <c r="F9" s="19" t="s">
        <v>18</v>
      </c>
      <c r="G9" s="21">
        <v>130</v>
      </c>
      <c r="H9" s="21">
        <v>11.533401685564394</v>
      </c>
      <c r="I9" s="21">
        <f t="shared" si="0"/>
        <v>1499.3422191233713</v>
      </c>
      <c r="J9" s="22" t="s">
        <v>12</v>
      </c>
      <c r="Q9" s="23"/>
    </row>
    <row r="10" spans="2:17" x14ac:dyDescent="0.25">
      <c r="B10" s="18">
        <v>5</v>
      </c>
      <c r="C10" s="19" t="s">
        <v>9</v>
      </c>
      <c r="D10" s="19" t="s">
        <v>10</v>
      </c>
      <c r="E10" s="20">
        <v>25863000002</v>
      </c>
      <c r="F10" s="19" t="s">
        <v>18</v>
      </c>
      <c r="G10" s="21">
        <v>55</v>
      </c>
      <c r="H10" s="21">
        <v>11.533396954198691</v>
      </c>
      <c r="I10" s="21">
        <f t="shared" si="0"/>
        <v>634.33683248092802</v>
      </c>
      <c r="J10" s="22" t="s">
        <v>12</v>
      </c>
      <c r="Q10" s="23"/>
    </row>
    <row r="11" spans="2:17" x14ac:dyDescent="0.25">
      <c r="B11" s="18">
        <v>6</v>
      </c>
      <c r="C11" s="19" t="s">
        <v>9</v>
      </c>
      <c r="D11" s="19" t="s">
        <v>10</v>
      </c>
      <c r="E11" s="20">
        <v>25862000010</v>
      </c>
      <c r="F11" s="19" t="s">
        <v>19</v>
      </c>
      <c r="G11" s="21">
        <v>40</v>
      </c>
      <c r="H11" s="21">
        <v>14.152621525297548</v>
      </c>
      <c r="I11" s="21">
        <f t="shared" si="0"/>
        <v>566.1048610119019</v>
      </c>
      <c r="J11" s="22" t="s">
        <v>12</v>
      </c>
      <c r="Q11" s="23"/>
    </row>
    <row r="12" spans="2:17" x14ac:dyDescent="0.25">
      <c r="B12" s="18">
        <v>7</v>
      </c>
      <c r="C12" s="19" t="s">
        <v>9</v>
      </c>
      <c r="D12" s="19" t="s">
        <v>10</v>
      </c>
      <c r="E12" s="20">
        <v>25862000014</v>
      </c>
      <c r="F12" s="19" t="s">
        <v>19</v>
      </c>
      <c r="G12" s="21">
        <v>40</v>
      </c>
      <c r="H12" s="21">
        <v>14.152623091935677</v>
      </c>
      <c r="I12" s="21">
        <f t="shared" si="0"/>
        <v>566.10492367742711</v>
      </c>
      <c r="J12" s="22" t="s">
        <v>12</v>
      </c>
      <c r="Q12" s="23"/>
    </row>
    <row r="13" spans="2:17" x14ac:dyDescent="0.25">
      <c r="B13" s="18">
        <v>8</v>
      </c>
      <c r="C13" s="19" t="s">
        <v>9</v>
      </c>
      <c r="D13" s="19" t="s">
        <v>10</v>
      </c>
      <c r="E13" s="20">
        <v>25863000007</v>
      </c>
      <c r="F13" s="19" t="s">
        <v>19</v>
      </c>
      <c r="G13" s="21">
        <v>120</v>
      </c>
      <c r="H13" s="21">
        <v>14.152641490827472</v>
      </c>
      <c r="I13" s="21">
        <f t="shared" si="0"/>
        <v>1698.3169788992966</v>
      </c>
      <c r="J13" s="22" t="s">
        <v>12</v>
      </c>
      <c r="Q13" s="23"/>
    </row>
    <row r="14" spans="2:17" x14ac:dyDescent="0.25">
      <c r="B14" s="18">
        <v>9</v>
      </c>
      <c r="C14" s="19" t="s">
        <v>9</v>
      </c>
      <c r="D14" s="19" t="s">
        <v>10</v>
      </c>
      <c r="E14" s="20">
        <v>25863000019</v>
      </c>
      <c r="F14" s="19" t="s">
        <v>19</v>
      </c>
      <c r="G14" s="21">
        <v>40</v>
      </c>
      <c r="H14" s="21">
        <v>14.152612065104165</v>
      </c>
      <c r="I14" s="21">
        <f t="shared" si="0"/>
        <v>566.10448260416661</v>
      </c>
      <c r="J14" s="22" t="s">
        <v>12</v>
      </c>
      <c r="Q14" s="23"/>
    </row>
    <row r="15" spans="2:17" x14ac:dyDescent="0.25">
      <c r="B15" s="18">
        <v>10</v>
      </c>
      <c r="C15" s="19" t="s">
        <v>9</v>
      </c>
      <c r="D15" s="19" t="s">
        <v>10</v>
      </c>
      <c r="E15" s="20">
        <v>25862000007</v>
      </c>
      <c r="F15" s="19" t="s">
        <v>20</v>
      </c>
      <c r="G15" s="21">
        <v>40</v>
      </c>
      <c r="H15" s="21">
        <v>11.079380459094509</v>
      </c>
      <c r="I15" s="21">
        <f t="shared" si="0"/>
        <v>443.17521836378035</v>
      </c>
      <c r="J15" s="22" t="s">
        <v>12</v>
      </c>
      <c r="Q15" s="23"/>
    </row>
    <row r="16" spans="2:17" x14ac:dyDescent="0.25">
      <c r="B16" s="18">
        <v>11</v>
      </c>
      <c r="C16" s="19" t="s">
        <v>9</v>
      </c>
      <c r="D16" s="19" t="s">
        <v>10</v>
      </c>
      <c r="E16" s="20">
        <v>25863000024</v>
      </c>
      <c r="F16" s="19" t="s">
        <v>21</v>
      </c>
      <c r="G16" s="21">
        <v>60</v>
      </c>
      <c r="H16" s="21">
        <v>17.435285004384685</v>
      </c>
      <c r="I16" s="21">
        <f t="shared" si="0"/>
        <v>1046.1171002630811</v>
      </c>
      <c r="J16" s="22" t="s">
        <v>12</v>
      </c>
      <c r="Q16" s="23"/>
    </row>
    <row r="17" spans="2:17" x14ac:dyDescent="0.25">
      <c r="B17" s="18">
        <v>12</v>
      </c>
      <c r="C17" s="19" t="s">
        <v>9</v>
      </c>
      <c r="D17" s="19" t="s">
        <v>10</v>
      </c>
      <c r="E17" s="20">
        <v>25863000009</v>
      </c>
      <c r="F17" s="19" t="s">
        <v>22</v>
      </c>
      <c r="G17" s="21">
        <v>40</v>
      </c>
      <c r="H17" s="21">
        <v>13.174814592583704</v>
      </c>
      <c r="I17" s="21">
        <f t="shared" si="0"/>
        <v>526.99258370334815</v>
      </c>
      <c r="J17" s="22" t="s">
        <v>12</v>
      </c>
      <c r="Q17" s="23"/>
    </row>
    <row r="18" spans="2:17" ht="15.75" thickBot="1" x14ac:dyDescent="0.3">
      <c r="B18" s="18">
        <v>13</v>
      </c>
      <c r="C18" s="19" t="s">
        <v>9</v>
      </c>
      <c r="D18" s="19" t="s">
        <v>10</v>
      </c>
      <c r="E18" s="20">
        <v>25864000013</v>
      </c>
      <c r="F18" s="19" t="s">
        <v>23</v>
      </c>
      <c r="G18" s="21">
        <v>40</v>
      </c>
      <c r="H18" s="21">
        <v>22.044889749958628</v>
      </c>
      <c r="I18" s="21">
        <f t="shared" si="0"/>
        <v>881.79558999834512</v>
      </c>
      <c r="J18" s="22" t="s">
        <v>12</v>
      </c>
      <c r="Q18" s="23"/>
    </row>
    <row r="19" spans="2:17" ht="16.5" thickTop="1" thickBot="1" x14ac:dyDescent="0.3">
      <c r="B19" s="24" t="s">
        <v>24</v>
      </c>
      <c r="C19" s="25"/>
      <c r="D19" s="25"/>
      <c r="E19" s="25"/>
      <c r="F19" s="26"/>
      <c r="G19" s="27">
        <f>SUM(G6:G18)</f>
        <v>1080</v>
      </c>
      <c r="H19" s="32"/>
      <c r="I19" s="27">
        <f>SUM(I6:I18)</f>
        <v>14296.657491580985</v>
      </c>
      <c r="J19" s="28"/>
      <c r="Q19" s="23"/>
    </row>
    <row r="20" spans="2:17" ht="15.75" thickTop="1" x14ac:dyDescent="0.25">
      <c r="B20" s="29"/>
      <c r="C20" s="29"/>
      <c r="D20" s="29"/>
      <c r="E20" s="29"/>
      <c r="F20" s="29"/>
      <c r="G20" s="30"/>
      <c r="H20" s="30"/>
      <c r="I20" s="30"/>
      <c r="J20" s="31"/>
      <c r="Q20" s="23"/>
    </row>
    <row r="21" spans="2:17" x14ac:dyDescent="0.25">
      <c r="B21" s="29"/>
      <c r="C21" s="29"/>
      <c r="D21" s="29"/>
      <c r="E21" s="29"/>
      <c r="F21" s="29"/>
      <c r="G21" s="30"/>
      <c r="H21" s="30"/>
      <c r="I21" s="30"/>
      <c r="J21" s="31"/>
      <c r="Q21" s="23"/>
    </row>
    <row r="22" spans="2:17" x14ac:dyDescent="0.25">
      <c r="Q22" s="23"/>
    </row>
    <row r="23" spans="2:17" x14ac:dyDescent="0.25">
      <c r="Q23" s="23"/>
    </row>
  </sheetData>
  <autoFilter ref="B5:J22" xr:uid="{E8280B8A-E356-4197-BB72-7FB15903B7E5}"/>
  <printOptions horizontalCentered="1"/>
  <pageMargins left="0.31496062992126" right="0.15748031496063" top="0.47244094488188998" bottom="1.4173228346456701" header="0.15748031496063" footer="0.23622047244094499"/>
  <pageSetup paperSize="9" scale="63" orientation="portrait" r:id="rId1"/>
  <headerFooter>
    <oddFooter>&amp;L___________________
Physically verified by
______________________
AM - INK&amp;R__________________
 Given by   
_________________
Manager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Dispensed Ink</vt:lpstr>
      <vt:lpstr>'Dispensed Ink'!Print_Area</vt:lpstr>
      <vt:lpstr>'Dispensed Ink'!Print_Titles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Tharaka W</dc:creator>
  <cp:lastModifiedBy>Tharaka W</cp:lastModifiedBy>
  <dcterms:created xsi:type="dcterms:W3CDTF">2026-05-08T07:26:43Z</dcterms:created>
  <dcterms:modified xsi:type="dcterms:W3CDTF">2026-05-08T07:33:57Z</dcterms:modified>
</cp:coreProperties>
</file>