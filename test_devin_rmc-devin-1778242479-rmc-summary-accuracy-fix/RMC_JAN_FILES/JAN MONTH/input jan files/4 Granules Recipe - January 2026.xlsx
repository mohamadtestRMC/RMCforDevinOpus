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ijo\Desktop\Automation\Base RMC Documents\Base RMC Input Files\"/>
    </mc:Choice>
  </mc:AlternateContent>
  <xr:revisionPtr revIDLastSave="0" documentId="13_ncr:1_{D19F6891-84D4-4A46-8E30-C42A8A0CF707}" xr6:coauthVersionLast="47" xr6:coauthVersionMax="47" xr10:uidLastSave="{00000000-0000-0000-0000-000000000000}"/>
  <bookViews>
    <workbookView xWindow="-120" yWindow="-120" windowWidth="29040" windowHeight="15720" tabRatio="805" xr2:uid="{00000000-000D-0000-FFFF-FFFF00000000}"/>
  </bookViews>
  <sheets>
    <sheet name="Granules_January2025" sheetId="119" r:id="rId1"/>
  </sheets>
  <definedNames>
    <definedName name="_xlnm._FilterDatabase" localSheetId="0" hidden="1">Granules_January2025!$A$9:$MB$156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M11" i="119" l="1"/>
  <c r="FN11" i="119"/>
  <c r="FO11" i="119"/>
  <c r="FP11" i="119"/>
  <c r="FQ11" i="119"/>
  <c r="FR11" i="119"/>
  <c r="FS11" i="119"/>
  <c r="FT11" i="119"/>
  <c r="FU11" i="119"/>
  <c r="FV11" i="119"/>
  <c r="FW11" i="119"/>
  <c r="FX11" i="119"/>
  <c r="FY11" i="119"/>
  <c r="FZ11" i="119"/>
  <c r="GA11" i="119"/>
  <c r="GB11" i="119"/>
  <c r="GC11" i="119"/>
  <c r="GD11" i="119"/>
  <c r="GE11" i="119"/>
  <c r="GF11" i="119"/>
  <c r="GG11" i="119"/>
  <c r="GH11" i="119"/>
  <c r="GI11" i="119"/>
  <c r="GJ11" i="119"/>
  <c r="GK11" i="119"/>
  <c r="GL11" i="119"/>
  <c r="GM11" i="119"/>
  <c r="GN11" i="119"/>
  <c r="GO11" i="119"/>
  <c r="GP11" i="119"/>
  <c r="GQ11" i="119"/>
  <c r="GR11" i="119"/>
  <c r="GS11" i="119"/>
  <c r="GT11" i="119"/>
  <c r="GU11" i="119"/>
  <c r="GV11" i="119"/>
  <c r="GW11" i="119"/>
  <c r="GX11" i="119"/>
  <c r="GY11" i="119"/>
  <c r="GZ11" i="119"/>
  <c r="HA11" i="119"/>
  <c r="HB11" i="119"/>
  <c r="HC11" i="119"/>
  <c r="HD11" i="119"/>
  <c r="HE11" i="119"/>
  <c r="HF11" i="119"/>
  <c r="HG11" i="119"/>
  <c r="HH11" i="119"/>
  <c r="HI11" i="119"/>
  <c r="HJ11" i="119"/>
  <c r="HK11" i="119"/>
  <c r="HL11" i="119"/>
  <c r="FM12" i="119"/>
  <c r="FN12" i="119"/>
  <c r="FO12" i="119"/>
  <c r="FP12" i="119"/>
  <c r="FQ12" i="119"/>
  <c r="FR12" i="119"/>
  <c r="FS12" i="119"/>
  <c r="FT12" i="119"/>
  <c r="FU12" i="119"/>
  <c r="FV12" i="119"/>
  <c r="FW12" i="119"/>
  <c r="FX12" i="119"/>
  <c r="FY12" i="119"/>
  <c r="FZ12" i="119"/>
  <c r="GA12" i="119"/>
  <c r="GB12" i="119"/>
  <c r="GC12" i="119"/>
  <c r="GD12" i="119"/>
  <c r="GE12" i="119"/>
  <c r="GF12" i="119"/>
  <c r="GG12" i="119"/>
  <c r="GH12" i="119"/>
  <c r="GI12" i="119"/>
  <c r="GJ12" i="119"/>
  <c r="GK12" i="119"/>
  <c r="GL12" i="119"/>
  <c r="GM12" i="119"/>
  <c r="GN12" i="119"/>
  <c r="GO12" i="119"/>
  <c r="GP12" i="119"/>
  <c r="GQ12" i="119"/>
  <c r="GR12" i="119"/>
  <c r="GS12" i="119"/>
  <c r="GT12" i="119"/>
  <c r="GU12" i="119"/>
  <c r="GV12" i="119"/>
  <c r="GW12" i="119"/>
  <c r="GX12" i="119"/>
  <c r="GY12" i="119"/>
  <c r="GZ12" i="119"/>
  <c r="HA12" i="119"/>
  <c r="HB12" i="119"/>
  <c r="HC12" i="119"/>
  <c r="HD12" i="119"/>
  <c r="HE12" i="119"/>
  <c r="HF12" i="119"/>
  <c r="HG12" i="119"/>
  <c r="HH12" i="119"/>
  <c r="HI12" i="119"/>
  <c r="HJ12" i="119"/>
  <c r="HK12" i="119"/>
  <c r="HL12" i="119"/>
  <c r="FM13" i="119"/>
  <c r="FN13" i="119"/>
  <c r="FO13" i="119"/>
  <c r="FP13" i="119"/>
  <c r="FQ13" i="119"/>
  <c r="FR13" i="119"/>
  <c r="FS13" i="119"/>
  <c r="FT13" i="119"/>
  <c r="FU13" i="119"/>
  <c r="FV13" i="119"/>
  <c r="FW13" i="119"/>
  <c r="FX13" i="119"/>
  <c r="FY13" i="119"/>
  <c r="FZ13" i="119"/>
  <c r="GA13" i="119"/>
  <c r="GB13" i="119"/>
  <c r="GC13" i="119"/>
  <c r="GD13" i="119"/>
  <c r="GE13" i="119"/>
  <c r="GF13" i="119"/>
  <c r="GG13" i="119"/>
  <c r="GH13" i="119"/>
  <c r="GI13" i="119"/>
  <c r="GJ13" i="119"/>
  <c r="GK13" i="119"/>
  <c r="GL13" i="119"/>
  <c r="GM13" i="119"/>
  <c r="GN13" i="119"/>
  <c r="GO13" i="119"/>
  <c r="GP13" i="119"/>
  <c r="GQ13" i="119"/>
  <c r="GR13" i="119"/>
  <c r="GS13" i="119"/>
  <c r="GT13" i="119"/>
  <c r="GU13" i="119"/>
  <c r="GV13" i="119"/>
  <c r="GW13" i="119"/>
  <c r="GX13" i="119"/>
  <c r="GY13" i="119"/>
  <c r="GZ13" i="119"/>
  <c r="HA13" i="119"/>
  <c r="HB13" i="119"/>
  <c r="HC13" i="119"/>
  <c r="HD13" i="119"/>
  <c r="HE13" i="119"/>
  <c r="HF13" i="119"/>
  <c r="HG13" i="119"/>
  <c r="HH13" i="119"/>
  <c r="HI13" i="119"/>
  <c r="HJ13" i="119"/>
  <c r="HK13" i="119"/>
  <c r="HL13" i="119"/>
  <c r="FM14" i="119"/>
  <c r="FN14" i="119"/>
  <c r="FO14" i="119"/>
  <c r="FP14" i="119"/>
  <c r="FQ14" i="119"/>
  <c r="FR14" i="119"/>
  <c r="FS14" i="119"/>
  <c r="FT14" i="119"/>
  <c r="FU14" i="119"/>
  <c r="FV14" i="119"/>
  <c r="FW14" i="119"/>
  <c r="FX14" i="119"/>
  <c r="FY14" i="119"/>
  <c r="FZ14" i="119"/>
  <c r="GA14" i="119"/>
  <c r="GB14" i="119"/>
  <c r="GC14" i="119"/>
  <c r="GD14" i="119"/>
  <c r="GE14" i="119"/>
  <c r="GF14" i="119"/>
  <c r="GG14" i="119"/>
  <c r="GH14" i="119"/>
  <c r="GI14" i="119"/>
  <c r="GJ14" i="119"/>
  <c r="GK14" i="119"/>
  <c r="GL14" i="119"/>
  <c r="GM14" i="119"/>
  <c r="GN14" i="119"/>
  <c r="GO14" i="119"/>
  <c r="GP14" i="119"/>
  <c r="GQ14" i="119"/>
  <c r="GR14" i="119"/>
  <c r="GS14" i="119"/>
  <c r="GT14" i="119"/>
  <c r="GU14" i="119"/>
  <c r="GV14" i="119"/>
  <c r="GW14" i="119"/>
  <c r="GX14" i="119"/>
  <c r="GY14" i="119"/>
  <c r="GZ14" i="119"/>
  <c r="HA14" i="119"/>
  <c r="HB14" i="119"/>
  <c r="HC14" i="119"/>
  <c r="HD14" i="119"/>
  <c r="HE14" i="119"/>
  <c r="HF14" i="119"/>
  <c r="HG14" i="119"/>
  <c r="HH14" i="119"/>
  <c r="HI14" i="119"/>
  <c r="HJ14" i="119"/>
  <c r="HK14" i="119"/>
  <c r="HL14" i="119"/>
  <c r="FM15" i="119"/>
  <c r="FN15" i="119"/>
  <c r="FO15" i="119"/>
  <c r="FP15" i="119"/>
  <c r="FQ15" i="119"/>
  <c r="FR15" i="119"/>
  <c r="FS15" i="119"/>
  <c r="FT15" i="119"/>
  <c r="FU15" i="119"/>
  <c r="FV15" i="119"/>
  <c r="FW15" i="119"/>
  <c r="FX15" i="119"/>
  <c r="FY15" i="119"/>
  <c r="FZ15" i="119"/>
  <c r="GA15" i="119"/>
  <c r="GB15" i="119"/>
  <c r="GC15" i="119"/>
  <c r="GD15" i="119"/>
  <c r="GE15" i="119"/>
  <c r="GF15" i="119"/>
  <c r="GG15" i="119"/>
  <c r="GH15" i="119"/>
  <c r="GI15" i="119"/>
  <c r="GJ15" i="119"/>
  <c r="GK15" i="119"/>
  <c r="GL15" i="119"/>
  <c r="GM15" i="119"/>
  <c r="GN15" i="119"/>
  <c r="GO15" i="119"/>
  <c r="GP15" i="119"/>
  <c r="GQ15" i="119"/>
  <c r="GR15" i="119"/>
  <c r="GS15" i="119"/>
  <c r="GT15" i="119"/>
  <c r="GU15" i="119"/>
  <c r="GV15" i="119"/>
  <c r="GW15" i="119"/>
  <c r="GX15" i="119"/>
  <c r="GY15" i="119"/>
  <c r="GZ15" i="119"/>
  <c r="HA15" i="119"/>
  <c r="HB15" i="119"/>
  <c r="HC15" i="119"/>
  <c r="HD15" i="119"/>
  <c r="HE15" i="119"/>
  <c r="HF15" i="119"/>
  <c r="HG15" i="119"/>
  <c r="HH15" i="119"/>
  <c r="HI15" i="119"/>
  <c r="HJ15" i="119"/>
  <c r="HK15" i="119"/>
  <c r="HL15" i="119"/>
  <c r="FM16" i="119"/>
  <c r="FN16" i="119"/>
  <c r="FO16" i="119"/>
  <c r="FP16" i="119"/>
  <c r="FQ16" i="119"/>
  <c r="FR16" i="119"/>
  <c r="FS16" i="119"/>
  <c r="FT16" i="119"/>
  <c r="FU16" i="119"/>
  <c r="FV16" i="119"/>
  <c r="FW16" i="119"/>
  <c r="FX16" i="119"/>
  <c r="FY16" i="119"/>
  <c r="FZ16" i="119"/>
  <c r="GA16" i="119"/>
  <c r="GB16" i="119"/>
  <c r="GC16" i="119"/>
  <c r="GD16" i="119"/>
  <c r="GE16" i="119"/>
  <c r="GF16" i="119"/>
  <c r="GG16" i="119"/>
  <c r="GH16" i="119"/>
  <c r="GI16" i="119"/>
  <c r="GJ16" i="119"/>
  <c r="GK16" i="119"/>
  <c r="GL16" i="119"/>
  <c r="GM16" i="119"/>
  <c r="GN16" i="119"/>
  <c r="GO16" i="119"/>
  <c r="GP16" i="119"/>
  <c r="GQ16" i="119"/>
  <c r="GR16" i="119"/>
  <c r="GS16" i="119"/>
  <c r="GT16" i="119"/>
  <c r="GU16" i="119"/>
  <c r="GV16" i="119"/>
  <c r="GW16" i="119"/>
  <c r="GX16" i="119"/>
  <c r="GY16" i="119"/>
  <c r="GZ16" i="119"/>
  <c r="HA16" i="119"/>
  <c r="HB16" i="119"/>
  <c r="HC16" i="119"/>
  <c r="HD16" i="119"/>
  <c r="HE16" i="119"/>
  <c r="HF16" i="119"/>
  <c r="HG16" i="119"/>
  <c r="HH16" i="119"/>
  <c r="HI16" i="119"/>
  <c r="HJ16" i="119"/>
  <c r="HK16" i="119"/>
  <c r="HL16" i="119"/>
  <c r="FM17" i="119"/>
  <c r="FN17" i="119"/>
  <c r="FO17" i="119"/>
  <c r="FP17" i="119"/>
  <c r="FQ17" i="119"/>
  <c r="FR17" i="119"/>
  <c r="FS17" i="119"/>
  <c r="FT17" i="119"/>
  <c r="FU17" i="119"/>
  <c r="FV17" i="119"/>
  <c r="FW17" i="119"/>
  <c r="FX17" i="119"/>
  <c r="FY17" i="119"/>
  <c r="FZ17" i="119"/>
  <c r="GA17" i="119"/>
  <c r="GB17" i="119"/>
  <c r="GC17" i="119"/>
  <c r="GD17" i="119"/>
  <c r="GE17" i="119"/>
  <c r="GF17" i="119"/>
  <c r="GG17" i="119"/>
  <c r="GH17" i="119"/>
  <c r="GI17" i="119"/>
  <c r="GJ17" i="119"/>
  <c r="GK17" i="119"/>
  <c r="GL17" i="119"/>
  <c r="GM17" i="119"/>
  <c r="GN17" i="119"/>
  <c r="GO17" i="119"/>
  <c r="GP17" i="119"/>
  <c r="GQ17" i="119"/>
  <c r="GR17" i="119"/>
  <c r="GS17" i="119"/>
  <c r="GT17" i="119"/>
  <c r="GU17" i="119"/>
  <c r="GV17" i="119"/>
  <c r="GW17" i="119"/>
  <c r="GX17" i="119"/>
  <c r="GY17" i="119"/>
  <c r="GZ17" i="119"/>
  <c r="HA17" i="119"/>
  <c r="HB17" i="119"/>
  <c r="HC17" i="119"/>
  <c r="HD17" i="119"/>
  <c r="HE17" i="119"/>
  <c r="HF17" i="119"/>
  <c r="HG17" i="119"/>
  <c r="HH17" i="119"/>
  <c r="HI17" i="119"/>
  <c r="HJ17" i="119"/>
  <c r="HK17" i="119"/>
  <c r="HL17" i="119"/>
  <c r="FM18" i="119"/>
  <c r="FN18" i="119"/>
  <c r="FO18" i="119"/>
  <c r="FP18" i="119"/>
  <c r="FQ18" i="119"/>
  <c r="FR18" i="119"/>
  <c r="FS18" i="119"/>
  <c r="FT18" i="119"/>
  <c r="FU18" i="119"/>
  <c r="FV18" i="119"/>
  <c r="FW18" i="119"/>
  <c r="FX18" i="119"/>
  <c r="FY18" i="119"/>
  <c r="FZ18" i="119"/>
  <c r="GA18" i="119"/>
  <c r="GB18" i="119"/>
  <c r="GC18" i="119"/>
  <c r="GD18" i="119"/>
  <c r="GE18" i="119"/>
  <c r="GF18" i="119"/>
  <c r="GG18" i="119"/>
  <c r="GH18" i="119"/>
  <c r="GI18" i="119"/>
  <c r="GJ18" i="119"/>
  <c r="GK18" i="119"/>
  <c r="GL18" i="119"/>
  <c r="GM18" i="119"/>
  <c r="GN18" i="119"/>
  <c r="GO18" i="119"/>
  <c r="GP18" i="119"/>
  <c r="GQ18" i="119"/>
  <c r="GR18" i="119"/>
  <c r="GS18" i="119"/>
  <c r="GT18" i="119"/>
  <c r="GU18" i="119"/>
  <c r="GV18" i="119"/>
  <c r="GW18" i="119"/>
  <c r="GX18" i="119"/>
  <c r="GY18" i="119"/>
  <c r="GZ18" i="119"/>
  <c r="HA18" i="119"/>
  <c r="HB18" i="119"/>
  <c r="HC18" i="119"/>
  <c r="HD18" i="119"/>
  <c r="HE18" i="119"/>
  <c r="HF18" i="119"/>
  <c r="HG18" i="119"/>
  <c r="HH18" i="119"/>
  <c r="HI18" i="119"/>
  <c r="HJ18" i="119"/>
  <c r="HK18" i="119"/>
  <c r="HL18" i="119"/>
  <c r="FM19" i="119"/>
  <c r="FN19" i="119"/>
  <c r="FO19" i="119"/>
  <c r="FP19" i="119"/>
  <c r="FQ19" i="119"/>
  <c r="FR19" i="119"/>
  <c r="FS19" i="119"/>
  <c r="FT19" i="119"/>
  <c r="FU19" i="119"/>
  <c r="FV19" i="119"/>
  <c r="FW19" i="119"/>
  <c r="FX19" i="119"/>
  <c r="FY19" i="119"/>
  <c r="FZ19" i="119"/>
  <c r="GA19" i="119"/>
  <c r="GB19" i="119"/>
  <c r="GC19" i="119"/>
  <c r="GD19" i="119"/>
  <c r="GE19" i="119"/>
  <c r="GF19" i="119"/>
  <c r="GG19" i="119"/>
  <c r="GH19" i="119"/>
  <c r="GI19" i="119"/>
  <c r="GJ19" i="119"/>
  <c r="GK19" i="119"/>
  <c r="GL19" i="119"/>
  <c r="GM19" i="119"/>
  <c r="GN19" i="119"/>
  <c r="GO19" i="119"/>
  <c r="GP19" i="119"/>
  <c r="GQ19" i="119"/>
  <c r="GR19" i="119"/>
  <c r="GS19" i="119"/>
  <c r="GT19" i="119"/>
  <c r="GU19" i="119"/>
  <c r="GV19" i="119"/>
  <c r="GW19" i="119"/>
  <c r="GX19" i="119"/>
  <c r="GY19" i="119"/>
  <c r="GZ19" i="119"/>
  <c r="HA19" i="119"/>
  <c r="HB19" i="119"/>
  <c r="HC19" i="119"/>
  <c r="HD19" i="119"/>
  <c r="HE19" i="119"/>
  <c r="HF19" i="119"/>
  <c r="HG19" i="119"/>
  <c r="HH19" i="119"/>
  <c r="HI19" i="119"/>
  <c r="HJ19" i="119"/>
  <c r="HK19" i="119"/>
  <c r="HL19" i="119"/>
  <c r="FM20" i="119"/>
  <c r="FN20" i="119"/>
  <c r="FO20" i="119"/>
  <c r="FP20" i="119"/>
  <c r="FQ20" i="119"/>
  <c r="FR20" i="119"/>
  <c r="FS20" i="119"/>
  <c r="FT20" i="119"/>
  <c r="FU20" i="119"/>
  <c r="FV20" i="119"/>
  <c r="FW20" i="119"/>
  <c r="FX20" i="119"/>
  <c r="FY20" i="119"/>
  <c r="FZ20" i="119"/>
  <c r="GA20" i="119"/>
  <c r="GB20" i="119"/>
  <c r="GC20" i="119"/>
  <c r="GD20" i="119"/>
  <c r="GE20" i="119"/>
  <c r="GF20" i="119"/>
  <c r="GG20" i="119"/>
  <c r="GH20" i="119"/>
  <c r="GI20" i="119"/>
  <c r="GJ20" i="119"/>
  <c r="GK20" i="119"/>
  <c r="GL20" i="119"/>
  <c r="GM20" i="119"/>
  <c r="GN20" i="119"/>
  <c r="GO20" i="119"/>
  <c r="GP20" i="119"/>
  <c r="GQ20" i="119"/>
  <c r="GR20" i="119"/>
  <c r="GS20" i="119"/>
  <c r="GT20" i="119"/>
  <c r="GU20" i="119"/>
  <c r="GV20" i="119"/>
  <c r="GW20" i="119"/>
  <c r="GX20" i="119"/>
  <c r="GY20" i="119"/>
  <c r="GZ20" i="119"/>
  <c r="HA20" i="119"/>
  <c r="HB20" i="119"/>
  <c r="HC20" i="119"/>
  <c r="HD20" i="119"/>
  <c r="HE20" i="119"/>
  <c r="HF20" i="119"/>
  <c r="HG20" i="119"/>
  <c r="HH20" i="119"/>
  <c r="HI20" i="119"/>
  <c r="HJ20" i="119"/>
  <c r="HK20" i="119"/>
  <c r="HL20" i="119"/>
  <c r="FM21" i="119"/>
  <c r="FN21" i="119"/>
  <c r="FO21" i="119"/>
  <c r="FP21" i="119"/>
  <c r="FQ21" i="119"/>
  <c r="FR21" i="119"/>
  <c r="FS21" i="119"/>
  <c r="FT21" i="119"/>
  <c r="FU21" i="119"/>
  <c r="FV21" i="119"/>
  <c r="FW21" i="119"/>
  <c r="FX21" i="119"/>
  <c r="FY21" i="119"/>
  <c r="FZ21" i="119"/>
  <c r="GA21" i="119"/>
  <c r="GB21" i="119"/>
  <c r="GC21" i="119"/>
  <c r="GD21" i="119"/>
  <c r="GE21" i="119"/>
  <c r="GF21" i="119"/>
  <c r="GG21" i="119"/>
  <c r="GH21" i="119"/>
  <c r="GI21" i="119"/>
  <c r="GJ21" i="119"/>
  <c r="GK21" i="119"/>
  <c r="GL21" i="119"/>
  <c r="GM21" i="119"/>
  <c r="GN21" i="119"/>
  <c r="GO21" i="119"/>
  <c r="GP21" i="119"/>
  <c r="GQ21" i="119"/>
  <c r="GR21" i="119"/>
  <c r="GS21" i="119"/>
  <c r="GT21" i="119"/>
  <c r="GU21" i="119"/>
  <c r="GV21" i="119"/>
  <c r="GW21" i="119"/>
  <c r="GX21" i="119"/>
  <c r="GY21" i="119"/>
  <c r="GZ21" i="119"/>
  <c r="HA21" i="119"/>
  <c r="HB21" i="119"/>
  <c r="HC21" i="119"/>
  <c r="HD21" i="119"/>
  <c r="HE21" i="119"/>
  <c r="HF21" i="119"/>
  <c r="HG21" i="119"/>
  <c r="HH21" i="119"/>
  <c r="HI21" i="119"/>
  <c r="HJ21" i="119"/>
  <c r="HK21" i="119"/>
  <c r="HL21" i="119"/>
  <c r="FM22" i="119"/>
  <c r="FN22" i="119"/>
  <c r="FO22" i="119"/>
  <c r="FP22" i="119"/>
  <c r="FQ22" i="119"/>
  <c r="FR22" i="119"/>
  <c r="FS22" i="119"/>
  <c r="FT22" i="119"/>
  <c r="FU22" i="119"/>
  <c r="FV22" i="119"/>
  <c r="FW22" i="119"/>
  <c r="FX22" i="119"/>
  <c r="FY22" i="119"/>
  <c r="FZ22" i="119"/>
  <c r="GA22" i="119"/>
  <c r="GB22" i="119"/>
  <c r="GC22" i="119"/>
  <c r="GD22" i="119"/>
  <c r="GE22" i="119"/>
  <c r="GF22" i="119"/>
  <c r="GG22" i="119"/>
  <c r="GH22" i="119"/>
  <c r="GI22" i="119"/>
  <c r="GJ22" i="119"/>
  <c r="GK22" i="119"/>
  <c r="GL22" i="119"/>
  <c r="GM22" i="119"/>
  <c r="GN22" i="119"/>
  <c r="GO22" i="119"/>
  <c r="GP22" i="119"/>
  <c r="GQ22" i="119"/>
  <c r="GR22" i="119"/>
  <c r="GS22" i="119"/>
  <c r="GT22" i="119"/>
  <c r="GU22" i="119"/>
  <c r="GV22" i="119"/>
  <c r="GW22" i="119"/>
  <c r="GX22" i="119"/>
  <c r="GY22" i="119"/>
  <c r="GZ22" i="119"/>
  <c r="HA22" i="119"/>
  <c r="HB22" i="119"/>
  <c r="HC22" i="119"/>
  <c r="HD22" i="119"/>
  <c r="HE22" i="119"/>
  <c r="HF22" i="119"/>
  <c r="HG22" i="119"/>
  <c r="HH22" i="119"/>
  <c r="HI22" i="119"/>
  <c r="HJ22" i="119"/>
  <c r="HK22" i="119"/>
  <c r="HL22" i="119"/>
  <c r="FM23" i="119"/>
  <c r="FN23" i="119"/>
  <c r="FO23" i="119"/>
  <c r="FP23" i="119"/>
  <c r="FQ23" i="119"/>
  <c r="FR23" i="119"/>
  <c r="FS23" i="119"/>
  <c r="FT23" i="119"/>
  <c r="FU23" i="119"/>
  <c r="FV23" i="119"/>
  <c r="FW23" i="119"/>
  <c r="FX23" i="119"/>
  <c r="FY23" i="119"/>
  <c r="FZ23" i="119"/>
  <c r="GA23" i="119"/>
  <c r="GB23" i="119"/>
  <c r="GC23" i="119"/>
  <c r="GD23" i="119"/>
  <c r="GE23" i="119"/>
  <c r="GF23" i="119"/>
  <c r="GG23" i="119"/>
  <c r="GH23" i="119"/>
  <c r="GI23" i="119"/>
  <c r="GJ23" i="119"/>
  <c r="GK23" i="119"/>
  <c r="GL23" i="119"/>
  <c r="GM23" i="119"/>
  <c r="GN23" i="119"/>
  <c r="GO23" i="119"/>
  <c r="GP23" i="119"/>
  <c r="GQ23" i="119"/>
  <c r="GR23" i="119"/>
  <c r="GS23" i="119"/>
  <c r="GT23" i="119"/>
  <c r="GU23" i="119"/>
  <c r="GV23" i="119"/>
  <c r="GW23" i="119"/>
  <c r="GX23" i="119"/>
  <c r="GY23" i="119"/>
  <c r="GZ23" i="119"/>
  <c r="HA23" i="119"/>
  <c r="HB23" i="119"/>
  <c r="HC23" i="119"/>
  <c r="HD23" i="119"/>
  <c r="HE23" i="119"/>
  <c r="HF23" i="119"/>
  <c r="HG23" i="119"/>
  <c r="HH23" i="119"/>
  <c r="HI23" i="119"/>
  <c r="HJ23" i="119"/>
  <c r="HK23" i="119"/>
  <c r="HL23" i="119"/>
  <c r="FM24" i="119"/>
  <c r="FN24" i="119"/>
  <c r="FO24" i="119"/>
  <c r="FP24" i="119"/>
  <c r="FQ24" i="119"/>
  <c r="FR24" i="119"/>
  <c r="FS24" i="119"/>
  <c r="FT24" i="119"/>
  <c r="FU24" i="119"/>
  <c r="FV24" i="119"/>
  <c r="FW24" i="119"/>
  <c r="FX24" i="119"/>
  <c r="FY24" i="119"/>
  <c r="FZ24" i="119"/>
  <c r="GA24" i="119"/>
  <c r="GB24" i="119"/>
  <c r="GC24" i="119"/>
  <c r="GD24" i="119"/>
  <c r="GE24" i="119"/>
  <c r="GF24" i="119"/>
  <c r="GG24" i="119"/>
  <c r="GH24" i="119"/>
  <c r="GI24" i="119"/>
  <c r="GJ24" i="119"/>
  <c r="GK24" i="119"/>
  <c r="GL24" i="119"/>
  <c r="GM24" i="119"/>
  <c r="GN24" i="119"/>
  <c r="GO24" i="119"/>
  <c r="GP24" i="119"/>
  <c r="GQ24" i="119"/>
  <c r="GR24" i="119"/>
  <c r="GS24" i="119"/>
  <c r="GT24" i="119"/>
  <c r="GU24" i="119"/>
  <c r="GV24" i="119"/>
  <c r="GW24" i="119"/>
  <c r="GX24" i="119"/>
  <c r="GY24" i="119"/>
  <c r="GZ24" i="119"/>
  <c r="HA24" i="119"/>
  <c r="HB24" i="119"/>
  <c r="HC24" i="119"/>
  <c r="HD24" i="119"/>
  <c r="HE24" i="119"/>
  <c r="HF24" i="119"/>
  <c r="HG24" i="119"/>
  <c r="HH24" i="119"/>
  <c r="HI24" i="119"/>
  <c r="HJ24" i="119"/>
  <c r="HK24" i="119"/>
  <c r="HL24" i="119"/>
  <c r="FM25" i="119"/>
  <c r="FN25" i="119"/>
  <c r="FO25" i="119"/>
  <c r="FP25" i="119"/>
  <c r="FQ25" i="119"/>
  <c r="FR25" i="119"/>
  <c r="FS25" i="119"/>
  <c r="FT25" i="119"/>
  <c r="FU25" i="119"/>
  <c r="FV25" i="119"/>
  <c r="FW25" i="119"/>
  <c r="FX25" i="119"/>
  <c r="FY25" i="119"/>
  <c r="FZ25" i="119"/>
  <c r="GA25" i="119"/>
  <c r="GB25" i="119"/>
  <c r="GC25" i="119"/>
  <c r="GD25" i="119"/>
  <c r="GE25" i="119"/>
  <c r="GF25" i="119"/>
  <c r="GG25" i="119"/>
  <c r="GH25" i="119"/>
  <c r="GI25" i="119"/>
  <c r="GJ25" i="119"/>
  <c r="GK25" i="119"/>
  <c r="GL25" i="119"/>
  <c r="GM25" i="119"/>
  <c r="GN25" i="119"/>
  <c r="GO25" i="119"/>
  <c r="GP25" i="119"/>
  <c r="GQ25" i="119"/>
  <c r="GR25" i="119"/>
  <c r="GS25" i="119"/>
  <c r="GT25" i="119"/>
  <c r="GU25" i="119"/>
  <c r="GV25" i="119"/>
  <c r="GW25" i="119"/>
  <c r="GX25" i="119"/>
  <c r="GY25" i="119"/>
  <c r="GZ25" i="119"/>
  <c r="HA25" i="119"/>
  <c r="HB25" i="119"/>
  <c r="HC25" i="119"/>
  <c r="HD25" i="119"/>
  <c r="HE25" i="119"/>
  <c r="HF25" i="119"/>
  <c r="HG25" i="119"/>
  <c r="HH25" i="119"/>
  <c r="HI25" i="119"/>
  <c r="HJ25" i="119"/>
  <c r="HK25" i="119"/>
  <c r="HL25" i="119"/>
  <c r="FM26" i="119"/>
  <c r="FN26" i="119"/>
  <c r="FO26" i="119"/>
  <c r="FP26" i="119"/>
  <c r="FQ26" i="119"/>
  <c r="FR26" i="119"/>
  <c r="FS26" i="119"/>
  <c r="FT26" i="119"/>
  <c r="FU26" i="119"/>
  <c r="FV26" i="119"/>
  <c r="FW26" i="119"/>
  <c r="FX26" i="119"/>
  <c r="FY26" i="119"/>
  <c r="FZ26" i="119"/>
  <c r="GA26" i="119"/>
  <c r="GB26" i="119"/>
  <c r="GC26" i="119"/>
  <c r="GD26" i="119"/>
  <c r="GE26" i="119"/>
  <c r="GF26" i="119"/>
  <c r="GG26" i="119"/>
  <c r="GH26" i="119"/>
  <c r="GI26" i="119"/>
  <c r="GJ26" i="119"/>
  <c r="GK26" i="119"/>
  <c r="GL26" i="119"/>
  <c r="GM26" i="119"/>
  <c r="GN26" i="119"/>
  <c r="GO26" i="119"/>
  <c r="GP26" i="119"/>
  <c r="GQ26" i="119"/>
  <c r="GR26" i="119"/>
  <c r="GS26" i="119"/>
  <c r="GT26" i="119"/>
  <c r="GU26" i="119"/>
  <c r="GV26" i="119"/>
  <c r="GW26" i="119"/>
  <c r="GX26" i="119"/>
  <c r="GY26" i="119"/>
  <c r="GZ26" i="119"/>
  <c r="HA26" i="119"/>
  <c r="HB26" i="119"/>
  <c r="HC26" i="119"/>
  <c r="HD26" i="119"/>
  <c r="HE26" i="119"/>
  <c r="HF26" i="119"/>
  <c r="HG26" i="119"/>
  <c r="HH26" i="119"/>
  <c r="HI26" i="119"/>
  <c r="HJ26" i="119"/>
  <c r="HK26" i="119"/>
  <c r="HL26" i="119"/>
  <c r="FM27" i="119"/>
  <c r="FN27" i="119"/>
  <c r="FO27" i="119"/>
  <c r="FP27" i="119"/>
  <c r="FQ27" i="119"/>
  <c r="FR27" i="119"/>
  <c r="FS27" i="119"/>
  <c r="FT27" i="119"/>
  <c r="FU27" i="119"/>
  <c r="FV27" i="119"/>
  <c r="FW27" i="119"/>
  <c r="FX27" i="119"/>
  <c r="FY27" i="119"/>
  <c r="FZ27" i="119"/>
  <c r="GA27" i="119"/>
  <c r="GB27" i="119"/>
  <c r="GC27" i="119"/>
  <c r="GD27" i="119"/>
  <c r="GE27" i="119"/>
  <c r="GF27" i="119"/>
  <c r="GG27" i="119"/>
  <c r="GH27" i="119"/>
  <c r="GI27" i="119"/>
  <c r="GJ27" i="119"/>
  <c r="GK27" i="119"/>
  <c r="GL27" i="119"/>
  <c r="GM27" i="119"/>
  <c r="GN27" i="119"/>
  <c r="GO27" i="119"/>
  <c r="GP27" i="119"/>
  <c r="GQ27" i="119"/>
  <c r="GR27" i="119"/>
  <c r="GS27" i="119"/>
  <c r="GT27" i="119"/>
  <c r="GU27" i="119"/>
  <c r="GV27" i="119"/>
  <c r="GW27" i="119"/>
  <c r="GX27" i="119"/>
  <c r="GY27" i="119"/>
  <c r="GZ27" i="119"/>
  <c r="HA27" i="119"/>
  <c r="HB27" i="119"/>
  <c r="HC27" i="119"/>
  <c r="HD27" i="119"/>
  <c r="HE27" i="119"/>
  <c r="HF27" i="119"/>
  <c r="HG27" i="119"/>
  <c r="HH27" i="119"/>
  <c r="HI27" i="119"/>
  <c r="HJ27" i="119"/>
  <c r="HK27" i="119"/>
  <c r="HL27" i="119"/>
  <c r="FM28" i="119"/>
  <c r="FN28" i="119"/>
  <c r="FO28" i="119"/>
  <c r="FP28" i="119"/>
  <c r="FQ28" i="119"/>
  <c r="FR28" i="119"/>
  <c r="FS28" i="119"/>
  <c r="FT28" i="119"/>
  <c r="FU28" i="119"/>
  <c r="FV28" i="119"/>
  <c r="FW28" i="119"/>
  <c r="FX28" i="119"/>
  <c r="FY28" i="119"/>
  <c r="FZ28" i="119"/>
  <c r="GA28" i="119"/>
  <c r="GB28" i="119"/>
  <c r="GC28" i="119"/>
  <c r="GD28" i="119"/>
  <c r="GE28" i="119"/>
  <c r="GF28" i="119"/>
  <c r="GG28" i="119"/>
  <c r="GH28" i="119"/>
  <c r="GI28" i="119"/>
  <c r="GJ28" i="119"/>
  <c r="GK28" i="119"/>
  <c r="GL28" i="119"/>
  <c r="GM28" i="119"/>
  <c r="GN28" i="119"/>
  <c r="GO28" i="119"/>
  <c r="GP28" i="119"/>
  <c r="GQ28" i="119"/>
  <c r="GR28" i="119"/>
  <c r="GS28" i="119"/>
  <c r="GT28" i="119"/>
  <c r="GU28" i="119"/>
  <c r="GV28" i="119"/>
  <c r="GW28" i="119"/>
  <c r="GX28" i="119"/>
  <c r="GY28" i="119"/>
  <c r="GZ28" i="119"/>
  <c r="HA28" i="119"/>
  <c r="HB28" i="119"/>
  <c r="HC28" i="119"/>
  <c r="HD28" i="119"/>
  <c r="HE28" i="119"/>
  <c r="HF28" i="119"/>
  <c r="HG28" i="119"/>
  <c r="HH28" i="119"/>
  <c r="HI28" i="119"/>
  <c r="HJ28" i="119"/>
  <c r="HK28" i="119"/>
  <c r="HL28" i="119"/>
  <c r="FM29" i="119"/>
  <c r="FN29" i="119"/>
  <c r="FO29" i="119"/>
  <c r="FP29" i="119"/>
  <c r="FQ29" i="119"/>
  <c r="FR29" i="119"/>
  <c r="FS29" i="119"/>
  <c r="FT29" i="119"/>
  <c r="FU29" i="119"/>
  <c r="FV29" i="119"/>
  <c r="FW29" i="119"/>
  <c r="FX29" i="119"/>
  <c r="FY29" i="119"/>
  <c r="FZ29" i="119"/>
  <c r="GA29" i="119"/>
  <c r="GB29" i="119"/>
  <c r="GC29" i="119"/>
  <c r="GD29" i="119"/>
  <c r="GE29" i="119"/>
  <c r="GF29" i="119"/>
  <c r="GG29" i="119"/>
  <c r="GH29" i="119"/>
  <c r="GI29" i="119"/>
  <c r="GJ29" i="119"/>
  <c r="GK29" i="119"/>
  <c r="GL29" i="119"/>
  <c r="GM29" i="119"/>
  <c r="GN29" i="119"/>
  <c r="GO29" i="119"/>
  <c r="GP29" i="119"/>
  <c r="GQ29" i="119"/>
  <c r="GR29" i="119"/>
  <c r="GS29" i="119"/>
  <c r="GT29" i="119"/>
  <c r="GU29" i="119"/>
  <c r="GV29" i="119"/>
  <c r="GW29" i="119"/>
  <c r="GX29" i="119"/>
  <c r="GY29" i="119"/>
  <c r="GZ29" i="119"/>
  <c r="HA29" i="119"/>
  <c r="HB29" i="119"/>
  <c r="HC29" i="119"/>
  <c r="HD29" i="119"/>
  <c r="HE29" i="119"/>
  <c r="HF29" i="119"/>
  <c r="HG29" i="119"/>
  <c r="HH29" i="119"/>
  <c r="HI29" i="119"/>
  <c r="HJ29" i="119"/>
  <c r="HK29" i="119"/>
  <c r="HL29" i="119"/>
  <c r="FM30" i="119"/>
  <c r="FN30" i="119"/>
  <c r="FO30" i="119"/>
  <c r="FP30" i="119"/>
  <c r="FQ30" i="119"/>
  <c r="FR30" i="119"/>
  <c r="FS30" i="119"/>
  <c r="FT30" i="119"/>
  <c r="FU30" i="119"/>
  <c r="FV30" i="119"/>
  <c r="FW30" i="119"/>
  <c r="FX30" i="119"/>
  <c r="FY30" i="119"/>
  <c r="FZ30" i="119"/>
  <c r="GA30" i="119"/>
  <c r="GB30" i="119"/>
  <c r="GC30" i="119"/>
  <c r="GD30" i="119"/>
  <c r="GE30" i="119"/>
  <c r="GF30" i="119"/>
  <c r="GG30" i="119"/>
  <c r="GH30" i="119"/>
  <c r="GI30" i="119"/>
  <c r="GJ30" i="119"/>
  <c r="GK30" i="119"/>
  <c r="GL30" i="119"/>
  <c r="GM30" i="119"/>
  <c r="GN30" i="119"/>
  <c r="GO30" i="119"/>
  <c r="GP30" i="119"/>
  <c r="GQ30" i="119"/>
  <c r="GR30" i="119"/>
  <c r="GS30" i="119"/>
  <c r="GT30" i="119"/>
  <c r="GU30" i="119"/>
  <c r="GV30" i="119"/>
  <c r="GW30" i="119"/>
  <c r="GX30" i="119"/>
  <c r="GY30" i="119"/>
  <c r="GZ30" i="119"/>
  <c r="HA30" i="119"/>
  <c r="HB30" i="119"/>
  <c r="HC30" i="119"/>
  <c r="HD30" i="119"/>
  <c r="HE30" i="119"/>
  <c r="HF30" i="119"/>
  <c r="HG30" i="119"/>
  <c r="HH30" i="119"/>
  <c r="HI30" i="119"/>
  <c r="HJ30" i="119"/>
  <c r="HK30" i="119"/>
  <c r="HL30" i="119"/>
  <c r="FM31" i="119"/>
  <c r="FN31" i="119"/>
  <c r="FO31" i="119"/>
  <c r="FP31" i="119"/>
  <c r="FQ31" i="119"/>
  <c r="FR31" i="119"/>
  <c r="FS31" i="119"/>
  <c r="FT31" i="119"/>
  <c r="FU31" i="119"/>
  <c r="FV31" i="119"/>
  <c r="FW31" i="119"/>
  <c r="FX31" i="119"/>
  <c r="FY31" i="119"/>
  <c r="FZ31" i="119"/>
  <c r="GA31" i="119"/>
  <c r="GB31" i="119"/>
  <c r="GC31" i="119"/>
  <c r="GD31" i="119"/>
  <c r="GE31" i="119"/>
  <c r="GF31" i="119"/>
  <c r="GG31" i="119"/>
  <c r="GH31" i="119"/>
  <c r="GI31" i="119"/>
  <c r="GJ31" i="119"/>
  <c r="GK31" i="119"/>
  <c r="GL31" i="119"/>
  <c r="GM31" i="119"/>
  <c r="GN31" i="119"/>
  <c r="GO31" i="119"/>
  <c r="GP31" i="119"/>
  <c r="GQ31" i="119"/>
  <c r="GR31" i="119"/>
  <c r="GS31" i="119"/>
  <c r="GT31" i="119"/>
  <c r="GU31" i="119"/>
  <c r="GV31" i="119"/>
  <c r="GW31" i="119"/>
  <c r="GX31" i="119"/>
  <c r="GY31" i="119"/>
  <c r="GZ31" i="119"/>
  <c r="HA31" i="119"/>
  <c r="HB31" i="119"/>
  <c r="HC31" i="119"/>
  <c r="HD31" i="119"/>
  <c r="HE31" i="119"/>
  <c r="HF31" i="119"/>
  <c r="HG31" i="119"/>
  <c r="HH31" i="119"/>
  <c r="HI31" i="119"/>
  <c r="HJ31" i="119"/>
  <c r="HK31" i="119"/>
  <c r="HL31" i="119"/>
  <c r="FM32" i="119"/>
  <c r="FN32" i="119"/>
  <c r="FO32" i="119"/>
  <c r="FP32" i="119"/>
  <c r="FQ32" i="119"/>
  <c r="FR32" i="119"/>
  <c r="FS32" i="119"/>
  <c r="FT32" i="119"/>
  <c r="FU32" i="119"/>
  <c r="FV32" i="119"/>
  <c r="FW32" i="119"/>
  <c r="FX32" i="119"/>
  <c r="FY32" i="119"/>
  <c r="FZ32" i="119"/>
  <c r="GA32" i="119"/>
  <c r="GB32" i="119"/>
  <c r="GC32" i="119"/>
  <c r="GD32" i="119"/>
  <c r="GE32" i="119"/>
  <c r="GF32" i="119"/>
  <c r="GG32" i="119"/>
  <c r="GH32" i="119"/>
  <c r="GI32" i="119"/>
  <c r="GJ32" i="119"/>
  <c r="GK32" i="119"/>
  <c r="GL32" i="119"/>
  <c r="GM32" i="119"/>
  <c r="GN32" i="119"/>
  <c r="GO32" i="119"/>
  <c r="GP32" i="119"/>
  <c r="GQ32" i="119"/>
  <c r="GR32" i="119"/>
  <c r="GS32" i="119"/>
  <c r="GT32" i="119"/>
  <c r="GU32" i="119"/>
  <c r="GV32" i="119"/>
  <c r="GW32" i="119"/>
  <c r="GX32" i="119"/>
  <c r="GY32" i="119"/>
  <c r="GZ32" i="119"/>
  <c r="HA32" i="119"/>
  <c r="HB32" i="119"/>
  <c r="HC32" i="119"/>
  <c r="HD32" i="119"/>
  <c r="HE32" i="119"/>
  <c r="HF32" i="119"/>
  <c r="HG32" i="119"/>
  <c r="HH32" i="119"/>
  <c r="HI32" i="119"/>
  <c r="HJ32" i="119"/>
  <c r="HK32" i="119"/>
  <c r="HL32" i="119"/>
  <c r="FM33" i="119"/>
  <c r="FN33" i="119"/>
  <c r="FO33" i="119"/>
  <c r="FP33" i="119"/>
  <c r="FQ33" i="119"/>
  <c r="FR33" i="119"/>
  <c r="FS33" i="119"/>
  <c r="FT33" i="119"/>
  <c r="FU33" i="119"/>
  <c r="FV33" i="119"/>
  <c r="FW33" i="119"/>
  <c r="FX33" i="119"/>
  <c r="FY33" i="119"/>
  <c r="FZ33" i="119"/>
  <c r="GA33" i="119"/>
  <c r="GB33" i="119"/>
  <c r="GC33" i="119"/>
  <c r="GD33" i="119"/>
  <c r="GE33" i="119"/>
  <c r="GF33" i="119"/>
  <c r="GG33" i="119"/>
  <c r="GH33" i="119"/>
  <c r="GI33" i="119"/>
  <c r="GJ33" i="119"/>
  <c r="GK33" i="119"/>
  <c r="GL33" i="119"/>
  <c r="GM33" i="119"/>
  <c r="GN33" i="119"/>
  <c r="GO33" i="119"/>
  <c r="GP33" i="119"/>
  <c r="GQ33" i="119"/>
  <c r="GR33" i="119"/>
  <c r="GS33" i="119"/>
  <c r="GT33" i="119"/>
  <c r="GU33" i="119"/>
  <c r="GV33" i="119"/>
  <c r="GW33" i="119"/>
  <c r="GX33" i="119"/>
  <c r="GY33" i="119"/>
  <c r="GZ33" i="119"/>
  <c r="HA33" i="119"/>
  <c r="HB33" i="119"/>
  <c r="HC33" i="119"/>
  <c r="HD33" i="119"/>
  <c r="HE33" i="119"/>
  <c r="HF33" i="119"/>
  <c r="HG33" i="119"/>
  <c r="HH33" i="119"/>
  <c r="HI33" i="119"/>
  <c r="HJ33" i="119"/>
  <c r="HK33" i="119"/>
  <c r="HL33" i="119"/>
  <c r="FM34" i="119"/>
  <c r="FN34" i="119"/>
  <c r="FO34" i="119"/>
  <c r="FP34" i="119"/>
  <c r="FQ34" i="119"/>
  <c r="FR34" i="119"/>
  <c r="FS34" i="119"/>
  <c r="FT34" i="119"/>
  <c r="FU34" i="119"/>
  <c r="FV34" i="119"/>
  <c r="FW34" i="119"/>
  <c r="FX34" i="119"/>
  <c r="FY34" i="119"/>
  <c r="FZ34" i="119"/>
  <c r="GA34" i="119"/>
  <c r="GB34" i="119"/>
  <c r="GC34" i="119"/>
  <c r="GD34" i="119"/>
  <c r="GE34" i="119"/>
  <c r="GF34" i="119"/>
  <c r="GG34" i="119"/>
  <c r="GH34" i="119"/>
  <c r="GI34" i="119"/>
  <c r="GJ34" i="119"/>
  <c r="GK34" i="119"/>
  <c r="GL34" i="119"/>
  <c r="GM34" i="119"/>
  <c r="GN34" i="119"/>
  <c r="GO34" i="119"/>
  <c r="GP34" i="119"/>
  <c r="GQ34" i="119"/>
  <c r="GR34" i="119"/>
  <c r="GS34" i="119"/>
  <c r="GT34" i="119"/>
  <c r="GU34" i="119"/>
  <c r="GV34" i="119"/>
  <c r="GW34" i="119"/>
  <c r="GX34" i="119"/>
  <c r="GY34" i="119"/>
  <c r="GZ34" i="119"/>
  <c r="HA34" i="119"/>
  <c r="HB34" i="119"/>
  <c r="HC34" i="119"/>
  <c r="HD34" i="119"/>
  <c r="HE34" i="119"/>
  <c r="HF34" i="119"/>
  <c r="HG34" i="119"/>
  <c r="HH34" i="119"/>
  <c r="HI34" i="119"/>
  <c r="HJ34" i="119"/>
  <c r="HK34" i="119"/>
  <c r="HL34" i="119"/>
  <c r="FM35" i="119"/>
  <c r="FN35" i="119"/>
  <c r="FO35" i="119"/>
  <c r="FP35" i="119"/>
  <c r="FQ35" i="119"/>
  <c r="FR35" i="119"/>
  <c r="FS35" i="119"/>
  <c r="FT35" i="119"/>
  <c r="FU35" i="119"/>
  <c r="FV35" i="119"/>
  <c r="FW35" i="119"/>
  <c r="FX35" i="119"/>
  <c r="FY35" i="119"/>
  <c r="FZ35" i="119"/>
  <c r="GA35" i="119"/>
  <c r="GB35" i="119"/>
  <c r="GC35" i="119"/>
  <c r="GD35" i="119"/>
  <c r="GE35" i="119"/>
  <c r="GF35" i="119"/>
  <c r="GG35" i="119"/>
  <c r="GH35" i="119"/>
  <c r="GI35" i="119"/>
  <c r="GJ35" i="119"/>
  <c r="GK35" i="119"/>
  <c r="GL35" i="119"/>
  <c r="GM35" i="119"/>
  <c r="GN35" i="119"/>
  <c r="GO35" i="119"/>
  <c r="GP35" i="119"/>
  <c r="GQ35" i="119"/>
  <c r="GR35" i="119"/>
  <c r="GS35" i="119"/>
  <c r="GT35" i="119"/>
  <c r="GU35" i="119"/>
  <c r="GV35" i="119"/>
  <c r="GW35" i="119"/>
  <c r="GX35" i="119"/>
  <c r="GY35" i="119"/>
  <c r="GZ35" i="119"/>
  <c r="HA35" i="119"/>
  <c r="HB35" i="119"/>
  <c r="HC35" i="119"/>
  <c r="HD35" i="119"/>
  <c r="HE35" i="119"/>
  <c r="HF35" i="119"/>
  <c r="HG35" i="119"/>
  <c r="HH35" i="119"/>
  <c r="HI35" i="119"/>
  <c r="HJ35" i="119"/>
  <c r="HK35" i="119"/>
  <c r="HL35" i="119"/>
  <c r="FM36" i="119"/>
  <c r="FN36" i="119"/>
  <c r="FO36" i="119"/>
  <c r="FP36" i="119"/>
  <c r="FQ36" i="119"/>
  <c r="FR36" i="119"/>
  <c r="FS36" i="119"/>
  <c r="FT36" i="119"/>
  <c r="FU36" i="119"/>
  <c r="FV36" i="119"/>
  <c r="FW36" i="119"/>
  <c r="FX36" i="119"/>
  <c r="FY36" i="119"/>
  <c r="FZ36" i="119"/>
  <c r="GA36" i="119"/>
  <c r="GB36" i="119"/>
  <c r="GC36" i="119"/>
  <c r="GD36" i="119"/>
  <c r="GE36" i="119"/>
  <c r="GF36" i="119"/>
  <c r="GG36" i="119"/>
  <c r="GH36" i="119"/>
  <c r="GI36" i="119"/>
  <c r="GJ36" i="119"/>
  <c r="GK36" i="119"/>
  <c r="GL36" i="119"/>
  <c r="GM36" i="119"/>
  <c r="GN36" i="119"/>
  <c r="GO36" i="119"/>
  <c r="GP36" i="119"/>
  <c r="GQ36" i="119"/>
  <c r="GR36" i="119"/>
  <c r="GS36" i="119"/>
  <c r="GT36" i="119"/>
  <c r="GU36" i="119"/>
  <c r="GV36" i="119"/>
  <c r="GW36" i="119"/>
  <c r="GX36" i="119"/>
  <c r="GY36" i="119"/>
  <c r="GZ36" i="119"/>
  <c r="HA36" i="119"/>
  <c r="HB36" i="119"/>
  <c r="HC36" i="119"/>
  <c r="HD36" i="119"/>
  <c r="HE36" i="119"/>
  <c r="HF36" i="119"/>
  <c r="HG36" i="119"/>
  <c r="HH36" i="119"/>
  <c r="HI36" i="119"/>
  <c r="HJ36" i="119"/>
  <c r="HK36" i="119"/>
  <c r="HL36" i="119"/>
  <c r="FM37" i="119"/>
  <c r="FN37" i="119"/>
  <c r="FO37" i="119"/>
  <c r="FP37" i="119"/>
  <c r="FQ37" i="119"/>
  <c r="FR37" i="119"/>
  <c r="FS37" i="119"/>
  <c r="FT37" i="119"/>
  <c r="FU37" i="119"/>
  <c r="FV37" i="119"/>
  <c r="FW37" i="119"/>
  <c r="FX37" i="119"/>
  <c r="FY37" i="119"/>
  <c r="FZ37" i="119"/>
  <c r="GA37" i="119"/>
  <c r="GB37" i="119"/>
  <c r="GC37" i="119"/>
  <c r="GD37" i="119"/>
  <c r="GE37" i="119"/>
  <c r="GF37" i="119"/>
  <c r="GG37" i="119"/>
  <c r="GH37" i="119"/>
  <c r="GI37" i="119"/>
  <c r="GJ37" i="119"/>
  <c r="GK37" i="119"/>
  <c r="GL37" i="119"/>
  <c r="GM37" i="119"/>
  <c r="GN37" i="119"/>
  <c r="GO37" i="119"/>
  <c r="GP37" i="119"/>
  <c r="GQ37" i="119"/>
  <c r="GR37" i="119"/>
  <c r="GS37" i="119"/>
  <c r="GT37" i="119"/>
  <c r="GU37" i="119"/>
  <c r="GV37" i="119"/>
  <c r="GW37" i="119"/>
  <c r="GX37" i="119"/>
  <c r="GY37" i="119"/>
  <c r="GZ37" i="119"/>
  <c r="HA37" i="119"/>
  <c r="HB37" i="119"/>
  <c r="HC37" i="119"/>
  <c r="HD37" i="119"/>
  <c r="HE37" i="119"/>
  <c r="HF37" i="119"/>
  <c r="HG37" i="119"/>
  <c r="HH37" i="119"/>
  <c r="HI37" i="119"/>
  <c r="HJ37" i="119"/>
  <c r="HK37" i="119"/>
  <c r="HL37" i="119"/>
  <c r="FM38" i="119"/>
  <c r="FN38" i="119"/>
  <c r="FO38" i="119"/>
  <c r="FP38" i="119"/>
  <c r="FQ38" i="119"/>
  <c r="FR38" i="119"/>
  <c r="FS38" i="119"/>
  <c r="FT38" i="119"/>
  <c r="FU38" i="119"/>
  <c r="FV38" i="119"/>
  <c r="FW38" i="119"/>
  <c r="FX38" i="119"/>
  <c r="FY38" i="119"/>
  <c r="FZ38" i="119"/>
  <c r="GA38" i="119"/>
  <c r="GB38" i="119"/>
  <c r="GC38" i="119"/>
  <c r="GD38" i="119"/>
  <c r="GE38" i="119"/>
  <c r="GF38" i="119"/>
  <c r="GG38" i="119"/>
  <c r="GH38" i="119"/>
  <c r="GI38" i="119"/>
  <c r="GJ38" i="119"/>
  <c r="GK38" i="119"/>
  <c r="GL38" i="119"/>
  <c r="GM38" i="119"/>
  <c r="GN38" i="119"/>
  <c r="GO38" i="119"/>
  <c r="GP38" i="119"/>
  <c r="GQ38" i="119"/>
  <c r="GR38" i="119"/>
  <c r="GS38" i="119"/>
  <c r="GT38" i="119"/>
  <c r="GU38" i="119"/>
  <c r="GV38" i="119"/>
  <c r="GW38" i="119"/>
  <c r="GX38" i="119"/>
  <c r="GY38" i="119"/>
  <c r="GZ38" i="119"/>
  <c r="HA38" i="119"/>
  <c r="HB38" i="119"/>
  <c r="HC38" i="119"/>
  <c r="HD38" i="119"/>
  <c r="HE38" i="119"/>
  <c r="HF38" i="119"/>
  <c r="HG38" i="119"/>
  <c r="HH38" i="119"/>
  <c r="HI38" i="119"/>
  <c r="HJ38" i="119"/>
  <c r="HK38" i="119"/>
  <c r="HL38" i="119"/>
  <c r="FM39" i="119"/>
  <c r="FN39" i="119"/>
  <c r="FO39" i="119"/>
  <c r="FP39" i="119"/>
  <c r="FQ39" i="119"/>
  <c r="FR39" i="119"/>
  <c r="FS39" i="119"/>
  <c r="FT39" i="119"/>
  <c r="FU39" i="119"/>
  <c r="FV39" i="119"/>
  <c r="FW39" i="119"/>
  <c r="FX39" i="119"/>
  <c r="FY39" i="119"/>
  <c r="FZ39" i="119"/>
  <c r="GA39" i="119"/>
  <c r="GB39" i="119"/>
  <c r="GC39" i="119"/>
  <c r="GD39" i="119"/>
  <c r="GE39" i="119"/>
  <c r="GF39" i="119"/>
  <c r="GG39" i="119"/>
  <c r="GH39" i="119"/>
  <c r="GI39" i="119"/>
  <c r="GJ39" i="119"/>
  <c r="GK39" i="119"/>
  <c r="GL39" i="119"/>
  <c r="GM39" i="119"/>
  <c r="GN39" i="119"/>
  <c r="GO39" i="119"/>
  <c r="GP39" i="119"/>
  <c r="GQ39" i="119"/>
  <c r="GR39" i="119"/>
  <c r="GS39" i="119"/>
  <c r="GT39" i="119"/>
  <c r="GU39" i="119"/>
  <c r="GV39" i="119"/>
  <c r="GW39" i="119"/>
  <c r="GX39" i="119"/>
  <c r="GY39" i="119"/>
  <c r="GZ39" i="119"/>
  <c r="HA39" i="119"/>
  <c r="HB39" i="119"/>
  <c r="HC39" i="119"/>
  <c r="HD39" i="119"/>
  <c r="HE39" i="119"/>
  <c r="HF39" i="119"/>
  <c r="HG39" i="119"/>
  <c r="HH39" i="119"/>
  <c r="HI39" i="119"/>
  <c r="HJ39" i="119"/>
  <c r="HK39" i="119"/>
  <c r="HL39" i="119"/>
  <c r="FM40" i="119"/>
  <c r="FN40" i="119"/>
  <c r="FO40" i="119"/>
  <c r="FP40" i="119"/>
  <c r="FQ40" i="119"/>
  <c r="FR40" i="119"/>
  <c r="FS40" i="119"/>
  <c r="FT40" i="119"/>
  <c r="FU40" i="119"/>
  <c r="FV40" i="119"/>
  <c r="FW40" i="119"/>
  <c r="FX40" i="119"/>
  <c r="FY40" i="119"/>
  <c r="FZ40" i="119"/>
  <c r="GA40" i="119"/>
  <c r="GB40" i="119"/>
  <c r="GC40" i="119"/>
  <c r="GD40" i="119"/>
  <c r="GE40" i="119"/>
  <c r="GF40" i="119"/>
  <c r="GG40" i="119"/>
  <c r="GH40" i="119"/>
  <c r="GI40" i="119"/>
  <c r="GJ40" i="119"/>
  <c r="GK40" i="119"/>
  <c r="GL40" i="119"/>
  <c r="GM40" i="119"/>
  <c r="GN40" i="119"/>
  <c r="GO40" i="119"/>
  <c r="GP40" i="119"/>
  <c r="GQ40" i="119"/>
  <c r="GR40" i="119"/>
  <c r="GS40" i="119"/>
  <c r="GT40" i="119"/>
  <c r="GU40" i="119"/>
  <c r="GV40" i="119"/>
  <c r="GW40" i="119"/>
  <c r="GX40" i="119"/>
  <c r="GY40" i="119"/>
  <c r="GZ40" i="119"/>
  <c r="HA40" i="119"/>
  <c r="HB40" i="119"/>
  <c r="HC40" i="119"/>
  <c r="HD40" i="119"/>
  <c r="HE40" i="119"/>
  <c r="HF40" i="119"/>
  <c r="HG40" i="119"/>
  <c r="HH40" i="119"/>
  <c r="HI40" i="119"/>
  <c r="HJ40" i="119"/>
  <c r="HK40" i="119"/>
  <c r="HL40" i="119"/>
  <c r="FM41" i="119"/>
  <c r="FN41" i="119"/>
  <c r="FO41" i="119"/>
  <c r="FP41" i="119"/>
  <c r="FQ41" i="119"/>
  <c r="FR41" i="119"/>
  <c r="FS41" i="119"/>
  <c r="FT41" i="119"/>
  <c r="FU41" i="119"/>
  <c r="FV41" i="119"/>
  <c r="FW41" i="119"/>
  <c r="FX41" i="119"/>
  <c r="FY41" i="119"/>
  <c r="FZ41" i="119"/>
  <c r="GA41" i="119"/>
  <c r="GB41" i="119"/>
  <c r="GC41" i="119"/>
  <c r="GD41" i="119"/>
  <c r="GE41" i="119"/>
  <c r="GF41" i="119"/>
  <c r="GG41" i="119"/>
  <c r="GH41" i="119"/>
  <c r="GI41" i="119"/>
  <c r="GJ41" i="119"/>
  <c r="GK41" i="119"/>
  <c r="GL41" i="119"/>
  <c r="GM41" i="119"/>
  <c r="GN41" i="119"/>
  <c r="GO41" i="119"/>
  <c r="GP41" i="119"/>
  <c r="GQ41" i="119"/>
  <c r="GR41" i="119"/>
  <c r="GS41" i="119"/>
  <c r="GT41" i="119"/>
  <c r="GU41" i="119"/>
  <c r="GV41" i="119"/>
  <c r="GW41" i="119"/>
  <c r="GX41" i="119"/>
  <c r="GY41" i="119"/>
  <c r="GZ41" i="119"/>
  <c r="HA41" i="119"/>
  <c r="HB41" i="119"/>
  <c r="HC41" i="119"/>
  <c r="HD41" i="119"/>
  <c r="HE41" i="119"/>
  <c r="HF41" i="119"/>
  <c r="HG41" i="119"/>
  <c r="HH41" i="119"/>
  <c r="HI41" i="119"/>
  <c r="HJ41" i="119"/>
  <c r="HK41" i="119"/>
  <c r="HL41" i="119"/>
  <c r="FM42" i="119"/>
  <c r="FN42" i="119"/>
  <c r="FO42" i="119"/>
  <c r="FP42" i="119"/>
  <c r="FQ42" i="119"/>
  <c r="FR42" i="119"/>
  <c r="FS42" i="119"/>
  <c r="FT42" i="119"/>
  <c r="FU42" i="119"/>
  <c r="FV42" i="119"/>
  <c r="FW42" i="119"/>
  <c r="FX42" i="119"/>
  <c r="FY42" i="119"/>
  <c r="FZ42" i="119"/>
  <c r="GA42" i="119"/>
  <c r="GB42" i="119"/>
  <c r="GC42" i="119"/>
  <c r="GD42" i="119"/>
  <c r="GE42" i="119"/>
  <c r="GF42" i="119"/>
  <c r="GG42" i="119"/>
  <c r="GH42" i="119"/>
  <c r="GI42" i="119"/>
  <c r="GJ42" i="119"/>
  <c r="GK42" i="119"/>
  <c r="GL42" i="119"/>
  <c r="GM42" i="119"/>
  <c r="GN42" i="119"/>
  <c r="GO42" i="119"/>
  <c r="GP42" i="119"/>
  <c r="GQ42" i="119"/>
  <c r="GR42" i="119"/>
  <c r="GS42" i="119"/>
  <c r="GT42" i="119"/>
  <c r="GU42" i="119"/>
  <c r="GV42" i="119"/>
  <c r="GW42" i="119"/>
  <c r="GX42" i="119"/>
  <c r="GY42" i="119"/>
  <c r="GZ42" i="119"/>
  <c r="HA42" i="119"/>
  <c r="HB42" i="119"/>
  <c r="HC42" i="119"/>
  <c r="HD42" i="119"/>
  <c r="HE42" i="119"/>
  <c r="HF42" i="119"/>
  <c r="HG42" i="119"/>
  <c r="HH42" i="119"/>
  <c r="HI42" i="119"/>
  <c r="HJ42" i="119"/>
  <c r="HK42" i="119"/>
  <c r="HL42" i="119"/>
  <c r="FM43" i="119"/>
  <c r="FN43" i="119"/>
  <c r="FO43" i="119"/>
  <c r="FP43" i="119"/>
  <c r="FQ43" i="119"/>
  <c r="FR43" i="119"/>
  <c r="FS43" i="119"/>
  <c r="FT43" i="119"/>
  <c r="FU43" i="119"/>
  <c r="FV43" i="119"/>
  <c r="FW43" i="119"/>
  <c r="FX43" i="119"/>
  <c r="FY43" i="119"/>
  <c r="FZ43" i="119"/>
  <c r="GA43" i="119"/>
  <c r="GB43" i="119"/>
  <c r="GC43" i="119"/>
  <c r="GD43" i="119"/>
  <c r="GE43" i="119"/>
  <c r="GF43" i="119"/>
  <c r="GG43" i="119"/>
  <c r="GH43" i="119"/>
  <c r="GI43" i="119"/>
  <c r="GJ43" i="119"/>
  <c r="GK43" i="119"/>
  <c r="GL43" i="119"/>
  <c r="GM43" i="119"/>
  <c r="GN43" i="119"/>
  <c r="GO43" i="119"/>
  <c r="GP43" i="119"/>
  <c r="GQ43" i="119"/>
  <c r="GR43" i="119"/>
  <c r="GS43" i="119"/>
  <c r="GT43" i="119"/>
  <c r="GU43" i="119"/>
  <c r="GV43" i="119"/>
  <c r="GW43" i="119"/>
  <c r="GX43" i="119"/>
  <c r="GY43" i="119"/>
  <c r="GZ43" i="119"/>
  <c r="HA43" i="119"/>
  <c r="HB43" i="119"/>
  <c r="HC43" i="119"/>
  <c r="HD43" i="119"/>
  <c r="HE43" i="119"/>
  <c r="HF43" i="119"/>
  <c r="HG43" i="119"/>
  <c r="HH43" i="119"/>
  <c r="HI43" i="119"/>
  <c r="HJ43" i="119"/>
  <c r="HK43" i="119"/>
  <c r="HL43" i="119"/>
  <c r="FM44" i="119"/>
  <c r="FN44" i="119"/>
  <c r="FO44" i="119"/>
  <c r="FP44" i="119"/>
  <c r="FQ44" i="119"/>
  <c r="FR44" i="119"/>
  <c r="FS44" i="119"/>
  <c r="FT44" i="119"/>
  <c r="FU44" i="119"/>
  <c r="FV44" i="119"/>
  <c r="FW44" i="119"/>
  <c r="FX44" i="119"/>
  <c r="FY44" i="119"/>
  <c r="FZ44" i="119"/>
  <c r="GA44" i="119"/>
  <c r="GB44" i="119"/>
  <c r="GC44" i="119"/>
  <c r="GD44" i="119"/>
  <c r="GE44" i="119"/>
  <c r="GF44" i="119"/>
  <c r="GG44" i="119"/>
  <c r="GH44" i="119"/>
  <c r="GI44" i="119"/>
  <c r="GJ44" i="119"/>
  <c r="GK44" i="119"/>
  <c r="GL44" i="119"/>
  <c r="GM44" i="119"/>
  <c r="GN44" i="119"/>
  <c r="GO44" i="119"/>
  <c r="GP44" i="119"/>
  <c r="GQ44" i="119"/>
  <c r="GR44" i="119"/>
  <c r="GS44" i="119"/>
  <c r="GT44" i="119"/>
  <c r="GU44" i="119"/>
  <c r="GV44" i="119"/>
  <c r="GW44" i="119"/>
  <c r="GX44" i="119"/>
  <c r="GY44" i="119"/>
  <c r="GZ44" i="119"/>
  <c r="HA44" i="119"/>
  <c r="HB44" i="119"/>
  <c r="HC44" i="119"/>
  <c r="HD44" i="119"/>
  <c r="HE44" i="119"/>
  <c r="HF44" i="119"/>
  <c r="HG44" i="119"/>
  <c r="HH44" i="119"/>
  <c r="HI44" i="119"/>
  <c r="HJ44" i="119"/>
  <c r="HK44" i="119"/>
  <c r="HL44" i="119"/>
  <c r="FM45" i="119"/>
  <c r="FN45" i="119"/>
  <c r="FO45" i="119"/>
  <c r="FP45" i="119"/>
  <c r="FQ45" i="119"/>
  <c r="FR45" i="119"/>
  <c r="FS45" i="119"/>
  <c r="FT45" i="119"/>
  <c r="FU45" i="119"/>
  <c r="FV45" i="119"/>
  <c r="FW45" i="119"/>
  <c r="FX45" i="119"/>
  <c r="FY45" i="119"/>
  <c r="FZ45" i="119"/>
  <c r="GA45" i="119"/>
  <c r="GB45" i="119"/>
  <c r="GC45" i="119"/>
  <c r="GD45" i="119"/>
  <c r="GE45" i="119"/>
  <c r="GF45" i="119"/>
  <c r="GG45" i="119"/>
  <c r="GH45" i="119"/>
  <c r="GI45" i="119"/>
  <c r="GJ45" i="119"/>
  <c r="GK45" i="119"/>
  <c r="GL45" i="119"/>
  <c r="GM45" i="119"/>
  <c r="GN45" i="119"/>
  <c r="GO45" i="119"/>
  <c r="GP45" i="119"/>
  <c r="GQ45" i="119"/>
  <c r="GR45" i="119"/>
  <c r="GS45" i="119"/>
  <c r="GT45" i="119"/>
  <c r="GU45" i="119"/>
  <c r="GV45" i="119"/>
  <c r="GW45" i="119"/>
  <c r="GX45" i="119"/>
  <c r="GY45" i="119"/>
  <c r="GZ45" i="119"/>
  <c r="HA45" i="119"/>
  <c r="HB45" i="119"/>
  <c r="HC45" i="119"/>
  <c r="HD45" i="119"/>
  <c r="HE45" i="119"/>
  <c r="HF45" i="119"/>
  <c r="HG45" i="119"/>
  <c r="HH45" i="119"/>
  <c r="HI45" i="119"/>
  <c r="HJ45" i="119"/>
  <c r="HK45" i="119"/>
  <c r="HL45" i="119"/>
  <c r="FM46" i="119"/>
  <c r="FN46" i="119"/>
  <c r="FO46" i="119"/>
  <c r="FP46" i="119"/>
  <c r="FQ46" i="119"/>
  <c r="FR46" i="119"/>
  <c r="FS46" i="119"/>
  <c r="FT46" i="119"/>
  <c r="FU46" i="119"/>
  <c r="FV46" i="119"/>
  <c r="FW46" i="119"/>
  <c r="FX46" i="119"/>
  <c r="FY46" i="119"/>
  <c r="FZ46" i="119"/>
  <c r="GA46" i="119"/>
  <c r="GB46" i="119"/>
  <c r="GC46" i="119"/>
  <c r="GD46" i="119"/>
  <c r="GE46" i="119"/>
  <c r="GF46" i="119"/>
  <c r="GG46" i="119"/>
  <c r="GH46" i="119"/>
  <c r="GI46" i="119"/>
  <c r="GJ46" i="119"/>
  <c r="GK46" i="119"/>
  <c r="GL46" i="119"/>
  <c r="GM46" i="119"/>
  <c r="GN46" i="119"/>
  <c r="GO46" i="119"/>
  <c r="GP46" i="119"/>
  <c r="GQ46" i="119"/>
  <c r="GR46" i="119"/>
  <c r="GS46" i="119"/>
  <c r="GT46" i="119"/>
  <c r="GU46" i="119"/>
  <c r="GV46" i="119"/>
  <c r="GW46" i="119"/>
  <c r="GX46" i="119"/>
  <c r="GY46" i="119"/>
  <c r="GZ46" i="119"/>
  <c r="HA46" i="119"/>
  <c r="HB46" i="119"/>
  <c r="HC46" i="119"/>
  <c r="HD46" i="119"/>
  <c r="HE46" i="119"/>
  <c r="HF46" i="119"/>
  <c r="HG46" i="119"/>
  <c r="HH46" i="119"/>
  <c r="HI46" i="119"/>
  <c r="HJ46" i="119"/>
  <c r="HK46" i="119"/>
  <c r="HL46" i="119"/>
  <c r="FM47" i="119"/>
  <c r="FN47" i="119"/>
  <c r="FO47" i="119"/>
  <c r="FP47" i="119"/>
  <c r="FQ47" i="119"/>
  <c r="FR47" i="119"/>
  <c r="FS47" i="119"/>
  <c r="FT47" i="119"/>
  <c r="FU47" i="119"/>
  <c r="FV47" i="119"/>
  <c r="FW47" i="119"/>
  <c r="FX47" i="119"/>
  <c r="FY47" i="119"/>
  <c r="FZ47" i="119"/>
  <c r="GA47" i="119"/>
  <c r="GB47" i="119"/>
  <c r="GC47" i="119"/>
  <c r="GD47" i="119"/>
  <c r="GE47" i="119"/>
  <c r="GF47" i="119"/>
  <c r="GG47" i="119"/>
  <c r="GH47" i="119"/>
  <c r="GI47" i="119"/>
  <c r="GJ47" i="119"/>
  <c r="GK47" i="119"/>
  <c r="GL47" i="119"/>
  <c r="GM47" i="119"/>
  <c r="GN47" i="119"/>
  <c r="GO47" i="119"/>
  <c r="GP47" i="119"/>
  <c r="GQ47" i="119"/>
  <c r="GR47" i="119"/>
  <c r="GS47" i="119"/>
  <c r="GT47" i="119"/>
  <c r="GU47" i="119"/>
  <c r="GV47" i="119"/>
  <c r="GW47" i="119"/>
  <c r="GX47" i="119"/>
  <c r="GY47" i="119"/>
  <c r="GZ47" i="119"/>
  <c r="HA47" i="119"/>
  <c r="HB47" i="119"/>
  <c r="HC47" i="119"/>
  <c r="HD47" i="119"/>
  <c r="HE47" i="119"/>
  <c r="HF47" i="119"/>
  <c r="HG47" i="119"/>
  <c r="HH47" i="119"/>
  <c r="HI47" i="119"/>
  <c r="HJ47" i="119"/>
  <c r="HK47" i="119"/>
  <c r="HL47" i="119"/>
  <c r="FM48" i="119"/>
  <c r="FN48" i="119"/>
  <c r="FO48" i="119"/>
  <c r="FP48" i="119"/>
  <c r="FQ48" i="119"/>
  <c r="FR48" i="119"/>
  <c r="FS48" i="119"/>
  <c r="FT48" i="119"/>
  <c r="FU48" i="119"/>
  <c r="FV48" i="119"/>
  <c r="FW48" i="119"/>
  <c r="FX48" i="119"/>
  <c r="FY48" i="119"/>
  <c r="FZ48" i="119"/>
  <c r="GA48" i="119"/>
  <c r="GB48" i="119"/>
  <c r="GC48" i="119"/>
  <c r="GD48" i="119"/>
  <c r="GE48" i="119"/>
  <c r="GF48" i="119"/>
  <c r="GG48" i="119"/>
  <c r="GH48" i="119"/>
  <c r="GI48" i="119"/>
  <c r="GJ48" i="119"/>
  <c r="GK48" i="119"/>
  <c r="GL48" i="119"/>
  <c r="GM48" i="119"/>
  <c r="GN48" i="119"/>
  <c r="GO48" i="119"/>
  <c r="GP48" i="119"/>
  <c r="GQ48" i="119"/>
  <c r="GR48" i="119"/>
  <c r="GS48" i="119"/>
  <c r="GT48" i="119"/>
  <c r="GU48" i="119"/>
  <c r="GV48" i="119"/>
  <c r="GW48" i="119"/>
  <c r="GX48" i="119"/>
  <c r="GY48" i="119"/>
  <c r="GZ48" i="119"/>
  <c r="HA48" i="119"/>
  <c r="HB48" i="119"/>
  <c r="HC48" i="119"/>
  <c r="HD48" i="119"/>
  <c r="HE48" i="119"/>
  <c r="HF48" i="119"/>
  <c r="HG48" i="119"/>
  <c r="HH48" i="119"/>
  <c r="HI48" i="119"/>
  <c r="HJ48" i="119"/>
  <c r="HK48" i="119"/>
  <c r="HL48" i="119"/>
  <c r="FM49" i="119"/>
  <c r="FN49" i="119"/>
  <c r="FO49" i="119"/>
  <c r="FP49" i="119"/>
  <c r="FQ49" i="119"/>
  <c r="FR49" i="119"/>
  <c r="FS49" i="119"/>
  <c r="FT49" i="119"/>
  <c r="FU49" i="119"/>
  <c r="FV49" i="119"/>
  <c r="FW49" i="119"/>
  <c r="FX49" i="119"/>
  <c r="FY49" i="119"/>
  <c r="FZ49" i="119"/>
  <c r="GA49" i="119"/>
  <c r="GB49" i="119"/>
  <c r="GC49" i="119"/>
  <c r="GD49" i="119"/>
  <c r="GE49" i="119"/>
  <c r="GF49" i="119"/>
  <c r="GG49" i="119"/>
  <c r="GH49" i="119"/>
  <c r="GI49" i="119"/>
  <c r="GJ49" i="119"/>
  <c r="GK49" i="119"/>
  <c r="GL49" i="119"/>
  <c r="GM49" i="119"/>
  <c r="GN49" i="119"/>
  <c r="GO49" i="119"/>
  <c r="GP49" i="119"/>
  <c r="GQ49" i="119"/>
  <c r="GR49" i="119"/>
  <c r="GS49" i="119"/>
  <c r="GT49" i="119"/>
  <c r="GU49" i="119"/>
  <c r="GV49" i="119"/>
  <c r="GW49" i="119"/>
  <c r="GX49" i="119"/>
  <c r="GY49" i="119"/>
  <c r="GZ49" i="119"/>
  <c r="HA49" i="119"/>
  <c r="HB49" i="119"/>
  <c r="HC49" i="119"/>
  <c r="HD49" i="119"/>
  <c r="HE49" i="119"/>
  <c r="HF49" i="119"/>
  <c r="HG49" i="119"/>
  <c r="HH49" i="119"/>
  <c r="HI49" i="119"/>
  <c r="HJ49" i="119"/>
  <c r="HK49" i="119"/>
  <c r="HL49" i="119"/>
  <c r="FM50" i="119"/>
  <c r="FN50" i="119"/>
  <c r="FO50" i="119"/>
  <c r="FP50" i="119"/>
  <c r="FQ50" i="119"/>
  <c r="FR50" i="119"/>
  <c r="FS50" i="119"/>
  <c r="FT50" i="119"/>
  <c r="FU50" i="119"/>
  <c r="FV50" i="119"/>
  <c r="FW50" i="119"/>
  <c r="FX50" i="119"/>
  <c r="FY50" i="119"/>
  <c r="FZ50" i="119"/>
  <c r="GA50" i="119"/>
  <c r="GB50" i="119"/>
  <c r="GC50" i="119"/>
  <c r="GD50" i="119"/>
  <c r="GE50" i="119"/>
  <c r="GF50" i="119"/>
  <c r="GG50" i="119"/>
  <c r="GH50" i="119"/>
  <c r="GI50" i="119"/>
  <c r="GJ50" i="119"/>
  <c r="GK50" i="119"/>
  <c r="GL50" i="119"/>
  <c r="GM50" i="119"/>
  <c r="GN50" i="119"/>
  <c r="GO50" i="119"/>
  <c r="GP50" i="119"/>
  <c r="GQ50" i="119"/>
  <c r="GR50" i="119"/>
  <c r="GS50" i="119"/>
  <c r="GT50" i="119"/>
  <c r="GU50" i="119"/>
  <c r="GV50" i="119"/>
  <c r="GW50" i="119"/>
  <c r="GX50" i="119"/>
  <c r="GY50" i="119"/>
  <c r="GZ50" i="119"/>
  <c r="HA50" i="119"/>
  <c r="HB50" i="119"/>
  <c r="HC50" i="119"/>
  <c r="HD50" i="119"/>
  <c r="HE50" i="119"/>
  <c r="HF50" i="119"/>
  <c r="HG50" i="119"/>
  <c r="HH50" i="119"/>
  <c r="HI50" i="119"/>
  <c r="HJ50" i="119"/>
  <c r="HK50" i="119"/>
  <c r="HL50" i="119"/>
  <c r="FM51" i="119"/>
  <c r="FN51" i="119"/>
  <c r="FO51" i="119"/>
  <c r="FP51" i="119"/>
  <c r="FQ51" i="119"/>
  <c r="FR51" i="119"/>
  <c r="FS51" i="119"/>
  <c r="FT51" i="119"/>
  <c r="FU51" i="119"/>
  <c r="FV51" i="119"/>
  <c r="FW51" i="119"/>
  <c r="FX51" i="119"/>
  <c r="FY51" i="119"/>
  <c r="FZ51" i="119"/>
  <c r="GA51" i="119"/>
  <c r="GB51" i="119"/>
  <c r="GC51" i="119"/>
  <c r="GD51" i="119"/>
  <c r="GE51" i="119"/>
  <c r="GF51" i="119"/>
  <c r="GG51" i="119"/>
  <c r="GH51" i="119"/>
  <c r="GI51" i="119"/>
  <c r="GJ51" i="119"/>
  <c r="GK51" i="119"/>
  <c r="GL51" i="119"/>
  <c r="GM51" i="119"/>
  <c r="GN51" i="119"/>
  <c r="GO51" i="119"/>
  <c r="GP51" i="119"/>
  <c r="GQ51" i="119"/>
  <c r="GR51" i="119"/>
  <c r="GS51" i="119"/>
  <c r="GT51" i="119"/>
  <c r="GU51" i="119"/>
  <c r="GV51" i="119"/>
  <c r="GW51" i="119"/>
  <c r="GX51" i="119"/>
  <c r="GY51" i="119"/>
  <c r="GZ51" i="119"/>
  <c r="HA51" i="119"/>
  <c r="HB51" i="119"/>
  <c r="HC51" i="119"/>
  <c r="HD51" i="119"/>
  <c r="HE51" i="119"/>
  <c r="HF51" i="119"/>
  <c r="HG51" i="119"/>
  <c r="HH51" i="119"/>
  <c r="HI51" i="119"/>
  <c r="HJ51" i="119"/>
  <c r="HK51" i="119"/>
  <c r="HL51" i="119"/>
  <c r="FM52" i="119"/>
  <c r="FN52" i="119"/>
  <c r="FO52" i="119"/>
  <c r="FP52" i="119"/>
  <c r="FQ52" i="119"/>
  <c r="FR52" i="119"/>
  <c r="FS52" i="119"/>
  <c r="FT52" i="119"/>
  <c r="FU52" i="119"/>
  <c r="FV52" i="119"/>
  <c r="FW52" i="119"/>
  <c r="FX52" i="119"/>
  <c r="FY52" i="119"/>
  <c r="FZ52" i="119"/>
  <c r="GA52" i="119"/>
  <c r="GB52" i="119"/>
  <c r="GC52" i="119"/>
  <c r="GD52" i="119"/>
  <c r="GE52" i="119"/>
  <c r="GF52" i="119"/>
  <c r="GG52" i="119"/>
  <c r="GH52" i="119"/>
  <c r="GI52" i="119"/>
  <c r="GJ52" i="119"/>
  <c r="GK52" i="119"/>
  <c r="GL52" i="119"/>
  <c r="GM52" i="119"/>
  <c r="GN52" i="119"/>
  <c r="GO52" i="119"/>
  <c r="GP52" i="119"/>
  <c r="GQ52" i="119"/>
  <c r="GR52" i="119"/>
  <c r="GS52" i="119"/>
  <c r="GT52" i="119"/>
  <c r="GU52" i="119"/>
  <c r="GV52" i="119"/>
  <c r="GW52" i="119"/>
  <c r="GX52" i="119"/>
  <c r="GY52" i="119"/>
  <c r="GZ52" i="119"/>
  <c r="HA52" i="119"/>
  <c r="HB52" i="119"/>
  <c r="HC52" i="119"/>
  <c r="HD52" i="119"/>
  <c r="HE52" i="119"/>
  <c r="HF52" i="119"/>
  <c r="HG52" i="119"/>
  <c r="HH52" i="119"/>
  <c r="HI52" i="119"/>
  <c r="HJ52" i="119"/>
  <c r="HK52" i="119"/>
  <c r="HL52" i="119"/>
  <c r="FM53" i="119"/>
  <c r="FN53" i="119"/>
  <c r="FO53" i="119"/>
  <c r="FP53" i="119"/>
  <c r="FQ53" i="119"/>
  <c r="FR53" i="119"/>
  <c r="FS53" i="119"/>
  <c r="FT53" i="119"/>
  <c r="FU53" i="119"/>
  <c r="FV53" i="119"/>
  <c r="FW53" i="119"/>
  <c r="FX53" i="119"/>
  <c r="FY53" i="119"/>
  <c r="FZ53" i="119"/>
  <c r="GA53" i="119"/>
  <c r="GB53" i="119"/>
  <c r="GC53" i="119"/>
  <c r="GD53" i="119"/>
  <c r="GE53" i="119"/>
  <c r="GF53" i="119"/>
  <c r="GG53" i="119"/>
  <c r="GH53" i="119"/>
  <c r="GI53" i="119"/>
  <c r="GJ53" i="119"/>
  <c r="GK53" i="119"/>
  <c r="GL53" i="119"/>
  <c r="GM53" i="119"/>
  <c r="GN53" i="119"/>
  <c r="GO53" i="119"/>
  <c r="GP53" i="119"/>
  <c r="GQ53" i="119"/>
  <c r="GR53" i="119"/>
  <c r="GS53" i="119"/>
  <c r="GT53" i="119"/>
  <c r="GU53" i="119"/>
  <c r="GV53" i="119"/>
  <c r="GW53" i="119"/>
  <c r="GX53" i="119"/>
  <c r="GY53" i="119"/>
  <c r="GZ53" i="119"/>
  <c r="HA53" i="119"/>
  <c r="HB53" i="119"/>
  <c r="HC53" i="119"/>
  <c r="HD53" i="119"/>
  <c r="HE53" i="119"/>
  <c r="HF53" i="119"/>
  <c r="HG53" i="119"/>
  <c r="HH53" i="119"/>
  <c r="HI53" i="119"/>
  <c r="HJ53" i="119"/>
  <c r="HK53" i="119"/>
  <c r="HL53" i="119"/>
  <c r="FM54" i="119"/>
  <c r="FN54" i="119"/>
  <c r="FO54" i="119"/>
  <c r="FP54" i="119"/>
  <c r="FQ54" i="119"/>
  <c r="FR54" i="119"/>
  <c r="FS54" i="119"/>
  <c r="FT54" i="119"/>
  <c r="FU54" i="119"/>
  <c r="FV54" i="119"/>
  <c r="FW54" i="119"/>
  <c r="FX54" i="119"/>
  <c r="FY54" i="119"/>
  <c r="FZ54" i="119"/>
  <c r="GA54" i="119"/>
  <c r="GB54" i="119"/>
  <c r="GC54" i="119"/>
  <c r="GD54" i="119"/>
  <c r="GE54" i="119"/>
  <c r="GF54" i="119"/>
  <c r="GG54" i="119"/>
  <c r="GH54" i="119"/>
  <c r="GI54" i="119"/>
  <c r="GJ54" i="119"/>
  <c r="GK54" i="119"/>
  <c r="GL54" i="119"/>
  <c r="GM54" i="119"/>
  <c r="GN54" i="119"/>
  <c r="GO54" i="119"/>
  <c r="GP54" i="119"/>
  <c r="GQ54" i="119"/>
  <c r="GR54" i="119"/>
  <c r="GS54" i="119"/>
  <c r="GT54" i="119"/>
  <c r="GU54" i="119"/>
  <c r="GV54" i="119"/>
  <c r="GW54" i="119"/>
  <c r="GX54" i="119"/>
  <c r="GY54" i="119"/>
  <c r="GZ54" i="119"/>
  <c r="HA54" i="119"/>
  <c r="HB54" i="119"/>
  <c r="HC54" i="119"/>
  <c r="HD54" i="119"/>
  <c r="HE54" i="119"/>
  <c r="HF54" i="119"/>
  <c r="HG54" i="119"/>
  <c r="HH54" i="119"/>
  <c r="HI54" i="119"/>
  <c r="HJ54" i="119"/>
  <c r="HK54" i="119"/>
  <c r="HL54" i="119"/>
  <c r="FM55" i="119"/>
  <c r="FN55" i="119"/>
  <c r="FO55" i="119"/>
  <c r="FP55" i="119"/>
  <c r="FQ55" i="119"/>
  <c r="FR55" i="119"/>
  <c r="FS55" i="119"/>
  <c r="FT55" i="119"/>
  <c r="FU55" i="119"/>
  <c r="FV55" i="119"/>
  <c r="FW55" i="119"/>
  <c r="FX55" i="119"/>
  <c r="FY55" i="119"/>
  <c r="FZ55" i="119"/>
  <c r="GA55" i="119"/>
  <c r="GB55" i="119"/>
  <c r="GC55" i="119"/>
  <c r="GD55" i="119"/>
  <c r="GE55" i="119"/>
  <c r="GF55" i="119"/>
  <c r="GG55" i="119"/>
  <c r="GH55" i="119"/>
  <c r="GI55" i="119"/>
  <c r="GJ55" i="119"/>
  <c r="GK55" i="119"/>
  <c r="GL55" i="119"/>
  <c r="GM55" i="119"/>
  <c r="GN55" i="119"/>
  <c r="GO55" i="119"/>
  <c r="GP55" i="119"/>
  <c r="GQ55" i="119"/>
  <c r="GR55" i="119"/>
  <c r="GS55" i="119"/>
  <c r="GT55" i="119"/>
  <c r="GU55" i="119"/>
  <c r="GV55" i="119"/>
  <c r="GW55" i="119"/>
  <c r="GX55" i="119"/>
  <c r="GY55" i="119"/>
  <c r="GZ55" i="119"/>
  <c r="HA55" i="119"/>
  <c r="HB55" i="119"/>
  <c r="HC55" i="119"/>
  <c r="HD55" i="119"/>
  <c r="HE55" i="119"/>
  <c r="HF55" i="119"/>
  <c r="HG55" i="119"/>
  <c r="HH55" i="119"/>
  <c r="HI55" i="119"/>
  <c r="HJ55" i="119"/>
  <c r="HK55" i="119"/>
  <c r="HL55" i="119"/>
  <c r="FM56" i="119"/>
  <c r="FN56" i="119"/>
  <c r="FO56" i="119"/>
  <c r="FP56" i="119"/>
  <c r="FQ56" i="119"/>
  <c r="FR56" i="119"/>
  <c r="FS56" i="119"/>
  <c r="FT56" i="119"/>
  <c r="FU56" i="119"/>
  <c r="FV56" i="119"/>
  <c r="FW56" i="119"/>
  <c r="FX56" i="119"/>
  <c r="FY56" i="119"/>
  <c r="FZ56" i="119"/>
  <c r="GA56" i="119"/>
  <c r="GB56" i="119"/>
  <c r="GC56" i="119"/>
  <c r="GD56" i="119"/>
  <c r="GE56" i="119"/>
  <c r="GF56" i="119"/>
  <c r="GG56" i="119"/>
  <c r="GH56" i="119"/>
  <c r="GI56" i="119"/>
  <c r="GJ56" i="119"/>
  <c r="GK56" i="119"/>
  <c r="GL56" i="119"/>
  <c r="GM56" i="119"/>
  <c r="GN56" i="119"/>
  <c r="GO56" i="119"/>
  <c r="GP56" i="119"/>
  <c r="GQ56" i="119"/>
  <c r="GR56" i="119"/>
  <c r="GS56" i="119"/>
  <c r="GT56" i="119"/>
  <c r="GU56" i="119"/>
  <c r="GV56" i="119"/>
  <c r="GW56" i="119"/>
  <c r="GX56" i="119"/>
  <c r="GY56" i="119"/>
  <c r="GZ56" i="119"/>
  <c r="HA56" i="119"/>
  <c r="HB56" i="119"/>
  <c r="HC56" i="119"/>
  <c r="HD56" i="119"/>
  <c r="HE56" i="119"/>
  <c r="HF56" i="119"/>
  <c r="HG56" i="119"/>
  <c r="HH56" i="119"/>
  <c r="HI56" i="119"/>
  <c r="HJ56" i="119"/>
  <c r="HK56" i="119"/>
  <c r="HL56" i="119"/>
  <c r="FM57" i="119"/>
  <c r="FN57" i="119"/>
  <c r="FO57" i="119"/>
  <c r="FP57" i="119"/>
  <c r="FQ57" i="119"/>
  <c r="FR57" i="119"/>
  <c r="FS57" i="119"/>
  <c r="FT57" i="119"/>
  <c r="FU57" i="119"/>
  <c r="FV57" i="119"/>
  <c r="FW57" i="119"/>
  <c r="FX57" i="119"/>
  <c r="FY57" i="119"/>
  <c r="FZ57" i="119"/>
  <c r="GA57" i="119"/>
  <c r="GB57" i="119"/>
  <c r="GC57" i="119"/>
  <c r="GD57" i="119"/>
  <c r="GE57" i="119"/>
  <c r="GF57" i="119"/>
  <c r="GG57" i="119"/>
  <c r="GH57" i="119"/>
  <c r="GI57" i="119"/>
  <c r="GJ57" i="119"/>
  <c r="GK57" i="119"/>
  <c r="GL57" i="119"/>
  <c r="GM57" i="119"/>
  <c r="GN57" i="119"/>
  <c r="GO57" i="119"/>
  <c r="GP57" i="119"/>
  <c r="GQ57" i="119"/>
  <c r="GR57" i="119"/>
  <c r="GS57" i="119"/>
  <c r="GT57" i="119"/>
  <c r="GU57" i="119"/>
  <c r="GV57" i="119"/>
  <c r="GW57" i="119"/>
  <c r="GX57" i="119"/>
  <c r="GY57" i="119"/>
  <c r="GZ57" i="119"/>
  <c r="HA57" i="119"/>
  <c r="HB57" i="119"/>
  <c r="HC57" i="119"/>
  <c r="HD57" i="119"/>
  <c r="HE57" i="119"/>
  <c r="HF57" i="119"/>
  <c r="HG57" i="119"/>
  <c r="HH57" i="119"/>
  <c r="HI57" i="119"/>
  <c r="HJ57" i="119"/>
  <c r="HK57" i="119"/>
  <c r="HL57" i="119"/>
  <c r="FM58" i="119"/>
  <c r="FN58" i="119"/>
  <c r="FO58" i="119"/>
  <c r="FP58" i="119"/>
  <c r="FQ58" i="119"/>
  <c r="FR58" i="119"/>
  <c r="FS58" i="119"/>
  <c r="FT58" i="119"/>
  <c r="FU58" i="119"/>
  <c r="FV58" i="119"/>
  <c r="FW58" i="119"/>
  <c r="FX58" i="119"/>
  <c r="FY58" i="119"/>
  <c r="FZ58" i="119"/>
  <c r="GA58" i="119"/>
  <c r="GB58" i="119"/>
  <c r="GC58" i="119"/>
  <c r="GD58" i="119"/>
  <c r="GE58" i="119"/>
  <c r="GF58" i="119"/>
  <c r="GG58" i="119"/>
  <c r="GH58" i="119"/>
  <c r="GI58" i="119"/>
  <c r="GJ58" i="119"/>
  <c r="GK58" i="119"/>
  <c r="GL58" i="119"/>
  <c r="GM58" i="119"/>
  <c r="GN58" i="119"/>
  <c r="GO58" i="119"/>
  <c r="GP58" i="119"/>
  <c r="GQ58" i="119"/>
  <c r="GR58" i="119"/>
  <c r="GS58" i="119"/>
  <c r="GT58" i="119"/>
  <c r="GU58" i="119"/>
  <c r="GV58" i="119"/>
  <c r="GW58" i="119"/>
  <c r="GX58" i="119"/>
  <c r="GY58" i="119"/>
  <c r="GZ58" i="119"/>
  <c r="HA58" i="119"/>
  <c r="HB58" i="119"/>
  <c r="HC58" i="119"/>
  <c r="HD58" i="119"/>
  <c r="HE58" i="119"/>
  <c r="HF58" i="119"/>
  <c r="HG58" i="119"/>
  <c r="HH58" i="119"/>
  <c r="HI58" i="119"/>
  <c r="HJ58" i="119"/>
  <c r="HK58" i="119"/>
  <c r="HL58" i="119"/>
  <c r="FM59" i="119"/>
  <c r="FN59" i="119"/>
  <c r="FO59" i="119"/>
  <c r="FP59" i="119"/>
  <c r="FQ59" i="119"/>
  <c r="FR59" i="119"/>
  <c r="FS59" i="119"/>
  <c r="FT59" i="119"/>
  <c r="FU59" i="119"/>
  <c r="FV59" i="119"/>
  <c r="FW59" i="119"/>
  <c r="FX59" i="119"/>
  <c r="FY59" i="119"/>
  <c r="FZ59" i="119"/>
  <c r="GA59" i="119"/>
  <c r="GB59" i="119"/>
  <c r="GC59" i="119"/>
  <c r="GD59" i="119"/>
  <c r="GE59" i="119"/>
  <c r="GF59" i="119"/>
  <c r="GG59" i="119"/>
  <c r="GH59" i="119"/>
  <c r="GI59" i="119"/>
  <c r="GJ59" i="119"/>
  <c r="GK59" i="119"/>
  <c r="GL59" i="119"/>
  <c r="GM59" i="119"/>
  <c r="GN59" i="119"/>
  <c r="GO59" i="119"/>
  <c r="GP59" i="119"/>
  <c r="GQ59" i="119"/>
  <c r="GR59" i="119"/>
  <c r="GS59" i="119"/>
  <c r="GT59" i="119"/>
  <c r="GU59" i="119"/>
  <c r="GV59" i="119"/>
  <c r="GW59" i="119"/>
  <c r="GX59" i="119"/>
  <c r="GY59" i="119"/>
  <c r="GZ59" i="119"/>
  <c r="HA59" i="119"/>
  <c r="HB59" i="119"/>
  <c r="HC59" i="119"/>
  <c r="HD59" i="119"/>
  <c r="HE59" i="119"/>
  <c r="HF59" i="119"/>
  <c r="HG59" i="119"/>
  <c r="HH59" i="119"/>
  <c r="HI59" i="119"/>
  <c r="HJ59" i="119"/>
  <c r="HK59" i="119"/>
  <c r="HL59" i="119"/>
  <c r="FM60" i="119"/>
  <c r="FN60" i="119"/>
  <c r="FO60" i="119"/>
  <c r="FP60" i="119"/>
  <c r="FQ60" i="119"/>
  <c r="FR60" i="119"/>
  <c r="FS60" i="119"/>
  <c r="FT60" i="119"/>
  <c r="FU60" i="119"/>
  <c r="FV60" i="119"/>
  <c r="FW60" i="119"/>
  <c r="FX60" i="119"/>
  <c r="FY60" i="119"/>
  <c r="FZ60" i="119"/>
  <c r="GA60" i="119"/>
  <c r="GB60" i="119"/>
  <c r="GC60" i="119"/>
  <c r="GD60" i="119"/>
  <c r="GE60" i="119"/>
  <c r="GF60" i="119"/>
  <c r="GG60" i="119"/>
  <c r="GH60" i="119"/>
  <c r="GI60" i="119"/>
  <c r="GJ60" i="119"/>
  <c r="GK60" i="119"/>
  <c r="GL60" i="119"/>
  <c r="GM60" i="119"/>
  <c r="GN60" i="119"/>
  <c r="GO60" i="119"/>
  <c r="GP60" i="119"/>
  <c r="GQ60" i="119"/>
  <c r="GR60" i="119"/>
  <c r="GS60" i="119"/>
  <c r="GT60" i="119"/>
  <c r="GU60" i="119"/>
  <c r="GV60" i="119"/>
  <c r="GW60" i="119"/>
  <c r="GX60" i="119"/>
  <c r="GY60" i="119"/>
  <c r="GZ60" i="119"/>
  <c r="HA60" i="119"/>
  <c r="HB60" i="119"/>
  <c r="HC60" i="119"/>
  <c r="HD60" i="119"/>
  <c r="HE60" i="119"/>
  <c r="HF60" i="119"/>
  <c r="HG60" i="119"/>
  <c r="HH60" i="119"/>
  <c r="HI60" i="119"/>
  <c r="HJ60" i="119"/>
  <c r="HK60" i="119"/>
  <c r="HL60" i="119"/>
  <c r="FM61" i="119"/>
  <c r="FN61" i="119"/>
  <c r="FO61" i="119"/>
  <c r="FP61" i="119"/>
  <c r="FQ61" i="119"/>
  <c r="FR61" i="119"/>
  <c r="FS61" i="119"/>
  <c r="FT61" i="119"/>
  <c r="FU61" i="119"/>
  <c r="FV61" i="119"/>
  <c r="FW61" i="119"/>
  <c r="FX61" i="119"/>
  <c r="FY61" i="119"/>
  <c r="FZ61" i="119"/>
  <c r="GA61" i="119"/>
  <c r="GB61" i="119"/>
  <c r="GC61" i="119"/>
  <c r="GD61" i="119"/>
  <c r="GE61" i="119"/>
  <c r="GF61" i="119"/>
  <c r="GG61" i="119"/>
  <c r="GH61" i="119"/>
  <c r="GI61" i="119"/>
  <c r="GJ61" i="119"/>
  <c r="GK61" i="119"/>
  <c r="GL61" i="119"/>
  <c r="GM61" i="119"/>
  <c r="GN61" i="119"/>
  <c r="GO61" i="119"/>
  <c r="GP61" i="119"/>
  <c r="GQ61" i="119"/>
  <c r="GR61" i="119"/>
  <c r="GS61" i="119"/>
  <c r="GT61" i="119"/>
  <c r="GU61" i="119"/>
  <c r="GV61" i="119"/>
  <c r="GW61" i="119"/>
  <c r="GX61" i="119"/>
  <c r="GY61" i="119"/>
  <c r="GZ61" i="119"/>
  <c r="HA61" i="119"/>
  <c r="HB61" i="119"/>
  <c r="HC61" i="119"/>
  <c r="HD61" i="119"/>
  <c r="HE61" i="119"/>
  <c r="HF61" i="119"/>
  <c r="HG61" i="119"/>
  <c r="HH61" i="119"/>
  <c r="HI61" i="119"/>
  <c r="HJ61" i="119"/>
  <c r="HK61" i="119"/>
  <c r="HL61" i="119"/>
  <c r="FM62" i="119"/>
  <c r="FN62" i="119"/>
  <c r="FO62" i="119"/>
  <c r="FP62" i="119"/>
  <c r="FQ62" i="119"/>
  <c r="FR62" i="119"/>
  <c r="FS62" i="119"/>
  <c r="FT62" i="119"/>
  <c r="FU62" i="119"/>
  <c r="FV62" i="119"/>
  <c r="FW62" i="119"/>
  <c r="FX62" i="119"/>
  <c r="FY62" i="119"/>
  <c r="FZ62" i="119"/>
  <c r="GA62" i="119"/>
  <c r="GB62" i="119"/>
  <c r="GC62" i="119"/>
  <c r="GD62" i="119"/>
  <c r="GE62" i="119"/>
  <c r="GF62" i="119"/>
  <c r="GG62" i="119"/>
  <c r="GH62" i="119"/>
  <c r="GI62" i="119"/>
  <c r="GJ62" i="119"/>
  <c r="GK62" i="119"/>
  <c r="GL62" i="119"/>
  <c r="GM62" i="119"/>
  <c r="GN62" i="119"/>
  <c r="GO62" i="119"/>
  <c r="GP62" i="119"/>
  <c r="GQ62" i="119"/>
  <c r="GR62" i="119"/>
  <c r="GS62" i="119"/>
  <c r="GT62" i="119"/>
  <c r="GU62" i="119"/>
  <c r="GV62" i="119"/>
  <c r="GW62" i="119"/>
  <c r="GX62" i="119"/>
  <c r="GY62" i="119"/>
  <c r="GZ62" i="119"/>
  <c r="HA62" i="119"/>
  <c r="HB62" i="119"/>
  <c r="HC62" i="119"/>
  <c r="HD62" i="119"/>
  <c r="HE62" i="119"/>
  <c r="HF62" i="119"/>
  <c r="HG62" i="119"/>
  <c r="HH62" i="119"/>
  <c r="HI62" i="119"/>
  <c r="HJ62" i="119"/>
  <c r="HK62" i="119"/>
  <c r="HL62" i="119"/>
  <c r="FM63" i="119"/>
  <c r="FN63" i="119"/>
  <c r="FO63" i="119"/>
  <c r="FP63" i="119"/>
  <c r="FQ63" i="119"/>
  <c r="FR63" i="119"/>
  <c r="FS63" i="119"/>
  <c r="FT63" i="119"/>
  <c r="FU63" i="119"/>
  <c r="FV63" i="119"/>
  <c r="FW63" i="119"/>
  <c r="FX63" i="119"/>
  <c r="FY63" i="119"/>
  <c r="FZ63" i="119"/>
  <c r="GA63" i="119"/>
  <c r="GB63" i="119"/>
  <c r="GC63" i="119"/>
  <c r="GD63" i="119"/>
  <c r="GE63" i="119"/>
  <c r="GF63" i="119"/>
  <c r="GG63" i="119"/>
  <c r="GH63" i="119"/>
  <c r="GI63" i="119"/>
  <c r="GJ63" i="119"/>
  <c r="GK63" i="119"/>
  <c r="GL63" i="119"/>
  <c r="GM63" i="119"/>
  <c r="GN63" i="119"/>
  <c r="GO63" i="119"/>
  <c r="GP63" i="119"/>
  <c r="GQ63" i="119"/>
  <c r="GR63" i="119"/>
  <c r="GS63" i="119"/>
  <c r="GT63" i="119"/>
  <c r="GU63" i="119"/>
  <c r="GV63" i="119"/>
  <c r="GW63" i="119"/>
  <c r="GX63" i="119"/>
  <c r="GY63" i="119"/>
  <c r="GZ63" i="119"/>
  <c r="HA63" i="119"/>
  <c r="HB63" i="119"/>
  <c r="HC63" i="119"/>
  <c r="HD63" i="119"/>
  <c r="HE63" i="119"/>
  <c r="HF63" i="119"/>
  <c r="HG63" i="119"/>
  <c r="HH63" i="119"/>
  <c r="HI63" i="119"/>
  <c r="HJ63" i="119"/>
  <c r="HK63" i="119"/>
  <c r="HL63" i="119"/>
  <c r="FM64" i="119"/>
  <c r="FN64" i="119"/>
  <c r="FO64" i="119"/>
  <c r="FP64" i="119"/>
  <c r="FQ64" i="119"/>
  <c r="FR64" i="119"/>
  <c r="FS64" i="119"/>
  <c r="FT64" i="119"/>
  <c r="FU64" i="119"/>
  <c r="FV64" i="119"/>
  <c r="FW64" i="119"/>
  <c r="FX64" i="119"/>
  <c r="FY64" i="119"/>
  <c r="FZ64" i="119"/>
  <c r="GA64" i="119"/>
  <c r="GB64" i="119"/>
  <c r="GC64" i="119"/>
  <c r="GD64" i="119"/>
  <c r="GE64" i="119"/>
  <c r="GF64" i="119"/>
  <c r="GG64" i="119"/>
  <c r="GH64" i="119"/>
  <c r="GI64" i="119"/>
  <c r="GJ64" i="119"/>
  <c r="GK64" i="119"/>
  <c r="GL64" i="119"/>
  <c r="GM64" i="119"/>
  <c r="GN64" i="119"/>
  <c r="GO64" i="119"/>
  <c r="GP64" i="119"/>
  <c r="GQ64" i="119"/>
  <c r="GR64" i="119"/>
  <c r="GS64" i="119"/>
  <c r="GT64" i="119"/>
  <c r="GU64" i="119"/>
  <c r="GV64" i="119"/>
  <c r="GW64" i="119"/>
  <c r="GX64" i="119"/>
  <c r="GY64" i="119"/>
  <c r="GZ64" i="119"/>
  <c r="HA64" i="119"/>
  <c r="HB64" i="119"/>
  <c r="HC64" i="119"/>
  <c r="HD64" i="119"/>
  <c r="HE64" i="119"/>
  <c r="HF64" i="119"/>
  <c r="HG64" i="119"/>
  <c r="HH64" i="119"/>
  <c r="HI64" i="119"/>
  <c r="HJ64" i="119"/>
  <c r="HK64" i="119"/>
  <c r="HL64" i="119"/>
  <c r="FM65" i="119"/>
  <c r="FN65" i="119"/>
  <c r="FO65" i="119"/>
  <c r="FP65" i="119"/>
  <c r="FQ65" i="119"/>
  <c r="FR65" i="119"/>
  <c r="FS65" i="119"/>
  <c r="FT65" i="119"/>
  <c r="FU65" i="119"/>
  <c r="FV65" i="119"/>
  <c r="FW65" i="119"/>
  <c r="FX65" i="119"/>
  <c r="FY65" i="119"/>
  <c r="FZ65" i="119"/>
  <c r="GA65" i="119"/>
  <c r="GB65" i="119"/>
  <c r="GC65" i="119"/>
  <c r="GD65" i="119"/>
  <c r="GE65" i="119"/>
  <c r="GF65" i="119"/>
  <c r="GG65" i="119"/>
  <c r="GH65" i="119"/>
  <c r="GI65" i="119"/>
  <c r="GJ65" i="119"/>
  <c r="GK65" i="119"/>
  <c r="GL65" i="119"/>
  <c r="GM65" i="119"/>
  <c r="GN65" i="119"/>
  <c r="GO65" i="119"/>
  <c r="GP65" i="119"/>
  <c r="GQ65" i="119"/>
  <c r="GR65" i="119"/>
  <c r="GS65" i="119"/>
  <c r="GT65" i="119"/>
  <c r="GU65" i="119"/>
  <c r="GV65" i="119"/>
  <c r="GW65" i="119"/>
  <c r="GX65" i="119"/>
  <c r="GY65" i="119"/>
  <c r="GZ65" i="119"/>
  <c r="HA65" i="119"/>
  <c r="HB65" i="119"/>
  <c r="HC65" i="119"/>
  <c r="HD65" i="119"/>
  <c r="HE65" i="119"/>
  <c r="HF65" i="119"/>
  <c r="HG65" i="119"/>
  <c r="HH65" i="119"/>
  <c r="HI65" i="119"/>
  <c r="HJ65" i="119"/>
  <c r="HK65" i="119"/>
  <c r="HL65" i="119"/>
  <c r="FM66" i="119"/>
  <c r="FN66" i="119"/>
  <c r="FO66" i="119"/>
  <c r="FP66" i="119"/>
  <c r="FQ66" i="119"/>
  <c r="FR66" i="119"/>
  <c r="FS66" i="119"/>
  <c r="FT66" i="119"/>
  <c r="FU66" i="119"/>
  <c r="FV66" i="119"/>
  <c r="FW66" i="119"/>
  <c r="FX66" i="119"/>
  <c r="FY66" i="119"/>
  <c r="FZ66" i="119"/>
  <c r="GA66" i="119"/>
  <c r="GB66" i="119"/>
  <c r="GC66" i="119"/>
  <c r="GD66" i="119"/>
  <c r="GE66" i="119"/>
  <c r="GF66" i="119"/>
  <c r="GG66" i="119"/>
  <c r="GH66" i="119"/>
  <c r="GI66" i="119"/>
  <c r="GJ66" i="119"/>
  <c r="GK66" i="119"/>
  <c r="GL66" i="119"/>
  <c r="GM66" i="119"/>
  <c r="GN66" i="119"/>
  <c r="GO66" i="119"/>
  <c r="GP66" i="119"/>
  <c r="GQ66" i="119"/>
  <c r="GR66" i="119"/>
  <c r="GS66" i="119"/>
  <c r="GT66" i="119"/>
  <c r="GU66" i="119"/>
  <c r="GV66" i="119"/>
  <c r="GW66" i="119"/>
  <c r="GX66" i="119"/>
  <c r="GY66" i="119"/>
  <c r="GZ66" i="119"/>
  <c r="HA66" i="119"/>
  <c r="HB66" i="119"/>
  <c r="HC66" i="119"/>
  <c r="HD66" i="119"/>
  <c r="HE66" i="119"/>
  <c r="HF66" i="119"/>
  <c r="HG66" i="119"/>
  <c r="HH66" i="119"/>
  <c r="HI66" i="119"/>
  <c r="HJ66" i="119"/>
  <c r="HK66" i="119"/>
  <c r="HL66" i="119"/>
  <c r="FM67" i="119"/>
  <c r="FN67" i="119"/>
  <c r="FO67" i="119"/>
  <c r="FP67" i="119"/>
  <c r="FQ67" i="119"/>
  <c r="FR67" i="119"/>
  <c r="FS67" i="119"/>
  <c r="FT67" i="119"/>
  <c r="FU67" i="119"/>
  <c r="FV67" i="119"/>
  <c r="FW67" i="119"/>
  <c r="FX67" i="119"/>
  <c r="FY67" i="119"/>
  <c r="FZ67" i="119"/>
  <c r="GA67" i="119"/>
  <c r="GB67" i="119"/>
  <c r="GC67" i="119"/>
  <c r="GD67" i="119"/>
  <c r="GE67" i="119"/>
  <c r="GF67" i="119"/>
  <c r="GG67" i="119"/>
  <c r="GH67" i="119"/>
  <c r="GI67" i="119"/>
  <c r="GJ67" i="119"/>
  <c r="GK67" i="119"/>
  <c r="GL67" i="119"/>
  <c r="GM67" i="119"/>
  <c r="GN67" i="119"/>
  <c r="GO67" i="119"/>
  <c r="GP67" i="119"/>
  <c r="GQ67" i="119"/>
  <c r="GR67" i="119"/>
  <c r="GS67" i="119"/>
  <c r="GT67" i="119"/>
  <c r="GU67" i="119"/>
  <c r="GV67" i="119"/>
  <c r="GW67" i="119"/>
  <c r="GX67" i="119"/>
  <c r="GY67" i="119"/>
  <c r="GZ67" i="119"/>
  <c r="HA67" i="119"/>
  <c r="HB67" i="119"/>
  <c r="HC67" i="119"/>
  <c r="HD67" i="119"/>
  <c r="HE67" i="119"/>
  <c r="HF67" i="119"/>
  <c r="HG67" i="119"/>
  <c r="HH67" i="119"/>
  <c r="HI67" i="119"/>
  <c r="HJ67" i="119"/>
  <c r="HK67" i="119"/>
  <c r="HL67" i="119"/>
  <c r="FM68" i="119"/>
  <c r="FN68" i="119"/>
  <c r="FO68" i="119"/>
  <c r="FP68" i="119"/>
  <c r="FQ68" i="119"/>
  <c r="FR68" i="119"/>
  <c r="FS68" i="119"/>
  <c r="FT68" i="119"/>
  <c r="FU68" i="119"/>
  <c r="FV68" i="119"/>
  <c r="FW68" i="119"/>
  <c r="FX68" i="119"/>
  <c r="FY68" i="119"/>
  <c r="FZ68" i="119"/>
  <c r="GA68" i="119"/>
  <c r="GB68" i="119"/>
  <c r="GC68" i="119"/>
  <c r="GD68" i="119"/>
  <c r="GE68" i="119"/>
  <c r="GF68" i="119"/>
  <c r="GG68" i="119"/>
  <c r="GH68" i="119"/>
  <c r="GI68" i="119"/>
  <c r="GJ68" i="119"/>
  <c r="GK68" i="119"/>
  <c r="GL68" i="119"/>
  <c r="GM68" i="119"/>
  <c r="GN68" i="119"/>
  <c r="GO68" i="119"/>
  <c r="GP68" i="119"/>
  <c r="GQ68" i="119"/>
  <c r="GR68" i="119"/>
  <c r="GS68" i="119"/>
  <c r="GT68" i="119"/>
  <c r="GU68" i="119"/>
  <c r="GV68" i="119"/>
  <c r="GW68" i="119"/>
  <c r="GX68" i="119"/>
  <c r="GY68" i="119"/>
  <c r="GZ68" i="119"/>
  <c r="HA68" i="119"/>
  <c r="HB68" i="119"/>
  <c r="HC68" i="119"/>
  <c r="HD68" i="119"/>
  <c r="HE68" i="119"/>
  <c r="HF68" i="119"/>
  <c r="HG68" i="119"/>
  <c r="HH68" i="119"/>
  <c r="HI68" i="119"/>
  <c r="HJ68" i="119"/>
  <c r="HK68" i="119"/>
  <c r="HL68" i="119"/>
  <c r="FM69" i="119"/>
  <c r="FN69" i="119"/>
  <c r="FO69" i="119"/>
  <c r="FP69" i="119"/>
  <c r="FQ69" i="119"/>
  <c r="FR69" i="119"/>
  <c r="FS69" i="119"/>
  <c r="FT69" i="119"/>
  <c r="FU69" i="119"/>
  <c r="FV69" i="119"/>
  <c r="FW69" i="119"/>
  <c r="FX69" i="119"/>
  <c r="FY69" i="119"/>
  <c r="FZ69" i="119"/>
  <c r="GA69" i="119"/>
  <c r="GB69" i="119"/>
  <c r="GC69" i="119"/>
  <c r="GD69" i="119"/>
  <c r="GE69" i="119"/>
  <c r="GF69" i="119"/>
  <c r="GG69" i="119"/>
  <c r="GH69" i="119"/>
  <c r="GI69" i="119"/>
  <c r="GJ69" i="119"/>
  <c r="GK69" i="119"/>
  <c r="GL69" i="119"/>
  <c r="GM69" i="119"/>
  <c r="GN69" i="119"/>
  <c r="GO69" i="119"/>
  <c r="GP69" i="119"/>
  <c r="GQ69" i="119"/>
  <c r="GR69" i="119"/>
  <c r="GS69" i="119"/>
  <c r="GT69" i="119"/>
  <c r="GU69" i="119"/>
  <c r="GV69" i="119"/>
  <c r="GW69" i="119"/>
  <c r="GX69" i="119"/>
  <c r="GY69" i="119"/>
  <c r="GZ69" i="119"/>
  <c r="HA69" i="119"/>
  <c r="HB69" i="119"/>
  <c r="HC69" i="119"/>
  <c r="HD69" i="119"/>
  <c r="HE69" i="119"/>
  <c r="HF69" i="119"/>
  <c r="HG69" i="119"/>
  <c r="HH69" i="119"/>
  <c r="HI69" i="119"/>
  <c r="HJ69" i="119"/>
  <c r="HK69" i="119"/>
  <c r="HL69" i="119"/>
  <c r="FM70" i="119"/>
  <c r="FN70" i="119"/>
  <c r="FO70" i="119"/>
  <c r="FP70" i="119"/>
  <c r="FQ70" i="119"/>
  <c r="FR70" i="119"/>
  <c r="FS70" i="119"/>
  <c r="FT70" i="119"/>
  <c r="FU70" i="119"/>
  <c r="FV70" i="119"/>
  <c r="FW70" i="119"/>
  <c r="FX70" i="119"/>
  <c r="FY70" i="119"/>
  <c r="FZ70" i="119"/>
  <c r="GA70" i="119"/>
  <c r="GB70" i="119"/>
  <c r="GC70" i="119"/>
  <c r="GD70" i="119"/>
  <c r="GE70" i="119"/>
  <c r="GF70" i="119"/>
  <c r="GG70" i="119"/>
  <c r="GH70" i="119"/>
  <c r="GI70" i="119"/>
  <c r="GJ70" i="119"/>
  <c r="GK70" i="119"/>
  <c r="GL70" i="119"/>
  <c r="GM70" i="119"/>
  <c r="GN70" i="119"/>
  <c r="GO70" i="119"/>
  <c r="GP70" i="119"/>
  <c r="GQ70" i="119"/>
  <c r="GR70" i="119"/>
  <c r="GS70" i="119"/>
  <c r="GT70" i="119"/>
  <c r="GU70" i="119"/>
  <c r="GV70" i="119"/>
  <c r="GW70" i="119"/>
  <c r="GX70" i="119"/>
  <c r="GY70" i="119"/>
  <c r="GZ70" i="119"/>
  <c r="HA70" i="119"/>
  <c r="HB70" i="119"/>
  <c r="HC70" i="119"/>
  <c r="HD70" i="119"/>
  <c r="HE70" i="119"/>
  <c r="HF70" i="119"/>
  <c r="HG70" i="119"/>
  <c r="HH70" i="119"/>
  <c r="HI70" i="119"/>
  <c r="HJ70" i="119"/>
  <c r="HK70" i="119"/>
  <c r="HL70" i="119"/>
  <c r="FM71" i="119"/>
  <c r="FN71" i="119"/>
  <c r="FO71" i="119"/>
  <c r="FP71" i="119"/>
  <c r="FQ71" i="119"/>
  <c r="FR71" i="119"/>
  <c r="FS71" i="119"/>
  <c r="FT71" i="119"/>
  <c r="FU71" i="119"/>
  <c r="FV71" i="119"/>
  <c r="FW71" i="119"/>
  <c r="FX71" i="119"/>
  <c r="FY71" i="119"/>
  <c r="FZ71" i="119"/>
  <c r="GA71" i="119"/>
  <c r="GB71" i="119"/>
  <c r="GC71" i="119"/>
  <c r="GD71" i="119"/>
  <c r="GE71" i="119"/>
  <c r="GF71" i="119"/>
  <c r="GG71" i="119"/>
  <c r="GH71" i="119"/>
  <c r="GI71" i="119"/>
  <c r="GJ71" i="119"/>
  <c r="GK71" i="119"/>
  <c r="GL71" i="119"/>
  <c r="GM71" i="119"/>
  <c r="GN71" i="119"/>
  <c r="GO71" i="119"/>
  <c r="GP71" i="119"/>
  <c r="GQ71" i="119"/>
  <c r="GR71" i="119"/>
  <c r="GS71" i="119"/>
  <c r="GT71" i="119"/>
  <c r="GU71" i="119"/>
  <c r="GV71" i="119"/>
  <c r="GW71" i="119"/>
  <c r="GX71" i="119"/>
  <c r="GY71" i="119"/>
  <c r="GZ71" i="119"/>
  <c r="HA71" i="119"/>
  <c r="HB71" i="119"/>
  <c r="HC71" i="119"/>
  <c r="HD71" i="119"/>
  <c r="HE71" i="119"/>
  <c r="HF71" i="119"/>
  <c r="HG71" i="119"/>
  <c r="HH71" i="119"/>
  <c r="HI71" i="119"/>
  <c r="HJ71" i="119"/>
  <c r="HK71" i="119"/>
  <c r="HL71" i="119"/>
  <c r="FM72" i="119"/>
  <c r="FN72" i="119"/>
  <c r="FO72" i="119"/>
  <c r="FP72" i="119"/>
  <c r="FQ72" i="119"/>
  <c r="FR72" i="119"/>
  <c r="FS72" i="119"/>
  <c r="FT72" i="119"/>
  <c r="FU72" i="119"/>
  <c r="FV72" i="119"/>
  <c r="FW72" i="119"/>
  <c r="FX72" i="119"/>
  <c r="FY72" i="119"/>
  <c r="FZ72" i="119"/>
  <c r="GA72" i="119"/>
  <c r="GB72" i="119"/>
  <c r="GC72" i="119"/>
  <c r="GD72" i="119"/>
  <c r="GE72" i="119"/>
  <c r="GF72" i="119"/>
  <c r="GG72" i="119"/>
  <c r="GH72" i="119"/>
  <c r="GI72" i="119"/>
  <c r="GJ72" i="119"/>
  <c r="GK72" i="119"/>
  <c r="GL72" i="119"/>
  <c r="GM72" i="119"/>
  <c r="GN72" i="119"/>
  <c r="GO72" i="119"/>
  <c r="GP72" i="119"/>
  <c r="GQ72" i="119"/>
  <c r="GR72" i="119"/>
  <c r="GS72" i="119"/>
  <c r="GT72" i="119"/>
  <c r="GU72" i="119"/>
  <c r="GV72" i="119"/>
  <c r="GW72" i="119"/>
  <c r="GX72" i="119"/>
  <c r="GY72" i="119"/>
  <c r="GZ72" i="119"/>
  <c r="HA72" i="119"/>
  <c r="HB72" i="119"/>
  <c r="HC72" i="119"/>
  <c r="HD72" i="119"/>
  <c r="HE72" i="119"/>
  <c r="HF72" i="119"/>
  <c r="HG72" i="119"/>
  <c r="HH72" i="119"/>
  <c r="HI72" i="119"/>
  <c r="HJ72" i="119"/>
  <c r="HK72" i="119"/>
  <c r="HL72" i="119"/>
  <c r="FM73" i="119"/>
  <c r="FN73" i="119"/>
  <c r="FO73" i="119"/>
  <c r="FP73" i="119"/>
  <c r="FQ73" i="119"/>
  <c r="FR73" i="119"/>
  <c r="FS73" i="119"/>
  <c r="FT73" i="119"/>
  <c r="FU73" i="119"/>
  <c r="FV73" i="119"/>
  <c r="FW73" i="119"/>
  <c r="FX73" i="119"/>
  <c r="FY73" i="119"/>
  <c r="FZ73" i="119"/>
  <c r="GA73" i="119"/>
  <c r="GB73" i="119"/>
  <c r="GC73" i="119"/>
  <c r="GD73" i="119"/>
  <c r="GE73" i="119"/>
  <c r="GF73" i="119"/>
  <c r="GG73" i="119"/>
  <c r="GH73" i="119"/>
  <c r="GI73" i="119"/>
  <c r="GJ73" i="119"/>
  <c r="GK73" i="119"/>
  <c r="GL73" i="119"/>
  <c r="GM73" i="119"/>
  <c r="GN73" i="119"/>
  <c r="GO73" i="119"/>
  <c r="GP73" i="119"/>
  <c r="GQ73" i="119"/>
  <c r="GR73" i="119"/>
  <c r="GS73" i="119"/>
  <c r="GT73" i="119"/>
  <c r="GU73" i="119"/>
  <c r="GV73" i="119"/>
  <c r="GW73" i="119"/>
  <c r="GX73" i="119"/>
  <c r="GY73" i="119"/>
  <c r="GZ73" i="119"/>
  <c r="HA73" i="119"/>
  <c r="HB73" i="119"/>
  <c r="HC73" i="119"/>
  <c r="HD73" i="119"/>
  <c r="HE73" i="119"/>
  <c r="HF73" i="119"/>
  <c r="HG73" i="119"/>
  <c r="HH73" i="119"/>
  <c r="HI73" i="119"/>
  <c r="HJ73" i="119"/>
  <c r="HK73" i="119"/>
  <c r="HL73" i="119"/>
  <c r="FM74" i="119"/>
  <c r="FN74" i="119"/>
  <c r="FO74" i="119"/>
  <c r="FP74" i="119"/>
  <c r="FQ74" i="119"/>
  <c r="FR74" i="119"/>
  <c r="FS74" i="119"/>
  <c r="FT74" i="119"/>
  <c r="FU74" i="119"/>
  <c r="FV74" i="119"/>
  <c r="FW74" i="119"/>
  <c r="FX74" i="119"/>
  <c r="FY74" i="119"/>
  <c r="FZ74" i="119"/>
  <c r="GA74" i="119"/>
  <c r="GB74" i="119"/>
  <c r="GC74" i="119"/>
  <c r="GD74" i="119"/>
  <c r="GE74" i="119"/>
  <c r="GF74" i="119"/>
  <c r="GG74" i="119"/>
  <c r="GH74" i="119"/>
  <c r="GI74" i="119"/>
  <c r="GJ74" i="119"/>
  <c r="GK74" i="119"/>
  <c r="GL74" i="119"/>
  <c r="GM74" i="119"/>
  <c r="GN74" i="119"/>
  <c r="GO74" i="119"/>
  <c r="GP74" i="119"/>
  <c r="GQ74" i="119"/>
  <c r="GR74" i="119"/>
  <c r="GS74" i="119"/>
  <c r="GT74" i="119"/>
  <c r="GU74" i="119"/>
  <c r="GV74" i="119"/>
  <c r="GW74" i="119"/>
  <c r="GX74" i="119"/>
  <c r="GY74" i="119"/>
  <c r="GZ74" i="119"/>
  <c r="HA74" i="119"/>
  <c r="HB74" i="119"/>
  <c r="HC74" i="119"/>
  <c r="HD74" i="119"/>
  <c r="HE74" i="119"/>
  <c r="HF74" i="119"/>
  <c r="HG74" i="119"/>
  <c r="HH74" i="119"/>
  <c r="HI74" i="119"/>
  <c r="HJ74" i="119"/>
  <c r="HK74" i="119"/>
  <c r="HL74" i="119"/>
  <c r="FM75" i="119"/>
  <c r="FN75" i="119"/>
  <c r="FO75" i="119"/>
  <c r="FP75" i="119"/>
  <c r="FQ75" i="119"/>
  <c r="FR75" i="119"/>
  <c r="FS75" i="119"/>
  <c r="FT75" i="119"/>
  <c r="FU75" i="119"/>
  <c r="FV75" i="119"/>
  <c r="FW75" i="119"/>
  <c r="FX75" i="119"/>
  <c r="FY75" i="119"/>
  <c r="FZ75" i="119"/>
  <c r="GA75" i="119"/>
  <c r="GB75" i="119"/>
  <c r="GC75" i="119"/>
  <c r="GD75" i="119"/>
  <c r="GE75" i="119"/>
  <c r="GF75" i="119"/>
  <c r="GG75" i="119"/>
  <c r="GH75" i="119"/>
  <c r="GI75" i="119"/>
  <c r="GJ75" i="119"/>
  <c r="GK75" i="119"/>
  <c r="GL75" i="119"/>
  <c r="GM75" i="119"/>
  <c r="GN75" i="119"/>
  <c r="GO75" i="119"/>
  <c r="GP75" i="119"/>
  <c r="GQ75" i="119"/>
  <c r="GR75" i="119"/>
  <c r="GS75" i="119"/>
  <c r="GT75" i="119"/>
  <c r="GU75" i="119"/>
  <c r="GV75" i="119"/>
  <c r="GW75" i="119"/>
  <c r="GX75" i="119"/>
  <c r="GY75" i="119"/>
  <c r="GZ75" i="119"/>
  <c r="HA75" i="119"/>
  <c r="HB75" i="119"/>
  <c r="HC75" i="119"/>
  <c r="HD75" i="119"/>
  <c r="HE75" i="119"/>
  <c r="HF75" i="119"/>
  <c r="HG75" i="119"/>
  <c r="HH75" i="119"/>
  <c r="HI75" i="119"/>
  <c r="HJ75" i="119"/>
  <c r="HK75" i="119"/>
  <c r="HL75" i="119"/>
  <c r="FM76" i="119"/>
  <c r="FN76" i="119"/>
  <c r="FO76" i="119"/>
  <c r="FP76" i="119"/>
  <c r="FQ76" i="119"/>
  <c r="FR76" i="119"/>
  <c r="FS76" i="119"/>
  <c r="FT76" i="119"/>
  <c r="FU76" i="119"/>
  <c r="FV76" i="119"/>
  <c r="FW76" i="119"/>
  <c r="FX76" i="119"/>
  <c r="FY76" i="119"/>
  <c r="FZ76" i="119"/>
  <c r="GA76" i="119"/>
  <c r="GB76" i="119"/>
  <c r="GC76" i="119"/>
  <c r="GD76" i="119"/>
  <c r="GE76" i="119"/>
  <c r="GF76" i="119"/>
  <c r="GG76" i="119"/>
  <c r="GH76" i="119"/>
  <c r="GI76" i="119"/>
  <c r="GJ76" i="119"/>
  <c r="GK76" i="119"/>
  <c r="GL76" i="119"/>
  <c r="GM76" i="119"/>
  <c r="GN76" i="119"/>
  <c r="GO76" i="119"/>
  <c r="GP76" i="119"/>
  <c r="GQ76" i="119"/>
  <c r="GR76" i="119"/>
  <c r="GS76" i="119"/>
  <c r="GT76" i="119"/>
  <c r="GU76" i="119"/>
  <c r="GV76" i="119"/>
  <c r="GW76" i="119"/>
  <c r="GX76" i="119"/>
  <c r="GY76" i="119"/>
  <c r="GZ76" i="119"/>
  <c r="HA76" i="119"/>
  <c r="HB76" i="119"/>
  <c r="HC76" i="119"/>
  <c r="HD76" i="119"/>
  <c r="HE76" i="119"/>
  <c r="HF76" i="119"/>
  <c r="HG76" i="119"/>
  <c r="HH76" i="119"/>
  <c r="HI76" i="119"/>
  <c r="HJ76" i="119"/>
  <c r="HK76" i="119"/>
  <c r="HL76" i="119"/>
  <c r="FM77" i="119"/>
  <c r="FN77" i="119"/>
  <c r="FO77" i="119"/>
  <c r="FP77" i="119"/>
  <c r="FQ77" i="119"/>
  <c r="FR77" i="119"/>
  <c r="FS77" i="119"/>
  <c r="FT77" i="119"/>
  <c r="FU77" i="119"/>
  <c r="FV77" i="119"/>
  <c r="FW77" i="119"/>
  <c r="FX77" i="119"/>
  <c r="FY77" i="119"/>
  <c r="FZ77" i="119"/>
  <c r="GA77" i="119"/>
  <c r="GB77" i="119"/>
  <c r="GC77" i="119"/>
  <c r="GD77" i="119"/>
  <c r="GE77" i="119"/>
  <c r="GF77" i="119"/>
  <c r="GG77" i="119"/>
  <c r="GH77" i="119"/>
  <c r="GI77" i="119"/>
  <c r="GJ77" i="119"/>
  <c r="GK77" i="119"/>
  <c r="GL77" i="119"/>
  <c r="GM77" i="119"/>
  <c r="GN77" i="119"/>
  <c r="GO77" i="119"/>
  <c r="GP77" i="119"/>
  <c r="GQ77" i="119"/>
  <c r="GR77" i="119"/>
  <c r="GS77" i="119"/>
  <c r="GT77" i="119"/>
  <c r="GU77" i="119"/>
  <c r="GV77" i="119"/>
  <c r="GW77" i="119"/>
  <c r="GX77" i="119"/>
  <c r="GY77" i="119"/>
  <c r="GZ77" i="119"/>
  <c r="HA77" i="119"/>
  <c r="HB77" i="119"/>
  <c r="HC77" i="119"/>
  <c r="HD77" i="119"/>
  <c r="HE77" i="119"/>
  <c r="HF77" i="119"/>
  <c r="HG77" i="119"/>
  <c r="HH77" i="119"/>
  <c r="HI77" i="119"/>
  <c r="HJ77" i="119"/>
  <c r="HK77" i="119"/>
  <c r="HL77" i="119"/>
  <c r="FM78" i="119"/>
  <c r="FN78" i="119"/>
  <c r="FO78" i="119"/>
  <c r="FP78" i="119"/>
  <c r="FQ78" i="119"/>
  <c r="FR78" i="119"/>
  <c r="FS78" i="119"/>
  <c r="FT78" i="119"/>
  <c r="FU78" i="119"/>
  <c r="FV78" i="119"/>
  <c r="FW78" i="119"/>
  <c r="FX78" i="119"/>
  <c r="FY78" i="119"/>
  <c r="FZ78" i="119"/>
  <c r="GA78" i="119"/>
  <c r="GB78" i="119"/>
  <c r="GC78" i="119"/>
  <c r="GD78" i="119"/>
  <c r="GE78" i="119"/>
  <c r="GF78" i="119"/>
  <c r="GG78" i="119"/>
  <c r="GH78" i="119"/>
  <c r="GI78" i="119"/>
  <c r="GJ78" i="119"/>
  <c r="GK78" i="119"/>
  <c r="GL78" i="119"/>
  <c r="GM78" i="119"/>
  <c r="GN78" i="119"/>
  <c r="GO78" i="119"/>
  <c r="GP78" i="119"/>
  <c r="GQ78" i="119"/>
  <c r="GR78" i="119"/>
  <c r="GS78" i="119"/>
  <c r="GT78" i="119"/>
  <c r="GU78" i="119"/>
  <c r="GV78" i="119"/>
  <c r="GW78" i="119"/>
  <c r="GX78" i="119"/>
  <c r="GY78" i="119"/>
  <c r="GZ78" i="119"/>
  <c r="HA78" i="119"/>
  <c r="HB78" i="119"/>
  <c r="HC78" i="119"/>
  <c r="HD78" i="119"/>
  <c r="HE78" i="119"/>
  <c r="HF78" i="119"/>
  <c r="HG78" i="119"/>
  <c r="HH78" i="119"/>
  <c r="HI78" i="119"/>
  <c r="HJ78" i="119"/>
  <c r="HK78" i="119"/>
  <c r="HL78" i="119"/>
  <c r="FM79" i="119"/>
  <c r="FN79" i="119"/>
  <c r="FO79" i="119"/>
  <c r="FP79" i="119"/>
  <c r="FQ79" i="119"/>
  <c r="FR79" i="119"/>
  <c r="FS79" i="119"/>
  <c r="FT79" i="119"/>
  <c r="FU79" i="119"/>
  <c r="FV79" i="119"/>
  <c r="FW79" i="119"/>
  <c r="FX79" i="119"/>
  <c r="FY79" i="119"/>
  <c r="FZ79" i="119"/>
  <c r="GA79" i="119"/>
  <c r="GB79" i="119"/>
  <c r="GC79" i="119"/>
  <c r="GD79" i="119"/>
  <c r="GE79" i="119"/>
  <c r="GF79" i="119"/>
  <c r="GG79" i="119"/>
  <c r="GH79" i="119"/>
  <c r="GI79" i="119"/>
  <c r="GJ79" i="119"/>
  <c r="GK79" i="119"/>
  <c r="GL79" i="119"/>
  <c r="GM79" i="119"/>
  <c r="GN79" i="119"/>
  <c r="GO79" i="119"/>
  <c r="GP79" i="119"/>
  <c r="GQ79" i="119"/>
  <c r="GR79" i="119"/>
  <c r="GS79" i="119"/>
  <c r="GT79" i="119"/>
  <c r="GU79" i="119"/>
  <c r="GV79" i="119"/>
  <c r="GW79" i="119"/>
  <c r="GX79" i="119"/>
  <c r="GY79" i="119"/>
  <c r="GZ79" i="119"/>
  <c r="HA79" i="119"/>
  <c r="HB79" i="119"/>
  <c r="HC79" i="119"/>
  <c r="HD79" i="119"/>
  <c r="HE79" i="119"/>
  <c r="HF79" i="119"/>
  <c r="HG79" i="119"/>
  <c r="HH79" i="119"/>
  <c r="HI79" i="119"/>
  <c r="HJ79" i="119"/>
  <c r="HK79" i="119"/>
  <c r="HL79" i="119"/>
  <c r="FM80" i="119"/>
  <c r="FN80" i="119"/>
  <c r="FO80" i="119"/>
  <c r="FP80" i="119"/>
  <c r="FQ80" i="119"/>
  <c r="FR80" i="119"/>
  <c r="FS80" i="119"/>
  <c r="FT80" i="119"/>
  <c r="FU80" i="119"/>
  <c r="FV80" i="119"/>
  <c r="FW80" i="119"/>
  <c r="FX80" i="119"/>
  <c r="FY80" i="119"/>
  <c r="FZ80" i="119"/>
  <c r="GA80" i="119"/>
  <c r="GB80" i="119"/>
  <c r="GC80" i="119"/>
  <c r="GD80" i="119"/>
  <c r="GE80" i="119"/>
  <c r="GF80" i="119"/>
  <c r="GG80" i="119"/>
  <c r="GH80" i="119"/>
  <c r="GI80" i="119"/>
  <c r="GJ80" i="119"/>
  <c r="GK80" i="119"/>
  <c r="GL80" i="119"/>
  <c r="GM80" i="119"/>
  <c r="GN80" i="119"/>
  <c r="GO80" i="119"/>
  <c r="GP80" i="119"/>
  <c r="GQ80" i="119"/>
  <c r="GR80" i="119"/>
  <c r="GS80" i="119"/>
  <c r="GT80" i="119"/>
  <c r="GU80" i="119"/>
  <c r="GV80" i="119"/>
  <c r="GW80" i="119"/>
  <c r="GX80" i="119"/>
  <c r="GY80" i="119"/>
  <c r="GZ80" i="119"/>
  <c r="HA80" i="119"/>
  <c r="HB80" i="119"/>
  <c r="HC80" i="119"/>
  <c r="HD80" i="119"/>
  <c r="HE80" i="119"/>
  <c r="HF80" i="119"/>
  <c r="HG80" i="119"/>
  <c r="HH80" i="119"/>
  <c r="HI80" i="119"/>
  <c r="HJ80" i="119"/>
  <c r="HK80" i="119"/>
  <c r="HL80" i="119"/>
  <c r="FM81" i="119"/>
  <c r="FN81" i="119"/>
  <c r="FO81" i="119"/>
  <c r="FP81" i="119"/>
  <c r="FQ81" i="119"/>
  <c r="FR81" i="119"/>
  <c r="FS81" i="119"/>
  <c r="FT81" i="119"/>
  <c r="FU81" i="119"/>
  <c r="FV81" i="119"/>
  <c r="FW81" i="119"/>
  <c r="FX81" i="119"/>
  <c r="FY81" i="119"/>
  <c r="FZ81" i="119"/>
  <c r="GA81" i="119"/>
  <c r="GB81" i="119"/>
  <c r="GC81" i="119"/>
  <c r="GD81" i="119"/>
  <c r="GE81" i="119"/>
  <c r="GF81" i="119"/>
  <c r="GG81" i="119"/>
  <c r="GH81" i="119"/>
  <c r="GI81" i="119"/>
  <c r="GJ81" i="119"/>
  <c r="GK81" i="119"/>
  <c r="GL81" i="119"/>
  <c r="GM81" i="119"/>
  <c r="GN81" i="119"/>
  <c r="GO81" i="119"/>
  <c r="GP81" i="119"/>
  <c r="GQ81" i="119"/>
  <c r="GR81" i="119"/>
  <c r="GS81" i="119"/>
  <c r="GT81" i="119"/>
  <c r="GU81" i="119"/>
  <c r="GV81" i="119"/>
  <c r="GW81" i="119"/>
  <c r="GX81" i="119"/>
  <c r="GY81" i="119"/>
  <c r="GZ81" i="119"/>
  <c r="HA81" i="119"/>
  <c r="HB81" i="119"/>
  <c r="HC81" i="119"/>
  <c r="HD81" i="119"/>
  <c r="HE81" i="119"/>
  <c r="HF81" i="119"/>
  <c r="HG81" i="119"/>
  <c r="HH81" i="119"/>
  <c r="HI81" i="119"/>
  <c r="HJ81" i="119"/>
  <c r="HK81" i="119"/>
  <c r="HL81" i="119"/>
  <c r="FM82" i="119"/>
  <c r="FN82" i="119"/>
  <c r="FO82" i="119"/>
  <c r="FP82" i="119"/>
  <c r="FQ82" i="119"/>
  <c r="FR82" i="119"/>
  <c r="FS82" i="119"/>
  <c r="FT82" i="119"/>
  <c r="FU82" i="119"/>
  <c r="FV82" i="119"/>
  <c r="FW82" i="119"/>
  <c r="FX82" i="119"/>
  <c r="FY82" i="119"/>
  <c r="FZ82" i="119"/>
  <c r="GA82" i="119"/>
  <c r="GB82" i="119"/>
  <c r="GC82" i="119"/>
  <c r="GD82" i="119"/>
  <c r="GE82" i="119"/>
  <c r="GF82" i="119"/>
  <c r="GG82" i="119"/>
  <c r="GH82" i="119"/>
  <c r="GI82" i="119"/>
  <c r="GJ82" i="119"/>
  <c r="GK82" i="119"/>
  <c r="GL82" i="119"/>
  <c r="GM82" i="119"/>
  <c r="GN82" i="119"/>
  <c r="GO82" i="119"/>
  <c r="GP82" i="119"/>
  <c r="GQ82" i="119"/>
  <c r="GR82" i="119"/>
  <c r="GS82" i="119"/>
  <c r="GT82" i="119"/>
  <c r="GU82" i="119"/>
  <c r="GV82" i="119"/>
  <c r="GW82" i="119"/>
  <c r="GX82" i="119"/>
  <c r="GY82" i="119"/>
  <c r="GZ82" i="119"/>
  <c r="HA82" i="119"/>
  <c r="HB82" i="119"/>
  <c r="HC82" i="119"/>
  <c r="HD82" i="119"/>
  <c r="HE82" i="119"/>
  <c r="HF82" i="119"/>
  <c r="HG82" i="119"/>
  <c r="HH82" i="119"/>
  <c r="HI82" i="119"/>
  <c r="HJ82" i="119"/>
  <c r="HK82" i="119"/>
  <c r="HL82" i="119"/>
  <c r="FM83" i="119"/>
  <c r="FN83" i="119"/>
  <c r="FO83" i="119"/>
  <c r="FP83" i="119"/>
  <c r="FQ83" i="119"/>
  <c r="FR83" i="119"/>
  <c r="FS83" i="119"/>
  <c r="FT83" i="119"/>
  <c r="FU83" i="119"/>
  <c r="FV83" i="119"/>
  <c r="FW83" i="119"/>
  <c r="FX83" i="119"/>
  <c r="FY83" i="119"/>
  <c r="FZ83" i="119"/>
  <c r="GA83" i="119"/>
  <c r="GB83" i="119"/>
  <c r="GC83" i="119"/>
  <c r="GD83" i="119"/>
  <c r="GE83" i="119"/>
  <c r="GF83" i="119"/>
  <c r="GG83" i="119"/>
  <c r="GH83" i="119"/>
  <c r="GI83" i="119"/>
  <c r="GJ83" i="119"/>
  <c r="GK83" i="119"/>
  <c r="GL83" i="119"/>
  <c r="GM83" i="119"/>
  <c r="GN83" i="119"/>
  <c r="GO83" i="119"/>
  <c r="GP83" i="119"/>
  <c r="GQ83" i="119"/>
  <c r="GR83" i="119"/>
  <c r="GS83" i="119"/>
  <c r="GT83" i="119"/>
  <c r="GU83" i="119"/>
  <c r="GV83" i="119"/>
  <c r="GW83" i="119"/>
  <c r="GX83" i="119"/>
  <c r="GY83" i="119"/>
  <c r="GZ83" i="119"/>
  <c r="HA83" i="119"/>
  <c r="HB83" i="119"/>
  <c r="HC83" i="119"/>
  <c r="HD83" i="119"/>
  <c r="HE83" i="119"/>
  <c r="HF83" i="119"/>
  <c r="HG83" i="119"/>
  <c r="HH83" i="119"/>
  <c r="HI83" i="119"/>
  <c r="HJ83" i="119"/>
  <c r="HK83" i="119"/>
  <c r="HL83" i="119"/>
  <c r="FM84" i="119"/>
  <c r="FN84" i="119"/>
  <c r="FO84" i="119"/>
  <c r="FP84" i="119"/>
  <c r="FQ84" i="119"/>
  <c r="FR84" i="119"/>
  <c r="FS84" i="119"/>
  <c r="FT84" i="119"/>
  <c r="FU84" i="119"/>
  <c r="FV84" i="119"/>
  <c r="FW84" i="119"/>
  <c r="FX84" i="119"/>
  <c r="FY84" i="119"/>
  <c r="FZ84" i="119"/>
  <c r="GA84" i="119"/>
  <c r="GB84" i="119"/>
  <c r="GC84" i="119"/>
  <c r="GD84" i="119"/>
  <c r="GE84" i="119"/>
  <c r="GF84" i="119"/>
  <c r="GG84" i="119"/>
  <c r="GH84" i="119"/>
  <c r="GI84" i="119"/>
  <c r="GJ84" i="119"/>
  <c r="GK84" i="119"/>
  <c r="GL84" i="119"/>
  <c r="GM84" i="119"/>
  <c r="GN84" i="119"/>
  <c r="GO84" i="119"/>
  <c r="GP84" i="119"/>
  <c r="GQ84" i="119"/>
  <c r="GR84" i="119"/>
  <c r="GS84" i="119"/>
  <c r="GT84" i="119"/>
  <c r="GU84" i="119"/>
  <c r="GV84" i="119"/>
  <c r="GW84" i="119"/>
  <c r="GX84" i="119"/>
  <c r="GY84" i="119"/>
  <c r="GZ84" i="119"/>
  <c r="HA84" i="119"/>
  <c r="HB84" i="119"/>
  <c r="HC84" i="119"/>
  <c r="HD84" i="119"/>
  <c r="HE84" i="119"/>
  <c r="HF84" i="119"/>
  <c r="HG84" i="119"/>
  <c r="HH84" i="119"/>
  <c r="HI84" i="119"/>
  <c r="HJ84" i="119"/>
  <c r="HK84" i="119"/>
  <c r="HL84" i="119"/>
  <c r="FM85" i="119"/>
  <c r="FN85" i="119"/>
  <c r="FO85" i="119"/>
  <c r="FP85" i="119"/>
  <c r="FQ85" i="119"/>
  <c r="FR85" i="119"/>
  <c r="FS85" i="119"/>
  <c r="FT85" i="119"/>
  <c r="FU85" i="119"/>
  <c r="FV85" i="119"/>
  <c r="FW85" i="119"/>
  <c r="FX85" i="119"/>
  <c r="FY85" i="119"/>
  <c r="FZ85" i="119"/>
  <c r="GA85" i="119"/>
  <c r="GB85" i="119"/>
  <c r="GC85" i="119"/>
  <c r="GD85" i="119"/>
  <c r="GE85" i="119"/>
  <c r="GF85" i="119"/>
  <c r="GG85" i="119"/>
  <c r="GH85" i="119"/>
  <c r="GI85" i="119"/>
  <c r="GJ85" i="119"/>
  <c r="GK85" i="119"/>
  <c r="GL85" i="119"/>
  <c r="GM85" i="119"/>
  <c r="GN85" i="119"/>
  <c r="GO85" i="119"/>
  <c r="GP85" i="119"/>
  <c r="GQ85" i="119"/>
  <c r="GR85" i="119"/>
  <c r="GS85" i="119"/>
  <c r="GT85" i="119"/>
  <c r="GU85" i="119"/>
  <c r="GV85" i="119"/>
  <c r="GW85" i="119"/>
  <c r="GX85" i="119"/>
  <c r="GY85" i="119"/>
  <c r="GZ85" i="119"/>
  <c r="HA85" i="119"/>
  <c r="HB85" i="119"/>
  <c r="HC85" i="119"/>
  <c r="HD85" i="119"/>
  <c r="HE85" i="119"/>
  <c r="HF85" i="119"/>
  <c r="HG85" i="119"/>
  <c r="HH85" i="119"/>
  <c r="HI85" i="119"/>
  <c r="HJ85" i="119"/>
  <c r="HK85" i="119"/>
  <c r="HL85" i="119"/>
  <c r="FM86" i="119"/>
  <c r="FN86" i="119"/>
  <c r="FO86" i="119"/>
  <c r="FP86" i="119"/>
  <c r="FQ86" i="119"/>
  <c r="FR86" i="119"/>
  <c r="FS86" i="119"/>
  <c r="FT86" i="119"/>
  <c r="FU86" i="119"/>
  <c r="FV86" i="119"/>
  <c r="FW86" i="119"/>
  <c r="FX86" i="119"/>
  <c r="FY86" i="119"/>
  <c r="FZ86" i="119"/>
  <c r="GA86" i="119"/>
  <c r="GB86" i="119"/>
  <c r="GC86" i="119"/>
  <c r="GD86" i="119"/>
  <c r="GE86" i="119"/>
  <c r="GF86" i="119"/>
  <c r="GG86" i="119"/>
  <c r="GH86" i="119"/>
  <c r="GI86" i="119"/>
  <c r="GJ86" i="119"/>
  <c r="GK86" i="119"/>
  <c r="GL86" i="119"/>
  <c r="GM86" i="119"/>
  <c r="GN86" i="119"/>
  <c r="GO86" i="119"/>
  <c r="GP86" i="119"/>
  <c r="GQ86" i="119"/>
  <c r="GR86" i="119"/>
  <c r="GS86" i="119"/>
  <c r="GT86" i="119"/>
  <c r="GU86" i="119"/>
  <c r="GV86" i="119"/>
  <c r="GW86" i="119"/>
  <c r="GX86" i="119"/>
  <c r="GY86" i="119"/>
  <c r="GZ86" i="119"/>
  <c r="HA86" i="119"/>
  <c r="HB86" i="119"/>
  <c r="HC86" i="119"/>
  <c r="HD86" i="119"/>
  <c r="HE86" i="119"/>
  <c r="HF86" i="119"/>
  <c r="HG86" i="119"/>
  <c r="HH86" i="119"/>
  <c r="HI86" i="119"/>
  <c r="HJ86" i="119"/>
  <c r="HK86" i="119"/>
  <c r="HL86" i="119"/>
  <c r="FM87" i="119"/>
  <c r="FN87" i="119"/>
  <c r="FO87" i="119"/>
  <c r="FP87" i="119"/>
  <c r="FQ87" i="119"/>
  <c r="FR87" i="119"/>
  <c r="FS87" i="119"/>
  <c r="FT87" i="119"/>
  <c r="FU87" i="119"/>
  <c r="FV87" i="119"/>
  <c r="FW87" i="119"/>
  <c r="FX87" i="119"/>
  <c r="FY87" i="119"/>
  <c r="FZ87" i="119"/>
  <c r="GA87" i="119"/>
  <c r="GB87" i="119"/>
  <c r="GC87" i="119"/>
  <c r="GD87" i="119"/>
  <c r="GE87" i="119"/>
  <c r="GF87" i="119"/>
  <c r="GG87" i="119"/>
  <c r="GH87" i="119"/>
  <c r="GI87" i="119"/>
  <c r="GJ87" i="119"/>
  <c r="GK87" i="119"/>
  <c r="GL87" i="119"/>
  <c r="GM87" i="119"/>
  <c r="GN87" i="119"/>
  <c r="GO87" i="119"/>
  <c r="GP87" i="119"/>
  <c r="GQ87" i="119"/>
  <c r="GR87" i="119"/>
  <c r="GS87" i="119"/>
  <c r="GT87" i="119"/>
  <c r="GU87" i="119"/>
  <c r="GV87" i="119"/>
  <c r="GW87" i="119"/>
  <c r="GX87" i="119"/>
  <c r="GY87" i="119"/>
  <c r="GZ87" i="119"/>
  <c r="HA87" i="119"/>
  <c r="HB87" i="119"/>
  <c r="HC87" i="119"/>
  <c r="HD87" i="119"/>
  <c r="HE87" i="119"/>
  <c r="HF87" i="119"/>
  <c r="HG87" i="119"/>
  <c r="HH87" i="119"/>
  <c r="HI87" i="119"/>
  <c r="HJ87" i="119"/>
  <c r="HK87" i="119"/>
  <c r="HL87" i="119"/>
  <c r="FM88" i="119"/>
  <c r="FN88" i="119"/>
  <c r="FO88" i="119"/>
  <c r="FP88" i="119"/>
  <c r="FQ88" i="119"/>
  <c r="FR88" i="119"/>
  <c r="FS88" i="119"/>
  <c r="FT88" i="119"/>
  <c r="FU88" i="119"/>
  <c r="FV88" i="119"/>
  <c r="FW88" i="119"/>
  <c r="FX88" i="119"/>
  <c r="FY88" i="119"/>
  <c r="FZ88" i="119"/>
  <c r="GA88" i="119"/>
  <c r="GB88" i="119"/>
  <c r="GC88" i="119"/>
  <c r="GD88" i="119"/>
  <c r="GE88" i="119"/>
  <c r="GF88" i="119"/>
  <c r="GG88" i="119"/>
  <c r="GH88" i="119"/>
  <c r="GI88" i="119"/>
  <c r="GJ88" i="119"/>
  <c r="GK88" i="119"/>
  <c r="GL88" i="119"/>
  <c r="GM88" i="119"/>
  <c r="GN88" i="119"/>
  <c r="GO88" i="119"/>
  <c r="GP88" i="119"/>
  <c r="GQ88" i="119"/>
  <c r="GR88" i="119"/>
  <c r="GS88" i="119"/>
  <c r="GT88" i="119"/>
  <c r="GU88" i="119"/>
  <c r="GV88" i="119"/>
  <c r="GW88" i="119"/>
  <c r="GX88" i="119"/>
  <c r="GY88" i="119"/>
  <c r="GZ88" i="119"/>
  <c r="HA88" i="119"/>
  <c r="HB88" i="119"/>
  <c r="HC88" i="119"/>
  <c r="HD88" i="119"/>
  <c r="HE88" i="119"/>
  <c r="HF88" i="119"/>
  <c r="HG88" i="119"/>
  <c r="HH88" i="119"/>
  <c r="HI88" i="119"/>
  <c r="HJ88" i="119"/>
  <c r="HK88" i="119"/>
  <c r="HL88" i="119"/>
  <c r="FM89" i="119"/>
  <c r="FN89" i="119"/>
  <c r="FO89" i="119"/>
  <c r="FP89" i="119"/>
  <c r="FQ89" i="119"/>
  <c r="FR89" i="119"/>
  <c r="FS89" i="119"/>
  <c r="FT89" i="119"/>
  <c r="FU89" i="119"/>
  <c r="FV89" i="119"/>
  <c r="FW89" i="119"/>
  <c r="FX89" i="119"/>
  <c r="FY89" i="119"/>
  <c r="FZ89" i="119"/>
  <c r="GA89" i="119"/>
  <c r="GB89" i="119"/>
  <c r="GC89" i="119"/>
  <c r="GD89" i="119"/>
  <c r="GE89" i="119"/>
  <c r="GF89" i="119"/>
  <c r="GG89" i="119"/>
  <c r="GH89" i="119"/>
  <c r="GI89" i="119"/>
  <c r="GJ89" i="119"/>
  <c r="GK89" i="119"/>
  <c r="GL89" i="119"/>
  <c r="GM89" i="119"/>
  <c r="GN89" i="119"/>
  <c r="GO89" i="119"/>
  <c r="GP89" i="119"/>
  <c r="GQ89" i="119"/>
  <c r="GR89" i="119"/>
  <c r="GS89" i="119"/>
  <c r="GT89" i="119"/>
  <c r="GU89" i="119"/>
  <c r="GV89" i="119"/>
  <c r="GW89" i="119"/>
  <c r="GX89" i="119"/>
  <c r="GY89" i="119"/>
  <c r="GZ89" i="119"/>
  <c r="HA89" i="119"/>
  <c r="HB89" i="119"/>
  <c r="HC89" i="119"/>
  <c r="HD89" i="119"/>
  <c r="HE89" i="119"/>
  <c r="HF89" i="119"/>
  <c r="HG89" i="119"/>
  <c r="HH89" i="119"/>
  <c r="HI89" i="119"/>
  <c r="HJ89" i="119"/>
  <c r="HK89" i="119"/>
  <c r="HL89" i="119"/>
  <c r="FM90" i="119"/>
  <c r="FN90" i="119"/>
  <c r="FO90" i="119"/>
  <c r="FP90" i="119"/>
  <c r="FQ90" i="119"/>
  <c r="FR90" i="119"/>
  <c r="FS90" i="119"/>
  <c r="FT90" i="119"/>
  <c r="FU90" i="119"/>
  <c r="FV90" i="119"/>
  <c r="FW90" i="119"/>
  <c r="FX90" i="119"/>
  <c r="FY90" i="119"/>
  <c r="FZ90" i="119"/>
  <c r="GA90" i="119"/>
  <c r="GB90" i="119"/>
  <c r="GC90" i="119"/>
  <c r="GD90" i="119"/>
  <c r="GE90" i="119"/>
  <c r="GF90" i="119"/>
  <c r="GG90" i="119"/>
  <c r="GH90" i="119"/>
  <c r="GI90" i="119"/>
  <c r="GJ90" i="119"/>
  <c r="GK90" i="119"/>
  <c r="GL90" i="119"/>
  <c r="GM90" i="119"/>
  <c r="GN90" i="119"/>
  <c r="GO90" i="119"/>
  <c r="GP90" i="119"/>
  <c r="GQ90" i="119"/>
  <c r="GR90" i="119"/>
  <c r="GS90" i="119"/>
  <c r="GT90" i="119"/>
  <c r="GU90" i="119"/>
  <c r="GV90" i="119"/>
  <c r="GW90" i="119"/>
  <c r="GX90" i="119"/>
  <c r="GY90" i="119"/>
  <c r="GZ90" i="119"/>
  <c r="HA90" i="119"/>
  <c r="HB90" i="119"/>
  <c r="HC90" i="119"/>
  <c r="HD90" i="119"/>
  <c r="HE90" i="119"/>
  <c r="HF90" i="119"/>
  <c r="HG90" i="119"/>
  <c r="HH90" i="119"/>
  <c r="HI90" i="119"/>
  <c r="HJ90" i="119"/>
  <c r="HK90" i="119"/>
  <c r="HL90" i="119"/>
  <c r="FM91" i="119"/>
  <c r="FN91" i="119"/>
  <c r="FO91" i="119"/>
  <c r="FP91" i="119"/>
  <c r="FQ91" i="119"/>
  <c r="FR91" i="119"/>
  <c r="FS91" i="119"/>
  <c r="FT91" i="119"/>
  <c r="FU91" i="119"/>
  <c r="FV91" i="119"/>
  <c r="FW91" i="119"/>
  <c r="FX91" i="119"/>
  <c r="FY91" i="119"/>
  <c r="FZ91" i="119"/>
  <c r="GA91" i="119"/>
  <c r="GB91" i="119"/>
  <c r="GC91" i="119"/>
  <c r="GD91" i="119"/>
  <c r="GE91" i="119"/>
  <c r="GF91" i="119"/>
  <c r="GG91" i="119"/>
  <c r="GH91" i="119"/>
  <c r="GI91" i="119"/>
  <c r="GJ91" i="119"/>
  <c r="GK91" i="119"/>
  <c r="GL91" i="119"/>
  <c r="GM91" i="119"/>
  <c r="GN91" i="119"/>
  <c r="GO91" i="119"/>
  <c r="GP91" i="119"/>
  <c r="GQ91" i="119"/>
  <c r="GR91" i="119"/>
  <c r="GS91" i="119"/>
  <c r="GT91" i="119"/>
  <c r="GU91" i="119"/>
  <c r="GV91" i="119"/>
  <c r="GW91" i="119"/>
  <c r="GX91" i="119"/>
  <c r="GY91" i="119"/>
  <c r="GZ91" i="119"/>
  <c r="HA91" i="119"/>
  <c r="HB91" i="119"/>
  <c r="HC91" i="119"/>
  <c r="HD91" i="119"/>
  <c r="HE91" i="119"/>
  <c r="HF91" i="119"/>
  <c r="HG91" i="119"/>
  <c r="HH91" i="119"/>
  <c r="HI91" i="119"/>
  <c r="HJ91" i="119"/>
  <c r="HK91" i="119"/>
  <c r="HL91" i="119"/>
  <c r="FM92" i="119"/>
  <c r="FN92" i="119"/>
  <c r="FO92" i="119"/>
  <c r="FP92" i="119"/>
  <c r="FQ92" i="119"/>
  <c r="FR92" i="119"/>
  <c r="FS92" i="119"/>
  <c r="FT92" i="119"/>
  <c r="FU92" i="119"/>
  <c r="FV92" i="119"/>
  <c r="FW92" i="119"/>
  <c r="FX92" i="119"/>
  <c r="FY92" i="119"/>
  <c r="FZ92" i="119"/>
  <c r="GA92" i="119"/>
  <c r="GB92" i="119"/>
  <c r="GC92" i="119"/>
  <c r="GD92" i="119"/>
  <c r="GE92" i="119"/>
  <c r="GF92" i="119"/>
  <c r="GG92" i="119"/>
  <c r="GH92" i="119"/>
  <c r="GI92" i="119"/>
  <c r="GJ92" i="119"/>
  <c r="GK92" i="119"/>
  <c r="GL92" i="119"/>
  <c r="GM92" i="119"/>
  <c r="GN92" i="119"/>
  <c r="GO92" i="119"/>
  <c r="GP92" i="119"/>
  <c r="GQ92" i="119"/>
  <c r="GR92" i="119"/>
  <c r="GS92" i="119"/>
  <c r="GT92" i="119"/>
  <c r="GU92" i="119"/>
  <c r="GV92" i="119"/>
  <c r="GW92" i="119"/>
  <c r="GX92" i="119"/>
  <c r="GY92" i="119"/>
  <c r="GZ92" i="119"/>
  <c r="HA92" i="119"/>
  <c r="HB92" i="119"/>
  <c r="HC92" i="119"/>
  <c r="HD92" i="119"/>
  <c r="HE92" i="119"/>
  <c r="HF92" i="119"/>
  <c r="HG92" i="119"/>
  <c r="HH92" i="119"/>
  <c r="HI92" i="119"/>
  <c r="HJ92" i="119"/>
  <c r="HK92" i="119"/>
  <c r="HL92" i="119"/>
  <c r="FM93" i="119"/>
  <c r="FN93" i="119"/>
  <c r="FO93" i="119"/>
  <c r="FP93" i="119"/>
  <c r="FQ93" i="119"/>
  <c r="FR93" i="119"/>
  <c r="FS93" i="119"/>
  <c r="FT93" i="119"/>
  <c r="FU93" i="119"/>
  <c r="FV93" i="119"/>
  <c r="FW93" i="119"/>
  <c r="FX93" i="119"/>
  <c r="FY93" i="119"/>
  <c r="FZ93" i="119"/>
  <c r="GA93" i="119"/>
  <c r="GB93" i="119"/>
  <c r="GC93" i="119"/>
  <c r="GD93" i="119"/>
  <c r="GE93" i="119"/>
  <c r="GF93" i="119"/>
  <c r="GG93" i="119"/>
  <c r="GH93" i="119"/>
  <c r="GI93" i="119"/>
  <c r="GJ93" i="119"/>
  <c r="GK93" i="119"/>
  <c r="GL93" i="119"/>
  <c r="GM93" i="119"/>
  <c r="GN93" i="119"/>
  <c r="GO93" i="119"/>
  <c r="GP93" i="119"/>
  <c r="GQ93" i="119"/>
  <c r="GR93" i="119"/>
  <c r="GS93" i="119"/>
  <c r="GT93" i="119"/>
  <c r="GU93" i="119"/>
  <c r="GV93" i="119"/>
  <c r="GW93" i="119"/>
  <c r="GX93" i="119"/>
  <c r="GY93" i="119"/>
  <c r="GZ93" i="119"/>
  <c r="HA93" i="119"/>
  <c r="HB93" i="119"/>
  <c r="HC93" i="119"/>
  <c r="HD93" i="119"/>
  <c r="HE93" i="119"/>
  <c r="HF93" i="119"/>
  <c r="HG93" i="119"/>
  <c r="HH93" i="119"/>
  <c r="HI93" i="119"/>
  <c r="HJ93" i="119"/>
  <c r="HK93" i="119"/>
  <c r="HL93" i="119"/>
  <c r="FM94" i="119"/>
  <c r="FN94" i="119"/>
  <c r="FO94" i="119"/>
  <c r="FP94" i="119"/>
  <c r="FQ94" i="119"/>
  <c r="FR94" i="119"/>
  <c r="FS94" i="119"/>
  <c r="FT94" i="119"/>
  <c r="FU94" i="119"/>
  <c r="FV94" i="119"/>
  <c r="FW94" i="119"/>
  <c r="FX94" i="119"/>
  <c r="FY94" i="119"/>
  <c r="FZ94" i="119"/>
  <c r="GA94" i="119"/>
  <c r="GB94" i="119"/>
  <c r="GC94" i="119"/>
  <c r="GD94" i="119"/>
  <c r="GE94" i="119"/>
  <c r="GF94" i="119"/>
  <c r="GG94" i="119"/>
  <c r="GH94" i="119"/>
  <c r="GI94" i="119"/>
  <c r="GJ94" i="119"/>
  <c r="GK94" i="119"/>
  <c r="GL94" i="119"/>
  <c r="GM94" i="119"/>
  <c r="GN94" i="119"/>
  <c r="GO94" i="119"/>
  <c r="GP94" i="119"/>
  <c r="GQ94" i="119"/>
  <c r="GR94" i="119"/>
  <c r="GS94" i="119"/>
  <c r="GT94" i="119"/>
  <c r="GU94" i="119"/>
  <c r="GV94" i="119"/>
  <c r="GW94" i="119"/>
  <c r="GX94" i="119"/>
  <c r="GY94" i="119"/>
  <c r="GZ94" i="119"/>
  <c r="HA94" i="119"/>
  <c r="HB94" i="119"/>
  <c r="HC94" i="119"/>
  <c r="HD94" i="119"/>
  <c r="HE94" i="119"/>
  <c r="HF94" i="119"/>
  <c r="HG94" i="119"/>
  <c r="HH94" i="119"/>
  <c r="HI94" i="119"/>
  <c r="HJ94" i="119"/>
  <c r="HK94" i="119"/>
  <c r="HL94" i="119"/>
  <c r="FM95" i="119"/>
  <c r="FN95" i="119"/>
  <c r="FO95" i="119"/>
  <c r="FP95" i="119"/>
  <c r="FQ95" i="119"/>
  <c r="FR95" i="119"/>
  <c r="FS95" i="119"/>
  <c r="FT95" i="119"/>
  <c r="FU95" i="119"/>
  <c r="FV95" i="119"/>
  <c r="FW95" i="119"/>
  <c r="FX95" i="119"/>
  <c r="FY95" i="119"/>
  <c r="FZ95" i="119"/>
  <c r="GA95" i="119"/>
  <c r="GB95" i="119"/>
  <c r="GC95" i="119"/>
  <c r="GD95" i="119"/>
  <c r="GE95" i="119"/>
  <c r="GF95" i="119"/>
  <c r="GG95" i="119"/>
  <c r="GH95" i="119"/>
  <c r="GI95" i="119"/>
  <c r="GJ95" i="119"/>
  <c r="GK95" i="119"/>
  <c r="GL95" i="119"/>
  <c r="GM95" i="119"/>
  <c r="GN95" i="119"/>
  <c r="GO95" i="119"/>
  <c r="GP95" i="119"/>
  <c r="GQ95" i="119"/>
  <c r="GR95" i="119"/>
  <c r="GS95" i="119"/>
  <c r="GT95" i="119"/>
  <c r="GU95" i="119"/>
  <c r="GV95" i="119"/>
  <c r="GW95" i="119"/>
  <c r="GX95" i="119"/>
  <c r="GY95" i="119"/>
  <c r="GZ95" i="119"/>
  <c r="HA95" i="119"/>
  <c r="HB95" i="119"/>
  <c r="HC95" i="119"/>
  <c r="HD95" i="119"/>
  <c r="HE95" i="119"/>
  <c r="HF95" i="119"/>
  <c r="HG95" i="119"/>
  <c r="HH95" i="119"/>
  <c r="HI95" i="119"/>
  <c r="HJ95" i="119"/>
  <c r="HK95" i="119"/>
  <c r="HL95" i="119"/>
  <c r="FM96" i="119"/>
  <c r="FN96" i="119"/>
  <c r="FO96" i="119"/>
  <c r="FP96" i="119"/>
  <c r="FQ96" i="119"/>
  <c r="FR96" i="119"/>
  <c r="FS96" i="119"/>
  <c r="FT96" i="119"/>
  <c r="FU96" i="119"/>
  <c r="FV96" i="119"/>
  <c r="FW96" i="119"/>
  <c r="FX96" i="119"/>
  <c r="FY96" i="119"/>
  <c r="FZ96" i="119"/>
  <c r="GA96" i="119"/>
  <c r="GB96" i="119"/>
  <c r="GC96" i="119"/>
  <c r="GD96" i="119"/>
  <c r="GE96" i="119"/>
  <c r="GF96" i="119"/>
  <c r="GG96" i="119"/>
  <c r="GH96" i="119"/>
  <c r="GI96" i="119"/>
  <c r="GJ96" i="119"/>
  <c r="GK96" i="119"/>
  <c r="GL96" i="119"/>
  <c r="GM96" i="119"/>
  <c r="GN96" i="119"/>
  <c r="GO96" i="119"/>
  <c r="GP96" i="119"/>
  <c r="GQ96" i="119"/>
  <c r="GR96" i="119"/>
  <c r="GS96" i="119"/>
  <c r="GT96" i="119"/>
  <c r="GU96" i="119"/>
  <c r="GV96" i="119"/>
  <c r="GW96" i="119"/>
  <c r="GX96" i="119"/>
  <c r="GY96" i="119"/>
  <c r="GZ96" i="119"/>
  <c r="HA96" i="119"/>
  <c r="HB96" i="119"/>
  <c r="HC96" i="119"/>
  <c r="HD96" i="119"/>
  <c r="HE96" i="119"/>
  <c r="HF96" i="119"/>
  <c r="HG96" i="119"/>
  <c r="HH96" i="119"/>
  <c r="HI96" i="119"/>
  <c r="HJ96" i="119"/>
  <c r="HK96" i="119"/>
  <c r="HL96" i="119"/>
  <c r="FM97" i="119"/>
  <c r="FN97" i="119"/>
  <c r="FO97" i="119"/>
  <c r="FP97" i="119"/>
  <c r="FQ97" i="119"/>
  <c r="FR97" i="119"/>
  <c r="FS97" i="119"/>
  <c r="FT97" i="119"/>
  <c r="FU97" i="119"/>
  <c r="FV97" i="119"/>
  <c r="FW97" i="119"/>
  <c r="FX97" i="119"/>
  <c r="FY97" i="119"/>
  <c r="FZ97" i="119"/>
  <c r="GA97" i="119"/>
  <c r="GB97" i="119"/>
  <c r="GC97" i="119"/>
  <c r="GD97" i="119"/>
  <c r="GE97" i="119"/>
  <c r="GF97" i="119"/>
  <c r="GG97" i="119"/>
  <c r="GH97" i="119"/>
  <c r="GI97" i="119"/>
  <c r="GJ97" i="119"/>
  <c r="GK97" i="119"/>
  <c r="GL97" i="119"/>
  <c r="GM97" i="119"/>
  <c r="GN97" i="119"/>
  <c r="GO97" i="119"/>
  <c r="GP97" i="119"/>
  <c r="GQ97" i="119"/>
  <c r="GR97" i="119"/>
  <c r="GS97" i="119"/>
  <c r="GT97" i="119"/>
  <c r="GU97" i="119"/>
  <c r="GV97" i="119"/>
  <c r="GW97" i="119"/>
  <c r="GX97" i="119"/>
  <c r="GY97" i="119"/>
  <c r="GZ97" i="119"/>
  <c r="HA97" i="119"/>
  <c r="HB97" i="119"/>
  <c r="HC97" i="119"/>
  <c r="HD97" i="119"/>
  <c r="HE97" i="119"/>
  <c r="HF97" i="119"/>
  <c r="HG97" i="119"/>
  <c r="HH97" i="119"/>
  <c r="HI97" i="119"/>
  <c r="HJ97" i="119"/>
  <c r="HK97" i="119"/>
  <c r="HL97" i="119"/>
  <c r="FM98" i="119"/>
  <c r="FN98" i="119"/>
  <c r="FO98" i="119"/>
  <c r="FP98" i="119"/>
  <c r="FQ98" i="119"/>
  <c r="FR98" i="119"/>
  <c r="FS98" i="119"/>
  <c r="FT98" i="119"/>
  <c r="FU98" i="119"/>
  <c r="FV98" i="119"/>
  <c r="FW98" i="119"/>
  <c r="FX98" i="119"/>
  <c r="FY98" i="119"/>
  <c r="FZ98" i="119"/>
  <c r="GA98" i="119"/>
  <c r="GB98" i="119"/>
  <c r="GC98" i="119"/>
  <c r="GD98" i="119"/>
  <c r="GE98" i="119"/>
  <c r="GF98" i="119"/>
  <c r="GG98" i="119"/>
  <c r="GH98" i="119"/>
  <c r="GI98" i="119"/>
  <c r="GJ98" i="119"/>
  <c r="GK98" i="119"/>
  <c r="GL98" i="119"/>
  <c r="GM98" i="119"/>
  <c r="GN98" i="119"/>
  <c r="GO98" i="119"/>
  <c r="GP98" i="119"/>
  <c r="GQ98" i="119"/>
  <c r="GR98" i="119"/>
  <c r="GS98" i="119"/>
  <c r="GT98" i="119"/>
  <c r="GU98" i="119"/>
  <c r="GV98" i="119"/>
  <c r="GW98" i="119"/>
  <c r="GX98" i="119"/>
  <c r="GY98" i="119"/>
  <c r="GZ98" i="119"/>
  <c r="HA98" i="119"/>
  <c r="HB98" i="119"/>
  <c r="HC98" i="119"/>
  <c r="HD98" i="119"/>
  <c r="HE98" i="119"/>
  <c r="HF98" i="119"/>
  <c r="HG98" i="119"/>
  <c r="HH98" i="119"/>
  <c r="HI98" i="119"/>
  <c r="HJ98" i="119"/>
  <c r="HK98" i="119"/>
  <c r="HL98" i="119"/>
  <c r="FM99" i="119"/>
  <c r="FN99" i="119"/>
  <c r="FO99" i="119"/>
  <c r="FP99" i="119"/>
  <c r="FQ99" i="119"/>
  <c r="FR99" i="119"/>
  <c r="FS99" i="119"/>
  <c r="FT99" i="119"/>
  <c r="FU99" i="119"/>
  <c r="FV99" i="119"/>
  <c r="FW99" i="119"/>
  <c r="FX99" i="119"/>
  <c r="FY99" i="119"/>
  <c r="FZ99" i="119"/>
  <c r="GA99" i="119"/>
  <c r="GB99" i="119"/>
  <c r="GC99" i="119"/>
  <c r="GD99" i="119"/>
  <c r="GE99" i="119"/>
  <c r="GF99" i="119"/>
  <c r="GG99" i="119"/>
  <c r="GH99" i="119"/>
  <c r="GI99" i="119"/>
  <c r="GJ99" i="119"/>
  <c r="GK99" i="119"/>
  <c r="GL99" i="119"/>
  <c r="GM99" i="119"/>
  <c r="GN99" i="119"/>
  <c r="GO99" i="119"/>
  <c r="GP99" i="119"/>
  <c r="GQ99" i="119"/>
  <c r="GR99" i="119"/>
  <c r="GS99" i="119"/>
  <c r="GT99" i="119"/>
  <c r="GU99" i="119"/>
  <c r="GV99" i="119"/>
  <c r="GW99" i="119"/>
  <c r="GX99" i="119"/>
  <c r="GY99" i="119"/>
  <c r="GZ99" i="119"/>
  <c r="HA99" i="119"/>
  <c r="HB99" i="119"/>
  <c r="HC99" i="119"/>
  <c r="HD99" i="119"/>
  <c r="HE99" i="119"/>
  <c r="HF99" i="119"/>
  <c r="HG99" i="119"/>
  <c r="HH99" i="119"/>
  <c r="HI99" i="119"/>
  <c r="HJ99" i="119"/>
  <c r="HK99" i="119"/>
  <c r="HL99" i="119"/>
  <c r="FM100" i="119"/>
  <c r="FN100" i="119"/>
  <c r="FO100" i="119"/>
  <c r="FP100" i="119"/>
  <c r="FQ100" i="119"/>
  <c r="FR100" i="119"/>
  <c r="FS100" i="119"/>
  <c r="FT100" i="119"/>
  <c r="FU100" i="119"/>
  <c r="FV100" i="119"/>
  <c r="FW100" i="119"/>
  <c r="FX100" i="119"/>
  <c r="FY100" i="119"/>
  <c r="FZ100" i="119"/>
  <c r="GA100" i="119"/>
  <c r="GB100" i="119"/>
  <c r="GC100" i="119"/>
  <c r="GD100" i="119"/>
  <c r="GE100" i="119"/>
  <c r="GF100" i="119"/>
  <c r="GG100" i="119"/>
  <c r="GH100" i="119"/>
  <c r="GI100" i="119"/>
  <c r="GJ100" i="119"/>
  <c r="GK100" i="119"/>
  <c r="GL100" i="119"/>
  <c r="GM100" i="119"/>
  <c r="GN100" i="119"/>
  <c r="GO100" i="119"/>
  <c r="GP100" i="119"/>
  <c r="GQ100" i="119"/>
  <c r="GR100" i="119"/>
  <c r="GS100" i="119"/>
  <c r="GT100" i="119"/>
  <c r="GU100" i="119"/>
  <c r="GV100" i="119"/>
  <c r="GW100" i="119"/>
  <c r="GX100" i="119"/>
  <c r="GY100" i="119"/>
  <c r="GZ100" i="119"/>
  <c r="HA100" i="119"/>
  <c r="HB100" i="119"/>
  <c r="HC100" i="119"/>
  <c r="HD100" i="119"/>
  <c r="HE100" i="119"/>
  <c r="HF100" i="119"/>
  <c r="HG100" i="119"/>
  <c r="HH100" i="119"/>
  <c r="HI100" i="119"/>
  <c r="HJ100" i="119"/>
  <c r="HK100" i="119"/>
  <c r="HL100" i="119"/>
  <c r="FM101" i="119"/>
  <c r="FN101" i="119"/>
  <c r="FO101" i="119"/>
  <c r="FP101" i="119"/>
  <c r="FQ101" i="119"/>
  <c r="FR101" i="119"/>
  <c r="FS101" i="119"/>
  <c r="FT101" i="119"/>
  <c r="FU101" i="119"/>
  <c r="FV101" i="119"/>
  <c r="FW101" i="119"/>
  <c r="FX101" i="119"/>
  <c r="FY101" i="119"/>
  <c r="FZ101" i="119"/>
  <c r="GA101" i="119"/>
  <c r="GB101" i="119"/>
  <c r="GC101" i="119"/>
  <c r="GD101" i="119"/>
  <c r="GE101" i="119"/>
  <c r="GF101" i="119"/>
  <c r="GG101" i="119"/>
  <c r="GH101" i="119"/>
  <c r="GI101" i="119"/>
  <c r="GJ101" i="119"/>
  <c r="GK101" i="119"/>
  <c r="GL101" i="119"/>
  <c r="GM101" i="119"/>
  <c r="GN101" i="119"/>
  <c r="GO101" i="119"/>
  <c r="GP101" i="119"/>
  <c r="GQ101" i="119"/>
  <c r="GR101" i="119"/>
  <c r="GS101" i="119"/>
  <c r="GT101" i="119"/>
  <c r="GU101" i="119"/>
  <c r="GV101" i="119"/>
  <c r="GW101" i="119"/>
  <c r="GX101" i="119"/>
  <c r="GY101" i="119"/>
  <c r="GZ101" i="119"/>
  <c r="HA101" i="119"/>
  <c r="HB101" i="119"/>
  <c r="HC101" i="119"/>
  <c r="HD101" i="119"/>
  <c r="HE101" i="119"/>
  <c r="HF101" i="119"/>
  <c r="HG101" i="119"/>
  <c r="HH101" i="119"/>
  <c r="HI101" i="119"/>
  <c r="HJ101" i="119"/>
  <c r="HK101" i="119"/>
  <c r="HL101" i="119"/>
  <c r="FM102" i="119"/>
  <c r="FN102" i="119"/>
  <c r="FO102" i="119"/>
  <c r="FP102" i="119"/>
  <c r="FQ102" i="119"/>
  <c r="FR102" i="119"/>
  <c r="FS102" i="119"/>
  <c r="FT102" i="119"/>
  <c r="FU102" i="119"/>
  <c r="FV102" i="119"/>
  <c r="FW102" i="119"/>
  <c r="FX102" i="119"/>
  <c r="FY102" i="119"/>
  <c r="FZ102" i="119"/>
  <c r="GA102" i="119"/>
  <c r="GB102" i="119"/>
  <c r="GC102" i="119"/>
  <c r="GD102" i="119"/>
  <c r="GE102" i="119"/>
  <c r="GF102" i="119"/>
  <c r="GG102" i="119"/>
  <c r="GH102" i="119"/>
  <c r="GI102" i="119"/>
  <c r="GJ102" i="119"/>
  <c r="GK102" i="119"/>
  <c r="GL102" i="119"/>
  <c r="GM102" i="119"/>
  <c r="GN102" i="119"/>
  <c r="GO102" i="119"/>
  <c r="GP102" i="119"/>
  <c r="GQ102" i="119"/>
  <c r="GR102" i="119"/>
  <c r="GS102" i="119"/>
  <c r="GT102" i="119"/>
  <c r="GU102" i="119"/>
  <c r="GV102" i="119"/>
  <c r="GW102" i="119"/>
  <c r="GX102" i="119"/>
  <c r="GY102" i="119"/>
  <c r="GZ102" i="119"/>
  <c r="HA102" i="119"/>
  <c r="HB102" i="119"/>
  <c r="HC102" i="119"/>
  <c r="HD102" i="119"/>
  <c r="HE102" i="119"/>
  <c r="HF102" i="119"/>
  <c r="HG102" i="119"/>
  <c r="HH102" i="119"/>
  <c r="HI102" i="119"/>
  <c r="HJ102" i="119"/>
  <c r="HK102" i="119"/>
  <c r="HL102" i="119"/>
  <c r="FM103" i="119"/>
  <c r="FN103" i="119"/>
  <c r="FO103" i="119"/>
  <c r="FP103" i="119"/>
  <c r="FQ103" i="119"/>
  <c r="FR103" i="119"/>
  <c r="FS103" i="119"/>
  <c r="FT103" i="119"/>
  <c r="FU103" i="119"/>
  <c r="FV103" i="119"/>
  <c r="FW103" i="119"/>
  <c r="FX103" i="119"/>
  <c r="FY103" i="119"/>
  <c r="FZ103" i="119"/>
  <c r="GA103" i="119"/>
  <c r="GB103" i="119"/>
  <c r="GC103" i="119"/>
  <c r="GD103" i="119"/>
  <c r="GE103" i="119"/>
  <c r="GF103" i="119"/>
  <c r="GG103" i="119"/>
  <c r="GH103" i="119"/>
  <c r="GI103" i="119"/>
  <c r="GJ103" i="119"/>
  <c r="GK103" i="119"/>
  <c r="GL103" i="119"/>
  <c r="GM103" i="119"/>
  <c r="GN103" i="119"/>
  <c r="GO103" i="119"/>
  <c r="GP103" i="119"/>
  <c r="GQ103" i="119"/>
  <c r="GR103" i="119"/>
  <c r="GS103" i="119"/>
  <c r="GT103" i="119"/>
  <c r="GU103" i="119"/>
  <c r="GV103" i="119"/>
  <c r="GW103" i="119"/>
  <c r="GX103" i="119"/>
  <c r="GY103" i="119"/>
  <c r="GZ103" i="119"/>
  <c r="HA103" i="119"/>
  <c r="HB103" i="119"/>
  <c r="HC103" i="119"/>
  <c r="HD103" i="119"/>
  <c r="HE103" i="119"/>
  <c r="HF103" i="119"/>
  <c r="HG103" i="119"/>
  <c r="HH103" i="119"/>
  <c r="HI103" i="119"/>
  <c r="HJ103" i="119"/>
  <c r="HK103" i="119"/>
  <c r="HL103" i="119"/>
  <c r="FM104" i="119"/>
  <c r="FN104" i="119"/>
  <c r="FO104" i="119"/>
  <c r="FP104" i="119"/>
  <c r="FQ104" i="119"/>
  <c r="FR104" i="119"/>
  <c r="FS104" i="119"/>
  <c r="FT104" i="119"/>
  <c r="FU104" i="119"/>
  <c r="FV104" i="119"/>
  <c r="FW104" i="119"/>
  <c r="FX104" i="119"/>
  <c r="FY104" i="119"/>
  <c r="FZ104" i="119"/>
  <c r="GA104" i="119"/>
  <c r="GB104" i="119"/>
  <c r="GC104" i="119"/>
  <c r="GD104" i="119"/>
  <c r="GE104" i="119"/>
  <c r="GF104" i="119"/>
  <c r="GG104" i="119"/>
  <c r="GH104" i="119"/>
  <c r="GI104" i="119"/>
  <c r="GJ104" i="119"/>
  <c r="GK104" i="119"/>
  <c r="GL104" i="119"/>
  <c r="GM104" i="119"/>
  <c r="GN104" i="119"/>
  <c r="GO104" i="119"/>
  <c r="GP104" i="119"/>
  <c r="GQ104" i="119"/>
  <c r="GR104" i="119"/>
  <c r="GS104" i="119"/>
  <c r="GT104" i="119"/>
  <c r="GU104" i="119"/>
  <c r="GV104" i="119"/>
  <c r="GW104" i="119"/>
  <c r="GX104" i="119"/>
  <c r="GY104" i="119"/>
  <c r="GZ104" i="119"/>
  <c r="HA104" i="119"/>
  <c r="HB104" i="119"/>
  <c r="HC104" i="119"/>
  <c r="HD104" i="119"/>
  <c r="HE104" i="119"/>
  <c r="HF104" i="119"/>
  <c r="HG104" i="119"/>
  <c r="HH104" i="119"/>
  <c r="HI104" i="119"/>
  <c r="HJ104" i="119"/>
  <c r="HK104" i="119"/>
  <c r="HL104" i="119"/>
  <c r="FM105" i="119"/>
  <c r="FN105" i="119"/>
  <c r="FO105" i="119"/>
  <c r="FP105" i="119"/>
  <c r="FQ105" i="119"/>
  <c r="FR105" i="119"/>
  <c r="FS105" i="119"/>
  <c r="FT105" i="119"/>
  <c r="FU105" i="119"/>
  <c r="FV105" i="119"/>
  <c r="FW105" i="119"/>
  <c r="FX105" i="119"/>
  <c r="FY105" i="119"/>
  <c r="FZ105" i="119"/>
  <c r="GA105" i="119"/>
  <c r="GB105" i="119"/>
  <c r="GC105" i="119"/>
  <c r="GD105" i="119"/>
  <c r="GE105" i="119"/>
  <c r="GF105" i="119"/>
  <c r="GG105" i="119"/>
  <c r="GH105" i="119"/>
  <c r="GI105" i="119"/>
  <c r="GJ105" i="119"/>
  <c r="GK105" i="119"/>
  <c r="GL105" i="119"/>
  <c r="GM105" i="119"/>
  <c r="GN105" i="119"/>
  <c r="GO105" i="119"/>
  <c r="GP105" i="119"/>
  <c r="GQ105" i="119"/>
  <c r="GR105" i="119"/>
  <c r="GS105" i="119"/>
  <c r="GT105" i="119"/>
  <c r="GU105" i="119"/>
  <c r="GV105" i="119"/>
  <c r="GW105" i="119"/>
  <c r="GX105" i="119"/>
  <c r="GY105" i="119"/>
  <c r="GZ105" i="119"/>
  <c r="HA105" i="119"/>
  <c r="HB105" i="119"/>
  <c r="HC105" i="119"/>
  <c r="HD105" i="119"/>
  <c r="HE105" i="119"/>
  <c r="HF105" i="119"/>
  <c r="HG105" i="119"/>
  <c r="HH105" i="119"/>
  <c r="HI105" i="119"/>
  <c r="HJ105" i="119"/>
  <c r="HK105" i="119"/>
  <c r="HL105" i="119"/>
  <c r="FM106" i="119"/>
  <c r="FN106" i="119"/>
  <c r="FO106" i="119"/>
  <c r="FP106" i="119"/>
  <c r="FQ106" i="119"/>
  <c r="FR106" i="119"/>
  <c r="FS106" i="119"/>
  <c r="FT106" i="119"/>
  <c r="FU106" i="119"/>
  <c r="FV106" i="119"/>
  <c r="FW106" i="119"/>
  <c r="FX106" i="119"/>
  <c r="FY106" i="119"/>
  <c r="FZ106" i="119"/>
  <c r="GA106" i="119"/>
  <c r="GB106" i="119"/>
  <c r="GC106" i="119"/>
  <c r="GD106" i="119"/>
  <c r="GE106" i="119"/>
  <c r="GF106" i="119"/>
  <c r="GG106" i="119"/>
  <c r="GH106" i="119"/>
  <c r="GI106" i="119"/>
  <c r="GJ106" i="119"/>
  <c r="GK106" i="119"/>
  <c r="GL106" i="119"/>
  <c r="GM106" i="119"/>
  <c r="GN106" i="119"/>
  <c r="GO106" i="119"/>
  <c r="GP106" i="119"/>
  <c r="GQ106" i="119"/>
  <c r="GR106" i="119"/>
  <c r="GS106" i="119"/>
  <c r="GT106" i="119"/>
  <c r="GU106" i="119"/>
  <c r="GV106" i="119"/>
  <c r="GW106" i="119"/>
  <c r="GX106" i="119"/>
  <c r="GY106" i="119"/>
  <c r="GZ106" i="119"/>
  <c r="HA106" i="119"/>
  <c r="HB106" i="119"/>
  <c r="HC106" i="119"/>
  <c r="HD106" i="119"/>
  <c r="HE106" i="119"/>
  <c r="HF106" i="119"/>
  <c r="HG106" i="119"/>
  <c r="HH106" i="119"/>
  <c r="HI106" i="119"/>
  <c r="HJ106" i="119"/>
  <c r="HK106" i="119"/>
  <c r="HL106" i="119"/>
  <c r="FM107" i="119"/>
  <c r="FN107" i="119"/>
  <c r="FO107" i="119"/>
  <c r="FP107" i="119"/>
  <c r="FQ107" i="119"/>
  <c r="FR107" i="119"/>
  <c r="FS107" i="119"/>
  <c r="FT107" i="119"/>
  <c r="FU107" i="119"/>
  <c r="FV107" i="119"/>
  <c r="FW107" i="119"/>
  <c r="FX107" i="119"/>
  <c r="FY107" i="119"/>
  <c r="FZ107" i="119"/>
  <c r="GA107" i="119"/>
  <c r="GB107" i="119"/>
  <c r="GC107" i="119"/>
  <c r="GD107" i="119"/>
  <c r="GE107" i="119"/>
  <c r="GF107" i="119"/>
  <c r="GG107" i="119"/>
  <c r="GH107" i="119"/>
  <c r="GI107" i="119"/>
  <c r="GJ107" i="119"/>
  <c r="GK107" i="119"/>
  <c r="GL107" i="119"/>
  <c r="GM107" i="119"/>
  <c r="GN107" i="119"/>
  <c r="GO107" i="119"/>
  <c r="GP107" i="119"/>
  <c r="GQ107" i="119"/>
  <c r="GR107" i="119"/>
  <c r="GS107" i="119"/>
  <c r="GT107" i="119"/>
  <c r="GU107" i="119"/>
  <c r="GV107" i="119"/>
  <c r="GW107" i="119"/>
  <c r="GX107" i="119"/>
  <c r="GY107" i="119"/>
  <c r="GZ107" i="119"/>
  <c r="HA107" i="119"/>
  <c r="HB107" i="119"/>
  <c r="HC107" i="119"/>
  <c r="HD107" i="119"/>
  <c r="HE107" i="119"/>
  <c r="HF107" i="119"/>
  <c r="HG107" i="119"/>
  <c r="HH107" i="119"/>
  <c r="HI107" i="119"/>
  <c r="HJ107" i="119"/>
  <c r="HK107" i="119"/>
  <c r="HL107" i="119"/>
  <c r="FM108" i="119"/>
  <c r="FN108" i="119"/>
  <c r="FO108" i="119"/>
  <c r="FP108" i="119"/>
  <c r="FQ108" i="119"/>
  <c r="FR108" i="119"/>
  <c r="FS108" i="119"/>
  <c r="FT108" i="119"/>
  <c r="FU108" i="119"/>
  <c r="FV108" i="119"/>
  <c r="FW108" i="119"/>
  <c r="FX108" i="119"/>
  <c r="FY108" i="119"/>
  <c r="FZ108" i="119"/>
  <c r="GA108" i="119"/>
  <c r="GB108" i="119"/>
  <c r="GC108" i="119"/>
  <c r="GD108" i="119"/>
  <c r="GE108" i="119"/>
  <c r="GF108" i="119"/>
  <c r="GG108" i="119"/>
  <c r="GH108" i="119"/>
  <c r="GI108" i="119"/>
  <c r="GJ108" i="119"/>
  <c r="GK108" i="119"/>
  <c r="GL108" i="119"/>
  <c r="GM108" i="119"/>
  <c r="GN108" i="119"/>
  <c r="GO108" i="119"/>
  <c r="GP108" i="119"/>
  <c r="GQ108" i="119"/>
  <c r="GR108" i="119"/>
  <c r="GS108" i="119"/>
  <c r="GT108" i="119"/>
  <c r="GU108" i="119"/>
  <c r="GV108" i="119"/>
  <c r="GW108" i="119"/>
  <c r="GX108" i="119"/>
  <c r="GY108" i="119"/>
  <c r="GZ108" i="119"/>
  <c r="HA108" i="119"/>
  <c r="HB108" i="119"/>
  <c r="HC108" i="119"/>
  <c r="HD108" i="119"/>
  <c r="HE108" i="119"/>
  <c r="HF108" i="119"/>
  <c r="HG108" i="119"/>
  <c r="HH108" i="119"/>
  <c r="HI108" i="119"/>
  <c r="HJ108" i="119"/>
  <c r="HK108" i="119"/>
  <c r="HL108" i="119"/>
  <c r="FM109" i="119"/>
  <c r="FN109" i="119"/>
  <c r="FO109" i="119"/>
  <c r="FP109" i="119"/>
  <c r="FQ109" i="119"/>
  <c r="FR109" i="119"/>
  <c r="FS109" i="119"/>
  <c r="FT109" i="119"/>
  <c r="FU109" i="119"/>
  <c r="FV109" i="119"/>
  <c r="FW109" i="119"/>
  <c r="FX109" i="119"/>
  <c r="FY109" i="119"/>
  <c r="FZ109" i="119"/>
  <c r="GA109" i="119"/>
  <c r="GB109" i="119"/>
  <c r="GC109" i="119"/>
  <c r="GD109" i="119"/>
  <c r="GE109" i="119"/>
  <c r="GF109" i="119"/>
  <c r="GG109" i="119"/>
  <c r="GH109" i="119"/>
  <c r="GI109" i="119"/>
  <c r="GJ109" i="119"/>
  <c r="GK109" i="119"/>
  <c r="GL109" i="119"/>
  <c r="GM109" i="119"/>
  <c r="GN109" i="119"/>
  <c r="GO109" i="119"/>
  <c r="GP109" i="119"/>
  <c r="GQ109" i="119"/>
  <c r="GR109" i="119"/>
  <c r="GS109" i="119"/>
  <c r="GT109" i="119"/>
  <c r="GU109" i="119"/>
  <c r="GV109" i="119"/>
  <c r="GW109" i="119"/>
  <c r="GX109" i="119"/>
  <c r="GY109" i="119"/>
  <c r="GZ109" i="119"/>
  <c r="HA109" i="119"/>
  <c r="HB109" i="119"/>
  <c r="HC109" i="119"/>
  <c r="HD109" i="119"/>
  <c r="HE109" i="119"/>
  <c r="HF109" i="119"/>
  <c r="HG109" i="119"/>
  <c r="HH109" i="119"/>
  <c r="HI109" i="119"/>
  <c r="HJ109" i="119"/>
  <c r="HK109" i="119"/>
  <c r="HL109" i="119"/>
  <c r="FM110" i="119"/>
  <c r="FN110" i="119"/>
  <c r="FO110" i="119"/>
  <c r="FP110" i="119"/>
  <c r="FQ110" i="119"/>
  <c r="FR110" i="119"/>
  <c r="FS110" i="119"/>
  <c r="FT110" i="119"/>
  <c r="FU110" i="119"/>
  <c r="FV110" i="119"/>
  <c r="FW110" i="119"/>
  <c r="FX110" i="119"/>
  <c r="FY110" i="119"/>
  <c r="FZ110" i="119"/>
  <c r="GA110" i="119"/>
  <c r="GB110" i="119"/>
  <c r="GC110" i="119"/>
  <c r="GD110" i="119"/>
  <c r="GE110" i="119"/>
  <c r="GF110" i="119"/>
  <c r="GG110" i="119"/>
  <c r="GH110" i="119"/>
  <c r="GI110" i="119"/>
  <c r="GJ110" i="119"/>
  <c r="GK110" i="119"/>
  <c r="GL110" i="119"/>
  <c r="GM110" i="119"/>
  <c r="GN110" i="119"/>
  <c r="GO110" i="119"/>
  <c r="GP110" i="119"/>
  <c r="GQ110" i="119"/>
  <c r="GR110" i="119"/>
  <c r="GS110" i="119"/>
  <c r="GT110" i="119"/>
  <c r="GU110" i="119"/>
  <c r="GV110" i="119"/>
  <c r="GW110" i="119"/>
  <c r="GX110" i="119"/>
  <c r="GY110" i="119"/>
  <c r="GZ110" i="119"/>
  <c r="HA110" i="119"/>
  <c r="HB110" i="119"/>
  <c r="HC110" i="119"/>
  <c r="HD110" i="119"/>
  <c r="HE110" i="119"/>
  <c r="HF110" i="119"/>
  <c r="HG110" i="119"/>
  <c r="HH110" i="119"/>
  <c r="HI110" i="119"/>
  <c r="HJ110" i="119"/>
  <c r="HK110" i="119"/>
  <c r="HL110" i="119"/>
  <c r="FM111" i="119"/>
  <c r="FN111" i="119"/>
  <c r="FO111" i="119"/>
  <c r="FP111" i="119"/>
  <c r="FQ111" i="119"/>
  <c r="FR111" i="119"/>
  <c r="FS111" i="119"/>
  <c r="FT111" i="119"/>
  <c r="FU111" i="119"/>
  <c r="FV111" i="119"/>
  <c r="FW111" i="119"/>
  <c r="FX111" i="119"/>
  <c r="FY111" i="119"/>
  <c r="FZ111" i="119"/>
  <c r="GA111" i="119"/>
  <c r="GB111" i="119"/>
  <c r="GC111" i="119"/>
  <c r="GD111" i="119"/>
  <c r="GE111" i="119"/>
  <c r="GF111" i="119"/>
  <c r="GG111" i="119"/>
  <c r="GH111" i="119"/>
  <c r="GI111" i="119"/>
  <c r="GJ111" i="119"/>
  <c r="GK111" i="119"/>
  <c r="GL111" i="119"/>
  <c r="GM111" i="119"/>
  <c r="GN111" i="119"/>
  <c r="GO111" i="119"/>
  <c r="GP111" i="119"/>
  <c r="GQ111" i="119"/>
  <c r="GR111" i="119"/>
  <c r="GS111" i="119"/>
  <c r="GT111" i="119"/>
  <c r="GU111" i="119"/>
  <c r="GV111" i="119"/>
  <c r="GW111" i="119"/>
  <c r="GX111" i="119"/>
  <c r="GY111" i="119"/>
  <c r="GZ111" i="119"/>
  <c r="HA111" i="119"/>
  <c r="HB111" i="119"/>
  <c r="HC111" i="119"/>
  <c r="HD111" i="119"/>
  <c r="HE111" i="119"/>
  <c r="HF111" i="119"/>
  <c r="HG111" i="119"/>
  <c r="HH111" i="119"/>
  <c r="HI111" i="119"/>
  <c r="HJ111" i="119"/>
  <c r="HK111" i="119"/>
  <c r="HL111" i="119"/>
  <c r="FM112" i="119"/>
  <c r="FN112" i="119"/>
  <c r="FO112" i="119"/>
  <c r="FP112" i="119"/>
  <c r="FQ112" i="119"/>
  <c r="FR112" i="119"/>
  <c r="FS112" i="119"/>
  <c r="FT112" i="119"/>
  <c r="FU112" i="119"/>
  <c r="FV112" i="119"/>
  <c r="FW112" i="119"/>
  <c r="FX112" i="119"/>
  <c r="FY112" i="119"/>
  <c r="FZ112" i="119"/>
  <c r="GA112" i="119"/>
  <c r="GB112" i="119"/>
  <c r="GC112" i="119"/>
  <c r="GD112" i="119"/>
  <c r="GE112" i="119"/>
  <c r="GF112" i="119"/>
  <c r="GG112" i="119"/>
  <c r="GH112" i="119"/>
  <c r="GI112" i="119"/>
  <c r="GJ112" i="119"/>
  <c r="GK112" i="119"/>
  <c r="GL112" i="119"/>
  <c r="GM112" i="119"/>
  <c r="GN112" i="119"/>
  <c r="GO112" i="119"/>
  <c r="GP112" i="119"/>
  <c r="GQ112" i="119"/>
  <c r="GR112" i="119"/>
  <c r="GS112" i="119"/>
  <c r="GT112" i="119"/>
  <c r="GU112" i="119"/>
  <c r="GV112" i="119"/>
  <c r="GW112" i="119"/>
  <c r="GX112" i="119"/>
  <c r="GY112" i="119"/>
  <c r="GZ112" i="119"/>
  <c r="HA112" i="119"/>
  <c r="HB112" i="119"/>
  <c r="HC112" i="119"/>
  <c r="HD112" i="119"/>
  <c r="HE112" i="119"/>
  <c r="HF112" i="119"/>
  <c r="HG112" i="119"/>
  <c r="HH112" i="119"/>
  <c r="HI112" i="119"/>
  <c r="HJ112" i="119"/>
  <c r="HK112" i="119"/>
  <c r="HL112" i="119"/>
  <c r="FM113" i="119"/>
  <c r="FN113" i="119"/>
  <c r="FO113" i="119"/>
  <c r="FP113" i="119"/>
  <c r="FQ113" i="119"/>
  <c r="FR113" i="119"/>
  <c r="FS113" i="119"/>
  <c r="FT113" i="119"/>
  <c r="FU113" i="119"/>
  <c r="FV113" i="119"/>
  <c r="FW113" i="119"/>
  <c r="FX113" i="119"/>
  <c r="FY113" i="119"/>
  <c r="FZ113" i="119"/>
  <c r="GA113" i="119"/>
  <c r="GB113" i="119"/>
  <c r="GC113" i="119"/>
  <c r="GD113" i="119"/>
  <c r="GE113" i="119"/>
  <c r="GF113" i="119"/>
  <c r="GG113" i="119"/>
  <c r="GH113" i="119"/>
  <c r="GI113" i="119"/>
  <c r="GJ113" i="119"/>
  <c r="GK113" i="119"/>
  <c r="GL113" i="119"/>
  <c r="GM113" i="119"/>
  <c r="GN113" i="119"/>
  <c r="GO113" i="119"/>
  <c r="GP113" i="119"/>
  <c r="GQ113" i="119"/>
  <c r="GR113" i="119"/>
  <c r="GS113" i="119"/>
  <c r="GT113" i="119"/>
  <c r="GU113" i="119"/>
  <c r="GV113" i="119"/>
  <c r="GW113" i="119"/>
  <c r="GX113" i="119"/>
  <c r="GY113" i="119"/>
  <c r="GZ113" i="119"/>
  <c r="HA113" i="119"/>
  <c r="HB113" i="119"/>
  <c r="HC113" i="119"/>
  <c r="HD113" i="119"/>
  <c r="HE113" i="119"/>
  <c r="HF113" i="119"/>
  <c r="HG113" i="119"/>
  <c r="HH113" i="119"/>
  <c r="HI113" i="119"/>
  <c r="HJ113" i="119"/>
  <c r="HK113" i="119"/>
  <c r="HL113" i="119"/>
  <c r="FM114" i="119"/>
  <c r="FN114" i="119"/>
  <c r="FO114" i="119"/>
  <c r="FP114" i="119"/>
  <c r="FQ114" i="119"/>
  <c r="FR114" i="119"/>
  <c r="FS114" i="119"/>
  <c r="FT114" i="119"/>
  <c r="FU114" i="119"/>
  <c r="FV114" i="119"/>
  <c r="FW114" i="119"/>
  <c r="FX114" i="119"/>
  <c r="FY114" i="119"/>
  <c r="FZ114" i="119"/>
  <c r="GA114" i="119"/>
  <c r="GB114" i="119"/>
  <c r="GC114" i="119"/>
  <c r="GD114" i="119"/>
  <c r="GE114" i="119"/>
  <c r="GF114" i="119"/>
  <c r="GG114" i="119"/>
  <c r="GH114" i="119"/>
  <c r="GI114" i="119"/>
  <c r="GJ114" i="119"/>
  <c r="GK114" i="119"/>
  <c r="GL114" i="119"/>
  <c r="GM114" i="119"/>
  <c r="GN114" i="119"/>
  <c r="GO114" i="119"/>
  <c r="GP114" i="119"/>
  <c r="GQ114" i="119"/>
  <c r="GR114" i="119"/>
  <c r="GS114" i="119"/>
  <c r="GT114" i="119"/>
  <c r="GU114" i="119"/>
  <c r="GV114" i="119"/>
  <c r="GW114" i="119"/>
  <c r="GX114" i="119"/>
  <c r="GY114" i="119"/>
  <c r="GZ114" i="119"/>
  <c r="HA114" i="119"/>
  <c r="HB114" i="119"/>
  <c r="HC114" i="119"/>
  <c r="HD114" i="119"/>
  <c r="HE114" i="119"/>
  <c r="HF114" i="119"/>
  <c r="HG114" i="119"/>
  <c r="HH114" i="119"/>
  <c r="HI114" i="119"/>
  <c r="HJ114" i="119"/>
  <c r="HK114" i="119"/>
  <c r="HL114" i="119"/>
  <c r="FM115" i="119"/>
  <c r="FN115" i="119"/>
  <c r="FO115" i="119"/>
  <c r="FP115" i="119"/>
  <c r="FQ115" i="119"/>
  <c r="FR115" i="119"/>
  <c r="FS115" i="119"/>
  <c r="FT115" i="119"/>
  <c r="FU115" i="119"/>
  <c r="FV115" i="119"/>
  <c r="FW115" i="119"/>
  <c r="FX115" i="119"/>
  <c r="FY115" i="119"/>
  <c r="FZ115" i="119"/>
  <c r="GA115" i="119"/>
  <c r="GB115" i="119"/>
  <c r="GC115" i="119"/>
  <c r="GD115" i="119"/>
  <c r="GE115" i="119"/>
  <c r="GF115" i="119"/>
  <c r="GG115" i="119"/>
  <c r="GH115" i="119"/>
  <c r="GI115" i="119"/>
  <c r="GJ115" i="119"/>
  <c r="GK115" i="119"/>
  <c r="GL115" i="119"/>
  <c r="GM115" i="119"/>
  <c r="GN115" i="119"/>
  <c r="GO115" i="119"/>
  <c r="GP115" i="119"/>
  <c r="GQ115" i="119"/>
  <c r="GR115" i="119"/>
  <c r="GS115" i="119"/>
  <c r="GT115" i="119"/>
  <c r="GU115" i="119"/>
  <c r="GV115" i="119"/>
  <c r="GW115" i="119"/>
  <c r="GX115" i="119"/>
  <c r="GY115" i="119"/>
  <c r="GZ115" i="119"/>
  <c r="HA115" i="119"/>
  <c r="HB115" i="119"/>
  <c r="HC115" i="119"/>
  <c r="HD115" i="119"/>
  <c r="HE115" i="119"/>
  <c r="HF115" i="119"/>
  <c r="HG115" i="119"/>
  <c r="HH115" i="119"/>
  <c r="HI115" i="119"/>
  <c r="HJ115" i="119"/>
  <c r="HK115" i="119"/>
  <c r="HL115" i="119"/>
  <c r="FM116" i="119"/>
  <c r="FN116" i="119"/>
  <c r="FO116" i="119"/>
  <c r="FP116" i="119"/>
  <c r="FQ116" i="119"/>
  <c r="FR116" i="119"/>
  <c r="FS116" i="119"/>
  <c r="FT116" i="119"/>
  <c r="FU116" i="119"/>
  <c r="FV116" i="119"/>
  <c r="FW116" i="119"/>
  <c r="FX116" i="119"/>
  <c r="FY116" i="119"/>
  <c r="FZ116" i="119"/>
  <c r="GA116" i="119"/>
  <c r="GB116" i="119"/>
  <c r="GC116" i="119"/>
  <c r="GD116" i="119"/>
  <c r="GE116" i="119"/>
  <c r="GF116" i="119"/>
  <c r="GG116" i="119"/>
  <c r="GH116" i="119"/>
  <c r="GI116" i="119"/>
  <c r="GJ116" i="119"/>
  <c r="GK116" i="119"/>
  <c r="GL116" i="119"/>
  <c r="GM116" i="119"/>
  <c r="GN116" i="119"/>
  <c r="GO116" i="119"/>
  <c r="GP116" i="119"/>
  <c r="GQ116" i="119"/>
  <c r="GR116" i="119"/>
  <c r="GS116" i="119"/>
  <c r="GT116" i="119"/>
  <c r="GU116" i="119"/>
  <c r="GV116" i="119"/>
  <c r="GW116" i="119"/>
  <c r="GX116" i="119"/>
  <c r="GY116" i="119"/>
  <c r="GZ116" i="119"/>
  <c r="HA116" i="119"/>
  <c r="HB116" i="119"/>
  <c r="HC116" i="119"/>
  <c r="HD116" i="119"/>
  <c r="HE116" i="119"/>
  <c r="HF116" i="119"/>
  <c r="HG116" i="119"/>
  <c r="HH116" i="119"/>
  <c r="HI116" i="119"/>
  <c r="HJ116" i="119"/>
  <c r="HK116" i="119"/>
  <c r="HL116" i="119"/>
  <c r="FM117" i="119"/>
  <c r="FN117" i="119"/>
  <c r="FO117" i="119"/>
  <c r="FP117" i="119"/>
  <c r="FQ117" i="119"/>
  <c r="FR117" i="119"/>
  <c r="FS117" i="119"/>
  <c r="FT117" i="119"/>
  <c r="FU117" i="119"/>
  <c r="FV117" i="119"/>
  <c r="FW117" i="119"/>
  <c r="FX117" i="119"/>
  <c r="FY117" i="119"/>
  <c r="FZ117" i="119"/>
  <c r="GA117" i="119"/>
  <c r="GB117" i="119"/>
  <c r="GC117" i="119"/>
  <c r="GD117" i="119"/>
  <c r="GE117" i="119"/>
  <c r="GF117" i="119"/>
  <c r="GG117" i="119"/>
  <c r="GH117" i="119"/>
  <c r="GI117" i="119"/>
  <c r="GJ117" i="119"/>
  <c r="GK117" i="119"/>
  <c r="GL117" i="119"/>
  <c r="GM117" i="119"/>
  <c r="GN117" i="119"/>
  <c r="GO117" i="119"/>
  <c r="GP117" i="119"/>
  <c r="GQ117" i="119"/>
  <c r="GR117" i="119"/>
  <c r="GS117" i="119"/>
  <c r="GT117" i="119"/>
  <c r="GU117" i="119"/>
  <c r="GV117" i="119"/>
  <c r="GW117" i="119"/>
  <c r="GX117" i="119"/>
  <c r="GY117" i="119"/>
  <c r="GZ117" i="119"/>
  <c r="HA117" i="119"/>
  <c r="HB117" i="119"/>
  <c r="HC117" i="119"/>
  <c r="HD117" i="119"/>
  <c r="HE117" i="119"/>
  <c r="HF117" i="119"/>
  <c r="HG117" i="119"/>
  <c r="HH117" i="119"/>
  <c r="HI117" i="119"/>
  <c r="HJ117" i="119"/>
  <c r="HK117" i="119"/>
  <c r="HL117" i="119"/>
  <c r="FM118" i="119"/>
  <c r="FN118" i="119"/>
  <c r="FO118" i="119"/>
  <c r="FP118" i="119"/>
  <c r="FQ118" i="119"/>
  <c r="FR118" i="119"/>
  <c r="FS118" i="119"/>
  <c r="FT118" i="119"/>
  <c r="FU118" i="119"/>
  <c r="FV118" i="119"/>
  <c r="FW118" i="119"/>
  <c r="FX118" i="119"/>
  <c r="FY118" i="119"/>
  <c r="FZ118" i="119"/>
  <c r="GA118" i="119"/>
  <c r="GB118" i="119"/>
  <c r="GC118" i="119"/>
  <c r="GD118" i="119"/>
  <c r="GE118" i="119"/>
  <c r="GF118" i="119"/>
  <c r="GG118" i="119"/>
  <c r="GH118" i="119"/>
  <c r="GI118" i="119"/>
  <c r="GJ118" i="119"/>
  <c r="GK118" i="119"/>
  <c r="GL118" i="119"/>
  <c r="GM118" i="119"/>
  <c r="GN118" i="119"/>
  <c r="GO118" i="119"/>
  <c r="GP118" i="119"/>
  <c r="GQ118" i="119"/>
  <c r="GR118" i="119"/>
  <c r="GS118" i="119"/>
  <c r="GT118" i="119"/>
  <c r="GU118" i="119"/>
  <c r="GV118" i="119"/>
  <c r="GW118" i="119"/>
  <c r="GX118" i="119"/>
  <c r="GY118" i="119"/>
  <c r="GZ118" i="119"/>
  <c r="HA118" i="119"/>
  <c r="HB118" i="119"/>
  <c r="HC118" i="119"/>
  <c r="HD118" i="119"/>
  <c r="HE118" i="119"/>
  <c r="HF118" i="119"/>
  <c r="HG118" i="119"/>
  <c r="HH118" i="119"/>
  <c r="HI118" i="119"/>
  <c r="HJ118" i="119"/>
  <c r="HK118" i="119"/>
  <c r="HL118" i="119"/>
  <c r="FM119" i="119"/>
  <c r="FN119" i="119"/>
  <c r="FO119" i="119"/>
  <c r="FP119" i="119"/>
  <c r="FQ119" i="119"/>
  <c r="FR119" i="119"/>
  <c r="FS119" i="119"/>
  <c r="FT119" i="119"/>
  <c r="FU119" i="119"/>
  <c r="FV119" i="119"/>
  <c r="FW119" i="119"/>
  <c r="FX119" i="119"/>
  <c r="FY119" i="119"/>
  <c r="FZ119" i="119"/>
  <c r="GA119" i="119"/>
  <c r="GB119" i="119"/>
  <c r="GC119" i="119"/>
  <c r="GD119" i="119"/>
  <c r="GE119" i="119"/>
  <c r="GF119" i="119"/>
  <c r="GG119" i="119"/>
  <c r="GH119" i="119"/>
  <c r="GI119" i="119"/>
  <c r="GJ119" i="119"/>
  <c r="GK119" i="119"/>
  <c r="GL119" i="119"/>
  <c r="GM119" i="119"/>
  <c r="GN119" i="119"/>
  <c r="GO119" i="119"/>
  <c r="GP119" i="119"/>
  <c r="GQ119" i="119"/>
  <c r="GR119" i="119"/>
  <c r="GS119" i="119"/>
  <c r="GT119" i="119"/>
  <c r="GU119" i="119"/>
  <c r="GV119" i="119"/>
  <c r="GW119" i="119"/>
  <c r="GX119" i="119"/>
  <c r="GY119" i="119"/>
  <c r="GZ119" i="119"/>
  <c r="HA119" i="119"/>
  <c r="HB119" i="119"/>
  <c r="HC119" i="119"/>
  <c r="HD119" i="119"/>
  <c r="HE119" i="119"/>
  <c r="HF119" i="119"/>
  <c r="HG119" i="119"/>
  <c r="HH119" i="119"/>
  <c r="HI119" i="119"/>
  <c r="HJ119" i="119"/>
  <c r="HK119" i="119"/>
  <c r="HL119" i="119"/>
  <c r="FM120" i="119"/>
  <c r="FN120" i="119"/>
  <c r="FO120" i="119"/>
  <c r="FP120" i="119"/>
  <c r="FQ120" i="119"/>
  <c r="FR120" i="119"/>
  <c r="FS120" i="119"/>
  <c r="FT120" i="119"/>
  <c r="FU120" i="119"/>
  <c r="FV120" i="119"/>
  <c r="FW120" i="119"/>
  <c r="FX120" i="119"/>
  <c r="FY120" i="119"/>
  <c r="FZ120" i="119"/>
  <c r="GA120" i="119"/>
  <c r="GB120" i="119"/>
  <c r="GC120" i="119"/>
  <c r="GD120" i="119"/>
  <c r="GE120" i="119"/>
  <c r="GF120" i="119"/>
  <c r="GG120" i="119"/>
  <c r="GH120" i="119"/>
  <c r="GI120" i="119"/>
  <c r="GJ120" i="119"/>
  <c r="GK120" i="119"/>
  <c r="GL120" i="119"/>
  <c r="GM120" i="119"/>
  <c r="GN120" i="119"/>
  <c r="GO120" i="119"/>
  <c r="GP120" i="119"/>
  <c r="GQ120" i="119"/>
  <c r="GR120" i="119"/>
  <c r="GS120" i="119"/>
  <c r="GT120" i="119"/>
  <c r="GU120" i="119"/>
  <c r="GV120" i="119"/>
  <c r="GW120" i="119"/>
  <c r="GX120" i="119"/>
  <c r="GY120" i="119"/>
  <c r="GZ120" i="119"/>
  <c r="HA120" i="119"/>
  <c r="HB120" i="119"/>
  <c r="HC120" i="119"/>
  <c r="HD120" i="119"/>
  <c r="HE120" i="119"/>
  <c r="HF120" i="119"/>
  <c r="HG120" i="119"/>
  <c r="HH120" i="119"/>
  <c r="HI120" i="119"/>
  <c r="HJ120" i="119"/>
  <c r="HK120" i="119"/>
  <c r="HL120" i="119"/>
  <c r="FM121" i="119"/>
  <c r="FN121" i="119"/>
  <c r="FO121" i="119"/>
  <c r="FP121" i="119"/>
  <c r="FQ121" i="119"/>
  <c r="FR121" i="119"/>
  <c r="FS121" i="119"/>
  <c r="FT121" i="119"/>
  <c r="FU121" i="119"/>
  <c r="FV121" i="119"/>
  <c r="FW121" i="119"/>
  <c r="FX121" i="119"/>
  <c r="FY121" i="119"/>
  <c r="FZ121" i="119"/>
  <c r="GA121" i="119"/>
  <c r="GB121" i="119"/>
  <c r="GC121" i="119"/>
  <c r="GD121" i="119"/>
  <c r="GE121" i="119"/>
  <c r="GF121" i="119"/>
  <c r="GG121" i="119"/>
  <c r="GH121" i="119"/>
  <c r="GI121" i="119"/>
  <c r="GJ121" i="119"/>
  <c r="GK121" i="119"/>
  <c r="GL121" i="119"/>
  <c r="GM121" i="119"/>
  <c r="GN121" i="119"/>
  <c r="GO121" i="119"/>
  <c r="GP121" i="119"/>
  <c r="GQ121" i="119"/>
  <c r="GR121" i="119"/>
  <c r="GS121" i="119"/>
  <c r="GT121" i="119"/>
  <c r="GU121" i="119"/>
  <c r="GV121" i="119"/>
  <c r="GW121" i="119"/>
  <c r="GX121" i="119"/>
  <c r="GY121" i="119"/>
  <c r="GZ121" i="119"/>
  <c r="HA121" i="119"/>
  <c r="HB121" i="119"/>
  <c r="HC121" i="119"/>
  <c r="HD121" i="119"/>
  <c r="HE121" i="119"/>
  <c r="HF121" i="119"/>
  <c r="HG121" i="119"/>
  <c r="HH121" i="119"/>
  <c r="HI121" i="119"/>
  <c r="HJ121" i="119"/>
  <c r="HK121" i="119"/>
  <c r="HL121" i="119"/>
  <c r="FM122" i="119"/>
  <c r="FN122" i="119"/>
  <c r="FO122" i="119"/>
  <c r="FP122" i="119"/>
  <c r="FQ122" i="119"/>
  <c r="FR122" i="119"/>
  <c r="FS122" i="119"/>
  <c r="FT122" i="119"/>
  <c r="FU122" i="119"/>
  <c r="FV122" i="119"/>
  <c r="FW122" i="119"/>
  <c r="FX122" i="119"/>
  <c r="FY122" i="119"/>
  <c r="FZ122" i="119"/>
  <c r="GA122" i="119"/>
  <c r="GB122" i="119"/>
  <c r="GC122" i="119"/>
  <c r="GD122" i="119"/>
  <c r="GE122" i="119"/>
  <c r="GF122" i="119"/>
  <c r="GG122" i="119"/>
  <c r="GH122" i="119"/>
  <c r="GI122" i="119"/>
  <c r="GJ122" i="119"/>
  <c r="GK122" i="119"/>
  <c r="GL122" i="119"/>
  <c r="GM122" i="119"/>
  <c r="GN122" i="119"/>
  <c r="GO122" i="119"/>
  <c r="GP122" i="119"/>
  <c r="GQ122" i="119"/>
  <c r="GR122" i="119"/>
  <c r="GS122" i="119"/>
  <c r="GT122" i="119"/>
  <c r="GU122" i="119"/>
  <c r="GV122" i="119"/>
  <c r="GW122" i="119"/>
  <c r="GX122" i="119"/>
  <c r="GY122" i="119"/>
  <c r="GZ122" i="119"/>
  <c r="HA122" i="119"/>
  <c r="HB122" i="119"/>
  <c r="HC122" i="119"/>
  <c r="HD122" i="119"/>
  <c r="HE122" i="119"/>
  <c r="HF122" i="119"/>
  <c r="HG122" i="119"/>
  <c r="HH122" i="119"/>
  <c r="HI122" i="119"/>
  <c r="HJ122" i="119"/>
  <c r="HK122" i="119"/>
  <c r="HL122" i="119"/>
  <c r="FM123" i="119"/>
  <c r="FN123" i="119"/>
  <c r="FO123" i="119"/>
  <c r="FP123" i="119"/>
  <c r="FQ123" i="119"/>
  <c r="FR123" i="119"/>
  <c r="FS123" i="119"/>
  <c r="FT123" i="119"/>
  <c r="FU123" i="119"/>
  <c r="FV123" i="119"/>
  <c r="FW123" i="119"/>
  <c r="FX123" i="119"/>
  <c r="FY123" i="119"/>
  <c r="FZ123" i="119"/>
  <c r="GA123" i="119"/>
  <c r="GB123" i="119"/>
  <c r="GC123" i="119"/>
  <c r="GD123" i="119"/>
  <c r="GE123" i="119"/>
  <c r="GF123" i="119"/>
  <c r="GG123" i="119"/>
  <c r="GH123" i="119"/>
  <c r="GI123" i="119"/>
  <c r="GJ123" i="119"/>
  <c r="GK123" i="119"/>
  <c r="GL123" i="119"/>
  <c r="GM123" i="119"/>
  <c r="GN123" i="119"/>
  <c r="GO123" i="119"/>
  <c r="GP123" i="119"/>
  <c r="GQ123" i="119"/>
  <c r="GR123" i="119"/>
  <c r="GS123" i="119"/>
  <c r="GT123" i="119"/>
  <c r="GU123" i="119"/>
  <c r="GV123" i="119"/>
  <c r="GW123" i="119"/>
  <c r="GX123" i="119"/>
  <c r="GY123" i="119"/>
  <c r="GZ123" i="119"/>
  <c r="HA123" i="119"/>
  <c r="HB123" i="119"/>
  <c r="HC123" i="119"/>
  <c r="HD123" i="119"/>
  <c r="HE123" i="119"/>
  <c r="HF123" i="119"/>
  <c r="HG123" i="119"/>
  <c r="HH123" i="119"/>
  <c r="HI123" i="119"/>
  <c r="HJ123" i="119"/>
  <c r="HK123" i="119"/>
  <c r="HL123" i="119"/>
  <c r="FM124" i="119"/>
  <c r="FN124" i="119"/>
  <c r="FO124" i="119"/>
  <c r="FP124" i="119"/>
  <c r="FQ124" i="119"/>
  <c r="FR124" i="119"/>
  <c r="FS124" i="119"/>
  <c r="FT124" i="119"/>
  <c r="FU124" i="119"/>
  <c r="FV124" i="119"/>
  <c r="FW124" i="119"/>
  <c r="FX124" i="119"/>
  <c r="FY124" i="119"/>
  <c r="FZ124" i="119"/>
  <c r="GA124" i="119"/>
  <c r="GB124" i="119"/>
  <c r="GC124" i="119"/>
  <c r="GD124" i="119"/>
  <c r="GE124" i="119"/>
  <c r="GF124" i="119"/>
  <c r="GG124" i="119"/>
  <c r="GH124" i="119"/>
  <c r="GI124" i="119"/>
  <c r="GJ124" i="119"/>
  <c r="GK124" i="119"/>
  <c r="GL124" i="119"/>
  <c r="GM124" i="119"/>
  <c r="GN124" i="119"/>
  <c r="GO124" i="119"/>
  <c r="GP124" i="119"/>
  <c r="GQ124" i="119"/>
  <c r="GR124" i="119"/>
  <c r="GS124" i="119"/>
  <c r="GT124" i="119"/>
  <c r="GU124" i="119"/>
  <c r="GV124" i="119"/>
  <c r="GW124" i="119"/>
  <c r="GX124" i="119"/>
  <c r="GY124" i="119"/>
  <c r="GZ124" i="119"/>
  <c r="HA124" i="119"/>
  <c r="HB124" i="119"/>
  <c r="HC124" i="119"/>
  <c r="HD124" i="119"/>
  <c r="HE124" i="119"/>
  <c r="HF124" i="119"/>
  <c r="HG124" i="119"/>
  <c r="HH124" i="119"/>
  <c r="HI124" i="119"/>
  <c r="HJ124" i="119"/>
  <c r="HK124" i="119"/>
  <c r="HL124" i="119"/>
  <c r="FM125" i="119"/>
  <c r="FN125" i="119"/>
  <c r="FO125" i="119"/>
  <c r="FP125" i="119"/>
  <c r="FQ125" i="119"/>
  <c r="FR125" i="119"/>
  <c r="FS125" i="119"/>
  <c r="FT125" i="119"/>
  <c r="FU125" i="119"/>
  <c r="FV125" i="119"/>
  <c r="FW125" i="119"/>
  <c r="FX125" i="119"/>
  <c r="FY125" i="119"/>
  <c r="FZ125" i="119"/>
  <c r="GA125" i="119"/>
  <c r="GB125" i="119"/>
  <c r="GC125" i="119"/>
  <c r="GD125" i="119"/>
  <c r="GE125" i="119"/>
  <c r="GF125" i="119"/>
  <c r="GG125" i="119"/>
  <c r="GH125" i="119"/>
  <c r="GI125" i="119"/>
  <c r="GJ125" i="119"/>
  <c r="GK125" i="119"/>
  <c r="GL125" i="119"/>
  <c r="GM125" i="119"/>
  <c r="GN125" i="119"/>
  <c r="GO125" i="119"/>
  <c r="GP125" i="119"/>
  <c r="GQ125" i="119"/>
  <c r="GR125" i="119"/>
  <c r="GS125" i="119"/>
  <c r="GT125" i="119"/>
  <c r="GU125" i="119"/>
  <c r="GV125" i="119"/>
  <c r="GW125" i="119"/>
  <c r="GX125" i="119"/>
  <c r="GY125" i="119"/>
  <c r="GZ125" i="119"/>
  <c r="HA125" i="119"/>
  <c r="HB125" i="119"/>
  <c r="HC125" i="119"/>
  <c r="HD125" i="119"/>
  <c r="HE125" i="119"/>
  <c r="HF125" i="119"/>
  <c r="HG125" i="119"/>
  <c r="HH125" i="119"/>
  <c r="HI125" i="119"/>
  <c r="HJ125" i="119"/>
  <c r="HK125" i="119"/>
  <c r="HL125" i="119"/>
  <c r="FM126" i="119"/>
  <c r="FN126" i="119"/>
  <c r="FO126" i="119"/>
  <c r="FP126" i="119"/>
  <c r="FQ126" i="119"/>
  <c r="FR126" i="119"/>
  <c r="FS126" i="119"/>
  <c r="FT126" i="119"/>
  <c r="FU126" i="119"/>
  <c r="FV126" i="119"/>
  <c r="FW126" i="119"/>
  <c r="FX126" i="119"/>
  <c r="FY126" i="119"/>
  <c r="FZ126" i="119"/>
  <c r="GA126" i="119"/>
  <c r="GB126" i="119"/>
  <c r="GC126" i="119"/>
  <c r="GD126" i="119"/>
  <c r="GE126" i="119"/>
  <c r="GF126" i="119"/>
  <c r="GG126" i="119"/>
  <c r="GH126" i="119"/>
  <c r="GI126" i="119"/>
  <c r="GJ126" i="119"/>
  <c r="GK126" i="119"/>
  <c r="GL126" i="119"/>
  <c r="GM126" i="119"/>
  <c r="GN126" i="119"/>
  <c r="GO126" i="119"/>
  <c r="GP126" i="119"/>
  <c r="GQ126" i="119"/>
  <c r="GR126" i="119"/>
  <c r="GS126" i="119"/>
  <c r="GT126" i="119"/>
  <c r="GU126" i="119"/>
  <c r="GV126" i="119"/>
  <c r="GW126" i="119"/>
  <c r="GX126" i="119"/>
  <c r="GY126" i="119"/>
  <c r="GZ126" i="119"/>
  <c r="HA126" i="119"/>
  <c r="HB126" i="119"/>
  <c r="HC126" i="119"/>
  <c r="HD126" i="119"/>
  <c r="HE126" i="119"/>
  <c r="HF126" i="119"/>
  <c r="HG126" i="119"/>
  <c r="HH126" i="119"/>
  <c r="HI126" i="119"/>
  <c r="HJ126" i="119"/>
  <c r="HK126" i="119"/>
  <c r="HL126" i="119"/>
  <c r="FM127" i="119"/>
  <c r="FN127" i="119"/>
  <c r="FO127" i="119"/>
  <c r="FP127" i="119"/>
  <c r="FQ127" i="119"/>
  <c r="FR127" i="119"/>
  <c r="FS127" i="119"/>
  <c r="FT127" i="119"/>
  <c r="FU127" i="119"/>
  <c r="FV127" i="119"/>
  <c r="FW127" i="119"/>
  <c r="FX127" i="119"/>
  <c r="FY127" i="119"/>
  <c r="FZ127" i="119"/>
  <c r="GA127" i="119"/>
  <c r="GB127" i="119"/>
  <c r="GC127" i="119"/>
  <c r="GD127" i="119"/>
  <c r="GE127" i="119"/>
  <c r="GF127" i="119"/>
  <c r="GG127" i="119"/>
  <c r="GH127" i="119"/>
  <c r="GI127" i="119"/>
  <c r="GJ127" i="119"/>
  <c r="GK127" i="119"/>
  <c r="GL127" i="119"/>
  <c r="GM127" i="119"/>
  <c r="GN127" i="119"/>
  <c r="GO127" i="119"/>
  <c r="GP127" i="119"/>
  <c r="GQ127" i="119"/>
  <c r="GR127" i="119"/>
  <c r="GS127" i="119"/>
  <c r="GT127" i="119"/>
  <c r="GU127" i="119"/>
  <c r="GV127" i="119"/>
  <c r="GW127" i="119"/>
  <c r="GX127" i="119"/>
  <c r="GY127" i="119"/>
  <c r="GZ127" i="119"/>
  <c r="HA127" i="119"/>
  <c r="HB127" i="119"/>
  <c r="HC127" i="119"/>
  <c r="HD127" i="119"/>
  <c r="HE127" i="119"/>
  <c r="HF127" i="119"/>
  <c r="HG127" i="119"/>
  <c r="HH127" i="119"/>
  <c r="HI127" i="119"/>
  <c r="HJ127" i="119"/>
  <c r="HK127" i="119"/>
  <c r="HL127" i="119"/>
  <c r="FM128" i="119"/>
  <c r="FN128" i="119"/>
  <c r="FO128" i="119"/>
  <c r="FP128" i="119"/>
  <c r="FQ128" i="119"/>
  <c r="FR128" i="119"/>
  <c r="FS128" i="119"/>
  <c r="FT128" i="119"/>
  <c r="FU128" i="119"/>
  <c r="FV128" i="119"/>
  <c r="FW128" i="119"/>
  <c r="FX128" i="119"/>
  <c r="FY128" i="119"/>
  <c r="FZ128" i="119"/>
  <c r="GA128" i="119"/>
  <c r="GB128" i="119"/>
  <c r="GC128" i="119"/>
  <c r="GD128" i="119"/>
  <c r="GE128" i="119"/>
  <c r="GF128" i="119"/>
  <c r="GG128" i="119"/>
  <c r="GH128" i="119"/>
  <c r="GI128" i="119"/>
  <c r="GJ128" i="119"/>
  <c r="GK128" i="119"/>
  <c r="GL128" i="119"/>
  <c r="GM128" i="119"/>
  <c r="GN128" i="119"/>
  <c r="GO128" i="119"/>
  <c r="GP128" i="119"/>
  <c r="GQ128" i="119"/>
  <c r="GR128" i="119"/>
  <c r="GS128" i="119"/>
  <c r="GT128" i="119"/>
  <c r="GU128" i="119"/>
  <c r="GV128" i="119"/>
  <c r="GW128" i="119"/>
  <c r="GX128" i="119"/>
  <c r="GY128" i="119"/>
  <c r="GZ128" i="119"/>
  <c r="HA128" i="119"/>
  <c r="HB128" i="119"/>
  <c r="HC128" i="119"/>
  <c r="HD128" i="119"/>
  <c r="HE128" i="119"/>
  <c r="HF128" i="119"/>
  <c r="HG128" i="119"/>
  <c r="HH128" i="119"/>
  <c r="HI128" i="119"/>
  <c r="HJ128" i="119"/>
  <c r="HK128" i="119"/>
  <c r="HL128" i="119"/>
  <c r="FM129" i="119"/>
  <c r="FN129" i="119"/>
  <c r="FO129" i="119"/>
  <c r="FP129" i="119"/>
  <c r="FQ129" i="119"/>
  <c r="FR129" i="119"/>
  <c r="FS129" i="119"/>
  <c r="FT129" i="119"/>
  <c r="FU129" i="119"/>
  <c r="FV129" i="119"/>
  <c r="FW129" i="119"/>
  <c r="FX129" i="119"/>
  <c r="FY129" i="119"/>
  <c r="FZ129" i="119"/>
  <c r="GA129" i="119"/>
  <c r="GB129" i="119"/>
  <c r="GC129" i="119"/>
  <c r="GD129" i="119"/>
  <c r="GE129" i="119"/>
  <c r="GF129" i="119"/>
  <c r="GG129" i="119"/>
  <c r="GH129" i="119"/>
  <c r="GI129" i="119"/>
  <c r="GJ129" i="119"/>
  <c r="GK129" i="119"/>
  <c r="GL129" i="119"/>
  <c r="GM129" i="119"/>
  <c r="GN129" i="119"/>
  <c r="GO129" i="119"/>
  <c r="GP129" i="119"/>
  <c r="GQ129" i="119"/>
  <c r="GR129" i="119"/>
  <c r="GS129" i="119"/>
  <c r="GT129" i="119"/>
  <c r="GU129" i="119"/>
  <c r="GV129" i="119"/>
  <c r="GW129" i="119"/>
  <c r="GX129" i="119"/>
  <c r="GY129" i="119"/>
  <c r="GZ129" i="119"/>
  <c r="HA129" i="119"/>
  <c r="HB129" i="119"/>
  <c r="HC129" i="119"/>
  <c r="HD129" i="119"/>
  <c r="HE129" i="119"/>
  <c r="HF129" i="119"/>
  <c r="HG129" i="119"/>
  <c r="HH129" i="119"/>
  <c r="HI129" i="119"/>
  <c r="HJ129" i="119"/>
  <c r="HK129" i="119"/>
  <c r="HL129" i="119"/>
  <c r="FM130" i="119"/>
  <c r="FN130" i="119"/>
  <c r="FO130" i="119"/>
  <c r="FP130" i="119"/>
  <c r="FQ130" i="119"/>
  <c r="FR130" i="119"/>
  <c r="FS130" i="119"/>
  <c r="FT130" i="119"/>
  <c r="FU130" i="119"/>
  <c r="FV130" i="119"/>
  <c r="FW130" i="119"/>
  <c r="FX130" i="119"/>
  <c r="FY130" i="119"/>
  <c r="FZ130" i="119"/>
  <c r="GA130" i="119"/>
  <c r="GB130" i="119"/>
  <c r="GC130" i="119"/>
  <c r="GD130" i="119"/>
  <c r="GE130" i="119"/>
  <c r="GF130" i="119"/>
  <c r="GG130" i="119"/>
  <c r="GH130" i="119"/>
  <c r="GI130" i="119"/>
  <c r="GJ130" i="119"/>
  <c r="GK130" i="119"/>
  <c r="GL130" i="119"/>
  <c r="GM130" i="119"/>
  <c r="GN130" i="119"/>
  <c r="GO130" i="119"/>
  <c r="GP130" i="119"/>
  <c r="GQ130" i="119"/>
  <c r="GR130" i="119"/>
  <c r="GS130" i="119"/>
  <c r="GT130" i="119"/>
  <c r="GU130" i="119"/>
  <c r="GV130" i="119"/>
  <c r="GW130" i="119"/>
  <c r="GX130" i="119"/>
  <c r="GY130" i="119"/>
  <c r="GZ130" i="119"/>
  <c r="HA130" i="119"/>
  <c r="HB130" i="119"/>
  <c r="HC130" i="119"/>
  <c r="HD130" i="119"/>
  <c r="HE130" i="119"/>
  <c r="HF130" i="119"/>
  <c r="HG130" i="119"/>
  <c r="HH130" i="119"/>
  <c r="HI130" i="119"/>
  <c r="HJ130" i="119"/>
  <c r="HK130" i="119"/>
  <c r="HL130" i="119"/>
  <c r="FM131" i="119"/>
  <c r="FN131" i="119"/>
  <c r="FO131" i="119"/>
  <c r="FP131" i="119"/>
  <c r="FQ131" i="119"/>
  <c r="FR131" i="119"/>
  <c r="FS131" i="119"/>
  <c r="FT131" i="119"/>
  <c r="FU131" i="119"/>
  <c r="FV131" i="119"/>
  <c r="FW131" i="119"/>
  <c r="FX131" i="119"/>
  <c r="FY131" i="119"/>
  <c r="FZ131" i="119"/>
  <c r="GA131" i="119"/>
  <c r="GB131" i="119"/>
  <c r="GC131" i="119"/>
  <c r="GD131" i="119"/>
  <c r="GE131" i="119"/>
  <c r="GF131" i="119"/>
  <c r="GG131" i="119"/>
  <c r="GH131" i="119"/>
  <c r="GI131" i="119"/>
  <c r="GJ131" i="119"/>
  <c r="GK131" i="119"/>
  <c r="GL131" i="119"/>
  <c r="GM131" i="119"/>
  <c r="GN131" i="119"/>
  <c r="GO131" i="119"/>
  <c r="GP131" i="119"/>
  <c r="GQ131" i="119"/>
  <c r="GR131" i="119"/>
  <c r="GS131" i="119"/>
  <c r="GT131" i="119"/>
  <c r="GU131" i="119"/>
  <c r="GV131" i="119"/>
  <c r="GW131" i="119"/>
  <c r="GX131" i="119"/>
  <c r="GY131" i="119"/>
  <c r="GZ131" i="119"/>
  <c r="HA131" i="119"/>
  <c r="HB131" i="119"/>
  <c r="HC131" i="119"/>
  <c r="HD131" i="119"/>
  <c r="HE131" i="119"/>
  <c r="HF131" i="119"/>
  <c r="HG131" i="119"/>
  <c r="HH131" i="119"/>
  <c r="HI131" i="119"/>
  <c r="HJ131" i="119"/>
  <c r="HK131" i="119"/>
  <c r="HL131" i="119"/>
  <c r="FM132" i="119"/>
  <c r="FN132" i="119"/>
  <c r="FO132" i="119"/>
  <c r="FP132" i="119"/>
  <c r="FQ132" i="119"/>
  <c r="FR132" i="119"/>
  <c r="FS132" i="119"/>
  <c r="FT132" i="119"/>
  <c r="FU132" i="119"/>
  <c r="FV132" i="119"/>
  <c r="FW132" i="119"/>
  <c r="FX132" i="119"/>
  <c r="FY132" i="119"/>
  <c r="FZ132" i="119"/>
  <c r="GA132" i="119"/>
  <c r="GB132" i="119"/>
  <c r="GC132" i="119"/>
  <c r="GD132" i="119"/>
  <c r="GE132" i="119"/>
  <c r="GF132" i="119"/>
  <c r="GG132" i="119"/>
  <c r="GH132" i="119"/>
  <c r="GI132" i="119"/>
  <c r="GJ132" i="119"/>
  <c r="GK132" i="119"/>
  <c r="GL132" i="119"/>
  <c r="GM132" i="119"/>
  <c r="GN132" i="119"/>
  <c r="GO132" i="119"/>
  <c r="GP132" i="119"/>
  <c r="GQ132" i="119"/>
  <c r="GR132" i="119"/>
  <c r="GS132" i="119"/>
  <c r="GT132" i="119"/>
  <c r="GU132" i="119"/>
  <c r="GV132" i="119"/>
  <c r="GW132" i="119"/>
  <c r="GX132" i="119"/>
  <c r="GY132" i="119"/>
  <c r="GZ132" i="119"/>
  <c r="HA132" i="119"/>
  <c r="HB132" i="119"/>
  <c r="HC132" i="119"/>
  <c r="HD132" i="119"/>
  <c r="HE132" i="119"/>
  <c r="HF132" i="119"/>
  <c r="HG132" i="119"/>
  <c r="HH132" i="119"/>
  <c r="HI132" i="119"/>
  <c r="HJ132" i="119"/>
  <c r="HK132" i="119"/>
  <c r="HL132" i="119"/>
  <c r="FM133" i="119"/>
  <c r="FN133" i="119"/>
  <c r="FO133" i="119"/>
  <c r="FP133" i="119"/>
  <c r="FQ133" i="119"/>
  <c r="FR133" i="119"/>
  <c r="FS133" i="119"/>
  <c r="FT133" i="119"/>
  <c r="FU133" i="119"/>
  <c r="FV133" i="119"/>
  <c r="FW133" i="119"/>
  <c r="FX133" i="119"/>
  <c r="FY133" i="119"/>
  <c r="FZ133" i="119"/>
  <c r="GA133" i="119"/>
  <c r="GB133" i="119"/>
  <c r="GC133" i="119"/>
  <c r="GD133" i="119"/>
  <c r="GE133" i="119"/>
  <c r="GF133" i="119"/>
  <c r="GG133" i="119"/>
  <c r="GH133" i="119"/>
  <c r="GI133" i="119"/>
  <c r="GJ133" i="119"/>
  <c r="GK133" i="119"/>
  <c r="GL133" i="119"/>
  <c r="GM133" i="119"/>
  <c r="GN133" i="119"/>
  <c r="GO133" i="119"/>
  <c r="GP133" i="119"/>
  <c r="GQ133" i="119"/>
  <c r="GR133" i="119"/>
  <c r="GS133" i="119"/>
  <c r="GT133" i="119"/>
  <c r="GU133" i="119"/>
  <c r="GV133" i="119"/>
  <c r="GW133" i="119"/>
  <c r="GX133" i="119"/>
  <c r="GY133" i="119"/>
  <c r="GZ133" i="119"/>
  <c r="HA133" i="119"/>
  <c r="HB133" i="119"/>
  <c r="HC133" i="119"/>
  <c r="HD133" i="119"/>
  <c r="HE133" i="119"/>
  <c r="HF133" i="119"/>
  <c r="HG133" i="119"/>
  <c r="HH133" i="119"/>
  <c r="HI133" i="119"/>
  <c r="HJ133" i="119"/>
  <c r="HK133" i="119"/>
  <c r="HL133" i="119"/>
  <c r="FM134" i="119"/>
  <c r="FN134" i="119"/>
  <c r="FO134" i="119"/>
  <c r="FP134" i="119"/>
  <c r="FQ134" i="119"/>
  <c r="FR134" i="119"/>
  <c r="FS134" i="119"/>
  <c r="FT134" i="119"/>
  <c r="FU134" i="119"/>
  <c r="FV134" i="119"/>
  <c r="FW134" i="119"/>
  <c r="FX134" i="119"/>
  <c r="FY134" i="119"/>
  <c r="FZ134" i="119"/>
  <c r="GA134" i="119"/>
  <c r="GB134" i="119"/>
  <c r="GC134" i="119"/>
  <c r="GD134" i="119"/>
  <c r="GE134" i="119"/>
  <c r="GF134" i="119"/>
  <c r="GG134" i="119"/>
  <c r="GH134" i="119"/>
  <c r="GI134" i="119"/>
  <c r="GJ134" i="119"/>
  <c r="GK134" i="119"/>
  <c r="GL134" i="119"/>
  <c r="GM134" i="119"/>
  <c r="GN134" i="119"/>
  <c r="GO134" i="119"/>
  <c r="GP134" i="119"/>
  <c r="GQ134" i="119"/>
  <c r="GR134" i="119"/>
  <c r="GS134" i="119"/>
  <c r="GT134" i="119"/>
  <c r="GU134" i="119"/>
  <c r="GV134" i="119"/>
  <c r="GW134" i="119"/>
  <c r="GX134" i="119"/>
  <c r="GY134" i="119"/>
  <c r="GZ134" i="119"/>
  <c r="HA134" i="119"/>
  <c r="HB134" i="119"/>
  <c r="HC134" i="119"/>
  <c r="HD134" i="119"/>
  <c r="HE134" i="119"/>
  <c r="HF134" i="119"/>
  <c r="HG134" i="119"/>
  <c r="HH134" i="119"/>
  <c r="HI134" i="119"/>
  <c r="HJ134" i="119"/>
  <c r="HK134" i="119"/>
  <c r="HL134" i="119"/>
  <c r="FM135" i="119"/>
  <c r="FN135" i="119"/>
  <c r="FO135" i="119"/>
  <c r="FP135" i="119"/>
  <c r="FQ135" i="119"/>
  <c r="FR135" i="119"/>
  <c r="FS135" i="119"/>
  <c r="FT135" i="119"/>
  <c r="FU135" i="119"/>
  <c r="FV135" i="119"/>
  <c r="FW135" i="119"/>
  <c r="FX135" i="119"/>
  <c r="FY135" i="119"/>
  <c r="FZ135" i="119"/>
  <c r="GA135" i="119"/>
  <c r="GB135" i="119"/>
  <c r="GC135" i="119"/>
  <c r="GD135" i="119"/>
  <c r="GE135" i="119"/>
  <c r="GF135" i="119"/>
  <c r="GG135" i="119"/>
  <c r="GH135" i="119"/>
  <c r="GI135" i="119"/>
  <c r="GJ135" i="119"/>
  <c r="GK135" i="119"/>
  <c r="GL135" i="119"/>
  <c r="GM135" i="119"/>
  <c r="GN135" i="119"/>
  <c r="GO135" i="119"/>
  <c r="GP135" i="119"/>
  <c r="GQ135" i="119"/>
  <c r="GR135" i="119"/>
  <c r="GS135" i="119"/>
  <c r="GT135" i="119"/>
  <c r="GU135" i="119"/>
  <c r="GV135" i="119"/>
  <c r="GW135" i="119"/>
  <c r="GX135" i="119"/>
  <c r="GY135" i="119"/>
  <c r="GZ135" i="119"/>
  <c r="HA135" i="119"/>
  <c r="HB135" i="119"/>
  <c r="HC135" i="119"/>
  <c r="HD135" i="119"/>
  <c r="HE135" i="119"/>
  <c r="HF135" i="119"/>
  <c r="HG135" i="119"/>
  <c r="HH135" i="119"/>
  <c r="HI135" i="119"/>
  <c r="HJ135" i="119"/>
  <c r="HK135" i="119"/>
  <c r="HL135" i="119"/>
  <c r="FM136" i="119"/>
  <c r="FN136" i="119"/>
  <c r="FO136" i="119"/>
  <c r="FP136" i="119"/>
  <c r="FQ136" i="119"/>
  <c r="FR136" i="119"/>
  <c r="FS136" i="119"/>
  <c r="FT136" i="119"/>
  <c r="FU136" i="119"/>
  <c r="FV136" i="119"/>
  <c r="FW136" i="119"/>
  <c r="FX136" i="119"/>
  <c r="FY136" i="119"/>
  <c r="FZ136" i="119"/>
  <c r="GA136" i="119"/>
  <c r="GB136" i="119"/>
  <c r="GC136" i="119"/>
  <c r="GD136" i="119"/>
  <c r="GE136" i="119"/>
  <c r="GF136" i="119"/>
  <c r="GG136" i="119"/>
  <c r="GH136" i="119"/>
  <c r="GI136" i="119"/>
  <c r="GJ136" i="119"/>
  <c r="GK136" i="119"/>
  <c r="GL136" i="119"/>
  <c r="GM136" i="119"/>
  <c r="GN136" i="119"/>
  <c r="GO136" i="119"/>
  <c r="GP136" i="119"/>
  <c r="GQ136" i="119"/>
  <c r="GR136" i="119"/>
  <c r="GS136" i="119"/>
  <c r="GT136" i="119"/>
  <c r="GU136" i="119"/>
  <c r="GV136" i="119"/>
  <c r="GW136" i="119"/>
  <c r="GX136" i="119"/>
  <c r="GY136" i="119"/>
  <c r="GZ136" i="119"/>
  <c r="HA136" i="119"/>
  <c r="HB136" i="119"/>
  <c r="HC136" i="119"/>
  <c r="HD136" i="119"/>
  <c r="HE136" i="119"/>
  <c r="HF136" i="119"/>
  <c r="HG136" i="119"/>
  <c r="HH136" i="119"/>
  <c r="HI136" i="119"/>
  <c r="HJ136" i="119"/>
  <c r="HK136" i="119"/>
  <c r="HL136" i="119"/>
  <c r="FM137" i="119"/>
  <c r="FN137" i="119"/>
  <c r="FO137" i="119"/>
  <c r="FP137" i="119"/>
  <c r="FQ137" i="119"/>
  <c r="FR137" i="119"/>
  <c r="FS137" i="119"/>
  <c r="FT137" i="119"/>
  <c r="FU137" i="119"/>
  <c r="FV137" i="119"/>
  <c r="FW137" i="119"/>
  <c r="FX137" i="119"/>
  <c r="FY137" i="119"/>
  <c r="FZ137" i="119"/>
  <c r="GA137" i="119"/>
  <c r="GB137" i="119"/>
  <c r="GC137" i="119"/>
  <c r="GD137" i="119"/>
  <c r="GE137" i="119"/>
  <c r="GF137" i="119"/>
  <c r="GG137" i="119"/>
  <c r="GH137" i="119"/>
  <c r="GI137" i="119"/>
  <c r="GJ137" i="119"/>
  <c r="GK137" i="119"/>
  <c r="GL137" i="119"/>
  <c r="GM137" i="119"/>
  <c r="GN137" i="119"/>
  <c r="GO137" i="119"/>
  <c r="GP137" i="119"/>
  <c r="GQ137" i="119"/>
  <c r="GR137" i="119"/>
  <c r="GS137" i="119"/>
  <c r="GT137" i="119"/>
  <c r="GU137" i="119"/>
  <c r="GV137" i="119"/>
  <c r="GW137" i="119"/>
  <c r="GX137" i="119"/>
  <c r="GY137" i="119"/>
  <c r="GZ137" i="119"/>
  <c r="HA137" i="119"/>
  <c r="HB137" i="119"/>
  <c r="HC137" i="119"/>
  <c r="HD137" i="119"/>
  <c r="HE137" i="119"/>
  <c r="HF137" i="119"/>
  <c r="HG137" i="119"/>
  <c r="HH137" i="119"/>
  <c r="HI137" i="119"/>
  <c r="HJ137" i="119"/>
  <c r="HK137" i="119"/>
  <c r="HL137" i="119"/>
  <c r="FM138" i="119"/>
  <c r="FN138" i="119"/>
  <c r="FO138" i="119"/>
  <c r="FP138" i="119"/>
  <c r="FQ138" i="119"/>
  <c r="FR138" i="119"/>
  <c r="FS138" i="119"/>
  <c r="FT138" i="119"/>
  <c r="FU138" i="119"/>
  <c r="FV138" i="119"/>
  <c r="FW138" i="119"/>
  <c r="FX138" i="119"/>
  <c r="FY138" i="119"/>
  <c r="FZ138" i="119"/>
  <c r="GA138" i="119"/>
  <c r="GB138" i="119"/>
  <c r="GC138" i="119"/>
  <c r="GD138" i="119"/>
  <c r="GE138" i="119"/>
  <c r="GF138" i="119"/>
  <c r="GG138" i="119"/>
  <c r="GH138" i="119"/>
  <c r="GI138" i="119"/>
  <c r="GJ138" i="119"/>
  <c r="GK138" i="119"/>
  <c r="GL138" i="119"/>
  <c r="GM138" i="119"/>
  <c r="GN138" i="119"/>
  <c r="GO138" i="119"/>
  <c r="GP138" i="119"/>
  <c r="GQ138" i="119"/>
  <c r="GR138" i="119"/>
  <c r="GS138" i="119"/>
  <c r="GT138" i="119"/>
  <c r="GU138" i="119"/>
  <c r="GV138" i="119"/>
  <c r="GW138" i="119"/>
  <c r="GX138" i="119"/>
  <c r="GY138" i="119"/>
  <c r="GZ138" i="119"/>
  <c r="HA138" i="119"/>
  <c r="HB138" i="119"/>
  <c r="HC138" i="119"/>
  <c r="HD138" i="119"/>
  <c r="HE138" i="119"/>
  <c r="HF138" i="119"/>
  <c r="HG138" i="119"/>
  <c r="HH138" i="119"/>
  <c r="HI138" i="119"/>
  <c r="HJ138" i="119"/>
  <c r="HK138" i="119"/>
  <c r="HL138" i="119"/>
  <c r="FM139" i="119"/>
  <c r="FN139" i="119"/>
  <c r="FO139" i="119"/>
  <c r="FP139" i="119"/>
  <c r="FQ139" i="119"/>
  <c r="FR139" i="119"/>
  <c r="FS139" i="119"/>
  <c r="FT139" i="119"/>
  <c r="FU139" i="119"/>
  <c r="FV139" i="119"/>
  <c r="FW139" i="119"/>
  <c r="FX139" i="119"/>
  <c r="FY139" i="119"/>
  <c r="FZ139" i="119"/>
  <c r="GA139" i="119"/>
  <c r="GB139" i="119"/>
  <c r="GC139" i="119"/>
  <c r="GD139" i="119"/>
  <c r="GE139" i="119"/>
  <c r="GF139" i="119"/>
  <c r="GG139" i="119"/>
  <c r="GH139" i="119"/>
  <c r="GI139" i="119"/>
  <c r="GJ139" i="119"/>
  <c r="GK139" i="119"/>
  <c r="GL139" i="119"/>
  <c r="GM139" i="119"/>
  <c r="GN139" i="119"/>
  <c r="GO139" i="119"/>
  <c r="GP139" i="119"/>
  <c r="GQ139" i="119"/>
  <c r="GR139" i="119"/>
  <c r="GS139" i="119"/>
  <c r="GT139" i="119"/>
  <c r="GU139" i="119"/>
  <c r="GV139" i="119"/>
  <c r="GW139" i="119"/>
  <c r="GX139" i="119"/>
  <c r="GY139" i="119"/>
  <c r="GZ139" i="119"/>
  <c r="HA139" i="119"/>
  <c r="HB139" i="119"/>
  <c r="HC139" i="119"/>
  <c r="HD139" i="119"/>
  <c r="HE139" i="119"/>
  <c r="HF139" i="119"/>
  <c r="HG139" i="119"/>
  <c r="HH139" i="119"/>
  <c r="HI139" i="119"/>
  <c r="HJ139" i="119"/>
  <c r="HK139" i="119"/>
  <c r="HL139" i="119"/>
  <c r="FM140" i="119"/>
  <c r="FN140" i="119"/>
  <c r="FO140" i="119"/>
  <c r="FP140" i="119"/>
  <c r="FQ140" i="119"/>
  <c r="FR140" i="119"/>
  <c r="FS140" i="119"/>
  <c r="FT140" i="119"/>
  <c r="FU140" i="119"/>
  <c r="FV140" i="119"/>
  <c r="FW140" i="119"/>
  <c r="FX140" i="119"/>
  <c r="FY140" i="119"/>
  <c r="FZ140" i="119"/>
  <c r="GA140" i="119"/>
  <c r="GB140" i="119"/>
  <c r="GC140" i="119"/>
  <c r="GD140" i="119"/>
  <c r="GE140" i="119"/>
  <c r="GF140" i="119"/>
  <c r="GG140" i="119"/>
  <c r="GH140" i="119"/>
  <c r="GI140" i="119"/>
  <c r="GJ140" i="119"/>
  <c r="GK140" i="119"/>
  <c r="GL140" i="119"/>
  <c r="GM140" i="119"/>
  <c r="GN140" i="119"/>
  <c r="GO140" i="119"/>
  <c r="GP140" i="119"/>
  <c r="GQ140" i="119"/>
  <c r="GR140" i="119"/>
  <c r="GS140" i="119"/>
  <c r="GT140" i="119"/>
  <c r="GU140" i="119"/>
  <c r="GV140" i="119"/>
  <c r="GW140" i="119"/>
  <c r="GX140" i="119"/>
  <c r="GY140" i="119"/>
  <c r="GZ140" i="119"/>
  <c r="HA140" i="119"/>
  <c r="HB140" i="119"/>
  <c r="HC140" i="119"/>
  <c r="HD140" i="119"/>
  <c r="HE140" i="119"/>
  <c r="HF140" i="119"/>
  <c r="HG140" i="119"/>
  <c r="HH140" i="119"/>
  <c r="HI140" i="119"/>
  <c r="HJ140" i="119"/>
  <c r="HK140" i="119"/>
  <c r="HL140" i="119"/>
  <c r="FM141" i="119"/>
  <c r="FN141" i="119"/>
  <c r="FO141" i="119"/>
  <c r="FP141" i="119"/>
  <c r="FQ141" i="119"/>
  <c r="FR141" i="119"/>
  <c r="FS141" i="119"/>
  <c r="FT141" i="119"/>
  <c r="FU141" i="119"/>
  <c r="FV141" i="119"/>
  <c r="FW141" i="119"/>
  <c r="FX141" i="119"/>
  <c r="FY141" i="119"/>
  <c r="FZ141" i="119"/>
  <c r="GA141" i="119"/>
  <c r="GB141" i="119"/>
  <c r="GC141" i="119"/>
  <c r="GD141" i="119"/>
  <c r="GE141" i="119"/>
  <c r="GF141" i="119"/>
  <c r="GG141" i="119"/>
  <c r="GH141" i="119"/>
  <c r="GI141" i="119"/>
  <c r="GJ141" i="119"/>
  <c r="GK141" i="119"/>
  <c r="GL141" i="119"/>
  <c r="GM141" i="119"/>
  <c r="GN141" i="119"/>
  <c r="GO141" i="119"/>
  <c r="GP141" i="119"/>
  <c r="GQ141" i="119"/>
  <c r="GR141" i="119"/>
  <c r="GS141" i="119"/>
  <c r="GT141" i="119"/>
  <c r="GU141" i="119"/>
  <c r="GV141" i="119"/>
  <c r="GW141" i="119"/>
  <c r="GX141" i="119"/>
  <c r="GY141" i="119"/>
  <c r="GZ141" i="119"/>
  <c r="HA141" i="119"/>
  <c r="HB141" i="119"/>
  <c r="HC141" i="119"/>
  <c r="HD141" i="119"/>
  <c r="HE141" i="119"/>
  <c r="HF141" i="119"/>
  <c r="HG141" i="119"/>
  <c r="HH141" i="119"/>
  <c r="HI141" i="119"/>
  <c r="HJ141" i="119"/>
  <c r="HK141" i="119"/>
  <c r="HL141" i="119"/>
  <c r="FM142" i="119"/>
  <c r="FN142" i="119"/>
  <c r="FO142" i="119"/>
  <c r="FP142" i="119"/>
  <c r="FQ142" i="119"/>
  <c r="FR142" i="119"/>
  <c r="FS142" i="119"/>
  <c r="FT142" i="119"/>
  <c r="FU142" i="119"/>
  <c r="FV142" i="119"/>
  <c r="FW142" i="119"/>
  <c r="FX142" i="119"/>
  <c r="FY142" i="119"/>
  <c r="FZ142" i="119"/>
  <c r="GA142" i="119"/>
  <c r="GB142" i="119"/>
  <c r="GC142" i="119"/>
  <c r="GD142" i="119"/>
  <c r="GE142" i="119"/>
  <c r="GF142" i="119"/>
  <c r="GG142" i="119"/>
  <c r="GH142" i="119"/>
  <c r="GI142" i="119"/>
  <c r="GJ142" i="119"/>
  <c r="GK142" i="119"/>
  <c r="GL142" i="119"/>
  <c r="GM142" i="119"/>
  <c r="GN142" i="119"/>
  <c r="GO142" i="119"/>
  <c r="GP142" i="119"/>
  <c r="GQ142" i="119"/>
  <c r="GR142" i="119"/>
  <c r="GS142" i="119"/>
  <c r="GT142" i="119"/>
  <c r="GU142" i="119"/>
  <c r="GV142" i="119"/>
  <c r="GW142" i="119"/>
  <c r="GX142" i="119"/>
  <c r="GY142" i="119"/>
  <c r="GZ142" i="119"/>
  <c r="HA142" i="119"/>
  <c r="HB142" i="119"/>
  <c r="HC142" i="119"/>
  <c r="HD142" i="119"/>
  <c r="HE142" i="119"/>
  <c r="HF142" i="119"/>
  <c r="HG142" i="119"/>
  <c r="HH142" i="119"/>
  <c r="HI142" i="119"/>
  <c r="HJ142" i="119"/>
  <c r="HK142" i="119"/>
  <c r="HL142" i="119"/>
  <c r="FM143" i="119"/>
  <c r="FN143" i="119"/>
  <c r="FO143" i="119"/>
  <c r="FP143" i="119"/>
  <c r="FQ143" i="119"/>
  <c r="FR143" i="119"/>
  <c r="FS143" i="119"/>
  <c r="FT143" i="119"/>
  <c r="FU143" i="119"/>
  <c r="FV143" i="119"/>
  <c r="FW143" i="119"/>
  <c r="FX143" i="119"/>
  <c r="FY143" i="119"/>
  <c r="FZ143" i="119"/>
  <c r="GA143" i="119"/>
  <c r="GB143" i="119"/>
  <c r="GC143" i="119"/>
  <c r="GD143" i="119"/>
  <c r="GE143" i="119"/>
  <c r="GF143" i="119"/>
  <c r="GG143" i="119"/>
  <c r="GH143" i="119"/>
  <c r="GI143" i="119"/>
  <c r="GJ143" i="119"/>
  <c r="GK143" i="119"/>
  <c r="GL143" i="119"/>
  <c r="GM143" i="119"/>
  <c r="GN143" i="119"/>
  <c r="GO143" i="119"/>
  <c r="GP143" i="119"/>
  <c r="GQ143" i="119"/>
  <c r="GR143" i="119"/>
  <c r="GS143" i="119"/>
  <c r="GT143" i="119"/>
  <c r="GU143" i="119"/>
  <c r="GV143" i="119"/>
  <c r="GW143" i="119"/>
  <c r="GX143" i="119"/>
  <c r="GY143" i="119"/>
  <c r="GZ143" i="119"/>
  <c r="HA143" i="119"/>
  <c r="HB143" i="119"/>
  <c r="HC143" i="119"/>
  <c r="HD143" i="119"/>
  <c r="HE143" i="119"/>
  <c r="HF143" i="119"/>
  <c r="HG143" i="119"/>
  <c r="HH143" i="119"/>
  <c r="HI143" i="119"/>
  <c r="HJ143" i="119"/>
  <c r="HK143" i="119"/>
  <c r="HL143" i="119"/>
  <c r="FM144" i="119"/>
  <c r="FN144" i="119"/>
  <c r="FO144" i="119"/>
  <c r="FP144" i="119"/>
  <c r="FQ144" i="119"/>
  <c r="FR144" i="119"/>
  <c r="FS144" i="119"/>
  <c r="FT144" i="119"/>
  <c r="FU144" i="119"/>
  <c r="FV144" i="119"/>
  <c r="FW144" i="119"/>
  <c r="FX144" i="119"/>
  <c r="FY144" i="119"/>
  <c r="FZ144" i="119"/>
  <c r="GA144" i="119"/>
  <c r="GB144" i="119"/>
  <c r="GC144" i="119"/>
  <c r="GD144" i="119"/>
  <c r="GE144" i="119"/>
  <c r="GF144" i="119"/>
  <c r="GG144" i="119"/>
  <c r="GH144" i="119"/>
  <c r="GI144" i="119"/>
  <c r="GJ144" i="119"/>
  <c r="GK144" i="119"/>
  <c r="GL144" i="119"/>
  <c r="GM144" i="119"/>
  <c r="GN144" i="119"/>
  <c r="GO144" i="119"/>
  <c r="GP144" i="119"/>
  <c r="GQ144" i="119"/>
  <c r="GR144" i="119"/>
  <c r="GS144" i="119"/>
  <c r="GT144" i="119"/>
  <c r="GU144" i="119"/>
  <c r="GV144" i="119"/>
  <c r="GW144" i="119"/>
  <c r="GX144" i="119"/>
  <c r="GY144" i="119"/>
  <c r="GZ144" i="119"/>
  <c r="HA144" i="119"/>
  <c r="HB144" i="119"/>
  <c r="HC144" i="119"/>
  <c r="HD144" i="119"/>
  <c r="HE144" i="119"/>
  <c r="HF144" i="119"/>
  <c r="HG144" i="119"/>
  <c r="HH144" i="119"/>
  <c r="HI144" i="119"/>
  <c r="HJ144" i="119"/>
  <c r="HK144" i="119"/>
  <c r="HL144" i="119"/>
  <c r="FM145" i="119"/>
  <c r="FN145" i="119"/>
  <c r="FO145" i="119"/>
  <c r="FP145" i="119"/>
  <c r="FQ145" i="119"/>
  <c r="FR145" i="119"/>
  <c r="FS145" i="119"/>
  <c r="FT145" i="119"/>
  <c r="FU145" i="119"/>
  <c r="FV145" i="119"/>
  <c r="FW145" i="119"/>
  <c r="FX145" i="119"/>
  <c r="FY145" i="119"/>
  <c r="FZ145" i="119"/>
  <c r="GA145" i="119"/>
  <c r="GB145" i="119"/>
  <c r="GC145" i="119"/>
  <c r="GD145" i="119"/>
  <c r="GE145" i="119"/>
  <c r="GF145" i="119"/>
  <c r="GG145" i="119"/>
  <c r="GH145" i="119"/>
  <c r="GI145" i="119"/>
  <c r="GJ145" i="119"/>
  <c r="GK145" i="119"/>
  <c r="GL145" i="119"/>
  <c r="GM145" i="119"/>
  <c r="GN145" i="119"/>
  <c r="GO145" i="119"/>
  <c r="GP145" i="119"/>
  <c r="GQ145" i="119"/>
  <c r="GR145" i="119"/>
  <c r="GS145" i="119"/>
  <c r="GT145" i="119"/>
  <c r="GU145" i="119"/>
  <c r="GV145" i="119"/>
  <c r="GW145" i="119"/>
  <c r="GX145" i="119"/>
  <c r="GY145" i="119"/>
  <c r="GZ145" i="119"/>
  <c r="HA145" i="119"/>
  <c r="HB145" i="119"/>
  <c r="HC145" i="119"/>
  <c r="HD145" i="119"/>
  <c r="HE145" i="119"/>
  <c r="HF145" i="119"/>
  <c r="HG145" i="119"/>
  <c r="HH145" i="119"/>
  <c r="HI145" i="119"/>
  <c r="HJ145" i="119"/>
  <c r="HK145" i="119"/>
  <c r="HL145" i="119"/>
  <c r="FM146" i="119"/>
  <c r="FN146" i="119"/>
  <c r="FO146" i="119"/>
  <c r="FP146" i="119"/>
  <c r="FQ146" i="119"/>
  <c r="FR146" i="119"/>
  <c r="FS146" i="119"/>
  <c r="FT146" i="119"/>
  <c r="FU146" i="119"/>
  <c r="FV146" i="119"/>
  <c r="FW146" i="119"/>
  <c r="FX146" i="119"/>
  <c r="FY146" i="119"/>
  <c r="FZ146" i="119"/>
  <c r="GA146" i="119"/>
  <c r="GB146" i="119"/>
  <c r="GC146" i="119"/>
  <c r="GD146" i="119"/>
  <c r="GE146" i="119"/>
  <c r="GF146" i="119"/>
  <c r="GG146" i="119"/>
  <c r="GH146" i="119"/>
  <c r="GI146" i="119"/>
  <c r="GJ146" i="119"/>
  <c r="GK146" i="119"/>
  <c r="GL146" i="119"/>
  <c r="GM146" i="119"/>
  <c r="GN146" i="119"/>
  <c r="GO146" i="119"/>
  <c r="GP146" i="119"/>
  <c r="GQ146" i="119"/>
  <c r="GR146" i="119"/>
  <c r="GS146" i="119"/>
  <c r="GT146" i="119"/>
  <c r="GU146" i="119"/>
  <c r="GV146" i="119"/>
  <c r="GW146" i="119"/>
  <c r="GX146" i="119"/>
  <c r="GY146" i="119"/>
  <c r="GZ146" i="119"/>
  <c r="HA146" i="119"/>
  <c r="HB146" i="119"/>
  <c r="HC146" i="119"/>
  <c r="HD146" i="119"/>
  <c r="HE146" i="119"/>
  <c r="HF146" i="119"/>
  <c r="HG146" i="119"/>
  <c r="HH146" i="119"/>
  <c r="HI146" i="119"/>
  <c r="HJ146" i="119"/>
  <c r="HK146" i="119"/>
  <c r="HL146" i="119"/>
  <c r="FM147" i="119"/>
  <c r="FN147" i="119"/>
  <c r="FO147" i="119"/>
  <c r="FP147" i="119"/>
  <c r="FQ147" i="119"/>
  <c r="FR147" i="119"/>
  <c r="FS147" i="119"/>
  <c r="FT147" i="119"/>
  <c r="FU147" i="119"/>
  <c r="FV147" i="119"/>
  <c r="FW147" i="119"/>
  <c r="FX147" i="119"/>
  <c r="FY147" i="119"/>
  <c r="FZ147" i="119"/>
  <c r="GA147" i="119"/>
  <c r="GB147" i="119"/>
  <c r="GC147" i="119"/>
  <c r="GD147" i="119"/>
  <c r="GE147" i="119"/>
  <c r="GF147" i="119"/>
  <c r="GG147" i="119"/>
  <c r="GH147" i="119"/>
  <c r="GI147" i="119"/>
  <c r="GJ147" i="119"/>
  <c r="GK147" i="119"/>
  <c r="GL147" i="119"/>
  <c r="GM147" i="119"/>
  <c r="GN147" i="119"/>
  <c r="GO147" i="119"/>
  <c r="GP147" i="119"/>
  <c r="GQ147" i="119"/>
  <c r="GR147" i="119"/>
  <c r="GS147" i="119"/>
  <c r="GT147" i="119"/>
  <c r="GU147" i="119"/>
  <c r="GV147" i="119"/>
  <c r="GW147" i="119"/>
  <c r="GX147" i="119"/>
  <c r="GY147" i="119"/>
  <c r="GZ147" i="119"/>
  <c r="HA147" i="119"/>
  <c r="HB147" i="119"/>
  <c r="HC147" i="119"/>
  <c r="HD147" i="119"/>
  <c r="HE147" i="119"/>
  <c r="HF147" i="119"/>
  <c r="HG147" i="119"/>
  <c r="HH147" i="119"/>
  <c r="HI147" i="119"/>
  <c r="HJ147" i="119"/>
  <c r="HK147" i="119"/>
  <c r="HL147" i="119"/>
  <c r="FM148" i="119"/>
  <c r="FN148" i="119"/>
  <c r="FO148" i="119"/>
  <c r="FP148" i="119"/>
  <c r="FQ148" i="119"/>
  <c r="FR148" i="119"/>
  <c r="FS148" i="119"/>
  <c r="FT148" i="119"/>
  <c r="FU148" i="119"/>
  <c r="FV148" i="119"/>
  <c r="FW148" i="119"/>
  <c r="FX148" i="119"/>
  <c r="FY148" i="119"/>
  <c r="FZ148" i="119"/>
  <c r="GA148" i="119"/>
  <c r="GB148" i="119"/>
  <c r="GC148" i="119"/>
  <c r="GD148" i="119"/>
  <c r="GE148" i="119"/>
  <c r="GF148" i="119"/>
  <c r="GG148" i="119"/>
  <c r="GH148" i="119"/>
  <c r="GI148" i="119"/>
  <c r="GJ148" i="119"/>
  <c r="GK148" i="119"/>
  <c r="GL148" i="119"/>
  <c r="GM148" i="119"/>
  <c r="GN148" i="119"/>
  <c r="GO148" i="119"/>
  <c r="GP148" i="119"/>
  <c r="GQ148" i="119"/>
  <c r="GR148" i="119"/>
  <c r="GS148" i="119"/>
  <c r="GT148" i="119"/>
  <c r="GU148" i="119"/>
  <c r="GV148" i="119"/>
  <c r="GW148" i="119"/>
  <c r="GX148" i="119"/>
  <c r="GY148" i="119"/>
  <c r="GZ148" i="119"/>
  <c r="HA148" i="119"/>
  <c r="HB148" i="119"/>
  <c r="HC148" i="119"/>
  <c r="HD148" i="119"/>
  <c r="HE148" i="119"/>
  <c r="HF148" i="119"/>
  <c r="HG148" i="119"/>
  <c r="HH148" i="119"/>
  <c r="HI148" i="119"/>
  <c r="HJ148" i="119"/>
  <c r="HK148" i="119"/>
  <c r="HL148" i="119"/>
  <c r="FM149" i="119"/>
  <c r="FN149" i="119"/>
  <c r="FO149" i="119"/>
  <c r="FP149" i="119"/>
  <c r="FQ149" i="119"/>
  <c r="FR149" i="119"/>
  <c r="FS149" i="119"/>
  <c r="FT149" i="119"/>
  <c r="FU149" i="119"/>
  <c r="FV149" i="119"/>
  <c r="FW149" i="119"/>
  <c r="FX149" i="119"/>
  <c r="FY149" i="119"/>
  <c r="FZ149" i="119"/>
  <c r="GA149" i="119"/>
  <c r="GB149" i="119"/>
  <c r="GC149" i="119"/>
  <c r="GD149" i="119"/>
  <c r="GE149" i="119"/>
  <c r="GF149" i="119"/>
  <c r="GG149" i="119"/>
  <c r="GH149" i="119"/>
  <c r="GI149" i="119"/>
  <c r="GJ149" i="119"/>
  <c r="GK149" i="119"/>
  <c r="GL149" i="119"/>
  <c r="GM149" i="119"/>
  <c r="GN149" i="119"/>
  <c r="GO149" i="119"/>
  <c r="GP149" i="119"/>
  <c r="GQ149" i="119"/>
  <c r="GR149" i="119"/>
  <c r="GS149" i="119"/>
  <c r="GT149" i="119"/>
  <c r="GU149" i="119"/>
  <c r="GV149" i="119"/>
  <c r="GW149" i="119"/>
  <c r="GX149" i="119"/>
  <c r="GY149" i="119"/>
  <c r="GZ149" i="119"/>
  <c r="HA149" i="119"/>
  <c r="HB149" i="119"/>
  <c r="HC149" i="119"/>
  <c r="HD149" i="119"/>
  <c r="HE149" i="119"/>
  <c r="HF149" i="119"/>
  <c r="HG149" i="119"/>
  <c r="HH149" i="119"/>
  <c r="HI149" i="119"/>
  <c r="HJ149" i="119"/>
  <c r="HK149" i="119"/>
  <c r="HL149" i="119"/>
  <c r="FM150" i="119"/>
  <c r="FN150" i="119"/>
  <c r="FO150" i="119"/>
  <c r="FP150" i="119"/>
  <c r="FQ150" i="119"/>
  <c r="FR150" i="119"/>
  <c r="FS150" i="119"/>
  <c r="FT150" i="119"/>
  <c r="FU150" i="119"/>
  <c r="FV150" i="119"/>
  <c r="FW150" i="119"/>
  <c r="FX150" i="119"/>
  <c r="FY150" i="119"/>
  <c r="FZ150" i="119"/>
  <c r="GA150" i="119"/>
  <c r="GB150" i="119"/>
  <c r="GC150" i="119"/>
  <c r="GD150" i="119"/>
  <c r="GE150" i="119"/>
  <c r="GF150" i="119"/>
  <c r="GG150" i="119"/>
  <c r="GH150" i="119"/>
  <c r="GI150" i="119"/>
  <c r="GJ150" i="119"/>
  <c r="GK150" i="119"/>
  <c r="GL150" i="119"/>
  <c r="GM150" i="119"/>
  <c r="GN150" i="119"/>
  <c r="GO150" i="119"/>
  <c r="GP150" i="119"/>
  <c r="GQ150" i="119"/>
  <c r="GR150" i="119"/>
  <c r="GS150" i="119"/>
  <c r="GT150" i="119"/>
  <c r="GU150" i="119"/>
  <c r="GV150" i="119"/>
  <c r="GW150" i="119"/>
  <c r="GX150" i="119"/>
  <c r="GY150" i="119"/>
  <c r="GZ150" i="119"/>
  <c r="HA150" i="119"/>
  <c r="HB150" i="119"/>
  <c r="HC150" i="119"/>
  <c r="HD150" i="119"/>
  <c r="HE150" i="119"/>
  <c r="HF150" i="119"/>
  <c r="HG150" i="119"/>
  <c r="HH150" i="119"/>
  <c r="HI150" i="119"/>
  <c r="HJ150" i="119"/>
  <c r="HK150" i="119"/>
  <c r="HL150" i="119"/>
  <c r="FM151" i="119"/>
  <c r="FN151" i="119"/>
  <c r="FO151" i="119"/>
  <c r="FP151" i="119"/>
  <c r="FQ151" i="119"/>
  <c r="FR151" i="119"/>
  <c r="FS151" i="119"/>
  <c r="FT151" i="119"/>
  <c r="FU151" i="119"/>
  <c r="FV151" i="119"/>
  <c r="FW151" i="119"/>
  <c r="FX151" i="119"/>
  <c r="FY151" i="119"/>
  <c r="FZ151" i="119"/>
  <c r="GA151" i="119"/>
  <c r="GB151" i="119"/>
  <c r="GC151" i="119"/>
  <c r="GD151" i="119"/>
  <c r="GE151" i="119"/>
  <c r="GF151" i="119"/>
  <c r="GG151" i="119"/>
  <c r="GH151" i="119"/>
  <c r="GI151" i="119"/>
  <c r="GJ151" i="119"/>
  <c r="GK151" i="119"/>
  <c r="GL151" i="119"/>
  <c r="GM151" i="119"/>
  <c r="GN151" i="119"/>
  <c r="GO151" i="119"/>
  <c r="GP151" i="119"/>
  <c r="GQ151" i="119"/>
  <c r="GR151" i="119"/>
  <c r="GS151" i="119"/>
  <c r="GT151" i="119"/>
  <c r="GU151" i="119"/>
  <c r="GV151" i="119"/>
  <c r="GW151" i="119"/>
  <c r="GX151" i="119"/>
  <c r="GY151" i="119"/>
  <c r="GZ151" i="119"/>
  <c r="HA151" i="119"/>
  <c r="HB151" i="119"/>
  <c r="HC151" i="119"/>
  <c r="HD151" i="119"/>
  <c r="HE151" i="119"/>
  <c r="HF151" i="119"/>
  <c r="HG151" i="119"/>
  <c r="HH151" i="119"/>
  <c r="HI151" i="119"/>
  <c r="HJ151" i="119"/>
  <c r="HK151" i="119"/>
  <c r="HL151" i="119"/>
  <c r="FM152" i="119"/>
  <c r="FN152" i="119"/>
  <c r="FO152" i="119"/>
  <c r="FP152" i="119"/>
  <c r="FQ152" i="119"/>
  <c r="FR152" i="119"/>
  <c r="FS152" i="119"/>
  <c r="FT152" i="119"/>
  <c r="FU152" i="119"/>
  <c r="FV152" i="119"/>
  <c r="FW152" i="119"/>
  <c r="FX152" i="119"/>
  <c r="FY152" i="119"/>
  <c r="FZ152" i="119"/>
  <c r="GA152" i="119"/>
  <c r="GB152" i="119"/>
  <c r="GC152" i="119"/>
  <c r="GD152" i="119"/>
  <c r="GE152" i="119"/>
  <c r="GF152" i="119"/>
  <c r="GG152" i="119"/>
  <c r="GH152" i="119"/>
  <c r="GI152" i="119"/>
  <c r="GJ152" i="119"/>
  <c r="GK152" i="119"/>
  <c r="GL152" i="119"/>
  <c r="GM152" i="119"/>
  <c r="GN152" i="119"/>
  <c r="GO152" i="119"/>
  <c r="GP152" i="119"/>
  <c r="GQ152" i="119"/>
  <c r="GR152" i="119"/>
  <c r="GS152" i="119"/>
  <c r="GT152" i="119"/>
  <c r="GU152" i="119"/>
  <c r="GV152" i="119"/>
  <c r="GW152" i="119"/>
  <c r="GX152" i="119"/>
  <c r="GY152" i="119"/>
  <c r="GZ152" i="119"/>
  <c r="HA152" i="119"/>
  <c r="HB152" i="119"/>
  <c r="HC152" i="119"/>
  <c r="HD152" i="119"/>
  <c r="HE152" i="119"/>
  <c r="HF152" i="119"/>
  <c r="HG152" i="119"/>
  <c r="HH152" i="119"/>
  <c r="HI152" i="119"/>
  <c r="HJ152" i="119"/>
  <c r="HK152" i="119"/>
  <c r="HL152" i="119"/>
  <c r="FM153" i="119"/>
  <c r="FN153" i="119"/>
  <c r="FO153" i="119"/>
  <c r="FP153" i="119"/>
  <c r="FQ153" i="119"/>
  <c r="FR153" i="119"/>
  <c r="FS153" i="119"/>
  <c r="FT153" i="119"/>
  <c r="FU153" i="119"/>
  <c r="FV153" i="119"/>
  <c r="FW153" i="119"/>
  <c r="FX153" i="119"/>
  <c r="FY153" i="119"/>
  <c r="FZ153" i="119"/>
  <c r="GA153" i="119"/>
  <c r="GB153" i="119"/>
  <c r="GC153" i="119"/>
  <c r="GD153" i="119"/>
  <c r="GE153" i="119"/>
  <c r="GF153" i="119"/>
  <c r="GG153" i="119"/>
  <c r="GH153" i="119"/>
  <c r="GI153" i="119"/>
  <c r="GJ153" i="119"/>
  <c r="GK153" i="119"/>
  <c r="GL153" i="119"/>
  <c r="GM153" i="119"/>
  <c r="GN153" i="119"/>
  <c r="GO153" i="119"/>
  <c r="GP153" i="119"/>
  <c r="GQ153" i="119"/>
  <c r="GR153" i="119"/>
  <c r="GS153" i="119"/>
  <c r="GT153" i="119"/>
  <c r="GU153" i="119"/>
  <c r="GV153" i="119"/>
  <c r="GW153" i="119"/>
  <c r="GX153" i="119"/>
  <c r="GY153" i="119"/>
  <c r="GZ153" i="119"/>
  <c r="HA153" i="119"/>
  <c r="HB153" i="119"/>
  <c r="HC153" i="119"/>
  <c r="HD153" i="119"/>
  <c r="HE153" i="119"/>
  <c r="HF153" i="119"/>
  <c r="HG153" i="119"/>
  <c r="HH153" i="119"/>
  <c r="HI153" i="119"/>
  <c r="HJ153" i="119"/>
  <c r="HK153" i="119"/>
  <c r="HL153" i="119"/>
  <c r="FM154" i="119"/>
  <c r="FN154" i="119"/>
  <c r="FO154" i="119"/>
  <c r="FP154" i="119"/>
  <c r="FQ154" i="119"/>
  <c r="FR154" i="119"/>
  <c r="FS154" i="119"/>
  <c r="FT154" i="119"/>
  <c r="FU154" i="119"/>
  <c r="FV154" i="119"/>
  <c r="FW154" i="119"/>
  <c r="FX154" i="119"/>
  <c r="FY154" i="119"/>
  <c r="FZ154" i="119"/>
  <c r="GA154" i="119"/>
  <c r="GB154" i="119"/>
  <c r="GC154" i="119"/>
  <c r="GD154" i="119"/>
  <c r="GE154" i="119"/>
  <c r="GF154" i="119"/>
  <c r="GG154" i="119"/>
  <c r="GH154" i="119"/>
  <c r="GI154" i="119"/>
  <c r="GJ154" i="119"/>
  <c r="GK154" i="119"/>
  <c r="GL154" i="119"/>
  <c r="GM154" i="119"/>
  <c r="GN154" i="119"/>
  <c r="GO154" i="119"/>
  <c r="GP154" i="119"/>
  <c r="GQ154" i="119"/>
  <c r="GR154" i="119"/>
  <c r="GS154" i="119"/>
  <c r="GT154" i="119"/>
  <c r="GU154" i="119"/>
  <c r="GV154" i="119"/>
  <c r="GW154" i="119"/>
  <c r="GX154" i="119"/>
  <c r="GY154" i="119"/>
  <c r="GZ154" i="119"/>
  <c r="HA154" i="119"/>
  <c r="HB154" i="119"/>
  <c r="HC154" i="119"/>
  <c r="HD154" i="119"/>
  <c r="HE154" i="119"/>
  <c r="HF154" i="119"/>
  <c r="HG154" i="119"/>
  <c r="HH154" i="119"/>
  <c r="HI154" i="119"/>
  <c r="HJ154" i="119"/>
  <c r="HK154" i="119"/>
  <c r="HL154" i="119"/>
  <c r="FM155" i="119"/>
  <c r="FN155" i="119"/>
  <c r="FO155" i="119"/>
  <c r="FP155" i="119"/>
  <c r="FQ155" i="119"/>
  <c r="FR155" i="119"/>
  <c r="FS155" i="119"/>
  <c r="FT155" i="119"/>
  <c r="FU155" i="119"/>
  <c r="FV155" i="119"/>
  <c r="FW155" i="119"/>
  <c r="FX155" i="119"/>
  <c r="FY155" i="119"/>
  <c r="FZ155" i="119"/>
  <c r="GA155" i="119"/>
  <c r="GB155" i="119"/>
  <c r="GC155" i="119"/>
  <c r="GD155" i="119"/>
  <c r="GE155" i="119"/>
  <c r="GF155" i="119"/>
  <c r="GG155" i="119"/>
  <c r="GH155" i="119"/>
  <c r="GI155" i="119"/>
  <c r="GJ155" i="119"/>
  <c r="GK155" i="119"/>
  <c r="GL155" i="119"/>
  <c r="GM155" i="119"/>
  <c r="GN155" i="119"/>
  <c r="GO155" i="119"/>
  <c r="GP155" i="119"/>
  <c r="GQ155" i="119"/>
  <c r="GR155" i="119"/>
  <c r="GS155" i="119"/>
  <c r="GT155" i="119"/>
  <c r="GU155" i="119"/>
  <c r="GV155" i="119"/>
  <c r="GW155" i="119"/>
  <c r="GX155" i="119"/>
  <c r="GY155" i="119"/>
  <c r="GZ155" i="119"/>
  <c r="HA155" i="119"/>
  <c r="HB155" i="119"/>
  <c r="HC155" i="119"/>
  <c r="HD155" i="119"/>
  <c r="HE155" i="119"/>
  <c r="HF155" i="119"/>
  <c r="HG155" i="119"/>
  <c r="HH155" i="119"/>
  <c r="HI155" i="119"/>
  <c r="HJ155" i="119"/>
  <c r="HK155" i="119"/>
  <c r="HL155" i="119"/>
  <c r="FM156" i="119"/>
  <c r="FN156" i="119"/>
  <c r="FO156" i="119"/>
  <c r="FP156" i="119"/>
  <c r="FQ156" i="119"/>
  <c r="FR156" i="119"/>
  <c r="FS156" i="119"/>
  <c r="FT156" i="119"/>
  <c r="FU156" i="119"/>
  <c r="FV156" i="119"/>
  <c r="FW156" i="119"/>
  <c r="FX156" i="119"/>
  <c r="FY156" i="119"/>
  <c r="FZ156" i="119"/>
  <c r="GA156" i="119"/>
  <c r="GB156" i="119"/>
  <c r="GC156" i="119"/>
  <c r="GD156" i="119"/>
  <c r="GE156" i="119"/>
  <c r="GF156" i="119"/>
  <c r="GG156" i="119"/>
  <c r="GH156" i="119"/>
  <c r="GI156" i="119"/>
  <c r="GJ156" i="119"/>
  <c r="GK156" i="119"/>
  <c r="GL156" i="119"/>
  <c r="GM156" i="119"/>
  <c r="GN156" i="119"/>
  <c r="GO156" i="119"/>
  <c r="GP156" i="119"/>
  <c r="GQ156" i="119"/>
  <c r="GR156" i="119"/>
  <c r="GS156" i="119"/>
  <c r="GT156" i="119"/>
  <c r="GU156" i="119"/>
  <c r="GV156" i="119"/>
  <c r="GW156" i="119"/>
  <c r="GX156" i="119"/>
  <c r="GY156" i="119"/>
  <c r="GZ156" i="119"/>
  <c r="HA156" i="119"/>
  <c r="HB156" i="119"/>
  <c r="HC156" i="119"/>
  <c r="HD156" i="119"/>
  <c r="HE156" i="119"/>
  <c r="HF156" i="119"/>
  <c r="HG156" i="119"/>
  <c r="HH156" i="119"/>
  <c r="HI156" i="119"/>
  <c r="HJ156" i="119"/>
  <c r="HK156" i="119"/>
  <c r="HL156" i="119"/>
  <c r="DJ23" i="119"/>
  <c r="BI23" i="119"/>
  <c r="DJ12" i="119"/>
  <c r="BI12" i="119"/>
  <c r="HM80" i="119" l="1"/>
  <c r="JE80" i="119" s="1"/>
  <c r="LG80" i="119" s="1"/>
  <c r="HM104" i="119"/>
  <c r="HP104" i="119" s="1"/>
  <c r="JR104" i="119" s="1"/>
  <c r="HM99" i="119"/>
  <c r="IQ99" i="119" s="1"/>
  <c r="KS99" i="119" s="1"/>
  <c r="HM26" i="119"/>
  <c r="JK26" i="119" s="1"/>
  <c r="LM26" i="119" s="1"/>
  <c r="HM90" i="119"/>
  <c r="IP90" i="119" s="1"/>
  <c r="KR90" i="119" s="1"/>
  <c r="HM42" i="119"/>
  <c r="HM34" i="119"/>
  <c r="HO34" i="119" s="1"/>
  <c r="JQ34" i="119" s="1"/>
  <c r="HM144" i="119"/>
  <c r="HZ144" i="119" s="1"/>
  <c r="KB144" i="119" s="1"/>
  <c r="HM91" i="119"/>
  <c r="JI91" i="119" s="1"/>
  <c r="LK91" i="119" s="1"/>
  <c r="HM72" i="119"/>
  <c r="IP72" i="119" s="1"/>
  <c r="KR72" i="119" s="1"/>
  <c r="HM75" i="119"/>
  <c r="JC75" i="119" s="1"/>
  <c r="LE75" i="119" s="1"/>
  <c r="HM54" i="119"/>
  <c r="JH54" i="119" s="1"/>
  <c r="LJ54" i="119" s="1"/>
  <c r="HM50" i="119"/>
  <c r="HP50" i="119" s="1"/>
  <c r="JR50" i="119" s="1"/>
  <c r="HM152" i="119"/>
  <c r="JI152" i="119" s="1"/>
  <c r="LK152" i="119" s="1"/>
  <c r="HM143" i="119"/>
  <c r="IW143" i="119" s="1"/>
  <c r="KY143" i="119" s="1"/>
  <c r="HM107" i="119"/>
  <c r="JA107" i="119" s="1"/>
  <c r="LC107" i="119" s="1"/>
  <c r="HM38" i="119"/>
  <c r="HM53" i="119"/>
  <c r="IB53" i="119" s="1"/>
  <c r="KD53" i="119" s="1"/>
  <c r="HM65" i="119"/>
  <c r="JA65" i="119" s="1"/>
  <c r="LC65" i="119" s="1"/>
  <c r="HM37" i="119"/>
  <c r="HM25" i="119"/>
  <c r="JL25" i="119" s="1"/>
  <c r="LN25" i="119" s="1"/>
  <c r="HM21" i="119"/>
  <c r="IT21" i="119" s="1"/>
  <c r="KV21" i="119" s="1"/>
  <c r="HM17" i="119"/>
  <c r="IJ17" i="119" s="1"/>
  <c r="KL17" i="119" s="1"/>
  <c r="HM51" i="119"/>
  <c r="HM43" i="119"/>
  <c r="HM115" i="119"/>
  <c r="IN115" i="119" s="1"/>
  <c r="KP115" i="119" s="1"/>
  <c r="HM20" i="119"/>
  <c r="HR20" i="119" s="1"/>
  <c r="JT20" i="119" s="1"/>
  <c r="HM47" i="119"/>
  <c r="HM24" i="119"/>
  <c r="IN24" i="119" s="1"/>
  <c r="KP24" i="119" s="1"/>
  <c r="HM23" i="119"/>
  <c r="JH23" i="119" s="1"/>
  <c r="LJ23" i="119" s="1"/>
  <c r="HM137" i="119"/>
  <c r="HQ137" i="119" s="1"/>
  <c r="JS137" i="119" s="1"/>
  <c r="HM101" i="119"/>
  <c r="JM101" i="119" s="1"/>
  <c r="LO101" i="119" s="1"/>
  <c r="HM96" i="119"/>
  <c r="JB96" i="119" s="1"/>
  <c r="LD96" i="119" s="1"/>
  <c r="HM58" i="119"/>
  <c r="HP58" i="119" s="1"/>
  <c r="JR58" i="119" s="1"/>
  <c r="HM11" i="119"/>
  <c r="JJ11" i="119" s="1"/>
  <c r="LL11" i="119" s="1"/>
  <c r="HM154" i="119"/>
  <c r="HM103" i="119"/>
  <c r="HM136" i="119"/>
  <c r="HM59" i="119"/>
  <c r="HM46" i="119"/>
  <c r="JC34" i="119"/>
  <c r="LE34" i="119" s="1"/>
  <c r="HM156" i="119"/>
  <c r="HM151" i="119"/>
  <c r="HM127" i="119"/>
  <c r="HM79" i="119"/>
  <c r="HX79" i="119" s="1"/>
  <c r="JZ79" i="119" s="1"/>
  <c r="HM71" i="119"/>
  <c r="HM122" i="119"/>
  <c r="HM126" i="119"/>
  <c r="HM94" i="119"/>
  <c r="HM124" i="119"/>
  <c r="HM123" i="119"/>
  <c r="HM119" i="119"/>
  <c r="HM138" i="119"/>
  <c r="HM134" i="119"/>
  <c r="HM130" i="119"/>
  <c r="HM61" i="119"/>
  <c r="HM48" i="119"/>
  <c r="IK48" i="119" s="1"/>
  <c r="KM48" i="119" s="1"/>
  <c r="HM45" i="119"/>
  <c r="IZ45" i="119" s="1"/>
  <c r="LB45" i="119" s="1"/>
  <c r="HM114" i="119"/>
  <c r="HM76" i="119"/>
  <c r="HM64" i="119"/>
  <c r="HM147" i="119"/>
  <c r="HM121" i="119"/>
  <c r="HM106" i="119"/>
  <c r="JH106" i="119" s="1"/>
  <c r="LJ106" i="119" s="1"/>
  <c r="HM95" i="119"/>
  <c r="HM148" i="119"/>
  <c r="HM128" i="119"/>
  <c r="JA128" i="119" s="1"/>
  <c r="LC128" i="119" s="1"/>
  <c r="HM111" i="119"/>
  <c r="HM87" i="119"/>
  <c r="HM83" i="119"/>
  <c r="HM67" i="119"/>
  <c r="HM139" i="119"/>
  <c r="HM112" i="119"/>
  <c r="HM88" i="119"/>
  <c r="HM68" i="119"/>
  <c r="HM155" i="119"/>
  <c r="HM140" i="119"/>
  <c r="HM120" i="119"/>
  <c r="HM86" i="119"/>
  <c r="HM93" i="119"/>
  <c r="HM74" i="119"/>
  <c r="HM135" i="119"/>
  <c r="HM116" i="119"/>
  <c r="HM97" i="119"/>
  <c r="JM97" i="119" s="1"/>
  <c r="LO97" i="119" s="1"/>
  <c r="HM85" i="119"/>
  <c r="HM56" i="119"/>
  <c r="HM131" i="119"/>
  <c r="HM70" i="119"/>
  <c r="HM133" i="119"/>
  <c r="HM108" i="119"/>
  <c r="HM57" i="119"/>
  <c r="HM30" i="119"/>
  <c r="HO30" i="119" s="1"/>
  <c r="JQ30" i="119" s="1"/>
  <c r="HM18" i="119"/>
  <c r="JG18" i="119" s="1"/>
  <c r="LI18" i="119" s="1"/>
  <c r="HM22" i="119"/>
  <c r="IM22" i="119" s="1"/>
  <c r="KO22" i="119" s="1"/>
  <c r="HM14" i="119"/>
  <c r="IU14" i="119" s="1"/>
  <c r="KW14" i="119" s="1"/>
  <c r="HM32" i="119"/>
  <c r="IK32" i="119" s="1"/>
  <c r="KM32" i="119" s="1"/>
  <c r="HM29" i="119"/>
  <c r="HT29" i="119" s="1"/>
  <c r="JV29" i="119" s="1"/>
  <c r="HM129" i="119"/>
  <c r="JM129" i="119" s="1"/>
  <c r="LO129" i="119" s="1"/>
  <c r="HM125" i="119"/>
  <c r="HM89" i="119"/>
  <c r="HM82" i="119"/>
  <c r="HM49" i="119"/>
  <c r="HM41" i="119"/>
  <c r="HM16" i="119"/>
  <c r="HM13" i="119"/>
  <c r="IJ13" i="119" s="1"/>
  <c r="KL13" i="119" s="1"/>
  <c r="HM118" i="119"/>
  <c r="HM100" i="119"/>
  <c r="HM60" i="119"/>
  <c r="HM33" i="119"/>
  <c r="HS17" i="119"/>
  <c r="JU17" i="119" s="1"/>
  <c r="HM150" i="119"/>
  <c r="HM132" i="119"/>
  <c r="HM78" i="119"/>
  <c r="JH78" i="119" s="1"/>
  <c r="LJ78" i="119" s="1"/>
  <c r="HM153" i="119"/>
  <c r="HM117" i="119"/>
  <c r="HM92" i="119"/>
  <c r="HM52" i="119"/>
  <c r="HM44" i="119"/>
  <c r="HM35" i="119"/>
  <c r="HM27" i="119"/>
  <c r="IT27" i="119" s="1"/>
  <c r="KV27" i="119" s="1"/>
  <c r="HM146" i="119"/>
  <c r="HM110" i="119"/>
  <c r="HM81" i="119"/>
  <c r="HM77" i="119"/>
  <c r="HM63" i="119"/>
  <c r="HM36" i="119"/>
  <c r="HM28" i="119"/>
  <c r="JE28" i="119" s="1"/>
  <c r="LG28" i="119" s="1"/>
  <c r="HM19" i="119"/>
  <c r="JB19" i="119" s="1"/>
  <c r="LD19" i="119" s="1"/>
  <c r="HM12" i="119"/>
  <c r="HY12" i="119" s="1"/>
  <c r="KA12" i="119" s="1"/>
  <c r="HM142" i="119"/>
  <c r="HM113" i="119"/>
  <c r="HM109" i="119"/>
  <c r="HM73" i="119"/>
  <c r="HM66" i="119"/>
  <c r="HM40" i="119"/>
  <c r="HM149" i="119"/>
  <c r="HM145" i="119"/>
  <c r="HM102" i="119"/>
  <c r="JI102" i="119" s="1"/>
  <c r="LK102" i="119" s="1"/>
  <c r="HM84" i="119"/>
  <c r="HM55" i="119"/>
  <c r="JD55" i="119" s="1"/>
  <c r="LF55" i="119" s="1"/>
  <c r="HM141" i="119"/>
  <c r="HM105" i="119"/>
  <c r="HM98" i="119"/>
  <c r="HM69" i="119"/>
  <c r="HM62" i="119"/>
  <c r="IB62" i="119" s="1"/>
  <c r="KD62" i="119" s="1"/>
  <c r="HM39" i="119"/>
  <c r="HR39" i="119" s="1"/>
  <c r="JT39" i="119" s="1"/>
  <c r="HM31" i="119"/>
  <c r="IP31" i="119" s="1"/>
  <c r="KR31" i="119" s="1"/>
  <c r="IE26" i="119"/>
  <c r="KG26" i="119" s="1"/>
  <c r="HM15" i="119"/>
  <c r="LU42" i="119"/>
  <c r="FK42" i="119"/>
  <c r="DJ42" i="119"/>
  <c r="BI42" i="119"/>
  <c r="FK37" i="119"/>
  <c r="FK50" i="119"/>
  <c r="FK59" i="119"/>
  <c r="DJ75" i="119"/>
  <c r="DJ74" i="119"/>
  <c r="IU26" i="119" l="1"/>
  <c r="KW26" i="119" s="1"/>
  <c r="IA80" i="119"/>
  <c r="KC80" i="119" s="1"/>
  <c r="JK80" i="119"/>
  <c r="LM80" i="119" s="1"/>
  <c r="IE24" i="119"/>
  <c r="KG24" i="119" s="1"/>
  <c r="HO24" i="119"/>
  <c r="JQ24" i="119" s="1"/>
  <c r="IB24" i="119"/>
  <c r="KD24" i="119" s="1"/>
  <c r="IA24" i="119"/>
  <c r="KC24" i="119" s="1"/>
  <c r="II17" i="119"/>
  <c r="KK17" i="119" s="1"/>
  <c r="IL53" i="119"/>
  <c r="KN53" i="119" s="1"/>
  <c r="IV104" i="119"/>
  <c r="KX104" i="119" s="1"/>
  <c r="IR24" i="119"/>
  <c r="KT24" i="119" s="1"/>
  <c r="JL53" i="119"/>
  <c r="LN53" i="119" s="1"/>
  <c r="JL104" i="119"/>
  <c r="LN104" i="119" s="1"/>
  <c r="JG80" i="119"/>
  <c r="LI80" i="119" s="1"/>
  <c r="IF104" i="119"/>
  <c r="KH104" i="119" s="1"/>
  <c r="JF24" i="119"/>
  <c r="LH24" i="119" s="1"/>
  <c r="IQ80" i="119"/>
  <c r="KS80" i="119" s="1"/>
  <c r="IY24" i="119"/>
  <c r="LA24" i="119" s="1"/>
  <c r="IC80" i="119"/>
  <c r="KE80" i="119" s="1"/>
  <c r="IB80" i="119"/>
  <c r="KD80" i="119" s="1"/>
  <c r="JN24" i="119"/>
  <c r="LP24" i="119" s="1"/>
  <c r="JC53" i="119"/>
  <c r="LE53" i="119" s="1"/>
  <c r="HZ80" i="119"/>
  <c r="KB80" i="119" s="1"/>
  <c r="IO80" i="119"/>
  <c r="KQ80" i="119" s="1"/>
  <c r="HO80" i="119"/>
  <c r="JQ80" i="119" s="1"/>
  <c r="IP104" i="119"/>
  <c r="KR104" i="119" s="1"/>
  <c r="IV80" i="119"/>
  <c r="KX80" i="119" s="1"/>
  <c r="HQ80" i="119"/>
  <c r="JS80" i="119" s="1"/>
  <c r="JC21" i="119"/>
  <c r="LE21" i="119" s="1"/>
  <c r="JI80" i="119"/>
  <c r="LK80" i="119" s="1"/>
  <c r="IM80" i="119"/>
  <c r="KO80" i="119" s="1"/>
  <c r="JC80" i="119"/>
  <c r="LE80" i="119" s="1"/>
  <c r="JL80" i="119"/>
  <c r="LN80" i="119" s="1"/>
  <c r="IZ21" i="119"/>
  <c r="LB21" i="119" s="1"/>
  <c r="HR80" i="119"/>
  <c r="JT80" i="119" s="1"/>
  <c r="JH80" i="119"/>
  <c r="LJ80" i="119" s="1"/>
  <c r="IY91" i="119"/>
  <c r="LA91" i="119" s="1"/>
  <c r="JD80" i="119"/>
  <c r="LF80" i="119" s="1"/>
  <c r="HS80" i="119"/>
  <c r="JU80" i="119" s="1"/>
  <c r="IL80" i="119"/>
  <c r="KN80" i="119" s="1"/>
  <c r="IJ53" i="119"/>
  <c r="KL53" i="119" s="1"/>
  <c r="HZ104" i="119"/>
  <c r="KB104" i="119" s="1"/>
  <c r="IP34" i="119"/>
  <c r="KR34" i="119" s="1"/>
  <c r="IC104" i="119"/>
  <c r="KE104" i="119" s="1"/>
  <c r="JD34" i="119"/>
  <c r="LF34" i="119" s="1"/>
  <c r="IS104" i="119"/>
  <c r="KU104" i="119" s="1"/>
  <c r="JB21" i="119"/>
  <c r="LD21" i="119" s="1"/>
  <c r="HO14" i="119"/>
  <c r="JQ14" i="119" s="1"/>
  <c r="JH143" i="119"/>
  <c r="LJ143" i="119" s="1"/>
  <c r="IN143" i="119"/>
  <c r="KP143" i="119" s="1"/>
  <c r="JD143" i="119"/>
  <c r="LF143" i="119" s="1"/>
  <c r="HQ143" i="119"/>
  <c r="JS143" i="119" s="1"/>
  <c r="HT107" i="119"/>
  <c r="JV107" i="119" s="1"/>
  <c r="IH24" i="119"/>
  <c r="KJ24" i="119" s="1"/>
  <c r="JM80" i="119"/>
  <c r="LO80" i="119" s="1"/>
  <c r="HR24" i="119"/>
  <c r="JT24" i="119" s="1"/>
  <c r="IA143" i="119"/>
  <c r="KC143" i="119" s="1"/>
  <c r="IF80" i="119"/>
  <c r="KH80" i="119" s="1"/>
  <c r="IS80" i="119"/>
  <c r="KU80" i="119" s="1"/>
  <c r="IF50" i="119"/>
  <c r="KH50" i="119" s="1"/>
  <c r="IQ143" i="119"/>
  <c r="KS143" i="119" s="1"/>
  <c r="JB80" i="119"/>
  <c r="LD80" i="119" s="1"/>
  <c r="IU80" i="119"/>
  <c r="KW80" i="119" s="1"/>
  <c r="HP53" i="119"/>
  <c r="JR53" i="119" s="1"/>
  <c r="JB50" i="119"/>
  <c r="LD50" i="119" s="1"/>
  <c r="HY80" i="119"/>
  <c r="KA80" i="119" s="1"/>
  <c r="IR80" i="119"/>
  <c r="KT80" i="119" s="1"/>
  <c r="IY50" i="119"/>
  <c r="LA50" i="119" s="1"/>
  <c r="IP80" i="119"/>
  <c r="KR80" i="119" s="1"/>
  <c r="ID143" i="119"/>
  <c r="KF143" i="119" s="1"/>
  <c r="IT50" i="119"/>
  <c r="KV50" i="119" s="1"/>
  <c r="IN80" i="119"/>
  <c r="KP80" i="119" s="1"/>
  <c r="HS50" i="119"/>
  <c r="JU50" i="119" s="1"/>
  <c r="IR23" i="119"/>
  <c r="KT23" i="119" s="1"/>
  <c r="HT50" i="119"/>
  <c r="JV50" i="119" s="1"/>
  <c r="IR143" i="119"/>
  <c r="KT143" i="119" s="1"/>
  <c r="JK17" i="119"/>
  <c r="LM17" i="119" s="1"/>
  <c r="JD54" i="119"/>
  <c r="LF54" i="119" s="1"/>
  <c r="II91" i="119"/>
  <c r="KK91" i="119" s="1"/>
  <c r="IX54" i="119"/>
  <c r="KZ54" i="119" s="1"/>
  <c r="IM21" i="119"/>
  <c r="KO21" i="119" s="1"/>
  <c r="IU54" i="119"/>
  <c r="KW54" i="119" s="1"/>
  <c r="HS20" i="119"/>
  <c r="JU20" i="119" s="1"/>
  <c r="IJ21" i="119"/>
  <c r="KL21" i="119" s="1"/>
  <c r="IQ75" i="119"/>
  <c r="KS75" i="119" s="1"/>
  <c r="IQ54" i="119"/>
  <c r="KS54" i="119" s="1"/>
  <c r="IN26" i="119"/>
  <c r="KP26" i="119" s="1"/>
  <c r="HT21" i="119"/>
  <c r="JV21" i="119" s="1"/>
  <c r="IN79" i="119"/>
  <c r="KP79" i="119" s="1"/>
  <c r="JM54" i="119"/>
  <c r="LO54" i="119" s="1"/>
  <c r="HO91" i="119"/>
  <c r="JQ91" i="119" s="1"/>
  <c r="IG21" i="119"/>
  <c r="KI21" i="119" s="1"/>
  <c r="JD79" i="119"/>
  <c r="LF79" i="119" s="1"/>
  <c r="HR54" i="119"/>
  <c r="JT54" i="119" s="1"/>
  <c r="II21" i="119"/>
  <c r="KK21" i="119" s="1"/>
  <c r="ID21" i="119"/>
  <c r="KF21" i="119" s="1"/>
  <c r="HT20" i="119"/>
  <c r="JV20" i="119" s="1"/>
  <c r="JN54" i="119"/>
  <c r="LP54" i="119" s="1"/>
  <c r="IY21" i="119"/>
  <c r="LA21" i="119" s="1"/>
  <c r="HS26" i="119"/>
  <c r="JU26" i="119" s="1"/>
  <c r="JB17" i="119"/>
  <c r="LD17" i="119" s="1"/>
  <c r="HP17" i="119"/>
  <c r="JR17" i="119" s="1"/>
  <c r="IY53" i="119"/>
  <c r="LA53" i="119" s="1"/>
  <c r="JJ80" i="119"/>
  <c r="LL80" i="119" s="1"/>
  <c r="JL26" i="119"/>
  <c r="LN26" i="119" s="1"/>
  <c r="IL17" i="119"/>
  <c r="KN17" i="119" s="1"/>
  <c r="IV17" i="119"/>
  <c r="KX17" i="119" s="1"/>
  <c r="JK53" i="119"/>
  <c r="LM53" i="119" s="1"/>
  <c r="HV91" i="119"/>
  <c r="JX91" i="119" s="1"/>
  <c r="HV54" i="119"/>
  <c r="JX54" i="119" s="1"/>
  <c r="HV20" i="119"/>
  <c r="JX20" i="119" s="1"/>
  <c r="IV26" i="119"/>
  <c r="KX26" i="119" s="1"/>
  <c r="IZ17" i="119"/>
  <c r="LB17" i="119" s="1"/>
  <c r="JL17" i="119"/>
  <c r="LN17" i="119" s="1"/>
  <c r="IT53" i="119"/>
  <c r="KV53" i="119" s="1"/>
  <c r="IL91" i="119"/>
  <c r="KN91" i="119" s="1"/>
  <c r="HP26" i="119"/>
  <c r="JR26" i="119" s="1"/>
  <c r="IY17" i="119"/>
  <c r="LA17" i="119" s="1"/>
  <c r="IQ25" i="119"/>
  <c r="KS25" i="119" s="1"/>
  <c r="JC22" i="119"/>
  <c r="LE22" i="119" s="1"/>
  <c r="JD53" i="119"/>
  <c r="LF53" i="119" s="1"/>
  <c r="HX143" i="119"/>
  <c r="JZ143" i="119" s="1"/>
  <c r="IY23" i="119"/>
  <c r="LA23" i="119" s="1"/>
  <c r="IB23" i="119"/>
  <c r="KD23" i="119" s="1"/>
  <c r="IY20" i="119"/>
  <c r="LA20" i="119" s="1"/>
  <c r="II23" i="119"/>
  <c r="KK23" i="119" s="1"/>
  <c r="JG23" i="119"/>
  <c r="LI23" i="119" s="1"/>
  <c r="JH24" i="119"/>
  <c r="LJ24" i="119" s="1"/>
  <c r="IX24" i="119"/>
  <c r="KZ24" i="119" s="1"/>
  <c r="IF26" i="119"/>
  <c r="KH26" i="119" s="1"/>
  <c r="II20" i="119"/>
  <c r="KK20" i="119" s="1"/>
  <c r="HV17" i="119"/>
  <c r="JX17" i="119" s="1"/>
  <c r="HW21" i="119"/>
  <c r="JY21" i="119" s="1"/>
  <c r="IF17" i="119"/>
  <c r="KH17" i="119" s="1"/>
  <c r="IA50" i="119"/>
  <c r="KC50" i="119" s="1"/>
  <c r="IC23" i="119"/>
  <c r="KE23" i="119" s="1"/>
  <c r="IS23" i="119"/>
  <c r="KU23" i="119" s="1"/>
  <c r="JN39" i="119"/>
  <c r="LP39" i="119" s="1"/>
  <c r="JE50" i="119"/>
  <c r="LG50" i="119" s="1"/>
  <c r="IR50" i="119"/>
  <c r="KT50" i="119" s="1"/>
  <c r="IH115" i="119"/>
  <c r="KJ115" i="119" s="1"/>
  <c r="IR152" i="119"/>
  <c r="KT152" i="119" s="1"/>
  <c r="IC152" i="119"/>
  <c r="KE152" i="119" s="1"/>
  <c r="IV23" i="119"/>
  <c r="KX23" i="119" s="1"/>
  <c r="HQ97" i="119"/>
  <c r="JS97" i="119" s="1"/>
  <c r="IN23" i="119"/>
  <c r="KP23" i="119" s="1"/>
  <c r="HO26" i="119"/>
  <c r="JQ26" i="119" s="1"/>
  <c r="HP23" i="119"/>
  <c r="JR23" i="119" s="1"/>
  <c r="JH26" i="119"/>
  <c r="LJ26" i="119" s="1"/>
  <c r="JC23" i="119"/>
  <c r="LE23" i="119" s="1"/>
  <c r="JM26" i="119"/>
  <c r="LO26" i="119" s="1"/>
  <c r="JG17" i="119"/>
  <c r="LI17" i="119" s="1"/>
  <c r="JJ17" i="119"/>
  <c r="LL17" i="119" s="1"/>
  <c r="HS21" i="119"/>
  <c r="JU21" i="119" s="1"/>
  <c r="IH50" i="119"/>
  <c r="KJ50" i="119" s="1"/>
  <c r="HZ50" i="119"/>
  <c r="KB50" i="119" s="1"/>
  <c r="IZ54" i="119"/>
  <c r="LB54" i="119" s="1"/>
  <c r="IS152" i="119"/>
  <c r="KU152" i="119" s="1"/>
  <c r="IJ80" i="119"/>
  <c r="KL80" i="119" s="1"/>
  <c r="IM23" i="119"/>
  <c r="KO23" i="119" s="1"/>
  <c r="HX24" i="119"/>
  <c r="JZ24" i="119" s="1"/>
  <c r="IB26" i="119"/>
  <c r="KD26" i="119" s="1"/>
  <c r="IE23" i="119"/>
  <c r="KG23" i="119" s="1"/>
  <c r="HW23" i="119"/>
  <c r="JY23" i="119" s="1"/>
  <c r="JC24" i="119"/>
  <c r="LE24" i="119" s="1"/>
  <c r="IZ26" i="119"/>
  <c r="LB26" i="119" s="1"/>
  <c r="JG26" i="119"/>
  <c r="LI26" i="119" s="1"/>
  <c r="JH20" i="119"/>
  <c r="LJ20" i="119" s="1"/>
  <c r="IQ17" i="119"/>
  <c r="KS17" i="119" s="1"/>
  <c r="IT17" i="119"/>
  <c r="KV17" i="119" s="1"/>
  <c r="JL21" i="119"/>
  <c r="LN21" i="119" s="1"/>
  <c r="JN50" i="119"/>
  <c r="LP50" i="119" s="1"/>
  <c r="JI50" i="119"/>
  <c r="LK50" i="119" s="1"/>
  <c r="HO54" i="119"/>
  <c r="JQ54" i="119" s="1"/>
  <c r="HT72" i="119"/>
  <c r="JV72" i="119" s="1"/>
  <c r="IH80" i="119"/>
  <c r="KJ80" i="119" s="1"/>
  <c r="II80" i="119"/>
  <c r="KK80" i="119" s="1"/>
  <c r="JA80" i="119"/>
  <c r="LC80" i="119" s="1"/>
  <c r="JI104" i="119"/>
  <c r="LK104" i="119" s="1"/>
  <c r="HV80" i="119"/>
  <c r="JX80" i="119" s="1"/>
  <c r="IE80" i="119"/>
  <c r="KG80" i="119" s="1"/>
  <c r="JA20" i="119"/>
  <c r="LC20" i="119" s="1"/>
  <c r="IB152" i="119"/>
  <c r="KD152" i="119" s="1"/>
  <c r="IY26" i="119"/>
  <c r="LA26" i="119" s="1"/>
  <c r="JC26" i="119"/>
  <c r="LE26" i="119" s="1"/>
  <c r="IL75" i="119"/>
  <c r="KN75" i="119" s="1"/>
  <c r="JK23" i="119"/>
  <c r="LM23" i="119" s="1"/>
  <c r="IU23" i="119"/>
  <c r="KW23" i="119" s="1"/>
  <c r="HW26" i="119"/>
  <c r="JY26" i="119" s="1"/>
  <c r="IE20" i="119"/>
  <c r="KG20" i="119" s="1"/>
  <c r="HO23" i="119"/>
  <c r="JQ23" i="119" s="1"/>
  <c r="JB23" i="119"/>
  <c r="LD23" i="119" s="1"/>
  <c r="IM24" i="119"/>
  <c r="KO24" i="119" s="1"/>
  <c r="IJ26" i="119"/>
  <c r="KL26" i="119" s="1"/>
  <c r="IQ26" i="119"/>
  <c r="KS26" i="119" s="1"/>
  <c r="JG20" i="119"/>
  <c r="LI20" i="119" s="1"/>
  <c r="IA17" i="119"/>
  <c r="KC17" i="119" s="1"/>
  <c r="ID17" i="119"/>
  <c r="KF17" i="119" s="1"/>
  <c r="IV21" i="119"/>
  <c r="KX21" i="119" s="1"/>
  <c r="JJ50" i="119"/>
  <c r="LL50" i="119" s="1"/>
  <c r="JH50" i="119"/>
  <c r="LJ50" i="119" s="1"/>
  <c r="JF54" i="119"/>
  <c r="LH54" i="119" s="1"/>
  <c r="IX80" i="119"/>
  <c r="KZ80" i="119" s="1"/>
  <c r="IY80" i="119"/>
  <c r="LA80" i="119" s="1"/>
  <c r="IK80" i="119"/>
  <c r="KM80" i="119" s="1"/>
  <c r="JM104" i="119"/>
  <c r="LO104" i="119" s="1"/>
  <c r="HP80" i="119"/>
  <c r="JR80" i="119" s="1"/>
  <c r="HX80" i="119"/>
  <c r="JZ80" i="119" s="1"/>
  <c r="HS23" i="119"/>
  <c r="JU23" i="119" s="1"/>
  <c r="HX17" i="119"/>
  <c r="JZ17" i="119" s="1"/>
  <c r="JG21" i="119"/>
  <c r="LI21" i="119" s="1"/>
  <c r="JK21" i="119"/>
  <c r="LM21" i="119" s="1"/>
  <c r="HX75" i="119"/>
  <c r="JZ75" i="119" s="1"/>
  <c r="JG50" i="119"/>
  <c r="LI50" i="119" s="1"/>
  <c r="IO50" i="119"/>
  <c r="KQ50" i="119" s="1"/>
  <c r="JN80" i="119"/>
  <c r="LP80" i="119" s="1"/>
  <c r="ID80" i="119"/>
  <c r="KF80" i="119" s="1"/>
  <c r="HU80" i="119"/>
  <c r="JW80" i="119" s="1"/>
  <c r="JA143" i="119"/>
  <c r="LC143" i="119" s="1"/>
  <c r="IG80" i="119"/>
  <c r="KI80" i="119" s="1"/>
  <c r="JF80" i="119"/>
  <c r="LH80" i="119" s="1"/>
  <c r="JL23" i="119"/>
  <c r="LN23" i="119" s="1"/>
  <c r="JD23" i="119"/>
  <c r="LF23" i="119" s="1"/>
  <c r="IP24" i="119"/>
  <c r="KR24" i="119" s="1"/>
  <c r="JK20" i="119"/>
  <c r="LM20" i="119" s="1"/>
  <c r="IK50" i="119"/>
  <c r="KM50" i="119" s="1"/>
  <c r="IM26" i="119"/>
  <c r="KO26" i="119" s="1"/>
  <c r="HO17" i="119"/>
  <c r="JQ17" i="119" s="1"/>
  <c r="JJ23" i="119"/>
  <c r="LL23" i="119" s="1"/>
  <c r="HW24" i="119"/>
  <c r="JY24" i="119" s="1"/>
  <c r="IA26" i="119"/>
  <c r="KC26" i="119" s="1"/>
  <c r="IQ20" i="119"/>
  <c r="KS20" i="119" s="1"/>
  <c r="IT23" i="119"/>
  <c r="KV23" i="119" s="1"/>
  <c r="HV23" i="119"/>
  <c r="JX23" i="119" s="1"/>
  <c r="IZ24" i="119"/>
  <c r="LB24" i="119" s="1"/>
  <c r="JN26" i="119"/>
  <c r="LP26" i="119" s="1"/>
  <c r="IP26" i="119"/>
  <c r="KR26" i="119" s="1"/>
  <c r="JD20" i="119"/>
  <c r="LF20" i="119" s="1"/>
  <c r="JC17" i="119"/>
  <c r="LE17" i="119" s="1"/>
  <c r="IQ21" i="119"/>
  <c r="KS21" i="119" s="1"/>
  <c r="IU21" i="119"/>
  <c r="KW21" i="119" s="1"/>
  <c r="IQ50" i="119"/>
  <c r="KS50" i="119" s="1"/>
  <c r="HV50" i="119"/>
  <c r="JX50" i="119" s="1"/>
  <c r="JK90" i="119"/>
  <c r="LM90" i="119" s="1"/>
  <c r="HV152" i="119"/>
  <c r="JX152" i="119" s="1"/>
  <c r="IZ80" i="119"/>
  <c r="LB80" i="119" s="1"/>
  <c r="HS152" i="119"/>
  <c r="JU152" i="119" s="1"/>
  <c r="HQ104" i="119"/>
  <c r="JS104" i="119" s="1"/>
  <c r="HW80" i="119"/>
  <c r="JY80" i="119" s="1"/>
  <c r="IT80" i="119"/>
  <c r="KV80" i="119" s="1"/>
  <c r="HP20" i="119"/>
  <c r="JR20" i="119" s="1"/>
  <c r="HZ24" i="119"/>
  <c r="KB24" i="119" s="1"/>
  <c r="IU20" i="119"/>
  <c r="KW20" i="119" s="1"/>
  <c r="IS50" i="119"/>
  <c r="KU50" i="119" s="1"/>
  <c r="IJ24" i="119"/>
  <c r="KL24" i="119" s="1"/>
  <c r="HZ26" i="119"/>
  <c r="KB26" i="119" s="1"/>
  <c r="IN20" i="119"/>
  <c r="KP20" i="119" s="1"/>
  <c r="IM17" i="119"/>
  <c r="KO17" i="119" s="1"/>
  <c r="IE21" i="119"/>
  <c r="KG21" i="119" s="1"/>
  <c r="IL50" i="119"/>
  <c r="KN50" i="119" s="1"/>
  <c r="IZ50" i="119"/>
  <c r="LB50" i="119" s="1"/>
  <c r="IL152" i="119"/>
  <c r="KN152" i="119" s="1"/>
  <c r="II152" i="119"/>
  <c r="KK152" i="119" s="1"/>
  <c r="HU91" i="119"/>
  <c r="JW91" i="119" s="1"/>
  <c r="IQ23" i="119"/>
  <c r="KS23" i="119" s="1"/>
  <c r="IA23" i="119"/>
  <c r="KC23" i="119" s="1"/>
  <c r="JI20" i="119"/>
  <c r="LK20" i="119" s="1"/>
  <c r="JI23" i="119"/>
  <c r="LK23" i="119" s="1"/>
  <c r="IF23" i="119"/>
  <c r="KH23" i="119" s="1"/>
  <c r="HX23" i="119"/>
  <c r="JZ23" i="119" s="1"/>
  <c r="JL50" i="119"/>
  <c r="LN50" i="119" s="1"/>
  <c r="JH152" i="119"/>
  <c r="LJ152" i="119" s="1"/>
  <c r="IR26" i="119"/>
  <c r="KT26" i="119" s="1"/>
  <c r="IE50" i="119"/>
  <c r="KG50" i="119" s="1"/>
  <c r="IL23" i="119"/>
  <c r="KN23" i="119" s="1"/>
  <c r="HT26" i="119"/>
  <c r="JV26" i="119" s="1"/>
  <c r="ID23" i="119"/>
  <c r="KF23" i="119" s="1"/>
  <c r="JK24" i="119"/>
  <c r="LM24" i="119" s="1"/>
  <c r="IX26" i="119"/>
  <c r="KZ26" i="119" s="1"/>
  <c r="IA21" i="119"/>
  <c r="KC21" i="119" s="1"/>
  <c r="IU24" i="119"/>
  <c r="KW24" i="119" s="1"/>
  <c r="HT24" i="119"/>
  <c r="JV24" i="119" s="1"/>
  <c r="HR26" i="119"/>
  <c r="JT26" i="119" s="1"/>
  <c r="JJ27" i="119"/>
  <c r="LL27" i="119" s="1"/>
  <c r="IJ20" i="119"/>
  <c r="KL20" i="119" s="1"/>
  <c r="HW17" i="119"/>
  <c r="JY17" i="119" s="1"/>
  <c r="JD21" i="119"/>
  <c r="LF21" i="119" s="1"/>
  <c r="HO21" i="119"/>
  <c r="JQ21" i="119" s="1"/>
  <c r="JF50" i="119"/>
  <c r="LH50" i="119" s="1"/>
  <c r="IJ50" i="119"/>
  <c r="KL50" i="119" s="1"/>
  <c r="IB143" i="119"/>
  <c r="KD143" i="119" s="1"/>
  <c r="JB152" i="119"/>
  <c r="LD152" i="119" s="1"/>
  <c r="IW80" i="119"/>
  <c r="KY80" i="119" s="1"/>
  <c r="IY152" i="119"/>
  <c r="LA152" i="119" s="1"/>
  <c r="IK91" i="119"/>
  <c r="KM91" i="119" s="1"/>
  <c r="HT80" i="119"/>
  <c r="JV80" i="119" s="1"/>
  <c r="JG75" i="119"/>
  <c r="LI75" i="119" s="1"/>
  <c r="JG24" i="119"/>
  <c r="LI24" i="119" s="1"/>
  <c r="II24" i="119"/>
  <c r="KK24" i="119" s="1"/>
  <c r="IR20" i="119"/>
  <c r="KT20" i="119" s="1"/>
  <c r="IN21" i="119"/>
  <c r="KP21" i="119" s="1"/>
  <c r="IF21" i="119"/>
  <c r="KH21" i="119" s="1"/>
  <c r="JK14" i="119"/>
  <c r="LM14" i="119" s="1"/>
  <c r="HX55" i="119"/>
  <c r="JZ55" i="119" s="1"/>
  <c r="IV50" i="119"/>
  <c r="KX50" i="119" s="1"/>
  <c r="JC50" i="119"/>
  <c r="LE50" i="119" s="1"/>
  <c r="IP50" i="119"/>
  <c r="KR50" i="119" s="1"/>
  <c r="HU54" i="119"/>
  <c r="JW54" i="119" s="1"/>
  <c r="JF72" i="119"/>
  <c r="LH72" i="119" s="1"/>
  <c r="JG143" i="119"/>
  <c r="LI143" i="119" s="1"/>
  <c r="HX107" i="119"/>
  <c r="JZ107" i="119" s="1"/>
  <c r="IQ24" i="119"/>
  <c r="KS24" i="119" s="1"/>
  <c r="HS24" i="119"/>
  <c r="JU24" i="119" s="1"/>
  <c r="IH26" i="119"/>
  <c r="KJ26" i="119" s="1"/>
  <c r="JF26" i="119"/>
  <c r="LH26" i="119" s="1"/>
  <c r="IB20" i="119"/>
  <c r="KD20" i="119" s="1"/>
  <c r="HT17" i="119"/>
  <c r="JV17" i="119" s="1"/>
  <c r="HX21" i="119"/>
  <c r="JZ21" i="119" s="1"/>
  <c r="HP21" i="119"/>
  <c r="JR21" i="119" s="1"/>
  <c r="IM50" i="119"/>
  <c r="KO50" i="119" s="1"/>
  <c r="IB50" i="119"/>
  <c r="KD50" i="119" s="1"/>
  <c r="HW50" i="119"/>
  <c r="JY50" i="119" s="1"/>
  <c r="HS54" i="119"/>
  <c r="JU54" i="119" s="1"/>
  <c r="HS107" i="119"/>
  <c r="JU107" i="119" s="1"/>
  <c r="HQ90" i="119"/>
  <c r="JS90" i="119" s="1"/>
  <c r="HU21" i="119"/>
  <c r="JW21" i="119" s="1"/>
  <c r="JD115" i="119"/>
  <c r="LF115" i="119" s="1"/>
  <c r="II107" i="119"/>
  <c r="KK107" i="119" s="1"/>
  <c r="IG90" i="119"/>
  <c r="KI90" i="119" s="1"/>
  <c r="IW90" i="119"/>
  <c r="KY90" i="119" s="1"/>
  <c r="JM115" i="119"/>
  <c r="LO115" i="119" s="1"/>
  <c r="JB75" i="119"/>
  <c r="LD75" i="119" s="1"/>
  <c r="HY50" i="119"/>
  <c r="KA50" i="119" s="1"/>
  <c r="JJ54" i="119"/>
  <c r="LL54" i="119" s="1"/>
  <c r="HW90" i="119"/>
  <c r="JY90" i="119" s="1"/>
  <c r="JM90" i="119"/>
  <c r="LO90" i="119" s="1"/>
  <c r="IJ107" i="119"/>
  <c r="KL107" i="119" s="1"/>
  <c r="HY24" i="119"/>
  <c r="KA24" i="119" s="1"/>
  <c r="HU115" i="119"/>
  <c r="JW115" i="119" s="1"/>
  <c r="JC20" i="119"/>
  <c r="LE20" i="119" s="1"/>
  <c r="JE20" i="119"/>
  <c r="LG20" i="119" s="1"/>
  <c r="JN53" i="119"/>
  <c r="LP53" i="119" s="1"/>
  <c r="IN99" i="119"/>
  <c r="KP99" i="119" s="1"/>
  <c r="IC50" i="119"/>
  <c r="KE50" i="119" s="1"/>
  <c r="JA50" i="119"/>
  <c r="LC50" i="119" s="1"/>
  <c r="IJ72" i="119"/>
  <c r="KL72" i="119" s="1"/>
  <c r="JD24" i="119"/>
  <c r="LF24" i="119" s="1"/>
  <c r="JD17" i="119"/>
  <c r="LF17" i="119" s="1"/>
  <c r="IU17" i="119"/>
  <c r="KW17" i="119" s="1"/>
  <c r="IL21" i="119"/>
  <c r="KN21" i="119" s="1"/>
  <c r="JJ21" i="119"/>
  <c r="LL21" i="119" s="1"/>
  <c r="IU53" i="119"/>
  <c r="KW53" i="119" s="1"/>
  <c r="HX50" i="119"/>
  <c r="JZ50" i="119" s="1"/>
  <c r="IU50" i="119"/>
  <c r="KW50" i="119" s="1"/>
  <c r="II50" i="119"/>
  <c r="KK50" i="119" s="1"/>
  <c r="IJ54" i="119"/>
  <c r="KL54" i="119" s="1"/>
  <c r="IM90" i="119"/>
  <c r="KO90" i="119" s="1"/>
  <c r="IZ72" i="119"/>
  <c r="LB72" i="119" s="1"/>
  <c r="IC91" i="119"/>
  <c r="KE91" i="119" s="1"/>
  <c r="IZ143" i="119"/>
  <c r="LB143" i="119" s="1"/>
  <c r="IK143" i="119"/>
  <c r="KM143" i="119" s="1"/>
  <c r="IT143" i="119"/>
  <c r="KV143" i="119" s="1"/>
  <c r="II26" i="119"/>
  <c r="KK26" i="119" s="1"/>
  <c r="IM20" i="119"/>
  <c r="KO20" i="119" s="1"/>
  <c r="IN17" i="119"/>
  <c r="KP17" i="119" s="1"/>
  <c r="IE17" i="119"/>
  <c r="KG17" i="119" s="1"/>
  <c r="HV21" i="119"/>
  <c r="JX21" i="119" s="1"/>
  <c r="HZ53" i="119"/>
  <c r="KB53" i="119" s="1"/>
  <c r="HO50" i="119"/>
  <c r="JQ50" i="119" s="1"/>
  <c r="HU50" i="119"/>
  <c r="JW50" i="119" s="1"/>
  <c r="HR50" i="119"/>
  <c r="JT50" i="119" s="1"/>
  <c r="IK54" i="119"/>
  <c r="KM54" i="119" s="1"/>
  <c r="JC90" i="119"/>
  <c r="LE90" i="119" s="1"/>
  <c r="IS91" i="119"/>
  <c r="KU91" i="119" s="1"/>
  <c r="IN152" i="119"/>
  <c r="KP152" i="119" s="1"/>
  <c r="IK115" i="119"/>
  <c r="KM115" i="119" s="1"/>
  <c r="IG143" i="119"/>
  <c r="KI143" i="119" s="1"/>
  <c r="IB107" i="119"/>
  <c r="KD107" i="119" s="1"/>
  <c r="JN90" i="119"/>
  <c r="LP90" i="119" s="1"/>
  <c r="JE99" i="119"/>
  <c r="LG99" i="119" s="1"/>
  <c r="HO90" i="119"/>
  <c r="JQ90" i="119" s="1"/>
  <c r="IR107" i="119"/>
  <c r="KT107" i="119" s="1"/>
  <c r="IX90" i="119"/>
  <c r="KZ90" i="119" s="1"/>
  <c r="IG115" i="119"/>
  <c r="KI115" i="119" s="1"/>
  <c r="IY99" i="119"/>
  <c r="LA99" i="119" s="1"/>
  <c r="IE90" i="119"/>
  <c r="KG90" i="119" s="1"/>
  <c r="JH107" i="119"/>
  <c r="LJ107" i="119" s="1"/>
  <c r="II90" i="119"/>
  <c r="KK90" i="119" s="1"/>
  <c r="JE90" i="119"/>
  <c r="LG90" i="119" s="1"/>
  <c r="IN53" i="119"/>
  <c r="KP53" i="119" s="1"/>
  <c r="ID11" i="119"/>
  <c r="KF11" i="119" s="1"/>
  <c r="JD50" i="119"/>
  <c r="LF50" i="119" s="1"/>
  <c r="ID50" i="119"/>
  <c r="KF50" i="119" s="1"/>
  <c r="HY54" i="119"/>
  <c r="KA54" i="119" s="1"/>
  <c r="IB54" i="119"/>
  <c r="KD54" i="119" s="1"/>
  <c r="HR115" i="119"/>
  <c r="JT115" i="119" s="1"/>
  <c r="IU90" i="119"/>
  <c r="KW90" i="119" s="1"/>
  <c r="IJ29" i="119"/>
  <c r="KL29" i="119" s="1"/>
  <c r="IT107" i="119"/>
  <c r="KV107" i="119" s="1"/>
  <c r="IO90" i="119"/>
  <c r="KQ90" i="119" s="1"/>
  <c r="IZ29" i="119"/>
  <c r="LB29" i="119" s="1"/>
  <c r="JG99" i="119"/>
  <c r="LI99" i="119" s="1"/>
  <c r="IE14" i="119"/>
  <c r="KG14" i="119" s="1"/>
  <c r="IT11" i="119"/>
  <c r="KV11" i="119" s="1"/>
  <c r="IG72" i="119"/>
  <c r="KI72" i="119" s="1"/>
  <c r="HZ72" i="119"/>
  <c r="KB72" i="119" s="1"/>
  <c r="IW72" i="119"/>
  <c r="KY72" i="119" s="1"/>
  <c r="HU38" i="119"/>
  <c r="JW38" i="119" s="1"/>
  <c r="IK38" i="119"/>
  <c r="KM38" i="119" s="1"/>
  <c r="JA38" i="119"/>
  <c r="LC38" i="119" s="1"/>
  <c r="HV38" i="119"/>
  <c r="JX38" i="119" s="1"/>
  <c r="IL38" i="119"/>
  <c r="KN38" i="119" s="1"/>
  <c r="JB38" i="119"/>
  <c r="LD38" i="119" s="1"/>
  <c r="IB38" i="119"/>
  <c r="KD38" i="119" s="1"/>
  <c r="IR38" i="119"/>
  <c r="KT38" i="119" s="1"/>
  <c r="JH38" i="119"/>
  <c r="LJ38" i="119" s="1"/>
  <c r="IC38" i="119"/>
  <c r="KE38" i="119" s="1"/>
  <c r="IS38" i="119"/>
  <c r="KU38" i="119" s="1"/>
  <c r="JI38" i="119"/>
  <c r="LK38" i="119" s="1"/>
  <c r="HO38" i="119"/>
  <c r="JQ38" i="119" s="1"/>
  <c r="IE38" i="119"/>
  <c r="KG38" i="119" s="1"/>
  <c r="IU38" i="119"/>
  <c r="KW38" i="119" s="1"/>
  <c r="JK38" i="119"/>
  <c r="LM38" i="119" s="1"/>
  <c r="IG38" i="119"/>
  <c r="KI38" i="119" s="1"/>
  <c r="JD38" i="119"/>
  <c r="LF38" i="119" s="1"/>
  <c r="HR38" i="119"/>
  <c r="JT38" i="119" s="1"/>
  <c r="IO38" i="119"/>
  <c r="KQ38" i="119" s="1"/>
  <c r="JM38" i="119"/>
  <c r="LO38" i="119" s="1"/>
  <c r="IJ38" i="119"/>
  <c r="KL38" i="119" s="1"/>
  <c r="JL38" i="119"/>
  <c r="LN38" i="119" s="1"/>
  <c r="IN38" i="119"/>
  <c r="KP38" i="119" s="1"/>
  <c r="HX38" i="119"/>
  <c r="JZ38" i="119" s="1"/>
  <c r="IX38" i="119"/>
  <c r="KZ38" i="119" s="1"/>
  <c r="HY38" i="119"/>
  <c r="KA38" i="119" s="1"/>
  <c r="IY38" i="119"/>
  <c r="LA38" i="119" s="1"/>
  <c r="HZ38" i="119"/>
  <c r="KB38" i="119" s="1"/>
  <c r="IZ38" i="119"/>
  <c r="LB38" i="119" s="1"/>
  <c r="IA38" i="119"/>
  <c r="KC38" i="119" s="1"/>
  <c r="JC38" i="119"/>
  <c r="LE38" i="119" s="1"/>
  <c r="IV38" i="119"/>
  <c r="KX38" i="119" s="1"/>
  <c r="IW38" i="119"/>
  <c r="KY38" i="119" s="1"/>
  <c r="JE38" i="119"/>
  <c r="LG38" i="119" s="1"/>
  <c r="ID38" i="119"/>
  <c r="KF38" i="119" s="1"/>
  <c r="IF38" i="119"/>
  <c r="KH38" i="119" s="1"/>
  <c r="IH38" i="119"/>
  <c r="KJ38" i="119" s="1"/>
  <c r="II38" i="119"/>
  <c r="KK38" i="119" s="1"/>
  <c r="HP38" i="119"/>
  <c r="JR38" i="119" s="1"/>
  <c r="HQ38" i="119"/>
  <c r="JS38" i="119" s="1"/>
  <c r="HS38" i="119"/>
  <c r="JU38" i="119" s="1"/>
  <c r="IQ38" i="119"/>
  <c r="KS38" i="119" s="1"/>
  <c r="IT38" i="119"/>
  <c r="KV38" i="119" s="1"/>
  <c r="JF38" i="119"/>
  <c r="LH38" i="119" s="1"/>
  <c r="JG38" i="119"/>
  <c r="LI38" i="119" s="1"/>
  <c r="JJ38" i="119"/>
  <c r="LL38" i="119" s="1"/>
  <c r="IM38" i="119"/>
  <c r="KO38" i="119" s="1"/>
  <c r="IP38" i="119"/>
  <c r="KR38" i="119" s="1"/>
  <c r="JN38" i="119"/>
  <c r="LP38" i="119" s="1"/>
  <c r="HW38" i="119"/>
  <c r="JY38" i="119" s="1"/>
  <c r="HT38" i="119"/>
  <c r="JV38" i="119" s="1"/>
  <c r="IS34" i="119"/>
  <c r="KU34" i="119" s="1"/>
  <c r="IW34" i="119"/>
  <c r="KY34" i="119" s="1"/>
  <c r="JK34" i="119"/>
  <c r="LM34" i="119" s="1"/>
  <c r="IQ34" i="119"/>
  <c r="KS34" i="119" s="1"/>
  <c r="JH34" i="119"/>
  <c r="LJ34" i="119" s="1"/>
  <c r="HT34" i="119"/>
  <c r="JV34" i="119" s="1"/>
  <c r="HW34" i="119"/>
  <c r="JY34" i="119" s="1"/>
  <c r="IH34" i="119"/>
  <c r="KJ34" i="119" s="1"/>
  <c r="JA34" i="119"/>
  <c r="LC34" i="119" s="1"/>
  <c r="JI34" i="119"/>
  <c r="LK34" i="119" s="1"/>
  <c r="HZ20" i="119"/>
  <c r="KB20" i="119" s="1"/>
  <c r="IZ25" i="119"/>
  <c r="LB25" i="119" s="1"/>
  <c r="ID25" i="119"/>
  <c r="KF25" i="119" s="1"/>
  <c r="JH53" i="119"/>
  <c r="LJ53" i="119" s="1"/>
  <c r="IA53" i="119"/>
  <c r="KC53" i="119" s="1"/>
  <c r="IU34" i="119"/>
  <c r="KW34" i="119" s="1"/>
  <c r="IL34" i="119"/>
  <c r="KN34" i="119" s="1"/>
  <c r="HV99" i="119"/>
  <c r="JX99" i="119" s="1"/>
  <c r="IA54" i="119"/>
  <c r="KC54" i="119" s="1"/>
  <c r="IL54" i="119"/>
  <c r="KN54" i="119" s="1"/>
  <c r="IR54" i="119"/>
  <c r="KT54" i="119" s="1"/>
  <c r="IC24" i="119"/>
  <c r="KE24" i="119" s="1"/>
  <c r="JL24" i="119"/>
  <c r="LN24" i="119" s="1"/>
  <c r="ID24" i="119"/>
  <c r="KF24" i="119" s="1"/>
  <c r="JM24" i="119"/>
  <c r="LO24" i="119" s="1"/>
  <c r="IS24" i="119"/>
  <c r="KU24" i="119" s="1"/>
  <c r="IT24" i="119"/>
  <c r="KV24" i="119" s="1"/>
  <c r="IW24" i="119"/>
  <c r="KY24" i="119" s="1"/>
  <c r="IV24" i="119"/>
  <c r="KX24" i="119" s="1"/>
  <c r="JB24" i="119"/>
  <c r="LD24" i="119" s="1"/>
  <c r="JI24" i="119"/>
  <c r="LK24" i="119" s="1"/>
  <c r="HU24" i="119"/>
  <c r="JW24" i="119" s="1"/>
  <c r="HV24" i="119"/>
  <c r="JX24" i="119" s="1"/>
  <c r="IF24" i="119"/>
  <c r="KH24" i="119" s="1"/>
  <c r="IG24" i="119"/>
  <c r="KI24" i="119" s="1"/>
  <c r="IO24" i="119"/>
  <c r="KQ24" i="119" s="1"/>
  <c r="JA24" i="119"/>
  <c r="LC24" i="119" s="1"/>
  <c r="JE24" i="119"/>
  <c r="LG24" i="119" s="1"/>
  <c r="JJ24" i="119"/>
  <c r="LL24" i="119" s="1"/>
  <c r="HQ24" i="119"/>
  <c r="JS24" i="119" s="1"/>
  <c r="IK24" i="119"/>
  <c r="KM24" i="119" s="1"/>
  <c r="IL24" i="119"/>
  <c r="KN24" i="119" s="1"/>
  <c r="HP24" i="119"/>
  <c r="JR24" i="119" s="1"/>
  <c r="HR72" i="119"/>
  <c r="JT72" i="119" s="1"/>
  <c r="IH72" i="119"/>
  <c r="KJ72" i="119" s="1"/>
  <c r="IX72" i="119"/>
  <c r="KZ72" i="119" s="1"/>
  <c r="JN72" i="119"/>
  <c r="LP72" i="119" s="1"/>
  <c r="HV72" i="119"/>
  <c r="JX72" i="119" s="1"/>
  <c r="IQ72" i="119"/>
  <c r="KS72" i="119" s="1"/>
  <c r="JK72" i="119"/>
  <c r="LM72" i="119" s="1"/>
  <c r="HS72" i="119"/>
  <c r="JU72" i="119" s="1"/>
  <c r="IO72" i="119"/>
  <c r="KQ72" i="119" s="1"/>
  <c r="JL72" i="119"/>
  <c r="LN72" i="119" s="1"/>
  <c r="HW72" i="119"/>
  <c r="JY72" i="119" s="1"/>
  <c r="IS72" i="119"/>
  <c r="KU72" i="119" s="1"/>
  <c r="ID72" i="119"/>
  <c r="KF72" i="119" s="1"/>
  <c r="JB72" i="119"/>
  <c r="LD72" i="119" s="1"/>
  <c r="IE72" i="119"/>
  <c r="KG72" i="119" s="1"/>
  <c r="JC72" i="119"/>
  <c r="LE72" i="119" s="1"/>
  <c r="IF72" i="119"/>
  <c r="KH72" i="119" s="1"/>
  <c r="JD72" i="119"/>
  <c r="LF72" i="119" s="1"/>
  <c r="II72" i="119"/>
  <c r="KK72" i="119" s="1"/>
  <c r="JE72" i="119"/>
  <c r="LG72" i="119" s="1"/>
  <c r="IR72" i="119"/>
  <c r="KT72" i="119" s="1"/>
  <c r="IV72" i="119"/>
  <c r="KX72" i="119" s="1"/>
  <c r="IC72" i="119"/>
  <c r="KE72" i="119" s="1"/>
  <c r="IK72" i="119"/>
  <c r="KM72" i="119" s="1"/>
  <c r="IL72" i="119"/>
  <c r="KN72" i="119" s="1"/>
  <c r="IY72" i="119"/>
  <c r="LA72" i="119" s="1"/>
  <c r="JA72" i="119"/>
  <c r="LC72" i="119" s="1"/>
  <c r="HO72" i="119"/>
  <c r="JQ72" i="119" s="1"/>
  <c r="JG72" i="119"/>
  <c r="LI72" i="119" s="1"/>
  <c r="HP72" i="119"/>
  <c r="JR72" i="119" s="1"/>
  <c r="JH72" i="119"/>
  <c r="LJ72" i="119" s="1"/>
  <c r="HU72" i="119"/>
  <c r="JW72" i="119" s="1"/>
  <c r="JI72" i="119"/>
  <c r="LK72" i="119" s="1"/>
  <c r="IN72" i="119"/>
  <c r="KP72" i="119" s="1"/>
  <c r="IT72" i="119"/>
  <c r="KV72" i="119" s="1"/>
  <c r="IU72" i="119"/>
  <c r="KW72" i="119" s="1"/>
  <c r="HX72" i="119"/>
  <c r="JZ72" i="119" s="1"/>
  <c r="HY72" i="119"/>
  <c r="KA72" i="119" s="1"/>
  <c r="IA72" i="119"/>
  <c r="KC72" i="119" s="1"/>
  <c r="IB72" i="119"/>
  <c r="KD72" i="119" s="1"/>
  <c r="JJ72" i="119"/>
  <c r="LL72" i="119" s="1"/>
  <c r="IM72" i="119"/>
  <c r="KO72" i="119" s="1"/>
  <c r="JD144" i="119"/>
  <c r="LF144" i="119" s="1"/>
  <c r="JJ99" i="119"/>
  <c r="LL99" i="119" s="1"/>
  <c r="HQ115" i="119"/>
  <c r="JS115" i="119" s="1"/>
  <c r="IS144" i="119"/>
  <c r="KU144" i="119" s="1"/>
  <c r="II34" i="119"/>
  <c r="KK34" i="119" s="1"/>
  <c r="IT34" i="119"/>
  <c r="KV34" i="119" s="1"/>
  <c r="HR34" i="119"/>
  <c r="JT34" i="119" s="1"/>
  <c r="HY47" i="119"/>
  <c r="KA47" i="119" s="1"/>
  <c r="IO47" i="119"/>
  <c r="KQ47" i="119" s="1"/>
  <c r="JE47" i="119"/>
  <c r="LG47" i="119" s="1"/>
  <c r="HZ47" i="119"/>
  <c r="KB47" i="119" s="1"/>
  <c r="HP47" i="119"/>
  <c r="JR47" i="119" s="1"/>
  <c r="IF47" i="119"/>
  <c r="KH47" i="119" s="1"/>
  <c r="IV47" i="119"/>
  <c r="KX47" i="119" s="1"/>
  <c r="JL47" i="119"/>
  <c r="LN47" i="119" s="1"/>
  <c r="HQ47" i="119"/>
  <c r="JS47" i="119" s="1"/>
  <c r="IG47" i="119"/>
  <c r="KI47" i="119" s="1"/>
  <c r="IW47" i="119"/>
  <c r="KY47" i="119" s="1"/>
  <c r="JM47" i="119"/>
  <c r="LO47" i="119" s="1"/>
  <c r="HS47" i="119"/>
  <c r="JU47" i="119" s="1"/>
  <c r="II47" i="119"/>
  <c r="KK47" i="119" s="1"/>
  <c r="IY47" i="119"/>
  <c r="LA47" i="119" s="1"/>
  <c r="HX47" i="119"/>
  <c r="JZ47" i="119" s="1"/>
  <c r="IT47" i="119"/>
  <c r="KV47" i="119" s="1"/>
  <c r="IJ47" i="119"/>
  <c r="KL47" i="119" s="1"/>
  <c r="JF47" i="119"/>
  <c r="LH47" i="119" s="1"/>
  <c r="IL47" i="119"/>
  <c r="KN47" i="119" s="1"/>
  <c r="JH47" i="119"/>
  <c r="LJ47" i="119" s="1"/>
  <c r="HV47" i="119"/>
  <c r="JX47" i="119" s="1"/>
  <c r="IS47" i="119"/>
  <c r="KU47" i="119" s="1"/>
  <c r="HW47" i="119"/>
  <c r="JY47" i="119" s="1"/>
  <c r="IU47" i="119"/>
  <c r="KW47" i="119" s="1"/>
  <c r="IA47" i="119"/>
  <c r="KC47" i="119" s="1"/>
  <c r="IX47" i="119"/>
  <c r="KZ47" i="119" s="1"/>
  <c r="IB47" i="119"/>
  <c r="KD47" i="119" s="1"/>
  <c r="IZ47" i="119"/>
  <c r="LB47" i="119" s="1"/>
  <c r="HO47" i="119"/>
  <c r="JQ47" i="119" s="1"/>
  <c r="JC47" i="119"/>
  <c r="LE47" i="119" s="1"/>
  <c r="HR47" i="119"/>
  <c r="JT47" i="119" s="1"/>
  <c r="JD47" i="119"/>
  <c r="LF47" i="119" s="1"/>
  <c r="HT47" i="119"/>
  <c r="JV47" i="119" s="1"/>
  <c r="JG47" i="119"/>
  <c r="LI47" i="119" s="1"/>
  <c r="IK47" i="119"/>
  <c r="KM47" i="119" s="1"/>
  <c r="IM47" i="119"/>
  <c r="KO47" i="119" s="1"/>
  <c r="IN47" i="119"/>
  <c r="KP47" i="119" s="1"/>
  <c r="IP47" i="119"/>
  <c r="KR47" i="119" s="1"/>
  <c r="JN47" i="119"/>
  <c r="LP47" i="119" s="1"/>
  <c r="IE47" i="119"/>
  <c r="KG47" i="119" s="1"/>
  <c r="IH47" i="119"/>
  <c r="KJ47" i="119" s="1"/>
  <c r="IQ47" i="119"/>
  <c r="KS47" i="119" s="1"/>
  <c r="IR47" i="119"/>
  <c r="KT47" i="119" s="1"/>
  <c r="JA47" i="119"/>
  <c r="LC47" i="119" s="1"/>
  <c r="IC47" i="119"/>
  <c r="KE47" i="119" s="1"/>
  <c r="ID47" i="119"/>
  <c r="KF47" i="119" s="1"/>
  <c r="JI47" i="119"/>
  <c r="LK47" i="119" s="1"/>
  <c r="JJ47" i="119"/>
  <c r="LL47" i="119" s="1"/>
  <c r="JK47" i="119"/>
  <c r="LM47" i="119" s="1"/>
  <c r="HU47" i="119"/>
  <c r="JW47" i="119" s="1"/>
  <c r="JB47" i="119"/>
  <c r="LD47" i="119" s="1"/>
  <c r="HP144" i="119"/>
  <c r="JR144" i="119" s="1"/>
  <c r="JH99" i="119"/>
  <c r="LJ99" i="119" s="1"/>
  <c r="IA34" i="119"/>
  <c r="KC34" i="119" s="1"/>
  <c r="IX34" i="119"/>
  <c r="KZ34" i="119" s="1"/>
  <c r="HU20" i="119"/>
  <c r="JW20" i="119" s="1"/>
  <c r="HQ20" i="119"/>
  <c r="JS20" i="119" s="1"/>
  <c r="IS20" i="119"/>
  <c r="KU20" i="119" s="1"/>
  <c r="IW20" i="119"/>
  <c r="KY20" i="119" s="1"/>
  <c r="IF20" i="119"/>
  <c r="KH20" i="119" s="1"/>
  <c r="IT20" i="119"/>
  <c r="KV20" i="119" s="1"/>
  <c r="JB20" i="119"/>
  <c r="LD20" i="119" s="1"/>
  <c r="JJ20" i="119"/>
  <c r="LL20" i="119" s="1"/>
  <c r="JL20" i="119"/>
  <c r="LN20" i="119" s="1"/>
  <c r="IK20" i="119"/>
  <c r="KM20" i="119" s="1"/>
  <c r="IL20" i="119"/>
  <c r="KN20" i="119" s="1"/>
  <c r="IC20" i="119"/>
  <c r="KE20" i="119" s="1"/>
  <c r="IG20" i="119"/>
  <c r="KI20" i="119" s="1"/>
  <c r="HV75" i="119"/>
  <c r="JX75" i="119" s="1"/>
  <c r="JK75" i="119"/>
  <c r="LM75" i="119" s="1"/>
  <c r="IY75" i="119"/>
  <c r="LA75" i="119" s="1"/>
  <c r="IG75" i="119"/>
  <c r="KI75" i="119" s="1"/>
  <c r="II75" i="119"/>
  <c r="KK75" i="119" s="1"/>
  <c r="IK75" i="119"/>
  <c r="KM75" i="119" s="1"/>
  <c r="IO75" i="119"/>
  <c r="KQ75" i="119" s="1"/>
  <c r="HQ75" i="119"/>
  <c r="JS75" i="119" s="1"/>
  <c r="IS75" i="119"/>
  <c r="KU75" i="119" s="1"/>
  <c r="JA75" i="119"/>
  <c r="LC75" i="119" s="1"/>
  <c r="IB75" i="119"/>
  <c r="KD75" i="119" s="1"/>
  <c r="JE75" i="119"/>
  <c r="LG75" i="119" s="1"/>
  <c r="IC75" i="119"/>
  <c r="KE75" i="119" s="1"/>
  <c r="ID75" i="119"/>
  <c r="KF75" i="119" s="1"/>
  <c r="JH75" i="119"/>
  <c r="LJ75" i="119" s="1"/>
  <c r="IE75" i="119"/>
  <c r="KG75" i="119" s="1"/>
  <c r="HT75" i="119"/>
  <c r="JV75" i="119" s="1"/>
  <c r="HU75" i="119"/>
  <c r="JW75" i="119" s="1"/>
  <c r="HY75" i="119"/>
  <c r="KA75" i="119" s="1"/>
  <c r="IU75" i="119"/>
  <c r="KW75" i="119" s="1"/>
  <c r="IV75" i="119"/>
  <c r="KX75" i="119" s="1"/>
  <c r="IW75" i="119"/>
  <c r="KY75" i="119" s="1"/>
  <c r="IX75" i="119"/>
  <c r="KZ75" i="119" s="1"/>
  <c r="JI75" i="119"/>
  <c r="LK75" i="119" s="1"/>
  <c r="HO75" i="119"/>
  <c r="JQ75" i="119" s="1"/>
  <c r="HR75" i="119"/>
  <c r="JT75" i="119" s="1"/>
  <c r="HS75" i="119"/>
  <c r="JU75" i="119" s="1"/>
  <c r="IH75" i="119"/>
  <c r="KJ75" i="119" s="1"/>
  <c r="IJ75" i="119"/>
  <c r="KL75" i="119" s="1"/>
  <c r="IP75" i="119"/>
  <c r="KR75" i="119" s="1"/>
  <c r="IT75" i="119"/>
  <c r="KV75" i="119" s="1"/>
  <c r="JJ75" i="119"/>
  <c r="LL75" i="119" s="1"/>
  <c r="JM75" i="119"/>
  <c r="LO75" i="119" s="1"/>
  <c r="JN75" i="119"/>
  <c r="LP75" i="119" s="1"/>
  <c r="IF144" i="119"/>
  <c r="KH144" i="119" s="1"/>
  <c r="IE25" i="119"/>
  <c r="KG25" i="119" s="1"/>
  <c r="HT25" i="119"/>
  <c r="JV25" i="119" s="1"/>
  <c r="IZ34" i="119"/>
  <c r="LB34" i="119" s="1"/>
  <c r="IV20" i="119"/>
  <c r="KX20" i="119" s="1"/>
  <c r="HX20" i="119"/>
  <c r="JZ20" i="119" s="1"/>
  <c r="IA18" i="119"/>
  <c r="KC18" i="119" s="1"/>
  <c r="IY25" i="119"/>
  <c r="LA25" i="119" s="1"/>
  <c r="IO53" i="119"/>
  <c r="KQ53" i="119" s="1"/>
  <c r="HQ53" i="119"/>
  <c r="JS53" i="119" s="1"/>
  <c r="HX53" i="119"/>
  <c r="JZ53" i="119" s="1"/>
  <c r="IB34" i="119"/>
  <c r="KD34" i="119" s="1"/>
  <c r="IJ34" i="119"/>
  <c r="KL34" i="119" s="1"/>
  <c r="JL54" i="119"/>
  <c r="LN54" i="119" s="1"/>
  <c r="JA54" i="119"/>
  <c r="LC54" i="119" s="1"/>
  <c r="JG54" i="119"/>
  <c r="LI54" i="119" s="1"/>
  <c r="IP54" i="119"/>
  <c r="KR54" i="119" s="1"/>
  <c r="HO115" i="119"/>
  <c r="JQ115" i="119" s="1"/>
  <c r="IE115" i="119"/>
  <c r="KG115" i="119" s="1"/>
  <c r="IU115" i="119"/>
  <c r="KW115" i="119" s="1"/>
  <c r="JK115" i="119"/>
  <c r="LM115" i="119" s="1"/>
  <c r="HP115" i="119"/>
  <c r="JR115" i="119" s="1"/>
  <c r="IF115" i="119"/>
  <c r="KH115" i="119" s="1"/>
  <c r="IV115" i="119"/>
  <c r="KX115" i="119" s="1"/>
  <c r="JL115" i="119"/>
  <c r="LN115" i="119" s="1"/>
  <c r="HY115" i="119"/>
  <c r="KA115" i="119" s="1"/>
  <c r="IA115" i="119"/>
  <c r="KC115" i="119" s="1"/>
  <c r="IY115" i="119"/>
  <c r="LA115" i="119" s="1"/>
  <c r="IL115" i="119"/>
  <c r="KN115" i="119" s="1"/>
  <c r="JH115" i="119"/>
  <c r="LJ115" i="119" s="1"/>
  <c r="IM115" i="119"/>
  <c r="KO115" i="119" s="1"/>
  <c r="JI115" i="119"/>
  <c r="LK115" i="119" s="1"/>
  <c r="HT115" i="119"/>
  <c r="JV115" i="119" s="1"/>
  <c r="IP115" i="119"/>
  <c r="KR115" i="119" s="1"/>
  <c r="HV115" i="119"/>
  <c r="JX115" i="119" s="1"/>
  <c r="JC115" i="119"/>
  <c r="LE115" i="119" s="1"/>
  <c r="HW115" i="119"/>
  <c r="JY115" i="119" s="1"/>
  <c r="JE115" i="119"/>
  <c r="LG115" i="119" s="1"/>
  <c r="HZ115" i="119"/>
  <c r="KB115" i="119" s="1"/>
  <c r="JF115" i="119"/>
  <c r="LH115" i="119" s="1"/>
  <c r="II115" i="119"/>
  <c r="KK115" i="119" s="1"/>
  <c r="IJ115" i="119"/>
  <c r="KL115" i="119" s="1"/>
  <c r="IO115" i="119"/>
  <c r="KQ115" i="119" s="1"/>
  <c r="IQ115" i="119"/>
  <c r="KS115" i="119" s="1"/>
  <c r="JG115" i="119"/>
  <c r="LI115" i="119" s="1"/>
  <c r="JJ115" i="119"/>
  <c r="LL115" i="119" s="1"/>
  <c r="HS115" i="119"/>
  <c r="JU115" i="119" s="1"/>
  <c r="IB115" i="119"/>
  <c r="KD115" i="119" s="1"/>
  <c r="IC115" i="119"/>
  <c r="KE115" i="119" s="1"/>
  <c r="ID115" i="119"/>
  <c r="KF115" i="119" s="1"/>
  <c r="JB115" i="119"/>
  <c r="LD115" i="119" s="1"/>
  <c r="IR115" i="119"/>
  <c r="KT115" i="119" s="1"/>
  <c r="IZ115" i="119"/>
  <c r="LB115" i="119" s="1"/>
  <c r="IZ75" i="119"/>
  <c r="LB75" i="119" s="1"/>
  <c r="JM72" i="119"/>
  <c r="LO72" i="119" s="1"/>
  <c r="IA91" i="119"/>
  <c r="KC91" i="119" s="1"/>
  <c r="IV144" i="119"/>
  <c r="KX144" i="119" s="1"/>
  <c r="HW144" i="119"/>
  <c r="JY144" i="119" s="1"/>
  <c r="IS115" i="119"/>
  <c r="KU115" i="119" s="1"/>
  <c r="JF104" i="119"/>
  <c r="LH104" i="119" s="1"/>
  <c r="HU107" i="119"/>
  <c r="JW107" i="119" s="1"/>
  <c r="HU99" i="119"/>
  <c r="JW99" i="119" s="1"/>
  <c r="IW115" i="119"/>
  <c r="KY115" i="119" s="1"/>
  <c r="IJ25" i="119"/>
  <c r="KL25" i="119" s="1"/>
  <c r="HV19" i="119"/>
  <c r="JX19" i="119" s="1"/>
  <c r="IQ18" i="119"/>
  <c r="KS18" i="119" s="1"/>
  <c r="II25" i="119"/>
  <c r="KK25" i="119" s="1"/>
  <c r="IC34" i="119"/>
  <c r="KE34" i="119" s="1"/>
  <c r="IK34" i="119"/>
  <c r="KM34" i="119" s="1"/>
  <c r="JI54" i="119"/>
  <c r="LK54" i="119" s="1"/>
  <c r="JL34" i="119"/>
  <c r="LN34" i="119" s="1"/>
  <c r="HS34" i="119"/>
  <c r="JU34" i="119" s="1"/>
  <c r="JE54" i="119"/>
  <c r="LG54" i="119" s="1"/>
  <c r="IC54" i="119"/>
  <c r="KE54" i="119" s="1"/>
  <c r="II54" i="119"/>
  <c r="KK54" i="119" s="1"/>
  <c r="HZ54" i="119"/>
  <c r="KB54" i="119" s="1"/>
  <c r="IC43" i="119"/>
  <c r="KE43" i="119" s="1"/>
  <c r="IS43" i="119"/>
  <c r="KU43" i="119" s="1"/>
  <c r="JI43" i="119"/>
  <c r="LK43" i="119" s="1"/>
  <c r="ID43" i="119"/>
  <c r="KF43" i="119" s="1"/>
  <c r="IT43" i="119"/>
  <c r="KV43" i="119" s="1"/>
  <c r="JJ43" i="119"/>
  <c r="LL43" i="119" s="1"/>
  <c r="HT43" i="119"/>
  <c r="JV43" i="119" s="1"/>
  <c r="IJ43" i="119"/>
  <c r="KL43" i="119" s="1"/>
  <c r="IZ43" i="119"/>
  <c r="LB43" i="119" s="1"/>
  <c r="HU43" i="119"/>
  <c r="JW43" i="119" s="1"/>
  <c r="IK43" i="119"/>
  <c r="KM43" i="119" s="1"/>
  <c r="JA43" i="119"/>
  <c r="LC43" i="119" s="1"/>
  <c r="HW43" i="119"/>
  <c r="JY43" i="119" s="1"/>
  <c r="IM43" i="119"/>
  <c r="KO43" i="119" s="1"/>
  <c r="JC43" i="119"/>
  <c r="LE43" i="119" s="1"/>
  <c r="IE43" i="119"/>
  <c r="KG43" i="119" s="1"/>
  <c r="JB43" i="119"/>
  <c r="LD43" i="119" s="1"/>
  <c r="IL43" i="119"/>
  <c r="KN43" i="119" s="1"/>
  <c r="JK43" i="119"/>
  <c r="LM43" i="119" s="1"/>
  <c r="HP43" i="119"/>
  <c r="JR43" i="119" s="1"/>
  <c r="IO43" i="119"/>
  <c r="KQ43" i="119" s="1"/>
  <c r="JM43" i="119"/>
  <c r="LO43" i="119" s="1"/>
  <c r="HY43" i="119"/>
  <c r="KA43" i="119" s="1"/>
  <c r="IW43" i="119"/>
  <c r="KY43" i="119" s="1"/>
  <c r="HZ43" i="119"/>
  <c r="KB43" i="119" s="1"/>
  <c r="IX43" i="119"/>
  <c r="KZ43" i="119" s="1"/>
  <c r="IA43" i="119"/>
  <c r="KC43" i="119" s="1"/>
  <c r="IY43" i="119"/>
  <c r="LA43" i="119" s="1"/>
  <c r="IB43" i="119"/>
  <c r="KD43" i="119" s="1"/>
  <c r="JD43" i="119"/>
  <c r="LF43" i="119" s="1"/>
  <c r="IF43" i="119"/>
  <c r="KH43" i="119" s="1"/>
  <c r="IG43" i="119"/>
  <c r="KI43" i="119" s="1"/>
  <c r="IH43" i="119"/>
  <c r="KJ43" i="119" s="1"/>
  <c r="IU43" i="119"/>
  <c r="KW43" i="119" s="1"/>
  <c r="IV43" i="119"/>
  <c r="KX43" i="119" s="1"/>
  <c r="HO43" i="119"/>
  <c r="JQ43" i="119" s="1"/>
  <c r="JE43" i="119"/>
  <c r="LG43" i="119" s="1"/>
  <c r="HQ43" i="119"/>
  <c r="JS43" i="119" s="1"/>
  <c r="JF43" i="119"/>
  <c r="LH43" i="119" s="1"/>
  <c r="JG43" i="119"/>
  <c r="LI43" i="119" s="1"/>
  <c r="JH43" i="119"/>
  <c r="LJ43" i="119" s="1"/>
  <c r="JL43" i="119"/>
  <c r="LN43" i="119" s="1"/>
  <c r="HR43" i="119"/>
  <c r="JT43" i="119" s="1"/>
  <c r="HS43" i="119"/>
  <c r="JU43" i="119" s="1"/>
  <c r="HV43" i="119"/>
  <c r="JX43" i="119" s="1"/>
  <c r="HX43" i="119"/>
  <c r="JZ43" i="119" s="1"/>
  <c r="II43" i="119"/>
  <c r="KK43" i="119" s="1"/>
  <c r="IN43" i="119"/>
  <c r="KP43" i="119" s="1"/>
  <c r="IP43" i="119"/>
  <c r="KR43" i="119" s="1"/>
  <c r="IQ43" i="119"/>
  <c r="KS43" i="119" s="1"/>
  <c r="IR43" i="119"/>
  <c r="KT43" i="119" s="1"/>
  <c r="JN43" i="119"/>
  <c r="LP43" i="119" s="1"/>
  <c r="HZ91" i="119"/>
  <c r="KB91" i="119" s="1"/>
  <c r="IP91" i="119"/>
  <c r="KR91" i="119" s="1"/>
  <c r="JF91" i="119"/>
  <c r="LH91" i="119" s="1"/>
  <c r="IJ91" i="119"/>
  <c r="KL91" i="119" s="1"/>
  <c r="JD91" i="119"/>
  <c r="LF91" i="119" s="1"/>
  <c r="HX91" i="119"/>
  <c r="JZ91" i="119" s="1"/>
  <c r="IV91" i="119"/>
  <c r="KX91" i="119" s="1"/>
  <c r="IB91" i="119"/>
  <c r="KD91" i="119" s="1"/>
  <c r="IX91" i="119"/>
  <c r="KZ91" i="119" s="1"/>
  <c r="JH91" i="119"/>
  <c r="LJ91" i="119" s="1"/>
  <c r="HP91" i="119"/>
  <c r="JR91" i="119" s="1"/>
  <c r="HR91" i="119"/>
  <c r="JT91" i="119" s="1"/>
  <c r="IN91" i="119"/>
  <c r="KP91" i="119" s="1"/>
  <c r="JL91" i="119"/>
  <c r="LN91" i="119" s="1"/>
  <c r="JK91" i="119"/>
  <c r="LM91" i="119" s="1"/>
  <c r="IH91" i="119"/>
  <c r="KJ91" i="119" s="1"/>
  <c r="IM91" i="119"/>
  <c r="KO91" i="119" s="1"/>
  <c r="IO91" i="119"/>
  <c r="KQ91" i="119" s="1"/>
  <c r="IZ91" i="119"/>
  <c r="LB91" i="119" s="1"/>
  <c r="HQ91" i="119"/>
  <c r="JS91" i="119" s="1"/>
  <c r="HT91" i="119"/>
  <c r="JV91" i="119" s="1"/>
  <c r="JC91" i="119"/>
  <c r="LE91" i="119" s="1"/>
  <c r="JE91" i="119"/>
  <c r="LG91" i="119" s="1"/>
  <c r="HW91" i="119"/>
  <c r="JY91" i="119" s="1"/>
  <c r="JM91" i="119"/>
  <c r="LO91" i="119" s="1"/>
  <c r="IR91" i="119"/>
  <c r="KT91" i="119" s="1"/>
  <c r="IT91" i="119"/>
  <c r="KV91" i="119" s="1"/>
  <c r="IW91" i="119"/>
  <c r="KY91" i="119" s="1"/>
  <c r="JN91" i="119"/>
  <c r="LP91" i="119" s="1"/>
  <c r="HY91" i="119"/>
  <c r="KA91" i="119" s="1"/>
  <c r="IG91" i="119"/>
  <c r="KI91" i="119" s="1"/>
  <c r="IE91" i="119"/>
  <c r="KG91" i="119" s="1"/>
  <c r="IF91" i="119"/>
  <c r="KH91" i="119" s="1"/>
  <c r="IU91" i="119"/>
  <c r="KW91" i="119" s="1"/>
  <c r="IQ91" i="119"/>
  <c r="KS91" i="119" s="1"/>
  <c r="IS99" i="119"/>
  <c r="KU99" i="119" s="1"/>
  <c r="HP75" i="119"/>
  <c r="JR75" i="119" s="1"/>
  <c r="JL144" i="119"/>
  <c r="LN144" i="119" s="1"/>
  <c r="IM144" i="119"/>
  <c r="KO144" i="119" s="1"/>
  <c r="IZ104" i="119"/>
  <c r="LB104" i="119" s="1"/>
  <c r="JA99" i="119"/>
  <c r="LC99" i="119" s="1"/>
  <c r="JI144" i="119"/>
  <c r="LK144" i="119" s="1"/>
  <c r="IL19" i="119"/>
  <c r="KN19" i="119" s="1"/>
  <c r="HS25" i="119"/>
  <c r="JU25" i="119" s="1"/>
  <c r="JN34" i="119"/>
  <c r="LP34" i="119" s="1"/>
  <c r="HR53" i="119"/>
  <c r="JT53" i="119" s="1"/>
  <c r="IF53" i="119"/>
  <c r="KH53" i="119" s="1"/>
  <c r="JF34" i="119"/>
  <c r="LH34" i="119" s="1"/>
  <c r="IR34" i="119"/>
  <c r="KT34" i="119" s="1"/>
  <c r="IF34" i="119"/>
  <c r="KH34" i="119" s="1"/>
  <c r="JB54" i="119"/>
  <c r="LD54" i="119" s="1"/>
  <c r="IV54" i="119"/>
  <c r="KX54" i="119" s="1"/>
  <c r="IO54" i="119"/>
  <c r="KQ54" i="119" s="1"/>
  <c r="HT54" i="119"/>
  <c r="JV54" i="119" s="1"/>
  <c r="HU51" i="119"/>
  <c r="JW51" i="119" s="1"/>
  <c r="IK51" i="119"/>
  <c r="KM51" i="119" s="1"/>
  <c r="JA51" i="119"/>
  <c r="LC51" i="119" s="1"/>
  <c r="IB51" i="119"/>
  <c r="KD51" i="119" s="1"/>
  <c r="IR51" i="119"/>
  <c r="KT51" i="119" s="1"/>
  <c r="JH51" i="119"/>
  <c r="LJ51" i="119" s="1"/>
  <c r="IC51" i="119"/>
  <c r="KE51" i="119" s="1"/>
  <c r="IS51" i="119"/>
  <c r="KU51" i="119" s="1"/>
  <c r="JI51" i="119"/>
  <c r="LK51" i="119" s="1"/>
  <c r="HO51" i="119"/>
  <c r="JQ51" i="119" s="1"/>
  <c r="IE51" i="119"/>
  <c r="KG51" i="119" s="1"/>
  <c r="IU51" i="119"/>
  <c r="KW51" i="119" s="1"/>
  <c r="JK51" i="119"/>
  <c r="LM51" i="119" s="1"/>
  <c r="HQ51" i="119"/>
  <c r="JS51" i="119" s="1"/>
  <c r="IL51" i="119"/>
  <c r="KN51" i="119" s="1"/>
  <c r="JF51" i="119"/>
  <c r="LH51" i="119" s="1"/>
  <c r="IA51" i="119"/>
  <c r="KC51" i="119" s="1"/>
  <c r="IY51" i="119"/>
  <c r="LA51" i="119" s="1"/>
  <c r="IF51" i="119"/>
  <c r="KH51" i="119" s="1"/>
  <c r="JB51" i="119"/>
  <c r="LD51" i="119" s="1"/>
  <c r="HR51" i="119"/>
  <c r="JT51" i="119" s="1"/>
  <c r="IN51" i="119"/>
  <c r="KP51" i="119" s="1"/>
  <c r="JL51" i="119"/>
  <c r="LN51" i="119" s="1"/>
  <c r="HS51" i="119"/>
  <c r="JU51" i="119" s="1"/>
  <c r="IO51" i="119"/>
  <c r="KQ51" i="119" s="1"/>
  <c r="JM51" i="119"/>
  <c r="LO51" i="119" s="1"/>
  <c r="HT51" i="119"/>
  <c r="JV51" i="119" s="1"/>
  <c r="IP51" i="119"/>
  <c r="KR51" i="119" s="1"/>
  <c r="JN51" i="119"/>
  <c r="LP51" i="119" s="1"/>
  <c r="HV51" i="119"/>
  <c r="JX51" i="119" s="1"/>
  <c r="IQ51" i="119"/>
  <c r="KS51" i="119" s="1"/>
  <c r="IJ51" i="119"/>
  <c r="KL51" i="119" s="1"/>
  <c r="IM51" i="119"/>
  <c r="KO51" i="119" s="1"/>
  <c r="IT51" i="119"/>
  <c r="KV51" i="119" s="1"/>
  <c r="HW51" i="119"/>
  <c r="JY51" i="119" s="1"/>
  <c r="JD51" i="119"/>
  <c r="LF51" i="119" s="1"/>
  <c r="HX51" i="119"/>
  <c r="JZ51" i="119" s="1"/>
  <c r="HY51" i="119"/>
  <c r="KA51" i="119" s="1"/>
  <c r="HZ51" i="119"/>
  <c r="KB51" i="119" s="1"/>
  <c r="JJ51" i="119"/>
  <c r="LL51" i="119" s="1"/>
  <c r="HP51" i="119"/>
  <c r="JR51" i="119" s="1"/>
  <c r="ID51" i="119"/>
  <c r="KF51" i="119" s="1"/>
  <c r="IW51" i="119"/>
  <c r="KY51" i="119" s="1"/>
  <c r="IX51" i="119"/>
  <c r="KZ51" i="119" s="1"/>
  <c r="IZ51" i="119"/>
  <c r="LB51" i="119" s="1"/>
  <c r="JC51" i="119"/>
  <c r="LE51" i="119" s="1"/>
  <c r="JE51" i="119"/>
  <c r="LG51" i="119" s="1"/>
  <c r="IG51" i="119"/>
  <c r="KI51" i="119" s="1"/>
  <c r="IH51" i="119"/>
  <c r="KJ51" i="119" s="1"/>
  <c r="II51" i="119"/>
  <c r="KK51" i="119" s="1"/>
  <c r="IV51" i="119"/>
  <c r="KX51" i="119" s="1"/>
  <c r="JG51" i="119"/>
  <c r="LI51" i="119" s="1"/>
  <c r="JG91" i="119"/>
  <c r="LI91" i="119" s="1"/>
  <c r="HX104" i="119"/>
  <c r="JZ104" i="119" s="1"/>
  <c r="IF75" i="119"/>
  <c r="KH75" i="119" s="1"/>
  <c r="JC144" i="119"/>
  <c r="LE144" i="119" s="1"/>
  <c r="JJ91" i="119"/>
  <c r="LL91" i="119" s="1"/>
  <c r="HZ75" i="119"/>
  <c r="KB75" i="119" s="1"/>
  <c r="IT115" i="119"/>
  <c r="KV115" i="119" s="1"/>
  <c r="IW104" i="119"/>
  <c r="KY104" i="119" s="1"/>
  <c r="HT144" i="119"/>
  <c r="JV144" i="119" s="1"/>
  <c r="HQ144" i="119"/>
  <c r="JS144" i="119" s="1"/>
  <c r="ID27" i="119"/>
  <c r="KF27" i="119" s="1"/>
  <c r="HW20" i="119"/>
  <c r="JY20" i="119" s="1"/>
  <c r="ID20" i="119"/>
  <c r="KF20" i="119" s="1"/>
  <c r="IK53" i="119"/>
  <c r="KM53" i="119" s="1"/>
  <c r="IP53" i="119"/>
  <c r="KR53" i="119" s="1"/>
  <c r="IV53" i="119"/>
  <c r="KX53" i="119" s="1"/>
  <c r="JB53" i="119"/>
  <c r="LD53" i="119" s="1"/>
  <c r="HQ34" i="119"/>
  <c r="JS34" i="119" s="1"/>
  <c r="HP34" i="119"/>
  <c r="JR34" i="119" s="1"/>
  <c r="IM54" i="119"/>
  <c r="KO54" i="119" s="1"/>
  <c r="HX54" i="119"/>
  <c r="JZ54" i="119" s="1"/>
  <c r="HW54" i="119"/>
  <c r="JY54" i="119" s="1"/>
  <c r="IG17" i="119"/>
  <c r="KI17" i="119" s="1"/>
  <c r="IH17" i="119"/>
  <c r="KJ17" i="119" s="1"/>
  <c r="IW17" i="119"/>
  <c r="KY17" i="119" s="1"/>
  <c r="IX17" i="119"/>
  <c r="KZ17" i="119" s="1"/>
  <c r="HR17" i="119"/>
  <c r="JT17" i="119" s="1"/>
  <c r="JE17" i="119"/>
  <c r="LG17" i="119" s="1"/>
  <c r="JF17" i="119"/>
  <c r="LH17" i="119" s="1"/>
  <c r="HY17" i="119"/>
  <c r="KA17" i="119" s="1"/>
  <c r="JH17" i="119"/>
  <c r="LJ17" i="119" s="1"/>
  <c r="JM17" i="119"/>
  <c r="LO17" i="119" s="1"/>
  <c r="IB17" i="119"/>
  <c r="KD17" i="119" s="1"/>
  <c r="IC17" i="119"/>
  <c r="KE17" i="119" s="1"/>
  <c r="IK17" i="119"/>
  <c r="KM17" i="119" s="1"/>
  <c r="IO17" i="119"/>
  <c r="KQ17" i="119" s="1"/>
  <c r="IP17" i="119"/>
  <c r="KR17" i="119" s="1"/>
  <c r="IR17" i="119"/>
  <c r="KT17" i="119" s="1"/>
  <c r="IS17" i="119"/>
  <c r="KU17" i="119" s="1"/>
  <c r="JA17" i="119"/>
  <c r="LC17" i="119" s="1"/>
  <c r="HZ17" i="119"/>
  <c r="KB17" i="119" s="1"/>
  <c r="JI17" i="119"/>
  <c r="LK17" i="119" s="1"/>
  <c r="JN17" i="119"/>
  <c r="LP17" i="119" s="1"/>
  <c r="HQ17" i="119"/>
  <c r="JS17" i="119" s="1"/>
  <c r="HU17" i="119"/>
  <c r="JW17" i="119" s="1"/>
  <c r="IA99" i="119"/>
  <c r="KC99" i="119" s="1"/>
  <c r="IN104" i="119"/>
  <c r="KP104" i="119" s="1"/>
  <c r="JL75" i="119"/>
  <c r="LN75" i="119" s="1"/>
  <c r="HY20" i="119"/>
  <c r="KA20" i="119" s="1"/>
  <c r="JF75" i="119"/>
  <c r="LH75" i="119" s="1"/>
  <c r="JJ143" i="119"/>
  <c r="LL143" i="119" s="1"/>
  <c r="IG104" i="119"/>
  <c r="KI104" i="119" s="1"/>
  <c r="JA115" i="119"/>
  <c r="LC115" i="119" s="1"/>
  <c r="IJ144" i="119"/>
  <c r="KL144" i="119" s="1"/>
  <c r="JM144" i="119"/>
  <c r="LO144" i="119" s="1"/>
  <c r="IW25" i="119"/>
  <c r="KY25" i="119" s="1"/>
  <c r="IX25" i="119"/>
  <c r="KZ25" i="119" s="1"/>
  <c r="IB25" i="119"/>
  <c r="KD25" i="119" s="1"/>
  <c r="JM25" i="119"/>
  <c r="LO25" i="119" s="1"/>
  <c r="IC25" i="119"/>
  <c r="KE25" i="119" s="1"/>
  <c r="JN25" i="119"/>
  <c r="LP25" i="119" s="1"/>
  <c r="IH25" i="119"/>
  <c r="KJ25" i="119" s="1"/>
  <c r="HZ25" i="119"/>
  <c r="KB25" i="119" s="1"/>
  <c r="IS25" i="119"/>
  <c r="KU25" i="119" s="1"/>
  <c r="JH25" i="119"/>
  <c r="LJ25" i="119" s="1"/>
  <c r="IG25" i="119"/>
  <c r="KI25" i="119" s="1"/>
  <c r="IK25" i="119"/>
  <c r="KM25" i="119" s="1"/>
  <c r="IO25" i="119"/>
  <c r="KQ25" i="119" s="1"/>
  <c r="IP25" i="119"/>
  <c r="KR25" i="119" s="1"/>
  <c r="IR25" i="119"/>
  <c r="KT25" i="119" s="1"/>
  <c r="JA25" i="119"/>
  <c r="LC25" i="119" s="1"/>
  <c r="JE25" i="119"/>
  <c r="LG25" i="119" s="1"/>
  <c r="HQ25" i="119"/>
  <c r="JS25" i="119" s="1"/>
  <c r="HR25" i="119"/>
  <c r="JT25" i="119" s="1"/>
  <c r="HY25" i="119"/>
  <c r="KA25" i="119" s="1"/>
  <c r="JF25" i="119"/>
  <c r="LH25" i="119" s="1"/>
  <c r="JI25" i="119"/>
  <c r="LK25" i="119" s="1"/>
  <c r="HU25" i="119"/>
  <c r="JW25" i="119" s="1"/>
  <c r="HO20" i="119"/>
  <c r="JQ20" i="119" s="1"/>
  <c r="IZ20" i="119"/>
  <c r="LB20" i="119" s="1"/>
  <c r="JG25" i="119"/>
  <c r="LI25" i="119" s="1"/>
  <c r="IV25" i="119"/>
  <c r="KX25" i="119" s="1"/>
  <c r="JM20" i="119"/>
  <c r="LO20" i="119" s="1"/>
  <c r="JJ53" i="119"/>
  <c r="LL53" i="119" s="1"/>
  <c r="IA75" i="119"/>
  <c r="KC75" i="119" s="1"/>
  <c r="JJ34" i="119"/>
  <c r="LL34" i="119" s="1"/>
  <c r="IE34" i="119"/>
  <c r="KG34" i="119" s="1"/>
  <c r="ID54" i="119"/>
  <c r="KF54" i="119" s="1"/>
  <c r="IS54" i="119"/>
  <c r="KU54" i="119" s="1"/>
  <c r="JC54" i="119"/>
  <c r="LE54" i="119" s="1"/>
  <c r="HV96" i="119"/>
  <c r="JX96" i="119" s="1"/>
  <c r="JH21" i="119"/>
  <c r="LJ21" i="119" s="1"/>
  <c r="HY21" i="119"/>
  <c r="KA21" i="119" s="1"/>
  <c r="JI21" i="119"/>
  <c r="LK21" i="119" s="1"/>
  <c r="IO21" i="119"/>
  <c r="KQ21" i="119" s="1"/>
  <c r="IP21" i="119"/>
  <c r="KR21" i="119" s="1"/>
  <c r="IS21" i="119"/>
  <c r="KU21" i="119" s="1"/>
  <c r="HZ21" i="119"/>
  <c r="KB21" i="119" s="1"/>
  <c r="IW21" i="119"/>
  <c r="KY21" i="119" s="1"/>
  <c r="IH21" i="119"/>
  <c r="KJ21" i="119" s="1"/>
  <c r="IR21" i="119"/>
  <c r="KT21" i="119" s="1"/>
  <c r="JN21" i="119"/>
  <c r="LP21" i="119" s="1"/>
  <c r="HQ21" i="119"/>
  <c r="JS21" i="119" s="1"/>
  <c r="JA21" i="119"/>
  <c r="LC21" i="119" s="1"/>
  <c r="JE21" i="119"/>
  <c r="LG21" i="119" s="1"/>
  <c r="JF21" i="119"/>
  <c r="LH21" i="119" s="1"/>
  <c r="JM21" i="119"/>
  <c r="LO21" i="119" s="1"/>
  <c r="IX21" i="119"/>
  <c r="KZ21" i="119" s="1"/>
  <c r="HR21" i="119"/>
  <c r="JT21" i="119" s="1"/>
  <c r="IB21" i="119"/>
  <c r="KD21" i="119" s="1"/>
  <c r="IC21" i="119"/>
  <c r="KE21" i="119" s="1"/>
  <c r="IK21" i="119"/>
  <c r="KM21" i="119" s="1"/>
  <c r="HS91" i="119"/>
  <c r="JU91" i="119" s="1"/>
  <c r="IY107" i="119"/>
  <c r="LA107" i="119" s="1"/>
  <c r="JD104" i="119"/>
  <c r="LF104" i="119" s="1"/>
  <c r="IO20" i="119"/>
  <c r="KQ20" i="119" s="1"/>
  <c r="IM75" i="119"/>
  <c r="KO75" i="119" s="1"/>
  <c r="IZ144" i="119"/>
  <c r="LB144" i="119" s="1"/>
  <c r="IG144" i="119"/>
  <c r="KI144" i="119" s="1"/>
  <c r="IP144" i="119"/>
  <c r="KR144" i="119" s="1"/>
  <c r="IF25" i="119"/>
  <c r="KH25" i="119" s="1"/>
  <c r="HX25" i="119"/>
  <c r="JZ25" i="119" s="1"/>
  <c r="IA25" i="119"/>
  <c r="KC25" i="119" s="1"/>
  <c r="HP25" i="119"/>
  <c r="JR25" i="119" s="1"/>
  <c r="IG34" i="119"/>
  <c r="KI34" i="119" s="1"/>
  <c r="JE34" i="119"/>
  <c r="LG34" i="119" s="1"/>
  <c r="IG97" i="119"/>
  <c r="KI97" i="119" s="1"/>
  <c r="IL96" i="119"/>
  <c r="KN96" i="119" s="1"/>
  <c r="HY37" i="119"/>
  <c r="KA37" i="119" s="1"/>
  <c r="IO37" i="119"/>
  <c r="KQ37" i="119" s="1"/>
  <c r="JE37" i="119"/>
  <c r="LG37" i="119" s="1"/>
  <c r="HZ37" i="119"/>
  <c r="KB37" i="119" s="1"/>
  <c r="IP37" i="119"/>
  <c r="KR37" i="119" s="1"/>
  <c r="JF37" i="119"/>
  <c r="LH37" i="119" s="1"/>
  <c r="HP37" i="119"/>
  <c r="JR37" i="119" s="1"/>
  <c r="IF37" i="119"/>
  <c r="KH37" i="119" s="1"/>
  <c r="IV37" i="119"/>
  <c r="KX37" i="119" s="1"/>
  <c r="JL37" i="119"/>
  <c r="LN37" i="119" s="1"/>
  <c r="HQ37" i="119"/>
  <c r="JS37" i="119" s="1"/>
  <c r="IG37" i="119"/>
  <c r="KI37" i="119" s="1"/>
  <c r="IW37" i="119"/>
  <c r="KY37" i="119" s="1"/>
  <c r="JM37" i="119"/>
  <c r="LO37" i="119" s="1"/>
  <c r="HS37" i="119"/>
  <c r="JU37" i="119" s="1"/>
  <c r="II37" i="119"/>
  <c r="KK37" i="119" s="1"/>
  <c r="IY37" i="119"/>
  <c r="LA37" i="119" s="1"/>
  <c r="IL37" i="119"/>
  <c r="KN37" i="119" s="1"/>
  <c r="JI37" i="119"/>
  <c r="LK37" i="119" s="1"/>
  <c r="HW37" i="119"/>
  <c r="JY37" i="119" s="1"/>
  <c r="IT37" i="119"/>
  <c r="KV37" i="119" s="1"/>
  <c r="IJ37" i="119"/>
  <c r="KL37" i="119" s="1"/>
  <c r="JJ37" i="119"/>
  <c r="LL37" i="119" s="1"/>
  <c r="IM37" i="119"/>
  <c r="KO37" i="119" s="1"/>
  <c r="JN37" i="119"/>
  <c r="LP37" i="119" s="1"/>
  <c r="HV37" i="119"/>
  <c r="JX37" i="119" s="1"/>
  <c r="IX37" i="119"/>
  <c r="KZ37" i="119" s="1"/>
  <c r="HX37" i="119"/>
  <c r="JZ37" i="119" s="1"/>
  <c r="IZ37" i="119"/>
  <c r="LB37" i="119" s="1"/>
  <c r="IA37" i="119"/>
  <c r="KC37" i="119" s="1"/>
  <c r="JA37" i="119"/>
  <c r="LC37" i="119" s="1"/>
  <c r="IB37" i="119"/>
  <c r="KD37" i="119" s="1"/>
  <c r="JB37" i="119"/>
  <c r="LD37" i="119" s="1"/>
  <c r="HO37" i="119"/>
  <c r="JQ37" i="119" s="1"/>
  <c r="JG37" i="119"/>
  <c r="LI37" i="119" s="1"/>
  <c r="HR37" i="119"/>
  <c r="JT37" i="119" s="1"/>
  <c r="JH37" i="119"/>
  <c r="LJ37" i="119" s="1"/>
  <c r="HT37" i="119"/>
  <c r="JV37" i="119" s="1"/>
  <c r="JK37" i="119"/>
  <c r="LM37" i="119" s="1"/>
  <c r="IK37" i="119"/>
  <c r="KM37" i="119" s="1"/>
  <c r="IN37" i="119"/>
  <c r="KP37" i="119" s="1"/>
  <c r="IQ37" i="119"/>
  <c r="KS37" i="119" s="1"/>
  <c r="IR37" i="119"/>
  <c r="KT37" i="119" s="1"/>
  <c r="HU37" i="119"/>
  <c r="JW37" i="119" s="1"/>
  <c r="IC37" i="119"/>
  <c r="KE37" i="119" s="1"/>
  <c r="ID37" i="119"/>
  <c r="KF37" i="119" s="1"/>
  <c r="IE37" i="119"/>
  <c r="KG37" i="119" s="1"/>
  <c r="IH37" i="119"/>
  <c r="KJ37" i="119" s="1"/>
  <c r="IS37" i="119"/>
  <c r="KU37" i="119" s="1"/>
  <c r="IU37" i="119"/>
  <c r="KW37" i="119" s="1"/>
  <c r="JC37" i="119"/>
  <c r="LE37" i="119" s="1"/>
  <c r="JD37" i="119"/>
  <c r="LF37" i="119" s="1"/>
  <c r="HW75" i="119"/>
  <c r="JY75" i="119" s="1"/>
  <c r="IG99" i="119"/>
  <c r="KI99" i="119" s="1"/>
  <c r="HW99" i="119"/>
  <c r="JY99" i="119" s="1"/>
  <c r="IP99" i="119"/>
  <c r="KR99" i="119" s="1"/>
  <c r="IC99" i="119"/>
  <c r="KE99" i="119" s="1"/>
  <c r="IZ99" i="119"/>
  <c r="LB99" i="119" s="1"/>
  <c r="HR99" i="119"/>
  <c r="JT99" i="119" s="1"/>
  <c r="HT99" i="119"/>
  <c r="JV99" i="119" s="1"/>
  <c r="IV99" i="119"/>
  <c r="KX99" i="119" s="1"/>
  <c r="IF99" i="119"/>
  <c r="KH99" i="119" s="1"/>
  <c r="IH99" i="119"/>
  <c r="KJ99" i="119" s="1"/>
  <c r="JF99" i="119"/>
  <c r="LH99" i="119" s="1"/>
  <c r="IJ99" i="119"/>
  <c r="KL99" i="119" s="1"/>
  <c r="IM99" i="119"/>
  <c r="KO99" i="119" s="1"/>
  <c r="JM99" i="119"/>
  <c r="LO99" i="119" s="1"/>
  <c r="HZ99" i="119"/>
  <c r="KB99" i="119" s="1"/>
  <c r="JN99" i="119"/>
  <c r="LP99" i="119" s="1"/>
  <c r="IB99" i="119"/>
  <c r="KD99" i="119" s="1"/>
  <c r="IO99" i="119"/>
  <c r="KQ99" i="119" s="1"/>
  <c r="IR99" i="119"/>
  <c r="KT99" i="119" s="1"/>
  <c r="IW99" i="119"/>
  <c r="KY99" i="119" s="1"/>
  <c r="IX99" i="119"/>
  <c r="KZ99" i="119" s="1"/>
  <c r="HP99" i="119"/>
  <c r="JR99" i="119" s="1"/>
  <c r="HQ99" i="119"/>
  <c r="JS99" i="119" s="1"/>
  <c r="HS99" i="119"/>
  <c r="JU99" i="119" s="1"/>
  <c r="ID99" i="119"/>
  <c r="KF99" i="119" s="1"/>
  <c r="IE99" i="119"/>
  <c r="KG99" i="119" s="1"/>
  <c r="II99" i="119"/>
  <c r="KK99" i="119" s="1"/>
  <c r="JC99" i="119"/>
  <c r="LE99" i="119" s="1"/>
  <c r="JD99" i="119"/>
  <c r="LF99" i="119" s="1"/>
  <c r="JL99" i="119"/>
  <c r="LN99" i="119" s="1"/>
  <c r="JI99" i="119"/>
  <c r="LK99" i="119" s="1"/>
  <c r="IN25" i="119"/>
  <c r="KP25" i="119" s="1"/>
  <c r="JC25" i="119"/>
  <c r="LE25" i="119" s="1"/>
  <c r="JG34" i="119"/>
  <c r="LI34" i="119" s="1"/>
  <c r="IO34" i="119"/>
  <c r="KQ34" i="119" s="1"/>
  <c r="IW97" i="119"/>
  <c r="KY97" i="119" s="1"/>
  <c r="ID65" i="119"/>
  <c r="KF65" i="119" s="1"/>
  <c r="IT65" i="119"/>
  <c r="KV65" i="119" s="1"/>
  <c r="JJ65" i="119"/>
  <c r="LL65" i="119" s="1"/>
  <c r="HV65" i="119"/>
  <c r="JX65" i="119" s="1"/>
  <c r="IL65" i="119"/>
  <c r="KN65" i="119" s="1"/>
  <c r="JB65" i="119"/>
  <c r="LD65" i="119" s="1"/>
  <c r="HX65" i="119"/>
  <c r="JZ65" i="119" s="1"/>
  <c r="IN65" i="119"/>
  <c r="KP65" i="119" s="1"/>
  <c r="JD65" i="119"/>
  <c r="LF65" i="119" s="1"/>
  <c r="IE65" i="119"/>
  <c r="KG65" i="119" s="1"/>
  <c r="IY65" i="119"/>
  <c r="LA65" i="119" s="1"/>
  <c r="HZ65" i="119"/>
  <c r="KB65" i="119" s="1"/>
  <c r="IV65" i="119"/>
  <c r="KX65" i="119" s="1"/>
  <c r="IB65" i="119"/>
  <c r="KD65" i="119" s="1"/>
  <c r="IX65" i="119"/>
  <c r="KZ65" i="119" s="1"/>
  <c r="HO65" i="119"/>
  <c r="JQ65" i="119" s="1"/>
  <c r="IJ65" i="119"/>
  <c r="KL65" i="119" s="1"/>
  <c r="JH65" i="119"/>
  <c r="LJ65" i="119" s="1"/>
  <c r="HP65" i="119"/>
  <c r="JR65" i="119" s="1"/>
  <c r="IM65" i="119"/>
  <c r="KO65" i="119" s="1"/>
  <c r="JI65" i="119"/>
  <c r="LK65" i="119" s="1"/>
  <c r="HQ65" i="119"/>
  <c r="JS65" i="119" s="1"/>
  <c r="IO65" i="119"/>
  <c r="KQ65" i="119" s="1"/>
  <c r="JK65" i="119"/>
  <c r="LM65" i="119" s="1"/>
  <c r="HR65" i="119"/>
  <c r="JT65" i="119" s="1"/>
  <c r="IP65" i="119"/>
  <c r="KR65" i="119" s="1"/>
  <c r="JL65" i="119"/>
  <c r="LN65" i="119" s="1"/>
  <c r="HW65" i="119"/>
  <c r="JY65" i="119" s="1"/>
  <c r="JF65" i="119"/>
  <c r="LH65" i="119" s="1"/>
  <c r="IC65" i="119"/>
  <c r="KE65" i="119" s="1"/>
  <c r="JN65" i="119"/>
  <c r="LP65" i="119" s="1"/>
  <c r="IR65" i="119"/>
  <c r="KT65" i="119" s="1"/>
  <c r="IS65" i="119"/>
  <c r="KU65" i="119" s="1"/>
  <c r="IU65" i="119"/>
  <c r="KW65" i="119" s="1"/>
  <c r="HS65" i="119"/>
  <c r="JU65" i="119" s="1"/>
  <c r="JG65" i="119"/>
  <c r="LI65" i="119" s="1"/>
  <c r="JM65" i="119"/>
  <c r="LO65" i="119" s="1"/>
  <c r="HT65" i="119"/>
  <c r="JV65" i="119" s="1"/>
  <c r="HY65" i="119"/>
  <c r="KA65" i="119" s="1"/>
  <c r="IA65" i="119"/>
  <c r="KC65" i="119" s="1"/>
  <c r="IF65" i="119"/>
  <c r="KH65" i="119" s="1"/>
  <c r="IH65" i="119"/>
  <c r="KJ65" i="119" s="1"/>
  <c r="IW65" i="119"/>
  <c r="KY65" i="119" s="1"/>
  <c r="II65" i="119"/>
  <c r="KK65" i="119" s="1"/>
  <c r="IQ65" i="119"/>
  <c r="KS65" i="119" s="1"/>
  <c r="IZ65" i="119"/>
  <c r="LB65" i="119" s="1"/>
  <c r="JC65" i="119"/>
  <c r="LE65" i="119" s="1"/>
  <c r="JE65" i="119"/>
  <c r="LG65" i="119" s="1"/>
  <c r="IG65" i="119"/>
  <c r="KI65" i="119" s="1"/>
  <c r="HO99" i="119"/>
  <c r="JQ99" i="119" s="1"/>
  <c r="IU99" i="119"/>
  <c r="KW99" i="119" s="1"/>
  <c r="IW144" i="119"/>
  <c r="KY144" i="119" s="1"/>
  <c r="JF144" i="119"/>
  <c r="LH144" i="119" s="1"/>
  <c r="JK25" i="119"/>
  <c r="LM25" i="119" s="1"/>
  <c r="JD25" i="119"/>
  <c r="LF25" i="119" s="1"/>
  <c r="IM25" i="119"/>
  <c r="KO25" i="119" s="1"/>
  <c r="IU25" i="119"/>
  <c r="KW25" i="119" s="1"/>
  <c r="IM34" i="119"/>
  <c r="KO34" i="119" s="1"/>
  <c r="ID34" i="119"/>
  <c r="KF34" i="119" s="1"/>
  <c r="HV34" i="119"/>
  <c r="JX34" i="119" s="1"/>
  <c r="IW54" i="119"/>
  <c r="KY54" i="119" s="1"/>
  <c r="HQ54" i="119"/>
  <c r="JS54" i="119" s="1"/>
  <c r="IH54" i="119"/>
  <c r="KJ54" i="119" s="1"/>
  <c r="HQ101" i="119"/>
  <c r="JS101" i="119" s="1"/>
  <c r="ID53" i="119"/>
  <c r="KF53" i="119" s="1"/>
  <c r="HT53" i="119"/>
  <c r="JV53" i="119" s="1"/>
  <c r="JM53" i="119"/>
  <c r="LO53" i="119" s="1"/>
  <c r="IM53" i="119"/>
  <c r="KO53" i="119" s="1"/>
  <c r="IQ53" i="119"/>
  <c r="KS53" i="119" s="1"/>
  <c r="IW53" i="119"/>
  <c r="KY53" i="119" s="1"/>
  <c r="JA53" i="119"/>
  <c r="LC53" i="119" s="1"/>
  <c r="IE53" i="119"/>
  <c r="KG53" i="119" s="1"/>
  <c r="IH53" i="119"/>
  <c r="KJ53" i="119" s="1"/>
  <c r="HO53" i="119"/>
  <c r="JQ53" i="119" s="1"/>
  <c r="HY53" i="119"/>
  <c r="KA53" i="119" s="1"/>
  <c r="IG53" i="119"/>
  <c r="KI53" i="119" s="1"/>
  <c r="IS53" i="119"/>
  <c r="KU53" i="119" s="1"/>
  <c r="JF53" i="119"/>
  <c r="LH53" i="119" s="1"/>
  <c r="JG53" i="119"/>
  <c r="LI53" i="119" s="1"/>
  <c r="HS53" i="119"/>
  <c r="JU53" i="119" s="1"/>
  <c r="HU53" i="119"/>
  <c r="JW53" i="119" s="1"/>
  <c r="HW53" i="119"/>
  <c r="JY53" i="119" s="1"/>
  <c r="JE53" i="119"/>
  <c r="LG53" i="119" s="1"/>
  <c r="IZ53" i="119"/>
  <c r="LB53" i="119" s="1"/>
  <c r="JK99" i="119"/>
  <c r="LM99" i="119" s="1"/>
  <c r="HY99" i="119"/>
  <c r="KA99" i="119" s="1"/>
  <c r="HU104" i="119"/>
  <c r="JW104" i="119" s="1"/>
  <c r="IR104" i="119"/>
  <c r="KT104" i="119" s="1"/>
  <c r="IL104" i="119"/>
  <c r="KN104" i="119" s="1"/>
  <c r="JJ104" i="119"/>
  <c r="LL104" i="119" s="1"/>
  <c r="HS104" i="119"/>
  <c r="JU104" i="119" s="1"/>
  <c r="IQ104" i="119"/>
  <c r="KS104" i="119" s="1"/>
  <c r="JN104" i="119"/>
  <c r="LP104" i="119" s="1"/>
  <c r="IY104" i="119"/>
  <c r="LA104" i="119" s="1"/>
  <c r="ID104" i="119"/>
  <c r="KF104" i="119" s="1"/>
  <c r="JB104" i="119"/>
  <c r="LD104" i="119" s="1"/>
  <c r="HV104" i="119"/>
  <c r="JX104" i="119" s="1"/>
  <c r="JE104" i="119"/>
  <c r="LG104" i="119" s="1"/>
  <c r="IB104" i="119"/>
  <c r="KD104" i="119" s="1"/>
  <c r="IX104" i="119"/>
  <c r="KZ104" i="119" s="1"/>
  <c r="HO104" i="119"/>
  <c r="JQ104" i="119" s="1"/>
  <c r="JA104" i="119"/>
  <c r="LC104" i="119" s="1"/>
  <c r="IE104" i="119"/>
  <c r="KG104" i="119" s="1"/>
  <c r="IH104" i="119"/>
  <c r="KJ104" i="119" s="1"/>
  <c r="II104" i="119"/>
  <c r="KK104" i="119" s="1"/>
  <c r="IJ104" i="119"/>
  <c r="KL104" i="119" s="1"/>
  <c r="IK104" i="119"/>
  <c r="KM104" i="119" s="1"/>
  <c r="HR104" i="119"/>
  <c r="JT104" i="119" s="1"/>
  <c r="HT104" i="119"/>
  <c r="JV104" i="119" s="1"/>
  <c r="HY104" i="119"/>
  <c r="KA104" i="119" s="1"/>
  <c r="IA104" i="119"/>
  <c r="KC104" i="119" s="1"/>
  <c r="IO104" i="119"/>
  <c r="KQ104" i="119" s="1"/>
  <c r="IT104" i="119"/>
  <c r="KV104" i="119" s="1"/>
  <c r="IU104" i="119"/>
  <c r="KW104" i="119" s="1"/>
  <c r="JG104" i="119"/>
  <c r="LI104" i="119" s="1"/>
  <c r="JH104" i="119"/>
  <c r="LJ104" i="119" s="1"/>
  <c r="JK104" i="119"/>
  <c r="LM104" i="119" s="1"/>
  <c r="JA91" i="119"/>
  <c r="LC91" i="119" s="1"/>
  <c r="JB91" i="119"/>
  <c r="LD91" i="119" s="1"/>
  <c r="IK99" i="119"/>
  <c r="KM99" i="119" s="1"/>
  <c r="IA20" i="119"/>
  <c r="KC20" i="119" s="1"/>
  <c r="JN20" i="119"/>
  <c r="LP20" i="119" s="1"/>
  <c r="JB25" i="119"/>
  <c r="LD25" i="119" s="1"/>
  <c r="HO25" i="119"/>
  <c r="JQ25" i="119" s="1"/>
  <c r="HY34" i="119"/>
  <c r="KA34" i="119" s="1"/>
  <c r="IN75" i="119"/>
  <c r="KP75" i="119" s="1"/>
  <c r="IV34" i="119"/>
  <c r="KX34" i="119" s="1"/>
  <c r="IC53" i="119"/>
  <c r="KE53" i="119" s="1"/>
  <c r="HZ34" i="119"/>
  <c r="KB34" i="119" s="1"/>
  <c r="IN34" i="119"/>
  <c r="KP34" i="119" s="1"/>
  <c r="HX99" i="119"/>
  <c r="JZ99" i="119" s="1"/>
  <c r="IX50" i="119"/>
  <c r="KZ50" i="119" s="1"/>
  <c r="IT54" i="119"/>
  <c r="KV54" i="119" s="1"/>
  <c r="IN54" i="119"/>
  <c r="KP54" i="119" s="1"/>
  <c r="IY54" i="119"/>
  <c r="LA54" i="119" s="1"/>
  <c r="HV107" i="119"/>
  <c r="JX107" i="119" s="1"/>
  <c r="IL107" i="119"/>
  <c r="KN107" i="119" s="1"/>
  <c r="JB107" i="119"/>
  <c r="LD107" i="119" s="1"/>
  <c r="IF107" i="119"/>
  <c r="KH107" i="119" s="1"/>
  <c r="JE107" i="119"/>
  <c r="LG107" i="119" s="1"/>
  <c r="HW107" i="119"/>
  <c r="JY107" i="119" s="1"/>
  <c r="IS107" i="119"/>
  <c r="KU107" i="119" s="1"/>
  <c r="JN107" i="119"/>
  <c r="LP107" i="119" s="1"/>
  <c r="HZ107" i="119"/>
  <c r="KB107" i="119" s="1"/>
  <c r="IV107" i="119"/>
  <c r="KX107" i="119" s="1"/>
  <c r="IM107" i="119"/>
  <c r="KO107" i="119" s="1"/>
  <c r="IP107" i="119"/>
  <c r="KR107" i="119" s="1"/>
  <c r="IH107" i="119"/>
  <c r="KJ107" i="119" s="1"/>
  <c r="IO107" i="119"/>
  <c r="KQ107" i="119" s="1"/>
  <c r="HP107" i="119"/>
  <c r="JR107" i="119" s="1"/>
  <c r="JC107" i="119"/>
  <c r="LE107" i="119" s="1"/>
  <c r="HR107" i="119"/>
  <c r="JT107" i="119" s="1"/>
  <c r="JF107" i="119"/>
  <c r="LH107" i="119" s="1"/>
  <c r="JG107" i="119"/>
  <c r="LI107" i="119" s="1"/>
  <c r="HY107" i="119"/>
  <c r="KA107" i="119" s="1"/>
  <c r="JI107" i="119"/>
  <c r="LK107" i="119" s="1"/>
  <c r="IQ107" i="119"/>
  <c r="KS107" i="119" s="1"/>
  <c r="IU107" i="119"/>
  <c r="KW107" i="119" s="1"/>
  <c r="IX107" i="119"/>
  <c r="KZ107" i="119" s="1"/>
  <c r="JJ107" i="119"/>
  <c r="LL107" i="119" s="1"/>
  <c r="JK107" i="119"/>
  <c r="LM107" i="119" s="1"/>
  <c r="JL107" i="119"/>
  <c r="LN107" i="119" s="1"/>
  <c r="IE107" i="119"/>
  <c r="KG107" i="119" s="1"/>
  <c r="HO107" i="119"/>
  <c r="JQ107" i="119" s="1"/>
  <c r="IA107" i="119"/>
  <c r="KC107" i="119" s="1"/>
  <c r="IW107" i="119"/>
  <c r="KY107" i="119" s="1"/>
  <c r="IC107" i="119"/>
  <c r="KE107" i="119" s="1"/>
  <c r="IX115" i="119"/>
  <c r="KZ115" i="119" s="1"/>
  <c r="HQ42" i="119"/>
  <c r="JS42" i="119" s="1"/>
  <c r="IG42" i="119"/>
  <c r="KI42" i="119" s="1"/>
  <c r="IW42" i="119"/>
  <c r="KY42" i="119" s="1"/>
  <c r="JM42" i="119"/>
  <c r="LO42" i="119" s="1"/>
  <c r="HR42" i="119"/>
  <c r="JT42" i="119" s="1"/>
  <c r="IH42" i="119"/>
  <c r="KJ42" i="119" s="1"/>
  <c r="IX42" i="119"/>
  <c r="KZ42" i="119" s="1"/>
  <c r="JN42" i="119"/>
  <c r="LP42" i="119" s="1"/>
  <c r="HX42" i="119"/>
  <c r="JZ42" i="119" s="1"/>
  <c r="IN42" i="119"/>
  <c r="KP42" i="119" s="1"/>
  <c r="JD42" i="119"/>
  <c r="LF42" i="119" s="1"/>
  <c r="HY42" i="119"/>
  <c r="KA42" i="119" s="1"/>
  <c r="IO42" i="119"/>
  <c r="KQ42" i="119" s="1"/>
  <c r="JE42" i="119"/>
  <c r="LG42" i="119" s="1"/>
  <c r="IA42" i="119"/>
  <c r="KC42" i="119" s="1"/>
  <c r="IQ42" i="119"/>
  <c r="KS42" i="119" s="1"/>
  <c r="JG42" i="119"/>
  <c r="LI42" i="119" s="1"/>
  <c r="IB42" i="119"/>
  <c r="KD42" i="119" s="1"/>
  <c r="IY42" i="119"/>
  <c r="LA42" i="119" s="1"/>
  <c r="IJ42" i="119"/>
  <c r="KL42" i="119" s="1"/>
  <c r="JH42" i="119"/>
  <c r="LJ42" i="119" s="1"/>
  <c r="IL42" i="119"/>
  <c r="KN42" i="119" s="1"/>
  <c r="JL42" i="119"/>
  <c r="LN42" i="119" s="1"/>
  <c r="HO42" i="119"/>
  <c r="JQ42" i="119" s="1"/>
  <c r="IP42" i="119"/>
  <c r="KR42" i="119" s="1"/>
  <c r="HW42" i="119"/>
  <c r="JY42" i="119" s="1"/>
  <c r="IZ42" i="119"/>
  <c r="LB42" i="119" s="1"/>
  <c r="HZ42" i="119"/>
  <c r="KB42" i="119" s="1"/>
  <c r="JA42" i="119"/>
  <c r="LC42" i="119" s="1"/>
  <c r="IC42" i="119"/>
  <c r="KE42" i="119" s="1"/>
  <c r="JB42" i="119"/>
  <c r="LD42" i="119" s="1"/>
  <c r="ID42" i="119"/>
  <c r="KF42" i="119" s="1"/>
  <c r="JC42" i="119"/>
  <c r="LE42" i="119" s="1"/>
  <c r="IM42" i="119"/>
  <c r="KO42" i="119" s="1"/>
  <c r="IR42" i="119"/>
  <c r="KT42" i="119" s="1"/>
  <c r="IS42" i="119"/>
  <c r="KU42" i="119" s="1"/>
  <c r="HS42" i="119"/>
  <c r="JU42" i="119" s="1"/>
  <c r="JJ42" i="119"/>
  <c r="LL42" i="119" s="1"/>
  <c r="HT42" i="119"/>
  <c r="JV42" i="119" s="1"/>
  <c r="JK42" i="119"/>
  <c r="LM42" i="119" s="1"/>
  <c r="HU42" i="119"/>
  <c r="JW42" i="119" s="1"/>
  <c r="HV42" i="119"/>
  <c r="JX42" i="119" s="1"/>
  <c r="II42" i="119"/>
  <c r="KK42" i="119" s="1"/>
  <c r="IK42" i="119"/>
  <c r="KM42" i="119" s="1"/>
  <c r="IT42" i="119"/>
  <c r="KV42" i="119" s="1"/>
  <c r="HP42" i="119"/>
  <c r="JR42" i="119" s="1"/>
  <c r="IE42" i="119"/>
  <c r="KG42" i="119" s="1"/>
  <c r="IF42" i="119"/>
  <c r="KH42" i="119" s="1"/>
  <c r="IU42" i="119"/>
  <c r="KW42" i="119" s="1"/>
  <c r="IV42" i="119"/>
  <c r="KX42" i="119" s="1"/>
  <c r="JF42" i="119"/>
  <c r="LH42" i="119" s="1"/>
  <c r="JI42" i="119"/>
  <c r="LK42" i="119" s="1"/>
  <c r="IZ107" i="119"/>
  <c r="LB107" i="119" s="1"/>
  <c r="HW104" i="119"/>
  <c r="JY104" i="119" s="1"/>
  <c r="IC26" i="119"/>
  <c r="KE26" i="119" s="1"/>
  <c r="IK26" i="119"/>
  <c r="KM26" i="119" s="1"/>
  <c r="IL26" i="119"/>
  <c r="KN26" i="119" s="1"/>
  <c r="JB26" i="119"/>
  <c r="LD26" i="119" s="1"/>
  <c r="JD26" i="119"/>
  <c r="LF26" i="119" s="1"/>
  <c r="HU26" i="119"/>
  <c r="JW26" i="119" s="1"/>
  <c r="JI26" i="119"/>
  <c r="LK26" i="119" s="1"/>
  <c r="ID26" i="119"/>
  <c r="KF26" i="119" s="1"/>
  <c r="JA26" i="119"/>
  <c r="LC26" i="119" s="1"/>
  <c r="HQ26" i="119"/>
  <c r="JS26" i="119" s="1"/>
  <c r="IS26" i="119"/>
  <c r="KU26" i="119" s="1"/>
  <c r="IT26" i="119"/>
  <c r="KV26" i="119" s="1"/>
  <c r="IW26" i="119"/>
  <c r="KY26" i="119" s="1"/>
  <c r="JE26" i="119"/>
  <c r="LG26" i="119" s="1"/>
  <c r="IG26" i="119"/>
  <c r="KI26" i="119" s="1"/>
  <c r="IO26" i="119"/>
  <c r="KQ26" i="119" s="1"/>
  <c r="JJ26" i="119"/>
  <c r="LL26" i="119" s="1"/>
  <c r="HV26" i="119"/>
  <c r="JX26" i="119" s="1"/>
  <c r="HX26" i="119"/>
  <c r="JZ26" i="119" s="1"/>
  <c r="HY26" i="119"/>
  <c r="KA26" i="119" s="1"/>
  <c r="HQ107" i="119"/>
  <c r="JS107" i="119" s="1"/>
  <c r="IK107" i="119"/>
  <c r="KM107" i="119" s="1"/>
  <c r="IN107" i="119"/>
  <c r="KP107" i="119" s="1"/>
  <c r="IB144" i="119"/>
  <c r="KD144" i="119" s="1"/>
  <c r="JH144" i="119"/>
  <c r="LJ144" i="119" s="1"/>
  <c r="HY144" i="119"/>
  <c r="KA144" i="119" s="1"/>
  <c r="IU144" i="119"/>
  <c r="KW144" i="119" s="1"/>
  <c r="IA144" i="119"/>
  <c r="KC144" i="119" s="1"/>
  <c r="IX144" i="119"/>
  <c r="KZ144" i="119" s="1"/>
  <c r="ID144" i="119"/>
  <c r="KF144" i="119" s="1"/>
  <c r="IH144" i="119"/>
  <c r="KJ144" i="119" s="1"/>
  <c r="JK144" i="119"/>
  <c r="LM144" i="119" s="1"/>
  <c r="IL144" i="119"/>
  <c r="KN144" i="119" s="1"/>
  <c r="HS144" i="119"/>
  <c r="JU144" i="119" s="1"/>
  <c r="JB144" i="119"/>
  <c r="LD144" i="119" s="1"/>
  <c r="JE144" i="119"/>
  <c r="LG144" i="119" s="1"/>
  <c r="HU144" i="119"/>
  <c r="JW144" i="119" s="1"/>
  <c r="JG144" i="119"/>
  <c r="LI144" i="119" s="1"/>
  <c r="II144" i="119"/>
  <c r="KK144" i="119" s="1"/>
  <c r="IK144" i="119"/>
  <c r="KM144" i="119" s="1"/>
  <c r="IO144" i="119"/>
  <c r="KQ144" i="119" s="1"/>
  <c r="IQ144" i="119"/>
  <c r="KS144" i="119" s="1"/>
  <c r="IR144" i="119"/>
  <c r="KT144" i="119" s="1"/>
  <c r="HV144" i="119"/>
  <c r="JX144" i="119" s="1"/>
  <c r="IY144" i="119"/>
  <c r="LA144" i="119" s="1"/>
  <c r="IT144" i="119"/>
  <c r="KV144" i="119" s="1"/>
  <c r="JA144" i="119"/>
  <c r="LC144" i="119" s="1"/>
  <c r="JJ144" i="119"/>
  <c r="LL144" i="119" s="1"/>
  <c r="JN144" i="119"/>
  <c r="LP144" i="119" s="1"/>
  <c r="HR144" i="119"/>
  <c r="JT144" i="119" s="1"/>
  <c r="HO144" i="119"/>
  <c r="JQ144" i="119" s="1"/>
  <c r="IE144" i="119"/>
  <c r="KG144" i="119" s="1"/>
  <c r="HW25" i="119"/>
  <c r="JY25" i="119" s="1"/>
  <c r="JF20" i="119"/>
  <c r="LH20" i="119" s="1"/>
  <c r="IX20" i="119"/>
  <c r="KZ20" i="119" s="1"/>
  <c r="IL25" i="119"/>
  <c r="KN25" i="119" s="1"/>
  <c r="JJ25" i="119"/>
  <c r="LL25" i="119" s="1"/>
  <c r="JM34" i="119"/>
  <c r="LO34" i="119" s="1"/>
  <c r="JD75" i="119"/>
  <c r="LF75" i="119" s="1"/>
  <c r="HV53" i="119"/>
  <c r="JX53" i="119" s="1"/>
  <c r="JI53" i="119"/>
  <c r="LK53" i="119" s="1"/>
  <c r="IY34" i="119"/>
  <c r="LA34" i="119" s="1"/>
  <c r="HU34" i="119"/>
  <c r="JW34" i="119" s="1"/>
  <c r="JB99" i="119"/>
  <c r="LD99" i="119" s="1"/>
  <c r="IN50" i="119"/>
  <c r="KP50" i="119" s="1"/>
  <c r="HQ50" i="119"/>
  <c r="JS50" i="119" s="1"/>
  <c r="IG50" i="119"/>
  <c r="KI50" i="119" s="1"/>
  <c r="IF54" i="119"/>
  <c r="KH54" i="119" s="1"/>
  <c r="HP54" i="119"/>
  <c r="JR54" i="119" s="1"/>
  <c r="IG54" i="119"/>
  <c r="KI54" i="119" s="1"/>
  <c r="HP143" i="119"/>
  <c r="JR143" i="119" s="1"/>
  <c r="JE143" i="119"/>
  <c r="LG143" i="119" s="1"/>
  <c r="IP143" i="119"/>
  <c r="KR143" i="119" s="1"/>
  <c r="JN143" i="119"/>
  <c r="LP143" i="119" s="1"/>
  <c r="IF143" i="119"/>
  <c r="KH143" i="119" s="1"/>
  <c r="JB143" i="119"/>
  <c r="LD143" i="119" s="1"/>
  <c r="JC143" i="119"/>
  <c r="LE143" i="119" s="1"/>
  <c r="II143" i="119"/>
  <c r="KK143" i="119" s="1"/>
  <c r="JF143" i="119"/>
  <c r="LH143" i="119" s="1"/>
  <c r="IC143" i="119"/>
  <c r="KE143" i="119" s="1"/>
  <c r="JK143" i="119"/>
  <c r="LM143" i="119" s="1"/>
  <c r="IM143" i="119"/>
  <c r="KO143" i="119" s="1"/>
  <c r="IO143" i="119"/>
  <c r="KQ143" i="119" s="1"/>
  <c r="HR143" i="119"/>
  <c r="JT143" i="119" s="1"/>
  <c r="IX143" i="119"/>
  <c r="KZ143" i="119" s="1"/>
  <c r="IY143" i="119"/>
  <c r="LA143" i="119" s="1"/>
  <c r="HS143" i="119"/>
  <c r="JU143" i="119" s="1"/>
  <c r="HV143" i="119"/>
  <c r="JX143" i="119" s="1"/>
  <c r="HW143" i="119"/>
  <c r="JY143" i="119" s="1"/>
  <c r="JI143" i="119"/>
  <c r="LK143" i="119" s="1"/>
  <c r="HY143" i="119"/>
  <c r="KA143" i="119" s="1"/>
  <c r="JL143" i="119"/>
  <c r="LN143" i="119" s="1"/>
  <c r="HZ143" i="119"/>
  <c r="KB143" i="119" s="1"/>
  <c r="IE143" i="119"/>
  <c r="KG143" i="119" s="1"/>
  <c r="IH143" i="119"/>
  <c r="KJ143" i="119" s="1"/>
  <c r="IL143" i="119"/>
  <c r="KN143" i="119" s="1"/>
  <c r="IS143" i="119"/>
  <c r="KU143" i="119" s="1"/>
  <c r="IU143" i="119"/>
  <c r="KW143" i="119" s="1"/>
  <c r="IV143" i="119"/>
  <c r="KX143" i="119" s="1"/>
  <c r="HO143" i="119"/>
  <c r="JQ143" i="119" s="1"/>
  <c r="JN115" i="119"/>
  <c r="LP115" i="119" s="1"/>
  <c r="IR75" i="119"/>
  <c r="KT75" i="119" s="1"/>
  <c r="HX144" i="119"/>
  <c r="JZ144" i="119" s="1"/>
  <c r="HT143" i="119"/>
  <c r="JV143" i="119" s="1"/>
  <c r="IM104" i="119"/>
  <c r="KO104" i="119" s="1"/>
  <c r="HU65" i="119"/>
  <c r="JW65" i="119" s="1"/>
  <c r="ID91" i="119"/>
  <c r="KF91" i="119" s="1"/>
  <c r="IG107" i="119"/>
  <c r="KI107" i="119" s="1"/>
  <c r="HU143" i="119"/>
  <c r="JW143" i="119" s="1"/>
  <c r="JD107" i="119"/>
  <c r="LF107" i="119" s="1"/>
  <c r="IC144" i="119"/>
  <c r="KE144" i="119" s="1"/>
  <c r="IP20" i="119"/>
  <c r="KR20" i="119" s="1"/>
  <c r="IH20" i="119"/>
  <c r="KJ20" i="119" s="1"/>
  <c r="HV25" i="119"/>
  <c r="JX25" i="119" s="1"/>
  <c r="IT25" i="119"/>
  <c r="KV25" i="119" s="1"/>
  <c r="II53" i="119"/>
  <c r="KK53" i="119" s="1"/>
  <c r="IX53" i="119"/>
  <c r="KZ53" i="119" s="1"/>
  <c r="IR53" i="119"/>
  <c r="KT53" i="119" s="1"/>
  <c r="HX34" i="119"/>
  <c r="JZ34" i="119" s="1"/>
  <c r="JB34" i="119"/>
  <c r="LD34" i="119" s="1"/>
  <c r="IL99" i="119"/>
  <c r="KN99" i="119" s="1"/>
  <c r="JM50" i="119"/>
  <c r="LO50" i="119" s="1"/>
  <c r="JK50" i="119"/>
  <c r="LM50" i="119" s="1"/>
  <c r="IW50" i="119"/>
  <c r="KY50" i="119" s="1"/>
  <c r="IE54" i="119"/>
  <c r="KG54" i="119" s="1"/>
  <c r="JK54" i="119"/>
  <c r="LM54" i="119" s="1"/>
  <c r="IP23" i="119"/>
  <c r="KR23" i="119" s="1"/>
  <c r="HU23" i="119"/>
  <c r="JW23" i="119" s="1"/>
  <c r="JF23" i="119"/>
  <c r="LH23" i="119" s="1"/>
  <c r="HY23" i="119"/>
  <c r="KA23" i="119" s="1"/>
  <c r="JN23" i="119"/>
  <c r="LP23" i="119" s="1"/>
  <c r="HZ23" i="119"/>
  <c r="KB23" i="119" s="1"/>
  <c r="IW23" i="119"/>
  <c r="KY23" i="119" s="1"/>
  <c r="IO23" i="119"/>
  <c r="KQ23" i="119" s="1"/>
  <c r="IZ23" i="119"/>
  <c r="LB23" i="119" s="1"/>
  <c r="HQ23" i="119"/>
  <c r="JS23" i="119" s="1"/>
  <c r="HR23" i="119"/>
  <c r="JT23" i="119" s="1"/>
  <c r="HT23" i="119"/>
  <c r="JV23" i="119" s="1"/>
  <c r="IX23" i="119"/>
  <c r="KZ23" i="119" s="1"/>
  <c r="JA23" i="119"/>
  <c r="LC23" i="119" s="1"/>
  <c r="JE23" i="119"/>
  <c r="LG23" i="119" s="1"/>
  <c r="IG23" i="119"/>
  <c r="KI23" i="119" s="1"/>
  <c r="IH23" i="119"/>
  <c r="KJ23" i="119" s="1"/>
  <c r="JM23" i="119"/>
  <c r="LO23" i="119" s="1"/>
  <c r="IK23" i="119"/>
  <c r="KM23" i="119" s="1"/>
  <c r="IJ23" i="119"/>
  <c r="KL23" i="119" s="1"/>
  <c r="HT152" i="119"/>
  <c r="JV152" i="119" s="1"/>
  <c r="IJ152" i="119"/>
  <c r="KL152" i="119" s="1"/>
  <c r="IZ152" i="119"/>
  <c r="LB152" i="119" s="1"/>
  <c r="HQ152" i="119"/>
  <c r="JS152" i="119" s="1"/>
  <c r="ID152" i="119"/>
  <c r="KF152" i="119" s="1"/>
  <c r="JA152" i="119"/>
  <c r="LC152" i="119" s="1"/>
  <c r="HR152" i="119"/>
  <c r="JT152" i="119" s="1"/>
  <c r="IP152" i="119"/>
  <c r="KR152" i="119" s="1"/>
  <c r="JL152" i="119"/>
  <c r="LN152" i="119" s="1"/>
  <c r="HU152" i="119"/>
  <c r="JW152" i="119" s="1"/>
  <c r="IQ152" i="119"/>
  <c r="KS152" i="119" s="1"/>
  <c r="JM152" i="119"/>
  <c r="LO152" i="119" s="1"/>
  <c r="HX152" i="119"/>
  <c r="JZ152" i="119" s="1"/>
  <c r="IT152" i="119"/>
  <c r="KV152" i="119" s="1"/>
  <c r="IO152" i="119"/>
  <c r="KQ152" i="119" s="1"/>
  <c r="HO152" i="119"/>
  <c r="JQ152" i="119" s="1"/>
  <c r="IV152" i="119"/>
  <c r="KX152" i="119" s="1"/>
  <c r="IH152" i="119"/>
  <c r="KJ152" i="119" s="1"/>
  <c r="IK152" i="119"/>
  <c r="KM152" i="119" s="1"/>
  <c r="IM152" i="119"/>
  <c r="KO152" i="119" s="1"/>
  <c r="HP152" i="119"/>
  <c r="JR152" i="119" s="1"/>
  <c r="JC152" i="119"/>
  <c r="LE152" i="119" s="1"/>
  <c r="JD152" i="119"/>
  <c r="LF152" i="119" s="1"/>
  <c r="HW152" i="119"/>
  <c r="JY152" i="119" s="1"/>
  <c r="HY152" i="119"/>
  <c r="KA152" i="119" s="1"/>
  <c r="JE152" i="119"/>
  <c r="LG152" i="119" s="1"/>
  <c r="HZ152" i="119"/>
  <c r="KB152" i="119" s="1"/>
  <c r="JF152" i="119"/>
  <c r="LH152" i="119" s="1"/>
  <c r="IA152" i="119"/>
  <c r="KC152" i="119" s="1"/>
  <c r="JG152" i="119"/>
  <c r="LI152" i="119" s="1"/>
  <c r="IU152" i="119"/>
  <c r="KW152" i="119" s="1"/>
  <c r="IX152" i="119"/>
  <c r="KZ152" i="119" s="1"/>
  <c r="JJ152" i="119"/>
  <c r="LL152" i="119" s="1"/>
  <c r="JK152" i="119"/>
  <c r="LM152" i="119" s="1"/>
  <c r="JN152" i="119"/>
  <c r="LP152" i="119" s="1"/>
  <c r="IW152" i="119"/>
  <c r="KY152" i="119" s="1"/>
  <c r="IE152" i="119"/>
  <c r="KG152" i="119" s="1"/>
  <c r="IG152" i="119"/>
  <c r="KI152" i="119" s="1"/>
  <c r="IF152" i="119"/>
  <c r="KH152" i="119" s="1"/>
  <c r="HQ72" i="119"/>
  <c r="JS72" i="119" s="1"/>
  <c r="ID90" i="119"/>
  <c r="KF90" i="119" s="1"/>
  <c r="IT90" i="119"/>
  <c r="KV90" i="119" s="1"/>
  <c r="JJ90" i="119"/>
  <c r="LL90" i="119" s="1"/>
  <c r="HX90" i="119"/>
  <c r="JZ90" i="119" s="1"/>
  <c r="IR90" i="119"/>
  <c r="KT90" i="119" s="1"/>
  <c r="IF90" i="119"/>
  <c r="KH90" i="119" s="1"/>
  <c r="JB90" i="119"/>
  <c r="LD90" i="119" s="1"/>
  <c r="HT90" i="119"/>
  <c r="JV90" i="119" s="1"/>
  <c r="HU90" i="119"/>
  <c r="JW90" i="119" s="1"/>
  <c r="IQ90" i="119"/>
  <c r="KS90" i="119" s="1"/>
  <c r="HV90" i="119"/>
  <c r="JX90" i="119" s="1"/>
  <c r="IV90" i="119"/>
  <c r="KX90" i="119" s="1"/>
  <c r="IN90" i="119"/>
  <c r="KP90" i="119" s="1"/>
  <c r="IZ90" i="119"/>
  <c r="LB90" i="119" s="1"/>
  <c r="JA90" i="119"/>
  <c r="LC90" i="119" s="1"/>
  <c r="HP90" i="119"/>
  <c r="JR90" i="119" s="1"/>
  <c r="JD90" i="119"/>
  <c r="LF90" i="119" s="1"/>
  <c r="IB90" i="119"/>
  <c r="KD90" i="119" s="1"/>
  <c r="JL90" i="119"/>
  <c r="LN90" i="119" s="1"/>
  <c r="IC90" i="119"/>
  <c r="KE90" i="119" s="1"/>
  <c r="IH90" i="119"/>
  <c r="KJ90" i="119" s="1"/>
  <c r="IJ90" i="119"/>
  <c r="KL90" i="119" s="1"/>
  <c r="IK90" i="119"/>
  <c r="KM90" i="119" s="1"/>
  <c r="HR90" i="119"/>
  <c r="JT90" i="119" s="1"/>
  <c r="HS90" i="119"/>
  <c r="JU90" i="119" s="1"/>
  <c r="IA90" i="119"/>
  <c r="KC90" i="119" s="1"/>
  <c r="IS90" i="119"/>
  <c r="KU90" i="119" s="1"/>
  <c r="IL90" i="119"/>
  <c r="KN90" i="119" s="1"/>
  <c r="IY90" i="119"/>
  <c r="LA90" i="119" s="1"/>
  <c r="JF90" i="119"/>
  <c r="LH90" i="119" s="1"/>
  <c r="JG90" i="119"/>
  <c r="LI90" i="119" s="1"/>
  <c r="JH90" i="119"/>
  <c r="LJ90" i="119" s="1"/>
  <c r="HZ90" i="119"/>
  <c r="KB90" i="119" s="1"/>
  <c r="JI90" i="119"/>
  <c r="LK90" i="119" s="1"/>
  <c r="IN144" i="119"/>
  <c r="KP144" i="119" s="1"/>
  <c r="IJ143" i="119"/>
  <c r="KL143" i="119" s="1"/>
  <c r="JC104" i="119"/>
  <c r="LE104" i="119" s="1"/>
  <c r="IK65" i="119"/>
  <c r="KM65" i="119" s="1"/>
  <c r="IT99" i="119"/>
  <c r="KV99" i="119" s="1"/>
  <c r="JM107" i="119"/>
  <c r="LO107" i="119" s="1"/>
  <c r="HY90" i="119"/>
  <c r="KA90" i="119" s="1"/>
  <c r="HX115" i="119"/>
  <c r="JZ115" i="119" s="1"/>
  <c r="ID107" i="119"/>
  <c r="KF107" i="119" s="1"/>
  <c r="JM143" i="119"/>
  <c r="LO143" i="119" s="1"/>
  <c r="IB36" i="119"/>
  <c r="KD36" i="119" s="1"/>
  <c r="IR36" i="119"/>
  <c r="KT36" i="119" s="1"/>
  <c r="JH36" i="119"/>
  <c r="LJ36" i="119" s="1"/>
  <c r="ID36" i="119"/>
  <c r="KF36" i="119" s="1"/>
  <c r="IT36" i="119"/>
  <c r="KV36" i="119" s="1"/>
  <c r="JJ36" i="119"/>
  <c r="LL36" i="119" s="1"/>
  <c r="HP36" i="119"/>
  <c r="JR36" i="119" s="1"/>
  <c r="IF36" i="119"/>
  <c r="KH36" i="119" s="1"/>
  <c r="IV36" i="119"/>
  <c r="KX36" i="119" s="1"/>
  <c r="JL36" i="119"/>
  <c r="LN36" i="119" s="1"/>
  <c r="HQ36" i="119"/>
  <c r="JS36" i="119" s="1"/>
  <c r="IG36" i="119"/>
  <c r="KI36" i="119" s="1"/>
  <c r="IW36" i="119"/>
  <c r="KY36" i="119" s="1"/>
  <c r="JM36" i="119"/>
  <c r="LO36" i="119" s="1"/>
  <c r="HV36" i="119"/>
  <c r="JX36" i="119" s="1"/>
  <c r="IP36" i="119"/>
  <c r="KR36" i="119" s="1"/>
  <c r="JN36" i="119"/>
  <c r="LP36" i="119" s="1"/>
  <c r="HX36" i="119"/>
  <c r="JZ36" i="119" s="1"/>
  <c r="IS36" i="119"/>
  <c r="KU36" i="119" s="1"/>
  <c r="IH36" i="119"/>
  <c r="KJ36" i="119" s="1"/>
  <c r="JB36" i="119"/>
  <c r="LD36" i="119" s="1"/>
  <c r="HT36" i="119"/>
  <c r="JV36" i="119" s="1"/>
  <c r="IU36" i="119"/>
  <c r="KW36" i="119" s="1"/>
  <c r="HU36" i="119"/>
  <c r="JW36" i="119" s="1"/>
  <c r="IX36" i="119"/>
  <c r="KZ36" i="119" s="1"/>
  <c r="HZ36" i="119"/>
  <c r="KB36" i="119" s="1"/>
  <c r="JA36" i="119"/>
  <c r="LC36" i="119" s="1"/>
  <c r="IC36" i="119"/>
  <c r="KE36" i="119" s="1"/>
  <c r="JD36" i="119"/>
  <c r="LF36" i="119" s="1"/>
  <c r="II36" i="119"/>
  <c r="KK36" i="119" s="1"/>
  <c r="JF36" i="119"/>
  <c r="LH36" i="119" s="1"/>
  <c r="IL36" i="119"/>
  <c r="KN36" i="119" s="1"/>
  <c r="IM36" i="119"/>
  <c r="KO36" i="119" s="1"/>
  <c r="IN36" i="119"/>
  <c r="KP36" i="119" s="1"/>
  <c r="IQ36" i="119"/>
  <c r="KS36" i="119" s="1"/>
  <c r="IY36" i="119"/>
  <c r="LA36" i="119" s="1"/>
  <c r="IZ36" i="119"/>
  <c r="LB36" i="119" s="1"/>
  <c r="HS36" i="119"/>
  <c r="JU36" i="119" s="1"/>
  <c r="JG36" i="119"/>
  <c r="LI36" i="119" s="1"/>
  <c r="IA36" i="119"/>
  <c r="KC36" i="119" s="1"/>
  <c r="JC36" i="119"/>
  <c r="LE36" i="119" s="1"/>
  <c r="JE36" i="119"/>
  <c r="LG36" i="119" s="1"/>
  <c r="JK36" i="119"/>
  <c r="LM36" i="119" s="1"/>
  <c r="HO36" i="119"/>
  <c r="JQ36" i="119" s="1"/>
  <c r="HR36" i="119"/>
  <c r="JT36" i="119" s="1"/>
  <c r="HW36" i="119"/>
  <c r="JY36" i="119" s="1"/>
  <c r="HY36" i="119"/>
  <c r="KA36" i="119" s="1"/>
  <c r="IJ36" i="119"/>
  <c r="KL36" i="119" s="1"/>
  <c r="IE36" i="119"/>
  <c r="KG36" i="119" s="1"/>
  <c r="IK36" i="119"/>
  <c r="KM36" i="119" s="1"/>
  <c r="IO36" i="119"/>
  <c r="KQ36" i="119" s="1"/>
  <c r="JI36" i="119"/>
  <c r="LK36" i="119" s="1"/>
  <c r="HR60" i="119"/>
  <c r="JT60" i="119" s="1"/>
  <c r="IH60" i="119"/>
  <c r="KJ60" i="119" s="1"/>
  <c r="IX60" i="119"/>
  <c r="KZ60" i="119" s="1"/>
  <c r="JN60" i="119"/>
  <c r="LP60" i="119" s="1"/>
  <c r="HT60" i="119"/>
  <c r="JV60" i="119" s="1"/>
  <c r="IJ60" i="119"/>
  <c r="KL60" i="119" s="1"/>
  <c r="IZ60" i="119"/>
  <c r="LB60" i="119" s="1"/>
  <c r="IE60" i="119"/>
  <c r="KG60" i="119" s="1"/>
  <c r="IW60" i="119"/>
  <c r="KY60" i="119" s="1"/>
  <c r="HW60" i="119"/>
  <c r="JY60" i="119" s="1"/>
  <c r="IO60" i="119"/>
  <c r="KQ60" i="119" s="1"/>
  <c r="JG60" i="119"/>
  <c r="LI60" i="119" s="1"/>
  <c r="HX60" i="119"/>
  <c r="JZ60" i="119" s="1"/>
  <c r="IR60" i="119"/>
  <c r="KT60" i="119" s="1"/>
  <c r="JL60" i="119"/>
  <c r="LN60" i="119" s="1"/>
  <c r="HY60" i="119"/>
  <c r="KA60" i="119" s="1"/>
  <c r="IS60" i="119"/>
  <c r="KU60" i="119" s="1"/>
  <c r="JM60" i="119"/>
  <c r="LO60" i="119" s="1"/>
  <c r="HZ60" i="119"/>
  <c r="KB60" i="119" s="1"/>
  <c r="IT60" i="119"/>
  <c r="KV60" i="119" s="1"/>
  <c r="IB60" i="119"/>
  <c r="KD60" i="119" s="1"/>
  <c r="IV60" i="119"/>
  <c r="KX60" i="119" s="1"/>
  <c r="IC60" i="119"/>
  <c r="KE60" i="119" s="1"/>
  <c r="IY60" i="119"/>
  <c r="LA60" i="119" s="1"/>
  <c r="ID60" i="119"/>
  <c r="KF60" i="119" s="1"/>
  <c r="JA60" i="119"/>
  <c r="LC60" i="119" s="1"/>
  <c r="II60" i="119"/>
  <c r="KK60" i="119" s="1"/>
  <c r="JD60" i="119"/>
  <c r="LF60" i="119" s="1"/>
  <c r="HQ60" i="119"/>
  <c r="JS60" i="119" s="1"/>
  <c r="IM60" i="119"/>
  <c r="KO60" i="119" s="1"/>
  <c r="JH60" i="119"/>
  <c r="LJ60" i="119" s="1"/>
  <c r="IF60" i="119"/>
  <c r="KH60" i="119" s="1"/>
  <c r="IG60" i="119"/>
  <c r="KI60" i="119" s="1"/>
  <c r="IL60" i="119"/>
  <c r="KN60" i="119" s="1"/>
  <c r="IP60" i="119"/>
  <c r="KR60" i="119" s="1"/>
  <c r="IQ60" i="119"/>
  <c r="KS60" i="119" s="1"/>
  <c r="JB60" i="119"/>
  <c r="LD60" i="119" s="1"/>
  <c r="JC60" i="119"/>
  <c r="LE60" i="119" s="1"/>
  <c r="HO60" i="119"/>
  <c r="JQ60" i="119" s="1"/>
  <c r="JE60" i="119"/>
  <c r="LG60" i="119" s="1"/>
  <c r="HP60" i="119"/>
  <c r="JR60" i="119" s="1"/>
  <c r="JF60" i="119"/>
  <c r="LH60" i="119" s="1"/>
  <c r="HS60" i="119"/>
  <c r="JU60" i="119" s="1"/>
  <c r="HU60" i="119"/>
  <c r="JW60" i="119" s="1"/>
  <c r="HV60" i="119"/>
  <c r="JX60" i="119" s="1"/>
  <c r="IA60" i="119"/>
  <c r="KC60" i="119" s="1"/>
  <c r="IK60" i="119"/>
  <c r="KM60" i="119" s="1"/>
  <c r="IN60" i="119"/>
  <c r="KP60" i="119" s="1"/>
  <c r="IU60" i="119"/>
  <c r="KW60" i="119" s="1"/>
  <c r="JI60" i="119"/>
  <c r="LK60" i="119" s="1"/>
  <c r="JJ60" i="119"/>
  <c r="LL60" i="119" s="1"/>
  <c r="JK60" i="119"/>
  <c r="LM60" i="119" s="1"/>
  <c r="HZ14" i="119"/>
  <c r="KB14" i="119" s="1"/>
  <c r="IP14" i="119"/>
  <c r="KR14" i="119" s="1"/>
  <c r="JF14" i="119"/>
  <c r="LH14" i="119" s="1"/>
  <c r="IA14" i="119"/>
  <c r="KC14" i="119" s="1"/>
  <c r="IQ14" i="119"/>
  <c r="KS14" i="119" s="1"/>
  <c r="JG14" i="119"/>
  <c r="LI14" i="119" s="1"/>
  <c r="IB14" i="119"/>
  <c r="KD14" i="119" s="1"/>
  <c r="IR14" i="119"/>
  <c r="KT14" i="119" s="1"/>
  <c r="JH14" i="119"/>
  <c r="LJ14" i="119" s="1"/>
  <c r="HP14" i="119"/>
  <c r="JR14" i="119" s="1"/>
  <c r="IF14" i="119"/>
  <c r="KH14" i="119" s="1"/>
  <c r="IV14" i="119"/>
  <c r="KX14" i="119" s="1"/>
  <c r="JL14" i="119"/>
  <c r="LN14" i="119" s="1"/>
  <c r="HR14" i="119"/>
  <c r="JT14" i="119" s="1"/>
  <c r="IH14" i="119"/>
  <c r="KJ14" i="119" s="1"/>
  <c r="IX14" i="119"/>
  <c r="KZ14" i="119" s="1"/>
  <c r="JN14" i="119"/>
  <c r="LP14" i="119" s="1"/>
  <c r="HS14" i="119"/>
  <c r="JU14" i="119" s="1"/>
  <c r="II14" i="119"/>
  <c r="KK14" i="119" s="1"/>
  <c r="IY14" i="119"/>
  <c r="LA14" i="119" s="1"/>
  <c r="HT14" i="119"/>
  <c r="JV14" i="119" s="1"/>
  <c r="IJ14" i="119"/>
  <c r="KL14" i="119" s="1"/>
  <c r="IZ14" i="119"/>
  <c r="LB14" i="119" s="1"/>
  <c r="HW14" i="119"/>
  <c r="JY14" i="119" s="1"/>
  <c r="IM14" i="119"/>
  <c r="KO14" i="119" s="1"/>
  <c r="JC14" i="119"/>
  <c r="LE14" i="119" s="1"/>
  <c r="ID14" i="119"/>
  <c r="KF14" i="119" s="1"/>
  <c r="IK14" i="119"/>
  <c r="KM14" i="119" s="1"/>
  <c r="IN14" i="119"/>
  <c r="KP14" i="119" s="1"/>
  <c r="IO14" i="119"/>
  <c r="KQ14" i="119" s="1"/>
  <c r="IW14" i="119"/>
  <c r="KY14" i="119" s="1"/>
  <c r="JA14" i="119"/>
  <c r="LC14" i="119" s="1"/>
  <c r="JD14" i="119"/>
  <c r="LF14" i="119" s="1"/>
  <c r="JE14" i="119"/>
  <c r="LG14" i="119" s="1"/>
  <c r="JI14" i="119"/>
  <c r="LK14" i="119" s="1"/>
  <c r="HQ14" i="119"/>
  <c r="JS14" i="119" s="1"/>
  <c r="HU14" i="119"/>
  <c r="JW14" i="119" s="1"/>
  <c r="HV14" i="119"/>
  <c r="JX14" i="119" s="1"/>
  <c r="HX14" i="119"/>
  <c r="JZ14" i="119" s="1"/>
  <c r="IL14" i="119"/>
  <c r="KN14" i="119" s="1"/>
  <c r="IG14" i="119"/>
  <c r="KI14" i="119" s="1"/>
  <c r="IT14" i="119"/>
  <c r="KV14" i="119" s="1"/>
  <c r="JJ14" i="119"/>
  <c r="LL14" i="119" s="1"/>
  <c r="IC14" i="119"/>
  <c r="KE14" i="119" s="1"/>
  <c r="HY14" i="119"/>
  <c r="KA14" i="119" s="1"/>
  <c r="IS14" i="119"/>
  <c r="KU14" i="119" s="1"/>
  <c r="JM14" i="119"/>
  <c r="LO14" i="119" s="1"/>
  <c r="JB14" i="119"/>
  <c r="LD14" i="119" s="1"/>
  <c r="HR133" i="119"/>
  <c r="JT133" i="119" s="1"/>
  <c r="IH133" i="119"/>
  <c r="KJ133" i="119" s="1"/>
  <c r="IX133" i="119"/>
  <c r="KZ133" i="119" s="1"/>
  <c r="JN133" i="119"/>
  <c r="LP133" i="119" s="1"/>
  <c r="HS133" i="119"/>
  <c r="JU133" i="119" s="1"/>
  <c r="II133" i="119"/>
  <c r="KK133" i="119" s="1"/>
  <c r="IY133" i="119"/>
  <c r="LA133" i="119" s="1"/>
  <c r="IE133" i="119"/>
  <c r="KG133" i="119" s="1"/>
  <c r="IW133" i="119"/>
  <c r="KY133" i="119" s="1"/>
  <c r="HO133" i="119"/>
  <c r="JQ133" i="119" s="1"/>
  <c r="IG133" i="119"/>
  <c r="KI133" i="119" s="1"/>
  <c r="JA133" i="119"/>
  <c r="LC133" i="119" s="1"/>
  <c r="HP133" i="119"/>
  <c r="JR133" i="119" s="1"/>
  <c r="IJ133" i="119"/>
  <c r="KL133" i="119" s="1"/>
  <c r="JB133" i="119"/>
  <c r="LD133" i="119" s="1"/>
  <c r="HT133" i="119"/>
  <c r="JV133" i="119" s="1"/>
  <c r="IL133" i="119"/>
  <c r="KN133" i="119" s="1"/>
  <c r="JD133" i="119"/>
  <c r="LF133" i="119" s="1"/>
  <c r="HW133" i="119"/>
  <c r="JY133" i="119" s="1"/>
  <c r="IO133" i="119"/>
  <c r="KQ133" i="119" s="1"/>
  <c r="JG133" i="119"/>
  <c r="LI133" i="119" s="1"/>
  <c r="HX133" i="119"/>
  <c r="JZ133" i="119" s="1"/>
  <c r="IP133" i="119"/>
  <c r="KR133" i="119" s="1"/>
  <c r="JH133" i="119"/>
  <c r="LJ133" i="119" s="1"/>
  <c r="HY133" i="119"/>
  <c r="KA133" i="119" s="1"/>
  <c r="IQ133" i="119"/>
  <c r="KS133" i="119" s="1"/>
  <c r="JI133" i="119"/>
  <c r="LK133" i="119" s="1"/>
  <c r="IA133" i="119"/>
  <c r="KC133" i="119" s="1"/>
  <c r="IS133" i="119"/>
  <c r="KU133" i="119" s="1"/>
  <c r="JK133" i="119"/>
  <c r="LM133" i="119" s="1"/>
  <c r="HV133" i="119"/>
  <c r="JX133" i="119" s="1"/>
  <c r="JF133" i="119"/>
  <c r="LH133" i="119" s="1"/>
  <c r="HZ133" i="119"/>
  <c r="KB133" i="119" s="1"/>
  <c r="JJ133" i="119"/>
  <c r="LL133" i="119" s="1"/>
  <c r="IB133" i="119"/>
  <c r="KD133" i="119" s="1"/>
  <c r="JL133" i="119"/>
  <c r="LN133" i="119" s="1"/>
  <c r="IC133" i="119"/>
  <c r="KE133" i="119" s="1"/>
  <c r="JM133" i="119"/>
  <c r="LO133" i="119" s="1"/>
  <c r="ID133" i="119"/>
  <c r="KF133" i="119" s="1"/>
  <c r="IF133" i="119"/>
  <c r="KH133" i="119" s="1"/>
  <c r="IK133" i="119"/>
  <c r="KM133" i="119" s="1"/>
  <c r="IM133" i="119"/>
  <c r="KO133" i="119" s="1"/>
  <c r="IN133" i="119"/>
  <c r="KP133" i="119" s="1"/>
  <c r="IR133" i="119"/>
  <c r="KT133" i="119" s="1"/>
  <c r="IT133" i="119"/>
  <c r="KV133" i="119" s="1"/>
  <c r="IU133" i="119"/>
  <c r="KW133" i="119" s="1"/>
  <c r="IV133" i="119"/>
  <c r="KX133" i="119" s="1"/>
  <c r="IZ133" i="119"/>
  <c r="LB133" i="119" s="1"/>
  <c r="HQ133" i="119"/>
  <c r="JS133" i="119" s="1"/>
  <c r="HU133" i="119"/>
  <c r="JW133" i="119" s="1"/>
  <c r="JC133" i="119"/>
  <c r="LE133" i="119" s="1"/>
  <c r="JE133" i="119"/>
  <c r="LG133" i="119" s="1"/>
  <c r="HZ86" i="119"/>
  <c r="KB86" i="119" s="1"/>
  <c r="IP86" i="119"/>
  <c r="KR86" i="119" s="1"/>
  <c r="JF86" i="119"/>
  <c r="LH86" i="119" s="1"/>
  <c r="IB86" i="119"/>
  <c r="KD86" i="119" s="1"/>
  <c r="IR86" i="119"/>
  <c r="KT86" i="119" s="1"/>
  <c r="JH86" i="119"/>
  <c r="LJ86" i="119" s="1"/>
  <c r="ID86" i="119"/>
  <c r="KF86" i="119" s="1"/>
  <c r="IT86" i="119"/>
  <c r="KV86" i="119" s="1"/>
  <c r="JJ86" i="119"/>
  <c r="LL86" i="119" s="1"/>
  <c r="HO86" i="119"/>
  <c r="JQ86" i="119" s="1"/>
  <c r="IE86" i="119"/>
  <c r="KG86" i="119" s="1"/>
  <c r="IU86" i="119"/>
  <c r="KW86" i="119" s="1"/>
  <c r="JK86" i="119"/>
  <c r="LM86" i="119" s="1"/>
  <c r="IF86" i="119"/>
  <c r="KH86" i="119" s="1"/>
  <c r="IZ86" i="119"/>
  <c r="LB86" i="119" s="1"/>
  <c r="HP86" i="119"/>
  <c r="JR86" i="119" s="1"/>
  <c r="IJ86" i="119"/>
  <c r="KL86" i="119" s="1"/>
  <c r="JD86" i="119"/>
  <c r="LF86" i="119" s="1"/>
  <c r="HQ86" i="119"/>
  <c r="JS86" i="119" s="1"/>
  <c r="IK86" i="119"/>
  <c r="KM86" i="119" s="1"/>
  <c r="JE86" i="119"/>
  <c r="LG86" i="119" s="1"/>
  <c r="HT86" i="119"/>
  <c r="JV86" i="119" s="1"/>
  <c r="IN86" i="119"/>
  <c r="KP86" i="119" s="1"/>
  <c r="JL86" i="119"/>
  <c r="LN86" i="119" s="1"/>
  <c r="HU86" i="119"/>
  <c r="JW86" i="119" s="1"/>
  <c r="IO86" i="119"/>
  <c r="KQ86" i="119" s="1"/>
  <c r="JM86" i="119"/>
  <c r="LO86" i="119" s="1"/>
  <c r="IH86" i="119"/>
  <c r="KJ86" i="119" s="1"/>
  <c r="II86" i="119"/>
  <c r="KK86" i="119" s="1"/>
  <c r="IL86" i="119"/>
  <c r="KN86" i="119" s="1"/>
  <c r="IM86" i="119"/>
  <c r="KO86" i="119" s="1"/>
  <c r="IQ86" i="119"/>
  <c r="KS86" i="119" s="1"/>
  <c r="IS86" i="119"/>
  <c r="KU86" i="119" s="1"/>
  <c r="IV86" i="119"/>
  <c r="KX86" i="119" s="1"/>
  <c r="HR86" i="119"/>
  <c r="JT86" i="119" s="1"/>
  <c r="IW86" i="119"/>
  <c r="KY86" i="119" s="1"/>
  <c r="HS86" i="119"/>
  <c r="JU86" i="119" s="1"/>
  <c r="IX86" i="119"/>
  <c r="KZ86" i="119" s="1"/>
  <c r="HV86" i="119"/>
  <c r="JX86" i="119" s="1"/>
  <c r="IY86" i="119"/>
  <c r="LA86" i="119" s="1"/>
  <c r="HW86" i="119"/>
  <c r="JY86" i="119" s="1"/>
  <c r="JA86" i="119"/>
  <c r="LC86" i="119" s="1"/>
  <c r="HX86" i="119"/>
  <c r="JZ86" i="119" s="1"/>
  <c r="JB86" i="119"/>
  <c r="LD86" i="119" s="1"/>
  <c r="IA86" i="119"/>
  <c r="KC86" i="119" s="1"/>
  <c r="JG86" i="119"/>
  <c r="LI86" i="119" s="1"/>
  <c r="HY86" i="119"/>
  <c r="KA86" i="119" s="1"/>
  <c r="IC86" i="119"/>
  <c r="KE86" i="119" s="1"/>
  <c r="IG86" i="119"/>
  <c r="KI86" i="119" s="1"/>
  <c r="JC86" i="119"/>
  <c r="LE86" i="119" s="1"/>
  <c r="JI86" i="119"/>
  <c r="LK86" i="119" s="1"/>
  <c r="JN86" i="119"/>
  <c r="LP86" i="119" s="1"/>
  <c r="HR121" i="119"/>
  <c r="JT121" i="119" s="1"/>
  <c r="IH121" i="119"/>
  <c r="KJ121" i="119" s="1"/>
  <c r="IX121" i="119"/>
  <c r="KZ121" i="119" s="1"/>
  <c r="JN121" i="119"/>
  <c r="LP121" i="119" s="1"/>
  <c r="HS121" i="119"/>
  <c r="JU121" i="119" s="1"/>
  <c r="II121" i="119"/>
  <c r="KK121" i="119" s="1"/>
  <c r="IY121" i="119"/>
  <c r="LA121" i="119" s="1"/>
  <c r="HV121" i="119"/>
  <c r="JX121" i="119" s="1"/>
  <c r="IL121" i="119"/>
  <c r="KN121" i="119" s="1"/>
  <c r="JB121" i="119"/>
  <c r="LD121" i="119" s="1"/>
  <c r="HW121" i="119"/>
  <c r="JY121" i="119" s="1"/>
  <c r="IM121" i="119"/>
  <c r="KO121" i="119" s="1"/>
  <c r="JC121" i="119"/>
  <c r="LE121" i="119" s="1"/>
  <c r="HZ121" i="119"/>
  <c r="KB121" i="119" s="1"/>
  <c r="IP121" i="119"/>
  <c r="KR121" i="119" s="1"/>
  <c r="JF121" i="119"/>
  <c r="LH121" i="119" s="1"/>
  <c r="ID121" i="119"/>
  <c r="KF121" i="119" s="1"/>
  <c r="JA121" i="119"/>
  <c r="LC121" i="119" s="1"/>
  <c r="IE121" i="119"/>
  <c r="KG121" i="119" s="1"/>
  <c r="JD121" i="119"/>
  <c r="LF121" i="119" s="1"/>
  <c r="IF121" i="119"/>
  <c r="KH121" i="119" s="1"/>
  <c r="JE121" i="119"/>
  <c r="LG121" i="119" s="1"/>
  <c r="IG121" i="119"/>
  <c r="KI121" i="119" s="1"/>
  <c r="JG121" i="119"/>
  <c r="LI121" i="119" s="1"/>
  <c r="IJ121" i="119"/>
  <c r="KL121" i="119" s="1"/>
  <c r="JH121" i="119"/>
  <c r="LJ121" i="119" s="1"/>
  <c r="IK121" i="119"/>
  <c r="KM121" i="119" s="1"/>
  <c r="JI121" i="119"/>
  <c r="LK121" i="119" s="1"/>
  <c r="HO121" i="119"/>
  <c r="JQ121" i="119" s="1"/>
  <c r="IN121" i="119"/>
  <c r="KP121" i="119" s="1"/>
  <c r="JJ121" i="119"/>
  <c r="LL121" i="119" s="1"/>
  <c r="HP121" i="119"/>
  <c r="JR121" i="119" s="1"/>
  <c r="IO121" i="119"/>
  <c r="KQ121" i="119" s="1"/>
  <c r="JK121" i="119"/>
  <c r="LM121" i="119" s="1"/>
  <c r="HQ121" i="119"/>
  <c r="JS121" i="119" s="1"/>
  <c r="IQ121" i="119"/>
  <c r="KS121" i="119" s="1"/>
  <c r="JL121" i="119"/>
  <c r="LN121" i="119" s="1"/>
  <c r="HT121" i="119"/>
  <c r="JV121" i="119" s="1"/>
  <c r="IR121" i="119"/>
  <c r="KT121" i="119" s="1"/>
  <c r="JM121" i="119"/>
  <c r="LO121" i="119" s="1"/>
  <c r="HU121" i="119"/>
  <c r="JW121" i="119" s="1"/>
  <c r="IS121" i="119"/>
  <c r="KU121" i="119" s="1"/>
  <c r="HX121" i="119"/>
  <c r="JZ121" i="119" s="1"/>
  <c r="IT121" i="119"/>
  <c r="KV121" i="119" s="1"/>
  <c r="HY121" i="119"/>
  <c r="KA121" i="119" s="1"/>
  <c r="IU121" i="119"/>
  <c r="KW121" i="119" s="1"/>
  <c r="IA121" i="119"/>
  <c r="KC121" i="119" s="1"/>
  <c r="IV121" i="119"/>
  <c r="KX121" i="119" s="1"/>
  <c r="IB121" i="119"/>
  <c r="KD121" i="119" s="1"/>
  <c r="IC121" i="119"/>
  <c r="KE121" i="119" s="1"/>
  <c r="IW121" i="119"/>
  <c r="KY121" i="119" s="1"/>
  <c r="IZ121" i="119"/>
  <c r="LB121" i="119" s="1"/>
  <c r="IN55" i="119"/>
  <c r="KP55" i="119" s="1"/>
  <c r="IB78" i="119"/>
  <c r="KD78" i="119" s="1"/>
  <c r="IB106" i="119"/>
  <c r="KD106" i="119" s="1"/>
  <c r="IC102" i="119"/>
  <c r="KE102" i="119" s="1"/>
  <c r="HV63" i="119"/>
  <c r="JX63" i="119" s="1"/>
  <c r="IL63" i="119"/>
  <c r="KN63" i="119" s="1"/>
  <c r="JB63" i="119"/>
  <c r="LD63" i="119" s="1"/>
  <c r="HS63" i="119"/>
  <c r="JU63" i="119" s="1"/>
  <c r="IJ63" i="119"/>
  <c r="KL63" i="119" s="1"/>
  <c r="JA63" i="119"/>
  <c r="LC63" i="119" s="1"/>
  <c r="HX63" i="119"/>
  <c r="JZ63" i="119" s="1"/>
  <c r="IP63" i="119"/>
  <c r="KR63" i="119" s="1"/>
  <c r="JH63" i="119"/>
  <c r="LJ63" i="119" s="1"/>
  <c r="HY63" i="119"/>
  <c r="KA63" i="119" s="1"/>
  <c r="IQ63" i="119"/>
  <c r="KS63" i="119" s="1"/>
  <c r="JI63" i="119"/>
  <c r="LK63" i="119" s="1"/>
  <c r="HZ63" i="119"/>
  <c r="KB63" i="119" s="1"/>
  <c r="IR63" i="119"/>
  <c r="KT63" i="119" s="1"/>
  <c r="JJ63" i="119"/>
  <c r="LL63" i="119" s="1"/>
  <c r="IB63" i="119"/>
  <c r="KD63" i="119" s="1"/>
  <c r="IT63" i="119"/>
  <c r="KV63" i="119" s="1"/>
  <c r="JL63" i="119"/>
  <c r="LN63" i="119" s="1"/>
  <c r="IC63" i="119"/>
  <c r="KE63" i="119" s="1"/>
  <c r="IU63" i="119"/>
  <c r="KW63" i="119" s="1"/>
  <c r="JM63" i="119"/>
  <c r="LO63" i="119" s="1"/>
  <c r="ID63" i="119"/>
  <c r="KF63" i="119" s="1"/>
  <c r="IV63" i="119"/>
  <c r="KX63" i="119" s="1"/>
  <c r="HO63" i="119"/>
  <c r="JQ63" i="119" s="1"/>
  <c r="IG63" i="119"/>
  <c r="KI63" i="119" s="1"/>
  <c r="IY63" i="119"/>
  <c r="LA63" i="119" s="1"/>
  <c r="HR63" i="119"/>
  <c r="JT63" i="119" s="1"/>
  <c r="IK63" i="119"/>
  <c r="KM63" i="119" s="1"/>
  <c r="JD63" i="119"/>
  <c r="LF63" i="119" s="1"/>
  <c r="IE63" i="119"/>
  <c r="KG63" i="119" s="1"/>
  <c r="JN63" i="119"/>
  <c r="LP63" i="119" s="1"/>
  <c r="IF63" i="119"/>
  <c r="KH63" i="119" s="1"/>
  <c r="II63" i="119"/>
  <c r="KK63" i="119" s="1"/>
  <c r="IN63" i="119"/>
  <c r="KP63" i="119" s="1"/>
  <c r="IO63" i="119"/>
  <c r="KQ63" i="119" s="1"/>
  <c r="IW63" i="119"/>
  <c r="KY63" i="119" s="1"/>
  <c r="IX63" i="119"/>
  <c r="KZ63" i="119" s="1"/>
  <c r="HP63" i="119"/>
  <c r="JR63" i="119" s="1"/>
  <c r="IZ63" i="119"/>
  <c r="LB63" i="119" s="1"/>
  <c r="HQ63" i="119"/>
  <c r="JS63" i="119" s="1"/>
  <c r="JC63" i="119"/>
  <c r="LE63" i="119" s="1"/>
  <c r="HT63" i="119"/>
  <c r="JV63" i="119" s="1"/>
  <c r="HU63" i="119"/>
  <c r="JW63" i="119" s="1"/>
  <c r="HW63" i="119"/>
  <c r="JY63" i="119" s="1"/>
  <c r="IA63" i="119"/>
  <c r="KC63" i="119" s="1"/>
  <c r="IH63" i="119"/>
  <c r="KJ63" i="119" s="1"/>
  <c r="IM63" i="119"/>
  <c r="KO63" i="119" s="1"/>
  <c r="IS63" i="119"/>
  <c r="KU63" i="119" s="1"/>
  <c r="JE63" i="119"/>
  <c r="LG63" i="119" s="1"/>
  <c r="JF63" i="119"/>
  <c r="LH63" i="119" s="1"/>
  <c r="JG63" i="119"/>
  <c r="LI63" i="119" s="1"/>
  <c r="JK63" i="119"/>
  <c r="LM63" i="119" s="1"/>
  <c r="HR100" i="119"/>
  <c r="JT100" i="119" s="1"/>
  <c r="IH100" i="119"/>
  <c r="KJ100" i="119" s="1"/>
  <c r="IX100" i="119"/>
  <c r="KZ100" i="119" s="1"/>
  <c r="JN100" i="119"/>
  <c r="LP100" i="119" s="1"/>
  <c r="IA100" i="119"/>
  <c r="KC100" i="119" s="1"/>
  <c r="IR100" i="119"/>
  <c r="KT100" i="119" s="1"/>
  <c r="JI100" i="119"/>
  <c r="LK100" i="119" s="1"/>
  <c r="HW100" i="119"/>
  <c r="JY100" i="119" s="1"/>
  <c r="IO100" i="119"/>
  <c r="KQ100" i="119" s="1"/>
  <c r="JG100" i="119"/>
  <c r="LI100" i="119" s="1"/>
  <c r="HX100" i="119"/>
  <c r="JZ100" i="119" s="1"/>
  <c r="IP100" i="119"/>
  <c r="KR100" i="119" s="1"/>
  <c r="JH100" i="119"/>
  <c r="LJ100" i="119" s="1"/>
  <c r="IB100" i="119"/>
  <c r="KD100" i="119" s="1"/>
  <c r="IT100" i="119"/>
  <c r="KV100" i="119" s="1"/>
  <c r="JL100" i="119"/>
  <c r="LN100" i="119" s="1"/>
  <c r="IC100" i="119"/>
  <c r="KE100" i="119" s="1"/>
  <c r="IU100" i="119"/>
  <c r="KW100" i="119" s="1"/>
  <c r="JM100" i="119"/>
  <c r="LO100" i="119" s="1"/>
  <c r="IF100" i="119"/>
  <c r="KH100" i="119" s="1"/>
  <c r="IY100" i="119"/>
  <c r="LA100" i="119" s="1"/>
  <c r="HO100" i="119"/>
  <c r="JQ100" i="119" s="1"/>
  <c r="IG100" i="119"/>
  <c r="KI100" i="119" s="1"/>
  <c r="IZ100" i="119"/>
  <c r="LB100" i="119" s="1"/>
  <c r="HS100" i="119"/>
  <c r="JU100" i="119" s="1"/>
  <c r="IK100" i="119"/>
  <c r="KM100" i="119" s="1"/>
  <c r="JC100" i="119"/>
  <c r="LE100" i="119" s="1"/>
  <c r="HT100" i="119"/>
  <c r="JV100" i="119" s="1"/>
  <c r="JA100" i="119"/>
  <c r="LC100" i="119" s="1"/>
  <c r="HU100" i="119"/>
  <c r="JW100" i="119" s="1"/>
  <c r="JB100" i="119"/>
  <c r="LD100" i="119" s="1"/>
  <c r="HV100" i="119"/>
  <c r="JX100" i="119" s="1"/>
  <c r="JD100" i="119"/>
  <c r="LF100" i="119" s="1"/>
  <c r="HY100" i="119"/>
  <c r="KA100" i="119" s="1"/>
  <c r="JE100" i="119"/>
  <c r="LG100" i="119" s="1"/>
  <c r="HZ100" i="119"/>
  <c r="KB100" i="119" s="1"/>
  <c r="JF100" i="119"/>
  <c r="LH100" i="119" s="1"/>
  <c r="ID100" i="119"/>
  <c r="KF100" i="119" s="1"/>
  <c r="JJ100" i="119"/>
  <c r="LL100" i="119" s="1"/>
  <c r="IE100" i="119"/>
  <c r="KG100" i="119" s="1"/>
  <c r="JK100" i="119"/>
  <c r="LM100" i="119" s="1"/>
  <c r="II100" i="119"/>
  <c r="KK100" i="119" s="1"/>
  <c r="IJ100" i="119"/>
  <c r="KL100" i="119" s="1"/>
  <c r="IL100" i="119"/>
  <c r="KN100" i="119" s="1"/>
  <c r="IM100" i="119"/>
  <c r="KO100" i="119" s="1"/>
  <c r="IN100" i="119"/>
  <c r="KP100" i="119" s="1"/>
  <c r="IQ100" i="119"/>
  <c r="KS100" i="119" s="1"/>
  <c r="IS100" i="119"/>
  <c r="KU100" i="119" s="1"/>
  <c r="IW100" i="119"/>
  <c r="KY100" i="119" s="1"/>
  <c r="HP100" i="119"/>
  <c r="JR100" i="119" s="1"/>
  <c r="HQ100" i="119"/>
  <c r="JS100" i="119" s="1"/>
  <c r="IV100" i="119"/>
  <c r="KX100" i="119" s="1"/>
  <c r="HZ70" i="119"/>
  <c r="KB70" i="119" s="1"/>
  <c r="IP70" i="119"/>
  <c r="KR70" i="119" s="1"/>
  <c r="JF70" i="119"/>
  <c r="LH70" i="119" s="1"/>
  <c r="IA70" i="119"/>
  <c r="KC70" i="119" s="1"/>
  <c r="IB70" i="119"/>
  <c r="KD70" i="119" s="1"/>
  <c r="IR70" i="119"/>
  <c r="KT70" i="119" s="1"/>
  <c r="JH70" i="119"/>
  <c r="LJ70" i="119" s="1"/>
  <c r="ID70" i="119"/>
  <c r="KF70" i="119" s="1"/>
  <c r="IT70" i="119"/>
  <c r="KV70" i="119" s="1"/>
  <c r="JJ70" i="119"/>
  <c r="LL70" i="119" s="1"/>
  <c r="HO70" i="119"/>
  <c r="JQ70" i="119" s="1"/>
  <c r="IE70" i="119"/>
  <c r="KG70" i="119" s="1"/>
  <c r="IU70" i="119"/>
  <c r="KW70" i="119" s="1"/>
  <c r="JK70" i="119"/>
  <c r="LM70" i="119" s="1"/>
  <c r="HS70" i="119"/>
  <c r="JU70" i="119" s="1"/>
  <c r="II70" i="119"/>
  <c r="KK70" i="119" s="1"/>
  <c r="IY70" i="119"/>
  <c r="LA70" i="119" s="1"/>
  <c r="HV70" i="119"/>
  <c r="JX70" i="119" s="1"/>
  <c r="IL70" i="119"/>
  <c r="KN70" i="119" s="1"/>
  <c r="JB70" i="119"/>
  <c r="LD70" i="119" s="1"/>
  <c r="IN70" i="119"/>
  <c r="KP70" i="119" s="1"/>
  <c r="JN70" i="119"/>
  <c r="LP70" i="119" s="1"/>
  <c r="HP70" i="119"/>
  <c r="JR70" i="119" s="1"/>
  <c r="IO70" i="119"/>
  <c r="KQ70" i="119" s="1"/>
  <c r="HR70" i="119"/>
  <c r="JT70" i="119" s="1"/>
  <c r="IS70" i="119"/>
  <c r="KU70" i="119" s="1"/>
  <c r="HU70" i="119"/>
  <c r="JW70" i="119" s="1"/>
  <c r="IW70" i="119"/>
  <c r="KY70" i="119" s="1"/>
  <c r="HW70" i="119"/>
  <c r="JY70" i="119" s="1"/>
  <c r="IX70" i="119"/>
  <c r="KZ70" i="119" s="1"/>
  <c r="HY70" i="119"/>
  <c r="KA70" i="119" s="1"/>
  <c r="JA70" i="119"/>
  <c r="LC70" i="119" s="1"/>
  <c r="IC70" i="119"/>
  <c r="KE70" i="119" s="1"/>
  <c r="JC70" i="119"/>
  <c r="LE70" i="119" s="1"/>
  <c r="IF70" i="119"/>
  <c r="KH70" i="119" s="1"/>
  <c r="JD70" i="119"/>
  <c r="LF70" i="119" s="1"/>
  <c r="HQ70" i="119"/>
  <c r="JS70" i="119" s="1"/>
  <c r="HT70" i="119"/>
  <c r="JV70" i="119" s="1"/>
  <c r="HX70" i="119"/>
  <c r="JZ70" i="119" s="1"/>
  <c r="IG70" i="119"/>
  <c r="KI70" i="119" s="1"/>
  <c r="IH70" i="119"/>
  <c r="KJ70" i="119" s="1"/>
  <c r="IJ70" i="119"/>
  <c r="KL70" i="119" s="1"/>
  <c r="IK70" i="119"/>
  <c r="KM70" i="119" s="1"/>
  <c r="IM70" i="119"/>
  <c r="KO70" i="119" s="1"/>
  <c r="IQ70" i="119"/>
  <c r="KS70" i="119" s="1"/>
  <c r="IV70" i="119"/>
  <c r="KX70" i="119" s="1"/>
  <c r="IZ70" i="119"/>
  <c r="LB70" i="119" s="1"/>
  <c r="JE70" i="119"/>
  <c r="LG70" i="119" s="1"/>
  <c r="JG70" i="119"/>
  <c r="LI70" i="119" s="1"/>
  <c r="JI70" i="119"/>
  <c r="LK70" i="119" s="1"/>
  <c r="JL70" i="119"/>
  <c r="LN70" i="119" s="1"/>
  <c r="JM70" i="119"/>
  <c r="LO70" i="119" s="1"/>
  <c r="HV120" i="119"/>
  <c r="JX120" i="119" s="1"/>
  <c r="IL120" i="119"/>
  <c r="KN120" i="119" s="1"/>
  <c r="JB120" i="119"/>
  <c r="LD120" i="119" s="1"/>
  <c r="HW120" i="119"/>
  <c r="JY120" i="119" s="1"/>
  <c r="IM120" i="119"/>
  <c r="KO120" i="119" s="1"/>
  <c r="JC120" i="119"/>
  <c r="LE120" i="119" s="1"/>
  <c r="HZ120" i="119"/>
  <c r="KB120" i="119" s="1"/>
  <c r="IP120" i="119"/>
  <c r="KR120" i="119" s="1"/>
  <c r="JF120" i="119"/>
  <c r="LH120" i="119" s="1"/>
  <c r="IA120" i="119"/>
  <c r="KC120" i="119" s="1"/>
  <c r="IQ120" i="119"/>
  <c r="KS120" i="119" s="1"/>
  <c r="JG120" i="119"/>
  <c r="LI120" i="119" s="1"/>
  <c r="ID120" i="119"/>
  <c r="KF120" i="119" s="1"/>
  <c r="IT120" i="119"/>
  <c r="KV120" i="119" s="1"/>
  <c r="JJ120" i="119"/>
  <c r="LL120" i="119" s="1"/>
  <c r="II120" i="119"/>
  <c r="KK120" i="119" s="1"/>
  <c r="JH120" i="119"/>
  <c r="LJ120" i="119" s="1"/>
  <c r="HO120" i="119"/>
  <c r="JQ120" i="119" s="1"/>
  <c r="IJ120" i="119"/>
  <c r="KL120" i="119" s="1"/>
  <c r="JI120" i="119"/>
  <c r="LK120" i="119" s="1"/>
  <c r="HP120" i="119"/>
  <c r="JR120" i="119" s="1"/>
  <c r="IK120" i="119"/>
  <c r="KM120" i="119" s="1"/>
  <c r="JK120" i="119"/>
  <c r="LM120" i="119" s="1"/>
  <c r="HQ120" i="119"/>
  <c r="JS120" i="119" s="1"/>
  <c r="IN120" i="119"/>
  <c r="KP120" i="119" s="1"/>
  <c r="JL120" i="119"/>
  <c r="LN120" i="119" s="1"/>
  <c r="HR120" i="119"/>
  <c r="JT120" i="119" s="1"/>
  <c r="IO120" i="119"/>
  <c r="KQ120" i="119" s="1"/>
  <c r="JM120" i="119"/>
  <c r="LO120" i="119" s="1"/>
  <c r="HS120" i="119"/>
  <c r="JU120" i="119" s="1"/>
  <c r="IR120" i="119"/>
  <c r="KT120" i="119" s="1"/>
  <c r="JN120" i="119"/>
  <c r="LP120" i="119" s="1"/>
  <c r="HT120" i="119"/>
  <c r="JV120" i="119" s="1"/>
  <c r="IS120" i="119"/>
  <c r="KU120" i="119" s="1"/>
  <c r="HU120" i="119"/>
  <c r="JW120" i="119" s="1"/>
  <c r="IU120" i="119"/>
  <c r="KW120" i="119" s="1"/>
  <c r="HX120" i="119"/>
  <c r="JZ120" i="119" s="1"/>
  <c r="IV120" i="119"/>
  <c r="KX120" i="119" s="1"/>
  <c r="HY120" i="119"/>
  <c r="KA120" i="119" s="1"/>
  <c r="IW120" i="119"/>
  <c r="KY120" i="119" s="1"/>
  <c r="IB120" i="119"/>
  <c r="KD120" i="119" s="1"/>
  <c r="IX120" i="119"/>
  <c r="KZ120" i="119" s="1"/>
  <c r="IC120" i="119"/>
  <c r="KE120" i="119" s="1"/>
  <c r="IY120" i="119"/>
  <c r="LA120" i="119" s="1"/>
  <c r="IE120" i="119"/>
  <c r="KG120" i="119" s="1"/>
  <c r="IZ120" i="119"/>
  <c r="LB120" i="119" s="1"/>
  <c r="IF120" i="119"/>
  <c r="KH120" i="119" s="1"/>
  <c r="JA120" i="119"/>
  <c r="LC120" i="119" s="1"/>
  <c r="IG120" i="119"/>
  <c r="KI120" i="119" s="1"/>
  <c r="IH120" i="119"/>
  <c r="KJ120" i="119" s="1"/>
  <c r="JD120" i="119"/>
  <c r="LF120" i="119" s="1"/>
  <c r="JE120" i="119"/>
  <c r="LG120" i="119" s="1"/>
  <c r="HZ147" i="119"/>
  <c r="KB147" i="119" s="1"/>
  <c r="IP147" i="119"/>
  <c r="KR147" i="119" s="1"/>
  <c r="JF147" i="119"/>
  <c r="LH147" i="119" s="1"/>
  <c r="IB147" i="119"/>
  <c r="KD147" i="119" s="1"/>
  <c r="IR147" i="119"/>
  <c r="KT147" i="119" s="1"/>
  <c r="JH147" i="119"/>
  <c r="LJ147" i="119" s="1"/>
  <c r="HO147" i="119"/>
  <c r="JQ147" i="119" s="1"/>
  <c r="IE147" i="119"/>
  <c r="KG147" i="119" s="1"/>
  <c r="IU147" i="119"/>
  <c r="KW147" i="119" s="1"/>
  <c r="JK147" i="119"/>
  <c r="LM147" i="119" s="1"/>
  <c r="HR147" i="119"/>
  <c r="JT147" i="119" s="1"/>
  <c r="IH147" i="119"/>
  <c r="KJ147" i="119" s="1"/>
  <c r="IX147" i="119"/>
  <c r="KZ147" i="119" s="1"/>
  <c r="JN147" i="119"/>
  <c r="LP147" i="119" s="1"/>
  <c r="HS147" i="119"/>
  <c r="JU147" i="119" s="1"/>
  <c r="II147" i="119"/>
  <c r="KK147" i="119" s="1"/>
  <c r="IY147" i="119"/>
  <c r="LA147" i="119" s="1"/>
  <c r="HV147" i="119"/>
  <c r="JX147" i="119" s="1"/>
  <c r="IL147" i="119"/>
  <c r="KN147" i="119" s="1"/>
  <c r="JB147" i="119"/>
  <c r="LD147" i="119" s="1"/>
  <c r="HU147" i="119"/>
  <c r="JW147" i="119" s="1"/>
  <c r="IT147" i="119"/>
  <c r="KV147" i="119" s="1"/>
  <c r="HW147" i="119"/>
  <c r="JY147" i="119" s="1"/>
  <c r="IV147" i="119"/>
  <c r="KX147" i="119" s="1"/>
  <c r="HX147" i="119"/>
  <c r="JZ147" i="119" s="1"/>
  <c r="IW147" i="119"/>
  <c r="KY147" i="119" s="1"/>
  <c r="HY147" i="119"/>
  <c r="KA147" i="119" s="1"/>
  <c r="IZ147" i="119"/>
  <c r="LB147" i="119" s="1"/>
  <c r="IA147" i="119"/>
  <c r="KC147" i="119" s="1"/>
  <c r="JA147" i="119"/>
  <c r="LC147" i="119" s="1"/>
  <c r="IC147" i="119"/>
  <c r="KE147" i="119" s="1"/>
  <c r="JC147" i="119"/>
  <c r="LE147" i="119" s="1"/>
  <c r="ID147" i="119"/>
  <c r="KF147" i="119" s="1"/>
  <c r="JD147" i="119"/>
  <c r="LF147" i="119" s="1"/>
  <c r="IF147" i="119"/>
  <c r="KH147" i="119" s="1"/>
  <c r="JE147" i="119"/>
  <c r="LG147" i="119" s="1"/>
  <c r="IG147" i="119"/>
  <c r="KI147" i="119" s="1"/>
  <c r="JG147" i="119"/>
  <c r="LI147" i="119" s="1"/>
  <c r="IJ147" i="119"/>
  <c r="KL147" i="119" s="1"/>
  <c r="JI147" i="119"/>
  <c r="LK147" i="119" s="1"/>
  <c r="IK147" i="119"/>
  <c r="KM147" i="119" s="1"/>
  <c r="JJ147" i="119"/>
  <c r="LL147" i="119" s="1"/>
  <c r="IM147" i="119"/>
  <c r="KO147" i="119" s="1"/>
  <c r="JL147" i="119"/>
  <c r="LN147" i="119" s="1"/>
  <c r="IN147" i="119"/>
  <c r="KP147" i="119" s="1"/>
  <c r="JM147" i="119"/>
  <c r="LO147" i="119" s="1"/>
  <c r="HP147" i="119"/>
  <c r="JR147" i="119" s="1"/>
  <c r="IO147" i="119"/>
  <c r="KQ147" i="119" s="1"/>
  <c r="HQ147" i="119"/>
  <c r="JS147" i="119" s="1"/>
  <c r="HT147" i="119"/>
  <c r="JV147" i="119" s="1"/>
  <c r="IQ147" i="119"/>
  <c r="KS147" i="119" s="1"/>
  <c r="IS147" i="119"/>
  <c r="KU147" i="119" s="1"/>
  <c r="HV71" i="119"/>
  <c r="JX71" i="119" s="1"/>
  <c r="IL71" i="119"/>
  <c r="KN71" i="119" s="1"/>
  <c r="JB71" i="119"/>
  <c r="LD71" i="119" s="1"/>
  <c r="HX71" i="119"/>
  <c r="JZ71" i="119" s="1"/>
  <c r="IN71" i="119"/>
  <c r="KP71" i="119" s="1"/>
  <c r="JD71" i="119"/>
  <c r="LF71" i="119" s="1"/>
  <c r="HZ71" i="119"/>
  <c r="KB71" i="119" s="1"/>
  <c r="IP71" i="119"/>
  <c r="KR71" i="119" s="1"/>
  <c r="JF71" i="119"/>
  <c r="LH71" i="119" s="1"/>
  <c r="IA71" i="119"/>
  <c r="KC71" i="119" s="1"/>
  <c r="IQ71" i="119"/>
  <c r="KS71" i="119" s="1"/>
  <c r="JG71" i="119"/>
  <c r="LI71" i="119" s="1"/>
  <c r="HO71" i="119"/>
  <c r="JQ71" i="119" s="1"/>
  <c r="IE71" i="119"/>
  <c r="KG71" i="119" s="1"/>
  <c r="IU71" i="119"/>
  <c r="KW71" i="119" s="1"/>
  <c r="JK71" i="119"/>
  <c r="LM71" i="119" s="1"/>
  <c r="HR71" i="119"/>
  <c r="JT71" i="119" s="1"/>
  <c r="IH71" i="119"/>
  <c r="KJ71" i="119" s="1"/>
  <c r="IX71" i="119"/>
  <c r="KZ71" i="119" s="1"/>
  <c r="JN71" i="119"/>
  <c r="LP71" i="119" s="1"/>
  <c r="IM71" i="119"/>
  <c r="KO71" i="119" s="1"/>
  <c r="JM71" i="119"/>
  <c r="LO71" i="119" s="1"/>
  <c r="HP71" i="119"/>
  <c r="JR71" i="119" s="1"/>
  <c r="IO71" i="119"/>
  <c r="KQ71" i="119" s="1"/>
  <c r="HS71" i="119"/>
  <c r="JU71" i="119" s="1"/>
  <c r="IS71" i="119"/>
  <c r="KU71" i="119" s="1"/>
  <c r="HU71" i="119"/>
  <c r="JW71" i="119" s="1"/>
  <c r="IV71" i="119"/>
  <c r="KX71" i="119" s="1"/>
  <c r="HW71" i="119"/>
  <c r="JY71" i="119" s="1"/>
  <c r="IW71" i="119"/>
  <c r="KY71" i="119" s="1"/>
  <c r="IB71" i="119"/>
  <c r="KD71" i="119" s="1"/>
  <c r="IZ71" i="119"/>
  <c r="LB71" i="119" s="1"/>
  <c r="IC71" i="119"/>
  <c r="KE71" i="119" s="1"/>
  <c r="JA71" i="119"/>
  <c r="LC71" i="119" s="1"/>
  <c r="ID71" i="119"/>
  <c r="KF71" i="119" s="1"/>
  <c r="JC71" i="119"/>
  <c r="LE71" i="119" s="1"/>
  <c r="HQ71" i="119"/>
  <c r="JS71" i="119" s="1"/>
  <c r="HT71" i="119"/>
  <c r="JV71" i="119" s="1"/>
  <c r="HY71" i="119"/>
  <c r="KA71" i="119" s="1"/>
  <c r="IF71" i="119"/>
  <c r="KH71" i="119" s="1"/>
  <c r="IG71" i="119"/>
  <c r="KI71" i="119" s="1"/>
  <c r="II71" i="119"/>
  <c r="KK71" i="119" s="1"/>
  <c r="IJ71" i="119"/>
  <c r="KL71" i="119" s="1"/>
  <c r="IK71" i="119"/>
  <c r="KM71" i="119" s="1"/>
  <c r="IR71" i="119"/>
  <c r="KT71" i="119" s="1"/>
  <c r="IT71" i="119"/>
  <c r="KV71" i="119" s="1"/>
  <c r="IY71" i="119"/>
  <c r="LA71" i="119" s="1"/>
  <c r="JE71" i="119"/>
  <c r="LG71" i="119" s="1"/>
  <c r="JH71" i="119"/>
  <c r="LJ71" i="119" s="1"/>
  <c r="JI71" i="119"/>
  <c r="LK71" i="119" s="1"/>
  <c r="JJ71" i="119"/>
  <c r="LL71" i="119" s="1"/>
  <c r="JL71" i="119"/>
  <c r="LN71" i="119" s="1"/>
  <c r="IR78" i="119"/>
  <c r="KT78" i="119" s="1"/>
  <c r="IR106" i="119"/>
  <c r="KT106" i="119" s="1"/>
  <c r="IS102" i="119"/>
  <c r="KU102" i="119" s="1"/>
  <c r="HR12" i="119"/>
  <c r="JT12" i="119" s="1"/>
  <c r="IH12" i="119"/>
  <c r="KJ12" i="119" s="1"/>
  <c r="IX12" i="119"/>
  <c r="KZ12" i="119" s="1"/>
  <c r="JN12" i="119"/>
  <c r="LP12" i="119" s="1"/>
  <c r="HS12" i="119"/>
  <c r="JU12" i="119" s="1"/>
  <c r="II12" i="119"/>
  <c r="KK12" i="119" s="1"/>
  <c r="IY12" i="119"/>
  <c r="LA12" i="119" s="1"/>
  <c r="HT12" i="119"/>
  <c r="JV12" i="119" s="1"/>
  <c r="IJ12" i="119"/>
  <c r="KL12" i="119" s="1"/>
  <c r="IZ12" i="119"/>
  <c r="LB12" i="119" s="1"/>
  <c r="HW12" i="119"/>
  <c r="JY12" i="119" s="1"/>
  <c r="IM12" i="119"/>
  <c r="KO12" i="119" s="1"/>
  <c r="JC12" i="119"/>
  <c r="LE12" i="119" s="1"/>
  <c r="HX12" i="119"/>
  <c r="JZ12" i="119" s="1"/>
  <c r="IN12" i="119"/>
  <c r="KP12" i="119" s="1"/>
  <c r="JD12" i="119"/>
  <c r="LF12" i="119" s="1"/>
  <c r="HZ12" i="119"/>
  <c r="KB12" i="119" s="1"/>
  <c r="IP12" i="119"/>
  <c r="KR12" i="119" s="1"/>
  <c r="JF12" i="119"/>
  <c r="LH12" i="119" s="1"/>
  <c r="IA12" i="119"/>
  <c r="KC12" i="119" s="1"/>
  <c r="IQ12" i="119"/>
  <c r="KS12" i="119" s="1"/>
  <c r="JG12" i="119"/>
  <c r="LI12" i="119" s="1"/>
  <c r="IB12" i="119"/>
  <c r="KD12" i="119" s="1"/>
  <c r="IR12" i="119"/>
  <c r="KT12" i="119" s="1"/>
  <c r="JH12" i="119"/>
  <c r="LJ12" i="119" s="1"/>
  <c r="HO12" i="119"/>
  <c r="JQ12" i="119" s="1"/>
  <c r="IE12" i="119"/>
  <c r="KG12" i="119" s="1"/>
  <c r="IU12" i="119"/>
  <c r="KW12" i="119" s="1"/>
  <c r="JK12" i="119"/>
  <c r="LM12" i="119" s="1"/>
  <c r="JJ12" i="119"/>
  <c r="LL12" i="119" s="1"/>
  <c r="ID12" i="119"/>
  <c r="KF12" i="119" s="1"/>
  <c r="JM12" i="119"/>
  <c r="LO12" i="119" s="1"/>
  <c r="IG12" i="119"/>
  <c r="KI12" i="119" s="1"/>
  <c r="IK12" i="119"/>
  <c r="KM12" i="119" s="1"/>
  <c r="IS12" i="119"/>
  <c r="KU12" i="119" s="1"/>
  <c r="IT12" i="119"/>
  <c r="KV12" i="119" s="1"/>
  <c r="IV12" i="119"/>
  <c r="KX12" i="119" s="1"/>
  <c r="IW12" i="119"/>
  <c r="KY12" i="119" s="1"/>
  <c r="JI12" i="119"/>
  <c r="LK12" i="119" s="1"/>
  <c r="JL12" i="119"/>
  <c r="LN12" i="119" s="1"/>
  <c r="HV12" i="119"/>
  <c r="JX12" i="119" s="1"/>
  <c r="HU12" i="119"/>
  <c r="JW12" i="119" s="1"/>
  <c r="IF12" i="119"/>
  <c r="KH12" i="119" s="1"/>
  <c r="JA12" i="119"/>
  <c r="LC12" i="119" s="1"/>
  <c r="HP12" i="119"/>
  <c r="JR12" i="119" s="1"/>
  <c r="HQ12" i="119"/>
  <c r="JS12" i="119" s="1"/>
  <c r="IC12" i="119"/>
  <c r="KE12" i="119" s="1"/>
  <c r="JB12" i="119"/>
  <c r="LD12" i="119" s="1"/>
  <c r="IL12" i="119"/>
  <c r="KN12" i="119" s="1"/>
  <c r="ID118" i="119"/>
  <c r="KF118" i="119" s="1"/>
  <c r="IT118" i="119"/>
  <c r="KV118" i="119" s="1"/>
  <c r="JJ118" i="119"/>
  <c r="LL118" i="119" s="1"/>
  <c r="HO118" i="119"/>
  <c r="JQ118" i="119" s="1"/>
  <c r="IE118" i="119"/>
  <c r="KG118" i="119" s="1"/>
  <c r="IU118" i="119"/>
  <c r="KW118" i="119" s="1"/>
  <c r="JK118" i="119"/>
  <c r="LM118" i="119" s="1"/>
  <c r="HR118" i="119"/>
  <c r="JT118" i="119" s="1"/>
  <c r="IH118" i="119"/>
  <c r="KJ118" i="119" s="1"/>
  <c r="IX118" i="119"/>
  <c r="KZ118" i="119" s="1"/>
  <c r="JN118" i="119"/>
  <c r="LP118" i="119" s="1"/>
  <c r="HS118" i="119"/>
  <c r="JU118" i="119" s="1"/>
  <c r="II118" i="119"/>
  <c r="KK118" i="119" s="1"/>
  <c r="IY118" i="119"/>
  <c r="LA118" i="119" s="1"/>
  <c r="HV118" i="119"/>
  <c r="JX118" i="119" s="1"/>
  <c r="IL118" i="119"/>
  <c r="KN118" i="119" s="1"/>
  <c r="JB118" i="119"/>
  <c r="LD118" i="119" s="1"/>
  <c r="HX118" i="119"/>
  <c r="JZ118" i="119" s="1"/>
  <c r="IS118" i="119"/>
  <c r="KU118" i="119" s="1"/>
  <c r="HY118" i="119"/>
  <c r="KA118" i="119" s="1"/>
  <c r="IV118" i="119"/>
  <c r="KX118" i="119" s="1"/>
  <c r="HZ118" i="119"/>
  <c r="KB118" i="119" s="1"/>
  <c r="IW118" i="119"/>
  <c r="KY118" i="119" s="1"/>
  <c r="IA118" i="119"/>
  <c r="KC118" i="119" s="1"/>
  <c r="IZ118" i="119"/>
  <c r="LB118" i="119" s="1"/>
  <c r="IB118" i="119"/>
  <c r="KD118" i="119" s="1"/>
  <c r="JA118" i="119"/>
  <c r="LC118" i="119" s="1"/>
  <c r="IC118" i="119"/>
  <c r="KE118" i="119" s="1"/>
  <c r="JC118" i="119"/>
  <c r="LE118" i="119" s="1"/>
  <c r="IF118" i="119"/>
  <c r="KH118" i="119" s="1"/>
  <c r="JD118" i="119"/>
  <c r="LF118" i="119" s="1"/>
  <c r="IG118" i="119"/>
  <c r="KI118" i="119" s="1"/>
  <c r="JE118" i="119"/>
  <c r="LG118" i="119" s="1"/>
  <c r="IJ118" i="119"/>
  <c r="KL118" i="119" s="1"/>
  <c r="JF118" i="119"/>
  <c r="LH118" i="119" s="1"/>
  <c r="IK118" i="119"/>
  <c r="KM118" i="119" s="1"/>
  <c r="JG118" i="119"/>
  <c r="LI118" i="119" s="1"/>
  <c r="IM118" i="119"/>
  <c r="KO118" i="119" s="1"/>
  <c r="JH118" i="119"/>
  <c r="LJ118" i="119" s="1"/>
  <c r="HP118" i="119"/>
  <c r="JR118" i="119" s="1"/>
  <c r="IN118" i="119"/>
  <c r="KP118" i="119" s="1"/>
  <c r="JI118" i="119"/>
  <c r="LK118" i="119" s="1"/>
  <c r="HQ118" i="119"/>
  <c r="JS118" i="119" s="1"/>
  <c r="IO118" i="119"/>
  <c r="KQ118" i="119" s="1"/>
  <c r="JL118" i="119"/>
  <c r="LN118" i="119" s="1"/>
  <c r="HT118" i="119"/>
  <c r="JV118" i="119" s="1"/>
  <c r="IP118" i="119"/>
  <c r="KR118" i="119" s="1"/>
  <c r="JM118" i="119"/>
  <c r="LO118" i="119" s="1"/>
  <c r="IQ118" i="119"/>
  <c r="KS118" i="119" s="1"/>
  <c r="IR118" i="119"/>
  <c r="KT118" i="119" s="1"/>
  <c r="HU118" i="119"/>
  <c r="JW118" i="119" s="1"/>
  <c r="HW118" i="119"/>
  <c r="JY118" i="119" s="1"/>
  <c r="HZ131" i="119"/>
  <c r="KB131" i="119" s="1"/>
  <c r="IP131" i="119"/>
  <c r="KR131" i="119" s="1"/>
  <c r="JF131" i="119"/>
  <c r="LH131" i="119" s="1"/>
  <c r="IA131" i="119"/>
  <c r="KC131" i="119" s="1"/>
  <c r="IQ131" i="119"/>
  <c r="KS131" i="119" s="1"/>
  <c r="JG131" i="119"/>
  <c r="LI131" i="119" s="1"/>
  <c r="ID131" i="119"/>
  <c r="KF131" i="119" s="1"/>
  <c r="IT131" i="119"/>
  <c r="KV131" i="119" s="1"/>
  <c r="JJ131" i="119"/>
  <c r="LL131" i="119" s="1"/>
  <c r="HV131" i="119"/>
  <c r="JX131" i="119" s="1"/>
  <c r="IO131" i="119"/>
  <c r="KQ131" i="119" s="1"/>
  <c r="JK131" i="119"/>
  <c r="LM131" i="119" s="1"/>
  <c r="HX131" i="119"/>
  <c r="JZ131" i="119" s="1"/>
  <c r="IS131" i="119"/>
  <c r="KU131" i="119" s="1"/>
  <c r="JM131" i="119"/>
  <c r="LO131" i="119" s="1"/>
  <c r="HY131" i="119"/>
  <c r="KA131" i="119" s="1"/>
  <c r="IU131" i="119"/>
  <c r="KW131" i="119" s="1"/>
  <c r="JN131" i="119"/>
  <c r="LP131" i="119" s="1"/>
  <c r="IC131" i="119"/>
  <c r="KE131" i="119" s="1"/>
  <c r="IW131" i="119"/>
  <c r="KY131" i="119" s="1"/>
  <c r="IG131" i="119"/>
  <c r="KI131" i="119" s="1"/>
  <c r="IZ131" i="119"/>
  <c r="LB131" i="119" s="1"/>
  <c r="HO131" i="119"/>
  <c r="JQ131" i="119" s="1"/>
  <c r="IH131" i="119"/>
  <c r="KJ131" i="119" s="1"/>
  <c r="JA131" i="119"/>
  <c r="LC131" i="119" s="1"/>
  <c r="HP131" i="119"/>
  <c r="JR131" i="119" s="1"/>
  <c r="II131" i="119"/>
  <c r="KK131" i="119" s="1"/>
  <c r="JB131" i="119"/>
  <c r="LD131" i="119" s="1"/>
  <c r="HR131" i="119"/>
  <c r="JT131" i="119" s="1"/>
  <c r="IK131" i="119"/>
  <c r="KM131" i="119" s="1"/>
  <c r="JD131" i="119"/>
  <c r="LF131" i="119" s="1"/>
  <c r="IY131" i="119"/>
  <c r="LA131" i="119" s="1"/>
  <c r="HQ131" i="119"/>
  <c r="JS131" i="119" s="1"/>
  <c r="JC131" i="119"/>
  <c r="LE131" i="119" s="1"/>
  <c r="HS131" i="119"/>
  <c r="JU131" i="119" s="1"/>
  <c r="JE131" i="119"/>
  <c r="LG131" i="119" s="1"/>
  <c r="HT131" i="119"/>
  <c r="JV131" i="119" s="1"/>
  <c r="JH131" i="119"/>
  <c r="LJ131" i="119" s="1"/>
  <c r="HU131" i="119"/>
  <c r="JW131" i="119" s="1"/>
  <c r="JI131" i="119"/>
  <c r="LK131" i="119" s="1"/>
  <c r="HW131" i="119"/>
  <c r="JY131" i="119" s="1"/>
  <c r="JL131" i="119"/>
  <c r="LN131" i="119" s="1"/>
  <c r="IB131" i="119"/>
  <c r="KD131" i="119" s="1"/>
  <c r="IE131" i="119"/>
  <c r="KG131" i="119" s="1"/>
  <c r="IF131" i="119"/>
  <c r="KH131" i="119" s="1"/>
  <c r="IJ131" i="119"/>
  <c r="KL131" i="119" s="1"/>
  <c r="IL131" i="119"/>
  <c r="KN131" i="119" s="1"/>
  <c r="IM131" i="119"/>
  <c r="KO131" i="119" s="1"/>
  <c r="IN131" i="119"/>
  <c r="KP131" i="119" s="1"/>
  <c r="IR131" i="119"/>
  <c r="KT131" i="119" s="1"/>
  <c r="IV131" i="119"/>
  <c r="KX131" i="119" s="1"/>
  <c r="IX131" i="119"/>
  <c r="KZ131" i="119" s="1"/>
  <c r="HV140" i="119"/>
  <c r="JX140" i="119" s="1"/>
  <c r="IL140" i="119"/>
  <c r="KN140" i="119" s="1"/>
  <c r="JB140" i="119"/>
  <c r="LD140" i="119" s="1"/>
  <c r="HX140" i="119"/>
  <c r="JZ140" i="119" s="1"/>
  <c r="IN140" i="119"/>
  <c r="KP140" i="119" s="1"/>
  <c r="JD140" i="119"/>
  <c r="LF140" i="119" s="1"/>
  <c r="IA140" i="119"/>
  <c r="KC140" i="119" s="1"/>
  <c r="IQ140" i="119"/>
  <c r="KS140" i="119" s="1"/>
  <c r="JG140" i="119"/>
  <c r="LI140" i="119" s="1"/>
  <c r="ID140" i="119"/>
  <c r="KF140" i="119" s="1"/>
  <c r="IT140" i="119"/>
  <c r="KV140" i="119" s="1"/>
  <c r="JJ140" i="119"/>
  <c r="LL140" i="119" s="1"/>
  <c r="HO140" i="119"/>
  <c r="JQ140" i="119" s="1"/>
  <c r="IE140" i="119"/>
  <c r="KG140" i="119" s="1"/>
  <c r="IU140" i="119"/>
  <c r="KW140" i="119" s="1"/>
  <c r="JK140" i="119"/>
  <c r="LM140" i="119" s="1"/>
  <c r="HR140" i="119"/>
  <c r="JT140" i="119" s="1"/>
  <c r="IH140" i="119"/>
  <c r="KJ140" i="119" s="1"/>
  <c r="IX140" i="119"/>
  <c r="KZ140" i="119" s="1"/>
  <c r="JN140" i="119"/>
  <c r="LP140" i="119" s="1"/>
  <c r="IM140" i="119"/>
  <c r="KO140" i="119" s="1"/>
  <c r="JM140" i="119"/>
  <c r="LO140" i="119" s="1"/>
  <c r="HP140" i="119"/>
  <c r="JR140" i="119" s="1"/>
  <c r="IO140" i="119"/>
  <c r="KQ140" i="119" s="1"/>
  <c r="HQ140" i="119"/>
  <c r="JS140" i="119" s="1"/>
  <c r="IP140" i="119"/>
  <c r="KR140" i="119" s="1"/>
  <c r="HS140" i="119"/>
  <c r="JU140" i="119" s="1"/>
  <c r="IR140" i="119"/>
  <c r="KT140" i="119" s="1"/>
  <c r="HT140" i="119"/>
  <c r="JV140" i="119" s="1"/>
  <c r="IS140" i="119"/>
  <c r="KU140" i="119" s="1"/>
  <c r="HU140" i="119"/>
  <c r="JW140" i="119" s="1"/>
  <c r="IV140" i="119"/>
  <c r="KX140" i="119" s="1"/>
  <c r="HW140" i="119"/>
  <c r="JY140" i="119" s="1"/>
  <c r="IW140" i="119"/>
  <c r="KY140" i="119" s="1"/>
  <c r="HY140" i="119"/>
  <c r="KA140" i="119" s="1"/>
  <c r="IY140" i="119"/>
  <c r="LA140" i="119" s="1"/>
  <c r="HZ140" i="119"/>
  <c r="KB140" i="119" s="1"/>
  <c r="IZ140" i="119"/>
  <c r="LB140" i="119" s="1"/>
  <c r="IB140" i="119"/>
  <c r="KD140" i="119" s="1"/>
  <c r="JA140" i="119"/>
  <c r="LC140" i="119" s="1"/>
  <c r="IC140" i="119"/>
  <c r="KE140" i="119" s="1"/>
  <c r="JC140" i="119"/>
  <c r="LE140" i="119" s="1"/>
  <c r="IF140" i="119"/>
  <c r="KH140" i="119" s="1"/>
  <c r="JE140" i="119"/>
  <c r="LG140" i="119" s="1"/>
  <c r="IG140" i="119"/>
  <c r="KI140" i="119" s="1"/>
  <c r="JF140" i="119"/>
  <c r="LH140" i="119" s="1"/>
  <c r="II140" i="119"/>
  <c r="KK140" i="119" s="1"/>
  <c r="JH140" i="119"/>
  <c r="LJ140" i="119" s="1"/>
  <c r="IJ140" i="119"/>
  <c r="KL140" i="119" s="1"/>
  <c r="IK140" i="119"/>
  <c r="KM140" i="119" s="1"/>
  <c r="JI140" i="119"/>
  <c r="LK140" i="119" s="1"/>
  <c r="JL140" i="119"/>
  <c r="LN140" i="119" s="1"/>
  <c r="HR64" i="119"/>
  <c r="JT64" i="119" s="1"/>
  <c r="IH64" i="119"/>
  <c r="KJ64" i="119" s="1"/>
  <c r="IX64" i="119"/>
  <c r="KZ64" i="119" s="1"/>
  <c r="JN64" i="119"/>
  <c r="LP64" i="119" s="1"/>
  <c r="HY64" i="119"/>
  <c r="KA64" i="119" s="1"/>
  <c r="IP64" i="119"/>
  <c r="KR64" i="119" s="1"/>
  <c r="JG64" i="119"/>
  <c r="LI64" i="119" s="1"/>
  <c r="HZ64" i="119"/>
  <c r="KB64" i="119" s="1"/>
  <c r="IQ64" i="119"/>
  <c r="KS64" i="119" s="1"/>
  <c r="JH64" i="119"/>
  <c r="LJ64" i="119" s="1"/>
  <c r="IA64" i="119"/>
  <c r="KC64" i="119" s="1"/>
  <c r="IR64" i="119"/>
  <c r="KT64" i="119" s="1"/>
  <c r="JI64" i="119"/>
  <c r="LK64" i="119" s="1"/>
  <c r="IC64" i="119"/>
  <c r="KE64" i="119" s="1"/>
  <c r="IT64" i="119"/>
  <c r="KV64" i="119" s="1"/>
  <c r="JK64" i="119"/>
  <c r="LM64" i="119" s="1"/>
  <c r="ID64" i="119"/>
  <c r="KF64" i="119" s="1"/>
  <c r="IU64" i="119"/>
  <c r="KW64" i="119" s="1"/>
  <c r="JL64" i="119"/>
  <c r="LN64" i="119" s="1"/>
  <c r="HQ64" i="119"/>
  <c r="JS64" i="119" s="1"/>
  <c r="II64" i="119"/>
  <c r="KK64" i="119" s="1"/>
  <c r="IZ64" i="119"/>
  <c r="LB64" i="119" s="1"/>
  <c r="HU64" i="119"/>
  <c r="JW64" i="119" s="1"/>
  <c r="IL64" i="119"/>
  <c r="KN64" i="119" s="1"/>
  <c r="JC64" i="119"/>
  <c r="LE64" i="119" s="1"/>
  <c r="IO64" i="119"/>
  <c r="KQ64" i="119" s="1"/>
  <c r="HO64" i="119"/>
  <c r="JQ64" i="119" s="1"/>
  <c r="IS64" i="119"/>
  <c r="KU64" i="119" s="1"/>
  <c r="HS64" i="119"/>
  <c r="JU64" i="119" s="1"/>
  <c r="IW64" i="119"/>
  <c r="KY64" i="119" s="1"/>
  <c r="HV64" i="119"/>
  <c r="JX64" i="119" s="1"/>
  <c r="JA64" i="119"/>
  <c r="LC64" i="119" s="1"/>
  <c r="HW64" i="119"/>
  <c r="JY64" i="119" s="1"/>
  <c r="JB64" i="119"/>
  <c r="LD64" i="119" s="1"/>
  <c r="IB64" i="119"/>
  <c r="KD64" i="119" s="1"/>
  <c r="JE64" i="119"/>
  <c r="LG64" i="119" s="1"/>
  <c r="IE64" i="119"/>
  <c r="KG64" i="119" s="1"/>
  <c r="JF64" i="119"/>
  <c r="LH64" i="119" s="1"/>
  <c r="IF64" i="119"/>
  <c r="KH64" i="119" s="1"/>
  <c r="JJ64" i="119"/>
  <c r="LL64" i="119" s="1"/>
  <c r="IG64" i="119"/>
  <c r="KI64" i="119" s="1"/>
  <c r="JM64" i="119"/>
  <c r="LO64" i="119" s="1"/>
  <c r="IM64" i="119"/>
  <c r="KO64" i="119" s="1"/>
  <c r="IN64" i="119"/>
  <c r="KP64" i="119" s="1"/>
  <c r="IV64" i="119"/>
  <c r="KX64" i="119" s="1"/>
  <c r="IY64" i="119"/>
  <c r="LA64" i="119" s="1"/>
  <c r="JD64" i="119"/>
  <c r="LF64" i="119" s="1"/>
  <c r="HP64" i="119"/>
  <c r="JR64" i="119" s="1"/>
  <c r="HT64" i="119"/>
  <c r="JV64" i="119" s="1"/>
  <c r="HX64" i="119"/>
  <c r="JZ64" i="119" s="1"/>
  <c r="IJ64" i="119"/>
  <c r="KL64" i="119" s="1"/>
  <c r="IK64" i="119"/>
  <c r="KM64" i="119" s="1"/>
  <c r="IO12" i="119"/>
  <c r="KQ12" i="119" s="1"/>
  <c r="HV103" i="119"/>
  <c r="JX103" i="119" s="1"/>
  <c r="IL103" i="119"/>
  <c r="KN103" i="119" s="1"/>
  <c r="JB103" i="119"/>
  <c r="LD103" i="119" s="1"/>
  <c r="HY103" i="119"/>
  <c r="KA103" i="119" s="1"/>
  <c r="IP103" i="119"/>
  <c r="KR103" i="119" s="1"/>
  <c r="JG103" i="119"/>
  <c r="LI103" i="119" s="1"/>
  <c r="IE103" i="119"/>
  <c r="KG103" i="119" s="1"/>
  <c r="IW103" i="119"/>
  <c r="KY103" i="119" s="1"/>
  <c r="IF103" i="119"/>
  <c r="KH103" i="119" s="1"/>
  <c r="IX103" i="119"/>
  <c r="KZ103" i="119" s="1"/>
  <c r="HQ103" i="119"/>
  <c r="JS103" i="119" s="1"/>
  <c r="II103" i="119"/>
  <c r="KK103" i="119" s="1"/>
  <c r="JA103" i="119"/>
  <c r="LC103" i="119" s="1"/>
  <c r="HR103" i="119"/>
  <c r="JT103" i="119" s="1"/>
  <c r="IJ103" i="119"/>
  <c r="KL103" i="119" s="1"/>
  <c r="JC103" i="119"/>
  <c r="LE103" i="119" s="1"/>
  <c r="HU103" i="119"/>
  <c r="JW103" i="119" s="1"/>
  <c r="JF103" i="119"/>
  <c r="LH103" i="119" s="1"/>
  <c r="HW103" i="119"/>
  <c r="JY103" i="119" s="1"/>
  <c r="IO103" i="119"/>
  <c r="KQ103" i="119" s="1"/>
  <c r="JH103" i="119"/>
  <c r="LJ103" i="119" s="1"/>
  <c r="IA103" i="119"/>
  <c r="KC103" i="119" s="1"/>
  <c r="IS103" i="119"/>
  <c r="KU103" i="119" s="1"/>
  <c r="JK103" i="119"/>
  <c r="LM103" i="119" s="1"/>
  <c r="HZ103" i="119"/>
  <c r="KB103" i="119" s="1"/>
  <c r="JE103" i="119"/>
  <c r="LG103" i="119" s="1"/>
  <c r="IB103" i="119"/>
  <c r="KD103" i="119" s="1"/>
  <c r="JI103" i="119"/>
  <c r="LK103" i="119" s="1"/>
  <c r="IC103" i="119"/>
  <c r="KE103" i="119" s="1"/>
  <c r="JJ103" i="119"/>
  <c r="LL103" i="119" s="1"/>
  <c r="ID103" i="119"/>
  <c r="KF103" i="119" s="1"/>
  <c r="JL103" i="119"/>
  <c r="LN103" i="119" s="1"/>
  <c r="IG103" i="119"/>
  <c r="KI103" i="119" s="1"/>
  <c r="JM103" i="119"/>
  <c r="LO103" i="119" s="1"/>
  <c r="IH103" i="119"/>
  <c r="KJ103" i="119" s="1"/>
  <c r="JN103" i="119"/>
  <c r="LP103" i="119" s="1"/>
  <c r="IK103" i="119"/>
  <c r="KM103" i="119" s="1"/>
  <c r="IM103" i="119"/>
  <c r="KO103" i="119" s="1"/>
  <c r="IQ103" i="119"/>
  <c r="KS103" i="119" s="1"/>
  <c r="IR103" i="119"/>
  <c r="KT103" i="119" s="1"/>
  <c r="IT103" i="119"/>
  <c r="KV103" i="119" s="1"/>
  <c r="HO103" i="119"/>
  <c r="JQ103" i="119" s="1"/>
  <c r="IU103" i="119"/>
  <c r="KW103" i="119" s="1"/>
  <c r="HP103" i="119"/>
  <c r="JR103" i="119" s="1"/>
  <c r="IV103" i="119"/>
  <c r="KX103" i="119" s="1"/>
  <c r="HS103" i="119"/>
  <c r="JU103" i="119" s="1"/>
  <c r="IY103" i="119"/>
  <c r="LA103" i="119" s="1"/>
  <c r="HT103" i="119"/>
  <c r="JV103" i="119" s="1"/>
  <c r="HX103" i="119"/>
  <c r="JZ103" i="119" s="1"/>
  <c r="IZ103" i="119"/>
  <c r="LB103" i="119" s="1"/>
  <c r="JD103" i="119"/>
  <c r="LF103" i="119" s="1"/>
  <c r="ID81" i="119"/>
  <c r="KF81" i="119" s="1"/>
  <c r="IT81" i="119"/>
  <c r="KV81" i="119" s="1"/>
  <c r="JJ81" i="119"/>
  <c r="LL81" i="119" s="1"/>
  <c r="HP81" i="119"/>
  <c r="JR81" i="119" s="1"/>
  <c r="IF81" i="119"/>
  <c r="KH81" i="119" s="1"/>
  <c r="IV81" i="119"/>
  <c r="KX81" i="119" s="1"/>
  <c r="JL81" i="119"/>
  <c r="LN81" i="119" s="1"/>
  <c r="HR81" i="119"/>
  <c r="JT81" i="119" s="1"/>
  <c r="IH81" i="119"/>
  <c r="KJ81" i="119" s="1"/>
  <c r="IX81" i="119"/>
  <c r="KZ81" i="119" s="1"/>
  <c r="JN81" i="119"/>
  <c r="LP81" i="119" s="1"/>
  <c r="HS81" i="119"/>
  <c r="JU81" i="119" s="1"/>
  <c r="II81" i="119"/>
  <c r="KK81" i="119" s="1"/>
  <c r="IY81" i="119"/>
  <c r="LA81" i="119" s="1"/>
  <c r="IJ81" i="119"/>
  <c r="KL81" i="119" s="1"/>
  <c r="JD81" i="119"/>
  <c r="LF81" i="119" s="1"/>
  <c r="HO81" i="119"/>
  <c r="JQ81" i="119" s="1"/>
  <c r="IL81" i="119"/>
  <c r="KN81" i="119" s="1"/>
  <c r="JF81" i="119"/>
  <c r="LH81" i="119" s="1"/>
  <c r="HT81" i="119"/>
  <c r="JV81" i="119" s="1"/>
  <c r="IN81" i="119"/>
  <c r="KP81" i="119" s="1"/>
  <c r="JH81" i="119"/>
  <c r="LJ81" i="119" s="1"/>
  <c r="HU81" i="119"/>
  <c r="JW81" i="119" s="1"/>
  <c r="IO81" i="119"/>
  <c r="KQ81" i="119" s="1"/>
  <c r="JI81" i="119"/>
  <c r="LK81" i="119" s="1"/>
  <c r="HX81" i="119"/>
  <c r="JZ81" i="119" s="1"/>
  <c r="IR81" i="119"/>
  <c r="KT81" i="119" s="1"/>
  <c r="HY81" i="119"/>
  <c r="KA81" i="119" s="1"/>
  <c r="IS81" i="119"/>
  <c r="KU81" i="119" s="1"/>
  <c r="IQ81" i="119"/>
  <c r="KS81" i="119" s="1"/>
  <c r="IU81" i="119"/>
  <c r="KW81" i="119" s="1"/>
  <c r="IW81" i="119"/>
  <c r="KY81" i="119" s="1"/>
  <c r="IZ81" i="119"/>
  <c r="LB81" i="119" s="1"/>
  <c r="HQ81" i="119"/>
  <c r="JS81" i="119" s="1"/>
  <c r="JA81" i="119"/>
  <c r="LC81" i="119" s="1"/>
  <c r="HV81" i="119"/>
  <c r="JX81" i="119" s="1"/>
  <c r="JB81" i="119"/>
  <c r="LD81" i="119" s="1"/>
  <c r="HW81" i="119"/>
  <c r="JY81" i="119" s="1"/>
  <c r="JC81" i="119"/>
  <c r="LE81" i="119" s="1"/>
  <c r="HZ81" i="119"/>
  <c r="KB81" i="119" s="1"/>
  <c r="JE81" i="119"/>
  <c r="LG81" i="119" s="1"/>
  <c r="IA81" i="119"/>
  <c r="KC81" i="119" s="1"/>
  <c r="JG81" i="119"/>
  <c r="LI81" i="119" s="1"/>
  <c r="IB81" i="119"/>
  <c r="KD81" i="119" s="1"/>
  <c r="JK81" i="119"/>
  <c r="LM81" i="119" s="1"/>
  <c r="IC81" i="119"/>
  <c r="KE81" i="119" s="1"/>
  <c r="JM81" i="119"/>
  <c r="LO81" i="119" s="1"/>
  <c r="IE81" i="119"/>
  <c r="KG81" i="119" s="1"/>
  <c r="IK81" i="119"/>
  <c r="KM81" i="119" s="1"/>
  <c r="IG81" i="119"/>
  <c r="KI81" i="119" s="1"/>
  <c r="IM81" i="119"/>
  <c r="KO81" i="119" s="1"/>
  <c r="IP81" i="119"/>
  <c r="KR81" i="119" s="1"/>
  <c r="HR56" i="119"/>
  <c r="JT56" i="119" s="1"/>
  <c r="IH56" i="119"/>
  <c r="KJ56" i="119" s="1"/>
  <c r="IX56" i="119"/>
  <c r="KZ56" i="119" s="1"/>
  <c r="JN56" i="119"/>
  <c r="LP56" i="119" s="1"/>
  <c r="HT56" i="119"/>
  <c r="JV56" i="119" s="1"/>
  <c r="IJ56" i="119"/>
  <c r="KL56" i="119" s="1"/>
  <c r="IZ56" i="119"/>
  <c r="LB56" i="119" s="1"/>
  <c r="HU56" i="119"/>
  <c r="JW56" i="119" s="1"/>
  <c r="IM56" i="119"/>
  <c r="KO56" i="119" s="1"/>
  <c r="JE56" i="119"/>
  <c r="LG56" i="119" s="1"/>
  <c r="HV56" i="119"/>
  <c r="JX56" i="119" s="1"/>
  <c r="IN56" i="119"/>
  <c r="KP56" i="119" s="1"/>
  <c r="JF56" i="119"/>
  <c r="LH56" i="119" s="1"/>
  <c r="HY56" i="119"/>
  <c r="KA56" i="119" s="1"/>
  <c r="IQ56" i="119"/>
  <c r="KS56" i="119" s="1"/>
  <c r="JI56" i="119"/>
  <c r="LK56" i="119" s="1"/>
  <c r="IC56" i="119"/>
  <c r="KE56" i="119" s="1"/>
  <c r="IU56" i="119"/>
  <c r="KW56" i="119" s="1"/>
  <c r="JM56" i="119"/>
  <c r="LO56" i="119" s="1"/>
  <c r="IB56" i="119"/>
  <c r="KD56" i="119" s="1"/>
  <c r="JA56" i="119"/>
  <c r="LC56" i="119" s="1"/>
  <c r="ID56" i="119"/>
  <c r="KF56" i="119" s="1"/>
  <c r="JB56" i="119"/>
  <c r="LD56" i="119" s="1"/>
  <c r="IE56" i="119"/>
  <c r="KG56" i="119" s="1"/>
  <c r="JC56" i="119"/>
  <c r="LE56" i="119" s="1"/>
  <c r="IG56" i="119"/>
  <c r="KI56" i="119" s="1"/>
  <c r="JG56" i="119"/>
  <c r="LI56" i="119" s="1"/>
  <c r="II56" i="119"/>
  <c r="KK56" i="119" s="1"/>
  <c r="JH56" i="119"/>
  <c r="LJ56" i="119" s="1"/>
  <c r="IK56" i="119"/>
  <c r="KM56" i="119" s="1"/>
  <c r="JJ56" i="119"/>
  <c r="LL56" i="119" s="1"/>
  <c r="HP56" i="119"/>
  <c r="JR56" i="119" s="1"/>
  <c r="IP56" i="119"/>
  <c r="KR56" i="119" s="1"/>
  <c r="HW56" i="119"/>
  <c r="JY56" i="119" s="1"/>
  <c r="IT56" i="119"/>
  <c r="KV56" i="119" s="1"/>
  <c r="JK56" i="119"/>
  <c r="LM56" i="119" s="1"/>
  <c r="HO56" i="119"/>
  <c r="JQ56" i="119" s="1"/>
  <c r="JL56" i="119"/>
  <c r="LN56" i="119" s="1"/>
  <c r="HS56" i="119"/>
  <c r="JU56" i="119" s="1"/>
  <c r="HZ56" i="119"/>
  <c r="KB56" i="119" s="1"/>
  <c r="IA56" i="119"/>
  <c r="KC56" i="119" s="1"/>
  <c r="IL56" i="119"/>
  <c r="KN56" i="119" s="1"/>
  <c r="IO56" i="119"/>
  <c r="KQ56" i="119" s="1"/>
  <c r="IR56" i="119"/>
  <c r="KT56" i="119" s="1"/>
  <c r="IS56" i="119"/>
  <c r="KU56" i="119" s="1"/>
  <c r="HQ56" i="119"/>
  <c r="JS56" i="119" s="1"/>
  <c r="HX56" i="119"/>
  <c r="JZ56" i="119" s="1"/>
  <c r="IF56" i="119"/>
  <c r="KH56" i="119" s="1"/>
  <c r="IV56" i="119"/>
  <c r="KX56" i="119" s="1"/>
  <c r="IW56" i="119"/>
  <c r="KY56" i="119" s="1"/>
  <c r="IY56" i="119"/>
  <c r="LA56" i="119" s="1"/>
  <c r="JD56" i="119"/>
  <c r="LF56" i="119" s="1"/>
  <c r="JE12" i="119"/>
  <c r="LG12" i="119" s="1"/>
  <c r="HZ58" i="119"/>
  <c r="KB58" i="119" s="1"/>
  <c r="IP58" i="119"/>
  <c r="KR58" i="119" s="1"/>
  <c r="JF58" i="119"/>
  <c r="LH58" i="119" s="1"/>
  <c r="IB58" i="119"/>
  <c r="KD58" i="119" s="1"/>
  <c r="IR58" i="119"/>
  <c r="KT58" i="119" s="1"/>
  <c r="JH58" i="119"/>
  <c r="LJ58" i="119" s="1"/>
  <c r="HY58" i="119"/>
  <c r="KA58" i="119" s="1"/>
  <c r="IS58" i="119"/>
  <c r="KU58" i="119" s="1"/>
  <c r="JK58" i="119"/>
  <c r="LM58" i="119" s="1"/>
  <c r="IA58" i="119"/>
  <c r="KC58" i="119" s="1"/>
  <c r="HQ58" i="119"/>
  <c r="JS58" i="119" s="1"/>
  <c r="II58" i="119"/>
  <c r="KK58" i="119" s="1"/>
  <c r="JA58" i="119"/>
  <c r="LC58" i="119" s="1"/>
  <c r="HU58" i="119"/>
  <c r="JW58" i="119" s="1"/>
  <c r="IQ58" i="119"/>
  <c r="KS58" i="119" s="1"/>
  <c r="JM58" i="119"/>
  <c r="LO58" i="119" s="1"/>
  <c r="HV58" i="119"/>
  <c r="JX58" i="119" s="1"/>
  <c r="IT58" i="119"/>
  <c r="KV58" i="119" s="1"/>
  <c r="JN58" i="119"/>
  <c r="LP58" i="119" s="1"/>
  <c r="HW58" i="119"/>
  <c r="JY58" i="119" s="1"/>
  <c r="IU58" i="119"/>
  <c r="KW58" i="119" s="1"/>
  <c r="IC58" i="119"/>
  <c r="KE58" i="119" s="1"/>
  <c r="IW58" i="119"/>
  <c r="KY58" i="119" s="1"/>
  <c r="ID58" i="119"/>
  <c r="KF58" i="119" s="1"/>
  <c r="IX58" i="119"/>
  <c r="KZ58" i="119" s="1"/>
  <c r="IE58" i="119"/>
  <c r="KG58" i="119" s="1"/>
  <c r="IY58" i="119"/>
  <c r="LA58" i="119" s="1"/>
  <c r="IH58" i="119"/>
  <c r="KJ58" i="119" s="1"/>
  <c r="JC58" i="119"/>
  <c r="LE58" i="119" s="1"/>
  <c r="IL58" i="119"/>
  <c r="KN58" i="119" s="1"/>
  <c r="JG58" i="119"/>
  <c r="LI58" i="119" s="1"/>
  <c r="IZ58" i="119"/>
  <c r="LB58" i="119" s="1"/>
  <c r="JB58" i="119"/>
  <c r="LD58" i="119" s="1"/>
  <c r="HO58" i="119"/>
  <c r="JQ58" i="119" s="1"/>
  <c r="JE58" i="119"/>
  <c r="LG58" i="119" s="1"/>
  <c r="HS58" i="119"/>
  <c r="JU58" i="119" s="1"/>
  <c r="JJ58" i="119"/>
  <c r="LL58" i="119" s="1"/>
  <c r="HT58" i="119"/>
  <c r="JV58" i="119" s="1"/>
  <c r="IG58" i="119"/>
  <c r="KI58" i="119" s="1"/>
  <c r="IJ58" i="119"/>
  <c r="KL58" i="119" s="1"/>
  <c r="IK58" i="119"/>
  <c r="KM58" i="119" s="1"/>
  <c r="HR58" i="119"/>
  <c r="JT58" i="119" s="1"/>
  <c r="HX58" i="119"/>
  <c r="JZ58" i="119" s="1"/>
  <c r="IM58" i="119"/>
  <c r="KO58" i="119" s="1"/>
  <c r="IN58" i="119"/>
  <c r="KP58" i="119" s="1"/>
  <c r="IO58" i="119"/>
  <c r="KQ58" i="119" s="1"/>
  <c r="JD58" i="119"/>
  <c r="LF58" i="119" s="1"/>
  <c r="JI58" i="119"/>
  <c r="LK58" i="119" s="1"/>
  <c r="HU128" i="119"/>
  <c r="JW128" i="119" s="1"/>
  <c r="ID77" i="119"/>
  <c r="KF77" i="119" s="1"/>
  <c r="IT77" i="119"/>
  <c r="KV77" i="119" s="1"/>
  <c r="JJ77" i="119"/>
  <c r="LL77" i="119" s="1"/>
  <c r="HP77" i="119"/>
  <c r="JR77" i="119" s="1"/>
  <c r="IF77" i="119"/>
  <c r="KH77" i="119" s="1"/>
  <c r="IV77" i="119"/>
  <c r="KX77" i="119" s="1"/>
  <c r="JL77" i="119"/>
  <c r="LN77" i="119" s="1"/>
  <c r="HR77" i="119"/>
  <c r="JT77" i="119" s="1"/>
  <c r="IH77" i="119"/>
  <c r="KJ77" i="119" s="1"/>
  <c r="IX77" i="119"/>
  <c r="KZ77" i="119" s="1"/>
  <c r="JN77" i="119"/>
  <c r="LP77" i="119" s="1"/>
  <c r="HS77" i="119"/>
  <c r="JU77" i="119" s="1"/>
  <c r="II77" i="119"/>
  <c r="KK77" i="119" s="1"/>
  <c r="IY77" i="119"/>
  <c r="LA77" i="119" s="1"/>
  <c r="HW77" i="119"/>
  <c r="JY77" i="119" s="1"/>
  <c r="IM77" i="119"/>
  <c r="KO77" i="119" s="1"/>
  <c r="JC77" i="119"/>
  <c r="LE77" i="119" s="1"/>
  <c r="HZ77" i="119"/>
  <c r="KB77" i="119" s="1"/>
  <c r="IN77" i="119"/>
  <c r="KP77" i="119" s="1"/>
  <c r="JI77" i="119"/>
  <c r="LK77" i="119" s="1"/>
  <c r="HQ77" i="119"/>
  <c r="JS77" i="119" s="1"/>
  <c r="IP77" i="119"/>
  <c r="KR77" i="119" s="1"/>
  <c r="JM77" i="119"/>
  <c r="LO77" i="119" s="1"/>
  <c r="HU77" i="119"/>
  <c r="JW77" i="119" s="1"/>
  <c r="IR77" i="119"/>
  <c r="KT77" i="119" s="1"/>
  <c r="HV77" i="119"/>
  <c r="JX77" i="119" s="1"/>
  <c r="IS77" i="119"/>
  <c r="KU77" i="119" s="1"/>
  <c r="HY77" i="119"/>
  <c r="KA77" i="119" s="1"/>
  <c r="IW77" i="119"/>
  <c r="KY77" i="119" s="1"/>
  <c r="IA77" i="119"/>
  <c r="KC77" i="119" s="1"/>
  <c r="IZ77" i="119"/>
  <c r="LB77" i="119" s="1"/>
  <c r="IB77" i="119"/>
  <c r="KD77" i="119" s="1"/>
  <c r="JA77" i="119"/>
  <c r="LC77" i="119" s="1"/>
  <c r="JE77" i="119"/>
  <c r="LG77" i="119" s="1"/>
  <c r="JF77" i="119"/>
  <c r="LH77" i="119" s="1"/>
  <c r="HO77" i="119"/>
  <c r="JQ77" i="119" s="1"/>
  <c r="JG77" i="119"/>
  <c r="LI77" i="119" s="1"/>
  <c r="HT77" i="119"/>
  <c r="JV77" i="119" s="1"/>
  <c r="JH77" i="119"/>
  <c r="LJ77" i="119" s="1"/>
  <c r="HX77" i="119"/>
  <c r="JZ77" i="119" s="1"/>
  <c r="JK77" i="119"/>
  <c r="LM77" i="119" s="1"/>
  <c r="IC77" i="119"/>
  <c r="KE77" i="119" s="1"/>
  <c r="IE77" i="119"/>
  <c r="KG77" i="119" s="1"/>
  <c r="IG77" i="119"/>
  <c r="KI77" i="119" s="1"/>
  <c r="IJ77" i="119"/>
  <c r="KL77" i="119" s="1"/>
  <c r="IK77" i="119"/>
  <c r="KM77" i="119" s="1"/>
  <c r="IL77" i="119"/>
  <c r="KN77" i="119" s="1"/>
  <c r="IO77" i="119"/>
  <c r="KQ77" i="119" s="1"/>
  <c r="IQ77" i="119"/>
  <c r="KS77" i="119" s="1"/>
  <c r="IU77" i="119"/>
  <c r="KW77" i="119" s="1"/>
  <c r="JB77" i="119"/>
  <c r="LD77" i="119" s="1"/>
  <c r="JD77" i="119"/>
  <c r="LF77" i="119" s="1"/>
  <c r="HZ78" i="119"/>
  <c r="KB78" i="119" s="1"/>
  <c r="IP78" i="119"/>
  <c r="KR78" i="119" s="1"/>
  <c r="JF78" i="119"/>
  <c r="LH78" i="119" s="1"/>
  <c r="ID78" i="119"/>
  <c r="KF78" i="119" s="1"/>
  <c r="IT78" i="119"/>
  <c r="KV78" i="119" s="1"/>
  <c r="JJ78" i="119"/>
  <c r="LL78" i="119" s="1"/>
  <c r="HO78" i="119"/>
  <c r="JQ78" i="119" s="1"/>
  <c r="IE78" i="119"/>
  <c r="KG78" i="119" s="1"/>
  <c r="IU78" i="119"/>
  <c r="KW78" i="119" s="1"/>
  <c r="JK78" i="119"/>
  <c r="LM78" i="119" s="1"/>
  <c r="HS78" i="119"/>
  <c r="JU78" i="119" s="1"/>
  <c r="II78" i="119"/>
  <c r="KK78" i="119" s="1"/>
  <c r="IY78" i="119"/>
  <c r="LA78" i="119" s="1"/>
  <c r="IH78" i="119"/>
  <c r="KJ78" i="119" s="1"/>
  <c r="JD78" i="119"/>
  <c r="LF78" i="119" s="1"/>
  <c r="IK78" i="119"/>
  <c r="KM78" i="119" s="1"/>
  <c r="JG78" i="119"/>
  <c r="LI78" i="119" s="1"/>
  <c r="HQ78" i="119"/>
  <c r="JS78" i="119" s="1"/>
  <c r="IM78" i="119"/>
  <c r="KO78" i="119" s="1"/>
  <c r="JL78" i="119"/>
  <c r="LN78" i="119" s="1"/>
  <c r="HR78" i="119"/>
  <c r="JT78" i="119" s="1"/>
  <c r="IN78" i="119"/>
  <c r="KP78" i="119" s="1"/>
  <c r="JM78" i="119"/>
  <c r="LO78" i="119" s="1"/>
  <c r="HU78" i="119"/>
  <c r="JW78" i="119" s="1"/>
  <c r="IQ78" i="119"/>
  <c r="KS78" i="119" s="1"/>
  <c r="HV78" i="119"/>
  <c r="JX78" i="119" s="1"/>
  <c r="IS78" i="119"/>
  <c r="KU78" i="119" s="1"/>
  <c r="HW78" i="119"/>
  <c r="JY78" i="119" s="1"/>
  <c r="IV78" i="119"/>
  <c r="KX78" i="119" s="1"/>
  <c r="IW78" i="119"/>
  <c r="KY78" i="119" s="1"/>
  <c r="IX78" i="119"/>
  <c r="KZ78" i="119" s="1"/>
  <c r="IZ78" i="119"/>
  <c r="LB78" i="119" s="1"/>
  <c r="JA78" i="119"/>
  <c r="LC78" i="119" s="1"/>
  <c r="JB78" i="119"/>
  <c r="LD78" i="119" s="1"/>
  <c r="HP78" i="119"/>
  <c r="JR78" i="119" s="1"/>
  <c r="JC78" i="119"/>
  <c r="LE78" i="119" s="1"/>
  <c r="HT78" i="119"/>
  <c r="JV78" i="119" s="1"/>
  <c r="JE78" i="119"/>
  <c r="LG78" i="119" s="1"/>
  <c r="HX78" i="119"/>
  <c r="JZ78" i="119" s="1"/>
  <c r="JI78" i="119"/>
  <c r="LK78" i="119" s="1"/>
  <c r="HY78" i="119"/>
  <c r="KA78" i="119" s="1"/>
  <c r="JN78" i="119"/>
  <c r="LP78" i="119" s="1"/>
  <c r="IA78" i="119"/>
  <c r="KC78" i="119" s="1"/>
  <c r="IC78" i="119"/>
  <c r="KE78" i="119" s="1"/>
  <c r="IF78" i="119"/>
  <c r="KH78" i="119" s="1"/>
  <c r="IJ78" i="119"/>
  <c r="KL78" i="119" s="1"/>
  <c r="IG78" i="119"/>
  <c r="KI78" i="119" s="1"/>
  <c r="IL78" i="119"/>
  <c r="KN78" i="119" s="1"/>
  <c r="IO78" i="119"/>
  <c r="KQ78" i="119" s="1"/>
  <c r="ID85" i="119"/>
  <c r="KF85" i="119" s="1"/>
  <c r="IT85" i="119"/>
  <c r="KV85" i="119" s="1"/>
  <c r="JJ85" i="119"/>
  <c r="LL85" i="119" s="1"/>
  <c r="HP85" i="119"/>
  <c r="JR85" i="119" s="1"/>
  <c r="IF85" i="119"/>
  <c r="KH85" i="119" s="1"/>
  <c r="IV85" i="119"/>
  <c r="KX85" i="119" s="1"/>
  <c r="JL85" i="119"/>
  <c r="LN85" i="119" s="1"/>
  <c r="HR85" i="119"/>
  <c r="JT85" i="119" s="1"/>
  <c r="IH85" i="119"/>
  <c r="KJ85" i="119" s="1"/>
  <c r="IX85" i="119"/>
  <c r="KZ85" i="119" s="1"/>
  <c r="JN85" i="119"/>
  <c r="LP85" i="119" s="1"/>
  <c r="HS85" i="119"/>
  <c r="JU85" i="119" s="1"/>
  <c r="II85" i="119"/>
  <c r="KK85" i="119" s="1"/>
  <c r="IY85" i="119"/>
  <c r="LA85" i="119" s="1"/>
  <c r="HT85" i="119"/>
  <c r="JV85" i="119" s="1"/>
  <c r="IN85" i="119"/>
  <c r="KP85" i="119" s="1"/>
  <c r="JH85" i="119"/>
  <c r="LJ85" i="119" s="1"/>
  <c r="HX85" i="119"/>
  <c r="JZ85" i="119" s="1"/>
  <c r="IR85" i="119"/>
  <c r="KT85" i="119" s="1"/>
  <c r="HY85" i="119"/>
  <c r="KA85" i="119" s="1"/>
  <c r="IS85" i="119"/>
  <c r="KU85" i="119" s="1"/>
  <c r="IB85" i="119"/>
  <c r="KD85" i="119" s="1"/>
  <c r="IZ85" i="119"/>
  <c r="LB85" i="119" s="1"/>
  <c r="IC85" i="119"/>
  <c r="KE85" i="119" s="1"/>
  <c r="JA85" i="119"/>
  <c r="LC85" i="119" s="1"/>
  <c r="HW85" i="119"/>
  <c r="JY85" i="119" s="1"/>
  <c r="JD85" i="119"/>
  <c r="LF85" i="119" s="1"/>
  <c r="HZ85" i="119"/>
  <c r="KB85" i="119" s="1"/>
  <c r="JE85" i="119"/>
  <c r="LG85" i="119" s="1"/>
  <c r="IA85" i="119"/>
  <c r="KC85" i="119" s="1"/>
  <c r="JF85" i="119"/>
  <c r="LH85" i="119" s="1"/>
  <c r="IE85" i="119"/>
  <c r="KG85" i="119" s="1"/>
  <c r="JG85" i="119"/>
  <c r="LI85" i="119" s="1"/>
  <c r="IG85" i="119"/>
  <c r="KI85" i="119" s="1"/>
  <c r="JI85" i="119"/>
  <c r="LK85" i="119" s="1"/>
  <c r="IJ85" i="119"/>
  <c r="KL85" i="119" s="1"/>
  <c r="JK85" i="119"/>
  <c r="LM85" i="119" s="1"/>
  <c r="IK85" i="119"/>
  <c r="KM85" i="119" s="1"/>
  <c r="JM85" i="119"/>
  <c r="LO85" i="119" s="1"/>
  <c r="IL85" i="119"/>
  <c r="KN85" i="119" s="1"/>
  <c r="IM85" i="119"/>
  <c r="KO85" i="119" s="1"/>
  <c r="IO85" i="119"/>
  <c r="KQ85" i="119" s="1"/>
  <c r="IP85" i="119"/>
  <c r="KR85" i="119" s="1"/>
  <c r="IQ85" i="119"/>
  <c r="KS85" i="119" s="1"/>
  <c r="HQ85" i="119"/>
  <c r="JS85" i="119" s="1"/>
  <c r="IW85" i="119"/>
  <c r="KY85" i="119" s="1"/>
  <c r="HO85" i="119"/>
  <c r="JQ85" i="119" s="1"/>
  <c r="HU85" i="119"/>
  <c r="JW85" i="119" s="1"/>
  <c r="HV85" i="119"/>
  <c r="JX85" i="119" s="1"/>
  <c r="IU85" i="119"/>
  <c r="KW85" i="119" s="1"/>
  <c r="JB85" i="119"/>
  <c r="LD85" i="119" s="1"/>
  <c r="JC85" i="119"/>
  <c r="LE85" i="119" s="1"/>
  <c r="HR68" i="119"/>
  <c r="JT68" i="119" s="1"/>
  <c r="IH68" i="119"/>
  <c r="KJ68" i="119" s="1"/>
  <c r="IX68" i="119"/>
  <c r="KZ68" i="119" s="1"/>
  <c r="JN68" i="119"/>
  <c r="LP68" i="119" s="1"/>
  <c r="HS68" i="119"/>
  <c r="JU68" i="119" s="1"/>
  <c r="II68" i="119"/>
  <c r="KK68" i="119" s="1"/>
  <c r="IY68" i="119"/>
  <c r="LA68" i="119" s="1"/>
  <c r="HT68" i="119"/>
  <c r="JV68" i="119" s="1"/>
  <c r="IJ68" i="119"/>
  <c r="KL68" i="119" s="1"/>
  <c r="IZ68" i="119"/>
  <c r="LB68" i="119" s="1"/>
  <c r="HV68" i="119"/>
  <c r="JX68" i="119" s="1"/>
  <c r="IL68" i="119"/>
  <c r="KN68" i="119" s="1"/>
  <c r="JB68" i="119"/>
  <c r="LD68" i="119" s="1"/>
  <c r="HW68" i="119"/>
  <c r="JY68" i="119" s="1"/>
  <c r="IM68" i="119"/>
  <c r="KO68" i="119" s="1"/>
  <c r="JC68" i="119"/>
  <c r="LE68" i="119" s="1"/>
  <c r="IA68" i="119"/>
  <c r="KC68" i="119" s="1"/>
  <c r="IQ68" i="119"/>
  <c r="KS68" i="119" s="1"/>
  <c r="JG68" i="119"/>
  <c r="LI68" i="119" s="1"/>
  <c r="ID68" i="119"/>
  <c r="KF68" i="119" s="1"/>
  <c r="IT68" i="119"/>
  <c r="KV68" i="119" s="1"/>
  <c r="JJ68" i="119"/>
  <c r="LL68" i="119" s="1"/>
  <c r="IE68" i="119"/>
  <c r="KG68" i="119" s="1"/>
  <c r="JH68" i="119"/>
  <c r="LJ68" i="119" s="1"/>
  <c r="IF68" i="119"/>
  <c r="KH68" i="119" s="1"/>
  <c r="JI68" i="119"/>
  <c r="LK68" i="119" s="1"/>
  <c r="IK68" i="119"/>
  <c r="KM68" i="119" s="1"/>
  <c r="JL68" i="119"/>
  <c r="LN68" i="119" s="1"/>
  <c r="IO68" i="119"/>
  <c r="KQ68" i="119" s="1"/>
  <c r="IP68" i="119"/>
  <c r="KR68" i="119" s="1"/>
  <c r="HP68" i="119"/>
  <c r="JR68" i="119" s="1"/>
  <c r="IS68" i="119"/>
  <c r="KU68" i="119" s="1"/>
  <c r="HQ68" i="119"/>
  <c r="JS68" i="119" s="1"/>
  <c r="IU68" i="119"/>
  <c r="KW68" i="119" s="1"/>
  <c r="HU68" i="119"/>
  <c r="JW68" i="119" s="1"/>
  <c r="IV68" i="119"/>
  <c r="KX68" i="119" s="1"/>
  <c r="JK68" i="119"/>
  <c r="LM68" i="119" s="1"/>
  <c r="JM68" i="119"/>
  <c r="LO68" i="119" s="1"/>
  <c r="HO68" i="119"/>
  <c r="JQ68" i="119" s="1"/>
  <c r="HX68" i="119"/>
  <c r="JZ68" i="119" s="1"/>
  <c r="HY68" i="119"/>
  <c r="KA68" i="119" s="1"/>
  <c r="HZ68" i="119"/>
  <c r="KB68" i="119" s="1"/>
  <c r="IB68" i="119"/>
  <c r="KD68" i="119" s="1"/>
  <c r="IC68" i="119"/>
  <c r="KE68" i="119" s="1"/>
  <c r="IG68" i="119"/>
  <c r="KI68" i="119" s="1"/>
  <c r="IN68" i="119"/>
  <c r="KP68" i="119" s="1"/>
  <c r="IR68" i="119"/>
  <c r="KT68" i="119" s="1"/>
  <c r="IW68" i="119"/>
  <c r="KY68" i="119" s="1"/>
  <c r="JA68" i="119"/>
  <c r="LC68" i="119" s="1"/>
  <c r="JD68" i="119"/>
  <c r="LF68" i="119" s="1"/>
  <c r="JE68" i="119"/>
  <c r="LG68" i="119" s="1"/>
  <c r="JF68" i="119"/>
  <c r="LH68" i="119" s="1"/>
  <c r="ID114" i="119"/>
  <c r="KF114" i="119" s="1"/>
  <c r="IT114" i="119"/>
  <c r="KV114" i="119" s="1"/>
  <c r="JJ114" i="119"/>
  <c r="LL114" i="119" s="1"/>
  <c r="HO114" i="119"/>
  <c r="JQ114" i="119" s="1"/>
  <c r="IE114" i="119"/>
  <c r="KG114" i="119" s="1"/>
  <c r="IU114" i="119"/>
  <c r="KW114" i="119" s="1"/>
  <c r="JK114" i="119"/>
  <c r="LM114" i="119" s="1"/>
  <c r="HR114" i="119"/>
  <c r="JT114" i="119" s="1"/>
  <c r="IH114" i="119"/>
  <c r="KJ114" i="119" s="1"/>
  <c r="IX114" i="119"/>
  <c r="KZ114" i="119" s="1"/>
  <c r="JN114" i="119"/>
  <c r="LP114" i="119" s="1"/>
  <c r="HS114" i="119"/>
  <c r="JU114" i="119" s="1"/>
  <c r="II114" i="119"/>
  <c r="KK114" i="119" s="1"/>
  <c r="IY114" i="119"/>
  <c r="LA114" i="119" s="1"/>
  <c r="HV114" i="119"/>
  <c r="JX114" i="119" s="1"/>
  <c r="IL114" i="119"/>
  <c r="KN114" i="119" s="1"/>
  <c r="JB114" i="119"/>
  <c r="LD114" i="119" s="1"/>
  <c r="HX114" i="119"/>
  <c r="JZ114" i="119" s="1"/>
  <c r="IS114" i="119"/>
  <c r="KU114" i="119" s="1"/>
  <c r="HY114" i="119"/>
  <c r="KA114" i="119" s="1"/>
  <c r="IV114" i="119"/>
  <c r="KX114" i="119" s="1"/>
  <c r="HZ114" i="119"/>
  <c r="KB114" i="119" s="1"/>
  <c r="IW114" i="119"/>
  <c r="KY114" i="119" s="1"/>
  <c r="IA114" i="119"/>
  <c r="KC114" i="119" s="1"/>
  <c r="IZ114" i="119"/>
  <c r="LB114" i="119" s="1"/>
  <c r="IB114" i="119"/>
  <c r="KD114" i="119" s="1"/>
  <c r="JA114" i="119"/>
  <c r="LC114" i="119" s="1"/>
  <c r="IC114" i="119"/>
  <c r="KE114" i="119" s="1"/>
  <c r="JC114" i="119"/>
  <c r="LE114" i="119" s="1"/>
  <c r="IF114" i="119"/>
  <c r="KH114" i="119" s="1"/>
  <c r="JD114" i="119"/>
  <c r="LF114" i="119" s="1"/>
  <c r="IG114" i="119"/>
  <c r="KI114" i="119" s="1"/>
  <c r="JE114" i="119"/>
  <c r="LG114" i="119" s="1"/>
  <c r="IJ114" i="119"/>
  <c r="KL114" i="119" s="1"/>
  <c r="JF114" i="119"/>
  <c r="LH114" i="119" s="1"/>
  <c r="IK114" i="119"/>
  <c r="KM114" i="119" s="1"/>
  <c r="JG114" i="119"/>
  <c r="LI114" i="119" s="1"/>
  <c r="IM114" i="119"/>
  <c r="KO114" i="119" s="1"/>
  <c r="JH114" i="119"/>
  <c r="LJ114" i="119" s="1"/>
  <c r="HP114" i="119"/>
  <c r="JR114" i="119" s="1"/>
  <c r="IN114" i="119"/>
  <c r="KP114" i="119" s="1"/>
  <c r="JI114" i="119"/>
  <c r="LK114" i="119" s="1"/>
  <c r="HQ114" i="119"/>
  <c r="JS114" i="119" s="1"/>
  <c r="IO114" i="119"/>
  <c r="KQ114" i="119" s="1"/>
  <c r="JL114" i="119"/>
  <c r="LN114" i="119" s="1"/>
  <c r="HT114" i="119"/>
  <c r="JV114" i="119" s="1"/>
  <c r="IP114" i="119"/>
  <c r="KR114" i="119" s="1"/>
  <c r="JM114" i="119"/>
  <c r="LO114" i="119" s="1"/>
  <c r="IQ114" i="119"/>
  <c r="KS114" i="119" s="1"/>
  <c r="IR114" i="119"/>
  <c r="KT114" i="119" s="1"/>
  <c r="HU114" i="119"/>
  <c r="JW114" i="119" s="1"/>
  <c r="HW114" i="119"/>
  <c r="JY114" i="119" s="1"/>
  <c r="HZ94" i="119"/>
  <c r="KB94" i="119" s="1"/>
  <c r="IP94" i="119"/>
  <c r="KR94" i="119" s="1"/>
  <c r="JF94" i="119"/>
  <c r="LH94" i="119" s="1"/>
  <c r="IB94" i="119"/>
  <c r="KD94" i="119" s="1"/>
  <c r="IR94" i="119"/>
  <c r="KT94" i="119" s="1"/>
  <c r="JH94" i="119"/>
  <c r="LJ94" i="119" s="1"/>
  <c r="HO94" i="119"/>
  <c r="JQ94" i="119" s="1"/>
  <c r="IE94" i="119"/>
  <c r="KG94" i="119" s="1"/>
  <c r="IU94" i="119"/>
  <c r="KW94" i="119" s="1"/>
  <c r="JK94" i="119"/>
  <c r="LM94" i="119" s="1"/>
  <c r="HR94" i="119"/>
  <c r="JT94" i="119" s="1"/>
  <c r="IK94" i="119"/>
  <c r="KM94" i="119" s="1"/>
  <c r="JD94" i="119"/>
  <c r="LF94" i="119" s="1"/>
  <c r="HW94" i="119"/>
  <c r="JY94" i="119" s="1"/>
  <c r="IQ94" i="119"/>
  <c r="KS94" i="119" s="1"/>
  <c r="JL94" i="119"/>
  <c r="LN94" i="119" s="1"/>
  <c r="IA94" i="119"/>
  <c r="KC94" i="119" s="1"/>
  <c r="IV94" i="119"/>
  <c r="KX94" i="119" s="1"/>
  <c r="IL94" i="119"/>
  <c r="KN94" i="119" s="1"/>
  <c r="JJ94" i="119"/>
  <c r="LL94" i="119" s="1"/>
  <c r="HP94" i="119"/>
  <c r="JR94" i="119" s="1"/>
  <c r="IM94" i="119"/>
  <c r="KO94" i="119" s="1"/>
  <c r="JM94" i="119"/>
  <c r="LO94" i="119" s="1"/>
  <c r="HQ94" i="119"/>
  <c r="JS94" i="119" s="1"/>
  <c r="IN94" i="119"/>
  <c r="KP94" i="119" s="1"/>
  <c r="JN94" i="119"/>
  <c r="LP94" i="119" s="1"/>
  <c r="HT94" i="119"/>
  <c r="JV94" i="119" s="1"/>
  <c r="IS94" i="119"/>
  <c r="KU94" i="119" s="1"/>
  <c r="HU94" i="119"/>
  <c r="JW94" i="119" s="1"/>
  <c r="IT94" i="119"/>
  <c r="KV94" i="119" s="1"/>
  <c r="HY94" i="119"/>
  <c r="KA94" i="119" s="1"/>
  <c r="IY94" i="119"/>
  <c r="LA94" i="119" s="1"/>
  <c r="IC94" i="119"/>
  <c r="KE94" i="119" s="1"/>
  <c r="IZ94" i="119"/>
  <c r="LB94" i="119" s="1"/>
  <c r="IG94" i="119"/>
  <c r="KI94" i="119" s="1"/>
  <c r="JC94" i="119"/>
  <c r="LE94" i="119" s="1"/>
  <c r="IH94" i="119"/>
  <c r="KJ94" i="119" s="1"/>
  <c r="II94" i="119"/>
  <c r="KK94" i="119" s="1"/>
  <c r="IJ94" i="119"/>
  <c r="KL94" i="119" s="1"/>
  <c r="IO94" i="119"/>
  <c r="KQ94" i="119" s="1"/>
  <c r="IW94" i="119"/>
  <c r="KY94" i="119" s="1"/>
  <c r="IX94" i="119"/>
  <c r="KZ94" i="119" s="1"/>
  <c r="JA94" i="119"/>
  <c r="LC94" i="119" s="1"/>
  <c r="JB94" i="119"/>
  <c r="LD94" i="119" s="1"/>
  <c r="JE94" i="119"/>
  <c r="LG94" i="119" s="1"/>
  <c r="JG94" i="119"/>
  <c r="LI94" i="119" s="1"/>
  <c r="JI94" i="119"/>
  <c r="LK94" i="119" s="1"/>
  <c r="HS94" i="119"/>
  <c r="JU94" i="119" s="1"/>
  <c r="HV94" i="119"/>
  <c r="JX94" i="119" s="1"/>
  <c r="HX94" i="119"/>
  <c r="JZ94" i="119" s="1"/>
  <c r="ID94" i="119"/>
  <c r="KF94" i="119" s="1"/>
  <c r="IF94" i="119"/>
  <c r="KH94" i="119" s="1"/>
  <c r="IF58" i="119"/>
  <c r="KH58" i="119" s="1"/>
  <c r="IK128" i="119"/>
  <c r="KM128" i="119" s="1"/>
  <c r="HR84" i="119"/>
  <c r="JT84" i="119" s="1"/>
  <c r="IH84" i="119"/>
  <c r="KJ84" i="119" s="1"/>
  <c r="IX84" i="119"/>
  <c r="KZ84" i="119" s="1"/>
  <c r="JN84" i="119"/>
  <c r="LP84" i="119" s="1"/>
  <c r="HT84" i="119"/>
  <c r="JV84" i="119" s="1"/>
  <c r="IJ84" i="119"/>
  <c r="KL84" i="119" s="1"/>
  <c r="IZ84" i="119"/>
  <c r="LB84" i="119" s="1"/>
  <c r="HV84" i="119"/>
  <c r="JX84" i="119" s="1"/>
  <c r="IL84" i="119"/>
  <c r="KN84" i="119" s="1"/>
  <c r="JB84" i="119"/>
  <c r="LD84" i="119" s="1"/>
  <c r="HW84" i="119"/>
  <c r="JY84" i="119" s="1"/>
  <c r="IM84" i="119"/>
  <c r="KO84" i="119" s="1"/>
  <c r="JC84" i="119"/>
  <c r="LE84" i="119" s="1"/>
  <c r="IB84" i="119"/>
  <c r="KD84" i="119" s="1"/>
  <c r="IV84" i="119"/>
  <c r="KX84" i="119" s="1"/>
  <c r="IF84" i="119"/>
  <c r="KH84" i="119" s="1"/>
  <c r="JD84" i="119"/>
  <c r="LF84" i="119" s="1"/>
  <c r="IG84" i="119"/>
  <c r="KI84" i="119" s="1"/>
  <c r="JE84" i="119"/>
  <c r="LG84" i="119" s="1"/>
  <c r="HP84" i="119"/>
  <c r="JR84" i="119" s="1"/>
  <c r="IN84" i="119"/>
  <c r="KP84" i="119" s="1"/>
  <c r="JH84" i="119"/>
  <c r="LJ84" i="119" s="1"/>
  <c r="HQ84" i="119"/>
  <c r="JS84" i="119" s="1"/>
  <c r="IO84" i="119"/>
  <c r="KQ84" i="119" s="1"/>
  <c r="JI84" i="119"/>
  <c r="LK84" i="119" s="1"/>
  <c r="IS84" i="119"/>
  <c r="KU84" i="119" s="1"/>
  <c r="HO84" i="119"/>
  <c r="JQ84" i="119" s="1"/>
  <c r="IT84" i="119"/>
  <c r="KV84" i="119" s="1"/>
  <c r="HS84" i="119"/>
  <c r="JU84" i="119" s="1"/>
  <c r="IU84" i="119"/>
  <c r="KW84" i="119" s="1"/>
  <c r="HU84" i="119"/>
  <c r="JW84" i="119" s="1"/>
  <c r="IW84" i="119"/>
  <c r="KY84" i="119" s="1"/>
  <c r="HX84" i="119"/>
  <c r="JZ84" i="119" s="1"/>
  <c r="IY84" i="119"/>
  <c r="LA84" i="119" s="1"/>
  <c r="HY84" i="119"/>
  <c r="KA84" i="119" s="1"/>
  <c r="JA84" i="119"/>
  <c r="LC84" i="119" s="1"/>
  <c r="HZ84" i="119"/>
  <c r="KB84" i="119" s="1"/>
  <c r="JF84" i="119"/>
  <c r="LH84" i="119" s="1"/>
  <c r="IA84" i="119"/>
  <c r="KC84" i="119" s="1"/>
  <c r="JG84" i="119"/>
  <c r="LI84" i="119" s="1"/>
  <c r="IC84" i="119"/>
  <c r="KE84" i="119" s="1"/>
  <c r="JJ84" i="119"/>
  <c r="LL84" i="119" s="1"/>
  <c r="ID84" i="119"/>
  <c r="KF84" i="119" s="1"/>
  <c r="JK84" i="119"/>
  <c r="LM84" i="119" s="1"/>
  <c r="IE84" i="119"/>
  <c r="KG84" i="119" s="1"/>
  <c r="JL84" i="119"/>
  <c r="LN84" i="119" s="1"/>
  <c r="II84" i="119"/>
  <c r="KK84" i="119" s="1"/>
  <c r="JM84" i="119"/>
  <c r="LO84" i="119" s="1"/>
  <c r="IP84" i="119"/>
  <c r="KR84" i="119" s="1"/>
  <c r="IQ84" i="119"/>
  <c r="KS84" i="119" s="1"/>
  <c r="IR84" i="119"/>
  <c r="KT84" i="119" s="1"/>
  <c r="IK84" i="119"/>
  <c r="KM84" i="119" s="1"/>
  <c r="HR76" i="119"/>
  <c r="JT76" i="119" s="1"/>
  <c r="IH76" i="119"/>
  <c r="KJ76" i="119" s="1"/>
  <c r="IX76" i="119"/>
  <c r="KZ76" i="119" s="1"/>
  <c r="JN76" i="119"/>
  <c r="LP76" i="119" s="1"/>
  <c r="HT76" i="119"/>
  <c r="JV76" i="119" s="1"/>
  <c r="IJ76" i="119"/>
  <c r="KL76" i="119" s="1"/>
  <c r="IZ76" i="119"/>
  <c r="LB76" i="119" s="1"/>
  <c r="HV76" i="119"/>
  <c r="JX76" i="119" s="1"/>
  <c r="IL76" i="119"/>
  <c r="KN76" i="119" s="1"/>
  <c r="JB76" i="119"/>
  <c r="LD76" i="119" s="1"/>
  <c r="HW76" i="119"/>
  <c r="JY76" i="119" s="1"/>
  <c r="IM76" i="119"/>
  <c r="KO76" i="119" s="1"/>
  <c r="JC76" i="119"/>
  <c r="LE76" i="119" s="1"/>
  <c r="IA76" i="119"/>
  <c r="KC76" i="119" s="1"/>
  <c r="IQ76" i="119"/>
  <c r="KS76" i="119" s="1"/>
  <c r="JG76" i="119"/>
  <c r="LI76" i="119" s="1"/>
  <c r="ID76" i="119"/>
  <c r="KF76" i="119" s="1"/>
  <c r="IT76" i="119"/>
  <c r="KV76" i="119" s="1"/>
  <c r="JJ76" i="119"/>
  <c r="LL76" i="119" s="1"/>
  <c r="HO76" i="119"/>
  <c r="JQ76" i="119" s="1"/>
  <c r="IO76" i="119"/>
  <c r="KQ76" i="119" s="1"/>
  <c r="JM76" i="119"/>
  <c r="LO76" i="119" s="1"/>
  <c r="HQ76" i="119"/>
  <c r="JS76" i="119" s="1"/>
  <c r="IR76" i="119"/>
  <c r="KT76" i="119" s="1"/>
  <c r="HU76" i="119"/>
  <c r="JW76" i="119" s="1"/>
  <c r="IU76" i="119"/>
  <c r="KW76" i="119" s="1"/>
  <c r="HX76" i="119"/>
  <c r="JZ76" i="119" s="1"/>
  <c r="IV76" i="119"/>
  <c r="KX76" i="119" s="1"/>
  <c r="HZ76" i="119"/>
  <c r="KB76" i="119" s="1"/>
  <c r="IY76" i="119"/>
  <c r="LA76" i="119" s="1"/>
  <c r="IB76" i="119"/>
  <c r="KD76" i="119" s="1"/>
  <c r="JA76" i="119"/>
  <c r="LC76" i="119" s="1"/>
  <c r="IC76" i="119"/>
  <c r="KE76" i="119" s="1"/>
  <c r="JD76" i="119"/>
  <c r="LF76" i="119" s="1"/>
  <c r="HP76" i="119"/>
  <c r="JR76" i="119" s="1"/>
  <c r="JK76" i="119"/>
  <c r="LM76" i="119" s="1"/>
  <c r="HS76" i="119"/>
  <c r="JU76" i="119" s="1"/>
  <c r="JL76" i="119"/>
  <c r="LN76" i="119" s="1"/>
  <c r="HY76" i="119"/>
  <c r="KA76" i="119" s="1"/>
  <c r="IE76" i="119"/>
  <c r="KG76" i="119" s="1"/>
  <c r="IF76" i="119"/>
  <c r="KH76" i="119" s="1"/>
  <c r="IG76" i="119"/>
  <c r="KI76" i="119" s="1"/>
  <c r="II76" i="119"/>
  <c r="KK76" i="119" s="1"/>
  <c r="IK76" i="119"/>
  <c r="KM76" i="119" s="1"/>
  <c r="IN76" i="119"/>
  <c r="KP76" i="119" s="1"/>
  <c r="IP76" i="119"/>
  <c r="KR76" i="119" s="1"/>
  <c r="IS76" i="119"/>
  <c r="KU76" i="119" s="1"/>
  <c r="IW76" i="119"/>
  <c r="KY76" i="119" s="1"/>
  <c r="JE76" i="119"/>
  <c r="LG76" i="119" s="1"/>
  <c r="JF76" i="119"/>
  <c r="LH76" i="119" s="1"/>
  <c r="JI76" i="119"/>
  <c r="LK76" i="119" s="1"/>
  <c r="JH76" i="119"/>
  <c r="LJ76" i="119" s="1"/>
  <c r="HZ102" i="119"/>
  <c r="KB102" i="119" s="1"/>
  <c r="IP102" i="119"/>
  <c r="KR102" i="119" s="1"/>
  <c r="JF102" i="119"/>
  <c r="LH102" i="119" s="1"/>
  <c r="HY102" i="119"/>
  <c r="KA102" i="119" s="1"/>
  <c r="IQ102" i="119"/>
  <c r="KS102" i="119" s="1"/>
  <c r="IU102" i="119"/>
  <c r="KW102" i="119" s="1"/>
  <c r="JM102" i="119"/>
  <c r="LO102" i="119" s="1"/>
  <c r="ID102" i="119"/>
  <c r="KF102" i="119" s="1"/>
  <c r="IV102" i="119"/>
  <c r="KX102" i="119" s="1"/>
  <c r="JN102" i="119"/>
  <c r="LP102" i="119" s="1"/>
  <c r="HO102" i="119"/>
  <c r="JQ102" i="119" s="1"/>
  <c r="IG102" i="119"/>
  <c r="KI102" i="119" s="1"/>
  <c r="IY102" i="119"/>
  <c r="LA102" i="119" s="1"/>
  <c r="HP102" i="119"/>
  <c r="JR102" i="119" s="1"/>
  <c r="IH102" i="119"/>
  <c r="KJ102" i="119" s="1"/>
  <c r="IZ102" i="119"/>
  <c r="LB102" i="119" s="1"/>
  <c r="HS102" i="119"/>
  <c r="JU102" i="119" s="1"/>
  <c r="IK102" i="119"/>
  <c r="KM102" i="119" s="1"/>
  <c r="JC102" i="119"/>
  <c r="LE102" i="119" s="1"/>
  <c r="HT102" i="119"/>
  <c r="JV102" i="119" s="1"/>
  <c r="IL102" i="119"/>
  <c r="KN102" i="119" s="1"/>
  <c r="JD102" i="119"/>
  <c r="LF102" i="119" s="1"/>
  <c r="HW102" i="119"/>
  <c r="JY102" i="119" s="1"/>
  <c r="IO102" i="119"/>
  <c r="KQ102" i="119" s="1"/>
  <c r="IT102" i="119"/>
  <c r="KV102" i="119" s="1"/>
  <c r="HQ102" i="119"/>
  <c r="JS102" i="119" s="1"/>
  <c r="IW102" i="119"/>
  <c r="KY102" i="119" s="1"/>
  <c r="HR102" i="119"/>
  <c r="JT102" i="119" s="1"/>
  <c r="IX102" i="119"/>
  <c r="KZ102" i="119" s="1"/>
  <c r="HU102" i="119"/>
  <c r="JW102" i="119" s="1"/>
  <c r="JA102" i="119"/>
  <c r="LC102" i="119" s="1"/>
  <c r="HV102" i="119"/>
  <c r="JX102" i="119" s="1"/>
  <c r="JB102" i="119"/>
  <c r="LD102" i="119" s="1"/>
  <c r="HX102" i="119"/>
  <c r="JZ102" i="119" s="1"/>
  <c r="JE102" i="119"/>
  <c r="LG102" i="119" s="1"/>
  <c r="IA102" i="119"/>
  <c r="KC102" i="119" s="1"/>
  <c r="JG102" i="119"/>
  <c r="LI102" i="119" s="1"/>
  <c r="IB102" i="119"/>
  <c r="KD102" i="119" s="1"/>
  <c r="JJ102" i="119"/>
  <c r="LL102" i="119" s="1"/>
  <c r="IE102" i="119"/>
  <c r="KG102" i="119" s="1"/>
  <c r="JK102" i="119"/>
  <c r="LM102" i="119" s="1"/>
  <c r="IF102" i="119"/>
  <c r="KH102" i="119" s="1"/>
  <c r="JL102" i="119"/>
  <c r="LN102" i="119" s="1"/>
  <c r="II102" i="119"/>
  <c r="KK102" i="119" s="1"/>
  <c r="IJ102" i="119"/>
  <c r="KL102" i="119" s="1"/>
  <c r="IM102" i="119"/>
  <c r="KO102" i="119" s="1"/>
  <c r="IN102" i="119"/>
  <c r="KP102" i="119" s="1"/>
  <c r="IR102" i="119"/>
  <c r="KT102" i="119" s="1"/>
  <c r="HQ110" i="119"/>
  <c r="JS110" i="119" s="1"/>
  <c r="IG110" i="119"/>
  <c r="KI110" i="119" s="1"/>
  <c r="IW110" i="119"/>
  <c r="KY110" i="119" s="1"/>
  <c r="JM110" i="119"/>
  <c r="LO110" i="119" s="1"/>
  <c r="HW110" i="119"/>
  <c r="JY110" i="119" s="1"/>
  <c r="IN110" i="119"/>
  <c r="KP110" i="119" s="1"/>
  <c r="JE110" i="119"/>
  <c r="LG110" i="119" s="1"/>
  <c r="HX110" i="119"/>
  <c r="JZ110" i="119" s="1"/>
  <c r="IO110" i="119"/>
  <c r="KQ110" i="119" s="1"/>
  <c r="JF110" i="119"/>
  <c r="LH110" i="119" s="1"/>
  <c r="IA110" i="119"/>
  <c r="KC110" i="119" s="1"/>
  <c r="IR110" i="119"/>
  <c r="KT110" i="119" s="1"/>
  <c r="JI110" i="119"/>
  <c r="LK110" i="119" s="1"/>
  <c r="IB110" i="119"/>
  <c r="KD110" i="119" s="1"/>
  <c r="IS110" i="119"/>
  <c r="KU110" i="119" s="1"/>
  <c r="JJ110" i="119"/>
  <c r="LL110" i="119" s="1"/>
  <c r="IE110" i="119"/>
  <c r="KG110" i="119" s="1"/>
  <c r="IV110" i="119"/>
  <c r="KX110" i="119" s="1"/>
  <c r="JN110" i="119"/>
  <c r="LP110" i="119" s="1"/>
  <c r="HO110" i="119"/>
  <c r="JQ110" i="119" s="1"/>
  <c r="IF110" i="119"/>
  <c r="KH110" i="119" s="1"/>
  <c r="IX110" i="119"/>
  <c r="KZ110" i="119" s="1"/>
  <c r="HS110" i="119"/>
  <c r="JU110" i="119" s="1"/>
  <c r="IJ110" i="119"/>
  <c r="KL110" i="119" s="1"/>
  <c r="JA110" i="119"/>
  <c r="LC110" i="119" s="1"/>
  <c r="HZ110" i="119"/>
  <c r="KB110" i="119" s="1"/>
  <c r="JD110" i="119"/>
  <c r="LF110" i="119" s="1"/>
  <c r="IC110" i="119"/>
  <c r="KE110" i="119" s="1"/>
  <c r="JG110" i="119"/>
  <c r="LI110" i="119" s="1"/>
  <c r="ID110" i="119"/>
  <c r="KF110" i="119" s="1"/>
  <c r="JH110" i="119"/>
  <c r="LJ110" i="119" s="1"/>
  <c r="IH110" i="119"/>
  <c r="KJ110" i="119" s="1"/>
  <c r="JK110" i="119"/>
  <c r="LM110" i="119" s="1"/>
  <c r="II110" i="119"/>
  <c r="KK110" i="119" s="1"/>
  <c r="JL110" i="119"/>
  <c r="LN110" i="119" s="1"/>
  <c r="IK110" i="119"/>
  <c r="KM110" i="119" s="1"/>
  <c r="IL110" i="119"/>
  <c r="KN110" i="119" s="1"/>
  <c r="IM110" i="119"/>
  <c r="KO110" i="119" s="1"/>
  <c r="IP110" i="119"/>
  <c r="KR110" i="119" s="1"/>
  <c r="IQ110" i="119"/>
  <c r="KS110" i="119" s="1"/>
  <c r="HP110" i="119"/>
  <c r="JR110" i="119" s="1"/>
  <c r="IT110" i="119"/>
  <c r="KV110" i="119" s="1"/>
  <c r="HR110" i="119"/>
  <c r="JT110" i="119" s="1"/>
  <c r="IU110" i="119"/>
  <c r="KW110" i="119" s="1"/>
  <c r="HT110" i="119"/>
  <c r="JV110" i="119" s="1"/>
  <c r="IY110" i="119"/>
  <c r="LA110" i="119" s="1"/>
  <c r="HU110" i="119"/>
  <c r="JW110" i="119" s="1"/>
  <c r="IZ110" i="119"/>
  <c r="LB110" i="119" s="1"/>
  <c r="HV110" i="119"/>
  <c r="JX110" i="119" s="1"/>
  <c r="HY110" i="119"/>
  <c r="KA110" i="119" s="1"/>
  <c r="JB110" i="119"/>
  <c r="LD110" i="119" s="1"/>
  <c r="JC110" i="119"/>
  <c r="LE110" i="119" s="1"/>
  <c r="HZ22" i="119"/>
  <c r="KB22" i="119" s="1"/>
  <c r="IP22" i="119"/>
  <c r="KR22" i="119" s="1"/>
  <c r="JF22" i="119"/>
  <c r="LH22" i="119" s="1"/>
  <c r="IA22" i="119"/>
  <c r="KC22" i="119" s="1"/>
  <c r="IQ22" i="119"/>
  <c r="KS22" i="119" s="1"/>
  <c r="JG22" i="119"/>
  <c r="LI22" i="119" s="1"/>
  <c r="IB22" i="119"/>
  <c r="KD22" i="119" s="1"/>
  <c r="IR22" i="119"/>
  <c r="KT22" i="119" s="1"/>
  <c r="JH22" i="119"/>
  <c r="LJ22" i="119" s="1"/>
  <c r="HO22" i="119"/>
  <c r="JQ22" i="119" s="1"/>
  <c r="IE22" i="119"/>
  <c r="KG22" i="119" s="1"/>
  <c r="IU22" i="119"/>
  <c r="KW22" i="119" s="1"/>
  <c r="JK22" i="119"/>
  <c r="LM22" i="119" s="1"/>
  <c r="HP22" i="119"/>
  <c r="JR22" i="119" s="1"/>
  <c r="IF22" i="119"/>
  <c r="KH22" i="119" s="1"/>
  <c r="IV22" i="119"/>
  <c r="KX22" i="119" s="1"/>
  <c r="JL22" i="119"/>
  <c r="LN22" i="119" s="1"/>
  <c r="HR22" i="119"/>
  <c r="JT22" i="119" s="1"/>
  <c r="IH22" i="119"/>
  <c r="KJ22" i="119" s="1"/>
  <c r="IX22" i="119"/>
  <c r="KZ22" i="119" s="1"/>
  <c r="JN22" i="119"/>
  <c r="LP22" i="119" s="1"/>
  <c r="HS22" i="119"/>
  <c r="JU22" i="119" s="1"/>
  <c r="II22" i="119"/>
  <c r="KK22" i="119" s="1"/>
  <c r="IY22" i="119"/>
  <c r="LA22" i="119" s="1"/>
  <c r="HT22" i="119"/>
  <c r="JV22" i="119" s="1"/>
  <c r="IJ22" i="119"/>
  <c r="KL22" i="119" s="1"/>
  <c r="IZ22" i="119"/>
  <c r="LB22" i="119" s="1"/>
  <c r="HQ22" i="119"/>
  <c r="JS22" i="119" s="1"/>
  <c r="JB22" i="119"/>
  <c r="LD22" i="119" s="1"/>
  <c r="HV22" i="119"/>
  <c r="JX22" i="119" s="1"/>
  <c r="JE22" i="119"/>
  <c r="LG22" i="119" s="1"/>
  <c r="HY22" i="119"/>
  <c r="KA22" i="119" s="1"/>
  <c r="JJ22" i="119"/>
  <c r="LL22" i="119" s="1"/>
  <c r="IC22" i="119"/>
  <c r="KE22" i="119" s="1"/>
  <c r="JM22" i="119"/>
  <c r="LO22" i="119" s="1"/>
  <c r="IK22" i="119"/>
  <c r="KM22" i="119" s="1"/>
  <c r="IS22" i="119"/>
  <c r="KU22" i="119" s="1"/>
  <c r="IT22" i="119"/>
  <c r="KV22" i="119" s="1"/>
  <c r="IW22" i="119"/>
  <c r="KY22" i="119" s="1"/>
  <c r="IG22" i="119"/>
  <c r="KI22" i="119" s="1"/>
  <c r="HX22" i="119"/>
  <c r="JZ22" i="119" s="1"/>
  <c r="IL22" i="119"/>
  <c r="KN22" i="119" s="1"/>
  <c r="IO22" i="119"/>
  <c r="KQ22" i="119" s="1"/>
  <c r="HU22" i="119"/>
  <c r="JW22" i="119" s="1"/>
  <c r="ID22" i="119"/>
  <c r="KF22" i="119" s="1"/>
  <c r="IN22" i="119"/>
  <c r="KP22" i="119" s="1"/>
  <c r="JD22" i="119"/>
  <c r="LF22" i="119" s="1"/>
  <c r="JI22" i="119"/>
  <c r="LK22" i="119" s="1"/>
  <c r="JA22" i="119"/>
  <c r="LC22" i="119" s="1"/>
  <c r="HR145" i="119"/>
  <c r="JT145" i="119" s="1"/>
  <c r="IH145" i="119"/>
  <c r="KJ145" i="119" s="1"/>
  <c r="IX145" i="119"/>
  <c r="KZ145" i="119" s="1"/>
  <c r="JN145" i="119"/>
  <c r="LP145" i="119" s="1"/>
  <c r="HT145" i="119"/>
  <c r="JV145" i="119" s="1"/>
  <c r="IJ145" i="119"/>
  <c r="KL145" i="119" s="1"/>
  <c r="IZ145" i="119"/>
  <c r="LB145" i="119" s="1"/>
  <c r="HW145" i="119"/>
  <c r="JY145" i="119" s="1"/>
  <c r="IM145" i="119"/>
  <c r="KO145" i="119" s="1"/>
  <c r="JC145" i="119"/>
  <c r="LE145" i="119" s="1"/>
  <c r="HZ145" i="119"/>
  <c r="KB145" i="119" s="1"/>
  <c r="IP145" i="119"/>
  <c r="KR145" i="119" s="1"/>
  <c r="JF145" i="119"/>
  <c r="LH145" i="119" s="1"/>
  <c r="IA145" i="119"/>
  <c r="KC145" i="119" s="1"/>
  <c r="IQ145" i="119"/>
  <c r="KS145" i="119" s="1"/>
  <c r="JG145" i="119"/>
  <c r="LI145" i="119" s="1"/>
  <c r="ID145" i="119"/>
  <c r="KF145" i="119" s="1"/>
  <c r="IT145" i="119"/>
  <c r="KV145" i="119" s="1"/>
  <c r="JJ145" i="119"/>
  <c r="LL145" i="119" s="1"/>
  <c r="HV145" i="119"/>
  <c r="JX145" i="119" s="1"/>
  <c r="IV145" i="119"/>
  <c r="KX145" i="119" s="1"/>
  <c r="HX145" i="119"/>
  <c r="JZ145" i="119" s="1"/>
  <c r="IW145" i="119"/>
  <c r="KY145" i="119" s="1"/>
  <c r="HY145" i="119"/>
  <c r="KA145" i="119" s="1"/>
  <c r="IY145" i="119"/>
  <c r="LA145" i="119" s="1"/>
  <c r="IB145" i="119"/>
  <c r="KD145" i="119" s="1"/>
  <c r="JA145" i="119"/>
  <c r="LC145" i="119" s="1"/>
  <c r="IC145" i="119"/>
  <c r="KE145" i="119" s="1"/>
  <c r="JB145" i="119"/>
  <c r="LD145" i="119" s="1"/>
  <c r="IE145" i="119"/>
  <c r="KG145" i="119" s="1"/>
  <c r="JD145" i="119"/>
  <c r="LF145" i="119" s="1"/>
  <c r="IF145" i="119"/>
  <c r="KH145" i="119" s="1"/>
  <c r="JE145" i="119"/>
  <c r="LG145" i="119" s="1"/>
  <c r="IG145" i="119"/>
  <c r="KI145" i="119" s="1"/>
  <c r="JH145" i="119"/>
  <c r="LJ145" i="119" s="1"/>
  <c r="II145" i="119"/>
  <c r="KK145" i="119" s="1"/>
  <c r="JI145" i="119"/>
  <c r="LK145" i="119" s="1"/>
  <c r="IK145" i="119"/>
  <c r="KM145" i="119" s="1"/>
  <c r="JK145" i="119"/>
  <c r="LM145" i="119" s="1"/>
  <c r="IL145" i="119"/>
  <c r="KN145" i="119" s="1"/>
  <c r="JL145" i="119"/>
  <c r="LN145" i="119" s="1"/>
  <c r="HO145" i="119"/>
  <c r="JQ145" i="119" s="1"/>
  <c r="IN145" i="119"/>
  <c r="KP145" i="119" s="1"/>
  <c r="JM145" i="119"/>
  <c r="LO145" i="119" s="1"/>
  <c r="HP145" i="119"/>
  <c r="JR145" i="119" s="1"/>
  <c r="IO145" i="119"/>
  <c r="KQ145" i="119" s="1"/>
  <c r="HQ145" i="119"/>
  <c r="JS145" i="119" s="1"/>
  <c r="IR145" i="119"/>
  <c r="KT145" i="119" s="1"/>
  <c r="HS145" i="119"/>
  <c r="JU145" i="119" s="1"/>
  <c r="HU145" i="119"/>
  <c r="JW145" i="119" s="1"/>
  <c r="IS145" i="119"/>
  <c r="KU145" i="119" s="1"/>
  <c r="IU145" i="119"/>
  <c r="KW145" i="119" s="1"/>
  <c r="ID146" i="119"/>
  <c r="KF146" i="119" s="1"/>
  <c r="IT146" i="119"/>
  <c r="KV146" i="119" s="1"/>
  <c r="JJ146" i="119"/>
  <c r="LL146" i="119" s="1"/>
  <c r="HP146" i="119"/>
  <c r="JR146" i="119" s="1"/>
  <c r="IF146" i="119"/>
  <c r="KH146" i="119" s="1"/>
  <c r="IV146" i="119"/>
  <c r="KX146" i="119" s="1"/>
  <c r="JL146" i="119"/>
  <c r="LN146" i="119" s="1"/>
  <c r="HS146" i="119"/>
  <c r="JU146" i="119" s="1"/>
  <c r="II146" i="119"/>
  <c r="KK146" i="119" s="1"/>
  <c r="IY146" i="119"/>
  <c r="LA146" i="119" s="1"/>
  <c r="HV146" i="119"/>
  <c r="JX146" i="119" s="1"/>
  <c r="IL146" i="119"/>
  <c r="KN146" i="119" s="1"/>
  <c r="JB146" i="119"/>
  <c r="LD146" i="119" s="1"/>
  <c r="HW146" i="119"/>
  <c r="JY146" i="119" s="1"/>
  <c r="IM146" i="119"/>
  <c r="KO146" i="119" s="1"/>
  <c r="JC146" i="119"/>
  <c r="LE146" i="119" s="1"/>
  <c r="HZ146" i="119"/>
  <c r="KB146" i="119" s="1"/>
  <c r="IP146" i="119"/>
  <c r="KR146" i="119" s="1"/>
  <c r="JF146" i="119"/>
  <c r="LH146" i="119" s="1"/>
  <c r="HU146" i="119"/>
  <c r="JW146" i="119" s="1"/>
  <c r="IU146" i="119"/>
  <c r="KW146" i="119" s="1"/>
  <c r="HX146" i="119"/>
  <c r="JZ146" i="119" s="1"/>
  <c r="IW146" i="119"/>
  <c r="KY146" i="119" s="1"/>
  <c r="HY146" i="119"/>
  <c r="KA146" i="119" s="1"/>
  <c r="IX146" i="119"/>
  <c r="KZ146" i="119" s="1"/>
  <c r="IA146" i="119"/>
  <c r="KC146" i="119" s="1"/>
  <c r="IZ146" i="119"/>
  <c r="LB146" i="119" s="1"/>
  <c r="IB146" i="119"/>
  <c r="KD146" i="119" s="1"/>
  <c r="JA146" i="119"/>
  <c r="LC146" i="119" s="1"/>
  <c r="IC146" i="119"/>
  <c r="KE146" i="119" s="1"/>
  <c r="JD146" i="119"/>
  <c r="LF146" i="119" s="1"/>
  <c r="IE146" i="119"/>
  <c r="KG146" i="119" s="1"/>
  <c r="JE146" i="119"/>
  <c r="LG146" i="119" s="1"/>
  <c r="IG146" i="119"/>
  <c r="KI146" i="119" s="1"/>
  <c r="JG146" i="119"/>
  <c r="LI146" i="119" s="1"/>
  <c r="IH146" i="119"/>
  <c r="KJ146" i="119" s="1"/>
  <c r="JH146" i="119"/>
  <c r="LJ146" i="119" s="1"/>
  <c r="IJ146" i="119"/>
  <c r="KL146" i="119" s="1"/>
  <c r="JI146" i="119"/>
  <c r="LK146" i="119" s="1"/>
  <c r="IK146" i="119"/>
  <c r="KM146" i="119" s="1"/>
  <c r="JK146" i="119"/>
  <c r="LM146" i="119" s="1"/>
  <c r="IN146" i="119"/>
  <c r="KP146" i="119" s="1"/>
  <c r="JM146" i="119"/>
  <c r="LO146" i="119" s="1"/>
  <c r="HO146" i="119"/>
  <c r="JQ146" i="119" s="1"/>
  <c r="IO146" i="119"/>
  <c r="KQ146" i="119" s="1"/>
  <c r="JN146" i="119"/>
  <c r="LP146" i="119" s="1"/>
  <c r="HQ146" i="119"/>
  <c r="JS146" i="119" s="1"/>
  <c r="IQ146" i="119"/>
  <c r="KS146" i="119" s="1"/>
  <c r="IR146" i="119"/>
  <c r="KT146" i="119" s="1"/>
  <c r="IS146" i="119"/>
  <c r="KU146" i="119" s="1"/>
  <c r="HR146" i="119"/>
  <c r="JT146" i="119" s="1"/>
  <c r="HT146" i="119"/>
  <c r="JV146" i="119" s="1"/>
  <c r="HV132" i="119"/>
  <c r="JX132" i="119" s="1"/>
  <c r="IL132" i="119"/>
  <c r="KN132" i="119" s="1"/>
  <c r="JB132" i="119"/>
  <c r="LD132" i="119" s="1"/>
  <c r="HW132" i="119"/>
  <c r="JY132" i="119" s="1"/>
  <c r="IM132" i="119"/>
  <c r="KO132" i="119" s="1"/>
  <c r="JC132" i="119"/>
  <c r="LE132" i="119" s="1"/>
  <c r="IC132" i="119"/>
  <c r="KE132" i="119" s="1"/>
  <c r="IU132" i="119"/>
  <c r="KW132" i="119" s="1"/>
  <c r="JM132" i="119"/>
  <c r="LO132" i="119" s="1"/>
  <c r="IE132" i="119"/>
  <c r="KG132" i="119" s="1"/>
  <c r="IW132" i="119"/>
  <c r="KY132" i="119" s="1"/>
  <c r="IF132" i="119"/>
  <c r="KH132" i="119" s="1"/>
  <c r="IX132" i="119"/>
  <c r="KZ132" i="119" s="1"/>
  <c r="HP132" i="119"/>
  <c r="JR132" i="119" s="1"/>
  <c r="IH132" i="119"/>
  <c r="KJ132" i="119" s="1"/>
  <c r="IZ132" i="119"/>
  <c r="LB132" i="119" s="1"/>
  <c r="HS132" i="119"/>
  <c r="JU132" i="119" s="1"/>
  <c r="IK132" i="119"/>
  <c r="KM132" i="119" s="1"/>
  <c r="JE132" i="119"/>
  <c r="LG132" i="119" s="1"/>
  <c r="HT132" i="119"/>
  <c r="JV132" i="119" s="1"/>
  <c r="IN132" i="119"/>
  <c r="KP132" i="119" s="1"/>
  <c r="JF132" i="119"/>
  <c r="LH132" i="119" s="1"/>
  <c r="HU132" i="119"/>
  <c r="JW132" i="119" s="1"/>
  <c r="IO132" i="119"/>
  <c r="KQ132" i="119" s="1"/>
  <c r="JG132" i="119"/>
  <c r="LI132" i="119" s="1"/>
  <c r="HY132" i="119"/>
  <c r="KA132" i="119" s="1"/>
  <c r="IQ132" i="119"/>
  <c r="KS132" i="119" s="1"/>
  <c r="JI132" i="119"/>
  <c r="LK132" i="119" s="1"/>
  <c r="IJ132" i="119"/>
  <c r="KL132" i="119" s="1"/>
  <c r="IP132" i="119"/>
  <c r="KR132" i="119" s="1"/>
  <c r="IR132" i="119"/>
  <c r="KT132" i="119" s="1"/>
  <c r="IS132" i="119"/>
  <c r="KU132" i="119" s="1"/>
  <c r="IT132" i="119"/>
  <c r="KV132" i="119" s="1"/>
  <c r="IV132" i="119"/>
  <c r="KX132" i="119" s="1"/>
  <c r="HO132" i="119"/>
  <c r="JQ132" i="119" s="1"/>
  <c r="IY132" i="119"/>
  <c r="LA132" i="119" s="1"/>
  <c r="HQ132" i="119"/>
  <c r="JS132" i="119" s="1"/>
  <c r="JA132" i="119"/>
  <c r="LC132" i="119" s="1"/>
  <c r="HR132" i="119"/>
  <c r="JT132" i="119" s="1"/>
  <c r="JD132" i="119"/>
  <c r="LF132" i="119" s="1"/>
  <c r="HX132" i="119"/>
  <c r="JZ132" i="119" s="1"/>
  <c r="JH132" i="119"/>
  <c r="LJ132" i="119" s="1"/>
  <c r="HZ132" i="119"/>
  <c r="KB132" i="119" s="1"/>
  <c r="JJ132" i="119"/>
  <c r="LL132" i="119" s="1"/>
  <c r="IA132" i="119"/>
  <c r="KC132" i="119" s="1"/>
  <c r="JK132" i="119"/>
  <c r="LM132" i="119" s="1"/>
  <c r="IB132" i="119"/>
  <c r="KD132" i="119" s="1"/>
  <c r="JL132" i="119"/>
  <c r="LN132" i="119" s="1"/>
  <c r="ID132" i="119"/>
  <c r="KF132" i="119" s="1"/>
  <c r="JN132" i="119"/>
  <c r="LP132" i="119" s="1"/>
  <c r="IG132" i="119"/>
  <c r="KI132" i="119" s="1"/>
  <c r="II132" i="119"/>
  <c r="KK132" i="119" s="1"/>
  <c r="ID13" i="119"/>
  <c r="KF13" i="119" s="1"/>
  <c r="IT13" i="119"/>
  <c r="KV13" i="119" s="1"/>
  <c r="JJ13" i="119"/>
  <c r="LL13" i="119" s="1"/>
  <c r="HO13" i="119"/>
  <c r="JQ13" i="119" s="1"/>
  <c r="IE13" i="119"/>
  <c r="KG13" i="119" s="1"/>
  <c r="IU13" i="119"/>
  <c r="KW13" i="119" s="1"/>
  <c r="JK13" i="119"/>
  <c r="LM13" i="119" s="1"/>
  <c r="HP13" i="119"/>
  <c r="JR13" i="119" s="1"/>
  <c r="IF13" i="119"/>
  <c r="KH13" i="119" s="1"/>
  <c r="IV13" i="119"/>
  <c r="KX13" i="119" s="1"/>
  <c r="JL13" i="119"/>
  <c r="LN13" i="119" s="1"/>
  <c r="HS13" i="119"/>
  <c r="JU13" i="119" s="1"/>
  <c r="II13" i="119"/>
  <c r="KK13" i="119" s="1"/>
  <c r="IY13" i="119"/>
  <c r="LA13" i="119" s="1"/>
  <c r="HV13" i="119"/>
  <c r="JX13" i="119" s="1"/>
  <c r="IL13" i="119"/>
  <c r="KN13" i="119" s="1"/>
  <c r="JB13" i="119"/>
  <c r="LD13" i="119" s="1"/>
  <c r="HW13" i="119"/>
  <c r="JY13" i="119" s="1"/>
  <c r="IM13" i="119"/>
  <c r="KO13" i="119" s="1"/>
  <c r="JC13" i="119"/>
  <c r="LE13" i="119" s="1"/>
  <c r="HX13" i="119"/>
  <c r="JZ13" i="119" s="1"/>
  <c r="IN13" i="119"/>
  <c r="KP13" i="119" s="1"/>
  <c r="JD13" i="119"/>
  <c r="LF13" i="119" s="1"/>
  <c r="IA13" i="119"/>
  <c r="KC13" i="119" s="1"/>
  <c r="IQ13" i="119"/>
  <c r="KS13" i="119" s="1"/>
  <c r="JG13" i="119"/>
  <c r="LI13" i="119" s="1"/>
  <c r="IS13" i="119"/>
  <c r="KU13" i="119" s="1"/>
  <c r="IX13" i="119"/>
  <c r="KZ13" i="119" s="1"/>
  <c r="HR13" i="119"/>
  <c r="JT13" i="119" s="1"/>
  <c r="JE13" i="119"/>
  <c r="LG13" i="119" s="1"/>
  <c r="HU13" i="119"/>
  <c r="JW13" i="119" s="1"/>
  <c r="JF13" i="119"/>
  <c r="LH13" i="119" s="1"/>
  <c r="IB13" i="119"/>
  <c r="KD13" i="119" s="1"/>
  <c r="JM13" i="119"/>
  <c r="LO13" i="119" s="1"/>
  <c r="IC13" i="119"/>
  <c r="KE13" i="119" s="1"/>
  <c r="JN13" i="119"/>
  <c r="LP13" i="119" s="1"/>
  <c r="IR13" i="119"/>
  <c r="KT13" i="119" s="1"/>
  <c r="IW13" i="119"/>
  <c r="KY13" i="119" s="1"/>
  <c r="JA13" i="119"/>
  <c r="LC13" i="119" s="1"/>
  <c r="HQ13" i="119"/>
  <c r="JS13" i="119" s="1"/>
  <c r="IH13" i="119"/>
  <c r="KJ13" i="119" s="1"/>
  <c r="JH13" i="119"/>
  <c r="LJ13" i="119" s="1"/>
  <c r="JI13" i="119"/>
  <c r="LK13" i="119" s="1"/>
  <c r="HY13" i="119"/>
  <c r="KA13" i="119" s="1"/>
  <c r="HZ13" i="119"/>
  <c r="KB13" i="119" s="1"/>
  <c r="IO13" i="119"/>
  <c r="KQ13" i="119" s="1"/>
  <c r="IK13" i="119"/>
  <c r="KM13" i="119" s="1"/>
  <c r="IG13" i="119"/>
  <c r="KI13" i="119" s="1"/>
  <c r="IP13" i="119"/>
  <c r="KR13" i="119" s="1"/>
  <c r="HT13" i="119"/>
  <c r="JV13" i="119" s="1"/>
  <c r="ID97" i="119"/>
  <c r="KF97" i="119" s="1"/>
  <c r="IT97" i="119"/>
  <c r="KV97" i="119" s="1"/>
  <c r="JJ97" i="119"/>
  <c r="LL97" i="119" s="1"/>
  <c r="HP97" i="119"/>
  <c r="JR97" i="119" s="1"/>
  <c r="IF97" i="119"/>
  <c r="KH97" i="119" s="1"/>
  <c r="IV97" i="119"/>
  <c r="KX97" i="119" s="1"/>
  <c r="JL97" i="119"/>
  <c r="LN97" i="119" s="1"/>
  <c r="HS97" i="119"/>
  <c r="JU97" i="119" s="1"/>
  <c r="II97" i="119"/>
  <c r="KK97" i="119" s="1"/>
  <c r="HT97" i="119"/>
  <c r="JV97" i="119" s="1"/>
  <c r="IM97" i="119"/>
  <c r="KO97" i="119" s="1"/>
  <c r="JE97" i="119"/>
  <c r="LG97" i="119" s="1"/>
  <c r="HY97" i="119"/>
  <c r="KA97" i="119" s="1"/>
  <c r="IA97" i="119"/>
  <c r="KC97" i="119" s="1"/>
  <c r="IB97" i="119"/>
  <c r="KD97" i="119" s="1"/>
  <c r="IX97" i="119"/>
  <c r="KZ97" i="119" s="1"/>
  <c r="JA97" i="119"/>
  <c r="LC97" i="119" s="1"/>
  <c r="IH97" i="119"/>
  <c r="KJ97" i="119" s="1"/>
  <c r="JB97" i="119"/>
  <c r="LD97" i="119" s="1"/>
  <c r="HO97" i="119"/>
  <c r="JQ97" i="119" s="1"/>
  <c r="IL97" i="119"/>
  <c r="KN97" i="119" s="1"/>
  <c r="JF97" i="119"/>
  <c r="LH97" i="119" s="1"/>
  <c r="IN97" i="119"/>
  <c r="KP97" i="119" s="1"/>
  <c r="JG97" i="119"/>
  <c r="LI97" i="119" s="1"/>
  <c r="HV97" i="119"/>
  <c r="JX97" i="119" s="1"/>
  <c r="IQ97" i="119"/>
  <c r="KS97" i="119" s="1"/>
  <c r="JK97" i="119"/>
  <c r="LM97" i="119" s="1"/>
  <c r="IY97" i="119"/>
  <c r="LA97" i="119" s="1"/>
  <c r="IZ97" i="119"/>
  <c r="LB97" i="119" s="1"/>
  <c r="HR97" i="119"/>
  <c r="JT97" i="119" s="1"/>
  <c r="JC97" i="119"/>
  <c r="LE97" i="119" s="1"/>
  <c r="HU97" i="119"/>
  <c r="JW97" i="119" s="1"/>
  <c r="JD97" i="119"/>
  <c r="LF97" i="119" s="1"/>
  <c r="HW97" i="119"/>
  <c r="JY97" i="119" s="1"/>
  <c r="JH97" i="119"/>
  <c r="LJ97" i="119" s="1"/>
  <c r="HX97" i="119"/>
  <c r="JZ97" i="119" s="1"/>
  <c r="JI97" i="119"/>
  <c r="LK97" i="119" s="1"/>
  <c r="HZ97" i="119"/>
  <c r="KB97" i="119" s="1"/>
  <c r="IC97" i="119"/>
  <c r="KE97" i="119" s="1"/>
  <c r="JN97" i="119"/>
  <c r="LP97" i="119" s="1"/>
  <c r="IE97" i="119"/>
  <c r="KG97" i="119" s="1"/>
  <c r="IJ97" i="119"/>
  <c r="KL97" i="119" s="1"/>
  <c r="IK97" i="119"/>
  <c r="KM97" i="119" s="1"/>
  <c r="IO97" i="119"/>
  <c r="KQ97" i="119" s="1"/>
  <c r="IP97" i="119"/>
  <c r="KR97" i="119" s="1"/>
  <c r="IR97" i="119"/>
  <c r="KT97" i="119" s="1"/>
  <c r="IS97" i="119"/>
  <c r="KU97" i="119" s="1"/>
  <c r="IU97" i="119"/>
  <c r="KW97" i="119" s="1"/>
  <c r="HR88" i="119"/>
  <c r="JT88" i="119" s="1"/>
  <c r="IH88" i="119"/>
  <c r="KJ88" i="119" s="1"/>
  <c r="IX88" i="119"/>
  <c r="KZ88" i="119" s="1"/>
  <c r="JN88" i="119"/>
  <c r="LP88" i="119" s="1"/>
  <c r="HT88" i="119"/>
  <c r="JV88" i="119" s="1"/>
  <c r="IJ88" i="119"/>
  <c r="KL88" i="119" s="1"/>
  <c r="IZ88" i="119"/>
  <c r="LB88" i="119" s="1"/>
  <c r="HV88" i="119"/>
  <c r="JX88" i="119" s="1"/>
  <c r="IL88" i="119"/>
  <c r="KN88" i="119" s="1"/>
  <c r="JB88" i="119"/>
  <c r="LD88" i="119" s="1"/>
  <c r="HW88" i="119"/>
  <c r="JY88" i="119" s="1"/>
  <c r="IM88" i="119"/>
  <c r="KO88" i="119" s="1"/>
  <c r="JC88" i="119"/>
  <c r="LE88" i="119" s="1"/>
  <c r="IF88" i="119"/>
  <c r="KH88" i="119" s="1"/>
  <c r="JD88" i="119"/>
  <c r="LF88" i="119" s="1"/>
  <c r="HP88" i="119"/>
  <c r="JR88" i="119" s="1"/>
  <c r="IN88" i="119"/>
  <c r="KP88" i="119" s="1"/>
  <c r="JH88" i="119"/>
  <c r="LJ88" i="119" s="1"/>
  <c r="HQ88" i="119"/>
  <c r="JS88" i="119" s="1"/>
  <c r="IO88" i="119"/>
  <c r="KQ88" i="119" s="1"/>
  <c r="JI88" i="119"/>
  <c r="LK88" i="119" s="1"/>
  <c r="HX88" i="119"/>
  <c r="JZ88" i="119" s="1"/>
  <c r="IR88" i="119"/>
  <c r="KT88" i="119" s="1"/>
  <c r="JL88" i="119"/>
  <c r="LN88" i="119" s="1"/>
  <c r="HZ88" i="119"/>
  <c r="KB88" i="119" s="1"/>
  <c r="IY88" i="119"/>
  <c r="LA88" i="119" s="1"/>
  <c r="IA88" i="119"/>
  <c r="KC88" i="119" s="1"/>
  <c r="JA88" i="119"/>
  <c r="LC88" i="119" s="1"/>
  <c r="IB88" i="119"/>
  <c r="KD88" i="119" s="1"/>
  <c r="JE88" i="119"/>
  <c r="LG88" i="119" s="1"/>
  <c r="IC88" i="119"/>
  <c r="KE88" i="119" s="1"/>
  <c r="JF88" i="119"/>
  <c r="LH88" i="119" s="1"/>
  <c r="ID88" i="119"/>
  <c r="KF88" i="119" s="1"/>
  <c r="JG88" i="119"/>
  <c r="LI88" i="119" s="1"/>
  <c r="IE88" i="119"/>
  <c r="KG88" i="119" s="1"/>
  <c r="JJ88" i="119"/>
  <c r="LL88" i="119" s="1"/>
  <c r="IG88" i="119"/>
  <c r="KI88" i="119" s="1"/>
  <c r="JK88" i="119"/>
  <c r="LM88" i="119" s="1"/>
  <c r="II88" i="119"/>
  <c r="KK88" i="119" s="1"/>
  <c r="JM88" i="119"/>
  <c r="LO88" i="119" s="1"/>
  <c r="IK88" i="119"/>
  <c r="KM88" i="119" s="1"/>
  <c r="IP88" i="119"/>
  <c r="KR88" i="119" s="1"/>
  <c r="HO88" i="119"/>
  <c r="JQ88" i="119" s="1"/>
  <c r="IT88" i="119"/>
  <c r="KV88" i="119" s="1"/>
  <c r="HS88" i="119"/>
  <c r="JU88" i="119" s="1"/>
  <c r="HU88" i="119"/>
  <c r="JW88" i="119" s="1"/>
  <c r="HY88" i="119"/>
  <c r="KA88" i="119" s="1"/>
  <c r="IQ88" i="119"/>
  <c r="KS88" i="119" s="1"/>
  <c r="IS88" i="119"/>
  <c r="KU88" i="119" s="1"/>
  <c r="IU88" i="119"/>
  <c r="KW88" i="119" s="1"/>
  <c r="IV88" i="119"/>
  <c r="KX88" i="119" s="1"/>
  <c r="IW88" i="119"/>
  <c r="KY88" i="119" s="1"/>
  <c r="ID126" i="119"/>
  <c r="KF126" i="119" s="1"/>
  <c r="IT126" i="119"/>
  <c r="KV126" i="119" s="1"/>
  <c r="JJ126" i="119"/>
  <c r="LL126" i="119" s="1"/>
  <c r="HO126" i="119"/>
  <c r="JQ126" i="119" s="1"/>
  <c r="IE126" i="119"/>
  <c r="KG126" i="119" s="1"/>
  <c r="IU126" i="119"/>
  <c r="KW126" i="119" s="1"/>
  <c r="JK126" i="119"/>
  <c r="LM126" i="119" s="1"/>
  <c r="HR126" i="119"/>
  <c r="JT126" i="119" s="1"/>
  <c r="IH126" i="119"/>
  <c r="KJ126" i="119" s="1"/>
  <c r="IX126" i="119"/>
  <c r="KZ126" i="119" s="1"/>
  <c r="JN126" i="119"/>
  <c r="LP126" i="119" s="1"/>
  <c r="HS126" i="119"/>
  <c r="JU126" i="119" s="1"/>
  <c r="II126" i="119"/>
  <c r="KK126" i="119" s="1"/>
  <c r="IY126" i="119"/>
  <c r="LA126" i="119" s="1"/>
  <c r="HT126" i="119"/>
  <c r="JV126" i="119" s="1"/>
  <c r="IN126" i="119"/>
  <c r="KP126" i="119" s="1"/>
  <c r="JH126" i="119"/>
  <c r="LJ126" i="119" s="1"/>
  <c r="HU126" i="119"/>
  <c r="JW126" i="119" s="1"/>
  <c r="IO126" i="119"/>
  <c r="KQ126" i="119" s="1"/>
  <c r="JI126" i="119"/>
  <c r="LK126" i="119" s="1"/>
  <c r="HV126" i="119"/>
  <c r="JX126" i="119" s="1"/>
  <c r="IP126" i="119"/>
  <c r="KR126" i="119" s="1"/>
  <c r="HW126" i="119"/>
  <c r="JY126" i="119" s="1"/>
  <c r="IQ126" i="119"/>
  <c r="KS126" i="119" s="1"/>
  <c r="JM126" i="119"/>
  <c r="LO126" i="119" s="1"/>
  <c r="HX126" i="119"/>
  <c r="JZ126" i="119" s="1"/>
  <c r="IR126" i="119"/>
  <c r="KT126" i="119" s="1"/>
  <c r="HY126" i="119"/>
  <c r="KA126" i="119" s="1"/>
  <c r="IS126" i="119"/>
  <c r="KU126" i="119" s="1"/>
  <c r="HZ126" i="119"/>
  <c r="KB126" i="119" s="1"/>
  <c r="IV126" i="119"/>
  <c r="KX126" i="119" s="1"/>
  <c r="IA126" i="119"/>
  <c r="KC126" i="119" s="1"/>
  <c r="IB126" i="119"/>
  <c r="KD126" i="119" s="1"/>
  <c r="IZ126" i="119"/>
  <c r="LB126" i="119" s="1"/>
  <c r="IC126" i="119"/>
  <c r="KE126" i="119" s="1"/>
  <c r="JA126" i="119"/>
  <c r="LC126" i="119" s="1"/>
  <c r="IF126" i="119"/>
  <c r="KH126" i="119" s="1"/>
  <c r="JB126" i="119"/>
  <c r="LD126" i="119" s="1"/>
  <c r="IG126" i="119"/>
  <c r="KI126" i="119" s="1"/>
  <c r="JC126" i="119"/>
  <c r="LE126" i="119" s="1"/>
  <c r="IJ126" i="119"/>
  <c r="KL126" i="119" s="1"/>
  <c r="JD126" i="119"/>
  <c r="LF126" i="119" s="1"/>
  <c r="IK126" i="119"/>
  <c r="KM126" i="119" s="1"/>
  <c r="JE126" i="119"/>
  <c r="LG126" i="119" s="1"/>
  <c r="HP126" i="119"/>
  <c r="JR126" i="119" s="1"/>
  <c r="HQ126" i="119"/>
  <c r="JS126" i="119" s="1"/>
  <c r="IL126" i="119"/>
  <c r="KN126" i="119" s="1"/>
  <c r="IM126" i="119"/>
  <c r="KO126" i="119" s="1"/>
  <c r="IW126" i="119"/>
  <c r="KY126" i="119" s="1"/>
  <c r="JF126" i="119"/>
  <c r="LH126" i="119" s="1"/>
  <c r="JG126" i="119"/>
  <c r="LI126" i="119" s="1"/>
  <c r="JL126" i="119"/>
  <c r="LN126" i="119" s="1"/>
  <c r="HV156" i="119"/>
  <c r="JX156" i="119" s="1"/>
  <c r="IL156" i="119"/>
  <c r="KN156" i="119" s="1"/>
  <c r="JB156" i="119"/>
  <c r="LD156" i="119" s="1"/>
  <c r="HX156" i="119"/>
  <c r="JZ156" i="119" s="1"/>
  <c r="IN156" i="119"/>
  <c r="KP156" i="119" s="1"/>
  <c r="JD156" i="119"/>
  <c r="LF156" i="119" s="1"/>
  <c r="ID156" i="119"/>
  <c r="KF156" i="119" s="1"/>
  <c r="IT156" i="119"/>
  <c r="KV156" i="119" s="1"/>
  <c r="JJ156" i="119"/>
  <c r="LL156" i="119" s="1"/>
  <c r="HY156" i="119"/>
  <c r="KA156" i="119" s="1"/>
  <c r="IR156" i="119"/>
  <c r="KT156" i="119" s="1"/>
  <c r="JL156" i="119"/>
  <c r="LN156" i="119" s="1"/>
  <c r="IA156" i="119"/>
  <c r="KC156" i="119" s="1"/>
  <c r="IU156" i="119"/>
  <c r="KW156" i="119" s="1"/>
  <c r="JN156" i="119"/>
  <c r="LP156" i="119" s="1"/>
  <c r="IB156" i="119"/>
  <c r="KD156" i="119" s="1"/>
  <c r="IV156" i="119"/>
  <c r="KX156" i="119" s="1"/>
  <c r="IF156" i="119"/>
  <c r="KH156" i="119" s="1"/>
  <c r="IY156" i="119"/>
  <c r="LA156" i="119" s="1"/>
  <c r="IG156" i="119"/>
  <c r="KI156" i="119" s="1"/>
  <c r="IZ156" i="119"/>
  <c r="LB156" i="119" s="1"/>
  <c r="HO156" i="119"/>
  <c r="JQ156" i="119" s="1"/>
  <c r="IH156" i="119"/>
  <c r="KJ156" i="119" s="1"/>
  <c r="JA156" i="119"/>
  <c r="LC156" i="119" s="1"/>
  <c r="HP156" i="119"/>
  <c r="JR156" i="119" s="1"/>
  <c r="II156" i="119"/>
  <c r="KK156" i="119" s="1"/>
  <c r="JC156" i="119"/>
  <c r="LE156" i="119" s="1"/>
  <c r="HQ156" i="119"/>
  <c r="JS156" i="119" s="1"/>
  <c r="IJ156" i="119"/>
  <c r="KL156" i="119" s="1"/>
  <c r="JE156" i="119"/>
  <c r="LG156" i="119" s="1"/>
  <c r="HT156" i="119"/>
  <c r="JV156" i="119" s="1"/>
  <c r="IO156" i="119"/>
  <c r="KQ156" i="119" s="1"/>
  <c r="JH156" i="119"/>
  <c r="LJ156" i="119" s="1"/>
  <c r="HU156" i="119"/>
  <c r="JW156" i="119" s="1"/>
  <c r="JM156" i="119"/>
  <c r="LO156" i="119" s="1"/>
  <c r="HW156" i="119"/>
  <c r="JY156" i="119" s="1"/>
  <c r="HZ156" i="119"/>
  <c r="KB156" i="119" s="1"/>
  <c r="IC156" i="119"/>
  <c r="KE156" i="119" s="1"/>
  <c r="IE156" i="119"/>
  <c r="KG156" i="119" s="1"/>
  <c r="IK156" i="119"/>
  <c r="KM156" i="119" s="1"/>
  <c r="IM156" i="119"/>
  <c r="KO156" i="119" s="1"/>
  <c r="IP156" i="119"/>
  <c r="KR156" i="119" s="1"/>
  <c r="IQ156" i="119"/>
  <c r="KS156" i="119" s="1"/>
  <c r="IS156" i="119"/>
  <c r="KU156" i="119" s="1"/>
  <c r="IW156" i="119"/>
  <c r="KY156" i="119" s="1"/>
  <c r="IX156" i="119"/>
  <c r="KZ156" i="119" s="1"/>
  <c r="JF156" i="119"/>
  <c r="LH156" i="119" s="1"/>
  <c r="JG156" i="119"/>
  <c r="LI156" i="119" s="1"/>
  <c r="HR156" i="119"/>
  <c r="JT156" i="119" s="1"/>
  <c r="JI156" i="119"/>
  <c r="LK156" i="119" s="1"/>
  <c r="HS156" i="119"/>
  <c r="JU156" i="119" s="1"/>
  <c r="JK156" i="119"/>
  <c r="LM156" i="119" s="1"/>
  <c r="HY28" i="119"/>
  <c r="KA28" i="119" s="1"/>
  <c r="IV58" i="119"/>
  <c r="KX58" i="119" s="1"/>
  <c r="HV55" i="119"/>
  <c r="JX55" i="119" s="1"/>
  <c r="IL55" i="119"/>
  <c r="KN55" i="119" s="1"/>
  <c r="JB55" i="119"/>
  <c r="LD55" i="119" s="1"/>
  <c r="HQ55" i="119"/>
  <c r="JS55" i="119" s="1"/>
  <c r="II55" i="119"/>
  <c r="KK55" i="119" s="1"/>
  <c r="JA55" i="119"/>
  <c r="LC55" i="119" s="1"/>
  <c r="HR55" i="119"/>
  <c r="JT55" i="119" s="1"/>
  <c r="IJ55" i="119"/>
  <c r="KL55" i="119" s="1"/>
  <c r="JC55" i="119"/>
  <c r="LE55" i="119" s="1"/>
  <c r="HU55" i="119"/>
  <c r="JW55" i="119" s="1"/>
  <c r="IO55" i="119"/>
  <c r="KQ55" i="119" s="1"/>
  <c r="JG55" i="119"/>
  <c r="LI55" i="119" s="1"/>
  <c r="IA55" i="119"/>
  <c r="KC55" i="119" s="1"/>
  <c r="IS55" i="119"/>
  <c r="KU55" i="119" s="1"/>
  <c r="JK55" i="119"/>
  <c r="LM55" i="119" s="1"/>
  <c r="IE55" i="119"/>
  <c r="KG55" i="119" s="1"/>
  <c r="JE55" i="119"/>
  <c r="LG55" i="119" s="1"/>
  <c r="IF55" i="119"/>
  <c r="KH55" i="119" s="1"/>
  <c r="JF55" i="119"/>
  <c r="LH55" i="119" s="1"/>
  <c r="IG55" i="119"/>
  <c r="KI55" i="119" s="1"/>
  <c r="JH55" i="119"/>
  <c r="LJ55" i="119" s="1"/>
  <c r="IK55" i="119"/>
  <c r="KM55" i="119" s="1"/>
  <c r="JJ55" i="119"/>
  <c r="LL55" i="119" s="1"/>
  <c r="IM55" i="119"/>
  <c r="KO55" i="119" s="1"/>
  <c r="JL55" i="119"/>
  <c r="LN55" i="119" s="1"/>
  <c r="HO55" i="119"/>
  <c r="JQ55" i="119" s="1"/>
  <c r="IP55" i="119"/>
  <c r="KR55" i="119" s="1"/>
  <c r="JM55" i="119"/>
  <c r="LO55" i="119" s="1"/>
  <c r="HT55" i="119"/>
  <c r="JV55" i="119" s="1"/>
  <c r="IT55" i="119"/>
  <c r="KV55" i="119" s="1"/>
  <c r="HZ55" i="119"/>
  <c r="KB55" i="119" s="1"/>
  <c r="IW55" i="119"/>
  <c r="KY55" i="119" s="1"/>
  <c r="HP55" i="119"/>
  <c r="JR55" i="119" s="1"/>
  <c r="JN55" i="119"/>
  <c r="LP55" i="119" s="1"/>
  <c r="HS55" i="119"/>
  <c r="JU55" i="119" s="1"/>
  <c r="HY55" i="119"/>
  <c r="KA55" i="119" s="1"/>
  <c r="IC55" i="119"/>
  <c r="KE55" i="119" s="1"/>
  <c r="ID55" i="119"/>
  <c r="KF55" i="119" s="1"/>
  <c r="IQ55" i="119"/>
  <c r="KS55" i="119" s="1"/>
  <c r="IR55" i="119"/>
  <c r="KT55" i="119" s="1"/>
  <c r="IU55" i="119"/>
  <c r="KW55" i="119" s="1"/>
  <c r="IV55" i="119"/>
  <c r="KX55" i="119" s="1"/>
  <c r="IY55" i="119"/>
  <c r="LA55" i="119" s="1"/>
  <c r="IB55" i="119"/>
  <c r="KD55" i="119" s="1"/>
  <c r="IH55" i="119"/>
  <c r="KJ55" i="119" s="1"/>
  <c r="IX55" i="119"/>
  <c r="KZ55" i="119" s="1"/>
  <c r="IZ55" i="119"/>
  <c r="LB55" i="119" s="1"/>
  <c r="JI55" i="119"/>
  <c r="LK55" i="119" s="1"/>
  <c r="HW55" i="119"/>
  <c r="JY55" i="119" s="1"/>
  <c r="HZ151" i="119"/>
  <c r="KB151" i="119" s="1"/>
  <c r="IP151" i="119"/>
  <c r="KR151" i="119" s="1"/>
  <c r="JF151" i="119"/>
  <c r="LH151" i="119" s="1"/>
  <c r="IB151" i="119"/>
  <c r="KD151" i="119" s="1"/>
  <c r="IR151" i="119"/>
  <c r="KT151" i="119" s="1"/>
  <c r="JH151" i="119"/>
  <c r="LJ151" i="119" s="1"/>
  <c r="HO151" i="119"/>
  <c r="JQ151" i="119" s="1"/>
  <c r="IE151" i="119"/>
  <c r="KG151" i="119" s="1"/>
  <c r="IU151" i="119"/>
  <c r="KW151" i="119" s="1"/>
  <c r="JK151" i="119"/>
  <c r="LM151" i="119" s="1"/>
  <c r="HR151" i="119"/>
  <c r="JT151" i="119" s="1"/>
  <c r="IH151" i="119"/>
  <c r="KJ151" i="119" s="1"/>
  <c r="IX151" i="119"/>
  <c r="KZ151" i="119" s="1"/>
  <c r="JN151" i="119"/>
  <c r="LP151" i="119" s="1"/>
  <c r="IC151" i="119"/>
  <c r="KE151" i="119" s="1"/>
  <c r="IY151" i="119"/>
  <c r="LA151" i="119" s="1"/>
  <c r="IF151" i="119"/>
  <c r="KH151" i="119" s="1"/>
  <c r="JA151" i="119"/>
  <c r="LC151" i="119" s="1"/>
  <c r="IG151" i="119"/>
  <c r="KI151" i="119" s="1"/>
  <c r="JB151" i="119"/>
  <c r="LD151" i="119" s="1"/>
  <c r="IJ151" i="119"/>
  <c r="KL151" i="119" s="1"/>
  <c r="JD151" i="119"/>
  <c r="LF151" i="119" s="1"/>
  <c r="HP151" i="119"/>
  <c r="JR151" i="119" s="1"/>
  <c r="IK151" i="119"/>
  <c r="KM151" i="119" s="1"/>
  <c r="JE151" i="119"/>
  <c r="LG151" i="119" s="1"/>
  <c r="HQ151" i="119"/>
  <c r="JS151" i="119" s="1"/>
  <c r="IL151" i="119"/>
  <c r="KN151" i="119" s="1"/>
  <c r="JG151" i="119"/>
  <c r="LI151" i="119" s="1"/>
  <c r="HS151" i="119"/>
  <c r="JU151" i="119" s="1"/>
  <c r="IM151" i="119"/>
  <c r="KO151" i="119" s="1"/>
  <c r="JI151" i="119"/>
  <c r="LK151" i="119" s="1"/>
  <c r="HT151" i="119"/>
  <c r="JV151" i="119" s="1"/>
  <c r="IN151" i="119"/>
  <c r="KP151" i="119" s="1"/>
  <c r="JJ151" i="119"/>
  <c r="LL151" i="119" s="1"/>
  <c r="HU151" i="119"/>
  <c r="JW151" i="119" s="1"/>
  <c r="IO151" i="119"/>
  <c r="KQ151" i="119" s="1"/>
  <c r="JL151" i="119"/>
  <c r="LN151" i="119" s="1"/>
  <c r="HV151" i="119"/>
  <c r="JX151" i="119" s="1"/>
  <c r="IQ151" i="119"/>
  <c r="KS151" i="119" s="1"/>
  <c r="HW151" i="119"/>
  <c r="JY151" i="119" s="1"/>
  <c r="IS151" i="119"/>
  <c r="KU151" i="119" s="1"/>
  <c r="HX151" i="119"/>
  <c r="JZ151" i="119" s="1"/>
  <c r="IT151" i="119"/>
  <c r="KV151" i="119" s="1"/>
  <c r="II151" i="119"/>
  <c r="KK151" i="119" s="1"/>
  <c r="IV151" i="119"/>
  <c r="KX151" i="119" s="1"/>
  <c r="IW151" i="119"/>
  <c r="KY151" i="119" s="1"/>
  <c r="IZ151" i="119"/>
  <c r="LB151" i="119" s="1"/>
  <c r="JC151" i="119"/>
  <c r="LE151" i="119" s="1"/>
  <c r="JM151" i="119"/>
  <c r="LO151" i="119" s="1"/>
  <c r="HY151" i="119"/>
  <c r="KA151" i="119" s="1"/>
  <c r="IA151" i="119"/>
  <c r="KC151" i="119" s="1"/>
  <c r="ID151" i="119"/>
  <c r="KF151" i="119" s="1"/>
  <c r="HY112" i="119"/>
  <c r="KA112" i="119" s="1"/>
  <c r="HU112" i="119"/>
  <c r="JW112" i="119" s="1"/>
  <c r="IL112" i="119"/>
  <c r="KN112" i="119" s="1"/>
  <c r="JB112" i="119"/>
  <c r="LD112" i="119" s="1"/>
  <c r="HV112" i="119"/>
  <c r="JX112" i="119" s="1"/>
  <c r="IM112" i="119"/>
  <c r="KO112" i="119" s="1"/>
  <c r="JC112" i="119"/>
  <c r="LE112" i="119" s="1"/>
  <c r="HZ112" i="119"/>
  <c r="KB112" i="119" s="1"/>
  <c r="IP112" i="119"/>
  <c r="KR112" i="119" s="1"/>
  <c r="JF112" i="119"/>
  <c r="LH112" i="119" s="1"/>
  <c r="IA112" i="119"/>
  <c r="KC112" i="119" s="1"/>
  <c r="IQ112" i="119"/>
  <c r="KS112" i="119" s="1"/>
  <c r="JG112" i="119"/>
  <c r="LI112" i="119" s="1"/>
  <c r="ID112" i="119"/>
  <c r="KF112" i="119" s="1"/>
  <c r="IT112" i="119"/>
  <c r="KV112" i="119" s="1"/>
  <c r="JJ112" i="119"/>
  <c r="LL112" i="119" s="1"/>
  <c r="IE112" i="119"/>
  <c r="KG112" i="119" s="1"/>
  <c r="IU112" i="119"/>
  <c r="KW112" i="119" s="1"/>
  <c r="JK112" i="119"/>
  <c r="LM112" i="119" s="1"/>
  <c r="HQ112" i="119"/>
  <c r="JS112" i="119" s="1"/>
  <c r="IH112" i="119"/>
  <c r="KJ112" i="119" s="1"/>
  <c r="IX112" i="119"/>
  <c r="KZ112" i="119" s="1"/>
  <c r="JN112" i="119"/>
  <c r="LP112" i="119" s="1"/>
  <c r="HO112" i="119"/>
  <c r="JQ112" i="119" s="1"/>
  <c r="IR112" i="119"/>
  <c r="KT112" i="119" s="1"/>
  <c r="HP112" i="119"/>
  <c r="JR112" i="119" s="1"/>
  <c r="IS112" i="119"/>
  <c r="KU112" i="119" s="1"/>
  <c r="HR112" i="119"/>
  <c r="JT112" i="119" s="1"/>
  <c r="IV112" i="119"/>
  <c r="KX112" i="119" s="1"/>
  <c r="HS112" i="119"/>
  <c r="JU112" i="119" s="1"/>
  <c r="IW112" i="119"/>
  <c r="KY112" i="119" s="1"/>
  <c r="HT112" i="119"/>
  <c r="JV112" i="119" s="1"/>
  <c r="IY112" i="119"/>
  <c r="LA112" i="119" s="1"/>
  <c r="HW112" i="119"/>
  <c r="JY112" i="119" s="1"/>
  <c r="IZ112" i="119"/>
  <c r="LB112" i="119" s="1"/>
  <c r="HX112" i="119"/>
  <c r="JZ112" i="119" s="1"/>
  <c r="JA112" i="119"/>
  <c r="LC112" i="119" s="1"/>
  <c r="IB112" i="119"/>
  <c r="KD112" i="119" s="1"/>
  <c r="JD112" i="119"/>
  <c r="LF112" i="119" s="1"/>
  <c r="IC112" i="119"/>
  <c r="KE112" i="119" s="1"/>
  <c r="JE112" i="119"/>
  <c r="LG112" i="119" s="1"/>
  <c r="IF112" i="119"/>
  <c r="KH112" i="119" s="1"/>
  <c r="JH112" i="119"/>
  <c r="LJ112" i="119" s="1"/>
  <c r="IG112" i="119"/>
  <c r="KI112" i="119" s="1"/>
  <c r="JI112" i="119"/>
  <c r="LK112" i="119" s="1"/>
  <c r="II112" i="119"/>
  <c r="KK112" i="119" s="1"/>
  <c r="JL112" i="119"/>
  <c r="LN112" i="119" s="1"/>
  <c r="IJ112" i="119"/>
  <c r="KL112" i="119" s="1"/>
  <c r="JM112" i="119"/>
  <c r="LO112" i="119" s="1"/>
  <c r="IK112" i="119"/>
  <c r="KM112" i="119" s="1"/>
  <c r="IN112" i="119"/>
  <c r="KP112" i="119" s="1"/>
  <c r="IO112" i="119"/>
  <c r="KQ112" i="119" s="1"/>
  <c r="HT46" i="119"/>
  <c r="JV46" i="119" s="1"/>
  <c r="IJ46" i="119"/>
  <c r="KL46" i="119" s="1"/>
  <c r="IZ46" i="119"/>
  <c r="LB46" i="119" s="1"/>
  <c r="HY46" i="119"/>
  <c r="KA46" i="119" s="1"/>
  <c r="IO46" i="119"/>
  <c r="KQ46" i="119" s="1"/>
  <c r="HV46" i="119"/>
  <c r="JX46" i="119" s="1"/>
  <c r="IN46" i="119"/>
  <c r="KP46" i="119" s="1"/>
  <c r="JF46" i="119"/>
  <c r="LH46" i="119" s="1"/>
  <c r="HX46" i="119"/>
  <c r="JZ46" i="119" s="1"/>
  <c r="IQ46" i="119"/>
  <c r="KS46" i="119" s="1"/>
  <c r="JH46" i="119"/>
  <c r="LJ46" i="119" s="1"/>
  <c r="HZ46" i="119"/>
  <c r="KB46" i="119" s="1"/>
  <c r="IT46" i="119"/>
  <c r="KV46" i="119" s="1"/>
  <c r="JM46" i="119"/>
  <c r="LO46" i="119" s="1"/>
  <c r="IA46" i="119"/>
  <c r="KC46" i="119" s="1"/>
  <c r="JN46" i="119"/>
  <c r="LP46" i="119" s="1"/>
  <c r="ID46" i="119"/>
  <c r="KF46" i="119" s="1"/>
  <c r="IX46" i="119"/>
  <c r="KZ46" i="119" s="1"/>
  <c r="IF46" i="119"/>
  <c r="KH46" i="119" s="1"/>
  <c r="JA46" i="119"/>
  <c r="LC46" i="119" s="1"/>
  <c r="IH46" i="119"/>
  <c r="KJ46" i="119" s="1"/>
  <c r="JC46" i="119"/>
  <c r="LE46" i="119" s="1"/>
  <c r="HR46" i="119"/>
  <c r="JT46" i="119" s="1"/>
  <c r="IW46" i="119"/>
  <c r="KY46" i="119" s="1"/>
  <c r="HS46" i="119"/>
  <c r="JU46" i="119" s="1"/>
  <c r="IY46" i="119"/>
  <c r="LA46" i="119" s="1"/>
  <c r="HU46" i="119"/>
  <c r="JW46" i="119" s="1"/>
  <c r="JB46" i="119"/>
  <c r="LD46" i="119" s="1"/>
  <c r="IB46" i="119"/>
  <c r="KD46" i="119" s="1"/>
  <c r="JE46" i="119"/>
  <c r="LG46" i="119" s="1"/>
  <c r="IC46" i="119"/>
  <c r="KE46" i="119" s="1"/>
  <c r="JG46" i="119"/>
  <c r="LI46" i="119" s="1"/>
  <c r="JI46" i="119"/>
  <c r="LK46" i="119" s="1"/>
  <c r="IK46" i="119"/>
  <c r="KM46" i="119" s="1"/>
  <c r="JL46" i="119"/>
  <c r="LN46" i="119" s="1"/>
  <c r="IP46" i="119"/>
  <c r="KR46" i="119" s="1"/>
  <c r="IV46" i="119"/>
  <c r="KX46" i="119" s="1"/>
  <c r="JD46" i="119"/>
  <c r="LF46" i="119" s="1"/>
  <c r="JK46" i="119"/>
  <c r="LM46" i="119" s="1"/>
  <c r="HO46" i="119"/>
  <c r="JQ46" i="119" s="1"/>
  <c r="HQ46" i="119"/>
  <c r="JS46" i="119" s="1"/>
  <c r="HW46" i="119"/>
  <c r="JY46" i="119" s="1"/>
  <c r="IG46" i="119"/>
  <c r="KI46" i="119" s="1"/>
  <c r="II46" i="119"/>
  <c r="KK46" i="119" s="1"/>
  <c r="IM46" i="119"/>
  <c r="KO46" i="119" s="1"/>
  <c r="HP46" i="119"/>
  <c r="JR46" i="119" s="1"/>
  <c r="IL46" i="119"/>
  <c r="KN46" i="119" s="1"/>
  <c r="IR46" i="119"/>
  <c r="KT46" i="119" s="1"/>
  <c r="IS46" i="119"/>
  <c r="KU46" i="119" s="1"/>
  <c r="JJ46" i="119"/>
  <c r="LL46" i="119" s="1"/>
  <c r="ID154" i="119"/>
  <c r="KF154" i="119" s="1"/>
  <c r="IT154" i="119"/>
  <c r="KV154" i="119" s="1"/>
  <c r="JJ154" i="119"/>
  <c r="LL154" i="119" s="1"/>
  <c r="HP154" i="119"/>
  <c r="JR154" i="119" s="1"/>
  <c r="IF154" i="119"/>
  <c r="KH154" i="119" s="1"/>
  <c r="IV154" i="119"/>
  <c r="KX154" i="119" s="1"/>
  <c r="JL154" i="119"/>
  <c r="LN154" i="119" s="1"/>
  <c r="HS154" i="119"/>
  <c r="JU154" i="119" s="1"/>
  <c r="II154" i="119"/>
  <c r="KK154" i="119" s="1"/>
  <c r="IY154" i="119"/>
  <c r="LA154" i="119" s="1"/>
  <c r="HV154" i="119"/>
  <c r="JX154" i="119" s="1"/>
  <c r="IL154" i="119"/>
  <c r="KN154" i="119" s="1"/>
  <c r="JB154" i="119"/>
  <c r="LD154" i="119" s="1"/>
  <c r="IA154" i="119"/>
  <c r="KC154" i="119" s="1"/>
  <c r="IW154" i="119"/>
  <c r="KY154" i="119" s="1"/>
  <c r="IC154" i="119"/>
  <c r="KE154" i="119" s="1"/>
  <c r="IZ154" i="119"/>
  <c r="LB154" i="119" s="1"/>
  <c r="IE154" i="119"/>
  <c r="KG154" i="119" s="1"/>
  <c r="JA154" i="119"/>
  <c r="LC154" i="119" s="1"/>
  <c r="IJ154" i="119"/>
  <c r="KL154" i="119" s="1"/>
  <c r="JE154" i="119"/>
  <c r="LG154" i="119" s="1"/>
  <c r="HO154" i="119"/>
  <c r="JQ154" i="119" s="1"/>
  <c r="IK154" i="119"/>
  <c r="KM154" i="119" s="1"/>
  <c r="JF154" i="119"/>
  <c r="LH154" i="119" s="1"/>
  <c r="HQ154" i="119"/>
  <c r="JS154" i="119" s="1"/>
  <c r="IM154" i="119"/>
  <c r="KO154" i="119" s="1"/>
  <c r="JG154" i="119"/>
  <c r="LI154" i="119" s="1"/>
  <c r="HR154" i="119"/>
  <c r="JT154" i="119" s="1"/>
  <c r="IN154" i="119"/>
  <c r="KP154" i="119" s="1"/>
  <c r="JH154" i="119"/>
  <c r="LJ154" i="119" s="1"/>
  <c r="HT154" i="119"/>
  <c r="JV154" i="119" s="1"/>
  <c r="IO154" i="119"/>
  <c r="KQ154" i="119" s="1"/>
  <c r="JI154" i="119"/>
  <c r="LK154" i="119" s="1"/>
  <c r="HX154" i="119"/>
  <c r="JZ154" i="119" s="1"/>
  <c r="IR154" i="119"/>
  <c r="KT154" i="119" s="1"/>
  <c r="JN154" i="119"/>
  <c r="LP154" i="119" s="1"/>
  <c r="IG154" i="119"/>
  <c r="KI154" i="119" s="1"/>
  <c r="IH154" i="119"/>
  <c r="KJ154" i="119" s="1"/>
  <c r="IP154" i="119"/>
  <c r="KR154" i="119" s="1"/>
  <c r="IQ154" i="119"/>
  <c r="KS154" i="119" s="1"/>
  <c r="IS154" i="119"/>
  <c r="KU154" i="119" s="1"/>
  <c r="IU154" i="119"/>
  <c r="KW154" i="119" s="1"/>
  <c r="IX154" i="119"/>
  <c r="KZ154" i="119" s="1"/>
  <c r="JC154" i="119"/>
  <c r="LE154" i="119" s="1"/>
  <c r="JD154" i="119"/>
  <c r="LF154" i="119" s="1"/>
  <c r="JK154" i="119"/>
  <c r="LM154" i="119" s="1"/>
  <c r="JM154" i="119"/>
  <c r="LO154" i="119" s="1"/>
  <c r="HU154" i="119"/>
  <c r="JW154" i="119" s="1"/>
  <c r="HW154" i="119"/>
  <c r="JY154" i="119" s="1"/>
  <c r="HY154" i="119"/>
  <c r="KA154" i="119" s="1"/>
  <c r="HZ154" i="119"/>
  <c r="KB154" i="119" s="1"/>
  <c r="IB154" i="119"/>
  <c r="KD154" i="119" s="1"/>
  <c r="IO28" i="119"/>
  <c r="KQ28" i="119" s="1"/>
  <c r="JL58" i="119"/>
  <c r="LN58" i="119" s="1"/>
  <c r="HQ129" i="119"/>
  <c r="JS129" i="119" s="1"/>
  <c r="HV124" i="119"/>
  <c r="JX124" i="119" s="1"/>
  <c r="IL124" i="119"/>
  <c r="KN124" i="119" s="1"/>
  <c r="JB124" i="119"/>
  <c r="LD124" i="119" s="1"/>
  <c r="HW124" i="119"/>
  <c r="JY124" i="119" s="1"/>
  <c r="IM124" i="119"/>
  <c r="KO124" i="119" s="1"/>
  <c r="JC124" i="119"/>
  <c r="LE124" i="119" s="1"/>
  <c r="HZ124" i="119"/>
  <c r="KB124" i="119" s="1"/>
  <c r="IP124" i="119"/>
  <c r="KR124" i="119" s="1"/>
  <c r="JF124" i="119"/>
  <c r="LH124" i="119" s="1"/>
  <c r="IA124" i="119"/>
  <c r="KC124" i="119" s="1"/>
  <c r="IQ124" i="119"/>
  <c r="KS124" i="119" s="1"/>
  <c r="JG124" i="119"/>
  <c r="LI124" i="119" s="1"/>
  <c r="ID124" i="119"/>
  <c r="KF124" i="119" s="1"/>
  <c r="HO124" i="119"/>
  <c r="JQ124" i="119" s="1"/>
  <c r="IJ124" i="119"/>
  <c r="KL124" i="119" s="1"/>
  <c r="JH124" i="119"/>
  <c r="LJ124" i="119" s="1"/>
  <c r="HP124" i="119"/>
  <c r="JR124" i="119" s="1"/>
  <c r="IK124" i="119"/>
  <c r="KM124" i="119" s="1"/>
  <c r="JI124" i="119"/>
  <c r="LK124" i="119" s="1"/>
  <c r="HQ124" i="119"/>
  <c r="JS124" i="119" s="1"/>
  <c r="IN124" i="119"/>
  <c r="KP124" i="119" s="1"/>
  <c r="JJ124" i="119"/>
  <c r="LL124" i="119" s="1"/>
  <c r="HR124" i="119"/>
  <c r="JT124" i="119" s="1"/>
  <c r="IO124" i="119"/>
  <c r="KQ124" i="119" s="1"/>
  <c r="JK124" i="119"/>
  <c r="LM124" i="119" s="1"/>
  <c r="HS124" i="119"/>
  <c r="JU124" i="119" s="1"/>
  <c r="IR124" i="119"/>
  <c r="KT124" i="119" s="1"/>
  <c r="JL124" i="119"/>
  <c r="LN124" i="119" s="1"/>
  <c r="HT124" i="119"/>
  <c r="JV124" i="119" s="1"/>
  <c r="IS124" i="119"/>
  <c r="KU124" i="119" s="1"/>
  <c r="JM124" i="119"/>
  <c r="LO124" i="119" s="1"/>
  <c r="HU124" i="119"/>
  <c r="JW124" i="119" s="1"/>
  <c r="IT124" i="119"/>
  <c r="KV124" i="119" s="1"/>
  <c r="JN124" i="119"/>
  <c r="LP124" i="119" s="1"/>
  <c r="HX124" i="119"/>
  <c r="JZ124" i="119" s="1"/>
  <c r="IU124" i="119"/>
  <c r="KW124" i="119" s="1"/>
  <c r="HY124" i="119"/>
  <c r="KA124" i="119" s="1"/>
  <c r="IV124" i="119"/>
  <c r="KX124" i="119" s="1"/>
  <c r="IB124" i="119"/>
  <c r="KD124" i="119" s="1"/>
  <c r="IW124" i="119"/>
  <c r="KY124" i="119" s="1"/>
  <c r="IC124" i="119"/>
  <c r="KE124" i="119" s="1"/>
  <c r="IX124" i="119"/>
  <c r="KZ124" i="119" s="1"/>
  <c r="IE124" i="119"/>
  <c r="KG124" i="119" s="1"/>
  <c r="IY124" i="119"/>
  <c r="LA124" i="119" s="1"/>
  <c r="IF124" i="119"/>
  <c r="KH124" i="119" s="1"/>
  <c r="IZ124" i="119"/>
  <c r="LB124" i="119" s="1"/>
  <c r="IG124" i="119"/>
  <c r="KI124" i="119" s="1"/>
  <c r="JA124" i="119"/>
  <c r="LC124" i="119" s="1"/>
  <c r="IH124" i="119"/>
  <c r="KJ124" i="119" s="1"/>
  <c r="II124" i="119"/>
  <c r="KK124" i="119" s="1"/>
  <c r="JD124" i="119"/>
  <c r="LF124" i="119" s="1"/>
  <c r="JE124" i="119"/>
  <c r="LG124" i="119" s="1"/>
  <c r="HR149" i="119"/>
  <c r="JT149" i="119" s="1"/>
  <c r="IH149" i="119"/>
  <c r="KJ149" i="119" s="1"/>
  <c r="IX149" i="119"/>
  <c r="KZ149" i="119" s="1"/>
  <c r="JN149" i="119"/>
  <c r="LP149" i="119" s="1"/>
  <c r="HT149" i="119"/>
  <c r="JV149" i="119" s="1"/>
  <c r="IJ149" i="119"/>
  <c r="KL149" i="119" s="1"/>
  <c r="IZ149" i="119"/>
  <c r="LB149" i="119" s="1"/>
  <c r="HW149" i="119"/>
  <c r="JY149" i="119" s="1"/>
  <c r="IM149" i="119"/>
  <c r="KO149" i="119" s="1"/>
  <c r="JC149" i="119"/>
  <c r="LE149" i="119" s="1"/>
  <c r="HZ149" i="119"/>
  <c r="KB149" i="119" s="1"/>
  <c r="IP149" i="119"/>
  <c r="KR149" i="119" s="1"/>
  <c r="JF149" i="119"/>
  <c r="LH149" i="119" s="1"/>
  <c r="IA149" i="119"/>
  <c r="KC149" i="119" s="1"/>
  <c r="ID149" i="119"/>
  <c r="KF149" i="119" s="1"/>
  <c r="IT149" i="119"/>
  <c r="KV149" i="119" s="1"/>
  <c r="JJ149" i="119"/>
  <c r="LL149" i="119" s="1"/>
  <c r="HS149" i="119"/>
  <c r="JU149" i="119" s="1"/>
  <c r="IR149" i="119"/>
  <c r="KT149" i="119" s="1"/>
  <c r="HV149" i="119"/>
  <c r="JX149" i="119" s="1"/>
  <c r="IU149" i="119"/>
  <c r="KW149" i="119" s="1"/>
  <c r="HX149" i="119"/>
  <c r="JZ149" i="119" s="1"/>
  <c r="IV149" i="119"/>
  <c r="KX149" i="119" s="1"/>
  <c r="HY149" i="119"/>
  <c r="KA149" i="119" s="1"/>
  <c r="IW149" i="119"/>
  <c r="KY149" i="119" s="1"/>
  <c r="IB149" i="119"/>
  <c r="KD149" i="119" s="1"/>
  <c r="IY149" i="119"/>
  <c r="LA149" i="119" s="1"/>
  <c r="IC149" i="119"/>
  <c r="KE149" i="119" s="1"/>
  <c r="JA149" i="119"/>
  <c r="LC149" i="119" s="1"/>
  <c r="IE149" i="119"/>
  <c r="KG149" i="119" s="1"/>
  <c r="JB149" i="119"/>
  <c r="LD149" i="119" s="1"/>
  <c r="IF149" i="119"/>
  <c r="KH149" i="119" s="1"/>
  <c r="JD149" i="119"/>
  <c r="LF149" i="119" s="1"/>
  <c r="IG149" i="119"/>
  <c r="KI149" i="119" s="1"/>
  <c r="JE149" i="119"/>
  <c r="LG149" i="119" s="1"/>
  <c r="II149" i="119"/>
  <c r="KK149" i="119" s="1"/>
  <c r="JG149" i="119"/>
  <c r="LI149" i="119" s="1"/>
  <c r="IK149" i="119"/>
  <c r="KM149" i="119" s="1"/>
  <c r="JH149" i="119"/>
  <c r="LJ149" i="119" s="1"/>
  <c r="IL149" i="119"/>
  <c r="KN149" i="119" s="1"/>
  <c r="JI149" i="119"/>
  <c r="LK149" i="119" s="1"/>
  <c r="HO149" i="119"/>
  <c r="JQ149" i="119" s="1"/>
  <c r="IN149" i="119"/>
  <c r="KP149" i="119" s="1"/>
  <c r="JK149" i="119"/>
  <c r="LM149" i="119" s="1"/>
  <c r="IQ149" i="119"/>
  <c r="KS149" i="119" s="1"/>
  <c r="IS149" i="119"/>
  <c r="KU149" i="119" s="1"/>
  <c r="JL149" i="119"/>
  <c r="LN149" i="119" s="1"/>
  <c r="JM149" i="119"/>
  <c r="LO149" i="119" s="1"/>
  <c r="HP149" i="119"/>
  <c r="JR149" i="119" s="1"/>
  <c r="HQ149" i="119"/>
  <c r="JS149" i="119" s="1"/>
  <c r="HU149" i="119"/>
  <c r="JW149" i="119" s="1"/>
  <c r="IO149" i="119"/>
  <c r="KQ149" i="119" s="1"/>
  <c r="ID150" i="119"/>
  <c r="KF150" i="119" s="1"/>
  <c r="IT150" i="119"/>
  <c r="KV150" i="119" s="1"/>
  <c r="JJ150" i="119"/>
  <c r="LL150" i="119" s="1"/>
  <c r="HP150" i="119"/>
  <c r="JR150" i="119" s="1"/>
  <c r="IF150" i="119"/>
  <c r="KH150" i="119" s="1"/>
  <c r="IV150" i="119"/>
  <c r="KX150" i="119" s="1"/>
  <c r="JL150" i="119"/>
  <c r="LN150" i="119" s="1"/>
  <c r="HS150" i="119"/>
  <c r="JU150" i="119" s="1"/>
  <c r="II150" i="119"/>
  <c r="KK150" i="119" s="1"/>
  <c r="IY150" i="119"/>
  <c r="LA150" i="119" s="1"/>
  <c r="HV150" i="119"/>
  <c r="JX150" i="119" s="1"/>
  <c r="IL150" i="119"/>
  <c r="KN150" i="119" s="1"/>
  <c r="JB150" i="119"/>
  <c r="LD150" i="119" s="1"/>
  <c r="HZ150" i="119"/>
  <c r="KB150" i="119" s="1"/>
  <c r="HO150" i="119"/>
  <c r="JQ150" i="119" s="1"/>
  <c r="IM150" i="119"/>
  <c r="KO150" i="119" s="1"/>
  <c r="JG150" i="119"/>
  <c r="LI150" i="119" s="1"/>
  <c r="HR150" i="119"/>
  <c r="JT150" i="119" s="1"/>
  <c r="IO150" i="119"/>
  <c r="KQ150" i="119" s="1"/>
  <c r="JI150" i="119"/>
  <c r="LK150" i="119" s="1"/>
  <c r="HT150" i="119"/>
  <c r="JV150" i="119" s="1"/>
  <c r="IP150" i="119"/>
  <c r="KR150" i="119" s="1"/>
  <c r="JK150" i="119"/>
  <c r="LM150" i="119" s="1"/>
  <c r="HU150" i="119"/>
  <c r="JW150" i="119" s="1"/>
  <c r="HW150" i="119"/>
  <c r="JY150" i="119" s="1"/>
  <c r="IR150" i="119"/>
  <c r="KT150" i="119" s="1"/>
  <c r="JN150" i="119"/>
  <c r="LP150" i="119" s="1"/>
  <c r="HX150" i="119"/>
  <c r="JZ150" i="119" s="1"/>
  <c r="IS150" i="119"/>
  <c r="KU150" i="119" s="1"/>
  <c r="HY150" i="119"/>
  <c r="KA150" i="119" s="1"/>
  <c r="IU150" i="119"/>
  <c r="KW150" i="119" s="1"/>
  <c r="IA150" i="119"/>
  <c r="KC150" i="119" s="1"/>
  <c r="IW150" i="119"/>
  <c r="KY150" i="119" s="1"/>
  <c r="IB150" i="119"/>
  <c r="KD150" i="119" s="1"/>
  <c r="IX150" i="119"/>
  <c r="KZ150" i="119" s="1"/>
  <c r="IC150" i="119"/>
  <c r="KE150" i="119" s="1"/>
  <c r="IZ150" i="119"/>
  <c r="LB150" i="119" s="1"/>
  <c r="IE150" i="119"/>
  <c r="KG150" i="119" s="1"/>
  <c r="JA150" i="119"/>
  <c r="LC150" i="119" s="1"/>
  <c r="IG150" i="119"/>
  <c r="KI150" i="119" s="1"/>
  <c r="JC150" i="119"/>
  <c r="LE150" i="119" s="1"/>
  <c r="IH150" i="119"/>
  <c r="KJ150" i="119" s="1"/>
  <c r="JD150" i="119"/>
  <c r="LF150" i="119" s="1"/>
  <c r="HQ150" i="119"/>
  <c r="JS150" i="119" s="1"/>
  <c r="IJ150" i="119"/>
  <c r="KL150" i="119" s="1"/>
  <c r="IK150" i="119"/>
  <c r="KM150" i="119" s="1"/>
  <c r="IN150" i="119"/>
  <c r="KP150" i="119" s="1"/>
  <c r="IQ150" i="119"/>
  <c r="KS150" i="119" s="1"/>
  <c r="JE150" i="119"/>
  <c r="LG150" i="119" s="1"/>
  <c r="JF150" i="119"/>
  <c r="LH150" i="119" s="1"/>
  <c r="JH150" i="119"/>
  <c r="LJ150" i="119" s="1"/>
  <c r="JM150" i="119"/>
  <c r="LO150" i="119" s="1"/>
  <c r="HV116" i="119"/>
  <c r="JX116" i="119" s="1"/>
  <c r="IL116" i="119"/>
  <c r="KN116" i="119" s="1"/>
  <c r="JB116" i="119"/>
  <c r="LD116" i="119" s="1"/>
  <c r="HW116" i="119"/>
  <c r="JY116" i="119" s="1"/>
  <c r="IM116" i="119"/>
  <c r="KO116" i="119" s="1"/>
  <c r="JC116" i="119"/>
  <c r="LE116" i="119" s="1"/>
  <c r="HZ116" i="119"/>
  <c r="KB116" i="119" s="1"/>
  <c r="IP116" i="119"/>
  <c r="KR116" i="119" s="1"/>
  <c r="JF116" i="119"/>
  <c r="LH116" i="119" s="1"/>
  <c r="IA116" i="119"/>
  <c r="KC116" i="119" s="1"/>
  <c r="IQ116" i="119"/>
  <c r="KS116" i="119" s="1"/>
  <c r="JG116" i="119"/>
  <c r="LI116" i="119" s="1"/>
  <c r="ID116" i="119"/>
  <c r="KF116" i="119" s="1"/>
  <c r="IT116" i="119"/>
  <c r="KV116" i="119" s="1"/>
  <c r="JJ116" i="119"/>
  <c r="LL116" i="119" s="1"/>
  <c r="IH116" i="119"/>
  <c r="KJ116" i="119" s="1"/>
  <c r="JE116" i="119"/>
  <c r="LG116" i="119" s="1"/>
  <c r="II116" i="119"/>
  <c r="KK116" i="119" s="1"/>
  <c r="JH116" i="119"/>
  <c r="LJ116" i="119" s="1"/>
  <c r="HO116" i="119"/>
  <c r="JQ116" i="119" s="1"/>
  <c r="IJ116" i="119"/>
  <c r="KL116" i="119" s="1"/>
  <c r="JI116" i="119"/>
  <c r="LK116" i="119" s="1"/>
  <c r="HP116" i="119"/>
  <c r="JR116" i="119" s="1"/>
  <c r="IK116" i="119"/>
  <c r="KM116" i="119" s="1"/>
  <c r="JK116" i="119"/>
  <c r="LM116" i="119" s="1"/>
  <c r="HQ116" i="119"/>
  <c r="JS116" i="119" s="1"/>
  <c r="IN116" i="119"/>
  <c r="KP116" i="119" s="1"/>
  <c r="JL116" i="119"/>
  <c r="LN116" i="119" s="1"/>
  <c r="HR116" i="119"/>
  <c r="JT116" i="119" s="1"/>
  <c r="IO116" i="119"/>
  <c r="KQ116" i="119" s="1"/>
  <c r="JM116" i="119"/>
  <c r="LO116" i="119" s="1"/>
  <c r="HS116" i="119"/>
  <c r="JU116" i="119" s="1"/>
  <c r="IR116" i="119"/>
  <c r="KT116" i="119" s="1"/>
  <c r="JN116" i="119"/>
  <c r="LP116" i="119" s="1"/>
  <c r="HT116" i="119"/>
  <c r="JV116" i="119" s="1"/>
  <c r="IS116" i="119"/>
  <c r="KU116" i="119" s="1"/>
  <c r="HU116" i="119"/>
  <c r="JW116" i="119" s="1"/>
  <c r="IU116" i="119"/>
  <c r="KW116" i="119" s="1"/>
  <c r="HX116" i="119"/>
  <c r="JZ116" i="119" s="1"/>
  <c r="IV116" i="119"/>
  <c r="KX116" i="119" s="1"/>
  <c r="HY116" i="119"/>
  <c r="KA116" i="119" s="1"/>
  <c r="IW116" i="119"/>
  <c r="KY116" i="119" s="1"/>
  <c r="IB116" i="119"/>
  <c r="KD116" i="119" s="1"/>
  <c r="IX116" i="119"/>
  <c r="KZ116" i="119" s="1"/>
  <c r="IC116" i="119"/>
  <c r="KE116" i="119" s="1"/>
  <c r="IY116" i="119"/>
  <c r="LA116" i="119" s="1"/>
  <c r="IE116" i="119"/>
  <c r="KG116" i="119" s="1"/>
  <c r="IZ116" i="119"/>
  <c r="LB116" i="119" s="1"/>
  <c r="IF116" i="119"/>
  <c r="KH116" i="119" s="1"/>
  <c r="IG116" i="119"/>
  <c r="KI116" i="119" s="1"/>
  <c r="JA116" i="119"/>
  <c r="LC116" i="119" s="1"/>
  <c r="JD116" i="119"/>
  <c r="LF116" i="119" s="1"/>
  <c r="IB40" i="119"/>
  <c r="KD40" i="119" s="1"/>
  <c r="IR40" i="119"/>
  <c r="KT40" i="119" s="1"/>
  <c r="JH40" i="119"/>
  <c r="LJ40" i="119" s="1"/>
  <c r="ID40" i="119"/>
  <c r="KF40" i="119" s="1"/>
  <c r="HP40" i="119"/>
  <c r="JR40" i="119" s="1"/>
  <c r="IF40" i="119"/>
  <c r="KH40" i="119" s="1"/>
  <c r="HQ40" i="119"/>
  <c r="JS40" i="119" s="1"/>
  <c r="IG40" i="119"/>
  <c r="KI40" i="119" s="1"/>
  <c r="IW40" i="119"/>
  <c r="KY40" i="119" s="1"/>
  <c r="JM40" i="119"/>
  <c r="LO40" i="119" s="1"/>
  <c r="HR40" i="119"/>
  <c r="JT40" i="119" s="1"/>
  <c r="IL40" i="119"/>
  <c r="KN40" i="119" s="1"/>
  <c r="JD40" i="119"/>
  <c r="LF40" i="119" s="1"/>
  <c r="HT40" i="119"/>
  <c r="JV40" i="119" s="1"/>
  <c r="IN40" i="119"/>
  <c r="KP40" i="119" s="1"/>
  <c r="JF40" i="119"/>
  <c r="LH40" i="119" s="1"/>
  <c r="IE40" i="119"/>
  <c r="KG40" i="119" s="1"/>
  <c r="JA40" i="119"/>
  <c r="LC40" i="119" s="1"/>
  <c r="IH40" i="119"/>
  <c r="KJ40" i="119" s="1"/>
  <c r="JB40" i="119"/>
  <c r="LD40" i="119" s="1"/>
  <c r="IK40" i="119"/>
  <c r="KM40" i="119" s="1"/>
  <c r="JG40" i="119"/>
  <c r="LI40" i="119" s="1"/>
  <c r="HO40" i="119"/>
  <c r="JQ40" i="119" s="1"/>
  <c r="IO40" i="119"/>
  <c r="KQ40" i="119" s="1"/>
  <c r="JJ40" i="119"/>
  <c r="LL40" i="119" s="1"/>
  <c r="HU40" i="119"/>
  <c r="JW40" i="119" s="1"/>
  <c r="IQ40" i="119"/>
  <c r="KS40" i="119" s="1"/>
  <c r="JL40" i="119"/>
  <c r="LN40" i="119" s="1"/>
  <c r="HZ40" i="119"/>
  <c r="KB40" i="119" s="1"/>
  <c r="JI40" i="119"/>
  <c r="LK40" i="119" s="1"/>
  <c r="IA40" i="119"/>
  <c r="KC40" i="119" s="1"/>
  <c r="JK40" i="119"/>
  <c r="LM40" i="119" s="1"/>
  <c r="IC40" i="119"/>
  <c r="KE40" i="119" s="1"/>
  <c r="JN40" i="119"/>
  <c r="LP40" i="119" s="1"/>
  <c r="IJ40" i="119"/>
  <c r="KL40" i="119" s="1"/>
  <c r="IM40" i="119"/>
  <c r="KO40" i="119" s="1"/>
  <c r="IP40" i="119"/>
  <c r="KR40" i="119" s="1"/>
  <c r="IU40" i="119"/>
  <c r="KW40" i="119" s="1"/>
  <c r="HV40" i="119"/>
  <c r="JX40" i="119" s="1"/>
  <c r="IY40" i="119"/>
  <c r="LA40" i="119" s="1"/>
  <c r="IZ40" i="119"/>
  <c r="LB40" i="119" s="1"/>
  <c r="JC40" i="119"/>
  <c r="LE40" i="119" s="1"/>
  <c r="HW40" i="119"/>
  <c r="JY40" i="119" s="1"/>
  <c r="HX40" i="119"/>
  <c r="JZ40" i="119" s="1"/>
  <c r="HY40" i="119"/>
  <c r="KA40" i="119" s="1"/>
  <c r="II40" i="119"/>
  <c r="KK40" i="119" s="1"/>
  <c r="IT40" i="119"/>
  <c r="KV40" i="119" s="1"/>
  <c r="HS40" i="119"/>
  <c r="JU40" i="119" s="1"/>
  <c r="IS40" i="119"/>
  <c r="KU40" i="119" s="1"/>
  <c r="IV40" i="119"/>
  <c r="KX40" i="119" s="1"/>
  <c r="IX40" i="119"/>
  <c r="KZ40" i="119" s="1"/>
  <c r="JE40" i="119"/>
  <c r="LG40" i="119" s="1"/>
  <c r="HV27" i="119"/>
  <c r="JX27" i="119" s="1"/>
  <c r="IL27" i="119"/>
  <c r="KN27" i="119" s="1"/>
  <c r="JB27" i="119"/>
  <c r="LD27" i="119" s="1"/>
  <c r="HW27" i="119"/>
  <c r="JY27" i="119" s="1"/>
  <c r="IM27" i="119"/>
  <c r="KO27" i="119" s="1"/>
  <c r="JC27" i="119"/>
  <c r="LE27" i="119" s="1"/>
  <c r="HX27" i="119"/>
  <c r="JZ27" i="119" s="1"/>
  <c r="IN27" i="119"/>
  <c r="KP27" i="119" s="1"/>
  <c r="JD27" i="119"/>
  <c r="LF27" i="119" s="1"/>
  <c r="IA27" i="119"/>
  <c r="KC27" i="119" s="1"/>
  <c r="IQ27" i="119"/>
  <c r="KS27" i="119" s="1"/>
  <c r="JG27" i="119"/>
  <c r="LI27" i="119" s="1"/>
  <c r="IB27" i="119"/>
  <c r="KD27" i="119" s="1"/>
  <c r="IR27" i="119"/>
  <c r="KT27" i="119" s="1"/>
  <c r="JH27" i="119"/>
  <c r="LJ27" i="119" s="1"/>
  <c r="HO27" i="119"/>
  <c r="JQ27" i="119" s="1"/>
  <c r="IE27" i="119"/>
  <c r="KG27" i="119" s="1"/>
  <c r="IU27" i="119"/>
  <c r="KW27" i="119" s="1"/>
  <c r="JK27" i="119"/>
  <c r="LM27" i="119" s="1"/>
  <c r="HP27" i="119"/>
  <c r="JR27" i="119" s="1"/>
  <c r="IF27" i="119"/>
  <c r="KH27" i="119" s="1"/>
  <c r="IV27" i="119"/>
  <c r="KX27" i="119" s="1"/>
  <c r="JL27" i="119"/>
  <c r="LN27" i="119" s="1"/>
  <c r="HS27" i="119"/>
  <c r="JU27" i="119" s="1"/>
  <c r="II27" i="119"/>
  <c r="KK27" i="119" s="1"/>
  <c r="IY27" i="119"/>
  <c r="LA27" i="119" s="1"/>
  <c r="IX27" i="119"/>
  <c r="KZ27" i="119" s="1"/>
  <c r="HR27" i="119"/>
  <c r="JT27" i="119" s="1"/>
  <c r="JA27" i="119"/>
  <c r="LC27" i="119" s="1"/>
  <c r="HU27" i="119"/>
  <c r="JW27" i="119" s="1"/>
  <c r="JF27" i="119"/>
  <c r="LH27" i="119" s="1"/>
  <c r="HY27" i="119"/>
  <c r="KA27" i="119" s="1"/>
  <c r="JI27" i="119"/>
  <c r="LK27" i="119" s="1"/>
  <c r="IG27" i="119"/>
  <c r="KI27" i="119" s="1"/>
  <c r="HZ27" i="119"/>
  <c r="KB27" i="119" s="1"/>
  <c r="IC27" i="119"/>
  <c r="KE27" i="119" s="1"/>
  <c r="IH27" i="119"/>
  <c r="KJ27" i="119" s="1"/>
  <c r="IS27" i="119"/>
  <c r="KU27" i="119" s="1"/>
  <c r="IW27" i="119"/>
  <c r="KY27" i="119" s="1"/>
  <c r="JN27" i="119"/>
  <c r="LP27" i="119" s="1"/>
  <c r="HQ27" i="119"/>
  <c r="JS27" i="119" s="1"/>
  <c r="IJ27" i="119"/>
  <c r="KL27" i="119" s="1"/>
  <c r="IO27" i="119"/>
  <c r="KQ27" i="119" s="1"/>
  <c r="IP27" i="119"/>
  <c r="KR27" i="119" s="1"/>
  <c r="IZ27" i="119"/>
  <c r="LB27" i="119" s="1"/>
  <c r="JE27" i="119"/>
  <c r="LG27" i="119" s="1"/>
  <c r="HT27" i="119"/>
  <c r="JV27" i="119" s="1"/>
  <c r="IK27" i="119"/>
  <c r="KM27" i="119" s="1"/>
  <c r="JM27" i="119"/>
  <c r="LO27" i="119" s="1"/>
  <c r="HX41" i="119"/>
  <c r="JZ41" i="119" s="1"/>
  <c r="IN41" i="119"/>
  <c r="KP41" i="119" s="1"/>
  <c r="JD41" i="119"/>
  <c r="LF41" i="119" s="1"/>
  <c r="IC41" i="119"/>
  <c r="KE41" i="119" s="1"/>
  <c r="IS41" i="119"/>
  <c r="KU41" i="119" s="1"/>
  <c r="JI41" i="119"/>
  <c r="LK41" i="119" s="1"/>
  <c r="HV41" i="119"/>
  <c r="JX41" i="119" s="1"/>
  <c r="IO41" i="119"/>
  <c r="KQ41" i="119" s="1"/>
  <c r="JG41" i="119"/>
  <c r="LI41" i="119" s="1"/>
  <c r="HY41" i="119"/>
  <c r="KA41" i="119" s="1"/>
  <c r="IQ41" i="119"/>
  <c r="KS41" i="119" s="1"/>
  <c r="JJ41" i="119"/>
  <c r="LL41" i="119" s="1"/>
  <c r="HU41" i="119"/>
  <c r="JW41" i="119" s="1"/>
  <c r="IR41" i="119"/>
  <c r="KT41" i="119" s="1"/>
  <c r="JM41" i="119"/>
  <c r="LO41" i="119" s="1"/>
  <c r="HW41" i="119"/>
  <c r="JY41" i="119" s="1"/>
  <c r="IT41" i="119"/>
  <c r="KV41" i="119" s="1"/>
  <c r="JN41" i="119"/>
  <c r="LP41" i="119" s="1"/>
  <c r="IB41" i="119"/>
  <c r="KD41" i="119" s="1"/>
  <c r="IW41" i="119"/>
  <c r="KY41" i="119" s="1"/>
  <c r="IE41" i="119"/>
  <c r="KG41" i="119" s="1"/>
  <c r="IY41" i="119"/>
  <c r="LA41" i="119" s="1"/>
  <c r="IG41" i="119"/>
  <c r="KI41" i="119" s="1"/>
  <c r="JA41" i="119"/>
  <c r="LC41" i="119" s="1"/>
  <c r="IK41" i="119"/>
  <c r="KM41" i="119" s="1"/>
  <c r="IL41" i="119"/>
  <c r="KN41" i="119" s="1"/>
  <c r="IM41" i="119"/>
  <c r="KO41" i="119" s="1"/>
  <c r="HP41" i="119"/>
  <c r="JR41" i="119" s="1"/>
  <c r="IU41" i="119"/>
  <c r="KW41" i="119" s="1"/>
  <c r="HQ41" i="119"/>
  <c r="JS41" i="119" s="1"/>
  <c r="IV41" i="119"/>
  <c r="KX41" i="119" s="1"/>
  <c r="HR41" i="119"/>
  <c r="JT41" i="119" s="1"/>
  <c r="IX41" i="119"/>
  <c r="KZ41" i="119" s="1"/>
  <c r="HZ41" i="119"/>
  <c r="KB41" i="119" s="1"/>
  <c r="JC41" i="119"/>
  <c r="LE41" i="119" s="1"/>
  <c r="IF41" i="119"/>
  <c r="KH41" i="119" s="1"/>
  <c r="JH41" i="119"/>
  <c r="LJ41" i="119" s="1"/>
  <c r="JK41" i="119"/>
  <c r="LM41" i="119" s="1"/>
  <c r="JL41" i="119"/>
  <c r="LN41" i="119" s="1"/>
  <c r="HO41" i="119"/>
  <c r="JQ41" i="119" s="1"/>
  <c r="HT41" i="119"/>
  <c r="JV41" i="119" s="1"/>
  <c r="IA41" i="119"/>
  <c r="KC41" i="119" s="1"/>
  <c r="IH41" i="119"/>
  <c r="KJ41" i="119" s="1"/>
  <c r="II41" i="119"/>
  <c r="KK41" i="119" s="1"/>
  <c r="IJ41" i="119"/>
  <c r="KL41" i="119" s="1"/>
  <c r="IP41" i="119"/>
  <c r="KR41" i="119" s="1"/>
  <c r="JB41" i="119"/>
  <c r="LD41" i="119" s="1"/>
  <c r="HS41" i="119"/>
  <c r="JU41" i="119" s="1"/>
  <c r="ID41" i="119"/>
  <c r="KF41" i="119" s="1"/>
  <c r="IZ41" i="119"/>
  <c r="LB41" i="119" s="1"/>
  <c r="JE41" i="119"/>
  <c r="LG41" i="119" s="1"/>
  <c r="JF41" i="119"/>
  <c r="LH41" i="119" s="1"/>
  <c r="IZ13" i="119"/>
  <c r="LB13" i="119" s="1"/>
  <c r="HZ135" i="119"/>
  <c r="KB135" i="119" s="1"/>
  <c r="IP135" i="119"/>
  <c r="KR135" i="119" s="1"/>
  <c r="JF135" i="119"/>
  <c r="LH135" i="119" s="1"/>
  <c r="IA135" i="119"/>
  <c r="KC135" i="119" s="1"/>
  <c r="IQ135" i="119"/>
  <c r="KS135" i="119" s="1"/>
  <c r="JG135" i="119"/>
  <c r="LI135" i="119" s="1"/>
  <c r="HS135" i="119"/>
  <c r="JU135" i="119" s="1"/>
  <c r="IK135" i="119"/>
  <c r="KM135" i="119" s="1"/>
  <c r="JC135" i="119"/>
  <c r="LE135" i="119" s="1"/>
  <c r="HU135" i="119"/>
  <c r="JW135" i="119" s="1"/>
  <c r="IM135" i="119"/>
  <c r="KO135" i="119" s="1"/>
  <c r="JE135" i="119"/>
  <c r="LG135" i="119" s="1"/>
  <c r="HX135" i="119"/>
  <c r="JZ135" i="119" s="1"/>
  <c r="IR135" i="119"/>
  <c r="KT135" i="119" s="1"/>
  <c r="JJ135" i="119"/>
  <c r="LL135" i="119" s="1"/>
  <c r="IC135" i="119"/>
  <c r="KE135" i="119" s="1"/>
  <c r="IU135" i="119"/>
  <c r="KW135" i="119" s="1"/>
  <c r="JM135" i="119"/>
  <c r="LO135" i="119" s="1"/>
  <c r="ID135" i="119"/>
  <c r="KF135" i="119" s="1"/>
  <c r="IV135" i="119"/>
  <c r="KX135" i="119" s="1"/>
  <c r="JN135" i="119"/>
  <c r="LP135" i="119" s="1"/>
  <c r="HO135" i="119"/>
  <c r="JQ135" i="119" s="1"/>
  <c r="IG135" i="119"/>
  <c r="KI135" i="119" s="1"/>
  <c r="IY135" i="119"/>
  <c r="LA135" i="119" s="1"/>
  <c r="HT135" i="119"/>
  <c r="JV135" i="119" s="1"/>
  <c r="IX135" i="119"/>
  <c r="KZ135" i="119" s="1"/>
  <c r="HV135" i="119"/>
  <c r="JX135" i="119" s="1"/>
  <c r="IZ135" i="119"/>
  <c r="LB135" i="119" s="1"/>
  <c r="HW135" i="119"/>
  <c r="JY135" i="119" s="1"/>
  <c r="JA135" i="119"/>
  <c r="LC135" i="119" s="1"/>
  <c r="HY135" i="119"/>
  <c r="KA135" i="119" s="1"/>
  <c r="JB135" i="119"/>
  <c r="LD135" i="119" s="1"/>
  <c r="IB135" i="119"/>
  <c r="KD135" i="119" s="1"/>
  <c r="JD135" i="119"/>
  <c r="LF135" i="119" s="1"/>
  <c r="IE135" i="119"/>
  <c r="KG135" i="119" s="1"/>
  <c r="JH135" i="119"/>
  <c r="LJ135" i="119" s="1"/>
  <c r="IF135" i="119"/>
  <c r="KH135" i="119" s="1"/>
  <c r="JI135" i="119"/>
  <c r="LK135" i="119" s="1"/>
  <c r="IH135" i="119"/>
  <c r="KJ135" i="119" s="1"/>
  <c r="JK135" i="119"/>
  <c r="LM135" i="119" s="1"/>
  <c r="II135" i="119"/>
  <c r="KK135" i="119" s="1"/>
  <c r="JL135" i="119"/>
  <c r="LN135" i="119" s="1"/>
  <c r="IJ135" i="119"/>
  <c r="KL135" i="119" s="1"/>
  <c r="IL135" i="119"/>
  <c r="KN135" i="119" s="1"/>
  <c r="IN135" i="119"/>
  <c r="KP135" i="119" s="1"/>
  <c r="IO135" i="119"/>
  <c r="KQ135" i="119" s="1"/>
  <c r="HP135" i="119"/>
  <c r="JR135" i="119" s="1"/>
  <c r="IS135" i="119"/>
  <c r="KU135" i="119" s="1"/>
  <c r="HQ135" i="119"/>
  <c r="JS135" i="119" s="1"/>
  <c r="HR135" i="119"/>
  <c r="JT135" i="119" s="1"/>
  <c r="IT135" i="119"/>
  <c r="KV135" i="119" s="1"/>
  <c r="IW135" i="119"/>
  <c r="KY135" i="119" s="1"/>
  <c r="HZ139" i="119"/>
  <c r="KB139" i="119" s="1"/>
  <c r="IP139" i="119"/>
  <c r="KR139" i="119" s="1"/>
  <c r="JF139" i="119"/>
  <c r="LH139" i="119" s="1"/>
  <c r="IB139" i="119"/>
  <c r="KD139" i="119" s="1"/>
  <c r="IR139" i="119"/>
  <c r="KT139" i="119" s="1"/>
  <c r="JH139" i="119"/>
  <c r="LJ139" i="119" s="1"/>
  <c r="HO139" i="119"/>
  <c r="JQ139" i="119" s="1"/>
  <c r="IE139" i="119"/>
  <c r="KG139" i="119" s="1"/>
  <c r="IU139" i="119"/>
  <c r="KW139" i="119" s="1"/>
  <c r="JK139" i="119"/>
  <c r="LM139" i="119" s="1"/>
  <c r="HR139" i="119"/>
  <c r="JT139" i="119" s="1"/>
  <c r="IH139" i="119"/>
  <c r="KJ139" i="119" s="1"/>
  <c r="IX139" i="119"/>
  <c r="KZ139" i="119" s="1"/>
  <c r="JN139" i="119"/>
  <c r="LP139" i="119" s="1"/>
  <c r="HS139" i="119"/>
  <c r="JU139" i="119" s="1"/>
  <c r="II139" i="119"/>
  <c r="KK139" i="119" s="1"/>
  <c r="IY139" i="119"/>
  <c r="LA139" i="119" s="1"/>
  <c r="HV139" i="119"/>
  <c r="JX139" i="119" s="1"/>
  <c r="IL139" i="119"/>
  <c r="KN139" i="119" s="1"/>
  <c r="JB139" i="119"/>
  <c r="LD139" i="119" s="1"/>
  <c r="IN139" i="119"/>
  <c r="KP139" i="119" s="1"/>
  <c r="JM139" i="119"/>
  <c r="LO139" i="119" s="1"/>
  <c r="HP139" i="119"/>
  <c r="JR139" i="119" s="1"/>
  <c r="IO139" i="119"/>
  <c r="KQ139" i="119" s="1"/>
  <c r="HQ139" i="119"/>
  <c r="JS139" i="119" s="1"/>
  <c r="IQ139" i="119"/>
  <c r="KS139" i="119" s="1"/>
  <c r="HT139" i="119"/>
  <c r="JV139" i="119" s="1"/>
  <c r="IS139" i="119"/>
  <c r="KU139" i="119" s="1"/>
  <c r="HU139" i="119"/>
  <c r="JW139" i="119" s="1"/>
  <c r="IT139" i="119"/>
  <c r="KV139" i="119" s="1"/>
  <c r="HW139" i="119"/>
  <c r="JY139" i="119" s="1"/>
  <c r="IV139" i="119"/>
  <c r="KX139" i="119" s="1"/>
  <c r="HX139" i="119"/>
  <c r="JZ139" i="119" s="1"/>
  <c r="IW139" i="119"/>
  <c r="KY139" i="119" s="1"/>
  <c r="HY139" i="119"/>
  <c r="KA139" i="119" s="1"/>
  <c r="IZ139" i="119"/>
  <c r="LB139" i="119" s="1"/>
  <c r="IA139" i="119"/>
  <c r="KC139" i="119" s="1"/>
  <c r="JA139" i="119"/>
  <c r="LC139" i="119" s="1"/>
  <c r="IC139" i="119"/>
  <c r="KE139" i="119" s="1"/>
  <c r="JC139" i="119"/>
  <c r="LE139" i="119" s="1"/>
  <c r="ID139" i="119"/>
  <c r="KF139" i="119" s="1"/>
  <c r="JD139" i="119"/>
  <c r="LF139" i="119" s="1"/>
  <c r="IF139" i="119"/>
  <c r="KH139" i="119" s="1"/>
  <c r="JE139" i="119"/>
  <c r="LG139" i="119" s="1"/>
  <c r="IG139" i="119"/>
  <c r="KI139" i="119" s="1"/>
  <c r="JG139" i="119"/>
  <c r="LI139" i="119" s="1"/>
  <c r="IJ139" i="119"/>
  <c r="KL139" i="119" s="1"/>
  <c r="JI139" i="119"/>
  <c r="LK139" i="119" s="1"/>
  <c r="IK139" i="119"/>
  <c r="KM139" i="119" s="1"/>
  <c r="IM139" i="119"/>
  <c r="KO139" i="119" s="1"/>
  <c r="JJ139" i="119"/>
  <c r="LL139" i="119" s="1"/>
  <c r="JL139" i="119"/>
  <c r="LN139" i="119" s="1"/>
  <c r="HX45" i="119"/>
  <c r="JZ45" i="119" s="1"/>
  <c r="IN45" i="119"/>
  <c r="KP45" i="119" s="1"/>
  <c r="JD45" i="119"/>
  <c r="LF45" i="119" s="1"/>
  <c r="IC45" i="119"/>
  <c r="KE45" i="119" s="1"/>
  <c r="IS45" i="119"/>
  <c r="KU45" i="119" s="1"/>
  <c r="JI45" i="119"/>
  <c r="LK45" i="119" s="1"/>
  <c r="HS45" i="119"/>
  <c r="JU45" i="119" s="1"/>
  <c r="IK45" i="119"/>
  <c r="KM45" i="119" s="1"/>
  <c r="JC45" i="119"/>
  <c r="LE45" i="119" s="1"/>
  <c r="HU45" i="119"/>
  <c r="JW45" i="119" s="1"/>
  <c r="IM45" i="119"/>
  <c r="KO45" i="119" s="1"/>
  <c r="JF45" i="119"/>
  <c r="LH45" i="119" s="1"/>
  <c r="IH45" i="119"/>
  <c r="KJ45" i="119" s="1"/>
  <c r="JB45" i="119"/>
  <c r="LD45" i="119" s="1"/>
  <c r="HO45" i="119"/>
  <c r="JQ45" i="119" s="1"/>
  <c r="II45" i="119"/>
  <c r="KK45" i="119" s="1"/>
  <c r="JE45" i="119"/>
  <c r="LG45" i="119" s="1"/>
  <c r="HR45" i="119"/>
  <c r="JT45" i="119" s="1"/>
  <c r="IO45" i="119"/>
  <c r="KQ45" i="119" s="1"/>
  <c r="JJ45" i="119"/>
  <c r="LL45" i="119" s="1"/>
  <c r="HV45" i="119"/>
  <c r="JX45" i="119" s="1"/>
  <c r="IQ45" i="119"/>
  <c r="KS45" i="119" s="1"/>
  <c r="JL45" i="119"/>
  <c r="LN45" i="119" s="1"/>
  <c r="HY45" i="119"/>
  <c r="KA45" i="119" s="1"/>
  <c r="IT45" i="119"/>
  <c r="KV45" i="119" s="1"/>
  <c r="JN45" i="119"/>
  <c r="LP45" i="119" s="1"/>
  <c r="IP45" i="119"/>
  <c r="KR45" i="119" s="1"/>
  <c r="IR45" i="119"/>
  <c r="KT45" i="119" s="1"/>
  <c r="IU45" i="119"/>
  <c r="KW45" i="119" s="1"/>
  <c r="HQ45" i="119"/>
  <c r="JS45" i="119" s="1"/>
  <c r="IW45" i="119"/>
  <c r="KY45" i="119" s="1"/>
  <c r="IX45" i="119"/>
  <c r="KZ45" i="119" s="1"/>
  <c r="HW45" i="119"/>
  <c r="JY45" i="119" s="1"/>
  <c r="IY45" i="119"/>
  <c r="LA45" i="119" s="1"/>
  <c r="IB45" i="119"/>
  <c r="KD45" i="119" s="1"/>
  <c r="JG45" i="119"/>
  <c r="LI45" i="119" s="1"/>
  <c r="IF45" i="119"/>
  <c r="KH45" i="119" s="1"/>
  <c r="JM45" i="119"/>
  <c r="LO45" i="119" s="1"/>
  <c r="IL45" i="119"/>
  <c r="KN45" i="119" s="1"/>
  <c r="IV45" i="119"/>
  <c r="KX45" i="119" s="1"/>
  <c r="JA45" i="119"/>
  <c r="LC45" i="119" s="1"/>
  <c r="JK45" i="119"/>
  <c r="LM45" i="119" s="1"/>
  <c r="HP45" i="119"/>
  <c r="JR45" i="119" s="1"/>
  <c r="HZ45" i="119"/>
  <c r="KB45" i="119" s="1"/>
  <c r="IA45" i="119"/>
  <c r="KC45" i="119" s="1"/>
  <c r="IE45" i="119"/>
  <c r="KG45" i="119" s="1"/>
  <c r="JH45" i="119"/>
  <c r="LJ45" i="119" s="1"/>
  <c r="ID45" i="119"/>
  <c r="KF45" i="119" s="1"/>
  <c r="IG45" i="119"/>
  <c r="KI45" i="119" s="1"/>
  <c r="IU46" i="119"/>
  <c r="KW46" i="119" s="1"/>
  <c r="IG129" i="119"/>
  <c r="KI129" i="119" s="1"/>
  <c r="HR16" i="119"/>
  <c r="JT16" i="119" s="1"/>
  <c r="IH16" i="119"/>
  <c r="KJ16" i="119" s="1"/>
  <c r="IX16" i="119"/>
  <c r="KZ16" i="119" s="1"/>
  <c r="JN16" i="119"/>
  <c r="LP16" i="119" s="1"/>
  <c r="HS16" i="119"/>
  <c r="JU16" i="119" s="1"/>
  <c r="II16" i="119"/>
  <c r="KK16" i="119" s="1"/>
  <c r="IY16" i="119"/>
  <c r="LA16" i="119" s="1"/>
  <c r="HT16" i="119"/>
  <c r="JV16" i="119" s="1"/>
  <c r="IJ16" i="119"/>
  <c r="KL16" i="119" s="1"/>
  <c r="IZ16" i="119"/>
  <c r="LB16" i="119" s="1"/>
  <c r="HW16" i="119"/>
  <c r="JY16" i="119" s="1"/>
  <c r="IM16" i="119"/>
  <c r="KO16" i="119" s="1"/>
  <c r="JC16" i="119"/>
  <c r="LE16" i="119" s="1"/>
  <c r="HX16" i="119"/>
  <c r="JZ16" i="119" s="1"/>
  <c r="IN16" i="119"/>
  <c r="KP16" i="119" s="1"/>
  <c r="JD16" i="119"/>
  <c r="LF16" i="119" s="1"/>
  <c r="HZ16" i="119"/>
  <c r="KB16" i="119" s="1"/>
  <c r="IP16" i="119"/>
  <c r="KR16" i="119" s="1"/>
  <c r="JF16" i="119"/>
  <c r="LH16" i="119" s="1"/>
  <c r="IA16" i="119"/>
  <c r="KC16" i="119" s="1"/>
  <c r="IQ16" i="119"/>
  <c r="KS16" i="119" s="1"/>
  <c r="JG16" i="119"/>
  <c r="LI16" i="119" s="1"/>
  <c r="IB16" i="119"/>
  <c r="KD16" i="119" s="1"/>
  <c r="IR16" i="119"/>
  <c r="KT16" i="119" s="1"/>
  <c r="JH16" i="119"/>
  <c r="LJ16" i="119" s="1"/>
  <c r="HO16" i="119"/>
  <c r="JQ16" i="119" s="1"/>
  <c r="IE16" i="119"/>
  <c r="KG16" i="119" s="1"/>
  <c r="IU16" i="119"/>
  <c r="KW16" i="119" s="1"/>
  <c r="JK16" i="119"/>
  <c r="LM16" i="119" s="1"/>
  <c r="IK16" i="119"/>
  <c r="KM16" i="119" s="1"/>
  <c r="IO16" i="119"/>
  <c r="KQ16" i="119" s="1"/>
  <c r="IT16" i="119"/>
  <c r="KV16" i="119" s="1"/>
  <c r="IV16" i="119"/>
  <c r="KX16" i="119" s="1"/>
  <c r="HQ16" i="119"/>
  <c r="JS16" i="119" s="1"/>
  <c r="JB16" i="119"/>
  <c r="LD16" i="119" s="1"/>
  <c r="HU16" i="119"/>
  <c r="JW16" i="119" s="1"/>
  <c r="JE16" i="119"/>
  <c r="LG16" i="119" s="1"/>
  <c r="JM16" i="119"/>
  <c r="LO16" i="119" s="1"/>
  <c r="HP16" i="119"/>
  <c r="JR16" i="119" s="1"/>
  <c r="IC16" i="119"/>
  <c r="KE16" i="119" s="1"/>
  <c r="ID16" i="119"/>
  <c r="KF16" i="119" s="1"/>
  <c r="IF16" i="119"/>
  <c r="KH16" i="119" s="1"/>
  <c r="IG16" i="119"/>
  <c r="KI16" i="119" s="1"/>
  <c r="JA16" i="119"/>
  <c r="LC16" i="119" s="1"/>
  <c r="HV16" i="119"/>
  <c r="JX16" i="119" s="1"/>
  <c r="HY16" i="119"/>
  <c r="KA16" i="119" s="1"/>
  <c r="IW16" i="119"/>
  <c r="KY16" i="119" s="1"/>
  <c r="JJ16" i="119"/>
  <c r="LL16" i="119" s="1"/>
  <c r="IL16" i="119"/>
  <c r="KN16" i="119" s="1"/>
  <c r="JL16" i="119"/>
  <c r="LN16" i="119" s="1"/>
  <c r="IS16" i="119"/>
  <c r="KU16" i="119" s="1"/>
  <c r="JI16" i="119"/>
  <c r="LK16" i="119" s="1"/>
  <c r="HV31" i="119"/>
  <c r="JX31" i="119" s="1"/>
  <c r="IL31" i="119"/>
  <c r="KN31" i="119" s="1"/>
  <c r="JB31" i="119"/>
  <c r="LD31" i="119" s="1"/>
  <c r="HW31" i="119"/>
  <c r="JY31" i="119" s="1"/>
  <c r="IM31" i="119"/>
  <c r="KO31" i="119" s="1"/>
  <c r="JC31" i="119"/>
  <c r="LE31" i="119" s="1"/>
  <c r="HX31" i="119"/>
  <c r="JZ31" i="119" s="1"/>
  <c r="IN31" i="119"/>
  <c r="KP31" i="119" s="1"/>
  <c r="JD31" i="119"/>
  <c r="LF31" i="119" s="1"/>
  <c r="IA31" i="119"/>
  <c r="KC31" i="119" s="1"/>
  <c r="IQ31" i="119"/>
  <c r="KS31" i="119" s="1"/>
  <c r="JG31" i="119"/>
  <c r="LI31" i="119" s="1"/>
  <c r="IB31" i="119"/>
  <c r="KD31" i="119" s="1"/>
  <c r="IR31" i="119"/>
  <c r="KT31" i="119" s="1"/>
  <c r="JH31" i="119"/>
  <c r="LJ31" i="119" s="1"/>
  <c r="ID31" i="119"/>
  <c r="KF31" i="119" s="1"/>
  <c r="IT31" i="119"/>
  <c r="KV31" i="119" s="1"/>
  <c r="HO31" i="119"/>
  <c r="JQ31" i="119" s="1"/>
  <c r="IE31" i="119"/>
  <c r="KG31" i="119" s="1"/>
  <c r="IU31" i="119"/>
  <c r="KW31" i="119" s="1"/>
  <c r="JK31" i="119"/>
  <c r="LM31" i="119" s="1"/>
  <c r="HP31" i="119"/>
  <c r="JR31" i="119" s="1"/>
  <c r="IF31" i="119"/>
  <c r="KH31" i="119" s="1"/>
  <c r="IV31" i="119"/>
  <c r="KX31" i="119" s="1"/>
  <c r="HS31" i="119"/>
  <c r="JU31" i="119" s="1"/>
  <c r="II31" i="119"/>
  <c r="KK31" i="119" s="1"/>
  <c r="IY31" i="119"/>
  <c r="LA31" i="119" s="1"/>
  <c r="HY31" i="119"/>
  <c r="KA31" i="119" s="1"/>
  <c r="JI31" i="119"/>
  <c r="LK31" i="119" s="1"/>
  <c r="IC31" i="119"/>
  <c r="KE31" i="119" s="1"/>
  <c r="JL31" i="119"/>
  <c r="LN31" i="119" s="1"/>
  <c r="IH31" i="119"/>
  <c r="KJ31" i="119" s="1"/>
  <c r="JN31" i="119"/>
  <c r="LP31" i="119" s="1"/>
  <c r="IJ31" i="119"/>
  <c r="KL31" i="119" s="1"/>
  <c r="IK31" i="119"/>
  <c r="KM31" i="119" s="1"/>
  <c r="IZ31" i="119"/>
  <c r="LB31" i="119" s="1"/>
  <c r="JA31" i="119"/>
  <c r="LC31" i="119" s="1"/>
  <c r="HQ31" i="119"/>
  <c r="JS31" i="119" s="1"/>
  <c r="JM31" i="119"/>
  <c r="LO31" i="119" s="1"/>
  <c r="HU31" i="119"/>
  <c r="JW31" i="119" s="1"/>
  <c r="IG31" i="119"/>
  <c r="KI31" i="119" s="1"/>
  <c r="IW31" i="119"/>
  <c r="KY31" i="119" s="1"/>
  <c r="JE31" i="119"/>
  <c r="LG31" i="119" s="1"/>
  <c r="JJ31" i="119"/>
  <c r="LL31" i="119" s="1"/>
  <c r="JF31" i="119"/>
  <c r="LH31" i="119" s="1"/>
  <c r="HT31" i="119"/>
  <c r="JV31" i="119" s="1"/>
  <c r="HR31" i="119"/>
  <c r="JT31" i="119" s="1"/>
  <c r="IS31" i="119"/>
  <c r="KU31" i="119" s="1"/>
  <c r="IX31" i="119"/>
  <c r="KZ31" i="119" s="1"/>
  <c r="IO31" i="119"/>
  <c r="KQ31" i="119" s="1"/>
  <c r="HZ66" i="119"/>
  <c r="KB66" i="119" s="1"/>
  <c r="IP66" i="119"/>
  <c r="KR66" i="119" s="1"/>
  <c r="JF66" i="119"/>
  <c r="LH66" i="119" s="1"/>
  <c r="HT66" i="119"/>
  <c r="JV66" i="119" s="1"/>
  <c r="IK66" i="119"/>
  <c r="KM66" i="119" s="1"/>
  <c r="JB66" i="119"/>
  <c r="LD66" i="119" s="1"/>
  <c r="HU66" i="119"/>
  <c r="JW66" i="119" s="1"/>
  <c r="IL66" i="119"/>
  <c r="KN66" i="119" s="1"/>
  <c r="JC66" i="119"/>
  <c r="LE66" i="119" s="1"/>
  <c r="HV66" i="119"/>
  <c r="JX66" i="119" s="1"/>
  <c r="IM66" i="119"/>
  <c r="KO66" i="119" s="1"/>
  <c r="JD66" i="119"/>
  <c r="LF66" i="119" s="1"/>
  <c r="HX66" i="119"/>
  <c r="JZ66" i="119" s="1"/>
  <c r="IO66" i="119"/>
  <c r="KQ66" i="119" s="1"/>
  <c r="JG66" i="119"/>
  <c r="LI66" i="119" s="1"/>
  <c r="HY66" i="119"/>
  <c r="KA66" i="119" s="1"/>
  <c r="IQ66" i="119"/>
  <c r="KS66" i="119" s="1"/>
  <c r="JH66" i="119"/>
  <c r="LJ66" i="119" s="1"/>
  <c r="ID66" i="119"/>
  <c r="KF66" i="119" s="1"/>
  <c r="IU66" i="119"/>
  <c r="KW66" i="119" s="1"/>
  <c r="JL66" i="119"/>
  <c r="LN66" i="119" s="1"/>
  <c r="HP66" i="119"/>
  <c r="JR66" i="119" s="1"/>
  <c r="IG66" i="119"/>
  <c r="KI66" i="119" s="1"/>
  <c r="IX66" i="119"/>
  <c r="KZ66" i="119" s="1"/>
  <c r="HO66" i="119"/>
  <c r="JQ66" i="119" s="1"/>
  <c r="IT66" i="119"/>
  <c r="KV66" i="119" s="1"/>
  <c r="HQ66" i="119"/>
  <c r="JS66" i="119" s="1"/>
  <c r="IV66" i="119"/>
  <c r="KX66" i="119" s="1"/>
  <c r="HS66" i="119"/>
  <c r="JU66" i="119" s="1"/>
  <c r="IY66" i="119"/>
  <c r="LA66" i="119" s="1"/>
  <c r="IA66" i="119"/>
  <c r="KC66" i="119" s="1"/>
  <c r="JA66" i="119"/>
  <c r="LC66" i="119" s="1"/>
  <c r="IB66" i="119"/>
  <c r="KD66" i="119" s="1"/>
  <c r="JE66" i="119"/>
  <c r="LG66" i="119" s="1"/>
  <c r="IE66" i="119"/>
  <c r="KG66" i="119" s="1"/>
  <c r="JJ66" i="119"/>
  <c r="LL66" i="119" s="1"/>
  <c r="IF66" i="119"/>
  <c r="KH66" i="119" s="1"/>
  <c r="JK66" i="119"/>
  <c r="LM66" i="119" s="1"/>
  <c r="IH66" i="119"/>
  <c r="KJ66" i="119" s="1"/>
  <c r="JM66" i="119"/>
  <c r="LO66" i="119" s="1"/>
  <c r="II66" i="119"/>
  <c r="KK66" i="119" s="1"/>
  <c r="IW66" i="119"/>
  <c r="KY66" i="119" s="1"/>
  <c r="IZ66" i="119"/>
  <c r="LB66" i="119" s="1"/>
  <c r="JI66" i="119"/>
  <c r="LK66" i="119" s="1"/>
  <c r="JN66" i="119"/>
  <c r="LP66" i="119" s="1"/>
  <c r="HR66" i="119"/>
  <c r="JT66" i="119" s="1"/>
  <c r="HW66" i="119"/>
  <c r="JY66" i="119" s="1"/>
  <c r="IC66" i="119"/>
  <c r="KE66" i="119" s="1"/>
  <c r="IJ66" i="119"/>
  <c r="KL66" i="119" s="1"/>
  <c r="IN66" i="119"/>
  <c r="KP66" i="119" s="1"/>
  <c r="IR66" i="119"/>
  <c r="KT66" i="119" s="1"/>
  <c r="IS66" i="119"/>
  <c r="KU66" i="119" s="1"/>
  <c r="HP35" i="119"/>
  <c r="JR35" i="119" s="1"/>
  <c r="IF35" i="119"/>
  <c r="KH35" i="119" s="1"/>
  <c r="IV35" i="119"/>
  <c r="KX35" i="119" s="1"/>
  <c r="JL35" i="119"/>
  <c r="LN35" i="119" s="1"/>
  <c r="HR35" i="119"/>
  <c r="JT35" i="119" s="1"/>
  <c r="IH35" i="119"/>
  <c r="KJ35" i="119" s="1"/>
  <c r="IX35" i="119"/>
  <c r="KZ35" i="119" s="1"/>
  <c r="JN35" i="119"/>
  <c r="LP35" i="119" s="1"/>
  <c r="HT35" i="119"/>
  <c r="JV35" i="119" s="1"/>
  <c r="IJ35" i="119"/>
  <c r="KL35" i="119" s="1"/>
  <c r="IZ35" i="119"/>
  <c r="LB35" i="119" s="1"/>
  <c r="HU35" i="119"/>
  <c r="JW35" i="119" s="1"/>
  <c r="IK35" i="119"/>
  <c r="KM35" i="119" s="1"/>
  <c r="JA35" i="119"/>
  <c r="LC35" i="119" s="1"/>
  <c r="ID35" i="119"/>
  <c r="KF35" i="119" s="1"/>
  <c r="JB35" i="119"/>
  <c r="LD35" i="119" s="1"/>
  <c r="IG35" i="119"/>
  <c r="KI35" i="119" s="1"/>
  <c r="JD35" i="119"/>
  <c r="LF35" i="119" s="1"/>
  <c r="HV35" i="119"/>
  <c r="JX35" i="119" s="1"/>
  <c r="IP35" i="119"/>
  <c r="KR35" i="119" s="1"/>
  <c r="JJ35" i="119"/>
  <c r="LL35" i="119" s="1"/>
  <c r="HS35" i="119"/>
  <c r="JU35" i="119" s="1"/>
  <c r="IS35" i="119"/>
  <c r="KU35" i="119" s="1"/>
  <c r="HW35" i="119"/>
  <c r="JY35" i="119" s="1"/>
  <c r="IT35" i="119"/>
  <c r="KV35" i="119" s="1"/>
  <c r="HZ35" i="119"/>
  <c r="KB35" i="119" s="1"/>
  <c r="IY35" i="119"/>
  <c r="LA35" i="119" s="1"/>
  <c r="IB35" i="119"/>
  <c r="KD35" i="119" s="1"/>
  <c r="JE35" i="119"/>
  <c r="LG35" i="119" s="1"/>
  <c r="IE35" i="119"/>
  <c r="KG35" i="119" s="1"/>
  <c r="JG35" i="119"/>
  <c r="LI35" i="119" s="1"/>
  <c r="IW35" i="119"/>
  <c r="KY35" i="119" s="1"/>
  <c r="JC35" i="119"/>
  <c r="LE35" i="119" s="1"/>
  <c r="HO35" i="119"/>
  <c r="JQ35" i="119" s="1"/>
  <c r="JF35" i="119"/>
  <c r="LH35" i="119" s="1"/>
  <c r="HX35" i="119"/>
  <c r="JZ35" i="119" s="1"/>
  <c r="JI35" i="119"/>
  <c r="LK35" i="119" s="1"/>
  <c r="HY35" i="119"/>
  <c r="KA35" i="119" s="1"/>
  <c r="JK35" i="119"/>
  <c r="LM35" i="119" s="1"/>
  <c r="IA35" i="119"/>
  <c r="KC35" i="119" s="1"/>
  <c r="JM35" i="119"/>
  <c r="LO35" i="119" s="1"/>
  <c r="IL35" i="119"/>
  <c r="KN35" i="119" s="1"/>
  <c r="IO35" i="119"/>
  <c r="KQ35" i="119" s="1"/>
  <c r="IC35" i="119"/>
  <c r="KE35" i="119" s="1"/>
  <c r="II35" i="119"/>
  <c r="KK35" i="119" s="1"/>
  <c r="IN35" i="119"/>
  <c r="KP35" i="119" s="1"/>
  <c r="IR35" i="119"/>
  <c r="KT35" i="119" s="1"/>
  <c r="IU35" i="119"/>
  <c r="KW35" i="119" s="1"/>
  <c r="IM35" i="119"/>
  <c r="KO35" i="119" s="1"/>
  <c r="IQ35" i="119"/>
  <c r="KS35" i="119" s="1"/>
  <c r="JH35" i="119"/>
  <c r="LJ35" i="119" s="1"/>
  <c r="HQ35" i="119"/>
  <c r="JS35" i="119" s="1"/>
  <c r="HX49" i="119"/>
  <c r="JZ49" i="119" s="1"/>
  <c r="IN49" i="119"/>
  <c r="KP49" i="119" s="1"/>
  <c r="JD49" i="119"/>
  <c r="LF49" i="119" s="1"/>
  <c r="HQ49" i="119"/>
  <c r="JS49" i="119" s="1"/>
  <c r="IH49" i="119"/>
  <c r="KJ49" i="119" s="1"/>
  <c r="IY49" i="119"/>
  <c r="LA49" i="119" s="1"/>
  <c r="HS49" i="119"/>
  <c r="JU49" i="119" s="1"/>
  <c r="IJ49" i="119"/>
  <c r="KL49" i="119" s="1"/>
  <c r="JA49" i="119"/>
  <c r="LC49" i="119" s="1"/>
  <c r="IG49" i="119"/>
  <c r="KI49" i="119" s="1"/>
  <c r="JB49" i="119"/>
  <c r="LD49" i="119" s="1"/>
  <c r="HO49" i="119"/>
  <c r="JQ49" i="119" s="1"/>
  <c r="II49" i="119"/>
  <c r="KK49" i="119" s="1"/>
  <c r="JC49" i="119"/>
  <c r="LE49" i="119" s="1"/>
  <c r="HT49" i="119"/>
  <c r="JV49" i="119" s="1"/>
  <c r="IM49" i="119"/>
  <c r="KO49" i="119" s="1"/>
  <c r="JG49" i="119"/>
  <c r="LI49" i="119" s="1"/>
  <c r="HY49" i="119"/>
  <c r="KA49" i="119" s="1"/>
  <c r="IR49" i="119"/>
  <c r="KT49" i="119" s="1"/>
  <c r="JK49" i="119"/>
  <c r="LM49" i="119" s="1"/>
  <c r="HR49" i="119"/>
  <c r="JT49" i="119" s="1"/>
  <c r="IS49" i="119"/>
  <c r="KU49" i="119" s="1"/>
  <c r="HU49" i="119"/>
  <c r="JW49" i="119" s="1"/>
  <c r="IT49" i="119"/>
  <c r="KV49" i="119" s="1"/>
  <c r="HV49" i="119"/>
  <c r="JX49" i="119" s="1"/>
  <c r="IU49" i="119"/>
  <c r="KW49" i="119" s="1"/>
  <c r="HZ49" i="119"/>
  <c r="KB49" i="119" s="1"/>
  <c r="IW49" i="119"/>
  <c r="KY49" i="119" s="1"/>
  <c r="IA49" i="119"/>
  <c r="KC49" i="119" s="1"/>
  <c r="IX49" i="119"/>
  <c r="KZ49" i="119" s="1"/>
  <c r="IB49" i="119"/>
  <c r="KD49" i="119" s="1"/>
  <c r="IZ49" i="119"/>
  <c r="LB49" i="119" s="1"/>
  <c r="IE49" i="119"/>
  <c r="KG49" i="119" s="1"/>
  <c r="JH49" i="119"/>
  <c r="LJ49" i="119" s="1"/>
  <c r="IL49" i="119"/>
  <c r="KN49" i="119" s="1"/>
  <c r="JL49" i="119"/>
  <c r="LN49" i="119" s="1"/>
  <c r="IP49" i="119"/>
  <c r="KR49" i="119" s="1"/>
  <c r="IQ49" i="119"/>
  <c r="KS49" i="119" s="1"/>
  <c r="JE49" i="119"/>
  <c r="LG49" i="119" s="1"/>
  <c r="JI49" i="119"/>
  <c r="LK49" i="119" s="1"/>
  <c r="JJ49" i="119"/>
  <c r="LL49" i="119" s="1"/>
  <c r="JN49" i="119"/>
  <c r="LP49" i="119" s="1"/>
  <c r="HP49" i="119"/>
  <c r="JR49" i="119" s="1"/>
  <c r="HW49" i="119"/>
  <c r="JY49" i="119" s="1"/>
  <c r="IC49" i="119"/>
  <c r="KE49" i="119" s="1"/>
  <c r="IF49" i="119"/>
  <c r="KH49" i="119" s="1"/>
  <c r="ID49" i="119"/>
  <c r="KF49" i="119" s="1"/>
  <c r="IK49" i="119"/>
  <c r="KM49" i="119" s="1"/>
  <c r="IO49" i="119"/>
  <c r="KQ49" i="119" s="1"/>
  <c r="IV49" i="119"/>
  <c r="KX49" i="119" s="1"/>
  <c r="JF49" i="119"/>
  <c r="LH49" i="119" s="1"/>
  <c r="JM49" i="119"/>
  <c r="LO49" i="119" s="1"/>
  <c r="HZ18" i="119"/>
  <c r="KB18" i="119" s="1"/>
  <c r="IP18" i="119"/>
  <c r="KR18" i="119" s="1"/>
  <c r="JF18" i="119"/>
  <c r="LH18" i="119" s="1"/>
  <c r="IB18" i="119"/>
  <c r="KD18" i="119" s="1"/>
  <c r="IR18" i="119"/>
  <c r="KT18" i="119" s="1"/>
  <c r="JH18" i="119"/>
  <c r="LJ18" i="119" s="1"/>
  <c r="HO18" i="119"/>
  <c r="JQ18" i="119" s="1"/>
  <c r="IE18" i="119"/>
  <c r="KG18" i="119" s="1"/>
  <c r="IU18" i="119"/>
  <c r="KW18" i="119" s="1"/>
  <c r="JK18" i="119"/>
  <c r="LM18" i="119" s="1"/>
  <c r="HP18" i="119"/>
  <c r="JR18" i="119" s="1"/>
  <c r="IF18" i="119"/>
  <c r="KH18" i="119" s="1"/>
  <c r="IV18" i="119"/>
  <c r="KX18" i="119" s="1"/>
  <c r="JL18" i="119"/>
  <c r="LN18" i="119" s="1"/>
  <c r="HR18" i="119"/>
  <c r="JT18" i="119" s="1"/>
  <c r="IH18" i="119"/>
  <c r="KJ18" i="119" s="1"/>
  <c r="IX18" i="119"/>
  <c r="KZ18" i="119" s="1"/>
  <c r="JN18" i="119"/>
  <c r="LP18" i="119" s="1"/>
  <c r="HS18" i="119"/>
  <c r="JU18" i="119" s="1"/>
  <c r="II18" i="119"/>
  <c r="KK18" i="119" s="1"/>
  <c r="IY18" i="119"/>
  <c r="LA18" i="119" s="1"/>
  <c r="HT18" i="119"/>
  <c r="JV18" i="119" s="1"/>
  <c r="IJ18" i="119"/>
  <c r="KL18" i="119" s="1"/>
  <c r="IZ18" i="119"/>
  <c r="LB18" i="119" s="1"/>
  <c r="HW18" i="119"/>
  <c r="JY18" i="119" s="1"/>
  <c r="IM18" i="119"/>
  <c r="KO18" i="119" s="1"/>
  <c r="JC18" i="119"/>
  <c r="LE18" i="119" s="1"/>
  <c r="IO18" i="119"/>
  <c r="KQ18" i="119" s="1"/>
  <c r="IT18" i="119"/>
  <c r="KV18" i="119" s="1"/>
  <c r="JA18" i="119"/>
  <c r="LC18" i="119" s="1"/>
  <c r="HQ18" i="119"/>
  <c r="JS18" i="119" s="1"/>
  <c r="JB18" i="119"/>
  <c r="LD18" i="119" s="1"/>
  <c r="HX18" i="119"/>
  <c r="JZ18" i="119" s="1"/>
  <c r="JI18" i="119"/>
  <c r="LK18" i="119" s="1"/>
  <c r="HY18" i="119"/>
  <c r="KA18" i="119" s="1"/>
  <c r="JJ18" i="119"/>
  <c r="LL18" i="119" s="1"/>
  <c r="IS18" i="119"/>
  <c r="KU18" i="119" s="1"/>
  <c r="IW18" i="119"/>
  <c r="KY18" i="119" s="1"/>
  <c r="JD18" i="119"/>
  <c r="LF18" i="119" s="1"/>
  <c r="HU18" i="119"/>
  <c r="JW18" i="119" s="1"/>
  <c r="IG18" i="119"/>
  <c r="KI18" i="119" s="1"/>
  <c r="IC18" i="119"/>
  <c r="KE18" i="119" s="1"/>
  <c r="ID18" i="119"/>
  <c r="KF18" i="119" s="1"/>
  <c r="IN18" i="119"/>
  <c r="KP18" i="119" s="1"/>
  <c r="JM18" i="119"/>
  <c r="LO18" i="119" s="1"/>
  <c r="HV18" i="119"/>
  <c r="JX18" i="119" s="1"/>
  <c r="IK18" i="119"/>
  <c r="KM18" i="119" s="1"/>
  <c r="JE18" i="119"/>
  <c r="LG18" i="119" s="1"/>
  <c r="IL18" i="119"/>
  <c r="KN18" i="119" s="1"/>
  <c r="HZ74" i="119"/>
  <c r="KB74" i="119" s="1"/>
  <c r="IP74" i="119"/>
  <c r="KR74" i="119" s="1"/>
  <c r="JF74" i="119"/>
  <c r="LH74" i="119" s="1"/>
  <c r="IB74" i="119"/>
  <c r="KD74" i="119" s="1"/>
  <c r="IR74" i="119"/>
  <c r="KT74" i="119" s="1"/>
  <c r="JH74" i="119"/>
  <c r="LJ74" i="119" s="1"/>
  <c r="ID74" i="119"/>
  <c r="KF74" i="119" s="1"/>
  <c r="IT74" i="119"/>
  <c r="KV74" i="119" s="1"/>
  <c r="JJ74" i="119"/>
  <c r="LL74" i="119" s="1"/>
  <c r="HO74" i="119"/>
  <c r="JQ74" i="119" s="1"/>
  <c r="IE74" i="119"/>
  <c r="KG74" i="119" s="1"/>
  <c r="IU74" i="119"/>
  <c r="KW74" i="119" s="1"/>
  <c r="JK74" i="119"/>
  <c r="LM74" i="119" s="1"/>
  <c r="HS74" i="119"/>
  <c r="JU74" i="119" s="1"/>
  <c r="II74" i="119"/>
  <c r="KK74" i="119" s="1"/>
  <c r="IY74" i="119"/>
  <c r="LA74" i="119" s="1"/>
  <c r="HV74" i="119"/>
  <c r="JX74" i="119" s="1"/>
  <c r="IL74" i="119"/>
  <c r="KN74" i="119" s="1"/>
  <c r="JB74" i="119"/>
  <c r="LD74" i="119" s="1"/>
  <c r="IG74" i="119"/>
  <c r="KI74" i="119" s="1"/>
  <c r="IH74" i="119"/>
  <c r="KJ74" i="119" s="1"/>
  <c r="JG74" i="119"/>
  <c r="LI74" i="119" s="1"/>
  <c r="IK74" i="119"/>
  <c r="KM74" i="119" s="1"/>
  <c r="JL74" i="119"/>
  <c r="LN74" i="119" s="1"/>
  <c r="HP74" i="119"/>
  <c r="JR74" i="119" s="1"/>
  <c r="IN74" i="119"/>
  <c r="KP74" i="119" s="1"/>
  <c r="JN74" i="119"/>
  <c r="LP74" i="119" s="1"/>
  <c r="HQ74" i="119"/>
  <c r="JS74" i="119" s="1"/>
  <c r="IO74" i="119"/>
  <c r="KQ74" i="119" s="1"/>
  <c r="HT74" i="119"/>
  <c r="JV74" i="119" s="1"/>
  <c r="IS74" i="119"/>
  <c r="KU74" i="119" s="1"/>
  <c r="HU74" i="119"/>
  <c r="JW74" i="119" s="1"/>
  <c r="IV74" i="119"/>
  <c r="KX74" i="119" s="1"/>
  <c r="HW74" i="119"/>
  <c r="JY74" i="119" s="1"/>
  <c r="IW74" i="119"/>
  <c r="KY74" i="119" s="1"/>
  <c r="JC74" i="119"/>
  <c r="LE74" i="119" s="1"/>
  <c r="JD74" i="119"/>
  <c r="LF74" i="119" s="1"/>
  <c r="JE74" i="119"/>
  <c r="LG74" i="119" s="1"/>
  <c r="JI74" i="119"/>
  <c r="LK74" i="119" s="1"/>
  <c r="HR74" i="119"/>
  <c r="JT74" i="119" s="1"/>
  <c r="JM74" i="119"/>
  <c r="LO74" i="119" s="1"/>
  <c r="HX74" i="119"/>
  <c r="JZ74" i="119" s="1"/>
  <c r="HY74" i="119"/>
  <c r="KA74" i="119" s="1"/>
  <c r="IA74" i="119"/>
  <c r="KC74" i="119" s="1"/>
  <c r="IC74" i="119"/>
  <c r="KE74" i="119" s="1"/>
  <c r="IF74" i="119"/>
  <c r="KH74" i="119" s="1"/>
  <c r="IJ74" i="119"/>
  <c r="KL74" i="119" s="1"/>
  <c r="IM74" i="119"/>
  <c r="KO74" i="119" s="1"/>
  <c r="IQ74" i="119"/>
  <c r="KS74" i="119" s="1"/>
  <c r="IX74" i="119"/>
  <c r="KZ74" i="119" s="1"/>
  <c r="IZ74" i="119"/>
  <c r="LB74" i="119" s="1"/>
  <c r="JA74" i="119"/>
  <c r="LC74" i="119" s="1"/>
  <c r="HV67" i="119"/>
  <c r="JX67" i="119" s="1"/>
  <c r="IL67" i="119"/>
  <c r="KN67" i="119" s="1"/>
  <c r="JB67" i="119"/>
  <c r="LD67" i="119" s="1"/>
  <c r="HS67" i="119"/>
  <c r="JU67" i="119" s="1"/>
  <c r="IJ67" i="119"/>
  <c r="KL67" i="119" s="1"/>
  <c r="JA67" i="119"/>
  <c r="LC67" i="119" s="1"/>
  <c r="HT67" i="119"/>
  <c r="JV67" i="119" s="1"/>
  <c r="IK67" i="119"/>
  <c r="KM67" i="119" s="1"/>
  <c r="JC67" i="119"/>
  <c r="LE67" i="119" s="1"/>
  <c r="HU67" i="119"/>
  <c r="JW67" i="119" s="1"/>
  <c r="IM67" i="119"/>
  <c r="KO67" i="119" s="1"/>
  <c r="JD67" i="119"/>
  <c r="LF67" i="119" s="1"/>
  <c r="HX67" i="119"/>
  <c r="JZ67" i="119" s="1"/>
  <c r="IO67" i="119"/>
  <c r="KQ67" i="119" s="1"/>
  <c r="JF67" i="119"/>
  <c r="LH67" i="119" s="1"/>
  <c r="HY67" i="119"/>
  <c r="KA67" i="119" s="1"/>
  <c r="IP67" i="119"/>
  <c r="KR67" i="119" s="1"/>
  <c r="JG67" i="119"/>
  <c r="LI67" i="119" s="1"/>
  <c r="IC67" i="119"/>
  <c r="KE67" i="119" s="1"/>
  <c r="IT67" i="119"/>
  <c r="KV67" i="119" s="1"/>
  <c r="JK67" i="119"/>
  <c r="LM67" i="119" s="1"/>
  <c r="HO67" i="119"/>
  <c r="JQ67" i="119" s="1"/>
  <c r="IF67" i="119"/>
  <c r="KH67" i="119" s="1"/>
  <c r="IW67" i="119"/>
  <c r="KY67" i="119" s="1"/>
  <c r="JN67" i="119"/>
  <c r="LP67" i="119" s="1"/>
  <c r="HZ67" i="119"/>
  <c r="KB67" i="119" s="1"/>
  <c r="IZ67" i="119"/>
  <c r="LB67" i="119" s="1"/>
  <c r="IA67" i="119"/>
  <c r="KC67" i="119" s="1"/>
  <c r="JE67" i="119"/>
  <c r="LG67" i="119" s="1"/>
  <c r="ID67" i="119"/>
  <c r="KF67" i="119" s="1"/>
  <c r="JI67" i="119"/>
  <c r="LK67" i="119" s="1"/>
  <c r="IG67" i="119"/>
  <c r="KI67" i="119" s="1"/>
  <c r="JL67" i="119"/>
  <c r="LN67" i="119" s="1"/>
  <c r="IH67" i="119"/>
  <c r="KJ67" i="119" s="1"/>
  <c r="JM67" i="119"/>
  <c r="LO67" i="119" s="1"/>
  <c r="IN67" i="119"/>
  <c r="KP67" i="119" s="1"/>
  <c r="IQ67" i="119"/>
  <c r="KS67" i="119" s="1"/>
  <c r="IR67" i="119"/>
  <c r="KT67" i="119" s="1"/>
  <c r="JH67" i="119"/>
  <c r="LJ67" i="119" s="1"/>
  <c r="JJ67" i="119"/>
  <c r="LL67" i="119" s="1"/>
  <c r="HP67" i="119"/>
  <c r="JR67" i="119" s="1"/>
  <c r="HQ67" i="119"/>
  <c r="JS67" i="119" s="1"/>
  <c r="HR67" i="119"/>
  <c r="JT67" i="119" s="1"/>
  <c r="HW67" i="119"/>
  <c r="JY67" i="119" s="1"/>
  <c r="IB67" i="119"/>
  <c r="KD67" i="119" s="1"/>
  <c r="IE67" i="119"/>
  <c r="KG67" i="119" s="1"/>
  <c r="II67" i="119"/>
  <c r="KK67" i="119" s="1"/>
  <c r="IS67" i="119"/>
  <c r="KU67" i="119" s="1"/>
  <c r="IU67" i="119"/>
  <c r="KW67" i="119" s="1"/>
  <c r="IV67" i="119"/>
  <c r="KX67" i="119" s="1"/>
  <c r="IX67" i="119"/>
  <c r="KZ67" i="119" s="1"/>
  <c r="IY67" i="119"/>
  <c r="LA67" i="119" s="1"/>
  <c r="IB48" i="119"/>
  <c r="KD48" i="119" s="1"/>
  <c r="IR48" i="119"/>
  <c r="KT48" i="119" s="1"/>
  <c r="JH48" i="119"/>
  <c r="LJ48" i="119" s="1"/>
  <c r="HR48" i="119"/>
  <c r="JT48" i="119" s="1"/>
  <c r="II48" i="119"/>
  <c r="KK48" i="119" s="1"/>
  <c r="IZ48" i="119"/>
  <c r="LB48" i="119" s="1"/>
  <c r="HT48" i="119"/>
  <c r="JV48" i="119" s="1"/>
  <c r="JB48" i="119"/>
  <c r="LD48" i="119" s="1"/>
  <c r="IA48" i="119"/>
  <c r="KC48" i="119" s="1"/>
  <c r="IU48" i="119"/>
  <c r="KW48" i="119" s="1"/>
  <c r="JN48" i="119"/>
  <c r="LP48" i="119" s="1"/>
  <c r="IC48" i="119"/>
  <c r="KE48" i="119" s="1"/>
  <c r="IV48" i="119"/>
  <c r="KX48" i="119" s="1"/>
  <c r="IF48" i="119"/>
  <c r="KH48" i="119" s="1"/>
  <c r="IY48" i="119"/>
  <c r="LA48" i="119" s="1"/>
  <c r="HQ48" i="119"/>
  <c r="JS48" i="119" s="1"/>
  <c r="IL48" i="119"/>
  <c r="KN48" i="119" s="1"/>
  <c r="JE48" i="119"/>
  <c r="LG48" i="119" s="1"/>
  <c r="HS48" i="119"/>
  <c r="JU48" i="119" s="1"/>
  <c r="IQ48" i="119"/>
  <c r="KS48" i="119" s="1"/>
  <c r="HU48" i="119"/>
  <c r="JW48" i="119" s="1"/>
  <c r="IS48" i="119"/>
  <c r="KU48" i="119" s="1"/>
  <c r="HV48" i="119"/>
  <c r="JX48" i="119" s="1"/>
  <c r="IT48" i="119"/>
  <c r="KV48" i="119" s="1"/>
  <c r="HX48" i="119"/>
  <c r="JZ48" i="119" s="1"/>
  <c r="IX48" i="119"/>
  <c r="KZ48" i="119" s="1"/>
  <c r="HY48" i="119"/>
  <c r="KA48" i="119" s="1"/>
  <c r="JA48" i="119"/>
  <c r="LC48" i="119" s="1"/>
  <c r="HZ48" i="119"/>
  <c r="KB48" i="119" s="1"/>
  <c r="JC48" i="119"/>
  <c r="LE48" i="119" s="1"/>
  <c r="IG48" i="119"/>
  <c r="KI48" i="119" s="1"/>
  <c r="JG48" i="119"/>
  <c r="LI48" i="119" s="1"/>
  <c r="IM48" i="119"/>
  <c r="KO48" i="119" s="1"/>
  <c r="JK48" i="119"/>
  <c r="LM48" i="119" s="1"/>
  <c r="IO48" i="119"/>
  <c r="KQ48" i="119" s="1"/>
  <c r="IP48" i="119"/>
  <c r="KR48" i="119" s="1"/>
  <c r="JD48" i="119"/>
  <c r="LF48" i="119" s="1"/>
  <c r="JI48" i="119"/>
  <c r="LK48" i="119" s="1"/>
  <c r="JJ48" i="119"/>
  <c r="LL48" i="119" s="1"/>
  <c r="HO48" i="119"/>
  <c r="JQ48" i="119" s="1"/>
  <c r="JM48" i="119"/>
  <c r="LO48" i="119" s="1"/>
  <c r="HP48" i="119"/>
  <c r="JR48" i="119" s="1"/>
  <c r="HW48" i="119"/>
  <c r="JY48" i="119" s="1"/>
  <c r="ID48" i="119"/>
  <c r="KF48" i="119" s="1"/>
  <c r="IH48" i="119"/>
  <c r="KJ48" i="119" s="1"/>
  <c r="IE48" i="119"/>
  <c r="KG48" i="119" s="1"/>
  <c r="IJ48" i="119"/>
  <c r="KL48" i="119" s="1"/>
  <c r="IN48" i="119"/>
  <c r="KP48" i="119" s="1"/>
  <c r="IW48" i="119"/>
  <c r="KY48" i="119" s="1"/>
  <c r="JF48" i="119"/>
  <c r="LH48" i="119" s="1"/>
  <c r="JL48" i="119"/>
  <c r="LN48" i="119" s="1"/>
  <c r="HV79" i="119"/>
  <c r="JX79" i="119" s="1"/>
  <c r="IL79" i="119"/>
  <c r="KN79" i="119" s="1"/>
  <c r="JB79" i="119"/>
  <c r="LD79" i="119" s="1"/>
  <c r="HZ79" i="119"/>
  <c r="KB79" i="119" s="1"/>
  <c r="IP79" i="119"/>
  <c r="KR79" i="119" s="1"/>
  <c r="JF79" i="119"/>
  <c r="LH79" i="119" s="1"/>
  <c r="IA79" i="119"/>
  <c r="KC79" i="119" s="1"/>
  <c r="IQ79" i="119"/>
  <c r="KS79" i="119" s="1"/>
  <c r="JG79" i="119"/>
  <c r="LI79" i="119" s="1"/>
  <c r="HO79" i="119"/>
  <c r="JQ79" i="119" s="1"/>
  <c r="IC79" i="119"/>
  <c r="KE79" i="119" s="1"/>
  <c r="IW79" i="119"/>
  <c r="KY79" i="119" s="1"/>
  <c r="IE79" i="119"/>
  <c r="KG79" i="119" s="1"/>
  <c r="IY79" i="119"/>
  <c r="LA79" i="119" s="1"/>
  <c r="IG79" i="119"/>
  <c r="KI79" i="119" s="1"/>
  <c r="JA79" i="119"/>
  <c r="LC79" i="119" s="1"/>
  <c r="IH79" i="119"/>
  <c r="KJ79" i="119" s="1"/>
  <c r="JC79" i="119"/>
  <c r="LE79" i="119" s="1"/>
  <c r="HP79" i="119"/>
  <c r="JR79" i="119" s="1"/>
  <c r="IJ79" i="119"/>
  <c r="KL79" i="119" s="1"/>
  <c r="HQ79" i="119"/>
  <c r="JS79" i="119" s="1"/>
  <c r="IK79" i="119"/>
  <c r="KM79" i="119" s="1"/>
  <c r="JI79" i="119"/>
  <c r="LK79" i="119" s="1"/>
  <c r="HR79" i="119"/>
  <c r="JT79" i="119" s="1"/>
  <c r="IM79" i="119"/>
  <c r="KO79" i="119" s="1"/>
  <c r="JJ79" i="119"/>
  <c r="LL79" i="119" s="1"/>
  <c r="IF79" i="119"/>
  <c r="KH79" i="119" s="1"/>
  <c r="II79" i="119"/>
  <c r="KK79" i="119" s="1"/>
  <c r="IO79" i="119"/>
  <c r="KQ79" i="119" s="1"/>
  <c r="IR79" i="119"/>
  <c r="KT79" i="119" s="1"/>
  <c r="IS79" i="119"/>
  <c r="KU79" i="119" s="1"/>
  <c r="IT79" i="119"/>
  <c r="KV79" i="119" s="1"/>
  <c r="IU79" i="119"/>
  <c r="KW79" i="119" s="1"/>
  <c r="IV79" i="119"/>
  <c r="KX79" i="119" s="1"/>
  <c r="IX79" i="119"/>
  <c r="KZ79" i="119" s="1"/>
  <c r="HS79" i="119"/>
  <c r="JU79" i="119" s="1"/>
  <c r="IZ79" i="119"/>
  <c r="LB79" i="119" s="1"/>
  <c r="HT79" i="119"/>
  <c r="JV79" i="119" s="1"/>
  <c r="JE79" i="119"/>
  <c r="LG79" i="119" s="1"/>
  <c r="HU79" i="119"/>
  <c r="JW79" i="119" s="1"/>
  <c r="JH79" i="119"/>
  <c r="LJ79" i="119" s="1"/>
  <c r="HY79" i="119"/>
  <c r="KA79" i="119" s="1"/>
  <c r="JL79" i="119"/>
  <c r="LN79" i="119" s="1"/>
  <c r="HW79" i="119"/>
  <c r="JY79" i="119" s="1"/>
  <c r="IB79" i="119"/>
  <c r="KD79" i="119" s="1"/>
  <c r="ID79" i="119"/>
  <c r="KF79" i="119" s="1"/>
  <c r="JK79" i="119"/>
  <c r="LM79" i="119" s="1"/>
  <c r="JM79" i="119"/>
  <c r="LO79" i="119" s="1"/>
  <c r="JN79" i="119"/>
  <c r="LP79" i="119" s="1"/>
  <c r="HV59" i="119"/>
  <c r="JX59" i="119" s="1"/>
  <c r="IL59" i="119"/>
  <c r="KN59" i="119" s="1"/>
  <c r="JB59" i="119"/>
  <c r="LD59" i="119" s="1"/>
  <c r="HX59" i="119"/>
  <c r="JZ59" i="119" s="1"/>
  <c r="IN59" i="119"/>
  <c r="KP59" i="119" s="1"/>
  <c r="JD59" i="119"/>
  <c r="LF59" i="119" s="1"/>
  <c r="IC59" i="119"/>
  <c r="KE59" i="119" s="1"/>
  <c r="IU59" i="119"/>
  <c r="KW59" i="119" s="1"/>
  <c r="JM59" i="119"/>
  <c r="LO59" i="119" s="1"/>
  <c r="HS59" i="119"/>
  <c r="JU59" i="119" s="1"/>
  <c r="IK59" i="119"/>
  <c r="KM59" i="119" s="1"/>
  <c r="JE59" i="119"/>
  <c r="LG59" i="119" s="1"/>
  <c r="IG59" i="119"/>
  <c r="KI59" i="119" s="1"/>
  <c r="JA59" i="119"/>
  <c r="LC59" i="119" s="1"/>
  <c r="IH59" i="119"/>
  <c r="KJ59" i="119" s="1"/>
  <c r="JC59" i="119"/>
  <c r="LE59" i="119" s="1"/>
  <c r="HO59" i="119"/>
  <c r="JQ59" i="119" s="1"/>
  <c r="II59" i="119"/>
  <c r="KK59" i="119" s="1"/>
  <c r="JF59" i="119"/>
  <c r="LH59" i="119" s="1"/>
  <c r="HQ59" i="119"/>
  <c r="JS59" i="119" s="1"/>
  <c r="IM59" i="119"/>
  <c r="KO59" i="119" s="1"/>
  <c r="JH59" i="119"/>
  <c r="LJ59" i="119" s="1"/>
  <c r="HR59" i="119"/>
  <c r="JT59" i="119" s="1"/>
  <c r="IO59" i="119"/>
  <c r="KQ59" i="119" s="1"/>
  <c r="JI59" i="119"/>
  <c r="LK59" i="119" s="1"/>
  <c r="HT59" i="119"/>
  <c r="JV59" i="119" s="1"/>
  <c r="IP59" i="119"/>
  <c r="KR59" i="119" s="1"/>
  <c r="JJ59" i="119"/>
  <c r="LL59" i="119" s="1"/>
  <c r="HY59" i="119"/>
  <c r="KA59" i="119" s="1"/>
  <c r="IS59" i="119"/>
  <c r="KU59" i="119" s="1"/>
  <c r="JN59" i="119"/>
  <c r="LP59" i="119" s="1"/>
  <c r="IB59" i="119"/>
  <c r="KD59" i="119" s="1"/>
  <c r="IW59" i="119"/>
  <c r="KY59" i="119" s="1"/>
  <c r="IQ59" i="119"/>
  <c r="KS59" i="119" s="1"/>
  <c r="IR59" i="119"/>
  <c r="KT59" i="119" s="1"/>
  <c r="IV59" i="119"/>
  <c r="KX59" i="119" s="1"/>
  <c r="IY59" i="119"/>
  <c r="LA59" i="119" s="1"/>
  <c r="IZ59" i="119"/>
  <c r="LB59" i="119" s="1"/>
  <c r="HU59" i="119"/>
  <c r="JW59" i="119" s="1"/>
  <c r="JK59" i="119"/>
  <c r="LM59" i="119" s="1"/>
  <c r="HW59" i="119"/>
  <c r="JY59" i="119" s="1"/>
  <c r="JL59" i="119"/>
  <c r="LN59" i="119" s="1"/>
  <c r="HZ59" i="119"/>
  <c r="KB59" i="119" s="1"/>
  <c r="IA59" i="119"/>
  <c r="KC59" i="119" s="1"/>
  <c r="IJ59" i="119"/>
  <c r="KL59" i="119" s="1"/>
  <c r="IT59" i="119"/>
  <c r="KV59" i="119" s="1"/>
  <c r="IX59" i="119"/>
  <c r="KZ59" i="119" s="1"/>
  <c r="JG59" i="119"/>
  <c r="LI59" i="119" s="1"/>
  <c r="HP59" i="119"/>
  <c r="JR59" i="119" s="1"/>
  <c r="ID59" i="119"/>
  <c r="KF59" i="119" s="1"/>
  <c r="IE59" i="119"/>
  <c r="KG59" i="119" s="1"/>
  <c r="IF59" i="119"/>
  <c r="KH59" i="119" s="1"/>
  <c r="HV11" i="119"/>
  <c r="JX11" i="119" s="1"/>
  <c r="IL11" i="119"/>
  <c r="KN11" i="119" s="1"/>
  <c r="JB11" i="119"/>
  <c r="LD11" i="119" s="1"/>
  <c r="HW11" i="119"/>
  <c r="JY11" i="119" s="1"/>
  <c r="IM11" i="119"/>
  <c r="KO11" i="119" s="1"/>
  <c r="JC11" i="119"/>
  <c r="LE11" i="119" s="1"/>
  <c r="HX11" i="119"/>
  <c r="JZ11" i="119" s="1"/>
  <c r="IN11" i="119"/>
  <c r="KP11" i="119" s="1"/>
  <c r="JD11" i="119"/>
  <c r="LF11" i="119" s="1"/>
  <c r="IA11" i="119"/>
  <c r="KC11" i="119" s="1"/>
  <c r="IQ11" i="119"/>
  <c r="KS11" i="119" s="1"/>
  <c r="JG11" i="119"/>
  <c r="LI11" i="119" s="1"/>
  <c r="IB11" i="119"/>
  <c r="KD11" i="119" s="1"/>
  <c r="IR11" i="119"/>
  <c r="KT11" i="119" s="1"/>
  <c r="JH11" i="119"/>
  <c r="LJ11" i="119" s="1"/>
  <c r="HO11" i="119"/>
  <c r="JQ11" i="119" s="1"/>
  <c r="IE11" i="119"/>
  <c r="KG11" i="119" s="1"/>
  <c r="IU11" i="119"/>
  <c r="KW11" i="119" s="1"/>
  <c r="JK11" i="119"/>
  <c r="LM11" i="119" s="1"/>
  <c r="HP11" i="119"/>
  <c r="JR11" i="119" s="1"/>
  <c r="IF11" i="119"/>
  <c r="KH11" i="119" s="1"/>
  <c r="IV11" i="119"/>
  <c r="KX11" i="119" s="1"/>
  <c r="JL11" i="119"/>
  <c r="LN11" i="119" s="1"/>
  <c r="HS11" i="119"/>
  <c r="JU11" i="119" s="1"/>
  <c r="II11" i="119"/>
  <c r="KK11" i="119" s="1"/>
  <c r="IY11" i="119"/>
  <c r="LA11" i="119" s="1"/>
  <c r="IO11" i="119"/>
  <c r="KQ11" i="119" s="1"/>
  <c r="IS11" i="119"/>
  <c r="KU11" i="119" s="1"/>
  <c r="IX11" i="119"/>
  <c r="KZ11" i="119" s="1"/>
  <c r="HQ11" i="119"/>
  <c r="JS11" i="119" s="1"/>
  <c r="IZ11" i="119"/>
  <c r="LB11" i="119" s="1"/>
  <c r="HR11" i="119"/>
  <c r="JT11" i="119" s="1"/>
  <c r="JA11" i="119"/>
  <c r="LC11" i="119" s="1"/>
  <c r="HU11" i="119"/>
  <c r="JW11" i="119" s="1"/>
  <c r="JF11" i="119"/>
  <c r="LH11" i="119" s="1"/>
  <c r="HY11" i="119"/>
  <c r="KA11" i="119" s="1"/>
  <c r="JI11" i="119"/>
  <c r="LK11" i="119" s="1"/>
  <c r="IG11" i="119"/>
  <c r="KI11" i="119" s="1"/>
  <c r="IH11" i="119"/>
  <c r="KJ11" i="119" s="1"/>
  <c r="IJ11" i="119"/>
  <c r="KL11" i="119" s="1"/>
  <c r="IW11" i="119"/>
  <c r="KY11" i="119" s="1"/>
  <c r="JE11" i="119"/>
  <c r="LG11" i="119" s="1"/>
  <c r="JM11" i="119"/>
  <c r="LO11" i="119" s="1"/>
  <c r="JN11" i="119"/>
  <c r="LP11" i="119" s="1"/>
  <c r="IK11" i="119"/>
  <c r="KM11" i="119" s="1"/>
  <c r="IP11" i="119"/>
  <c r="KR11" i="119" s="1"/>
  <c r="IC11" i="119"/>
  <c r="KE11" i="119" s="1"/>
  <c r="HT11" i="119"/>
  <c r="JV11" i="119" s="1"/>
  <c r="HZ11" i="119"/>
  <c r="KB11" i="119" s="1"/>
  <c r="HT45" i="119"/>
  <c r="JV45" i="119" s="1"/>
  <c r="HR96" i="119"/>
  <c r="JT96" i="119" s="1"/>
  <c r="IH96" i="119"/>
  <c r="KJ96" i="119" s="1"/>
  <c r="IX96" i="119"/>
  <c r="KZ96" i="119" s="1"/>
  <c r="JN96" i="119"/>
  <c r="LP96" i="119" s="1"/>
  <c r="HT96" i="119"/>
  <c r="JV96" i="119" s="1"/>
  <c r="IJ96" i="119"/>
  <c r="KL96" i="119" s="1"/>
  <c r="IZ96" i="119"/>
  <c r="LB96" i="119" s="1"/>
  <c r="HW96" i="119"/>
  <c r="JY96" i="119" s="1"/>
  <c r="IM96" i="119"/>
  <c r="KO96" i="119" s="1"/>
  <c r="JC96" i="119"/>
  <c r="LE96" i="119" s="1"/>
  <c r="IE96" i="119"/>
  <c r="KG96" i="119" s="1"/>
  <c r="IY96" i="119"/>
  <c r="LA96" i="119" s="1"/>
  <c r="HQ96" i="119"/>
  <c r="JS96" i="119" s="1"/>
  <c r="JF96" i="119"/>
  <c r="LH96" i="119" s="1"/>
  <c r="IP96" i="119"/>
  <c r="KR96" i="119" s="1"/>
  <c r="JI96" i="119"/>
  <c r="LK96" i="119" s="1"/>
  <c r="ID96" i="119"/>
  <c r="KF96" i="119" s="1"/>
  <c r="JD96" i="119"/>
  <c r="LF96" i="119" s="1"/>
  <c r="IF96" i="119"/>
  <c r="KH96" i="119" s="1"/>
  <c r="JE96" i="119"/>
  <c r="LG96" i="119" s="1"/>
  <c r="IK96" i="119"/>
  <c r="KM96" i="119" s="1"/>
  <c r="JJ96" i="119"/>
  <c r="LL96" i="119" s="1"/>
  <c r="IN96" i="119"/>
  <c r="KP96" i="119" s="1"/>
  <c r="JK96" i="119"/>
  <c r="LM96" i="119" s="1"/>
  <c r="HS96" i="119"/>
  <c r="JU96" i="119" s="1"/>
  <c r="IR96" i="119"/>
  <c r="KT96" i="119" s="1"/>
  <c r="HU96" i="119"/>
  <c r="JW96" i="119" s="1"/>
  <c r="IS96" i="119"/>
  <c r="KU96" i="119" s="1"/>
  <c r="HZ96" i="119"/>
  <c r="KB96" i="119" s="1"/>
  <c r="IV96" i="119"/>
  <c r="KX96" i="119" s="1"/>
  <c r="HX96" i="119"/>
  <c r="JZ96" i="119" s="1"/>
  <c r="JL96" i="119"/>
  <c r="LN96" i="119" s="1"/>
  <c r="HY96" i="119"/>
  <c r="KA96" i="119" s="1"/>
  <c r="JM96" i="119"/>
  <c r="LO96" i="119" s="1"/>
  <c r="IA96" i="119"/>
  <c r="KC96" i="119" s="1"/>
  <c r="IB96" i="119"/>
  <c r="KD96" i="119" s="1"/>
  <c r="IC96" i="119"/>
  <c r="KE96" i="119" s="1"/>
  <c r="IG96" i="119"/>
  <c r="KI96" i="119" s="1"/>
  <c r="II96" i="119"/>
  <c r="KK96" i="119" s="1"/>
  <c r="IO96" i="119"/>
  <c r="KQ96" i="119" s="1"/>
  <c r="IQ96" i="119"/>
  <c r="KS96" i="119" s="1"/>
  <c r="IT96" i="119"/>
  <c r="KV96" i="119" s="1"/>
  <c r="IU96" i="119"/>
  <c r="KW96" i="119" s="1"/>
  <c r="IW96" i="119"/>
  <c r="KY96" i="119" s="1"/>
  <c r="JA96" i="119"/>
  <c r="LC96" i="119" s="1"/>
  <c r="HO96" i="119"/>
  <c r="JQ96" i="119" s="1"/>
  <c r="HP96" i="119"/>
  <c r="JR96" i="119" s="1"/>
  <c r="JG96" i="119"/>
  <c r="LI96" i="119" s="1"/>
  <c r="JH96" i="119"/>
  <c r="LJ96" i="119" s="1"/>
  <c r="IW129" i="119"/>
  <c r="KY129" i="119" s="1"/>
  <c r="HZ155" i="119"/>
  <c r="KB155" i="119" s="1"/>
  <c r="IP155" i="119"/>
  <c r="KR155" i="119" s="1"/>
  <c r="JF155" i="119"/>
  <c r="LH155" i="119" s="1"/>
  <c r="IB155" i="119"/>
  <c r="KD155" i="119" s="1"/>
  <c r="IR155" i="119"/>
  <c r="KT155" i="119" s="1"/>
  <c r="JH155" i="119"/>
  <c r="LJ155" i="119" s="1"/>
  <c r="HR155" i="119"/>
  <c r="JT155" i="119" s="1"/>
  <c r="IH155" i="119"/>
  <c r="KJ155" i="119" s="1"/>
  <c r="IX155" i="119"/>
  <c r="KZ155" i="119" s="1"/>
  <c r="JN155" i="119"/>
  <c r="LP155" i="119" s="1"/>
  <c r="HQ155" i="119"/>
  <c r="JS155" i="119" s="1"/>
  <c r="IK155" i="119"/>
  <c r="KM155" i="119" s="1"/>
  <c r="JD155" i="119"/>
  <c r="LF155" i="119" s="1"/>
  <c r="HT155" i="119"/>
  <c r="JV155" i="119" s="1"/>
  <c r="IM155" i="119"/>
  <c r="KO155" i="119" s="1"/>
  <c r="JG155" i="119"/>
  <c r="LI155" i="119" s="1"/>
  <c r="HU155" i="119"/>
  <c r="JW155" i="119" s="1"/>
  <c r="IN155" i="119"/>
  <c r="KP155" i="119" s="1"/>
  <c r="JI155" i="119"/>
  <c r="LK155" i="119" s="1"/>
  <c r="HX155" i="119"/>
  <c r="JZ155" i="119" s="1"/>
  <c r="IS155" i="119"/>
  <c r="KU155" i="119" s="1"/>
  <c r="JL155" i="119"/>
  <c r="LN155" i="119" s="1"/>
  <c r="HY155" i="119"/>
  <c r="KA155" i="119" s="1"/>
  <c r="IT155" i="119"/>
  <c r="KV155" i="119" s="1"/>
  <c r="JM155" i="119"/>
  <c r="LO155" i="119" s="1"/>
  <c r="IA155" i="119"/>
  <c r="KC155" i="119" s="1"/>
  <c r="IU155" i="119"/>
  <c r="KW155" i="119" s="1"/>
  <c r="IC155" i="119"/>
  <c r="KE155" i="119" s="1"/>
  <c r="IV155" i="119"/>
  <c r="KX155" i="119" s="1"/>
  <c r="ID155" i="119"/>
  <c r="KF155" i="119" s="1"/>
  <c r="IW155" i="119"/>
  <c r="KY155" i="119" s="1"/>
  <c r="IG155" i="119"/>
  <c r="KI155" i="119" s="1"/>
  <c r="JA155" i="119"/>
  <c r="LC155" i="119" s="1"/>
  <c r="IE155" i="119"/>
  <c r="KG155" i="119" s="1"/>
  <c r="IF155" i="119"/>
  <c r="KH155" i="119" s="1"/>
  <c r="II155" i="119"/>
  <c r="KK155" i="119" s="1"/>
  <c r="IJ155" i="119"/>
  <c r="KL155" i="119" s="1"/>
  <c r="IL155" i="119"/>
  <c r="KN155" i="119" s="1"/>
  <c r="IO155" i="119"/>
  <c r="KQ155" i="119" s="1"/>
  <c r="IQ155" i="119"/>
  <c r="KS155" i="119" s="1"/>
  <c r="IY155" i="119"/>
  <c r="LA155" i="119" s="1"/>
  <c r="IZ155" i="119"/>
  <c r="LB155" i="119" s="1"/>
  <c r="JB155" i="119"/>
  <c r="LD155" i="119" s="1"/>
  <c r="JC155" i="119"/>
  <c r="LE155" i="119" s="1"/>
  <c r="HO155" i="119"/>
  <c r="JQ155" i="119" s="1"/>
  <c r="JE155" i="119"/>
  <c r="LG155" i="119" s="1"/>
  <c r="HP155" i="119"/>
  <c r="JR155" i="119" s="1"/>
  <c r="JJ155" i="119"/>
  <c r="LL155" i="119" s="1"/>
  <c r="HS155" i="119"/>
  <c r="JU155" i="119" s="1"/>
  <c r="JK155" i="119"/>
  <c r="LM155" i="119" s="1"/>
  <c r="HV155" i="119"/>
  <c r="JX155" i="119" s="1"/>
  <c r="HW155" i="119"/>
  <c r="JY155" i="119" s="1"/>
  <c r="HV15" i="119"/>
  <c r="JX15" i="119" s="1"/>
  <c r="IL15" i="119"/>
  <c r="KN15" i="119" s="1"/>
  <c r="JB15" i="119"/>
  <c r="LD15" i="119" s="1"/>
  <c r="HW15" i="119"/>
  <c r="JY15" i="119" s="1"/>
  <c r="IM15" i="119"/>
  <c r="KO15" i="119" s="1"/>
  <c r="JC15" i="119"/>
  <c r="LE15" i="119" s="1"/>
  <c r="HX15" i="119"/>
  <c r="JZ15" i="119" s="1"/>
  <c r="IN15" i="119"/>
  <c r="KP15" i="119" s="1"/>
  <c r="JD15" i="119"/>
  <c r="LF15" i="119" s="1"/>
  <c r="IA15" i="119"/>
  <c r="KC15" i="119" s="1"/>
  <c r="IQ15" i="119"/>
  <c r="KS15" i="119" s="1"/>
  <c r="JG15" i="119"/>
  <c r="LI15" i="119" s="1"/>
  <c r="IB15" i="119"/>
  <c r="KD15" i="119" s="1"/>
  <c r="IR15" i="119"/>
  <c r="KT15" i="119" s="1"/>
  <c r="JH15" i="119"/>
  <c r="LJ15" i="119" s="1"/>
  <c r="ID15" i="119"/>
  <c r="KF15" i="119" s="1"/>
  <c r="IT15" i="119"/>
  <c r="KV15" i="119" s="1"/>
  <c r="JJ15" i="119"/>
  <c r="LL15" i="119" s="1"/>
  <c r="HO15" i="119"/>
  <c r="JQ15" i="119" s="1"/>
  <c r="IE15" i="119"/>
  <c r="KG15" i="119" s="1"/>
  <c r="IU15" i="119"/>
  <c r="KW15" i="119" s="1"/>
  <c r="JK15" i="119"/>
  <c r="LM15" i="119" s="1"/>
  <c r="HP15" i="119"/>
  <c r="JR15" i="119" s="1"/>
  <c r="IF15" i="119"/>
  <c r="KH15" i="119" s="1"/>
  <c r="IV15" i="119"/>
  <c r="KX15" i="119" s="1"/>
  <c r="JL15" i="119"/>
  <c r="LN15" i="119" s="1"/>
  <c r="HS15" i="119"/>
  <c r="JU15" i="119" s="1"/>
  <c r="II15" i="119"/>
  <c r="KK15" i="119" s="1"/>
  <c r="IY15" i="119"/>
  <c r="LA15" i="119" s="1"/>
  <c r="HQ15" i="119"/>
  <c r="JS15" i="119" s="1"/>
  <c r="IZ15" i="119"/>
  <c r="LB15" i="119" s="1"/>
  <c r="HT15" i="119"/>
  <c r="JV15" i="119" s="1"/>
  <c r="JE15" i="119"/>
  <c r="LG15" i="119" s="1"/>
  <c r="HY15" i="119"/>
  <c r="KA15" i="119" s="1"/>
  <c r="JI15" i="119"/>
  <c r="LK15" i="119" s="1"/>
  <c r="HZ15" i="119"/>
  <c r="KB15" i="119" s="1"/>
  <c r="JM15" i="119"/>
  <c r="LO15" i="119" s="1"/>
  <c r="IH15" i="119"/>
  <c r="KJ15" i="119" s="1"/>
  <c r="IJ15" i="119"/>
  <c r="KL15" i="119" s="1"/>
  <c r="JF15" i="119"/>
  <c r="LH15" i="119" s="1"/>
  <c r="JN15" i="119"/>
  <c r="LP15" i="119" s="1"/>
  <c r="HR15" i="119"/>
  <c r="JT15" i="119" s="1"/>
  <c r="HU15" i="119"/>
  <c r="JW15" i="119" s="1"/>
  <c r="IC15" i="119"/>
  <c r="KE15" i="119" s="1"/>
  <c r="IG15" i="119"/>
  <c r="KI15" i="119" s="1"/>
  <c r="IS15" i="119"/>
  <c r="KU15" i="119" s="1"/>
  <c r="IK15" i="119"/>
  <c r="KM15" i="119" s="1"/>
  <c r="IO15" i="119"/>
  <c r="KQ15" i="119" s="1"/>
  <c r="IP15" i="119"/>
  <c r="KR15" i="119" s="1"/>
  <c r="IX15" i="119"/>
  <c r="KZ15" i="119" s="1"/>
  <c r="JA15" i="119"/>
  <c r="LC15" i="119" s="1"/>
  <c r="IW15" i="119"/>
  <c r="KY15" i="119" s="1"/>
  <c r="HP39" i="119"/>
  <c r="JR39" i="119" s="1"/>
  <c r="IF39" i="119"/>
  <c r="KH39" i="119" s="1"/>
  <c r="IV39" i="119"/>
  <c r="KX39" i="119" s="1"/>
  <c r="JL39" i="119"/>
  <c r="LN39" i="119" s="1"/>
  <c r="HT39" i="119"/>
  <c r="JV39" i="119" s="1"/>
  <c r="IJ39" i="119"/>
  <c r="KL39" i="119" s="1"/>
  <c r="IZ39" i="119"/>
  <c r="LB39" i="119" s="1"/>
  <c r="HU39" i="119"/>
  <c r="JW39" i="119" s="1"/>
  <c r="IK39" i="119"/>
  <c r="KM39" i="119" s="1"/>
  <c r="JA39" i="119"/>
  <c r="LC39" i="119" s="1"/>
  <c r="HZ39" i="119"/>
  <c r="KB39" i="119" s="1"/>
  <c r="IT39" i="119"/>
  <c r="KV39" i="119" s="1"/>
  <c r="IB39" i="119"/>
  <c r="KD39" i="119" s="1"/>
  <c r="IW39" i="119"/>
  <c r="KY39" i="119" s="1"/>
  <c r="II39" i="119"/>
  <c r="KK39" i="119" s="1"/>
  <c r="JG39" i="119"/>
  <c r="LI39" i="119" s="1"/>
  <c r="IL39" i="119"/>
  <c r="KN39" i="119" s="1"/>
  <c r="JH39" i="119"/>
  <c r="LJ39" i="119" s="1"/>
  <c r="HO39" i="119"/>
  <c r="JQ39" i="119" s="1"/>
  <c r="IO39" i="119"/>
  <c r="KQ39" i="119" s="1"/>
  <c r="JK39" i="119"/>
  <c r="LM39" i="119" s="1"/>
  <c r="HS39" i="119"/>
  <c r="JU39" i="119" s="1"/>
  <c r="IQ39" i="119"/>
  <c r="KS39" i="119" s="1"/>
  <c r="HW39" i="119"/>
  <c r="JY39" i="119" s="1"/>
  <c r="IS39" i="119"/>
  <c r="KU39" i="119" s="1"/>
  <c r="IR39" i="119"/>
  <c r="KT39" i="119" s="1"/>
  <c r="IU39" i="119"/>
  <c r="KW39" i="119" s="1"/>
  <c r="IY39" i="119"/>
  <c r="LA39" i="119" s="1"/>
  <c r="HQ39" i="119"/>
  <c r="JS39" i="119" s="1"/>
  <c r="JC39" i="119"/>
  <c r="LE39" i="119" s="1"/>
  <c r="HV39" i="119"/>
  <c r="JX39" i="119" s="1"/>
  <c r="JD39" i="119"/>
  <c r="LF39" i="119" s="1"/>
  <c r="HX39" i="119"/>
  <c r="JZ39" i="119" s="1"/>
  <c r="JE39" i="119"/>
  <c r="LG39" i="119" s="1"/>
  <c r="IC39" i="119"/>
  <c r="KE39" i="119" s="1"/>
  <c r="JJ39" i="119"/>
  <c r="LL39" i="119" s="1"/>
  <c r="IG39" i="119"/>
  <c r="KI39" i="119" s="1"/>
  <c r="IM39" i="119"/>
  <c r="KO39" i="119" s="1"/>
  <c r="IN39" i="119"/>
  <c r="KP39" i="119" s="1"/>
  <c r="JB39" i="119"/>
  <c r="LD39" i="119" s="1"/>
  <c r="JI39" i="119"/>
  <c r="LK39" i="119" s="1"/>
  <c r="JM39" i="119"/>
  <c r="LO39" i="119" s="1"/>
  <c r="IA39" i="119"/>
  <c r="KC39" i="119" s="1"/>
  <c r="ID39" i="119"/>
  <c r="KF39" i="119" s="1"/>
  <c r="IE39" i="119"/>
  <c r="KG39" i="119" s="1"/>
  <c r="IP39" i="119"/>
  <c r="KR39" i="119" s="1"/>
  <c r="JF39" i="119"/>
  <c r="LH39" i="119" s="1"/>
  <c r="HY39" i="119"/>
  <c r="KA39" i="119" s="1"/>
  <c r="ID73" i="119"/>
  <c r="KF73" i="119" s="1"/>
  <c r="IT73" i="119"/>
  <c r="KV73" i="119" s="1"/>
  <c r="JJ73" i="119"/>
  <c r="LL73" i="119" s="1"/>
  <c r="HP73" i="119"/>
  <c r="JR73" i="119" s="1"/>
  <c r="IF73" i="119"/>
  <c r="KH73" i="119" s="1"/>
  <c r="IV73" i="119"/>
  <c r="KX73" i="119" s="1"/>
  <c r="JL73" i="119"/>
  <c r="LN73" i="119" s="1"/>
  <c r="HR73" i="119"/>
  <c r="JT73" i="119" s="1"/>
  <c r="IH73" i="119"/>
  <c r="KJ73" i="119" s="1"/>
  <c r="IX73" i="119"/>
  <c r="KZ73" i="119" s="1"/>
  <c r="JN73" i="119"/>
  <c r="LP73" i="119" s="1"/>
  <c r="HS73" i="119"/>
  <c r="JU73" i="119" s="1"/>
  <c r="II73" i="119"/>
  <c r="KK73" i="119" s="1"/>
  <c r="IY73" i="119"/>
  <c r="LA73" i="119" s="1"/>
  <c r="HW73" i="119"/>
  <c r="JY73" i="119" s="1"/>
  <c r="IM73" i="119"/>
  <c r="KO73" i="119" s="1"/>
  <c r="JC73" i="119"/>
  <c r="LE73" i="119" s="1"/>
  <c r="HZ73" i="119"/>
  <c r="KB73" i="119" s="1"/>
  <c r="IP73" i="119"/>
  <c r="KR73" i="119" s="1"/>
  <c r="JF73" i="119"/>
  <c r="LH73" i="119" s="1"/>
  <c r="IG73" i="119"/>
  <c r="KI73" i="119" s="1"/>
  <c r="JG73" i="119"/>
  <c r="LI73" i="119" s="1"/>
  <c r="IJ73" i="119"/>
  <c r="KL73" i="119" s="1"/>
  <c r="JH73" i="119"/>
  <c r="LJ73" i="119" s="1"/>
  <c r="IL73" i="119"/>
  <c r="KN73" i="119" s="1"/>
  <c r="JK73" i="119"/>
  <c r="LM73" i="119" s="1"/>
  <c r="HO73" i="119"/>
  <c r="JQ73" i="119" s="1"/>
  <c r="IO73" i="119"/>
  <c r="KQ73" i="119" s="1"/>
  <c r="HQ73" i="119"/>
  <c r="JS73" i="119" s="1"/>
  <c r="IQ73" i="119"/>
  <c r="KS73" i="119" s="1"/>
  <c r="HU73" i="119"/>
  <c r="JW73" i="119" s="1"/>
  <c r="IS73" i="119"/>
  <c r="KU73" i="119" s="1"/>
  <c r="HV73" i="119"/>
  <c r="JX73" i="119" s="1"/>
  <c r="IU73" i="119"/>
  <c r="KW73" i="119" s="1"/>
  <c r="HX73" i="119"/>
  <c r="JZ73" i="119" s="1"/>
  <c r="IW73" i="119"/>
  <c r="KY73" i="119" s="1"/>
  <c r="JD73" i="119"/>
  <c r="LF73" i="119" s="1"/>
  <c r="JE73" i="119"/>
  <c r="LG73" i="119" s="1"/>
  <c r="JI73" i="119"/>
  <c r="LK73" i="119" s="1"/>
  <c r="JM73" i="119"/>
  <c r="LO73" i="119" s="1"/>
  <c r="HT73" i="119"/>
  <c r="JV73" i="119" s="1"/>
  <c r="HY73" i="119"/>
  <c r="KA73" i="119" s="1"/>
  <c r="IA73" i="119"/>
  <c r="KC73" i="119" s="1"/>
  <c r="IB73" i="119"/>
  <c r="KD73" i="119" s="1"/>
  <c r="IC73" i="119"/>
  <c r="KE73" i="119" s="1"/>
  <c r="IE73" i="119"/>
  <c r="KG73" i="119" s="1"/>
  <c r="IK73" i="119"/>
  <c r="KM73" i="119" s="1"/>
  <c r="IN73" i="119"/>
  <c r="KP73" i="119" s="1"/>
  <c r="IR73" i="119"/>
  <c r="KT73" i="119" s="1"/>
  <c r="IZ73" i="119"/>
  <c r="LB73" i="119" s="1"/>
  <c r="JA73" i="119"/>
  <c r="LC73" i="119" s="1"/>
  <c r="JB73" i="119"/>
  <c r="LD73" i="119" s="1"/>
  <c r="IB44" i="119"/>
  <c r="KD44" i="119" s="1"/>
  <c r="IR44" i="119"/>
  <c r="KT44" i="119" s="1"/>
  <c r="JH44" i="119"/>
  <c r="LJ44" i="119" s="1"/>
  <c r="HQ44" i="119"/>
  <c r="JS44" i="119" s="1"/>
  <c r="IG44" i="119"/>
  <c r="KI44" i="119" s="1"/>
  <c r="IW44" i="119"/>
  <c r="KY44" i="119" s="1"/>
  <c r="JM44" i="119"/>
  <c r="LO44" i="119" s="1"/>
  <c r="HP44" i="119"/>
  <c r="JR44" i="119" s="1"/>
  <c r="II44" i="119"/>
  <c r="KK44" i="119" s="1"/>
  <c r="JA44" i="119"/>
  <c r="LC44" i="119" s="1"/>
  <c r="HS44" i="119"/>
  <c r="JU44" i="119" s="1"/>
  <c r="IK44" i="119"/>
  <c r="KM44" i="119" s="1"/>
  <c r="JC44" i="119"/>
  <c r="LE44" i="119" s="1"/>
  <c r="HX44" i="119"/>
  <c r="JZ44" i="119" s="1"/>
  <c r="IS44" i="119"/>
  <c r="KU44" i="119" s="1"/>
  <c r="JN44" i="119"/>
  <c r="LP44" i="119" s="1"/>
  <c r="HY44" i="119"/>
  <c r="KA44" i="119" s="1"/>
  <c r="IT44" i="119"/>
  <c r="KV44" i="119" s="1"/>
  <c r="IC44" i="119"/>
  <c r="KE44" i="119" s="1"/>
  <c r="IX44" i="119"/>
  <c r="KZ44" i="119" s="1"/>
  <c r="IE44" i="119"/>
  <c r="KG44" i="119" s="1"/>
  <c r="IZ44" i="119"/>
  <c r="LB44" i="119" s="1"/>
  <c r="IH44" i="119"/>
  <c r="KJ44" i="119" s="1"/>
  <c r="JD44" i="119"/>
  <c r="LF44" i="119" s="1"/>
  <c r="IF44" i="119"/>
  <c r="KH44" i="119" s="1"/>
  <c r="JJ44" i="119"/>
  <c r="LL44" i="119" s="1"/>
  <c r="IJ44" i="119"/>
  <c r="KL44" i="119" s="1"/>
  <c r="JK44" i="119"/>
  <c r="LM44" i="119" s="1"/>
  <c r="IL44" i="119"/>
  <c r="KN44" i="119" s="1"/>
  <c r="JL44" i="119"/>
  <c r="LN44" i="119" s="1"/>
  <c r="IN44" i="119"/>
  <c r="KP44" i="119" s="1"/>
  <c r="IO44" i="119"/>
  <c r="KQ44" i="119" s="1"/>
  <c r="IP44" i="119"/>
  <c r="KR44" i="119" s="1"/>
  <c r="HT44" i="119"/>
  <c r="JV44" i="119" s="1"/>
  <c r="IV44" i="119"/>
  <c r="KX44" i="119" s="1"/>
  <c r="HW44" i="119"/>
  <c r="JY44" i="119" s="1"/>
  <c r="JE44" i="119"/>
  <c r="LG44" i="119" s="1"/>
  <c r="ID44" i="119"/>
  <c r="KF44" i="119" s="1"/>
  <c r="IM44" i="119"/>
  <c r="KO44" i="119" s="1"/>
  <c r="IU44" i="119"/>
  <c r="KW44" i="119" s="1"/>
  <c r="JB44" i="119"/>
  <c r="LD44" i="119" s="1"/>
  <c r="JF44" i="119"/>
  <c r="LH44" i="119" s="1"/>
  <c r="JI44" i="119"/>
  <c r="LK44" i="119" s="1"/>
  <c r="HO44" i="119"/>
  <c r="JQ44" i="119" s="1"/>
  <c r="HR44" i="119"/>
  <c r="JT44" i="119" s="1"/>
  <c r="HV44" i="119"/>
  <c r="JX44" i="119" s="1"/>
  <c r="HU44" i="119"/>
  <c r="JW44" i="119" s="1"/>
  <c r="HZ44" i="119"/>
  <c r="KB44" i="119" s="1"/>
  <c r="IA44" i="119"/>
  <c r="KC44" i="119" s="1"/>
  <c r="IQ44" i="119"/>
  <c r="KS44" i="119" s="1"/>
  <c r="IY44" i="119"/>
  <c r="LA44" i="119" s="1"/>
  <c r="JG44" i="119"/>
  <c r="LI44" i="119" s="1"/>
  <c r="HZ82" i="119"/>
  <c r="KB82" i="119" s="1"/>
  <c r="IP82" i="119"/>
  <c r="KR82" i="119" s="1"/>
  <c r="JF82" i="119"/>
  <c r="LH82" i="119" s="1"/>
  <c r="IB82" i="119"/>
  <c r="KD82" i="119" s="1"/>
  <c r="IR82" i="119"/>
  <c r="KT82" i="119" s="1"/>
  <c r="JH82" i="119"/>
  <c r="LJ82" i="119" s="1"/>
  <c r="ID82" i="119"/>
  <c r="KF82" i="119" s="1"/>
  <c r="IT82" i="119"/>
  <c r="KV82" i="119" s="1"/>
  <c r="JJ82" i="119"/>
  <c r="LL82" i="119" s="1"/>
  <c r="HO82" i="119"/>
  <c r="JQ82" i="119" s="1"/>
  <c r="IE82" i="119"/>
  <c r="KG82" i="119" s="1"/>
  <c r="IU82" i="119"/>
  <c r="KW82" i="119" s="1"/>
  <c r="JK82" i="119"/>
  <c r="LM82" i="119" s="1"/>
  <c r="HX82" i="119"/>
  <c r="JZ82" i="119" s="1"/>
  <c r="IV82" i="119"/>
  <c r="KX82" i="119" s="1"/>
  <c r="IF82" i="119"/>
  <c r="KH82" i="119" s="1"/>
  <c r="IZ82" i="119"/>
  <c r="LB82" i="119" s="1"/>
  <c r="IG82" i="119"/>
  <c r="KI82" i="119" s="1"/>
  <c r="JA82" i="119"/>
  <c r="LC82" i="119" s="1"/>
  <c r="HP82" i="119"/>
  <c r="JR82" i="119" s="1"/>
  <c r="IJ82" i="119"/>
  <c r="KL82" i="119" s="1"/>
  <c r="JD82" i="119"/>
  <c r="LF82" i="119" s="1"/>
  <c r="HQ82" i="119"/>
  <c r="JS82" i="119" s="1"/>
  <c r="IK82" i="119"/>
  <c r="KM82" i="119" s="1"/>
  <c r="JE82" i="119"/>
  <c r="LG82" i="119" s="1"/>
  <c r="HW82" i="119"/>
  <c r="JY82" i="119" s="1"/>
  <c r="JC82" i="119"/>
  <c r="LE82" i="119" s="1"/>
  <c r="HY82" i="119"/>
  <c r="KA82" i="119" s="1"/>
  <c r="JG82" i="119"/>
  <c r="LI82" i="119" s="1"/>
  <c r="IA82" i="119"/>
  <c r="KC82" i="119" s="1"/>
  <c r="JI82" i="119"/>
  <c r="LK82" i="119" s="1"/>
  <c r="IC82" i="119"/>
  <c r="KE82" i="119" s="1"/>
  <c r="JL82" i="119"/>
  <c r="LN82" i="119" s="1"/>
  <c r="IH82" i="119"/>
  <c r="KJ82" i="119" s="1"/>
  <c r="JM82" i="119"/>
  <c r="LO82" i="119" s="1"/>
  <c r="II82" i="119"/>
  <c r="KK82" i="119" s="1"/>
  <c r="JN82" i="119"/>
  <c r="LP82" i="119" s="1"/>
  <c r="IL82" i="119"/>
  <c r="KN82" i="119" s="1"/>
  <c r="IM82" i="119"/>
  <c r="KO82" i="119" s="1"/>
  <c r="IN82" i="119"/>
  <c r="KP82" i="119" s="1"/>
  <c r="IO82" i="119"/>
  <c r="KQ82" i="119" s="1"/>
  <c r="IQ82" i="119"/>
  <c r="KS82" i="119" s="1"/>
  <c r="HR82" i="119"/>
  <c r="JT82" i="119" s="1"/>
  <c r="IS82" i="119"/>
  <c r="KU82" i="119" s="1"/>
  <c r="HT82" i="119"/>
  <c r="JV82" i="119" s="1"/>
  <c r="IX82" i="119"/>
  <c r="KZ82" i="119" s="1"/>
  <c r="HS82" i="119"/>
  <c r="JU82" i="119" s="1"/>
  <c r="HU82" i="119"/>
  <c r="JW82" i="119" s="1"/>
  <c r="HV82" i="119"/>
  <c r="JX82" i="119" s="1"/>
  <c r="IW82" i="119"/>
  <c r="KY82" i="119" s="1"/>
  <c r="IY82" i="119"/>
  <c r="LA82" i="119" s="1"/>
  <c r="JB82" i="119"/>
  <c r="LD82" i="119" s="1"/>
  <c r="ID93" i="119"/>
  <c r="KF93" i="119" s="1"/>
  <c r="IT93" i="119"/>
  <c r="KV93" i="119" s="1"/>
  <c r="JJ93" i="119"/>
  <c r="LL93" i="119" s="1"/>
  <c r="HP93" i="119"/>
  <c r="JR93" i="119" s="1"/>
  <c r="IF93" i="119"/>
  <c r="KH93" i="119" s="1"/>
  <c r="IV93" i="119"/>
  <c r="KX93" i="119" s="1"/>
  <c r="JL93" i="119"/>
  <c r="LN93" i="119" s="1"/>
  <c r="HS93" i="119"/>
  <c r="JU93" i="119" s="1"/>
  <c r="II93" i="119"/>
  <c r="KK93" i="119" s="1"/>
  <c r="IY93" i="119"/>
  <c r="LA93" i="119" s="1"/>
  <c r="IC93" i="119"/>
  <c r="KE93" i="119" s="1"/>
  <c r="IX93" i="119"/>
  <c r="KZ93" i="119" s="1"/>
  <c r="HO93" i="119"/>
  <c r="JQ93" i="119" s="1"/>
  <c r="HQ93" i="119"/>
  <c r="JS93" i="119" s="1"/>
  <c r="IK93" i="119"/>
  <c r="KM93" i="119" s="1"/>
  <c r="JD93" i="119"/>
  <c r="LF93" i="119" s="1"/>
  <c r="HU93" i="119"/>
  <c r="JW93" i="119" s="1"/>
  <c r="IN93" i="119"/>
  <c r="KP93" i="119" s="1"/>
  <c r="JG93" i="119"/>
  <c r="LI93" i="119" s="1"/>
  <c r="HR93" i="119"/>
  <c r="JT93" i="119" s="1"/>
  <c r="IP93" i="119"/>
  <c r="KR93" i="119" s="1"/>
  <c r="JN93" i="119"/>
  <c r="LP93" i="119" s="1"/>
  <c r="HT93" i="119"/>
  <c r="JV93" i="119" s="1"/>
  <c r="IQ93" i="119"/>
  <c r="KS93" i="119" s="1"/>
  <c r="HV93" i="119"/>
  <c r="JX93" i="119" s="1"/>
  <c r="IR93" i="119"/>
  <c r="KT93" i="119" s="1"/>
  <c r="HX93" i="119"/>
  <c r="JZ93" i="119" s="1"/>
  <c r="IU93" i="119"/>
  <c r="KW93" i="119" s="1"/>
  <c r="HY93" i="119"/>
  <c r="KA93" i="119" s="1"/>
  <c r="IW93" i="119"/>
  <c r="KY93" i="119" s="1"/>
  <c r="IA93" i="119"/>
  <c r="KC93" i="119" s="1"/>
  <c r="IB93" i="119"/>
  <c r="KD93" i="119" s="1"/>
  <c r="JB93" i="119"/>
  <c r="LD93" i="119" s="1"/>
  <c r="IE93" i="119"/>
  <c r="KG93" i="119" s="1"/>
  <c r="JC93" i="119"/>
  <c r="LE93" i="119" s="1"/>
  <c r="IJ93" i="119"/>
  <c r="KL93" i="119" s="1"/>
  <c r="JH93" i="119"/>
  <c r="LJ93" i="119" s="1"/>
  <c r="IL93" i="119"/>
  <c r="KN93" i="119" s="1"/>
  <c r="IM93" i="119"/>
  <c r="KO93" i="119" s="1"/>
  <c r="IO93" i="119"/>
  <c r="KQ93" i="119" s="1"/>
  <c r="IS93" i="119"/>
  <c r="KU93" i="119" s="1"/>
  <c r="IZ93" i="119"/>
  <c r="LB93" i="119" s="1"/>
  <c r="JA93" i="119"/>
  <c r="LC93" i="119" s="1"/>
  <c r="JE93" i="119"/>
  <c r="LG93" i="119" s="1"/>
  <c r="JF93" i="119"/>
  <c r="LH93" i="119" s="1"/>
  <c r="JI93" i="119"/>
  <c r="LK93" i="119" s="1"/>
  <c r="JK93" i="119"/>
  <c r="LM93" i="119" s="1"/>
  <c r="JM93" i="119"/>
  <c r="LO93" i="119" s="1"/>
  <c r="HW93" i="119"/>
  <c r="JY93" i="119" s="1"/>
  <c r="HZ93" i="119"/>
  <c r="KB93" i="119" s="1"/>
  <c r="IH93" i="119"/>
  <c r="KJ93" i="119" s="1"/>
  <c r="IG93" i="119"/>
  <c r="KI93" i="119" s="1"/>
  <c r="HV83" i="119"/>
  <c r="JX83" i="119" s="1"/>
  <c r="IL83" i="119"/>
  <c r="KN83" i="119" s="1"/>
  <c r="JB83" i="119"/>
  <c r="LD83" i="119" s="1"/>
  <c r="HX83" i="119"/>
  <c r="JZ83" i="119" s="1"/>
  <c r="IN83" i="119"/>
  <c r="KP83" i="119" s="1"/>
  <c r="JD83" i="119"/>
  <c r="LF83" i="119" s="1"/>
  <c r="HZ83" i="119"/>
  <c r="KB83" i="119" s="1"/>
  <c r="IP83" i="119"/>
  <c r="KR83" i="119" s="1"/>
  <c r="JF83" i="119"/>
  <c r="LH83" i="119" s="1"/>
  <c r="IA83" i="119"/>
  <c r="KC83" i="119" s="1"/>
  <c r="IQ83" i="119"/>
  <c r="KS83" i="119" s="1"/>
  <c r="JG83" i="119"/>
  <c r="LI83" i="119" s="1"/>
  <c r="HP83" i="119"/>
  <c r="JR83" i="119" s="1"/>
  <c r="IJ83" i="119"/>
  <c r="KL83" i="119" s="1"/>
  <c r="JH83" i="119"/>
  <c r="LJ83" i="119" s="1"/>
  <c r="HT83" i="119"/>
  <c r="JV83" i="119" s="1"/>
  <c r="IR83" i="119"/>
  <c r="KT83" i="119" s="1"/>
  <c r="JL83" i="119"/>
  <c r="LN83" i="119" s="1"/>
  <c r="HU83" i="119"/>
  <c r="JW83" i="119" s="1"/>
  <c r="IS83" i="119"/>
  <c r="KU83" i="119" s="1"/>
  <c r="JM83" i="119"/>
  <c r="LO83" i="119" s="1"/>
  <c r="IB83" i="119"/>
  <c r="KD83" i="119" s="1"/>
  <c r="IV83" i="119"/>
  <c r="KX83" i="119" s="1"/>
  <c r="IC83" i="119"/>
  <c r="KE83" i="119" s="1"/>
  <c r="IW83" i="119"/>
  <c r="KY83" i="119" s="1"/>
  <c r="IH83" i="119"/>
  <c r="KJ83" i="119" s="1"/>
  <c r="JN83" i="119"/>
  <c r="LP83" i="119" s="1"/>
  <c r="II83" i="119"/>
  <c r="KK83" i="119" s="1"/>
  <c r="IK83" i="119"/>
  <c r="KM83" i="119" s="1"/>
  <c r="IM83" i="119"/>
  <c r="KO83" i="119" s="1"/>
  <c r="IO83" i="119"/>
  <c r="KQ83" i="119" s="1"/>
  <c r="IT83" i="119"/>
  <c r="KV83" i="119" s="1"/>
  <c r="HO83" i="119"/>
  <c r="JQ83" i="119" s="1"/>
  <c r="IU83" i="119"/>
  <c r="KW83" i="119" s="1"/>
  <c r="HQ83" i="119"/>
  <c r="JS83" i="119" s="1"/>
  <c r="IX83" i="119"/>
  <c r="KZ83" i="119" s="1"/>
  <c r="HR83" i="119"/>
  <c r="JT83" i="119" s="1"/>
  <c r="IY83" i="119"/>
  <c r="LA83" i="119" s="1"/>
  <c r="HS83" i="119"/>
  <c r="JU83" i="119" s="1"/>
  <c r="IZ83" i="119"/>
  <c r="LB83" i="119" s="1"/>
  <c r="HW83" i="119"/>
  <c r="JY83" i="119" s="1"/>
  <c r="JA83" i="119"/>
  <c r="LC83" i="119" s="1"/>
  <c r="HY83" i="119"/>
  <c r="KA83" i="119" s="1"/>
  <c r="JC83" i="119"/>
  <c r="LE83" i="119" s="1"/>
  <c r="IE83" i="119"/>
  <c r="KG83" i="119" s="1"/>
  <c r="JI83" i="119"/>
  <c r="LK83" i="119" s="1"/>
  <c r="ID83" i="119"/>
  <c r="KF83" i="119" s="1"/>
  <c r="IF83" i="119"/>
  <c r="KH83" i="119" s="1"/>
  <c r="IG83" i="119"/>
  <c r="KI83" i="119" s="1"/>
  <c r="JE83" i="119"/>
  <c r="LG83" i="119" s="1"/>
  <c r="JJ83" i="119"/>
  <c r="LL83" i="119" s="1"/>
  <c r="JK83" i="119"/>
  <c r="LM83" i="119" s="1"/>
  <c r="ID61" i="119"/>
  <c r="KF61" i="119" s="1"/>
  <c r="IT61" i="119"/>
  <c r="KV61" i="119" s="1"/>
  <c r="JJ61" i="119"/>
  <c r="LL61" i="119" s="1"/>
  <c r="HP61" i="119"/>
  <c r="JR61" i="119" s="1"/>
  <c r="IF61" i="119"/>
  <c r="KH61" i="119" s="1"/>
  <c r="IV61" i="119"/>
  <c r="KX61" i="119" s="1"/>
  <c r="JL61" i="119"/>
  <c r="LN61" i="119" s="1"/>
  <c r="HQ61" i="119"/>
  <c r="JS61" i="119" s="1"/>
  <c r="II61" i="119"/>
  <c r="KK61" i="119" s="1"/>
  <c r="JA61" i="119"/>
  <c r="LC61" i="119" s="1"/>
  <c r="IG61" i="119"/>
  <c r="KI61" i="119" s="1"/>
  <c r="IZ61" i="119"/>
  <c r="LB61" i="119" s="1"/>
  <c r="IH61" i="119"/>
  <c r="KJ61" i="119" s="1"/>
  <c r="JB61" i="119"/>
  <c r="LD61" i="119" s="1"/>
  <c r="HO61" i="119"/>
  <c r="JQ61" i="119" s="1"/>
  <c r="IJ61" i="119"/>
  <c r="KL61" i="119" s="1"/>
  <c r="JC61" i="119"/>
  <c r="LE61" i="119" s="1"/>
  <c r="HS61" i="119"/>
  <c r="JU61" i="119" s="1"/>
  <c r="IL61" i="119"/>
  <c r="KN61" i="119" s="1"/>
  <c r="JE61" i="119"/>
  <c r="LG61" i="119" s="1"/>
  <c r="HT61" i="119"/>
  <c r="JV61" i="119" s="1"/>
  <c r="IM61" i="119"/>
  <c r="KO61" i="119" s="1"/>
  <c r="JF61" i="119"/>
  <c r="LH61" i="119" s="1"/>
  <c r="HU61" i="119"/>
  <c r="JW61" i="119" s="1"/>
  <c r="IN61" i="119"/>
  <c r="KP61" i="119" s="1"/>
  <c r="JG61" i="119"/>
  <c r="LI61" i="119" s="1"/>
  <c r="HX61" i="119"/>
  <c r="JZ61" i="119" s="1"/>
  <c r="IQ61" i="119"/>
  <c r="KS61" i="119" s="1"/>
  <c r="JK61" i="119"/>
  <c r="LM61" i="119" s="1"/>
  <c r="IA61" i="119"/>
  <c r="KC61" i="119" s="1"/>
  <c r="IU61" i="119"/>
  <c r="KW61" i="119" s="1"/>
  <c r="HV61" i="119"/>
  <c r="JX61" i="119" s="1"/>
  <c r="JH61" i="119"/>
  <c r="LJ61" i="119" s="1"/>
  <c r="HW61" i="119"/>
  <c r="JY61" i="119" s="1"/>
  <c r="JI61" i="119"/>
  <c r="LK61" i="119" s="1"/>
  <c r="HZ61" i="119"/>
  <c r="KB61" i="119" s="1"/>
  <c r="JN61" i="119"/>
  <c r="LP61" i="119" s="1"/>
  <c r="IC61" i="119"/>
  <c r="KE61" i="119" s="1"/>
  <c r="IE61" i="119"/>
  <c r="KG61" i="119" s="1"/>
  <c r="IO61" i="119"/>
  <c r="KQ61" i="119" s="1"/>
  <c r="IP61" i="119"/>
  <c r="KR61" i="119" s="1"/>
  <c r="IR61" i="119"/>
  <c r="KT61" i="119" s="1"/>
  <c r="IS61" i="119"/>
  <c r="KU61" i="119" s="1"/>
  <c r="IB61" i="119"/>
  <c r="KD61" i="119" s="1"/>
  <c r="IK61" i="119"/>
  <c r="KM61" i="119" s="1"/>
  <c r="IW61" i="119"/>
  <c r="KY61" i="119" s="1"/>
  <c r="IX61" i="119"/>
  <c r="KZ61" i="119" s="1"/>
  <c r="IY61" i="119"/>
  <c r="LA61" i="119" s="1"/>
  <c r="JD61" i="119"/>
  <c r="LF61" i="119" s="1"/>
  <c r="JM61" i="119"/>
  <c r="LO61" i="119" s="1"/>
  <c r="HR61" i="119"/>
  <c r="JT61" i="119" s="1"/>
  <c r="HY61" i="119"/>
  <c r="KA61" i="119" s="1"/>
  <c r="HZ127" i="119"/>
  <c r="KB127" i="119" s="1"/>
  <c r="IP127" i="119"/>
  <c r="KR127" i="119" s="1"/>
  <c r="JF127" i="119"/>
  <c r="LH127" i="119" s="1"/>
  <c r="IA127" i="119"/>
  <c r="KC127" i="119" s="1"/>
  <c r="IQ127" i="119"/>
  <c r="KS127" i="119" s="1"/>
  <c r="JG127" i="119"/>
  <c r="LI127" i="119" s="1"/>
  <c r="ID127" i="119"/>
  <c r="KF127" i="119" s="1"/>
  <c r="IT127" i="119"/>
  <c r="KV127" i="119" s="1"/>
  <c r="JJ127" i="119"/>
  <c r="LL127" i="119" s="1"/>
  <c r="HO127" i="119"/>
  <c r="JQ127" i="119" s="1"/>
  <c r="IE127" i="119"/>
  <c r="KG127" i="119" s="1"/>
  <c r="IU127" i="119"/>
  <c r="KW127" i="119" s="1"/>
  <c r="IF127" i="119"/>
  <c r="KH127" i="119" s="1"/>
  <c r="IZ127" i="119"/>
  <c r="LB127" i="119" s="1"/>
  <c r="IG127" i="119"/>
  <c r="KI127" i="119" s="1"/>
  <c r="JA127" i="119"/>
  <c r="LC127" i="119" s="1"/>
  <c r="II127" i="119"/>
  <c r="KK127" i="119" s="1"/>
  <c r="JC127" i="119"/>
  <c r="LE127" i="119" s="1"/>
  <c r="HP127" i="119"/>
  <c r="JR127" i="119" s="1"/>
  <c r="IJ127" i="119"/>
  <c r="KL127" i="119" s="1"/>
  <c r="JD127" i="119"/>
  <c r="LF127" i="119" s="1"/>
  <c r="HQ127" i="119"/>
  <c r="JS127" i="119" s="1"/>
  <c r="IK127" i="119"/>
  <c r="KM127" i="119" s="1"/>
  <c r="JE127" i="119"/>
  <c r="LG127" i="119" s="1"/>
  <c r="HR127" i="119"/>
  <c r="JT127" i="119" s="1"/>
  <c r="IL127" i="119"/>
  <c r="KN127" i="119" s="1"/>
  <c r="JH127" i="119"/>
  <c r="LJ127" i="119" s="1"/>
  <c r="HT127" i="119"/>
  <c r="JV127" i="119" s="1"/>
  <c r="IN127" i="119"/>
  <c r="KP127" i="119" s="1"/>
  <c r="JK127" i="119"/>
  <c r="LM127" i="119" s="1"/>
  <c r="HU127" i="119"/>
  <c r="JW127" i="119" s="1"/>
  <c r="IO127" i="119"/>
  <c r="KQ127" i="119" s="1"/>
  <c r="JL127" i="119"/>
  <c r="LN127" i="119" s="1"/>
  <c r="HV127" i="119"/>
  <c r="JX127" i="119" s="1"/>
  <c r="IR127" i="119"/>
  <c r="KT127" i="119" s="1"/>
  <c r="JM127" i="119"/>
  <c r="LO127" i="119" s="1"/>
  <c r="HW127" i="119"/>
  <c r="JY127" i="119" s="1"/>
  <c r="IS127" i="119"/>
  <c r="KU127" i="119" s="1"/>
  <c r="JN127" i="119"/>
  <c r="LP127" i="119" s="1"/>
  <c r="HX127" i="119"/>
  <c r="JZ127" i="119" s="1"/>
  <c r="IV127" i="119"/>
  <c r="KX127" i="119" s="1"/>
  <c r="HY127" i="119"/>
  <c r="KA127" i="119" s="1"/>
  <c r="IW127" i="119"/>
  <c r="KY127" i="119" s="1"/>
  <c r="IY127" i="119"/>
  <c r="LA127" i="119" s="1"/>
  <c r="JB127" i="119"/>
  <c r="LD127" i="119" s="1"/>
  <c r="JI127" i="119"/>
  <c r="LK127" i="119" s="1"/>
  <c r="HS127" i="119"/>
  <c r="JU127" i="119" s="1"/>
  <c r="IB127" i="119"/>
  <c r="KD127" i="119" s="1"/>
  <c r="IC127" i="119"/>
  <c r="KE127" i="119" s="1"/>
  <c r="IH127" i="119"/>
  <c r="KJ127" i="119" s="1"/>
  <c r="IM127" i="119"/>
  <c r="KO127" i="119" s="1"/>
  <c r="IX127" i="119"/>
  <c r="KZ127" i="119" s="1"/>
  <c r="HZ31" i="119"/>
  <c r="KB31" i="119" s="1"/>
  <c r="HV136" i="119"/>
  <c r="JX136" i="119" s="1"/>
  <c r="IL136" i="119"/>
  <c r="KN136" i="119" s="1"/>
  <c r="JB136" i="119"/>
  <c r="LD136" i="119" s="1"/>
  <c r="HW136" i="119"/>
  <c r="JY136" i="119" s="1"/>
  <c r="IM136" i="119"/>
  <c r="KO136" i="119" s="1"/>
  <c r="JC136" i="119"/>
  <c r="LE136" i="119" s="1"/>
  <c r="HU136" i="119"/>
  <c r="JW136" i="119" s="1"/>
  <c r="IO136" i="119"/>
  <c r="KQ136" i="119" s="1"/>
  <c r="JG136" i="119"/>
  <c r="LI136" i="119" s="1"/>
  <c r="HY136" i="119"/>
  <c r="KA136" i="119" s="1"/>
  <c r="IQ136" i="119"/>
  <c r="KS136" i="119" s="1"/>
  <c r="JI136" i="119"/>
  <c r="LK136" i="119" s="1"/>
  <c r="IB136" i="119"/>
  <c r="KD136" i="119" s="1"/>
  <c r="IT136" i="119"/>
  <c r="KV136" i="119" s="1"/>
  <c r="JL136" i="119"/>
  <c r="LN136" i="119" s="1"/>
  <c r="IE136" i="119"/>
  <c r="KG136" i="119" s="1"/>
  <c r="IW136" i="119"/>
  <c r="KY136" i="119" s="1"/>
  <c r="IF136" i="119"/>
  <c r="KH136" i="119" s="1"/>
  <c r="IX136" i="119"/>
  <c r="KZ136" i="119" s="1"/>
  <c r="HQ136" i="119"/>
  <c r="JS136" i="119" s="1"/>
  <c r="II136" i="119"/>
  <c r="KK136" i="119" s="1"/>
  <c r="JA136" i="119"/>
  <c r="LC136" i="119" s="1"/>
  <c r="IA136" i="119"/>
  <c r="KC136" i="119" s="1"/>
  <c r="JE136" i="119"/>
  <c r="LG136" i="119" s="1"/>
  <c r="IC136" i="119"/>
  <c r="KE136" i="119" s="1"/>
  <c r="JF136" i="119"/>
  <c r="LH136" i="119" s="1"/>
  <c r="ID136" i="119"/>
  <c r="KF136" i="119" s="1"/>
  <c r="JH136" i="119"/>
  <c r="LJ136" i="119" s="1"/>
  <c r="IG136" i="119"/>
  <c r="KI136" i="119" s="1"/>
  <c r="JJ136" i="119"/>
  <c r="LL136" i="119" s="1"/>
  <c r="IH136" i="119"/>
  <c r="KJ136" i="119" s="1"/>
  <c r="JK136" i="119"/>
  <c r="LM136" i="119" s="1"/>
  <c r="IJ136" i="119"/>
  <c r="KL136" i="119" s="1"/>
  <c r="JM136" i="119"/>
  <c r="LO136" i="119" s="1"/>
  <c r="IK136" i="119"/>
  <c r="KM136" i="119" s="1"/>
  <c r="JN136" i="119"/>
  <c r="LP136" i="119" s="1"/>
  <c r="IN136" i="119"/>
  <c r="KP136" i="119" s="1"/>
  <c r="IP136" i="119"/>
  <c r="KR136" i="119" s="1"/>
  <c r="HO136" i="119"/>
  <c r="JQ136" i="119" s="1"/>
  <c r="IR136" i="119"/>
  <c r="KT136" i="119" s="1"/>
  <c r="HP136" i="119"/>
  <c r="JR136" i="119" s="1"/>
  <c r="IS136" i="119"/>
  <c r="KU136" i="119" s="1"/>
  <c r="HR136" i="119"/>
  <c r="JT136" i="119" s="1"/>
  <c r="IU136" i="119"/>
  <c r="KW136" i="119" s="1"/>
  <c r="HS136" i="119"/>
  <c r="JU136" i="119" s="1"/>
  <c r="IV136" i="119"/>
  <c r="KX136" i="119" s="1"/>
  <c r="HT136" i="119"/>
  <c r="JV136" i="119" s="1"/>
  <c r="IY136" i="119"/>
  <c r="LA136" i="119" s="1"/>
  <c r="HX136" i="119"/>
  <c r="JZ136" i="119" s="1"/>
  <c r="HZ136" i="119"/>
  <c r="KB136" i="119" s="1"/>
  <c r="IZ136" i="119"/>
  <c r="LB136" i="119" s="1"/>
  <c r="JD136" i="119"/>
  <c r="LF136" i="119" s="1"/>
  <c r="IE46" i="119"/>
  <c r="KG46" i="119" s="1"/>
  <c r="IJ45" i="119"/>
  <c r="KL45" i="119" s="1"/>
  <c r="HZ62" i="119"/>
  <c r="KB62" i="119" s="1"/>
  <c r="IP62" i="119"/>
  <c r="KR62" i="119" s="1"/>
  <c r="JF62" i="119"/>
  <c r="LH62" i="119" s="1"/>
  <c r="HS62" i="119"/>
  <c r="JU62" i="119" s="1"/>
  <c r="IK62" i="119"/>
  <c r="KM62" i="119" s="1"/>
  <c r="JB62" i="119"/>
  <c r="LD62" i="119" s="1"/>
  <c r="HT62" i="119"/>
  <c r="JV62" i="119" s="1"/>
  <c r="IM62" i="119"/>
  <c r="KO62" i="119" s="1"/>
  <c r="JE62" i="119"/>
  <c r="LG62" i="119" s="1"/>
  <c r="HU62" i="119"/>
  <c r="JW62" i="119" s="1"/>
  <c r="IN62" i="119"/>
  <c r="KP62" i="119" s="1"/>
  <c r="JG62" i="119"/>
  <c r="LI62" i="119" s="1"/>
  <c r="HV62" i="119"/>
  <c r="JX62" i="119" s="1"/>
  <c r="IO62" i="119"/>
  <c r="KQ62" i="119" s="1"/>
  <c r="JH62" i="119"/>
  <c r="LJ62" i="119" s="1"/>
  <c r="HX62" i="119"/>
  <c r="JZ62" i="119" s="1"/>
  <c r="IR62" i="119"/>
  <c r="KT62" i="119" s="1"/>
  <c r="JJ62" i="119"/>
  <c r="LL62" i="119" s="1"/>
  <c r="HY62" i="119"/>
  <c r="KA62" i="119" s="1"/>
  <c r="IS62" i="119"/>
  <c r="KU62" i="119" s="1"/>
  <c r="JK62" i="119"/>
  <c r="LM62" i="119" s="1"/>
  <c r="IA62" i="119"/>
  <c r="KC62" i="119" s="1"/>
  <c r="IT62" i="119"/>
  <c r="KV62" i="119" s="1"/>
  <c r="JL62" i="119"/>
  <c r="LN62" i="119" s="1"/>
  <c r="IE62" i="119"/>
  <c r="KG62" i="119" s="1"/>
  <c r="IW62" i="119"/>
  <c r="KY62" i="119" s="1"/>
  <c r="HO62" i="119"/>
  <c r="JQ62" i="119" s="1"/>
  <c r="IH62" i="119"/>
  <c r="KJ62" i="119" s="1"/>
  <c r="IZ62" i="119"/>
  <c r="LB62" i="119" s="1"/>
  <c r="IU62" i="119"/>
  <c r="KW62" i="119" s="1"/>
  <c r="IV62" i="119"/>
  <c r="KX62" i="119" s="1"/>
  <c r="IY62" i="119"/>
  <c r="LA62" i="119" s="1"/>
  <c r="HQ62" i="119"/>
  <c r="JS62" i="119" s="1"/>
  <c r="JC62" i="119"/>
  <c r="LE62" i="119" s="1"/>
  <c r="HR62" i="119"/>
  <c r="JT62" i="119" s="1"/>
  <c r="JD62" i="119"/>
  <c r="LF62" i="119" s="1"/>
  <c r="IC62" i="119"/>
  <c r="KE62" i="119" s="1"/>
  <c r="JM62" i="119"/>
  <c r="LO62" i="119" s="1"/>
  <c r="ID62" i="119"/>
  <c r="KF62" i="119" s="1"/>
  <c r="JN62" i="119"/>
  <c r="LP62" i="119" s="1"/>
  <c r="IF62" i="119"/>
  <c r="KH62" i="119" s="1"/>
  <c r="IG62" i="119"/>
  <c r="KI62" i="119" s="1"/>
  <c r="HP62" i="119"/>
  <c r="JR62" i="119" s="1"/>
  <c r="HW62" i="119"/>
  <c r="JY62" i="119" s="1"/>
  <c r="II62" i="119"/>
  <c r="KK62" i="119" s="1"/>
  <c r="IJ62" i="119"/>
  <c r="KL62" i="119" s="1"/>
  <c r="IL62" i="119"/>
  <c r="KN62" i="119" s="1"/>
  <c r="IQ62" i="119"/>
  <c r="KS62" i="119" s="1"/>
  <c r="IX62" i="119"/>
  <c r="KZ62" i="119" s="1"/>
  <c r="JA62" i="119"/>
  <c r="LC62" i="119" s="1"/>
  <c r="JI62" i="119"/>
  <c r="LK62" i="119" s="1"/>
  <c r="IB52" i="119"/>
  <c r="KD52" i="119" s="1"/>
  <c r="IR52" i="119"/>
  <c r="KT52" i="119" s="1"/>
  <c r="JH52" i="119"/>
  <c r="LJ52" i="119" s="1"/>
  <c r="IA52" i="119"/>
  <c r="KC52" i="119" s="1"/>
  <c r="IS52" i="119"/>
  <c r="KU52" i="119" s="1"/>
  <c r="JJ52" i="119"/>
  <c r="LL52" i="119" s="1"/>
  <c r="ID52" i="119"/>
  <c r="KF52" i="119" s="1"/>
  <c r="IU52" i="119"/>
  <c r="KW52" i="119" s="1"/>
  <c r="JL52" i="119"/>
  <c r="LN52" i="119" s="1"/>
  <c r="HT52" i="119"/>
  <c r="JV52" i="119" s="1"/>
  <c r="IM52" i="119"/>
  <c r="KO52" i="119" s="1"/>
  <c r="JF52" i="119"/>
  <c r="LH52" i="119" s="1"/>
  <c r="HU52" i="119"/>
  <c r="JW52" i="119" s="1"/>
  <c r="IN52" i="119"/>
  <c r="KP52" i="119" s="1"/>
  <c r="JG52" i="119"/>
  <c r="LI52" i="119" s="1"/>
  <c r="HX52" i="119"/>
  <c r="JZ52" i="119" s="1"/>
  <c r="IQ52" i="119"/>
  <c r="KS52" i="119" s="1"/>
  <c r="JM52" i="119"/>
  <c r="LO52" i="119" s="1"/>
  <c r="IE52" i="119"/>
  <c r="KG52" i="119" s="1"/>
  <c r="IX52" i="119"/>
  <c r="KZ52" i="119" s="1"/>
  <c r="II52" i="119"/>
  <c r="KK52" i="119" s="1"/>
  <c r="JI52" i="119"/>
  <c r="LK52" i="119" s="1"/>
  <c r="IJ52" i="119"/>
  <c r="KL52" i="119" s="1"/>
  <c r="JK52" i="119"/>
  <c r="LM52" i="119" s="1"/>
  <c r="IK52" i="119"/>
  <c r="KM52" i="119" s="1"/>
  <c r="JN52" i="119"/>
  <c r="LP52" i="119" s="1"/>
  <c r="HP52" i="119"/>
  <c r="JR52" i="119" s="1"/>
  <c r="IO52" i="119"/>
  <c r="KQ52" i="119" s="1"/>
  <c r="HQ52" i="119"/>
  <c r="JS52" i="119" s="1"/>
  <c r="IP52" i="119"/>
  <c r="KR52" i="119" s="1"/>
  <c r="HR52" i="119"/>
  <c r="JT52" i="119" s="1"/>
  <c r="IT52" i="119"/>
  <c r="KV52" i="119" s="1"/>
  <c r="HW52" i="119"/>
  <c r="JY52" i="119" s="1"/>
  <c r="IY52" i="119"/>
  <c r="LA52" i="119" s="1"/>
  <c r="IC52" i="119"/>
  <c r="KE52" i="119" s="1"/>
  <c r="JB52" i="119"/>
  <c r="LD52" i="119" s="1"/>
  <c r="HY52" i="119"/>
  <c r="KA52" i="119" s="1"/>
  <c r="HZ52" i="119"/>
  <c r="KB52" i="119" s="1"/>
  <c r="IG52" i="119"/>
  <c r="KI52" i="119" s="1"/>
  <c r="IL52" i="119"/>
  <c r="KN52" i="119" s="1"/>
  <c r="IV52" i="119"/>
  <c r="KX52" i="119" s="1"/>
  <c r="IZ52" i="119"/>
  <c r="LB52" i="119" s="1"/>
  <c r="JA52" i="119"/>
  <c r="LC52" i="119" s="1"/>
  <c r="JC52" i="119"/>
  <c r="LE52" i="119" s="1"/>
  <c r="JD52" i="119"/>
  <c r="LF52" i="119" s="1"/>
  <c r="HO52" i="119"/>
  <c r="JQ52" i="119" s="1"/>
  <c r="HS52" i="119"/>
  <c r="JU52" i="119" s="1"/>
  <c r="HV52" i="119"/>
  <c r="JX52" i="119" s="1"/>
  <c r="IF52" i="119"/>
  <c r="KH52" i="119" s="1"/>
  <c r="IH52" i="119"/>
  <c r="KJ52" i="119" s="1"/>
  <c r="IW52" i="119"/>
  <c r="KY52" i="119" s="1"/>
  <c r="JE52" i="119"/>
  <c r="LG52" i="119" s="1"/>
  <c r="ID89" i="119"/>
  <c r="KF89" i="119" s="1"/>
  <c r="IT89" i="119"/>
  <c r="KV89" i="119" s="1"/>
  <c r="JJ89" i="119"/>
  <c r="LL89" i="119" s="1"/>
  <c r="HP89" i="119"/>
  <c r="JR89" i="119" s="1"/>
  <c r="IF89" i="119"/>
  <c r="KH89" i="119" s="1"/>
  <c r="IV89" i="119"/>
  <c r="KX89" i="119" s="1"/>
  <c r="JL89" i="119"/>
  <c r="LN89" i="119" s="1"/>
  <c r="HR89" i="119"/>
  <c r="JT89" i="119" s="1"/>
  <c r="IH89" i="119"/>
  <c r="KJ89" i="119" s="1"/>
  <c r="HS89" i="119"/>
  <c r="JU89" i="119" s="1"/>
  <c r="II89" i="119"/>
  <c r="KK89" i="119" s="1"/>
  <c r="IY89" i="119"/>
  <c r="LA89" i="119" s="1"/>
  <c r="HX89" i="119"/>
  <c r="JZ89" i="119" s="1"/>
  <c r="IR89" i="119"/>
  <c r="KT89" i="119" s="1"/>
  <c r="JM89" i="119"/>
  <c r="LO89" i="119" s="1"/>
  <c r="IB89" i="119"/>
  <c r="KD89" i="119" s="1"/>
  <c r="IX89" i="119"/>
  <c r="KZ89" i="119" s="1"/>
  <c r="IC89" i="119"/>
  <c r="KE89" i="119" s="1"/>
  <c r="IZ89" i="119"/>
  <c r="LB89" i="119" s="1"/>
  <c r="IJ89" i="119"/>
  <c r="KL89" i="119" s="1"/>
  <c r="JC89" i="119"/>
  <c r="LE89" i="119" s="1"/>
  <c r="IA89" i="119"/>
  <c r="KC89" i="119" s="1"/>
  <c r="JE89" i="119"/>
  <c r="LG89" i="119" s="1"/>
  <c r="IE89" i="119"/>
  <c r="KG89" i="119" s="1"/>
  <c r="JF89" i="119"/>
  <c r="LH89" i="119" s="1"/>
  <c r="IG89" i="119"/>
  <c r="KI89" i="119" s="1"/>
  <c r="JG89" i="119"/>
  <c r="LI89" i="119" s="1"/>
  <c r="IK89" i="119"/>
  <c r="KM89" i="119" s="1"/>
  <c r="JH89" i="119"/>
  <c r="LJ89" i="119" s="1"/>
  <c r="IL89" i="119"/>
  <c r="KN89" i="119" s="1"/>
  <c r="JI89" i="119"/>
  <c r="LK89" i="119" s="1"/>
  <c r="IM89" i="119"/>
  <c r="KO89" i="119" s="1"/>
  <c r="JK89" i="119"/>
  <c r="LM89" i="119" s="1"/>
  <c r="IN89" i="119"/>
  <c r="KP89" i="119" s="1"/>
  <c r="JN89" i="119"/>
  <c r="LP89" i="119" s="1"/>
  <c r="IO89" i="119"/>
  <c r="KQ89" i="119" s="1"/>
  <c r="HO89" i="119"/>
  <c r="JQ89" i="119" s="1"/>
  <c r="IP89" i="119"/>
  <c r="KR89" i="119" s="1"/>
  <c r="HQ89" i="119"/>
  <c r="JS89" i="119" s="1"/>
  <c r="IQ89" i="119"/>
  <c r="KS89" i="119" s="1"/>
  <c r="HV89" i="119"/>
  <c r="JX89" i="119" s="1"/>
  <c r="IW89" i="119"/>
  <c r="KY89" i="119" s="1"/>
  <c r="IS89" i="119"/>
  <c r="KU89" i="119" s="1"/>
  <c r="IU89" i="119"/>
  <c r="KW89" i="119" s="1"/>
  <c r="JA89" i="119"/>
  <c r="LC89" i="119" s="1"/>
  <c r="JB89" i="119"/>
  <c r="LD89" i="119" s="1"/>
  <c r="JD89" i="119"/>
  <c r="LF89" i="119" s="1"/>
  <c r="HT89" i="119"/>
  <c r="JV89" i="119" s="1"/>
  <c r="HU89" i="119"/>
  <c r="JW89" i="119" s="1"/>
  <c r="HW89" i="119"/>
  <c r="JY89" i="119" s="1"/>
  <c r="HY89" i="119"/>
  <c r="KA89" i="119" s="1"/>
  <c r="HZ89" i="119"/>
  <c r="KB89" i="119" s="1"/>
  <c r="HZ30" i="119"/>
  <c r="KB30" i="119" s="1"/>
  <c r="IP30" i="119"/>
  <c r="KR30" i="119" s="1"/>
  <c r="JF30" i="119"/>
  <c r="LH30" i="119" s="1"/>
  <c r="IA30" i="119"/>
  <c r="KC30" i="119" s="1"/>
  <c r="IQ30" i="119"/>
  <c r="KS30" i="119" s="1"/>
  <c r="JG30" i="119"/>
  <c r="LI30" i="119" s="1"/>
  <c r="IB30" i="119"/>
  <c r="KD30" i="119" s="1"/>
  <c r="IR30" i="119"/>
  <c r="KT30" i="119" s="1"/>
  <c r="JH30" i="119"/>
  <c r="LJ30" i="119" s="1"/>
  <c r="HP30" i="119"/>
  <c r="JR30" i="119" s="1"/>
  <c r="IF30" i="119"/>
  <c r="KH30" i="119" s="1"/>
  <c r="IV30" i="119"/>
  <c r="KX30" i="119" s="1"/>
  <c r="JL30" i="119"/>
  <c r="LN30" i="119" s="1"/>
  <c r="HR30" i="119"/>
  <c r="JT30" i="119" s="1"/>
  <c r="IH30" i="119"/>
  <c r="KJ30" i="119" s="1"/>
  <c r="IX30" i="119"/>
  <c r="KZ30" i="119" s="1"/>
  <c r="JN30" i="119"/>
  <c r="LP30" i="119" s="1"/>
  <c r="HS30" i="119"/>
  <c r="JU30" i="119" s="1"/>
  <c r="II30" i="119"/>
  <c r="KK30" i="119" s="1"/>
  <c r="IY30" i="119"/>
  <c r="LA30" i="119" s="1"/>
  <c r="HT30" i="119"/>
  <c r="JV30" i="119" s="1"/>
  <c r="IJ30" i="119"/>
  <c r="KL30" i="119" s="1"/>
  <c r="IZ30" i="119"/>
  <c r="LB30" i="119" s="1"/>
  <c r="HW30" i="119"/>
  <c r="JY30" i="119" s="1"/>
  <c r="IM30" i="119"/>
  <c r="KO30" i="119" s="1"/>
  <c r="JC30" i="119"/>
  <c r="LE30" i="119" s="1"/>
  <c r="IN30" i="119"/>
  <c r="KP30" i="119" s="1"/>
  <c r="IS30" i="119"/>
  <c r="KU30" i="119" s="1"/>
  <c r="IW30" i="119"/>
  <c r="KY30" i="119" s="1"/>
  <c r="JA30" i="119"/>
  <c r="LC30" i="119" s="1"/>
  <c r="HV30" i="119"/>
  <c r="JX30" i="119" s="1"/>
  <c r="JE30" i="119"/>
  <c r="LG30" i="119" s="1"/>
  <c r="IC30" i="119"/>
  <c r="KE30" i="119" s="1"/>
  <c r="IG30" i="119"/>
  <c r="KI30" i="119" s="1"/>
  <c r="JB30" i="119"/>
  <c r="LD30" i="119" s="1"/>
  <c r="JD30" i="119"/>
  <c r="LF30" i="119" s="1"/>
  <c r="HQ30" i="119"/>
  <c r="JS30" i="119" s="1"/>
  <c r="HX30" i="119"/>
  <c r="JZ30" i="119" s="1"/>
  <c r="ID30" i="119"/>
  <c r="KF30" i="119" s="1"/>
  <c r="IL30" i="119"/>
  <c r="KN30" i="119" s="1"/>
  <c r="HY30" i="119"/>
  <c r="KA30" i="119" s="1"/>
  <c r="IK30" i="119"/>
  <c r="KM30" i="119" s="1"/>
  <c r="IO30" i="119"/>
  <c r="KQ30" i="119" s="1"/>
  <c r="JJ30" i="119"/>
  <c r="LL30" i="119" s="1"/>
  <c r="IT30" i="119"/>
  <c r="KV30" i="119" s="1"/>
  <c r="JI30" i="119"/>
  <c r="LK30" i="119" s="1"/>
  <c r="HU30" i="119"/>
  <c r="JW30" i="119" s="1"/>
  <c r="JM30" i="119"/>
  <c r="LO30" i="119" s="1"/>
  <c r="HV87" i="119"/>
  <c r="JX87" i="119" s="1"/>
  <c r="IL87" i="119"/>
  <c r="KN87" i="119" s="1"/>
  <c r="JB87" i="119"/>
  <c r="LD87" i="119" s="1"/>
  <c r="HX87" i="119"/>
  <c r="JZ87" i="119" s="1"/>
  <c r="IN87" i="119"/>
  <c r="KP87" i="119" s="1"/>
  <c r="JD87" i="119"/>
  <c r="LF87" i="119" s="1"/>
  <c r="HZ87" i="119"/>
  <c r="KB87" i="119" s="1"/>
  <c r="IP87" i="119"/>
  <c r="KR87" i="119" s="1"/>
  <c r="JF87" i="119"/>
  <c r="LH87" i="119" s="1"/>
  <c r="IA87" i="119"/>
  <c r="KC87" i="119" s="1"/>
  <c r="IQ87" i="119"/>
  <c r="KS87" i="119" s="1"/>
  <c r="JG87" i="119"/>
  <c r="LI87" i="119" s="1"/>
  <c r="HT87" i="119"/>
  <c r="JV87" i="119" s="1"/>
  <c r="IR87" i="119"/>
  <c r="KT87" i="119" s="1"/>
  <c r="JL87" i="119"/>
  <c r="LN87" i="119" s="1"/>
  <c r="IB87" i="119"/>
  <c r="KD87" i="119" s="1"/>
  <c r="IV87" i="119"/>
  <c r="KX87" i="119" s="1"/>
  <c r="IC87" i="119"/>
  <c r="KE87" i="119" s="1"/>
  <c r="IW87" i="119"/>
  <c r="KY87" i="119" s="1"/>
  <c r="IF87" i="119"/>
  <c r="KH87" i="119" s="1"/>
  <c r="IZ87" i="119"/>
  <c r="LB87" i="119" s="1"/>
  <c r="IG87" i="119"/>
  <c r="KI87" i="119" s="1"/>
  <c r="JA87" i="119"/>
  <c r="LC87" i="119" s="1"/>
  <c r="HO87" i="119"/>
  <c r="JQ87" i="119" s="1"/>
  <c r="IS87" i="119"/>
  <c r="KU87" i="119" s="1"/>
  <c r="HP87" i="119"/>
  <c r="JR87" i="119" s="1"/>
  <c r="IT87" i="119"/>
  <c r="KV87" i="119" s="1"/>
  <c r="HQ87" i="119"/>
  <c r="JS87" i="119" s="1"/>
  <c r="IU87" i="119"/>
  <c r="KW87" i="119" s="1"/>
  <c r="HR87" i="119"/>
  <c r="JT87" i="119" s="1"/>
  <c r="IX87" i="119"/>
  <c r="KZ87" i="119" s="1"/>
  <c r="HS87" i="119"/>
  <c r="JU87" i="119" s="1"/>
  <c r="IY87" i="119"/>
  <c r="LA87" i="119" s="1"/>
  <c r="HU87" i="119"/>
  <c r="JW87" i="119" s="1"/>
  <c r="JC87" i="119"/>
  <c r="LE87" i="119" s="1"/>
  <c r="HW87" i="119"/>
  <c r="JY87" i="119" s="1"/>
  <c r="JE87" i="119"/>
  <c r="LG87" i="119" s="1"/>
  <c r="HY87" i="119"/>
  <c r="KA87" i="119" s="1"/>
  <c r="JH87" i="119"/>
  <c r="LJ87" i="119" s="1"/>
  <c r="ID87" i="119"/>
  <c r="KF87" i="119" s="1"/>
  <c r="JI87" i="119"/>
  <c r="LK87" i="119" s="1"/>
  <c r="IE87" i="119"/>
  <c r="KG87" i="119" s="1"/>
  <c r="JJ87" i="119"/>
  <c r="LL87" i="119" s="1"/>
  <c r="IH87" i="119"/>
  <c r="KJ87" i="119" s="1"/>
  <c r="JK87" i="119"/>
  <c r="LM87" i="119" s="1"/>
  <c r="II87" i="119"/>
  <c r="KK87" i="119" s="1"/>
  <c r="IK87" i="119"/>
  <c r="KM87" i="119" s="1"/>
  <c r="IO87" i="119"/>
  <c r="KQ87" i="119" s="1"/>
  <c r="JM87" i="119"/>
  <c r="LO87" i="119" s="1"/>
  <c r="JN87" i="119"/>
  <c r="LP87" i="119" s="1"/>
  <c r="IJ87" i="119"/>
  <c r="KL87" i="119" s="1"/>
  <c r="IM87" i="119"/>
  <c r="KO87" i="119" s="1"/>
  <c r="ID130" i="119"/>
  <c r="KF130" i="119" s="1"/>
  <c r="IT130" i="119"/>
  <c r="KV130" i="119" s="1"/>
  <c r="JJ130" i="119"/>
  <c r="LL130" i="119" s="1"/>
  <c r="HO130" i="119"/>
  <c r="JQ130" i="119" s="1"/>
  <c r="IE130" i="119"/>
  <c r="KG130" i="119" s="1"/>
  <c r="IU130" i="119"/>
  <c r="KW130" i="119" s="1"/>
  <c r="JK130" i="119"/>
  <c r="LM130" i="119" s="1"/>
  <c r="HR130" i="119"/>
  <c r="JT130" i="119" s="1"/>
  <c r="IH130" i="119"/>
  <c r="KJ130" i="119" s="1"/>
  <c r="IX130" i="119"/>
  <c r="KZ130" i="119" s="1"/>
  <c r="JN130" i="119"/>
  <c r="LP130" i="119" s="1"/>
  <c r="HP130" i="119"/>
  <c r="JR130" i="119" s="1"/>
  <c r="IJ130" i="119"/>
  <c r="KL130" i="119" s="1"/>
  <c r="JC130" i="119"/>
  <c r="LE130" i="119" s="1"/>
  <c r="HS130" i="119"/>
  <c r="JU130" i="119" s="1"/>
  <c r="IL130" i="119"/>
  <c r="KN130" i="119" s="1"/>
  <c r="JE130" i="119"/>
  <c r="LG130" i="119" s="1"/>
  <c r="HT130" i="119"/>
  <c r="JV130" i="119" s="1"/>
  <c r="IM130" i="119"/>
  <c r="KO130" i="119" s="1"/>
  <c r="JF130" i="119"/>
  <c r="LH130" i="119" s="1"/>
  <c r="HU130" i="119"/>
  <c r="JW130" i="119" s="1"/>
  <c r="IN130" i="119"/>
  <c r="KP130" i="119" s="1"/>
  <c r="JG130" i="119"/>
  <c r="LI130" i="119" s="1"/>
  <c r="HV130" i="119"/>
  <c r="JX130" i="119" s="1"/>
  <c r="IO130" i="119"/>
  <c r="KQ130" i="119" s="1"/>
  <c r="JH130" i="119"/>
  <c r="LJ130" i="119" s="1"/>
  <c r="HY130" i="119"/>
  <c r="KA130" i="119" s="1"/>
  <c r="IR130" i="119"/>
  <c r="KT130" i="119" s="1"/>
  <c r="JM130" i="119"/>
  <c r="LO130" i="119" s="1"/>
  <c r="HZ130" i="119"/>
  <c r="KB130" i="119" s="1"/>
  <c r="IS130" i="119"/>
  <c r="KU130" i="119" s="1"/>
  <c r="IA130" i="119"/>
  <c r="KC130" i="119" s="1"/>
  <c r="IV130" i="119"/>
  <c r="KX130" i="119" s="1"/>
  <c r="IC130" i="119"/>
  <c r="KE130" i="119" s="1"/>
  <c r="IY130" i="119"/>
  <c r="LA130" i="119" s="1"/>
  <c r="HQ130" i="119"/>
  <c r="JS130" i="119" s="1"/>
  <c r="JL130" i="119"/>
  <c r="LN130" i="119" s="1"/>
  <c r="HW130" i="119"/>
  <c r="JY130" i="119" s="1"/>
  <c r="HX130" i="119"/>
  <c r="JZ130" i="119" s="1"/>
  <c r="IB130" i="119"/>
  <c r="KD130" i="119" s="1"/>
  <c r="IF130" i="119"/>
  <c r="KH130" i="119" s="1"/>
  <c r="IG130" i="119"/>
  <c r="KI130" i="119" s="1"/>
  <c r="II130" i="119"/>
  <c r="KK130" i="119" s="1"/>
  <c r="IK130" i="119"/>
  <c r="KM130" i="119" s="1"/>
  <c r="IP130" i="119"/>
  <c r="KR130" i="119" s="1"/>
  <c r="IQ130" i="119"/>
  <c r="KS130" i="119" s="1"/>
  <c r="IW130" i="119"/>
  <c r="KY130" i="119" s="1"/>
  <c r="IZ130" i="119"/>
  <c r="LB130" i="119" s="1"/>
  <c r="JA130" i="119"/>
  <c r="LC130" i="119" s="1"/>
  <c r="JB130" i="119"/>
  <c r="LD130" i="119" s="1"/>
  <c r="JD130" i="119"/>
  <c r="LF130" i="119" s="1"/>
  <c r="JI130" i="119"/>
  <c r="LK130" i="119" s="1"/>
  <c r="HR113" i="119"/>
  <c r="JT113" i="119" s="1"/>
  <c r="IH113" i="119"/>
  <c r="KJ113" i="119" s="1"/>
  <c r="IX113" i="119"/>
  <c r="KZ113" i="119" s="1"/>
  <c r="JN113" i="119"/>
  <c r="LP113" i="119" s="1"/>
  <c r="HS113" i="119"/>
  <c r="JU113" i="119" s="1"/>
  <c r="II113" i="119"/>
  <c r="KK113" i="119" s="1"/>
  <c r="IY113" i="119"/>
  <c r="LA113" i="119" s="1"/>
  <c r="HV113" i="119"/>
  <c r="JX113" i="119" s="1"/>
  <c r="IL113" i="119"/>
  <c r="KN113" i="119" s="1"/>
  <c r="JB113" i="119"/>
  <c r="LD113" i="119" s="1"/>
  <c r="HW113" i="119"/>
  <c r="JY113" i="119" s="1"/>
  <c r="IM113" i="119"/>
  <c r="KO113" i="119" s="1"/>
  <c r="JC113" i="119"/>
  <c r="LE113" i="119" s="1"/>
  <c r="HZ113" i="119"/>
  <c r="KB113" i="119" s="1"/>
  <c r="IP113" i="119"/>
  <c r="KR113" i="119" s="1"/>
  <c r="JF113" i="119"/>
  <c r="LH113" i="119" s="1"/>
  <c r="IA113" i="119"/>
  <c r="KC113" i="119" s="1"/>
  <c r="IQ113" i="119"/>
  <c r="KS113" i="119" s="1"/>
  <c r="JG113" i="119"/>
  <c r="LI113" i="119" s="1"/>
  <c r="ID113" i="119"/>
  <c r="KF113" i="119" s="1"/>
  <c r="IT113" i="119"/>
  <c r="KV113" i="119" s="1"/>
  <c r="JJ113" i="119"/>
  <c r="LL113" i="119" s="1"/>
  <c r="HT113" i="119"/>
  <c r="JV113" i="119" s="1"/>
  <c r="IV113" i="119"/>
  <c r="KX113" i="119" s="1"/>
  <c r="HU113" i="119"/>
  <c r="JW113" i="119" s="1"/>
  <c r="IW113" i="119"/>
  <c r="KY113" i="119" s="1"/>
  <c r="HX113" i="119"/>
  <c r="JZ113" i="119" s="1"/>
  <c r="IZ113" i="119"/>
  <c r="LB113" i="119" s="1"/>
  <c r="HY113" i="119"/>
  <c r="KA113" i="119" s="1"/>
  <c r="JA113" i="119"/>
  <c r="LC113" i="119" s="1"/>
  <c r="IB113" i="119"/>
  <c r="KD113" i="119" s="1"/>
  <c r="JD113" i="119"/>
  <c r="LF113" i="119" s="1"/>
  <c r="IC113" i="119"/>
  <c r="KE113" i="119" s="1"/>
  <c r="JE113" i="119"/>
  <c r="LG113" i="119" s="1"/>
  <c r="IE113" i="119"/>
  <c r="KG113" i="119" s="1"/>
  <c r="JH113" i="119"/>
  <c r="LJ113" i="119" s="1"/>
  <c r="IF113" i="119"/>
  <c r="KH113" i="119" s="1"/>
  <c r="JI113" i="119"/>
  <c r="LK113" i="119" s="1"/>
  <c r="IG113" i="119"/>
  <c r="KI113" i="119" s="1"/>
  <c r="JK113" i="119"/>
  <c r="LM113" i="119" s="1"/>
  <c r="IJ113" i="119"/>
  <c r="KL113" i="119" s="1"/>
  <c r="JL113" i="119"/>
  <c r="LN113" i="119" s="1"/>
  <c r="IK113" i="119"/>
  <c r="KM113" i="119" s="1"/>
  <c r="JM113" i="119"/>
  <c r="LO113" i="119" s="1"/>
  <c r="IN113" i="119"/>
  <c r="KP113" i="119" s="1"/>
  <c r="IO113" i="119"/>
  <c r="KQ113" i="119" s="1"/>
  <c r="HO113" i="119"/>
  <c r="JQ113" i="119" s="1"/>
  <c r="IR113" i="119"/>
  <c r="KT113" i="119" s="1"/>
  <c r="HP113" i="119"/>
  <c r="JR113" i="119" s="1"/>
  <c r="HQ113" i="119"/>
  <c r="JS113" i="119" s="1"/>
  <c r="IS113" i="119"/>
  <c r="KU113" i="119" s="1"/>
  <c r="IU113" i="119"/>
  <c r="KW113" i="119" s="1"/>
  <c r="IE30" i="119"/>
  <c r="KG30" i="119" s="1"/>
  <c r="IC111" i="119"/>
  <c r="KE111" i="119" s="1"/>
  <c r="IS111" i="119"/>
  <c r="KU111" i="119" s="1"/>
  <c r="JI111" i="119"/>
  <c r="LK111" i="119" s="1"/>
  <c r="HV111" i="119"/>
  <c r="JX111" i="119" s="1"/>
  <c r="IM111" i="119"/>
  <c r="KO111" i="119" s="1"/>
  <c r="JD111" i="119"/>
  <c r="LF111" i="119" s="1"/>
  <c r="HW111" i="119"/>
  <c r="JY111" i="119" s="1"/>
  <c r="IN111" i="119"/>
  <c r="KP111" i="119" s="1"/>
  <c r="JE111" i="119"/>
  <c r="LG111" i="119" s="1"/>
  <c r="HZ111" i="119"/>
  <c r="KB111" i="119" s="1"/>
  <c r="IQ111" i="119"/>
  <c r="KS111" i="119" s="1"/>
  <c r="JH111" i="119"/>
  <c r="LJ111" i="119" s="1"/>
  <c r="IA111" i="119"/>
  <c r="KC111" i="119" s="1"/>
  <c r="IR111" i="119"/>
  <c r="KT111" i="119" s="1"/>
  <c r="JJ111" i="119"/>
  <c r="LL111" i="119" s="1"/>
  <c r="IE111" i="119"/>
  <c r="KG111" i="119" s="1"/>
  <c r="IV111" i="119"/>
  <c r="KX111" i="119" s="1"/>
  <c r="JM111" i="119"/>
  <c r="LO111" i="119" s="1"/>
  <c r="HO111" i="119"/>
  <c r="JQ111" i="119" s="1"/>
  <c r="IF111" i="119"/>
  <c r="KH111" i="119" s="1"/>
  <c r="IW111" i="119"/>
  <c r="KY111" i="119" s="1"/>
  <c r="JN111" i="119"/>
  <c r="LP111" i="119" s="1"/>
  <c r="HR111" i="119"/>
  <c r="JT111" i="119" s="1"/>
  <c r="II111" i="119"/>
  <c r="KK111" i="119" s="1"/>
  <c r="IZ111" i="119"/>
  <c r="LB111" i="119" s="1"/>
  <c r="IJ111" i="119"/>
  <c r="KL111" i="119" s="1"/>
  <c r="IK111" i="119"/>
  <c r="KM111" i="119" s="1"/>
  <c r="IL111" i="119"/>
  <c r="KN111" i="119" s="1"/>
  <c r="IO111" i="119"/>
  <c r="KQ111" i="119" s="1"/>
  <c r="IP111" i="119"/>
  <c r="KR111" i="119" s="1"/>
  <c r="HP111" i="119"/>
  <c r="JR111" i="119" s="1"/>
  <c r="IT111" i="119"/>
  <c r="KV111" i="119" s="1"/>
  <c r="HQ111" i="119"/>
  <c r="JS111" i="119" s="1"/>
  <c r="IU111" i="119"/>
  <c r="KW111" i="119" s="1"/>
  <c r="HS111" i="119"/>
  <c r="JU111" i="119" s="1"/>
  <c r="IX111" i="119"/>
  <c r="KZ111" i="119" s="1"/>
  <c r="HT111" i="119"/>
  <c r="JV111" i="119" s="1"/>
  <c r="IY111" i="119"/>
  <c r="LA111" i="119" s="1"/>
  <c r="HU111" i="119"/>
  <c r="JW111" i="119" s="1"/>
  <c r="JA111" i="119"/>
  <c r="LC111" i="119" s="1"/>
  <c r="HX111" i="119"/>
  <c r="JZ111" i="119" s="1"/>
  <c r="JB111" i="119"/>
  <c r="LD111" i="119" s="1"/>
  <c r="HY111" i="119"/>
  <c r="KA111" i="119" s="1"/>
  <c r="JC111" i="119"/>
  <c r="LE111" i="119" s="1"/>
  <c r="IB111" i="119"/>
  <c r="KD111" i="119" s="1"/>
  <c r="JF111" i="119"/>
  <c r="LH111" i="119" s="1"/>
  <c r="ID111" i="119"/>
  <c r="KF111" i="119" s="1"/>
  <c r="JG111" i="119"/>
  <c r="LI111" i="119" s="1"/>
  <c r="IG111" i="119"/>
  <c r="KI111" i="119" s="1"/>
  <c r="IH111" i="119"/>
  <c r="KJ111" i="119" s="1"/>
  <c r="JK111" i="119"/>
  <c r="LM111" i="119" s="1"/>
  <c r="JL111" i="119"/>
  <c r="LN111" i="119" s="1"/>
  <c r="ID134" i="119"/>
  <c r="KF134" i="119" s="1"/>
  <c r="IT134" i="119"/>
  <c r="KV134" i="119" s="1"/>
  <c r="JJ134" i="119"/>
  <c r="LL134" i="119" s="1"/>
  <c r="HO134" i="119"/>
  <c r="JQ134" i="119" s="1"/>
  <c r="IE134" i="119"/>
  <c r="KG134" i="119" s="1"/>
  <c r="IU134" i="119"/>
  <c r="KW134" i="119" s="1"/>
  <c r="JK134" i="119"/>
  <c r="LM134" i="119" s="1"/>
  <c r="HQ134" i="119"/>
  <c r="JS134" i="119" s="1"/>
  <c r="II134" i="119"/>
  <c r="KK134" i="119" s="1"/>
  <c r="JA134" i="119"/>
  <c r="LC134" i="119" s="1"/>
  <c r="HS134" i="119"/>
  <c r="JU134" i="119" s="1"/>
  <c r="IK134" i="119"/>
  <c r="KM134" i="119" s="1"/>
  <c r="JC134" i="119"/>
  <c r="LE134" i="119" s="1"/>
  <c r="HT134" i="119"/>
  <c r="JV134" i="119" s="1"/>
  <c r="HV134" i="119"/>
  <c r="JX134" i="119" s="1"/>
  <c r="IN134" i="119"/>
  <c r="KP134" i="119" s="1"/>
  <c r="JF134" i="119"/>
  <c r="LH134" i="119" s="1"/>
  <c r="HY134" i="119"/>
  <c r="KA134" i="119" s="1"/>
  <c r="IQ134" i="119"/>
  <c r="KS134" i="119" s="1"/>
  <c r="JI134" i="119"/>
  <c r="LK134" i="119" s="1"/>
  <c r="HZ134" i="119"/>
  <c r="KB134" i="119" s="1"/>
  <c r="IR134" i="119"/>
  <c r="KT134" i="119" s="1"/>
  <c r="JL134" i="119"/>
  <c r="LN134" i="119" s="1"/>
  <c r="IA134" i="119"/>
  <c r="KC134" i="119" s="1"/>
  <c r="IS134" i="119"/>
  <c r="KU134" i="119" s="1"/>
  <c r="IC134" i="119"/>
  <c r="KE134" i="119" s="1"/>
  <c r="IW134" i="119"/>
  <c r="KY134" i="119" s="1"/>
  <c r="IO134" i="119"/>
  <c r="KQ134" i="119" s="1"/>
  <c r="IP134" i="119"/>
  <c r="KR134" i="119" s="1"/>
  <c r="IV134" i="119"/>
  <c r="KX134" i="119" s="1"/>
  <c r="IX134" i="119"/>
  <c r="KZ134" i="119" s="1"/>
  <c r="HP134" i="119"/>
  <c r="JR134" i="119" s="1"/>
  <c r="IY134" i="119"/>
  <c r="LA134" i="119" s="1"/>
  <c r="HR134" i="119"/>
  <c r="JT134" i="119" s="1"/>
  <c r="IZ134" i="119"/>
  <c r="LB134" i="119" s="1"/>
  <c r="HU134" i="119"/>
  <c r="JW134" i="119" s="1"/>
  <c r="JB134" i="119"/>
  <c r="LD134" i="119" s="1"/>
  <c r="HW134" i="119"/>
  <c r="JY134" i="119" s="1"/>
  <c r="JD134" i="119"/>
  <c r="LF134" i="119" s="1"/>
  <c r="HX134" i="119"/>
  <c r="JZ134" i="119" s="1"/>
  <c r="JE134" i="119"/>
  <c r="LG134" i="119" s="1"/>
  <c r="IB134" i="119"/>
  <c r="KD134" i="119" s="1"/>
  <c r="JG134" i="119"/>
  <c r="LI134" i="119" s="1"/>
  <c r="IF134" i="119"/>
  <c r="KH134" i="119" s="1"/>
  <c r="JH134" i="119"/>
  <c r="LJ134" i="119" s="1"/>
  <c r="IG134" i="119"/>
  <c r="KI134" i="119" s="1"/>
  <c r="JM134" i="119"/>
  <c r="LO134" i="119" s="1"/>
  <c r="IH134" i="119"/>
  <c r="KJ134" i="119" s="1"/>
  <c r="JN134" i="119"/>
  <c r="LP134" i="119" s="1"/>
  <c r="IJ134" i="119"/>
  <c r="KL134" i="119" s="1"/>
  <c r="IL134" i="119"/>
  <c r="KN134" i="119" s="1"/>
  <c r="IM134" i="119"/>
  <c r="KO134" i="119" s="1"/>
  <c r="HR137" i="119"/>
  <c r="JT137" i="119" s="1"/>
  <c r="IH137" i="119"/>
  <c r="KJ137" i="119" s="1"/>
  <c r="IX137" i="119"/>
  <c r="KZ137" i="119" s="1"/>
  <c r="JN137" i="119"/>
  <c r="LP137" i="119" s="1"/>
  <c r="HS137" i="119"/>
  <c r="JU137" i="119" s="1"/>
  <c r="II137" i="119"/>
  <c r="KK137" i="119" s="1"/>
  <c r="IY137" i="119"/>
  <c r="LA137" i="119" s="1"/>
  <c r="HY137" i="119"/>
  <c r="KA137" i="119" s="1"/>
  <c r="IQ137" i="119"/>
  <c r="KS137" i="119" s="1"/>
  <c r="JI137" i="119"/>
  <c r="LK137" i="119" s="1"/>
  <c r="IA137" i="119"/>
  <c r="KC137" i="119" s="1"/>
  <c r="IS137" i="119"/>
  <c r="KU137" i="119" s="1"/>
  <c r="JK137" i="119"/>
  <c r="LM137" i="119" s="1"/>
  <c r="ID137" i="119"/>
  <c r="KF137" i="119" s="1"/>
  <c r="IV137" i="119"/>
  <c r="KX137" i="119" s="1"/>
  <c r="HO137" i="119"/>
  <c r="JQ137" i="119" s="1"/>
  <c r="JA137" i="119"/>
  <c r="LC137" i="119" s="1"/>
  <c r="HP137" i="119"/>
  <c r="JR137" i="119" s="1"/>
  <c r="IJ137" i="119"/>
  <c r="KL137" i="119" s="1"/>
  <c r="JB137" i="119"/>
  <c r="LD137" i="119" s="1"/>
  <c r="HU137" i="119"/>
  <c r="JW137" i="119" s="1"/>
  <c r="IM137" i="119"/>
  <c r="KO137" i="119" s="1"/>
  <c r="JE137" i="119"/>
  <c r="LG137" i="119" s="1"/>
  <c r="IF137" i="119"/>
  <c r="KH137" i="119" s="1"/>
  <c r="JJ137" i="119"/>
  <c r="LL137" i="119" s="1"/>
  <c r="IK137" i="119"/>
  <c r="KM137" i="119" s="1"/>
  <c r="JL137" i="119"/>
  <c r="LN137" i="119" s="1"/>
  <c r="IL137" i="119"/>
  <c r="KN137" i="119" s="1"/>
  <c r="IN137" i="119"/>
  <c r="KP137" i="119" s="1"/>
  <c r="IO137" i="119"/>
  <c r="KQ137" i="119" s="1"/>
  <c r="IP137" i="119"/>
  <c r="KR137" i="119" s="1"/>
  <c r="IR137" i="119"/>
  <c r="KT137" i="119" s="1"/>
  <c r="IT137" i="119"/>
  <c r="KV137" i="119" s="1"/>
  <c r="HT137" i="119"/>
  <c r="JV137" i="119" s="1"/>
  <c r="IU137" i="119"/>
  <c r="KW137" i="119" s="1"/>
  <c r="HV137" i="119"/>
  <c r="JX137" i="119" s="1"/>
  <c r="HW137" i="119"/>
  <c r="JY137" i="119" s="1"/>
  <c r="IZ137" i="119"/>
  <c r="LB137" i="119" s="1"/>
  <c r="HX137" i="119"/>
  <c r="JZ137" i="119" s="1"/>
  <c r="JC137" i="119"/>
  <c r="LE137" i="119" s="1"/>
  <c r="HZ137" i="119"/>
  <c r="KB137" i="119" s="1"/>
  <c r="JD137" i="119"/>
  <c r="LF137" i="119" s="1"/>
  <c r="IB137" i="119"/>
  <c r="KD137" i="119" s="1"/>
  <c r="JF137" i="119"/>
  <c r="LH137" i="119" s="1"/>
  <c r="IC137" i="119"/>
  <c r="KE137" i="119" s="1"/>
  <c r="IE137" i="119"/>
  <c r="KG137" i="119" s="1"/>
  <c r="JG137" i="119"/>
  <c r="LI137" i="119" s="1"/>
  <c r="JH137" i="119"/>
  <c r="LJ137" i="119" s="1"/>
  <c r="HR92" i="119"/>
  <c r="JT92" i="119" s="1"/>
  <c r="IH92" i="119"/>
  <c r="KJ92" i="119" s="1"/>
  <c r="IX92" i="119"/>
  <c r="KZ92" i="119" s="1"/>
  <c r="JN92" i="119"/>
  <c r="LP92" i="119" s="1"/>
  <c r="HT92" i="119"/>
  <c r="JV92" i="119" s="1"/>
  <c r="IJ92" i="119"/>
  <c r="KL92" i="119" s="1"/>
  <c r="IZ92" i="119"/>
  <c r="LB92" i="119" s="1"/>
  <c r="HW92" i="119"/>
  <c r="JY92" i="119" s="1"/>
  <c r="IM92" i="119"/>
  <c r="KO92" i="119" s="1"/>
  <c r="JC92" i="119"/>
  <c r="LE92" i="119" s="1"/>
  <c r="HX92" i="119"/>
  <c r="JZ92" i="119" s="1"/>
  <c r="IQ92" i="119"/>
  <c r="KS92" i="119" s="1"/>
  <c r="JJ92" i="119"/>
  <c r="LL92" i="119" s="1"/>
  <c r="IB92" i="119"/>
  <c r="KD92" i="119" s="1"/>
  <c r="IU92" i="119"/>
  <c r="KW92" i="119" s="1"/>
  <c r="IC92" i="119"/>
  <c r="KE92" i="119" s="1"/>
  <c r="IV92" i="119"/>
  <c r="KX92" i="119" s="1"/>
  <c r="IF92" i="119"/>
  <c r="KH92" i="119" s="1"/>
  <c r="JA92" i="119"/>
  <c r="LC92" i="119" s="1"/>
  <c r="HP92" i="119"/>
  <c r="JR92" i="119" s="1"/>
  <c r="IP92" i="119"/>
  <c r="KR92" i="119" s="1"/>
  <c r="HQ92" i="119"/>
  <c r="JS92" i="119" s="1"/>
  <c r="IR92" i="119"/>
  <c r="KT92" i="119" s="1"/>
  <c r="HS92" i="119"/>
  <c r="JU92" i="119" s="1"/>
  <c r="IS92" i="119"/>
  <c r="KU92" i="119" s="1"/>
  <c r="HV92" i="119"/>
  <c r="JX92" i="119" s="1"/>
  <c r="IW92" i="119"/>
  <c r="KY92" i="119" s="1"/>
  <c r="HY92" i="119"/>
  <c r="KA92" i="119" s="1"/>
  <c r="IY92" i="119"/>
  <c r="LA92" i="119" s="1"/>
  <c r="IA92" i="119"/>
  <c r="KC92" i="119" s="1"/>
  <c r="JD92" i="119"/>
  <c r="LF92" i="119" s="1"/>
  <c r="ID92" i="119"/>
  <c r="KF92" i="119" s="1"/>
  <c r="JE92" i="119"/>
  <c r="LG92" i="119" s="1"/>
  <c r="IE92" i="119"/>
  <c r="KG92" i="119" s="1"/>
  <c r="JF92" i="119"/>
  <c r="LH92" i="119" s="1"/>
  <c r="IK92" i="119"/>
  <c r="KM92" i="119" s="1"/>
  <c r="JI92" i="119"/>
  <c r="LK92" i="119" s="1"/>
  <c r="IG92" i="119"/>
  <c r="KI92" i="119" s="1"/>
  <c r="II92" i="119"/>
  <c r="KK92" i="119" s="1"/>
  <c r="IL92" i="119"/>
  <c r="KN92" i="119" s="1"/>
  <c r="IN92" i="119"/>
  <c r="KP92" i="119" s="1"/>
  <c r="IO92" i="119"/>
  <c r="KQ92" i="119" s="1"/>
  <c r="IT92" i="119"/>
  <c r="KV92" i="119" s="1"/>
  <c r="JB92" i="119"/>
  <c r="LD92" i="119" s="1"/>
  <c r="JG92" i="119"/>
  <c r="LI92" i="119" s="1"/>
  <c r="JH92" i="119"/>
  <c r="LJ92" i="119" s="1"/>
  <c r="JK92" i="119"/>
  <c r="LM92" i="119" s="1"/>
  <c r="JL92" i="119"/>
  <c r="LN92" i="119" s="1"/>
  <c r="JM92" i="119"/>
  <c r="LO92" i="119" s="1"/>
  <c r="HO92" i="119"/>
  <c r="JQ92" i="119" s="1"/>
  <c r="HU92" i="119"/>
  <c r="JW92" i="119" s="1"/>
  <c r="HZ92" i="119"/>
  <c r="KB92" i="119" s="1"/>
  <c r="HR125" i="119"/>
  <c r="JT125" i="119" s="1"/>
  <c r="IH125" i="119"/>
  <c r="KJ125" i="119" s="1"/>
  <c r="IX125" i="119"/>
  <c r="KZ125" i="119" s="1"/>
  <c r="JN125" i="119"/>
  <c r="LP125" i="119" s="1"/>
  <c r="HS125" i="119"/>
  <c r="JU125" i="119" s="1"/>
  <c r="II125" i="119"/>
  <c r="KK125" i="119" s="1"/>
  <c r="IY125" i="119"/>
  <c r="LA125" i="119" s="1"/>
  <c r="HV125" i="119"/>
  <c r="JX125" i="119" s="1"/>
  <c r="IL125" i="119"/>
  <c r="KN125" i="119" s="1"/>
  <c r="JB125" i="119"/>
  <c r="LD125" i="119" s="1"/>
  <c r="HW125" i="119"/>
  <c r="JY125" i="119" s="1"/>
  <c r="IM125" i="119"/>
  <c r="KO125" i="119" s="1"/>
  <c r="JC125" i="119"/>
  <c r="LE125" i="119" s="1"/>
  <c r="IB125" i="119"/>
  <c r="KD125" i="119" s="1"/>
  <c r="IV125" i="119"/>
  <c r="KX125" i="119" s="1"/>
  <c r="IC125" i="119"/>
  <c r="KE125" i="119" s="1"/>
  <c r="IW125" i="119"/>
  <c r="KY125" i="119" s="1"/>
  <c r="ID125" i="119"/>
  <c r="KF125" i="119" s="1"/>
  <c r="IZ125" i="119"/>
  <c r="LB125" i="119" s="1"/>
  <c r="IE125" i="119"/>
  <c r="KG125" i="119" s="1"/>
  <c r="JA125" i="119"/>
  <c r="LC125" i="119" s="1"/>
  <c r="IF125" i="119"/>
  <c r="KH125" i="119" s="1"/>
  <c r="JD125" i="119"/>
  <c r="LF125" i="119" s="1"/>
  <c r="IG125" i="119"/>
  <c r="KI125" i="119" s="1"/>
  <c r="JE125" i="119"/>
  <c r="LG125" i="119" s="1"/>
  <c r="IJ125" i="119"/>
  <c r="KL125" i="119" s="1"/>
  <c r="JF125" i="119"/>
  <c r="LH125" i="119" s="1"/>
  <c r="HO125" i="119"/>
  <c r="JQ125" i="119" s="1"/>
  <c r="IK125" i="119"/>
  <c r="KM125" i="119" s="1"/>
  <c r="JG125" i="119"/>
  <c r="LI125" i="119" s="1"/>
  <c r="HP125" i="119"/>
  <c r="JR125" i="119" s="1"/>
  <c r="IN125" i="119"/>
  <c r="KP125" i="119" s="1"/>
  <c r="JH125" i="119"/>
  <c r="LJ125" i="119" s="1"/>
  <c r="HQ125" i="119"/>
  <c r="JS125" i="119" s="1"/>
  <c r="IO125" i="119"/>
  <c r="KQ125" i="119" s="1"/>
  <c r="JI125" i="119"/>
  <c r="LK125" i="119" s="1"/>
  <c r="HT125" i="119"/>
  <c r="JV125" i="119" s="1"/>
  <c r="IP125" i="119"/>
  <c r="KR125" i="119" s="1"/>
  <c r="JJ125" i="119"/>
  <c r="LL125" i="119" s="1"/>
  <c r="HU125" i="119"/>
  <c r="JW125" i="119" s="1"/>
  <c r="IQ125" i="119"/>
  <c r="KS125" i="119" s="1"/>
  <c r="JK125" i="119"/>
  <c r="LM125" i="119" s="1"/>
  <c r="HX125" i="119"/>
  <c r="JZ125" i="119" s="1"/>
  <c r="IR125" i="119"/>
  <c r="KT125" i="119" s="1"/>
  <c r="JL125" i="119"/>
  <c r="LN125" i="119" s="1"/>
  <c r="HY125" i="119"/>
  <c r="KA125" i="119" s="1"/>
  <c r="IS125" i="119"/>
  <c r="KU125" i="119" s="1"/>
  <c r="JM125" i="119"/>
  <c r="LO125" i="119" s="1"/>
  <c r="IT125" i="119"/>
  <c r="KV125" i="119" s="1"/>
  <c r="IU125" i="119"/>
  <c r="KW125" i="119" s="1"/>
  <c r="HZ125" i="119"/>
  <c r="KB125" i="119" s="1"/>
  <c r="IA125" i="119"/>
  <c r="KC125" i="119" s="1"/>
  <c r="HR117" i="119"/>
  <c r="JT117" i="119" s="1"/>
  <c r="IH117" i="119"/>
  <c r="KJ117" i="119" s="1"/>
  <c r="IX117" i="119"/>
  <c r="KZ117" i="119" s="1"/>
  <c r="JN117" i="119"/>
  <c r="LP117" i="119" s="1"/>
  <c r="HS117" i="119"/>
  <c r="JU117" i="119" s="1"/>
  <c r="II117" i="119"/>
  <c r="KK117" i="119" s="1"/>
  <c r="IY117" i="119"/>
  <c r="LA117" i="119" s="1"/>
  <c r="HV117" i="119"/>
  <c r="JX117" i="119" s="1"/>
  <c r="IL117" i="119"/>
  <c r="KN117" i="119" s="1"/>
  <c r="JB117" i="119"/>
  <c r="LD117" i="119" s="1"/>
  <c r="HW117" i="119"/>
  <c r="JY117" i="119" s="1"/>
  <c r="IM117" i="119"/>
  <c r="KO117" i="119" s="1"/>
  <c r="JC117" i="119"/>
  <c r="LE117" i="119" s="1"/>
  <c r="HZ117" i="119"/>
  <c r="KB117" i="119" s="1"/>
  <c r="IP117" i="119"/>
  <c r="KR117" i="119" s="1"/>
  <c r="JF117" i="119"/>
  <c r="LH117" i="119" s="1"/>
  <c r="IC117" i="119"/>
  <c r="KE117" i="119" s="1"/>
  <c r="IZ117" i="119"/>
  <c r="LB117" i="119" s="1"/>
  <c r="ID117" i="119"/>
  <c r="KF117" i="119" s="1"/>
  <c r="JA117" i="119"/>
  <c r="LC117" i="119" s="1"/>
  <c r="IE117" i="119"/>
  <c r="KG117" i="119" s="1"/>
  <c r="JD117" i="119"/>
  <c r="LF117" i="119" s="1"/>
  <c r="IF117" i="119"/>
  <c r="KH117" i="119" s="1"/>
  <c r="JE117" i="119"/>
  <c r="LG117" i="119" s="1"/>
  <c r="IG117" i="119"/>
  <c r="KI117" i="119" s="1"/>
  <c r="JG117" i="119"/>
  <c r="LI117" i="119" s="1"/>
  <c r="IJ117" i="119"/>
  <c r="KL117" i="119" s="1"/>
  <c r="JH117" i="119"/>
  <c r="LJ117" i="119" s="1"/>
  <c r="IK117" i="119"/>
  <c r="KM117" i="119" s="1"/>
  <c r="JI117" i="119"/>
  <c r="LK117" i="119" s="1"/>
  <c r="HO117" i="119"/>
  <c r="JQ117" i="119" s="1"/>
  <c r="IN117" i="119"/>
  <c r="KP117" i="119" s="1"/>
  <c r="JJ117" i="119"/>
  <c r="LL117" i="119" s="1"/>
  <c r="HP117" i="119"/>
  <c r="JR117" i="119" s="1"/>
  <c r="IO117" i="119"/>
  <c r="KQ117" i="119" s="1"/>
  <c r="JK117" i="119"/>
  <c r="LM117" i="119" s="1"/>
  <c r="HQ117" i="119"/>
  <c r="JS117" i="119" s="1"/>
  <c r="IQ117" i="119"/>
  <c r="KS117" i="119" s="1"/>
  <c r="JL117" i="119"/>
  <c r="LN117" i="119" s="1"/>
  <c r="HT117" i="119"/>
  <c r="JV117" i="119" s="1"/>
  <c r="IR117" i="119"/>
  <c r="KT117" i="119" s="1"/>
  <c r="JM117" i="119"/>
  <c r="LO117" i="119" s="1"/>
  <c r="HU117" i="119"/>
  <c r="JW117" i="119" s="1"/>
  <c r="IS117" i="119"/>
  <c r="KU117" i="119" s="1"/>
  <c r="HX117" i="119"/>
  <c r="JZ117" i="119" s="1"/>
  <c r="IT117" i="119"/>
  <c r="KV117" i="119" s="1"/>
  <c r="HY117" i="119"/>
  <c r="KA117" i="119" s="1"/>
  <c r="IU117" i="119"/>
  <c r="KW117" i="119" s="1"/>
  <c r="IA117" i="119"/>
  <c r="KC117" i="119" s="1"/>
  <c r="IB117" i="119"/>
  <c r="KD117" i="119" s="1"/>
  <c r="IV117" i="119"/>
  <c r="KX117" i="119" s="1"/>
  <c r="IW117" i="119"/>
  <c r="KY117" i="119" s="1"/>
  <c r="HR129" i="119"/>
  <c r="JT129" i="119" s="1"/>
  <c r="IH129" i="119"/>
  <c r="KJ129" i="119" s="1"/>
  <c r="IX129" i="119"/>
  <c r="KZ129" i="119" s="1"/>
  <c r="JN129" i="119"/>
  <c r="LP129" i="119" s="1"/>
  <c r="HS129" i="119"/>
  <c r="JU129" i="119" s="1"/>
  <c r="II129" i="119"/>
  <c r="KK129" i="119" s="1"/>
  <c r="IY129" i="119"/>
  <c r="LA129" i="119" s="1"/>
  <c r="HV129" i="119"/>
  <c r="JX129" i="119" s="1"/>
  <c r="IL129" i="119"/>
  <c r="KN129" i="119" s="1"/>
  <c r="JB129" i="119"/>
  <c r="LD129" i="119" s="1"/>
  <c r="IA129" i="119"/>
  <c r="KC129" i="119" s="1"/>
  <c r="IT129" i="119"/>
  <c r="KV129" i="119" s="1"/>
  <c r="IB129" i="119"/>
  <c r="KD129" i="119" s="1"/>
  <c r="IU129" i="119"/>
  <c r="KW129" i="119" s="1"/>
  <c r="ID129" i="119"/>
  <c r="KF129" i="119" s="1"/>
  <c r="IE129" i="119"/>
  <c r="KG129" i="119" s="1"/>
  <c r="IZ129" i="119"/>
  <c r="LB129" i="119" s="1"/>
  <c r="IF129" i="119"/>
  <c r="KH129" i="119" s="1"/>
  <c r="JA129" i="119"/>
  <c r="LC129" i="119" s="1"/>
  <c r="JC129" i="119"/>
  <c r="LE129" i="119" s="1"/>
  <c r="IM129" i="119"/>
  <c r="KO129" i="119" s="1"/>
  <c r="JF129" i="119"/>
  <c r="LH129" i="119" s="1"/>
  <c r="HT129" i="119"/>
  <c r="JV129" i="119" s="1"/>
  <c r="IN129" i="119"/>
  <c r="KP129" i="119" s="1"/>
  <c r="JG129" i="119"/>
  <c r="LI129" i="119" s="1"/>
  <c r="HU129" i="119"/>
  <c r="JW129" i="119" s="1"/>
  <c r="IO129" i="119"/>
  <c r="KQ129" i="119" s="1"/>
  <c r="JH129" i="119"/>
  <c r="LJ129" i="119" s="1"/>
  <c r="HX129" i="119"/>
  <c r="JZ129" i="119" s="1"/>
  <c r="IQ129" i="119"/>
  <c r="KS129" i="119" s="1"/>
  <c r="JJ129" i="119"/>
  <c r="LL129" i="119" s="1"/>
  <c r="HP129" i="119"/>
  <c r="JR129" i="119" s="1"/>
  <c r="HW129" i="119"/>
  <c r="JY129" i="119" s="1"/>
  <c r="HY129" i="119"/>
  <c r="KA129" i="119" s="1"/>
  <c r="HZ129" i="119"/>
  <c r="KB129" i="119" s="1"/>
  <c r="IC129" i="119"/>
  <c r="KE129" i="119" s="1"/>
  <c r="IJ129" i="119"/>
  <c r="KL129" i="119" s="1"/>
  <c r="IK129" i="119"/>
  <c r="KM129" i="119" s="1"/>
  <c r="IP129" i="119"/>
  <c r="KR129" i="119" s="1"/>
  <c r="IR129" i="119"/>
  <c r="KT129" i="119" s="1"/>
  <c r="IS129" i="119"/>
  <c r="KU129" i="119" s="1"/>
  <c r="IV129" i="119"/>
  <c r="KX129" i="119" s="1"/>
  <c r="JD129" i="119"/>
  <c r="LF129" i="119" s="1"/>
  <c r="JE129" i="119"/>
  <c r="LG129" i="119" s="1"/>
  <c r="JI129" i="119"/>
  <c r="LK129" i="119" s="1"/>
  <c r="HO129" i="119"/>
  <c r="JQ129" i="119" s="1"/>
  <c r="JK129" i="119"/>
  <c r="LM129" i="119" s="1"/>
  <c r="JL129" i="119"/>
  <c r="LN129" i="119" s="1"/>
  <c r="ID122" i="119"/>
  <c r="KF122" i="119" s="1"/>
  <c r="IT122" i="119"/>
  <c r="KV122" i="119" s="1"/>
  <c r="JJ122" i="119"/>
  <c r="LL122" i="119" s="1"/>
  <c r="HO122" i="119"/>
  <c r="JQ122" i="119" s="1"/>
  <c r="IE122" i="119"/>
  <c r="KG122" i="119" s="1"/>
  <c r="IU122" i="119"/>
  <c r="KW122" i="119" s="1"/>
  <c r="JK122" i="119"/>
  <c r="LM122" i="119" s="1"/>
  <c r="HR122" i="119"/>
  <c r="JT122" i="119" s="1"/>
  <c r="IH122" i="119"/>
  <c r="KJ122" i="119" s="1"/>
  <c r="IX122" i="119"/>
  <c r="KZ122" i="119" s="1"/>
  <c r="JN122" i="119"/>
  <c r="LP122" i="119" s="1"/>
  <c r="HS122" i="119"/>
  <c r="JU122" i="119" s="1"/>
  <c r="II122" i="119"/>
  <c r="KK122" i="119" s="1"/>
  <c r="IY122" i="119"/>
  <c r="LA122" i="119" s="1"/>
  <c r="HV122" i="119"/>
  <c r="JX122" i="119" s="1"/>
  <c r="IL122" i="119"/>
  <c r="KN122" i="119" s="1"/>
  <c r="JB122" i="119"/>
  <c r="LD122" i="119" s="1"/>
  <c r="HY122" i="119"/>
  <c r="KA122" i="119" s="1"/>
  <c r="IV122" i="119"/>
  <c r="KX122" i="119" s="1"/>
  <c r="HZ122" i="119"/>
  <c r="KB122" i="119" s="1"/>
  <c r="IW122" i="119"/>
  <c r="KY122" i="119" s="1"/>
  <c r="IA122" i="119"/>
  <c r="KC122" i="119" s="1"/>
  <c r="IZ122" i="119"/>
  <c r="LB122" i="119" s="1"/>
  <c r="IB122" i="119"/>
  <c r="KD122" i="119" s="1"/>
  <c r="JA122" i="119"/>
  <c r="LC122" i="119" s="1"/>
  <c r="IC122" i="119"/>
  <c r="KE122" i="119" s="1"/>
  <c r="JC122" i="119"/>
  <c r="LE122" i="119" s="1"/>
  <c r="IF122" i="119"/>
  <c r="KH122" i="119" s="1"/>
  <c r="JD122" i="119"/>
  <c r="LF122" i="119" s="1"/>
  <c r="IG122" i="119"/>
  <c r="KI122" i="119" s="1"/>
  <c r="JE122" i="119"/>
  <c r="LG122" i="119" s="1"/>
  <c r="IJ122" i="119"/>
  <c r="KL122" i="119" s="1"/>
  <c r="JF122" i="119"/>
  <c r="LH122" i="119" s="1"/>
  <c r="IK122" i="119"/>
  <c r="KM122" i="119" s="1"/>
  <c r="JG122" i="119"/>
  <c r="LI122" i="119" s="1"/>
  <c r="IM122" i="119"/>
  <c r="KO122" i="119" s="1"/>
  <c r="JH122" i="119"/>
  <c r="LJ122" i="119" s="1"/>
  <c r="HP122" i="119"/>
  <c r="JR122" i="119" s="1"/>
  <c r="IN122" i="119"/>
  <c r="KP122" i="119" s="1"/>
  <c r="JI122" i="119"/>
  <c r="LK122" i="119" s="1"/>
  <c r="HQ122" i="119"/>
  <c r="JS122" i="119" s="1"/>
  <c r="IO122" i="119"/>
  <c r="KQ122" i="119" s="1"/>
  <c r="JL122" i="119"/>
  <c r="LN122" i="119" s="1"/>
  <c r="HT122" i="119"/>
  <c r="JV122" i="119" s="1"/>
  <c r="IP122" i="119"/>
  <c r="KR122" i="119" s="1"/>
  <c r="JM122" i="119"/>
  <c r="LO122" i="119" s="1"/>
  <c r="HU122" i="119"/>
  <c r="JW122" i="119" s="1"/>
  <c r="IQ122" i="119"/>
  <c r="KS122" i="119" s="1"/>
  <c r="HW122" i="119"/>
  <c r="JY122" i="119" s="1"/>
  <c r="HX122" i="119"/>
  <c r="JZ122" i="119" s="1"/>
  <c r="IR122" i="119"/>
  <c r="KT122" i="119" s="1"/>
  <c r="IS122" i="119"/>
  <c r="KU122" i="119" s="1"/>
  <c r="HY108" i="119"/>
  <c r="KA108" i="119" s="1"/>
  <c r="IO108" i="119"/>
  <c r="KQ108" i="119" s="1"/>
  <c r="JE108" i="119"/>
  <c r="LG108" i="119" s="1"/>
  <c r="HX108" i="119"/>
  <c r="JZ108" i="119" s="1"/>
  <c r="IP108" i="119"/>
  <c r="KR108" i="119" s="1"/>
  <c r="JG108" i="119"/>
  <c r="LI108" i="119" s="1"/>
  <c r="HZ108" i="119"/>
  <c r="KB108" i="119" s="1"/>
  <c r="IQ108" i="119"/>
  <c r="KS108" i="119" s="1"/>
  <c r="JH108" i="119"/>
  <c r="LJ108" i="119" s="1"/>
  <c r="IC108" i="119"/>
  <c r="KE108" i="119" s="1"/>
  <c r="IT108" i="119"/>
  <c r="KV108" i="119" s="1"/>
  <c r="JK108" i="119"/>
  <c r="LM108" i="119" s="1"/>
  <c r="ID108" i="119"/>
  <c r="KF108" i="119" s="1"/>
  <c r="IU108" i="119"/>
  <c r="KW108" i="119" s="1"/>
  <c r="JL108" i="119"/>
  <c r="LN108" i="119" s="1"/>
  <c r="HP108" i="119"/>
  <c r="JR108" i="119" s="1"/>
  <c r="IG108" i="119"/>
  <c r="KI108" i="119" s="1"/>
  <c r="IX108" i="119"/>
  <c r="KZ108" i="119" s="1"/>
  <c r="HQ108" i="119"/>
  <c r="JS108" i="119" s="1"/>
  <c r="IH108" i="119"/>
  <c r="KJ108" i="119" s="1"/>
  <c r="IY108" i="119"/>
  <c r="LA108" i="119" s="1"/>
  <c r="HT108" i="119"/>
  <c r="JV108" i="119" s="1"/>
  <c r="IK108" i="119"/>
  <c r="KM108" i="119" s="1"/>
  <c r="JB108" i="119"/>
  <c r="LD108" i="119" s="1"/>
  <c r="IM108" i="119"/>
  <c r="KO108" i="119" s="1"/>
  <c r="IN108" i="119"/>
  <c r="KP108" i="119" s="1"/>
  <c r="IR108" i="119"/>
  <c r="KT108" i="119" s="1"/>
  <c r="HO108" i="119"/>
  <c r="JQ108" i="119" s="1"/>
  <c r="IS108" i="119"/>
  <c r="KU108" i="119" s="1"/>
  <c r="HR108" i="119"/>
  <c r="JT108" i="119" s="1"/>
  <c r="IV108" i="119"/>
  <c r="KX108" i="119" s="1"/>
  <c r="HS108" i="119"/>
  <c r="JU108" i="119" s="1"/>
  <c r="IW108" i="119"/>
  <c r="KY108" i="119" s="1"/>
  <c r="HU108" i="119"/>
  <c r="JW108" i="119" s="1"/>
  <c r="IZ108" i="119"/>
  <c r="LB108" i="119" s="1"/>
  <c r="HV108" i="119"/>
  <c r="JX108" i="119" s="1"/>
  <c r="JA108" i="119"/>
  <c r="LC108" i="119" s="1"/>
  <c r="HW108" i="119"/>
  <c r="JY108" i="119" s="1"/>
  <c r="JC108" i="119"/>
  <c r="LE108" i="119" s="1"/>
  <c r="IA108" i="119"/>
  <c r="KC108" i="119" s="1"/>
  <c r="JD108" i="119"/>
  <c r="LF108" i="119" s="1"/>
  <c r="IB108" i="119"/>
  <c r="KD108" i="119" s="1"/>
  <c r="JF108" i="119"/>
  <c r="LH108" i="119" s="1"/>
  <c r="IE108" i="119"/>
  <c r="KG108" i="119" s="1"/>
  <c r="JI108" i="119"/>
  <c r="LK108" i="119" s="1"/>
  <c r="IF108" i="119"/>
  <c r="KH108" i="119" s="1"/>
  <c r="JJ108" i="119"/>
  <c r="LL108" i="119" s="1"/>
  <c r="II108" i="119"/>
  <c r="KK108" i="119" s="1"/>
  <c r="JM108" i="119"/>
  <c r="LO108" i="119" s="1"/>
  <c r="IJ108" i="119"/>
  <c r="KL108" i="119" s="1"/>
  <c r="IL108" i="119"/>
  <c r="KN108" i="119" s="1"/>
  <c r="JN108" i="119"/>
  <c r="LP108" i="119" s="1"/>
  <c r="HU109" i="119"/>
  <c r="JW109" i="119" s="1"/>
  <c r="IK109" i="119"/>
  <c r="KM109" i="119" s="1"/>
  <c r="JA109" i="119"/>
  <c r="LC109" i="119" s="1"/>
  <c r="HX109" i="119"/>
  <c r="JZ109" i="119" s="1"/>
  <c r="IO109" i="119"/>
  <c r="KQ109" i="119" s="1"/>
  <c r="JF109" i="119"/>
  <c r="LH109" i="119" s="1"/>
  <c r="HY109" i="119"/>
  <c r="KA109" i="119" s="1"/>
  <c r="IP109" i="119"/>
  <c r="KR109" i="119" s="1"/>
  <c r="JG109" i="119"/>
  <c r="LI109" i="119" s="1"/>
  <c r="IB109" i="119"/>
  <c r="KD109" i="119" s="1"/>
  <c r="IS109" i="119"/>
  <c r="KU109" i="119" s="1"/>
  <c r="JJ109" i="119"/>
  <c r="LL109" i="119" s="1"/>
  <c r="IC109" i="119"/>
  <c r="KE109" i="119" s="1"/>
  <c r="IT109" i="119"/>
  <c r="KV109" i="119" s="1"/>
  <c r="JK109" i="119"/>
  <c r="LM109" i="119" s="1"/>
  <c r="HO109" i="119"/>
  <c r="JQ109" i="119" s="1"/>
  <c r="IF109" i="119"/>
  <c r="KH109" i="119" s="1"/>
  <c r="IW109" i="119"/>
  <c r="KY109" i="119" s="1"/>
  <c r="JN109" i="119"/>
  <c r="LP109" i="119" s="1"/>
  <c r="HP109" i="119"/>
  <c r="JR109" i="119" s="1"/>
  <c r="IG109" i="119"/>
  <c r="KI109" i="119" s="1"/>
  <c r="IX109" i="119"/>
  <c r="KZ109" i="119" s="1"/>
  <c r="HS109" i="119"/>
  <c r="JU109" i="119" s="1"/>
  <c r="IJ109" i="119"/>
  <c r="KL109" i="119" s="1"/>
  <c r="JB109" i="119"/>
  <c r="LD109" i="119" s="1"/>
  <c r="HR109" i="119"/>
  <c r="JT109" i="119" s="1"/>
  <c r="IV109" i="119"/>
  <c r="KX109" i="119" s="1"/>
  <c r="HT109" i="119"/>
  <c r="JV109" i="119" s="1"/>
  <c r="IY109" i="119"/>
  <c r="LA109" i="119" s="1"/>
  <c r="HV109" i="119"/>
  <c r="JX109" i="119" s="1"/>
  <c r="IZ109" i="119"/>
  <c r="LB109" i="119" s="1"/>
  <c r="HW109" i="119"/>
  <c r="JY109" i="119" s="1"/>
  <c r="JC109" i="119"/>
  <c r="LE109" i="119" s="1"/>
  <c r="HZ109" i="119"/>
  <c r="KB109" i="119" s="1"/>
  <c r="JD109" i="119"/>
  <c r="LF109" i="119" s="1"/>
  <c r="IA109" i="119"/>
  <c r="KC109" i="119" s="1"/>
  <c r="JE109" i="119"/>
  <c r="LG109" i="119" s="1"/>
  <c r="ID109" i="119"/>
  <c r="KF109" i="119" s="1"/>
  <c r="JH109" i="119"/>
  <c r="LJ109" i="119" s="1"/>
  <c r="IE109" i="119"/>
  <c r="KG109" i="119" s="1"/>
  <c r="JI109" i="119"/>
  <c r="LK109" i="119" s="1"/>
  <c r="IH109" i="119"/>
  <c r="KJ109" i="119" s="1"/>
  <c r="JL109" i="119"/>
  <c r="LN109" i="119" s="1"/>
  <c r="II109" i="119"/>
  <c r="KK109" i="119" s="1"/>
  <c r="JM109" i="119"/>
  <c r="LO109" i="119" s="1"/>
  <c r="IL109" i="119"/>
  <c r="KN109" i="119" s="1"/>
  <c r="IM109" i="119"/>
  <c r="KO109" i="119" s="1"/>
  <c r="IN109" i="119"/>
  <c r="KP109" i="119" s="1"/>
  <c r="IQ109" i="119"/>
  <c r="KS109" i="119" s="1"/>
  <c r="HQ109" i="119"/>
  <c r="JS109" i="119" s="1"/>
  <c r="IR109" i="119"/>
  <c r="KT109" i="119" s="1"/>
  <c r="IU109" i="119"/>
  <c r="KW109" i="119" s="1"/>
  <c r="ID69" i="119"/>
  <c r="KF69" i="119" s="1"/>
  <c r="IT69" i="119"/>
  <c r="KV69" i="119" s="1"/>
  <c r="JJ69" i="119"/>
  <c r="LL69" i="119" s="1"/>
  <c r="HO69" i="119"/>
  <c r="JQ69" i="119" s="1"/>
  <c r="IE69" i="119"/>
  <c r="KG69" i="119" s="1"/>
  <c r="IU69" i="119"/>
  <c r="KW69" i="119" s="1"/>
  <c r="JK69" i="119"/>
  <c r="LM69" i="119" s="1"/>
  <c r="HP69" i="119"/>
  <c r="JR69" i="119" s="1"/>
  <c r="IF69" i="119"/>
  <c r="KH69" i="119" s="1"/>
  <c r="IV69" i="119"/>
  <c r="KX69" i="119" s="1"/>
  <c r="JL69" i="119"/>
  <c r="LN69" i="119" s="1"/>
  <c r="HR69" i="119"/>
  <c r="JT69" i="119" s="1"/>
  <c r="IH69" i="119"/>
  <c r="KJ69" i="119" s="1"/>
  <c r="IX69" i="119"/>
  <c r="KZ69" i="119" s="1"/>
  <c r="JN69" i="119"/>
  <c r="LP69" i="119" s="1"/>
  <c r="HS69" i="119"/>
  <c r="JU69" i="119" s="1"/>
  <c r="II69" i="119"/>
  <c r="KK69" i="119" s="1"/>
  <c r="IY69" i="119"/>
  <c r="LA69" i="119" s="1"/>
  <c r="HW69" i="119"/>
  <c r="JY69" i="119" s="1"/>
  <c r="IM69" i="119"/>
  <c r="KO69" i="119" s="1"/>
  <c r="JC69" i="119"/>
  <c r="LE69" i="119" s="1"/>
  <c r="HZ69" i="119"/>
  <c r="KB69" i="119" s="1"/>
  <c r="IP69" i="119"/>
  <c r="KR69" i="119" s="1"/>
  <c r="JF69" i="119"/>
  <c r="LH69" i="119" s="1"/>
  <c r="IK69" i="119"/>
  <c r="KM69" i="119" s="1"/>
  <c r="JM69" i="119"/>
  <c r="LO69" i="119" s="1"/>
  <c r="IL69" i="119"/>
  <c r="KN69" i="119" s="1"/>
  <c r="IO69" i="119"/>
  <c r="KQ69" i="119" s="1"/>
  <c r="HQ69" i="119"/>
  <c r="JS69" i="119" s="1"/>
  <c r="IR69" i="119"/>
  <c r="KT69" i="119" s="1"/>
  <c r="HT69" i="119"/>
  <c r="JV69" i="119" s="1"/>
  <c r="IS69" i="119"/>
  <c r="KU69" i="119" s="1"/>
  <c r="HV69" i="119"/>
  <c r="JX69" i="119" s="1"/>
  <c r="IZ69" i="119"/>
  <c r="LB69" i="119" s="1"/>
  <c r="HX69" i="119"/>
  <c r="JZ69" i="119" s="1"/>
  <c r="JA69" i="119"/>
  <c r="LC69" i="119" s="1"/>
  <c r="HY69" i="119"/>
  <c r="KA69" i="119" s="1"/>
  <c r="JB69" i="119"/>
  <c r="LD69" i="119" s="1"/>
  <c r="HU69" i="119"/>
  <c r="JW69" i="119" s="1"/>
  <c r="IA69" i="119"/>
  <c r="KC69" i="119" s="1"/>
  <c r="IB69" i="119"/>
  <c r="KD69" i="119" s="1"/>
  <c r="IC69" i="119"/>
  <c r="KE69" i="119" s="1"/>
  <c r="IG69" i="119"/>
  <c r="KI69" i="119" s="1"/>
  <c r="IJ69" i="119"/>
  <c r="KL69" i="119" s="1"/>
  <c r="IN69" i="119"/>
  <c r="KP69" i="119" s="1"/>
  <c r="IQ69" i="119"/>
  <c r="KS69" i="119" s="1"/>
  <c r="IW69" i="119"/>
  <c r="KY69" i="119" s="1"/>
  <c r="JD69" i="119"/>
  <c r="LF69" i="119" s="1"/>
  <c r="JE69" i="119"/>
  <c r="LG69" i="119" s="1"/>
  <c r="JG69" i="119"/>
  <c r="LI69" i="119" s="1"/>
  <c r="JH69" i="119"/>
  <c r="LJ69" i="119" s="1"/>
  <c r="JI69" i="119"/>
  <c r="LK69" i="119" s="1"/>
  <c r="HZ98" i="119"/>
  <c r="KB98" i="119" s="1"/>
  <c r="IP98" i="119"/>
  <c r="KR98" i="119" s="1"/>
  <c r="JF98" i="119"/>
  <c r="LH98" i="119" s="1"/>
  <c r="IB98" i="119"/>
  <c r="KD98" i="119" s="1"/>
  <c r="IR98" i="119"/>
  <c r="KT98" i="119" s="1"/>
  <c r="JH98" i="119"/>
  <c r="LJ98" i="119" s="1"/>
  <c r="HW98" i="119"/>
  <c r="JY98" i="119" s="1"/>
  <c r="IO98" i="119"/>
  <c r="KQ98" i="119" s="1"/>
  <c r="JI98" i="119"/>
  <c r="LK98" i="119" s="1"/>
  <c r="HP98" i="119"/>
  <c r="JR98" i="119" s="1"/>
  <c r="II98" i="119"/>
  <c r="KK98" i="119" s="1"/>
  <c r="JB98" i="119"/>
  <c r="LD98" i="119" s="1"/>
  <c r="HQ98" i="119"/>
  <c r="JS98" i="119" s="1"/>
  <c r="IJ98" i="119"/>
  <c r="KL98" i="119" s="1"/>
  <c r="JC98" i="119"/>
  <c r="LE98" i="119" s="1"/>
  <c r="HT98" i="119"/>
  <c r="JV98" i="119" s="1"/>
  <c r="IM98" i="119"/>
  <c r="KO98" i="119" s="1"/>
  <c r="JG98" i="119"/>
  <c r="LI98" i="119" s="1"/>
  <c r="HU98" i="119"/>
  <c r="JW98" i="119" s="1"/>
  <c r="IN98" i="119"/>
  <c r="KP98" i="119" s="1"/>
  <c r="JJ98" i="119"/>
  <c r="LL98" i="119" s="1"/>
  <c r="HY98" i="119"/>
  <c r="KA98" i="119" s="1"/>
  <c r="IT98" i="119"/>
  <c r="KV98" i="119" s="1"/>
  <c r="JM98" i="119"/>
  <c r="LO98" i="119" s="1"/>
  <c r="IA98" i="119"/>
  <c r="KC98" i="119" s="1"/>
  <c r="IU98" i="119"/>
  <c r="KW98" i="119" s="1"/>
  <c r="JN98" i="119"/>
  <c r="LP98" i="119" s="1"/>
  <c r="IE98" i="119"/>
  <c r="KG98" i="119" s="1"/>
  <c r="IX98" i="119"/>
  <c r="KZ98" i="119" s="1"/>
  <c r="IG98" i="119"/>
  <c r="KI98" i="119" s="1"/>
  <c r="IH98" i="119"/>
  <c r="KJ98" i="119" s="1"/>
  <c r="IK98" i="119"/>
  <c r="KM98" i="119" s="1"/>
  <c r="IL98" i="119"/>
  <c r="KN98" i="119" s="1"/>
  <c r="IQ98" i="119"/>
  <c r="KS98" i="119" s="1"/>
  <c r="IS98" i="119"/>
  <c r="KU98" i="119" s="1"/>
  <c r="IV98" i="119"/>
  <c r="KX98" i="119" s="1"/>
  <c r="IW98" i="119"/>
  <c r="KY98" i="119" s="1"/>
  <c r="HO98" i="119"/>
  <c r="JQ98" i="119" s="1"/>
  <c r="IY98" i="119"/>
  <c r="LA98" i="119" s="1"/>
  <c r="HR98" i="119"/>
  <c r="JT98" i="119" s="1"/>
  <c r="IZ98" i="119"/>
  <c r="LB98" i="119" s="1"/>
  <c r="HS98" i="119"/>
  <c r="JU98" i="119" s="1"/>
  <c r="JA98" i="119"/>
  <c r="LC98" i="119" s="1"/>
  <c r="HV98" i="119"/>
  <c r="JX98" i="119" s="1"/>
  <c r="JD98" i="119"/>
  <c r="LF98" i="119" s="1"/>
  <c r="HX98" i="119"/>
  <c r="JZ98" i="119" s="1"/>
  <c r="JE98" i="119"/>
  <c r="LG98" i="119" s="1"/>
  <c r="IC98" i="119"/>
  <c r="KE98" i="119" s="1"/>
  <c r="JK98" i="119"/>
  <c r="LM98" i="119" s="1"/>
  <c r="ID98" i="119"/>
  <c r="KF98" i="119" s="1"/>
  <c r="IF98" i="119"/>
  <c r="KH98" i="119" s="1"/>
  <c r="JL98" i="119"/>
  <c r="LN98" i="119" s="1"/>
  <c r="ID142" i="119"/>
  <c r="KF142" i="119" s="1"/>
  <c r="IT142" i="119"/>
  <c r="KV142" i="119" s="1"/>
  <c r="JJ142" i="119"/>
  <c r="LL142" i="119" s="1"/>
  <c r="HP142" i="119"/>
  <c r="JR142" i="119" s="1"/>
  <c r="IF142" i="119"/>
  <c r="KH142" i="119" s="1"/>
  <c r="IV142" i="119"/>
  <c r="KX142" i="119" s="1"/>
  <c r="JL142" i="119"/>
  <c r="LN142" i="119" s="1"/>
  <c r="HS142" i="119"/>
  <c r="JU142" i="119" s="1"/>
  <c r="II142" i="119"/>
  <c r="KK142" i="119" s="1"/>
  <c r="IY142" i="119"/>
  <c r="LA142" i="119" s="1"/>
  <c r="HV142" i="119"/>
  <c r="JX142" i="119" s="1"/>
  <c r="IL142" i="119"/>
  <c r="KN142" i="119" s="1"/>
  <c r="JB142" i="119"/>
  <c r="LD142" i="119" s="1"/>
  <c r="HW142" i="119"/>
  <c r="JY142" i="119" s="1"/>
  <c r="IM142" i="119"/>
  <c r="KO142" i="119" s="1"/>
  <c r="JC142" i="119"/>
  <c r="LE142" i="119" s="1"/>
  <c r="HZ142" i="119"/>
  <c r="KB142" i="119" s="1"/>
  <c r="IP142" i="119"/>
  <c r="KR142" i="119" s="1"/>
  <c r="JF142" i="119"/>
  <c r="LH142" i="119" s="1"/>
  <c r="IK142" i="119"/>
  <c r="KM142" i="119" s="1"/>
  <c r="JK142" i="119"/>
  <c r="LM142" i="119" s="1"/>
  <c r="IN142" i="119"/>
  <c r="KP142" i="119" s="1"/>
  <c r="JM142" i="119"/>
  <c r="LO142" i="119" s="1"/>
  <c r="HO142" i="119"/>
  <c r="JQ142" i="119" s="1"/>
  <c r="IO142" i="119"/>
  <c r="KQ142" i="119" s="1"/>
  <c r="JN142" i="119"/>
  <c r="LP142" i="119" s="1"/>
  <c r="HQ142" i="119"/>
  <c r="JS142" i="119" s="1"/>
  <c r="IQ142" i="119"/>
  <c r="KS142" i="119" s="1"/>
  <c r="HR142" i="119"/>
  <c r="JT142" i="119" s="1"/>
  <c r="IR142" i="119"/>
  <c r="KT142" i="119" s="1"/>
  <c r="HT142" i="119"/>
  <c r="JV142" i="119" s="1"/>
  <c r="IS142" i="119"/>
  <c r="KU142" i="119" s="1"/>
  <c r="HU142" i="119"/>
  <c r="JW142" i="119" s="1"/>
  <c r="IU142" i="119"/>
  <c r="KW142" i="119" s="1"/>
  <c r="HX142" i="119"/>
  <c r="JZ142" i="119" s="1"/>
  <c r="IW142" i="119"/>
  <c r="KY142" i="119" s="1"/>
  <c r="HY142" i="119"/>
  <c r="KA142" i="119" s="1"/>
  <c r="IX142" i="119"/>
  <c r="KZ142" i="119" s="1"/>
  <c r="IA142" i="119"/>
  <c r="KC142" i="119" s="1"/>
  <c r="IZ142" i="119"/>
  <c r="LB142" i="119" s="1"/>
  <c r="IB142" i="119"/>
  <c r="KD142" i="119" s="1"/>
  <c r="JA142" i="119"/>
  <c r="LC142" i="119" s="1"/>
  <c r="IC142" i="119"/>
  <c r="KE142" i="119" s="1"/>
  <c r="JD142" i="119"/>
  <c r="LF142" i="119" s="1"/>
  <c r="IE142" i="119"/>
  <c r="KG142" i="119" s="1"/>
  <c r="JE142" i="119"/>
  <c r="LG142" i="119" s="1"/>
  <c r="IG142" i="119"/>
  <c r="KI142" i="119" s="1"/>
  <c r="JG142" i="119"/>
  <c r="LI142" i="119" s="1"/>
  <c r="JH142" i="119"/>
  <c r="LJ142" i="119" s="1"/>
  <c r="JI142" i="119"/>
  <c r="LK142" i="119" s="1"/>
  <c r="IH142" i="119"/>
  <c r="KJ142" i="119" s="1"/>
  <c r="IJ142" i="119"/>
  <c r="KL142" i="119" s="1"/>
  <c r="IU30" i="119"/>
  <c r="KW30" i="119" s="1"/>
  <c r="HV128" i="119"/>
  <c r="JX128" i="119" s="1"/>
  <c r="IL128" i="119"/>
  <c r="KN128" i="119" s="1"/>
  <c r="JB128" i="119"/>
  <c r="LD128" i="119" s="1"/>
  <c r="HW128" i="119"/>
  <c r="JY128" i="119" s="1"/>
  <c r="IM128" i="119"/>
  <c r="KO128" i="119" s="1"/>
  <c r="JC128" i="119"/>
  <c r="LE128" i="119" s="1"/>
  <c r="HZ128" i="119"/>
  <c r="KB128" i="119" s="1"/>
  <c r="IP128" i="119"/>
  <c r="KR128" i="119" s="1"/>
  <c r="JF128" i="119"/>
  <c r="LH128" i="119" s="1"/>
  <c r="HS128" i="119"/>
  <c r="JU128" i="119" s="1"/>
  <c r="IN128" i="119"/>
  <c r="KP128" i="119" s="1"/>
  <c r="JH128" i="119"/>
  <c r="LJ128" i="119" s="1"/>
  <c r="HT128" i="119"/>
  <c r="JV128" i="119" s="1"/>
  <c r="IO128" i="119"/>
  <c r="KQ128" i="119" s="1"/>
  <c r="JI128" i="119"/>
  <c r="LK128" i="119" s="1"/>
  <c r="HX128" i="119"/>
  <c r="JZ128" i="119" s="1"/>
  <c r="IR128" i="119"/>
  <c r="KT128" i="119" s="1"/>
  <c r="JK128" i="119"/>
  <c r="LM128" i="119" s="1"/>
  <c r="HY128" i="119"/>
  <c r="KA128" i="119" s="1"/>
  <c r="IS128" i="119"/>
  <c r="KU128" i="119" s="1"/>
  <c r="JL128" i="119"/>
  <c r="LN128" i="119" s="1"/>
  <c r="IA128" i="119"/>
  <c r="KC128" i="119" s="1"/>
  <c r="IT128" i="119"/>
  <c r="KV128" i="119" s="1"/>
  <c r="JM128" i="119"/>
  <c r="LO128" i="119" s="1"/>
  <c r="IB128" i="119"/>
  <c r="KD128" i="119" s="1"/>
  <c r="IU128" i="119"/>
  <c r="KW128" i="119" s="1"/>
  <c r="JN128" i="119"/>
  <c r="LP128" i="119" s="1"/>
  <c r="ID128" i="119"/>
  <c r="KF128" i="119" s="1"/>
  <c r="IW128" i="119"/>
  <c r="KY128" i="119" s="1"/>
  <c r="IE128" i="119"/>
  <c r="KG128" i="119" s="1"/>
  <c r="IX128" i="119"/>
  <c r="KZ128" i="119" s="1"/>
  <c r="IF128" i="119"/>
  <c r="KH128" i="119" s="1"/>
  <c r="IY128" i="119"/>
  <c r="LA128" i="119" s="1"/>
  <c r="IG128" i="119"/>
  <c r="KI128" i="119" s="1"/>
  <c r="IZ128" i="119"/>
  <c r="LB128" i="119" s="1"/>
  <c r="HO128" i="119"/>
  <c r="JQ128" i="119" s="1"/>
  <c r="IH128" i="119"/>
  <c r="KJ128" i="119" s="1"/>
  <c r="HP128" i="119"/>
  <c r="JR128" i="119" s="1"/>
  <c r="II128" i="119"/>
  <c r="KK128" i="119" s="1"/>
  <c r="JD128" i="119"/>
  <c r="LF128" i="119" s="1"/>
  <c r="HQ128" i="119"/>
  <c r="JS128" i="119" s="1"/>
  <c r="HR128" i="119"/>
  <c r="JT128" i="119" s="1"/>
  <c r="IC128" i="119"/>
  <c r="KE128" i="119" s="1"/>
  <c r="IJ128" i="119"/>
  <c r="KL128" i="119" s="1"/>
  <c r="IQ128" i="119"/>
  <c r="KS128" i="119" s="1"/>
  <c r="IV128" i="119"/>
  <c r="KX128" i="119" s="1"/>
  <c r="JE128" i="119"/>
  <c r="LG128" i="119" s="1"/>
  <c r="JG128" i="119"/>
  <c r="LI128" i="119" s="1"/>
  <c r="JJ128" i="119"/>
  <c r="LL128" i="119" s="1"/>
  <c r="ID138" i="119"/>
  <c r="KF138" i="119" s="1"/>
  <c r="IT138" i="119"/>
  <c r="KV138" i="119" s="1"/>
  <c r="JJ138" i="119"/>
  <c r="LL138" i="119" s="1"/>
  <c r="HO138" i="119"/>
  <c r="JQ138" i="119" s="1"/>
  <c r="IA138" i="119"/>
  <c r="KC138" i="119" s="1"/>
  <c r="IR138" i="119"/>
  <c r="KT138" i="119" s="1"/>
  <c r="JI138" i="119"/>
  <c r="LK138" i="119" s="1"/>
  <c r="IC138" i="119"/>
  <c r="KE138" i="119" s="1"/>
  <c r="IU138" i="119"/>
  <c r="KW138" i="119" s="1"/>
  <c r="JL138" i="119"/>
  <c r="LN138" i="119" s="1"/>
  <c r="HP138" i="119"/>
  <c r="JR138" i="119" s="1"/>
  <c r="IG138" i="119"/>
  <c r="KI138" i="119" s="1"/>
  <c r="IX138" i="119"/>
  <c r="KZ138" i="119" s="1"/>
  <c r="HS138" i="119"/>
  <c r="JU138" i="119" s="1"/>
  <c r="IJ138" i="119"/>
  <c r="KL138" i="119" s="1"/>
  <c r="JA138" i="119"/>
  <c r="LC138" i="119" s="1"/>
  <c r="HT138" i="119"/>
  <c r="JV138" i="119" s="1"/>
  <c r="IK138" i="119"/>
  <c r="KM138" i="119" s="1"/>
  <c r="JB138" i="119"/>
  <c r="LD138" i="119" s="1"/>
  <c r="HW138" i="119"/>
  <c r="JY138" i="119" s="1"/>
  <c r="IN138" i="119"/>
  <c r="KP138" i="119" s="1"/>
  <c r="JE138" i="119"/>
  <c r="LG138" i="119" s="1"/>
  <c r="IM138" i="119"/>
  <c r="KO138" i="119" s="1"/>
  <c r="JN138" i="119"/>
  <c r="LP138" i="119" s="1"/>
  <c r="IO138" i="119"/>
  <c r="KQ138" i="119" s="1"/>
  <c r="IP138" i="119"/>
  <c r="KR138" i="119" s="1"/>
  <c r="HQ138" i="119"/>
  <c r="JS138" i="119" s="1"/>
  <c r="IQ138" i="119"/>
  <c r="KS138" i="119" s="1"/>
  <c r="HR138" i="119"/>
  <c r="JT138" i="119" s="1"/>
  <c r="IS138" i="119"/>
  <c r="KU138" i="119" s="1"/>
  <c r="HU138" i="119"/>
  <c r="JW138" i="119" s="1"/>
  <c r="IV138" i="119"/>
  <c r="KX138" i="119" s="1"/>
  <c r="HV138" i="119"/>
  <c r="JX138" i="119" s="1"/>
  <c r="IW138" i="119"/>
  <c r="KY138" i="119" s="1"/>
  <c r="HX138" i="119"/>
  <c r="JZ138" i="119" s="1"/>
  <c r="IY138" i="119"/>
  <c r="LA138" i="119" s="1"/>
  <c r="HY138" i="119"/>
  <c r="KA138" i="119" s="1"/>
  <c r="IZ138" i="119"/>
  <c r="LB138" i="119" s="1"/>
  <c r="HZ138" i="119"/>
  <c r="KB138" i="119" s="1"/>
  <c r="JC138" i="119"/>
  <c r="LE138" i="119" s="1"/>
  <c r="IB138" i="119"/>
  <c r="KD138" i="119" s="1"/>
  <c r="JD138" i="119"/>
  <c r="LF138" i="119" s="1"/>
  <c r="IE138" i="119"/>
  <c r="KG138" i="119" s="1"/>
  <c r="JF138" i="119"/>
  <c r="LH138" i="119" s="1"/>
  <c r="IF138" i="119"/>
  <c r="KH138" i="119" s="1"/>
  <c r="JG138" i="119"/>
  <c r="LI138" i="119" s="1"/>
  <c r="IH138" i="119"/>
  <c r="KJ138" i="119" s="1"/>
  <c r="JH138" i="119"/>
  <c r="LJ138" i="119" s="1"/>
  <c r="JK138" i="119"/>
  <c r="LM138" i="119" s="1"/>
  <c r="JM138" i="119"/>
  <c r="LO138" i="119" s="1"/>
  <c r="II138" i="119"/>
  <c r="KK138" i="119" s="1"/>
  <c r="IL138" i="119"/>
  <c r="KN138" i="119" s="1"/>
  <c r="ID101" i="119"/>
  <c r="KF101" i="119" s="1"/>
  <c r="IT101" i="119"/>
  <c r="KV101" i="119" s="1"/>
  <c r="JJ101" i="119"/>
  <c r="LL101" i="119" s="1"/>
  <c r="HZ101" i="119"/>
  <c r="KB101" i="119" s="1"/>
  <c r="IQ101" i="119"/>
  <c r="KS101" i="119" s="1"/>
  <c r="JH101" i="119"/>
  <c r="LJ101" i="119" s="1"/>
  <c r="HY101" i="119"/>
  <c r="KA101" i="119" s="1"/>
  <c r="IR101" i="119"/>
  <c r="KT101" i="119" s="1"/>
  <c r="JK101" i="119"/>
  <c r="LM101" i="119" s="1"/>
  <c r="IA101" i="119"/>
  <c r="KC101" i="119" s="1"/>
  <c r="IS101" i="119"/>
  <c r="KU101" i="119" s="1"/>
  <c r="JL101" i="119"/>
  <c r="LN101" i="119" s="1"/>
  <c r="IE101" i="119"/>
  <c r="KG101" i="119" s="1"/>
  <c r="IF101" i="119"/>
  <c r="KH101" i="119" s="1"/>
  <c r="IX101" i="119"/>
  <c r="KZ101" i="119" s="1"/>
  <c r="II101" i="119"/>
  <c r="KK101" i="119" s="1"/>
  <c r="JA101" i="119"/>
  <c r="LC101" i="119" s="1"/>
  <c r="HR101" i="119"/>
  <c r="JT101" i="119" s="1"/>
  <c r="IJ101" i="119"/>
  <c r="KL101" i="119" s="1"/>
  <c r="JB101" i="119"/>
  <c r="LD101" i="119" s="1"/>
  <c r="HU101" i="119"/>
  <c r="JW101" i="119" s="1"/>
  <c r="IM101" i="119"/>
  <c r="KO101" i="119" s="1"/>
  <c r="JE101" i="119"/>
  <c r="LG101" i="119" s="1"/>
  <c r="IH101" i="119"/>
  <c r="KJ101" i="119" s="1"/>
  <c r="JN101" i="119"/>
  <c r="LP101" i="119" s="1"/>
  <c r="IK101" i="119"/>
  <c r="KM101" i="119" s="1"/>
  <c r="IL101" i="119"/>
  <c r="KN101" i="119" s="1"/>
  <c r="IN101" i="119"/>
  <c r="KP101" i="119" s="1"/>
  <c r="IO101" i="119"/>
  <c r="KQ101" i="119" s="1"/>
  <c r="IP101" i="119"/>
  <c r="KR101" i="119" s="1"/>
  <c r="HO101" i="119"/>
  <c r="JQ101" i="119" s="1"/>
  <c r="IU101" i="119"/>
  <c r="KW101" i="119" s="1"/>
  <c r="HP101" i="119"/>
  <c r="JR101" i="119" s="1"/>
  <c r="IV101" i="119"/>
  <c r="KX101" i="119" s="1"/>
  <c r="HS101" i="119"/>
  <c r="JU101" i="119" s="1"/>
  <c r="IY101" i="119"/>
  <c r="LA101" i="119" s="1"/>
  <c r="HT101" i="119"/>
  <c r="JV101" i="119" s="1"/>
  <c r="IZ101" i="119"/>
  <c r="LB101" i="119" s="1"/>
  <c r="HV101" i="119"/>
  <c r="JX101" i="119" s="1"/>
  <c r="JC101" i="119"/>
  <c r="LE101" i="119" s="1"/>
  <c r="HW101" i="119"/>
  <c r="JY101" i="119" s="1"/>
  <c r="JD101" i="119"/>
  <c r="LF101" i="119" s="1"/>
  <c r="HX101" i="119"/>
  <c r="JZ101" i="119" s="1"/>
  <c r="JF101" i="119"/>
  <c r="LH101" i="119" s="1"/>
  <c r="IB101" i="119"/>
  <c r="KD101" i="119" s="1"/>
  <c r="IC101" i="119"/>
  <c r="KE101" i="119" s="1"/>
  <c r="JG101" i="119"/>
  <c r="LI101" i="119" s="1"/>
  <c r="JI101" i="119"/>
  <c r="LK101" i="119" s="1"/>
  <c r="IG137" i="119"/>
  <c r="KI137" i="119" s="1"/>
  <c r="ID105" i="119"/>
  <c r="KF105" i="119" s="1"/>
  <c r="IT105" i="119"/>
  <c r="KV105" i="119" s="1"/>
  <c r="HS105" i="119"/>
  <c r="JU105" i="119" s="1"/>
  <c r="IJ105" i="119"/>
  <c r="KL105" i="119" s="1"/>
  <c r="JA105" i="119"/>
  <c r="LC105" i="119" s="1"/>
  <c r="IB105" i="119"/>
  <c r="KD105" i="119" s="1"/>
  <c r="IU105" i="119"/>
  <c r="KW105" i="119" s="1"/>
  <c r="JL105" i="119"/>
  <c r="LN105" i="119" s="1"/>
  <c r="IC105" i="119"/>
  <c r="KE105" i="119" s="1"/>
  <c r="IV105" i="119"/>
  <c r="KX105" i="119" s="1"/>
  <c r="JM105" i="119"/>
  <c r="LO105" i="119" s="1"/>
  <c r="HO105" i="119"/>
  <c r="JQ105" i="119" s="1"/>
  <c r="IG105" i="119"/>
  <c r="KI105" i="119" s="1"/>
  <c r="IY105" i="119"/>
  <c r="LA105" i="119" s="1"/>
  <c r="HP105" i="119"/>
  <c r="JR105" i="119" s="1"/>
  <c r="IH105" i="119"/>
  <c r="KJ105" i="119" s="1"/>
  <c r="IZ105" i="119"/>
  <c r="LB105" i="119" s="1"/>
  <c r="HT105" i="119"/>
  <c r="JV105" i="119" s="1"/>
  <c r="IL105" i="119"/>
  <c r="KN105" i="119" s="1"/>
  <c r="JD105" i="119"/>
  <c r="LF105" i="119" s="1"/>
  <c r="HU105" i="119"/>
  <c r="JW105" i="119" s="1"/>
  <c r="IM105" i="119"/>
  <c r="KO105" i="119" s="1"/>
  <c r="JE105" i="119"/>
  <c r="LG105" i="119" s="1"/>
  <c r="HX105" i="119"/>
  <c r="JZ105" i="119" s="1"/>
  <c r="IP105" i="119"/>
  <c r="KR105" i="119" s="1"/>
  <c r="JH105" i="119"/>
  <c r="LJ105" i="119" s="1"/>
  <c r="IA105" i="119"/>
  <c r="KC105" i="119" s="1"/>
  <c r="JI105" i="119"/>
  <c r="LK105" i="119" s="1"/>
  <c r="IE105" i="119"/>
  <c r="KG105" i="119" s="1"/>
  <c r="JJ105" i="119"/>
  <c r="LL105" i="119" s="1"/>
  <c r="IF105" i="119"/>
  <c r="KH105" i="119" s="1"/>
  <c r="JK105" i="119"/>
  <c r="LM105" i="119" s="1"/>
  <c r="II105" i="119"/>
  <c r="KK105" i="119" s="1"/>
  <c r="JN105" i="119"/>
  <c r="LP105" i="119" s="1"/>
  <c r="IK105" i="119"/>
  <c r="KM105" i="119" s="1"/>
  <c r="IN105" i="119"/>
  <c r="KP105" i="119" s="1"/>
  <c r="IO105" i="119"/>
  <c r="KQ105" i="119" s="1"/>
  <c r="IQ105" i="119"/>
  <c r="KS105" i="119" s="1"/>
  <c r="IR105" i="119"/>
  <c r="KT105" i="119" s="1"/>
  <c r="IS105" i="119"/>
  <c r="KU105" i="119" s="1"/>
  <c r="HQ105" i="119"/>
  <c r="JS105" i="119" s="1"/>
  <c r="IW105" i="119"/>
  <c r="KY105" i="119" s="1"/>
  <c r="HR105" i="119"/>
  <c r="JT105" i="119" s="1"/>
  <c r="IX105" i="119"/>
  <c r="KZ105" i="119" s="1"/>
  <c r="HV105" i="119"/>
  <c r="JX105" i="119" s="1"/>
  <c r="JB105" i="119"/>
  <c r="LD105" i="119" s="1"/>
  <c r="HW105" i="119"/>
  <c r="JY105" i="119" s="1"/>
  <c r="JC105" i="119"/>
  <c r="LE105" i="119" s="1"/>
  <c r="HZ105" i="119"/>
  <c r="KB105" i="119" s="1"/>
  <c r="JF105" i="119"/>
  <c r="LH105" i="119" s="1"/>
  <c r="JG105" i="119"/>
  <c r="LI105" i="119" s="1"/>
  <c r="HY105" i="119"/>
  <c r="KA105" i="119" s="1"/>
  <c r="HW22" i="119"/>
  <c r="JY22" i="119" s="1"/>
  <c r="HR153" i="119"/>
  <c r="JT153" i="119" s="1"/>
  <c r="IH153" i="119"/>
  <c r="KJ153" i="119" s="1"/>
  <c r="IX153" i="119"/>
  <c r="KZ153" i="119" s="1"/>
  <c r="JN153" i="119"/>
  <c r="LP153" i="119" s="1"/>
  <c r="HT153" i="119"/>
  <c r="JV153" i="119" s="1"/>
  <c r="IJ153" i="119"/>
  <c r="KL153" i="119" s="1"/>
  <c r="IZ153" i="119"/>
  <c r="LB153" i="119" s="1"/>
  <c r="HW153" i="119"/>
  <c r="JY153" i="119" s="1"/>
  <c r="IM153" i="119"/>
  <c r="KO153" i="119" s="1"/>
  <c r="JC153" i="119"/>
  <c r="LE153" i="119" s="1"/>
  <c r="HZ153" i="119"/>
  <c r="KB153" i="119" s="1"/>
  <c r="IP153" i="119"/>
  <c r="KR153" i="119" s="1"/>
  <c r="JF153" i="119"/>
  <c r="LH153" i="119" s="1"/>
  <c r="HO153" i="119"/>
  <c r="JQ153" i="119" s="1"/>
  <c r="IK153" i="119"/>
  <c r="KM153" i="119" s="1"/>
  <c r="JG153" i="119"/>
  <c r="LI153" i="119" s="1"/>
  <c r="HQ153" i="119"/>
  <c r="JS153" i="119" s="1"/>
  <c r="IN153" i="119"/>
  <c r="KP153" i="119" s="1"/>
  <c r="JI153" i="119"/>
  <c r="LK153" i="119" s="1"/>
  <c r="HS153" i="119"/>
  <c r="JU153" i="119" s="1"/>
  <c r="IO153" i="119"/>
  <c r="KQ153" i="119" s="1"/>
  <c r="JJ153" i="119"/>
  <c r="LL153" i="119" s="1"/>
  <c r="HX153" i="119"/>
  <c r="JZ153" i="119" s="1"/>
  <c r="IS153" i="119"/>
  <c r="KU153" i="119" s="1"/>
  <c r="JM153" i="119"/>
  <c r="LO153" i="119" s="1"/>
  <c r="HY153" i="119"/>
  <c r="KA153" i="119" s="1"/>
  <c r="IT153" i="119"/>
  <c r="KV153" i="119" s="1"/>
  <c r="IA153" i="119"/>
  <c r="KC153" i="119" s="1"/>
  <c r="IU153" i="119"/>
  <c r="KW153" i="119" s="1"/>
  <c r="IB153" i="119"/>
  <c r="KD153" i="119" s="1"/>
  <c r="IV153" i="119"/>
  <c r="KX153" i="119" s="1"/>
  <c r="IC153" i="119"/>
  <c r="KE153" i="119" s="1"/>
  <c r="IW153" i="119"/>
  <c r="KY153" i="119" s="1"/>
  <c r="IF153" i="119"/>
  <c r="KH153" i="119" s="1"/>
  <c r="JB153" i="119"/>
  <c r="LD153" i="119" s="1"/>
  <c r="II153" i="119"/>
  <c r="KK153" i="119" s="1"/>
  <c r="IL153" i="119"/>
  <c r="KN153" i="119" s="1"/>
  <c r="IQ153" i="119"/>
  <c r="KS153" i="119" s="1"/>
  <c r="IR153" i="119"/>
  <c r="KT153" i="119" s="1"/>
  <c r="IY153" i="119"/>
  <c r="LA153" i="119" s="1"/>
  <c r="JA153" i="119"/>
  <c r="LC153" i="119" s="1"/>
  <c r="JD153" i="119"/>
  <c r="LF153" i="119" s="1"/>
  <c r="JE153" i="119"/>
  <c r="LG153" i="119" s="1"/>
  <c r="JH153" i="119"/>
  <c r="LJ153" i="119" s="1"/>
  <c r="JK153" i="119"/>
  <c r="LM153" i="119" s="1"/>
  <c r="HP153" i="119"/>
  <c r="JR153" i="119" s="1"/>
  <c r="JL153" i="119"/>
  <c r="LN153" i="119" s="1"/>
  <c r="HU153" i="119"/>
  <c r="JW153" i="119" s="1"/>
  <c r="HV153" i="119"/>
  <c r="JX153" i="119" s="1"/>
  <c r="ID153" i="119"/>
  <c r="KF153" i="119" s="1"/>
  <c r="IE153" i="119"/>
  <c r="KG153" i="119" s="1"/>
  <c r="IG153" i="119"/>
  <c r="KI153" i="119" s="1"/>
  <c r="ID29" i="119"/>
  <c r="KF29" i="119" s="1"/>
  <c r="IT29" i="119"/>
  <c r="KV29" i="119" s="1"/>
  <c r="JJ29" i="119"/>
  <c r="LL29" i="119" s="1"/>
  <c r="HO29" i="119"/>
  <c r="JQ29" i="119" s="1"/>
  <c r="IE29" i="119"/>
  <c r="KG29" i="119" s="1"/>
  <c r="IU29" i="119"/>
  <c r="KW29" i="119" s="1"/>
  <c r="JK29" i="119"/>
  <c r="LM29" i="119" s="1"/>
  <c r="HP29" i="119"/>
  <c r="JR29" i="119" s="1"/>
  <c r="IF29" i="119"/>
  <c r="KH29" i="119" s="1"/>
  <c r="IV29" i="119"/>
  <c r="KX29" i="119" s="1"/>
  <c r="JL29" i="119"/>
  <c r="LN29" i="119" s="1"/>
  <c r="HS29" i="119"/>
  <c r="JU29" i="119" s="1"/>
  <c r="II29" i="119"/>
  <c r="KK29" i="119" s="1"/>
  <c r="IY29" i="119"/>
  <c r="LA29" i="119" s="1"/>
  <c r="HV29" i="119"/>
  <c r="JX29" i="119" s="1"/>
  <c r="IL29" i="119"/>
  <c r="KN29" i="119" s="1"/>
  <c r="JB29" i="119"/>
  <c r="LD29" i="119" s="1"/>
  <c r="HW29" i="119"/>
  <c r="JY29" i="119" s="1"/>
  <c r="IM29" i="119"/>
  <c r="KO29" i="119" s="1"/>
  <c r="JC29" i="119"/>
  <c r="LE29" i="119" s="1"/>
  <c r="HX29" i="119"/>
  <c r="JZ29" i="119" s="1"/>
  <c r="IN29" i="119"/>
  <c r="KP29" i="119" s="1"/>
  <c r="JD29" i="119"/>
  <c r="LF29" i="119" s="1"/>
  <c r="IA29" i="119"/>
  <c r="KC29" i="119" s="1"/>
  <c r="IQ29" i="119"/>
  <c r="KS29" i="119" s="1"/>
  <c r="JG29" i="119"/>
  <c r="LI29" i="119" s="1"/>
  <c r="HR29" i="119"/>
  <c r="JT29" i="119" s="1"/>
  <c r="JE29" i="119"/>
  <c r="LG29" i="119" s="1"/>
  <c r="HY29" i="119"/>
  <c r="KA29" i="119" s="1"/>
  <c r="JH29" i="119"/>
  <c r="LJ29" i="119" s="1"/>
  <c r="IB29" i="119"/>
  <c r="KD29" i="119" s="1"/>
  <c r="JM29" i="119"/>
  <c r="LO29" i="119" s="1"/>
  <c r="IC29" i="119"/>
  <c r="KE29" i="119" s="1"/>
  <c r="JN29" i="119"/>
  <c r="LP29" i="119" s="1"/>
  <c r="IK29" i="119"/>
  <c r="KM29" i="119" s="1"/>
  <c r="HZ29" i="119"/>
  <c r="KB29" i="119" s="1"/>
  <c r="IH29" i="119"/>
  <c r="KJ29" i="119" s="1"/>
  <c r="IW29" i="119"/>
  <c r="KY29" i="119" s="1"/>
  <c r="IX29" i="119"/>
  <c r="KZ29" i="119" s="1"/>
  <c r="JA29" i="119"/>
  <c r="LC29" i="119" s="1"/>
  <c r="JF29" i="119"/>
  <c r="LH29" i="119" s="1"/>
  <c r="IR29" i="119"/>
  <c r="KT29" i="119" s="1"/>
  <c r="IS29" i="119"/>
  <c r="KU29" i="119" s="1"/>
  <c r="JI29" i="119"/>
  <c r="LK29" i="119" s="1"/>
  <c r="HU29" i="119"/>
  <c r="JW29" i="119" s="1"/>
  <c r="HQ29" i="119"/>
  <c r="JS29" i="119" s="1"/>
  <c r="IO29" i="119"/>
  <c r="KQ29" i="119" s="1"/>
  <c r="IG29" i="119"/>
  <c r="KI29" i="119" s="1"/>
  <c r="IP29" i="119"/>
  <c r="KR29" i="119" s="1"/>
  <c r="JK30" i="119"/>
  <c r="LM30" i="119" s="1"/>
  <c r="IH39" i="119"/>
  <c r="KJ39" i="119" s="1"/>
  <c r="HV148" i="119"/>
  <c r="JX148" i="119" s="1"/>
  <c r="IL148" i="119"/>
  <c r="KN148" i="119" s="1"/>
  <c r="JB148" i="119"/>
  <c r="LD148" i="119" s="1"/>
  <c r="HX148" i="119"/>
  <c r="JZ148" i="119" s="1"/>
  <c r="IN148" i="119"/>
  <c r="KP148" i="119" s="1"/>
  <c r="JD148" i="119"/>
  <c r="LF148" i="119" s="1"/>
  <c r="IA148" i="119"/>
  <c r="KC148" i="119" s="1"/>
  <c r="IQ148" i="119"/>
  <c r="KS148" i="119" s="1"/>
  <c r="JG148" i="119"/>
  <c r="LI148" i="119" s="1"/>
  <c r="ID148" i="119"/>
  <c r="KF148" i="119" s="1"/>
  <c r="IT148" i="119"/>
  <c r="KV148" i="119" s="1"/>
  <c r="JJ148" i="119"/>
  <c r="LL148" i="119" s="1"/>
  <c r="HO148" i="119"/>
  <c r="JQ148" i="119" s="1"/>
  <c r="IE148" i="119"/>
  <c r="KG148" i="119" s="1"/>
  <c r="IU148" i="119"/>
  <c r="KW148" i="119" s="1"/>
  <c r="JK148" i="119"/>
  <c r="LM148" i="119" s="1"/>
  <c r="HR148" i="119"/>
  <c r="JT148" i="119" s="1"/>
  <c r="IH148" i="119"/>
  <c r="KJ148" i="119" s="1"/>
  <c r="IX148" i="119"/>
  <c r="KZ148" i="119" s="1"/>
  <c r="JN148" i="119"/>
  <c r="LP148" i="119" s="1"/>
  <c r="HT148" i="119"/>
  <c r="JV148" i="119" s="1"/>
  <c r="IS148" i="119"/>
  <c r="KU148" i="119" s="1"/>
  <c r="HW148" i="119"/>
  <c r="JY148" i="119" s="1"/>
  <c r="IW148" i="119"/>
  <c r="KY148" i="119" s="1"/>
  <c r="HY148" i="119"/>
  <c r="KA148" i="119" s="1"/>
  <c r="IY148" i="119"/>
  <c r="LA148" i="119" s="1"/>
  <c r="HZ148" i="119"/>
  <c r="KB148" i="119" s="1"/>
  <c r="IZ148" i="119"/>
  <c r="LB148" i="119" s="1"/>
  <c r="IB148" i="119"/>
  <c r="KD148" i="119" s="1"/>
  <c r="JA148" i="119"/>
  <c r="LC148" i="119" s="1"/>
  <c r="IC148" i="119"/>
  <c r="KE148" i="119" s="1"/>
  <c r="JC148" i="119"/>
  <c r="LE148" i="119" s="1"/>
  <c r="IF148" i="119"/>
  <c r="KH148" i="119" s="1"/>
  <c r="JE148" i="119"/>
  <c r="LG148" i="119" s="1"/>
  <c r="IG148" i="119"/>
  <c r="KI148" i="119" s="1"/>
  <c r="JF148" i="119"/>
  <c r="LH148" i="119" s="1"/>
  <c r="II148" i="119"/>
  <c r="KK148" i="119" s="1"/>
  <c r="JH148" i="119"/>
  <c r="LJ148" i="119" s="1"/>
  <c r="IJ148" i="119"/>
  <c r="KL148" i="119" s="1"/>
  <c r="JI148" i="119"/>
  <c r="LK148" i="119" s="1"/>
  <c r="IK148" i="119"/>
  <c r="KM148" i="119" s="1"/>
  <c r="JL148" i="119"/>
  <c r="LN148" i="119" s="1"/>
  <c r="IM148" i="119"/>
  <c r="KO148" i="119" s="1"/>
  <c r="JM148" i="119"/>
  <c r="LO148" i="119" s="1"/>
  <c r="HP148" i="119"/>
  <c r="JR148" i="119" s="1"/>
  <c r="IO148" i="119"/>
  <c r="KQ148" i="119" s="1"/>
  <c r="HQ148" i="119"/>
  <c r="JS148" i="119" s="1"/>
  <c r="HS148" i="119"/>
  <c r="JU148" i="119" s="1"/>
  <c r="HU148" i="119"/>
  <c r="JW148" i="119" s="1"/>
  <c r="IP148" i="119"/>
  <c r="KR148" i="119" s="1"/>
  <c r="IR148" i="119"/>
  <c r="KT148" i="119" s="1"/>
  <c r="IV148" i="119"/>
  <c r="KX148" i="119" s="1"/>
  <c r="HZ119" i="119"/>
  <c r="KB119" i="119" s="1"/>
  <c r="IP119" i="119"/>
  <c r="KR119" i="119" s="1"/>
  <c r="JF119" i="119"/>
  <c r="LH119" i="119" s="1"/>
  <c r="IA119" i="119"/>
  <c r="KC119" i="119" s="1"/>
  <c r="IQ119" i="119"/>
  <c r="KS119" i="119" s="1"/>
  <c r="JG119" i="119"/>
  <c r="LI119" i="119" s="1"/>
  <c r="ID119" i="119"/>
  <c r="KF119" i="119" s="1"/>
  <c r="IT119" i="119"/>
  <c r="KV119" i="119" s="1"/>
  <c r="JJ119" i="119"/>
  <c r="LL119" i="119" s="1"/>
  <c r="HO119" i="119"/>
  <c r="JQ119" i="119" s="1"/>
  <c r="IE119" i="119"/>
  <c r="KG119" i="119" s="1"/>
  <c r="IU119" i="119"/>
  <c r="KW119" i="119" s="1"/>
  <c r="JK119" i="119"/>
  <c r="LM119" i="119" s="1"/>
  <c r="HR119" i="119"/>
  <c r="JT119" i="119" s="1"/>
  <c r="IH119" i="119"/>
  <c r="KJ119" i="119" s="1"/>
  <c r="IX119" i="119"/>
  <c r="KZ119" i="119" s="1"/>
  <c r="JN119" i="119"/>
  <c r="LP119" i="119" s="1"/>
  <c r="HS119" i="119"/>
  <c r="JU119" i="119" s="1"/>
  <c r="IN119" i="119"/>
  <c r="KP119" i="119" s="1"/>
  <c r="JM119" i="119"/>
  <c r="LO119" i="119" s="1"/>
  <c r="HT119" i="119"/>
  <c r="JV119" i="119" s="1"/>
  <c r="IO119" i="119"/>
  <c r="KQ119" i="119" s="1"/>
  <c r="HU119" i="119"/>
  <c r="JW119" i="119" s="1"/>
  <c r="IR119" i="119"/>
  <c r="KT119" i="119" s="1"/>
  <c r="HV119" i="119"/>
  <c r="JX119" i="119" s="1"/>
  <c r="IS119" i="119"/>
  <c r="KU119" i="119" s="1"/>
  <c r="HW119" i="119"/>
  <c r="JY119" i="119" s="1"/>
  <c r="IV119" i="119"/>
  <c r="KX119" i="119" s="1"/>
  <c r="HX119" i="119"/>
  <c r="JZ119" i="119" s="1"/>
  <c r="IW119" i="119"/>
  <c r="KY119" i="119" s="1"/>
  <c r="HY119" i="119"/>
  <c r="KA119" i="119" s="1"/>
  <c r="IY119" i="119"/>
  <c r="LA119" i="119" s="1"/>
  <c r="IB119" i="119"/>
  <c r="KD119" i="119" s="1"/>
  <c r="IZ119" i="119"/>
  <c r="LB119" i="119" s="1"/>
  <c r="IC119" i="119"/>
  <c r="KE119" i="119" s="1"/>
  <c r="JA119" i="119"/>
  <c r="LC119" i="119" s="1"/>
  <c r="IF119" i="119"/>
  <c r="KH119" i="119" s="1"/>
  <c r="JB119" i="119"/>
  <c r="LD119" i="119" s="1"/>
  <c r="IG119" i="119"/>
  <c r="KI119" i="119" s="1"/>
  <c r="JC119" i="119"/>
  <c r="LE119" i="119" s="1"/>
  <c r="II119" i="119"/>
  <c r="KK119" i="119" s="1"/>
  <c r="JD119" i="119"/>
  <c r="LF119" i="119" s="1"/>
  <c r="IJ119" i="119"/>
  <c r="KL119" i="119" s="1"/>
  <c r="JE119" i="119"/>
  <c r="LG119" i="119" s="1"/>
  <c r="IK119" i="119"/>
  <c r="KM119" i="119" s="1"/>
  <c r="JH119" i="119"/>
  <c r="LJ119" i="119" s="1"/>
  <c r="HP119" i="119"/>
  <c r="JR119" i="119" s="1"/>
  <c r="HQ119" i="119"/>
  <c r="JS119" i="119" s="1"/>
  <c r="IL119" i="119"/>
  <c r="KN119" i="119" s="1"/>
  <c r="IM119" i="119"/>
  <c r="KO119" i="119" s="1"/>
  <c r="JI119" i="119"/>
  <c r="LK119" i="119" s="1"/>
  <c r="JL119" i="119"/>
  <c r="LN119" i="119" s="1"/>
  <c r="JH102" i="119"/>
  <c r="LJ102" i="119" s="1"/>
  <c r="IG101" i="119"/>
  <c r="KI101" i="119" s="1"/>
  <c r="IW137" i="119"/>
  <c r="KY137" i="119" s="1"/>
  <c r="HR28" i="119"/>
  <c r="JT28" i="119" s="1"/>
  <c r="IH28" i="119"/>
  <c r="KJ28" i="119" s="1"/>
  <c r="IX28" i="119"/>
  <c r="KZ28" i="119" s="1"/>
  <c r="JN28" i="119"/>
  <c r="LP28" i="119" s="1"/>
  <c r="HS28" i="119"/>
  <c r="JU28" i="119" s="1"/>
  <c r="II28" i="119"/>
  <c r="KK28" i="119" s="1"/>
  <c r="IY28" i="119"/>
  <c r="LA28" i="119" s="1"/>
  <c r="HT28" i="119"/>
  <c r="JV28" i="119" s="1"/>
  <c r="IJ28" i="119"/>
  <c r="KL28" i="119" s="1"/>
  <c r="IZ28" i="119"/>
  <c r="LB28" i="119" s="1"/>
  <c r="HW28" i="119"/>
  <c r="JY28" i="119" s="1"/>
  <c r="IM28" i="119"/>
  <c r="KO28" i="119" s="1"/>
  <c r="JC28" i="119"/>
  <c r="LE28" i="119" s="1"/>
  <c r="HX28" i="119"/>
  <c r="JZ28" i="119" s="1"/>
  <c r="IN28" i="119"/>
  <c r="KP28" i="119" s="1"/>
  <c r="JD28" i="119"/>
  <c r="LF28" i="119" s="1"/>
  <c r="HZ28" i="119"/>
  <c r="KB28" i="119" s="1"/>
  <c r="IP28" i="119"/>
  <c r="KR28" i="119" s="1"/>
  <c r="JF28" i="119"/>
  <c r="LH28" i="119" s="1"/>
  <c r="IA28" i="119"/>
  <c r="KC28" i="119" s="1"/>
  <c r="IQ28" i="119"/>
  <c r="KS28" i="119" s="1"/>
  <c r="JG28" i="119"/>
  <c r="LI28" i="119" s="1"/>
  <c r="IB28" i="119"/>
  <c r="KD28" i="119" s="1"/>
  <c r="IR28" i="119"/>
  <c r="KT28" i="119" s="1"/>
  <c r="JH28" i="119"/>
  <c r="LJ28" i="119" s="1"/>
  <c r="HO28" i="119"/>
  <c r="JQ28" i="119" s="1"/>
  <c r="IE28" i="119"/>
  <c r="KG28" i="119" s="1"/>
  <c r="IU28" i="119"/>
  <c r="KW28" i="119" s="1"/>
  <c r="JK28" i="119"/>
  <c r="LM28" i="119" s="1"/>
  <c r="IG28" i="119"/>
  <c r="KI28" i="119" s="1"/>
  <c r="IL28" i="119"/>
  <c r="KN28" i="119" s="1"/>
  <c r="IS28" i="119"/>
  <c r="KU28" i="119" s="1"/>
  <c r="IT28" i="119"/>
  <c r="KV28" i="119" s="1"/>
  <c r="HP28" i="119"/>
  <c r="JR28" i="119" s="1"/>
  <c r="JA28" i="119"/>
  <c r="LC28" i="119" s="1"/>
  <c r="ID28" i="119"/>
  <c r="KF28" i="119" s="1"/>
  <c r="IW28" i="119"/>
  <c r="KY28" i="119" s="1"/>
  <c r="JB28" i="119"/>
  <c r="LD28" i="119" s="1"/>
  <c r="JL28" i="119"/>
  <c r="LN28" i="119" s="1"/>
  <c r="IC28" i="119"/>
  <c r="KE28" i="119" s="1"/>
  <c r="IF28" i="119"/>
  <c r="KH28" i="119" s="1"/>
  <c r="IV28" i="119"/>
  <c r="KX28" i="119" s="1"/>
  <c r="JI28" i="119"/>
  <c r="LK28" i="119" s="1"/>
  <c r="JM28" i="119"/>
  <c r="LO28" i="119" s="1"/>
  <c r="HQ28" i="119"/>
  <c r="JS28" i="119" s="1"/>
  <c r="HU28" i="119"/>
  <c r="JW28" i="119" s="1"/>
  <c r="HV28" i="119"/>
  <c r="JX28" i="119" s="1"/>
  <c r="IK28" i="119"/>
  <c r="KM28" i="119" s="1"/>
  <c r="JJ28" i="119"/>
  <c r="LL28" i="119" s="1"/>
  <c r="HQ106" i="119"/>
  <c r="JS106" i="119" s="1"/>
  <c r="IG106" i="119"/>
  <c r="KI106" i="119" s="1"/>
  <c r="IW106" i="119"/>
  <c r="KY106" i="119" s="1"/>
  <c r="JM106" i="119"/>
  <c r="LO106" i="119" s="1"/>
  <c r="IC106" i="119"/>
  <c r="KE106" i="119" s="1"/>
  <c r="IT106" i="119"/>
  <c r="KV106" i="119" s="1"/>
  <c r="JK106" i="119"/>
  <c r="LM106" i="119" s="1"/>
  <c r="ID106" i="119"/>
  <c r="KF106" i="119" s="1"/>
  <c r="IU106" i="119"/>
  <c r="KW106" i="119" s="1"/>
  <c r="JL106" i="119"/>
  <c r="LN106" i="119" s="1"/>
  <c r="HP106" i="119"/>
  <c r="JR106" i="119" s="1"/>
  <c r="IH106" i="119"/>
  <c r="KJ106" i="119" s="1"/>
  <c r="IY106" i="119"/>
  <c r="LA106" i="119" s="1"/>
  <c r="HR106" i="119"/>
  <c r="JT106" i="119" s="1"/>
  <c r="II106" i="119"/>
  <c r="KK106" i="119" s="1"/>
  <c r="IZ106" i="119"/>
  <c r="LB106" i="119" s="1"/>
  <c r="HU106" i="119"/>
  <c r="JW106" i="119" s="1"/>
  <c r="IL106" i="119"/>
  <c r="KN106" i="119" s="1"/>
  <c r="JC106" i="119"/>
  <c r="LE106" i="119" s="1"/>
  <c r="HV106" i="119"/>
  <c r="JX106" i="119" s="1"/>
  <c r="IM106" i="119"/>
  <c r="KO106" i="119" s="1"/>
  <c r="JD106" i="119"/>
  <c r="LF106" i="119" s="1"/>
  <c r="HY106" i="119"/>
  <c r="KA106" i="119" s="1"/>
  <c r="IP106" i="119"/>
  <c r="KR106" i="119" s="1"/>
  <c r="JG106" i="119"/>
  <c r="LI106" i="119" s="1"/>
  <c r="IN106" i="119"/>
  <c r="KP106" i="119" s="1"/>
  <c r="IO106" i="119"/>
  <c r="KQ106" i="119" s="1"/>
  <c r="IQ106" i="119"/>
  <c r="KS106" i="119" s="1"/>
  <c r="HO106" i="119"/>
  <c r="JQ106" i="119" s="1"/>
  <c r="IS106" i="119"/>
  <c r="KU106" i="119" s="1"/>
  <c r="HS106" i="119"/>
  <c r="JU106" i="119" s="1"/>
  <c r="IV106" i="119"/>
  <c r="KX106" i="119" s="1"/>
  <c r="HT106" i="119"/>
  <c r="JV106" i="119" s="1"/>
  <c r="IX106" i="119"/>
  <c r="KZ106" i="119" s="1"/>
  <c r="HW106" i="119"/>
  <c r="JY106" i="119" s="1"/>
  <c r="JA106" i="119"/>
  <c r="LC106" i="119" s="1"/>
  <c r="HX106" i="119"/>
  <c r="JZ106" i="119" s="1"/>
  <c r="JB106" i="119"/>
  <c r="LD106" i="119" s="1"/>
  <c r="HZ106" i="119"/>
  <c r="KB106" i="119" s="1"/>
  <c r="JE106" i="119"/>
  <c r="LG106" i="119" s="1"/>
  <c r="IA106" i="119"/>
  <c r="KC106" i="119" s="1"/>
  <c r="JF106" i="119"/>
  <c r="LH106" i="119" s="1"/>
  <c r="IE106" i="119"/>
  <c r="KG106" i="119" s="1"/>
  <c r="JI106" i="119"/>
  <c r="LK106" i="119" s="1"/>
  <c r="IF106" i="119"/>
  <c r="KH106" i="119" s="1"/>
  <c r="JJ106" i="119"/>
  <c r="LL106" i="119" s="1"/>
  <c r="IJ106" i="119"/>
  <c r="KL106" i="119" s="1"/>
  <c r="IK106" i="119"/>
  <c r="KM106" i="119" s="1"/>
  <c r="JN106" i="119"/>
  <c r="LP106" i="119" s="1"/>
  <c r="HR141" i="119"/>
  <c r="JT141" i="119" s="1"/>
  <c r="IH141" i="119"/>
  <c r="KJ141" i="119" s="1"/>
  <c r="IX141" i="119"/>
  <c r="KZ141" i="119" s="1"/>
  <c r="JN141" i="119"/>
  <c r="LP141" i="119" s="1"/>
  <c r="HT141" i="119"/>
  <c r="JV141" i="119" s="1"/>
  <c r="IJ141" i="119"/>
  <c r="KL141" i="119" s="1"/>
  <c r="IZ141" i="119"/>
  <c r="LB141" i="119" s="1"/>
  <c r="HW141" i="119"/>
  <c r="JY141" i="119" s="1"/>
  <c r="IM141" i="119"/>
  <c r="KO141" i="119" s="1"/>
  <c r="JC141" i="119"/>
  <c r="LE141" i="119" s="1"/>
  <c r="HZ141" i="119"/>
  <c r="KB141" i="119" s="1"/>
  <c r="IP141" i="119"/>
  <c r="KR141" i="119" s="1"/>
  <c r="JF141" i="119"/>
  <c r="LH141" i="119" s="1"/>
  <c r="IA141" i="119"/>
  <c r="KC141" i="119" s="1"/>
  <c r="IQ141" i="119"/>
  <c r="KS141" i="119" s="1"/>
  <c r="JG141" i="119"/>
  <c r="LI141" i="119" s="1"/>
  <c r="ID141" i="119"/>
  <c r="KF141" i="119" s="1"/>
  <c r="IT141" i="119"/>
  <c r="KV141" i="119" s="1"/>
  <c r="JJ141" i="119"/>
  <c r="LL141" i="119" s="1"/>
  <c r="IL141" i="119"/>
  <c r="KN141" i="119" s="1"/>
  <c r="JL141" i="119"/>
  <c r="LN141" i="119" s="1"/>
  <c r="HO141" i="119"/>
  <c r="JQ141" i="119" s="1"/>
  <c r="IN141" i="119"/>
  <c r="KP141" i="119" s="1"/>
  <c r="JM141" i="119"/>
  <c r="LO141" i="119" s="1"/>
  <c r="HP141" i="119"/>
  <c r="JR141" i="119" s="1"/>
  <c r="IO141" i="119"/>
  <c r="KQ141" i="119" s="1"/>
  <c r="HQ141" i="119"/>
  <c r="JS141" i="119" s="1"/>
  <c r="IR141" i="119"/>
  <c r="KT141" i="119" s="1"/>
  <c r="HS141" i="119"/>
  <c r="JU141" i="119" s="1"/>
  <c r="IS141" i="119"/>
  <c r="KU141" i="119" s="1"/>
  <c r="HU141" i="119"/>
  <c r="JW141" i="119" s="1"/>
  <c r="IU141" i="119"/>
  <c r="KW141" i="119" s="1"/>
  <c r="HV141" i="119"/>
  <c r="JX141" i="119" s="1"/>
  <c r="IV141" i="119"/>
  <c r="KX141" i="119" s="1"/>
  <c r="HX141" i="119"/>
  <c r="JZ141" i="119" s="1"/>
  <c r="IW141" i="119"/>
  <c r="KY141" i="119" s="1"/>
  <c r="HY141" i="119"/>
  <c r="KA141" i="119" s="1"/>
  <c r="IY141" i="119"/>
  <c r="LA141" i="119" s="1"/>
  <c r="IB141" i="119"/>
  <c r="KD141" i="119" s="1"/>
  <c r="JA141" i="119"/>
  <c r="LC141" i="119" s="1"/>
  <c r="IC141" i="119"/>
  <c r="KE141" i="119" s="1"/>
  <c r="JB141" i="119"/>
  <c r="LD141" i="119" s="1"/>
  <c r="IE141" i="119"/>
  <c r="KG141" i="119" s="1"/>
  <c r="JD141" i="119"/>
  <c r="LF141" i="119" s="1"/>
  <c r="IF141" i="119"/>
  <c r="KH141" i="119" s="1"/>
  <c r="JE141" i="119"/>
  <c r="LG141" i="119" s="1"/>
  <c r="IG141" i="119"/>
  <c r="KI141" i="119" s="1"/>
  <c r="JH141" i="119"/>
  <c r="LJ141" i="119" s="1"/>
  <c r="II141" i="119"/>
  <c r="KK141" i="119" s="1"/>
  <c r="IK141" i="119"/>
  <c r="KM141" i="119" s="1"/>
  <c r="JI141" i="119"/>
  <c r="LK141" i="119" s="1"/>
  <c r="JK141" i="119"/>
  <c r="LM141" i="119" s="1"/>
  <c r="HW19" i="119"/>
  <c r="JY19" i="119" s="1"/>
  <c r="IM19" i="119"/>
  <c r="KO19" i="119" s="1"/>
  <c r="JC19" i="119"/>
  <c r="LE19" i="119" s="1"/>
  <c r="HX19" i="119"/>
  <c r="JZ19" i="119" s="1"/>
  <c r="IN19" i="119"/>
  <c r="KP19" i="119" s="1"/>
  <c r="JD19" i="119"/>
  <c r="LF19" i="119" s="1"/>
  <c r="IA19" i="119"/>
  <c r="KC19" i="119" s="1"/>
  <c r="IQ19" i="119"/>
  <c r="KS19" i="119" s="1"/>
  <c r="JG19" i="119"/>
  <c r="LI19" i="119" s="1"/>
  <c r="IB19" i="119"/>
  <c r="KD19" i="119" s="1"/>
  <c r="IR19" i="119"/>
  <c r="KT19" i="119" s="1"/>
  <c r="JH19" i="119"/>
  <c r="LJ19" i="119" s="1"/>
  <c r="ID19" i="119"/>
  <c r="KF19" i="119" s="1"/>
  <c r="IT19" i="119"/>
  <c r="KV19" i="119" s="1"/>
  <c r="JJ19" i="119"/>
  <c r="LL19" i="119" s="1"/>
  <c r="HO19" i="119"/>
  <c r="JQ19" i="119" s="1"/>
  <c r="IE19" i="119"/>
  <c r="KG19" i="119" s="1"/>
  <c r="IU19" i="119"/>
  <c r="KW19" i="119" s="1"/>
  <c r="JK19" i="119"/>
  <c r="LM19" i="119" s="1"/>
  <c r="HP19" i="119"/>
  <c r="JR19" i="119" s="1"/>
  <c r="IF19" i="119"/>
  <c r="KH19" i="119" s="1"/>
  <c r="IV19" i="119"/>
  <c r="KX19" i="119" s="1"/>
  <c r="JL19" i="119"/>
  <c r="LN19" i="119" s="1"/>
  <c r="HS19" i="119"/>
  <c r="JU19" i="119" s="1"/>
  <c r="II19" i="119"/>
  <c r="KK19" i="119" s="1"/>
  <c r="IY19" i="119"/>
  <c r="LA19" i="119" s="1"/>
  <c r="HZ19" i="119"/>
  <c r="KB19" i="119" s="1"/>
  <c r="JM19" i="119"/>
  <c r="LO19" i="119" s="1"/>
  <c r="IG19" i="119"/>
  <c r="KI19" i="119" s="1"/>
  <c r="IJ19" i="119"/>
  <c r="KL19" i="119" s="1"/>
  <c r="IK19" i="119"/>
  <c r="KM19" i="119" s="1"/>
  <c r="IS19" i="119"/>
  <c r="KU19" i="119" s="1"/>
  <c r="IW19" i="119"/>
  <c r="KY19" i="119" s="1"/>
  <c r="JA19" i="119"/>
  <c r="LC19" i="119" s="1"/>
  <c r="JE19" i="119"/>
  <c r="LG19" i="119" s="1"/>
  <c r="JF19" i="119"/>
  <c r="LH19" i="119" s="1"/>
  <c r="HQ19" i="119"/>
  <c r="JS19" i="119" s="1"/>
  <c r="HR19" i="119"/>
  <c r="JT19" i="119" s="1"/>
  <c r="HT19" i="119"/>
  <c r="JV19" i="119" s="1"/>
  <c r="HU19" i="119"/>
  <c r="JW19" i="119" s="1"/>
  <c r="IO19" i="119"/>
  <c r="KQ19" i="119" s="1"/>
  <c r="IC19" i="119"/>
  <c r="KE19" i="119" s="1"/>
  <c r="HY19" i="119"/>
  <c r="KA19" i="119" s="1"/>
  <c r="IH19" i="119"/>
  <c r="KJ19" i="119" s="1"/>
  <c r="IZ19" i="119"/>
  <c r="LB19" i="119" s="1"/>
  <c r="IX19" i="119"/>
  <c r="KZ19" i="119" s="1"/>
  <c r="JI19" i="119"/>
  <c r="LK19" i="119" s="1"/>
  <c r="IP19" i="119"/>
  <c r="KR19" i="119" s="1"/>
  <c r="JN19" i="119"/>
  <c r="LP19" i="119" s="1"/>
  <c r="HO33" i="119"/>
  <c r="JQ33" i="119" s="1"/>
  <c r="IE33" i="119"/>
  <c r="KG33" i="119" s="1"/>
  <c r="IU33" i="119"/>
  <c r="KW33" i="119" s="1"/>
  <c r="JK33" i="119"/>
  <c r="LM33" i="119" s="1"/>
  <c r="HS33" i="119"/>
  <c r="JU33" i="119" s="1"/>
  <c r="II33" i="119"/>
  <c r="KK33" i="119" s="1"/>
  <c r="IY33" i="119"/>
  <c r="LA33" i="119" s="1"/>
  <c r="HT33" i="119"/>
  <c r="JV33" i="119" s="1"/>
  <c r="IJ33" i="119"/>
  <c r="KL33" i="119" s="1"/>
  <c r="IZ33" i="119"/>
  <c r="LB33" i="119" s="1"/>
  <c r="HW33" i="119"/>
  <c r="JY33" i="119" s="1"/>
  <c r="IM33" i="119"/>
  <c r="KO33" i="119" s="1"/>
  <c r="JC33" i="119"/>
  <c r="LE33" i="119" s="1"/>
  <c r="HY33" i="119"/>
  <c r="KA33" i="119" s="1"/>
  <c r="IS33" i="119"/>
  <c r="KU33" i="119" s="1"/>
  <c r="JN33" i="119"/>
  <c r="LP33" i="119" s="1"/>
  <c r="IA33" i="119"/>
  <c r="KC33" i="119" s="1"/>
  <c r="IV33" i="119"/>
  <c r="KX33" i="119" s="1"/>
  <c r="IC33" i="119"/>
  <c r="KE33" i="119" s="1"/>
  <c r="IX33" i="119"/>
  <c r="KZ33" i="119" s="1"/>
  <c r="ID33" i="119"/>
  <c r="KF33" i="119" s="1"/>
  <c r="JA33" i="119"/>
  <c r="LC33" i="119" s="1"/>
  <c r="IH33" i="119"/>
  <c r="KJ33" i="119" s="1"/>
  <c r="JE33" i="119"/>
  <c r="LG33" i="119" s="1"/>
  <c r="IK33" i="119"/>
  <c r="KM33" i="119" s="1"/>
  <c r="JL33" i="119"/>
  <c r="LN33" i="119" s="1"/>
  <c r="IN33" i="119"/>
  <c r="KP33" i="119" s="1"/>
  <c r="HR33" i="119"/>
  <c r="JT33" i="119" s="1"/>
  <c r="IW33" i="119"/>
  <c r="KY33" i="119" s="1"/>
  <c r="HZ33" i="119"/>
  <c r="KB33" i="119" s="1"/>
  <c r="JJ33" i="119"/>
  <c r="LL33" i="119" s="1"/>
  <c r="IB33" i="119"/>
  <c r="KD33" i="119" s="1"/>
  <c r="JM33" i="119"/>
  <c r="LO33" i="119" s="1"/>
  <c r="IL33" i="119"/>
  <c r="KN33" i="119" s="1"/>
  <c r="IP33" i="119"/>
  <c r="KR33" i="119" s="1"/>
  <c r="IR33" i="119"/>
  <c r="KT33" i="119" s="1"/>
  <c r="HU33" i="119"/>
  <c r="JW33" i="119" s="1"/>
  <c r="HV33" i="119"/>
  <c r="JX33" i="119" s="1"/>
  <c r="HX33" i="119"/>
  <c r="JZ33" i="119" s="1"/>
  <c r="IG33" i="119"/>
  <c r="KI33" i="119" s="1"/>
  <c r="IO33" i="119"/>
  <c r="KQ33" i="119" s="1"/>
  <c r="IQ33" i="119"/>
  <c r="KS33" i="119" s="1"/>
  <c r="JD33" i="119"/>
  <c r="LF33" i="119" s="1"/>
  <c r="JH33" i="119"/>
  <c r="LJ33" i="119" s="1"/>
  <c r="IT33" i="119"/>
  <c r="KV33" i="119" s="1"/>
  <c r="JB33" i="119"/>
  <c r="LD33" i="119" s="1"/>
  <c r="JG33" i="119"/>
  <c r="LI33" i="119" s="1"/>
  <c r="HP33" i="119"/>
  <c r="JR33" i="119" s="1"/>
  <c r="HQ33" i="119"/>
  <c r="JS33" i="119" s="1"/>
  <c r="IF33" i="119"/>
  <c r="KH33" i="119" s="1"/>
  <c r="JF33" i="119"/>
  <c r="LH33" i="119" s="1"/>
  <c r="JI33" i="119"/>
  <c r="LK33" i="119" s="1"/>
  <c r="HS32" i="119"/>
  <c r="JU32" i="119" s="1"/>
  <c r="II32" i="119"/>
  <c r="KK32" i="119" s="1"/>
  <c r="IY32" i="119"/>
  <c r="LA32" i="119" s="1"/>
  <c r="HT32" i="119"/>
  <c r="JV32" i="119" s="1"/>
  <c r="IJ32" i="119"/>
  <c r="KL32" i="119" s="1"/>
  <c r="IZ32" i="119"/>
  <c r="LB32" i="119" s="1"/>
  <c r="HW32" i="119"/>
  <c r="JY32" i="119" s="1"/>
  <c r="IM32" i="119"/>
  <c r="KO32" i="119" s="1"/>
  <c r="JC32" i="119"/>
  <c r="LE32" i="119" s="1"/>
  <c r="HX32" i="119"/>
  <c r="JZ32" i="119" s="1"/>
  <c r="IN32" i="119"/>
  <c r="KP32" i="119" s="1"/>
  <c r="JD32" i="119"/>
  <c r="LF32" i="119" s="1"/>
  <c r="IA32" i="119"/>
  <c r="KC32" i="119" s="1"/>
  <c r="IQ32" i="119"/>
  <c r="KS32" i="119" s="1"/>
  <c r="JG32" i="119"/>
  <c r="LI32" i="119" s="1"/>
  <c r="IE32" i="119"/>
  <c r="KG32" i="119" s="1"/>
  <c r="JB32" i="119"/>
  <c r="LD32" i="119" s="1"/>
  <c r="IG32" i="119"/>
  <c r="KI32" i="119" s="1"/>
  <c r="JF32" i="119"/>
  <c r="LH32" i="119" s="1"/>
  <c r="JI32" i="119"/>
  <c r="LK32" i="119" s="1"/>
  <c r="HO32" i="119"/>
  <c r="JQ32" i="119" s="1"/>
  <c r="IL32" i="119"/>
  <c r="KN32" i="119" s="1"/>
  <c r="JJ32" i="119"/>
  <c r="LL32" i="119" s="1"/>
  <c r="HR32" i="119"/>
  <c r="JT32" i="119" s="1"/>
  <c r="IR32" i="119"/>
  <c r="KT32" i="119" s="1"/>
  <c r="JM32" i="119"/>
  <c r="LO32" i="119" s="1"/>
  <c r="HV32" i="119"/>
  <c r="JX32" i="119" s="1"/>
  <c r="JA32" i="119"/>
  <c r="LC32" i="119" s="1"/>
  <c r="HZ32" i="119"/>
  <c r="KB32" i="119" s="1"/>
  <c r="JH32" i="119"/>
  <c r="LJ32" i="119" s="1"/>
  <c r="IH32" i="119"/>
  <c r="KJ32" i="119" s="1"/>
  <c r="IO32" i="119"/>
  <c r="KQ32" i="119" s="1"/>
  <c r="IU32" i="119"/>
  <c r="KW32" i="119" s="1"/>
  <c r="IF32" i="119"/>
  <c r="KH32" i="119" s="1"/>
  <c r="IP32" i="119"/>
  <c r="KR32" i="119" s="1"/>
  <c r="IV32" i="119"/>
  <c r="KX32" i="119" s="1"/>
  <c r="IX32" i="119"/>
  <c r="KZ32" i="119" s="1"/>
  <c r="JK32" i="119"/>
  <c r="LM32" i="119" s="1"/>
  <c r="HP32" i="119"/>
  <c r="JR32" i="119" s="1"/>
  <c r="HQ32" i="119"/>
  <c r="JS32" i="119" s="1"/>
  <c r="HY32" i="119"/>
  <c r="KA32" i="119" s="1"/>
  <c r="IB32" i="119"/>
  <c r="KD32" i="119" s="1"/>
  <c r="IC32" i="119"/>
  <c r="KE32" i="119" s="1"/>
  <c r="IT32" i="119"/>
  <c r="KV32" i="119" s="1"/>
  <c r="JL32" i="119"/>
  <c r="LN32" i="119" s="1"/>
  <c r="ID32" i="119"/>
  <c r="KF32" i="119" s="1"/>
  <c r="IS32" i="119"/>
  <c r="KU32" i="119" s="1"/>
  <c r="IW32" i="119"/>
  <c r="KY32" i="119" s="1"/>
  <c r="JE32" i="119"/>
  <c r="LG32" i="119" s="1"/>
  <c r="JN32" i="119"/>
  <c r="LP32" i="119" s="1"/>
  <c r="HU32" i="119"/>
  <c r="JW32" i="119" s="1"/>
  <c r="ID57" i="119"/>
  <c r="KF57" i="119" s="1"/>
  <c r="IT57" i="119"/>
  <c r="KV57" i="119" s="1"/>
  <c r="JJ57" i="119"/>
  <c r="LL57" i="119" s="1"/>
  <c r="HP57" i="119"/>
  <c r="JR57" i="119" s="1"/>
  <c r="IF57" i="119"/>
  <c r="KH57" i="119" s="1"/>
  <c r="IV57" i="119"/>
  <c r="KX57" i="119" s="1"/>
  <c r="JL57" i="119"/>
  <c r="LN57" i="119" s="1"/>
  <c r="HW57" i="119"/>
  <c r="JY57" i="119" s="1"/>
  <c r="IO57" i="119"/>
  <c r="KQ57" i="119" s="1"/>
  <c r="JG57" i="119"/>
  <c r="LI57" i="119" s="1"/>
  <c r="HX57" i="119"/>
  <c r="JZ57" i="119" s="1"/>
  <c r="IP57" i="119"/>
  <c r="KR57" i="119" s="1"/>
  <c r="JH57" i="119"/>
  <c r="LJ57" i="119" s="1"/>
  <c r="IA57" i="119"/>
  <c r="KC57" i="119" s="1"/>
  <c r="IS57" i="119"/>
  <c r="KU57" i="119" s="1"/>
  <c r="JM57" i="119"/>
  <c r="LO57" i="119" s="1"/>
  <c r="IG57" i="119"/>
  <c r="KI57" i="119" s="1"/>
  <c r="IY57" i="119"/>
  <c r="LA57" i="119" s="1"/>
  <c r="HY57" i="119"/>
  <c r="KA57" i="119" s="1"/>
  <c r="IX57" i="119"/>
  <c r="KZ57" i="119" s="1"/>
  <c r="HZ57" i="119"/>
  <c r="KB57" i="119" s="1"/>
  <c r="IZ57" i="119"/>
  <c r="LB57" i="119" s="1"/>
  <c r="IB57" i="119"/>
  <c r="KD57" i="119" s="1"/>
  <c r="JA57" i="119"/>
  <c r="LC57" i="119" s="1"/>
  <c r="IE57" i="119"/>
  <c r="KG57" i="119" s="1"/>
  <c r="JC57" i="119"/>
  <c r="LE57" i="119" s="1"/>
  <c r="IH57" i="119"/>
  <c r="KJ57" i="119" s="1"/>
  <c r="JD57" i="119"/>
  <c r="LF57" i="119" s="1"/>
  <c r="II57" i="119"/>
  <c r="KK57" i="119" s="1"/>
  <c r="JE57" i="119"/>
  <c r="LG57" i="119" s="1"/>
  <c r="HO57" i="119"/>
  <c r="JQ57" i="119" s="1"/>
  <c r="IL57" i="119"/>
  <c r="KN57" i="119" s="1"/>
  <c r="JK57" i="119"/>
  <c r="LM57" i="119" s="1"/>
  <c r="HS57" i="119"/>
  <c r="JU57" i="119" s="1"/>
  <c r="IQ57" i="119"/>
  <c r="KS57" i="119" s="1"/>
  <c r="JF57" i="119"/>
  <c r="LH57" i="119" s="1"/>
  <c r="JI57" i="119"/>
  <c r="LK57" i="119" s="1"/>
  <c r="HR57" i="119"/>
  <c r="JT57" i="119" s="1"/>
  <c r="HU57" i="119"/>
  <c r="JW57" i="119" s="1"/>
  <c r="HV57" i="119"/>
  <c r="JX57" i="119" s="1"/>
  <c r="IJ57" i="119"/>
  <c r="KL57" i="119" s="1"/>
  <c r="IK57" i="119"/>
  <c r="KM57" i="119" s="1"/>
  <c r="IM57" i="119"/>
  <c r="KO57" i="119" s="1"/>
  <c r="IN57" i="119"/>
  <c r="KP57" i="119" s="1"/>
  <c r="IU57" i="119"/>
  <c r="KW57" i="119" s="1"/>
  <c r="IW57" i="119"/>
  <c r="KY57" i="119" s="1"/>
  <c r="JB57" i="119"/>
  <c r="LD57" i="119" s="1"/>
  <c r="JN57" i="119"/>
  <c r="LP57" i="119" s="1"/>
  <c r="HQ57" i="119"/>
  <c r="JS57" i="119" s="1"/>
  <c r="HT57" i="119"/>
  <c r="JV57" i="119" s="1"/>
  <c r="IC57" i="119"/>
  <c r="KE57" i="119" s="1"/>
  <c r="IR57" i="119"/>
  <c r="KT57" i="119" s="1"/>
  <c r="IX39" i="119"/>
  <c r="KZ39" i="119" s="1"/>
  <c r="HV95" i="119"/>
  <c r="JX95" i="119" s="1"/>
  <c r="IL95" i="119"/>
  <c r="KN95" i="119" s="1"/>
  <c r="JB95" i="119"/>
  <c r="LD95" i="119" s="1"/>
  <c r="HX95" i="119"/>
  <c r="JZ95" i="119" s="1"/>
  <c r="IN95" i="119"/>
  <c r="KP95" i="119" s="1"/>
  <c r="JD95" i="119"/>
  <c r="LF95" i="119" s="1"/>
  <c r="IA95" i="119"/>
  <c r="KC95" i="119" s="1"/>
  <c r="IQ95" i="119"/>
  <c r="KS95" i="119" s="1"/>
  <c r="JG95" i="119"/>
  <c r="LI95" i="119" s="1"/>
  <c r="HY95" i="119"/>
  <c r="KA95" i="119" s="1"/>
  <c r="IS95" i="119"/>
  <c r="KU95" i="119" s="1"/>
  <c r="JL95" i="119"/>
  <c r="LN95" i="119" s="1"/>
  <c r="IE95" i="119"/>
  <c r="KG95" i="119" s="1"/>
  <c r="IX95" i="119"/>
  <c r="KZ95" i="119" s="1"/>
  <c r="HO95" i="119"/>
  <c r="JQ95" i="119" s="1"/>
  <c r="IH95" i="119"/>
  <c r="KJ95" i="119" s="1"/>
  <c r="JA95" i="119"/>
  <c r="LC95" i="119" s="1"/>
  <c r="II95" i="119"/>
  <c r="KK95" i="119" s="1"/>
  <c r="JH95" i="119"/>
  <c r="LJ95" i="119" s="1"/>
  <c r="IJ95" i="119"/>
  <c r="KL95" i="119" s="1"/>
  <c r="JI95" i="119"/>
  <c r="LK95" i="119" s="1"/>
  <c r="HQ95" i="119"/>
  <c r="JS95" i="119" s="1"/>
  <c r="IO95" i="119"/>
  <c r="KQ95" i="119" s="1"/>
  <c r="JM95" i="119"/>
  <c r="LO95" i="119" s="1"/>
  <c r="HR95" i="119"/>
  <c r="JT95" i="119" s="1"/>
  <c r="IP95" i="119"/>
  <c r="KR95" i="119" s="1"/>
  <c r="JN95" i="119"/>
  <c r="LP95" i="119" s="1"/>
  <c r="HU95" i="119"/>
  <c r="JW95" i="119" s="1"/>
  <c r="IU95" i="119"/>
  <c r="KW95" i="119" s="1"/>
  <c r="HW95" i="119"/>
  <c r="JY95" i="119" s="1"/>
  <c r="IV95" i="119"/>
  <c r="KX95" i="119" s="1"/>
  <c r="IC95" i="119"/>
  <c r="KE95" i="119" s="1"/>
  <c r="IZ95" i="119"/>
  <c r="LB95" i="119" s="1"/>
  <c r="ID95" i="119"/>
  <c r="KF95" i="119" s="1"/>
  <c r="IF95" i="119"/>
  <c r="KH95" i="119" s="1"/>
  <c r="IG95" i="119"/>
  <c r="KI95" i="119" s="1"/>
  <c r="IK95" i="119"/>
  <c r="KM95" i="119" s="1"/>
  <c r="IM95" i="119"/>
  <c r="KO95" i="119" s="1"/>
  <c r="IR95" i="119"/>
  <c r="KT95" i="119" s="1"/>
  <c r="IT95" i="119"/>
  <c r="KV95" i="119" s="1"/>
  <c r="IW95" i="119"/>
  <c r="KY95" i="119" s="1"/>
  <c r="IY95" i="119"/>
  <c r="LA95" i="119" s="1"/>
  <c r="JC95" i="119"/>
  <c r="LE95" i="119" s="1"/>
  <c r="JE95" i="119"/>
  <c r="LG95" i="119" s="1"/>
  <c r="HP95" i="119"/>
  <c r="JR95" i="119" s="1"/>
  <c r="JF95" i="119"/>
  <c r="LH95" i="119" s="1"/>
  <c r="HS95" i="119"/>
  <c r="JU95" i="119" s="1"/>
  <c r="JJ95" i="119"/>
  <c r="LL95" i="119" s="1"/>
  <c r="HT95" i="119"/>
  <c r="JV95" i="119" s="1"/>
  <c r="JK95" i="119"/>
  <c r="LM95" i="119" s="1"/>
  <c r="HZ95" i="119"/>
  <c r="KB95" i="119" s="1"/>
  <c r="IB95" i="119"/>
  <c r="KD95" i="119" s="1"/>
  <c r="HZ123" i="119"/>
  <c r="KB123" i="119" s="1"/>
  <c r="IP123" i="119"/>
  <c r="KR123" i="119" s="1"/>
  <c r="JF123" i="119"/>
  <c r="LH123" i="119" s="1"/>
  <c r="IA123" i="119"/>
  <c r="KC123" i="119" s="1"/>
  <c r="IQ123" i="119"/>
  <c r="KS123" i="119" s="1"/>
  <c r="JG123" i="119"/>
  <c r="LI123" i="119" s="1"/>
  <c r="ID123" i="119"/>
  <c r="KF123" i="119" s="1"/>
  <c r="IT123" i="119"/>
  <c r="KV123" i="119" s="1"/>
  <c r="JJ123" i="119"/>
  <c r="LL123" i="119" s="1"/>
  <c r="HO123" i="119"/>
  <c r="JQ123" i="119" s="1"/>
  <c r="IE123" i="119"/>
  <c r="KG123" i="119" s="1"/>
  <c r="IU123" i="119"/>
  <c r="KW123" i="119" s="1"/>
  <c r="JK123" i="119"/>
  <c r="LM123" i="119" s="1"/>
  <c r="HR123" i="119"/>
  <c r="JT123" i="119" s="1"/>
  <c r="IH123" i="119"/>
  <c r="KJ123" i="119" s="1"/>
  <c r="IX123" i="119"/>
  <c r="KZ123" i="119" s="1"/>
  <c r="JN123" i="119"/>
  <c r="LP123" i="119" s="1"/>
  <c r="HT123" i="119"/>
  <c r="JV123" i="119" s="1"/>
  <c r="IO123" i="119"/>
  <c r="KQ123" i="119" s="1"/>
  <c r="HU123" i="119"/>
  <c r="JW123" i="119" s="1"/>
  <c r="IR123" i="119"/>
  <c r="KT123" i="119" s="1"/>
  <c r="HV123" i="119"/>
  <c r="JX123" i="119" s="1"/>
  <c r="IS123" i="119"/>
  <c r="KU123" i="119" s="1"/>
  <c r="HW123" i="119"/>
  <c r="JY123" i="119" s="1"/>
  <c r="IV123" i="119"/>
  <c r="KX123" i="119" s="1"/>
  <c r="HX123" i="119"/>
  <c r="JZ123" i="119" s="1"/>
  <c r="IW123" i="119"/>
  <c r="KY123" i="119" s="1"/>
  <c r="HY123" i="119"/>
  <c r="KA123" i="119" s="1"/>
  <c r="IY123" i="119"/>
  <c r="LA123" i="119" s="1"/>
  <c r="IB123" i="119"/>
  <c r="KD123" i="119" s="1"/>
  <c r="IZ123" i="119"/>
  <c r="LB123" i="119" s="1"/>
  <c r="IC123" i="119"/>
  <c r="KE123" i="119" s="1"/>
  <c r="JA123" i="119"/>
  <c r="LC123" i="119" s="1"/>
  <c r="IF123" i="119"/>
  <c r="KH123" i="119" s="1"/>
  <c r="JB123" i="119"/>
  <c r="LD123" i="119" s="1"/>
  <c r="IG123" i="119"/>
  <c r="KI123" i="119" s="1"/>
  <c r="JC123" i="119"/>
  <c r="LE123" i="119" s="1"/>
  <c r="II123" i="119"/>
  <c r="KK123" i="119" s="1"/>
  <c r="JD123" i="119"/>
  <c r="LF123" i="119" s="1"/>
  <c r="IJ123" i="119"/>
  <c r="KL123" i="119" s="1"/>
  <c r="JE123" i="119"/>
  <c r="LG123" i="119" s="1"/>
  <c r="IK123" i="119"/>
  <c r="KM123" i="119" s="1"/>
  <c r="JH123" i="119"/>
  <c r="LJ123" i="119" s="1"/>
  <c r="HP123" i="119"/>
  <c r="JR123" i="119" s="1"/>
  <c r="IL123" i="119"/>
  <c r="KN123" i="119" s="1"/>
  <c r="JI123" i="119"/>
  <c r="LK123" i="119" s="1"/>
  <c r="HQ123" i="119"/>
  <c r="JS123" i="119" s="1"/>
  <c r="HS123" i="119"/>
  <c r="JU123" i="119" s="1"/>
  <c r="IM123" i="119"/>
  <c r="KO123" i="119" s="1"/>
  <c r="IN123" i="119"/>
  <c r="KP123" i="119" s="1"/>
  <c r="JL123" i="119"/>
  <c r="LN123" i="119" s="1"/>
  <c r="JM123" i="119"/>
  <c r="LO123" i="119" s="1"/>
  <c r="IN103" i="119"/>
  <c r="KP103" i="119" s="1"/>
  <c r="IW101" i="119"/>
  <c r="KY101" i="119" s="1"/>
  <c r="JM137" i="119"/>
  <c r="LO137" i="119" s="1"/>
  <c r="A42" i="119"/>
  <c r="LQ42" i="119" l="1"/>
  <c r="JO42" i="119"/>
  <c r="JP42" i="119" s="1"/>
  <c r="MA42" i="119" l="1"/>
  <c r="MB42" i="119" s="1"/>
  <c r="LS42" i="119"/>
  <c r="LT42" i="119" s="1"/>
  <c r="DJ113" i="119" l="1"/>
  <c r="BI116" i="119"/>
  <c r="FK128" i="119"/>
  <c r="BI73" i="119" l="1"/>
  <c r="FK25" i="119"/>
  <c r="FK28" i="119"/>
  <c r="BI28" i="119"/>
  <c r="FK36" i="119"/>
  <c r="BI15" i="119"/>
  <c r="FK12" i="119"/>
  <c r="FK49" i="119"/>
  <c r="FK82" i="119"/>
  <c r="BI81" i="119"/>
  <c r="DJ81" i="119"/>
  <c r="FK81" i="119"/>
  <c r="LU81" i="119"/>
  <c r="FK63" i="119"/>
  <c r="FK93" i="119"/>
  <c r="FK76" i="119"/>
  <c r="FK75" i="119"/>
  <c r="BI102" i="119"/>
  <c r="BI101" i="119"/>
  <c r="BI103" i="119"/>
  <c r="FK111" i="119"/>
  <c r="FK110" i="119"/>
  <c r="BI132" i="119"/>
  <c r="FK137" i="119"/>
  <c r="FK139" i="119"/>
  <c r="A81" i="119" l="1"/>
  <c r="JO81" i="119" l="1"/>
  <c r="JP81" i="119" s="1"/>
  <c r="LQ81" i="119"/>
  <c r="MA81" i="119" l="1"/>
  <c r="MB81" i="119" s="1"/>
  <c r="LS81" i="119"/>
  <c r="LT81" i="119" s="1"/>
  <c r="BI80" i="119" l="1"/>
  <c r="FK14" i="119"/>
  <c r="FK68" i="119"/>
  <c r="FK74" i="119"/>
  <c r="FK85" i="119"/>
  <c r="DJ84" i="119"/>
  <c r="DJ86" i="119"/>
  <c r="HE10" i="119"/>
  <c r="HE4" i="119" s="1"/>
  <c r="FK90" i="119"/>
  <c r="FK106" i="119"/>
  <c r="FK43" i="119" l="1"/>
  <c r="FK44" i="119"/>
  <c r="FN10" i="119"/>
  <c r="FN4" i="119" s="1"/>
  <c r="LU13" i="119"/>
  <c r="FK13" i="119"/>
  <c r="DJ13" i="119"/>
  <c r="BI13" i="119"/>
  <c r="GJ10" i="119"/>
  <c r="GJ4" i="119" s="1"/>
  <c r="DJ20" i="119"/>
  <c r="FK80" i="119"/>
  <c r="DJ106" i="119"/>
  <c r="GW10" i="119"/>
  <c r="GW4" i="119" s="1"/>
  <c r="BI107" i="119"/>
  <c r="GK10" i="119"/>
  <c r="GK4" i="119" s="1"/>
  <c r="A13" i="119" l="1"/>
  <c r="DJ79" i="119"/>
  <c r="JO13" i="119" l="1"/>
  <c r="JP13" i="119" s="1"/>
  <c r="LQ13" i="119"/>
  <c r="FK19" i="119"/>
  <c r="FK62" i="119"/>
  <c r="DJ71" i="119"/>
  <c r="FK18" i="119"/>
  <c r="FK57" i="119"/>
  <c r="FK99" i="119"/>
  <c r="FK119" i="119"/>
  <c r="LU156" i="119"/>
  <c r="FK156" i="119"/>
  <c r="DJ156" i="119"/>
  <c r="BI156" i="119"/>
  <c r="LU155" i="119"/>
  <c r="FK155" i="119"/>
  <c r="DJ155" i="119"/>
  <c r="BI155" i="119"/>
  <c r="LU154" i="119"/>
  <c r="FK154" i="119"/>
  <c r="DJ154" i="119"/>
  <c r="BI154" i="119"/>
  <c r="LU153" i="119"/>
  <c r="FK153" i="119"/>
  <c r="DJ153" i="119"/>
  <c r="BI153" i="119"/>
  <c r="LU152" i="119"/>
  <c r="FK152" i="119"/>
  <c r="DJ152" i="119"/>
  <c r="BI152" i="119"/>
  <c r="LU151" i="119"/>
  <c r="FK151" i="119"/>
  <c r="DJ151" i="119"/>
  <c r="BI151" i="119"/>
  <c r="MA13" i="119" l="1"/>
  <c r="MB13" i="119" s="1"/>
  <c r="LS13" i="119"/>
  <c r="LT13" i="119" s="1"/>
  <c r="A154" i="119" l="1"/>
  <c r="A152" i="119"/>
  <c r="A153" i="119"/>
  <c r="A151" i="119"/>
  <c r="A155" i="119"/>
  <c r="A156" i="119"/>
  <c r="LQ154" i="119" l="1"/>
  <c r="LS154" i="119" s="1"/>
  <c r="LT154" i="119" s="1"/>
  <c r="JO154" i="119"/>
  <c r="JP154" i="119" s="1"/>
  <c r="JO152" i="119"/>
  <c r="JP152" i="119" s="1"/>
  <c r="LQ152" i="119"/>
  <c r="LS152" i="119" s="1"/>
  <c r="LT152" i="119" s="1"/>
  <c r="JO153" i="119"/>
  <c r="JP153" i="119" s="1"/>
  <c r="LQ153" i="119"/>
  <c r="JO156" i="119"/>
  <c r="JP156" i="119" s="1"/>
  <c r="LQ156" i="119"/>
  <c r="LS156" i="119" s="1"/>
  <c r="LT156" i="119" s="1"/>
  <c r="LQ151" i="119"/>
  <c r="JO151" i="119"/>
  <c r="JP151" i="119" s="1"/>
  <c r="LQ155" i="119"/>
  <c r="JO155" i="119"/>
  <c r="JP155" i="119" s="1"/>
  <c r="MA154" i="119" l="1"/>
  <c r="MB154" i="119" s="1"/>
  <c r="MA152" i="119"/>
  <c r="MB152" i="119" s="1"/>
  <c r="MA153" i="119"/>
  <c r="MB153" i="119" s="1"/>
  <c r="LS153" i="119"/>
  <c r="LT153" i="119" s="1"/>
  <c r="MA156" i="119"/>
  <c r="MB156" i="119" s="1"/>
  <c r="MA155" i="119"/>
  <c r="MB155" i="119" s="1"/>
  <c r="LS155" i="119"/>
  <c r="LT155" i="119" s="1"/>
  <c r="LS151" i="119"/>
  <c r="LT151" i="119" s="1"/>
  <c r="MA151" i="119"/>
  <c r="MB151" i="119" s="1"/>
  <c r="LU100" i="119" l="1"/>
  <c r="FK100" i="119"/>
  <c r="DJ100" i="119"/>
  <c r="BI100" i="119"/>
  <c r="LU99" i="119"/>
  <c r="DJ99" i="119"/>
  <c r="BI99" i="119"/>
  <c r="A100" i="119" l="1"/>
  <c r="A99" i="119"/>
  <c r="JO99" i="119" l="1"/>
  <c r="JP99" i="119" s="1"/>
  <c r="LQ99" i="119"/>
  <c r="LS99" i="119" s="1"/>
  <c r="LT99" i="119" s="1"/>
  <c r="LQ100" i="119"/>
  <c r="JO100" i="119"/>
  <c r="JP100" i="119" s="1"/>
  <c r="MA99" i="119" l="1"/>
  <c r="MB99" i="119" s="1"/>
  <c r="MA100" i="119"/>
  <c r="MB100" i="119" s="1"/>
  <c r="LS100" i="119"/>
  <c r="LT100" i="119" s="1"/>
  <c r="BI87" i="119" l="1"/>
  <c r="FK40" i="119"/>
  <c r="DJ60" i="119"/>
  <c r="FK103" i="119"/>
  <c r="HG10" i="119" l="1"/>
  <c r="HG4" i="119" s="1"/>
  <c r="BI62" i="119"/>
  <c r="FK95" i="119"/>
  <c r="DJ95" i="119"/>
  <c r="LU122" i="119"/>
  <c r="FK122" i="119"/>
  <c r="DJ122" i="119"/>
  <c r="BI122" i="119"/>
  <c r="LU120" i="119"/>
  <c r="FK120" i="119"/>
  <c r="DJ120" i="119"/>
  <c r="BI120" i="119"/>
  <c r="LU119" i="119"/>
  <c r="DJ119" i="119"/>
  <c r="BI119" i="119"/>
  <c r="LU118" i="119"/>
  <c r="FK118" i="119"/>
  <c r="DJ118" i="119"/>
  <c r="BI118" i="119"/>
  <c r="LU117" i="119"/>
  <c r="FK117" i="119"/>
  <c r="DJ117" i="119"/>
  <c r="BI117" i="119"/>
  <c r="LU116" i="119"/>
  <c r="FK116" i="119"/>
  <c r="DJ116" i="119"/>
  <c r="LU115" i="119"/>
  <c r="FK115" i="119"/>
  <c r="DJ115" i="119"/>
  <c r="BI115" i="119"/>
  <c r="LU114" i="119"/>
  <c r="FK114" i="119"/>
  <c r="DJ114" i="119"/>
  <c r="BI114" i="119"/>
  <c r="LU113" i="119"/>
  <c r="FK113" i="119"/>
  <c r="BI113" i="119"/>
  <c r="LU112" i="119"/>
  <c r="FK112" i="119"/>
  <c r="DJ112" i="119"/>
  <c r="BI112" i="119"/>
  <c r="LU111" i="119"/>
  <c r="DJ111" i="119"/>
  <c r="BI111" i="119"/>
  <c r="LU110" i="119"/>
  <c r="DJ110" i="119"/>
  <c r="BI110" i="119"/>
  <c r="LU109" i="119"/>
  <c r="FK109" i="119"/>
  <c r="DJ109" i="119"/>
  <c r="BI109" i="119"/>
  <c r="LU108" i="119"/>
  <c r="FK108" i="119"/>
  <c r="DJ108" i="119"/>
  <c r="BI108" i="119"/>
  <c r="LU107" i="119"/>
  <c r="FK107" i="119"/>
  <c r="DJ107" i="119"/>
  <c r="LU106" i="119"/>
  <c r="BI106" i="119"/>
  <c r="LU105" i="119"/>
  <c r="FK105" i="119"/>
  <c r="DJ105" i="119"/>
  <c r="BI105" i="119"/>
  <c r="LU137" i="119"/>
  <c r="DJ137" i="119"/>
  <c r="BI137" i="119"/>
  <c r="LU136" i="119"/>
  <c r="FK136" i="119"/>
  <c r="DJ136" i="119"/>
  <c r="BI136" i="119"/>
  <c r="LU135" i="119"/>
  <c r="FK135" i="119"/>
  <c r="DJ135" i="119"/>
  <c r="BI135" i="119"/>
  <c r="LU134" i="119"/>
  <c r="FK134" i="119"/>
  <c r="DJ134" i="119"/>
  <c r="BI134" i="119"/>
  <c r="LU133" i="119"/>
  <c r="FK133" i="119"/>
  <c r="DJ133" i="119"/>
  <c r="BI133" i="119"/>
  <c r="LU132" i="119"/>
  <c r="FK132" i="119"/>
  <c r="DJ132" i="119"/>
  <c r="LU131" i="119"/>
  <c r="FK131" i="119"/>
  <c r="DJ131" i="119"/>
  <c r="BI131" i="119"/>
  <c r="LU130" i="119"/>
  <c r="FK130" i="119"/>
  <c r="DJ130" i="119"/>
  <c r="BI130" i="119"/>
  <c r="LU129" i="119"/>
  <c r="FK129" i="119"/>
  <c r="DJ129" i="119"/>
  <c r="BI129" i="119"/>
  <c r="LU128" i="119"/>
  <c r="DJ128" i="119"/>
  <c r="BI128" i="119"/>
  <c r="LU127" i="119"/>
  <c r="FK127" i="119"/>
  <c r="DJ127" i="119"/>
  <c r="BI127" i="119"/>
  <c r="LU126" i="119"/>
  <c r="FK126" i="119"/>
  <c r="DJ126" i="119"/>
  <c r="BI126" i="119"/>
  <c r="LU125" i="119"/>
  <c r="FK125" i="119"/>
  <c r="DJ125" i="119"/>
  <c r="BI125" i="119"/>
  <c r="LU124" i="119"/>
  <c r="FK124" i="119"/>
  <c r="DJ124" i="119"/>
  <c r="BI124" i="119"/>
  <c r="LU123" i="119"/>
  <c r="FK123" i="119"/>
  <c r="DJ123" i="119"/>
  <c r="BI123" i="119"/>
  <c r="LU121" i="119"/>
  <c r="FK121" i="119"/>
  <c r="DJ121" i="119"/>
  <c r="BI121" i="119"/>
  <c r="LU150" i="119"/>
  <c r="FK150" i="119"/>
  <c r="DJ150" i="119"/>
  <c r="BI150" i="119"/>
  <c r="DJ45" i="119"/>
  <c r="BI45" i="119"/>
  <c r="BI82" i="119"/>
  <c r="DJ82" i="119"/>
  <c r="LU82" i="119"/>
  <c r="LU70" i="119" l="1"/>
  <c r="FK70" i="119"/>
  <c r="DJ70" i="119"/>
  <c r="BI70" i="119"/>
  <c r="LU145" i="119"/>
  <c r="FK145" i="119"/>
  <c r="DJ145" i="119"/>
  <c r="BI145" i="119"/>
  <c r="A107" i="119" l="1"/>
  <c r="A105" i="119"/>
  <c r="A110" i="119"/>
  <c r="A111" i="119"/>
  <c r="A112" i="119"/>
  <c r="A106" i="119"/>
  <c r="A122" i="119"/>
  <c r="A127" i="119"/>
  <c r="A119" i="119"/>
  <c r="A128" i="119"/>
  <c r="A134" i="119"/>
  <c r="A120" i="119"/>
  <c r="A118" i="119"/>
  <c r="A136" i="119"/>
  <c r="A125" i="119"/>
  <c r="A132" i="119"/>
  <c r="A113" i="119"/>
  <c r="A137" i="119"/>
  <c r="A121" i="119"/>
  <c r="A133" i="119"/>
  <c r="A131" i="119"/>
  <c r="A123" i="119"/>
  <c r="A109" i="119"/>
  <c r="A124" i="119"/>
  <c r="A135" i="119"/>
  <c r="A130" i="119"/>
  <c r="A129" i="119"/>
  <c r="A115" i="119"/>
  <c r="A108" i="119"/>
  <c r="A126" i="119"/>
  <c r="A117" i="119"/>
  <c r="A114" i="119"/>
  <c r="A150" i="119"/>
  <c r="A116" i="119"/>
  <c r="A82" i="119"/>
  <c r="LQ135" i="119" l="1"/>
  <c r="JO136" i="119"/>
  <c r="JP136" i="119" s="1"/>
  <c r="JO135" i="119"/>
  <c r="JP135" i="119" s="1"/>
  <c r="A70" i="119"/>
  <c r="LQ136" i="119"/>
  <c r="LQ105" i="119"/>
  <c r="JO105" i="119"/>
  <c r="JP105" i="119" s="1"/>
  <c r="LQ107" i="119"/>
  <c r="LS107" i="119" s="1"/>
  <c r="LT107" i="119" s="1"/>
  <c r="JO107" i="119"/>
  <c r="JP107" i="119" s="1"/>
  <c r="LQ111" i="119"/>
  <c r="LS111" i="119" s="1"/>
  <c r="LT111" i="119" s="1"/>
  <c r="JO109" i="119"/>
  <c r="JP109" i="119" s="1"/>
  <c r="LQ109" i="119"/>
  <c r="LS109" i="119" s="1"/>
  <c r="LT109" i="119" s="1"/>
  <c r="JO110" i="119"/>
  <c r="JP110" i="119" s="1"/>
  <c r="LQ110" i="119"/>
  <c r="LQ114" i="119"/>
  <c r="LS114" i="119" s="1"/>
  <c r="LT114" i="119" s="1"/>
  <c r="JO119" i="119"/>
  <c r="JP119" i="119" s="1"/>
  <c r="JO122" i="119"/>
  <c r="JP122" i="119" s="1"/>
  <c r="LQ122" i="119"/>
  <c r="JO120" i="119"/>
  <c r="JP120" i="119" s="1"/>
  <c r="LQ120" i="119"/>
  <c r="LS120" i="119" s="1"/>
  <c r="LT120" i="119" s="1"/>
  <c r="JO121" i="119"/>
  <c r="JP121" i="119" s="1"/>
  <c r="LQ121" i="119"/>
  <c r="LS121" i="119" s="1"/>
  <c r="LT121" i="119" s="1"/>
  <c r="LQ127" i="119"/>
  <c r="LS127" i="119" s="1"/>
  <c r="LT127" i="119" s="1"/>
  <c r="JO111" i="119"/>
  <c r="JP111" i="119" s="1"/>
  <c r="JO113" i="119"/>
  <c r="JP113" i="119" s="1"/>
  <c r="LQ113" i="119"/>
  <c r="JO128" i="119"/>
  <c r="JP128" i="119" s="1"/>
  <c r="LQ128" i="119"/>
  <c r="JO114" i="119"/>
  <c r="JP114" i="119" s="1"/>
  <c r="LQ119" i="119"/>
  <c r="JO127" i="119"/>
  <c r="JP127" i="119" s="1"/>
  <c r="LQ118" i="119"/>
  <c r="JO118" i="119"/>
  <c r="JP118" i="119" s="1"/>
  <c r="LQ117" i="119"/>
  <c r="JO117" i="119"/>
  <c r="JP117" i="119" s="1"/>
  <c r="LQ108" i="119"/>
  <c r="JO108" i="119"/>
  <c r="JP108" i="119" s="1"/>
  <c r="LQ116" i="119"/>
  <c r="JO116" i="119"/>
  <c r="JP116" i="119" s="1"/>
  <c r="JO112" i="119"/>
  <c r="JP112" i="119" s="1"/>
  <c r="LQ112" i="119"/>
  <c r="JO115" i="119"/>
  <c r="JP115" i="119" s="1"/>
  <c r="LQ115" i="119"/>
  <c r="LQ106" i="119"/>
  <c r="JO106" i="119"/>
  <c r="JP106" i="119" s="1"/>
  <c r="LQ134" i="119"/>
  <c r="JO134" i="119"/>
  <c r="JP134" i="119" s="1"/>
  <c r="JO129" i="119"/>
  <c r="JP129" i="119" s="1"/>
  <c r="LQ129" i="119"/>
  <c r="LQ125" i="119"/>
  <c r="JO125" i="119"/>
  <c r="JP125" i="119" s="1"/>
  <c r="JO132" i="119"/>
  <c r="JP132" i="119" s="1"/>
  <c r="LQ132" i="119"/>
  <c r="LQ130" i="119"/>
  <c r="JO130" i="119"/>
  <c r="JP130" i="119" s="1"/>
  <c r="LQ123" i="119"/>
  <c r="JO123" i="119"/>
  <c r="JP123" i="119" s="1"/>
  <c r="LQ137" i="119"/>
  <c r="JO137" i="119"/>
  <c r="JP137" i="119" s="1"/>
  <c r="LQ131" i="119"/>
  <c r="JO131" i="119"/>
  <c r="JP131" i="119" s="1"/>
  <c r="LQ126" i="119"/>
  <c r="JO126" i="119"/>
  <c r="JP126" i="119" s="1"/>
  <c r="LQ124" i="119"/>
  <c r="JO124" i="119"/>
  <c r="JP124" i="119" s="1"/>
  <c r="LQ133" i="119"/>
  <c r="JO133" i="119"/>
  <c r="JP133" i="119" s="1"/>
  <c r="JO150" i="119"/>
  <c r="JP150" i="119" s="1"/>
  <c r="LQ150" i="119"/>
  <c r="LQ82" i="119"/>
  <c r="JO82" i="119"/>
  <c r="JP82" i="119" s="1"/>
  <c r="A145" i="119"/>
  <c r="MA135" i="119" l="1"/>
  <c r="MB135" i="119" s="1"/>
  <c r="LS135" i="119"/>
  <c r="LT135" i="119" s="1"/>
  <c r="MA136" i="119"/>
  <c r="MB136" i="119" s="1"/>
  <c r="MA110" i="119"/>
  <c r="MB110" i="119" s="1"/>
  <c r="LS136" i="119"/>
  <c r="LT136" i="119" s="1"/>
  <c r="MA105" i="119"/>
  <c r="MB105" i="119" s="1"/>
  <c r="LS105" i="119"/>
  <c r="LT105" i="119" s="1"/>
  <c r="MA107" i="119"/>
  <c r="MB107" i="119" s="1"/>
  <c r="MA109" i="119"/>
  <c r="MB109" i="119" s="1"/>
  <c r="LS110" i="119"/>
  <c r="LT110" i="119" s="1"/>
  <c r="MA119" i="119"/>
  <c r="MB119" i="119" s="1"/>
  <c r="MA122" i="119"/>
  <c r="MB122" i="119" s="1"/>
  <c r="LS122" i="119"/>
  <c r="LT122" i="119" s="1"/>
  <c r="MA120" i="119"/>
  <c r="MB120" i="119" s="1"/>
  <c r="MA121" i="119"/>
  <c r="MB121" i="119" s="1"/>
  <c r="MA127" i="119"/>
  <c r="MB127" i="119" s="1"/>
  <c r="MA114" i="119"/>
  <c r="MB114" i="119" s="1"/>
  <c r="MA111" i="119"/>
  <c r="MB111" i="119" s="1"/>
  <c r="MA113" i="119"/>
  <c r="MB113" i="119" s="1"/>
  <c r="LS113" i="119"/>
  <c r="LT113" i="119" s="1"/>
  <c r="MA128" i="119"/>
  <c r="MB128" i="119" s="1"/>
  <c r="LS128" i="119"/>
  <c r="LT128" i="119" s="1"/>
  <c r="LS119" i="119"/>
  <c r="LT119" i="119" s="1"/>
  <c r="MA115" i="119"/>
  <c r="MB115" i="119" s="1"/>
  <c r="LS115" i="119"/>
  <c r="LT115" i="119" s="1"/>
  <c r="LS112" i="119"/>
  <c r="LT112" i="119" s="1"/>
  <c r="MA112" i="119"/>
  <c r="MB112" i="119" s="1"/>
  <c r="MA108" i="119"/>
  <c r="MB108" i="119" s="1"/>
  <c r="LS108" i="119"/>
  <c r="LT108" i="119" s="1"/>
  <c r="MA106" i="119"/>
  <c r="MB106" i="119" s="1"/>
  <c r="LS106" i="119"/>
  <c r="LT106" i="119" s="1"/>
  <c r="LS117" i="119"/>
  <c r="LT117" i="119" s="1"/>
  <c r="MA117" i="119"/>
  <c r="MB117" i="119" s="1"/>
  <c r="MA116" i="119"/>
  <c r="MB116" i="119" s="1"/>
  <c r="LS116" i="119"/>
  <c r="LT116" i="119" s="1"/>
  <c r="MA118" i="119"/>
  <c r="MB118" i="119" s="1"/>
  <c r="LS118" i="119"/>
  <c r="LT118" i="119" s="1"/>
  <c r="MA133" i="119"/>
  <c r="MB133" i="119" s="1"/>
  <c r="LS133" i="119"/>
  <c r="LT133" i="119" s="1"/>
  <c r="LS123" i="119"/>
  <c r="LT123" i="119" s="1"/>
  <c r="MA123" i="119"/>
  <c r="MB123" i="119" s="1"/>
  <c r="LS134" i="119"/>
  <c r="LT134" i="119" s="1"/>
  <c r="MA134" i="119"/>
  <c r="MB134" i="119" s="1"/>
  <c r="MA124" i="119"/>
  <c r="MB124" i="119" s="1"/>
  <c r="LS124" i="119"/>
  <c r="LT124" i="119" s="1"/>
  <c r="LS130" i="119"/>
  <c r="LT130" i="119" s="1"/>
  <c r="MA130" i="119"/>
  <c r="MB130" i="119" s="1"/>
  <c r="MA126" i="119"/>
  <c r="MB126" i="119" s="1"/>
  <c r="LS126" i="119"/>
  <c r="LT126" i="119" s="1"/>
  <c r="LS129" i="119"/>
  <c r="LT129" i="119" s="1"/>
  <c r="MA129" i="119"/>
  <c r="MB129" i="119" s="1"/>
  <c r="MA137" i="119"/>
  <c r="MB137" i="119" s="1"/>
  <c r="LS137" i="119"/>
  <c r="LT137" i="119" s="1"/>
  <c r="MA132" i="119"/>
  <c r="MB132" i="119" s="1"/>
  <c r="LS132" i="119"/>
  <c r="LT132" i="119" s="1"/>
  <c r="LS125" i="119"/>
  <c r="LT125" i="119" s="1"/>
  <c r="MA125" i="119"/>
  <c r="MB125" i="119" s="1"/>
  <c r="LS131" i="119"/>
  <c r="LT131" i="119" s="1"/>
  <c r="MA131" i="119"/>
  <c r="MB131" i="119" s="1"/>
  <c r="MA150" i="119"/>
  <c r="MB150" i="119" s="1"/>
  <c r="LS150" i="119"/>
  <c r="LT150" i="119" s="1"/>
  <c r="MA82" i="119"/>
  <c r="MB82" i="119" s="1"/>
  <c r="LS82" i="119"/>
  <c r="LT82" i="119" s="1"/>
  <c r="JO70" i="119"/>
  <c r="JP70" i="119" s="1"/>
  <c r="LQ70" i="119"/>
  <c r="LQ145" i="119"/>
  <c r="JO145" i="119"/>
  <c r="JP145" i="119" s="1"/>
  <c r="MA70" i="119" l="1"/>
  <c r="MB70" i="119" s="1"/>
  <c r="LS70" i="119"/>
  <c r="LT70" i="119" s="1"/>
  <c r="MA145" i="119"/>
  <c r="MB145" i="119" s="1"/>
  <c r="LS145" i="119"/>
  <c r="LT145" i="119" s="1"/>
  <c r="LU143" i="119" l="1"/>
  <c r="FK143" i="119"/>
  <c r="DJ143" i="119"/>
  <c r="BI143" i="119"/>
  <c r="A143" i="119" l="1"/>
  <c r="JO143" i="119" l="1"/>
  <c r="JP143" i="119" s="1"/>
  <c r="LQ143" i="119" l="1"/>
  <c r="LS143" i="119" s="1"/>
  <c r="LT143" i="119" s="1"/>
  <c r="MA143" i="119" l="1"/>
  <c r="MB143" i="119" s="1"/>
  <c r="HH10" i="119"/>
  <c r="HH4" i="119" s="1"/>
  <c r="LU48" i="119"/>
  <c r="FK48" i="119"/>
  <c r="DJ48" i="119"/>
  <c r="BI48" i="119"/>
  <c r="A48" i="119" l="1"/>
  <c r="LQ48" i="119" l="1"/>
  <c r="JO48" i="119"/>
  <c r="JP48" i="119" s="1"/>
  <c r="MA48" i="119" l="1"/>
  <c r="MB48" i="119" s="1"/>
  <c r="LS48" i="119"/>
  <c r="LT48" i="119" s="1"/>
  <c r="BI52" i="119" l="1"/>
  <c r="LU52" i="119"/>
  <c r="FK52" i="119"/>
  <c r="DJ52" i="119"/>
  <c r="FZ10" i="119"/>
  <c r="FZ4" i="119" s="1"/>
  <c r="DJ32" i="119"/>
  <c r="BI32" i="119"/>
  <c r="FK32" i="119"/>
  <c r="DJ40" i="119"/>
  <c r="BI40" i="119"/>
  <c r="LU149" i="119"/>
  <c r="FK149" i="119"/>
  <c r="DJ149" i="119"/>
  <c r="BI149" i="119"/>
  <c r="LU148" i="119"/>
  <c r="FK148" i="119"/>
  <c r="DJ148" i="119"/>
  <c r="BI148" i="119"/>
  <c r="FK147" i="119"/>
  <c r="DJ147" i="119"/>
  <c r="BI147" i="119"/>
  <c r="BI144" i="119"/>
  <c r="DJ144" i="119"/>
  <c r="FK144" i="119"/>
  <c r="FK142" i="119"/>
  <c r="DJ142" i="119"/>
  <c r="BI142" i="119"/>
  <c r="FK101" i="119"/>
  <c r="DJ101" i="119"/>
  <c r="FK98" i="119"/>
  <c r="DJ98" i="119"/>
  <c r="BI98" i="119"/>
  <c r="FK97" i="119"/>
  <c r="DJ97" i="119"/>
  <c r="BI97" i="119"/>
  <c r="FK96" i="119"/>
  <c r="DJ96" i="119"/>
  <c r="BI96" i="119"/>
  <c r="BI95" i="119"/>
  <c r="FK94" i="119"/>
  <c r="DJ94" i="119"/>
  <c r="BI94" i="119"/>
  <c r="DJ93" i="119"/>
  <c r="BI93" i="119"/>
  <c r="FK92" i="119"/>
  <c r="DJ92" i="119"/>
  <c r="BI92" i="119"/>
  <c r="FK91" i="119"/>
  <c r="DJ91" i="119"/>
  <c r="BI91" i="119"/>
  <c r="DJ90" i="119"/>
  <c r="BI90" i="119"/>
  <c r="FK89" i="119"/>
  <c r="DJ89" i="119"/>
  <c r="BI89" i="119"/>
  <c r="FK88" i="119"/>
  <c r="DJ88" i="119"/>
  <c r="BI88" i="119"/>
  <c r="FK87" i="119"/>
  <c r="DJ87" i="119"/>
  <c r="FK86" i="119"/>
  <c r="BI86" i="119"/>
  <c r="DJ85" i="119"/>
  <c r="BI85" i="119"/>
  <c r="FK84" i="119"/>
  <c r="BI84" i="119"/>
  <c r="FK83" i="119"/>
  <c r="DJ83" i="119"/>
  <c r="BI83" i="119"/>
  <c r="DJ80" i="119"/>
  <c r="FK79" i="119"/>
  <c r="BI79" i="119"/>
  <c r="FK78" i="119"/>
  <c r="DJ78" i="119"/>
  <c r="BI78" i="119"/>
  <c r="FK77" i="119"/>
  <c r="DJ77" i="119"/>
  <c r="BI77" i="119"/>
  <c r="DJ76" i="119"/>
  <c r="BI76" i="119"/>
  <c r="BI75" i="119"/>
  <c r="BI74" i="119"/>
  <c r="FK73" i="119"/>
  <c r="DJ73" i="119"/>
  <c r="FK72" i="119"/>
  <c r="DJ72" i="119"/>
  <c r="BI72" i="119"/>
  <c r="FK71" i="119"/>
  <c r="BI71" i="119"/>
  <c r="FK69" i="119"/>
  <c r="DJ69" i="119"/>
  <c r="BI69" i="119"/>
  <c r="DJ68" i="119"/>
  <c r="BI68" i="119"/>
  <c r="FK67" i="119"/>
  <c r="DJ67" i="119"/>
  <c r="BI67" i="119"/>
  <c r="FK66" i="119"/>
  <c r="DJ66" i="119"/>
  <c r="BI66" i="119"/>
  <c r="FK65" i="119"/>
  <c r="DJ65" i="119"/>
  <c r="BI65" i="119"/>
  <c r="FK64" i="119"/>
  <c r="DJ64" i="119"/>
  <c r="BI64" i="119"/>
  <c r="DJ63" i="119"/>
  <c r="BI63" i="119"/>
  <c r="DJ62" i="119"/>
  <c r="FK61" i="119"/>
  <c r="DJ61" i="119"/>
  <c r="BI61" i="119"/>
  <c r="FK60" i="119"/>
  <c r="BI60" i="119"/>
  <c r="DJ59" i="119"/>
  <c r="BI59" i="119"/>
  <c r="FK58" i="119"/>
  <c r="DJ58" i="119"/>
  <c r="BI58" i="119"/>
  <c r="DJ57" i="119"/>
  <c r="BI57" i="119"/>
  <c r="FK56" i="119"/>
  <c r="DJ56" i="119"/>
  <c r="BI56" i="119"/>
  <c r="FK55" i="119"/>
  <c r="DJ55" i="119"/>
  <c r="BI55" i="119"/>
  <c r="FK54" i="119"/>
  <c r="DJ54" i="119"/>
  <c r="BI54" i="119"/>
  <c r="FK53" i="119"/>
  <c r="DJ53" i="119"/>
  <c r="BI53" i="119"/>
  <c r="FK51" i="119"/>
  <c r="DJ51" i="119"/>
  <c r="BI51" i="119"/>
  <c r="DJ50" i="119"/>
  <c r="BI50" i="119"/>
  <c r="DJ49" i="119"/>
  <c r="BI49" i="119"/>
  <c r="FK47" i="119"/>
  <c r="DJ47" i="119"/>
  <c r="BI47" i="119"/>
  <c r="FK46" i="119"/>
  <c r="DJ46" i="119"/>
  <c r="BI46" i="119"/>
  <c r="FK45" i="119"/>
  <c r="DJ44" i="119"/>
  <c r="BI44" i="119"/>
  <c r="DJ43" i="119"/>
  <c r="BI43" i="119"/>
  <c r="FK41" i="119"/>
  <c r="DJ41" i="119"/>
  <c r="BI41" i="119"/>
  <c r="FK39" i="119"/>
  <c r="DJ39" i="119"/>
  <c r="BI39" i="119"/>
  <c r="FK38" i="119"/>
  <c r="DJ38" i="119"/>
  <c r="BI38" i="119"/>
  <c r="DJ37" i="119"/>
  <c r="BI37" i="119"/>
  <c r="DJ36" i="119"/>
  <c r="BI36" i="119"/>
  <c r="FK35" i="119"/>
  <c r="DJ35" i="119"/>
  <c r="BI35" i="119"/>
  <c r="BI33" i="119"/>
  <c r="DJ33" i="119"/>
  <c r="FK33" i="119"/>
  <c r="BI34" i="119"/>
  <c r="DJ34" i="119"/>
  <c r="FK34" i="119"/>
  <c r="DJ102" i="119"/>
  <c r="FK102" i="119"/>
  <c r="DJ103" i="119"/>
  <c r="BI104" i="119"/>
  <c r="DJ104" i="119"/>
  <c r="FK104" i="119"/>
  <c r="BI138" i="119"/>
  <c r="DJ138" i="119"/>
  <c r="FK138" i="119"/>
  <c r="BI139" i="119"/>
  <c r="DJ139" i="119"/>
  <c r="BI140" i="119"/>
  <c r="DJ140" i="119"/>
  <c r="FK140" i="119"/>
  <c r="BI141" i="119"/>
  <c r="DJ141" i="119"/>
  <c r="FK141" i="119"/>
  <c r="BI146" i="119"/>
  <c r="DJ146" i="119"/>
  <c r="FK146" i="119"/>
  <c r="LU44" i="119" l="1"/>
  <c r="A52" i="119" l="1"/>
  <c r="A149" i="119"/>
  <c r="A148" i="119"/>
  <c r="LQ52" i="119" l="1"/>
  <c r="JO52" i="119"/>
  <c r="JP52" i="119" s="1"/>
  <c r="LQ149" i="119"/>
  <c r="JO149" i="119"/>
  <c r="JP149" i="119" s="1"/>
  <c r="LQ148" i="119"/>
  <c r="JO148" i="119"/>
  <c r="JP148" i="119" s="1"/>
  <c r="A44" i="119"/>
  <c r="MA52" i="119" l="1"/>
  <c r="MB52" i="119" s="1"/>
  <c r="LS52" i="119"/>
  <c r="LT52" i="119" s="1"/>
  <c r="MA148" i="119"/>
  <c r="MB148" i="119" s="1"/>
  <c r="LS148" i="119"/>
  <c r="LT148" i="119" s="1"/>
  <c r="MA149" i="119"/>
  <c r="MB149" i="119" s="1"/>
  <c r="LS149" i="119"/>
  <c r="LT149" i="119" s="1"/>
  <c r="LQ44" i="119"/>
  <c r="LS44" i="119" s="1"/>
  <c r="LT44" i="119" s="1"/>
  <c r="JO44" i="119"/>
  <c r="JP44" i="119" s="1"/>
  <c r="MA44" i="119" l="1"/>
  <c r="MB44" i="119" s="1"/>
  <c r="BI10" i="119" l="1"/>
  <c r="DJ10" i="119"/>
  <c r="FK10" i="119"/>
  <c r="FM10" i="119"/>
  <c r="FM4" i="119" s="1"/>
  <c r="FO10" i="119"/>
  <c r="FO4" i="119" s="1"/>
  <c r="FP10" i="119"/>
  <c r="FP4" i="119" s="1"/>
  <c r="FQ10" i="119"/>
  <c r="FQ4" i="119" s="1"/>
  <c r="FR10" i="119"/>
  <c r="FR4" i="119" s="1"/>
  <c r="FS10" i="119"/>
  <c r="FS4" i="119" s="1"/>
  <c r="FT10" i="119"/>
  <c r="FT4" i="119" s="1"/>
  <c r="FU10" i="119"/>
  <c r="FU4" i="119" s="1"/>
  <c r="FV10" i="119"/>
  <c r="FV4" i="119" s="1"/>
  <c r="FW10" i="119"/>
  <c r="FW4" i="119" s="1"/>
  <c r="FX10" i="119"/>
  <c r="FX4" i="119" s="1"/>
  <c r="FY10" i="119"/>
  <c r="FY4" i="119" s="1"/>
  <c r="GA10" i="119"/>
  <c r="GA4" i="119" s="1"/>
  <c r="GB10" i="119"/>
  <c r="GB4" i="119" s="1"/>
  <c r="GC10" i="119"/>
  <c r="GC4" i="119" s="1"/>
  <c r="GD10" i="119"/>
  <c r="GD4" i="119" s="1"/>
  <c r="GE10" i="119"/>
  <c r="GE4" i="119" s="1"/>
  <c r="GF10" i="119"/>
  <c r="GF4" i="119" s="1"/>
  <c r="GG10" i="119"/>
  <c r="GG4" i="119" s="1"/>
  <c r="GH10" i="119"/>
  <c r="GH4" i="119" s="1"/>
  <c r="GI10" i="119"/>
  <c r="GI4" i="119" s="1"/>
  <c r="GL10" i="119"/>
  <c r="GL4" i="119" s="1"/>
  <c r="GM10" i="119"/>
  <c r="GM4" i="119" s="1"/>
  <c r="GN10" i="119"/>
  <c r="GN4" i="119" s="1"/>
  <c r="GO10" i="119"/>
  <c r="GO4" i="119" s="1"/>
  <c r="GP10" i="119"/>
  <c r="GP4" i="119" s="1"/>
  <c r="GQ10" i="119"/>
  <c r="GQ4" i="119" s="1"/>
  <c r="GR10" i="119"/>
  <c r="GR4" i="119" s="1"/>
  <c r="GS10" i="119"/>
  <c r="GS4" i="119" s="1"/>
  <c r="GT10" i="119"/>
  <c r="GT4" i="119" s="1"/>
  <c r="GU10" i="119"/>
  <c r="GU4" i="119" s="1"/>
  <c r="GV10" i="119"/>
  <c r="GV4" i="119" s="1"/>
  <c r="GX10" i="119"/>
  <c r="GX4" i="119" s="1"/>
  <c r="GY10" i="119"/>
  <c r="GY4" i="119" s="1"/>
  <c r="GZ10" i="119"/>
  <c r="GZ4" i="119" s="1"/>
  <c r="HA10" i="119"/>
  <c r="HA4" i="119" s="1"/>
  <c r="HB10" i="119"/>
  <c r="HB4" i="119" s="1"/>
  <c r="HC10" i="119"/>
  <c r="HC4" i="119" s="1"/>
  <c r="HD10" i="119"/>
  <c r="HD4" i="119" s="1"/>
  <c r="HF10" i="119"/>
  <c r="HF4" i="119" s="1"/>
  <c r="HI10" i="119"/>
  <c r="HI4" i="119" s="1"/>
  <c r="HJ10" i="119"/>
  <c r="HJ4" i="119" s="1"/>
  <c r="HK10" i="119"/>
  <c r="HK4" i="119" s="1"/>
  <c r="HL10" i="119"/>
  <c r="HL4" i="119" s="1"/>
  <c r="LU10" i="119"/>
  <c r="BI11" i="119"/>
  <c r="DJ11" i="119"/>
  <c r="FK11" i="119"/>
  <c r="LU11" i="119"/>
  <c r="LU12" i="119"/>
  <c r="BI14" i="119"/>
  <c r="DJ14" i="119"/>
  <c r="LU14" i="119"/>
  <c r="DJ15" i="119"/>
  <c r="FK15" i="119"/>
  <c r="LU15" i="119"/>
  <c r="BI16" i="119"/>
  <c r="DJ16" i="119"/>
  <c r="FK16" i="119"/>
  <c r="LU16" i="119"/>
  <c r="BI17" i="119"/>
  <c r="DJ17" i="119"/>
  <c r="FK17" i="119"/>
  <c r="LU17" i="119"/>
  <c r="BI18" i="119"/>
  <c r="DJ18" i="119"/>
  <c r="LU18" i="119"/>
  <c r="BI19" i="119"/>
  <c r="DJ19" i="119"/>
  <c r="LU19" i="119"/>
  <c r="BI20" i="119"/>
  <c r="FK20" i="119"/>
  <c r="LU20" i="119"/>
  <c r="BI21" i="119"/>
  <c r="DJ21" i="119"/>
  <c r="FK21" i="119"/>
  <c r="LU21" i="119"/>
  <c r="BI22" i="119"/>
  <c r="DJ22" i="119"/>
  <c r="FK22" i="119"/>
  <c r="LU22" i="119"/>
  <c r="FK23" i="119"/>
  <c r="LU23" i="119"/>
  <c r="BI24" i="119"/>
  <c r="DJ24" i="119"/>
  <c r="FK24" i="119"/>
  <c r="LU24" i="119"/>
  <c r="BI25" i="119"/>
  <c r="DJ25" i="119"/>
  <c r="LU25" i="119"/>
  <c r="BI26" i="119"/>
  <c r="DJ26" i="119"/>
  <c r="FK26" i="119"/>
  <c r="LU26" i="119"/>
  <c r="BI27" i="119"/>
  <c r="DJ27" i="119"/>
  <c r="FK27" i="119"/>
  <c r="LU27" i="119"/>
  <c r="DJ28" i="119"/>
  <c r="LU28" i="119"/>
  <c r="BI29" i="119"/>
  <c r="DJ29" i="119"/>
  <c r="FK29" i="119"/>
  <c r="LU29" i="119"/>
  <c r="BI30" i="119"/>
  <c r="DJ30" i="119"/>
  <c r="FK30" i="119"/>
  <c r="LU30" i="119"/>
  <c r="BI31" i="119"/>
  <c r="DJ31" i="119"/>
  <c r="FK31" i="119"/>
  <c r="LU31" i="119"/>
  <c r="LU32" i="119"/>
  <c r="LU33" i="119"/>
  <c r="LU34" i="119"/>
  <c r="LU35" i="119"/>
  <c r="LU36" i="119"/>
  <c r="LU37" i="119"/>
  <c r="LU38" i="119"/>
  <c r="LU39" i="119"/>
  <c r="LU40" i="119"/>
  <c r="LU41" i="119"/>
  <c r="LU43" i="119"/>
  <c r="LU45" i="119"/>
  <c r="LU46" i="119"/>
  <c r="LU47" i="119"/>
  <c r="LU49" i="119"/>
  <c r="LU50" i="119"/>
  <c r="LU51" i="119"/>
  <c r="LU53" i="119"/>
  <c r="LU54" i="119"/>
  <c r="LU55" i="119"/>
  <c r="LU56" i="119"/>
  <c r="LU57" i="119"/>
  <c r="LU58" i="119"/>
  <c r="LU59" i="119"/>
  <c r="LU60" i="119"/>
  <c r="LU61" i="119"/>
  <c r="LU62" i="119"/>
  <c r="LU63" i="119"/>
  <c r="LU64" i="119"/>
  <c r="LU65" i="119"/>
  <c r="LU66" i="119"/>
  <c r="LU67" i="119"/>
  <c r="LU68" i="119"/>
  <c r="LU69" i="119"/>
  <c r="LU71" i="119"/>
  <c r="LU72" i="119"/>
  <c r="LU73" i="119"/>
  <c r="LU74" i="119"/>
  <c r="LU75" i="119"/>
  <c r="LU76" i="119"/>
  <c r="LU77" i="119"/>
  <c r="LU78" i="119"/>
  <c r="LU79" i="119"/>
  <c r="LU80" i="119"/>
  <c r="LU83" i="119"/>
  <c r="LU84" i="119"/>
  <c r="LU85" i="119"/>
  <c r="LU86" i="119"/>
  <c r="LU87" i="119"/>
  <c r="LU88" i="119"/>
  <c r="LU89" i="119"/>
  <c r="LU90" i="119"/>
  <c r="LU91" i="119"/>
  <c r="LU92" i="119"/>
  <c r="LU93" i="119"/>
  <c r="LU94" i="119"/>
  <c r="LU95" i="119"/>
  <c r="LU96" i="119"/>
  <c r="LU97" i="119"/>
  <c r="LU98" i="119"/>
  <c r="LU101" i="119"/>
  <c r="LU102" i="119"/>
  <c r="LU103" i="119"/>
  <c r="LU104" i="119"/>
  <c r="LU138" i="119"/>
  <c r="LU139" i="119"/>
  <c r="LU140" i="119"/>
  <c r="LU141" i="119"/>
  <c r="LU147" i="119"/>
  <c r="LU146" i="119"/>
  <c r="LU144" i="119"/>
  <c r="LU142" i="119"/>
  <c r="LR6" i="119"/>
  <c r="HN5" i="119"/>
  <c r="EY3" i="119"/>
  <c r="BZ3" i="119"/>
  <c r="BY3" i="119"/>
  <c r="CA3" i="119" l="1"/>
  <c r="CC3" i="119" s="1"/>
  <c r="A24" i="119"/>
  <c r="HM10" i="119"/>
  <c r="HM4" i="119" s="1"/>
  <c r="LU6" i="119"/>
  <c r="HP10" i="119" l="1"/>
  <c r="JG10" i="119"/>
  <c r="A32" i="119"/>
  <c r="IY10" i="119"/>
  <c r="IL10" i="119"/>
  <c r="HO10" i="119"/>
  <c r="IM10" i="119"/>
  <c r="A89" i="119"/>
  <c r="JJ10" i="119"/>
  <c r="JI10" i="119"/>
  <c r="A16" i="119"/>
  <c r="JK10" i="119"/>
  <c r="A58" i="119"/>
  <c r="A64" i="119"/>
  <c r="A34" i="119"/>
  <c r="A65" i="119"/>
  <c r="A33" i="119"/>
  <c r="A67" i="119"/>
  <c r="A61" i="119"/>
  <c r="A31" i="119"/>
  <c r="A59" i="119"/>
  <c r="A78" i="119"/>
  <c r="A57" i="119"/>
  <c r="A37" i="119"/>
  <c r="A80" i="119"/>
  <c r="A10" i="119"/>
  <c r="IB10" i="119"/>
  <c r="A54" i="119"/>
  <c r="A69" i="119"/>
  <c r="A15" i="119"/>
  <c r="A39" i="119"/>
  <c r="A18" i="119"/>
  <c r="A25" i="119"/>
  <c r="A49" i="119"/>
  <c r="A140" i="119"/>
  <c r="A96" i="119"/>
  <c r="A98" i="119"/>
  <c r="A141" i="119"/>
  <c r="A138" i="119"/>
  <c r="A146" i="119"/>
  <c r="A139" i="119"/>
  <c r="A103" i="119"/>
  <c r="A104" i="119"/>
  <c r="A147" i="119"/>
  <c r="A97" i="119"/>
  <c r="A102" i="119"/>
  <c r="A144" i="119"/>
  <c r="A142" i="119"/>
  <c r="A101" i="119"/>
  <c r="A92" i="119"/>
  <c r="A94" i="119"/>
  <c r="A95" i="119"/>
  <c r="A90" i="119"/>
  <c r="A91" i="119"/>
  <c r="A93" i="119"/>
  <c r="A38" i="119"/>
  <c r="JL10" i="119"/>
  <c r="JA10" i="119"/>
  <c r="IA10" i="119"/>
  <c r="A87" i="119"/>
  <c r="IN10" i="119"/>
  <c r="IT10" i="119"/>
  <c r="A86" i="119"/>
  <c r="IP10" i="119"/>
  <c r="JH10" i="119"/>
  <c r="JC10" i="119"/>
  <c r="HS10" i="119"/>
  <c r="HY10" i="119"/>
  <c r="IH10" i="119"/>
  <c r="A55" i="119"/>
  <c r="A30" i="119"/>
  <c r="A84" i="119"/>
  <c r="A19" i="119"/>
  <c r="IV10" i="119"/>
  <c r="A22" i="119"/>
  <c r="A63" i="119"/>
  <c r="A51" i="119"/>
  <c r="A68" i="119"/>
  <c r="A71" i="119"/>
  <c r="A75" i="119"/>
  <c r="A12" i="119"/>
  <c r="A56" i="119"/>
  <c r="A43" i="119"/>
  <c r="A66" i="119"/>
  <c r="A79" i="119"/>
  <c r="A73" i="119"/>
  <c r="A41" i="119"/>
  <c r="A27" i="119"/>
  <c r="A26" i="119"/>
  <c r="A36" i="119"/>
  <c r="A40" i="119"/>
  <c r="A45" i="119"/>
  <c r="A72" i="119"/>
  <c r="A14" i="119"/>
  <c r="A83" i="119"/>
  <c r="A23" i="119"/>
  <c r="A47" i="119"/>
  <c r="A50" i="119"/>
  <c r="A62" i="119"/>
  <c r="A28" i="119"/>
  <c r="A46" i="119"/>
  <c r="A77" i="119"/>
  <c r="A74" i="119"/>
  <c r="A76" i="119"/>
  <c r="A85" i="119"/>
  <c r="A17" i="119"/>
  <c r="A11" i="119"/>
  <c r="A29" i="119"/>
  <c r="A21" i="119"/>
  <c r="A35" i="119"/>
  <c r="A60" i="119"/>
  <c r="A53" i="119"/>
  <c r="IU10" i="119"/>
  <c r="A20" i="119"/>
  <c r="A88" i="119"/>
  <c r="IC10" i="119"/>
  <c r="IQ10" i="119"/>
  <c r="JD10" i="119"/>
  <c r="HQ10" i="119"/>
  <c r="ID10" i="119"/>
  <c r="IR10" i="119"/>
  <c r="JE10" i="119"/>
  <c r="HR10" i="119"/>
  <c r="IE10" i="119"/>
  <c r="IS10" i="119"/>
  <c r="JF10" i="119"/>
  <c r="HV10" i="119"/>
  <c r="II10" i="119"/>
  <c r="IW10" i="119"/>
  <c r="JM10" i="119"/>
  <c r="HX10" i="119"/>
  <c r="IK10" i="119"/>
  <c r="IZ10" i="119"/>
  <c r="HZ10" i="119"/>
  <c r="IO10" i="119"/>
  <c r="JB10" i="119"/>
  <c r="JN10" i="119"/>
  <c r="IX10" i="119"/>
  <c r="HW10" i="119"/>
  <c r="IJ10" i="119"/>
  <c r="HU10" i="119"/>
  <c r="IF10" i="119"/>
  <c r="IG10" i="119"/>
  <c r="HT10" i="119"/>
  <c r="JX10" i="119" l="1"/>
  <c r="JX4" i="119" s="1"/>
  <c r="HV4" i="119"/>
  <c r="JR10" i="119"/>
  <c r="JR4" i="119" s="1"/>
  <c r="HP4" i="119"/>
  <c r="KK10" i="119"/>
  <c r="KK4" i="119" s="1"/>
  <c r="II4" i="119"/>
  <c r="LG10" i="119"/>
  <c r="LG4" i="119" s="1"/>
  <c r="JE4" i="119"/>
  <c r="LC10" i="119"/>
  <c r="LC4" i="119" s="1"/>
  <c r="JA4" i="119"/>
  <c r="KF10" i="119"/>
  <c r="KF4" i="119" s="1"/>
  <c r="ID4" i="119"/>
  <c r="KO10" i="119"/>
  <c r="KO4" i="119" s="1"/>
  <c r="IM4" i="119"/>
  <c r="KR10" i="119"/>
  <c r="KR4" i="119" s="1"/>
  <c r="IP4" i="119"/>
  <c r="JW10" i="119"/>
  <c r="JW4" i="119" s="1"/>
  <c r="HU4" i="119"/>
  <c r="JT10" i="119"/>
  <c r="JT4" i="119" s="1"/>
  <c r="HR4" i="119"/>
  <c r="LP10" i="119"/>
  <c r="LP4" i="119" s="1"/>
  <c r="JN4" i="119"/>
  <c r="LL10" i="119"/>
  <c r="LL4" i="119" s="1"/>
  <c r="JJ4" i="119"/>
  <c r="KQ10" i="119"/>
  <c r="KQ4" i="119" s="1"/>
  <c r="IO4" i="119"/>
  <c r="JQ10" i="119"/>
  <c r="JQ4" i="119" s="1"/>
  <c r="HO4" i="119"/>
  <c r="JV10" i="119"/>
  <c r="JV4" i="119" s="1"/>
  <c r="HT4" i="119"/>
  <c r="KI10" i="119"/>
  <c r="KI4" i="119" s="1"/>
  <c r="IG4" i="119"/>
  <c r="KU10" i="119"/>
  <c r="KU4" i="119" s="1"/>
  <c r="IS4" i="119"/>
  <c r="KP10" i="119"/>
  <c r="KP4" i="119" s="1"/>
  <c r="IN4" i="119"/>
  <c r="JY10" i="119"/>
  <c r="JY4" i="119" s="1"/>
  <c r="HW4" i="119"/>
  <c r="KD10" i="119"/>
  <c r="KD4" i="119" s="1"/>
  <c r="IB4" i="119"/>
  <c r="KX10" i="119"/>
  <c r="KX4" i="119" s="1"/>
  <c r="IV4" i="119"/>
  <c r="KT10" i="119"/>
  <c r="KT4" i="119" s="1"/>
  <c r="IR4" i="119"/>
  <c r="LN10" i="119"/>
  <c r="LN4" i="119" s="1"/>
  <c r="JL4" i="119"/>
  <c r="KJ10" i="119"/>
  <c r="KJ4" i="119" s="1"/>
  <c r="IH4" i="119"/>
  <c r="KN10" i="119"/>
  <c r="KN4" i="119" s="1"/>
  <c r="IL4" i="119"/>
  <c r="KY10" i="119"/>
  <c r="KY4" i="119" s="1"/>
  <c r="IW4" i="119"/>
  <c r="KL10" i="119"/>
  <c r="KL4" i="119" s="1"/>
  <c r="IJ4" i="119"/>
  <c r="KC10" i="119"/>
  <c r="KC4" i="119" s="1"/>
  <c r="IA4" i="119"/>
  <c r="LD10" i="119"/>
  <c r="LD4" i="119" s="1"/>
  <c r="JB4" i="119"/>
  <c r="JS10" i="119"/>
  <c r="JS4" i="119" s="1"/>
  <c r="HQ4" i="119"/>
  <c r="KB10" i="119"/>
  <c r="KB4" i="119" s="1"/>
  <c r="HZ4" i="119"/>
  <c r="LB10" i="119"/>
  <c r="LB4" i="119" s="1"/>
  <c r="IZ4" i="119"/>
  <c r="KM10" i="119"/>
  <c r="KM4" i="119" s="1"/>
  <c r="IK4" i="119"/>
  <c r="KE10" i="119"/>
  <c r="KE4" i="119" s="1"/>
  <c r="IC4" i="119"/>
  <c r="KA10" i="119"/>
  <c r="KA4" i="119" s="1"/>
  <c r="HY4" i="119"/>
  <c r="LA10" i="119"/>
  <c r="LA4" i="119" s="1"/>
  <c r="IY4" i="119"/>
  <c r="LH10" i="119"/>
  <c r="LH4" i="119" s="1"/>
  <c r="JF4" i="119"/>
  <c r="KV10" i="119"/>
  <c r="KV4" i="119" s="1"/>
  <c r="IT4" i="119"/>
  <c r="LF10" i="119"/>
  <c r="LF4" i="119" s="1"/>
  <c r="JD4" i="119"/>
  <c r="KS10" i="119"/>
  <c r="KS4" i="119" s="1"/>
  <c r="IQ4" i="119"/>
  <c r="JZ10" i="119"/>
  <c r="JZ4" i="119" s="1"/>
  <c r="HX4" i="119"/>
  <c r="JU10" i="119"/>
  <c r="JU4" i="119" s="1"/>
  <c r="HS4" i="119"/>
  <c r="LJ10" i="119"/>
  <c r="LJ4" i="119" s="1"/>
  <c r="JH4" i="119"/>
  <c r="KH10" i="119"/>
  <c r="KH4" i="119" s="1"/>
  <c r="IF4" i="119"/>
  <c r="KG10" i="119"/>
  <c r="KG4" i="119" s="1"/>
  <c r="IE4" i="119"/>
  <c r="LM10" i="119"/>
  <c r="LM4" i="119" s="1"/>
  <c r="JK4" i="119"/>
  <c r="KZ10" i="119"/>
  <c r="KZ4" i="119" s="1"/>
  <c r="IX4" i="119"/>
  <c r="LK10" i="119"/>
  <c r="LK4" i="119" s="1"/>
  <c r="JI4" i="119"/>
  <c r="LO10" i="119"/>
  <c r="LO4" i="119" s="1"/>
  <c r="JM4" i="119"/>
  <c r="LE10" i="119"/>
  <c r="LE4" i="119" s="1"/>
  <c r="JC4" i="119"/>
  <c r="LI10" i="119"/>
  <c r="LI4" i="119" s="1"/>
  <c r="JG4" i="119"/>
  <c r="KW10" i="119"/>
  <c r="KW4" i="119" s="1"/>
  <c r="IU4" i="119"/>
  <c r="LQ69" i="119"/>
  <c r="LS69" i="119" s="1"/>
  <c r="LT69" i="119" s="1"/>
  <c r="LQ50" i="119"/>
  <c r="LS50" i="119" s="1"/>
  <c r="LT50" i="119" s="1"/>
  <c r="JO50" i="119"/>
  <c r="JP50" i="119" s="1"/>
  <c r="JO49" i="119"/>
  <c r="JP49" i="119" s="1"/>
  <c r="JO67" i="119"/>
  <c r="JP67" i="119" s="1"/>
  <c r="LQ66" i="119"/>
  <c r="LS66" i="119" s="1"/>
  <c r="LT66" i="119" s="1"/>
  <c r="JO66" i="119"/>
  <c r="JP66" i="119" s="1"/>
  <c r="JO68" i="119"/>
  <c r="JP68" i="119" s="1"/>
  <c r="JO69" i="119"/>
  <c r="JP69" i="119" s="1"/>
  <c r="LQ49" i="119"/>
  <c r="LQ68" i="119"/>
  <c r="JO95" i="119"/>
  <c r="JP95" i="119" s="1"/>
  <c r="LQ90" i="119"/>
  <c r="LS90" i="119" s="1"/>
  <c r="LT90" i="119" s="1"/>
  <c r="LQ67" i="119"/>
  <c r="LS67" i="119" s="1"/>
  <c r="LT67" i="119" s="1"/>
  <c r="LQ95" i="119"/>
  <c r="LS95" i="119" s="1"/>
  <c r="LT95" i="119" s="1"/>
  <c r="JO90" i="119"/>
  <c r="JP90" i="119" s="1"/>
  <c r="JO76" i="119"/>
  <c r="JP76" i="119" s="1"/>
  <c r="LQ87" i="119"/>
  <c r="LS87" i="119" s="1"/>
  <c r="LT87" i="119" s="1"/>
  <c r="LQ39" i="119"/>
  <c r="JO87" i="119"/>
  <c r="JP87" i="119" s="1"/>
  <c r="LQ76" i="119"/>
  <c r="LS76" i="119" s="1"/>
  <c r="LT76" i="119" s="1"/>
  <c r="JO39" i="119"/>
  <c r="JP39" i="119" s="1"/>
  <c r="JO38" i="119"/>
  <c r="JP38" i="119" s="1"/>
  <c r="LQ38" i="119"/>
  <c r="LQ98" i="119"/>
  <c r="LS98" i="119" s="1"/>
  <c r="LT98" i="119" s="1"/>
  <c r="JO41" i="119"/>
  <c r="JP41" i="119" s="1"/>
  <c r="LQ41" i="119"/>
  <c r="LS41" i="119" s="1"/>
  <c r="LT41" i="119" s="1"/>
  <c r="LQ86" i="119"/>
  <c r="LQ25" i="119"/>
  <c r="LS25" i="119" s="1"/>
  <c r="LT25" i="119" s="1"/>
  <c r="LQ83" i="119"/>
  <c r="LS83" i="119" s="1"/>
  <c r="LT83" i="119" s="1"/>
  <c r="JO86" i="119"/>
  <c r="JP86" i="119" s="1"/>
  <c r="JO98" i="119"/>
  <c r="JP98" i="119" s="1"/>
  <c r="JO57" i="119"/>
  <c r="JP57" i="119" s="1"/>
  <c r="LQ57" i="119"/>
  <c r="LS57" i="119" s="1"/>
  <c r="LT57" i="119" s="1"/>
  <c r="JO83" i="119"/>
  <c r="JP83" i="119" s="1"/>
  <c r="JO140" i="119"/>
  <c r="JP140" i="119" s="1"/>
  <c r="LQ140" i="119"/>
  <c r="LS140" i="119" s="1"/>
  <c r="LT140" i="119" s="1"/>
  <c r="JO75" i="119"/>
  <c r="JP75" i="119" s="1"/>
  <c r="LQ75" i="119"/>
  <c r="LQ58" i="119"/>
  <c r="LS58" i="119" s="1"/>
  <c r="LT58" i="119" s="1"/>
  <c r="LQ72" i="119"/>
  <c r="JO58" i="119"/>
  <c r="JP58" i="119" s="1"/>
  <c r="JO72" i="119"/>
  <c r="JP72" i="119" s="1"/>
  <c r="JO31" i="119"/>
  <c r="JP31" i="119" s="1"/>
  <c r="LQ31" i="119"/>
  <c r="JO138" i="119"/>
  <c r="JP138" i="119" s="1"/>
  <c r="LQ138" i="119"/>
  <c r="LQ51" i="119"/>
  <c r="JO51" i="119"/>
  <c r="JP51" i="119" s="1"/>
  <c r="JO56" i="119"/>
  <c r="JP56" i="119" s="1"/>
  <c r="LQ11" i="119"/>
  <c r="JO11" i="119"/>
  <c r="JP11" i="119" s="1"/>
  <c r="JO10" i="119"/>
  <c r="JO79" i="119"/>
  <c r="JP79" i="119" s="1"/>
  <c r="LQ79" i="119"/>
  <c r="JO93" i="119"/>
  <c r="JP93" i="119" s="1"/>
  <c r="LQ93" i="119"/>
  <c r="JO101" i="119"/>
  <c r="JP101" i="119" s="1"/>
  <c r="LQ101" i="119"/>
  <c r="JO35" i="119"/>
  <c r="JP35" i="119" s="1"/>
  <c r="LQ35" i="119"/>
  <c r="JO55" i="119"/>
  <c r="JP55" i="119" s="1"/>
  <c r="LQ55" i="119"/>
  <c r="JO28" i="119"/>
  <c r="JP28" i="119" s="1"/>
  <c r="LQ28" i="119"/>
  <c r="JO27" i="119"/>
  <c r="JP27" i="119" s="1"/>
  <c r="LQ27" i="119"/>
  <c r="JO74" i="119"/>
  <c r="JP74" i="119" s="1"/>
  <c r="LQ74" i="119"/>
  <c r="JO40" i="119"/>
  <c r="JP40" i="119" s="1"/>
  <c r="LQ40" i="119"/>
  <c r="JO46" i="119"/>
  <c r="JP46" i="119" s="1"/>
  <c r="LQ46" i="119"/>
  <c r="JO19" i="119"/>
  <c r="JP19" i="119" s="1"/>
  <c r="LQ19" i="119"/>
  <c r="JO71" i="119"/>
  <c r="JP71" i="119" s="1"/>
  <c r="LQ71" i="119"/>
  <c r="JO88" i="119"/>
  <c r="JP88" i="119" s="1"/>
  <c r="LQ88" i="119"/>
  <c r="JO97" i="119"/>
  <c r="JP97" i="119" s="1"/>
  <c r="LQ85" i="119"/>
  <c r="JO26" i="119"/>
  <c r="JP26" i="119" s="1"/>
  <c r="LQ26" i="119"/>
  <c r="JO15" i="119"/>
  <c r="JP15" i="119" s="1"/>
  <c r="LQ15" i="119"/>
  <c r="LQ102" i="119"/>
  <c r="LQ97" i="119"/>
  <c r="JO85" i="119"/>
  <c r="JP85" i="119" s="1"/>
  <c r="JO30" i="119"/>
  <c r="JP30" i="119" s="1"/>
  <c r="LQ30" i="119"/>
  <c r="LQ16" i="119"/>
  <c r="JO63" i="119"/>
  <c r="JP63" i="119" s="1"/>
  <c r="LQ63" i="119"/>
  <c r="JO102" i="119"/>
  <c r="JP102" i="119" s="1"/>
  <c r="LQ37" i="119"/>
  <c r="JO37" i="119"/>
  <c r="JP37" i="119" s="1"/>
  <c r="LQ103" i="119"/>
  <c r="LQ62" i="119"/>
  <c r="JO62" i="119"/>
  <c r="JP62" i="119" s="1"/>
  <c r="JO16" i="119"/>
  <c r="JP16" i="119" s="1"/>
  <c r="LQ45" i="119"/>
  <c r="JO45" i="119"/>
  <c r="JP45" i="119" s="1"/>
  <c r="LQ22" i="119"/>
  <c r="JO22" i="119"/>
  <c r="JP22" i="119" s="1"/>
  <c r="JO141" i="119"/>
  <c r="JP141" i="119" s="1"/>
  <c r="LQ141" i="119"/>
  <c r="JO59" i="119"/>
  <c r="JP59" i="119" s="1"/>
  <c r="LQ59" i="119"/>
  <c r="JO34" i="119"/>
  <c r="JP34" i="119" s="1"/>
  <c r="LQ34" i="119"/>
  <c r="JO103" i="119"/>
  <c r="JP103" i="119" s="1"/>
  <c r="LQ78" i="119"/>
  <c r="JO23" i="119"/>
  <c r="JP23" i="119" s="1"/>
  <c r="LQ23" i="119"/>
  <c r="JO89" i="119"/>
  <c r="JP89" i="119" s="1"/>
  <c r="LQ89" i="119"/>
  <c r="LQ53" i="119"/>
  <c r="JO53" i="119"/>
  <c r="JP53" i="119" s="1"/>
  <c r="LQ47" i="119"/>
  <c r="JO47" i="119"/>
  <c r="JP47" i="119" s="1"/>
  <c r="JO91" i="119"/>
  <c r="JP91" i="119" s="1"/>
  <c r="LQ91" i="119"/>
  <c r="JO25" i="119"/>
  <c r="JP25" i="119" s="1"/>
  <c r="JO24" i="119"/>
  <c r="JP24" i="119" s="1"/>
  <c r="LQ24" i="119"/>
  <c r="LQ21" i="119"/>
  <c r="JO21" i="119"/>
  <c r="JP21" i="119" s="1"/>
  <c r="JO78" i="119"/>
  <c r="JP78" i="119" s="1"/>
  <c r="JO20" i="119"/>
  <c r="JP20" i="119" s="1"/>
  <c r="LQ20" i="119"/>
  <c r="JO94" i="119"/>
  <c r="JP94" i="119" s="1"/>
  <c r="LQ94" i="119"/>
  <c r="JO84" i="119"/>
  <c r="JP84" i="119" s="1"/>
  <c r="LQ84" i="119"/>
  <c r="JO65" i="119"/>
  <c r="JP65" i="119" s="1"/>
  <c r="LQ65" i="119"/>
  <c r="LQ12" i="119"/>
  <c r="JO12" i="119"/>
  <c r="JP12" i="119" s="1"/>
  <c r="LQ104" i="119"/>
  <c r="LQ64" i="119"/>
  <c r="JO64" i="119"/>
  <c r="JP64" i="119" s="1"/>
  <c r="LQ80" i="119"/>
  <c r="JO29" i="119"/>
  <c r="JP29" i="119" s="1"/>
  <c r="LQ29" i="119"/>
  <c r="JO18" i="119"/>
  <c r="JP18" i="119" s="1"/>
  <c r="LQ18" i="119"/>
  <c r="LQ73" i="119"/>
  <c r="JO36" i="119"/>
  <c r="JP36" i="119" s="1"/>
  <c r="JO32" i="119"/>
  <c r="JP32" i="119" s="1"/>
  <c r="LQ32" i="119"/>
  <c r="JO104" i="119"/>
  <c r="JP104" i="119" s="1"/>
  <c r="JO80" i="119"/>
  <c r="JP80" i="119" s="1"/>
  <c r="LQ33" i="119"/>
  <c r="JO33" i="119"/>
  <c r="JP33" i="119" s="1"/>
  <c r="JO73" i="119"/>
  <c r="JP73" i="119" s="1"/>
  <c r="JO60" i="119"/>
  <c r="JP60" i="119" s="1"/>
  <c r="LQ60" i="119"/>
  <c r="LQ36" i="119"/>
  <c r="JO77" i="119"/>
  <c r="JP77" i="119" s="1"/>
  <c r="LQ77" i="119"/>
  <c r="JO54" i="119"/>
  <c r="JP54" i="119" s="1"/>
  <c r="LQ54" i="119"/>
  <c r="LQ43" i="119"/>
  <c r="JO14" i="119"/>
  <c r="JP14" i="119" s="1"/>
  <c r="LQ14" i="119"/>
  <c r="JO139" i="119"/>
  <c r="JP139" i="119" s="1"/>
  <c r="LQ139" i="119"/>
  <c r="LQ92" i="119"/>
  <c r="JO92" i="119"/>
  <c r="JP92" i="119" s="1"/>
  <c r="JO96" i="119"/>
  <c r="JP96" i="119" s="1"/>
  <c r="LQ96" i="119"/>
  <c r="JO17" i="119"/>
  <c r="JP17" i="119" s="1"/>
  <c r="LQ17" i="119"/>
  <c r="LQ56" i="119"/>
  <c r="JO61" i="119"/>
  <c r="JP61" i="119" s="1"/>
  <c r="LQ61" i="119"/>
  <c r="JO43" i="119"/>
  <c r="JP43" i="119" s="1"/>
  <c r="LQ147" i="119"/>
  <c r="JO147" i="119"/>
  <c r="JP147" i="119" s="1"/>
  <c r="LQ142" i="119"/>
  <c r="JO142" i="119"/>
  <c r="JP142" i="119" s="1"/>
  <c r="JO146" i="119"/>
  <c r="JP146" i="119" s="1"/>
  <c r="LQ146" i="119"/>
  <c r="JO144" i="119"/>
  <c r="JP144" i="119" s="1"/>
  <c r="LQ144" i="119"/>
  <c r="JP10" i="119" l="1"/>
  <c r="JP4" i="119" s="1"/>
  <c r="JO4" i="119"/>
  <c r="LQ10" i="119"/>
  <c r="LS10" i="119" s="1"/>
  <c r="LT10" i="119" s="1"/>
  <c r="MA49" i="119"/>
  <c r="MB49" i="119" s="1"/>
  <c r="MA69" i="119"/>
  <c r="MB69" i="119" s="1"/>
  <c r="MA50" i="119"/>
  <c r="MB50" i="119" s="1"/>
  <c r="MA66" i="119"/>
  <c r="MB66" i="119" s="1"/>
  <c r="MA68" i="119"/>
  <c r="MB68" i="119" s="1"/>
  <c r="LS49" i="119"/>
  <c r="LT49" i="119" s="1"/>
  <c r="MA87" i="119"/>
  <c r="MB87" i="119" s="1"/>
  <c r="LS68" i="119"/>
  <c r="LT68" i="119" s="1"/>
  <c r="MA67" i="119"/>
  <c r="MB67" i="119" s="1"/>
  <c r="MA86" i="119"/>
  <c r="MB86" i="119" s="1"/>
  <c r="MA39" i="119"/>
  <c r="MB39" i="119" s="1"/>
  <c r="MA90" i="119"/>
  <c r="MB90" i="119" s="1"/>
  <c r="MA95" i="119"/>
  <c r="MB95" i="119" s="1"/>
  <c r="LS39" i="119"/>
  <c r="LT39" i="119" s="1"/>
  <c r="MA38" i="119"/>
  <c r="MB38" i="119" s="1"/>
  <c r="LS86" i="119"/>
  <c r="LT86" i="119" s="1"/>
  <c r="MA76" i="119"/>
  <c r="MB76" i="119" s="1"/>
  <c r="LS38" i="119"/>
  <c r="LT38" i="119" s="1"/>
  <c r="MA72" i="119"/>
  <c r="MB72" i="119" s="1"/>
  <c r="MA83" i="119"/>
  <c r="MB83" i="119" s="1"/>
  <c r="LS72" i="119"/>
  <c r="LT72" i="119" s="1"/>
  <c r="MA41" i="119"/>
  <c r="MB41" i="119" s="1"/>
  <c r="MA31" i="119"/>
  <c r="MB31" i="119" s="1"/>
  <c r="MA98" i="119"/>
  <c r="MB98" i="119" s="1"/>
  <c r="MA58" i="119"/>
  <c r="MB58" i="119" s="1"/>
  <c r="MA57" i="119"/>
  <c r="MB57" i="119" s="1"/>
  <c r="MA75" i="119"/>
  <c r="MB75" i="119" s="1"/>
  <c r="LS31" i="119"/>
  <c r="LT31" i="119" s="1"/>
  <c r="LS75" i="119"/>
  <c r="LT75" i="119" s="1"/>
  <c r="MA140" i="119"/>
  <c r="MB140" i="119" s="1"/>
  <c r="LS29" i="119"/>
  <c r="LT29" i="119" s="1"/>
  <c r="MA29" i="119"/>
  <c r="MB29" i="119" s="1"/>
  <c r="MA45" i="119"/>
  <c r="MB45" i="119" s="1"/>
  <c r="LS45" i="119"/>
  <c r="LT45" i="119" s="1"/>
  <c r="MA74" i="119"/>
  <c r="MB74" i="119" s="1"/>
  <c r="LS74" i="119"/>
  <c r="LT74" i="119" s="1"/>
  <c r="LS101" i="119"/>
  <c r="LT101" i="119" s="1"/>
  <c r="MA101" i="119"/>
  <c r="MB101" i="119" s="1"/>
  <c r="LS34" i="119"/>
  <c r="LT34" i="119" s="1"/>
  <c r="MA34" i="119"/>
  <c r="MB34" i="119" s="1"/>
  <c r="LS138" i="119"/>
  <c r="LT138" i="119" s="1"/>
  <c r="MA138" i="119"/>
  <c r="MB138" i="119" s="1"/>
  <c r="LS17" i="119"/>
  <c r="LT17" i="119" s="1"/>
  <c r="MA17" i="119"/>
  <c r="MB17" i="119" s="1"/>
  <c r="LS53" i="119"/>
  <c r="LT53" i="119" s="1"/>
  <c r="MA53" i="119"/>
  <c r="MB53" i="119" s="1"/>
  <c r="MA37" i="119"/>
  <c r="MB37" i="119" s="1"/>
  <c r="LS37" i="119"/>
  <c r="LT37" i="119" s="1"/>
  <c r="LS88" i="119"/>
  <c r="LT88" i="119" s="1"/>
  <c r="MA88" i="119"/>
  <c r="MB88" i="119" s="1"/>
  <c r="MA92" i="119"/>
  <c r="MB92" i="119" s="1"/>
  <c r="LS92" i="119"/>
  <c r="LT92" i="119" s="1"/>
  <c r="LS77" i="119"/>
  <c r="LT77" i="119" s="1"/>
  <c r="MA77" i="119"/>
  <c r="MB77" i="119" s="1"/>
  <c r="LS84" i="119"/>
  <c r="LT84" i="119" s="1"/>
  <c r="MA84" i="119"/>
  <c r="MB84" i="119" s="1"/>
  <c r="LS89" i="119"/>
  <c r="LT89" i="119" s="1"/>
  <c r="MA89" i="119"/>
  <c r="MB89" i="119" s="1"/>
  <c r="MA59" i="119"/>
  <c r="MB59" i="119" s="1"/>
  <c r="LS59" i="119"/>
  <c r="LT59" i="119" s="1"/>
  <c r="LS102" i="119"/>
  <c r="LT102" i="119" s="1"/>
  <c r="MA102" i="119"/>
  <c r="MB102" i="119" s="1"/>
  <c r="LS18" i="119"/>
  <c r="LT18" i="119" s="1"/>
  <c r="MA18" i="119"/>
  <c r="MB18" i="119" s="1"/>
  <c r="LS54" i="119"/>
  <c r="LT54" i="119" s="1"/>
  <c r="MA54" i="119"/>
  <c r="MB54" i="119" s="1"/>
  <c r="MA33" i="119"/>
  <c r="MB33" i="119" s="1"/>
  <c r="LS33" i="119"/>
  <c r="LT33" i="119" s="1"/>
  <c r="MA12" i="119"/>
  <c r="MB12" i="119" s="1"/>
  <c r="LS12" i="119"/>
  <c r="LT12" i="119" s="1"/>
  <c r="MA85" i="119"/>
  <c r="MB85" i="119" s="1"/>
  <c r="LS85" i="119"/>
  <c r="LT85" i="119" s="1"/>
  <c r="MA51" i="119"/>
  <c r="MB51" i="119" s="1"/>
  <c r="LS51" i="119"/>
  <c r="LT51" i="119" s="1"/>
  <c r="LS56" i="119"/>
  <c r="LT56" i="119" s="1"/>
  <c r="MA56" i="119"/>
  <c r="MB56" i="119" s="1"/>
  <c r="LS65" i="119"/>
  <c r="LT65" i="119" s="1"/>
  <c r="MA65" i="119"/>
  <c r="MB65" i="119" s="1"/>
  <c r="MA80" i="119"/>
  <c r="MB80" i="119" s="1"/>
  <c r="LS80" i="119"/>
  <c r="LT80" i="119" s="1"/>
  <c r="LS97" i="119"/>
  <c r="LT97" i="119" s="1"/>
  <c r="MA97" i="119"/>
  <c r="MB97" i="119" s="1"/>
  <c r="LS27" i="119"/>
  <c r="LT27" i="119" s="1"/>
  <c r="MA27" i="119"/>
  <c r="MB27" i="119" s="1"/>
  <c r="LS93" i="119"/>
  <c r="LT93" i="119" s="1"/>
  <c r="MA93" i="119"/>
  <c r="MB93" i="119" s="1"/>
  <c r="LS24" i="119"/>
  <c r="LT24" i="119" s="1"/>
  <c r="MA24" i="119"/>
  <c r="MB24" i="119" s="1"/>
  <c r="MA63" i="119"/>
  <c r="MB63" i="119" s="1"/>
  <c r="LS63" i="119"/>
  <c r="LT63" i="119" s="1"/>
  <c r="LS71" i="119"/>
  <c r="LT71" i="119" s="1"/>
  <c r="MA71" i="119"/>
  <c r="MB71" i="119" s="1"/>
  <c r="LS79" i="119"/>
  <c r="LT79" i="119" s="1"/>
  <c r="MA79" i="119"/>
  <c r="MB79" i="119" s="1"/>
  <c r="LS94" i="119"/>
  <c r="LT94" i="119" s="1"/>
  <c r="MA94" i="119"/>
  <c r="MB94" i="119" s="1"/>
  <c r="MA23" i="119"/>
  <c r="MB23" i="119" s="1"/>
  <c r="LS23" i="119"/>
  <c r="LT23" i="119" s="1"/>
  <c r="LS141" i="119"/>
  <c r="LT141" i="119" s="1"/>
  <c r="MA141" i="119"/>
  <c r="MB141" i="119" s="1"/>
  <c r="LS96" i="119"/>
  <c r="LT96" i="119" s="1"/>
  <c r="MA96" i="119"/>
  <c r="MB96" i="119" s="1"/>
  <c r="LS139" i="119"/>
  <c r="LT139" i="119" s="1"/>
  <c r="MA139" i="119"/>
  <c r="MB139" i="119" s="1"/>
  <c r="MA32" i="119"/>
  <c r="MB32" i="119" s="1"/>
  <c r="LS32" i="119"/>
  <c r="LT32" i="119" s="1"/>
  <c r="MA64" i="119"/>
  <c r="MB64" i="119" s="1"/>
  <c r="LS64" i="119"/>
  <c r="LT64" i="119" s="1"/>
  <c r="LS16" i="119"/>
  <c r="LT16" i="119" s="1"/>
  <c r="MA16" i="119"/>
  <c r="MB16" i="119" s="1"/>
  <c r="LS19" i="119"/>
  <c r="LT19" i="119" s="1"/>
  <c r="MA19" i="119"/>
  <c r="MB19" i="119" s="1"/>
  <c r="LS28" i="119"/>
  <c r="LT28" i="119" s="1"/>
  <c r="MA28" i="119"/>
  <c r="MB28" i="119" s="1"/>
  <c r="LS36" i="119"/>
  <c r="LT36" i="119" s="1"/>
  <c r="MA36" i="119"/>
  <c r="MB36" i="119" s="1"/>
  <c r="LS20" i="119"/>
  <c r="LT20" i="119" s="1"/>
  <c r="MA20" i="119"/>
  <c r="MB20" i="119" s="1"/>
  <c r="LS91" i="119"/>
  <c r="LT91" i="119" s="1"/>
  <c r="MA91" i="119"/>
  <c r="MB91" i="119" s="1"/>
  <c r="LS78" i="119"/>
  <c r="LT78" i="119" s="1"/>
  <c r="MA78" i="119"/>
  <c r="MB78" i="119" s="1"/>
  <c r="MA62" i="119"/>
  <c r="MB62" i="119" s="1"/>
  <c r="LS62" i="119"/>
  <c r="LT62" i="119" s="1"/>
  <c r="LS14" i="119"/>
  <c r="LT14" i="119" s="1"/>
  <c r="MA14" i="119"/>
  <c r="MB14" i="119" s="1"/>
  <c r="LS60" i="119"/>
  <c r="LT60" i="119" s="1"/>
  <c r="MA60" i="119"/>
  <c r="MB60" i="119" s="1"/>
  <c r="LS104" i="119"/>
  <c r="LT104" i="119" s="1"/>
  <c r="MA104" i="119"/>
  <c r="MB104" i="119" s="1"/>
  <c r="LS103" i="119"/>
  <c r="LT103" i="119" s="1"/>
  <c r="MA103" i="119"/>
  <c r="MB103" i="119" s="1"/>
  <c r="LS15" i="119"/>
  <c r="LT15" i="119" s="1"/>
  <c r="MA15" i="119"/>
  <c r="MB15" i="119" s="1"/>
  <c r="LS46" i="119"/>
  <c r="LT46" i="119" s="1"/>
  <c r="MA46" i="119"/>
  <c r="MB46" i="119" s="1"/>
  <c r="LS55" i="119"/>
  <c r="LT55" i="119" s="1"/>
  <c r="MA55" i="119"/>
  <c r="MB55" i="119" s="1"/>
  <c r="LS73" i="119"/>
  <c r="LT73" i="119" s="1"/>
  <c r="MA73" i="119"/>
  <c r="MB73" i="119" s="1"/>
  <c r="LS30" i="119"/>
  <c r="LT30" i="119" s="1"/>
  <c r="MA30" i="119"/>
  <c r="MB30" i="119" s="1"/>
  <c r="MA11" i="119"/>
  <c r="MB11" i="119" s="1"/>
  <c r="LS11" i="119"/>
  <c r="LT11" i="119" s="1"/>
  <c r="MA47" i="119"/>
  <c r="MB47" i="119" s="1"/>
  <c r="LS47" i="119"/>
  <c r="LT47" i="119" s="1"/>
  <c r="MA25" i="119"/>
  <c r="MB25" i="119" s="1"/>
  <c r="MA22" i="119"/>
  <c r="MB22" i="119" s="1"/>
  <c r="LS22" i="119"/>
  <c r="LT22" i="119" s="1"/>
  <c r="LS26" i="119"/>
  <c r="LT26" i="119" s="1"/>
  <c r="MA26" i="119"/>
  <c r="MB26" i="119" s="1"/>
  <c r="LS40" i="119"/>
  <c r="LT40" i="119" s="1"/>
  <c r="MA40" i="119"/>
  <c r="MB40" i="119" s="1"/>
  <c r="LS35" i="119"/>
  <c r="LT35" i="119" s="1"/>
  <c r="MA35" i="119"/>
  <c r="MB35" i="119" s="1"/>
  <c r="LS61" i="119"/>
  <c r="LT61" i="119" s="1"/>
  <c r="MA61" i="119"/>
  <c r="MB61" i="119" s="1"/>
  <c r="MA21" i="119"/>
  <c r="MB21" i="119" s="1"/>
  <c r="LS21" i="119"/>
  <c r="LT21" i="119" s="1"/>
  <c r="LS43" i="119"/>
  <c r="LT43" i="119" s="1"/>
  <c r="MA43" i="119"/>
  <c r="MB43" i="119" s="1"/>
  <c r="MA144" i="119"/>
  <c r="MB144" i="119" s="1"/>
  <c r="LS144" i="119"/>
  <c r="LT144" i="119" s="1"/>
  <c r="MA147" i="119"/>
  <c r="MB147" i="119" s="1"/>
  <c r="LS147" i="119"/>
  <c r="LT147" i="119" s="1"/>
  <c r="JO6" i="119"/>
  <c r="LS146" i="119"/>
  <c r="LT146" i="119" s="1"/>
  <c r="MA146" i="119"/>
  <c r="MB146" i="119" s="1"/>
  <c r="LS142" i="119"/>
  <c r="LT142" i="119" s="1"/>
  <c r="MA142" i="119"/>
  <c r="MB142" i="119" s="1"/>
  <c r="JP9" i="119" l="1"/>
  <c r="MA10" i="119"/>
  <c r="MB10" i="119" s="1"/>
  <c r="LQ6" i="119"/>
  <c r="MA6" i="119" s="1"/>
  <c r="MB6" i="119" s="1"/>
  <c r="LS6" i="119" l="1"/>
  <c r="LT6" i="119" s="1"/>
</calcChain>
</file>

<file path=xl/sharedStrings.xml><?xml version="1.0" encoding="utf-8"?>
<sst xmlns="http://schemas.openxmlformats.org/spreadsheetml/2006/main" count="926" uniqueCount="348">
  <si>
    <t>RECEPIE</t>
  </si>
  <si>
    <t>JOB STARTING DATE</t>
  </si>
  <si>
    <t>WO #</t>
  </si>
  <si>
    <t>MACHINE</t>
  </si>
  <si>
    <t>OUTER</t>
  </si>
  <si>
    <t>MIDDLE</t>
  </si>
  <si>
    <t>INNER</t>
  </si>
  <si>
    <t>Input Qty</t>
  </si>
  <si>
    <t>Total of All Layer</t>
  </si>
  <si>
    <t>Total of All Layer Value</t>
  </si>
  <si>
    <t>Out Put</t>
  </si>
  <si>
    <t>Value AED</t>
  </si>
  <si>
    <t>Value USD</t>
  </si>
  <si>
    <t>Wastage</t>
  </si>
  <si>
    <t>AB+PPA</t>
  </si>
  <si>
    <t>Total</t>
  </si>
  <si>
    <t>IPP</t>
  </si>
  <si>
    <t>Recycling</t>
  </si>
  <si>
    <t>PEELABLE</t>
  </si>
  <si>
    <t>EC2</t>
  </si>
  <si>
    <t>EC1</t>
  </si>
  <si>
    <t>SAMPLE</t>
  </si>
  <si>
    <t>TPE</t>
  </si>
  <si>
    <t>w</t>
  </si>
  <si>
    <t>WPE</t>
  </si>
  <si>
    <t>AVERAGE</t>
  </si>
  <si>
    <t>WLDPE</t>
  </si>
  <si>
    <t>LDPE</t>
  </si>
  <si>
    <t>FT5230</t>
  </si>
  <si>
    <t>Rate AED</t>
  </si>
  <si>
    <t>Rate USD</t>
  </si>
  <si>
    <t>Output Rates</t>
  </si>
  <si>
    <t>Input Rates</t>
  </si>
  <si>
    <t>DIFF</t>
  </si>
  <si>
    <t>INT</t>
  </si>
  <si>
    <t>REMARKS</t>
  </si>
  <si>
    <t>HTA</t>
  </si>
  <si>
    <t>BIODEGRADABLE</t>
  </si>
  <si>
    <t>TPSP-2000.B</t>
  </si>
  <si>
    <t>SLIP</t>
  </si>
  <si>
    <t>TPE PEELABLE</t>
  </si>
  <si>
    <t>MATERIAL</t>
  </si>
  <si>
    <t>Filler</t>
  </si>
  <si>
    <t>SFG</t>
  </si>
  <si>
    <t>310E</t>
  </si>
  <si>
    <t>TOPPYL SP2000B</t>
  </si>
  <si>
    <t>2645G</t>
  </si>
  <si>
    <t>312E</t>
  </si>
  <si>
    <t>1211P</t>
  </si>
  <si>
    <t>WPE PEELABLE</t>
  </si>
  <si>
    <t>150E</t>
  </si>
  <si>
    <t>FAB78</t>
  </si>
  <si>
    <t>FB2230</t>
  </si>
  <si>
    <t>450E</t>
  </si>
  <si>
    <t>FB5600</t>
  </si>
  <si>
    <t>Total of All Layer (%)(3:4:3) March 2021 onwards as updated by QC/SCM</t>
  </si>
  <si>
    <t>DESIGN NAME</t>
  </si>
  <si>
    <t>Eyemark Printed Plain 840mm Roll</t>
  </si>
  <si>
    <t>352E</t>
  </si>
  <si>
    <t>Unprinted Shrink</t>
  </si>
  <si>
    <t>CUSTOMER NAME</t>
  </si>
  <si>
    <t>Peacock Al Adil 500gm Pouch(185x270)</t>
  </si>
  <si>
    <t>AST-10</t>
  </si>
  <si>
    <t>Jasmine Super Quality Silver Swan 2kg</t>
  </si>
  <si>
    <t>President Shredded Mozzarella 900gm O/W</t>
  </si>
  <si>
    <t>Roll Form 3 Layer Stripy 25gm</t>
  </si>
  <si>
    <t>Al Mudhish Potato Ripple Crunch Chilli 75gm</t>
  </si>
  <si>
    <t>* Check Duplicate WO#s</t>
  </si>
  <si>
    <t>Tasty Food Large Roll</t>
  </si>
  <si>
    <t>Sadia Breaded Chicken Burger 16unit</t>
  </si>
  <si>
    <t>ASTATC</t>
  </si>
  <si>
    <t>Al Douri Generic 10kg Roll</t>
  </si>
  <si>
    <t>Shrink VPJ 320mm GF 250ml</t>
  </si>
  <si>
    <t>1818/1810?</t>
  </si>
  <si>
    <t xml:space="preserve">100gm Excl No Added Sugar </t>
  </si>
  <si>
    <t>Shrink VPJ 390mm GF 450ml</t>
  </si>
  <si>
    <t>0322</t>
  </si>
  <si>
    <t>Suroor Tasty Corn Puffs Minoman Chilli 80gm</t>
  </si>
  <si>
    <t>Shrink Film 680mm TSM Dove SH-CD</t>
  </si>
  <si>
    <t>Siafa White Chocolate Dates 100g Pouch</t>
  </si>
  <si>
    <t>Siafa Chocolate Dates Hazelnut 100g</t>
  </si>
  <si>
    <t>Siafa Chocolate Dates Coconut 100g Pouch</t>
  </si>
  <si>
    <t>Shrink Film Dove Shampoo 700ml GF</t>
  </si>
  <si>
    <t>Inner Pack - Star SF Yellow 25gm</t>
  </si>
  <si>
    <t>Sunbulah Chicken Strips 750g Regular</t>
  </si>
  <si>
    <t>Shrink VPJ 280mm GF 50ml</t>
  </si>
  <si>
    <t>Shrink Film Tresemme CD/SH 500ml</t>
  </si>
  <si>
    <t>Pouch 90gm Chocolate Classic Assorted</t>
  </si>
  <si>
    <t>Care Direct Baby Gift Bag</t>
  </si>
  <si>
    <t>725N</t>
  </si>
  <si>
    <t>118NJ</t>
  </si>
  <si>
    <t>Sample-3237 affinity</t>
  </si>
  <si>
    <t>Cantina Mexicana 8 Flour Tortillas 340gm Roll</t>
  </si>
  <si>
    <t>Cantina Mexicana 6 Layer Tortilla 360gm Roll</t>
  </si>
  <si>
    <t>Gulfar 320x210 Medium Roll</t>
  </si>
  <si>
    <t>118WJ</t>
  </si>
  <si>
    <t>Baby Joy Thicker &amp; Larger 40's Wipes Roll</t>
  </si>
  <si>
    <t>Shrink VPJ 350mm GF 100ml</t>
  </si>
  <si>
    <t>Sara Cake Authentic Punjabi Paratha Pouches (450g)</t>
  </si>
  <si>
    <t>Pride Catering 800 O/W 48 slices</t>
  </si>
  <si>
    <t>Shrink Dove SH 200ml (560x600)</t>
  </si>
  <si>
    <t>Plain Brown Cremino Chocolate Pouch</t>
  </si>
  <si>
    <t>Plain Dark Brown Cremino Chocolate Pouch</t>
  </si>
  <si>
    <t>Yaumi Tortilla Printed Wraps Brown 6 pcs Zipper Pouch</t>
  </si>
  <si>
    <t>Kitchen Love Extra Dark Chocolate Almond Vegan 100gm</t>
  </si>
  <si>
    <t>UFIC Pride Food Service Catering 170gm</t>
  </si>
  <si>
    <t>v</t>
  </si>
  <si>
    <t>WHITE</t>
  </si>
  <si>
    <t>Nadec Analogue Shredded Mozzarella Cheese 200gm</t>
  </si>
  <si>
    <t>Nadec Analogue Shredded Mozzarella Cheese 500gm</t>
  </si>
  <si>
    <t>Forsana Burger Slices Analogue Cheese 170gm</t>
  </si>
  <si>
    <t>A/M Potato Ripples Crispy Hot Sauce 150gm</t>
  </si>
  <si>
    <t>Gulfar Common 1kg Special Offer Rolls</t>
  </si>
  <si>
    <t>Somberro Tortilla 6 Large Tortillas 360gm Roll</t>
  </si>
  <si>
    <t>5401G</t>
  </si>
  <si>
    <t>PACKING BAGS + ROLLS</t>
  </si>
  <si>
    <t>TR-144</t>
  </si>
  <si>
    <t>8784ML</t>
  </si>
  <si>
    <t>Shrink LBY BW 540mm GF 300ml</t>
  </si>
  <si>
    <t>Shrink Clear SH 200ml</t>
  </si>
  <si>
    <t>Shrink VAS LTN/LBY BW 640MM GF 400/500ML</t>
  </si>
  <si>
    <t>Pouch 90gm Chocodate Pistachio Kunafa</t>
  </si>
  <si>
    <t>Baby Joy Sensitive 48 Wipes Roll</t>
  </si>
  <si>
    <t>Peacock Al Adil 250gm Pouch (165X230)</t>
  </si>
  <si>
    <t>B01026</t>
  </si>
  <si>
    <t>Perla Tender Chicken Breast 1 Kg Pouch</t>
  </si>
  <si>
    <t>Lulu Multipurpose Wipes 80 wipes roll</t>
  </si>
  <si>
    <t>N00880</t>
  </si>
  <si>
    <t>N00875</t>
  </si>
  <si>
    <t>Siafa Milk Chocolate Dates Almond 100gm Pouch</t>
  </si>
  <si>
    <t>C01379</t>
  </si>
  <si>
    <t>H01213</t>
  </si>
  <si>
    <t>A/M Potato Chips Ripple Cheese 75gm</t>
  </si>
  <si>
    <t>J00949</t>
  </si>
  <si>
    <t>Doy Santa Maria Wok Sauce Chop Suey 150g</t>
  </si>
  <si>
    <t>B01033</t>
  </si>
  <si>
    <t>Al Fakher 250gm - KSA Pouch (Brown) plain with pkg Hologram</t>
  </si>
  <si>
    <t>H01361</t>
  </si>
  <si>
    <t>Hellmans Tomato Ketchup 8gm</t>
  </si>
  <si>
    <t>F00848</t>
  </si>
  <si>
    <t>F00849</t>
  </si>
  <si>
    <t>Pran Inner Pack Yellow 25gm</t>
  </si>
  <si>
    <t>J00877</t>
  </si>
  <si>
    <t>Crisp Power - Protein Pretzels - Sea Salt 13 Oz (369gm) - SUP</t>
  </si>
  <si>
    <t>N00878</t>
  </si>
  <si>
    <t>N00706</t>
  </si>
  <si>
    <t>Siafa Arjoon White Chocolate Dates 125gm Pouch</t>
  </si>
  <si>
    <t>B01041</t>
  </si>
  <si>
    <t>Bayara World Zipper Pouch</t>
  </si>
  <si>
    <t>G00397</t>
  </si>
  <si>
    <t>G00395</t>
  </si>
  <si>
    <t>Gulfar Extra Medium Pouch (330x233)</t>
  </si>
  <si>
    <t>G00396</t>
  </si>
  <si>
    <t>B01031</t>
  </si>
  <si>
    <t>Al Fakher 1Kg - Authentic Pouch</t>
  </si>
  <si>
    <t>B01032</t>
  </si>
  <si>
    <t>Al Fakher 1Kg 3 Side Seal Pouch</t>
  </si>
  <si>
    <t>J00869</t>
  </si>
  <si>
    <t>Crisp Power - Protein Pretzels - Cheddar 7.1 Oz (200gm) - SUP</t>
  </si>
  <si>
    <t>B01043</t>
  </si>
  <si>
    <t>Indian Malai Paneer 1kg roll</t>
  </si>
  <si>
    <t>F00835</t>
  </si>
  <si>
    <t>LPM01563 Pouch 465gm Arabian Delight Assorted With Coconut</t>
  </si>
  <si>
    <t>F00856</t>
  </si>
  <si>
    <t>LPM02441 Pouch 460gm Arabian Delight Assorted DDF</t>
  </si>
  <si>
    <t>F00834</t>
  </si>
  <si>
    <t>F00851</t>
  </si>
  <si>
    <t>LPM01239 Carrefour 100gm Chocolate Assorted Pouch</t>
  </si>
  <si>
    <t>F00857</t>
  </si>
  <si>
    <t>J00872</t>
  </si>
  <si>
    <t>Crisp Power - Protein Pretzels - Sesame 7.1 Oz (200gm) - SUP</t>
  </si>
  <si>
    <t>J00874</t>
  </si>
  <si>
    <t>Crisp Power - Protein Pretzels - Flamin 7.1 Oz (200gm) - SUP</t>
  </si>
  <si>
    <t>J00871</t>
  </si>
  <si>
    <t>Crisp Power - Protein Pretzels - Everything 7.1 Oz (200gm) - SUP</t>
  </si>
  <si>
    <t>B01025</t>
  </si>
  <si>
    <t>Perla Tender Chicken Breast 2 Kg Pouch</t>
  </si>
  <si>
    <t>H01208</t>
  </si>
  <si>
    <t>N00907</t>
  </si>
  <si>
    <t>H01322</t>
  </si>
  <si>
    <t>N00887</t>
  </si>
  <si>
    <t>P00432</t>
  </si>
  <si>
    <t>C01453</t>
  </si>
  <si>
    <t>Build Weel Extensible House</t>
  </si>
  <si>
    <t>N00877</t>
  </si>
  <si>
    <t>H01366</t>
  </si>
  <si>
    <t>Chip N Dips Tortilla 200gm</t>
  </si>
  <si>
    <t>C01441</t>
  </si>
  <si>
    <t>Sea pearl Cotton pads 80pcs pouch</t>
  </si>
  <si>
    <t>C01442</t>
  </si>
  <si>
    <t>Sea Pearl Cotton Pads 100pcs pouch *Bottom gusset qty pending*</t>
  </si>
  <si>
    <t>N00941</t>
  </si>
  <si>
    <t>Unprinted Standup Pouch with Zipper</t>
  </si>
  <si>
    <t>C01287</t>
  </si>
  <si>
    <t>Demerara Cane Sugar Pouch</t>
  </si>
  <si>
    <t>N00794</t>
  </si>
  <si>
    <t>Mozzarella Shredded Analogue Cheese 200g</t>
  </si>
  <si>
    <t>C01452</t>
  </si>
  <si>
    <t>Build Well Extensible Hose Green 1/4 bag</t>
  </si>
  <si>
    <t>N00879</t>
  </si>
  <si>
    <t>Siafa White Chocolate Dates Rose 100gms (Metallic)</t>
  </si>
  <si>
    <t>N00876</t>
  </si>
  <si>
    <t>Siafa Chocolate and Lotus Dates 100gms (Metallic)</t>
  </si>
  <si>
    <t>F00858</t>
  </si>
  <si>
    <t>N00798</t>
  </si>
  <si>
    <t>N00791</t>
  </si>
  <si>
    <t>N00799</t>
  </si>
  <si>
    <t>PK Film Mozzarella Shredded Analogue Forsana 900g</t>
  </si>
  <si>
    <t>N00800</t>
  </si>
  <si>
    <t>PK Film Mozzarella Shredded Analogue Forsana 700g</t>
  </si>
  <si>
    <t>E01003</t>
  </si>
  <si>
    <t>Britannia Marie Gold 150 gm Single Colour Inner Non GCC Roll</t>
  </si>
  <si>
    <t>N00792</t>
  </si>
  <si>
    <t>President Shredded Professional Mozzarella 450gm Overwrap</t>
  </si>
  <si>
    <t>N00826</t>
  </si>
  <si>
    <t>President Shredded Cheddar / Mozzarella 450gm O/W (Green) (Follow BOLD log like in Moxx 900 gm)</t>
  </si>
  <si>
    <t>N00793</t>
  </si>
  <si>
    <t>Pride Shredded Cheddar 450gm O/W</t>
  </si>
  <si>
    <t>N00797</t>
  </si>
  <si>
    <t>N00784</t>
  </si>
  <si>
    <t>E01022</t>
  </si>
  <si>
    <t>E01007</t>
  </si>
  <si>
    <t>B01047</t>
  </si>
  <si>
    <t>Spinneys Food Spices 330x225</t>
  </si>
  <si>
    <t>N00908</t>
  </si>
  <si>
    <t>H01216</t>
  </si>
  <si>
    <t>P00482</t>
  </si>
  <si>
    <t>New Hermans Bread Flat Pouches</t>
  </si>
  <si>
    <t>P00481</t>
  </si>
  <si>
    <t>N00841</t>
  </si>
  <si>
    <t>SF-PBG0216 Polybag Bugles Natcho Cheese 15x22</t>
  </si>
  <si>
    <t>N00843</t>
  </si>
  <si>
    <t>SF-PBG0215 Polybag Bugles Sweet Chilli 15x22gm</t>
  </si>
  <si>
    <t>N00950</t>
  </si>
  <si>
    <t>Poly Bag Bugles Smoking BBQ 15gm x 08P</t>
  </si>
  <si>
    <t>N00951</t>
  </si>
  <si>
    <t>Poly Bag Bugles Nacho Cheese 15gm x 08P</t>
  </si>
  <si>
    <t>N00952</t>
  </si>
  <si>
    <t>Poly Bag Bugles Original 15gm x 08P</t>
  </si>
  <si>
    <t>N00953</t>
  </si>
  <si>
    <t>Poly Bag Bugles Sweet Chill 15gm x 08P</t>
  </si>
  <si>
    <t>F00861</t>
  </si>
  <si>
    <t>Just Chill Hot Chocolate 1kg</t>
  </si>
  <si>
    <t>C01465</t>
  </si>
  <si>
    <t>C01466</t>
  </si>
  <si>
    <t>C01467</t>
  </si>
  <si>
    <t>Plain Light Brown Cremino Chocolate pouch</t>
  </si>
  <si>
    <t>C01485</t>
  </si>
  <si>
    <t>Britannia Milk Bikis Waffles 200gm pouch Main body Non GCC</t>
  </si>
  <si>
    <t>C01487</t>
  </si>
  <si>
    <t>Britannia Milk Bikis Kreemz 200gm Pouch Main body Non GCC</t>
  </si>
  <si>
    <t>C01486</t>
  </si>
  <si>
    <t>Britannia Milk Bikis Waffles 200gm pouch Side Gusset Non GCC</t>
  </si>
  <si>
    <t>C01488</t>
  </si>
  <si>
    <t>Britannia Milk Bikis Kreemz 200gm Pouch Side Gusset Non GCC</t>
  </si>
  <si>
    <t>C01478</t>
  </si>
  <si>
    <t>Peacock Al Adil 250gm Pouch</t>
  </si>
  <si>
    <t>N00954</t>
  </si>
  <si>
    <t>Poly Bag Bugles Ketchup 15gm x 08P</t>
  </si>
  <si>
    <t>G00406</t>
  </si>
  <si>
    <t>ID Fresh Idly Dosa Batter - Protien Rich 600gm Pouch</t>
  </si>
  <si>
    <t>C01477</t>
  </si>
  <si>
    <t>C01481</t>
  </si>
  <si>
    <t>Al Adil Peacock 5kg pouch</t>
  </si>
  <si>
    <t>C01479</t>
  </si>
  <si>
    <t>E01023</t>
  </si>
  <si>
    <t>E01010</t>
  </si>
  <si>
    <t>E01011</t>
  </si>
  <si>
    <t>P00480</t>
  </si>
  <si>
    <t>G00407</t>
  </si>
  <si>
    <t>ID Fresh Malabar Parota 400g - Chilled Zipper</t>
  </si>
  <si>
    <t>B01053</t>
  </si>
  <si>
    <t>B01048</t>
  </si>
  <si>
    <t>J00988</t>
  </si>
  <si>
    <t>HR HEALTHCARE - Clear Poly</t>
  </si>
  <si>
    <t>E01004</t>
  </si>
  <si>
    <t>E01008</t>
  </si>
  <si>
    <t>E01009</t>
  </si>
  <si>
    <t>N00806</t>
  </si>
  <si>
    <t>Film Nadec FPC Salt 155g</t>
  </si>
  <si>
    <t>N00805</t>
  </si>
  <si>
    <t>Film Nadec FPC Cheese 155g</t>
  </si>
  <si>
    <t>N00807</t>
  </si>
  <si>
    <t>Film Nadec FPC Salt &amp; Vinager 155g</t>
  </si>
  <si>
    <t>N00901</t>
  </si>
  <si>
    <t>Film Nadec FPC Chilli 155g</t>
  </si>
  <si>
    <t>N00751</t>
  </si>
  <si>
    <t>Nadec Crackles Potato Chips Ketchup Flavour 155g</t>
  </si>
  <si>
    <t>C01451</t>
  </si>
  <si>
    <t>C01470</t>
  </si>
  <si>
    <t>E01005</t>
  </si>
  <si>
    <t>E01006</t>
  </si>
  <si>
    <t>C01471</t>
  </si>
  <si>
    <t>G00408</t>
  </si>
  <si>
    <t>Unprinted laminated Pouch 260x390mm</t>
  </si>
  <si>
    <t>E01012</t>
  </si>
  <si>
    <t>E01001</t>
  </si>
  <si>
    <t>P00452</t>
  </si>
  <si>
    <t>Kitco Fab 5 Variety Pack Red BG</t>
  </si>
  <si>
    <t>P00453</t>
  </si>
  <si>
    <t>Kitco Bites Cheddar Cheese Corn Puff  Orange B.G</t>
  </si>
  <si>
    <t>P00454</t>
  </si>
  <si>
    <t>Kitco Bites 6 Pack Variety Blue BG</t>
  </si>
  <si>
    <t>P00417</t>
  </si>
  <si>
    <t>Kitco Bite Spiralz Paprika Potato Snacks (Green BG)</t>
  </si>
  <si>
    <t>E01002</t>
  </si>
  <si>
    <t>P00418</t>
  </si>
  <si>
    <t>Kitco Cocktail Bites Potato Snacks Party Mix (Blue Bg)</t>
  </si>
  <si>
    <t>E00998</t>
  </si>
  <si>
    <t>E01000</t>
  </si>
  <si>
    <t>B00974</t>
  </si>
  <si>
    <t>F00882</t>
  </si>
  <si>
    <t>N00795</t>
  </si>
  <si>
    <t>E00999</t>
  </si>
  <si>
    <t>C01495</t>
  </si>
  <si>
    <t>C01494</t>
  </si>
  <si>
    <t>N00903</t>
  </si>
  <si>
    <t>N00904</t>
  </si>
  <si>
    <t>N00905</t>
  </si>
  <si>
    <t>N00960</t>
  </si>
  <si>
    <t>McDonald Regular E-Z Pick O/w</t>
  </si>
  <si>
    <t>N00959</t>
  </si>
  <si>
    <t>Unprinted 370mm Roll O/W E-Z pick</t>
  </si>
  <si>
    <t>E01037</t>
  </si>
  <si>
    <t>E01035</t>
  </si>
  <si>
    <t>E01036</t>
  </si>
  <si>
    <t>E01038</t>
  </si>
  <si>
    <t>B01072</t>
  </si>
  <si>
    <t xml:space="preserve">Bayara Doy pack 145x190+40+40  </t>
  </si>
  <si>
    <t>G00410</t>
  </si>
  <si>
    <t>C01521</t>
  </si>
  <si>
    <t>N00961</t>
  </si>
  <si>
    <t>UFIC McDonalds Swiss E-Z Pick O/W</t>
  </si>
  <si>
    <t>G00412</t>
  </si>
  <si>
    <t>Unprinted Laminated Pouch Dosa Frozen</t>
  </si>
  <si>
    <t>E01034</t>
  </si>
  <si>
    <t>C01522</t>
  </si>
  <si>
    <t>C01520</t>
  </si>
  <si>
    <t>P00419</t>
  </si>
  <si>
    <t>Kitco Nice Assorted Potato Chips Pink BG (KWT)</t>
  </si>
  <si>
    <t>E01033</t>
  </si>
  <si>
    <t>E01032</t>
  </si>
  <si>
    <t>J00875</t>
  </si>
  <si>
    <t>Crisp Power - Protein Pretzels - Everything 13 Oz (369gm) - SUP</t>
  </si>
  <si>
    <t>B01058</t>
  </si>
  <si>
    <t>Desi Fresh 3 Side Seal Pouch</t>
  </si>
  <si>
    <t>G00411</t>
  </si>
  <si>
    <t>J00870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</si>
</sst>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\$#,##0\ ;\(\$#,##0\)"/>
    <numFmt numFmtId="167" formatCode="&quot;VND&quot;#,##0_);[Red]\(&quot;VND&quot;#,##0\)"/>
    <numFmt numFmtId="168" formatCode="_(&quot;€&quot;* #,##0_);_(&quot;€&quot;* \(#,##0\);_(&quot;€&quot;* &quot;-&quot;_);_(@_)"/>
    <numFmt numFmtId="169" formatCode="0.0%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b/>
      <sz val="14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VNtimes new roman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6" borderId="0" applyNumberFormat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8" fillId="10" borderId="0" applyNumberFormat="0" applyBorder="0" applyAlignment="0" applyProtection="0"/>
    <xf numFmtId="0" fontId="7" fillId="0" borderId="0"/>
    <xf numFmtId="0" fontId="9" fillId="27" borderId="31" applyNumberFormat="0" applyAlignment="0" applyProtection="0"/>
    <xf numFmtId="0" fontId="10" fillId="28" borderId="32" applyNumberFormat="0" applyAlignment="0" applyProtection="0"/>
    <xf numFmtId="166" fontId="11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7" fontId="12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2" fontId="11" fillId="0" borderId="0" applyFont="0" applyFill="0" applyBorder="0" applyAlignment="0" applyProtection="0"/>
    <xf numFmtId="0" fontId="14" fillId="11" borderId="0" applyNumberFormat="0" applyBorder="0" applyAlignment="0" applyProtection="0"/>
    <xf numFmtId="0" fontId="15" fillId="0" borderId="33" applyNumberFormat="0" applyFill="0" applyAlignment="0" applyProtection="0"/>
    <xf numFmtId="0" fontId="15" fillId="0" borderId="0" applyNumberFormat="0" applyFill="0" applyBorder="0" applyAlignment="0" applyProtection="0"/>
    <xf numFmtId="0" fontId="16" fillId="14" borderId="31" applyNumberFormat="0" applyAlignment="0" applyProtection="0"/>
    <xf numFmtId="0" fontId="17" fillId="0" borderId="34" applyNumberFormat="0" applyFill="0" applyAlignment="0" applyProtection="0"/>
    <xf numFmtId="0" fontId="18" fillId="29" borderId="0" applyNumberFormat="0" applyBorder="0" applyAlignment="0" applyProtection="0"/>
    <xf numFmtId="167" fontId="1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30" borderId="35" applyNumberFormat="0" applyFont="0" applyAlignment="0" applyProtection="0"/>
    <xf numFmtId="0" fontId="20" fillId="27" borderId="36" applyNumberFormat="0" applyAlignment="0" applyProtection="0"/>
    <xf numFmtId="9" fontId="1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</cellStyleXfs>
  <cellXfs count="181">
    <xf numFmtId="0" fontId="0" fillId="0" borderId="0" xfId="0"/>
    <xf numFmtId="43" fontId="0" fillId="0" borderId="0" xfId="1" applyFont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7" borderId="22" xfId="0" applyFill="1" applyBorder="1" applyAlignment="1">
      <alignment horizontal="center"/>
    </xf>
    <xf numFmtId="10" fontId="0" fillId="4" borderId="19" xfId="0" applyNumberFormat="1" applyFill="1" applyBorder="1"/>
    <xf numFmtId="10" fontId="0" fillId="0" borderId="0" xfId="0" applyNumberFormat="1"/>
    <xf numFmtId="9" fontId="0" fillId="0" borderId="17" xfId="0" applyNumberFormat="1" applyBorder="1"/>
    <xf numFmtId="9" fontId="0" fillId="0" borderId="19" xfId="0" applyNumberFormat="1" applyBorder="1"/>
    <xf numFmtId="165" fontId="0" fillId="0" borderId="21" xfId="1" applyNumberFormat="1" applyFont="1" applyFill="1" applyBorder="1"/>
    <xf numFmtId="10" fontId="0" fillId="2" borderId="1" xfId="2" applyNumberFormat="1" applyFont="1" applyFill="1" applyBorder="1"/>
    <xf numFmtId="10" fontId="0" fillId="3" borderId="1" xfId="2" applyNumberFormat="1" applyFont="1" applyFill="1" applyBorder="1"/>
    <xf numFmtId="10" fontId="0" fillId="4" borderId="1" xfId="2" applyNumberFormat="1" applyFont="1" applyFill="1" applyBorder="1"/>
    <xf numFmtId="10" fontId="0" fillId="4" borderId="1" xfId="0" applyNumberFormat="1" applyFill="1" applyBorder="1"/>
    <xf numFmtId="43" fontId="0" fillId="0" borderId="20" xfId="0" applyNumberFormat="1" applyBorder="1"/>
    <xf numFmtId="165" fontId="0" fillId="0" borderId="0" xfId="1" applyNumberFormat="1" applyFont="1"/>
    <xf numFmtId="165" fontId="0" fillId="0" borderId="27" xfId="0" applyNumberFormat="1" applyBorder="1"/>
    <xf numFmtId="0" fontId="0" fillId="0" borderId="27" xfId="0" applyBorder="1"/>
    <xf numFmtId="0" fontId="0" fillId="0" borderId="28" xfId="0" applyBorder="1"/>
    <xf numFmtId="43" fontId="0" fillId="0" borderId="28" xfId="0" applyNumberFormat="1" applyBorder="1"/>
    <xf numFmtId="43" fontId="0" fillId="0" borderId="20" xfId="1" applyFont="1" applyFill="1" applyBorder="1"/>
    <xf numFmtId="0" fontId="0" fillId="0" borderId="43" xfId="0" applyBorder="1"/>
    <xf numFmtId="43" fontId="0" fillId="0" borderId="43" xfId="1" applyFont="1" applyBorder="1"/>
    <xf numFmtId="165" fontId="0" fillId="0" borderId="27" xfId="1" applyNumberFormat="1" applyFont="1" applyBorder="1"/>
    <xf numFmtId="0" fontId="0" fillId="7" borderId="41" xfId="0" applyFill="1" applyBorder="1" applyAlignment="1">
      <alignment horizontal="center"/>
    </xf>
    <xf numFmtId="0" fontId="0" fillId="0" borderId="20" xfId="0" applyBorder="1"/>
    <xf numFmtId="165" fontId="0" fillId="0" borderId="20" xfId="1" applyNumberFormat="1" applyFont="1" applyFill="1" applyBorder="1"/>
    <xf numFmtId="0" fontId="2" fillId="0" borderId="0" xfId="0" applyFont="1"/>
    <xf numFmtId="43" fontId="0" fillId="0" borderId="42" xfId="1" applyFont="1" applyBorder="1"/>
    <xf numFmtId="43" fontId="0" fillId="0" borderId="27" xfId="1" applyFont="1" applyBorder="1"/>
    <xf numFmtId="43" fontId="0" fillId="0" borderId="0" xfId="0" applyNumberFormat="1"/>
    <xf numFmtId="165" fontId="0" fillId="0" borderId="4" xfId="1" applyNumberFormat="1" applyFont="1" applyFill="1" applyBorder="1"/>
    <xf numFmtId="43" fontId="0" fillId="0" borderId="4" xfId="1" applyFont="1" applyBorder="1"/>
    <xf numFmtId="0" fontId="0" fillId="0" borderId="14" xfId="0" applyBorder="1"/>
    <xf numFmtId="43" fontId="0" fillId="0" borderId="2" xfId="1" applyFont="1" applyBorder="1" applyAlignment="1"/>
    <xf numFmtId="43" fontId="0" fillId="0" borderId="4" xfId="1" applyFont="1" applyBorder="1" applyAlignment="1"/>
    <xf numFmtId="0" fontId="0" fillId="7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165" fontId="0" fillId="0" borderId="3" xfId="0" applyNumberFormat="1" applyBorder="1"/>
    <xf numFmtId="165" fontId="4" fillId="4" borderId="26" xfId="1" applyNumberFormat="1" applyFont="1" applyFill="1" applyBorder="1" applyAlignment="1"/>
    <xf numFmtId="165" fontId="0" fillId="4" borderId="21" xfId="1" applyNumberFormat="1" applyFont="1" applyFill="1" applyBorder="1"/>
    <xf numFmtId="1" fontId="0" fillId="0" borderId="0" xfId="1" applyNumberFormat="1" applyFont="1"/>
    <xf numFmtId="1" fontId="0" fillId="0" borderId="0" xfId="0" applyNumberFormat="1"/>
    <xf numFmtId="1" fontId="0" fillId="0" borderId="43" xfId="1" applyNumberFormat="1" applyFont="1" applyBorder="1"/>
    <xf numFmtId="0" fontId="0" fillId="0" borderId="0" xfId="0" applyAlignment="1">
      <alignment horizontal="left" indent="1"/>
    </xf>
    <xf numFmtId="2" fontId="2" fillId="0" borderId="0" xfId="0" applyNumberFormat="1" applyFont="1"/>
    <xf numFmtId="0" fontId="0" fillId="32" borderId="3" xfId="0" applyFill="1" applyBorder="1"/>
    <xf numFmtId="0" fontId="0" fillId="32" borderId="4" xfId="0" applyFill="1" applyBorder="1"/>
    <xf numFmtId="0" fontId="2" fillId="0" borderId="8" xfId="0" applyFont="1" applyBorder="1"/>
    <xf numFmtId="0" fontId="2" fillId="0" borderId="15" xfId="0" applyFont="1" applyBorder="1"/>
    <xf numFmtId="2" fontId="2" fillId="31" borderId="10" xfId="1" applyNumberFormat="1" applyFont="1" applyFill="1" applyBorder="1" applyAlignment="1">
      <alignment horizontal="left" indent="1"/>
    </xf>
    <xf numFmtId="2" fontId="2" fillId="31" borderId="16" xfId="1" applyNumberFormat="1" applyFont="1" applyFill="1" applyBorder="1" applyAlignment="1">
      <alignment horizontal="left" indent="1"/>
    </xf>
    <xf numFmtId="165" fontId="0" fillId="8" borderId="29" xfId="1" applyNumberFormat="1" applyFont="1" applyFill="1" applyBorder="1"/>
    <xf numFmtId="2" fontId="24" fillId="33" borderId="5" xfId="0" applyNumberFormat="1" applyFont="1" applyFill="1" applyBorder="1"/>
    <xf numFmtId="2" fontId="0" fillId="33" borderId="5" xfId="0" applyNumberFormat="1" applyFill="1" applyBorder="1"/>
    <xf numFmtId="2" fontId="23" fillId="33" borderId="5" xfId="0" applyNumberFormat="1" applyFont="1" applyFill="1" applyBorder="1"/>
    <xf numFmtId="0" fontId="0" fillId="0" borderId="21" xfId="1" applyNumberFormat="1" applyFont="1" applyFill="1" applyBorder="1"/>
    <xf numFmtId="9" fontId="0" fillId="0" borderId="0" xfId="2" applyFont="1"/>
    <xf numFmtId="169" fontId="0" fillId="3" borderId="1" xfId="2" applyNumberFormat="1" applyFont="1" applyFill="1" applyBorder="1"/>
    <xf numFmtId="43" fontId="0" fillId="0" borderId="0" xfId="1" applyFont="1" applyBorder="1"/>
    <xf numFmtId="0" fontId="0" fillId="32" borderId="2" xfId="0" applyFill="1" applyBorder="1" applyAlignment="1">
      <alignment horizontal="left" indent="1"/>
    </xf>
    <xf numFmtId="165" fontId="0" fillId="0" borderId="0" xfId="1" applyNumberFormat="1" applyFont="1" applyFill="1"/>
    <xf numFmtId="165" fontId="0" fillId="0" borderId="0" xfId="1" applyNumberFormat="1" applyFont="1" applyFill="1" applyAlignment="1">
      <alignment horizontal="left" indent="1"/>
    </xf>
    <xf numFmtId="165" fontId="2" fillId="0" borderId="0" xfId="1" applyNumberFormat="1" applyFont="1"/>
    <xf numFmtId="10" fontId="0" fillId="2" borderId="48" xfId="2" applyNumberFormat="1" applyFont="1" applyFill="1" applyBorder="1"/>
    <xf numFmtId="10" fontId="0" fillId="2" borderId="18" xfId="2" applyNumberFormat="1" applyFont="1" applyFill="1" applyBorder="1"/>
    <xf numFmtId="10" fontId="0" fillId="3" borderId="18" xfId="2" applyNumberFormat="1" applyFont="1" applyFill="1" applyBorder="1"/>
    <xf numFmtId="0" fontId="0" fillId="32" borderId="3" xfId="0" applyFill="1" applyBorder="1" applyAlignment="1">
      <alignment horizontal="left" indent="1"/>
    </xf>
    <xf numFmtId="0" fontId="2" fillId="3" borderId="20" xfId="0" applyFont="1" applyFill="1" applyBorder="1" applyAlignment="1">
      <alignment horizontal="left" vertical="center"/>
    </xf>
    <xf numFmtId="0" fontId="2" fillId="3" borderId="29" xfId="0" applyFont="1" applyFill="1" applyBorder="1" applyAlignment="1">
      <alignment horizontal="left" vertical="center"/>
    </xf>
    <xf numFmtId="0" fontId="2" fillId="3" borderId="37" xfId="0" applyFont="1" applyFill="1" applyBorder="1" applyAlignment="1">
      <alignment horizontal="left" vertical="center" wrapText="1"/>
    </xf>
    <xf numFmtId="0" fontId="2" fillId="3" borderId="45" xfId="0" applyFont="1" applyFill="1" applyBorder="1" applyAlignment="1">
      <alignment horizontal="left" vertical="center"/>
    </xf>
    <xf numFmtId="0" fontId="2" fillId="3" borderId="38" xfId="0" applyFont="1" applyFill="1" applyBorder="1" applyAlignment="1">
      <alignment horizontal="left" vertical="center"/>
    </xf>
    <xf numFmtId="0" fontId="2" fillId="3" borderId="39" xfId="0" applyFont="1" applyFill="1" applyBorder="1" applyAlignment="1">
      <alignment horizontal="left" vertical="center"/>
    </xf>
    <xf numFmtId="165" fontId="25" fillId="0" borderId="0" xfId="1" applyNumberFormat="1" applyFont="1" applyFill="1" applyAlignment="1">
      <alignment horizontal="left" indent="1"/>
    </xf>
    <xf numFmtId="0" fontId="26" fillId="2" borderId="18" xfId="0" applyFont="1" applyFill="1" applyBorder="1" applyAlignment="1">
      <alignment horizontal="center" vertical="center"/>
    </xf>
    <xf numFmtId="0" fontId="26" fillId="3" borderId="18" xfId="0" applyFont="1" applyFill="1" applyBorder="1" applyAlignment="1">
      <alignment horizontal="center" vertical="center"/>
    </xf>
    <xf numFmtId="165" fontId="26" fillId="0" borderId="0" xfId="1" quotePrefix="1" applyNumberFormat="1" applyFont="1" applyFill="1" applyAlignment="1">
      <alignment horizontal="left" indent="1"/>
    </xf>
    <xf numFmtId="0" fontId="0" fillId="2" borderId="48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/>
    </xf>
    <xf numFmtId="0" fontId="4" fillId="5" borderId="8" xfId="0" applyFont="1" applyFill="1" applyBorder="1" applyAlignment="1">
      <alignment horizontal="centerContinuous" vertical="center"/>
    </xf>
    <xf numFmtId="0" fontId="4" fillId="5" borderId="51" xfId="0" applyFont="1" applyFill="1" applyBorder="1" applyAlignment="1">
      <alignment horizontal="centerContinuous" vertical="center"/>
    </xf>
    <xf numFmtId="0" fontId="4" fillId="5" borderId="9" xfId="0" applyFont="1" applyFill="1" applyBorder="1" applyAlignment="1">
      <alignment horizontal="centerContinuous" vertical="center"/>
    </xf>
    <xf numFmtId="0" fontId="4" fillId="5" borderId="10" xfId="0" applyFont="1" applyFill="1" applyBorder="1" applyAlignment="1">
      <alignment horizontal="centerContinuous" vertical="center"/>
    </xf>
    <xf numFmtId="14" fontId="0" fillId="0" borderId="0" xfId="0" applyNumberFormat="1"/>
    <xf numFmtId="10" fontId="0" fillId="2" borderId="52" xfId="2" applyNumberFormat="1" applyFont="1" applyFill="1" applyBorder="1"/>
    <xf numFmtId="10" fontId="0" fillId="3" borderId="52" xfId="2" applyNumberFormat="1" applyFont="1" applyFill="1" applyBorder="1"/>
    <xf numFmtId="10" fontId="0" fillId="4" borderId="52" xfId="0" applyNumberFormat="1" applyFill="1" applyBorder="1"/>
    <xf numFmtId="0" fontId="26" fillId="0" borderId="0" xfId="0" applyFont="1"/>
    <xf numFmtId="0" fontId="0" fillId="5" borderId="52" xfId="0" applyFill="1" applyBorder="1" applyAlignment="1">
      <alignment horizontal="center"/>
    </xf>
    <xf numFmtId="10" fontId="0" fillId="4" borderId="52" xfId="2" applyNumberFormat="1" applyFont="1" applyFill="1" applyBorder="1"/>
    <xf numFmtId="10" fontId="0" fillId="2" borderId="53" xfId="2" applyNumberFormat="1" applyFont="1" applyFill="1" applyBorder="1"/>
    <xf numFmtId="10" fontId="0" fillId="3" borderId="53" xfId="2" applyNumberFormat="1" applyFont="1" applyFill="1" applyBorder="1"/>
    <xf numFmtId="10" fontId="0" fillId="4" borderId="53" xfId="0" applyNumberFormat="1" applyFill="1" applyBorder="1"/>
    <xf numFmtId="0" fontId="0" fillId="5" borderId="53" xfId="0" applyFill="1" applyBorder="1" applyAlignment="1">
      <alignment horizontal="center"/>
    </xf>
    <xf numFmtId="10" fontId="0" fillId="4" borderId="53" xfId="2" applyNumberFormat="1" applyFont="1" applyFill="1" applyBorder="1"/>
    <xf numFmtId="0" fontId="0" fillId="4" borderId="12" xfId="0" applyFill="1" applyBorder="1" applyAlignment="1">
      <alignment horizontal="centerContinuous" vertical="center"/>
    </xf>
    <xf numFmtId="0" fontId="0" fillId="4" borderId="13" xfId="0" applyFill="1" applyBorder="1" applyAlignment="1">
      <alignment horizontal="centerContinuous" vertical="center"/>
    </xf>
    <xf numFmtId="0" fontId="0" fillId="2" borderId="11" xfId="0" applyFill="1" applyBorder="1" applyAlignment="1">
      <alignment horizontal="centerContinuous" vertical="center"/>
    </xf>
    <xf numFmtId="0" fontId="0" fillId="2" borderId="50" xfId="0" applyFill="1" applyBorder="1" applyAlignment="1">
      <alignment horizontal="centerContinuous" vertical="center"/>
    </xf>
    <xf numFmtId="0" fontId="0" fillId="2" borderId="12" xfId="0" applyFill="1" applyBorder="1" applyAlignment="1">
      <alignment horizontal="centerContinuous" vertical="center"/>
    </xf>
    <xf numFmtId="0" fontId="3" fillId="32" borderId="5" xfId="0" applyFont="1" applyFill="1" applyBorder="1" applyAlignment="1">
      <alignment horizontal="centerContinuous" vertical="center" wrapText="1"/>
    </xf>
    <xf numFmtId="0" fontId="3" fillId="32" borderId="49" xfId="0" applyFont="1" applyFill="1" applyBorder="1" applyAlignment="1">
      <alignment horizontal="centerContinuous" vertical="center" wrapText="1"/>
    </xf>
    <xf numFmtId="0" fontId="3" fillId="32" borderId="6" xfId="0" applyFont="1" applyFill="1" applyBorder="1" applyAlignment="1">
      <alignment horizontal="centerContinuous" vertical="center" wrapText="1"/>
    </xf>
    <xf numFmtId="0" fontId="3" fillId="32" borderId="7" xfId="0" applyFont="1" applyFill="1" applyBorder="1" applyAlignment="1">
      <alignment horizontal="centerContinuous" vertical="center" wrapText="1"/>
    </xf>
    <xf numFmtId="0" fontId="0" fillId="7" borderId="3" xfId="0" applyFill="1" applyBorder="1" applyAlignment="1">
      <alignment horizontal="centerContinuous"/>
    </xf>
    <xf numFmtId="0" fontId="0" fillId="7" borderId="4" xfId="0" applyFill="1" applyBorder="1" applyAlignment="1">
      <alignment horizontal="centerContinuous"/>
    </xf>
    <xf numFmtId="169" fontId="0" fillId="3" borderId="53" xfId="2" applyNumberFormat="1" applyFont="1" applyFill="1" applyBorder="1"/>
    <xf numFmtId="165" fontId="0" fillId="0" borderId="0" xfId="0" applyNumberFormat="1"/>
    <xf numFmtId="43" fontId="2" fillId="0" borderId="0" xfId="1" applyFont="1"/>
    <xf numFmtId="0" fontId="2" fillId="0" borderId="54" xfId="0" applyFont="1" applyBorder="1"/>
    <xf numFmtId="10" fontId="0" fillId="2" borderId="55" xfId="2" applyNumberFormat="1" applyFont="1" applyFill="1" applyBorder="1"/>
    <xf numFmtId="10" fontId="0" fillId="3" borderId="55" xfId="2" applyNumberFormat="1" applyFont="1" applyFill="1" applyBorder="1"/>
    <xf numFmtId="10" fontId="0" fillId="4" borderId="55" xfId="0" applyNumberFormat="1" applyFill="1" applyBorder="1"/>
    <xf numFmtId="9" fontId="0" fillId="2" borderId="1" xfId="2" applyFont="1" applyFill="1" applyBorder="1"/>
    <xf numFmtId="169" fontId="0" fillId="3" borderId="55" xfId="2" applyNumberFormat="1" applyFont="1" applyFill="1" applyBorder="1"/>
    <xf numFmtId="10" fontId="0" fillId="4" borderId="55" xfId="2" applyNumberFormat="1" applyFont="1" applyFill="1" applyBorder="1"/>
    <xf numFmtId="0" fontId="27" fillId="0" borderId="0" xfId="0" applyFont="1"/>
    <xf numFmtId="0" fontId="4" fillId="3" borderId="39" xfId="0" applyFont="1" applyFill="1" applyBorder="1" applyAlignment="1">
      <alignment horizontal="left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3" xfId="0" quotePrefix="1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3" xfId="0" quotePrefix="1" applyFont="1" applyFill="1" applyBorder="1" applyAlignment="1">
      <alignment horizontal="center" vertical="center"/>
    </xf>
    <xf numFmtId="10" fontId="4" fillId="4" borderId="24" xfId="0" applyNumberFormat="1" applyFont="1" applyFill="1" applyBorder="1" applyAlignment="1">
      <alignment horizontal="center" vertical="center"/>
    </xf>
    <xf numFmtId="10" fontId="4" fillId="0" borderId="0" xfId="0" applyNumberFormat="1" applyFont="1"/>
    <xf numFmtId="0" fontId="4" fillId="5" borderId="25" xfId="0" applyFont="1" applyFill="1" applyBorder="1" applyAlignment="1">
      <alignment horizontal="center"/>
    </xf>
    <xf numFmtId="0" fontId="4" fillId="5" borderId="44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3" xfId="0" quotePrefix="1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/>
    </xf>
    <xf numFmtId="0" fontId="4" fillId="6" borderId="21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 wrapText="1"/>
    </xf>
    <xf numFmtId="0" fontId="4" fillId="6" borderId="23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165" fontId="27" fillId="0" borderId="20" xfId="0" applyNumberFormat="1" applyFont="1" applyBorder="1"/>
    <xf numFmtId="0" fontId="4" fillId="7" borderId="4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4" fillId="7" borderId="21" xfId="0" applyFont="1" applyFill="1" applyBorder="1" applyAlignment="1">
      <alignment horizontal="center"/>
    </xf>
    <xf numFmtId="0" fontId="4" fillId="7" borderId="23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 wrapText="1"/>
    </xf>
    <xf numFmtId="0" fontId="4" fillId="7" borderId="41" xfId="0" applyFont="1" applyFill="1" applyBorder="1" applyAlignment="1">
      <alignment horizontal="center"/>
    </xf>
    <xf numFmtId="1" fontId="4" fillId="8" borderId="40" xfId="1" applyNumberFormat="1" applyFont="1" applyFill="1" applyBorder="1" applyAlignment="1">
      <alignment horizontal="center" vertical="center"/>
    </xf>
    <xf numFmtId="0" fontId="4" fillId="8" borderId="26" xfId="1" applyNumberFormat="1" applyFont="1" applyFill="1" applyBorder="1" applyAlignment="1">
      <alignment horizontal="center" vertical="center" wrapText="1"/>
    </xf>
    <xf numFmtId="0" fontId="27" fillId="0" borderId="27" xfId="0" applyFont="1" applyBorder="1" applyAlignment="1">
      <alignment horizontal="center"/>
    </xf>
    <xf numFmtId="0" fontId="27" fillId="0" borderId="0" xfId="0" applyFont="1" applyAlignment="1">
      <alignment horizontal="center"/>
    </xf>
    <xf numFmtId="0" fontId="4" fillId="0" borderId="15" xfId="0" applyFont="1" applyBorder="1"/>
    <xf numFmtId="2" fontId="4" fillId="31" borderId="16" xfId="1" applyNumberFormat="1" applyFont="1" applyFill="1" applyBorder="1" applyAlignment="1">
      <alignment horizontal="left" indent="1"/>
    </xf>
    <xf numFmtId="2" fontId="4" fillId="0" borderId="0" xfId="0" applyNumberFormat="1" applyFont="1"/>
    <xf numFmtId="2" fontId="0" fillId="0" borderId="0" xfId="1" applyNumberFormat="1" applyFont="1"/>
    <xf numFmtId="43" fontId="0" fillId="0" borderId="46" xfId="1" applyFont="1" applyBorder="1" applyAlignment="1">
      <alignment horizontal="center"/>
    </xf>
    <xf numFmtId="43" fontId="0" fillId="0" borderId="47" xfId="1" applyFont="1" applyBorder="1" applyAlignment="1">
      <alignment horizontal="center"/>
    </xf>
    <xf numFmtId="0" fontId="0" fillId="3" borderId="12" xfId="0" applyFill="1" applyBorder="1" applyAlignment="1">
      <alignment horizontal="center" vertical="center"/>
    </xf>
    <xf numFmtId="165" fontId="4" fillId="4" borderId="14" xfId="1" applyNumberFormat="1" applyFont="1" applyFill="1" applyBorder="1" applyAlignment="1">
      <alignment horizontal="center" wrapText="1"/>
    </xf>
    <xf numFmtId="165" fontId="4" fillId="4" borderId="20" xfId="1" applyNumberFormat="1" applyFont="1" applyFill="1" applyBorder="1" applyAlignment="1">
      <alignment horizontal="center" wrapText="1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" fontId="2" fillId="8" borderId="42" xfId="1" applyNumberFormat="1" applyFont="1" applyFill="1" applyBorder="1" applyAlignment="1">
      <alignment horizontal="center" vertical="center" wrapText="1"/>
    </xf>
    <xf numFmtId="1" fontId="2" fillId="8" borderId="29" xfId="1" applyNumberFormat="1" applyFont="1" applyFill="1" applyBorder="1" applyAlignment="1">
      <alignment horizontal="center" vertical="center" wrapText="1"/>
    </xf>
    <xf numFmtId="43" fontId="2" fillId="8" borderId="14" xfId="1" applyFont="1" applyFill="1" applyBorder="1" applyAlignment="1">
      <alignment horizontal="center" vertical="center" wrapText="1"/>
    </xf>
    <xf numFmtId="43" fontId="2" fillId="8" borderId="20" xfId="1" applyFont="1" applyFill="1" applyBorder="1" applyAlignment="1">
      <alignment horizontal="center" vertical="center" wrapText="1"/>
    </xf>
  </cellXfs>
  <cellStyles count="127">
    <cellStyle name="20% - Accent1 2" xfId="3" xr:uid="{00000000-0005-0000-0000-000000000000}"/>
    <cellStyle name="20% - Accent1 2 2" xfId="4" xr:uid="{00000000-0005-0000-0000-000001000000}"/>
    <cellStyle name="20% - Accent1 2 3" xfId="5" xr:uid="{00000000-0005-0000-0000-000002000000}"/>
    <cellStyle name="20% - Accent1 2 4" xfId="6" xr:uid="{00000000-0005-0000-0000-000003000000}"/>
    <cellStyle name="20% - Accent2 2" xfId="7" xr:uid="{00000000-0005-0000-0000-000004000000}"/>
    <cellStyle name="20% - Accent2 2 2" xfId="8" xr:uid="{00000000-0005-0000-0000-000005000000}"/>
    <cellStyle name="20% - Accent2 2 3" xfId="9" xr:uid="{00000000-0005-0000-0000-000006000000}"/>
    <cellStyle name="20% - Accent2 2 4" xfId="10" xr:uid="{00000000-0005-0000-0000-000007000000}"/>
    <cellStyle name="20% - Accent3 2" xfId="11" xr:uid="{00000000-0005-0000-0000-000008000000}"/>
    <cellStyle name="20% - Accent3 2 2" xfId="12" xr:uid="{00000000-0005-0000-0000-000009000000}"/>
    <cellStyle name="20% - Accent3 2 3" xfId="13" xr:uid="{00000000-0005-0000-0000-00000A000000}"/>
    <cellStyle name="20% - Accent3 2 4" xfId="14" xr:uid="{00000000-0005-0000-0000-00000B000000}"/>
    <cellStyle name="20% - Accent4 2" xfId="15" xr:uid="{00000000-0005-0000-0000-00000C000000}"/>
    <cellStyle name="20% - Accent4 2 2" xfId="16" xr:uid="{00000000-0005-0000-0000-00000D000000}"/>
    <cellStyle name="20% - Accent4 2 3" xfId="17" xr:uid="{00000000-0005-0000-0000-00000E000000}"/>
    <cellStyle name="20% - Accent4 2 4" xfId="18" xr:uid="{00000000-0005-0000-0000-00000F000000}"/>
    <cellStyle name="20% - Accent5 2" xfId="19" xr:uid="{00000000-0005-0000-0000-000010000000}"/>
    <cellStyle name="20% - Accent5 2 2" xfId="20" xr:uid="{00000000-0005-0000-0000-000011000000}"/>
    <cellStyle name="20% - Accent5 2 3" xfId="21" xr:uid="{00000000-0005-0000-0000-000012000000}"/>
    <cellStyle name="20% - Accent5 2 4" xfId="22" xr:uid="{00000000-0005-0000-0000-000013000000}"/>
    <cellStyle name="20% - Accent6 2" xfId="23" xr:uid="{00000000-0005-0000-0000-000014000000}"/>
    <cellStyle name="20% - Accent6 2 2" xfId="24" xr:uid="{00000000-0005-0000-0000-000015000000}"/>
    <cellStyle name="20% - Accent6 2 3" xfId="25" xr:uid="{00000000-0005-0000-0000-000016000000}"/>
    <cellStyle name="20% - Accent6 2 4" xfId="26" xr:uid="{00000000-0005-0000-0000-000017000000}"/>
    <cellStyle name="40% - Accent1 2" xfId="27" xr:uid="{00000000-0005-0000-0000-000018000000}"/>
    <cellStyle name="40% - Accent1 2 2" xfId="28" xr:uid="{00000000-0005-0000-0000-000019000000}"/>
    <cellStyle name="40% - Accent1 2 3" xfId="29" xr:uid="{00000000-0005-0000-0000-00001A000000}"/>
    <cellStyle name="40% - Accent1 2 4" xfId="30" xr:uid="{00000000-0005-0000-0000-00001B000000}"/>
    <cellStyle name="40% - Accent2 2" xfId="31" xr:uid="{00000000-0005-0000-0000-00001C000000}"/>
    <cellStyle name="40% - Accent2 2 2" xfId="32" xr:uid="{00000000-0005-0000-0000-00001D000000}"/>
    <cellStyle name="40% - Accent2 2 3" xfId="33" xr:uid="{00000000-0005-0000-0000-00001E000000}"/>
    <cellStyle name="40% - Accent2 2 4" xfId="34" xr:uid="{00000000-0005-0000-0000-00001F000000}"/>
    <cellStyle name="40% - Accent3 2" xfId="35" xr:uid="{00000000-0005-0000-0000-000020000000}"/>
    <cellStyle name="40% - Accent3 2 2" xfId="36" xr:uid="{00000000-0005-0000-0000-000021000000}"/>
    <cellStyle name="40% - Accent3 2 3" xfId="37" xr:uid="{00000000-0005-0000-0000-000022000000}"/>
    <cellStyle name="40% - Accent3 2 4" xfId="38" xr:uid="{00000000-0005-0000-0000-000023000000}"/>
    <cellStyle name="40% - Accent4 2" xfId="39" xr:uid="{00000000-0005-0000-0000-000024000000}"/>
    <cellStyle name="40% - Accent4 2 2" xfId="40" xr:uid="{00000000-0005-0000-0000-000025000000}"/>
    <cellStyle name="40% - Accent4 2 3" xfId="41" xr:uid="{00000000-0005-0000-0000-000026000000}"/>
    <cellStyle name="40% - Accent4 2 4" xfId="42" xr:uid="{00000000-0005-0000-0000-000027000000}"/>
    <cellStyle name="40% - Accent5 2" xfId="43" xr:uid="{00000000-0005-0000-0000-000028000000}"/>
    <cellStyle name="40% - Accent5 2 2" xfId="44" xr:uid="{00000000-0005-0000-0000-000029000000}"/>
    <cellStyle name="40% - Accent5 2 3" xfId="45" xr:uid="{00000000-0005-0000-0000-00002A000000}"/>
    <cellStyle name="40% - Accent5 2 4" xfId="46" xr:uid="{00000000-0005-0000-0000-00002B000000}"/>
    <cellStyle name="40% - Accent6 2" xfId="47" xr:uid="{00000000-0005-0000-0000-00002C000000}"/>
    <cellStyle name="40% - Accent6 2 2" xfId="48" xr:uid="{00000000-0005-0000-0000-00002D000000}"/>
    <cellStyle name="40% - Accent6 2 3" xfId="49" xr:uid="{00000000-0005-0000-0000-00002E000000}"/>
    <cellStyle name="40% - Accent6 2 4" xfId="50" xr:uid="{00000000-0005-0000-0000-00002F000000}"/>
    <cellStyle name="60% - Accent1 2" xfId="51" xr:uid="{00000000-0005-0000-0000-000030000000}"/>
    <cellStyle name="60% - Accent2 2" xfId="52" xr:uid="{00000000-0005-0000-0000-000031000000}"/>
    <cellStyle name="60% - Accent3 2" xfId="53" xr:uid="{00000000-0005-0000-0000-000032000000}"/>
    <cellStyle name="60% - Accent4 2" xfId="54" xr:uid="{00000000-0005-0000-0000-000033000000}"/>
    <cellStyle name="60% - Accent5 2" xfId="55" xr:uid="{00000000-0005-0000-0000-000034000000}"/>
    <cellStyle name="60% - Accent6 2" xfId="56" xr:uid="{00000000-0005-0000-0000-000035000000}"/>
    <cellStyle name="Accent1 2" xfId="57" xr:uid="{00000000-0005-0000-0000-000036000000}"/>
    <cellStyle name="Accent2 2" xfId="58" xr:uid="{00000000-0005-0000-0000-000037000000}"/>
    <cellStyle name="Accent3 2" xfId="59" xr:uid="{00000000-0005-0000-0000-000038000000}"/>
    <cellStyle name="Accent4 2" xfId="60" xr:uid="{00000000-0005-0000-0000-000039000000}"/>
    <cellStyle name="Accent5 2" xfId="61" xr:uid="{00000000-0005-0000-0000-00003A000000}"/>
    <cellStyle name="Accent6 2" xfId="62" xr:uid="{00000000-0005-0000-0000-00003B000000}"/>
    <cellStyle name="AeE­ [0]_INQUIRY ¿?¾÷AßAø " xfId="63" xr:uid="{00000000-0005-0000-0000-00003C000000}"/>
    <cellStyle name="AeE­_INQUIRY ¿?¾÷AßAø " xfId="64" xr:uid="{00000000-0005-0000-0000-00003D000000}"/>
    <cellStyle name="AÞ¸¶ [0]_INQUIRY ¿?¾÷AßAø " xfId="65" xr:uid="{00000000-0005-0000-0000-00003E000000}"/>
    <cellStyle name="AÞ¸¶_INQUIRY ¿?¾÷AßAø " xfId="66" xr:uid="{00000000-0005-0000-0000-00003F000000}"/>
    <cellStyle name="Bad 2" xfId="67" xr:uid="{00000000-0005-0000-0000-000040000000}"/>
    <cellStyle name="C?AØ_¿?¾÷CoE² " xfId="68" xr:uid="{00000000-0005-0000-0000-000041000000}"/>
    <cellStyle name="Calculation 2" xfId="69" xr:uid="{00000000-0005-0000-0000-000042000000}"/>
    <cellStyle name="Check Cell 2" xfId="70" xr:uid="{00000000-0005-0000-0000-000043000000}"/>
    <cellStyle name="Comma" xfId="1" builtinId="3"/>
    <cellStyle name="Comma 2" xfId="71" xr:uid="{00000000-0005-0000-0000-000045000000}"/>
    <cellStyle name="Comma 2 2" xfId="72" xr:uid="{00000000-0005-0000-0000-000046000000}"/>
    <cellStyle name="Comma 2 2 2" xfId="73" xr:uid="{00000000-0005-0000-0000-000047000000}"/>
    <cellStyle name="Comma 2 2 3" xfId="74" xr:uid="{00000000-0005-0000-0000-000048000000}"/>
    <cellStyle name="Comma 2 2 4" xfId="75" xr:uid="{00000000-0005-0000-0000-000049000000}"/>
    <cellStyle name="Comma 2 2 5" xfId="76" xr:uid="{00000000-0005-0000-0000-00004A000000}"/>
    <cellStyle name="Comma 2 3" xfId="77" xr:uid="{00000000-0005-0000-0000-00004B000000}"/>
    <cellStyle name="Comma 2 4" xfId="78" xr:uid="{00000000-0005-0000-0000-00004C000000}"/>
    <cellStyle name="Comma 2 5" xfId="79" xr:uid="{00000000-0005-0000-0000-00004D000000}"/>
    <cellStyle name="Comma 2 6" xfId="80" xr:uid="{00000000-0005-0000-0000-00004E000000}"/>
    <cellStyle name="Comma 2 7" xfId="81" xr:uid="{00000000-0005-0000-0000-00004F000000}"/>
    <cellStyle name="Comma 2 8" xfId="82" xr:uid="{00000000-0005-0000-0000-000050000000}"/>
    <cellStyle name="Comma 3" xfId="83" xr:uid="{00000000-0005-0000-0000-000051000000}"/>
    <cellStyle name="Comma 3 2" xfId="84" xr:uid="{00000000-0005-0000-0000-000052000000}"/>
    <cellStyle name="Comma 3 2 10" xfId="85" xr:uid="{00000000-0005-0000-0000-000053000000}"/>
    <cellStyle name="Comma 3 3" xfId="86" xr:uid="{00000000-0005-0000-0000-000054000000}"/>
    <cellStyle name="Comma 3 4" xfId="87" xr:uid="{00000000-0005-0000-0000-000055000000}"/>
    <cellStyle name="Comma 3 5" xfId="88" xr:uid="{00000000-0005-0000-0000-000056000000}"/>
    <cellStyle name="Comma 4" xfId="89" xr:uid="{00000000-0005-0000-0000-000057000000}"/>
    <cellStyle name="Comma 7" xfId="90" xr:uid="{00000000-0005-0000-0000-000058000000}"/>
    <cellStyle name="Comma 7 2" xfId="91" xr:uid="{00000000-0005-0000-0000-000059000000}"/>
    <cellStyle name="Comma 7 3" xfId="92" xr:uid="{00000000-0005-0000-0000-00005A000000}"/>
    <cellStyle name="Comma0" xfId="93" xr:uid="{00000000-0005-0000-0000-00005B000000}"/>
    <cellStyle name="Currency0" xfId="94" xr:uid="{00000000-0005-0000-0000-00005C000000}"/>
    <cellStyle name="Date" xfId="95" xr:uid="{00000000-0005-0000-0000-00005D000000}"/>
    <cellStyle name="Explanatory Text 2" xfId="96" xr:uid="{00000000-0005-0000-0000-00005E000000}"/>
    <cellStyle name="Fixed" xfId="97" xr:uid="{00000000-0005-0000-0000-00005F000000}"/>
    <cellStyle name="Good 2" xfId="98" xr:uid="{00000000-0005-0000-0000-000060000000}"/>
    <cellStyle name="Heading 3 2" xfId="99" xr:uid="{00000000-0005-0000-0000-000061000000}"/>
    <cellStyle name="Heading 4 2" xfId="100" xr:uid="{00000000-0005-0000-0000-000062000000}"/>
    <cellStyle name="Input 2" xfId="101" xr:uid="{00000000-0005-0000-0000-000063000000}"/>
    <cellStyle name="Linked Cell 2" xfId="102" xr:uid="{00000000-0005-0000-0000-000064000000}"/>
    <cellStyle name="Neutral 2" xfId="103" xr:uid="{00000000-0005-0000-0000-000065000000}"/>
    <cellStyle name="Normal" xfId="0" builtinId="0"/>
    <cellStyle name="Normal - Style1" xfId="104" xr:uid="{00000000-0005-0000-0000-000067000000}"/>
    <cellStyle name="Normal 2" xfId="105" xr:uid="{00000000-0005-0000-0000-000068000000}"/>
    <cellStyle name="Normal 2 10" xfId="106" xr:uid="{00000000-0005-0000-0000-000069000000}"/>
    <cellStyle name="Normal 2 11" xfId="107" xr:uid="{00000000-0005-0000-0000-00006A000000}"/>
    <cellStyle name="Normal 2 12" xfId="108" xr:uid="{00000000-0005-0000-0000-00006B000000}"/>
    <cellStyle name="Normal 2 2" xfId="109" xr:uid="{00000000-0005-0000-0000-00006C000000}"/>
    <cellStyle name="Normal 2 3" xfId="110" xr:uid="{00000000-0005-0000-0000-00006D000000}"/>
    <cellStyle name="Normal 2 4" xfId="111" xr:uid="{00000000-0005-0000-0000-00006E000000}"/>
    <cellStyle name="Normal 2 5" xfId="112" xr:uid="{00000000-0005-0000-0000-00006F000000}"/>
    <cellStyle name="Normal 2 6" xfId="113" xr:uid="{00000000-0005-0000-0000-000070000000}"/>
    <cellStyle name="Normal 2 7" xfId="114" xr:uid="{00000000-0005-0000-0000-000071000000}"/>
    <cellStyle name="Normal 2 8" xfId="115" xr:uid="{00000000-0005-0000-0000-000072000000}"/>
    <cellStyle name="Normal 2 9" xfId="116" xr:uid="{00000000-0005-0000-0000-000073000000}"/>
    <cellStyle name="Normal 3" xfId="117" xr:uid="{00000000-0005-0000-0000-000074000000}"/>
    <cellStyle name="Normal 4" xfId="118" xr:uid="{00000000-0005-0000-0000-000075000000}"/>
    <cellStyle name="Normal 5" xfId="119" xr:uid="{00000000-0005-0000-0000-000076000000}"/>
    <cellStyle name="Normal 6" xfId="120" xr:uid="{00000000-0005-0000-0000-000077000000}"/>
    <cellStyle name="Normal 7" xfId="121" xr:uid="{00000000-0005-0000-0000-000078000000}"/>
    <cellStyle name="Note 2" xfId="122" xr:uid="{00000000-0005-0000-0000-000079000000}"/>
    <cellStyle name="Output 2" xfId="123" xr:uid="{00000000-0005-0000-0000-00007A000000}"/>
    <cellStyle name="Percent" xfId="2" builtinId="5"/>
    <cellStyle name="Percent 2" xfId="124" xr:uid="{00000000-0005-0000-0000-00007C000000}"/>
    <cellStyle name="Title 2" xfId="125" xr:uid="{00000000-0005-0000-0000-00007D000000}"/>
    <cellStyle name="Warning Text 2" xfId="126" xr:uid="{00000000-0005-0000-0000-00007E000000}"/>
  </cellStyles>
  <dxfs count="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123B8-6187-49FA-B93C-8AC6BACAF976}">
  <sheetPr codeName="Sheet21">
    <tabColor rgb="FF00B050"/>
  </sheetPr>
  <dimension ref="A1:MB188"/>
  <sheetViews>
    <sheetView tabSelected="1" zoomScale="80" zoomScaleNormal="80" workbookViewId="0">
      <pane xSplit="8" ySplit="9" topLeftCell="LQ10" activePane="bottomRight" state="frozen"/>
      <selection pane="topRight" activeCell="I1" sqref="I1"/>
      <selection pane="bottomLeft" activeCell="A8" sqref="A8"/>
      <selection pane="bottomRight" activeCell="LQ9" sqref="LQ9"/>
    </sheetView>
  </sheetViews>
  <sheetFormatPr defaultRowHeight="15" outlineLevelCol="1"/>
  <cols>
    <col min="1" max="1" width="8.42578125" bestFit="1" customWidth="1"/>
    <col min="2" max="2" width="12" style="57" customWidth="1"/>
    <col min="3" max="3" width="19.28515625" style="57" customWidth="1"/>
    <col min="4" max="4" width="17" style="57" customWidth="1"/>
    <col min="5" max="5" width="12.42578125" customWidth="1"/>
    <col min="6" max="6" width="12.28515625" customWidth="1"/>
    <col min="7" max="7" width="11.140625" customWidth="1"/>
    <col min="8" max="8" width="15.42578125" customWidth="1"/>
    <col min="9" max="15" width="11.140625" customWidth="1" outlineLevel="1"/>
    <col min="16" max="16" width="10.28515625" customWidth="1" outlineLevel="1"/>
    <col min="17" max="29" width="8.42578125" customWidth="1" outlineLevel="1"/>
    <col min="30" max="30" width="10.140625" customWidth="1" outlineLevel="1"/>
    <col min="31" max="33" width="11.140625" customWidth="1" outlineLevel="1"/>
    <col min="34" max="34" width="10.140625" customWidth="1" outlineLevel="1"/>
    <col min="35" max="35" width="11.5703125" customWidth="1" outlineLevel="1"/>
    <col min="36" max="36" width="10.140625" customWidth="1" outlineLevel="1"/>
    <col min="37" max="37" width="11.140625" customWidth="1" outlineLevel="1"/>
    <col min="38" max="38" width="10.140625" customWidth="1" outlineLevel="1"/>
    <col min="39" max="42" width="11.140625" customWidth="1" outlineLevel="1"/>
    <col min="43" max="46" width="10.140625" customWidth="1" outlineLevel="1"/>
    <col min="47" max="47" width="12" customWidth="1" outlineLevel="1"/>
    <col min="48" max="49" width="10.140625" customWidth="1" outlineLevel="1"/>
    <col min="50" max="56" width="9.5703125" customWidth="1" outlineLevel="1"/>
    <col min="57" max="57" width="21.7109375" customWidth="1" outlineLevel="1"/>
    <col min="58" max="59" width="9.7109375" customWidth="1" outlineLevel="1"/>
    <col min="60" max="60" width="8.140625" customWidth="1" outlineLevel="1"/>
    <col min="61" max="61" width="9.7109375" customWidth="1"/>
    <col min="62" max="64" width="10.5703125" customWidth="1" outlineLevel="1"/>
    <col min="65" max="82" width="11.140625" customWidth="1" outlineLevel="1"/>
    <col min="83" max="83" width="10.140625" customWidth="1" outlineLevel="1"/>
    <col min="84" max="86" width="9.42578125" customWidth="1" outlineLevel="1"/>
    <col min="87" max="87" width="9.5703125" customWidth="1" outlineLevel="1"/>
    <col min="88" max="88" width="10" customWidth="1" outlineLevel="1"/>
    <col min="89" max="89" width="12.140625" customWidth="1" outlineLevel="1"/>
    <col min="90" max="90" width="10.5703125" customWidth="1" outlineLevel="1"/>
    <col min="91" max="91" width="9.5703125" customWidth="1" outlineLevel="1"/>
    <col min="92" max="95" width="10.5703125" customWidth="1" outlineLevel="1"/>
    <col min="96" max="96" width="9.5703125" customWidth="1" outlineLevel="1"/>
    <col min="97" max="97" width="10.5703125" customWidth="1" outlineLevel="1"/>
    <col min="98" max="99" width="12.42578125" customWidth="1" outlineLevel="1"/>
    <col min="100" max="100" width="11.5703125" customWidth="1" outlineLevel="1"/>
    <col min="101" max="101" width="14.42578125" customWidth="1" outlineLevel="1"/>
    <col min="102" max="102" width="14.5703125" customWidth="1" outlineLevel="1"/>
    <col min="103" max="103" width="9.5703125" customWidth="1" outlineLevel="1"/>
    <col min="104" max="110" width="10.5703125" customWidth="1" outlineLevel="1"/>
    <col min="111" max="112" width="9.7109375" customWidth="1" outlineLevel="1"/>
    <col min="113" max="113" width="13.140625" customWidth="1" outlineLevel="1"/>
    <col min="114" max="114" width="9.5703125" customWidth="1"/>
    <col min="115" max="117" width="10.5703125" customWidth="1" outlineLevel="1"/>
    <col min="118" max="118" width="11.140625" customWidth="1" outlineLevel="1"/>
    <col min="119" max="122" width="10.5703125" customWidth="1" outlineLevel="1"/>
    <col min="123" max="135" width="11.42578125" customWidth="1" outlineLevel="1"/>
    <col min="136" max="136" width="9.5703125" customWidth="1" outlineLevel="1"/>
    <col min="137" max="139" width="10.5703125" customWidth="1" outlineLevel="1"/>
    <col min="140" max="140" width="9.5703125" customWidth="1" outlineLevel="1"/>
    <col min="141" max="141" width="9.7109375" customWidth="1" outlineLevel="1"/>
    <col min="142" max="142" width="12.140625" customWidth="1" outlineLevel="1"/>
    <col min="143" max="143" width="10.5703125" customWidth="1" outlineLevel="1"/>
    <col min="144" max="144" width="9.5703125" customWidth="1" outlineLevel="1"/>
    <col min="145" max="148" width="10.5703125" customWidth="1" outlineLevel="1"/>
    <col min="149" max="149" width="9.5703125" customWidth="1" outlineLevel="1"/>
    <col min="150" max="150" width="10.5703125" customWidth="1" outlineLevel="1"/>
    <col min="151" max="152" width="12.42578125" customWidth="1" outlineLevel="1"/>
    <col min="153" max="153" width="11.5703125" customWidth="1" outlineLevel="1"/>
    <col min="154" max="154" width="14.42578125" customWidth="1" outlineLevel="1"/>
    <col min="155" max="155" width="14.5703125" customWidth="1" outlineLevel="1"/>
    <col min="156" max="156" width="9.5703125" customWidth="1" outlineLevel="1"/>
    <col min="157" max="163" width="10.5703125" customWidth="1" outlineLevel="1"/>
    <col min="164" max="165" width="9.7109375" customWidth="1" outlineLevel="1"/>
    <col min="166" max="166" width="8.140625" customWidth="1" outlineLevel="1"/>
    <col min="167" max="167" width="8.7109375" bestFit="1" customWidth="1"/>
    <col min="168" max="168" width="6.140625" customWidth="1"/>
    <col min="169" max="176" width="10.5703125" customWidth="1" outlineLevel="1"/>
    <col min="177" max="189" width="11.42578125" customWidth="1" outlineLevel="1"/>
    <col min="190" max="190" width="11.5703125" customWidth="1" outlineLevel="1"/>
    <col min="191" max="191" width="10.5703125" customWidth="1" outlineLevel="1"/>
    <col min="192" max="194" width="9.5703125" customWidth="1" outlineLevel="1"/>
    <col min="195" max="195" width="10" customWidth="1" outlineLevel="1"/>
    <col min="196" max="196" width="9.85546875" customWidth="1" outlineLevel="1"/>
    <col min="197" max="197" width="10.5703125" customWidth="1" outlineLevel="1"/>
    <col min="198" max="198" width="9.5703125" customWidth="1" outlineLevel="1"/>
    <col min="199" max="202" width="10.5703125" customWidth="1" outlineLevel="1"/>
    <col min="203" max="203" width="9.5703125" customWidth="1" outlineLevel="1"/>
    <col min="204" max="204" width="10.5703125" customWidth="1" outlineLevel="1"/>
    <col min="205" max="206" width="12.42578125" customWidth="1" outlineLevel="1"/>
    <col min="207" max="207" width="11.5703125" customWidth="1" outlineLevel="1"/>
    <col min="208" max="209" width="11.7109375" customWidth="1" outlineLevel="1"/>
    <col min="210" max="210" width="10.85546875" customWidth="1" outlineLevel="1"/>
    <col min="211" max="217" width="10.5703125" customWidth="1" outlineLevel="1"/>
    <col min="218" max="219" width="9.7109375" customWidth="1" outlineLevel="1"/>
    <col min="220" max="220" width="9" customWidth="1" outlineLevel="1"/>
    <col min="222" max="222" width="11.42578125" style="27" bestFit="1" customWidth="1"/>
    <col min="223" max="223" width="12" customWidth="1" outlineLevel="1"/>
    <col min="224" max="225" width="9.140625" customWidth="1" outlineLevel="1"/>
    <col min="226" max="226" width="11.85546875" customWidth="1" outlineLevel="1"/>
    <col min="227" max="229" width="9.140625" customWidth="1" outlineLevel="1"/>
    <col min="230" max="230" width="10.7109375" customWidth="1" outlineLevel="1"/>
    <col min="231" max="231" width="10.5703125" customWidth="1" outlineLevel="1"/>
    <col min="232" max="233" width="9.140625" customWidth="1" outlineLevel="1"/>
    <col min="234" max="234" width="10.85546875" customWidth="1" outlineLevel="1"/>
    <col min="235" max="236" width="9.140625" customWidth="1" outlineLevel="1"/>
    <col min="237" max="237" width="13" customWidth="1" outlineLevel="1"/>
    <col min="238" max="238" width="9.140625" customWidth="1" outlineLevel="1"/>
    <col min="239" max="239" width="12" customWidth="1" outlineLevel="1"/>
    <col min="240" max="242" width="9.140625" customWidth="1" outlineLevel="1"/>
    <col min="243" max="243" width="11.140625" customWidth="1" outlineLevel="1"/>
    <col min="244" max="244" width="10" customWidth="1" outlineLevel="1"/>
    <col min="245" max="245" width="10.7109375" customWidth="1" outlineLevel="1"/>
    <col min="246" max="248" width="9.7109375" customWidth="1" outlineLevel="1"/>
    <col min="249" max="249" width="10.7109375" customWidth="1" outlineLevel="1"/>
    <col min="250" max="250" width="11.7109375" customWidth="1" outlineLevel="1"/>
    <col min="251" max="251" width="12" customWidth="1" outlineLevel="1"/>
    <col min="252" max="252" width="9.7109375" customWidth="1" outlineLevel="1"/>
    <col min="253" max="256" width="10.7109375" customWidth="1" outlineLevel="1"/>
    <col min="257" max="257" width="9.7109375" customWidth="1" outlineLevel="1"/>
    <col min="258" max="258" width="10.7109375" customWidth="1" outlineLevel="1"/>
    <col min="259" max="260" width="10.140625" customWidth="1" outlineLevel="1"/>
    <col min="261" max="261" width="10.42578125" customWidth="1" outlineLevel="1"/>
    <col min="262" max="262" width="11" customWidth="1" outlineLevel="1"/>
    <col min="263" max="263" width="10.7109375" customWidth="1" outlineLevel="1"/>
    <col min="264" max="264" width="9.7109375" customWidth="1" outlineLevel="1"/>
    <col min="265" max="267" width="10.7109375" customWidth="1" outlineLevel="1"/>
    <col min="268" max="268" width="11.28515625" customWidth="1" outlineLevel="1"/>
    <col min="269" max="269" width="12" customWidth="1" outlineLevel="1"/>
    <col min="270" max="271" width="10.7109375" customWidth="1" outlineLevel="1"/>
    <col min="272" max="273" width="9.85546875" customWidth="1" outlineLevel="1"/>
    <col min="274" max="274" width="11.28515625" customWidth="1" outlineLevel="1"/>
    <col min="275" max="275" width="12.140625" bestFit="1" customWidth="1"/>
    <col min="277" max="279" width="11.5703125" customWidth="1" outlineLevel="1"/>
    <col min="280" max="280" width="13.42578125" customWidth="1" outlineLevel="1"/>
    <col min="281" max="284" width="10.7109375" customWidth="1" outlineLevel="1"/>
    <col min="285" max="297" width="11.5703125" customWidth="1" outlineLevel="1"/>
    <col min="298" max="298" width="9.7109375" customWidth="1" outlineLevel="1"/>
    <col min="299" max="299" width="10.7109375" customWidth="1" outlineLevel="1"/>
    <col min="300" max="302" width="9.7109375" customWidth="1" outlineLevel="1"/>
    <col min="303" max="303" width="12.85546875" customWidth="1" outlineLevel="1"/>
    <col min="304" max="304" width="13.140625" customWidth="1" outlineLevel="1"/>
    <col min="305" max="305" width="12" customWidth="1" outlineLevel="1"/>
    <col min="306" max="307" width="9.140625" customWidth="1" outlineLevel="1"/>
    <col min="308" max="309" width="9.28515625" customWidth="1" outlineLevel="1"/>
    <col min="310" max="310" width="10.7109375" customWidth="1" outlineLevel="1"/>
    <col min="311" max="311" width="9.7109375" customWidth="1" outlineLevel="1"/>
    <col min="312" max="312" width="13.140625" customWidth="1" outlineLevel="1"/>
    <col min="313" max="314" width="11.42578125" customWidth="1" outlineLevel="1"/>
    <col min="315" max="315" width="10.5703125" customWidth="1" outlineLevel="1"/>
    <col min="316" max="316" width="15.7109375" customWidth="1" outlineLevel="1"/>
    <col min="317" max="317" width="9.5703125" customWidth="1" outlineLevel="1"/>
    <col min="318" max="318" width="9.140625" customWidth="1" outlineLevel="1"/>
    <col min="319" max="319" width="10.85546875" customWidth="1" outlineLevel="1"/>
    <col min="320" max="320" width="12" customWidth="1" outlineLevel="1"/>
    <col min="321" max="321" width="9.140625" customWidth="1" outlineLevel="1"/>
    <col min="322" max="322" width="11.28515625" customWidth="1" outlineLevel="1"/>
    <col min="323" max="323" width="12.28515625" customWidth="1" outlineLevel="1"/>
    <col min="324" max="326" width="9.140625" customWidth="1" outlineLevel="1"/>
    <col min="327" max="327" width="11.7109375" customWidth="1" outlineLevel="1"/>
    <col min="328" max="328" width="14.5703125" customWidth="1" outlineLevel="1"/>
    <col min="329" max="329" width="14" customWidth="1"/>
    <col min="330" max="330" width="9.7109375" style="54" customWidth="1"/>
    <col min="331" max="331" width="9.28515625" style="1" bestFit="1" customWidth="1"/>
    <col min="332" max="332" width="10.28515625" customWidth="1"/>
    <col min="333" max="333" width="10.42578125" customWidth="1"/>
    <col min="334" max="334" width="10.5703125" bestFit="1" customWidth="1"/>
    <col min="335" max="335" width="12" bestFit="1" customWidth="1"/>
    <col min="336" max="336" width="17.5703125" customWidth="1"/>
    <col min="337" max="337" width="11.42578125" customWidth="1"/>
    <col min="339" max="339" width="9.28515625" style="1" bestFit="1" customWidth="1"/>
  </cols>
  <sheetData>
    <row r="1" spans="1:340">
      <c r="HN1"/>
    </row>
    <row r="2" spans="1:340">
      <c r="HN2"/>
    </row>
    <row r="3" spans="1:340">
      <c r="H3" s="101"/>
      <c r="BY3">
        <f>6500*3</f>
        <v>19500</v>
      </c>
      <c r="BZ3">
        <f>4100*3</f>
        <v>12300</v>
      </c>
      <c r="CA3">
        <f>+BZ3+BY3</f>
        <v>31800</v>
      </c>
      <c r="CC3">
        <f>+CA3/6</f>
        <v>5300</v>
      </c>
      <c r="EY3">
        <f>6000+5000</f>
        <v>11000</v>
      </c>
      <c r="LQ3" s="42"/>
      <c r="LR3" s="168"/>
    </row>
    <row r="4" spans="1:340" s="27" customFormat="1" ht="19.5" thickBot="1">
      <c r="A4" s="74"/>
      <c r="B4" s="87" t="s">
        <v>67</v>
      </c>
      <c r="C4" s="75"/>
      <c r="D4" s="90"/>
      <c r="E4"/>
      <c r="H4" s="101"/>
      <c r="AR4" s="70"/>
      <c r="FM4" s="1">
        <f>SUBTOTAL(9,FM10:FM156)</f>
        <v>12.389999999999999</v>
      </c>
      <c r="FN4" s="1">
        <f t="shared" ref="FN4:HY4" si="0">SUBTOTAL(9,FN10:FN156)</f>
        <v>0</v>
      </c>
      <c r="FO4" s="1">
        <f t="shared" si="0"/>
        <v>0</v>
      </c>
      <c r="FP4" s="1">
        <f t="shared" si="0"/>
        <v>50.932499999999976</v>
      </c>
      <c r="FQ4" s="1">
        <f t="shared" si="0"/>
        <v>0</v>
      </c>
      <c r="FR4" s="1">
        <f t="shared" si="0"/>
        <v>0</v>
      </c>
      <c r="FS4" s="1">
        <f t="shared" si="0"/>
        <v>0</v>
      </c>
      <c r="FT4" s="1">
        <f t="shared" si="0"/>
        <v>0</v>
      </c>
      <c r="FU4" s="1">
        <f t="shared" si="0"/>
        <v>18.900000000000002</v>
      </c>
      <c r="FV4" s="1">
        <f t="shared" si="0"/>
        <v>0</v>
      </c>
      <c r="FW4" s="1">
        <f t="shared" si="0"/>
        <v>0</v>
      </c>
      <c r="FX4" s="1">
        <f t="shared" si="0"/>
        <v>0</v>
      </c>
      <c r="FY4" s="1">
        <f t="shared" si="0"/>
        <v>0</v>
      </c>
      <c r="FZ4" s="1">
        <f t="shared" si="0"/>
        <v>1.2749999999999999</v>
      </c>
      <c r="GA4" s="1">
        <f t="shared" si="0"/>
        <v>10.01</v>
      </c>
      <c r="GB4" s="1">
        <f t="shared" si="0"/>
        <v>0.33</v>
      </c>
      <c r="GC4" s="1">
        <f t="shared" si="0"/>
        <v>43.044999999999966</v>
      </c>
      <c r="GD4" s="1">
        <f t="shared" si="0"/>
        <v>0.15000000000000002</v>
      </c>
      <c r="GE4" s="1">
        <f t="shared" si="0"/>
        <v>0</v>
      </c>
      <c r="GF4" s="1">
        <f t="shared" si="0"/>
        <v>0</v>
      </c>
      <c r="GG4" s="1">
        <f t="shared" si="0"/>
        <v>0</v>
      </c>
      <c r="GH4" s="1">
        <f t="shared" si="0"/>
        <v>0</v>
      </c>
      <c r="GI4" s="1">
        <f t="shared" si="0"/>
        <v>3</v>
      </c>
      <c r="GJ4" s="1">
        <f t="shared" si="0"/>
        <v>0</v>
      </c>
      <c r="GK4" s="1">
        <f t="shared" si="0"/>
        <v>0</v>
      </c>
      <c r="GL4" s="1">
        <f t="shared" si="0"/>
        <v>0</v>
      </c>
      <c r="GM4" s="1">
        <f t="shared" si="0"/>
        <v>0</v>
      </c>
      <c r="GN4" s="1">
        <f t="shared" si="0"/>
        <v>58.570000000000057</v>
      </c>
      <c r="GO4" s="1">
        <f t="shared" si="0"/>
        <v>102.54249999999999</v>
      </c>
      <c r="GP4" s="1">
        <f t="shared" si="0"/>
        <v>0</v>
      </c>
      <c r="GQ4" s="1">
        <f t="shared" si="0"/>
        <v>0.24</v>
      </c>
      <c r="GR4" s="1">
        <f t="shared" si="0"/>
        <v>0</v>
      </c>
      <c r="GS4" s="1">
        <f t="shared" si="0"/>
        <v>0</v>
      </c>
      <c r="GT4" s="1">
        <f t="shared" si="0"/>
        <v>0</v>
      </c>
      <c r="GU4" s="1">
        <f t="shared" si="0"/>
        <v>0</v>
      </c>
      <c r="GV4" s="1">
        <f t="shared" si="0"/>
        <v>5.1450000000000005</v>
      </c>
      <c r="GW4" s="1">
        <f t="shared" si="0"/>
        <v>21.957499999999989</v>
      </c>
      <c r="GX4" s="1">
        <f t="shared" si="0"/>
        <v>0</v>
      </c>
      <c r="GY4" s="1">
        <f t="shared" si="0"/>
        <v>0.75</v>
      </c>
      <c r="GZ4" s="1">
        <f t="shared" si="0"/>
        <v>1.5</v>
      </c>
      <c r="HA4" s="1">
        <f t="shared" si="0"/>
        <v>0</v>
      </c>
      <c r="HB4" s="1">
        <f t="shared" si="0"/>
        <v>0</v>
      </c>
      <c r="HC4" s="1">
        <f t="shared" si="0"/>
        <v>0.59250000000000036</v>
      </c>
      <c r="HD4" s="1">
        <f t="shared" si="0"/>
        <v>19.375</v>
      </c>
      <c r="HE4" s="1">
        <f t="shared" si="0"/>
        <v>0</v>
      </c>
      <c r="HF4" s="1">
        <f t="shared" si="0"/>
        <v>19.819999999999993</v>
      </c>
      <c r="HG4" s="1">
        <f t="shared" si="0"/>
        <v>228.38750000000007</v>
      </c>
      <c r="HH4" s="1">
        <f t="shared" si="0"/>
        <v>0</v>
      </c>
      <c r="HI4" s="1">
        <f t="shared" si="0"/>
        <v>0</v>
      </c>
      <c r="HJ4" s="1">
        <f t="shared" si="0"/>
        <v>0</v>
      </c>
      <c r="HK4" s="1">
        <f t="shared" si="0"/>
        <v>13.749999999999998</v>
      </c>
      <c r="HL4" s="1">
        <f t="shared" si="0"/>
        <v>3.3374999999999928</v>
      </c>
      <c r="HM4" s="1">
        <f t="shared" si="0"/>
        <v>616</v>
      </c>
      <c r="HO4" s="1">
        <f t="shared" si="0"/>
        <v>1786.9979999999998</v>
      </c>
      <c r="HP4" s="1">
        <f t="shared" si="0"/>
        <v>0</v>
      </c>
      <c r="HQ4" s="1">
        <f t="shared" si="0"/>
        <v>0</v>
      </c>
      <c r="HR4" s="1">
        <f t="shared" si="0"/>
        <v>10290.922499999999</v>
      </c>
      <c r="HS4" s="1">
        <f t="shared" si="0"/>
        <v>0</v>
      </c>
      <c r="HT4" s="1">
        <f t="shared" si="0"/>
        <v>0</v>
      </c>
      <c r="HU4" s="1">
        <f t="shared" si="0"/>
        <v>0</v>
      </c>
      <c r="HV4" s="1">
        <f t="shared" si="0"/>
        <v>0</v>
      </c>
      <c r="HW4" s="1">
        <f t="shared" si="0"/>
        <v>3092.3100000000004</v>
      </c>
      <c r="HX4" s="1">
        <f t="shared" si="0"/>
        <v>0</v>
      </c>
      <c r="HY4" s="1">
        <f t="shared" si="0"/>
        <v>0</v>
      </c>
      <c r="HZ4" s="1">
        <f t="shared" ref="HZ4:KK4" si="1">SUBTOTAL(9,HZ10:HZ156)</f>
        <v>0</v>
      </c>
      <c r="IA4" s="1">
        <f t="shared" si="1"/>
        <v>0</v>
      </c>
      <c r="IB4" s="1">
        <f t="shared" si="1"/>
        <v>165.49499999999998</v>
      </c>
      <c r="IC4" s="1">
        <f t="shared" si="1"/>
        <v>3240.0180000000005</v>
      </c>
      <c r="ID4" s="1">
        <f t="shared" si="1"/>
        <v>7.0620000000000003</v>
      </c>
      <c r="IE4" s="1">
        <f t="shared" si="1"/>
        <v>8552.4655000000002</v>
      </c>
      <c r="IF4" s="1">
        <f t="shared" si="1"/>
        <v>26.010000000000009</v>
      </c>
      <c r="IG4" s="1">
        <f t="shared" si="1"/>
        <v>0</v>
      </c>
      <c r="IH4" s="1">
        <f t="shared" si="1"/>
        <v>0</v>
      </c>
      <c r="II4" s="1">
        <f t="shared" si="1"/>
        <v>0</v>
      </c>
      <c r="IJ4" s="1">
        <f t="shared" si="1"/>
        <v>0</v>
      </c>
      <c r="IK4" s="1">
        <f t="shared" si="1"/>
        <v>845.51999999999987</v>
      </c>
      <c r="IL4" s="1">
        <f t="shared" si="1"/>
        <v>0</v>
      </c>
      <c r="IM4" s="1">
        <f t="shared" si="1"/>
        <v>0</v>
      </c>
      <c r="IN4" s="1">
        <f t="shared" si="1"/>
        <v>0</v>
      </c>
      <c r="IO4" s="1">
        <f t="shared" si="1"/>
        <v>0</v>
      </c>
      <c r="IP4" s="1">
        <f t="shared" si="1"/>
        <v>11496.330999999998</v>
      </c>
      <c r="IQ4" s="1">
        <f t="shared" si="1"/>
        <v>27270.503000000008</v>
      </c>
      <c r="IR4" s="1">
        <f t="shared" si="1"/>
        <v>0</v>
      </c>
      <c r="IS4" s="1">
        <f t="shared" si="1"/>
        <v>31.151999999999997</v>
      </c>
      <c r="IT4" s="1">
        <f t="shared" si="1"/>
        <v>0</v>
      </c>
      <c r="IU4" s="1">
        <f t="shared" si="1"/>
        <v>0</v>
      </c>
      <c r="IV4" s="1">
        <f t="shared" si="1"/>
        <v>0</v>
      </c>
      <c r="IW4" s="1">
        <f t="shared" si="1"/>
        <v>0</v>
      </c>
      <c r="IX4" s="1">
        <f t="shared" si="1"/>
        <v>1547.9380000000006</v>
      </c>
      <c r="IY4" s="1">
        <f t="shared" si="1"/>
        <v>4280.2074999999995</v>
      </c>
      <c r="IZ4" s="1">
        <f t="shared" si="1"/>
        <v>0</v>
      </c>
      <c r="JA4" s="1">
        <f t="shared" si="1"/>
        <v>772.25</v>
      </c>
      <c r="JB4" s="1">
        <f t="shared" si="1"/>
        <v>3554</v>
      </c>
      <c r="JC4" s="1">
        <f t="shared" si="1"/>
        <v>0</v>
      </c>
      <c r="JD4" s="1">
        <f t="shared" si="1"/>
        <v>0</v>
      </c>
      <c r="JE4" s="1">
        <f t="shared" si="1"/>
        <v>240.56299999999996</v>
      </c>
      <c r="JF4" s="1">
        <f t="shared" si="1"/>
        <v>6579.4850000000006</v>
      </c>
      <c r="JG4" s="1">
        <f t="shared" si="1"/>
        <v>0</v>
      </c>
      <c r="JH4" s="1">
        <f t="shared" si="1"/>
        <v>10368.370000000001</v>
      </c>
      <c r="JI4" s="1">
        <f t="shared" si="1"/>
        <v>54229.912999999993</v>
      </c>
      <c r="JJ4" s="1">
        <f t="shared" si="1"/>
        <v>0</v>
      </c>
      <c r="JK4" s="1">
        <f t="shared" si="1"/>
        <v>0</v>
      </c>
      <c r="JL4" s="1">
        <f t="shared" si="1"/>
        <v>0</v>
      </c>
      <c r="JM4" s="1">
        <f t="shared" si="1"/>
        <v>4567.84</v>
      </c>
      <c r="JN4" s="1">
        <f t="shared" si="1"/>
        <v>661.64649999999983</v>
      </c>
      <c r="JO4" s="1">
        <f t="shared" si="1"/>
        <v>153607</v>
      </c>
      <c r="JP4" s="1">
        <f t="shared" si="1"/>
        <v>0</v>
      </c>
      <c r="JQ4" s="1">
        <f t="shared" si="1"/>
        <v>7223.9394149999998</v>
      </c>
      <c r="JR4" s="1">
        <f t="shared" si="1"/>
        <v>0</v>
      </c>
      <c r="JS4" s="1">
        <f t="shared" si="1"/>
        <v>0</v>
      </c>
      <c r="JT4" s="1">
        <f t="shared" si="1"/>
        <v>44260.434398700003</v>
      </c>
      <c r="JU4" s="1">
        <f t="shared" si="1"/>
        <v>0</v>
      </c>
      <c r="JV4" s="1">
        <f t="shared" si="1"/>
        <v>0</v>
      </c>
      <c r="JW4" s="1">
        <f t="shared" si="1"/>
        <v>0</v>
      </c>
      <c r="JX4" s="1">
        <f t="shared" si="1"/>
        <v>0</v>
      </c>
      <c r="JY4" s="1">
        <f t="shared" si="1"/>
        <v>14322.837765599998</v>
      </c>
      <c r="JZ4" s="1">
        <f t="shared" si="1"/>
        <v>0</v>
      </c>
      <c r="KA4" s="1">
        <f t="shared" si="1"/>
        <v>0</v>
      </c>
      <c r="KB4" s="1">
        <f t="shared" si="1"/>
        <v>0</v>
      </c>
      <c r="KC4" s="1">
        <f t="shared" si="1"/>
        <v>0</v>
      </c>
      <c r="KD4" s="1">
        <f t="shared" si="1"/>
        <v>742.24507499999993</v>
      </c>
      <c r="KE4" s="1">
        <f t="shared" si="1"/>
        <v>13207.852343822547</v>
      </c>
      <c r="KF4" s="1">
        <f t="shared" si="1"/>
        <v>57.111806399999999</v>
      </c>
      <c r="KG4" s="1">
        <f t="shared" si="1"/>
        <v>35492.090476476042</v>
      </c>
      <c r="KH4" s="1">
        <f t="shared" si="1"/>
        <v>106.02911448727275</v>
      </c>
      <c r="KI4" s="1">
        <f t="shared" si="1"/>
        <v>0</v>
      </c>
      <c r="KJ4" s="1">
        <f t="shared" si="1"/>
        <v>0</v>
      </c>
      <c r="KK4" s="1">
        <f t="shared" si="1"/>
        <v>0</v>
      </c>
      <c r="KL4" s="1">
        <f t="shared" ref="KL4:LP4" si="2">SUBTOTAL(9,KL10:KL156)</f>
        <v>0</v>
      </c>
      <c r="KM4" s="1">
        <f t="shared" si="2"/>
        <v>3477.7928639999996</v>
      </c>
      <c r="KN4" s="1">
        <f t="shared" si="2"/>
        <v>0</v>
      </c>
      <c r="KO4" s="1">
        <f t="shared" si="2"/>
        <v>0</v>
      </c>
      <c r="KP4" s="1">
        <f t="shared" si="2"/>
        <v>0</v>
      </c>
      <c r="KQ4" s="1">
        <f t="shared" si="2"/>
        <v>0</v>
      </c>
      <c r="KR4" s="1">
        <f t="shared" si="2"/>
        <v>44375.837659999983</v>
      </c>
      <c r="KS4" s="1">
        <f t="shared" si="2"/>
        <v>93246.876018033363</v>
      </c>
      <c r="KT4" s="1">
        <f t="shared" si="2"/>
        <v>0</v>
      </c>
      <c r="KU4" s="1">
        <f t="shared" si="2"/>
        <v>129.27846391466667</v>
      </c>
      <c r="KV4" s="1">
        <f t="shared" si="2"/>
        <v>0</v>
      </c>
      <c r="KW4" s="1">
        <f t="shared" si="2"/>
        <v>0</v>
      </c>
      <c r="KX4" s="1">
        <f t="shared" si="2"/>
        <v>0</v>
      </c>
      <c r="KY4" s="1">
        <f t="shared" si="2"/>
        <v>0</v>
      </c>
      <c r="KZ4" s="1">
        <f t="shared" si="2"/>
        <v>13389.663700000003</v>
      </c>
      <c r="LA4" s="1">
        <f t="shared" si="2"/>
        <v>17150.106619300001</v>
      </c>
      <c r="LB4" s="1">
        <f t="shared" si="2"/>
        <v>0</v>
      </c>
      <c r="LC4" s="1">
        <f t="shared" si="2"/>
        <v>2780.1000000000004</v>
      </c>
      <c r="LD4" s="1">
        <f t="shared" si="2"/>
        <v>17770</v>
      </c>
      <c r="LE4" s="1">
        <f t="shared" si="2"/>
        <v>0</v>
      </c>
      <c r="LF4" s="1">
        <f t="shared" si="2"/>
        <v>0</v>
      </c>
      <c r="LG4" s="1">
        <f t="shared" si="2"/>
        <v>2482.6101599999997</v>
      </c>
      <c r="LH4" s="1">
        <f t="shared" si="2"/>
        <v>27546.001008168892</v>
      </c>
      <c r="LI4" s="1">
        <f t="shared" si="2"/>
        <v>0</v>
      </c>
      <c r="LJ4" s="1">
        <f t="shared" si="2"/>
        <v>49929.507837199999</v>
      </c>
      <c r="LK4" s="1">
        <f t="shared" si="2"/>
        <v>217231.47399975007</v>
      </c>
      <c r="LL4" s="1">
        <f t="shared" si="2"/>
        <v>0</v>
      </c>
      <c r="LM4" s="1">
        <f t="shared" si="2"/>
        <v>0</v>
      </c>
      <c r="LN4" s="1">
        <f t="shared" si="2"/>
        <v>0</v>
      </c>
      <c r="LO4" s="1">
        <f t="shared" si="2"/>
        <v>20317.569606399997</v>
      </c>
      <c r="LP4" s="1">
        <f t="shared" si="2"/>
        <v>5590.9129250000024</v>
      </c>
      <c r="LQ4" s="1"/>
      <c r="LX4" s="76" t="s">
        <v>25</v>
      </c>
      <c r="LY4" s="122"/>
    </row>
    <row r="5" spans="1:340" ht="15.75" thickBot="1">
      <c r="D5" s="90"/>
      <c r="J5" s="121"/>
      <c r="K5" s="121"/>
      <c r="FA5" s="121"/>
      <c r="GV5" t="s">
        <v>107</v>
      </c>
      <c r="HA5" t="s">
        <v>45</v>
      </c>
      <c r="HN5" s="27">
        <f>SUBTOTAL(9,HN10:HN1048576)</f>
        <v>153607</v>
      </c>
      <c r="HO5" s="42"/>
      <c r="HP5" s="42"/>
      <c r="HQ5" s="42"/>
      <c r="HR5" s="42"/>
      <c r="HS5" s="42"/>
      <c r="HT5" s="42"/>
      <c r="HU5" s="42"/>
      <c r="HV5" s="42"/>
      <c r="HW5" s="42"/>
      <c r="HX5" s="42"/>
      <c r="HY5" s="42"/>
      <c r="HZ5" s="42"/>
      <c r="IA5" s="42"/>
      <c r="IB5" s="42"/>
      <c r="IC5" s="42"/>
      <c r="ID5" s="42"/>
      <c r="IE5" s="42"/>
      <c r="IF5" s="42"/>
      <c r="IG5" s="42"/>
      <c r="IH5" s="42"/>
      <c r="II5" s="42"/>
      <c r="IJ5" s="42"/>
      <c r="IK5" s="42"/>
      <c r="IL5" s="42"/>
      <c r="IM5" s="42"/>
      <c r="IN5" s="42"/>
      <c r="IO5" s="42"/>
      <c r="IP5" s="42"/>
      <c r="IQ5" s="42"/>
      <c r="IR5" s="42"/>
      <c r="IS5" s="42"/>
      <c r="IT5" s="42"/>
      <c r="IU5" s="42"/>
      <c r="IV5" s="42"/>
      <c r="IW5" s="42"/>
      <c r="IX5" s="42"/>
      <c r="IY5" s="42"/>
      <c r="IZ5" s="42"/>
      <c r="JA5" s="42"/>
      <c r="JB5" s="42"/>
      <c r="JC5" s="42"/>
      <c r="JD5" s="42"/>
      <c r="JE5" s="42"/>
      <c r="JF5" s="42"/>
      <c r="JG5" s="42"/>
      <c r="JH5" s="42"/>
      <c r="JI5" s="42"/>
      <c r="JJ5" s="42"/>
      <c r="JK5" s="42"/>
      <c r="JL5" s="42"/>
      <c r="JM5" s="42"/>
      <c r="JN5" s="42"/>
      <c r="LR5" s="55"/>
      <c r="LS5" s="46" t="s">
        <v>31</v>
      </c>
      <c r="LT5" s="47"/>
      <c r="LU5" s="70"/>
      <c r="LX5" s="61" t="s">
        <v>22</v>
      </c>
      <c r="LY5" s="63">
        <v>4.2319819353801078</v>
      </c>
      <c r="LZ5" s="58"/>
      <c r="MA5" s="169" t="s">
        <v>32</v>
      </c>
      <c r="MB5" s="170"/>
    </row>
    <row r="6" spans="1:340" ht="15" customHeight="1" thickBot="1">
      <c r="B6" s="73"/>
      <c r="C6" s="80"/>
      <c r="D6" s="80"/>
      <c r="E6" s="59"/>
      <c r="F6" s="59"/>
      <c r="G6" s="59"/>
      <c r="H6" s="60"/>
      <c r="I6" s="114" t="s">
        <v>0</v>
      </c>
      <c r="J6" s="115"/>
      <c r="K6" s="115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6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6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6"/>
      <c r="FI6" s="116"/>
      <c r="FJ6" s="116"/>
      <c r="FK6" s="117"/>
      <c r="FL6" s="33"/>
      <c r="FM6" s="66"/>
      <c r="FN6" s="66"/>
      <c r="FO6" s="66"/>
      <c r="FP6" s="67"/>
      <c r="FQ6" s="67"/>
      <c r="FR6" s="67"/>
      <c r="FS6" s="67"/>
      <c r="FT6" s="67"/>
      <c r="FU6" s="67"/>
      <c r="FV6" s="67"/>
      <c r="FW6" s="67"/>
      <c r="FX6" s="67"/>
      <c r="FY6" s="67"/>
      <c r="FZ6" s="67"/>
      <c r="GA6" s="67"/>
      <c r="GB6" s="67"/>
      <c r="GC6" s="67"/>
      <c r="GD6" s="67"/>
      <c r="GE6" s="67"/>
      <c r="GF6" s="67"/>
      <c r="GG6" s="67"/>
      <c r="GH6" s="67"/>
      <c r="GI6" s="66"/>
      <c r="GJ6" s="66"/>
      <c r="GK6" s="66"/>
      <c r="GL6" s="66"/>
      <c r="GM6" s="67"/>
      <c r="GN6" s="66"/>
      <c r="GO6" s="67"/>
      <c r="GP6" s="66"/>
      <c r="GQ6" s="67"/>
      <c r="GR6" s="67"/>
      <c r="GS6" s="67"/>
      <c r="GT6" s="67"/>
      <c r="GU6" s="67"/>
      <c r="GV6" s="67"/>
      <c r="GW6" s="67"/>
      <c r="GX6" s="67"/>
      <c r="GY6" s="67"/>
      <c r="GZ6" s="68"/>
      <c r="HA6" s="66"/>
      <c r="HB6" s="67"/>
      <c r="HC6" s="67"/>
      <c r="HD6" s="67"/>
      <c r="HE6" s="67"/>
      <c r="HF6" s="67"/>
      <c r="HG6" s="67"/>
      <c r="HH6" s="67"/>
      <c r="HI6" s="67"/>
      <c r="HJ6" s="67"/>
      <c r="HK6" s="67"/>
      <c r="HL6" s="67"/>
      <c r="HM6" s="4"/>
      <c r="HN6" s="51"/>
      <c r="HO6" s="2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44">
        <f>SUBTOTAL(9,JO10:JO1048576)</f>
        <v>153607</v>
      </c>
      <c r="JP6" s="45"/>
      <c r="JQ6" s="66">
        <v>4.0425000000000004</v>
      </c>
      <c r="JR6" s="66">
        <v>4.2640000000000002</v>
      </c>
      <c r="JS6" s="66">
        <v>4.2640000000000002</v>
      </c>
      <c r="JT6" s="67">
        <v>4.3009200000000005</v>
      </c>
      <c r="JU6" s="67">
        <v>4.9626000000000001</v>
      </c>
      <c r="JV6" s="67">
        <v>4.0425000242424236</v>
      </c>
      <c r="JW6" s="67">
        <v>3.5289999999999999</v>
      </c>
      <c r="JX6" s="67">
        <v>4.9980000000000002</v>
      </c>
      <c r="JY6" s="67">
        <v>4.6317599999999999</v>
      </c>
      <c r="JZ6" s="67">
        <v>3.8959999999999999</v>
      </c>
      <c r="KA6" s="67">
        <v>3.6749999999999998</v>
      </c>
      <c r="KB6" s="67">
        <v>3.3993749898989902</v>
      </c>
      <c r="KC6" s="67">
        <v>3.8230400000000002</v>
      </c>
      <c r="KD6" s="67">
        <v>4.4850000000000003</v>
      </c>
      <c r="KE6" s="67">
        <v>4.0764749898989896</v>
      </c>
      <c r="KF6" s="67">
        <v>8.0871999999999993</v>
      </c>
      <c r="KG6" s="67">
        <v>4.1499250101010103</v>
      </c>
      <c r="KH6" s="67">
        <v>4.0764749898989896</v>
      </c>
      <c r="KI6" s="67">
        <v>3.6019999999999999</v>
      </c>
      <c r="KJ6" s="67">
        <v>4.3335500202020203</v>
      </c>
      <c r="KK6" s="67">
        <v>4.2601000000000004</v>
      </c>
      <c r="KL6" s="67">
        <v>4.0068399999999995</v>
      </c>
      <c r="KM6" s="66">
        <v>4.1132</v>
      </c>
      <c r="KN6" s="66">
        <v>5.5069999999999997</v>
      </c>
      <c r="KO6" s="66">
        <v>5.5069999999999997</v>
      </c>
      <c r="KP6" s="66">
        <v>5.5069999999999997</v>
      </c>
      <c r="KQ6" s="67">
        <v>4.1866500202020207</v>
      </c>
      <c r="KR6" s="66">
        <v>3.86</v>
      </c>
      <c r="KS6" s="67">
        <v>3.4193309898989899</v>
      </c>
      <c r="KT6" s="66">
        <v>4.1722600404040406</v>
      </c>
      <c r="KU6" s="67">
        <v>4.1499250101010103</v>
      </c>
      <c r="KV6" s="67">
        <v>4.0439999999999996</v>
      </c>
      <c r="KW6" s="67">
        <v>3.9660000000000002</v>
      </c>
      <c r="KX6" s="67">
        <v>4.9630000000000001</v>
      </c>
      <c r="KY6" s="67">
        <v>3.9333200000000001</v>
      </c>
      <c r="KZ6" s="67">
        <v>8.65</v>
      </c>
      <c r="LA6" s="67">
        <v>4.0068399999999995</v>
      </c>
      <c r="LB6" s="67">
        <v>4.4479600000000001</v>
      </c>
      <c r="LC6" s="67">
        <v>3.6</v>
      </c>
      <c r="LD6" s="68">
        <v>5</v>
      </c>
      <c r="LE6" s="66">
        <v>13.420500000000001</v>
      </c>
      <c r="LF6" s="67">
        <v>4.2830000000000004</v>
      </c>
      <c r="LG6" s="67">
        <v>10.32</v>
      </c>
      <c r="LH6" s="67">
        <v>4.1866500202020207</v>
      </c>
      <c r="LI6" s="67">
        <v>4.8155600000000005</v>
      </c>
      <c r="LJ6" s="67">
        <v>4.8155600000000005</v>
      </c>
      <c r="LK6" s="67">
        <v>4.0057499999999999</v>
      </c>
      <c r="LL6" s="67">
        <v>6.8741199999999996</v>
      </c>
      <c r="LM6" s="67">
        <v>6.8741199999999996</v>
      </c>
      <c r="LN6" s="67">
        <v>9.9</v>
      </c>
      <c r="LO6" s="67">
        <v>4.4479600000000001</v>
      </c>
      <c r="LP6" s="67">
        <v>8.4499999999999993</v>
      </c>
      <c r="LQ6" s="34">
        <f>SUBTOTAL(9,LQ10:LQ1048576)</f>
        <v>630830.27125725255</v>
      </c>
      <c r="LR6" s="56">
        <f>SUBTOTAL(9,LR10:LR1048576)</f>
        <v>147439</v>
      </c>
      <c r="LS6" s="40">
        <f>LQ6/LR6</f>
        <v>4.2785848470028451</v>
      </c>
      <c r="LT6" s="41">
        <f>LS6/3.66</f>
        <v>1.1690122532794658</v>
      </c>
      <c r="LU6" s="56">
        <f>SUBTOTAL(9,LU10:LU1048576)</f>
        <v>6168</v>
      </c>
      <c r="LV6" s="72"/>
      <c r="LX6" s="62" t="s">
        <v>24</v>
      </c>
      <c r="LY6" s="64">
        <v>4.4284839712065951</v>
      </c>
      <c r="LZ6" s="58"/>
      <c r="MA6" s="40">
        <f>LQ6/JO6</f>
        <v>4.1067807538540073</v>
      </c>
      <c r="MB6" s="41">
        <f>MA6/3.66</f>
        <v>1.1220712442224063</v>
      </c>
    </row>
    <row r="7" spans="1:340" ht="15" customHeight="1" thickBot="1">
      <c r="B7" s="81"/>
      <c r="C7" s="82"/>
      <c r="D7" s="82"/>
      <c r="E7" s="83"/>
      <c r="F7" s="84"/>
      <c r="G7" s="85"/>
      <c r="H7" s="81"/>
      <c r="I7" s="111" t="s">
        <v>4</v>
      </c>
      <c r="J7" s="112"/>
      <c r="K7" s="112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71" t="s">
        <v>5</v>
      </c>
      <c r="BK7" s="171"/>
      <c r="BL7" s="171"/>
      <c r="BM7" s="171"/>
      <c r="BN7" s="171"/>
      <c r="BO7" s="171"/>
      <c r="BP7" s="171"/>
      <c r="BQ7" s="171"/>
      <c r="BR7" s="171"/>
      <c r="BS7" s="171"/>
      <c r="BT7" s="171"/>
      <c r="BU7" s="171"/>
      <c r="BV7" s="171"/>
      <c r="BW7" s="171"/>
      <c r="BX7" s="171"/>
      <c r="BY7" s="171"/>
      <c r="BZ7" s="171"/>
      <c r="CA7" s="171"/>
      <c r="CB7" s="171"/>
      <c r="CC7" s="171"/>
      <c r="CD7" s="171"/>
      <c r="CE7" s="171"/>
      <c r="CF7" s="171"/>
      <c r="CG7" s="171"/>
      <c r="CH7" s="171"/>
      <c r="CI7" s="171"/>
      <c r="CJ7" s="171"/>
      <c r="CK7" s="171"/>
      <c r="CL7" s="171"/>
      <c r="CM7" s="171"/>
      <c r="CN7" s="171"/>
      <c r="CO7" s="171"/>
      <c r="CP7" s="171"/>
      <c r="CQ7" s="171"/>
      <c r="CR7" s="171"/>
      <c r="CS7" s="171"/>
      <c r="CT7" s="171"/>
      <c r="CU7" s="171"/>
      <c r="CV7" s="171"/>
      <c r="CW7" s="171"/>
      <c r="CX7" s="171"/>
      <c r="CY7" s="171"/>
      <c r="CZ7" s="171"/>
      <c r="DA7" s="171"/>
      <c r="DB7" s="171"/>
      <c r="DC7" s="171"/>
      <c r="DD7" s="171"/>
      <c r="DE7" s="171"/>
      <c r="DF7" s="171"/>
      <c r="DG7" s="171"/>
      <c r="DH7" s="171"/>
      <c r="DI7" s="171"/>
      <c r="DJ7" s="171"/>
      <c r="DK7" s="109" t="s">
        <v>6</v>
      </c>
      <c r="DL7" s="109"/>
      <c r="DM7" s="109"/>
      <c r="DN7" s="109"/>
      <c r="DO7" s="109"/>
      <c r="DP7" s="109"/>
      <c r="DQ7" s="109"/>
      <c r="DR7" s="109"/>
      <c r="DS7" s="109"/>
      <c r="DT7" s="109"/>
      <c r="DU7" s="109"/>
      <c r="DV7" s="109"/>
      <c r="DW7" s="109"/>
      <c r="DX7" s="109"/>
      <c r="DY7" s="109"/>
      <c r="DZ7" s="109"/>
      <c r="EA7" s="109"/>
      <c r="EB7" s="109"/>
      <c r="EC7" s="109"/>
      <c r="ED7" s="109"/>
      <c r="EE7" s="109"/>
      <c r="EF7" s="109"/>
      <c r="EG7" s="109"/>
      <c r="EH7" s="109"/>
      <c r="EI7" s="109"/>
      <c r="EJ7" s="109"/>
      <c r="EK7" s="109"/>
      <c r="EL7" s="109"/>
      <c r="EM7" s="109"/>
      <c r="EN7" s="109"/>
      <c r="EO7" s="109"/>
      <c r="EP7" s="109"/>
      <c r="EQ7" s="109"/>
      <c r="ER7" s="109"/>
      <c r="ES7" s="109"/>
      <c r="ET7" s="109"/>
      <c r="EU7" s="109"/>
      <c r="EV7" s="109"/>
      <c r="EW7" s="109"/>
      <c r="EX7" s="109"/>
      <c r="EY7" s="109"/>
      <c r="EZ7" s="109"/>
      <c r="FA7" s="109"/>
      <c r="FB7" s="109"/>
      <c r="FC7" s="109"/>
      <c r="FD7" s="109"/>
      <c r="FE7" s="109"/>
      <c r="FF7" s="109"/>
      <c r="FG7" s="109"/>
      <c r="FH7" s="109"/>
      <c r="FI7" s="109"/>
      <c r="FJ7" s="109"/>
      <c r="FK7" s="110"/>
      <c r="FL7" s="13"/>
      <c r="FM7" s="93" t="s">
        <v>55</v>
      </c>
      <c r="FN7" s="94"/>
      <c r="FO7" s="94"/>
      <c r="FP7" s="95"/>
      <c r="FQ7" s="95"/>
      <c r="FR7" s="95"/>
      <c r="FS7" s="95"/>
      <c r="FT7" s="95"/>
      <c r="FU7" s="95"/>
      <c r="FV7" s="95"/>
      <c r="FW7" s="95"/>
      <c r="FX7" s="95"/>
      <c r="FY7" s="95"/>
      <c r="FZ7" s="95"/>
      <c r="GA7" s="95"/>
      <c r="GB7" s="95"/>
      <c r="GC7" s="95"/>
      <c r="GD7" s="95"/>
      <c r="GE7" s="95"/>
      <c r="GF7" s="95"/>
      <c r="GG7" s="95"/>
      <c r="GH7" s="95"/>
      <c r="GI7" s="95"/>
      <c r="GJ7" s="95"/>
      <c r="GK7" s="95"/>
      <c r="GL7" s="95"/>
      <c r="GM7" s="95"/>
      <c r="GN7" s="95"/>
      <c r="GO7" s="95"/>
      <c r="GP7" s="95"/>
      <c r="GQ7" s="95"/>
      <c r="GR7" s="95"/>
      <c r="GS7" s="95"/>
      <c r="GT7" s="95"/>
      <c r="GU7" s="95"/>
      <c r="GV7" s="95"/>
      <c r="GW7" s="95"/>
      <c r="GX7" s="95"/>
      <c r="GY7" s="95"/>
      <c r="GZ7" s="95"/>
      <c r="HA7" s="95"/>
      <c r="HB7" s="95"/>
      <c r="HC7" s="95"/>
      <c r="HD7" s="95"/>
      <c r="HE7" s="95"/>
      <c r="HF7" s="95"/>
      <c r="HG7" s="95"/>
      <c r="HH7" s="95"/>
      <c r="HI7" s="95"/>
      <c r="HJ7" s="95"/>
      <c r="HK7" s="95"/>
      <c r="HL7" s="95"/>
      <c r="HM7" s="96"/>
      <c r="HN7" s="172" t="s">
        <v>7</v>
      </c>
      <c r="HO7" s="174" t="s">
        <v>8</v>
      </c>
      <c r="HP7" s="175"/>
      <c r="HQ7" s="175"/>
      <c r="HR7" s="175"/>
      <c r="HS7" s="175"/>
      <c r="HT7" s="175"/>
      <c r="HU7" s="175"/>
      <c r="HV7" s="175"/>
      <c r="HW7" s="175"/>
      <c r="HX7" s="175"/>
      <c r="HY7" s="175"/>
      <c r="HZ7" s="175"/>
      <c r="IA7" s="175"/>
      <c r="IB7" s="175"/>
      <c r="IC7" s="175"/>
      <c r="ID7" s="175"/>
      <c r="IE7" s="175"/>
      <c r="IF7" s="175"/>
      <c r="IG7" s="175"/>
      <c r="IH7" s="175"/>
      <c r="II7" s="175"/>
      <c r="IJ7" s="175"/>
      <c r="IK7" s="175"/>
      <c r="IL7" s="175"/>
      <c r="IM7" s="175"/>
      <c r="IN7" s="175"/>
      <c r="IO7" s="175"/>
      <c r="IP7" s="175"/>
      <c r="IQ7" s="175"/>
      <c r="IR7" s="175"/>
      <c r="IS7" s="175"/>
      <c r="IT7" s="175"/>
      <c r="IU7" s="175"/>
      <c r="IV7" s="175"/>
      <c r="IW7" s="175"/>
      <c r="IX7" s="175"/>
      <c r="IY7" s="175"/>
      <c r="IZ7" s="175"/>
      <c r="JA7" s="175"/>
      <c r="JB7" s="175"/>
      <c r="JC7" s="175"/>
      <c r="JD7" s="175"/>
      <c r="JE7" s="175"/>
      <c r="JF7" s="175"/>
      <c r="JG7" s="175"/>
      <c r="JH7" s="175"/>
      <c r="JI7" s="175"/>
      <c r="JJ7" s="175"/>
      <c r="JK7" s="175"/>
      <c r="JL7" s="175"/>
      <c r="JM7" s="175"/>
      <c r="JN7" s="175"/>
      <c r="JO7" s="176"/>
      <c r="JP7" s="37"/>
      <c r="JQ7" s="118" t="s">
        <v>9</v>
      </c>
      <c r="JR7" s="118"/>
      <c r="JS7" s="118"/>
      <c r="JT7" s="118"/>
      <c r="JU7" s="118"/>
      <c r="JV7" s="118"/>
      <c r="JW7" s="118"/>
      <c r="JX7" s="118"/>
      <c r="JY7" s="118"/>
      <c r="JZ7" s="118"/>
      <c r="KA7" s="118"/>
      <c r="KB7" s="118"/>
      <c r="KC7" s="118"/>
      <c r="KD7" s="118"/>
      <c r="KE7" s="118"/>
      <c r="KF7" s="118"/>
      <c r="KG7" s="118"/>
      <c r="KH7" s="118"/>
      <c r="KI7" s="118"/>
      <c r="KJ7" s="118"/>
      <c r="KK7" s="118"/>
      <c r="KL7" s="118"/>
      <c r="KM7" s="118"/>
      <c r="KN7" s="118"/>
      <c r="KO7" s="118"/>
      <c r="KP7" s="118"/>
      <c r="KQ7" s="118"/>
      <c r="KR7" s="118"/>
      <c r="KS7" s="118"/>
      <c r="KT7" s="118"/>
      <c r="KU7" s="118"/>
      <c r="KV7" s="118"/>
      <c r="KW7" s="118"/>
      <c r="KX7" s="118"/>
      <c r="KY7" s="118"/>
      <c r="KZ7" s="118"/>
      <c r="LA7" s="118"/>
      <c r="LB7" s="118"/>
      <c r="LC7" s="118"/>
      <c r="LD7" s="118"/>
      <c r="LE7" s="118"/>
      <c r="LF7" s="118"/>
      <c r="LG7" s="118"/>
      <c r="LH7" s="118"/>
      <c r="LI7" s="118"/>
      <c r="LJ7" s="118"/>
      <c r="LK7" s="118"/>
      <c r="LL7" s="118"/>
      <c r="LM7" s="118"/>
      <c r="LN7" s="118"/>
      <c r="LO7" s="118"/>
      <c r="LP7" s="118"/>
      <c r="LQ7" s="119"/>
      <c r="LR7" s="177" t="s">
        <v>10</v>
      </c>
      <c r="LS7" s="179" t="s">
        <v>29</v>
      </c>
      <c r="LT7" s="179" t="s">
        <v>30</v>
      </c>
      <c r="LU7" s="29"/>
      <c r="LX7" s="62" t="s">
        <v>40</v>
      </c>
      <c r="LY7" s="64">
        <v>0</v>
      </c>
      <c r="LZ7" s="58"/>
      <c r="MA7" s="179" t="s">
        <v>11</v>
      </c>
      <c r="MB7" s="179" t="s">
        <v>12</v>
      </c>
    </row>
    <row r="8" spans="1:340" ht="15" customHeight="1" thickBot="1">
      <c r="B8" s="81"/>
      <c r="C8" s="82"/>
      <c r="D8" s="82"/>
      <c r="E8" s="83"/>
      <c r="F8" s="86"/>
      <c r="G8" s="85"/>
      <c r="H8" s="81"/>
      <c r="I8" s="5"/>
      <c r="J8" s="91"/>
      <c r="K8" s="91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88" t="s">
        <v>73</v>
      </c>
      <c r="Y8" s="88"/>
      <c r="Z8" s="88"/>
      <c r="AA8" s="88"/>
      <c r="AB8" s="88"/>
      <c r="AC8" s="6"/>
      <c r="AD8" s="6"/>
      <c r="AE8" s="6"/>
      <c r="AF8" s="6"/>
      <c r="AG8" s="6"/>
      <c r="AH8" s="6"/>
      <c r="AI8" s="6"/>
      <c r="AJ8" s="6">
        <v>1210</v>
      </c>
      <c r="AK8" s="6"/>
      <c r="AL8" s="6"/>
      <c r="AM8" s="6"/>
      <c r="AN8" s="6"/>
      <c r="AO8" s="6"/>
      <c r="AP8" s="6"/>
      <c r="AQ8" s="6"/>
      <c r="AR8" s="6" t="s">
        <v>23</v>
      </c>
      <c r="AS8" s="6"/>
      <c r="AT8" s="6"/>
      <c r="AU8" s="6" t="s">
        <v>42</v>
      </c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 t="s">
        <v>37</v>
      </c>
      <c r="BH8" s="6"/>
      <c r="BI8" s="6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89">
        <v>1818</v>
      </c>
      <c r="BZ8" s="7"/>
      <c r="CA8" s="7"/>
      <c r="CB8" s="7"/>
      <c r="CC8" s="7"/>
      <c r="CD8" s="7"/>
      <c r="CE8" s="7"/>
      <c r="CF8" s="7" t="s">
        <v>36</v>
      </c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 t="s">
        <v>23</v>
      </c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>
        <v>1818</v>
      </c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 t="s">
        <v>23</v>
      </c>
      <c r="EU8" s="8"/>
      <c r="EV8" s="8"/>
      <c r="EW8" s="8"/>
      <c r="EX8" s="8"/>
      <c r="EY8" s="8" t="s">
        <v>38</v>
      </c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9"/>
      <c r="FL8" s="13"/>
      <c r="FM8" s="10"/>
      <c r="FN8" s="92"/>
      <c r="FO8" s="92"/>
      <c r="FP8" s="11"/>
      <c r="FQ8" s="11"/>
      <c r="FR8" s="102"/>
      <c r="FS8" s="11"/>
      <c r="FT8" s="11"/>
      <c r="FU8" s="11"/>
      <c r="FV8" s="11"/>
      <c r="FW8" s="107"/>
      <c r="FX8" s="11"/>
      <c r="FY8" s="11"/>
      <c r="FZ8" s="107"/>
      <c r="GA8" s="11"/>
      <c r="GB8" s="11"/>
      <c r="GC8" s="11"/>
      <c r="GD8" s="107"/>
      <c r="GE8" s="107"/>
      <c r="GF8" s="107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07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02"/>
      <c r="HF8" s="102"/>
      <c r="HG8" s="107"/>
      <c r="HH8" s="107"/>
      <c r="HI8" s="107"/>
      <c r="HJ8" s="11"/>
      <c r="HK8" s="11"/>
      <c r="HL8" s="11"/>
      <c r="HM8" s="12"/>
      <c r="HN8" s="173"/>
      <c r="HO8" s="49"/>
      <c r="HP8" s="50"/>
      <c r="HQ8" s="50"/>
      <c r="HR8" s="50"/>
      <c r="HS8" s="15"/>
      <c r="HT8" s="15"/>
      <c r="HU8" s="15"/>
      <c r="HV8" s="15"/>
      <c r="HW8" s="15"/>
      <c r="HX8" s="15"/>
      <c r="HY8" s="15"/>
      <c r="HZ8" s="15"/>
      <c r="IA8" s="15"/>
      <c r="IB8" s="15"/>
      <c r="IC8" s="15"/>
      <c r="ID8" s="15"/>
      <c r="IE8" s="15"/>
      <c r="IF8" s="15"/>
      <c r="IG8" s="15"/>
      <c r="IH8" s="15"/>
      <c r="II8" s="15"/>
      <c r="IJ8" s="50"/>
      <c r="IK8" s="15"/>
      <c r="IL8" s="15"/>
      <c r="IM8" s="15"/>
      <c r="IN8" s="15"/>
      <c r="IO8" s="15"/>
      <c r="IP8" s="15"/>
      <c r="IQ8" s="15"/>
      <c r="IR8" s="15"/>
      <c r="IS8" s="15"/>
      <c r="IT8" s="15"/>
      <c r="IU8" s="15"/>
      <c r="IV8" s="15"/>
      <c r="IW8" s="15"/>
      <c r="IX8" s="15"/>
      <c r="IY8" s="15"/>
      <c r="IZ8" s="15"/>
      <c r="JA8" s="15"/>
      <c r="JB8" s="15"/>
      <c r="JC8" s="15"/>
      <c r="JD8" s="15"/>
      <c r="JE8" s="15"/>
      <c r="JF8" s="15"/>
      <c r="JG8" s="15"/>
      <c r="JH8" s="15"/>
      <c r="JI8" s="15"/>
      <c r="JJ8" s="15"/>
      <c r="JK8" s="15"/>
      <c r="JL8" s="15"/>
      <c r="JM8" s="15"/>
      <c r="JN8" s="15"/>
      <c r="JO8" s="14"/>
      <c r="JP8" s="37" t="s">
        <v>33</v>
      </c>
      <c r="JQ8" s="48"/>
      <c r="JR8" s="48"/>
      <c r="JS8" s="48"/>
      <c r="JT8" s="48"/>
      <c r="JU8" s="16"/>
      <c r="JV8" s="16"/>
      <c r="JW8" s="16"/>
      <c r="JX8" s="16"/>
      <c r="JY8" s="16"/>
      <c r="JZ8" s="16"/>
      <c r="KA8" s="16"/>
      <c r="KB8" s="16"/>
      <c r="KC8" s="16"/>
      <c r="KD8" s="16"/>
      <c r="KE8" s="16"/>
      <c r="KF8" s="16"/>
      <c r="KG8" s="16"/>
      <c r="KH8" s="16"/>
      <c r="KI8" s="16"/>
      <c r="KJ8" s="16"/>
      <c r="KK8" s="16"/>
      <c r="KL8" s="48"/>
      <c r="KM8" s="16"/>
      <c r="KN8" s="16"/>
      <c r="KO8" s="16"/>
      <c r="KP8" s="16"/>
      <c r="KQ8" s="16"/>
      <c r="KR8" s="16"/>
      <c r="KS8" s="16"/>
      <c r="KT8" s="16"/>
      <c r="KU8" s="16"/>
      <c r="KV8" s="16"/>
      <c r="KW8" s="16"/>
      <c r="KX8" s="16"/>
      <c r="KY8" s="16"/>
      <c r="KZ8" s="16"/>
      <c r="LA8" s="16"/>
      <c r="LB8" s="16"/>
      <c r="LC8" s="16"/>
      <c r="LD8" s="16"/>
      <c r="LE8" s="16"/>
      <c r="LF8" s="16"/>
      <c r="LG8" s="16"/>
      <c r="LH8" s="16"/>
      <c r="LI8" s="16"/>
      <c r="LJ8" s="16"/>
      <c r="LK8" s="16"/>
      <c r="LL8" s="16"/>
      <c r="LM8" s="16"/>
      <c r="LN8" s="16"/>
      <c r="LO8" s="16"/>
      <c r="LP8" s="16"/>
      <c r="LQ8" s="36"/>
      <c r="LR8" s="178"/>
      <c r="LS8" s="180"/>
      <c r="LT8" s="180"/>
      <c r="LU8" s="30"/>
      <c r="LX8" s="62" t="s">
        <v>49</v>
      </c>
      <c r="LY8" s="64">
        <v>0</v>
      </c>
      <c r="LZ8" s="58"/>
      <c r="MA8" s="180"/>
      <c r="MB8" s="180"/>
    </row>
    <row r="9" spans="1:340" s="130" customFormat="1" ht="33.75" customHeight="1" thickBot="1">
      <c r="A9" s="130" t="s">
        <v>106</v>
      </c>
      <c r="B9" s="131" t="s">
        <v>2</v>
      </c>
      <c r="C9" s="131" t="s">
        <v>56</v>
      </c>
      <c r="D9" s="131" t="s">
        <v>60</v>
      </c>
      <c r="E9" s="131" t="s">
        <v>1</v>
      </c>
      <c r="F9" s="131" t="s">
        <v>35</v>
      </c>
      <c r="G9" s="131" t="s">
        <v>3</v>
      </c>
      <c r="H9" s="131" t="s">
        <v>41</v>
      </c>
      <c r="I9" s="132">
        <v>1018</v>
      </c>
      <c r="J9" s="133">
        <v>2005</v>
      </c>
      <c r="K9" s="133">
        <v>108</v>
      </c>
      <c r="L9" s="134" t="s">
        <v>46</v>
      </c>
      <c r="M9" s="134">
        <v>724</v>
      </c>
      <c r="N9" s="134" t="s">
        <v>89</v>
      </c>
      <c r="O9" s="135" t="s">
        <v>76</v>
      </c>
      <c r="P9" s="134">
        <v>2420</v>
      </c>
      <c r="Q9" s="134">
        <v>1012</v>
      </c>
      <c r="R9" s="134" t="s">
        <v>90</v>
      </c>
      <c r="S9" s="134" t="s">
        <v>95</v>
      </c>
      <c r="T9" s="134">
        <v>7047</v>
      </c>
      <c r="U9" s="134">
        <v>7080</v>
      </c>
      <c r="V9" s="134" t="s">
        <v>114</v>
      </c>
      <c r="W9" s="134" t="s">
        <v>54</v>
      </c>
      <c r="X9" s="134">
        <v>1881</v>
      </c>
      <c r="Y9" s="134">
        <v>1826</v>
      </c>
      <c r="Z9" s="134">
        <v>1820</v>
      </c>
      <c r="AA9" s="134">
        <v>6888</v>
      </c>
      <c r="AB9" s="134">
        <v>6236</v>
      </c>
      <c r="AC9" s="134">
        <v>1828</v>
      </c>
      <c r="AD9" s="134" t="s">
        <v>53</v>
      </c>
      <c r="AE9" s="134" t="s">
        <v>52</v>
      </c>
      <c r="AF9" s="134" t="s">
        <v>117</v>
      </c>
      <c r="AG9" s="134" t="s">
        <v>116</v>
      </c>
      <c r="AH9" s="135">
        <v>4660</v>
      </c>
      <c r="AI9" s="134" t="s">
        <v>28</v>
      </c>
      <c r="AJ9" s="134" t="s">
        <v>48</v>
      </c>
      <c r="AK9" s="134">
        <v>7087</v>
      </c>
      <c r="AL9" s="134" t="s">
        <v>50</v>
      </c>
      <c r="AM9" s="134">
        <v>2715</v>
      </c>
      <c r="AN9" s="134">
        <v>2705</v>
      </c>
      <c r="AO9" s="134">
        <v>707</v>
      </c>
      <c r="AP9" s="134">
        <v>722</v>
      </c>
      <c r="AQ9" s="134" t="s">
        <v>58</v>
      </c>
      <c r="AR9" s="134">
        <v>11007</v>
      </c>
      <c r="AS9" s="134" t="s">
        <v>47</v>
      </c>
      <c r="AT9" s="134">
        <v>1516</v>
      </c>
      <c r="AU9" s="134" t="s">
        <v>51</v>
      </c>
      <c r="AV9" s="134" t="s">
        <v>17</v>
      </c>
      <c r="AW9" s="134" t="s">
        <v>18</v>
      </c>
      <c r="AX9" s="134">
        <v>1327</v>
      </c>
      <c r="AY9" s="134" t="s">
        <v>39</v>
      </c>
      <c r="AZ9" s="134">
        <v>6230</v>
      </c>
      <c r="BA9" s="134">
        <v>9243</v>
      </c>
      <c r="BB9" s="134">
        <v>527</v>
      </c>
      <c r="BC9" s="134">
        <v>8000</v>
      </c>
      <c r="BD9" s="134">
        <v>8004</v>
      </c>
      <c r="BE9" s="134" t="s">
        <v>91</v>
      </c>
      <c r="BF9" s="134" t="s">
        <v>70</v>
      </c>
      <c r="BG9" s="134" t="s">
        <v>44</v>
      </c>
      <c r="BH9" s="134" t="s">
        <v>14</v>
      </c>
      <c r="BI9" s="134" t="s">
        <v>15</v>
      </c>
      <c r="BJ9" s="136">
        <v>1018</v>
      </c>
      <c r="BK9" s="136">
        <v>2005</v>
      </c>
      <c r="BL9" s="136">
        <v>108</v>
      </c>
      <c r="BM9" s="136" t="s">
        <v>46</v>
      </c>
      <c r="BN9" s="136">
        <v>724</v>
      </c>
      <c r="BO9" s="136" t="s">
        <v>89</v>
      </c>
      <c r="BP9" s="137" t="s">
        <v>76</v>
      </c>
      <c r="BQ9" s="136">
        <v>2420</v>
      </c>
      <c r="BR9" s="136">
        <v>1012</v>
      </c>
      <c r="BS9" s="136" t="s">
        <v>90</v>
      </c>
      <c r="BT9" s="136" t="s">
        <v>95</v>
      </c>
      <c r="BU9" s="136">
        <v>7047</v>
      </c>
      <c r="BV9" s="136">
        <v>7080</v>
      </c>
      <c r="BW9" s="136" t="s">
        <v>114</v>
      </c>
      <c r="BX9" s="136" t="s">
        <v>54</v>
      </c>
      <c r="BY9" s="136">
        <v>1881</v>
      </c>
      <c r="BZ9" s="136">
        <v>1826</v>
      </c>
      <c r="CA9" s="136">
        <v>1820</v>
      </c>
      <c r="CB9" s="136">
        <v>6888</v>
      </c>
      <c r="CC9" s="136">
        <v>6236</v>
      </c>
      <c r="CD9" s="136">
        <v>1828</v>
      </c>
      <c r="CE9" s="136" t="s">
        <v>53</v>
      </c>
      <c r="CF9" s="136" t="s">
        <v>52</v>
      </c>
      <c r="CG9" s="136" t="s">
        <v>117</v>
      </c>
      <c r="CH9" s="136" t="s">
        <v>116</v>
      </c>
      <c r="CI9" s="136">
        <v>4660</v>
      </c>
      <c r="CJ9" s="136" t="s">
        <v>28</v>
      </c>
      <c r="CK9" s="136" t="s">
        <v>48</v>
      </c>
      <c r="CL9" s="136">
        <v>7087</v>
      </c>
      <c r="CM9" s="136" t="s">
        <v>50</v>
      </c>
      <c r="CN9" s="136">
        <v>2715</v>
      </c>
      <c r="CO9" s="136">
        <v>2705</v>
      </c>
      <c r="CP9" s="136">
        <v>707</v>
      </c>
      <c r="CQ9" s="136">
        <v>722</v>
      </c>
      <c r="CR9" s="136" t="s">
        <v>58</v>
      </c>
      <c r="CS9" s="136">
        <v>11007</v>
      </c>
      <c r="CT9" s="136" t="s">
        <v>47</v>
      </c>
      <c r="CU9" s="136">
        <v>1516</v>
      </c>
      <c r="CV9" s="136" t="s">
        <v>51</v>
      </c>
      <c r="CW9" s="136" t="s">
        <v>17</v>
      </c>
      <c r="CX9" s="136" t="s">
        <v>18</v>
      </c>
      <c r="CY9" s="136">
        <v>1327</v>
      </c>
      <c r="CZ9" s="136" t="s">
        <v>39</v>
      </c>
      <c r="DA9" s="136">
        <v>6230</v>
      </c>
      <c r="DB9" s="136">
        <v>9243</v>
      </c>
      <c r="DC9" s="136">
        <v>527</v>
      </c>
      <c r="DD9" s="136">
        <v>8000</v>
      </c>
      <c r="DE9" s="136">
        <v>8004</v>
      </c>
      <c r="DF9" s="136" t="s">
        <v>91</v>
      </c>
      <c r="DG9" s="136" t="s">
        <v>70</v>
      </c>
      <c r="DH9" s="136" t="s">
        <v>44</v>
      </c>
      <c r="DI9" s="136" t="s">
        <v>14</v>
      </c>
      <c r="DJ9" s="136" t="s">
        <v>15</v>
      </c>
      <c r="DK9" s="138">
        <v>1018</v>
      </c>
      <c r="DL9" s="138">
        <v>2005</v>
      </c>
      <c r="DM9" s="138">
        <v>108</v>
      </c>
      <c r="DN9" s="138" t="s">
        <v>46</v>
      </c>
      <c r="DO9" s="138">
        <v>724</v>
      </c>
      <c r="DP9" s="138" t="s">
        <v>89</v>
      </c>
      <c r="DQ9" s="139" t="s">
        <v>76</v>
      </c>
      <c r="DR9" s="138">
        <v>2420</v>
      </c>
      <c r="DS9" s="138">
        <v>1012</v>
      </c>
      <c r="DT9" s="138" t="s">
        <v>90</v>
      </c>
      <c r="DU9" s="138" t="s">
        <v>95</v>
      </c>
      <c r="DV9" s="138">
        <v>7047</v>
      </c>
      <c r="DW9" s="138">
        <v>7080</v>
      </c>
      <c r="DX9" s="138" t="s">
        <v>114</v>
      </c>
      <c r="DY9" s="138" t="s">
        <v>54</v>
      </c>
      <c r="DZ9" s="138">
        <v>1881</v>
      </c>
      <c r="EA9" s="138">
        <v>1826</v>
      </c>
      <c r="EB9" s="138">
        <v>1820</v>
      </c>
      <c r="EC9" s="138">
        <v>6888</v>
      </c>
      <c r="ED9" s="138">
        <v>6236</v>
      </c>
      <c r="EE9" s="138">
        <v>1828</v>
      </c>
      <c r="EF9" s="138" t="s">
        <v>53</v>
      </c>
      <c r="EG9" s="138" t="s">
        <v>52</v>
      </c>
      <c r="EH9" s="138" t="s">
        <v>117</v>
      </c>
      <c r="EI9" s="138" t="s">
        <v>116</v>
      </c>
      <c r="EJ9" s="138">
        <v>4660</v>
      </c>
      <c r="EK9" s="138" t="s">
        <v>28</v>
      </c>
      <c r="EL9" s="138" t="s">
        <v>48</v>
      </c>
      <c r="EM9" s="138">
        <v>7087</v>
      </c>
      <c r="EN9" s="138" t="s">
        <v>50</v>
      </c>
      <c r="EO9" s="138">
        <v>2715</v>
      </c>
      <c r="EP9" s="138">
        <v>2705</v>
      </c>
      <c r="EQ9" s="138">
        <v>707</v>
      </c>
      <c r="ER9" s="138">
        <v>722</v>
      </c>
      <c r="ES9" s="138" t="s">
        <v>58</v>
      </c>
      <c r="ET9" s="138">
        <v>11007</v>
      </c>
      <c r="EU9" s="138" t="s">
        <v>47</v>
      </c>
      <c r="EV9" s="138">
        <v>1516</v>
      </c>
      <c r="EW9" s="138" t="s">
        <v>51</v>
      </c>
      <c r="EX9" s="138" t="s">
        <v>17</v>
      </c>
      <c r="EY9" s="138" t="s">
        <v>18</v>
      </c>
      <c r="EZ9" s="138">
        <v>1327</v>
      </c>
      <c r="FA9" s="138" t="s">
        <v>39</v>
      </c>
      <c r="FB9" s="138">
        <v>6230</v>
      </c>
      <c r="FC9" s="138">
        <v>9243</v>
      </c>
      <c r="FD9" s="138">
        <v>527</v>
      </c>
      <c r="FE9" s="138">
        <v>8000</v>
      </c>
      <c r="FF9" s="138">
        <v>8004</v>
      </c>
      <c r="FG9" s="138" t="s">
        <v>91</v>
      </c>
      <c r="FH9" s="138" t="s">
        <v>70</v>
      </c>
      <c r="FI9" s="138" t="s">
        <v>44</v>
      </c>
      <c r="FJ9" s="138" t="s">
        <v>14</v>
      </c>
      <c r="FK9" s="140" t="s">
        <v>15</v>
      </c>
      <c r="FL9" s="141"/>
      <c r="FM9" s="142">
        <v>1018</v>
      </c>
      <c r="FN9" s="143">
        <v>2005</v>
      </c>
      <c r="FO9" s="143">
        <v>108</v>
      </c>
      <c r="FP9" s="144" t="s">
        <v>46</v>
      </c>
      <c r="FQ9" s="144">
        <v>724</v>
      </c>
      <c r="FR9" s="144" t="s">
        <v>89</v>
      </c>
      <c r="FS9" s="145" t="s">
        <v>76</v>
      </c>
      <c r="FT9" s="144">
        <v>2420</v>
      </c>
      <c r="FU9" s="144">
        <v>1012</v>
      </c>
      <c r="FV9" s="144" t="s">
        <v>90</v>
      </c>
      <c r="FW9" s="144" t="s">
        <v>95</v>
      </c>
      <c r="FX9" s="144">
        <v>7047</v>
      </c>
      <c r="FY9" s="144">
        <v>7080</v>
      </c>
      <c r="FZ9" s="144" t="s">
        <v>114</v>
      </c>
      <c r="GA9" s="144" t="s">
        <v>54</v>
      </c>
      <c r="GB9" s="144">
        <v>1881</v>
      </c>
      <c r="GC9" s="144">
        <v>1826</v>
      </c>
      <c r="GD9" s="144">
        <v>1820</v>
      </c>
      <c r="GE9" s="144">
        <v>6888</v>
      </c>
      <c r="GF9" s="144">
        <v>6236</v>
      </c>
      <c r="GG9" s="144">
        <v>1828</v>
      </c>
      <c r="GH9" s="144" t="s">
        <v>53</v>
      </c>
      <c r="GI9" s="144" t="s">
        <v>52</v>
      </c>
      <c r="GJ9" s="144" t="s">
        <v>117</v>
      </c>
      <c r="GK9" s="144" t="s">
        <v>116</v>
      </c>
      <c r="GL9" s="144">
        <v>4660</v>
      </c>
      <c r="GM9" s="144" t="s">
        <v>28</v>
      </c>
      <c r="GN9" s="144" t="s">
        <v>48</v>
      </c>
      <c r="GO9" s="144">
        <v>7087</v>
      </c>
      <c r="GP9" s="144" t="s">
        <v>50</v>
      </c>
      <c r="GQ9" s="144">
        <v>2715</v>
      </c>
      <c r="GR9" s="144">
        <v>2705</v>
      </c>
      <c r="GS9" s="144">
        <v>707</v>
      </c>
      <c r="GT9" s="144">
        <v>722</v>
      </c>
      <c r="GU9" s="144" t="s">
        <v>58</v>
      </c>
      <c r="GV9" s="144">
        <v>11007</v>
      </c>
      <c r="GW9" s="144" t="s">
        <v>47</v>
      </c>
      <c r="GX9" s="144">
        <v>1516</v>
      </c>
      <c r="GY9" s="144" t="s">
        <v>51</v>
      </c>
      <c r="GZ9" s="144" t="s">
        <v>17</v>
      </c>
      <c r="HA9" s="144" t="s">
        <v>18</v>
      </c>
      <c r="HB9" s="144">
        <v>1327</v>
      </c>
      <c r="HC9" s="144" t="s">
        <v>39</v>
      </c>
      <c r="HD9" s="146">
        <v>6230</v>
      </c>
      <c r="HE9" s="146">
        <v>9243</v>
      </c>
      <c r="HF9" s="146">
        <v>527</v>
      </c>
      <c r="HG9" s="146">
        <v>8000</v>
      </c>
      <c r="HH9" s="146">
        <v>8004</v>
      </c>
      <c r="HI9" s="146" t="s">
        <v>91</v>
      </c>
      <c r="HJ9" s="146" t="s">
        <v>70</v>
      </c>
      <c r="HK9" s="146" t="s">
        <v>44</v>
      </c>
      <c r="HL9" s="144" t="s">
        <v>14</v>
      </c>
      <c r="HM9" s="147" t="s">
        <v>15</v>
      </c>
      <c r="HN9" s="52">
        <v>0</v>
      </c>
      <c r="HO9" s="148">
        <v>1018</v>
      </c>
      <c r="HP9" s="149">
        <v>2005</v>
      </c>
      <c r="HQ9" s="149">
        <v>108</v>
      </c>
      <c r="HR9" s="149" t="s">
        <v>46</v>
      </c>
      <c r="HS9" s="149">
        <v>724</v>
      </c>
      <c r="HT9" s="149" t="s">
        <v>89</v>
      </c>
      <c r="HU9" s="149" t="s">
        <v>76</v>
      </c>
      <c r="HV9" s="149">
        <v>2420</v>
      </c>
      <c r="HW9" s="149">
        <v>1012</v>
      </c>
      <c r="HX9" s="149" t="s">
        <v>90</v>
      </c>
      <c r="HY9" s="149" t="s">
        <v>95</v>
      </c>
      <c r="HZ9" s="149">
        <v>7047</v>
      </c>
      <c r="IA9" s="149">
        <v>7080</v>
      </c>
      <c r="IB9" s="149" t="s">
        <v>114</v>
      </c>
      <c r="IC9" s="149" t="s">
        <v>54</v>
      </c>
      <c r="ID9" s="149">
        <v>1881</v>
      </c>
      <c r="IE9" s="149">
        <v>1826</v>
      </c>
      <c r="IF9" s="149">
        <v>1820</v>
      </c>
      <c r="IG9" s="149">
        <v>6888</v>
      </c>
      <c r="IH9" s="149">
        <v>6236</v>
      </c>
      <c r="II9" s="149">
        <v>1828</v>
      </c>
      <c r="IJ9" s="148" t="s">
        <v>53</v>
      </c>
      <c r="IK9" s="148" t="s">
        <v>52</v>
      </c>
      <c r="IL9" s="149" t="s">
        <v>117</v>
      </c>
      <c r="IM9" s="149" t="s">
        <v>116</v>
      </c>
      <c r="IN9" s="149">
        <v>4660</v>
      </c>
      <c r="IO9" s="149" t="s">
        <v>28</v>
      </c>
      <c r="IP9" s="149" t="s">
        <v>48</v>
      </c>
      <c r="IQ9" s="149">
        <v>7087</v>
      </c>
      <c r="IR9" s="149" t="s">
        <v>50</v>
      </c>
      <c r="IS9" s="149">
        <v>2715</v>
      </c>
      <c r="IT9" s="149">
        <v>2705</v>
      </c>
      <c r="IU9" s="149">
        <v>707</v>
      </c>
      <c r="IV9" s="149">
        <v>722</v>
      </c>
      <c r="IW9" s="149" t="s">
        <v>58</v>
      </c>
      <c r="IX9" s="149">
        <v>11007</v>
      </c>
      <c r="IY9" s="149" t="s">
        <v>47</v>
      </c>
      <c r="IZ9" s="149">
        <v>1516</v>
      </c>
      <c r="JA9" s="149" t="s">
        <v>51</v>
      </c>
      <c r="JB9" s="149" t="s">
        <v>17</v>
      </c>
      <c r="JC9" s="149" t="s">
        <v>18</v>
      </c>
      <c r="JD9" s="149">
        <v>1327</v>
      </c>
      <c r="JE9" s="149" t="s">
        <v>39</v>
      </c>
      <c r="JF9" s="149">
        <v>6230</v>
      </c>
      <c r="JG9" s="149">
        <v>9243</v>
      </c>
      <c r="JH9" s="149">
        <v>527</v>
      </c>
      <c r="JI9" s="149">
        <v>8000</v>
      </c>
      <c r="JJ9" s="149">
        <v>8004</v>
      </c>
      <c r="JK9" s="150" t="s">
        <v>91</v>
      </c>
      <c r="JL9" s="151" t="s">
        <v>70</v>
      </c>
      <c r="JM9" s="152" t="s">
        <v>44</v>
      </c>
      <c r="JN9" s="149" t="s">
        <v>14</v>
      </c>
      <c r="JO9" s="148" t="s">
        <v>15</v>
      </c>
      <c r="JP9" s="153">
        <f>SUM(JP10:JP156)</f>
        <v>0</v>
      </c>
      <c r="JQ9" s="154">
        <v>1018</v>
      </c>
      <c r="JR9" s="155">
        <v>2005</v>
      </c>
      <c r="JS9" s="155">
        <v>108</v>
      </c>
      <c r="JT9" s="155" t="s">
        <v>46</v>
      </c>
      <c r="JU9" s="155">
        <v>724</v>
      </c>
      <c r="JV9" s="155" t="s">
        <v>89</v>
      </c>
      <c r="JW9" s="155" t="s">
        <v>76</v>
      </c>
      <c r="JX9" s="155">
        <v>2420</v>
      </c>
      <c r="JY9" s="155">
        <v>1012</v>
      </c>
      <c r="JZ9" s="155" t="s">
        <v>90</v>
      </c>
      <c r="KA9" s="155" t="s">
        <v>95</v>
      </c>
      <c r="KB9" s="155">
        <v>7047</v>
      </c>
      <c r="KC9" s="155">
        <v>7080</v>
      </c>
      <c r="KD9" s="155" t="s">
        <v>114</v>
      </c>
      <c r="KE9" s="155" t="s">
        <v>54</v>
      </c>
      <c r="KF9" s="155">
        <v>1881</v>
      </c>
      <c r="KG9" s="155">
        <v>1826</v>
      </c>
      <c r="KH9" s="155">
        <v>1820</v>
      </c>
      <c r="KI9" s="155">
        <v>6888</v>
      </c>
      <c r="KJ9" s="155">
        <v>6236</v>
      </c>
      <c r="KK9" s="155">
        <v>1828</v>
      </c>
      <c r="KL9" s="156" t="s">
        <v>53</v>
      </c>
      <c r="KM9" s="156" t="s">
        <v>52</v>
      </c>
      <c r="KN9" s="155" t="s">
        <v>117</v>
      </c>
      <c r="KO9" s="155" t="s">
        <v>116</v>
      </c>
      <c r="KP9" s="155">
        <v>4660</v>
      </c>
      <c r="KQ9" s="155" t="s">
        <v>28</v>
      </c>
      <c r="KR9" s="155" t="s">
        <v>48</v>
      </c>
      <c r="KS9" s="155">
        <v>7087</v>
      </c>
      <c r="KT9" s="155" t="s">
        <v>50</v>
      </c>
      <c r="KU9" s="155">
        <v>2715</v>
      </c>
      <c r="KV9" s="155">
        <v>2705</v>
      </c>
      <c r="KW9" s="155">
        <v>707</v>
      </c>
      <c r="KX9" s="155">
        <v>722</v>
      </c>
      <c r="KY9" s="155" t="s">
        <v>58</v>
      </c>
      <c r="KZ9" s="155">
        <v>11007</v>
      </c>
      <c r="LA9" s="155" t="s">
        <v>47</v>
      </c>
      <c r="LB9" s="155">
        <v>1516</v>
      </c>
      <c r="LC9" s="155" t="s">
        <v>51</v>
      </c>
      <c r="LD9" s="155" t="s">
        <v>17</v>
      </c>
      <c r="LE9" s="155" t="s">
        <v>18</v>
      </c>
      <c r="LF9" s="157">
        <v>1327</v>
      </c>
      <c r="LG9" s="157" t="s">
        <v>39</v>
      </c>
      <c r="LH9" s="158">
        <v>6230</v>
      </c>
      <c r="LI9" s="158">
        <v>9243</v>
      </c>
      <c r="LJ9" s="158">
        <v>527</v>
      </c>
      <c r="LK9" s="159">
        <v>8000</v>
      </c>
      <c r="LL9" s="159">
        <v>8004</v>
      </c>
      <c r="LM9" s="159" t="s">
        <v>91</v>
      </c>
      <c r="LN9" s="158" t="s">
        <v>62</v>
      </c>
      <c r="LO9" s="158" t="s">
        <v>44</v>
      </c>
      <c r="LP9" s="155" t="s">
        <v>14</v>
      </c>
      <c r="LQ9" s="160" t="s">
        <v>15</v>
      </c>
      <c r="LR9" s="161">
        <v>1</v>
      </c>
      <c r="LS9" s="162">
        <v>2</v>
      </c>
      <c r="LT9" s="162">
        <v>3</v>
      </c>
      <c r="LU9" s="163" t="s">
        <v>13</v>
      </c>
      <c r="LV9" s="164"/>
      <c r="LW9" s="164"/>
      <c r="LX9" s="165"/>
      <c r="LY9" s="166"/>
      <c r="LZ9" s="167"/>
      <c r="MA9" s="162">
        <v>4</v>
      </c>
      <c r="MB9" s="162">
        <v>5</v>
      </c>
    </row>
    <row r="10" spans="1:340" ht="15.75" thickBot="1">
      <c r="A10" t="b">
        <f t="shared" ref="A10:A42" si="3">IF(G10="","",IF(G10="EC1",HM10=500%,HM10=150%))</f>
        <v>1</v>
      </c>
      <c r="B10" s="39" t="s">
        <v>16</v>
      </c>
      <c r="C10" s="39" t="s">
        <v>115</v>
      </c>
      <c r="D10"/>
      <c r="E10" s="97">
        <v>46029</v>
      </c>
      <c r="F10" t="s">
        <v>34</v>
      </c>
      <c r="G10" t="s">
        <v>19</v>
      </c>
      <c r="H10" t="s">
        <v>27</v>
      </c>
      <c r="I10" s="77"/>
      <c r="J10" s="77"/>
      <c r="K10" s="77"/>
      <c r="L10" s="22"/>
      <c r="M10" s="22"/>
      <c r="N10" s="98"/>
      <c r="O10" s="22"/>
      <c r="P10" s="22"/>
      <c r="Q10" s="22"/>
      <c r="R10" s="22"/>
      <c r="S10" s="104"/>
      <c r="T10" s="22"/>
      <c r="U10" s="22"/>
      <c r="V10" s="104"/>
      <c r="W10" s="22"/>
      <c r="X10" s="22"/>
      <c r="Y10" s="22"/>
      <c r="Z10" s="104"/>
      <c r="AA10" s="104"/>
      <c r="AB10" s="104"/>
      <c r="AC10" s="22"/>
      <c r="AD10" s="22"/>
      <c r="AE10" s="22"/>
      <c r="AF10" s="124"/>
      <c r="AG10" s="124"/>
      <c r="AH10" s="22"/>
      <c r="AI10" s="22"/>
      <c r="AJ10" s="22"/>
      <c r="AK10" s="22"/>
      <c r="AL10" s="22"/>
      <c r="AM10" s="22"/>
      <c r="AN10" s="22"/>
      <c r="AO10" s="104"/>
      <c r="AP10" s="22"/>
      <c r="AQ10" s="22"/>
      <c r="AR10" s="22"/>
      <c r="AS10" s="22"/>
      <c r="AT10" s="22"/>
      <c r="AU10" s="22"/>
      <c r="AV10" s="127">
        <v>1</v>
      </c>
      <c r="AW10" s="22"/>
      <c r="AX10" s="22"/>
      <c r="AY10" s="22"/>
      <c r="AZ10" s="22"/>
      <c r="BA10" s="98"/>
      <c r="BB10" s="98"/>
      <c r="BC10" s="124"/>
      <c r="BD10" s="124"/>
      <c r="BE10" s="104"/>
      <c r="BF10" s="22"/>
      <c r="BG10" s="22"/>
      <c r="BH10" s="22"/>
      <c r="BI10" s="78">
        <f t="shared" ref="BI10:BI51" si="4">SUM(I10:BH10)</f>
        <v>1</v>
      </c>
      <c r="BJ10" s="23"/>
      <c r="BK10" s="23"/>
      <c r="BL10" s="23"/>
      <c r="BM10" s="23"/>
      <c r="BN10" s="23"/>
      <c r="BO10" s="99"/>
      <c r="BP10" s="23"/>
      <c r="BQ10" s="23"/>
      <c r="BR10" s="23"/>
      <c r="BS10" s="23"/>
      <c r="BT10" s="105"/>
      <c r="BU10" s="23"/>
      <c r="BV10" s="23"/>
      <c r="BW10" s="105"/>
      <c r="BX10" s="23"/>
      <c r="BY10" s="23"/>
      <c r="BZ10" s="23"/>
      <c r="CA10" s="105"/>
      <c r="CB10" s="105"/>
      <c r="CC10" s="105"/>
      <c r="CD10" s="23"/>
      <c r="CE10" s="23"/>
      <c r="CF10" s="71"/>
      <c r="CG10" s="128"/>
      <c r="CH10" s="128"/>
      <c r="CI10" s="23"/>
      <c r="CJ10" s="23"/>
      <c r="CK10" s="23"/>
      <c r="CL10" s="23"/>
      <c r="CM10" s="23"/>
      <c r="CN10" s="23"/>
      <c r="CO10" s="23"/>
      <c r="CP10" s="105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99"/>
      <c r="DC10" s="99"/>
      <c r="DD10" s="125"/>
      <c r="DE10" s="125"/>
      <c r="DF10" s="105"/>
      <c r="DG10" s="23"/>
      <c r="DH10" s="23"/>
      <c r="DI10" s="23"/>
      <c r="DJ10" s="79">
        <f t="shared" ref="DJ10:DJ42" si="5">SUM(BJ10:DI10)</f>
        <v>0</v>
      </c>
      <c r="DK10" s="24"/>
      <c r="DL10" s="24"/>
      <c r="DM10" s="24"/>
      <c r="DN10" s="24"/>
      <c r="DO10" s="24"/>
      <c r="DP10" s="103"/>
      <c r="DQ10" s="24"/>
      <c r="DR10" s="24"/>
      <c r="DS10" s="24"/>
      <c r="DT10" s="24"/>
      <c r="DU10" s="108"/>
      <c r="DV10" s="24"/>
      <c r="DW10" s="24"/>
      <c r="DX10" s="108"/>
      <c r="DY10" s="24"/>
      <c r="DZ10" s="24"/>
      <c r="EA10" s="24"/>
      <c r="EB10" s="108"/>
      <c r="EC10" s="108"/>
      <c r="ED10" s="108"/>
      <c r="EE10" s="24"/>
      <c r="EF10" s="24"/>
      <c r="EG10" s="24"/>
      <c r="EH10" s="129"/>
      <c r="EI10" s="129"/>
      <c r="EJ10" s="24"/>
      <c r="EK10" s="24"/>
      <c r="EL10" s="24"/>
      <c r="EM10" s="24"/>
      <c r="EN10" s="24"/>
      <c r="EO10" s="24"/>
      <c r="EP10" s="24"/>
      <c r="EQ10" s="108"/>
      <c r="ER10" s="24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100"/>
      <c r="FD10" s="100"/>
      <c r="FE10" s="126"/>
      <c r="FF10" s="126"/>
      <c r="FG10" s="106"/>
      <c r="FH10" s="25"/>
      <c r="FI10" s="25"/>
      <c r="FJ10" s="25"/>
      <c r="FK10" s="17">
        <f t="shared" ref="FK10:FK40" si="6">SUM(DK10:FJ10)</f>
        <v>0</v>
      </c>
      <c r="FL10" s="18"/>
      <c r="FM10" s="19">
        <f t="shared" ref="FM10" si="7">I10*1.5+BJ10*2+DK10*1.5</f>
        <v>0</v>
      </c>
      <c r="FN10" s="19">
        <f t="shared" ref="FN10" si="8">J10*1.5+BK10*2+DL10*1.5</f>
        <v>0</v>
      </c>
      <c r="FO10" s="19">
        <f t="shared" ref="FO10" si="9">K10*1.5+BL10*2+DM10*1.5</f>
        <v>0</v>
      </c>
      <c r="FP10" s="19">
        <f t="shared" ref="FP10" si="10">L10*1.5+BM10*2+DN10*1.5</f>
        <v>0</v>
      </c>
      <c r="FQ10" s="19">
        <f t="shared" ref="FQ10" si="11">M10*1.5+BN10*2+DO10*1.5</f>
        <v>0</v>
      </c>
      <c r="FR10" s="19">
        <f t="shared" ref="FR10" si="12">N10*1.5+BO10*2+DP10*1.5</f>
        <v>0</v>
      </c>
      <c r="FS10" s="19">
        <f t="shared" ref="FS10" si="13">O10*1.5+BP10*2+DQ10*1.5</f>
        <v>0</v>
      </c>
      <c r="FT10" s="19">
        <f t="shared" ref="FT10" si="14">P10*1.5+BQ10*2+DR10*1.5</f>
        <v>0</v>
      </c>
      <c r="FU10" s="19">
        <f t="shared" ref="FU10" si="15">Q10*1.5+BR10*2+DS10*1.5</f>
        <v>0</v>
      </c>
      <c r="FV10" s="19">
        <f t="shared" ref="FV10" si="16">R10*1.5+BS10*2+DT10*1.5</f>
        <v>0</v>
      </c>
      <c r="FW10" s="19">
        <f t="shared" ref="FW10" si="17">S10*1.5+BT10*2+DU10*1.5</f>
        <v>0</v>
      </c>
      <c r="FX10" s="19">
        <f t="shared" ref="FX10" si="18">T10*1.5+BU10*2+DV10*1.5</f>
        <v>0</v>
      </c>
      <c r="FY10" s="19">
        <f t="shared" ref="FY10" si="19">U10*1.5+BV10*2+DW10*1.5</f>
        <v>0</v>
      </c>
      <c r="FZ10" s="19">
        <f t="shared" ref="FZ10" si="20">V10*1.5+BW10*2+DX10*1.5</f>
        <v>0</v>
      </c>
      <c r="GA10" s="19">
        <f t="shared" ref="GA10" si="21">W10*1.5+BX10*2+DY10*1.5</f>
        <v>0</v>
      </c>
      <c r="GB10" s="19">
        <f t="shared" ref="GB10" si="22">X10*1.5+BY10*2+DZ10*1.5</f>
        <v>0</v>
      </c>
      <c r="GC10" s="19">
        <f t="shared" ref="GC10" si="23">Y10*1.5+BZ10*2+EA10*1.5</f>
        <v>0</v>
      </c>
      <c r="GD10" s="19">
        <f t="shared" ref="GD10" si="24">Z10*1.5+CA10*2+EB10*1.5</f>
        <v>0</v>
      </c>
      <c r="GE10" s="19">
        <f t="shared" ref="GE10" si="25">AA10*1.5+CB10*2+EC10*1.5</f>
        <v>0</v>
      </c>
      <c r="GF10" s="19">
        <f t="shared" ref="GF10" si="26">AB10*1.5+CC10*2+ED10*1.5</f>
        <v>0</v>
      </c>
      <c r="GG10" s="19">
        <f t="shared" ref="GG10" si="27">AC10*1.5+CD10*2+EE10*1.5</f>
        <v>0</v>
      </c>
      <c r="GH10" s="19">
        <f t="shared" ref="GH10" si="28">AD10*1.5+CE10*2+EF10*1.5</f>
        <v>0</v>
      </c>
      <c r="GI10" s="19">
        <f t="shared" ref="GI10" si="29">AE10*1.5+CF10*2+EG10*1.5</f>
        <v>0</v>
      </c>
      <c r="GJ10" s="19">
        <f t="shared" ref="GJ10" si="30">AF10*1.5+CG10*2+EH10*1.5</f>
        <v>0</v>
      </c>
      <c r="GK10" s="19">
        <f t="shared" ref="GK10" si="31">AG10*1.5+CH10*2+EI10*1.5</f>
        <v>0</v>
      </c>
      <c r="GL10" s="19">
        <f t="shared" ref="GL10" si="32">AH10*1.5+CI10*2+EJ10*1.5</f>
        <v>0</v>
      </c>
      <c r="GM10" s="19">
        <f t="shared" ref="GM10" si="33">AI10*1.5+CJ10*2+EK10*1.5</f>
        <v>0</v>
      </c>
      <c r="GN10" s="19">
        <f t="shared" ref="GN10" si="34">AJ10*1.5+CK10*2+EL10*1.5</f>
        <v>0</v>
      </c>
      <c r="GO10" s="19">
        <f t="shared" ref="GO10" si="35">AK10*1.5+CL10*2+EM10*1.5</f>
        <v>0</v>
      </c>
      <c r="GP10" s="19">
        <f t="shared" ref="GP10" si="36">AL10*1.5+CM10*2+EN10*1.5</f>
        <v>0</v>
      </c>
      <c r="GQ10" s="19">
        <f t="shared" ref="GQ10" si="37">AM10*1.5+CN10*2+EO10*1.5</f>
        <v>0</v>
      </c>
      <c r="GR10" s="19">
        <f t="shared" ref="GR10" si="38">AN10*1.5+CO10*2+EP10*1.5</f>
        <v>0</v>
      </c>
      <c r="GS10" s="19">
        <f t="shared" ref="GS10" si="39">AO10*1.5+CP10*2+EQ10*1.5</f>
        <v>0</v>
      </c>
      <c r="GT10" s="19">
        <f t="shared" ref="GT10" si="40">AP10*1.5+CQ10*2+ER10*1.5</f>
        <v>0</v>
      </c>
      <c r="GU10" s="19">
        <f t="shared" ref="GU10" si="41">AQ10*1.5+CR10*2+ES10*1.5</f>
        <v>0</v>
      </c>
      <c r="GV10" s="19">
        <f t="shared" ref="GV10" si="42">AR10*1.5+CS10*2+ET10*1.5</f>
        <v>0</v>
      </c>
      <c r="GW10" s="19">
        <f t="shared" ref="GW10" si="43">AS10*1.5+CT10*2+EU10*1.5</f>
        <v>0</v>
      </c>
      <c r="GX10" s="19">
        <f t="shared" ref="GX10" si="44">AT10*1.5+CU10*2+EV10*1.5</f>
        <v>0</v>
      </c>
      <c r="GY10" s="19">
        <f t="shared" ref="GY10" si="45">AU10*1.5+CV10*2+EW10*1.5</f>
        <v>0</v>
      </c>
      <c r="GZ10" s="19">
        <f t="shared" ref="GZ10" si="46">AV10*1.5+CW10*2+EX10*1.5</f>
        <v>1.5</v>
      </c>
      <c r="HA10" s="19">
        <f t="shared" ref="HA10" si="47">AW10*1.5+CX10*2+EY10*1.5</f>
        <v>0</v>
      </c>
      <c r="HB10" s="19">
        <f t="shared" ref="HB10" si="48">AX10*1.5+CY10*2+EZ10*1.5</f>
        <v>0</v>
      </c>
      <c r="HC10" s="19">
        <f t="shared" ref="HC10" si="49">AY10*1.5+CZ10*2+FA10*1.5</f>
        <v>0</v>
      </c>
      <c r="HD10" s="19">
        <f t="shared" ref="HD10" si="50">AZ10*1.5+DA10*2+FB10*1.5</f>
        <v>0</v>
      </c>
      <c r="HE10" s="19">
        <f t="shared" ref="HE10:HF10" si="51">BA10*1.5+DB10*2+FC10*1.5</f>
        <v>0</v>
      </c>
      <c r="HF10" s="19">
        <f t="shared" si="51"/>
        <v>0</v>
      </c>
      <c r="HG10" s="19">
        <f t="shared" ref="HG10" si="52">BC10*1.5+DD10*2+FE10*1.5</f>
        <v>0</v>
      </c>
      <c r="HH10" s="19">
        <f t="shared" ref="HH10" si="53">BD10*1.5+DE10*2+FF10*1.5</f>
        <v>0</v>
      </c>
      <c r="HI10" s="19">
        <f t="shared" ref="HI10" si="54">BE10*1.5+DF10*2+FG10*1.5</f>
        <v>0</v>
      </c>
      <c r="HJ10" s="19">
        <f t="shared" ref="HJ10" si="55">BF10*1.5+DG10*2+FH10*1.5</f>
        <v>0</v>
      </c>
      <c r="HK10" s="19">
        <f t="shared" ref="HK10" si="56">BG10*1.5+DH10*2+FI10*1.5</f>
        <v>0</v>
      </c>
      <c r="HL10" s="19">
        <f t="shared" ref="HL10" si="57">BH10*1.5+DI10*2+FJ10*1.5</f>
        <v>0</v>
      </c>
      <c r="HM10" s="20">
        <f t="shared" ref="HM10" si="58">SUM(FM10:HL10)</f>
        <v>1.5</v>
      </c>
      <c r="HN10" s="53">
        <v>3554</v>
      </c>
      <c r="HO10" s="21">
        <f t="shared" ref="HO10" si="59">$HN10*FM10/$HM10</f>
        <v>0</v>
      </c>
      <c r="HP10" s="21">
        <f t="shared" ref="HP10" si="60">$HN10*FN10/$HM10</f>
        <v>0</v>
      </c>
      <c r="HQ10" s="21">
        <f t="shared" ref="HQ10" si="61">$HN10*FO10/$HM10</f>
        <v>0</v>
      </c>
      <c r="HR10" s="21">
        <f t="shared" ref="HR10" si="62">$HN10*FP10/$HM10</f>
        <v>0</v>
      </c>
      <c r="HS10" s="21">
        <f t="shared" ref="HS10" si="63">$HN10*FQ10/$HM10</f>
        <v>0</v>
      </c>
      <c r="HT10" s="69">
        <f t="shared" ref="HT10" si="64">$HN10*FR10/$HM10</f>
        <v>0</v>
      </c>
      <c r="HU10" s="21">
        <f t="shared" ref="HU10" si="65">$HN10*FS10/$HM10</f>
        <v>0</v>
      </c>
      <c r="HV10" s="21">
        <f t="shared" ref="HV10" si="66">$HN10*FT10/$HM10</f>
        <v>0</v>
      </c>
      <c r="HW10" s="21">
        <f t="shared" ref="HW10" si="67">$HN10*FU10/$HM10</f>
        <v>0</v>
      </c>
      <c r="HX10" s="21">
        <f t="shared" ref="HX10" si="68">$HN10*FV10/$HM10</f>
        <v>0</v>
      </c>
      <c r="HY10" s="21">
        <f t="shared" ref="HY10" si="69">$HN10*FW10/$HM10</f>
        <v>0</v>
      </c>
      <c r="HZ10" s="21">
        <f t="shared" ref="HZ10" si="70">$HN10*FX10/$HM10</f>
        <v>0</v>
      </c>
      <c r="IA10" s="21">
        <f t="shared" ref="IA10" si="71">$HN10*FY10/$HM10</f>
        <v>0</v>
      </c>
      <c r="IB10" s="21">
        <f t="shared" ref="IB10" si="72">$HN10*FZ10/$HM10</f>
        <v>0</v>
      </c>
      <c r="IC10" s="21">
        <f t="shared" ref="IC10" si="73">$HN10*GA10/$HM10</f>
        <v>0</v>
      </c>
      <c r="ID10" s="21">
        <f t="shared" ref="ID10" si="74">$HN10*GB10/$HM10</f>
        <v>0</v>
      </c>
      <c r="IE10" s="21">
        <f t="shared" ref="IE10" si="75">$HN10*GC10/$HM10</f>
        <v>0</v>
      </c>
      <c r="IF10" s="69">
        <f t="shared" ref="IF10" si="76">$HN10*GD10/$HM10</f>
        <v>0</v>
      </c>
      <c r="IG10" s="69">
        <f t="shared" ref="IG10" si="77">$HN10*GE10/$HM10</f>
        <v>0</v>
      </c>
      <c r="IH10" s="69">
        <f t="shared" ref="IH10" si="78">$HN10*GF10/$HM10</f>
        <v>0</v>
      </c>
      <c r="II10" s="21">
        <f t="shared" ref="II10" si="79">$HN10*GG10/$HM10</f>
        <v>0</v>
      </c>
      <c r="IJ10" s="21">
        <f t="shared" ref="IJ10" si="80">$HN10*GH10/$HM10</f>
        <v>0</v>
      </c>
      <c r="IK10" s="21">
        <f t="shared" ref="IK10" si="81">$HN10*GI10/$HM10</f>
        <v>0</v>
      </c>
      <c r="IL10" s="21">
        <f t="shared" ref="IL10" si="82">$HN10*GJ10/$HM10</f>
        <v>0</v>
      </c>
      <c r="IM10" s="21">
        <f t="shared" ref="IM10" si="83">$HN10*GK10/$HM10</f>
        <v>0</v>
      </c>
      <c r="IN10" s="21">
        <f t="shared" ref="IN10" si="84">$HN10*GL10/$HM10</f>
        <v>0</v>
      </c>
      <c r="IO10" s="21">
        <f t="shared" ref="IO10" si="85">$HN10*GM10/$HM10</f>
        <v>0</v>
      </c>
      <c r="IP10" s="21">
        <f t="shared" ref="IP10" si="86">$HN10*GN10/$HM10</f>
        <v>0</v>
      </c>
      <c r="IQ10" s="21">
        <f t="shared" ref="IQ10" si="87">$HN10*GO10/$HM10</f>
        <v>0</v>
      </c>
      <c r="IR10" s="21">
        <f t="shared" ref="IR10" si="88">$HN10*GP10/$HM10</f>
        <v>0</v>
      </c>
      <c r="IS10" s="21">
        <f t="shared" ref="IS10" si="89">$HN10*GQ10/$HM10</f>
        <v>0</v>
      </c>
      <c r="IT10" s="21">
        <f t="shared" ref="IT10" si="90">$HN10*GR10/$HM10</f>
        <v>0</v>
      </c>
      <c r="IU10" s="21">
        <f t="shared" ref="IU10" si="91">$HN10*GS10/$HM10</f>
        <v>0</v>
      </c>
      <c r="IV10" s="21">
        <f t="shared" ref="IV10" si="92">$HN10*GT10/$HM10</f>
        <v>0</v>
      </c>
      <c r="IW10" s="21">
        <f t="shared" ref="IW10" si="93">$HN10*GU10/$HM10</f>
        <v>0</v>
      </c>
      <c r="IX10" s="21">
        <f t="shared" ref="IX10" si="94">$HN10*GV10/$HM10</f>
        <v>0</v>
      </c>
      <c r="IY10" s="21">
        <f t="shared" ref="IY10" si="95">$HN10*GW10/$HM10</f>
        <v>0</v>
      </c>
      <c r="IZ10" s="21">
        <f t="shared" ref="IZ10" si="96">$HN10*GX10/$HM10</f>
        <v>0</v>
      </c>
      <c r="JA10" s="21">
        <f t="shared" ref="JA10" si="97">$HN10*GY10/$HM10</f>
        <v>0</v>
      </c>
      <c r="JB10" s="21">
        <f t="shared" ref="JB10" si="98">$HN10*GZ10/$HM10</f>
        <v>3554</v>
      </c>
      <c r="JC10" s="21">
        <f t="shared" ref="JC10" si="99">$HN10*HA10/$HM10</f>
        <v>0</v>
      </c>
      <c r="JD10" s="21">
        <f t="shared" ref="JD10" si="100">$HN10*HB10/$HM10</f>
        <v>0</v>
      </c>
      <c r="JE10" s="21">
        <f t="shared" ref="JE10" si="101">$HN10*HC10/$HM10</f>
        <v>0</v>
      </c>
      <c r="JF10" s="21">
        <f t="shared" ref="JF10" si="102">$HN10*HD10/$HM10</f>
        <v>0</v>
      </c>
      <c r="JG10" s="21">
        <f t="shared" ref="JG10:JH10" si="103">$HN10*HE10/$HM10</f>
        <v>0</v>
      </c>
      <c r="JH10" s="21">
        <f t="shared" si="103"/>
        <v>0</v>
      </c>
      <c r="JI10" s="21">
        <f t="shared" ref="JI10" si="104">$HN10*HG10/$HM10</f>
        <v>0</v>
      </c>
      <c r="JJ10" s="21">
        <f t="shared" ref="JJ10" si="105">$HN10*HH10/$HM10</f>
        <v>0</v>
      </c>
      <c r="JK10" s="21">
        <f t="shared" ref="JK10" si="106">$HN10*HI10/$HM10</f>
        <v>0</v>
      </c>
      <c r="JL10" s="21">
        <f t="shared" ref="JL10" si="107">$HN10*HJ10/$HM10</f>
        <v>0</v>
      </c>
      <c r="JM10" s="21">
        <f t="shared" ref="JM10" si="108">$HN10*HK10/$HM10</f>
        <v>0</v>
      </c>
      <c r="JN10" s="21">
        <f t="shared" ref="JN10" si="109">$HN10*HL10/$HM10</f>
        <v>0</v>
      </c>
      <c r="JO10" s="35">
        <f t="shared" ref="JO10:JO42" si="110">SUM(HO10:JN10)</f>
        <v>3554</v>
      </c>
      <c r="JP10" s="38">
        <f t="shared" ref="JP10:JP42" si="111">JO10-HN10</f>
        <v>0</v>
      </c>
      <c r="JQ10" s="43">
        <f>HO10*JQ$6</f>
        <v>0</v>
      </c>
      <c r="JR10" s="43">
        <f t="shared" ref="JR10:LP10" si="112">HP10*JR$6</f>
        <v>0</v>
      </c>
      <c r="JS10" s="43">
        <f t="shared" si="112"/>
        <v>0</v>
      </c>
      <c r="JT10" s="43">
        <f t="shared" si="112"/>
        <v>0</v>
      </c>
      <c r="JU10" s="43">
        <f t="shared" si="112"/>
        <v>0</v>
      </c>
      <c r="JV10" s="43">
        <f t="shared" si="112"/>
        <v>0</v>
      </c>
      <c r="JW10" s="43">
        <f t="shared" si="112"/>
        <v>0</v>
      </c>
      <c r="JX10" s="43">
        <f t="shared" si="112"/>
        <v>0</v>
      </c>
      <c r="JY10" s="43">
        <f t="shared" si="112"/>
        <v>0</v>
      </c>
      <c r="JZ10" s="43">
        <f t="shared" si="112"/>
        <v>0</v>
      </c>
      <c r="KA10" s="43">
        <f t="shared" si="112"/>
        <v>0</v>
      </c>
      <c r="KB10" s="43">
        <f t="shared" si="112"/>
        <v>0</v>
      </c>
      <c r="KC10" s="43">
        <f t="shared" si="112"/>
        <v>0</v>
      </c>
      <c r="KD10" s="43">
        <f t="shared" si="112"/>
        <v>0</v>
      </c>
      <c r="KE10" s="43">
        <f t="shared" si="112"/>
        <v>0</v>
      </c>
      <c r="KF10" s="43">
        <f t="shared" si="112"/>
        <v>0</v>
      </c>
      <c r="KG10" s="43">
        <f t="shared" si="112"/>
        <v>0</v>
      </c>
      <c r="KH10" s="43">
        <f t="shared" si="112"/>
        <v>0</v>
      </c>
      <c r="KI10" s="43">
        <f t="shared" si="112"/>
        <v>0</v>
      </c>
      <c r="KJ10" s="43">
        <f t="shared" si="112"/>
        <v>0</v>
      </c>
      <c r="KK10" s="43">
        <f t="shared" si="112"/>
        <v>0</v>
      </c>
      <c r="KL10" s="43">
        <f t="shared" si="112"/>
        <v>0</v>
      </c>
      <c r="KM10" s="43">
        <f t="shared" si="112"/>
        <v>0</v>
      </c>
      <c r="KN10" s="43">
        <f t="shared" si="112"/>
        <v>0</v>
      </c>
      <c r="KO10" s="43">
        <f t="shared" si="112"/>
        <v>0</v>
      </c>
      <c r="KP10" s="43">
        <f t="shared" si="112"/>
        <v>0</v>
      </c>
      <c r="KQ10" s="43">
        <f t="shared" si="112"/>
        <v>0</v>
      </c>
      <c r="KR10" s="43">
        <f t="shared" si="112"/>
        <v>0</v>
      </c>
      <c r="KS10" s="43">
        <f t="shared" si="112"/>
        <v>0</v>
      </c>
      <c r="KT10" s="43">
        <f t="shared" si="112"/>
        <v>0</v>
      </c>
      <c r="KU10" s="43">
        <f t="shared" si="112"/>
        <v>0</v>
      </c>
      <c r="KV10" s="43">
        <f t="shared" si="112"/>
        <v>0</v>
      </c>
      <c r="KW10" s="43">
        <f t="shared" si="112"/>
        <v>0</v>
      </c>
      <c r="KX10" s="43">
        <f t="shared" si="112"/>
        <v>0</v>
      </c>
      <c r="KY10" s="43">
        <f t="shared" si="112"/>
        <v>0</v>
      </c>
      <c r="KZ10" s="43">
        <f t="shared" si="112"/>
        <v>0</v>
      </c>
      <c r="LA10" s="43">
        <f t="shared" si="112"/>
        <v>0</v>
      </c>
      <c r="LB10" s="43">
        <f t="shared" si="112"/>
        <v>0</v>
      </c>
      <c r="LC10" s="43">
        <f t="shared" si="112"/>
        <v>0</v>
      </c>
      <c r="LD10" s="43">
        <f t="shared" si="112"/>
        <v>17770</v>
      </c>
      <c r="LE10" s="43">
        <f t="shared" si="112"/>
        <v>0</v>
      </c>
      <c r="LF10" s="43">
        <f t="shared" si="112"/>
        <v>0</v>
      </c>
      <c r="LG10" s="43">
        <f t="shared" si="112"/>
        <v>0</v>
      </c>
      <c r="LH10" s="43">
        <f t="shared" si="112"/>
        <v>0</v>
      </c>
      <c r="LI10" s="43">
        <f t="shared" si="112"/>
        <v>0</v>
      </c>
      <c r="LJ10" s="43">
        <f t="shared" si="112"/>
        <v>0</v>
      </c>
      <c r="LK10" s="43">
        <f t="shared" si="112"/>
        <v>0</v>
      </c>
      <c r="LL10" s="43">
        <f t="shared" si="112"/>
        <v>0</v>
      </c>
      <c r="LM10" s="43">
        <f t="shared" si="112"/>
        <v>0</v>
      </c>
      <c r="LN10" s="43">
        <f t="shared" si="112"/>
        <v>0</v>
      </c>
      <c r="LO10" s="43">
        <f t="shared" si="112"/>
        <v>0</v>
      </c>
      <c r="LP10" s="43">
        <f t="shared" si="112"/>
        <v>0</v>
      </c>
      <c r="LQ10" s="28">
        <f t="shared" ref="LQ10:LQ42" si="113">SUM(JQ10:LP10)</f>
        <v>17770</v>
      </c>
      <c r="LR10" s="65">
        <v>3495</v>
      </c>
      <c r="LS10" s="32">
        <f t="shared" ref="LS10:LS40" si="114">LQ10/LR10</f>
        <v>5.0844062947067235</v>
      </c>
      <c r="LT10" s="26">
        <f t="shared" ref="LT10:LT40" si="115">LS10/3.66</f>
        <v>1.3891820477340775</v>
      </c>
      <c r="LU10" s="31">
        <f t="shared" ref="LU10:LU42" si="116">HN10-LR10</f>
        <v>59</v>
      </c>
      <c r="LW10" s="42"/>
      <c r="MA10" s="32">
        <f t="shared" ref="MA10:MA42" si="117">LQ10/JO10</f>
        <v>5</v>
      </c>
      <c r="MB10" s="26">
        <f t="shared" ref="MB10:MB40" si="118">MA10/3.66</f>
        <v>1.3661202185792349</v>
      </c>
    </row>
    <row r="11" spans="1:340" ht="15.75" thickBot="1">
      <c r="A11" t="b">
        <f t="shared" si="3"/>
        <v>1</v>
      </c>
      <c r="B11" s="123" t="s">
        <v>127</v>
      </c>
      <c r="C11" s="39" t="s">
        <v>79</v>
      </c>
      <c r="D11"/>
      <c r="E11" s="97">
        <v>46025</v>
      </c>
      <c r="F11" t="s">
        <v>43</v>
      </c>
      <c r="G11" t="s">
        <v>20</v>
      </c>
      <c r="H11" t="s">
        <v>27</v>
      </c>
      <c r="I11" s="77"/>
      <c r="J11" s="77"/>
      <c r="K11" s="77"/>
      <c r="L11" s="22"/>
      <c r="M11" s="22"/>
      <c r="N11" s="98"/>
      <c r="O11" s="22"/>
      <c r="P11" s="22"/>
      <c r="Q11" s="22"/>
      <c r="R11" s="22"/>
      <c r="S11" s="104"/>
      <c r="T11" s="22"/>
      <c r="U11" s="22"/>
      <c r="V11" s="104"/>
      <c r="W11" s="22"/>
      <c r="X11" s="22"/>
      <c r="Y11" s="22"/>
      <c r="Z11" s="104"/>
      <c r="AA11" s="104"/>
      <c r="AB11" s="104"/>
      <c r="AC11" s="22"/>
      <c r="AD11" s="22"/>
      <c r="AE11" s="22"/>
      <c r="AF11" s="124"/>
      <c r="AG11" s="124"/>
      <c r="AH11" s="22"/>
      <c r="AI11" s="22"/>
      <c r="AJ11" s="22">
        <v>0.4</v>
      </c>
      <c r="AK11" s="22"/>
      <c r="AL11" s="22"/>
      <c r="AM11" s="22"/>
      <c r="AN11" s="22"/>
      <c r="AO11" s="104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98"/>
      <c r="BB11" s="98"/>
      <c r="BC11" s="124">
        <v>0.6</v>
      </c>
      <c r="BD11" s="124"/>
      <c r="BE11" s="104"/>
      <c r="BF11" s="22"/>
      <c r="BG11" s="22"/>
      <c r="BH11" s="22"/>
      <c r="BI11" s="78">
        <f t="shared" si="4"/>
        <v>1</v>
      </c>
      <c r="BJ11" s="23"/>
      <c r="BK11" s="23"/>
      <c r="BL11" s="23"/>
      <c r="BM11" s="23"/>
      <c r="BN11" s="23"/>
      <c r="BO11" s="99"/>
      <c r="BP11" s="23"/>
      <c r="BQ11" s="23"/>
      <c r="BR11" s="23"/>
      <c r="BS11" s="23"/>
      <c r="BT11" s="105"/>
      <c r="BU11" s="23"/>
      <c r="BV11" s="23"/>
      <c r="BW11" s="105"/>
      <c r="BX11" s="23"/>
      <c r="BY11" s="23"/>
      <c r="BZ11" s="23"/>
      <c r="CA11" s="105"/>
      <c r="CB11" s="105"/>
      <c r="CC11" s="105"/>
      <c r="CD11" s="23"/>
      <c r="CE11" s="23"/>
      <c r="CF11" s="71"/>
      <c r="CG11" s="128"/>
      <c r="CH11" s="128"/>
      <c r="CI11" s="23"/>
      <c r="CJ11" s="23"/>
      <c r="CK11" s="23"/>
      <c r="CL11" s="23">
        <v>0.4</v>
      </c>
      <c r="CM11" s="23"/>
      <c r="CN11" s="23"/>
      <c r="CO11" s="23"/>
      <c r="CP11" s="105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99"/>
      <c r="DC11" s="99"/>
      <c r="DD11" s="125">
        <v>0.6</v>
      </c>
      <c r="DE11" s="125"/>
      <c r="DF11" s="105"/>
      <c r="DG11" s="23"/>
      <c r="DH11" s="23"/>
      <c r="DI11" s="23"/>
      <c r="DJ11" s="79">
        <f t="shared" si="5"/>
        <v>1</v>
      </c>
      <c r="DK11" s="24"/>
      <c r="DL11" s="24"/>
      <c r="DM11" s="24"/>
      <c r="DN11" s="24"/>
      <c r="DO11" s="24"/>
      <c r="DP11" s="103"/>
      <c r="DQ11" s="24"/>
      <c r="DR11" s="24"/>
      <c r="DS11" s="24">
        <v>0.5</v>
      </c>
      <c r="DT11" s="24"/>
      <c r="DU11" s="108"/>
      <c r="DV11" s="24"/>
      <c r="DW11" s="24"/>
      <c r="DX11" s="108"/>
      <c r="DY11" s="24"/>
      <c r="DZ11" s="24"/>
      <c r="EA11" s="24">
        <v>0.3</v>
      </c>
      <c r="EB11" s="108"/>
      <c r="EC11" s="108"/>
      <c r="ED11" s="108"/>
      <c r="EE11" s="24"/>
      <c r="EF11" s="24"/>
      <c r="EG11" s="24"/>
      <c r="EH11" s="129"/>
      <c r="EI11" s="129"/>
      <c r="EJ11" s="24"/>
      <c r="EK11" s="24"/>
      <c r="EL11" s="24"/>
      <c r="EM11" s="24"/>
      <c r="EN11" s="24"/>
      <c r="EO11" s="24"/>
      <c r="EP11" s="24"/>
      <c r="EQ11" s="108"/>
      <c r="ER11" s="24"/>
      <c r="ES11" s="25"/>
      <c r="ET11" s="25"/>
      <c r="EU11" s="25">
        <v>0.18</v>
      </c>
      <c r="EV11" s="25"/>
      <c r="EW11" s="25"/>
      <c r="EX11" s="25"/>
      <c r="EY11" s="25"/>
      <c r="EZ11" s="25"/>
      <c r="FA11" s="25"/>
      <c r="FB11" s="25"/>
      <c r="FC11" s="100"/>
      <c r="FD11" s="100"/>
      <c r="FE11" s="126"/>
      <c r="FF11" s="126"/>
      <c r="FG11" s="106"/>
      <c r="FH11" s="25"/>
      <c r="FI11" s="25"/>
      <c r="FJ11" s="25">
        <v>0.02</v>
      </c>
      <c r="FK11" s="17">
        <f t="shared" si="6"/>
        <v>1</v>
      </c>
      <c r="FL11" s="18"/>
      <c r="FM11" s="19">
        <f t="shared" ref="FM11:FM74" si="119">I11*1.5+BJ11*2+DK11*1.5</f>
        <v>0</v>
      </c>
      <c r="FN11" s="19">
        <f t="shared" ref="FN11:FN74" si="120">J11*1.5+BK11*2+DL11*1.5</f>
        <v>0</v>
      </c>
      <c r="FO11" s="19">
        <f t="shared" ref="FO11:FO74" si="121">K11*1.5+BL11*2+DM11*1.5</f>
        <v>0</v>
      </c>
      <c r="FP11" s="19">
        <f t="shared" ref="FP11:FP74" si="122">L11*1.5+BM11*2+DN11*1.5</f>
        <v>0</v>
      </c>
      <c r="FQ11" s="19">
        <f t="shared" ref="FQ11:FQ74" si="123">M11*1.5+BN11*2+DO11*1.5</f>
        <v>0</v>
      </c>
      <c r="FR11" s="19">
        <f t="shared" ref="FR11:FR74" si="124">N11*1.5+BO11*2+DP11*1.5</f>
        <v>0</v>
      </c>
      <c r="FS11" s="19">
        <f t="shared" ref="FS11:FS74" si="125">O11*1.5+BP11*2+DQ11*1.5</f>
        <v>0</v>
      </c>
      <c r="FT11" s="19">
        <f t="shared" ref="FT11:FT74" si="126">P11*1.5+BQ11*2+DR11*1.5</f>
        <v>0</v>
      </c>
      <c r="FU11" s="19">
        <f t="shared" ref="FU11:FU74" si="127">Q11*1.5+BR11*2+DS11*1.5</f>
        <v>0.75</v>
      </c>
      <c r="FV11" s="19">
        <f t="shared" ref="FV11:FV74" si="128">R11*1.5+BS11*2+DT11*1.5</f>
        <v>0</v>
      </c>
      <c r="FW11" s="19">
        <f t="shared" ref="FW11:FW74" si="129">S11*1.5+BT11*2+DU11*1.5</f>
        <v>0</v>
      </c>
      <c r="FX11" s="19">
        <f t="shared" ref="FX11:FX74" si="130">T11*1.5+BU11*2+DV11*1.5</f>
        <v>0</v>
      </c>
      <c r="FY11" s="19">
        <f t="shared" ref="FY11:FY74" si="131">U11*1.5+BV11*2+DW11*1.5</f>
        <v>0</v>
      </c>
      <c r="FZ11" s="19">
        <f t="shared" ref="FZ11:FZ74" si="132">V11*1.5+BW11*2+DX11*1.5</f>
        <v>0</v>
      </c>
      <c r="GA11" s="19">
        <f t="shared" ref="GA11:GA74" si="133">W11*1.5+BX11*2+DY11*1.5</f>
        <v>0</v>
      </c>
      <c r="GB11" s="19">
        <f t="shared" ref="GB11:GB74" si="134">X11*1.5+BY11*2+DZ11*1.5</f>
        <v>0</v>
      </c>
      <c r="GC11" s="19">
        <f t="shared" ref="GC11:GC74" si="135">Y11*1.5+BZ11*2+EA11*1.5</f>
        <v>0.44999999999999996</v>
      </c>
      <c r="GD11" s="19">
        <f t="shared" ref="GD11:GD74" si="136">Z11*1.5+CA11*2+EB11*1.5</f>
        <v>0</v>
      </c>
      <c r="GE11" s="19">
        <f t="shared" ref="GE11:GE74" si="137">AA11*1.5+CB11*2+EC11*1.5</f>
        <v>0</v>
      </c>
      <c r="GF11" s="19">
        <f t="shared" ref="GF11:GF74" si="138">AB11*1.5+CC11*2+ED11*1.5</f>
        <v>0</v>
      </c>
      <c r="GG11" s="19">
        <f t="shared" ref="GG11:GG74" si="139">AC11*1.5+CD11*2+EE11*1.5</f>
        <v>0</v>
      </c>
      <c r="GH11" s="19">
        <f t="shared" ref="GH11:GH74" si="140">AD11*1.5+CE11*2+EF11*1.5</f>
        <v>0</v>
      </c>
      <c r="GI11" s="19">
        <f t="shared" ref="GI11:GI74" si="141">AE11*1.5+CF11*2+EG11*1.5</f>
        <v>0</v>
      </c>
      <c r="GJ11" s="19">
        <f t="shared" ref="GJ11:GJ74" si="142">AF11*1.5+CG11*2+EH11*1.5</f>
        <v>0</v>
      </c>
      <c r="GK11" s="19">
        <f t="shared" ref="GK11:GK74" si="143">AG11*1.5+CH11*2+EI11*1.5</f>
        <v>0</v>
      </c>
      <c r="GL11" s="19">
        <f t="shared" ref="GL11:GL74" si="144">AH11*1.5+CI11*2+EJ11*1.5</f>
        <v>0</v>
      </c>
      <c r="GM11" s="19">
        <f t="shared" ref="GM11:GM74" si="145">AI11*1.5+CJ11*2+EK11*1.5</f>
        <v>0</v>
      </c>
      <c r="GN11" s="19">
        <f t="shared" ref="GN11:GN74" si="146">AJ11*1.5+CK11*2+EL11*1.5</f>
        <v>0.60000000000000009</v>
      </c>
      <c r="GO11" s="19">
        <f t="shared" ref="GO11:GO74" si="147">AK11*1.5+CL11*2+EM11*1.5</f>
        <v>0.8</v>
      </c>
      <c r="GP11" s="19">
        <f t="shared" ref="GP11:GP74" si="148">AL11*1.5+CM11*2+EN11*1.5</f>
        <v>0</v>
      </c>
      <c r="GQ11" s="19">
        <f t="shared" ref="GQ11:GQ74" si="149">AM11*1.5+CN11*2+EO11*1.5</f>
        <v>0</v>
      </c>
      <c r="GR11" s="19">
        <f t="shared" ref="GR11:GR74" si="150">AN11*1.5+CO11*2+EP11*1.5</f>
        <v>0</v>
      </c>
      <c r="GS11" s="19">
        <f t="shared" ref="GS11:GS74" si="151">AO11*1.5+CP11*2+EQ11*1.5</f>
        <v>0</v>
      </c>
      <c r="GT11" s="19">
        <f t="shared" ref="GT11:GT74" si="152">AP11*1.5+CQ11*2+ER11*1.5</f>
        <v>0</v>
      </c>
      <c r="GU11" s="19">
        <f t="shared" ref="GU11:GU74" si="153">AQ11*1.5+CR11*2+ES11*1.5</f>
        <v>0</v>
      </c>
      <c r="GV11" s="19">
        <f t="shared" ref="GV11:GV74" si="154">AR11*1.5+CS11*2+ET11*1.5</f>
        <v>0</v>
      </c>
      <c r="GW11" s="19">
        <f t="shared" ref="GW11:GW74" si="155">AS11*1.5+CT11*2+EU11*1.5</f>
        <v>0.27</v>
      </c>
      <c r="GX11" s="19">
        <f t="shared" ref="GX11:GX74" si="156">AT11*1.5+CU11*2+EV11*1.5</f>
        <v>0</v>
      </c>
      <c r="GY11" s="19">
        <f t="shared" ref="GY11:GY74" si="157">AU11*1.5+CV11*2+EW11*1.5</f>
        <v>0</v>
      </c>
      <c r="GZ11" s="19">
        <f t="shared" ref="GZ11:GZ74" si="158">AV11*1.5+CW11*2+EX11*1.5</f>
        <v>0</v>
      </c>
      <c r="HA11" s="19">
        <f t="shared" ref="HA11:HA74" si="159">AW11*1.5+CX11*2+EY11*1.5</f>
        <v>0</v>
      </c>
      <c r="HB11" s="19">
        <f t="shared" ref="HB11:HB74" si="160">AX11*1.5+CY11*2+EZ11*1.5</f>
        <v>0</v>
      </c>
      <c r="HC11" s="19">
        <f t="shared" ref="HC11:HC74" si="161">AY11*1.5+CZ11*2+FA11*1.5</f>
        <v>0</v>
      </c>
      <c r="HD11" s="19">
        <f t="shared" ref="HD11:HD74" si="162">AZ11*1.5+DA11*2+FB11*1.5</f>
        <v>0</v>
      </c>
      <c r="HE11" s="19">
        <f t="shared" ref="HE11:HE74" si="163">BA11*1.5+DB11*2+FC11*1.5</f>
        <v>0</v>
      </c>
      <c r="HF11" s="19">
        <f t="shared" ref="HF11:HF74" si="164">BB11*1.5+DC11*2+FD11*1.5</f>
        <v>0</v>
      </c>
      <c r="HG11" s="19">
        <f t="shared" ref="HG11:HG74" si="165">BC11*1.5+DD11*2+FE11*1.5</f>
        <v>2.0999999999999996</v>
      </c>
      <c r="HH11" s="19">
        <f t="shared" ref="HH11:HH74" si="166">BD11*1.5+DE11*2+FF11*1.5</f>
        <v>0</v>
      </c>
      <c r="HI11" s="19">
        <f t="shared" ref="HI11:HI74" si="167">BE11*1.5+DF11*2+FG11*1.5</f>
        <v>0</v>
      </c>
      <c r="HJ11" s="19">
        <f t="shared" ref="HJ11:HJ74" si="168">BF11*1.5+DG11*2+FH11*1.5</f>
        <v>0</v>
      </c>
      <c r="HK11" s="19">
        <f t="shared" ref="HK11:HK74" si="169">BG11*1.5+DH11*2+FI11*1.5</f>
        <v>0</v>
      </c>
      <c r="HL11" s="19">
        <f t="shared" ref="HL11:HL74" si="170">BH11*1.5+DI11*2+FJ11*1.5</f>
        <v>0.03</v>
      </c>
      <c r="HM11" s="20">
        <f t="shared" ref="HM11:HM74" si="171">SUM(FM11:HL11)</f>
        <v>5</v>
      </c>
      <c r="HN11" s="53">
        <v>396.66666666666669</v>
      </c>
      <c r="HO11" s="21">
        <f t="shared" ref="HO11:HO74" si="172">$HN11*FM11/$HM11</f>
        <v>0</v>
      </c>
      <c r="HP11" s="21">
        <f t="shared" ref="HP11:HP74" si="173">$HN11*FN11/$HM11</f>
        <v>0</v>
      </c>
      <c r="HQ11" s="21">
        <f t="shared" ref="HQ11:HQ74" si="174">$HN11*FO11/$HM11</f>
        <v>0</v>
      </c>
      <c r="HR11" s="21">
        <f t="shared" ref="HR11:HR74" si="175">$HN11*FP11/$HM11</f>
        <v>0</v>
      </c>
      <c r="HS11" s="21">
        <f t="shared" ref="HS11:HS74" si="176">$HN11*FQ11/$HM11</f>
        <v>0</v>
      </c>
      <c r="HT11" s="69">
        <f t="shared" ref="HT11:HT74" si="177">$HN11*FR11/$HM11</f>
        <v>0</v>
      </c>
      <c r="HU11" s="21">
        <f t="shared" ref="HU11:HU74" si="178">$HN11*FS11/$HM11</f>
        <v>0</v>
      </c>
      <c r="HV11" s="21">
        <f t="shared" ref="HV11:HV74" si="179">$HN11*FT11/$HM11</f>
        <v>0</v>
      </c>
      <c r="HW11" s="21">
        <f t="shared" ref="HW11:HW74" si="180">$HN11*FU11/$HM11</f>
        <v>59.5</v>
      </c>
      <c r="HX11" s="21">
        <f t="shared" ref="HX11:HX74" si="181">$HN11*FV11/$HM11</f>
        <v>0</v>
      </c>
      <c r="HY11" s="21">
        <f t="shared" ref="HY11:HY74" si="182">$HN11*FW11/$HM11</f>
        <v>0</v>
      </c>
      <c r="HZ11" s="21">
        <f t="shared" ref="HZ11:HZ74" si="183">$HN11*FX11/$HM11</f>
        <v>0</v>
      </c>
      <c r="IA11" s="21">
        <f t="shared" ref="IA11:IA74" si="184">$HN11*FY11/$HM11</f>
        <v>0</v>
      </c>
      <c r="IB11" s="21">
        <f t="shared" ref="IB11:IB74" si="185">$HN11*FZ11/$HM11</f>
        <v>0</v>
      </c>
      <c r="IC11" s="21">
        <f t="shared" ref="IC11:IC74" si="186">$HN11*GA11/$HM11</f>
        <v>0</v>
      </c>
      <c r="ID11" s="21">
        <f t="shared" ref="ID11:ID74" si="187">$HN11*GB11/$HM11</f>
        <v>0</v>
      </c>
      <c r="IE11" s="21">
        <f t="shared" ref="IE11:IE74" si="188">$HN11*GC11/$HM11</f>
        <v>35.700000000000003</v>
      </c>
      <c r="IF11" s="69">
        <f t="shared" ref="IF11:IF74" si="189">$HN11*GD11/$HM11</f>
        <v>0</v>
      </c>
      <c r="IG11" s="69">
        <f t="shared" ref="IG11:IG74" si="190">$HN11*GE11/$HM11</f>
        <v>0</v>
      </c>
      <c r="IH11" s="69">
        <f t="shared" ref="IH11:IH74" si="191">$HN11*GF11/$HM11</f>
        <v>0</v>
      </c>
      <c r="II11" s="21">
        <f t="shared" ref="II11:II74" si="192">$HN11*GG11/$HM11</f>
        <v>0</v>
      </c>
      <c r="IJ11" s="21">
        <f t="shared" ref="IJ11:IJ74" si="193">$HN11*GH11/$HM11</f>
        <v>0</v>
      </c>
      <c r="IK11" s="21">
        <f t="shared" ref="IK11:IK74" si="194">$HN11*GI11/$HM11</f>
        <v>0</v>
      </c>
      <c r="IL11" s="21">
        <f t="shared" ref="IL11:IL74" si="195">$HN11*GJ11/$HM11</f>
        <v>0</v>
      </c>
      <c r="IM11" s="21">
        <f t="shared" ref="IM11:IM74" si="196">$HN11*GK11/$HM11</f>
        <v>0</v>
      </c>
      <c r="IN11" s="21">
        <f t="shared" ref="IN11:IN74" si="197">$HN11*GL11/$HM11</f>
        <v>0</v>
      </c>
      <c r="IO11" s="21">
        <f t="shared" ref="IO11:IO74" si="198">$HN11*GM11/$HM11</f>
        <v>0</v>
      </c>
      <c r="IP11" s="21">
        <f t="shared" ref="IP11:IP74" si="199">$HN11*GN11/$HM11</f>
        <v>47.600000000000009</v>
      </c>
      <c r="IQ11" s="21">
        <f t="shared" ref="IQ11:IQ74" si="200">$HN11*GO11/$HM11</f>
        <v>63.466666666666676</v>
      </c>
      <c r="IR11" s="21">
        <f t="shared" ref="IR11:IR74" si="201">$HN11*GP11/$HM11</f>
        <v>0</v>
      </c>
      <c r="IS11" s="21">
        <f t="shared" ref="IS11:IS74" si="202">$HN11*GQ11/$HM11</f>
        <v>0</v>
      </c>
      <c r="IT11" s="21">
        <f t="shared" ref="IT11:IT74" si="203">$HN11*GR11/$HM11</f>
        <v>0</v>
      </c>
      <c r="IU11" s="21">
        <f t="shared" ref="IU11:IU74" si="204">$HN11*GS11/$HM11</f>
        <v>0</v>
      </c>
      <c r="IV11" s="21">
        <f t="shared" ref="IV11:IV74" si="205">$HN11*GT11/$HM11</f>
        <v>0</v>
      </c>
      <c r="IW11" s="21">
        <f t="shared" ref="IW11:IW74" si="206">$HN11*GU11/$HM11</f>
        <v>0</v>
      </c>
      <c r="IX11" s="21">
        <f t="shared" ref="IX11:IX74" si="207">$HN11*GV11/$HM11</f>
        <v>0</v>
      </c>
      <c r="IY11" s="21">
        <f t="shared" ref="IY11:IY74" si="208">$HN11*GW11/$HM11</f>
        <v>21.42</v>
      </c>
      <c r="IZ11" s="21">
        <f t="shared" ref="IZ11:IZ74" si="209">$HN11*GX11/$HM11</f>
        <v>0</v>
      </c>
      <c r="JA11" s="21">
        <f t="shared" ref="JA11:JA74" si="210">$HN11*GY11/$HM11</f>
        <v>0</v>
      </c>
      <c r="JB11" s="21">
        <f t="shared" ref="JB11:JB74" si="211">$HN11*GZ11/$HM11</f>
        <v>0</v>
      </c>
      <c r="JC11" s="21">
        <f t="shared" ref="JC11:JC74" si="212">$HN11*HA11/$HM11</f>
        <v>0</v>
      </c>
      <c r="JD11" s="21">
        <f t="shared" ref="JD11:JD74" si="213">$HN11*HB11/$HM11</f>
        <v>0</v>
      </c>
      <c r="JE11" s="21">
        <f t="shared" ref="JE11:JE74" si="214">$HN11*HC11/$HM11</f>
        <v>0</v>
      </c>
      <c r="JF11" s="21">
        <f t="shared" ref="JF11:JF74" si="215">$HN11*HD11/$HM11</f>
        <v>0</v>
      </c>
      <c r="JG11" s="21">
        <f t="shared" ref="JG11:JG74" si="216">$HN11*HE11/$HM11</f>
        <v>0</v>
      </c>
      <c r="JH11" s="21">
        <f t="shared" ref="JH11:JH74" si="217">$HN11*HF11/$HM11</f>
        <v>0</v>
      </c>
      <c r="JI11" s="21">
        <f t="shared" ref="JI11:JI74" si="218">$HN11*HG11/$HM11</f>
        <v>166.59999999999997</v>
      </c>
      <c r="JJ11" s="21">
        <f t="shared" ref="JJ11:JJ74" si="219">$HN11*HH11/$HM11</f>
        <v>0</v>
      </c>
      <c r="JK11" s="21">
        <f t="shared" ref="JK11:JK74" si="220">$HN11*HI11/$HM11</f>
        <v>0</v>
      </c>
      <c r="JL11" s="21">
        <f t="shared" ref="JL11:JL74" si="221">$HN11*HJ11/$HM11</f>
        <v>0</v>
      </c>
      <c r="JM11" s="21">
        <f t="shared" ref="JM11:JM74" si="222">$HN11*HK11/$HM11</f>
        <v>0</v>
      </c>
      <c r="JN11" s="21">
        <f t="shared" ref="JN11:JN74" si="223">$HN11*HL11/$HM11</f>
        <v>2.38</v>
      </c>
      <c r="JO11" s="35">
        <f t="shared" si="110"/>
        <v>396.66666666666663</v>
      </c>
      <c r="JP11" s="38">
        <f t="shared" si="111"/>
        <v>0</v>
      </c>
      <c r="JQ11" s="43">
        <f t="shared" ref="JQ11:JQ74" si="224">HO11*JQ$6</f>
        <v>0</v>
      </c>
      <c r="JR11" s="43">
        <f t="shared" ref="JR11:JR74" si="225">HP11*JR$6</f>
        <v>0</v>
      </c>
      <c r="JS11" s="43">
        <f t="shared" ref="JS11:JS74" si="226">HQ11*JS$6</f>
        <v>0</v>
      </c>
      <c r="JT11" s="43">
        <f t="shared" ref="JT11:JT74" si="227">HR11*JT$6</f>
        <v>0</v>
      </c>
      <c r="JU11" s="43">
        <f t="shared" ref="JU11:JU74" si="228">HS11*JU$6</f>
        <v>0</v>
      </c>
      <c r="JV11" s="43">
        <f t="shared" ref="JV11:JV74" si="229">HT11*JV$6</f>
        <v>0</v>
      </c>
      <c r="JW11" s="43">
        <f t="shared" ref="JW11:JW74" si="230">HU11*JW$6</f>
        <v>0</v>
      </c>
      <c r="JX11" s="43">
        <f t="shared" ref="JX11:JX74" si="231">HV11*JX$6</f>
        <v>0</v>
      </c>
      <c r="JY11" s="43">
        <f t="shared" ref="JY11:JY74" si="232">HW11*JY$6</f>
        <v>275.58972</v>
      </c>
      <c r="JZ11" s="43">
        <f t="shared" ref="JZ11:JZ74" si="233">HX11*JZ$6</f>
        <v>0</v>
      </c>
      <c r="KA11" s="43">
        <f t="shared" ref="KA11:KA74" si="234">HY11*KA$6</f>
        <v>0</v>
      </c>
      <c r="KB11" s="43">
        <f t="shared" ref="KB11:KB74" si="235">HZ11*KB$6</f>
        <v>0</v>
      </c>
      <c r="KC11" s="43">
        <f t="shared" ref="KC11:KC74" si="236">IA11*KC$6</f>
        <v>0</v>
      </c>
      <c r="KD11" s="43">
        <f t="shared" ref="KD11:KD74" si="237">IB11*KD$6</f>
        <v>0</v>
      </c>
      <c r="KE11" s="43">
        <f t="shared" ref="KE11:KE74" si="238">IC11*KE$6</f>
        <v>0</v>
      </c>
      <c r="KF11" s="43">
        <f t="shared" ref="KF11:KF74" si="239">ID11*KF$6</f>
        <v>0</v>
      </c>
      <c r="KG11" s="43">
        <f t="shared" ref="KG11:KG74" si="240">IE11*KG$6</f>
        <v>148.15232286060609</v>
      </c>
      <c r="KH11" s="43">
        <f t="shared" ref="KH11:KH74" si="241">IF11*KH$6</f>
        <v>0</v>
      </c>
      <c r="KI11" s="43">
        <f t="shared" ref="KI11:KI74" si="242">IG11*KI$6</f>
        <v>0</v>
      </c>
      <c r="KJ11" s="43">
        <f t="shared" ref="KJ11:KJ74" si="243">IH11*KJ$6</f>
        <v>0</v>
      </c>
      <c r="KK11" s="43">
        <f t="shared" ref="KK11:KK74" si="244">II11*KK$6</f>
        <v>0</v>
      </c>
      <c r="KL11" s="43">
        <f t="shared" ref="KL11:KL74" si="245">IJ11*KL$6</f>
        <v>0</v>
      </c>
      <c r="KM11" s="43">
        <f t="shared" ref="KM11:KM74" si="246">IK11*KM$6</f>
        <v>0</v>
      </c>
      <c r="KN11" s="43">
        <f t="shared" ref="KN11:KN74" si="247">IL11*KN$6</f>
        <v>0</v>
      </c>
      <c r="KO11" s="43">
        <f t="shared" ref="KO11:KO74" si="248">IM11*KO$6</f>
        <v>0</v>
      </c>
      <c r="KP11" s="43">
        <f t="shared" ref="KP11:KP74" si="249">IN11*KP$6</f>
        <v>0</v>
      </c>
      <c r="KQ11" s="43">
        <f t="shared" ref="KQ11:KQ74" si="250">IO11*KQ$6</f>
        <v>0</v>
      </c>
      <c r="KR11" s="43">
        <f t="shared" ref="KR11:KR74" si="251">IP11*KR$6</f>
        <v>183.73600000000002</v>
      </c>
      <c r="KS11" s="43">
        <f t="shared" ref="KS11:KS74" si="252">IQ11*KS$6</f>
        <v>217.01354015892258</v>
      </c>
      <c r="KT11" s="43">
        <f t="shared" ref="KT11:KT74" si="253">IR11*KT$6</f>
        <v>0</v>
      </c>
      <c r="KU11" s="43">
        <f t="shared" ref="KU11:KU74" si="254">IS11*KU$6</f>
        <v>0</v>
      </c>
      <c r="KV11" s="43">
        <f t="shared" ref="KV11:KV74" si="255">IT11*KV$6</f>
        <v>0</v>
      </c>
      <c r="KW11" s="43">
        <f t="shared" ref="KW11:KW74" si="256">IU11*KW$6</f>
        <v>0</v>
      </c>
      <c r="KX11" s="43">
        <f t="shared" ref="KX11:KX74" si="257">IV11*KX$6</f>
        <v>0</v>
      </c>
      <c r="KY11" s="43">
        <f t="shared" ref="KY11:KY74" si="258">IW11*KY$6</f>
        <v>0</v>
      </c>
      <c r="KZ11" s="43">
        <f t="shared" ref="KZ11:KZ74" si="259">IX11*KZ$6</f>
        <v>0</v>
      </c>
      <c r="LA11" s="43">
        <f t="shared" ref="LA11:LA74" si="260">IY11*LA$6</f>
        <v>85.826512800000003</v>
      </c>
      <c r="LB11" s="43">
        <f t="shared" ref="LB11:LB74" si="261">IZ11*LB$6</f>
        <v>0</v>
      </c>
      <c r="LC11" s="43">
        <f t="shared" ref="LC11:LC74" si="262">JA11*LC$6</f>
        <v>0</v>
      </c>
      <c r="LD11" s="43">
        <f t="shared" ref="LD11:LD74" si="263">JB11*LD$6</f>
        <v>0</v>
      </c>
      <c r="LE11" s="43">
        <f t="shared" ref="LE11:LE74" si="264">JC11*LE$6</f>
        <v>0</v>
      </c>
      <c r="LF11" s="43">
        <f t="shared" ref="LF11:LF74" si="265">JD11*LF$6</f>
        <v>0</v>
      </c>
      <c r="LG11" s="43">
        <f t="shared" ref="LG11:LG74" si="266">JE11*LG$6</f>
        <v>0</v>
      </c>
      <c r="LH11" s="43">
        <f t="shared" ref="LH11:LH74" si="267">JF11*LH$6</f>
        <v>0</v>
      </c>
      <c r="LI11" s="43">
        <f t="shared" ref="LI11:LI74" si="268">JG11*LI$6</f>
        <v>0</v>
      </c>
      <c r="LJ11" s="43">
        <f t="shared" ref="LJ11:LJ74" si="269">JH11*LJ$6</f>
        <v>0</v>
      </c>
      <c r="LK11" s="43">
        <f t="shared" ref="LK11:LK74" si="270">JI11*LK$6</f>
        <v>667.35794999999985</v>
      </c>
      <c r="LL11" s="43">
        <f t="shared" ref="LL11:LL74" si="271">JJ11*LL$6</f>
        <v>0</v>
      </c>
      <c r="LM11" s="43">
        <f t="shared" ref="LM11:LM74" si="272">JK11*LM$6</f>
        <v>0</v>
      </c>
      <c r="LN11" s="43">
        <f t="shared" ref="LN11:LN74" si="273">JL11*LN$6</f>
        <v>0</v>
      </c>
      <c r="LO11" s="43">
        <f t="shared" ref="LO11:LO74" si="274">JM11*LO$6</f>
        <v>0</v>
      </c>
      <c r="LP11" s="43">
        <f t="shared" ref="LP11:LP74" si="275">JN11*LP$6</f>
        <v>20.110999999999997</v>
      </c>
      <c r="LQ11" s="28">
        <f t="shared" si="113"/>
        <v>1597.7870458195287</v>
      </c>
      <c r="LR11" s="65">
        <v>374</v>
      </c>
      <c r="LS11" s="32">
        <f t="shared" si="114"/>
        <v>4.2721578765228037</v>
      </c>
      <c r="LT11" s="26">
        <f t="shared" si="115"/>
        <v>1.1672562504160666</v>
      </c>
      <c r="LU11" s="31">
        <f t="shared" si="116"/>
        <v>22.666666666666686</v>
      </c>
      <c r="LW11" s="42"/>
      <c r="MA11" s="32">
        <f t="shared" si="117"/>
        <v>4.02803456929293</v>
      </c>
      <c r="MB11" s="26">
        <f t="shared" si="118"/>
        <v>1.1005558932494344</v>
      </c>
    </row>
    <row r="12" spans="1:340" ht="15.75" thickBot="1">
      <c r="A12" t="b">
        <f t="shared" si="3"/>
        <v>1</v>
      </c>
      <c r="B12" s="123" t="s">
        <v>128</v>
      </c>
      <c r="C12" s="39" t="s">
        <v>129</v>
      </c>
      <c r="D12"/>
      <c r="E12" s="97">
        <v>46025</v>
      </c>
      <c r="F12" t="s">
        <v>43</v>
      </c>
      <c r="G12" t="s">
        <v>20</v>
      </c>
      <c r="H12" t="s">
        <v>27</v>
      </c>
      <c r="I12" s="77"/>
      <c r="J12" s="77"/>
      <c r="K12" s="77"/>
      <c r="L12" s="22"/>
      <c r="M12" s="22"/>
      <c r="N12" s="98"/>
      <c r="O12" s="22"/>
      <c r="P12" s="22"/>
      <c r="Q12" s="22"/>
      <c r="R12" s="22"/>
      <c r="S12" s="104"/>
      <c r="T12" s="22"/>
      <c r="U12" s="22"/>
      <c r="V12" s="104"/>
      <c r="W12" s="22"/>
      <c r="X12" s="22"/>
      <c r="Y12" s="22"/>
      <c r="Z12" s="104"/>
      <c r="AA12" s="104"/>
      <c r="AB12" s="104"/>
      <c r="AC12" s="22"/>
      <c r="AD12" s="22"/>
      <c r="AE12" s="22"/>
      <c r="AF12" s="124"/>
      <c r="AG12" s="124"/>
      <c r="AH12" s="22"/>
      <c r="AI12" s="22"/>
      <c r="AJ12" s="22">
        <v>0.4</v>
      </c>
      <c r="AK12" s="22"/>
      <c r="AL12" s="22"/>
      <c r="AM12" s="22"/>
      <c r="AN12" s="22"/>
      <c r="AO12" s="104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98"/>
      <c r="BB12" s="98"/>
      <c r="BC12" s="124">
        <v>0.6</v>
      </c>
      <c r="BD12" s="124"/>
      <c r="BE12" s="104"/>
      <c r="BF12" s="22"/>
      <c r="BG12" s="22"/>
      <c r="BH12" s="22"/>
      <c r="BI12" s="78">
        <f t="shared" ref="BI12" si="276">SUM(I12:BH12)</f>
        <v>1</v>
      </c>
      <c r="BJ12" s="23"/>
      <c r="BK12" s="23"/>
      <c r="BL12" s="23"/>
      <c r="BM12" s="23"/>
      <c r="BN12" s="23"/>
      <c r="BO12" s="99"/>
      <c r="BP12" s="23"/>
      <c r="BQ12" s="23"/>
      <c r="BR12" s="23"/>
      <c r="BS12" s="23"/>
      <c r="BT12" s="105"/>
      <c r="BU12" s="23"/>
      <c r="BV12" s="23"/>
      <c r="BW12" s="105"/>
      <c r="BX12" s="23"/>
      <c r="BY12" s="23"/>
      <c r="BZ12" s="23"/>
      <c r="CA12" s="105"/>
      <c r="CB12" s="105"/>
      <c r="CC12" s="105"/>
      <c r="CD12" s="23"/>
      <c r="CE12" s="23"/>
      <c r="CF12" s="71"/>
      <c r="CG12" s="128"/>
      <c r="CH12" s="128"/>
      <c r="CI12" s="23"/>
      <c r="CJ12" s="23"/>
      <c r="CK12" s="23"/>
      <c r="CL12" s="23">
        <v>0.4</v>
      </c>
      <c r="CM12" s="23"/>
      <c r="CN12" s="23"/>
      <c r="CO12" s="23"/>
      <c r="CP12" s="105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99"/>
      <c r="DC12" s="99"/>
      <c r="DD12" s="125">
        <v>0.6</v>
      </c>
      <c r="DE12" s="125"/>
      <c r="DF12" s="105"/>
      <c r="DG12" s="23"/>
      <c r="DH12" s="23"/>
      <c r="DI12" s="23"/>
      <c r="DJ12" s="79">
        <f t="shared" ref="DJ12" si="277">SUM(BJ12:DI12)</f>
        <v>1</v>
      </c>
      <c r="DK12" s="24"/>
      <c r="DL12" s="24"/>
      <c r="DM12" s="24"/>
      <c r="DN12" s="24"/>
      <c r="DO12" s="24"/>
      <c r="DP12" s="103"/>
      <c r="DQ12" s="24"/>
      <c r="DR12" s="24"/>
      <c r="DS12" s="24">
        <v>0.5</v>
      </c>
      <c r="DT12" s="24"/>
      <c r="DU12" s="108"/>
      <c r="DV12" s="24"/>
      <c r="DW12" s="24"/>
      <c r="DX12" s="108"/>
      <c r="DY12" s="24"/>
      <c r="DZ12" s="24"/>
      <c r="EA12" s="24">
        <v>0.3</v>
      </c>
      <c r="EB12" s="108"/>
      <c r="EC12" s="108"/>
      <c r="ED12" s="108"/>
      <c r="EE12" s="24"/>
      <c r="EF12" s="24"/>
      <c r="EG12" s="24"/>
      <c r="EH12" s="129"/>
      <c r="EI12" s="129"/>
      <c r="EJ12" s="24"/>
      <c r="EK12" s="24"/>
      <c r="EL12" s="24"/>
      <c r="EM12" s="24"/>
      <c r="EN12" s="24"/>
      <c r="EO12" s="24"/>
      <c r="EP12" s="24"/>
      <c r="EQ12" s="108"/>
      <c r="ER12" s="24"/>
      <c r="ES12" s="25"/>
      <c r="ET12" s="25"/>
      <c r="EU12" s="25">
        <v>0.18</v>
      </c>
      <c r="EV12" s="25"/>
      <c r="EW12" s="25"/>
      <c r="EX12" s="25"/>
      <c r="EY12" s="25"/>
      <c r="EZ12" s="25"/>
      <c r="FA12" s="25"/>
      <c r="FB12" s="25"/>
      <c r="FC12" s="100"/>
      <c r="FD12" s="100"/>
      <c r="FE12" s="126"/>
      <c r="FF12" s="126"/>
      <c r="FG12" s="106"/>
      <c r="FH12" s="25"/>
      <c r="FI12" s="25"/>
      <c r="FJ12" s="25">
        <v>0.02</v>
      </c>
      <c r="FK12" s="17">
        <f t="shared" si="6"/>
        <v>1</v>
      </c>
      <c r="FL12" s="18"/>
      <c r="FM12" s="19">
        <f t="shared" si="119"/>
        <v>0</v>
      </c>
      <c r="FN12" s="19">
        <f t="shared" si="120"/>
        <v>0</v>
      </c>
      <c r="FO12" s="19">
        <f t="shared" si="121"/>
        <v>0</v>
      </c>
      <c r="FP12" s="19">
        <f t="shared" si="122"/>
        <v>0</v>
      </c>
      <c r="FQ12" s="19">
        <f t="shared" si="123"/>
        <v>0</v>
      </c>
      <c r="FR12" s="19">
        <f t="shared" si="124"/>
        <v>0</v>
      </c>
      <c r="FS12" s="19">
        <f t="shared" si="125"/>
        <v>0</v>
      </c>
      <c r="FT12" s="19">
        <f t="shared" si="126"/>
        <v>0</v>
      </c>
      <c r="FU12" s="19">
        <f t="shared" si="127"/>
        <v>0.75</v>
      </c>
      <c r="FV12" s="19">
        <f t="shared" si="128"/>
        <v>0</v>
      </c>
      <c r="FW12" s="19">
        <f t="shared" si="129"/>
        <v>0</v>
      </c>
      <c r="FX12" s="19">
        <f t="shared" si="130"/>
        <v>0</v>
      </c>
      <c r="FY12" s="19">
        <f t="shared" si="131"/>
        <v>0</v>
      </c>
      <c r="FZ12" s="19">
        <f t="shared" si="132"/>
        <v>0</v>
      </c>
      <c r="GA12" s="19">
        <f t="shared" si="133"/>
        <v>0</v>
      </c>
      <c r="GB12" s="19">
        <f t="shared" si="134"/>
        <v>0</v>
      </c>
      <c r="GC12" s="19">
        <f t="shared" si="135"/>
        <v>0.44999999999999996</v>
      </c>
      <c r="GD12" s="19">
        <f t="shared" si="136"/>
        <v>0</v>
      </c>
      <c r="GE12" s="19">
        <f t="shared" si="137"/>
        <v>0</v>
      </c>
      <c r="GF12" s="19">
        <f t="shared" si="138"/>
        <v>0</v>
      </c>
      <c r="GG12" s="19">
        <f t="shared" si="139"/>
        <v>0</v>
      </c>
      <c r="GH12" s="19">
        <f t="shared" si="140"/>
        <v>0</v>
      </c>
      <c r="GI12" s="19">
        <f t="shared" si="141"/>
        <v>0</v>
      </c>
      <c r="GJ12" s="19">
        <f t="shared" si="142"/>
        <v>0</v>
      </c>
      <c r="GK12" s="19">
        <f t="shared" si="143"/>
        <v>0</v>
      </c>
      <c r="GL12" s="19">
        <f t="shared" si="144"/>
        <v>0</v>
      </c>
      <c r="GM12" s="19">
        <f t="shared" si="145"/>
        <v>0</v>
      </c>
      <c r="GN12" s="19">
        <f t="shared" si="146"/>
        <v>0.60000000000000009</v>
      </c>
      <c r="GO12" s="19">
        <f t="shared" si="147"/>
        <v>0.8</v>
      </c>
      <c r="GP12" s="19">
        <f t="shared" si="148"/>
        <v>0</v>
      </c>
      <c r="GQ12" s="19">
        <f t="shared" si="149"/>
        <v>0</v>
      </c>
      <c r="GR12" s="19">
        <f t="shared" si="150"/>
        <v>0</v>
      </c>
      <c r="GS12" s="19">
        <f t="shared" si="151"/>
        <v>0</v>
      </c>
      <c r="GT12" s="19">
        <f t="shared" si="152"/>
        <v>0</v>
      </c>
      <c r="GU12" s="19">
        <f t="shared" si="153"/>
        <v>0</v>
      </c>
      <c r="GV12" s="19">
        <f t="shared" si="154"/>
        <v>0</v>
      </c>
      <c r="GW12" s="19">
        <f t="shared" si="155"/>
        <v>0.27</v>
      </c>
      <c r="GX12" s="19">
        <f t="shared" si="156"/>
        <v>0</v>
      </c>
      <c r="GY12" s="19">
        <f t="shared" si="157"/>
        <v>0</v>
      </c>
      <c r="GZ12" s="19">
        <f t="shared" si="158"/>
        <v>0</v>
      </c>
      <c r="HA12" s="19">
        <f t="shared" si="159"/>
        <v>0</v>
      </c>
      <c r="HB12" s="19">
        <f t="shared" si="160"/>
        <v>0</v>
      </c>
      <c r="HC12" s="19">
        <f t="shared" si="161"/>
        <v>0</v>
      </c>
      <c r="HD12" s="19">
        <f t="shared" si="162"/>
        <v>0</v>
      </c>
      <c r="HE12" s="19">
        <f t="shared" si="163"/>
        <v>0</v>
      </c>
      <c r="HF12" s="19">
        <f t="shared" si="164"/>
        <v>0</v>
      </c>
      <c r="HG12" s="19">
        <f t="shared" si="165"/>
        <v>2.0999999999999996</v>
      </c>
      <c r="HH12" s="19">
        <f t="shared" si="166"/>
        <v>0</v>
      </c>
      <c r="HI12" s="19">
        <f t="shared" si="167"/>
        <v>0</v>
      </c>
      <c r="HJ12" s="19">
        <f t="shared" si="168"/>
        <v>0</v>
      </c>
      <c r="HK12" s="19">
        <f t="shared" si="169"/>
        <v>0</v>
      </c>
      <c r="HL12" s="19">
        <f t="shared" si="170"/>
        <v>0.03</v>
      </c>
      <c r="HM12" s="20">
        <f t="shared" si="171"/>
        <v>5</v>
      </c>
      <c r="HN12" s="53">
        <v>396.66666666666669</v>
      </c>
      <c r="HO12" s="21">
        <f t="shared" si="172"/>
        <v>0</v>
      </c>
      <c r="HP12" s="21">
        <f t="shared" si="173"/>
        <v>0</v>
      </c>
      <c r="HQ12" s="21">
        <f t="shared" si="174"/>
        <v>0</v>
      </c>
      <c r="HR12" s="21">
        <f t="shared" si="175"/>
        <v>0</v>
      </c>
      <c r="HS12" s="21">
        <f t="shared" si="176"/>
        <v>0</v>
      </c>
      <c r="HT12" s="69">
        <f t="shared" si="177"/>
        <v>0</v>
      </c>
      <c r="HU12" s="21">
        <f t="shared" si="178"/>
        <v>0</v>
      </c>
      <c r="HV12" s="21">
        <f t="shared" si="179"/>
        <v>0</v>
      </c>
      <c r="HW12" s="21">
        <f t="shared" si="180"/>
        <v>59.5</v>
      </c>
      <c r="HX12" s="21">
        <f t="shared" si="181"/>
        <v>0</v>
      </c>
      <c r="HY12" s="21">
        <f t="shared" si="182"/>
        <v>0</v>
      </c>
      <c r="HZ12" s="21">
        <f t="shared" si="183"/>
        <v>0</v>
      </c>
      <c r="IA12" s="21">
        <f t="shared" si="184"/>
        <v>0</v>
      </c>
      <c r="IB12" s="21">
        <f t="shared" si="185"/>
        <v>0</v>
      </c>
      <c r="IC12" s="21">
        <f t="shared" si="186"/>
        <v>0</v>
      </c>
      <c r="ID12" s="21">
        <f t="shared" si="187"/>
        <v>0</v>
      </c>
      <c r="IE12" s="21">
        <f t="shared" si="188"/>
        <v>35.700000000000003</v>
      </c>
      <c r="IF12" s="69">
        <f t="shared" si="189"/>
        <v>0</v>
      </c>
      <c r="IG12" s="69">
        <f t="shared" si="190"/>
        <v>0</v>
      </c>
      <c r="IH12" s="69">
        <f t="shared" si="191"/>
        <v>0</v>
      </c>
      <c r="II12" s="21">
        <f t="shared" si="192"/>
        <v>0</v>
      </c>
      <c r="IJ12" s="21">
        <f t="shared" si="193"/>
        <v>0</v>
      </c>
      <c r="IK12" s="21">
        <f t="shared" si="194"/>
        <v>0</v>
      </c>
      <c r="IL12" s="21">
        <f t="shared" si="195"/>
        <v>0</v>
      </c>
      <c r="IM12" s="21">
        <f t="shared" si="196"/>
        <v>0</v>
      </c>
      <c r="IN12" s="21">
        <f t="shared" si="197"/>
        <v>0</v>
      </c>
      <c r="IO12" s="21">
        <f t="shared" si="198"/>
        <v>0</v>
      </c>
      <c r="IP12" s="21">
        <f t="shared" si="199"/>
        <v>47.600000000000009</v>
      </c>
      <c r="IQ12" s="21">
        <f t="shared" si="200"/>
        <v>63.466666666666676</v>
      </c>
      <c r="IR12" s="21">
        <f t="shared" si="201"/>
        <v>0</v>
      </c>
      <c r="IS12" s="21">
        <f t="shared" si="202"/>
        <v>0</v>
      </c>
      <c r="IT12" s="21">
        <f t="shared" si="203"/>
        <v>0</v>
      </c>
      <c r="IU12" s="21">
        <f t="shared" si="204"/>
        <v>0</v>
      </c>
      <c r="IV12" s="21">
        <f t="shared" si="205"/>
        <v>0</v>
      </c>
      <c r="IW12" s="21">
        <f t="shared" si="206"/>
        <v>0</v>
      </c>
      <c r="IX12" s="21">
        <f t="shared" si="207"/>
        <v>0</v>
      </c>
      <c r="IY12" s="21">
        <f t="shared" si="208"/>
        <v>21.42</v>
      </c>
      <c r="IZ12" s="21">
        <f t="shared" si="209"/>
        <v>0</v>
      </c>
      <c r="JA12" s="21">
        <f t="shared" si="210"/>
        <v>0</v>
      </c>
      <c r="JB12" s="21">
        <f t="shared" si="211"/>
        <v>0</v>
      </c>
      <c r="JC12" s="21">
        <f t="shared" si="212"/>
        <v>0</v>
      </c>
      <c r="JD12" s="21">
        <f t="shared" si="213"/>
        <v>0</v>
      </c>
      <c r="JE12" s="21">
        <f t="shared" si="214"/>
        <v>0</v>
      </c>
      <c r="JF12" s="21">
        <f t="shared" si="215"/>
        <v>0</v>
      </c>
      <c r="JG12" s="21">
        <f t="shared" si="216"/>
        <v>0</v>
      </c>
      <c r="JH12" s="21">
        <f t="shared" si="217"/>
        <v>0</v>
      </c>
      <c r="JI12" s="21">
        <f t="shared" si="218"/>
        <v>166.59999999999997</v>
      </c>
      <c r="JJ12" s="21">
        <f t="shared" si="219"/>
        <v>0</v>
      </c>
      <c r="JK12" s="21">
        <f t="shared" si="220"/>
        <v>0</v>
      </c>
      <c r="JL12" s="21">
        <f t="shared" si="221"/>
        <v>0</v>
      </c>
      <c r="JM12" s="21">
        <f t="shared" si="222"/>
        <v>0</v>
      </c>
      <c r="JN12" s="21">
        <f t="shared" si="223"/>
        <v>2.38</v>
      </c>
      <c r="JO12" s="35">
        <f t="shared" si="110"/>
        <v>396.66666666666663</v>
      </c>
      <c r="JP12" s="38">
        <f t="shared" si="111"/>
        <v>0</v>
      </c>
      <c r="JQ12" s="43">
        <f t="shared" si="224"/>
        <v>0</v>
      </c>
      <c r="JR12" s="43">
        <f t="shared" si="225"/>
        <v>0</v>
      </c>
      <c r="JS12" s="43">
        <f t="shared" si="226"/>
        <v>0</v>
      </c>
      <c r="JT12" s="43">
        <f t="shared" si="227"/>
        <v>0</v>
      </c>
      <c r="JU12" s="43">
        <f t="shared" si="228"/>
        <v>0</v>
      </c>
      <c r="JV12" s="43">
        <f t="shared" si="229"/>
        <v>0</v>
      </c>
      <c r="JW12" s="43">
        <f t="shared" si="230"/>
        <v>0</v>
      </c>
      <c r="JX12" s="43">
        <f t="shared" si="231"/>
        <v>0</v>
      </c>
      <c r="JY12" s="43">
        <f t="shared" si="232"/>
        <v>275.58972</v>
      </c>
      <c r="JZ12" s="43">
        <f t="shared" si="233"/>
        <v>0</v>
      </c>
      <c r="KA12" s="43">
        <f t="shared" si="234"/>
        <v>0</v>
      </c>
      <c r="KB12" s="43">
        <f t="shared" si="235"/>
        <v>0</v>
      </c>
      <c r="KC12" s="43">
        <f t="shared" si="236"/>
        <v>0</v>
      </c>
      <c r="KD12" s="43">
        <f t="shared" si="237"/>
        <v>0</v>
      </c>
      <c r="KE12" s="43">
        <f t="shared" si="238"/>
        <v>0</v>
      </c>
      <c r="KF12" s="43">
        <f t="shared" si="239"/>
        <v>0</v>
      </c>
      <c r="KG12" s="43">
        <f t="shared" si="240"/>
        <v>148.15232286060609</v>
      </c>
      <c r="KH12" s="43">
        <f t="shared" si="241"/>
        <v>0</v>
      </c>
      <c r="KI12" s="43">
        <f t="shared" si="242"/>
        <v>0</v>
      </c>
      <c r="KJ12" s="43">
        <f t="shared" si="243"/>
        <v>0</v>
      </c>
      <c r="KK12" s="43">
        <f t="shared" si="244"/>
        <v>0</v>
      </c>
      <c r="KL12" s="43">
        <f t="shared" si="245"/>
        <v>0</v>
      </c>
      <c r="KM12" s="43">
        <f t="shared" si="246"/>
        <v>0</v>
      </c>
      <c r="KN12" s="43">
        <f t="shared" si="247"/>
        <v>0</v>
      </c>
      <c r="KO12" s="43">
        <f t="shared" si="248"/>
        <v>0</v>
      </c>
      <c r="KP12" s="43">
        <f t="shared" si="249"/>
        <v>0</v>
      </c>
      <c r="KQ12" s="43">
        <f t="shared" si="250"/>
        <v>0</v>
      </c>
      <c r="KR12" s="43">
        <f t="shared" si="251"/>
        <v>183.73600000000002</v>
      </c>
      <c r="KS12" s="43">
        <f t="shared" si="252"/>
        <v>217.01354015892258</v>
      </c>
      <c r="KT12" s="43">
        <f t="shared" si="253"/>
        <v>0</v>
      </c>
      <c r="KU12" s="43">
        <f t="shared" si="254"/>
        <v>0</v>
      </c>
      <c r="KV12" s="43">
        <f t="shared" si="255"/>
        <v>0</v>
      </c>
      <c r="KW12" s="43">
        <f t="shared" si="256"/>
        <v>0</v>
      </c>
      <c r="KX12" s="43">
        <f t="shared" si="257"/>
        <v>0</v>
      </c>
      <c r="KY12" s="43">
        <f t="shared" si="258"/>
        <v>0</v>
      </c>
      <c r="KZ12" s="43">
        <f t="shared" si="259"/>
        <v>0</v>
      </c>
      <c r="LA12" s="43">
        <f t="shared" si="260"/>
        <v>85.826512800000003</v>
      </c>
      <c r="LB12" s="43">
        <f t="shared" si="261"/>
        <v>0</v>
      </c>
      <c r="LC12" s="43">
        <f t="shared" si="262"/>
        <v>0</v>
      </c>
      <c r="LD12" s="43">
        <f t="shared" si="263"/>
        <v>0</v>
      </c>
      <c r="LE12" s="43">
        <f t="shared" si="264"/>
        <v>0</v>
      </c>
      <c r="LF12" s="43">
        <f t="shared" si="265"/>
        <v>0</v>
      </c>
      <c r="LG12" s="43">
        <f t="shared" si="266"/>
        <v>0</v>
      </c>
      <c r="LH12" s="43">
        <f t="shared" si="267"/>
        <v>0</v>
      </c>
      <c r="LI12" s="43">
        <f t="shared" si="268"/>
        <v>0</v>
      </c>
      <c r="LJ12" s="43">
        <f t="shared" si="269"/>
        <v>0</v>
      </c>
      <c r="LK12" s="43">
        <f t="shared" si="270"/>
        <v>667.35794999999985</v>
      </c>
      <c r="LL12" s="43">
        <f t="shared" si="271"/>
        <v>0</v>
      </c>
      <c r="LM12" s="43">
        <f t="shared" si="272"/>
        <v>0</v>
      </c>
      <c r="LN12" s="43">
        <f t="shared" si="273"/>
        <v>0</v>
      </c>
      <c r="LO12" s="43">
        <f t="shared" si="274"/>
        <v>0</v>
      </c>
      <c r="LP12" s="43">
        <f t="shared" si="275"/>
        <v>20.110999999999997</v>
      </c>
      <c r="LQ12" s="28">
        <f t="shared" si="113"/>
        <v>1597.7870458195287</v>
      </c>
      <c r="LR12" s="65">
        <v>374</v>
      </c>
      <c r="LS12" s="32">
        <f t="shared" si="114"/>
        <v>4.2721578765228037</v>
      </c>
      <c r="LT12" s="26">
        <f t="shared" si="115"/>
        <v>1.1672562504160666</v>
      </c>
      <c r="LU12" s="31">
        <f t="shared" si="116"/>
        <v>22.666666666666686</v>
      </c>
      <c r="LW12" s="42"/>
      <c r="MA12" s="32">
        <f t="shared" si="117"/>
        <v>4.02803456929293</v>
      </c>
      <c r="MB12" s="26">
        <f t="shared" si="118"/>
        <v>1.1005558932494344</v>
      </c>
    </row>
    <row r="13" spans="1:340" ht="15.75" thickBot="1">
      <c r="A13" t="b">
        <f t="shared" si="3"/>
        <v>1</v>
      </c>
      <c r="B13" s="123" t="s">
        <v>130</v>
      </c>
      <c r="C13" s="39" t="s">
        <v>123</v>
      </c>
      <c r="D13"/>
      <c r="E13" s="97">
        <v>46026</v>
      </c>
      <c r="F13" t="s">
        <v>43</v>
      </c>
      <c r="G13" t="s">
        <v>20</v>
      </c>
      <c r="H13" t="s">
        <v>27</v>
      </c>
      <c r="I13" s="77"/>
      <c r="J13" s="77"/>
      <c r="K13" s="77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  <c r="AB13" s="104"/>
      <c r="AC13" s="104"/>
      <c r="AD13" s="104"/>
      <c r="AE13" s="104"/>
      <c r="AF13" s="124"/>
      <c r="AG13" s="124"/>
      <c r="AH13" s="104"/>
      <c r="AI13" s="104"/>
      <c r="AJ13" s="22">
        <v>0.4</v>
      </c>
      <c r="AK13" s="22"/>
      <c r="AL13" s="104"/>
      <c r="AM13" s="104"/>
      <c r="AN13" s="104"/>
      <c r="AO13" s="104"/>
      <c r="AP13" s="104"/>
      <c r="AQ13" s="104"/>
      <c r="AR13" s="104"/>
      <c r="AS13" s="104"/>
      <c r="AT13" s="104"/>
      <c r="AU13" s="104"/>
      <c r="AV13" s="104"/>
      <c r="AW13" s="104"/>
      <c r="AX13" s="104"/>
      <c r="AY13" s="104"/>
      <c r="AZ13" s="104"/>
      <c r="BA13" s="104"/>
      <c r="BB13" s="104"/>
      <c r="BC13" s="124">
        <v>0.6</v>
      </c>
      <c r="BD13" s="124"/>
      <c r="BE13" s="104"/>
      <c r="BF13" s="104"/>
      <c r="BG13" s="104"/>
      <c r="BH13" s="104"/>
      <c r="BI13" s="78">
        <f t="shared" si="4"/>
        <v>1</v>
      </c>
      <c r="BJ13" s="105"/>
      <c r="BK13" s="105"/>
      <c r="BL13" s="105"/>
      <c r="BM13" s="105"/>
      <c r="BN13" s="105"/>
      <c r="BO13" s="105"/>
      <c r="BP13" s="105"/>
      <c r="BQ13" s="105"/>
      <c r="BR13" s="105"/>
      <c r="BS13" s="105"/>
      <c r="BT13" s="105"/>
      <c r="BU13" s="105"/>
      <c r="BV13" s="105"/>
      <c r="BW13" s="105"/>
      <c r="BX13" s="105"/>
      <c r="BY13" s="105"/>
      <c r="BZ13" s="105"/>
      <c r="CA13" s="105"/>
      <c r="CB13" s="105"/>
      <c r="CC13" s="105"/>
      <c r="CD13" s="105"/>
      <c r="CE13" s="105"/>
      <c r="CF13" s="120"/>
      <c r="CG13" s="128"/>
      <c r="CH13" s="128"/>
      <c r="CI13" s="105"/>
      <c r="CJ13" s="105"/>
      <c r="CK13" s="105"/>
      <c r="CL13" s="105">
        <v>0.4</v>
      </c>
      <c r="CM13" s="105"/>
      <c r="CN13" s="105"/>
      <c r="CO13" s="105"/>
      <c r="CP13" s="105"/>
      <c r="CQ13" s="105"/>
      <c r="CR13" s="105"/>
      <c r="CS13" s="105"/>
      <c r="CT13" s="105"/>
      <c r="CU13" s="105"/>
      <c r="CV13" s="105"/>
      <c r="CW13" s="105"/>
      <c r="CX13" s="105"/>
      <c r="CY13" s="105"/>
      <c r="CZ13" s="105"/>
      <c r="DA13" s="105"/>
      <c r="DB13" s="105"/>
      <c r="DC13" s="105"/>
      <c r="DD13" s="125">
        <v>0.6</v>
      </c>
      <c r="DE13" s="125"/>
      <c r="DF13" s="105"/>
      <c r="DG13" s="105"/>
      <c r="DH13" s="105"/>
      <c r="DI13" s="105"/>
      <c r="DJ13" s="79">
        <f t="shared" si="5"/>
        <v>1</v>
      </c>
      <c r="DK13" s="108"/>
      <c r="DL13" s="108"/>
      <c r="DM13" s="108"/>
      <c r="DN13" s="108"/>
      <c r="DO13" s="108"/>
      <c r="DP13" s="108"/>
      <c r="DQ13" s="108"/>
      <c r="DR13" s="108"/>
      <c r="DS13" s="108"/>
      <c r="DT13" s="108"/>
      <c r="DU13" s="108"/>
      <c r="DV13" s="108"/>
      <c r="DW13" s="108"/>
      <c r="DX13" s="108"/>
      <c r="DY13" s="108"/>
      <c r="DZ13" s="108"/>
      <c r="EA13" s="108">
        <v>0.73</v>
      </c>
      <c r="EB13" s="108"/>
      <c r="EC13" s="108"/>
      <c r="ED13" s="108"/>
      <c r="EE13" s="108"/>
      <c r="EF13" s="108"/>
      <c r="EG13" s="108"/>
      <c r="EH13" s="129"/>
      <c r="EI13" s="129"/>
      <c r="EJ13" s="108"/>
      <c r="EK13" s="108"/>
      <c r="EL13" s="108"/>
      <c r="EM13" s="108">
        <v>0.15</v>
      </c>
      <c r="EN13" s="108"/>
      <c r="EO13" s="108"/>
      <c r="EP13" s="108"/>
      <c r="EQ13" s="108"/>
      <c r="ER13" s="108"/>
      <c r="ES13" s="106"/>
      <c r="ET13" s="106"/>
      <c r="EU13" s="106">
        <v>0.1</v>
      </c>
      <c r="EV13" s="106"/>
      <c r="EW13" s="106"/>
      <c r="EX13" s="106"/>
      <c r="EY13" s="106"/>
      <c r="EZ13" s="106"/>
      <c r="FA13" s="106"/>
      <c r="FB13" s="106"/>
      <c r="FC13" s="106"/>
      <c r="FD13" s="106"/>
      <c r="FE13" s="126"/>
      <c r="FF13" s="126"/>
      <c r="FG13" s="106"/>
      <c r="FH13" s="106"/>
      <c r="FI13" s="106"/>
      <c r="FJ13" s="106">
        <v>0.02</v>
      </c>
      <c r="FK13" s="17">
        <f t="shared" si="6"/>
        <v>1</v>
      </c>
      <c r="FL13" s="18"/>
      <c r="FM13" s="19">
        <f t="shared" si="119"/>
        <v>0</v>
      </c>
      <c r="FN13" s="19">
        <f t="shared" si="120"/>
        <v>0</v>
      </c>
      <c r="FO13" s="19">
        <f t="shared" si="121"/>
        <v>0</v>
      </c>
      <c r="FP13" s="19">
        <f t="shared" si="122"/>
        <v>0</v>
      </c>
      <c r="FQ13" s="19">
        <f t="shared" si="123"/>
        <v>0</v>
      </c>
      <c r="FR13" s="19">
        <f t="shared" si="124"/>
        <v>0</v>
      </c>
      <c r="FS13" s="19">
        <f t="shared" si="125"/>
        <v>0</v>
      </c>
      <c r="FT13" s="19">
        <f t="shared" si="126"/>
        <v>0</v>
      </c>
      <c r="FU13" s="19">
        <f t="shared" si="127"/>
        <v>0</v>
      </c>
      <c r="FV13" s="19">
        <f t="shared" si="128"/>
        <v>0</v>
      </c>
      <c r="FW13" s="19">
        <f t="shared" si="129"/>
        <v>0</v>
      </c>
      <c r="FX13" s="19">
        <f t="shared" si="130"/>
        <v>0</v>
      </c>
      <c r="FY13" s="19">
        <f t="shared" si="131"/>
        <v>0</v>
      </c>
      <c r="FZ13" s="19">
        <f t="shared" si="132"/>
        <v>0</v>
      </c>
      <c r="GA13" s="19">
        <f t="shared" si="133"/>
        <v>0</v>
      </c>
      <c r="GB13" s="19">
        <f t="shared" si="134"/>
        <v>0</v>
      </c>
      <c r="GC13" s="19">
        <f t="shared" si="135"/>
        <v>1.095</v>
      </c>
      <c r="GD13" s="19">
        <f t="shared" si="136"/>
        <v>0</v>
      </c>
      <c r="GE13" s="19">
        <f t="shared" si="137"/>
        <v>0</v>
      </c>
      <c r="GF13" s="19">
        <f t="shared" si="138"/>
        <v>0</v>
      </c>
      <c r="GG13" s="19">
        <f t="shared" si="139"/>
        <v>0</v>
      </c>
      <c r="GH13" s="19">
        <f t="shared" si="140"/>
        <v>0</v>
      </c>
      <c r="GI13" s="19">
        <f t="shared" si="141"/>
        <v>0</v>
      </c>
      <c r="GJ13" s="19">
        <f t="shared" si="142"/>
        <v>0</v>
      </c>
      <c r="GK13" s="19">
        <f t="shared" si="143"/>
        <v>0</v>
      </c>
      <c r="GL13" s="19">
        <f t="shared" si="144"/>
        <v>0</v>
      </c>
      <c r="GM13" s="19">
        <f t="shared" si="145"/>
        <v>0</v>
      </c>
      <c r="GN13" s="19">
        <f t="shared" si="146"/>
        <v>0.60000000000000009</v>
      </c>
      <c r="GO13" s="19">
        <f t="shared" si="147"/>
        <v>1.0249999999999999</v>
      </c>
      <c r="GP13" s="19">
        <f t="shared" si="148"/>
        <v>0</v>
      </c>
      <c r="GQ13" s="19">
        <f t="shared" si="149"/>
        <v>0</v>
      </c>
      <c r="GR13" s="19">
        <f t="shared" si="150"/>
        <v>0</v>
      </c>
      <c r="GS13" s="19">
        <f t="shared" si="151"/>
        <v>0</v>
      </c>
      <c r="GT13" s="19">
        <f t="shared" si="152"/>
        <v>0</v>
      </c>
      <c r="GU13" s="19">
        <f t="shared" si="153"/>
        <v>0</v>
      </c>
      <c r="GV13" s="19">
        <f t="shared" si="154"/>
        <v>0</v>
      </c>
      <c r="GW13" s="19">
        <f t="shared" si="155"/>
        <v>0.15000000000000002</v>
      </c>
      <c r="GX13" s="19">
        <f t="shared" si="156"/>
        <v>0</v>
      </c>
      <c r="GY13" s="19">
        <f t="shared" si="157"/>
        <v>0</v>
      </c>
      <c r="GZ13" s="19">
        <f t="shared" si="158"/>
        <v>0</v>
      </c>
      <c r="HA13" s="19">
        <f t="shared" si="159"/>
        <v>0</v>
      </c>
      <c r="HB13" s="19">
        <f t="shared" si="160"/>
        <v>0</v>
      </c>
      <c r="HC13" s="19">
        <f t="shared" si="161"/>
        <v>0</v>
      </c>
      <c r="HD13" s="19">
        <f t="shared" si="162"/>
        <v>0</v>
      </c>
      <c r="HE13" s="19">
        <f t="shared" si="163"/>
        <v>0</v>
      </c>
      <c r="HF13" s="19">
        <f t="shared" si="164"/>
        <v>0</v>
      </c>
      <c r="HG13" s="19">
        <f t="shared" si="165"/>
        <v>2.0999999999999996</v>
      </c>
      <c r="HH13" s="19">
        <f t="shared" si="166"/>
        <v>0</v>
      </c>
      <c r="HI13" s="19">
        <f t="shared" si="167"/>
        <v>0</v>
      </c>
      <c r="HJ13" s="19">
        <f t="shared" si="168"/>
        <v>0</v>
      </c>
      <c r="HK13" s="19">
        <f t="shared" si="169"/>
        <v>0</v>
      </c>
      <c r="HL13" s="19">
        <f t="shared" si="170"/>
        <v>0.03</v>
      </c>
      <c r="HM13" s="20">
        <f t="shared" si="171"/>
        <v>4.9999999999999991</v>
      </c>
      <c r="HN13" s="53">
        <v>941</v>
      </c>
      <c r="HO13" s="21">
        <f t="shared" si="172"/>
        <v>0</v>
      </c>
      <c r="HP13" s="21">
        <f t="shared" si="173"/>
        <v>0</v>
      </c>
      <c r="HQ13" s="21">
        <f t="shared" si="174"/>
        <v>0</v>
      </c>
      <c r="HR13" s="21">
        <f t="shared" si="175"/>
        <v>0</v>
      </c>
      <c r="HS13" s="21">
        <f t="shared" si="176"/>
        <v>0</v>
      </c>
      <c r="HT13" s="69">
        <f t="shared" si="177"/>
        <v>0</v>
      </c>
      <c r="HU13" s="21">
        <f t="shared" si="178"/>
        <v>0</v>
      </c>
      <c r="HV13" s="21">
        <f t="shared" si="179"/>
        <v>0</v>
      </c>
      <c r="HW13" s="21">
        <f t="shared" si="180"/>
        <v>0</v>
      </c>
      <c r="HX13" s="21">
        <f t="shared" si="181"/>
        <v>0</v>
      </c>
      <c r="HY13" s="21">
        <f t="shared" si="182"/>
        <v>0</v>
      </c>
      <c r="HZ13" s="21">
        <f t="shared" si="183"/>
        <v>0</v>
      </c>
      <c r="IA13" s="21">
        <f t="shared" si="184"/>
        <v>0</v>
      </c>
      <c r="IB13" s="21">
        <f t="shared" si="185"/>
        <v>0</v>
      </c>
      <c r="IC13" s="21">
        <f t="shared" si="186"/>
        <v>0</v>
      </c>
      <c r="ID13" s="21">
        <f t="shared" si="187"/>
        <v>0</v>
      </c>
      <c r="IE13" s="21">
        <f t="shared" si="188"/>
        <v>206.07900000000004</v>
      </c>
      <c r="IF13" s="69">
        <f t="shared" si="189"/>
        <v>0</v>
      </c>
      <c r="IG13" s="69">
        <f t="shared" si="190"/>
        <v>0</v>
      </c>
      <c r="IH13" s="69">
        <f t="shared" si="191"/>
        <v>0</v>
      </c>
      <c r="II13" s="21">
        <f t="shared" si="192"/>
        <v>0</v>
      </c>
      <c r="IJ13" s="21">
        <f t="shared" si="193"/>
        <v>0</v>
      </c>
      <c r="IK13" s="21">
        <f t="shared" si="194"/>
        <v>0</v>
      </c>
      <c r="IL13" s="21">
        <f t="shared" si="195"/>
        <v>0</v>
      </c>
      <c r="IM13" s="21">
        <f t="shared" si="196"/>
        <v>0</v>
      </c>
      <c r="IN13" s="21">
        <f t="shared" si="197"/>
        <v>0</v>
      </c>
      <c r="IO13" s="21">
        <f t="shared" si="198"/>
        <v>0</v>
      </c>
      <c r="IP13" s="21">
        <f t="shared" si="199"/>
        <v>112.92000000000004</v>
      </c>
      <c r="IQ13" s="21">
        <f t="shared" si="200"/>
        <v>192.905</v>
      </c>
      <c r="IR13" s="21">
        <f t="shared" si="201"/>
        <v>0</v>
      </c>
      <c r="IS13" s="21">
        <f t="shared" si="202"/>
        <v>0</v>
      </c>
      <c r="IT13" s="21">
        <f t="shared" si="203"/>
        <v>0</v>
      </c>
      <c r="IU13" s="21">
        <f t="shared" si="204"/>
        <v>0</v>
      </c>
      <c r="IV13" s="21">
        <f t="shared" si="205"/>
        <v>0</v>
      </c>
      <c r="IW13" s="21">
        <f t="shared" si="206"/>
        <v>0</v>
      </c>
      <c r="IX13" s="21">
        <f t="shared" si="207"/>
        <v>0</v>
      </c>
      <c r="IY13" s="21">
        <f t="shared" si="208"/>
        <v>28.230000000000011</v>
      </c>
      <c r="IZ13" s="21">
        <f t="shared" si="209"/>
        <v>0</v>
      </c>
      <c r="JA13" s="21">
        <f t="shared" si="210"/>
        <v>0</v>
      </c>
      <c r="JB13" s="21">
        <f t="shared" si="211"/>
        <v>0</v>
      </c>
      <c r="JC13" s="21">
        <f t="shared" si="212"/>
        <v>0</v>
      </c>
      <c r="JD13" s="21">
        <f t="shared" si="213"/>
        <v>0</v>
      </c>
      <c r="JE13" s="21">
        <f t="shared" si="214"/>
        <v>0</v>
      </c>
      <c r="JF13" s="21">
        <f t="shared" si="215"/>
        <v>0</v>
      </c>
      <c r="JG13" s="21">
        <f t="shared" si="216"/>
        <v>0</v>
      </c>
      <c r="JH13" s="21">
        <f t="shared" si="217"/>
        <v>0</v>
      </c>
      <c r="JI13" s="21">
        <f t="shared" si="218"/>
        <v>395.22</v>
      </c>
      <c r="JJ13" s="21">
        <f t="shared" si="219"/>
        <v>0</v>
      </c>
      <c r="JK13" s="21">
        <f t="shared" si="220"/>
        <v>0</v>
      </c>
      <c r="JL13" s="21">
        <f t="shared" si="221"/>
        <v>0</v>
      </c>
      <c r="JM13" s="21">
        <f t="shared" si="222"/>
        <v>0</v>
      </c>
      <c r="JN13" s="21">
        <f t="shared" si="223"/>
        <v>5.6460000000000008</v>
      </c>
      <c r="JO13" s="35">
        <f t="shared" si="110"/>
        <v>941.00000000000011</v>
      </c>
      <c r="JP13" s="38">
        <f t="shared" si="111"/>
        <v>0</v>
      </c>
      <c r="JQ13" s="43">
        <f t="shared" si="224"/>
        <v>0</v>
      </c>
      <c r="JR13" s="43">
        <f t="shared" si="225"/>
        <v>0</v>
      </c>
      <c r="JS13" s="43">
        <f t="shared" si="226"/>
        <v>0</v>
      </c>
      <c r="JT13" s="43">
        <f t="shared" si="227"/>
        <v>0</v>
      </c>
      <c r="JU13" s="43">
        <f t="shared" si="228"/>
        <v>0</v>
      </c>
      <c r="JV13" s="43">
        <f t="shared" si="229"/>
        <v>0</v>
      </c>
      <c r="JW13" s="43">
        <f t="shared" si="230"/>
        <v>0</v>
      </c>
      <c r="JX13" s="43">
        <f t="shared" si="231"/>
        <v>0</v>
      </c>
      <c r="JY13" s="43">
        <f t="shared" si="232"/>
        <v>0</v>
      </c>
      <c r="JZ13" s="43">
        <f t="shared" si="233"/>
        <v>0</v>
      </c>
      <c r="KA13" s="43">
        <f t="shared" si="234"/>
        <v>0</v>
      </c>
      <c r="KB13" s="43">
        <f t="shared" si="235"/>
        <v>0</v>
      </c>
      <c r="KC13" s="43">
        <f t="shared" si="236"/>
        <v>0</v>
      </c>
      <c r="KD13" s="43">
        <f t="shared" si="237"/>
        <v>0</v>
      </c>
      <c r="KE13" s="43">
        <f t="shared" si="238"/>
        <v>0</v>
      </c>
      <c r="KF13" s="43">
        <f t="shared" si="239"/>
        <v>0</v>
      </c>
      <c r="KG13" s="43">
        <f t="shared" si="240"/>
        <v>855.21239615660625</v>
      </c>
      <c r="KH13" s="43">
        <f t="shared" si="241"/>
        <v>0</v>
      </c>
      <c r="KI13" s="43">
        <f t="shared" si="242"/>
        <v>0</v>
      </c>
      <c r="KJ13" s="43">
        <f t="shared" si="243"/>
        <v>0</v>
      </c>
      <c r="KK13" s="43">
        <f t="shared" si="244"/>
        <v>0</v>
      </c>
      <c r="KL13" s="43">
        <f t="shared" si="245"/>
        <v>0</v>
      </c>
      <c r="KM13" s="43">
        <f t="shared" si="246"/>
        <v>0</v>
      </c>
      <c r="KN13" s="43">
        <f t="shared" si="247"/>
        <v>0</v>
      </c>
      <c r="KO13" s="43">
        <f t="shared" si="248"/>
        <v>0</v>
      </c>
      <c r="KP13" s="43">
        <f t="shared" si="249"/>
        <v>0</v>
      </c>
      <c r="KQ13" s="43">
        <f t="shared" si="250"/>
        <v>0</v>
      </c>
      <c r="KR13" s="43">
        <f t="shared" si="251"/>
        <v>435.87120000000016</v>
      </c>
      <c r="KS13" s="43">
        <f t="shared" si="252"/>
        <v>659.60604460646459</v>
      </c>
      <c r="KT13" s="43">
        <f t="shared" si="253"/>
        <v>0</v>
      </c>
      <c r="KU13" s="43">
        <f t="shared" si="254"/>
        <v>0</v>
      </c>
      <c r="KV13" s="43">
        <f t="shared" si="255"/>
        <v>0</v>
      </c>
      <c r="KW13" s="43">
        <f t="shared" si="256"/>
        <v>0</v>
      </c>
      <c r="KX13" s="43">
        <f t="shared" si="257"/>
        <v>0</v>
      </c>
      <c r="KY13" s="43">
        <f t="shared" si="258"/>
        <v>0</v>
      </c>
      <c r="KZ13" s="43">
        <f t="shared" si="259"/>
        <v>0</v>
      </c>
      <c r="LA13" s="43">
        <f t="shared" si="260"/>
        <v>113.11309320000004</v>
      </c>
      <c r="LB13" s="43">
        <f t="shared" si="261"/>
        <v>0</v>
      </c>
      <c r="LC13" s="43">
        <f t="shared" si="262"/>
        <v>0</v>
      </c>
      <c r="LD13" s="43">
        <f t="shared" si="263"/>
        <v>0</v>
      </c>
      <c r="LE13" s="43">
        <f t="shared" si="264"/>
        <v>0</v>
      </c>
      <c r="LF13" s="43">
        <f t="shared" si="265"/>
        <v>0</v>
      </c>
      <c r="LG13" s="43">
        <f t="shared" si="266"/>
        <v>0</v>
      </c>
      <c r="LH13" s="43">
        <f t="shared" si="267"/>
        <v>0</v>
      </c>
      <c r="LI13" s="43">
        <f t="shared" si="268"/>
        <v>0</v>
      </c>
      <c r="LJ13" s="43">
        <f t="shared" si="269"/>
        <v>0</v>
      </c>
      <c r="LK13" s="43">
        <f t="shared" si="270"/>
        <v>1583.152515</v>
      </c>
      <c r="LL13" s="43">
        <f t="shared" si="271"/>
        <v>0</v>
      </c>
      <c r="LM13" s="43">
        <f t="shared" si="272"/>
        <v>0</v>
      </c>
      <c r="LN13" s="43">
        <f t="shared" si="273"/>
        <v>0</v>
      </c>
      <c r="LO13" s="43">
        <f t="shared" si="274"/>
        <v>0</v>
      </c>
      <c r="LP13" s="43">
        <f t="shared" si="275"/>
        <v>47.7087</v>
      </c>
      <c r="LQ13" s="28">
        <f t="shared" si="113"/>
        <v>3694.6639489630707</v>
      </c>
      <c r="LR13" s="65">
        <v>920</v>
      </c>
      <c r="LS13" s="32">
        <f t="shared" si="114"/>
        <v>4.0159390749598591</v>
      </c>
      <c r="LT13" s="26">
        <f t="shared" si="115"/>
        <v>1.0972511133770106</v>
      </c>
      <c r="LU13" s="31">
        <f t="shared" si="116"/>
        <v>21</v>
      </c>
      <c r="LW13" s="42"/>
      <c r="MA13" s="32">
        <f t="shared" si="117"/>
        <v>3.9263166301414136</v>
      </c>
      <c r="MB13" s="26">
        <f t="shared" si="118"/>
        <v>1.0727641065960145</v>
      </c>
    </row>
    <row r="14" spans="1:340" ht="15.75" thickBot="1">
      <c r="A14" t="b">
        <f t="shared" si="3"/>
        <v>1</v>
      </c>
      <c r="B14" s="123" t="s">
        <v>131</v>
      </c>
      <c r="C14" s="39" t="s">
        <v>132</v>
      </c>
      <c r="D14"/>
      <c r="E14" s="97">
        <v>46025</v>
      </c>
      <c r="F14" t="s">
        <v>43</v>
      </c>
      <c r="G14" t="s">
        <v>20</v>
      </c>
      <c r="H14" t="s">
        <v>27</v>
      </c>
      <c r="I14" s="77"/>
      <c r="J14" s="77"/>
      <c r="K14" s="77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24"/>
      <c r="AG14" s="124"/>
      <c r="AH14" s="104"/>
      <c r="AI14" s="104"/>
      <c r="AJ14" s="104">
        <v>0.5</v>
      </c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24">
        <v>0.5</v>
      </c>
      <c r="BD14" s="124"/>
      <c r="BE14" s="104"/>
      <c r="BF14" s="104"/>
      <c r="BG14" s="104"/>
      <c r="BH14" s="104"/>
      <c r="BI14" s="78">
        <f t="shared" si="4"/>
        <v>1</v>
      </c>
      <c r="BJ14" s="105"/>
      <c r="BK14" s="105"/>
      <c r="BL14" s="105"/>
      <c r="BM14" s="105"/>
      <c r="BN14" s="105"/>
      <c r="BO14" s="105"/>
      <c r="BP14" s="105"/>
      <c r="BQ14" s="105"/>
      <c r="BR14" s="105"/>
      <c r="BS14" s="105"/>
      <c r="BT14" s="105"/>
      <c r="BU14" s="105"/>
      <c r="BV14" s="105"/>
      <c r="BW14" s="105"/>
      <c r="BX14" s="105"/>
      <c r="BY14" s="105"/>
      <c r="BZ14" s="105"/>
      <c r="CA14" s="105"/>
      <c r="CB14" s="105"/>
      <c r="CC14" s="105"/>
      <c r="CD14" s="105"/>
      <c r="CE14" s="105"/>
      <c r="CF14" s="120"/>
      <c r="CG14" s="128"/>
      <c r="CH14" s="128"/>
      <c r="CI14" s="105"/>
      <c r="CJ14" s="105"/>
      <c r="CK14" s="105"/>
      <c r="CL14" s="105">
        <v>0.4</v>
      </c>
      <c r="CM14" s="105"/>
      <c r="CN14" s="105"/>
      <c r="CO14" s="105"/>
      <c r="CP14" s="105"/>
      <c r="CQ14" s="105"/>
      <c r="CR14" s="105"/>
      <c r="CS14" s="105"/>
      <c r="CT14" s="105"/>
      <c r="CU14" s="105"/>
      <c r="CV14" s="105"/>
      <c r="CW14" s="105"/>
      <c r="CX14" s="105"/>
      <c r="CY14" s="105"/>
      <c r="CZ14" s="105"/>
      <c r="DA14" s="105"/>
      <c r="DB14" s="105"/>
      <c r="DC14" s="105"/>
      <c r="DD14" s="125">
        <v>0.6</v>
      </c>
      <c r="DE14" s="125"/>
      <c r="DF14" s="105"/>
      <c r="DG14" s="105"/>
      <c r="DH14" s="105"/>
      <c r="DI14" s="105"/>
      <c r="DJ14" s="79">
        <f t="shared" si="5"/>
        <v>1</v>
      </c>
      <c r="DK14" s="108"/>
      <c r="DL14" s="108"/>
      <c r="DM14" s="108"/>
      <c r="DN14" s="108"/>
      <c r="DO14" s="108"/>
      <c r="DP14" s="108"/>
      <c r="DQ14" s="108"/>
      <c r="DR14" s="108"/>
      <c r="DS14" s="108"/>
      <c r="DT14" s="108"/>
      <c r="DU14" s="108"/>
      <c r="DV14" s="108"/>
      <c r="DW14" s="108"/>
      <c r="DX14" s="108"/>
      <c r="DY14" s="108"/>
      <c r="DZ14" s="108"/>
      <c r="EA14" s="108">
        <v>0.84499999999999997</v>
      </c>
      <c r="EB14" s="108"/>
      <c r="EC14" s="108"/>
      <c r="ED14" s="108"/>
      <c r="EE14" s="108"/>
      <c r="EF14" s="108"/>
      <c r="EG14" s="108"/>
      <c r="EH14" s="129"/>
      <c r="EI14" s="129"/>
      <c r="EJ14" s="108"/>
      <c r="EK14" s="108"/>
      <c r="EL14" s="108"/>
      <c r="EM14" s="108"/>
      <c r="EN14" s="108"/>
      <c r="EO14" s="108"/>
      <c r="EP14" s="108"/>
      <c r="EQ14" s="108"/>
      <c r="ER14" s="108"/>
      <c r="ES14" s="106"/>
      <c r="ET14" s="106"/>
      <c r="EU14" s="106">
        <v>0.13</v>
      </c>
      <c r="EV14" s="106"/>
      <c r="EW14" s="106"/>
      <c r="EX14" s="106"/>
      <c r="EY14" s="106"/>
      <c r="EZ14" s="106"/>
      <c r="FA14" s="106">
        <v>5.0000000000000001E-3</v>
      </c>
      <c r="FB14" s="106"/>
      <c r="FC14" s="106"/>
      <c r="FD14" s="106"/>
      <c r="FE14" s="126"/>
      <c r="FF14" s="126"/>
      <c r="FG14" s="106"/>
      <c r="FH14" s="106"/>
      <c r="FI14" s="106"/>
      <c r="FJ14" s="106">
        <v>0.02</v>
      </c>
      <c r="FK14" s="17">
        <f t="shared" si="6"/>
        <v>1</v>
      </c>
      <c r="FL14" s="18"/>
      <c r="FM14" s="19">
        <f t="shared" si="119"/>
        <v>0</v>
      </c>
      <c r="FN14" s="19">
        <f t="shared" si="120"/>
        <v>0</v>
      </c>
      <c r="FO14" s="19">
        <f t="shared" si="121"/>
        <v>0</v>
      </c>
      <c r="FP14" s="19">
        <f t="shared" si="122"/>
        <v>0</v>
      </c>
      <c r="FQ14" s="19">
        <f t="shared" si="123"/>
        <v>0</v>
      </c>
      <c r="FR14" s="19">
        <f t="shared" si="124"/>
        <v>0</v>
      </c>
      <c r="FS14" s="19">
        <f t="shared" si="125"/>
        <v>0</v>
      </c>
      <c r="FT14" s="19">
        <f t="shared" si="126"/>
        <v>0</v>
      </c>
      <c r="FU14" s="19">
        <f t="shared" si="127"/>
        <v>0</v>
      </c>
      <c r="FV14" s="19">
        <f t="shared" si="128"/>
        <v>0</v>
      </c>
      <c r="FW14" s="19">
        <f t="shared" si="129"/>
        <v>0</v>
      </c>
      <c r="FX14" s="19">
        <f t="shared" si="130"/>
        <v>0</v>
      </c>
      <c r="FY14" s="19">
        <f t="shared" si="131"/>
        <v>0</v>
      </c>
      <c r="FZ14" s="19">
        <f t="shared" si="132"/>
        <v>0</v>
      </c>
      <c r="GA14" s="19">
        <f t="shared" si="133"/>
        <v>0</v>
      </c>
      <c r="GB14" s="19">
        <f t="shared" si="134"/>
        <v>0</v>
      </c>
      <c r="GC14" s="19">
        <f t="shared" si="135"/>
        <v>1.2675000000000001</v>
      </c>
      <c r="GD14" s="19">
        <f t="shared" si="136"/>
        <v>0</v>
      </c>
      <c r="GE14" s="19">
        <f t="shared" si="137"/>
        <v>0</v>
      </c>
      <c r="GF14" s="19">
        <f t="shared" si="138"/>
        <v>0</v>
      </c>
      <c r="GG14" s="19">
        <f t="shared" si="139"/>
        <v>0</v>
      </c>
      <c r="GH14" s="19">
        <f t="shared" si="140"/>
        <v>0</v>
      </c>
      <c r="GI14" s="19">
        <f t="shared" si="141"/>
        <v>0</v>
      </c>
      <c r="GJ14" s="19">
        <f t="shared" si="142"/>
        <v>0</v>
      </c>
      <c r="GK14" s="19">
        <f t="shared" si="143"/>
        <v>0</v>
      </c>
      <c r="GL14" s="19">
        <f t="shared" si="144"/>
        <v>0</v>
      </c>
      <c r="GM14" s="19">
        <f t="shared" si="145"/>
        <v>0</v>
      </c>
      <c r="GN14" s="19">
        <f t="shared" si="146"/>
        <v>0.75</v>
      </c>
      <c r="GO14" s="19">
        <f t="shared" si="147"/>
        <v>0.8</v>
      </c>
      <c r="GP14" s="19">
        <f t="shared" si="148"/>
        <v>0</v>
      </c>
      <c r="GQ14" s="19">
        <f t="shared" si="149"/>
        <v>0</v>
      </c>
      <c r="GR14" s="19">
        <f t="shared" si="150"/>
        <v>0</v>
      </c>
      <c r="GS14" s="19">
        <f t="shared" si="151"/>
        <v>0</v>
      </c>
      <c r="GT14" s="19">
        <f t="shared" si="152"/>
        <v>0</v>
      </c>
      <c r="GU14" s="19">
        <f t="shared" si="153"/>
        <v>0</v>
      </c>
      <c r="GV14" s="19">
        <f t="shared" si="154"/>
        <v>0</v>
      </c>
      <c r="GW14" s="19">
        <f t="shared" si="155"/>
        <v>0.19500000000000001</v>
      </c>
      <c r="GX14" s="19">
        <f t="shared" si="156"/>
        <v>0</v>
      </c>
      <c r="GY14" s="19">
        <f t="shared" si="157"/>
        <v>0</v>
      </c>
      <c r="GZ14" s="19">
        <f t="shared" si="158"/>
        <v>0</v>
      </c>
      <c r="HA14" s="19">
        <f t="shared" si="159"/>
        <v>0</v>
      </c>
      <c r="HB14" s="19">
        <f t="shared" si="160"/>
        <v>0</v>
      </c>
      <c r="HC14" s="19">
        <f t="shared" si="161"/>
        <v>7.4999999999999997E-3</v>
      </c>
      <c r="HD14" s="19">
        <f t="shared" si="162"/>
        <v>0</v>
      </c>
      <c r="HE14" s="19">
        <f t="shared" si="163"/>
        <v>0</v>
      </c>
      <c r="HF14" s="19">
        <f t="shared" si="164"/>
        <v>0</v>
      </c>
      <c r="HG14" s="19">
        <f t="shared" si="165"/>
        <v>1.95</v>
      </c>
      <c r="HH14" s="19">
        <f t="shared" si="166"/>
        <v>0</v>
      </c>
      <c r="HI14" s="19">
        <f t="shared" si="167"/>
        <v>0</v>
      </c>
      <c r="HJ14" s="19">
        <f t="shared" si="168"/>
        <v>0</v>
      </c>
      <c r="HK14" s="19">
        <f t="shared" si="169"/>
        <v>0</v>
      </c>
      <c r="HL14" s="19">
        <f t="shared" si="170"/>
        <v>0.03</v>
      </c>
      <c r="HM14" s="20">
        <f t="shared" si="171"/>
        <v>5</v>
      </c>
      <c r="HN14" s="53">
        <v>378</v>
      </c>
      <c r="HO14" s="21">
        <f t="shared" si="172"/>
        <v>0</v>
      </c>
      <c r="HP14" s="21">
        <f t="shared" si="173"/>
        <v>0</v>
      </c>
      <c r="HQ14" s="21">
        <f t="shared" si="174"/>
        <v>0</v>
      </c>
      <c r="HR14" s="21">
        <f t="shared" si="175"/>
        <v>0</v>
      </c>
      <c r="HS14" s="21">
        <f t="shared" si="176"/>
        <v>0</v>
      </c>
      <c r="HT14" s="69">
        <f t="shared" si="177"/>
        <v>0</v>
      </c>
      <c r="HU14" s="21">
        <f t="shared" si="178"/>
        <v>0</v>
      </c>
      <c r="HV14" s="21">
        <f t="shared" si="179"/>
        <v>0</v>
      </c>
      <c r="HW14" s="21">
        <f t="shared" si="180"/>
        <v>0</v>
      </c>
      <c r="HX14" s="21">
        <f t="shared" si="181"/>
        <v>0</v>
      </c>
      <c r="HY14" s="21">
        <f t="shared" si="182"/>
        <v>0</v>
      </c>
      <c r="HZ14" s="21">
        <f t="shared" si="183"/>
        <v>0</v>
      </c>
      <c r="IA14" s="21">
        <f t="shared" si="184"/>
        <v>0</v>
      </c>
      <c r="IB14" s="21">
        <f t="shared" si="185"/>
        <v>0</v>
      </c>
      <c r="IC14" s="21">
        <f t="shared" si="186"/>
        <v>0</v>
      </c>
      <c r="ID14" s="21">
        <f t="shared" si="187"/>
        <v>0</v>
      </c>
      <c r="IE14" s="21">
        <f t="shared" si="188"/>
        <v>95.823000000000008</v>
      </c>
      <c r="IF14" s="69">
        <f t="shared" si="189"/>
        <v>0</v>
      </c>
      <c r="IG14" s="69">
        <f t="shared" si="190"/>
        <v>0</v>
      </c>
      <c r="IH14" s="69">
        <f t="shared" si="191"/>
        <v>0</v>
      </c>
      <c r="II14" s="21">
        <f t="shared" si="192"/>
        <v>0</v>
      </c>
      <c r="IJ14" s="21">
        <f t="shared" si="193"/>
        <v>0</v>
      </c>
      <c r="IK14" s="21">
        <f t="shared" si="194"/>
        <v>0</v>
      </c>
      <c r="IL14" s="21">
        <f t="shared" si="195"/>
        <v>0</v>
      </c>
      <c r="IM14" s="21">
        <f t="shared" si="196"/>
        <v>0</v>
      </c>
      <c r="IN14" s="21">
        <f t="shared" si="197"/>
        <v>0</v>
      </c>
      <c r="IO14" s="21">
        <f t="shared" si="198"/>
        <v>0</v>
      </c>
      <c r="IP14" s="21">
        <f t="shared" si="199"/>
        <v>56.7</v>
      </c>
      <c r="IQ14" s="21">
        <f t="shared" si="200"/>
        <v>60.480000000000004</v>
      </c>
      <c r="IR14" s="21">
        <f t="shared" si="201"/>
        <v>0</v>
      </c>
      <c r="IS14" s="21">
        <f t="shared" si="202"/>
        <v>0</v>
      </c>
      <c r="IT14" s="21">
        <f t="shared" si="203"/>
        <v>0</v>
      </c>
      <c r="IU14" s="21">
        <f t="shared" si="204"/>
        <v>0</v>
      </c>
      <c r="IV14" s="21">
        <f t="shared" si="205"/>
        <v>0</v>
      </c>
      <c r="IW14" s="21">
        <f t="shared" si="206"/>
        <v>0</v>
      </c>
      <c r="IX14" s="21">
        <f t="shared" si="207"/>
        <v>0</v>
      </c>
      <c r="IY14" s="21">
        <f t="shared" si="208"/>
        <v>14.742000000000001</v>
      </c>
      <c r="IZ14" s="21">
        <f t="shared" si="209"/>
        <v>0</v>
      </c>
      <c r="JA14" s="21">
        <f t="shared" si="210"/>
        <v>0</v>
      </c>
      <c r="JB14" s="21">
        <f t="shared" si="211"/>
        <v>0</v>
      </c>
      <c r="JC14" s="21">
        <f t="shared" si="212"/>
        <v>0</v>
      </c>
      <c r="JD14" s="21">
        <f t="shared" si="213"/>
        <v>0</v>
      </c>
      <c r="JE14" s="21">
        <f t="shared" si="214"/>
        <v>0.56699999999999995</v>
      </c>
      <c r="JF14" s="21">
        <f t="shared" si="215"/>
        <v>0</v>
      </c>
      <c r="JG14" s="21">
        <f t="shared" si="216"/>
        <v>0</v>
      </c>
      <c r="JH14" s="21">
        <f t="shared" si="217"/>
        <v>0</v>
      </c>
      <c r="JI14" s="21">
        <f t="shared" si="218"/>
        <v>147.42000000000002</v>
      </c>
      <c r="JJ14" s="21">
        <f t="shared" si="219"/>
        <v>0</v>
      </c>
      <c r="JK14" s="21">
        <f t="shared" si="220"/>
        <v>0</v>
      </c>
      <c r="JL14" s="21">
        <f t="shared" si="221"/>
        <v>0</v>
      </c>
      <c r="JM14" s="21">
        <f t="shared" si="222"/>
        <v>0</v>
      </c>
      <c r="JN14" s="21">
        <f t="shared" si="223"/>
        <v>2.2679999999999998</v>
      </c>
      <c r="JO14" s="35">
        <f t="shared" si="110"/>
        <v>378.00000000000006</v>
      </c>
      <c r="JP14" s="38">
        <f t="shared" si="111"/>
        <v>0</v>
      </c>
      <c r="JQ14" s="43">
        <f t="shared" si="224"/>
        <v>0</v>
      </c>
      <c r="JR14" s="43">
        <f t="shared" si="225"/>
        <v>0</v>
      </c>
      <c r="JS14" s="43">
        <f t="shared" si="226"/>
        <v>0</v>
      </c>
      <c r="JT14" s="43">
        <f t="shared" si="227"/>
        <v>0</v>
      </c>
      <c r="JU14" s="43">
        <f t="shared" si="228"/>
        <v>0</v>
      </c>
      <c r="JV14" s="43">
        <f t="shared" si="229"/>
        <v>0</v>
      </c>
      <c r="JW14" s="43">
        <f t="shared" si="230"/>
        <v>0</v>
      </c>
      <c r="JX14" s="43">
        <f t="shared" si="231"/>
        <v>0</v>
      </c>
      <c r="JY14" s="43">
        <f t="shared" si="232"/>
        <v>0</v>
      </c>
      <c r="JZ14" s="43">
        <f t="shared" si="233"/>
        <v>0</v>
      </c>
      <c r="KA14" s="43">
        <f t="shared" si="234"/>
        <v>0</v>
      </c>
      <c r="KB14" s="43">
        <f t="shared" si="235"/>
        <v>0</v>
      </c>
      <c r="KC14" s="43">
        <f t="shared" si="236"/>
        <v>0</v>
      </c>
      <c r="KD14" s="43">
        <f t="shared" si="237"/>
        <v>0</v>
      </c>
      <c r="KE14" s="43">
        <f t="shared" si="238"/>
        <v>0</v>
      </c>
      <c r="KF14" s="43">
        <f t="shared" si="239"/>
        <v>0</v>
      </c>
      <c r="KG14" s="43">
        <f t="shared" si="240"/>
        <v>397.65826424290913</v>
      </c>
      <c r="KH14" s="43">
        <f t="shared" si="241"/>
        <v>0</v>
      </c>
      <c r="KI14" s="43">
        <f t="shared" si="242"/>
        <v>0</v>
      </c>
      <c r="KJ14" s="43">
        <f t="shared" si="243"/>
        <v>0</v>
      </c>
      <c r="KK14" s="43">
        <f t="shared" si="244"/>
        <v>0</v>
      </c>
      <c r="KL14" s="43">
        <f t="shared" si="245"/>
        <v>0</v>
      </c>
      <c r="KM14" s="43">
        <f t="shared" si="246"/>
        <v>0</v>
      </c>
      <c r="KN14" s="43">
        <f t="shared" si="247"/>
        <v>0</v>
      </c>
      <c r="KO14" s="43">
        <f t="shared" si="248"/>
        <v>0</v>
      </c>
      <c r="KP14" s="43">
        <f t="shared" si="249"/>
        <v>0</v>
      </c>
      <c r="KQ14" s="43">
        <f t="shared" si="250"/>
        <v>0</v>
      </c>
      <c r="KR14" s="43">
        <f t="shared" si="251"/>
        <v>218.86199999999999</v>
      </c>
      <c r="KS14" s="43">
        <f t="shared" si="252"/>
        <v>206.80113826909093</v>
      </c>
      <c r="KT14" s="43">
        <f t="shared" si="253"/>
        <v>0</v>
      </c>
      <c r="KU14" s="43">
        <f t="shared" si="254"/>
        <v>0</v>
      </c>
      <c r="KV14" s="43">
        <f t="shared" si="255"/>
        <v>0</v>
      </c>
      <c r="KW14" s="43">
        <f t="shared" si="256"/>
        <v>0</v>
      </c>
      <c r="KX14" s="43">
        <f t="shared" si="257"/>
        <v>0</v>
      </c>
      <c r="KY14" s="43">
        <f t="shared" si="258"/>
        <v>0</v>
      </c>
      <c r="KZ14" s="43">
        <f t="shared" si="259"/>
        <v>0</v>
      </c>
      <c r="LA14" s="43">
        <f t="shared" si="260"/>
        <v>59.068835279999995</v>
      </c>
      <c r="LB14" s="43">
        <f t="shared" si="261"/>
        <v>0</v>
      </c>
      <c r="LC14" s="43">
        <f t="shared" si="262"/>
        <v>0</v>
      </c>
      <c r="LD14" s="43">
        <f t="shared" si="263"/>
        <v>0</v>
      </c>
      <c r="LE14" s="43">
        <f t="shared" si="264"/>
        <v>0</v>
      </c>
      <c r="LF14" s="43">
        <f t="shared" si="265"/>
        <v>0</v>
      </c>
      <c r="LG14" s="43">
        <f t="shared" si="266"/>
        <v>5.8514399999999993</v>
      </c>
      <c r="LH14" s="43">
        <f t="shared" si="267"/>
        <v>0</v>
      </c>
      <c r="LI14" s="43">
        <f t="shared" si="268"/>
        <v>0</v>
      </c>
      <c r="LJ14" s="43">
        <f t="shared" si="269"/>
        <v>0</v>
      </c>
      <c r="LK14" s="43">
        <f t="shared" si="270"/>
        <v>590.52766500000007</v>
      </c>
      <c r="LL14" s="43">
        <f t="shared" si="271"/>
        <v>0</v>
      </c>
      <c r="LM14" s="43">
        <f t="shared" si="272"/>
        <v>0</v>
      </c>
      <c r="LN14" s="43">
        <f t="shared" si="273"/>
        <v>0</v>
      </c>
      <c r="LO14" s="43">
        <f t="shared" si="274"/>
        <v>0</v>
      </c>
      <c r="LP14" s="43">
        <f t="shared" si="275"/>
        <v>19.164599999999997</v>
      </c>
      <c r="LQ14" s="28">
        <f t="shared" si="113"/>
        <v>1497.9339427920004</v>
      </c>
      <c r="LR14" s="65">
        <v>330</v>
      </c>
      <c r="LS14" s="32">
        <f t="shared" si="114"/>
        <v>4.539193766036365</v>
      </c>
      <c r="LT14" s="26">
        <f t="shared" si="115"/>
        <v>1.24021687596622</v>
      </c>
      <c r="LU14" s="31">
        <f t="shared" si="116"/>
        <v>48</v>
      </c>
      <c r="LW14" s="42"/>
      <c r="MA14" s="32">
        <f t="shared" si="117"/>
        <v>3.962788208444445</v>
      </c>
      <c r="MB14" s="26">
        <f t="shared" si="118"/>
        <v>1.082729018700668</v>
      </c>
    </row>
    <row r="15" spans="1:340" ht="15.75" thickBot="1">
      <c r="A15" t="b">
        <f t="shared" si="3"/>
        <v>1</v>
      </c>
      <c r="B15" s="123" t="s">
        <v>133</v>
      </c>
      <c r="C15" s="39" t="s">
        <v>134</v>
      </c>
      <c r="D15"/>
      <c r="E15" s="97">
        <v>46024</v>
      </c>
      <c r="F15" t="s">
        <v>43</v>
      </c>
      <c r="G15" t="s">
        <v>20</v>
      </c>
      <c r="H15" t="s">
        <v>27</v>
      </c>
      <c r="I15" s="77"/>
      <c r="J15" s="77"/>
      <c r="K15" s="77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24"/>
      <c r="AG15" s="124"/>
      <c r="AH15" s="104"/>
      <c r="AI15" s="104"/>
      <c r="AJ15" s="104">
        <v>0.3</v>
      </c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24">
        <v>0.7</v>
      </c>
      <c r="BD15" s="124"/>
      <c r="BE15" s="104"/>
      <c r="BF15" s="104"/>
      <c r="BG15" s="104"/>
      <c r="BH15" s="104"/>
      <c r="BI15" s="78">
        <f t="shared" si="4"/>
        <v>1</v>
      </c>
      <c r="BJ15" s="105"/>
      <c r="BK15" s="105"/>
      <c r="BL15" s="105"/>
      <c r="BM15" s="105"/>
      <c r="BN15" s="105"/>
      <c r="BO15" s="105"/>
      <c r="BP15" s="105"/>
      <c r="BQ15" s="105"/>
      <c r="BR15" s="105"/>
      <c r="BS15" s="105"/>
      <c r="BT15" s="105"/>
      <c r="BU15" s="105"/>
      <c r="BV15" s="105"/>
      <c r="BW15" s="105"/>
      <c r="BX15" s="105">
        <v>0.35</v>
      </c>
      <c r="BY15" s="105"/>
      <c r="BZ15" s="105"/>
      <c r="CA15" s="105"/>
      <c r="CB15" s="105"/>
      <c r="CC15" s="105"/>
      <c r="CD15" s="105"/>
      <c r="CE15" s="105"/>
      <c r="CF15" s="120"/>
      <c r="CG15" s="128"/>
      <c r="CH15" s="128"/>
      <c r="CI15" s="105"/>
      <c r="CJ15" s="105"/>
      <c r="CK15" s="105"/>
      <c r="CL15" s="105">
        <v>0.3</v>
      </c>
      <c r="CM15" s="105"/>
      <c r="CN15" s="105"/>
      <c r="CO15" s="105"/>
      <c r="CP15" s="105"/>
      <c r="CQ15" s="105"/>
      <c r="CR15" s="105"/>
      <c r="CS15" s="105"/>
      <c r="CT15" s="105"/>
      <c r="CU15" s="105"/>
      <c r="CV15" s="105"/>
      <c r="CW15" s="105"/>
      <c r="CX15" s="105"/>
      <c r="CY15" s="105"/>
      <c r="CZ15" s="105"/>
      <c r="DA15" s="105"/>
      <c r="DB15" s="105"/>
      <c r="DC15" s="105"/>
      <c r="DD15" s="125">
        <v>0.35</v>
      </c>
      <c r="DE15" s="125"/>
      <c r="DF15" s="105"/>
      <c r="DG15" s="105"/>
      <c r="DH15" s="105"/>
      <c r="DI15" s="105"/>
      <c r="DJ15" s="79">
        <f t="shared" si="5"/>
        <v>0.99999999999999989</v>
      </c>
      <c r="DK15" s="108"/>
      <c r="DL15" s="108"/>
      <c r="DM15" s="108"/>
      <c r="DN15" s="108"/>
      <c r="DO15" s="108"/>
      <c r="DP15" s="108"/>
      <c r="DQ15" s="108"/>
      <c r="DR15" s="108"/>
      <c r="DS15" s="108"/>
      <c r="DT15" s="108"/>
      <c r="DU15" s="108"/>
      <c r="DV15" s="108"/>
      <c r="DW15" s="108"/>
      <c r="DX15" s="108"/>
      <c r="DY15" s="108"/>
      <c r="DZ15" s="108"/>
      <c r="EA15" s="108">
        <v>0.92</v>
      </c>
      <c r="EB15" s="108"/>
      <c r="EC15" s="108"/>
      <c r="ED15" s="108"/>
      <c r="EE15" s="108"/>
      <c r="EF15" s="108"/>
      <c r="EG15" s="108"/>
      <c r="EH15" s="129"/>
      <c r="EI15" s="129"/>
      <c r="EJ15" s="108"/>
      <c r="EK15" s="108"/>
      <c r="EL15" s="108"/>
      <c r="EM15" s="108"/>
      <c r="EN15" s="108"/>
      <c r="EO15" s="108"/>
      <c r="EP15" s="108"/>
      <c r="EQ15" s="108"/>
      <c r="ER15" s="108"/>
      <c r="ES15" s="106"/>
      <c r="ET15" s="106"/>
      <c r="EU15" s="106">
        <v>0.06</v>
      </c>
      <c r="EV15" s="106"/>
      <c r="EW15" s="106"/>
      <c r="EX15" s="106"/>
      <c r="EY15" s="106"/>
      <c r="EZ15" s="106"/>
      <c r="FA15" s="106"/>
      <c r="FB15" s="106"/>
      <c r="FC15" s="106"/>
      <c r="FD15" s="106"/>
      <c r="FE15" s="126"/>
      <c r="FF15" s="126"/>
      <c r="FG15" s="106"/>
      <c r="FH15" s="106"/>
      <c r="FI15" s="106"/>
      <c r="FJ15" s="106">
        <v>0.02</v>
      </c>
      <c r="FK15" s="17">
        <f t="shared" si="6"/>
        <v>1</v>
      </c>
      <c r="FL15" s="18"/>
      <c r="FM15" s="19">
        <f t="shared" si="119"/>
        <v>0</v>
      </c>
      <c r="FN15" s="19">
        <f t="shared" si="120"/>
        <v>0</v>
      </c>
      <c r="FO15" s="19">
        <f t="shared" si="121"/>
        <v>0</v>
      </c>
      <c r="FP15" s="19">
        <f t="shared" si="122"/>
        <v>0</v>
      </c>
      <c r="FQ15" s="19">
        <f t="shared" si="123"/>
        <v>0</v>
      </c>
      <c r="FR15" s="19">
        <f t="shared" si="124"/>
        <v>0</v>
      </c>
      <c r="FS15" s="19">
        <f t="shared" si="125"/>
        <v>0</v>
      </c>
      <c r="FT15" s="19">
        <f t="shared" si="126"/>
        <v>0</v>
      </c>
      <c r="FU15" s="19">
        <f t="shared" si="127"/>
        <v>0</v>
      </c>
      <c r="FV15" s="19">
        <f t="shared" si="128"/>
        <v>0</v>
      </c>
      <c r="FW15" s="19">
        <f t="shared" si="129"/>
        <v>0</v>
      </c>
      <c r="FX15" s="19">
        <f t="shared" si="130"/>
        <v>0</v>
      </c>
      <c r="FY15" s="19">
        <f t="shared" si="131"/>
        <v>0</v>
      </c>
      <c r="FZ15" s="19">
        <f t="shared" si="132"/>
        <v>0</v>
      </c>
      <c r="GA15" s="19">
        <f t="shared" si="133"/>
        <v>0.7</v>
      </c>
      <c r="GB15" s="19">
        <f t="shared" si="134"/>
        <v>0</v>
      </c>
      <c r="GC15" s="19">
        <f t="shared" si="135"/>
        <v>1.3800000000000001</v>
      </c>
      <c r="GD15" s="19">
        <f t="shared" si="136"/>
        <v>0</v>
      </c>
      <c r="GE15" s="19">
        <f t="shared" si="137"/>
        <v>0</v>
      </c>
      <c r="GF15" s="19">
        <f t="shared" si="138"/>
        <v>0</v>
      </c>
      <c r="GG15" s="19">
        <f t="shared" si="139"/>
        <v>0</v>
      </c>
      <c r="GH15" s="19">
        <f t="shared" si="140"/>
        <v>0</v>
      </c>
      <c r="GI15" s="19">
        <f t="shared" si="141"/>
        <v>0</v>
      </c>
      <c r="GJ15" s="19">
        <f t="shared" si="142"/>
        <v>0</v>
      </c>
      <c r="GK15" s="19">
        <f t="shared" si="143"/>
        <v>0</v>
      </c>
      <c r="GL15" s="19">
        <f t="shared" si="144"/>
        <v>0</v>
      </c>
      <c r="GM15" s="19">
        <f t="shared" si="145"/>
        <v>0</v>
      </c>
      <c r="GN15" s="19">
        <f t="shared" si="146"/>
        <v>0.44999999999999996</v>
      </c>
      <c r="GO15" s="19">
        <f t="shared" si="147"/>
        <v>0.6</v>
      </c>
      <c r="GP15" s="19">
        <f t="shared" si="148"/>
        <v>0</v>
      </c>
      <c r="GQ15" s="19">
        <f t="shared" si="149"/>
        <v>0</v>
      </c>
      <c r="GR15" s="19">
        <f t="shared" si="150"/>
        <v>0</v>
      </c>
      <c r="GS15" s="19">
        <f t="shared" si="151"/>
        <v>0</v>
      </c>
      <c r="GT15" s="19">
        <f t="shared" si="152"/>
        <v>0</v>
      </c>
      <c r="GU15" s="19">
        <f t="shared" si="153"/>
        <v>0</v>
      </c>
      <c r="GV15" s="19">
        <f t="shared" si="154"/>
        <v>0</v>
      </c>
      <c r="GW15" s="19">
        <f t="shared" si="155"/>
        <v>0.09</v>
      </c>
      <c r="GX15" s="19">
        <f t="shared" si="156"/>
        <v>0</v>
      </c>
      <c r="GY15" s="19">
        <f t="shared" si="157"/>
        <v>0</v>
      </c>
      <c r="GZ15" s="19">
        <f t="shared" si="158"/>
        <v>0</v>
      </c>
      <c r="HA15" s="19">
        <f t="shared" si="159"/>
        <v>0</v>
      </c>
      <c r="HB15" s="19">
        <f t="shared" si="160"/>
        <v>0</v>
      </c>
      <c r="HC15" s="19">
        <f t="shared" si="161"/>
        <v>0</v>
      </c>
      <c r="HD15" s="19">
        <f t="shared" si="162"/>
        <v>0</v>
      </c>
      <c r="HE15" s="19">
        <f t="shared" si="163"/>
        <v>0</v>
      </c>
      <c r="HF15" s="19">
        <f t="shared" si="164"/>
        <v>0</v>
      </c>
      <c r="HG15" s="19">
        <f t="shared" si="165"/>
        <v>1.7499999999999998</v>
      </c>
      <c r="HH15" s="19">
        <f t="shared" si="166"/>
        <v>0</v>
      </c>
      <c r="HI15" s="19">
        <f t="shared" si="167"/>
        <v>0</v>
      </c>
      <c r="HJ15" s="19">
        <f t="shared" si="168"/>
        <v>0</v>
      </c>
      <c r="HK15" s="19">
        <f t="shared" si="169"/>
        <v>0</v>
      </c>
      <c r="HL15" s="19">
        <f t="shared" si="170"/>
        <v>0.03</v>
      </c>
      <c r="HM15" s="20">
        <f t="shared" si="171"/>
        <v>5</v>
      </c>
      <c r="HN15" s="53">
        <v>470</v>
      </c>
      <c r="HO15" s="21">
        <f t="shared" si="172"/>
        <v>0</v>
      </c>
      <c r="HP15" s="21">
        <f t="shared" si="173"/>
        <v>0</v>
      </c>
      <c r="HQ15" s="21">
        <f t="shared" si="174"/>
        <v>0</v>
      </c>
      <c r="HR15" s="21">
        <f t="shared" si="175"/>
        <v>0</v>
      </c>
      <c r="HS15" s="21">
        <f t="shared" si="176"/>
        <v>0</v>
      </c>
      <c r="HT15" s="69">
        <f t="shared" si="177"/>
        <v>0</v>
      </c>
      <c r="HU15" s="21">
        <f t="shared" si="178"/>
        <v>0</v>
      </c>
      <c r="HV15" s="21">
        <f t="shared" si="179"/>
        <v>0</v>
      </c>
      <c r="HW15" s="21">
        <f t="shared" si="180"/>
        <v>0</v>
      </c>
      <c r="HX15" s="21">
        <f t="shared" si="181"/>
        <v>0</v>
      </c>
      <c r="HY15" s="21">
        <f t="shared" si="182"/>
        <v>0</v>
      </c>
      <c r="HZ15" s="21">
        <f t="shared" si="183"/>
        <v>0</v>
      </c>
      <c r="IA15" s="21">
        <f t="shared" si="184"/>
        <v>0</v>
      </c>
      <c r="IB15" s="21">
        <f t="shared" si="185"/>
        <v>0</v>
      </c>
      <c r="IC15" s="21">
        <f t="shared" si="186"/>
        <v>65.8</v>
      </c>
      <c r="ID15" s="21">
        <f t="shared" si="187"/>
        <v>0</v>
      </c>
      <c r="IE15" s="21">
        <f t="shared" si="188"/>
        <v>129.72</v>
      </c>
      <c r="IF15" s="69">
        <f t="shared" si="189"/>
        <v>0</v>
      </c>
      <c r="IG15" s="69">
        <f t="shared" si="190"/>
        <v>0</v>
      </c>
      <c r="IH15" s="69">
        <f t="shared" si="191"/>
        <v>0</v>
      </c>
      <c r="II15" s="21">
        <f t="shared" si="192"/>
        <v>0</v>
      </c>
      <c r="IJ15" s="21">
        <f t="shared" si="193"/>
        <v>0</v>
      </c>
      <c r="IK15" s="21">
        <f t="shared" si="194"/>
        <v>0</v>
      </c>
      <c r="IL15" s="21">
        <f t="shared" si="195"/>
        <v>0</v>
      </c>
      <c r="IM15" s="21">
        <f t="shared" si="196"/>
        <v>0</v>
      </c>
      <c r="IN15" s="21">
        <f t="shared" si="197"/>
        <v>0</v>
      </c>
      <c r="IO15" s="21">
        <f t="shared" si="198"/>
        <v>0</v>
      </c>
      <c r="IP15" s="21">
        <f t="shared" si="199"/>
        <v>42.3</v>
      </c>
      <c r="IQ15" s="21">
        <f t="shared" si="200"/>
        <v>56.4</v>
      </c>
      <c r="IR15" s="21">
        <f t="shared" si="201"/>
        <v>0</v>
      </c>
      <c r="IS15" s="21">
        <f t="shared" si="202"/>
        <v>0</v>
      </c>
      <c r="IT15" s="21">
        <f t="shared" si="203"/>
        <v>0</v>
      </c>
      <c r="IU15" s="21">
        <f t="shared" si="204"/>
        <v>0</v>
      </c>
      <c r="IV15" s="21">
        <f t="shared" si="205"/>
        <v>0</v>
      </c>
      <c r="IW15" s="21">
        <f t="shared" si="206"/>
        <v>0</v>
      </c>
      <c r="IX15" s="21">
        <f t="shared" si="207"/>
        <v>0</v>
      </c>
      <c r="IY15" s="21">
        <f t="shared" si="208"/>
        <v>8.4599999999999991</v>
      </c>
      <c r="IZ15" s="21">
        <f t="shared" si="209"/>
        <v>0</v>
      </c>
      <c r="JA15" s="21">
        <f t="shared" si="210"/>
        <v>0</v>
      </c>
      <c r="JB15" s="21">
        <f t="shared" si="211"/>
        <v>0</v>
      </c>
      <c r="JC15" s="21">
        <f t="shared" si="212"/>
        <v>0</v>
      </c>
      <c r="JD15" s="21">
        <f t="shared" si="213"/>
        <v>0</v>
      </c>
      <c r="JE15" s="21">
        <f t="shared" si="214"/>
        <v>0</v>
      </c>
      <c r="JF15" s="21">
        <f t="shared" si="215"/>
        <v>0</v>
      </c>
      <c r="JG15" s="21">
        <f t="shared" si="216"/>
        <v>0</v>
      </c>
      <c r="JH15" s="21">
        <f t="shared" si="217"/>
        <v>0</v>
      </c>
      <c r="JI15" s="21">
        <f t="shared" si="218"/>
        <v>164.49999999999997</v>
      </c>
      <c r="JJ15" s="21">
        <f t="shared" si="219"/>
        <v>0</v>
      </c>
      <c r="JK15" s="21">
        <f t="shared" si="220"/>
        <v>0</v>
      </c>
      <c r="JL15" s="21">
        <f t="shared" si="221"/>
        <v>0</v>
      </c>
      <c r="JM15" s="21">
        <f t="shared" si="222"/>
        <v>0</v>
      </c>
      <c r="JN15" s="21">
        <f t="shared" si="223"/>
        <v>2.82</v>
      </c>
      <c r="JO15" s="35">
        <f t="shared" si="110"/>
        <v>469.99999999999994</v>
      </c>
      <c r="JP15" s="38">
        <f t="shared" si="111"/>
        <v>0</v>
      </c>
      <c r="JQ15" s="43">
        <f t="shared" si="224"/>
        <v>0</v>
      </c>
      <c r="JR15" s="43">
        <f t="shared" si="225"/>
        <v>0</v>
      </c>
      <c r="JS15" s="43">
        <f t="shared" si="226"/>
        <v>0</v>
      </c>
      <c r="JT15" s="43">
        <f t="shared" si="227"/>
        <v>0</v>
      </c>
      <c r="JU15" s="43">
        <f t="shared" si="228"/>
        <v>0</v>
      </c>
      <c r="JV15" s="43">
        <f t="shared" si="229"/>
        <v>0</v>
      </c>
      <c r="JW15" s="43">
        <f t="shared" si="230"/>
        <v>0</v>
      </c>
      <c r="JX15" s="43">
        <f t="shared" si="231"/>
        <v>0</v>
      </c>
      <c r="JY15" s="43">
        <f t="shared" si="232"/>
        <v>0</v>
      </c>
      <c r="JZ15" s="43">
        <f t="shared" si="233"/>
        <v>0</v>
      </c>
      <c r="KA15" s="43">
        <f t="shared" si="234"/>
        <v>0</v>
      </c>
      <c r="KB15" s="43">
        <f t="shared" si="235"/>
        <v>0</v>
      </c>
      <c r="KC15" s="43">
        <f t="shared" si="236"/>
        <v>0</v>
      </c>
      <c r="KD15" s="43">
        <f t="shared" si="237"/>
        <v>0</v>
      </c>
      <c r="KE15" s="43">
        <f t="shared" si="238"/>
        <v>268.2320543353535</v>
      </c>
      <c r="KF15" s="43">
        <f t="shared" si="239"/>
        <v>0</v>
      </c>
      <c r="KG15" s="43">
        <f t="shared" si="240"/>
        <v>538.32827231030308</v>
      </c>
      <c r="KH15" s="43">
        <f t="shared" si="241"/>
        <v>0</v>
      </c>
      <c r="KI15" s="43">
        <f t="shared" si="242"/>
        <v>0</v>
      </c>
      <c r="KJ15" s="43">
        <f t="shared" si="243"/>
        <v>0</v>
      </c>
      <c r="KK15" s="43">
        <f t="shared" si="244"/>
        <v>0</v>
      </c>
      <c r="KL15" s="43">
        <f t="shared" si="245"/>
        <v>0</v>
      </c>
      <c r="KM15" s="43">
        <f t="shared" si="246"/>
        <v>0</v>
      </c>
      <c r="KN15" s="43">
        <f t="shared" si="247"/>
        <v>0</v>
      </c>
      <c r="KO15" s="43">
        <f t="shared" si="248"/>
        <v>0</v>
      </c>
      <c r="KP15" s="43">
        <f t="shared" si="249"/>
        <v>0</v>
      </c>
      <c r="KQ15" s="43">
        <f t="shared" si="250"/>
        <v>0</v>
      </c>
      <c r="KR15" s="43">
        <f t="shared" si="251"/>
        <v>163.27799999999999</v>
      </c>
      <c r="KS15" s="43">
        <f t="shared" si="252"/>
        <v>192.85026783030301</v>
      </c>
      <c r="KT15" s="43">
        <f t="shared" si="253"/>
        <v>0</v>
      </c>
      <c r="KU15" s="43">
        <f t="shared" si="254"/>
        <v>0</v>
      </c>
      <c r="KV15" s="43">
        <f t="shared" si="255"/>
        <v>0</v>
      </c>
      <c r="KW15" s="43">
        <f t="shared" si="256"/>
        <v>0</v>
      </c>
      <c r="KX15" s="43">
        <f t="shared" si="257"/>
        <v>0</v>
      </c>
      <c r="KY15" s="43">
        <f t="shared" si="258"/>
        <v>0</v>
      </c>
      <c r="KZ15" s="43">
        <f t="shared" si="259"/>
        <v>0</v>
      </c>
      <c r="LA15" s="43">
        <f t="shared" si="260"/>
        <v>33.897866399999991</v>
      </c>
      <c r="LB15" s="43">
        <f t="shared" si="261"/>
        <v>0</v>
      </c>
      <c r="LC15" s="43">
        <f t="shared" si="262"/>
        <v>0</v>
      </c>
      <c r="LD15" s="43">
        <f t="shared" si="263"/>
        <v>0</v>
      </c>
      <c r="LE15" s="43">
        <f t="shared" si="264"/>
        <v>0</v>
      </c>
      <c r="LF15" s="43">
        <f t="shared" si="265"/>
        <v>0</v>
      </c>
      <c r="LG15" s="43">
        <f t="shared" si="266"/>
        <v>0</v>
      </c>
      <c r="LH15" s="43">
        <f t="shared" si="267"/>
        <v>0</v>
      </c>
      <c r="LI15" s="43">
        <f t="shared" si="268"/>
        <v>0</v>
      </c>
      <c r="LJ15" s="43">
        <f t="shared" si="269"/>
        <v>0</v>
      </c>
      <c r="LK15" s="43">
        <f t="shared" si="270"/>
        <v>658.94587499999989</v>
      </c>
      <c r="LL15" s="43">
        <f t="shared" si="271"/>
        <v>0</v>
      </c>
      <c r="LM15" s="43">
        <f t="shared" si="272"/>
        <v>0</v>
      </c>
      <c r="LN15" s="43">
        <f t="shared" si="273"/>
        <v>0</v>
      </c>
      <c r="LO15" s="43">
        <f t="shared" si="274"/>
        <v>0</v>
      </c>
      <c r="LP15" s="43">
        <f t="shared" si="275"/>
        <v>23.828999999999997</v>
      </c>
      <c r="LQ15" s="28">
        <f t="shared" si="113"/>
        <v>1879.3613358759594</v>
      </c>
      <c r="LR15" s="65">
        <v>422</v>
      </c>
      <c r="LS15" s="32">
        <f t="shared" si="114"/>
        <v>4.4534628812226522</v>
      </c>
      <c r="LT15" s="26">
        <f t="shared" si="115"/>
        <v>1.2167931369460798</v>
      </c>
      <c r="LU15" s="31">
        <f t="shared" si="116"/>
        <v>48</v>
      </c>
      <c r="LW15" s="42"/>
      <c r="MA15" s="32">
        <f t="shared" si="117"/>
        <v>3.9986411401616162</v>
      </c>
      <c r="MB15" s="26">
        <f t="shared" si="118"/>
        <v>1.0925249016835017</v>
      </c>
    </row>
    <row r="16" spans="1:340" ht="15.75" thickBot="1">
      <c r="A16" t="b">
        <f t="shared" si="3"/>
        <v>1</v>
      </c>
      <c r="B16" s="123" t="s">
        <v>135</v>
      </c>
      <c r="C16" s="39" t="s">
        <v>136</v>
      </c>
      <c r="D16"/>
      <c r="E16" s="97">
        <v>46024</v>
      </c>
      <c r="F16" t="s">
        <v>43</v>
      </c>
      <c r="G16" t="s">
        <v>20</v>
      </c>
      <c r="H16" t="s">
        <v>27</v>
      </c>
      <c r="I16" s="77"/>
      <c r="J16" s="77"/>
      <c r="K16" s="77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24"/>
      <c r="AG16" s="124"/>
      <c r="AH16" s="104"/>
      <c r="AI16" s="104"/>
      <c r="AJ16" s="104">
        <v>0.3</v>
      </c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24">
        <v>0.7</v>
      </c>
      <c r="BD16" s="124"/>
      <c r="BE16" s="104"/>
      <c r="BF16" s="104"/>
      <c r="BG16" s="104"/>
      <c r="BH16" s="104"/>
      <c r="BI16" s="78">
        <f t="shared" si="4"/>
        <v>1</v>
      </c>
      <c r="BJ16" s="105"/>
      <c r="BK16" s="105"/>
      <c r="BL16" s="105"/>
      <c r="BM16" s="105"/>
      <c r="BN16" s="105"/>
      <c r="BO16" s="105"/>
      <c r="BP16" s="105"/>
      <c r="BQ16" s="105"/>
      <c r="BR16" s="105"/>
      <c r="BS16" s="105"/>
      <c r="BT16" s="105"/>
      <c r="BU16" s="105"/>
      <c r="BV16" s="105"/>
      <c r="BW16" s="105"/>
      <c r="BX16" s="105">
        <v>0.2</v>
      </c>
      <c r="BY16" s="105"/>
      <c r="BZ16" s="105"/>
      <c r="CA16" s="105"/>
      <c r="CB16" s="105"/>
      <c r="CC16" s="105"/>
      <c r="CD16" s="105"/>
      <c r="CE16" s="105"/>
      <c r="CF16" s="120"/>
      <c r="CG16" s="128"/>
      <c r="CH16" s="128"/>
      <c r="CI16" s="105"/>
      <c r="CJ16" s="105"/>
      <c r="CK16" s="105"/>
      <c r="CL16" s="105">
        <v>0.3</v>
      </c>
      <c r="CM16" s="105"/>
      <c r="CN16" s="105"/>
      <c r="CO16" s="105"/>
      <c r="CP16" s="105"/>
      <c r="CQ16" s="105"/>
      <c r="CR16" s="105"/>
      <c r="CS16" s="105"/>
      <c r="CT16" s="105"/>
      <c r="CU16" s="105"/>
      <c r="CV16" s="105"/>
      <c r="CW16" s="105"/>
      <c r="CX16" s="105"/>
      <c r="CY16" s="105"/>
      <c r="CZ16" s="105"/>
      <c r="DA16" s="105"/>
      <c r="DB16" s="105"/>
      <c r="DC16" s="105"/>
      <c r="DD16" s="125">
        <v>0.5</v>
      </c>
      <c r="DE16" s="125"/>
      <c r="DF16" s="105"/>
      <c r="DG16" s="105"/>
      <c r="DH16" s="105"/>
      <c r="DI16" s="105"/>
      <c r="DJ16" s="79">
        <f t="shared" si="5"/>
        <v>1</v>
      </c>
      <c r="DK16" s="108"/>
      <c r="DL16" s="108"/>
      <c r="DM16" s="108"/>
      <c r="DN16" s="108"/>
      <c r="DO16" s="108"/>
      <c r="DP16" s="108"/>
      <c r="DQ16" s="108"/>
      <c r="DR16" s="108"/>
      <c r="DS16" s="108"/>
      <c r="DT16" s="108"/>
      <c r="DU16" s="108"/>
      <c r="DV16" s="108"/>
      <c r="DW16" s="108"/>
      <c r="DX16" s="108"/>
      <c r="DY16" s="108"/>
      <c r="DZ16" s="108"/>
      <c r="EA16" s="108">
        <v>0.85</v>
      </c>
      <c r="EB16" s="108"/>
      <c r="EC16" s="108"/>
      <c r="ED16" s="108"/>
      <c r="EE16" s="108"/>
      <c r="EF16" s="108"/>
      <c r="EG16" s="108"/>
      <c r="EH16" s="129"/>
      <c r="EI16" s="129"/>
      <c r="EJ16" s="108"/>
      <c r="EK16" s="108"/>
      <c r="EL16" s="108"/>
      <c r="EM16" s="108"/>
      <c r="EN16" s="108"/>
      <c r="EO16" s="108"/>
      <c r="EP16" s="108"/>
      <c r="EQ16" s="108"/>
      <c r="ER16" s="108"/>
      <c r="ES16" s="106"/>
      <c r="ET16" s="106"/>
      <c r="EU16" s="106">
        <v>0.13</v>
      </c>
      <c r="EV16" s="106"/>
      <c r="EW16" s="106"/>
      <c r="EX16" s="106"/>
      <c r="EY16" s="106"/>
      <c r="EZ16" s="106"/>
      <c r="FA16" s="106"/>
      <c r="FB16" s="106"/>
      <c r="FC16" s="106"/>
      <c r="FD16" s="106"/>
      <c r="FE16" s="126"/>
      <c r="FF16" s="126"/>
      <c r="FG16" s="106"/>
      <c r="FH16" s="106"/>
      <c r="FI16" s="106"/>
      <c r="FJ16" s="106">
        <v>0.02</v>
      </c>
      <c r="FK16" s="17">
        <f t="shared" si="6"/>
        <v>1</v>
      </c>
      <c r="FL16" s="18"/>
      <c r="FM16" s="19">
        <f t="shared" si="119"/>
        <v>0</v>
      </c>
      <c r="FN16" s="19">
        <f t="shared" si="120"/>
        <v>0</v>
      </c>
      <c r="FO16" s="19">
        <f t="shared" si="121"/>
        <v>0</v>
      </c>
      <c r="FP16" s="19">
        <f t="shared" si="122"/>
        <v>0</v>
      </c>
      <c r="FQ16" s="19">
        <f t="shared" si="123"/>
        <v>0</v>
      </c>
      <c r="FR16" s="19">
        <f t="shared" si="124"/>
        <v>0</v>
      </c>
      <c r="FS16" s="19">
        <f t="shared" si="125"/>
        <v>0</v>
      </c>
      <c r="FT16" s="19">
        <f t="shared" si="126"/>
        <v>0</v>
      </c>
      <c r="FU16" s="19">
        <f t="shared" si="127"/>
        <v>0</v>
      </c>
      <c r="FV16" s="19">
        <f t="shared" si="128"/>
        <v>0</v>
      </c>
      <c r="FW16" s="19">
        <f t="shared" si="129"/>
        <v>0</v>
      </c>
      <c r="FX16" s="19">
        <f t="shared" si="130"/>
        <v>0</v>
      </c>
      <c r="FY16" s="19">
        <f t="shared" si="131"/>
        <v>0</v>
      </c>
      <c r="FZ16" s="19">
        <f t="shared" si="132"/>
        <v>0</v>
      </c>
      <c r="GA16" s="19">
        <f t="shared" si="133"/>
        <v>0.4</v>
      </c>
      <c r="GB16" s="19">
        <f t="shared" si="134"/>
        <v>0</v>
      </c>
      <c r="GC16" s="19">
        <f t="shared" si="135"/>
        <v>1.2749999999999999</v>
      </c>
      <c r="GD16" s="19">
        <f t="shared" si="136"/>
        <v>0</v>
      </c>
      <c r="GE16" s="19">
        <f t="shared" si="137"/>
        <v>0</v>
      </c>
      <c r="GF16" s="19">
        <f t="shared" si="138"/>
        <v>0</v>
      </c>
      <c r="GG16" s="19">
        <f t="shared" si="139"/>
        <v>0</v>
      </c>
      <c r="GH16" s="19">
        <f t="shared" si="140"/>
        <v>0</v>
      </c>
      <c r="GI16" s="19">
        <f t="shared" si="141"/>
        <v>0</v>
      </c>
      <c r="GJ16" s="19">
        <f t="shared" si="142"/>
        <v>0</v>
      </c>
      <c r="GK16" s="19">
        <f t="shared" si="143"/>
        <v>0</v>
      </c>
      <c r="GL16" s="19">
        <f t="shared" si="144"/>
        <v>0</v>
      </c>
      <c r="GM16" s="19">
        <f t="shared" si="145"/>
        <v>0</v>
      </c>
      <c r="GN16" s="19">
        <f t="shared" si="146"/>
        <v>0.44999999999999996</v>
      </c>
      <c r="GO16" s="19">
        <f t="shared" si="147"/>
        <v>0.6</v>
      </c>
      <c r="GP16" s="19">
        <f t="shared" si="148"/>
        <v>0</v>
      </c>
      <c r="GQ16" s="19">
        <f t="shared" si="149"/>
        <v>0</v>
      </c>
      <c r="GR16" s="19">
        <f t="shared" si="150"/>
        <v>0</v>
      </c>
      <c r="GS16" s="19">
        <f t="shared" si="151"/>
        <v>0</v>
      </c>
      <c r="GT16" s="19">
        <f t="shared" si="152"/>
        <v>0</v>
      </c>
      <c r="GU16" s="19">
        <f t="shared" si="153"/>
        <v>0</v>
      </c>
      <c r="GV16" s="19">
        <f t="shared" si="154"/>
        <v>0</v>
      </c>
      <c r="GW16" s="19">
        <f t="shared" si="155"/>
        <v>0.19500000000000001</v>
      </c>
      <c r="GX16" s="19">
        <f t="shared" si="156"/>
        <v>0</v>
      </c>
      <c r="GY16" s="19">
        <f t="shared" si="157"/>
        <v>0</v>
      </c>
      <c r="GZ16" s="19">
        <f t="shared" si="158"/>
        <v>0</v>
      </c>
      <c r="HA16" s="19">
        <f t="shared" si="159"/>
        <v>0</v>
      </c>
      <c r="HB16" s="19">
        <f t="shared" si="160"/>
        <v>0</v>
      </c>
      <c r="HC16" s="19">
        <f t="shared" si="161"/>
        <v>0</v>
      </c>
      <c r="HD16" s="19">
        <f t="shared" si="162"/>
        <v>0</v>
      </c>
      <c r="HE16" s="19">
        <f t="shared" si="163"/>
        <v>0</v>
      </c>
      <c r="HF16" s="19">
        <f t="shared" si="164"/>
        <v>0</v>
      </c>
      <c r="HG16" s="19">
        <f t="shared" si="165"/>
        <v>2.0499999999999998</v>
      </c>
      <c r="HH16" s="19">
        <f t="shared" si="166"/>
        <v>0</v>
      </c>
      <c r="HI16" s="19">
        <f t="shared" si="167"/>
        <v>0</v>
      </c>
      <c r="HJ16" s="19">
        <f t="shared" si="168"/>
        <v>0</v>
      </c>
      <c r="HK16" s="19">
        <f t="shared" si="169"/>
        <v>0</v>
      </c>
      <c r="HL16" s="19">
        <f t="shared" si="170"/>
        <v>0.03</v>
      </c>
      <c r="HM16" s="20">
        <f t="shared" si="171"/>
        <v>5</v>
      </c>
      <c r="HN16" s="53">
        <v>822</v>
      </c>
      <c r="HO16" s="21">
        <f t="shared" si="172"/>
        <v>0</v>
      </c>
      <c r="HP16" s="21">
        <f t="shared" si="173"/>
        <v>0</v>
      </c>
      <c r="HQ16" s="21">
        <f t="shared" si="174"/>
        <v>0</v>
      </c>
      <c r="HR16" s="21">
        <f t="shared" si="175"/>
        <v>0</v>
      </c>
      <c r="HS16" s="21">
        <f t="shared" si="176"/>
        <v>0</v>
      </c>
      <c r="HT16" s="69">
        <f t="shared" si="177"/>
        <v>0</v>
      </c>
      <c r="HU16" s="21">
        <f t="shared" si="178"/>
        <v>0</v>
      </c>
      <c r="HV16" s="21">
        <f t="shared" si="179"/>
        <v>0</v>
      </c>
      <c r="HW16" s="21">
        <f t="shared" si="180"/>
        <v>0</v>
      </c>
      <c r="HX16" s="21">
        <f t="shared" si="181"/>
        <v>0</v>
      </c>
      <c r="HY16" s="21">
        <f t="shared" si="182"/>
        <v>0</v>
      </c>
      <c r="HZ16" s="21">
        <f t="shared" si="183"/>
        <v>0</v>
      </c>
      <c r="IA16" s="21">
        <f t="shared" si="184"/>
        <v>0</v>
      </c>
      <c r="IB16" s="21">
        <f t="shared" si="185"/>
        <v>0</v>
      </c>
      <c r="IC16" s="21">
        <f t="shared" si="186"/>
        <v>65.760000000000005</v>
      </c>
      <c r="ID16" s="21">
        <f t="shared" si="187"/>
        <v>0</v>
      </c>
      <c r="IE16" s="21">
        <f t="shared" si="188"/>
        <v>209.60999999999999</v>
      </c>
      <c r="IF16" s="69">
        <f t="shared" si="189"/>
        <v>0</v>
      </c>
      <c r="IG16" s="69">
        <f t="shared" si="190"/>
        <v>0</v>
      </c>
      <c r="IH16" s="69">
        <f t="shared" si="191"/>
        <v>0</v>
      </c>
      <c r="II16" s="21">
        <f t="shared" si="192"/>
        <v>0</v>
      </c>
      <c r="IJ16" s="21">
        <f t="shared" si="193"/>
        <v>0</v>
      </c>
      <c r="IK16" s="21">
        <f t="shared" si="194"/>
        <v>0</v>
      </c>
      <c r="IL16" s="21">
        <f t="shared" si="195"/>
        <v>0</v>
      </c>
      <c r="IM16" s="21">
        <f t="shared" si="196"/>
        <v>0</v>
      </c>
      <c r="IN16" s="21">
        <f t="shared" si="197"/>
        <v>0</v>
      </c>
      <c r="IO16" s="21">
        <f t="shared" si="198"/>
        <v>0</v>
      </c>
      <c r="IP16" s="21">
        <f t="shared" si="199"/>
        <v>73.97999999999999</v>
      </c>
      <c r="IQ16" s="21">
        <f t="shared" si="200"/>
        <v>98.64</v>
      </c>
      <c r="IR16" s="21">
        <f t="shared" si="201"/>
        <v>0</v>
      </c>
      <c r="IS16" s="21">
        <f t="shared" si="202"/>
        <v>0</v>
      </c>
      <c r="IT16" s="21">
        <f t="shared" si="203"/>
        <v>0</v>
      </c>
      <c r="IU16" s="21">
        <f t="shared" si="204"/>
        <v>0</v>
      </c>
      <c r="IV16" s="21">
        <f t="shared" si="205"/>
        <v>0</v>
      </c>
      <c r="IW16" s="21">
        <f t="shared" si="206"/>
        <v>0</v>
      </c>
      <c r="IX16" s="21">
        <f t="shared" si="207"/>
        <v>0</v>
      </c>
      <c r="IY16" s="21">
        <f t="shared" si="208"/>
        <v>32.058</v>
      </c>
      <c r="IZ16" s="21">
        <f t="shared" si="209"/>
        <v>0</v>
      </c>
      <c r="JA16" s="21">
        <f t="shared" si="210"/>
        <v>0</v>
      </c>
      <c r="JB16" s="21">
        <f t="shared" si="211"/>
        <v>0</v>
      </c>
      <c r="JC16" s="21">
        <f t="shared" si="212"/>
        <v>0</v>
      </c>
      <c r="JD16" s="21">
        <f t="shared" si="213"/>
        <v>0</v>
      </c>
      <c r="JE16" s="21">
        <f t="shared" si="214"/>
        <v>0</v>
      </c>
      <c r="JF16" s="21">
        <f t="shared" si="215"/>
        <v>0</v>
      </c>
      <c r="JG16" s="21">
        <f t="shared" si="216"/>
        <v>0</v>
      </c>
      <c r="JH16" s="21">
        <f t="shared" si="217"/>
        <v>0</v>
      </c>
      <c r="JI16" s="21">
        <f t="shared" si="218"/>
        <v>337.02</v>
      </c>
      <c r="JJ16" s="21">
        <f t="shared" si="219"/>
        <v>0</v>
      </c>
      <c r="JK16" s="21">
        <f t="shared" si="220"/>
        <v>0</v>
      </c>
      <c r="JL16" s="21">
        <f t="shared" si="221"/>
        <v>0</v>
      </c>
      <c r="JM16" s="21">
        <f t="shared" si="222"/>
        <v>0</v>
      </c>
      <c r="JN16" s="21">
        <f t="shared" si="223"/>
        <v>4.9320000000000004</v>
      </c>
      <c r="JO16" s="35">
        <f t="shared" si="110"/>
        <v>822</v>
      </c>
      <c r="JP16" s="38">
        <f t="shared" si="111"/>
        <v>0</v>
      </c>
      <c r="JQ16" s="43">
        <f t="shared" si="224"/>
        <v>0</v>
      </c>
      <c r="JR16" s="43">
        <f t="shared" si="225"/>
        <v>0</v>
      </c>
      <c r="JS16" s="43">
        <f t="shared" si="226"/>
        <v>0</v>
      </c>
      <c r="JT16" s="43">
        <f t="shared" si="227"/>
        <v>0</v>
      </c>
      <c r="JU16" s="43">
        <f t="shared" si="228"/>
        <v>0</v>
      </c>
      <c r="JV16" s="43">
        <f t="shared" si="229"/>
        <v>0</v>
      </c>
      <c r="JW16" s="43">
        <f t="shared" si="230"/>
        <v>0</v>
      </c>
      <c r="JX16" s="43">
        <f t="shared" si="231"/>
        <v>0</v>
      </c>
      <c r="JY16" s="43">
        <f t="shared" si="232"/>
        <v>0</v>
      </c>
      <c r="JZ16" s="43">
        <f t="shared" si="233"/>
        <v>0</v>
      </c>
      <c r="KA16" s="43">
        <f t="shared" si="234"/>
        <v>0</v>
      </c>
      <c r="KB16" s="43">
        <f t="shared" si="235"/>
        <v>0</v>
      </c>
      <c r="KC16" s="43">
        <f t="shared" si="236"/>
        <v>0</v>
      </c>
      <c r="KD16" s="43">
        <f t="shared" si="237"/>
        <v>0</v>
      </c>
      <c r="KE16" s="43">
        <f t="shared" si="238"/>
        <v>268.06899533575756</v>
      </c>
      <c r="KF16" s="43">
        <f t="shared" si="239"/>
        <v>0</v>
      </c>
      <c r="KG16" s="43">
        <f t="shared" si="240"/>
        <v>869.86578136727269</v>
      </c>
      <c r="KH16" s="43">
        <f t="shared" si="241"/>
        <v>0</v>
      </c>
      <c r="KI16" s="43">
        <f t="shared" si="242"/>
        <v>0</v>
      </c>
      <c r="KJ16" s="43">
        <f t="shared" si="243"/>
        <v>0</v>
      </c>
      <c r="KK16" s="43">
        <f t="shared" si="244"/>
        <v>0</v>
      </c>
      <c r="KL16" s="43">
        <f t="shared" si="245"/>
        <v>0</v>
      </c>
      <c r="KM16" s="43">
        <f t="shared" si="246"/>
        <v>0</v>
      </c>
      <c r="KN16" s="43">
        <f t="shared" si="247"/>
        <v>0</v>
      </c>
      <c r="KO16" s="43">
        <f t="shared" si="248"/>
        <v>0</v>
      </c>
      <c r="KP16" s="43">
        <f t="shared" si="249"/>
        <v>0</v>
      </c>
      <c r="KQ16" s="43">
        <f t="shared" si="250"/>
        <v>0</v>
      </c>
      <c r="KR16" s="43">
        <f t="shared" si="251"/>
        <v>285.56279999999992</v>
      </c>
      <c r="KS16" s="43">
        <f t="shared" si="252"/>
        <v>337.28280884363636</v>
      </c>
      <c r="KT16" s="43">
        <f t="shared" si="253"/>
        <v>0</v>
      </c>
      <c r="KU16" s="43">
        <f t="shared" si="254"/>
        <v>0</v>
      </c>
      <c r="KV16" s="43">
        <f t="shared" si="255"/>
        <v>0</v>
      </c>
      <c r="KW16" s="43">
        <f t="shared" si="256"/>
        <v>0</v>
      </c>
      <c r="KX16" s="43">
        <f t="shared" si="257"/>
        <v>0</v>
      </c>
      <c r="KY16" s="43">
        <f t="shared" si="258"/>
        <v>0</v>
      </c>
      <c r="KZ16" s="43">
        <f t="shared" si="259"/>
        <v>0</v>
      </c>
      <c r="LA16" s="43">
        <f t="shared" si="260"/>
        <v>128.45127671999998</v>
      </c>
      <c r="LB16" s="43">
        <f t="shared" si="261"/>
        <v>0</v>
      </c>
      <c r="LC16" s="43">
        <f t="shared" si="262"/>
        <v>0</v>
      </c>
      <c r="LD16" s="43">
        <f t="shared" si="263"/>
        <v>0</v>
      </c>
      <c r="LE16" s="43">
        <f t="shared" si="264"/>
        <v>0</v>
      </c>
      <c r="LF16" s="43">
        <f t="shared" si="265"/>
        <v>0</v>
      </c>
      <c r="LG16" s="43">
        <f t="shared" si="266"/>
        <v>0</v>
      </c>
      <c r="LH16" s="43">
        <f t="shared" si="267"/>
        <v>0</v>
      </c>
      <c r="LI16" s="43">
        <f t="shared" si="268"/>
        <v>0</v>
      </c>
      <c r="LJ16" s="43">
        <f t="shared" si="269"/>
        <v>0</v>
      </c>
      <c r="LK16" s="43">
        <f t="shared" si="270"/>
        <v>1350.0178649999998</v>
      </c>
      <c r="LL16" s="43">
        <f t="shared" si="271"/>
        <v>0</v>
      </c>
      <c r="LM16" s="43">
        <f t="shared" si="272"/>
        <v>0</v>
      </c>
      <c r="LN16" s="43">
        <f t="shared" si="273"/>
        <v>0</v>
      </c>
      <c r="LO16" s="43">
        <f t="shared" si="274"/>
        <v>0</v>
      </c>
      <c r="LP16" s="43">
        <f t="shared" si="275"/>
        <v>41.675399999999996</v>
      </c>
      <c r="LQ16" s="28">
        <f t="shared" si="113"/>
        <v>3280.9249272666666</v>
      </c>
      <c r="LR16" s="65">
        <v>774</v>
      </c>
      <c r="LS16" s="32">
        <f t="shared" si="114"/>
        <v>4.2389210946597764</v>
      </c>
      <c r="LT16" s="26">
        <f t="shared" si="115"/>
        <v>1.1581751624753487</v>
      </c>
      <c r="LU16" s="31">
        <f t="shared" si="116"/>
        <v>48</v>
      </c>
      <c r="LW16" s="42"/>
      <c r="MA16" s="32">
        <f t="shared" si="117"/>
        <v>3.9913928555555556</v>
      </c>
      <c r="MB16" s="26">
        <f t="shared" si="118"/>
        <v>1.0905444960534305</v>
      </c>
    </row>
    <row r="17" spans="1:340" ht="15.75" thickBot="1">
      <c r="A17" t="b">
        <f t="shared" si="3"/>
        <v>1</v>
      </c>
      <c r="B17" s="123" t="s">
        <v>124</v>
      </c>
      <c r="C17" s="39" t="s">
        <v>125</v>
      </c>
      <c r="D17"/>
      <c r="E17" s="97">
        <v>46023</v>
      </c>
      <c r="F17" t="s">
        <v>43</v>
      </c>
      <c r="G17" t="s">
        <v>20</v>
      </c>
      <c r="H17" t="s">
        <v>26</v>
      </c>
      <c r="I17" s="77"/>
      <c r="J17" s="77"/>
      <c r="K17" s="77"/>
      <c r="L17" s="104">
        <v>0.25</v>
      </c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24"/>
      <c r="AG17" s="12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>
        <v>0.05</v>
      </c>
      <c r="AS17" s="104"/>
      <c r="AT17" s="104"/>
      <c r="AU17" s="104"/>
      <c r="AV17" s="104"/>
      <c r="AW17" s="104"/>
      <c r="AX17" s="104"/>
      <c r="AY17" s="104"/>
      <c r="AZ17" s="104">
        <v>0.35</v>
      </c>
      <c r="BA17" s="104"/>
      <c r="BB17" s="104"/>
      <c r="BC17" s="124">
        <v>0.35</v>
      </c>
      <c r="BD17" s="124"/>
      <c r="BE17" s="104"/>
      <c r="BF17" s="104"/>
      <c r="BG17" s="104"/>
      <c r="BH17" s="104"/>
      <c r="BI17" s="78">
        <f t="shared" si="4"/>
        <v>0.99999999999999989</v>
      </c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>
        <v>0.2</v>
      </c>
      <c r="BY17" s="105"/>
      <c r="BZ17" s="105"/>
      <c r="CA17" s="105"/>
      <c r="CB17" s="105"/>
      <c r="CC17" s="105"/>
      <c r="CD17" s="105"/>
      <c r="CE17" s="105"/>
      <c r="CF17" s="120"/>
      <c r="CG17" s="128"/>
      <c r="CH17" s="128"/>
      <c r="CI17" s="105"/>
      <c r="CJ17" s="105"/>
      <c r="CK17" s="105"/>
      <c r="CL17" s="105"/>
      <c r="CM17" s="105"/>
      <c r="CN17" s="105"/>
      <c r="CO17" s="105"/>
      <c r="CP17" s="105"/>
      <c r="CQ17" s="105"/>
      <c r="CR17" s="105"/>
      <c r="CS17" s="105">
        <v>0.05</v>
      </c>
      <c r="CT17" s="105"/>
      <c r="CU17" s="105"/>
      <c r="CV17" s="105"/>
      <c r="CW17" s="105"/>
      <c r="CX17" s="105"/>
      <c r="CY17" s="105"/>
      <c r="CZ17" s="105"/>
      <c r="DA17" s="105">
        <v>0.1</v>
      </c>
      <c r="DB17" s="105"/>
      <c r="DC17" s="105"/>
      <c r="DD17" s="125">
        <v>0.65</v>
      </c>
      <c r="DE17" s="125"/>
      <c r="DF17" s="105"/>
      <c r="DG17" s="105"/>
      <c r="DH17" s="105"/>
      <c r="DI17" s="105"/>
      <c r="DJ17" s="79">
        <f t="shared" si="5"/>
        <v>1</v>
      </c>
      <c r="DK17" s="108"/>
      <c r="DL17" s="108"/>
      <c r="DM17" s="108"/>
      <c r="DN17" s="108"/>
      <c r="DO17" s="108"/>
      <c r="DP17" s="108"/>
      <c r="DQ17" s="108"/>
      <c r="DR17" s="108"/>
      <c r="DS17" s="108"/>
      <c r="DT17" s="108"/>
      <c r="DU17" s="108"/>
      <c r="DV17" s="108"/>
      <c r="DW17" s="108"/>
      <c r="DX17" s="108"/>
      <c r="DY17" s="108"/>
      <c r="DZ17" s="108"/>
      <c r="EA17" s="108">
        <v>0.76</v>
      </c>
      <c r="EB17" s="108"/>
      <c r="EC17" s="108"/>
      <c r="ED17" s="108"/>
      <c r="EE17" s="108"/>
      <c r="EF17" s="108"/>
      <c r="EG17" s="108"/>
      <c r="EH17" s="129"/>
      <c r="EI17" s="129"/>
      <c r="EJ17" s="108"/>
      <c r="EK17" s="108"/>
      <c r="EL17" s="108"/>
      <c r="EM17" s="108"/>
      <c r="EN17" s="108"/>
      <c r="EO17" s="108"/>
      <c r="EP17" s="108"/>
      <c r="EQ17" s="108"/>
      <c r="ER17" s="108"/>
      <c r="ES17" s="106"/>
      <c r="ET17" s="106"/>
      <c r="EU17" s="106">
        <v>0.22</v>
      </c>
      <c r="EV17" s="106"/>
      <c r="EW17" s="106"/>
      <c r="EX17" s="106"/>
      <c r="EY17" s="106"/>
      <c r="EZ17" s="106"/>
      <c r="FA17" s="106"/>
      <c r="FB17" s="106"/>
      <c r="FC17" s="106"/>
      <c r="FD17" s="106"/>
      <c r="FE17" s="126"/>
      <c r="FF17" s="126"/>
      <c r="FG17" s="106"/>
      <c r="FH17" s="106"/>
      <c r="FI17" s="106"/>
      <c r="FJ17" s="106">
        <v>0.02</v>
      </c>
      <c r="FK17" s="17">
        <f t="shared" si="6"/>
        <v>1</v>
      </c>
      <c r="FL17" s="18"/>
      <c r="FM17" s="19">
        <f t="shared" si="119"/>
        <v>0</v>
      </c>
      <c r="FN17" s="19">
        <f t="shared" si="120"/>
        <v>0</v>
      </c>
      <c r="FO17" s="19">
        <f t="shared" si="121"/>
        <v>0</v>
      </c>
      <c r="FP17" s="19">
        <f t="shared" si="122"/>
        <v>0.375</v>
      </c>
      <c r="FQ17" s="19">
        <f t="shared" si="123"/>
        <v>0</v>
      </c>
      <c r="FR17" s="19">
        <f t="shared" si="124"/>
        <v>0</v>
      </c>
      <c r="FS17" s="19">
        <f t="shared" si="125"/>
        <v>0</v>
      </c>
      <c r="FT17" s="19">
        <f t="shared" si="126"/>
        <v>0</v>
      </c>
      <c r="FU17" s="19">
        <f t="shared" si="127"/>
        <v>0</v>
      </c>
      <c r="FV17" s="19">
        <f t="shared" si="128"/>
        <v>0</v>
      </c>
      <c r="FW17" s="19">
        <f t="shared" si="129"/>
        <v>0</v>
      </c>
      <c r="FX17" s="19">
        <f t="shared" si="130"/>
        <v>0</v>
      </c>
      <c r="FY17" s="19">
        <f t="shared" si="131"/>
        <v>0</v>
      </c>
      <c r="FZ17" s="19">
        <f t="shared" si="132"/>
        <v>0</v>
      </c>
      <c r="GA17" s="19">
        <f t="shared" si="133"/>
        <v>0.4</v>
      </c>
      <c r="GB17" s="19">
        <f t="shared" si="134"/>
        <v>0</v>
      </c>
      <c r="GC17" s="19">
        <f t="shared" si="135"/>
        <v>1.1400000000000001</v>
      </c>
      <c r="GD17" s="19">
        <f t="shared" si="136"/>
        <v>0</v>
      </c>
      <c r="GE17" s="19">
        <f t="shared" si="137"/>
        <v>0</v>
      </c>
      <c r="GF17" s="19">
        <f t="shared" si="138"/>
        <v>0</v>
      </c>
      <c r="GG17" s="19">
        <f t="shared" si="139"/>
        <v>0</v>
      </c>
      <c r="GH17" s="19">
        <f t="shared" si="140"/>
        <v>0</v>
      </c>
      <c r="GI17" s="19">
        <f t="shared" si="141"/>
        <v>0</v>
      </c>
      <c r="GJ17" s="19">
        <f t="shared" si="142"/>
        <v>0</v>
      </c>
      <c r="GK17" s="19">
        <f t="shared" si="143"/>
        <v>0</v>
      </c>
      <c r="GL17" s="19">
        <f t="shared" si="144"/>
        <v>0</v>
      </c>
      <c r="GM17" s="19">
        <f t="shared" si="145"/>
        <v>0</v>
      </c>
      <c r="GN17" s="19">
        <f t="shared" si="146"/>
        <v>0</v>
      </c>
      <c r="GO17" s="19">
        <f t="shared" si="147"/>
        <v>0</v>
      </c>
      <c r="GP17" s="19">
        <f t="shared" si="148"/>
        <v>0</v>
      </c>
      <c r="GQ17" s="19">
        <f t="shared" si="149"/>
        <v>0</v>
      </c>
      <c r="GR17" s="19">
        <f t="shared" si="150"/>
        <v>0</v>
      </c>
      <c r="GS17" s="19">
        <f t="shared" si="151"/>
        <v>0</v>
      </c>
      <c r="GT17" s="19">
        <f t="shared" si="152"/>
        <v>0</v>
      </c>
      <c r="GU17" s="19">
        <f t="shared" si="153"/>
        <v>0</v>
      </c>
      <c r="GV17" s="19">
        <f t="shared" si="154"/>
        <v>0.17500000000000002</v>
      </c>
      <c r="GW17" s="19">
        <f t="shared" si="155"/>
        <v>0.33</v>
      </c>
      <c r="GX17" s="19">
        <f t="shared" si="156"/>
        <v>0</v>
      </c>
      <c r="GY17" s="19">
        <f t="shared" si="157"/>
        <v>0</v>
      </c>
      <c r="GZ17" s="19">
        <f t="shared" si="158"/>
        <v>0</v>
      </c>
      <c r="HA17" s="19">
        <f t="shared" si="159"/>
        <v>0</v>
      </c>
      <c r="HB17" s="19">
        <f t="shared" si="160"/>
        <v>0</v>
      </c>
      <c r="HC17" s="19">
        <f t="shared" si="161"/>
        <v>0</v>
      </c>
      <c r="HD17" s="19">
        <f t="shared" si="162"/>
        <v>0.72499999999999987</v>
      </c>
      <c r="HE17" s="19">
        <f t="shared" si="163"/>
        <v>0</v>
      </c>
      <c r="HF17" s="19">
        <f t="shared" si="164"/>
        <v>0</v>
      </c>
      <c r="HG17" s="19">
        <f t="shared" si="165"/>
        <v>1.825</v>
      </c>
      <c r="HH17" s="19">
        <f t="shared" si="166"/>
        <v>0</v>
      </c>
      <c r="HI17" s="19">
        <f t="shared" si="167"/>
        <v>0</v>
      </c>
      <c r="HJ17" s="19">
        <f t="shared" si="168"/>
        <v>0</v>
      </c>
      <c r="HK17" s="19">
        <f t="shared" si="169"/>
        <v>0</v>
      </c>
      <c r="HL17" s="19">
        <f t="shared" si="170"/>
        <v>0.03</v>
      </c>
      <c r="HM17" s="20">
        <f t="shared" si="171"/>
        <v>5</v>
      </c>
      <c r="HN17" s="53">
        <v>934</v>
      </c>
      <c r="HO17" s="21">
        <f t="shared" si="172"/>
        <v>0</v>
      </c>
      <c r="HP17" s="21">
        <f t="shared" si="173"/>
        <v>0</v>
      </c>
      <c r="HQ17" s="21">
        <f t="shared" si="174"/>
        <v>0</v>
      </c>
      <c r="HR17" s="21">
        <f t="shared" si="175"/>
        <v>70.05</v>
      </c>
      <c r="HS17" s="21">
        <f t="shared" si="176"/>
        <v>0</v>
      </c>
      <c r="HT17" s="69">
        <f t="shared" si="177"/>
        <v>0</v>
      </c>
      <c r="HU17" s="21">
        <f t="shared" si="178"/>
        <v>0</v>
      </c>
      <c r="HV17" s="21">
        <f t="shared" si="179"/>
        <v>0</v>
      </c>
      <c r="HW17" s="21">
        <f t="shared" si="180"/>
        <v>0</v>
      </c>
      <c r="HX17" s="21">
        <f t="shared" si="181"/>
        <v>0</v>
      </c>
      <c r="HY17" s="21">
        <f t="shared" si="182"/>
        <v>0</v>
      </c>
      <c r="HZ17" s="21">
        <f t="shared" si="183"/>
        <v>0</v>
      </c>
      <c r="IA17" s="21">
        <f t="shared" si="184"/>
        <v>0</v>
      </c>
      <c r="IB17" s="21">
        <f t="shared" si="185"/>
        <v>0</v>
      </c>
      <c r="IC17" s="21">
        <f t="shared" si="186"/>
        <v>74.72</v>
      </c>
      <c r="ID17" s="21">
        <f t="shared" si="187"/>
        <v>0</v>
      </c>
      <c r="IE17" s="21">
        <f t="shared" si="188"/>
        <v>212.95200000000006</v>
      </c>
      <c r="IF17" s="69">
        <f t="shared" si="189"/>
        <v>0</v>
      </c>
      <c r="IG17" s="69">
        <f t="shared" si="190"/>
        <v>0</v>
      </c>
      <c r="IH17" s="69">
        <f t="shared" si="191"/>
        <v>0</v>
      </c>
      <c r="II17" s="21">
        <f t="shared" si="192"/>
        <v>0</v>
      </c>
      <c r="IJ17" s="21">
        <f t="shared" si="193"/>
        <v>0</v>
      </c>
      <c r="IK17" s="21">
        <f t="shared" si="194"/>
        <v>0</v>
      </c>
      <c r="IL17" s="21">
        <f t="shared" si="195"/>
        <v>0</v>
      </c>
      <c r="IM17" s="21">
        <f t="shared" si="196"/>
        <v>0</v>
      </c>
      <c r="IN17" s="21">
        <f t="shared" si="197"/>
        <v>0</v>
      </c>
      <c r="IO17" s="21">
        <f t="shared" si="198"/>
        <v>0</v>
      </c>
      <c r="IP17" s="21">
        <f t="shared" si="199"/>
        <v>0</v>
      </c>
      <c r="IQ17" s="21">
        <f t="shared" si="200"/>
        <v>0</v>
      </c>
      <c r="IR17" s="21">
        <f t="shared" si="201"/>
        <v>0</v>
      </c>
      <c r="IS17" s="21">
        <f t="shared" si="202"/>
        <v>0</v>
      </c>
      <c r="IT17" s="21">
        <f t="shared" si="203"/>
        <v>0</v>
      </c>
      <c r="IU17" s="21">
        <f t="shared" si="204"/>
        <v>0</v>
      </c>
      <c r="IV17" s="21">
        <f t="shared" si="205"/>
        <v>0</v>
      </c>
      <c r="IW17" s="21">
        <f t="shared" si="206"/>
        <v>0</v>
      </c>
      <c r="IX17" s="21">
        <f t="shared" si="207"/>
        <v>32.690000000000005</v>
      </c>
      <c r="IY17" s="21">
        <f t="shared" si="208"/>
        <v>61.644000000000005</v>
      </c>
      <c r="IZ17" s="21">
        <f t="shared" si="209"/>
        <v>0</v>
      </c>
      <c r="JA17" s="21">
        <f t="shared" si="210"/>
        <v>0</v>
      </c>
      <c r="JB17" s="21">
        <f t="shared" si="211"/>
        <v>0</v>
      </c>
      <c r="JC17" s="21">
        <f t="shared" si="212"/>
        <v>0</v>
      </c>
      <c r="JD17" s="21">
        <f t="shared" si="213"/>
        <v>0</v>
      </c>
      <c r="JE17" s="21">
        <f t="shared" si="214"/>
        <v>0</v>
      </c>
      <c r="JF17" s="21">
        <f t="shared" si="215"/>
        <v>135.42999999999998</v>
      </c>
      <c r="JG17" s="21">
        <f t="shared" si="216"/>
        <v>0</v>
      </c>
      <c r="JH17" s="21">
        <f t="shared" si="217"/>
        <v>0</v>
      </c>
      <c r="JI17" s="21">
        <f t="shared" si="218"/>
        <v>340.90999999999997</v>
      </c>
      <c r="JJ17" s="21">
        <f t="shared" si="219"/>
        <v>0</v>
      </c>
      <c r="JK17" s="21">
        <f t="shared" si="220"/>
        <v>0</v>
      </c>
      <c r="JL17" s="21">
        <f t="shared" si="221"/>
        <v>0</v>
      </c>
      <c r="JM17" s="21">
        <f t="shared" si="222"/>
        <v>0</v>
      </c>
      <c r="JN17" s="21">
        <f t="shared" si="223"/>
        <v>5.6040000000000001</v>
      </c>
      <c r="JO17" s="35">
        <f t="shared" si="110"/>
        <v>934</v>
      </c>
      <c r="JP17" s="38">
        <f t="shared" si="111"/>
        <v>0</v>
      </c>
      <c r="JQ17" s="43">
        <f t="shared" si="224"/>
        <v>0</v>
      </c>
      <c r="JR17" s="43">
        <f t="shared" si="225"/>
        <v>0</v>
      </c>
      <c r="JS17" s="43">
        <f t="shared" si="226"/>
        <v>0</v>
      </c>
      <c r="JT17" s="43">
        <f t="shared" si="227"/>
        <v>301.27944600000001</v>
      </c>
      <c r="JU17" s="43">
        <f t="shared" si="228"/>
        <v>0</v>
      </c>
      <c r="JV17" s="43">
        <f t="shared" si="229"/>
        <v>0</v>
      </c>
      <c r="JW17" s="43">
        <f t="shared" si="230"/>
        <v>0</v>
      </c>
      <c r="JX17" s="43">
        <f t="shared" si="231"/>
        <v>0</v>
      </c>
      <c r="JY17" s="43">
        <f t="shared" si="232"/>
        <v>0</v>
      </c>
      <c r="JZ17" s="43">
        <f t="shared" si="233"/>
        <v>0</v>
      </c>
      <c r="KA17" s="43">
        <f t="shared" si="234"/>
        <v>0</v>
      </c>
      <c r="KB17" s="43">
        <f t="shared" si="235"/>
        <v>0</v>
      </c>
      <c r="KC17" s="43">
        <f t="shared" si="236"/>
        <v>0</v>
      </c>
      <c r="KD17" s="43">
        <f t="shared" si="237"/>
        <v>0</v>
      </c>
      <c r="KE17" s="43">
        <f t="shared" si="238"/>
        <v>304.5942112452525</v>
      </c>
      <c r="KF17" s="43">
        <f t="shared" si="239"/>
        <v>0</v>
      </c>
      <c r="KG17" s="43">
        <f t="shared" si="240"/>
        <v>883.73483075103059</v>
      </c>
      <c r="KH17" s="43">
        <f t="shared" si="241"/>
        <v>0</v>
      </c>
      <c r="KI17" s="43">
        <f t="shared" si="242"/>
        <v>0</v>
      </c>
      <c r="KJ17" s="43">
        <f t="shared" si="243"/>
        <v>0</v>
      </c>
      <c r="KK17" s="43">
        <f t="shared" si="244"/>
        <v>0</v>
      </c>
      <c r="KL17" s="43">
        <f t="shared" si="245"/>
        <v>0</v>
      </c>
      <c r="KM17" s="43">
        <f t="shared" si="246"/>
        <v>0</v>
      </c>
      <c r="KN17" s="43">
        <f t="shared" si="247"/>
        <v>0</v>
      </c>
      <c r="KO17" s="43">
        <f t="shared" si="248"/>
        <v>0</v>
      </c>
      <c r="KP17" s="43">
        <f t="shared" si="249"/>
        <v>0</v>
      </c>
      <c r="KQ17" s="43">
        <f t="shared" si="250"/>
        <v>0</v>
      </c>
      <c r="KR17" s="43">
        <f t="shared" si="251"/>
        <v>0</v>
      </c>
      <c r="KS17" s="43">
        <f t="shared" si="252"/>
        <v>0</v>
      </c>
      <c r="KT17" s="43">
        <f t="shared" si="253"/>
        <v>0</v>
      </c>
      <c r="KU17" s="43">
        <f t="shared" si="254"/>
        <v>0</v>
      </c>
      <c r="KV17" s="43">
        <f t="shared" si="255"/>
        <v>0</v>
      </c>
      <c r="KW17" s="43">
        <f t="shared" si="256"/>
        <v>0</v>
      </c>
      <c r="KX17" s="43">
        <f t="shared" si="257"/>
        <v>0</v>
      </c>
      <c r="KY17" s="43">
        <f t="shared" si="258"/>
        <v>0</v>
      </c>
      <c r="KZ17" s="43">
        <f t="shared" si="259"/>
        <v>282.76850000000007</v>
      </c>
      <c r="LA17" s="43">
        <f t="shared" si="260"/>
        <v>246.99764496</v>
      </c>
      <c r="LB17" s="43">
        <f t="shared" si="261"/>
        <v>0</v>
      </c>
      <c r="LC17" s="43">
        <f t="shared" si="262"/>
        <v>0</v>
      </c>
      <c r="LD17" s="43">
        <f t="shared" si="263"/>
        <v>0</v>
      </c>
      <c r="LE17" s="43">
        <f t="shared" si="264"/>
        <v>0</v>
      </c>
      <c r="LF17" s="43">
        <f t="shared" si="265"/>
        <v>0</v>
      </c>
      <c r="LG17" s="43">
        <f t="shared" si="266"/>
        <v>0</v>
      </c>
      <c r="LH17" s="43">
        <f t="shared" si="267"/>
        <v>566.99801223595955</v>
      </c>
      <c r="LI17" s="43">
        <f t="shared" si="268"/>
        <v>0</v>
      </c>
      <c r="LJ17" s="43">
        <f t="shared" si="269"/>
        <v>0</v>
      </c>
      <c r="LK17" s="43">
        <f t="shared" si="270"/>
        <v>1365.6002324999999</v>
      </c>
      <c r="LL17" s="43">
        <f t="shared" si="271"/>
        <v>0</v>
      </c>
      <c r="LM17" s="43">
        <f t="shared" si="272"/>
        <v>0</v>
      </c>
      <c r="LN17" s="43">
        <f t="shared" si="273"/>
        <v>0</v>
      </c>
      <c r="LO17" s="43">
        <f t="shared" si="274"/>
        <v>0</v>
      </c>
      <c r="LP17" s="43">
        <f t="shared" si="275"/>
        <v>47.3538</v>
      </c>
      <c r="LQ17" s="28">
        <f t="shared" si="113"/>
        <v>3999.3266776922428</v>
      </c>
      <c r="LR17" s="65">
        <v>910</v>
      </c>
      <c r="LS17" s="32">
        <f t="shared" si="114"/>
        <v>4.3948644809804867</v>
      </c>
      <c r="LT17" s="26">
        <f t="shared" si="115"/>
        <v>1.2007826450766357</v>
      </c>
      <c r="LU17" s="31">
        <f t="shared" si="116"/>
        <v>24</v>
      </c>
      <c r="LW17" s="42"/>
      <c r="MA17" s="32">
        <f t="shared" si="117"/>
        <v>4.2819343444242426</v>
      </c>
      <c r="MB17" s="26">
        <f t="shared" si="118"/>
        <v>1.1699274165093558</v>
      </c>
    </row>
    <row r="18" spans="1:340" ht="15.75" thickBot="1">
      <c r="A18" t="b">
        <f t="shared" si="3"/>
        <v>1</v>
      </c>
      <c r="B18" s="123" t="s">
        <v>137</v>
      </c>
      <c r="C18" s="39" t="s">
        <v>138</v>
      </c>
      <c r="D18"/>
      <c r="E18" s="97">
        <v>46025</v>
      </c>
      <c r="F18" t="s">
        <v>21</v>
      </c>
      <c r="G18" t="s">
        <v>20</v>
      </c>
      <c r="H18" t="s">
        <v>27</v>
      </c>
      <c r="I18" s="77"/>
      <c r="J18" s="77"/>
      <c r="K18" s="77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24"/>
      <c r="AG18" s="124"/>
      <c r="AH18" s="104"/>
      <c r="AI18" s="104"/>
      <c r="AJ18" s="104">
        <v>0.4</v>
      </c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24">
        <v>0.59</v>
      </c>
      <c r="BD18" s="124"/>
      <c r="BE18" s="104"/>
      <c r="BF18" s="104"/>
      <c r="BG18" s="104"/>
      <c r="BH18" s="104">
        <v>0.01</v>
      </c>
      <c r="BI18" s="78">
        <f t="shared" si="4"/>
        <v>1</v>
      </c>
      <c r="BJ18" s="105"/>
      <c r="BK18" s="105"/>
      <c r="BL18" s="105"/>
      <c r="BM18" s="105"/>
      <c r="BN18" s="105"/>
      <c r="BO18" s="105"/>
      <c r="BP18" s="105"/>
      <c r="BQ18" s="105"/>
      <c r="BR18" s="105"/>
      <c r="BS18" s="105"/>
      <c r="BT18" s="105"/>
      <c r="BU18" s="105"/>
      <c r="BV18" s="105"/>
      <c r="BW18" s="105"/>
      <c r="BX18" s="105">
        <v>0.25</v>
      </c>
      <c r="BY18" s="105"/>
      <c r="BZ18" s="105"/>
      <c r="CA18" s="105"/>
      <c r="CB18" s="105"/>
      <c r="CC18" s="105"/>
      <c r="CD18" s="105"/>
      <c r="CE18" s="105"/>
      <c r="CF18" s="120"/>
      <c r="CG18" s="128"/>
      <c r="CH18" s="128"/>
      <c r="CI18" s="105"/>
      <c r="CJ18" s="105"/>
      <c r="CK18" s="105"/>
      <c r="CL18" s="105">
        <v>0.3</v>
      </c>
      <c r="CM18" s="105"/>
      <c r="CN18" s="105"/>
      <c r="CO18" s="105"/>
      <c r="CP18" s="105"/>
      <c r="CQ18" s="105"/>
      <c r="CR18" s="105"/>
      <c r="CS18" s="105"/>
      <c r="CT18" s="105"/>
      <c r="CU18" s="105"/>
      <c r="CV18" s="105"/>
      <c r="CW18" s="105"/>
      <c r="CX18" s="105"/>
      <c r="CY18" s="105"/>
      <c r="CZ18" s="105"/>
      <c r="DA18" s="105"/>
      <c r="DB18" s="105"/>
      <c r="DC18" s="105"/>
      <c r="DD18" s="125">
        <v>0.45</v>
      </c>
      <c r="DE18" s="125"/>
      <c r="DF18" s="105"/>
      <c r="DG18" s="105"/>
      <c r="DH18" s="105"/>
      <c r="DI18" s="105"/>
      <c r="DJ18" s="79">
        <f t="shared" si="5"/>
        <v>1</v>
      </c>
      <c r="DK18" s="108"/>
      <c r="DL18" s="108"/>
      <c r="DM18" s="108"/>
      <c r="DN18" s="108"/>
      <c r="DO18" s="108"/>
      <c r="DP18" s="108"/>
      <c r="DQ18" s="108"/>
      <c r="DR18" s="108"/>
      <c r="DS18" s="108"/>
      <c r="DT18" s="108"/>
      <c r="DU18" s="108"/>
      <c r="DV18" s="108"/>
      <c r="DW18" s="108"/>
      <c r="DX18" s="108"/>
      <c r="DY18" s="108"/>
      <c r="DZ18" s="108">
        <v>0.22</v>
      </c>
      <c r="EA18" s="108">
        <v>0.66</v>
      </c>
      <c r="EB18" s="108"/>
      <c r="EC18" s="108"/>
      <c r="ED18" s="108"/>
      <c r="EE18" s="108"/>
      <c r="EF18" s="108"/>
      <c r="EG18" s="108"/>
      <c r="EH18" s="129"/>
      <c r="EI18" s="129"/>
      <c r="EJ18" s="108"/>
      <c r="EK18" s="108"/>
      <c r="EL18" s="108"/>
      <c r="EM18" s="108"/>
      <c r="EN18" s="108"/>
      <c r="EO18" s="108"/>
      <c r="EP18" s="108"/>
      <c r="EQ18" s="108"/>
      <c r="ER18" s="108"/>
      <c r="ES18" s="106"/>
      <c r="ET18" s="106"/>
      <c r="EU18" s="106">
        <v>0.1</v>
      </c>
      <c r="EV18" s="106"/>
      <c r="EW18" s="106"/>
      <c r="EX18" s="106"/>
      <c r="EY18" s="106"/>
      <c r="EZ18" s="106"/>
      <c r="FA18" s="106"/>
      <c r="FB18" s="106"/>
      <c r="FC18" s="106"/>
      <c r="FD18" s="106"/>
      <c r="FE18" s="126"/>
      <c r="FF18" s="126"/>
      <c r="FG18" s="106"/>
      <c r="FH18" s="106"/>
      <c r="FI18" s="106"/>
      <c r="FJ18" s="106">
        <v>0.02</v>
      </c>
      <c r="FK18" s="17">
        <f t="shared" si="6"/>
        <v>1</v>
      </c>
      <c r="FL18" s="18"/>
      <c r="FM18" s="19">
        <f t="shared" si="119"/>
        <v>0</v>
      </c>
      <c r="FN18" s="19">
        <f t="shared" si="120"/>
        <v>0</v>
      </c>
      <c r="FO18" s="19">
        <f t="shared" si="121"/>
        <v>0</v>
      </c>
      <c r="FP18" s="19">
        <f t="shared" si="122"/>
        <v>0</v>
      </c>
      <c r="FQ18" s="19">
        <f t="shared" si="123"/>
        <v>0</v>
      </c>
      <c r="FR18" s="19">
        <f t="shared" si="124"/>
        <v>0</v>
      </c>
      <c r="FS18" s="19">
        <f t="shared" si="125"/>
        <v>0</v>
      </c>
      <c r="FT18" s="19">
        <f t="shared" si="126"/>
        <v>0</v>
      </c>
      <c r="FU18" s="19">
        <f t="shared" si="127"/>
        <v>0</v>
      </c>
      <c r="FV18" s="19">
        <f t="shared" si="128"/>
        <v>0</v>
      </c>
      <c r="FW18" s="19">
        <f t="shared" si="129"/>
        <v>0</v>
      </c>
      <c r="FX18" s="19">
        <f t="shared" si="130"/>
        <v>0</v>
      </c>
      <c r="FY18" s="19">
        <f t="shared" si="131"/>
        <v>0</v>
      </c>
      <c r="FZ18" s="19">
        <f t="shared" si="132"/>
        <v>0</v>
      </c>
      <c r="GA18" s="19">
        <f t="shared" si="133"/>
        <v>0.5</v>
      </c>
      <c r="GB18" s="19">
        <f t="shared" si="134"/>
        <v>0.33</v>
      </c>
      <c r="GC18" s="19">
        <f t="shared" si="135"/>
        <v>0.99</v>
      </c>
      <c r="GD18" s="19">
        <f t="shared" si="136"/>
        <v>0</v>
      </c>
      <c r="GE18" s="19">
        <f t="shared" si="137"/>
        <v>0</v>
      </c>
      <c r="GF18" s="19">
        <f t="shared" si="138"/>
        <v>0</v>
      </c>
      <c r="GG18" s="19">
        <f t="shared" si="139"/>
        <v>0</v>
      </c>
      <c r="GH18" s="19">
        <f t="shared" si="140"/>
        <v>0</v>
      </c>
      <c r="GI18" s="19">
        <f t="shared" si="141"/>
        <v>0</v>
      </c>
      <c r="GJ18" s="19">
        <f t="shared" si="142"/>
        <v>0</v>
      </c>
      <c r="GK18" s="19">
        <f t="shared" si="143"/>
        <v>0</v>
      </c>
      <c r="GL18" s="19">
        <f t="shared" si="144"/>
        <v>0</v>
      </c>
      <c r="GM18" s="19">
        <f t="shared" si="145"/>
        <v>0</v>
      </c>
      <c r="GN18" s="19">
        <f t="shared" si="146"/>
        <v>0.60000000000000009</v>
      </c>
      <c r="GO18" s="19">
        <f t="shared" si="147"/>
        <v>0.6</v>
      </c>
      <c r="GP18" s="19">
        <f t="shared" si="148"/>
        <v>0</v>
      </c>
      <c r="GQ18" s="19">
        <f t="shared" si="149"/>
        <v>0</v>
      </c>
      <c r="GR18" s="19">
        <f t="shared" si="150"/>
        <v>0</v>
      </c>
      <c r="GS18" s="19">
        <f t="shared" si="151"/>
        <v>0</v>
      </c>
      <c r="GT18" s="19">
        <f t="shared" si="152"/>
        <v>0</v>
      </c>
      <c r="GU18" s="19">
        <f t="shared" si="153"/>
        <v>0</v>
      </c>
      <c r="GV18" s="19">
        <f t="shared" si="154"/>
        <v>0</v>
      </c>
      <c r="GW18" s="19">
        <f t="shared" si="155"/>
        <v>0.15000000000000002</v>
      </c>
      <c r="GX18" s="19">
        <f t="shared" si="156"/>
        <v>0</v>
      </c>
      <c r="GY18" s="19">
        <f t="shared" si="157"/>
        <v>0</v>
      </c>
      <c r="GZ18" s="19">
        <f t="shared" si="158"/>
        <v>0</v>
      </c>
      <c r="HA18" s="19">
        <f t="shared" si="159"/>
        <v>0</v>
      </c>
      <c r="HB18" s="19">
        <f t="shared" si="160"/>
        <v>0</v>
      </c>
      <c r="HC18" s="19">
        <f t="shared" si="161"/>
        <v>0</v>
      </c>
      <c r="HD18" s="19">
        <f t="shared" si="162"/>
        <v>0</v>
      </c>
      <c r="HE18" s="19">
        <f t="shared" si="163"/>
        <v>0</v>
      </c>
      <c r="HF18" s="19">
        <f t="shared" si="164"/>
        <v>0</v>
      </c>
      <c r="HG18" s="19">
        <f t="shared" si="165"/>
        <v>1.7850000000000001</v>
      </c>
      <c r="HH18" s="19">
        <f t="shared" si="166"/>
        <v>0</v>
      </c>
      <c r="HI18" s="19">
        <f t="shared" si="167"/>
        <v>0</v>
      </c>
      <c r="HJ18" s="19">
        <f t="shared" si="168"/>
        <v>0</v>
      </c>
      <c r="HK18" s="19">
        <f t="shared" si="169"/>
        <v>0</v>
      </c>
      <c r="HL18" s="19">
        <f t="shared" si="170"/>
        <v>4.4999999999999998E-2</v>
      </c>
      <c r="HM18" s="20">
        <f t="shared" si="171"/>
        <v>5</v>
      </c>
      <c r="HN18" s="53">
        <v>107</v>
      </c>
      <c r="HO18" s="21">
        <f t="shared" si="172"/>
        <v>0</v>
      </c>
      <c r="HP18" s="21">
        <f t="shared" si="173"/>
        <v>0</v>
      </c>
      <c r="HQ18" s="21">
        <f t="shared" si="174"/>
        <v>0</v>
      </c>
      <c r="HR18" s="21">
        <f t="shared" si="175"/>
        <v>0</v>
      </c>
      <c r="HS18" s="21">
        <f t="shared" si="176"/>
        <v>0</v>
      </c>
      <c r="HT18" s="69">
        <f t="shared" si="177"/>
        <v>0</v>
      </c>
      <c r="HU18" s="21">
        <f t="shared" si="178"/>
        <v>0</v>
      </c>
      <c r="HV18" s="21">
        <f t="shared" si="179"/>
        <v>0</v>
      </c>
      <c r="HW18" s="21">
        <f t="shared" si="180"/>
        <v>0</v>
      </c>
      <c r="HX18" s="21">
        <f t="shared" si="181"/>
        <v>0</v>
      </c>
      <c r="HY18" s="21">
        <f t="shared" si="182"/>
        <v>0</v>
      </c>
      <c r="HZ18" s="21">
        <f t="shared" si="183"/>
        <v>0</v>
      </c>
      <c r="IA18" s="21">
        <f t="shared" si="184"/>
        <v>0</v>
      </c>
      <c r="IB18" s="21">
        <f t="shared" si="185"/>
        <v>0</v>
      </c>
      <c r="IC18" s="21">
        <f t="shared" si="186"/>
        <v>10.7</v>
      </c>
      <c r="ID18" s="21">
        <f t="shared" si="187"/>
        <v>7.0620000000000003</v>
      </c>
      <c r="IE18" s="21">
        <f t="shared" si="188"/>
        <v>21.186</v>
      </c>
      <c r="IF18" s="69">
        <f t="shared" si="189"/>
        <v>0</v>
      </c>
      <c r="IG18" s="69">
        <f t="shared" si="190"/>
        <v>0</v>
      </c>
      <c r="IH18" s="69">
        <f t="shared" si="191"/>
        <v>0</v>
      </c>
      <c r="II18" s="21">
        <f t="shared" si="192"/>
        <v>0</v>
      </c>
      <c r="IJ18" s="21">
        <f t="shared" si="193"/>
        <v>0</v>
      </c>
      <c r="IK18" s="21">
        <f t="shared" si="194"/>
        <v>0</v>
      </c>
      <c r="IL18" s="21">
        <f t="shared" si="195"/>
        <v>0</v>
      </c>
      <c r="IM18" s="21">
        <f t="shared" si="196"/>
        <v>0</v>
      </c>
      <c r="IN18" s="21">
        <f t="shared" si="197"/>
        <v>0</v>
      </c>
      <c r="IO18" s="21">
        <f t="shared" si="198"/>
        <v>0</v>
      </c>
      <c r="IP18" s="21">
        <f t="shared" si="199"/>
        <v>12.84</v>
      </c>
      <c r="IQ18" s="21">
        <f t="shared" si="200"/>
        <v>12.84</v>
      </c>
      <c r="IR18" s="21">
        <f t="shared" si="201"/>
        <v>0</v>
      </c>
      <c r="IS18" s="21">
        <f t="shared" si="202"/>
        <v>0</v>
      </c>
      <c r="IT18" s="21">
        <f t="shared" si="203"/>
        <v>0</v>
      </c>
      <c r="IU18" s="21">
        <f t="shared" si="204"/>
        <v>0</v>
      </c>
      <c r="IV18" s="21">
        <f t="shared" si="205"/>
        <v>0</v>
      </c>
      <c r="IW18" s="21">
        <f t="shared" si="206"/>
        <v>0</v>
      </c>
      <c r="IX18" s="21">
        <f t="shared" si="207"/>
        <v>0</v>
      </c>
      <c r="IY18" s="21">
        <f t="shared" si="208"/>
        <v>3.21</v>
      </c>
      <c r="IZ18" s="21">
        <f t="shared" si="209"/>
        <v>0</v>
      </c>
      <c r="JA18" s="21">
        <f t="shared" si="210"/>
        <v>0</v>
      </c>
      <c r="JB18" s="21">
        <f t="shared" si="211"/>
        <v>0</v>
      </c>
      <c r="JC18" s="21">
        <f t="shared" si="212"/>
        <v>0</v>
      </c>
      <c r="JD18" s="21">
        <f t="shared" si="213"/>
        <v>0</v>
      </c>
      <c r="JE18" s="21">
        <f t="shared" si="214"/>
        <v>0</v>
      </c>
      <c r="JF18" s="21">
        <f t="shared" si="215"/>
        <v>0</v>
      </c>
      <c r="JG18" s="21">
        <f t="shared" si="216"/>
        <v>0</v>
      </c>
      <c r="JH18" s="21">
        <f t="shared" si="217"/>
        <v>0</v>
      </c>
      <c r="JI18" s="21">
        <f t="shared" si="218"/>
        <v>38.198999999999998</v>
      </c>
      <c r="JJ18" s="21">
        <f t="shared" si="219"/>
        <v>0</v>
      </c>
      <c r="JK18" s="21">
        <f t="shared" si="220"/>
        <v>0</v>
      </c>
      <c r="JL18" s="21">
        <f t="shared" si="221"/>
        <v>0</v>
      </c>
      <c r="JM18" s="21">
        <f t="shared" si="222"/>
        <v>0</v>
      </c>
      <c r="JN18" s="21">
        <f t="shared" si="223"/>
        <v>0.96299999999999986</v>
      </c>
      <c r="JO18" s="35">
        <f t="shared" si="110"/>
        <v>106.99999999999999</v>
      </c>
      <c r="JP18" s="38">
        <f t="shared" si="111"/>
        <v>0</v>
      </c>
      <c r="JQ18" s="43">
        <f t="shared" si="224"/>
        <v>0</v>
      </c>
      <c r="JR18" s="43">
        <f t="shared" si="225"/>
        <v>0</v>
      </c>
      <c r="JS18" s="43">
        <f t="shared" si="226"/>
        <v>0</v>
      </c>
      <c r="JT18" s="43">
        <f t="shared" si="227"/>
        <v>0</v>
      </c>
      <c r="JU18" s="43">
        <f t="shared" si="228"/>
        <v>0</v>
      </c>
      <c r="JV18" s="43">
        <f t="shared" si="229"/>
        <v>0</v>
      </c>
      <c r="JW18" s="43">
        <f t="shared" si="230"/>
        <v>0</v>
      </c>
      <c r="JX18" s="43">
        <f t="shared" si="231"/>
        <v>0</v>
      </c>
      <c r="JY18" s="43">
        <f t="shared" si="232"/>
        <v>0</v>
      </c>
      <c r="JZ18" s="43">
        <f t="shared" si="233"/>
        <v>0</v>
      </c>
      <c r="KA18" s="43">
        <f t="shared" si="234"/>
        <v>0</v>
      </c>
      <c r="KB18" s="43">
        <f t="shared" si="235"/>
        <v>0</v>
      </c>
      <c r="KC18" s="43">
        <f t="shared" si="236"/>
        <v>0</v>
      </c>
      <c r="KD18" s="43">
        <f t="shared" si="237"/>
        <v>0</v>
      </c>
      <c r="KE18" s="43">
        <f t="shared" si="238"/>
        <v>43.618282391919188</v>
      </c>
      <c r="KF18" s="43">
        <f t="shared" si="239"/>
        <v>57.111806399999999</v>
      </c>
      <c r="KG18" s="43">
        <f t="shared" si="240"/>
        <v>87.920311264000006</v>
      </c>
      <c r="KH18" s="43">
        <f t="shared" si="241"/>
        <v>0</v>
      </c>
      <c r="KI18" s="43">
        <f t="shared" si="242"/>
        <v>0</v>
      </c>
      <c r="KJ18" s="43">
        <f t="shared" si="243"/>
        <v>0</v>
      </c>
      <c r="KK18" s="43">
        <f t="shared" si="244"/>
        <v>0</v>
      </c>
      <c r="KL18" s="43">
        <f t="shared" si="245"/>
        <v>0</v>
      </c>
      <c r="KM18" s="43">
        <f t="shared" si="246"/>
        <v>0</v>
      </c>
      <c r="KN18" s="43">
        <f t="shared" si="247"/>
        <v>0</v>
      </c>
      <c r="KO18" s="43">
        <f t="shared" si="248"/>
        <v>0</v>
      </c>
      <c r="KP18" s="43">
        <f t="shared" si="249"/>
        <v>0</v>
      </c>
      <c r="KQ18" s="43">
        <f t="shared" si="250"/>
        <v>0</v>
      </c>
      <c r="KR18" s="43">
        <f t="shared" si="251"/>
        <v>49.562399999999997</v>
      </c>
      <c r="KS18" s="43">
        <f t="shared" si="252"/>
        <v>43.904209910303031</v>
      </c>
      <c r="KT18" s="43">
        <f t="shared" si="253"/>
        <v>0</v>
      </c>
      <c r="KU18" s="43">
        <f t="shared" si="254"/>
        <v>0</v>
      </c>
      <c r="KV18" s="43">
        <f t="shared" si="255"/>
        <v>0</v>
      </c>
      <c r="KW18" s="43">
        <f t="shared" si="256"/>
        <v>0</v>
      </c>
      <c r="KX18" s="43">
        <f t="shared" si="257"/>
        <v>0</v>
      </c>
      <c r="KY18" s="43">
        <f t="shared" si="258"/>
        <v>0</v>
      </c>
      <c r="KZ18" s="43">
        <f t="shared" si="259"/>
        <v>0</v>
      </c>
      <c r="LA18" s="43">
        <f t="shared" si="260"/>
        <v>12.861956399999999</v>
      </c>
      <c r="LB18" s="43">
        <f t="shared" si="261"/>
        <v>0</v>
      </c>
      <c r="LC18" s="43">
        <f t="shared" si="262"/>
        <v>0</v>
      </c>
      <c r="LD18" s="43">
        <f t="shared" si="263"/>
        <v>0</v>
      </c>
      <c r="LE18" s="43">
        <f t="shared" si="264"/>
        <v>0</v>
      </c>
      <c r="LF18" s="43">
        <f t="shared" si="265"/>
        <v>0</v>
      </c>
      <c r="LG18" s="43">
        <f t="shared" si="266"/>
        <v>0</v>
      </c>
      <c r="LH18" s="43">
        <f t="shared" si="267"/>
        <v>0</v>
      </c>
      <c r="LI18" s="43">
        <f t="shared" si="268"/>
        <v>0</v>
      </c>
      <c r="LJ18" s="43">
        <f t="shared" si="269"/>
        <v>0</v>
      </c>
      <c r="LK18" s="43">
        <f t="shared" si="270"/>
        <v>153.01564424999998</v>
      </c>
      <c r="LL18" s="43">
        <f t="shared" si="271"/>
        <v>0</v>
      </c>
      <c r="LM18" s="43">
        <f t="shared" si="272"/>
        <v>0</v>
      </c>
      <c r="LN18" s="43">
        <f t="shared" si="273"/>
        <v>0</v>
      </c>
      <c r="LO18" s="43">
        <f t="shared" si="274"/>
        <v>0</v>
      </c>
      <c r="LP18" s="43">
        <f t="shared" si="275"/>
        <v>8.1373499999999979</v>
      </c>
      <c r="LQ18" s="28">
        <f t="shared" si="113"/>
        <v>456.13196061622216</v>
      </c>
      <c r="LR18" s="65">
        <v>78</v>
      </c>
      <c r="LS18" s="32">
        <f t="shared" si="114"/>
        <v>5.847845648925925</v>
      </c>
      <c r="LT18" s="26">
        <f t="shared" si="115"/>
        <v>1.5977720352256626</v>
      </c>
      <c r="LU18" s="31">
        <f t="shared" si="116"/>
        <v>29</v>
      </c>
      <c r="LW18" s="42"/>
      <c r="MA18" s="32">
        <f t="shared" si="117"/>
        <v>4.2629155197777777</v>
      </c>
      <c r="MB18" s="26">
        <f t="shared" si="118"/>
        <v>1.164731016332726</v>
      </c>
    </row>
    <row r="19" spans="1:340" ht="15.75" thickBot="1">
      <c r="A19" t="b">
        <f t="shared" si="3"/>
        <v>1</v>
      </c>
      <c r="B19" s="123" t="s">
        <v>139</v>
      </c>
      <c r="C19" s="39" t="s">
        <v>83</v>
      </c>
      <c r="D19"/>
      <c r="E19" s="97">
        <v>46024</v>
      </c>
      <c r="F19" t="s">
        <v>43</v>
      </c>
      <c r="G19" t="s">
        <v>20</v>
      </c>
      <c r="H19" t="s">
        <v>27</v>
      </c>
      <c r="I19" s="77"/>
      <c r="J19" s="77"/>
      <c r="K19" s="77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24"/>
      <c r="AG19" s="124"/>
      <c r="AH19" s="104"/>
      <c r="AI19" s="104"/>
      <c r="AJ19" s="104">
        <v>0.4</v>
      </c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24">
        <v>0.6</v>
      </c>
      <c r="BD19" s="124"/>
      <c r="BE19" s="104"/>
      <c r="BF19" s="104"/>
      <c r="BG19" s="104"/>
      <c r="BH19" s="104"/>
      <c r="BI19" s="78">
        <f t="shared" si="4"/>
        <v>1</v>
      </c>
      <c r="BJ19" s="105"/>
      <c r="BK19" s="105"/>
      <c r="BL19" s="105"/>
      <c r="BM19" s="105"/>
      <c r="BN19" s="105"/>
      <c r="BO19" s="105"/>
      <c r="BP19" s="105"/>
      <c r="BQ19" s="105"/>
      <c r="BR19" s="105"/>
      <c r="BS19" s="105"/>
      <c r="BT19" s="105"/>
      <c r="BU19" s="105"/>
      <c r="BV19" s="105"/>
      <c r="BW19" s="105"/>
      <c r="BX19" s="105"/>
      <c r="BY19" s="105"/>
      <c r="BZ19" s="105"/>
      <c r="CA19" s="105"/>
      <c r="CB19" s="105"/>
      <c r="CC19" s="105"/>
      <c r="CD19" s="105"/>
      <c r="CE19" s="105"/>
      <c r="CF19" s="120"/>
      <c r="CG19" s="128"/>
      <c r="CH19" s="128"/>
      <c r="CI19" s="105"/>
      <c r="CJ19" s="105"/>
      <c r="CK19" s="105">
        <v>0.4</v>
      </c>
      <c r="CL19" s="105"/>
      <c r="CM19" s="105"/>
      <c r="CN19" s="105"/>
      <c r="CO19" s="105"/>
      <c r="CP19" s="105"/>
      <c r="CQ19" s="105"/>
      <c r="CR19" s="105"/>
      <c r="CS19" s="105"/>
      <c r="CT19" s="105"/>
      <c r="CU19" s="105"/>
      <c r="CV19" s="105"/>
      <c r="CW19" s="105"/>
      <c r="CX19" s="105"/>
      <c r="CY19" s="105"/>
      <c r="CZ19" s="105"/>
      <c r="DA19" s="105"/>
      <c r="DB19" s="105"/>
      <c r="DC19" s="105"/>
      <c r="DD19" s="125">
        <v>0.6</v>
      </c>
      <c r="DE19" s="125"/>
      <c r="DF19" s="105"/>
      <c r="DG19" s="105"/>
      <c r="DH19" s="105"/>
      <c r="DI19" s="105"/>
      <c r="DJ19" s="79">
        <f t="shared" si="5"/>
        <v>1</v>
      </c>
      <c r="DK19" s="108"/>
      <c r="DL19" s="108"/>
      <c r="DM19" s="108"/>
      <c r="DN19" s="108"/>
      <c r="DO19" s="108"/>
      <c r="DP19" s="108"/>
      <c r="DQ19" s="108"/>
      <c r="DR19" s="108"/>
      <c r="DS19" s="108"/>
      <c r="DT19" s="108"/>
      <c r="DU19" s="108"/>
      <c r="DV19" s="108"/>
      <c r="DW19" s="108"/>
      <c r="DX19" s="108"/>
      <c r="DY19" s="108"/>
      <c r="DZ19" s="108"/>
      <c r="EA19" s="108">
        <v>0.93</v>
      </c>
      <c r="EB19" s="108"/>
      <c r="EC19" s="108"/>
      <c r="ED19" s="108"/>
      <c r="EE19" s="108"/>
      <c r="EF19" s="108"/>
      <c r="EG19" s="108"/>
      <c r="EH19" s="129"/>
      <c r="EI19" s="129"/>
      <c r="EJ19" s="108"/>
      <c r="EK19" s="108"/>
      <c r="EL19" s="108"/>
      <c r="EM19" s="108"/>
      <c r="EN19" s="108"/>
      <c r="EO19" s="108"/>
      <c r="EP19" s="108"/>
      <c r="EQ19" s="108"/>
      <c r="ER19" s="108"/>
      <c r="ES19" s="106"/>
      <c r="ET19" s="106"/>
      <c r="EU19" s="106">
        <v>0.05</v>
      </c>
      <c r="EV19" s="106"/>
      <c r="EW19" s="106"/>
      <c r="EX19" s="106"/>
      <c r="EY19" s="106"/>
      <c r="EZ19" s="106"/>
      <c r="FA19" s="106">
        <v>5.0000000000000001E-3</v>
      </c>
      <c r="FB19" s="106"/>
      <c r="FC19" s="106"/>
      <c r="FD19" s="106"/>
      <c r="FE19" s="126"/>
      <c r="FF19" s="126"/>
      <c r="FG19" s="106"/>
      <c r="FH19" s="106"/>
      <c r="FI19" s="106"/>
      <c r="FJ19" s="106">
        <v>1.4999999999999999E-2</v>
      </c>
      <c r="FK19" s="17">
        <f t="shared" si="6"/>
        <v>1</v>
      </c>
      <c r="FL19" s="18"/>
      <c r="FM19" s="19">
        <f t="shared" si="119"/>
        <v>0</v>
      </c>
      <c r="FN19" s="19">
        <f t="shared" si="120"/>
        <v>0</v>
      </c>
      <c r="FO19" s="19">
        <f t="shared" si="121"/>
        <v>0</v>
      </c>
      <c r="FP19" s="19">
        <f t="shared" si="122"/>
        <v>0</v>
      </c>
      <c r="FQ19" s="19">
        <f t="shared" si="123"/>
        <v>0</v>
      </c>
      <c r="FR19" s="19">
        <f t="shared" si="124"/>
        <v>0</v>
      </c>
      <c r="FS19" s="19">
        <f t="shared" si="125"/>
        <v>0</v>
      </c>
      <c r="FT19" s="19">
        <f t="shared" si="126"/>
        <v>0</v>
      </c>
      <c r="FU19" s="19">
        <f t="shared" si="127"/>
        <v>0</v>
      </c>
      <c r="FV19" s="19">
        <f t="shared" si="128"/>
        <v>0</v>
      </c>
      <c r="FW19" s="19">
        <f t="shared" si="129"/>
        <v>0</v>
      </c>
      <c r="FX19" s="19">
        <f t="shared" si="130"/>
        <v>0</v>
      </c>
      <c r="FY19" s="19">
        <f t="shared" si="131"/>
        <v>0</v>
      </c>
      <c r="FZ19" s="19">
        <f t="shared" si="132"/>
        <v>0</v>
      </c>
      <c r="GA19" s="19">
        <f t="shared" si="133"/>
        <v>0</v>
      </c>
      <c r="GB19" s="19">
        <f t="shared" si="134"/>
        <v>0</v>
      </c>
      <c r="GC19" s="19">
        <f t="shared" si="135"/>
        <v>1.395</v>
      </c>
      <c r="GD19" s="19">
        <f t="shared" si="136"/>
        <v>0</v>
      </c>
      <c r="GE19" s="19">
        <f t="shared" si="137"/>
        <v>0</v>
      </c>
      <c r="GF19" s="19">
        <f t="shared" si="138"/>
        <v>0</v>
      </c>
      <c r="GG19" s="19">
        <f t="shared" si="139"/>
        <v>0</v>
      </c>
      <c r="GH19" s="19">
        <f t="shared" si="140"/>
        <v>0</v>
      </c>
      <c r="GI19" s="19">
        <f t="shared" si="141"/>
        <v>0</v>
      </c>
      <c r="GJ19" s="19">
        <f t="shared" si="142"/>
        <v>0</v>
      </c>
      <c r="GK19" s="19">
        <f t="shared" si="143"/>
        <v>0</v>
      </c>
      <c r="GL19" s="19">
        <f t="shared" si="144"/>
        <v>0</v>
      </c>
      <c r="GM19" s="19">
        <f t="shared" si="145"/>
        <v>0</v>
      </c>
      <c r="GN19" s="19">
        <f t="shared" si="146"/>
        <v>1.4000000000000001</v>
      </c>
      <c r="GO19" s="19">
        <f t="shared" si="147"/>
        <v>0</v>
      </c>
      <c r="GP19" s="19">
        <f t="shared" si="148"/>
        <v>0</v>
      </c>
      <c r="GQ19" s="19">
        <f t="shared" si="149"/>
        <v>0</v>
      </c>
      <c r="GR19" s="19">
        <f t="shared" si="150"/>
        <v>0</v>
      </c>
      <c r="GS19" s="19">
        <f t="shared" si="151"/>
        <v>0</v>
      </c>
      <c r="GT19" s="19">
        <f t="shared" si="152"/>
        <v>0</v>
      </c>
      <c r="GU19" s="19">
        <f t="shared" si="153"/>
        <v>0</v>
      </c>
      <c r="GV19" s="19">
        <f t="shared" si="154"/>
        <v>0</v>
      </c>
      <c r="GW19" s="19">
        <f t="shared" si="155"/>
        <v>7.5000000000000011E-2</v>
      </c>
      <c r="GX19" s="19">
        <f t="shared" si="156"/>
        <v>0</v>
      </c>
      <c r="GY19" s="19">
        <f t="shared" si="157"/>
        <v>0</v>
      </c>
      <c r="GZ19" s="19">
        <f t="shared" si="158"/>
        <v>0</v>
      </c>
      <c r="HA19" s="19">
        <f t="shared" si="159"/>
        <v>0</v>
      </c>
      <c r="HB19" s="19">
        <f t="shared" si="160"/>
        <v>0</v>
      </c>
      <c r="HC19" s="19">
        <f t="shared" si="161"/>
        <v>7.4999999999999997E-3</v>
      </c>
      <c r="HD19" s="19">
        <f t="shared" si="162"/>
        <v>0</v>
      </c>
      <c r="HE19" s="19">
        <f t="shared" si="163"/>
        <v>0</v>
      </c>
      <c r="HF19" s="19">
        <f t="shared" si="164"/>
        <v>0</v>
      </c>
      <c r="HG19" s="19">
        <f t="shared" si="165"/>
        <v>2.0999999999999996</v>
      </c>
      <c r="HH19" s="19">
        <f t="shared" si="166"/>
        <v>0</v>
      </c>
      <c r="HI19" s="19">
        <f t="shared" si="167"/>
        <v>0</v>
      </c>
      <c r="HJ19" s="19">
        <f t="shared" si="168"/>
        <v>0</v>
      </c>
      <c r="HK19" s="19">
        <f t="shared" si="169"/>
        <v>0</v>
      </c>
      <c r="HL19" s="19">
        <f t="shared" si="170"/>
        <v>2.2499999999999999E-2</v>
      </c>
      <c r="HM19" s="20">
        <f t="shared" si="171"/>
        <v>4.9999999999999991</v>
      </c>
      <c r="HN19" s="53">
        <v>584</v>
      </c>
      <c r="HO19" s="21">
        <f t="shared" si="172"/>
        <v>0</v>
      </c>
      <c r="HP19" s="21">
        <f t="shared" si="173"/>
        <v>0</v>
      </c>
      <c r="HQ19" s="21">
        <f t="shared" si="174"/>
        <v>0</v>
      </c>
      <c r="HR19" s="21">
        <f t="shared" si="175"/>
        <v>0</v>
      </c>
      <c r="HS19" s="21">
        <f t="shared" si="176"/>
        <v>0</v>
      </c>
      <c r="HT19" s="69">
        <f t="shared" si="177"/>
        <v>0</v>
      </c>
      <c r="HU19" s="21">
        <f t="shared" si="178"/>
        <v>0</v>
      </c>
      <c r="HV19" s="21">
        <f t="shared" si="179"/>
        <v>0</v>
      </c>
      <c r="HW19" s="21">
        <f t="shared" si="180"/>
        <v>0</v>
      </c>
      <c r="HX19" s="21">
        <f t="shared" si="181"/>
        <v>0</v>
      </c>
      <c r="HY19" s="21">
        <f t="shared" si="182"/>
        <v>0</v>
      </c>
      <c r="HZ19" s="21">
        <f t="shared" si="183"/>
        <v>0</v>
      </c>
      <c r="IA19" s="21">
        <f t="shared" si="184"/>
        <v>0</v>
      </c>
      <c r="IB19" s="21">
        <f t="shared" si="185"/>
        <v>0</v>
      </c>
      <c r="IC19" s="21">
        <f t="shared" si="186"/>
        <v>0</v>
      </c>
      <c r="ID19" s="21">
        <f t="shared" si="187"/>
        <v>0</v>
      </c>
      <c r="IE19" s="21">
        <f t="shared" si="188"/>
        <v>162.93600000000004</v>
      </c>
      <c r="IF19" s="69">
        <f t="shared" si="189"/>
        <v>0</v>
      </c>
      <c r="IG19" s="69">
        <f t="shared" si="190"/>
        <v>0</v>
      </c>
      <c r="IH19" s="69">
        <f t="shared" si="191"/>
        <v>0</v>
      </c>
      <c r="II19" s="21">
        <f t="shared" si="192"/>
        <v>0</v>
      </c>
      <c r="IJ19" s="21">
        <f t="shared" si="193"/>
        <v>0</v>
      </c>
      <c r="IK19" s="21">
        <f t="shared" si="194"/>
        <v>0</v>
      </c>
      <c r="IL19" s="21">
        <f t="shared" si="195"/>
        <v>0</v>
      </c>
      <c r="IM19" s="21">
        <f t="shared" si="196"/>
        <v>0</v>
      </c>
      <c r="IN19" s="21">
        <f t="shared" si="197"/>
        <v>0</v>
      </c>
      <c r="IO19" s="21">
        <f t="shared" si="198"/>
        <v>0</v>
      </c>
      <c r="IP19" s="21">
        <f t="shared" si="199"/>
        <v>163.52000000000004</v>
      </c>
      <c r="IQ19" s="21">
        <f t="shared" si="200"/>
        <v>0</v>
      </c>
      <c r="IR19" s="21">
        <f t="shared" si="201"/>
        <v>0</v>
      </c>
      <c r="IS19" s="21">
        <f t="shared" si="202"/>
        <v>0</v>
      </c>
      <c r="IT19" s="21">
        <f t="shared" si="203"/>
        <v>0</v>
      </c>
      <c r="IU19" s="21">
        <f t="shared" si="204"/>
        <v>0</v>
      </c>
      <c r="IV19" s="21">
        <f t="shared" si="205"/>
        <v>0</v>
      </c>
      <c r="IW19" s="21">
        <f t="shared" si="206"/>
        <v>0</v>
      </c>
      <c r="IX19" s="21">
        <f t="shared" si="207"/>
        <v>0</v>
      </c>
      <c r="IY19" s="21">
        <f t="shared" si="208"/>
        <v>8.7600000000000016</v>
      </c>
      <c r="IZ19" s="21">
        <f t="shared" si="209"/>
        <v>0</v>
      </c>
      <c r="JA19" s="21">
        <f t="shared" si="210"/>
        <v>0</v>
      </c>
      <c r="JB19" s="21">
        <f t="shared" si="211"/>
        <v>0</v>
      </c>
      <c r="JC19" s="21">
        <f t="shared" si="212"/>
        <v>0</v>
      </c>
      <c r="JD19" s="21">
        <f t="shared" si="213"/>
        <v>0</v>
      </c>
      <c r="JE19" s="21">
        <f t="shared" si="214"/>
        <v>0.87600000000000011</v>
      </c>
      <c r="JF19" s="21">
        <f t="shared" si="215"/>
        <v>0</v>
      </c>
      <c r="JG19" s="21">
        <f t="shared" si="216"/>
        <v>0</v>
      </c>
      <c r="JH19" s="21">
        <f t="shared" si="217"/>
        <v>0</v>
      </c>
      <c r="JI19" s="21">
        <f t="shared" si="218"/>
        <v>245.28000000000003</v>
      </c>
      <c r="JJ19" s="21">
        <f t="shared" si="219"/>
        <v>0</v>
      </c>
      <c r="JK19" s="21">
        <f t="shared" si="220"/>
        <v>0</v>
      </c>
      <c r="JL19" s="21">
        <f t="shared" si="221"/>
        <v>0</v>
      </c>
      <c r="JM19" s="21">
        <f t="shared" si="222"/>
        <v>0</v>
      </c>
      <c r="JN19" s="21">
        <f t="shared" si="223"/>
        <v>2.6280000000000001</v>
      </c>
      <c r="JO19" s="35">
        <f t="shared" si="110"/>
        <v>584.00000000000011</v>
      </c>
      <c r="JP19" s="38">
        <f t="shared" si="111"/>
        <v>0</v>
      </c>
      <c r="JQ19" s="43">
        <f t="shared" si="224"/>
        <v>0</v>
      </c>
      <c r="JR19" s="43">
        <f t="shared" si="225"/>
        <v>0</v>
      </c>
      <c r="JS19" s="43">
        <f t="shared" si="226"/>
        <v>0</v>
      </c>
      <c r="JT19" s="43">
        <f t="shared" si="227"/>
        <v>0</v>
      </c>
      <c r="JU19" s="43">
        <f t="shared" si="228"/>
        <v>0</v>
      </c>
      <c r="JV19" s="43">
        <f t="shared" si="229"/>
        <v>0</v>
      </c>
      <c r="JW19" s="43">
        <f t="shared" si="230"/>
        <v>0</v>
      </c>
      <c r="JX19" s="43">
        <f t="shared" si="231"/>
        <v>0</v>
      </c>
      <c r="JY19" s="43">
        <f t="shared" si="232"/>
        <v>0</v>
      </c>
      <c r="JZ19" s="43">
        <f t="shared" si="233"/>
        <v>0</v>
      </c>
      <c r="KA19" s="43">
        <f t="shared" si="234"/>
        <v>0</v>
      </c>
      <c r="KB19" s="43">
        <f t="shared" si="235"/>
        <v>0</v>
      </c>
      <c r="KC19" s="43">
        <f t="shared" si="236"/>
        <v>0</v>
      </c>
      <c r="KD19" s="43">
        <f t="shared" si="237"/>
        <v>0</v>
      </c>
      <c r="KE19" s="43">
        <f t="shared" si="238"/>
        <v>0</v>
      </c>
      <c r="KF19" s="43">
        <f t="shared" si="239"/>
        <v>0</v>
      </c>
      <c r="KG19" s="43">
        <f t="shared" si="240"/>
        <v>676.17218144581841</v>
      </c>
      <c r="KH19" s="43">
        <f t="shared" si="241"/>
        <v>0</v>
      </c>
      <c r="KI19" s="43">
        <f t="shared" si="242"/>
        <v>0</v>
      </c>
      <c r="KJ19" s="43">
        <f t="shared" si="243"/>
        <v>0</v>
      </c>
      <c r="KK19" s="43">
        <f t="shared" si="244"/>
        <v>0</v>
      </c>
      <c r="KL19" s="43">
        <f t="shared" si="245"/>
        <v>0</v>
      </c>
      <c r="KM19" s="43">
        <f t="shared" si="246"/>
        <v>0</v>
      </c>
      <c r="KN19" s="43">
        <f t="shared" si="247"/>
        <v>0</v>
      </c>
      <c r="KO19" s="43">
        <f t="shared" si="248"/>
        <v>0</v>
      </c>
      <c r="KP19" s="43">
        <f t="shared" si="249"/>
        <v>0</v>
      </c>
      <c r="KQ19" s="43">
        <f t="shared" si="250"/>
        <v>0</v>
      </c>
      <c r="KR19" s="43">
        <f t="shared" si="251"/>
        <v>631.18720000000008</v>
      </c>
      <c r="KS19" s="43">
        <f t="shared" si="252"/>
        <v>0</v>
      </c>
      <c r="KT19" s="43">
        <f t="shared" si="253"/>
        <v>0</v>
      </c>
      <c r="KU19" s="43">
        <f t="shared" si="254"/>
        <v>0</v>
      </c>
      <c r="KV19" s="43">
        <f t="shared" si="255"/>
        <v>0</v>
      </c>
      <c r="KW19" s="43">
        <f t="shared" si="256"/>
        <v>0</v>
      </c>
      <c r="KX19" s="43">
        <f t="shared" si="257"/>
        <v>0</v>
      </c>
      <c r="KY19" s="43">
        <f t="shared" si="258"/>
        <v>0</v>
      </c>
      <c r="KZ19" s="43">
        <f t="shared" si="259"/>
        <v>0</v>
      </c>
      <c r="LA19" s="43">
        <f t="shared" si="260"/>
        <v>35.0999184</v>
      </c>
      <c r="LB19" s="43">
        <f t="shared" si="261"/>
        <v>0</v>
      </c>
      <c r="LC19" s="43">
        <f t="shared" si="262"/>
        <v>0</v>
      </c>
      <c r="LD19" s="43">
        <f t="shared" si="263"/>
        <v>0</v>
      </c>
      <c r="LE19" s="43">
        <f t="shared" si="264"/>
        <v>0</v>
      </c>
      <c r="LF19" s="43">
        <f t="shared" si="265"/>
        <v>0</v>
      </c>
      <c r="LG19" s="43">
        <f t="shared" si="266"/>
        <v>9.0403200000000012</v>
      </c>
      <c r="LH19" s="43">
        <f t="shared" si="267"/>
        <v>0</v>
      </c>
      <c r="LI19" s="43">
        <f t="shared" si="268"/>
        <v>0</v>
      </c>
      <c r="LJ19" s="43">
        <f t="shared" si="269"/>
        <v>0</v>
      </c>
      <c r="LK19" s="43">
        <f t="shared" si="270"/>
        <v>982.53036000000009</v>
      </c>
      <c r="LL19" s="43">
        <f t="shared" si="271"/>
        <v>0</v>
      </c>
      <c r="LM19" s="43">
        <f t="shared" si="272"/>
        <v>0</v>
      </c>
      <c r="LN19" s="43">
        <f t="shared" si="273"/>
        <v>0</v>
      </c>
      <c r="LO19" s="43">
        <f t="shared" si="274"/>
        <v>0</v>
      </c>
      <c r="LP19" s="43">
        <f t="shared" si="275"/>
        <v>22.206599999999998</v>
      </c>
      <c r="LQ19" s="28">
        <f t="shared" si="113"/>
        <v>2356.2365798458186</v>
      </c>
      <c r="LR19" s="65">
        <v>572</v>
      </c>
      <c r="LS19" s="32">
        <f t="shared" si="114"/>
        <v>4.1192947200101724</v>
      </c>
      <c r="LT19" s="26">
        <f t="shared" si="115"/>
        <v>1.1254903606585169</v>
      </c>
      <c r="LU19" s="31">
        <f t="shared" si="116"/>
        <v>12</v>
      </c>
      <c r="LW19" s="42"/>
      <c r="MA19" s="32">
        <f t="shared" si="117"/>
        <v>4.0346516778181813</v>
      </c>
      <c r="MB19" s="26">
        <f t="shared" si="118"/>
        <v>1.1023638463984102</v>
      </c>
    </row>
    <row r="20" spans="1:340" ht="15.75" thickBot="1">
      <c r="A20" t="b">
        <f t="shared" si="3"/>
        <v>1</v>
      </c>
      <c r="B20" s="123" t="s">
        <v>140</v>
      </c>
      <c r="C20" s="39" t="s">
        <v>141</v>
      </c>
      <c r="D20"/>
      <c r="E20" s="97">
        <v>46024</v>
      </c>
      <c r="F20" t="s">
        <v>43</v>
      </c>
      <c r="G20" t="s">
        <v>20</v>
      </c>
      <c r="H20" t="s">
        <v>27</v>
      </c>
      <c r="I20" s="77"/>
      <c r="J20" s="77"/>
      <c r="K20" s="77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24"/>
      <c r="AG20" s="124"/>
      <c r="AH20" s="104"/>
      <c r="AI20" s="104"/>
      <c r="AJ20" s="104">
        <v>0.4</v>
      </c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24">
        <v>0.6</v>
      </c>
      <c r="BD20" s="124"/>
      <c r="BE20" s="104"/>
      <c r="BF20" s="104"/>
      <c r="BG20" s="104"/>
      <c r="BH20" s="104"/>
      <c r="BI20" s="78">
        <f t="shared" si="4"/>
        <v>1</v>
      </c>
      <c r="BJ20" s="105"/>
      <c r="BK20" s="105"/>
      <c r="BL20" s="105"/>
      <c r="BM20" s="105"/>
      <c r="BN20" s="105"/>
      <c r="BO20" s="105"/>
      <c r="BP20" s="105"/>
      <c r="BQ20" s="105"/>
      <c r="BR20" s="105"/>
      <c r="BS20" s="105"/>
      <c r="BT20" s="105"/>
      <c r="BU20" s="105"/>
      <c r="BV20" s="105"/>
      <c r="BW20" s="105"/>
      <c r="BX20" s="105"/>
      <c r="BY20" s="105"/>
      <c r="BZ20" s="105"/>
      <c r="CA20" s="105"/>
      <c r="CB20" s="105"/>
      <c r="CC20" s="105"/>
      <c r="CD20" s="105"/>
      <c r="CE20" s="105"/>
      <c r="CF20" s="120"/>
      <c r="CG20" s="128"/>
      <c r="CH20" s="128"/>
      <c r="CI20" s="105"/>
      <c r="CJ20" s="105"/>
      <c r="CK20" s="105">
        <v>0.4</v>
      </c>
      <c r="CL20" s="105"/>
      <c r="CM20" s="105"/>
      <c r="CN20" s="105"/>
      <c r="CO20" s="105"/>
      <c r="CP20" s="105"/>
      <c r="CQ20" s="105"/>
      <c r="CR20" s="105"/>
      <c r="CS20" s="105"/>
      <c r="CT20" s="105"/>
      <c r="CU20" s="105"/>
      <c r="CV20" s="105"/>
      <c r="CW20" s="105"/>
      <c r="CX20" s="105"/>
      <c r="CY20" s="105"/>
      <c r="CZ20" s="105"/>
      <c r="DA20" s="105"/>
      <c r="DB20" s="105"/>
      <c r="DC20" s="105"/>
      <c r="DD20" s="125">
        <v>0.6</v>
      </c>
      <c r="DE20" s="125"/>
      <c r="DF20" s="105"/>
      <c r="DG20" s="105"/>
      <c r="DH20" s="105"/>
      <c r="DI20" s="105"/>
      <c r="DJ20" s="79">
        <f t="shared" si="5"/>
        <v>1</v>
      </c>
      <c r="DK20" s="108"/>
      <c r="DL20" s="108"/>
      <c r="DM20" s="108"/>
      <c r="DN20" s="108"/>
      <c r="DO20" s="108"/>
      <c r="DP20" s="108"/>
      <c r="DQ20" s="108"/>
      <c r="DR20" s="108"/>
      <c r="DS20" s="108"/>
      <c r="DT20" s="108"/>
      <c r="DU20" s="108"/>
      <c r="DV20" s="108"/>
      <c r="DW20" s="108"/>
      <c r="DX20" s="108"/>
      <c r="DY20" s="108"/>
      <c r="DZ20" s="108"/>
      <c r="EA20" s="108">
        <v>0.93</v>
      </c>
      <c r="EB20" s="108"/>
      <c r="EC20" s="108"/>
      <c r="ED20" s="108"/>
      <c r="EE20" s="108"/>
      <c r="EF20" s="108"/>
      <c r="EG20" s="108"/>
      <c r="EH20" s="129"/>
      <c r="EI20" s="129"/>
      <c r="EJ20" s="108"/>
      <c r="EK20" s="108"/>
      <c r="EL20" s="108"/>
      <c r="EM20" s="108"/>
      <c r="EN20" s="108"/>
      <c r="EO20" s="108"/>
      <c r="EP20" s="108"/>
      <c r="EQ20" s="108"/>
      <c r="ER20" s="108"/>
      <c r="ES20" s="106"/>
      <c r="ET20" s="106"/>
      <c r="EU20" s="106">
        <v>0.05</v>
      </c>
      <c r="EV20" s="106"/>
      <c r="EW20" s="106"/>
      <c r="EX20" s="106"/>
      <c r="EY20" s="106"/>
      <c r="EZ20" s="106"/>
      <c r="FA20" s="106">
        <v>5.0000000000000001E-3</v>
      </c>
      <c r="FB20" s="106"/>
      <c r="FC20" s="106"/>
      <c r="FD20" s="106"/>
      <c r="FE20" s="126"/>
      <c r="FF20" s="126"/>
      <c r="FG20" s="106"/>
      <c r="FH20" s="106"/>
      <c r="FI20" s="106"/>
      <c r="FJ20" s="106">
        <v>1.4999999999999999E-2</v>
      </c>
      <c r="FK20" s="17">
        <f t="shared" si="6"/>
        <v>1</v>
      </c>
      <c r="FL20" s="18"/>
      <c r="FM20" s="19">
        <f t="shared" si="119"/>
        <v>0</v>
      </c>
      <c r="FN20" s="19">
        <f t="shared" si="120"/>
        <v>0</v>
      </c>
      <c r="FO20" s="19">
        <f t="shared" si="121"/>
        <v>0</v>
      </c>
      <c r="FP20" s="19">
        <f t="shared" si="122"/>
        <v>0</v>
      </c>
      <c r="FQ20" s="19">
        <f t="shared" si="123"/>
        <v>0</v>
      </c>
      <c r="FR20" s="19">
        <f t="shared" si="124"/>
        <v>0</v>
      </c>
      <c r="FS20" s="19">
        <f t="shared" si="125"/>
        <v>0</v>
      </c>
      <c r="FT20" s="19">
        <f t="shared" si="126"/>
        <v>0</v>
      </c>
      <c r="FU20" s="19">
        <f t="shared" si="127"/>
        <v>0</v>
      </c>
      <c r="FV20" s="19">
        <f t="shared" si="128"/>
        <v>0</v>
      </c>
      <c r="FW20" s="19">
        <f t="shared" si="129"/>
        <v>0</v>
      </c>
      <c r="FX20" s="19">
        <f t="shared" si="130"/>
        <v>0</v>
      </c>
      <c r="FY20" s="19">
        <f t="shared" si="131"/>
        <v>0</v>
      </c>
      <c r="FZ20" s="19">
        <f t="shared" si="132"/>
        <v>0</v>
      </c>
      <c r="GA20" s="19">
        <f t="shared" si="133"/>
        <v>0</v>
      </c>
      <c r="GB20" s="19">
        <f t="shared" si="134"/>
        <v>0</v>
      </c>
      <c r="GC20" s="19">
        <f t="shared" si="135"/>
        <v>1.395</v>
      </c>
      <c r="GD20" s="19">
        <f t="shared" si="136"/>
        <v>0</v>
      </c>
      <c r="GE20" s="19">
        <f t="shared" si="137"/>
        <v>0</v>
      </c>
      <c r="GF20" s="19">
        <f t="shared" si="138"/>
        <v>0</v>
      </c>
      <c r="GG20" s="19">
        <f t="shared" si="139"/>
        <v>0</v>
      </c>
      <c r="GH20" s="19">
        <f t="shared" si="140"/>
        <v>0</v>
      </c>
      <c r="GI20" s="19">
        <f t="shared" si="141"/>
        <v>0</v>
      </c>
      <c r="GJ20" s="19">
        <f t="shared" si="142"/>
        <v>0</v>
      </c>
      <c r="GK20" s="19">
        <f t="shared" si="143"/>
        <v>0</v>
      </c>
      <c r="GL20" s="19">
        <f t="shared" si="144"/>
        <v>0</v>
      </c>
      <c r="GM20" s="19">
        <f t="shared" si="145"/>
        <v>0</v>
      </c>
      <c r="GN20" s="19">
        <f t="shared" si="146"/>
        <v>1.4000000000000001</v>
      </c>
      <c r="GO20" s="19">
        <f t="shared" si="147"/>
        <v>0</v>
      </c>
      <c r="GP20" s="19">
        <f t="shared" si="148"/>
        <v>0</v>
      </c>
      <c r="GQ20" s="19">
        <f t="shared" si="149"/>
        <v>0</v>
      </c>
      <c r="GR20" s="19">
        <f t="shared" si="150"/>
        <v>0</v>
      </c>
      <c r="GS20" s="19">
        <f t="shared" si="151"/>
        <v>0</v>
      </c>
      <c r="GT20" s="19">
        <f t="shared" si="152"/>
        <v>0</v>
      </c>
      <c r="GU20" s="19">
        <f t="shared" si="153"/>
        <v>0</v>
      </c>
      <c r="GV20" s="19">
        <f t="shared" si="154"/>
        <v>0</v>
      </c>
      <c r="GW20" s="19">
        <f t="shared" si="155"/>
        <v>7.5000000000000011E-2</v>
      </c>
      <c r="GX20" s="19">
        <f t="shared" si="156"/>
        <v>0</v>
      </c>
      <c r="GY20" s="19">
        <f t="shared" si="157"/>
        <v>0</v>
      </c>
      <c r="GZ20" s="19">
        <f t="shared" si="158"/>
        <v>0</v>
      </c>
      <c r="HA20" s="19">
        <f t="shared" si="159"/>
        <v>0</v>
      </c>
      <c r="HB20" s="19">
        <f t="shared" si="160"/>
        <v>0</v>
      </c>
      <c r="HC20" s="19">
        <f t="shared" si="161"/>
        <v>7.4999999999999997E-3</v>
      </c>
      <c r="HD20" s="19">
        <f t="shared" si="162"/>
        <v>0</v>
      </c>
      <c r="HE20" s="19">
        <f t="shared" si="163"/>
        <v>0</v>
      </c>
      <c r="HF20" s="19">
        <f t="shared" si="164"/>
        <v>0</v>
      </c>
      <c r="HG20" s="19">
        <f t="shared" si="165"/>
        <v>2.0999999999999996</v>
      </c>
      <c r="HH20" s="19">
        <f t="shared" si="166"/>
        <v>0</v>
      </c>
      <c r="HI20" s="19">
        <f t="shared" si="167"/>
        <v>0</v>
      </c>
      <c r="HJ20" s="19">
        <f t="shared" si="168"/>
        <v>0</v>
      </c>
      <c r="HK20" s="19">
        <f t="shared" si="169"/>
        <v>0</v>
      </c>
      <c r="HL20" s="19">
        <f t="shared" si="170"/>
        <v>2.2499999999999999E-2</v>
      </c>
      <c r="HM20" s="20">
        <f t="shared" si="171"/>
        <v>4.9999999999999991</v>
      </c>
      <c r="HN20" s="53">
        <v>671</v>
      </c>
      <c r="HO20" s="21">
        <f t="shared" si="172"/>
        <v>0</v>
      </c>
      <c r="HP20" s="21">
        <f t="shared" si="173"/>
        <v>0</v>
      </c>
      <c r="HQ20" s="21">
        <f t="shared" si="174"/>
        <v>0</v>
      </c>
      <c r="HR20" s="21">
        <f t="shared" si="175"/>
        <v>0</v>
      </c>
      <c r="HS20" s="21">
        <f t="shared" si="176"/>
        <v>0</v>
      </c>
      <c r="HT20" s="69">
        <f t="shared" si="177"/>
        <v>0</v>
      </c>
      <c r="HU20" s="21">
        <f t="shared" si="178"/>
        <v>0</v>
      </c>
      <c r="HV20" s="21">
        <f t="shared" si="179"/>
        <v>0</v>
      </c>
      <c r="HW20" s="21">
        <f t="shared" si="180"/>
        <v>0</v>
      </c>
      <c r="HX20" s="21">
        <f t="shared" si="181"/>
        <v>0</v>
      </c>
      <c r="HY20" s="21">
        <f t="shared" si="182"/>
        <v>0</v>
      </c>
      <c r="HZ20" s="21">
        <f t="shared" si="183"/>
        <v>0</v>
      </c>
      <c r="IA20" s="21">
        <f t="shared" si="184"/>
        <v>0</v>
      </c>
      <c r="IB20" s="21">
        <f t="shared" si="185"/>
        <v>0</v>
      </c>
      <c r="IC20" s="21">
        <f t="shared" si="186"/>
        <v>0</v>
      </c>
      <c r="ID20" s="21">
        <f t="shared" si="187"/>
        <v>0</v>
      </c>
      <c r="IE20" s="21">
        <f t="shared" si="188"/>
        <v>187.20900000000003</v>
      </c>
      <c r="IF20" s="69">
        <f t="shared" si="189"/>
        <v>0</v>
      </c>
      <c r="IG20" s="69">
        <f t="shared" si="190"/>
        <v>0</v>
      </c>
      <c r="IH20" s="69">
        <f t="shared" si="191"/>
        <v>0</v>
      </c>
      <c r="II20" s="21">
        <f t="shared" si="192"/>
        <v>0</v>
      </c>
      <c r="IJ20" s="21">
        <f t="shared" si="193"/>
        <v>0</v>
      </c>
      <c r="IK20" s="21">
        <f t="shared" si="194"/>
        <v>0</v>
      </c>
      <c r="IL20" s="21">
        <f t="shared" si="195"/>
        <v>0</v>
      </c>
      <c r="IM20" s="21">
        <f t="shared" si="196"/>
        <v>0</v>
      </c>
      <c r="IN20" s="21">
        <f t="shared" si="197"/>
        <v>0</v>
      </c>
      <c r="IO20" s="21">
        <f t="shared" si="198"/>
        <v>0</v>
      </c>
      <c r="IP20" s="21">
        <f t="shared" si="199"/>
        <v>187.88000000000005</v>
      </c>
      <c r="IQ20" s="21">
        <f t="shared" si="200"/>
        <v>0</v>
      </c>
      <c r="IR20" s="21">
        <f t="shared" si="201"/>
        <v>0</v>
      </c>
      <c r="IS20" s="21">
        <f t="shared" si="202"/>
        <v>0</v>
      </c>
      <c r="IT20" s="21">
        <f t="shared" si="203"/>
        <v>0</v>
      </c>
      <c r="IU20" s="21">
        <f t="shared" si="204"/>
        <v>0</v>
      </c>
      <c r="IV20" s="21">
        <f t="shared" si="205"/>
        <v>0</v>
      </c>
      <c r="IW20" s="21">
        <f t="shared" si="206"/>
        <v>0</v>
      </c>
      <c r="IX20" s="21">
        <f t="shared" si="207"/>
        <v>0</v>
      </c>
      <c r="IY20" s="21">
        <f t="shared" si="208"/>
        <v>10.065000000000003</v>
      </c>
      <c r="IZ20" s="21">
        <f t="shared" si="209"/>
        <v>0</v>
      </c>
      <c r="JA20" s="21">
        <f t="shared" si="210"/>
        <v>0</v>
      </c>
      <c r="JB20" s="21">
        <f t="shared" si="211"/>
        <v>0</v>
      </c>
      <c r="JC20" s="21">
        <f t="shared" si="212"/>
        <v>0</v>
      </c>
      <c r="JD20" s="21">
        <f t="shared" si="213"/>
        <v>0</v>
      </c>
      <c r="JE20" s="21">
        <f t="shared" si="214"/>
        <v>1.0065000000000002</v>
      </c>
      <c r="JF20" s="21">
        <f t="shared" si="215"/>
        <v>0</v>
      </c>
      <c r="JG20" s="21">
        <f t="shared" si="216"/>
        <v>0</v>
      </c>
      <c r="JH20" s="21">
        <f t="shared" si="217"/>
        <v>0</v>
      </c>
      <c r="JI20" s="21">
        <f t="shared" si="218"/>
        <v>281.82</v>
      </c>
      <c r="JJ20" s="21">
        <f t="shared" si="219"/>
        <v>0</v>
      </c>
      <c r="JK20" s="21">
        <f t="shared" si="220"/>
        <v>0</v>
      </c>
      <c r="JL20" s="21">
        <f t="shared" si="221"/>
        <v>0</v>
      </c>
      <c r="JM20" s="21">
        <f t="shared" si="222"/>
        <v>0</v>
      </c>
      <c r="JN20" s="21">
        <f t="shared" si="223"/>
        <v>3.0195000000000007</v>
      </c>
      <c r="JO20" s="35">
        <f t="shared" si="110"/>
        <v>671.00000000000011</v>
      </c>
      <c r="JP20" s="38">
        <f t="shared" si="111"/>
        <v>0</v>
      </c>
      <c r="JQ20" s="43">
        <f t="shared" si="224"/>
        <v>0</v>
      </c>
      <c r="JR20" s="43">
        <f t="shared" si="225"/>
        <v>0</v>
      </c>
      <c r="JS20" s="43">
        <f t="shared" si="226"/>
        <v>0</v>
      </c>
      <c r="JT20" s="43">
        <f t="shared" si="227"/>
        <v>0</v>
      </c>
      <c r="JU20" s="43">
        <f t="shared" si="228"/>
        <v>0</v>
      </c>
      <c r="JV20" s="43">
        <f t="shared" si="229"/>
        <v>0</v>
      </c>
      <c r="JW20" s="43">
        <f t="shared" si="230"/>
        <v>0</v>
      </c>
      <c r="JX20" s="43">
        <f t="shared" si="231"/>
        <v>0</v>
      </c>
      <c r="JY20" s="43">
        <f t="shared" si="232"/>
        <v>0</v>
      </c>
      <c r="JZ20" s="43">
        <f t="shared" si="233"/>
        <v>0</v>
      </c>
      <c r="KA20" s="43">
        <f t="shared" si="234"/>
        <v>0</v>
      </c>
      <c r="KB20" s="43">
        <f t="shared" si="235"/>
        <v>0</v>
      </c>
      <c r="KC20" s="43">
        <f t="shared" si="236"/>
        <v>0</v>
      </c>
      <c r="KD20" s="43">
        <f t="shared" si="237"/>
        <v>0</v>
      </c>
      <c r="KE20" s="43">
        <f t="shared" si="238"/>
        <v>0</v>
      </c>
      <c r="KF20" s="43">
        <f t="shared" si="239"/>
        <v>0</v>
      </c>
      <c r="KG20" s="43">
        <f t="shared" si="240"/>
        <v>776.90331121600013</v>
      </c>
      <c r="KH20" s="43">
        <f t="shared" si="241"/>
        <v>0</v>
      </c>
      <c r="KI20" s="43">
        <f t="shared" si="242"/>
        <v>0</v>
      </c>
      <c r="KJ20" s="43">
        <f t="shared" si="243"/>
        <v>0</v>
      </c>
      <c r="KK20" s="43">
        <f t="shared" si="244"/>
        <v>0</v>
      </c>
      <c r="KL20" s="43">
        <f t="shared" si="245"/>
        <v>0</v>
      </c>
      <c r="KM20" s="43">
        <f t="shared" si="246"/>
        <v>0</v>
      </c>
      <c r="KN20" s="43">
        <f t="shared" si="247"/>
        <v>0</v>
      </c>
      <c r="KO20" s="43">
        <f t="shared" si="248"/>
        <v>0</v>
      </c>
      <c r="KP20" s="43">
        <f t="shared" si="249"/>
        <v>0</v>
      </c>
      <c r="KQ20" s="43">
        <f t="shared" si="250"/>
        <v>0</v>
      </c>
      <c r="KR20" s="43">
        <f t="shared" si="251"/>
        <v>725.21680000000015</v>
      </c>
      <c r="KS20" s="43">
        <f t="shared" si="252"/>
        <v>0</v>
      </c>
      <c r="KT20" s="43">
        <f t="shared" si="253"/>
        <v>0</v>
      </c>
      <c r="KU20" s="43">
        <f t="shared" si="254"/>
        <v>0</v>
      </c>
      <c r="KV20" s="43">
        <f t="shared" si="255"/>
        <v>0</v>
      </c>
      <c r="KW20" s="43">
        <f t="shared" si="256"/>
        <v>0</v>
      </c>
      <c r="KX20" s="43">
        <f t="shared" si="257"/>
        <v>0</v>
      </c>
      <c r="KY20" s="43">
        <f t="shared" si="258"/>
        <v>0</v>
      </c>
      <c r="KZ20" s="43">
        <f t="shared" si="259"/>
        <v>0</v>
      </c>
      <c r="LA20" s="43">
        <f t="shared" si="260"/>
        <v>40.328844600000011</v>
      </c>
      <c r="LB20" s="43">
        <f t="shared" si="261"/>
        <v>0</v>
      </c>
      <c r="LC20" s="43">
        <f t="shared" si="262"/>
        <v>0</v>
      </c>
      <c r="LD20" s="43">
        <f t="shared" si="263"/>
        <v>0</v>
      </c>
      <c r="LE20" s="43">
        <f t="shared" si="264"/>
        <v>0</v>
      </c>
      <c r="LF20" s="43">
        <f t="shared" si="265"/>
        <v>0</v>
      </c>
      <c r="LG20" s="43">
        <f t="shared" si="266"/>
        <v>10.387080000000003</v>
      </c>
      <c r="LH20" s="43">
        <f t="shared" si="267"/>
        <v>0</v>
      </c>
      <c r="LI20" s="43">
        <f t="shared" si="268"/>
        <v>0</v>
      </c>
      <c r="LJ20" s="43">
        <f t="shared" si="269"/>
        <v>0</v>
      </c>
      <c r="LK20" s="43">
        <f t="shared" si="270"/>
        <v>1128.9004649999999</v>
      </c>
      <c r="LL20" s="43">
        <f t="shared" si="271"/>
        <v>0</v>
      </c>
      <c r="LM20" s="43">
        <f t="shared" si="272"/>
        <v>0</v>
      </c>
      <c r="LN20" s="43">
        <f t="shared" si="273"/>
        <v>0</v>
      </c>
      <c r="LO20" s="43">
        <f t="shared" si="274"/>
        <v>0</v>
      </c>
      <c r="LP20" s="43">
        <f t="shared" si="275"/>
        <v>25.514775000000004</v>
      </c>
      <c r="LQ20" s="28">
        <f t="shared" si="113"/>
        <v>2707.2512758160001</v>
      </c>
      <c r="LR20" s="65">
        <v>574</v>
      </c>
      <c r="LS20" s="32">
        <f t="shared" si="114"/>
        <v>4.7164656373101046</v>
      </c>
      <c r="LT20" s="26">
        <f t="shared" si="115"/>
        <v>1.2886518134727061</v>
      </c>
      <c r="LU20" s="31">
        <f t="shared" si="116"/>
        <v>97</v>
      </c>
      <c r="LW20" s="42"/>
      <c r="MA20" s="32">
        <f t="shared" si="117"/>
        <v>4.0346516778181813</v>
      </c>
      <c r="MB20" s="26">
        <f t="shared" si="118"/>
        <v>1.1023638463984102</v>
      </c>
    </row>
    <row r="21" spans="1:340" ht="15.75" thickBot="1">
      <c r="A21" t="b">
        <f t="shared" si="3"/>
        <v>1</v>
      </c>
      <c r="B21" s="123" t="s">
        <v>142</v>
      </c>
      <c r="C21" s="39" t="s">
        <v>143</v>
      </c>
      <c r="D21"/>
      <c r="E21" s="97">
        <v>46023</v>
      </c>
      <c r="F21" t="s">
        <v>43</v>
      </c>
      <c r="G21" t="s">
        <v>20</v>
      </c>
      <c r="H21" t="s">
        <v>26</v>
      </c>
      <c r="I21" s="77"/>
      <c r="J21" s="77"/>
      <c r="K21" s="77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24"/>
      <c r="AG21" s="124"/>
      <c r="AH21" s="104"/>
      <c r="AI21" s="104"/>
      <c r="AJ21" s="104">
        <v>0.35</v>
      </c>
      <c r="AK21" s="104"/>
      <c r="AL21" s="104"/>
      <c r="AM21" s="104"/>
      <c r="AN21" s="104"/>
      <c r="AO21" s="104"/>
      <c r="AP21" s="104"/>
      <c r="AQ21" s="104"/>
      <c r="AR21" s="104">
        <v>0.05</v>
      </c>
      <c r="AS21" s="104"/>
      <c r="AT21" s="104"/>
      <c r="AU21" s="104"/>
      <c r="AV21" s="104"/>
      <c r="AW21" s="104"/>
      <c r="AX21" s="104"/>
      <c r="AY21" s="104"/>
      <c r="AZ21" s="104">
        <v>0.6</v>
      </c>
      <c r="BA21" s="104"/>
      <c r="BB21" s="104"/>
      <c r="BC21" s="124"/>
      <c r="BD21" s="124"/>
      <c r="BE21" s="104"/>
      <c r="BF21" s="104"/>
      <c r="BG21" s="104"/>
      <c r="BH21" s="104"/>
      <c r="BI21" s="78">
        <f t="shared" si="4"/>
        <v>1</v>
      </c>
      <c r="BJ21" s="105"/>
      <c r="BK21" s="105"/>
      <c r="BL21" s="105"/>
      <c r="BM21" s="105"/>
      <c r="BN21" s="105"/>
      <c r="BO21" s="105"/>
      <c r="BP21" s="105"/>
      <c r="BQ21" s="105"/>
      <c r="BR21" s="105"/>
      <c r="BS21" s="105"/>
      <c r="BT21" s="105"/>
      <c r="BU21" s="105"/>
      <c r="BV21" s="105"/>
      <c r="BW21" s="105"/>
      <c r="BX21" s="105"/>
      <c r="BY21" s="105"/>
      <c r="BZ21" s="105"/>
      <c r="CA21" s="105"/>
      <c r="CB21" s="105"/>
      <c r="CC21" s="105"/>
      <c r="CD21" s="105"/>
      <c r="CE21" s="105"/>
      <c r="CF21" s="120"/>
      <c r="CG21" s="128"/>
      <c r="CH21" s="128"/>
      <c r="CI21" s="105"/>
      <c r="CJ21" s="105"/>
      <c r="CK21" s="105"/>
      <c r="CL21" s="105">
        <v>0.35</v>
      </c>
      <c r="CM21" s="105"/>
      <c r="CN21" s="105"/>
      <c r="CO21" s="105"/>
      <c r="CP21" s="105"/>
      <c r="CQ21" s="105"/>
      <c r="CR21" s="105"/>
      <c r="CS21" s="105">
        <v>0.05</v>
      </c>
      <c r="CT21" s="105"/>
      <c r="CU21" s="105"/>
      <c r="CV21" s="105"/>
      <c r="CW21" s="105"/>
      <c r="CX21" s="105"/>
      <c r="CY21" s="105"/>
      <c r="CZ21" s="105"/>
      <c r="DA21" s="105">
        <v>0.6</v>
      </c>
      <c r="DB21" s="105"/>
      <c r="DC21" s="105"/>
      <c r="DD21" s="125"/>
      <c r="DE21" s="125"/>
      <c r="DF21" s="105"/>
      <c r="DG21" s="105"/>
      <c r="DH21" s="105"/>
      <c r="DI21" s="105"/>
      <c r="DJ21" s="79">
        <f t="shared" si="5"/>
        <v>1</v>
      </c>
      <c r="DK21" s="108"/>
      <c r="DL21" s="108"/>
      <c r="DM21" s="108"/>
      <c r="DN21" s="108"/>
      <c r="DO21" s="108"/>
      <c r="DP21" s="108"/>
      <c r="DQ21" s="108"/>
      <c r="DR21" s="108"/>
      <c r="DS21" s="108">
        <v>0.2</v>
      </c>
      <c r="DT21" s="108"/>
      <c r="DU21" s="108"/>
      <c r="DV21" s="108"/>
      <c r="DW21" s="108"/>
      <c r="DX21" s="108"/>
      <c r="DY21" s="108"/>
      <c r="DZ21" s="108"/>
      <c r="EA21" s="108">
        <v>0.6</v>
      </c>
      <c r="EB21" s="108"/>
      <c r="EC21" s="108"/>
      <c r="ED21" s="108"/>
      <c r="EE21" s="108"/>
      <c r="EF21" s="108"/>
      <c r="EG21" s="108"/>
      <c r="EH21" s="129"/>
      <c r="EI21" s="129"/>
      <c r="EJ21" s="108"/>
      <c r="EK21" s="108"/>
      <c r="EL21" s="108"/>
      <c r="EM21" s="108"/>
      <c r="EN21" s="108"/>
      <c r="EO21" s="108"/>
      <c r="EP21" s="108"/>
      <c r="EQ21" s="108"/>
      <c r="ER21" s="108"/>
      <c r="ES21" s="106"/>
      <c r="ET21" s="106"/>
      <c r="EU21" s="106">
        <v>0.18</v>
      </c>
      <c r="EV21" s="106"/>
      <c r="EW21" s="106"/>
      <c r="EX21" s="106"/>
      <c r="EY21" s="106"/>
      <c r="EZ21" s="106"/>
      <c r="FA21" s="106"/>
      <c r="FB21" s="106"/>
      <c r="FC21" s="106"/>
      <c r="FD21" s="106"/>
      <c r="FE21" s="126"/>
      <c r="FF21" s="126"/>
      <c r="FG21" s="106"/>
      <c r="FH21" s="106"/>
      <c r="FI21" s="106"/>
      <c r="FJ21" s="106">
        <v>0.02</v>
      </c>
      <c r="FK21" s="17">
        <f t="shared" si="6"/>
        <v>1</v>
      </c>
      <c r="FL21" s="18"/>
      <c r="FM21" s="19">
        <f t="shared" si="119"/>
        <v>0</v>
      </c>
      <c r="FN21" s="19">
        <f t="shared" si="120"/>
        <v>0</v>
      </c>
      <c r="FO21" s="19">
        <f t="shared" si="121"/>
        <v>0</v>
      </c>
      <c r="FP21" s="19">
        <f t="shared" si="122"/>
        <v>0</v>
      </c>
      <c r="FQ21" s="19">
        <f t="shared" si="123"/>
        <v>0</v>
      </c>
      <c r="FR21" s="19">
        <f t="shared" si="124"/>
        <v>0</v>
      </c>
      <c r="FS21" s="19">
        <f t="shared" si="125"/>
        <v>0</v>
      </c>
      <c r="FT21" s="19">
        <f t="shared" si="126"/>
        <v>0</v>
      </c>
      <c r="FU21" s="19">
        <f t="shared" si="127"/>
        <v>0.30000000000000004</v>
      </c>
      <c r="FV21" s="19">
        <f t="shared" si="128"/>
        <v>0</v>
      </c>
      <c r="FW21" s="19">
        <f t="shared" si="129"/>
        <v>0</v>
      </c>
      <c r="FX21" s="19">
        <f t="shared" si="130"/>
        <v>0</v>
      </c>
      <c r="FY21" s="19">
        <f t="shared" si="131"/>
        <v>0</v>
      </c>
      <c r="FZ21" s="19">
        <f t="shared" si="132"/>
        <v>0</v>
      </c>
      <c r="GA21" s="19">
        <f t="shared" si="133"/>
        <v>0</v>
      </c>
      <c r="GB21" s="19">
        <f t="shared" si="134"/>
        <v>0</v>
      </c>
      <c r="GC21" s="19">
        <f t="shared" si="135"/>
        <v>0.89999999999999991</v>
      </c>
      <c r="GD21" s="19">
        <f t="shared" si="136"/>
        <v>0</v>
      </c>
      <c r="GE21" s="19">
        <f t="shared" si="137"/>
        <v>0</v>
      </c>
      <c r="GF21" s="19">
        <f t="shared" si="138"/>
        <v>0</v>
      </c>
      <c r="GG21" s="19">
        <f t="shared" si="139"/>
        <v>0</v>
      </c>
      <c r="GH21" s="19">
        <f t="shared" si="140"/>
        <v>0</v>
      </c>
      <c r="GI21" s="19">
        <f t="shared" si="141"/>
        <v>0</v>
      </c>
      <c r="GJ21" s="19">
        <f t="shared" si="142"/>
        <v>0</v>
      </c>
      <c r="GK21" s="19">
        <f t="shared" si="143"/>
        <v>0</v>
      </c>
      <c r="GL21" s="19">
        <f t="shared" si="144"/>
        <v>0</v>
      </c>
      <c r="GM21" s="19">
        <f t="shared" si="145"/>
        <v>0</v>
      </c>
      <c r="GN21" s="19">
        <f t="shared" si="146"/>
        <v>0.52499999999999991</v>
      </c>
      <c r="GO21" s="19">
        <f t="shared" si="147"/>
        <v>0.7</v>
      </c>
      <c r="GP21" s="19">
        <f t="shared" si="148"/>
        <v>0</v>
      </c>
      <c r="GQ21" s="19">
        <f t="shared" si="149"/>
        <v>0</v>
      </c>
      <c r="GR21" s="19">
        <f t="shared" si="150"/>
        <v>0</v>
      </c>
      <c r="GS21" s="19">
        <f t="shared" si="151"/>
        <v>0</v>
      </c>
      <c r="GT21" s="19">
        <f t="shared" si="152"/>
        <v>0</v>
      </c>
      <c r="GU21" s="19">
        <f t="shared" si="153"/>
        <v>0</v>
      </c>
      <c r="GV21" s="19">
        <f t="shared" si="154"/>
        <v>0.17500000000000002</v>
      </c>
      <c r="GW21" s="19">
        <f t="shared" si="155"/>
        <v>0.27</v>
      </c>
      <c r="GX21" s="19">
        <f t="shared" si="156"/>
        <v>0</v>
      </c>
      <c r="GY21" s="19">
        <f t="shared" si="157"/>
        <v>0</v>
      </c>
      <c r="GZ21" s="19">
        <f t="shared" si="158"/>
        <v>0</v>
      </c>
      <c r="HA21" s="19">
        <f t="shared" si="159"/>
        <v>0</v>
      </c>
      <c r="HB21" s="19">
        <f t="shared" si="160"/>
        <v>0</v>
      </c>
      <c r="HC21" s="19">
        <f t="shared" si="161"/>
        <v>0</v>
      </c>
      <c r="HD21" s="19">
        <f t="shared" si="162"/>
        <v>2.0999999999999996</v>
      </c>
      <c r="HE21" s="19">
        <f t="shared" si="163"/>
        <v>0</v>
      </c>
      <c r="HF21" s="19">
        <f t="shared" si="164"/>
        <v>0</v>
      </c>
      <c r="HG21" s="19">
        <f t="shared" si="165"/>
        <v>0</v>
      </c>
      <c r="HH21" s="19">
        <f t="shared" si="166"/>
        <v>0</v>
      </c>
      <c r="HI21" s="19">
        <f t="shared" si="167"/>
        <v>0</v>
      </c>
      <c r="HJ21" s="19">
        <f t="shared" si="168"/>
        <v>0</v>
      </c>
      <c r="HK21" s="19">
        <f t="shared" si="169"/>
        <v>0</v>
      </c>
      <c r="HL21" s="19">
        <f t="shared" si="170"/>
        <v>0.03</v>
      </c>
      <c r="HM21" s="20">
        <f t="shared" si="171"/>
        <v>4.9999999999999991</v>
      </c>
      <c r="HN21" s="53">
        <v>3681</v>
      </c>
      <c r="HO21" s="21">
        <f t="shared" si="172"/>
        <v>0</v>
      </c>
      <c r="HP21" s="21">
        <f t="shared" si="173"/>
        <v>0</v>
      </c>
      <c r="HQ21" s="21">
        <f t="shared" si="174"/>
        <v>0</v>
      </c>
      <c r="HR21" s="21">
        <f t="shared" si="175"/>
        <v>0</v>
      </c>
      <c r="HS21" s="21">
        <f t="shared" si="176"/>
        <v>0</v>
      </c>
      <c r="HT21" s="69">
        <f t="shared" si="177"/>
        <v>0</v>
      </c>
      <c r="HU21" s="21">
        <f t="shared" si="178"/>
        <v>0</v>
      </c>
      <c r="HV21" s="21">
        <f t="shared" si="179"/>
        <v>0</v>
      </c>
      <c r="HW21" s="21">
        <f t="shared" si="180"/>
        <v>220.86000000000007</v>
      </c>
      <c r="HX21" s="21">
        <f t="shared" si="181"/>
        <v>0</v>
      </c>
      <c r="HY21" s="21">
        <f t="shared" si="182"/>
        <v>0</v>
      </c>
      <c r="HZ21" s="21">
        <f t="shared" si="183"/>
        <v>0</v>
      </c>
      <c r="IA21" s="21">
        <f t="shared" si="184"/>
        <v>0</v>
      </c>
      <c r="IB21" s="21">
        <f t="shared" si="185"/>
        <v>0</v>
      </c>
      <c r="IC21" s="21">
        <f t="shared" si="186"/>
        <v>0</v>
      </c>
      <c r="ID21" s="21">
        <f t="shared" si="187"/>
        <v>0</v>
      </c>
      <c r="IE21" s="21">
        <f t="shared" si="188"/>
        <v>662.58</v>
      </c>
      <c r="IF21" s="69">
        <f t="shared" si="189"/>
        <v>0</v>
      </c>
      <c r="IG21" s="69">
        <f t="shared" si="190"/>
        <v>0</v>
      </c>
      <c r="IH21" s="69">
        <f t="shared" si="191"/>
        <v>0</v>
      </c>
      <c r="II21" s="21">
        <f t="shared" si="192"/>
        <v>0</v>
      </c>
      <c r="IJ21" s="21">
        <f t="shared" si="193"/>
        <v>0</v>
      </c>
      <c r="IK21" s="21">
        <f t="shared" si="194"/>
        <v>0</v>
      </c>
      <c r="IL21" s="21">
        <f t="shared" si="195"/>
        <v>0</v>
      </c>
      <c r="IM21" s="21">
        <f t="shared" si="196"/>
        <v>0</v>
      </c>
      <c r="IN21" s="21">
        <f t="shared" si="197"/>
        <v>0</v>
      </c>
      <c r="IO21" s="21">
        <f t="shared" si="198"/>
        <v>0</v>
      </c>
      <c r="IP21" s="21">
        <f t="shared" si="199"/>
        <v>386.505</v>
      </c>
      <c r="IQ21" s="21">
        <f t="shared" si="200"/>
        <v>515.34</v>
      </c>
      <c r="IR21" s="21">
        <f t="shared" si="201"/>
        <v>0</v>
      </c>
      <c r="IS21" s="21">
        <f t="shared" si="202"/>
        <v>0</v>
      </c>
      <c r="IT21" s="21">
        <f t="shared" si="203"/>
        <v>0</v>
      </c>
      <c r="IU21" s="21">
        <f t="shared" si="204"/>
        <v>0</v>
      </c>
      <c r="IV21" s="21">
        <f t="shared" si="205"/>
        <v>0</v>
      </c>
      <c r="IW21" s="21">
        <f t="shared" si="206"/>
        <v>0</v>
      </c>
      <c r="IX21" s="21">
        <f t="shared" si="207"/>
        <v>128.83500000000004</v>
      </c>
      <c r="IY21" s="21">
        <f t="shared" si="208"/>
        <v>198.77400000000006</v>
      </c>
      <c r="IZ21" s="21">
        <f t="shared" si="209"/>
        <v>0</v>
      </c>
      <c r="JA21" s="21">
        <f t="shared" si="210"/>
        <v>0</v>
      </c>
      <c r="JB21" s="21">
        <f t="shared" si="211"/>
        <v>0</v>
      </c>
      <c r="JC21" s="21">
        <f t="shared" si="212"/>
        <v>0</v>
      </c>
      <c r="JD21" s="21">
        <f t="shared" si="213"/>
        <v>0</v>
      </c>
      <c r="JE21" s="21">
        <f t="shared" si="214"/>
        <v>0</v>
      </c>
      <c r="JF21" s="21">
        <f t="shared" si="215"/>
        <v>1546.02</v>
      </c>
      <c r="JG21" s="21">
        <f t="shared" si="216"/>
        <v>0</v>
      </c>
      <c r="JH21" s="21">
        <f t="shared" si="217"/>
        <v>0</v>
      </c>
      <c r="JI21" s="21">
        <f t="shared" si="218"/>
        <v>0</v>
      </c>
      <c r="JJ21" s="21">
        <f t="shared" si="219"/>
        <v>0</v>
      </c>
      <c r="JK21" s="21">
        <f t="shared" si="220"/>
        <v>0</v>
      </c>
      <c r="JL21" s="21">
        <f t="shared" si="221"/>
        <v>0</v>
      </c>
      <c r="JM21" s="21">
        <f t="shared" si="222"/>
        <v>0</v>
      </c>
      <c r="JN21" s="21">
        <f t="shared" si="223"/>
        <v>22.086000000000002</v>
      </c>
      <c r="JO21" s="35">
        <f t="shared" si="110"/>
        <v>3681</v>
      </c>
      <c r="JP21" s="38">
        <f t="shared" si="111"/>
        <v>0</v>
      </c>
      <c r="JQ21" s="43">
        <f t="shared" si="224"/>
        <v>0</v>
      </c>
      <c r="JR21" s="43">
        <f t="shared" si="225"/>
        <v>0</v>
      </c>
      <c r="JS21" s="43">
        <f t="shared" si="226"/>
        <v>0</v>
      </c>
      <c r="JT21" s="43">
        <f t="shared" si="227"/>
        <v>0</v>
      </c>
      <c r="JU21" s="43">
        <f t="shared" si="228"/>
        <v>0</v>
      </c>
      <c r="JV21" s="43">
        <f t="shared" si="229"/>
        <v>0</v>
      </c>
      <c r="JW21" s="43">
        <f t="shared" si="230"/>
        <v>0</v>
      </c>
      <c r="JX21" s="43">
        <f t="shared" si="231"/>
        <v>0</v>
      </c>
      <c r="JY21" s="43">
        <f t="shared" si="232"/>
        <v>1022.9705136000003</v>
      </c>
      <c r="JZ21" s="43">
        <f t="shared" si="233"/>
        <v>0</v>
      </c>
      <c r="KA21" s="43">
        <f t="shared" si="234"/>
        <v>0</v>
      </c>
      <c r="KB21" s="43">
        <f t="shared" si="235"/>
        <v>0</v>
      </c>
      <c r="KC21" s="43">
        <f t="shared" si="236"/>
        <v>0</v>
      </c>
      <c r="KD21" s="43">
        <f t="shared" si="237"/>
        <v>0</v>
      </c>
      <c r="KE21" s="43">
        <f t="shared" si="238"/>
        <v>0</v>
      </c>
      <c r="KF21" s="43">
        <f t="shared" si="239"/>
        <v>0</v>
      </c>
      <c r="KG21" s="43">
        <f t="shared" si="240"/>
        <v>2749.6573131927275</v>
      </c>
      <c r="KH21" s="43">
        <f t="shared" si="241"/>
        <v>0</v>
      </c>
      <c r="KI21" s="43">
        <f t="shared" si="242"/>
        <v>0</v>
      </c>
      <c r="KJ21" s="43">
        <f t="shared" si="243"/>
        <v>0</v>
      </c>
      <c r="KK21" s="43">
        <f t="shared" si="244"/>
        <v>0</v>
      </c>
      <c r="KL21" s="43">
        <f t="shared" si="245"/>
        <v>0</v>
      </c>
      <c r="KM21" s="43">
        <f t="shared" si="246"/>
        <v>0</v>
      </c>
      <c r="KN21" s="43">
        <f t="shared" si="247"/>
        <v>0</v>
      </c>
      <c r="KO21" s="43">
        <f t="shared" si="248"/>
        <v>0</v>
      </c>
      <c r="KP21" s="43">
        <f t="shared" si="249"/>
        <v>0</v>
      </c>
      <c r="KQ21" s="43">
        <f t="shared" si="250"/>
        <v>0</v>
      </c>
      <c r="KR21" s="43">
        <f t="shared" si="251"/>
        <v>1491.9093</v>
      </c>
      <c r="KS21" s="43">
        <f t="shared" si="252"/>
        <v>1762.1180323345457</v>
      </c>
      <c r="KT21" s="43">
        <f t="shared" si="253"/>
        <v>0</v>
      </c>
      <c r="KU21" s="43">
        <f t="shared" si="254"/>
        <v>0</v>
      </c>
      <c r="KV21" s="43">
        <f t="shared" si="255"/>
        <v>0</v>
      </c>
      <c r="KW21" s="43">
        <f t="shared" si="256"/>
        <v>0</v>
      </c>
      <c r="KX21" s="43">
        <f t="shared" si="257"/>
        <v>0</v>
      </c>
      <c r="KY21" s="43">
        <f t="shared" si="258"/>
        <v>0</v>
      </c>
      <c r="KZ21" s="43">
        <f t="shared" si="259"/>
        <v>1114.4227500000004</v>
      </c>
      <c r="LA21" s="43">
        <f t="shared" si="260"/>
        <v>796.4556141600001</v>
      </c>
      <c r="LB21" s="43">
        <f t="shared" si="261"/>
        <v>0</v>
      </c>
      <c r="LC21" s="43">
        <f t="shared" si="262"/>
        <v>0</v>
      </c>
      <c r="LD21" s="43">
        <f t="shared" si="263"/>
        <v>0</v>
      </c>
      <c r="LE21" s="43">
        <f t="shared" si="264"/>
        <v>0</v>
      </c>
      <c r="LF21" s="43">
        <f t="shared" si="265"/>
        <v>0</v>
      </c>
      <c r="LG21" s="43">
        <f t="shared" si="266"/>
        <v>0</v>
      </c>
      <c r="LH21" s="43">
        <f t="shared" si="267"/>
        <v>6472.6446642327282</v>
      </c>
      <c r="LI21" s="43">
        <f t="shared" si="268"/>
        <v>0</v>
      </c>
      <c r="LJ21" s="43">
        <f t="shared" si="269"/>
        <v>0</v>
      </c>
      <c r="LK21" s="43">
        <f t="shared" si="270"/>
        <v>0</v>
      </c>
      <c r="LL21" s="43">
        <f t="shared" si="271"/>
        <v>0</v>
      </c>
      <c r="LM21" s="43">
        <f t="shared" si="272"/>
        <v>0</v>
      </c>
      <c r="LN21" s="43">
        <f t="shared" si="273"/>
        <v>0</v>
      </c>
      <c r="LO21" s="43">
        <f t="shared" si="274"/>
        <v>0</v>
      </c>
      <c r="LP21" s="43">
        <f t="shared" si="275"/>
        <v>186.6267</v>
      </c>
      <c r="LQ21" s="28">
        <f t="shared" si="113"/>
        <v>15596.804887520002</v>
      </c>
      <c r="LR21" s="65">
        <v>3452</v>
      </c>
      <c r="LS21" s="32">
        <f t="shared" si="114"/>
        <v>4.5181937681112405</v>
      </c>
      <c r="LT21" s="26">
        <f t="shared" si="115"/>
        <v>1.2344791716150929</v>
      </c>
      <c r="LU21" s="31">
        <f t="shared" si="116"/>
        <v>229</v>
      </c>
      <c r="LW21" s="42"/>
      <c r="MA21" s="32">
        <f t="shared" si="117"/>
        <v>4.2371108088888896</v>
      </c>
      <c r="MB21" s="26">
        <f t="shared" si="118"/>
        <v>1.1576805488767457</v>
      </c>
    </row>
    <row r="22" spans="1:340" ht="15.75" thickBot="1">
      <c r="A22" t="b">
        <f t="shared" si="3"/>
        <v>1</v>
      </c>
      <c r="B22" s="123" t="s">
        <v>144</v>
      </c>
      <c r="C22" s="39" t="s">
        <v>80</v>
      </c>
      <c r="D22"/>
      <c r="E22" s="97">
        <v>46025</v>
      </c>
      <c r="F22" t="s">
        <v>43</v>
      </c>
      <c r="G22" t="s">
        <v>20</v>
      </c>
      <c r="H22" t="s">
        <v>27</v>
      </c>
      <c r="I22" s="77"/>
      <c r="J22" s="77"/>
      <c r="K22" s="77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24"/>
      <c r="AG22" s="124"/>
      <c r="AH22" s="104"/>
      <c r="AI22" s="104"/>
      <c r="AJ22" s="104">
        <v>0.4</v>
      </c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24">
        <v>0.6</v>
      </c>
      <c r="BD22" s="124"/>
      <c r="BE22" s="104"/>
      <c r="BF22" s="104"/>
      <c r="BG22" s="104"/>
      <c r="BH22" s="104"/>
      <c r="BI22" s="78">
        <f t="shared" si="4"/>
        <v>1</v>
      </c>
      <c r="BJ22" s="105"/>
      <c r="BK22" s="105"/>
      <c r="BL22" s="105"/>
      <c r="BM22" s="105"/>
      <c r="BN22" s="105"/>
      <c r="BO22" s="105"/>
      <c r="BP22" s="105"/>
      <c r="BQ22" s="105"/>
      <c r="BR22" s="105"/>
      <c r="BS22" s="105"/>
      <c r="BT22" s="105"/>
      <c r="BU22" s="105"/>
      <c r="BV22" s="105"/>
      <c r="BW22" s="105"/>
      <c r="BX22" s="105"/>
      <c r="BY22" s="105"/>
      <c r="BZ22" s="105"/>
      <c r="CA22" s="105"/>
      <c r="CB22" s="105"/>
      <c r="CC22" s="105"/>
      <c r="CD22" s="105"/>
      <c r="CE22" s="105"/>
      <c r="CF22" s="120"/>
      <c r="CG22" s="128"/>
      <c r="CH22" s="128"/>
      <c r="CI22" s="105"/>
      <c r="CJ22" s="105"/>
      <c r="CK22" s="105"/>
      <c r="CL22" s="105">
        <v>0.4</v>
      </c>
      <c r="CM22" s="105"/>
      <c r="CN22" s="105"/>
      <c r="CO22" s="105"/>
      <c r="CP22" s="105"/>
      <c r="CQ22" s="105"/>
      <c r="CR22" s="105"/>
      <c r="CS22" s="105"/>
      <c r="CT22" s="105"/>
      <c r="CU22" s="105"/>
      <c r="CV22" s="105"/>
      <c r="CW22" s="105"/>
      <c r="CX22" s="105"/>
      <c r="CY22" s="105"/>
      <c r="CZ22" s="105"/>
      <c r="DA22" s="105"/>
      <c r="DB22" s="105"/>
      <c r="DC22" s="105"/>
      <c r="DD22" s="125">
        <v>0.6</v>
      </c>
      <c r="DE22" s="125"/>
      <c r="DF22" s="105"/>
      <c r="DG22" s="105"/>
      <c r="DH22" s="105"/>
      <c r="DI22" s="105"/>
      <c r="DJ22" s="79">
        <f t="shared" si="5"/>
        <v>1</v>
      </c>
      <c r="DK22" s="108"/>
      <c r="DL22" s="108"/>
      <c r="DM22" s="108"/>
      <c r="DN22" s="108"/>
      <c r="DO22" s="108"/>
      <c r="DP22" s="108"/>
      <c r="DQ22" s="108"/>
      <c r="DR22" s="108"/>
      <c r="DS22" s="108">
        <v>0.5</v>
      </c>
      <c r="DT22" s="108"/>
      <c r="DU22" s="108"/>
      <c r="DV22" s="108"/>
      <c r="DW22" s="108"/>
      <c r="DX22" s="108"/>
      <c r="DY22" s="108"/>
      <c r="DZ22" s="108"/>
      <c r="EA22" s="108">
        <v>0.3</v>
      </c>
      <c r="EB22" s="108"/>
      <c r="EC22" s="108"/>
      <c r="ED22" s="108"/>
      <c r="EE22" s="108"/>
      <c r="EF22" s="108"/>
      <c r="EG22" s="108"/>
      <c r="EH22" s="129"/>
      <c r="EI22" s="129"/>
      <c r="EJ22" s="108"/>
      <c r="EK22" s="108"/>
      <c r="EL22" s="108"/>
      <c r="EM22" s="108"/>
      <c r="EN22" s="108"/>
      <c r="EO22" s="108"/>
      <c r="EP22" s="108"/>
      <c r="EQ22" s="108"/>
      <c r="ER22" s="108"/>
      <c r="ES22" s="106"/>
      <c r="ET22" s="106"/>
      <c r="EU22" s="106">
        <v>0.18</v>
      </c>
      <c r="EV22" s="106"/>
      <c r="EW22" s="106"/>
      <c r="EX22" s="106"/>
      <c r="EY22" s="106"/>
      <c r="EZ22" s="106"/>
      <c r="FA22" s="106"/>
      <c r="FB22" s="106"/>
      <c r="FC22" s="106"/>
      <c r="FD22" s="106"/>
      <c r="FE22" s="126"/>
      <c r="FF22" s="126"/>
      <c r="FG22" s="106"/>
      <c r="FH22" s="106"/>
      <c r="FI22" s="106"/>
      <c r="FJ22" s="106">
        <v>0.02</v>
      </c>
      <c r="FK22" s="17">
        <f t="shared" si="6"/>
        <v>1</v>
      </c>
      <c r="FL22" s="18"/>
      <c r="FM22" s="19">
        <f t="shared" si="119"/>
        <v>0</v>
      </c>
      <c r="FN22" s="19">
        <f t="shared" si="120"/>
        <v>0</v>
      </c>
      <c r="FO22" s="19">
        <f t="shared" si="121"/>
        <v>0</v>
      </c>
      <c r="FP22" s="19">
        <f t="shared" si="122"/>
        <v>0</v>
      </c>
      <c r="FQ22" s="19">
        <f t="shared" si="123"/>
        <v>0</v>
      </c>
      <c r="FR22" s="19">
        <f t="shared" si="124"/>
        <v>0</v>
      </c>
      <c r="FS22" s="19">
        <f t="shared" si="125"/>
        <v>0</v>
      </c>
      <c r="FT22" s="19">
        <f t="shared" si="126"/>
        <v>0</v>
      </c>
      <c r="FU22" s="19">
        <f t="shared" si="127"/>
        <v>0.75</v>
      </c>
      <c r="FV22" s="19">
        <f t="shared" si="128"/>
        <v>0</v>
      </c>
      <c r="FW22" s="19">
        <f t="shared" si="129"/>
        <v>0</v>
      </c>
      <c r="FX22" s="19">
        <f t="shared" si="130"/>
        <v>0</v>
      </c>
      <c r="FY22" s="19">
        <f t="shared" si="131"/>
        <v>0</v>
      </c>
      <c r="FZ22" s="19">
        <f t="shared" si="132"/>
        <v>0</v>
      </c>
      <c r="GA22" s="19">
        <f t="shared" si="133"/>
        <v>0</v>
      </c>
      <c r="GB22" s="19">
        <f t="shared" si="134"/>
        <v>0</v>
      </c>
      <c r="GC22" s="19">
        <f t="shared" si="135"/>
        <v>0.44999999999999996</v>
      </c>
      <c r="GD22" s="19">
        <f t="shared" si="136"/>
        <v>0</v>
      </c>
      <c r="GE22" s="19">
        <f t="shared" si="137"/>
        <v>0</v>
      </c>
      <c r="GF22" s="19">
        <f t="shared" si="138"/>
        <v>0</v>
      </c>
      <c r="GG22" s="19">
        <f t="shared" si="139"/>
        <v>0</v>
      </c>
      <c r="GH22" s="19">
        <f t="shared" si="140"/>
        <v>0</v>
      </c>
      <c r="GI22" s="19">
        <f t="shared" si="141"/>
        <v>0</v>
      </c>
      <c r="GJ22" s="19">
        <f t="shared" si="142"/>
        <v>0</v>
      </c>
      <c r="GK22" s="19">
        <f t="shared" si="143"/>
        <v>0</v>
      </c>
      <c r="GL22" s="19">
        <f t="shared" si="144"/>
        <v>0</v>
      </c>
      <c r="GM22" s="19">
        <f t="shared" si="145"/>
        <v>0</v>
      </c>
      <c r="GN22" s="19">
        <f t="shared" si="146"/>
        <v>0.60000000000000009</v>
      </c>
      <c r="GO22" s="19">
        <f t="shared" si="147"/>
        <v>0.8</v>
      </c>
      <c r="GP22" s="19">
        <f t="shared" si="148"/>
        <v>0</v>
      </c>
      <c r="GQ22" s="19">
        <f t="shared" si="149"/>
        <v>0</v>
      </c>
      <c r="GR22" s="19">
        <f t="shared" si="150"/>
        <v>0</v>
      </c>
      <c r="GS22" s="19">
        <f t="shared" si="151"/>
        <v>0</v>
      </c>
      <c r="GT22" s="19">
        <f t="shared" si="152"/>
        <v>0</v>
      </c>
      <c r="GU22" s="19">
        <f t="shared" si="153"/>
        <v>0</v>
      </c>
      <c r="GV22" s="19">
        <f t="shared" si="154"/>
        <v>0</v>
      </c>
      <c r="GW22" s="19">
        <f t="shared" si="155"/>
        <v>0.27</v>
      </c>
      <c r="GX22" s="19">
        <f t="shared" si="156"/>
        <v>0</v>
      </c>
      <c r="GY22" s="19">
        <f t="shared" si="157"/>
        <v>0</v>
      </c>
      <c r="GZ22" s="19">
        <f t="shared" si="158"/>
        <v>0</v>
      </c>
      <c r="HA22" s="19">
        <f t="shared" si="159"/>
        <v>0</v>
      </c>
      <c r="HB22" s="19">
        <f t="shared" si="160"/>
        <v>0</v>
      </c>
      <c r="HC22" s="19">
        <f t="shared" si="161"/>
        <v>0</v>
      </c>
      <c r="HD22" s="19">
        <f t="shared" si="162"/>
        <v>0</v>
      </c>
      <c r="HE22" s="19">
        <f t="shared" si="163"/>
        <v>0</v>
      </c>
      <c r="HF22" s="19">
        <f t="shared" si="164"/>
        <v>0</v>
      </c>
      <c r="HG22" s="19">
        <f t="shared" si="165"/>
        <v>2.0999999999999996</v>
      </c>
      <c r="HH22" s="19">
        <f t="shared" si="166"/>
        <v>0</v>
      </c>
      <c r="HI22" s="19">
        <f t="shared" si="167"/>
        <v>0</v>
      </c>
      <c r="HJ22" s="19">
        <f t="shared" si="168"/>
        <v>0</v>
      </c>
      <c r="HK22" s="19">
        <f t="shared" si="169"/>
        <v>0</v>
      </c>
      <c r="HL22" s="19">
        <f t="shared" si="170"/>
        <v>0.03</v>
      </c>
      <c r="HM22" s="20">
        <f t="shared" si="171"/>
        <v>5</v>
      </c>
      <c r="HN22" s="53">
        <v>450</v>
      </c>
      <c r="HO22" s="21">
        <f t="shared" si="172"/>
        <v>0</v>
      </c>
      <c r="HP22" s="21">
        <f t="shared" si="173"/>
        <v>0</v>
      </c>
      <c r="HQ22" s="21">
        <f t="shared" si="174"/>
        <v>0</v>
      </c>
      <c r="HR22" s="21">
        <f t="shared" si="175"/>
        <v>0</v>
      </c>
      <c r="HS22" s="21">
        <f t="shared" si="176"/>
        <v>0</v>
      </c>
      <c r="HT22" s="69">
        <f t="shared" si="177"/>
        <v>0</v>
      </c>
      <c r="HU22" s="21">
        <f t="shared" si="178"/>
        <v>0</v>
      </c>
      <c r="HV22" s="21">
        <f t="shared" si="179"/>
        <v>0</v>
      </c>
      <c r="HW22" s="21">
        <f t="shared" si="180"/>
        <v>67.5</v>
      </c>
      <c r="HX22" s="21">
        <f t="shared" si="181"/>
        <v>0</v>
      </c>
      <c r="HY22" s="21">
        <f t="shared" si="182"/>
        <v>0</v>
      </c>
      <c r="HZ22" s="21">
        <f t="shared" si="183"/>
        <v>0</v>
      </c>
      <c r="IA22" s="21">
        <f t="shared" si="184"/>
        <v>0</v>
      </c>
      <c r="IB22" s="21">
        <f t="shared" si="185"/>
        <v>0</v>
      </c>
      <c r="IC22" s="21">
        <f t="shared" si="186"/>
        <v>0</v>
      </c>
      <c r="ID22" s="21">
        <f t="shared" si="187"/>
        <v>0</v>
      </c>
      <c r="IE22" s="21">
        <f t="shared" si="188"/>
        <v>40.499999999999993</v>
      </c>
      <c r="IF22" s="69">
        <f t="shared" si="189"/>
        <v>0</v>
      </c>
      <c r="IG22" s="69">
        <f t="shared" si="190"/>
        <v>0</v>
      </c>
      <c r="IH22" s="69">
        <f t="shared" si="191"/>
        <v>0</v>
      </c>
      <c r="II22" s="21">
        <f t="shared" si="192"/>
        <v>0</v>
      </c>
      <c r="IJ22" s="21">
        <f t="shared" si="193"/>
        <v>0</v>
      </c>
      <c r="IK22" s="21">
        <f t="shared" si="194"/>
        <v>0</v>
      </c>
      <c r="IL22" s="21">
        <f t="shared" si="195"/>
        <v>0</v>
      </c>
      <c r="IM22" s="21">
        <f t="shared" si="196"/>
        <v>0</v>
      </c>
      <c r="IN22" s="21">
        <f t="shared" si="197"/>
        <v>0</v>
      </c>
      <c r="IO22" s="21">
        <f t="shared" si="198"/>
        <v>0</v>
      </c>
      <c r="IP22" s="21">
        <f t="shared" si="199"/>
        <v>54.000000000000014</v>
      </c>
      <c r="IQ22" s="21">
        <f t="shared" si="200"/>
        <v>72</v>
      </c>
      <c r="IR22" s="21">
        <f t="shared" si="201"/>
        <v>0</v>
      </c>
      <c r="IS22" s="21">
        <f t="shared" si="202"/>
        <v>0</v>
      </c>
      <c r="IT22" s="21">
        <f t="shared" si="203"/>
        <v>0</v>
      </c>
      <c r="IU22" s="21">
        <f t="shared" si="204"/>
        <v>0</v>
      </c>
      <c r="IV22" s="21">
        <f t="shared" si="205"/>
        <v>0</v>
      </c>
      <c r="IW22" s="21">
        <f t="shared" si="206"/>
        <v>0</v>
      </c>
      <c r="IX22" s="21">
        <f t="shared" si="207"/>
        <v>0</v>
      </c>
      <c r="IY22" s="21">
        <f t="shared" si="208"/>
        <v>24.300000000000004</v>
      </c>
      <c r="IZ22" s="21">
        <f t="shared" si="209"/>
        <v>0</v>
      </c>
      <c r="JA22" s="21">
        <f t="shared" si="210"/>
        <v>0</v>
      </c>
      <c r="JB22" s="21">
        <f t="shared" si="211"/>
        <v>0</v>
      </c>
      <c r="JC22" s="21">
        <f t="shared" si="212"/>
        <v>0</v>
      </c>
      <c r="JD22" s="21">
        <f t="shared" si="213"/>
        <v>0</v>
      </c>
      <c r="JE22" s="21">
        <f t="shared" si="214"/>
        <v>0</v>
      </c>
      <c r="JF22" s="21">
        <f t="shared" si="215"/>
        <v>0</v>
      </c>
      <c r="JG22" s="21">
        <f t="shared" si="216"/>
        <v>0</v>
      </c>
      <c r="JH22" s="21">
        <f t="shared" si="217"/>
        <v>0</v>
      </c>
      <c r="JI22" s="21">
        <f t="shared" si="218"/>
        <v>188.99999999999997</v>
      </c>
      <c r="JJ22" s="21">
        <f t="shared" si="219"/>
        <v>0</v>
      </c>
      <c r="JK22" s="21">
        <f t="shared" si="220"/>
        <v>0</v>
      </c>
      <c r="JL22" s="21">
        <f t="shared" si="221"/>
        <v>0</v>
      </c>
      <c r="JM22" s="21">
        <f t="shared" si="222"/>
        <v>0</v>
      </c>
      <c r="JN22" s="21">
        <f t="shared" si="223"/>
        <v>2.7</v>
      </c>
      <c r="JO22" s="35">
        <f t="shared" si="110"/>
        <v>449.99999999999994</v>
      </c>
      <c r="JP22" s="38">
        <f t="shared" si="111"/>
        <v>0</v>
      </c>
      <c r="JQ22" s="43">
        <f t="shared" si="224"/>
        <v>0</v>
      </c>
      <c r="JR22" s="43">
        <f t="shared" si="225"/>
        <v>0</v>
      </c>
      <c r="JS22" s="43">
        <f t="shared" si="226"/>
        <v>0</v>
      </c>
      <c r="JT22" s="43">
        <f t="shared" si="227"/>
        <v>0</v>
      </c>
      <c r="JU22" s="43">
        <f t="shared" si="228"/>
        <v>0</v>
      </c>
      <c r="JV22" s="43">
        <f t="shared" si="229"/>
        <v>0</v>
      </c>
      <c r="JW22" s="43">
        <f t="shared" si="230"/>
        <v>0</v>
      </c>
      <c r="JX22" s="43">
        <f t="shared" si="231"/>
        <v>0</v>
      </c>
      <c r="JY22" s="43">
        <f t="shared" si="232"/>
        <v>312.6438</v>
      </c>
      <c r="JZ22" s="43">
        <f t="shared" si="233"/>
        <v>0</v>
      </c>
      <c r="KA22" s="43">
        <f t="shared" si="234"/>
        <v>0</v>
      </c>
      <c r="KB22" s="43">
        <f t="shared" si="235"/>
        <v>0</v>
      </c>
      <c r="KC22" s="43">
        <f t="shared" si="236"/>
        <v>0</v>
      </c>
      <c r="KD22" s="43">
        <f t="shared" si="237"/>
        <v>0</v>
      </c>
      <c r="KE22" s="43">
        <f t="shared" si="238"/>
        <v>0</v>
      </c>
      <c r="KF22" s="43">
        <f t="shared" si="239"/>
        <v>0</v>
      </c>
      <c r="KG22" s="43">
        <f t="shared" si="240"/>
        <v>168.0719629090909</v>
      </c>
      <c r="KH22" s="43">
        <f t="shared" si="241"/>
        <v>0</v>
      </c>
      <c r="KI22" s="43">
        <f t="shared" si="242"/>
        <v>0</v>
      </c>
      <c r="KJ22" s="43">
        <f t="shared" si="243"/>
        <v>0</v>
      </c>
      <c r="KK22" s="43">
        <f t="shared" si="244"/>
        <v>0</v>
      </c>
      <c r="KL22" s="43">
        <f t="shared" si="245"/>
        <v>0</v>
      </c>
      <c r="KM22" s="43">
        <f t="shared" si="246"/>
        <v>0</v>
      </c>
      <c r="KN22" s="43">
        <f t="shared" si="247"/>
        <v>0</v>
      </c>
      <c r="KO22" s="43">
        <f t="shared" si="248"/>
        <v>0</v>
      </c>
      <c r="KP22" s="43">
        <f t="shared" si="249"/>
        <v>0</v>
      </c>
      <c r="KQ22" s="43">
        <f t="shared" si="250"/>
        <v>0</v>
      </c>
      <c r="KR22" s="43">
        <f t="shared" si="251"/>
        <v>208.44000000000005</v>
      </c>
      <c r="KS22" s="43">
        <f t="shared" si="252"/>
        <v>246.19183127272726</v>
      </c>
      <c r="KT22" s="43">
        <f t="shared" si="253"/>
        <v>0</v>
      </c>
      <c r="KU22" s="43">
        <f t="shared" si="254"/>
        <v>0</v>
      </c>
      <c r="KV22" s="43">
        <f t="shared" si="255"/>
        <v>0</v>
      </c>
      <c r="KW22" s="43">
        <f t="shared" si="256"/>
        <v>0</v>
      </c>
      <c r="KX22" s="43">
        <f t="shared" si="257"/>
        <v>0</v>
      </c>
      <c r="KY22" s="43">
        <f t="shared" si="258"/>
        <v>0</v>
      </c>
      <c r="KZ22" s="43">
        <f t="shared" si="259"/>
        <v>0</v>
      </c>
      <c r="LA22" s="43">
        <f t="shared" si="260"/>
        <v>97.366212000000004</v>
      </c>
      <c r="LB22" s="43">
        <f t="shared" si="261"/>
        <v>0</v>
      </c>
      <c r="LC22" s="43">
        <f t="shared" si="262"/>
        <v>0</v>
      </c>
      <c r="LD22" s="43">
        <f t="shared" si="263"/>
        <v>0</v>
      </c>
      <c r="LE22" s="43">
        <f t="shared" si="264"/>
        <v>0</v>
      </c>
      <c r="LF22" s="43">
        <f t="shared" si="265"/>
        <v>0</v>
      </c>
      <c r="LG22" s="43">
        <f t="shared" si="266"/>
        <v>0</v>
      </c>
      <c r="LH22" s="43">
        <f t="shared" si="267"/>
        <v>0</v>
      </c>
      <c r="LI22" s="43">
        <f t="shared" si="268"/>
        <v>0</v>
      </c>
      <c r="LJ22" s="43">
        <f t="shared" si="269"/>
        <v>0</v>
      </c>
      <c r="LK22" s="43">
        <f t="shared" si="270"/>
        <v>757.08674999999982</v>
      </c>
      <c r="LL22" s="43">
        <f t="shared" si="271"/>
        <v>0</v>
      </c>
      <c r="LM22" s="43">
        <f t="shared" si="272"/>
        <v>0</v>
      </c>
      <c r="LN22" s="43">
        <f t="shared" si="273"/>
        <v>0</v>
      </c>
      <c r="LO22" s="43">
        <f t="shared" si="274"/>
        <v>0</v>
      </c>
      <c r="LP22" s="43">
        <f t="shared" si="275"/>
        <v>22.815000000000001</v>
      </c>
      <c r="LQ22" s="28">
        <f t="shared" si="113"/>
        <v>1812.6155561818182</v>
      </c>
      <c r="LR22" s="65">
        <v>450</v>
      </c>
      <c r="LS22" s="32">
        <f t="shared" si="114"/>
        <v>4.0280345692929291</v>
      </c>
      <c r="LT22" s="26">
        <f t="shared" si="115"/>
        <v>1.1005558932494341</v>
      </c>
      <c r="LU22" s="31">
        <f t="shared" si="116"/>
        <v>0</v>
      </c>
      <c r="LW22" s="42"/>
      <c r="MA22" s="32">
        <f t="shared" si="117"/>
        <v>4.02803456929293</v>
      </c>
      <c r="MB22" s="26">
        <f t="shared" si="118"/>
        <v>1.1005558932494344</v>
      </c>
    </row>
    <row r="23" spans="1:340" ht="15.75" thickBot="1">
      <c r="A23" t="b">
        <f t="shared" si="3"/>
        <v>1</v>
      </c>
      <c r="B23" s="123" t="s">
        <v>145</v>
      </c>
      <c r="C23" s="39" t="s">
        <v>146</v>
      </c>
      <c r="D23"/>
      <c r="E23" s="97">
        <v>46025</v>
      </c>
      <c r="F23" t="s">
        <v>43</v>
      </c>
      <c r="G23" t="s">
        <v>20</v>
      </c>
      <c r="H23" t="s">
        <v>27</v>
      </c>
      <c r="I23" s="77"/>
      <c r="J23" s="77"/>
      <c r="K23" s="77"/>
      <c r="L23" s="22"/>
      <c r="M23" s="22"/>
      <c r="N23" s="98"/>
      <c r="O23" s="22"/>
      <c r="P23" s="22"/>
      <c r="Q23" s="22"/>
      <c r="R23" s="22"/>
      <c r="S23" s="104"/>
      <c r="T23" s="22"/>
      <c r="U23" s="22"/>
      <c r="V23" s="104"/>
      <c r="W23" s="22"/>
      <c r="X23" s="22"/>
      <c r="Y23" s="22"/>
      <c r="Z23" s="104"/>
      <c r="AA23" s="104"/>
      <c r="AB23" s="104"/>
      <c r="AC23" s="22"/>
      <c r="AD23" s="22"/>
      <c r="AE23" s="22"/>
      <c r="AF23" s="124"/>
      <c r="AG23" s="124"/>
      <c r="AH23" s="22"/>
      <c r="AI23" s="22"/>
      <c r="AJ23" s="22">
        <v>0.4</v>
      </c>
      <c r="AK23" s="22"/>
      <c r="AL23" s="22"/>
      <c r="AM23" s="22"/>
      <c r="AN23" s="22"/>
      <c r="AO23" s="104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98"/>
      <c r="BB23" s="98"/>
      <c r="BC23" s="124">
        <v>0.6</v>
      </c>
      <c r="BD23" s="124"/>
      <c r="BE23" s="104"/>
      <c r="BF23" s="22"/>
      <c r="BG23" s="22"/>
      <c r="BH23" s="22"/>
      <c r="BI23" s="78">
        <f t="shared" ref="BI23" si="278">SUM(I23:BH23)</f>
        <v>1</v>
      </c>
      <c r="BJ23" s="23"/>
      <c r="BK23" s="23"/>
      <c r="BL23" s="23"/>
      <c r="BM23" s="23"/>
      <c r="BN23" s="23"/>
      <c r="BO23" s="99"/>
      <c r="BP23" s="23"/>
      <c r="BQ23" s="23"/>
      <c r="BR23" s="23"/>
      <c r="BS23" s="23"/>
      <c r="BT23" s="105"/>
      <c r="BU23" s="23"/>
      <c r="BV23" s="23"/>
      <c r="BW23" s="105"/>
      <c r="BX23" s="23"/>
      <c r="BY23" s="23"/>
      <c r="BZ23" s="23"/>
      <c r="CA23" s="105"/>
      <c r="CB23" s="105"/>
      <c r="CC23" s="105"/>
      <c r="CD23" s="23"/>
      <c r="CE23" s="23"/>
      <c r="CF23" s="71"/>
      <c r="CG23" s="128"/>
      <c r="CH23" s="128"/>
      <c r="CI23" s="23"/>
      <c r="CJ23" s="23"/>
      <c r="CK23" s="23"/>
      <c r="CL23" s="23">
        <v>0.4</v>
      </c>
      <c r="CM23" s="23"/>
      <c r="CN23" s="23"/>
      <c r="CO23" s="23"/>
      <c r="CP23" s="105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99"/>
      <c r="DC23" s="99"/>
      <c r="DD23" s="125">
        <v>0.6</v>
      </c>
      <c r="DE23" s="125"/>
      <c r="DF23" s="105"/>
      <c r="DG23" s="23"/>
      <c r="DH23" s="23"/>
      <c r="DI23" s="23"/>
      <c r="DJ23" s="79">
        <f t="shared" ref="DJ23" si="279">SUM(BJ23:DI23)</f>
        <v>1</v>
      </c>
      <c r="DK23" s="24"/>
      <c r="DL23" s="24"/>
      <c r="DM23" s="24"/>
      <c r="DN23" s="24"/>
      <c r="DO23" s="24"/>
      <c r="DP23" s="103"/>
      <c r="DQ23" s="24"/>
      <c r="DR23" s="24"/>
      <c r="DS23" s="24">
        <v>0.5</v>
      </c>
      <c r="DT23" s="24"/>
      <c r="DU23" s="108"/>
      <c r="DV23" s="24"/>
      <c r="DW23" s="24"/>
      <c r="DX23" s="108"/>
      <c r="DY23" s="24"/>
      <c r="DZ23" s="24"/>
      <c r="EA23" s="24">
        <v>0.3</v>
      </c>
      <c r="EB23" s="108"/>
      <c r="EC23" s="108"/>
      <c r="ED23" s="108"/>
      <c r="EE23" s="24"/>
      <c r="EF23" s="24"/>
      <c r="EG23" s="24"/>
      <c r="EH23" s="129"/>
      <c r="EI23" s="129"/>
      <c r="EJ23" s="24"/>
      <c r="EK23" s="24"/>
      <c r="EL23" s="24"/>
      <c r="EM23" s="24"/>
      <c r="EN23" s="24"/>
      <c r="EO23" s="24"/>
      <c r="EP23" s="24"/>
      <c r="EQ23" s="108"/>
      <c r="ER23" s="24"/>
      <c r="ES23" s="25"/>
      <c r="ET23" s="25"/>
      <c r="EU23" s="25">
        <v>0.18</v>
      </c>
      <c r="EV23" s="25"/>
      <c r="EW23" s="25"/>
      <c r="EX23" s="25"/>
      <c r="EY23" s="25"/>
      <c r="EZ23" s="25"/>
      <c r="FA23" s="25"/>
      <c r="FB23" s="25"/>
      <c r="FC23" s="100"/>
      <c r="FD23" s="100"/>
      <c r="FE23" s="126"/>
      <c r="FF23" s="126"/>
      <c r="FG23" s="106"/>
      <c r="FH23" s="25"/>
      <c r="FI23" s="25"/>
      <c r="FJ23" s="25">
        <v>0.02</v>
      </c>
      <c r="FK23" s="17">
        <f t="shared" si="6"/>
        <v>1</v>
      </c>
      <c r="FL23" s="18"/>
      <c r="FM23" s="19">
        <f t="shared" si="119"/>
        <v>0</v>
      </c>
      <c r="FN23" s="19">
        <f t="shared" si="120"/>
        <v>0</v>
      </c>
      <c r="FO23" s="19">
        <f t="shared" si="121"/>
        <v>0</v>
      </c>
      <c r="FP23" s="19">
        <f t="shared" si="122"/>
        <v>0</v>
      </c>
      <c r="FQ23" s="19">
        <f t="shared" si="123"/>
        <v>0</v>
      </c>
      <c r="FR23" s="19">
        <f t="shared" si="124"/>
        <v>0</v>
      </c>
      <c r="FS23" s="19">
        <f t="shared" si="125"/>
        <v>0</v>
      </c>
      <c r="FT23" s="19">
        <f t="shared" si="126"/>
        <v>0</v>
      </c>
      <c r="FU23" s="19">
        <f t="shared" si="127"/>
        <v>0.75</v>
      </c>
      <c r="FV23" s="19">
        <f t="shared" si="128"/>
        <v>0</v>
      </c>
      <c r="FW23" s="19">
        <f t="shared" si="129"/>
        <v>0</v>
      </c>
      <c r="FX23" s="19">
        <f t="shared" si="130"/>
        <v>0</v>
      </c>
      <c r="FY23" s="19">
        <f t="shared" si="131"/>
        <v>0</v>
      </c>
      <c r="FZ23" s="19">
        <f t="shared" si="132"/>
        <v>0</v>
      </c>
      <c r="GA23" s="19">
        <f t="shared" si="133"/>
        <v>0</v>
      </c>
      <c r="GB23" s="19">
        <f t="shared" si="134"/>
        <v>0</v>
      </c>
      <c r="GC23" s="19">
        <f t="shared" si="135"/>
        <v>0.44999999999999996</v>
      </c>
      <c r="GD23" s="19">
        <f t="shared" si="136"/>
        <v>0</v>
      </c>
      <c r="GE23" s="19">
        <f t="shared" si="137"/>
        <v>0</v>
      </c>
      <c r="GF23" s="19">
        <f t="shared" si="138"/>
        <v>0</v>
      </c>
      <c r="GG23" s="19">
        <f t="shared" si="139"/>
        <v>0</v>
      </c>
      <c r="GH23" s="19">
        <f t="shared" si="140"/>
        <v>0</v>
      </c>
      <c r="GI23" s="19">
        <f t="shared" si="141"/>
        <v>0</v>
      </c>
      <c r="GJ23" s="19">
        <f t="shared" si="142"/>
        <v>0</v>
      </c>
      <c r="GK23" s="19">
        <f t="shared" si="143"/>
        <v>0</v>
      </c>
      <c r="GL23" s="19">
        <f t="shared" si="144"/>
        <v>0</v>
      </c>
      <c r="GM23" s="19">
        <f t="shared" si="145"/>
        <v>0</v>
      </c>
      <c r="GN23" s="19">
        <f t="shared" si="146"/>
        <v>0.60000000000000009</v>
      </c>
      <c r="GO23" s="19">
        <f t="shared" si="147"/>
        <v>0.8</v>
      </c>
      <c r="GP23" s="19">
        <f t="shared" si="148"/>
        <v>0</v>
      </c>
      <c r="GQ23" s="19">
        <f t="shared" si="149"/>
        <v>0</v>
      </c>
      <c r="GR23" s="19">
        <f t="shared" si="150"/>
        <v>0</v>
      </c>
      <c r="GS23" s="19">
        <f t="shared" si="151"/>
        <v>0</v>
      </c>
      <c r="GT23" s="19">
        <f t="shared" si="152"/>
        <v>0</v>
      </c>
      <c r="GU23" s="19">
        <f t="shared" si="153"/>
        <v>0</v>
      </c>
      <c r="GV23" s="19">
        <f t="shared" si="154"/>
        <v>0</v>
      </c>
      <c r="GW23" s="19">
        <f t="shared" si="155"/>
        <v>0.27</v>
      </c>
      <c r="GX23" s="19">
        <f t="shared" si="156"/>
        <v>0</v>
      </c>
      <c r="GY23" s="19">
        <f t="shared" si="157"/>
        <v>0</v>
      </c>
      <c r="GZ23" s="19">
        <f t="shared" si="158"/>
        <v>0</v>
      </c>
      <c r="HA23" s="19">
        <f t="shared" si="159"/>
        <v>0</v>
      </c>
      <c r="HB23" s="19">
        <f t="shared" si="160"/>
        <v>0</v>
      </c>
      <c r="HC23" s="19">
        <f t="shared" si="161"/>
        <v>0</v>
      </c>
      <c r="HD23" s="19">
        <f t="shared" si="162"/>
        <v>0</v>
      </c>
      <c r="HE23" s="19">
        <f t="shared" si="163"/>
        <v>0</v>
      </c>
      <c r="HF23" s="19">
        <f t="shared" si="164"/>
        <v>0</v>
      </c>
      <c r="HG23" s="19">
        <f t="shared" si="165"/>
        <v>2.0999999999999996</v>
      </c>
      <c r="HH23" s="19">
        <f t="shared" si="166"/>
        <v>0</v>
      </c>
      <c r="HI23" s="19">
        <f t="shared" si="167"/>
        <v>0</v>
      </c>
      <c r="HJ23" s="19">
        <f t="shared" si="168"/>
        <v>0</v>
      </c>
      <c r="HK23" s="19">
        <f t="shared" si="169"/>
        <v>0</v>
      </c>
      <c r="HL23" s="19">
        <f t="shared" si="170"/>
        <v>0.03</v>
      </c>
      <c r="HM23" s="20">
        <f t="shared" si="171"/>
        <v>5</v>
      </c>
      <c r="HN23" s="53">
        <v>396.66666666666669</v>
      </c>
      <c r="HO23" s="21">
        <f t="shared" si="172"/>
        <v>0</v>
      </c>
      <c r="HP23" s="21">
        <f t="shared" si="173"/>
        <v>0</v>
      </c>
      <c r="HQ23" s="21">
        <f t="shared" si="174"/>
        <v>0</v>
      </c>
      <c r="HR23" s="21">
        <f t="shared" si="175"/>
        <v>0</v>
      </c>
      <c r="HS23" s="21">
        <f t="shared" si="176"/>
        <v>0</v>
      </c>
      <c r="HT23" s="69">
        <f t="shared" si="177"/>
        <v>0</v>
      </c>
      <c r="HU23" s="21">
        <f t="shared" si="178"/>
        <v>0</v>
      </c>
      <c r="HV23" s="21">
        <f t="shared" si="179"/>
        <v>0</v>
      </c>
      <c r="HW23" s="21">
        <f t="shared" si="180"/>
        <v>59.5</v>
      </c>
      <c r="HX23" s="21">
        <f t="shared" si="181"/>
        <v>0</v>
      </c>
      <c r="HY23" s="21">
        <f t="shared" si="182"/>
        <v>0</v>
      </c>
      <c r="HZ23" s="21">
        <f t="shared" si="183"/>
        <v>0</v>
      </c>
      <c r="IA23" s="21">
        <f t="shared" si="184"/>
        <v>0</v>
      </c>
      <c r="IB23" s="21">
        <f t="shared" si="185"/>
        <v>0</v>
      </c>
      <c r="IC23" s="21">
        <f t="shared" si="186"/>
        <v>0</v>
      </c>
      <c r="ID23" s="21">
        <f t="shared" si="187"/>
        <v>0</v>
      </c>
      <c r="IE23" s="21">
        <f t="shared" si="188"/>
        <v>35.700000000000003</v>
      </c>
      <c r="IF23" s="69">
        <f t="shared" si="189"/>
        <v>0</v>
      </c>
      <c r="IG23" s="69">
        <f t="shared" si="190"/>
        <v>0</v>
      </c>
      <c r="IH23" s="69">
        <f t="shared" si="191"/>
        <v>0</v>
      </c>
      <c r="II23" s="21">
        <f t="shared" si="192"/>
        <v>0</v>
      </c>
      <c r="IJ23" s="21">
        <f t="shared" si="193"/>
        <v>0</v>
      </c>
      <c r="IK23" s="21">
        <f t="shared" si="194"/>
        <v>0</v>
      </c>
      <c r="IL23" s="21">
        <f t="shared" si="195"/>
        <v>0</v>
      </c>
      <c r="IM23" s="21">
        <f t="shared" si="196"/>
        <v>0</v>
      </c>
      <c r="IN23" s="21">
        <f t="shared" si="197"/>
        <v>0</v>
      </c>
      <c r="IO23" s="21">
        <f t="shared" si="198"/>
        <v>0</v>
      </c>
      <c r="IP23" s="21">
        <f t="shared" si="199"/>
        <v>47.600000000000009</v>
      </c>
      <c r="IQ23" s="21">
        <f t="shared" si="200"/>
        <v>63.466666666666676</v>
      </c>
      <c r="IR23" s="21">
        <f t="shared" si="201"/>
        <v>0</v>
      </c>
      <c r="IS23" s="21">
        <f t="shared" si="202"/>
        <v>0</v>
      </c>
      <c r="IT23" s="21">
        <f t="shared" si="203"/>
        <v>0</v>
      </c>
      <c r="IU23" s="21">
        <f t="shared" si="204"/>
        <v>0</v>
      </c>
      <c r="IV23" s="21">
        <f t="shared" si="205"/>
        <v>0</v>
      </c>
      <c r="IW23" s="21">
        <f t="shared" si="206"/>
        <v>0</v>
      </c>
      <c r="IX23" s="21">
        <f t="shared" si="207"/>
        <v>0</v>
      </c>
      <c r="IY23" s="21">
        <f t="shared" si="208"/>
        <v>21.42</v>
      </c>
      <c r="IZ23" s="21">
        <f t="shared" si="209"/>
        <v>0</v>
      </c>
      <c r="JA23" s="21">
        <f t="shared" si="210"/>
        <v>0</v>
      </c>
      <c r="JB23" s="21">
        <f t="shared" si="211"/>
        <v>0</v>
      </c>
      <c r="JC23" s="21">
        <f t="shared" si="212"/>
        <v>0</v>
      </c>
      <c r="JD23" s="21">
        <f t="shared" si="213"/>
        <v>0</v>
      </c>
      <c r="JE23" s="21">
        <f t="shared" si="214"/>
        <v>0</v>
      </c>
      <c r="JF23" s="21">
        <f t="shared" si="215"/>
        <v>0</v>
      </c>
      <c r="JG23" s="21">
        <f t="shared" si="216"/>
        <v>0</v>
      </c>
      <c r="JH23" s="21">
        <f t="shared" si="217"/>
        <v>0</v>
      </c>
      <c r="JI23" s="21">
        <f t="shared" si="218"/>
        <v>166.59999999999997</v>
      </c>
      <c r="JJ23" s="21">
        <f t="shared" si="219"/>
        <v>0</v>
      </c>
      <c r="JK23" s="21">
        <f t="shared" si="220"/>
        <v>0</v>
      </c>
      <c r="JL23" s="21">
        <f t="shared" si="221"/>
        <v>0</v>
      </c>
      <c r="JM23" s="21">
        <f t="shared" si="222"/>
        <v>0</v>
      </c>
      <c r="JN23" s="21">
        <f t="shared" si="223"/>
        <v>2.38</v>
      </c>
      <c r="JO23" s="35">
        <f t="shared" si="110"/>
        <v>396.66666666666663</v>
      </c>
      <c r="JP23" s="38">
        <f t="shared" si="111"/>
        <v>0</v>
      </c>
      <c r="JQ23" s="43">
        <f t="shared" si="224"/>
        <v>0</v>
      </c>
      <c r="JR23" s="43">
        <f t="shared" si="225"/>
        <v>0</v>
      </c>
      <c r="JS23" s="43">
        <f t="shared" si="226"/>
        <v>0</v>
      </c>
      <c r="JT23" s="43">
        <f t="shared" si="227"/>
        <v>0</v>
      </c>
      <c r="JU23" s="43">
        <f t="shared" si="228"/>
        <v>0</v>
      </c>
      <c r="JV23" s="43">
        <f t="shared" si="229"/>
        <v>0</v>
      </c>
      <c r="JW23" s="43">
        <f t="shared" si="230"/>
        <v>0</v>
      </c>
      <c r="JX23" s="43">
        <f t="shared" si="231"/>
        <v>0</v>
      </c>
      <c r="JY23" s="43">
        <f t="shared" si="232"/>
        <v>275.58972</v>
      </c>
      <c r="JZ23" s="43">
        <f t="shared" si="233"/>
        <v>0</v>
      </c>
      <c r="KA23" s="43">
        <f t="shared" si="234"/>
        <v>0</v>
      </c>
      <c r="KB23" s="43">
        <f t="shared" si="235"/>
        <v>0</v>
      </c>
      <c r="KC23" s="43">
        <f t="shared" si="236"/>
        <v>0</v>
      </c>
      <c r="KD23" s="43">
        <f t="shared" si="237"/>
        <v>0</v>
      </c>
      <c r="KE23" s="43">
        <f t="shared" si="238"/>
        <v>0</v>
      </c>
      <c r="KF23" s="43">
        <f t="shared" si="239"/>
        <v>0</v>
      </c>
      <c r="KG23" s="43">
        <f t="shared" si="240"/>
        <v>148.15232286060609</v>
      </c>
      <c r="KH23" s="43">
        <f t="shared" si="241"/>
        <v>0</v>
      </c>
      <c r="KI23" s="43">
        <f t="shared" si="242"/>
        <v>0</v>
      </c>
      <c r="KJ23" s="43">
        <f t="shared" si="243"/>
        <v>0</v>
      </c>
      <c r="KK23" s="43">
        <f t="shared" si="244"/>
        <v>0</v>
      </c>
      <c r="KL23" s="43">
        <f t="shared" si="245"/>
        <v>0</v>
      </c>
      <c r="KM23" s="43">
        <f t="shared" si="246"/>
        <v>0</v>
      </c>
      <c r="KN23" s="43">
        <f t="shared" si="247"/>
        <v>0</v>
      </c>
      <c r="KO23" s="43">
        <f t="shared" si="248"/>
        <v>0</v>
      </c>
      <c r="KP23" s="43">
        <f t="shared" si="249"/>
        <v>0</v>
      </c>
      <c r="KQ23" s="43">
        <f t="shared" si="250"/>
        <v>0</v>
      </c>
      <c r="KR23" s="43">
        <f t="shared" si="251"/>
        <v>183.73600000000002</v>
      </c>
      <c r="KS23" s="43">
        <f t="shared" si="252"/>
        <v>217.01354015892258</v>
      </c>
      <c r="KT23" s="43">
        <f t="shared" si="253"/>
        <v>0</v>
      </c>
      <c r="KU23" s="43">
        <f t="shared" si="254"/>
        <v>0</v>
      </c>
      <c r="KV23" s="43">
        <f t="shared" si="255"/>
        <v>0</v>
      </c>
      <c r="KW23" s="43">
        <f t="shared" si="256"/>
        <v>0</v>
      </c>
      <c r="KX23" s="43">
        <f t="shared" si="257"/>
        <v>0</v>
      </c>
      <c r="KY23" s="43">
        <f t="shared" si="258"/>
        <v>0</v>
      </c>
      <c r="KZ23" s="43">
        <f t="shared" si="259"/>
        <v>0</v>
      </c>
      <c r="LA23" s="43">
        <f t="shared" si="260"/>
        <v>85.826512800000003</v>
      </c>
      <c r="LB23" s="43">
        <f t="shared" si="261"/>
        <v>0</v>
      </c>
      <c r="LC23" s="43">
        <f t="shared" si="262"/>
        <v>0</v>
      </c>
      <c r="LD23" s="43">
        <f t="shared" si="263"/>
        <v>0</v>
      </c>
      <c r="LE23" s="43">
        <f t="shared" si="264"/>
        <v>0</v>
      </c>
      <c r="LF23" s="43">
        <f t="shared" si="265"/>
        <v>0</v>
      </c>
      <c r="LG23" s="43">
        <f t="shared" si="266"/>
        <v>0</v>
      </c>
      <c r="LH23" s="43">
        <f t="shared" si="267"/>
        <v>0</v>
      </c>
      <c r="LI23" s="43">
        <f t="shared" si="268"/>
        <v>0</v>
      </c>
      <c r="LJ23" s="43">
        <f t="shared" si="269"/>
        <v>0</v>
      </c>
      <c r="LK23" s="43">
        <f t="shared" si="270"/>
        <v>667.35794999999985</v>
      </c>
      <c r="LL23" s="43">
        <f t="shared" si="271"/>
        <v>0</v>
      </c>
      <c r="LM23" s="43">
        <f t="shared" si="272"/>
        <v>0</v>
      </c>
      <c r="LN23" s="43">
        <f t="shared" si="273"/>
        <v>0</v>
      </c>
      <c r="LO23" s="43">
        <f t="shared" si="274"/>
        <v>0</v>
      </c>
      <c r="LP23" s="43">
        <f t="shared" si="275"/>
        <v>20.110999999999997</v>
      </c>
      <c r="LQ23" s="28">
        <f t="shared" si="113"/>
        <v>1597.7870458195287</v>
      </c>
      <c r="LR23" s="65">
        <v>374</v>
      </c>
      <c r="LS23" s="32">
        <f t="shared" si="114"/>
        <v>4.2721578765228037</v>
      </c>
      <c r="LT23" s="26">
        <f t="shared" si="115"/>
        <v>1.1672562504160666</v>
      </c>
      <c r="LU23" s="31">
        <f t="shared" si="116"/>
        <v>22.666666666666686</v>
      </c>
      <c r="LW23" s="42"/>
      <c r="MA23" s="32">
        <f t="shared" si="117"/>
        <v>4.02803456929293</v>
      </c>
      <c r="MB23" s="26">
        <f t="shared" si="118"/>
        <v>1.1005558932494344</v>
      </c>
    </row>
    <row r="24" spans="1:340" ht="15.75" thickBot="1">
      <c r="A24" t="b">
        <f>IF(G24="","",IF(G24="EC1",HM24=500%,HM24=150%))</f>
        <v>1</v>
      </c>
      <c r="B24" s="123" t="s">
        <v>147</v>
      </c>
      <c r="C24" s="39" t="s">
        <v>148</v>
      </c>
      <c r="D24"/>
      <c r="E24" s="97">
        <v>46025</v>
      </c>
      <c r="F24" t="s">
        <v>43</v>
      </c>
      <c r="G24" t="s">
        <v>20</v>
      </c>
      <c r="H24" t="s">
        <v>27</v>
      </c>
      <c r="I24" s="77"/>
      <c r="J24" s="77"/>
      <c r="K24" s="77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24"/>
      <c r="AG24" s="124"/>
      <c r="AH24" s="104"/>
      <c r="AI24" s="104"/>
      <c r="AJ24" s="104">
        <v>0.3</v>
      </c>
      <c r="AK24" s="104"/>
      <c r="AL24" s="104"/>
      <c r="AM24" s="104"/>
      <c r="AN24" s="22"/>
      <c r="AO24" s="104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104"/>
      <c r="BA24" s="104"/>
      <c r="BB24" s="104"/>
      <c r="BC24" s="124">
        <v>0.7</v>
      </c>
      <c r="BD24" s="124"/>
      <c r="BE24" s="104"/>
      <c r="BF24" s="104"/>
      <c r="BG24" s="104"/>
      <c r="BH24" s="104"/>
      <c r="BI24" s="78">
        <f t="shared" si="4"/>
        <v>1</v>
      </c>
      <c r="BJ24" s="105"/>
      <c r="BK24" s="105"/>
      <c r="BL24" s="105"/>
      <c r="BM24" s="105"/>
      <c r="BN24" s="105"/>
      <c r="BO24" s="105"/>
      <c r="BP24" s="105"/>
      <c r="BQ24" s="105"/>
      <c r="BR24" s="105"/>
      <c r="BS24" s="105"/>
      <c r="BT24" s="105"/>
      <c r="BU24" s="105"/>
      <c r="BV24" s="105"/>
      <c r="BW24" s="105"/>
      <c r="BX24" s="105"/>
      <c r="BY24" s="105"/>
      <c r="BZ24" s="105"/>
      <c r="CA24" s="105"/>
      <c r="CB24" s="105"/>
      <c r="CC24" s="105"/>
      <c r="CD24" s="105"/>
      <c r="CE24" s="105"/>
      <c r="CF24" s="120"/>
      <c r="CG24" s="128"/>
      <c r="CH24" s="128"/>
      <c r="CI24" s="105"/>
      <c r="CJ24" s="105"/>
      <c r="CK24" s="105"/>
      <c r="CL24" s="105">
        <v>0.3</v>
      </c>
      <c r="CM24" s="105"/>
      <c r="CN24" s="105"/>
      <c r="CO24" s="105"/>
      <c r="CP24" s="105"/>
      <c r="CQ24" s="105"/>
      <c r="CR24" s="105"/>
      <c r="CS24" s="105"/>
      <c r="CT24" s="105"/>
      <c r="CU24" s="105"/>
      <c r="CV24" s="105"/>
      <c r="CW24" s="105"/>
      <c r="CX24" s="105"/>
      <c r="CY24" s="105"/>
      <c r="CZ24" s="105"/>
      <c r="DA24" s="105"/>
      <c r="DB24" s="105"/>
      <c r="DC24" s="105"/>
      <c r="DD24" s="125">
        <v>0.7</v>
      </c>
      <c r="DE24" s="125"/>
      <c r="DF24" s="105"/>
      <c r="DG24" s="105"/>
      <c r="DH24" s="105"/>
      <c r="DI24" s="105"/>
      <c r="DJ24" s="79">
        <f t="shared" si="5"/>
        <v>1</v>
      </c>
      <c r="DK24" s="108"/>
      <c r="DL24" s="108"/>
      <c r="DM24" s="108"/>
      <c r="DN24" s="108"/>
      <c r="DO24" s="108"/>
      <c r="DP24" s="108"/>
      <c r="DQ24" s="108"/>
      <c r="DR24" s="108"/>
      <c r="DS24" s="108"/>
      <c r="DT24" s="108"/>
      <c r="DU24" s="108"/>
      <c r="DV24" s="108"/>
      <c r="DW24" s="108"/>
      <c r="DX24" s="108"/>
      <c r="DY24" s="108"/>
      <c r="DZ24" s="108"/>
      <c r="EA24" s="108">
        <v>0.92</v>
      </c>
      <c r="EB24" s="108"/>
      <c r="EC24" s="108"/>
      <c r="ED24" s="108"/>
      <c r="EE24" s="108"/>
      <c r="EF24" s="108"/>
      <c r="EG24" s="108"/>
      <c r="EH24" s="129"/>
      <c r="EI24" s="129"/>
      <c r="EJ24" s="108"/>
      <c r="EK24" s="108"/>
      <c r="EL24" s="108"/>
      <c r="EM24" s="108"/>
      <c r="EN24" s="108"/>
      <c r="EO24" s="108"/>
      <c r="EP24" s="108"/>
      <c r="EQ24" s="108"/>
      <c r="ER24" s="108"/>
      <c r="ES24" s="106"/>
      <c r="ET24" s="106"/>
      <c r="EU24" s="106">
        <v>0.06</v>
      </c>
      <c r="EV24" s="106"/>
      <c r="EW24" s="106"/>
      <c r="EX24" s="106"/>
      <c r="EY24" s="106"/>
      <c r="EZ24" s="106"/>
      <c r="FA24" s="106"/>
      <c r="FB24" s="106"/>
      <c r="FC24" s="106"/>
      <c r="FD24" s="106"/>
      <c r="FE24" s="126"/>
      <c r="FF24" s="126"/>
      <c r="FG24" s="106"/>
      <c r="FH24" s="106"/>
      <c r="FI24" s="106"/>
      <c r="FJ24" s="106">
        <v>0.02</v>
      </c>
      <c r="FK24" s="17">
        <f t="shared" si="6"/>
        <v>1</v>
      </c>
      <c r="FL24" s="18"/>
      <c r="FM24" s="19">
        <f t="shared" si="119"/>
        <v>0</v>
      </c>
      <c r="FN24" s="19">
        <f t="shared" si="120"/>
        <v>0</v>
      </c>
      <c r="FO24" s="19">
        <f t="shared" si="121"/>
        <v>0</v>
      </c>
      <c r="FP24" s="19">
        <f t="shared" si="122"/>
        <v>0</v>
      </c>
      <c r="FQ24" s="19">
        <f t="shared" si="123"/>
        <v>0</v>
      </c>
      <c r="FR24" s="19">
        <f t="shared" si="124"/>
        <v>0</v>
      </c>
      <c r="FS24" s="19">
        <f t="shared" si="125"/>
        <v>0</v>
      </c>
      <c r="FT24" s="19">
        <f t="shared" si="126"/>
        <v>0</v>
      </c>
      <c r="FU24" s="19">
        <f t="shared" si="127"/>
        <v>0</v>
      </c>
      <c r="FV24" s="19">
        <f t="shared" si="128"/>
        <v>0</v>
      </c>
      <c r="FW24" s="19">
        <f t="shared" si="129"/>
        <v>0</v>
      </c>
      <c r="FX24" s="19">
        <f t="shared" si="130"/>
        <v>0</v>
      </c>
      <c r="FY24" s="19">
        <f t="shared" si="131"/>
        <v>0</v>
      </c>
      <c r="FZ24" s="19">
        <f t="shared" si="132"/>
        <v>0</v>
      </c>
      <c r="GA24" s="19">
        <f t="shared" si="133"/>
        <v>0</v>
      </c>
      <c r="GB24" s="19">
        <f t="shared" si="134"/>
        <v>0</v>
      </c>
      <c r="GC24" s="19">
        <f t="shared" si="135"/>
        <v>1.3800000000000001</v>
      </c>
      <c r="GD24" s="19">
        <f t="shared" si="136"/>
        <v>0</v>
      </c>
      <c r="GE24" s="19">
        <f t="shared" si="137"/>
        <v>0</v>
      </c>
      <c r="GF24" s="19">
        <f t="shared" si="138"/>
        <v>0</v>
      </c>
      <c r="GG24" s="19">
        <f t="shared" si="139"/>
        <v>0</v>
      </c>
      <c r="GH24" s="19">
        <f t="shared" si="140"/>
        <v>0</v>
      </c>
      <c r="GI24" s="19">
        <f t="shared" si="141"/>
        <v>0</v>
      </c>
      <c r="GJ24" s="19">
        <f t="shared" si="142"/>
        <v>0</v>
      </c>
      <c r="GK24" s="19">
        <f t="shared" si="143"/>
        <v>0</v>
      </c>
      <c r="GL24" s="19">
        <f t="shared" si="144"/>
        <v>0</v>
      </c>
      <c r="GM24" s="19">
        <f t="shared" si="145"/>
        <v>0</v>
      </c>
      <c r="GN24" s="19">
        <f t="shared" si="146"/>
        <v>0.44999999999999996</v>
      </c>
      <c r="GO24" s="19">
        <f t="shared" si="147"/>
        <v>0.6</v>
      </c>
      <c r="GP24" s="19">
        <f t="shared" si="148"/>
        <v>0</v>
      </c>
      <c r="GQ24" s="19">
        <f t="shared" si="149"/>
        <v>0</v>
      </c>
      <c r="GR24" s="19">
        <f t="shared" si="150"/>
        <v>0</v>
      </c>
      <c r="GS24" s="19">
        <f t="shared" si="151"/>
        <v>0</v>
      </c>
      <c r="GT24" s="19">
        <f t="shared" si="152"/>
        <v>0</v>
      </c>
      <c r="GU24" s="19">
        <f t="shared" si="153"/>
        <v>0</v>
      </c>
      <c r="GV24" s="19">
        <f t="shared" si="154"/>
        <v>0</v>
      </c>
      <c r="GW24" s="19">
        <f t="shared" si="155"/>
        <v>0.09</v>
      </c>
      <c r="GX24" s="19">
        <f t="shared" si="156"/>
        <v>0</v>
      </c>
      <c r="GY24" s="19">
        <f t="shared" si="157"/>
        <v>0</v>
      </c>
      <c r="GZ24" s="19">
        <f t="shared" si="158"/>
        <v>0</v>
      </c>
      <c r="HA24" s="19">
        <f t="shared" si="159"/>
        <v>0</v>
      </c>
      <c r="HB24" s="19">
        <f t="shared" si="160"/>
        <v>0</v>
      </c>
      <c r="HC24" s="19">
        <f t="shared" si="161"/>
        <v>0</v>
      </c>
      <c r="HD24" s="19">
        <f t="shared" si="162"/>
        <v>0</v>
      </c>
      <c r="HE24" s="19">
        <f t="shared" si="163"/>
        <v>0</v>
      </c>
      <c r="HF24" s="19">
        <f t="shared" si="164"/>
        <v>0</v>
      </c>
      <c r="HG24" s="19">
        <f t="shared" si="165"/>
        <v>2.4499999999999997</v>
      </c>
      <c r="HH24" s="19">
        <f t="shared" si="166"/>
        <v>0</v>
      </c>
      <c r="HI24" s="19">
        <f t="shared" si="167"/>
        <v>0</v>
      </c>
      <c r="HJ24" s="19">
        <f t="shared" si="168"/>
        <v>0</v>
      </c>
      <c r="HK24" s="19">
        <f t="shared" si="169"/>
        <v>0</v>
      </c>
      <c r="HL24" s="19">
        <f t="shared" si="170"/>
        <v>0.03</v>
      </c>
      <c r="HM24" s="20">
        <f t="shared" si="171"/>
        <v>5</v>
      </c>
      <c r="HN24" s="53">
        <v>367</v>
      </c>
      <c r="HO24" s="21">
        <f t="shared" si="172"/>
        <v>0</v>
      </c>
      <c r="HP24" s="21">
        <f t="shared" si="173"/>
        <v>0</v>
      </c>
      <c r="HQ24" s="21">
        <f t="shared" si="174"/>
        <v>0</v>
      </c>
      <c r="HR24" s="21">
        <f t="shared" si="175"/>
        <v>0</v>
      </c>
      <c r="HS24" s="21">
        <f t="shared" si="176"/>
        <v>0</v>
      </c>
      <c r="HT24" s="69">
        <f t="shared" si="177"/>
        <v>0</v>
      </c>
      <c r="HU24" s="21">
        <f t="shared" si="178"/>
        <v>0</v>
      </c>
      <c r="HV24" s="21">
        <f t="shared" si="179"/>
        <v>0</v>
      </c>
      <c r="HW24" s="21">
        <f t="shared" si="180"/>
        <v>0</v>
      </c>
      <c r="HX24" s="21">
        <f t="shared" si="181"/>
        <v>0</v>
      </c>
      <c r="HY24" s="21">
        <f t="shared" si="182"/>
        <v>0</v>
      </c>
      <c r="HZ24" s="21">
        <f t="shared" si="183"/>
        <v>0</v>
      </c>
      <c r="IA24" s="21">
        <f t="shared" si="184"/>
        <v>0</v>
      </c>
      <c r="IB24" s="21">
        <f t="shared" si="185"/>
        <v>0</v>
      </c>
      <c r="IC24" s="21">
        <f t="shared" si="186"/>
        <v>0</v>
      </c>
      <c r="ID24" s="21">
        <f t="shared" si="187"/>
        <v>0</v>
      </c>
      <c r="IE24" s="21">
        <f t="shared" si="188"/>
        <v>101.292</v>
      </c>
      <c r="IF24" s="69">
        <f t="shared" si="189"/>
        <v>0</v>
      </c>
      <c r="IG24" s="69">
        <f t="shared" si="190"/>
        <v>0</v>
      </c>
      <c r="IH24" s="69">
        <f t="shared" si="191"/>
        <v>0</v>
      </c>
      <c r="II24" s="21">
        <f t="shared" si="192"/>
        <v>0</v>
      </c>
      <c r="IJ24" s="21">
        <f t="shared" si="193"/>
        <v>0</v>
      </c>
      <c r="IK24" s="21">
        <f t="shared" si="194"/>
        <v>0</v>
      </c>
      <c r="IL24" s="21">
        <f t="shared" si="195"/>
        <v>0</v>
      </c>
      <c r="IM24" s="21">
        <f t="shared" si="196"/>
        <v>0</v>
      </c>
      <c r="IN24" s="21">
        <f t="shared" si="197"/>
        <v>0</v>
      </c>
      <c r="IO24" s="21">
        <f t="shared" si="198"/>
        <v>0</v>
      </c>
      <c r="IP24" s="21">
        <f t="shared" si="199"/>
        <v>33.029999999999994</v>
      </c>
      <c r="IQ24" s="21">
        <f t="shared" si="200"/>
        <v>44.04</v>
      </c>
      <c r="IR24" s="21">
        <f t="shared" si="201"/>
        <v>0</v>
      </c>
      <c r="IS24" s="21">
        <f t="shared" si="202"/>
        <v>0</v>
      </c>
      <c r="IT24" s="21">
        <f t="shared" si="203"/>
        <v>0</v>
      </c>
      <c r="IU24" s="21">
        <f t="shared" si="204"/>
        <v>0</v>
      </c>
      <c r="IV24" s="21">
        <f t="shared" si="205"/>
        <v>0</v>
      </c>
      <c r="IW24" s="21">
        <f t="shared" si="206"/>
        <v>0</v>
      </c>
      <c r="IX24" s="21">
        <f t="shared" si="207"/>
        <v>0</v>
      </c>
      <c r="IY24" s="21">
        <f t="shared" si="208"/>
        <v>6.6059999999999999</v>
      </c>
      <c r="IZ24" s="21">
        <f t="shared" si="209"/>
        <v>0</v>
      </c>
      <c r="JA24" s="21">
        <f t="shared" si="210"/>
        <v>0</v>
      </c>
      <c r="JB24" s="21">
        <f t="shared" si="211"/>
        <v>0</v>
      </c>
      <c r="JC24" s="21">
        <f t="shared" si="212"/>
        <v>0</v>
      </c>
      <c r="JD24" s="21">
        <f t="shared" si="213"/>
        <v>0</v>
      </c>
      <c r="JE24" s="21">
        <f t="shared" si="214"/>
        <v>0</v>
      </c>
      <c r="JF24" s="21">
        <f t="shared" si="215"/>
        <v>0</v>
      </c>
      <c r="JG24" s="21">
        <f t="shared" si="216"/>
        <v>0</v>
      </c>
      <c r="JH24" s="21">
        <f t="shared" si="217"/>
        <v>0</v>
      </c>
      <c r="JI24" s="21">
        <f t="shared" si="218"/>
        <v>179.82999999999998</v>
      </c>
      <c r="JJ24" s="21">
        <f t="shared" si="219"/>
        <v>0</v>
      </c>
      <c r="JK24" s="21">
        <f t="shared" si="220"/>
        <v>0</v>
      </c>
      <c r="JL24" s="21">
        <f t="shared" si="221"/>
        <v>0</v>
      </c>
      <c r="JM24" s="21">
        <f t="shared" si="222"/>
        <v>0</v>
      </c>
      <c r="JN24" s="21">
        <f t="shared" si="223"/>
        <v>2.202</v>
      </c>
      <c r="JO24" s="35">
        <f t="shared" si="110"/>
        <v>367</v>
      </c>
      <c r="JP24" s="38">
        <f t="shared" si="111"/>
        <v>0</v>
      </c>
      <c r="JQ24" s="43">
        <f t="shared" si="224"/>
        <v>0</v>
      </c>
      <c r="JR24" s="43">
        <f t="shared" si="225"/>
        <v>0</v>
      </c>
      <c r="JS24" s="43">
        <f t="shared" si="226"/>
        <v>0</v>
      </c>
      <c r="JT24" s="43">
        <f t="shared" si="227"/>
        <v>0</v>
      </c>
      <c r="JU24" s="43">
        <f t="shared" si="228"/>
        <v>0</v>
      </c>
      <c r="JV24" s="43">
        <f t="shared" si="229"/>
        <v>0</v>
      </c>
      <c r="JW24" s="43">
        <f t="shared" si="230"/>
        <v>0</v>
      </c>
      <c r="JX24" s="43">
        <f t="shared" si="231"/>
        <v>0</v>
      </c>
      <c r="JY24" s="43">
        <f t="shared" si="232"/>
        <v>0</v>
      </c>
      <c r="JZ24" s="43">
        <f t="shared" si="233"/>
        <v>0</v>
      </c>
      <c r="KA24" s="43">
        <f t="shared" si="234"/>
        <v>0</v>
      </c>
      <c r="KB24" s="43">
        <f t="shared" si="235"/>
        <v>0</v>
      </c>
      <c r="KC24" s="43">
        <f t="shared" si="236"/>
        <v>0</v>
      </c>
      <c r="KD24" s="43">
        <f t="shared" si="237"/>
        <v>0</v>
      </c>
      <c r="KE24" s="43">
        <f t="shared" si="238"/>
        <v>0</v>
      </c>
      <c r="KF24" s="43">
        <f t="shared" si="239"/>
        <v>0</v>
      </c>
      <c r="KG24" s="43">
        <f t="shared" si="240"/>
        <v>420.35420412315153</v>
      </c>
      <c r="KH24" s="43">
        <f t="shared" si="241"/>
        <v>0</v>
      </c>
      <c r="KI24" s="43">
        <f t="shared" si="242"/>
        <v>0</v>
      </c>
      <c r="KJ24" s="43">
        <f t="shared" si="243"/>
        <v>0</v>
      </c>
      <c r="KK24" s="43">
        <f t="shared" si="244"/>
        <v>0</v>
      </c>
      <c r="KL24" s="43">
        <f t="shared" si="245"/>
        <v>0</v>
      </c>
      <c r="KM24" s="43">
        <f t="shared" si="246"/>
        <v>0</v>
      </c>
      <c r="KN24" s="43">
        <f t="shared" si="247"/>
        <v>0</v>
      </c>
      <c r="KO24" s="43">
        <f t="shared" si="248"/>
        <v>0</v>
      </c>
      <c r="KP24" s="43">
        <f t="shared" si="249"/>
        <v>0</v>
      </c>
      <c r="KQ24" s="43">
        <f t="shared" si="250"/>
        <v>0</v>
      </c>
      <c r="KR24" s="43">
        <f t="shared" si="251"/>
        <v>127.49579999999997</v>
      </c>
      <c r="KS24" s="43">
        <f t="shared" si="252"/>
        <v>150.58733679515151</v>
      </c>
      <c r="KT24" s="43">
        <f t="shared" si="253"/>
        <v>0</v>
      </c>
      <c r="KU24" s="43">
        <f t="shared" si="254"/>
        <v>0</v>
      </c>
      <c r="KV24" s="43">
        <f t="shared" si="255"/>
        <v>0</v>
      </c>
      <c r="KW24" s="43">
        <f t="shared" si="256"/>
        <v>0</v>
      </c>
      <c r="KX24" s="43">
        <f t="shared" si="257"/>
        <v>0</v>
      </c>
      <c r="KY24" s="43">
        <f t="shared" si="258"/>
        <v>0</v>
      </c>
      <c r="KZ24" s="43">
        <f t="shared" si="259"/>
        <v>0</v>
      </c>
      <c r="LA24" s="43">
        <f t="shared" si="260"/>
        <v>26.469185039999996</v>
      </c>
      <c r="LB24" s="43">
        <f t="shared" si="261"/>
        <v>0</v>
      </c>
      <c r="LC24" s="43">
        <f t="shared" si="262"/>
        <v>0</v>
      </c>
      <c r="LD24" s="43">
        <f t="shared" si="263"/>
        <v>0</v>
      </c>
      <c r="LE24" s="43">
        <f t="shared" si="264"/>
        <v>0</v>
      </c>
      <c r="LF24" s="43">
        <f t="shared" si="265"/>
        <v>0</v>
      </c>
      <c r="LG24" s="43">
        <f t="shared" si="266"/>
        <v>0</v>
      </c>
      <c r="LH24" s="43">
        <f t="shared" si="267"/>
        <v>0</v>
      </c>
      <c r="LI24" s="43">
        <f t="shared" si="268"/>
        <v>0</v>
      </c>
      <c r="LJ24" s="43">
        <f t="shared" si="269"/>
        <v>0</v>
      </c>
      <c r="LK24" s="43">
        <f t="shared" si="270"/>
        <v>720.35402249999993</v>
      </c>
      <c r="LL24" s="43">
        <f t="shared" si="271"/>
        <v>0</v>
      </c>
      <c r="LM24" s="43">
        <f t="shared" si="272"/>
        <v>0</v>
      </c>
      <c r="LN24" s="43">
        <f t="shared" si="273"/>
        <v>0</v>
      </c>
      <c r="LO24" s="43">
        <f t="shared" si="274"/>
        <v>0</v>
      </c>
      <c r="LP24" s="43">
        <f t="shared" si="275"/>
        <v>18.6069</v>
      </c>
      <c r="LQ24" s="28">
        <f t="shared" si="113"/>
        <v>1463.8674484583028</v>
      </c>
      <c r="LR24" s="65">
        <v>344</v>
      </c>
      <c r="LS24" s="32">
        <f t="shared" si="114"/>
        <v>4.255428629239252</v>
      </c>
      <c r="LT24" s="26">
        <f t="shared" si="115"/>
        <v>1.1626854178249322</v>
      </c>
      <c r="LU24" s="31">
        <f t="shared" si="116"/>
        <v>23</v>
      </c>
      <c r="LW24" s="42"/>
      <c r="MA24" s="32">
        <f t="shared" si="117"/>
        <v>3.9887396415757568</v>
      </c>
      <c r="MB24" s="26">
        <f t="shared" si="118"/>
        <v>1.0898195742010264</v>
      </c>
    </row>
    <row r="25" spans="1:340" ht="15.75" thickBot="1">
      <c r="A25" t="b">
        <f t="shared" si="3"/>
        <v>1</v>
      </c>
      <c r="B25" s="123" t="s">
        <v>149</v>
      </c>
      <c r="C25" s="39" t="s">
        <v>112</v>
      </c>
      <c r="D25"/>
      <c r="E25" s="97">
        <v>46025</v>
      </c>
      <c r="F25" t="s">
        <v>43</v>
      </c>
      <c r="G25" t="s">
        <v>20</v>
      </c>
      <c r="H25" t="s">
        <v>27</v>
      </c>
      <c r="I25" s="77"/>
      <c r="J25" s="77"/>
      <c r="K25" s="77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24"/>
      <c r="AG25" s="124"/>
      <c r="AH25" s="104"/>
      <c r="AI25" s="104"/>
      <c r="AJ25" s="104">
        <v>0.4</v>
      </c>
      <c r="AK25" s="104"/>
      <c r="AL25" s="104"/>
      <c r="AM25" s="104"/>
      <c r="AN25" s="22"/>
      <c r="AO25" s="104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104"/>
      <c r="BA25" s="104"/>
      <c r="BB25" s="104"/>
      <c r="BC25" s="124">
        <v>0.6</v>
      </c>
      <c r="BD25" s="124"/>
      <c r="BE25" s="104"/>
      <c r="BF25" s="104"/>
      <c r="BG25" s="104"/>
      <c r="BH25" s="104"/>
      <c r="BI25" s="78">
        <f t="shared" si="4"/>
        <v>1</v>
      </c>
      <c r="BJ25" s="105"/>
      <c r="BK25" s="105"/>
      <c r="BL25" s="105"/>
      <c r="BM25" s="105"/>
      <c r="BN25" s="105"/>
      <c r="BO25" s="105"/>
      <c r="BP25" s="105"/>
      <c r="BQ25" s="105"/>
      <c r="BR25" s="105"/>
      <c r="BS25" s="105"/>
      <c r="BT25" s="105"/>
      <c r="BU25" s="105"/>
      <c r="BV25" s="105"/>
      <c r="BW25" s="105"/>
      <c r="BX25" s="105"/>
      <c r="BY25" s="105"/>
      <c r="BZ25" s="105"/>
      <c r="CA25" s="105"/>
      <c r="CB25" s="105"/>
      <c r="CC25" s="105"/>
      <c r="CD25" s="105"/>
      <c r="CE25" s="105"/>
      <c r="CF25" s="120"/>
      <c r="CG25" s="128"/>
      <c r="CH25" s="128"/>
      <c r="CI25" s="105"/>
      <c r="CJ25" s="105"/>
      <c r="CK25" s="105"/>
      <c r="CL25" s="105">
        <v>0.4</v>
      </c>
      <c r="CM25" s="105"/>
      <c r="CN25" s="105"/>
      <c r="CO25" s="105"/>
      <c r="CP25" s="105"/>
      <c r="CQ25" s="105"/>
      <c r="CR25" s="105"/>
      <c r="CS25" s="105"/>
      <c r="CT25" s="105"/>
      <c r="CU25" s="105"/>
      <c r="CV25" s="105"/>
      <c r="CW25" s="105"/>
      <c r="CX25" s="105"/>
      <c r="CY25" s="105"/>
      <c r="CZ25" s="105"/>
      <c r="DA25" s="105"/>
      <c r="DB25" s="105"/>
      <c r="DC25" s="105"/>
      <c r="DD25" s="125">
        <v>0.6</v>
      </c>
      <c r="DE25" s="125"/>
      <c r="DF25" s="105"/>
      <c r="DG25" s="105"/>
      <c r="DH25" s="105"/>
      <c r="DI25" s="105"/>
      <c r="DJ25" s="79">
        <f t="shared" si="5"/>
        <v>1</v>
      </c>
      <c r="DK25" s="108"/>
      <c r="DL25" s="108"/>
      <c r="DM25" s="108"/>
      <c r="DN25" s="108"/>
      <c r="DO25" s="108"/>
      <c r="DP25" s="108"/>
      <c r="DQ25" s="108"/>
      <c r="DR25" s="108"/>
      <c r="DS25" s="108"/>
      <c r="DT25" s="108"/>
      <c r="DU25" s="108"/>
      <c r="DV25" s="108"/>
      <c r="DW25" s="108"/>
      <c r="DX25" s="108"/>
      <c r="DY25" s="108"/>
      <c r="DZ25" s="108"/>
      <c r="EA25" s="108">
        <v>0.73</v>
      </c>
      <c r="EB25" s="108"/>
      <c r="EC25" s="108"/>
      <c r="ED25" s="108"/>
      <c r="EE25" s="108"/>
      <c r="EF25" s="108"/>
      <c r="EG25" s="108"/>
      <c r="EH25" s="129"/>
      <c r="EI25" s="129"/>
      <c r="EJ25" s="108"/>
      <c r="EK25" s="108"/>
      <c r="EL25" s="108"/>
      <c r="EM25" s="108">
        <v>0.15</v>
      </c>
      <c r="EN25" s="108"/>
      <c r="EO25" s="108"/>
      <c r="EP25" s="108"/>
      <c r="EQ25" s="108"/>
      <c r="ER25" s="108"/>
      <c r="ES25" s="106"/>
      <c r="ET25" s="106"/>
      <c r="EU25" s="106">
        <v>0.1</v>
      </c>
      <c r="EV25" s="106"/>
      <c r="EW25" s="106"/>
      <c r="EX25" s="106"/>
      <c r="EY25" s="106"/>
      <c r="EZ25" s="106"/>
      <c r="FA25" s="106"/>
      <c r="FB25" s="106"/>
      <c r="FC25" s="106"/>
      <c r="FD25" s="106"/>
      <c r="FE25" s="126"/>
      <c r="FF25" s="126"/>
      <c r="FG25" s="106"/>
      <c r="FH25" s="106"/>
      <c r="FI25" s="106"/>
      <c r="FJ25" s="106">
        <v>0.02</v>
      </c>
      <c r="FK25" s="17">
        <f t="shared" si="6"/>
        <v>1</v>
      </c>
      <c r="FL25" s="18"/>
      <c r="FM25" s="19">
        <f t="shared" si="119"/>
        <v>0</v>
      </c>
      <c r="FN25" s="19">
        <f t="shared" si="120"/>
        <v>0</v>
      </c>
      <c r="FO25" s="19">
        <f t="shared" si="121"/>
        <v>0</v>
      </c>
      <c r="FP25" s="19">
        <f t="shared" si="122"/>
        <v>0</v>
      </c>
      <c r="FQ25" s="19">
        <f t="shared" si="123"/>
        <v>0</v>
      </c>
      <c r="FR25" s="19">
        <f t="shared" si="124"/>
        <v>0</v>
      </c>
      <c r="FS25" s="19">
        <f t="shared" si="125"/>
        <v>0</v>
      </c>
      <c r="FT25" s="19">
        <f t="shared" si="126"/>
        <v>0</v>
      </c>
      <c r="FU25" s="19">
        <f t="shared" si="127"/>
        <v>0</v>
      </c>
      <c r="FV25" s="19">
        <f t="shared" si="128"/>
        <v>0</v>
      </c>
      <c r="FW25" s="19">
        <f t="shared" si="129"/>
        <v>0</v>
      </c>
      <c r="FX25" s="19">
        <f t="shared" si="130"/>
        <v>0</v>
      </c>
      <c r="FY25" s="19">
        <f t="shared" si="131"/>
        <v>0</v>
      </c>
      <c r="FZ25" s="19">
        <f t="shared" si="132"/>
        <v>0</v>
      </c>
      <c r="GA25" s="19">
        <f t="shared" si="133"/>
        <v>0</v>
      </c>
      <c r="GB25" s="19">
        <f t="shared" si="134"/>
        <v>0</v>
      </c>
      <c r="GC25" s="19">
        <f t="shared" si="135"/>
        <v>1.095</v>
      </c>
      <c r="GD25" s="19">
        <f t="shared" si="136"/>
        <v>0</v>
      </c>
      <c r="GE25" s="19">
        <f t="shared" si="137"/>
        <v>0</v>
      </c>
      <c r="GF25" s="19">
        <f t="shared" si="138"/>
        <v>0</v>
      </c>
      <c r="GG25" s="19">
        <f t="shared" si="139"/>
        <v>0</v>
      </c>
      <c r="GH25" s="19">
        <f t="shared" si="140"/>
        <v>0</v>
      </c>
      <c r="GI25" s="19">
        <f t="shared" si="141"/>
        <v>0</v>
      </c>
      <c r="GJ25" s="19">
        <f t="shared" si="142"/>
        <v>0</v>
      </c>
      <c r="GK25" s="19">
        <f t="shared" si="143"/>
        <v>0</v>
      </c>
      <c r="GL25" s="19">
        <f t="shared" si="144"/>
        <v>0</v>
      </c>
      <c r="GM25" s="19">
        <f t="shared" si="145"/>
        <v>0</v>
      </c>
      <c r="GN25" s="19">
        <f t="shared" si="146"/>
        <v>0.60000000000000009</v>
      </c>
      <c r="GO25" s="19">
        <f t="shared" si="147"/>
        <v>1.0249999999999999</v>
      </c>
      <c r="GP25" s="19">
        <f t="shared" si="148"/>
        <v>0</v>
      </c>
      <c r="GQ25" s="19">
        <f t="shared" si="149"/>
        <v>0</v>
      </c>
      <c r="GR25" s="19">
        <f t="shared" si="150"/>
        <v>0</v>
      </c>
      <c r="GS25" s="19">
        <f t="shared" si="151"/>
        <v>0</v>
      </c>
      <c r="GT25" s="19">
        <f t="shared" si="152"/>
        <v>0</v>
      </c>
      <c r="GU25" s="19">
        <f t="shared" si="153"/>
        <v>0</v>
      </c>
      <c r="GV25" s="19">
        <f t="shared" si="154"/>
        <v>0</v>
      </c>
      <c r="GW25" s="19">
        <f t="shared" si="155"/>
        <v>0.15000000000000002</v>
      </c>
      <c r="GX25" s="19">
        <f t="shared" si="156"/>
        <v>0</v>
      </c>
      <c r="GY25" s="19">
        <f t="shared" si="157"/>
        <v>0</v>
      </c>
      <c r="GZ25" s="19">
        <f t="shared" si="158"/>
        <v>0</v>
      </c>
      <c r="HA25" s="19">
        <f t="shared" si="159"/>
        <v>0</v>
      </c>
      <c r="HB25" s="19">
        <f t="shared" si="160"/>
        <v>0</v>
      </c>
      <c r="HC25" s="19">
        <f t="shared" si="161"/>
        <v>0</v>
      </c>
      <c r="HD25" s="19">
        <f t="shared" si="162"/>
        <v>0</v>
      </c>
      <c r="HE25" s="19">
        <f t="shared" si="163"/>
        <v>0</v>
      </c>
      <c r="HF25" s="19">
        <f t="shared" si="164"/>
        <v>0</v>
      </c>
      <c r="HG25" s="19">
        <f t="shared" si="165"/>
        <v>2.0999999999999996</v>
      </c>
      <c r="HH25" s="19">
        <f t="shared" si="166"/>
        <v>0</v>
      </c>
      <c r="HI25" s="19">
        <f t="shared" si="167"/>
        <v>0</v>
      </c>
      <c r="HJ25" s="19">
        <f t="shared" si="168"/>
        <v>0</v>
      </c>
      <c r="HK25" s="19">
        <f t="shared" si="169"/>
        <v>0</v>
      </c>
      <c r="HL25" s="19">
        <f t="shared" si="170"/>
        <v>0.03</v>
      </c>
      <c r="HM25" s="20">
        <f t="shared" si="171"/>
        <v>4.9999999999999991</v>
      </c>
      <c r="HN25" s="53">
        <v>1798</v>
      </c>
      <c r="HO25" s="21">
        <f t="shared" si="172"/>
        <v>0</v>
      </c>
      <c r="HP25" s="21">
        <f t="shared" si="173"/>
        <v>0</v>
      </c>
      <c r="HQ25" s="21">
        <f t="shared" si="174"/>
        <v>0</v>
      </c>
      <c r="HR25" s="21">
        <f t="shared" si="175"/>
        <v>0</v>
      </c>
      <c r="HS25" s="21">
        <f t="shared" si="176"/>
        <v>0</v>
      </c>
      <c r="HT25" s="69">
        <f t="shared" si="177"/>
        <v>0</v>
      </c>
      <c r="HU25" s="21">
        <f t="shared" si="178"/>
        <v>0</v>
      </c>
      <c r="HV25" s="21">
        <f t="shared" si="179"/>
        <v>0</v>
      </c>
      <c r="HW25" s="21">
        <f t="shared" si="180"/>
        <v>0</v>
      </c>
      <c r="HX25" s="21">
        <f t="shared" si="181"/>
        <v>0</v>
      </c>
      <c r="HY25" s="21">
        <f t="shared" si="182"/>
        <v>0</v>
      </c>
      <c r="HZ25" s="21">
        <f t="shared" si="183"/>
        <v>0</v>
      </c>
      <c r="IA25" s="21">
        <f t="shared" si="184"/>
        <v>0</v>
      </c>
      <c r="IB25" s="21">
        <f t="shared" si="185"/>
        <v>0</v>
      </c>
      <c r="IC25" s="21">
        <f t="shared" si="186"/>
        <v>0</v>
      </c>
      <c r="ID25" s="21">
        <f t="shared" si="187"/>
        <v>0</v>
      </c>
      <c r="IE25" s="21">
        <f t="shared" si="188"/>
        <v>393.76200000000006</v>
      </c>
      <c r="IF25" s="69">
        <f t="shared" si="189"/>
        <v>0</v>
      </c>
      <c r="IG25" s="69">
        <f t="shared" si="190"/>
        <v>0</v>
      </c>
      <c r="IH25" s="69">
        <f t="shared" si="191"/>
        <v>0</v>
      </c>
      <c r="II25" s="21">
        <f t="shared" si="192"/>
        <v>0</v>
      </c>
      <c r="IJ25" s="21">
        <f t="shared" si="193"/>
        <v>0</v>
      </c>
      <c r="IK25" s="21">
        <f t="shared" si="194"/>
        <v>0</v>
      </c>
      <c r="IL25" s="21">
        <f t="shared" si="195"/>
        <v>0</v>
      </c>
      <c r="IM25" s="21">
        <f t="shared" si="196"/>
        <v>0</v>
      </c>
      <c r="IN25" s="21">
        <f t="shared" si="197"/>
        <v>0</v>
      </c>
      <c r="IO25" s="21">
        <f t="shared" si="198"/>
        <v>0</v>
      </c>
      <c r="IP25" s="21">
        <f t="shared" si="199"/>
        <v>215.76000000000008</v>
      </c>
      <c r="IQ25" s="21">
        <f t="shared" si="200"/>
        <v>368.59000000000003</v>
      </c>
      <c r="IR25" s="21">
        <f t="shared" si="201"/>
        <v>0</v>
      </c>
      <c r="IS25" s="21">
        <f t="shared" si="202"/>
        <v>0</v>
      </c>
      <c r="IT25" s="21">
        <f t="shared" si="203"/>
        <v>0</v>
      </c>
      <c r="IU25" s="21">
        <f t="shared" si="204"/>
        <v>0</v>
      </c>
      <c r="IV25" s="21">
        <f t="shared" si="205"/>
        <v>0</v>
      </c>
      <c r="IW25" s="21">
        <f t="shared" si="206"/>
        <v>0</v>
      </c>
      <c r="IX25" s="21">
        <f t="shared" si="207"/>
        <v>0</v>
      </c>
      <c r="IY25" s="21">
        <f t="shared" si="208"/>
        <v>53.940000000000019</v>
      </c>
      <c r="IZ25" s="21">
        <f t="shared" si="209"/>
        <v>0</v>
      </c>
      <c r="JA25" s="21">
        <f t="shared" si="210"/>
        <v>0</v>
      </c>
      <c r="JB25" s="21">
        <f t="shared" si="211"/>
        <v>0</v>
      </c>
      <c r="JC25" s="21">
        <f t="shared" si="212"/>
        <v>0</v>
      </c>
      <c r="JD25" s="21">
        <f t="shared" si="213"/>
        <v>0</v>
      </c>
      <c r="JE25" s="21">
        <f t="shared" si="214"/>
        <v>0</v>
      </c>
      <c r="JF25" s="21">
        <f t="shared" si="215"/>
        <v>0</v>
      </c>
      <c r="JG25" s="21">
        <f t="shared" si="216"/>
        <v>0</v>
      </c>
      <c r="JH25" s="21">
        <f t="shared" si="217"/>
        <v>0</v>
      </c>
      <c r="JI25" s="21">
        <f t="shared" si="218"/>
        <v>755.16</v>
      </c>
      <c r="JJ25" s="21">
        <f t="shared" si="219"/>
        <v>0</v>
      </c>
      <c r="JK25" s="21">
        <f t="shared" si="220"/>
        <v>0</v>
      </c>
      <c r="JL25" s="21">
        <f t="shared" si="221"/>
        <v>0</v>
      </c>
      <c r="JM25" s="21">
        <f t="shared" si="222"/>
        <v>0</v>
      </c>
      <c r="JN25" s="21">
        <f t="shared" si="223"/>
        <v>10.788000000000002</v>
      </c>
      <c r="JO25" s="35">
        <f t="shared" si="110"/>
        <v>1798</v>
      </c>
      <c r="JP25" s="38">
        <f t="shared" si="111"/>
        <v>0</v>
      </c>
      <c r="JQ25" s="43">
        <f t="shared" si="224"/>
        <v>0</v>
      </c>
      <c r="JR25" s="43">
        <f t="shared" si="225"/>
        <v>0</v>
      </c>
      <c r="JS25" s="43">
        <f t="shared" si="226"/>
        <v>0</v>
      </c>
      <c r="JT25" s="43">
        <f t="shared" si="227"/>
        <v>0</v>
      </c>
      <c r="JU25" s="43">
        <f t="shared" si="228"/>
        <v>0</v>
      </c>
      <c r="JV25" s="43">
        <f t="shared" si="229"/>
        <v>0</v>
      </c>
      <c r="JW25" s="43">
        <f t="shared" si="230"/>
        <v>0</v>
      </c>
      <c r="JX25" s="43">
        <f t="shared" si="231"/>
        <v>0</v>
      </c>
      <c r="JY25" s="43">
        <f t="shared" si="232"/>
        <v>0</v>
      </c>
      <c r="JZ25" s="43">
        <f t="shared" si="233"/>
        <v>0</v>
      </c>
      <c r="KA25" s="43">
        <f t="shared" si="234"/>
        <v>0</v>
      </c>
      <c r="KB25" s="43">
        <f t="shared" si="235"/>
        <v>0</v>
      </c>
      <c r="KC25" s="43">
        <f t="shared" si="236"/>
        <v>0</v>
      </c>
      <c r="KD25" s="43">
        <f t="shared" si="237"/>
        <v>0</v>
      </c>
      <c r="KE25" s="43">
        <f t="shared" si="238"/>
        <v>0</v>
      </c>
      <c r="KF25" s="43">
        <f t="shared" si="239"/>
        <v>0</v>
      </c>
      <c r="KG25" s="43">
        <f t="shared" si="240"/>
        <v>1634.0827718273943</v>
      </c>
      <c r="KH25" s="43">
        <f t="shared" si="241"/>
        <v>0</v>
      </c>
      <c r="KI25" s="43">
        <f t="shared" si="242"/>
        <v>0</v>
      </c>
      <c r="KJ25" s="43">
        <f t="shared" si="243"/>
        <v>0</v>
      </c>
      <c r="KK25" s="43">
        <f t="shared" si="244"/>
        <v>0</v>
      </c>
      <c r="KL25" s="43">
        <f t="shared" si="245"/>
        <v>0</v>
      </c>
      <c r="KM25" s="43">
        <f t="shared" si="246"/>
        <v>0</v>
      </c>
      <c r="KN25" s="43">
        <f t="shared" si="247"/>
        <v>0</v>
      </c>
      <c r="KO25" s="43">
        <f t="shared" si="248"/>
        <v>0</v>
      </c>
      <c r="KP25" s="43">
        <f t="shared" si="249"/>
        <v>0</v>
      </c>
      <c r="KQ25" s="43">
        <f t="shared" si="250"/>
        <v>0</v>
      </c>
      <c r="KR25" s="43">
        <f t="shared" si="251"/>
        <v>832.83360000000027</v>
      </c>
      <c r="KS25" s="43">
        <f t="shared" si="252"/>
        <v>1260.3312095668689</v>
      </c>
      <c r="KT25" s="43">
        <f t="shared" si="253"/>
        <v>0</v>
      </c>
      <c r="KU25" s="43">
        <f t="shared" si="254"/>
        <v>0</v>
      </c>
      <c r="KV25" s="43">
        <f t="shared" si="255"/>
        <v>0</v>
      </c>
      <c r="KW25" s="43">
        <f t="shared" si="256"/>
        <v>0</v>
      </c>
      <c r="KX25" s="43">
        <f t="shared" si="257"/>
        <v>0</v>
      </c>
      <c r="KY25" s="43">
        <f t="shared" si="258"/>
        <v>0</v>
      </c>
      <c r="KZ25" s="43">
        <f t="shared" si="259"/>
        <v>0</v>
      </c>
      <c r="LA25" s="43">
        <f t="shared" si="260"/>
        <v>216.12894960000006</v>
      </c>
      <c r="LB25" s="43">
        <f t="shared" si="261"/>
        <v>0</v>
      </c>
      <c r="LC25" s="43">
        <f t="shared" si="262"/>
        <v>0</v>
      </c>
      <c r="LD25" s="43">
        <f t="shared" si="263"/>
        <v>0</v>
      </c>
      <c r="LE25" s="43">
        <f t="shared" si="264"/>
        <v>0</v>
      </c>
      <c r="LF25" s="43">
        <f t="shared" si="265"/>
        <v>0</v>
      </c>
      <c r="LG25" s="43">
        <f t="shared" si="266"/>
        <v>0</v>
      </c>
      <c r="LH25" s="43">
        <f t="shared" si="267"/>
        <v>0</v>
      </c>
      <c r="LI25" s="43">
        <f t="shared" si="268"/>
        <v>0</v>
      </c>
      <c r="LJ25" s="43">
        <f t="shared" si="269"/>
        <v>0</v>
      </c>
      <c r="LK25" s="43">
        <f t="shared" si="270"/>
        <v>3024.9821699999998</v>
      </c>
      <c r="LL25" s="43">
        <f t="shared" si="271"/>
        <v>0</v>
      </c>
      <c r="LM25" s="43">
        <f t="shared" si="272"/>
        <v>0</v>
      </c>
      <c r="LN25" s="43">
        <f t="shared" si="273"/>
        <v>0</v>
      </c>
      <c r="LO25" s="43">
        <f t="shared" si="274"/>
        <v>0</v>
      </c>
      <c r="LP25" s="43">
        <f t="shared" si="275"/>
        <v>91.158600000000007</v>
      </c>
      <c r="LQ25" s="28">
        <f t="shared" si="113"/>
        <v>7059.5173009942628</v>
      </c>
      <c r="LR25" s="65">
        <v>1774</v>
      </c>
      <c r="LS25" s="32">
        <f t="shared" si="114"/>
        <v>3.9794347807182993</v>
      </c>
      <c r="LT25" s="26">
        <f t="shared" si="115"/>
        <v>1.0872772624913385</v>
      </c>
      <c r="LU25" s="31">
        <f t="shared" si="116"/>
        <v>24</v>
      </c>
      <c r="LW25" s="42"/>
      <c r="MA25" s="32">
        <f t="shared" si="117"/>
        <v>3.9263166301414141</v>
      </c>
      <c r="MB25" s="26">
        <f t="shared" si="118"/>
        <v>1.0727641065960147</v>
      </c>
    </row>
    <row r="26" spans="1:340" ht="15.75" thickBot="1">
      <c r="A26" t="b">
        <f t="shared" si="3"/>
        <v>1</v>
      </c>
      <c r="B26" s="123" t="s">
        <v>150</v>
      </c>
      <c r="C26" s="39" t="s">
        <v>151</v>
      </c>
      <c r="D26"/>
      <c r="E26" s="97">
        <v>46026</v>
      </c>
      <c r="F26" t="s">
        <v>43</v>
      </c>
      <c r="G26" t="s">
        <v>20</v>
      </c>
      <c r="H26" t="s">
        <v>27</v>
      </c>
      <c r="I26" s="77"/>
      <c r="J26" s="77"/>
      <c r="K26" s="77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24"/>
      <c r="AG26" s="124"/>
      <c r="AH26" s="104"/>
      <c r="AI26" s="104"/>
      <c r="AJ26" s="22">
        <v>0.4</v>
      </c>
      <c r="AK26" s="22"/>
      <c r="AL26" s="22"/>
      <c r="AM26" s="22"/>
      <c r="AN26" s="22"/>
      <c r="AO26" s="104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104"/>
      <c r="BA26" s="104"/>
      <c r="BB26" s="104"/>
      <c r="BC26" s="124">
        <v>0.6</v>
      </c>
      <c r="BD26" s="124"/>
      <c r="BE26" s="104"/>
      <c r="BF26" s="104"/>
      <c r="BG26" s="104"/>
      <c r="BH26" s="104"/>
      <c r="BI26" s="78">
        <f t="shared" si="4"/>
        <v>1</v>
      </c>
      <c r="BJ26" s="105"/>
      <c r="BK26" s="105"/>
      <c r="BL26" s="105"/>
      <c r="BM26" s="105"/>
      <c r="BN26" s="105"/>
      <c r="BO26" s="105"/>
      <c r="BP26" s="105"/>
      <c r="BQ26" s="105"/>
      <c r="BR26" s="105"/>
      <c r="BS26" s="105"/>
      <c r="BT26" s="105"/>
      <c r="BU26" s="105"/>
      <c r="BV26" s="105"/>
      <c r="BW26" s="105"/>
      <c r="BX26" s="105"/>
      <c r="BY26" s="105"/>
      <c r="BZ26" s="105"/>
      <c r="CA26" s="105"/>
      <c r="CB26" s="105"/>
      <c r="CC26" s="105"/>
      <c r="CD26" s="105"/>
      <c r="CE26" s="105"/>
      <c r="CF26" s="120"/>
      <c r="CG26" s="128"/>
      <c r="CH26" s="128"/>
      <c r="CI26" s="105"/>
      <c r="CJ26" s="105"/>
      <c r="CK26" s="105"/>
      <c r="CL26" s="105">
        <v>0.4</v>
      </c>
      <c r="CM26" s="105"/>
      <c r="CN26" s="105"/>
      <c r="CO26" s="105"/>
      <c r="CP26" s="105"/>
      <c r="CQ26" s="105"/>
      <c r="CR26" s="105"/>
      <c r="CS26" s="105"/>
      <c r="CT26" s="105"/>
      <c r="CU26" s="105"/>
      <c r="CV26" s="105"/>
      <c r="CW26" s="105"/>
      <c r="CX26" s="105"/>
      <c r="CY26" s="105"/>
      <c r="CZ26" s="105"/>
      <c r="DA26" s="105"/>
      <c r="DB26" s="105"/>
      <c r="DC26" s="105"/>
      <c r="DD26" s="125">
        <v>0.6</v>
      </c>
      <c r="DE26" s="125"/>
      <c r="DF26" s="105"/>
      <c r="DG26" s="105"/>
      <c r="DH26" s="105"/>
      <c r="DI26" s="105"/>
      <c r="DJ26" s="79">
        <f t="shared" si="5"/>
        <v>1</v>
      </c>
      <c r="DK26" s="108"/>
      <c r="DL26" s="108"/>
      <c r="DM26" s="108"/>
      <c r="DN26" s="108"/>
      <c r="DO26" s="108"/>
      <c r="DP26" s="108"/>
      <c r="DQ26" s="108"/>
      <c r="DR26" s="108"/>
      <c r="DS26" s="108"/>
      <c r="DT26" s="108"/>
      <c r="DU26" s="108"/>
      <c r="DV26" s="108"/>
      <c r="DW26" s="108"/>
      <c r="DX26" s="108"/>
      <c r="DY26" s="108"/>
      <c r="DZ26" s="108"/>
      <c r="EA26" s="108">
        <v>0.73</v>
      </c>
      <c r="EB26" s="108"/>
      <c r="EC26" s="108"/>
      <c r="ED26" s="108"/>
      <c r="EE26" s="108"/>
      <c r="EF26" s="108"/>
      <c r="EG26" s="108"/>
      <c r="EH26" s="129"/>
      <c r="EI26" s="129"/>
      <c r="EJ26" s="108"/>
      <c r="EK26" s="108"/>
      <c r="EL26" s="108"/>
      <c r="EM26" s="108">
        <v>0.15</v>
      </c>
      <c r="EN26" s="108"/>
      <c r="EO26" s="108"/>
      <c r="EP26" s="108"/>
      <c r="EQ26" s="108"/>
      <c r="ER26" s="108"/>
      <c r="ES26" s="106"/>
      <c r="ET26" s="106"/>
      <c r="EU26" s="106">
        <v>0.1</v>
      </c>
      <c r="EV26" s="106"/>
      <c r="EW26" s="106"/>
      <c r="EX26" s="106"/>
      <c r="EY26" s="106"/>
      <c r="EZ26" s="106"/>
      <c r="FA26" s="106"/>
      <c r="FB26" s="106"/>
      <c r="FC26" s="106"/>
      <c r="FD26" s="106"/>
      <c r="FE26" s="126"/>
      <c r="FF26" s="126"/>
      <c r="FG26" s="106"/>
      <c r="FH26" s="106"/>
      <c r="FI26" s="106"/>
      <c r="FJ26" s="106">
        <v>0.02</v>
      </c>
      <c r="FK26" s="17">
        <f t="shared" si="6"/>
        <v>1</v>
      </c>
      <c r="FL26" s="18"/>
      <c r="FM26" s="19">
        <f t="shared" si="119"/>
        <v>0</v>
      </c>
      <c r="FN26" s="19">
        <f t="shared" si="120"/>
        <v>0</v>
      </c>
      <c r="FO26" s="19">
        <f t="shared" si="121"/>
        <v>0</v>
      </c>
      <c r="FP26" s="19">
        <f t="shared" si="122"/>
        <v>0</v>
      </c>
      <c r="FQ26" s="19">
        <f t="shared" si="123"/>
        <v>0</v>
      </c>
      <c r="FR26" s="19">
        <f t="shared" si="124"/>
        <v>0</v>
      </c>
      <c r="FS26" s="19">
        <f t="shared" si="125"/>
        <v>0</v>
      </c>
      <c r="FT26" s="19">
        <f t="shared" si="126"/>
        <v>0</v>
      </c>
      <c r="FU26" s="19">
        <f t="shared" si="127"/>
        <v>0</v>
      </c>
      <c r="FV26" s="19">
        <f t="shared" si="128"/>
        <v>0</v>
      </c>
      <c r="FW26" s="19">
        <f t="shared" si="129"/>
        <v>0</v>
      </c>
      <c r="FX26" s="19">
        <f t="shared" si="130"/>
        <v>0</v>
      </c>
      <c r="FY26" s="19">
        <f t="shared" si="131"/>
        <v>0</v>
      </c>
      <c r="FZ26" s="19">
        <f t="shared" si="132"/>
        <v>0</v>
      </c>
      <c r="GA26" s="19">
        <f t="shared" si="133"/>
        <v>0</v>
      </c>
      <c r="GB26" s="19">
        <f t="shared" si="134"/>
        <v>0</v>
      </c>
      <c r="GC26" s="19">
        <f t="shared" si="135"/>
        <v>1.095</v>
      </c>
      <c r="GD26" s="19">
        <f t="shared" si="136"/>
        <v>0</v>
      </c>
      <c r="GE26" s="19">
        <f t="shared" si="137"/>
        <v>0</v>
      </c>
      <c r="GF26" s="19">
        <f t="shared" si="138"/>
        <v>0</v>
      </c>
      <c r="GG26" s="19">
        <f t="shared" si="139"/>
        <v>0</v>
      </c>
      <c r="GH26" s="19">
        <f t="shared" si="140"/>
        <v>0</v>
      </c>
      <c r="GI26" s="19">
        <f t="shared" si="141"/>
        <v>0</v>
      </c>
      <c r="GJ26" s="19">
        <f t="shared" si="142"/>
        <v>0</v>
      </c>
      <c r="GK26" s="19">
        <f t="shared" si="143"/>
        <v>0</v>
      </c>
      <c r="GL26" s="19">
        <f t="shared" si="144"/>
        <v>0</v>
      </c>
      <c r="GM26" s="19">
        <f t="shared" si="145"/>
        <v>0</v>
      </c>
      <c r="GN26" s="19">
        <f t="shared" si="146"/>
        <v>0.60000000000000009</v>
      </c>
      <c r="GO26" s="19">
        <f t="shared" si="147"/>
        <v>1.0249999999999999</v>
      </c>
      <c r="GP26" s="19">
        <f t="shared" si="148"/>
        <v>0</v>
      </c>
      <c r="GQ26" s="19">
        <f t="shared" si="149"/>
        <v>0</v>
      </c>
      <c r="GR26" s="19">
        <f t="shared" si="150"/>
        <v>0</v>
      </c>
      <c r="GS26" s="19">
        <f t="shared" si="151"/>
        <v>0</v>
      </c>
      <c r="GT26" s="19">
        <f t="shared" si="152"/>
        <v>0</v>
      </c>
      <c r="GU26" s="19">
        <f t="shared" si="153"/>
        <v>0</v>
      </c>
      <c r="GV26" s="19">
        <f t="shared" si="154"/>
        <v>0</v>
      </c>
      <c r="GW26" s="19">
        <f t="shared" si="155"/>
        <v>0.15000000000000002</v>
      </c>
      <c r="GX26" s="19">
        <f t="shared" si="156"/>
        <v>0</v>
      </c>
      <c r="GY26" s="19">
        <f t="shared" si="157"/>
        <v>0</v>
      </c>
      <c r="GZ26" s="19">
        <f t="shared" si="158"/>
        <v>0</v>
      </c>
      <c r="HA26" s="19">
        <f t="shared" si="159"/>
        <v>0</v>
      </c>
      <c r="HB26" s="19">
        <f t="shared" si="160"/>
        <v>0</v>
      </c>
      <c r="HC26" s="19">
        <f t="shared" si="161"/>
        <v>0</v>
      </c>
      <c r="HD26" s="19">
        <f t="shared" si="162"/>
        <v>0</v>
      </c>
      <c r="HE26" s="19">
        <f t="shared" si="163"/>
        <v>0</v>
      </c>
      <c r="HF26" s="19">
        <f t="shared" si="164"/>
        <v>0</v>
      </c>
      <c r="HG26" s="19">
        <f t="shared" si="165"/>
        <v>2.0999999999999996</v>
      </c>
      <c r="HH26" s="19">
        <f t="shared" si="166"/>
        <v>0</v>
      </c>
      <c r="HI26" s="19">
        <f t="shared" si="167"/>
        <v>0</v>
      </c>
      <c r="HJ26" s="19">
        <f t="shared" si="168"/>
        <v>0</v>
      </c>
      <c r="HK26" s="19">
        <f t="shared" si="169"/>
        <v>0</v>
      </c>
      <c r="HL26" s="19">
        <f t="shared" si="170"/>
        <v>0.03</v>
      </c>
      <c r="HM26" s="20">
        <f t="shared" si="171"/>
        <v>4.9999999999999991</v>
      </c>
      <c r="HN26" s="53">
        <v>935</v>
      </c>
      <c r="HO26" s="21">
        <f t="shared" si="172"/>
        <v>0</v>
      </c>
      <c r="HP26" s="21">
        <f t="shared" si="173"/>
        <v>0</v>
      </c>
      <c r="HQ26" s="21">
        <f t="shared" si="174"/>
        <v>0</v>
      </c>
      <c r="HR26" s="21">
        <f t="shared" si="175"/>
        <v>0</v>
      </c>
      <c r="HS26" s="21">
        <f t="shared" si="176"/>
        <v>0</v>
      </c>
      <c r="HT26" s="69">
        <f t="shared" si="177"/>
        <v>0</v>
      </c>
      <c r="HU26" s="21">
        <f t="shared" si="178"/>
        <v>0</v>
      </c>
      <c r="HV26" s="21">
        <f t="shared" si="179"/>
        <v>0</v>
      </c>
      <c r="HW26" s="21">
        <f t="shared" si="180"/>
        <v>0</v>
      </c>
      <c r="HX26" s="21">
        <f t="shared" si="181"/>
        <v>0</v>
      </c>
      <c r="HY26" s="21">
        <f t="shared" si="182"/>
        <v>0</v>
      </c>
      <c r="HZ26" s="21">
        <f t="shared" si="183"/>
        <v>0</v>
      </c>
      <c r="IA26" s="21">
        <f t="shared" si="184"/>
        <v>0</v>
      </c>
      <c r="IB26" s="21">
        <f t="shared" si="185"/>
        <v>0</v>
      </c>
      <c r="IC26" s="21">
        <f t="shared" si="186"/>
        <v>0</v>
      </c>
      <c r="ID26" s="21">
        <f t="shared" si="187"/>
        <v>0</v>
      </c>
      <c r="IE26" s="21">
        <f t="shared" si="188"/>
        <v>204.76500000000001</v>
      </c>
      <c r="IF26" s="69">
        <f t="shared" si="189"/>
        <v>0</v>
      </c>
      <c r="IG26" s="69">
        <f t="shared" si="190"/>
        <v>0</v>
      </c>
      <c r="IH26" s="69">
        <f t="shared" si="191"/>
        <v>0</v>
      </c>
      <c r="II26" s="21">
        <f t="shared" si="192"/>
        <v>0</v>
      </c>
      <c r="IJ26" s="21">
        <f t="shared" si="193"/>
        <v>0</v>
      </c>
      <c r="IK26" s="21">
        <f t="shared" si="194"/>
        <v>0</v>
      </c>
      <c r="IL26" s="21">
        <f t="shared" si="195"/>
        <v>0</v>
      </c>
      <c r="IM26" s="21">
        <f t="shared" si="196"/>
        <v>0</v>
      </c>
      <c r="IN26" s="21">
        <f t="shared" si="197"/>
        <v>0</v>
      </c>
      <c r="IO26" s="21">
        <f t="shared" si="198"/>
        <v>0</v>
      </c>
      <c r="IP26" s="21">
        <f t="shared" si="199"/>
        <v>112.20000000000005</v>
      </c>
      <c r="IQ26" s="21">
        <f t="shared" si="200"/>
        <v>191.67500000000001</v>
      </c>
      <c r="IR26" s="21">
        <f t="shared" si="201"/>
        <v>0</v>
      </c>
      <c r="IS26" s="21">
        <f t="shared" si="202"/>
        <v>0</v>
      </c>
      <c r="IT26" s="21">
        <f t="shared" si="203"/>
        <v>0</v>
      </c>
      <c r="IU26" s="21">
        <f t="shared" si="204"/>
        <v>0</v>
      </c>
      <c r="IV26" s="21">
        <f t="shared" si="205"/>
        <v>0</v>
      </c>
      <c r="IW26" s="21">
        <f t="shared" si="206"/>
        <v>0</v>
      </c>
      <c r="IX26" s="21">
        <f t="shared" si="207"/>
        <v>0</v>
      </c>
      <c r="IY26" s="21">
        <f t="shared" si="208"/>
        <v>28.050000000000011</v>
      </c>
      <c r="IZ26" s="21">
        <f t="shared" si="209"/>
        <v>0</v>
      </c>
      <c r="JA26" s="21">
        <f t="shared" si="210"/>
        <v>0</v>
      </c>
      <c r="JB26" s="21">
        <f t="shared" si="211"/>
        <v>0</v>
      </c>
      <c r="JC26" s="21">
        <f t="shared" si="212"/>
        <v>0</v>
      </c>
      <c r="JD26" s="21">
        <f t="shared" si="213"/>
        <v>0</v>
      </c>
      <c r="JE26" s="21">
        <f t="shared" si="214"/>
        <v>0</v>
      </c>
      <c r="JF26" s="21">
        <f t="shared" si="215"/>
        <v>0</v>
      </c>
      <c r="JG26" s="21">
        <f t="shared" si="216"/>
        <v>0</v>
      </c>
      <c r="JH26" s="21">
        <f t="shared" si="217"/>
        <v>0</v>
      </c>
      <c r="JI26" s="21">
        <f t="shared" si="218"/>
        <v>392.70000000000005</v>
      </c>
      <c r="JJ26" s="21">
        <f t="shared" si="219"/>
        <v>0</v>
      </c>
      <c r="JK26" s="21">
        <f t="shared" si="220"/>
        <v>0</v>
      </c>
      <c r="JL26" s="21">
        <f t="shared" si="221"/>
        <v>0</v>
      </c>
      <c r="JM26" s="21">
        <f t="shared" si="222"/>
        <v>0</v>
      </c>
      <c r="JN26" s="21">
        <f t="shared" si="223"/>
        <v>5.6100000000000012</v>
      </c>
      <c r="JO26" s="35">
        <f t="shared" si="110"/>
        <v>935.00000000000011</v>
      </c>
      <c r="JP26" s="38">
        <f t="shared" si="111"/>
        <v>0</v>
      </c>
      <c r="JQ26" s="43">
        <f t="shared" si="224"/>
        <v>0</v>
      </c>
      <c r="JR26" s="43">
        <f t="shared" si="225"/>
        <v>0</v>
      </c>
      <c r="JS26" s="43">
        <f t="shared" si="226"/>
        <v>0</v>
      </c>
      <c r="JT26" s="43">
        <f t="shared" si="227"/>
        <v>0</v>
      </c>
      <c r="JU26" s="43">
        <f t="shared" si="228"/>
        <v>0</v>
      </c>
      <c r="JV26" s="43">
        <f t="shared" si="229"/>
        <v>0</v>
      </c>
      <c r="JW26" s="43">
        <f t="shared" si="230"/>
        <v>0</v>
      </c>
      <c r="JX26" s="43">
        <f t="shared" si="231"/>
        <v>0</v>
      </c>
      <c r="JY26" s="43">
        <f t="shared" si="232"/>
        <v>0</v>
      </c>
      <c r="JZ26" s="43">
        <f t="shared" si="233"/>
        <v>0</v>
      </c>
      <c r="KA26" s="43">
        <f t="shared" si="234"/>
        <v>0</v>
      </c>
      <c r="KB26" s="43">
        <f t="shared" si="235"/>
        <v>0</v>
      </c>
      <c r="KC26" s="43">
        <f t="shared" si="236"/>
        <v>0</v>
      </c>
      <c r="KD26" s="43">
        <f t="shared" si="237"/>
        <v>0</v>
      </c>
      <c r="KE26" s="43">
        <f t="shared" si="238"/>
        <v>0</v>
      </c>
      <c r="KF26" s="43">
        <f t="shared" si="239"/>
        <v>0</v>
      </c>
      <c r="KG26" s="43">
        <f t="shared" si="240"/>
        <v>849.75939469333343</v>
      </c>
      <c r="KH26" s="43">
        <f t="shared" si="241"/>
        <v>0</v>
      </c>
      <c r="KI26" s="43">
        <f t="shared" si="242"/>
        <v>0</v>
      </c>
      <c r="KJ26" s="43">
        <f t="shared" si="243"/>
        <v>0</v>
      </c>
      <c r="KK26" s="43">
        <f t="shared" si="244"/>
        <v>0</v>
      </c>
      <c r="KL26" s="43">
        <f t="shared" si="245"/>
        <v>0</v>
      </c>
      <c r="KM26" s="43">
        <f t="shared" si="246"/>
        <v>0</v>
      </c>
      <c r="KN26" s="43">
        <f t="shared" si="247"/>
        <v>0</v>
      </c>
      <c r="KO26" s="43">
        <f t="shared" si="248"/>
        <v>0</v>
      </c>
      <c r="KP26" s="43">
        <f t="shared" si="249"/>
        <v>0</v>
      </c>
      <c r="KQ26" s="43">
        <f t="shared" si="250"/>
        <v>0</v>
      </c>
      <c r="KR26" s="43">
        <f t="shared" si="251"/>
        <v>433.09200000000016</v>
      </c>
      <c r="KS26" s="43">
        <f t="shared" si="252"/>
        <v>655.40026748888897</v>
      </c>
      <c r="KT26" s="43">
        <f t="shared" si="253"/>
        <v>0</v>
      </c>
      <c r="KU26" s="43">
        <f t="shared" si="254"/>
        <v>0</v>
      </c>
      <c r="KV26" s="43">
        <f t="shared" si="255"/>
        <v>0</v>
      </c>
      <c r="KW26" s="43">
        <f t="shared" si="256"/>
        <v>0</v>
      </c>
      <c r="KX26" s="43">
        <f t="shared" si="257"/>
        <v>0</v>
      </c>
      <c r="KY26" s="43">
        <f t="shared" si="258"/>
        <v>0</v>
      </c>
      <c r="KZ26" s="43">
        <f t="shared" si="259"/>
        <v>0</v>
      </c>
      <c r="LA26" s="43">
        <f t="shared" si="260"/>
        <v>112.39186200000003</v>
      </c>
      <c r="LB26" s="43">
        <f t="shared" si="261"/>
        <v>0</v>
      </c>
      <c r="LC26" s="43">
        <f t="shared" si="262"/>
        <v>0</v>
      </c>
      <c r="LD26" s="43">
        <f t="shared" si="263"/>
        <v>0</v>
      </c>
      <c r="LE26" s="43">
        <f t="shared" si="264"/>
        <v>0</v>
      </c>
      <c r="LF26" s="43">
        <f t="shared" si="265"/>
        <v>0</v>
      </c>
      <c r="LG26" s="43">
        <f t="shared" si="266"/>
        <v>0</v>
      </c>
      <c r="LH26" s="43">
        <f t="shared" si="267"/>
        <v>0</v>
      </c>
      <c r="LI26" s="43">
        <f t="shared" si="268"/>
        <v>0</v>
      </c>
      <c r="LJ26" s="43">
        <f t="shared" si="269"/>
        <v>0</v>
      </c>
      <c r="LK26" s="43">
        <f t="shared" si="270"/>
        <v>1573.058025</v>
      </c>
      <c r="LL26" s="43">
        <f t="shared" si="271"/>
        <v>0</v>
      </c>
      <c r="LM26" s="43">
        <f t="shared" si="272"/>
        <v>0</v>
      </c>
      <c r="LN26" s="43">
        <f t="shared" si="273"/>
        <v>0</v>
      </c>
      <c r="LO26" s="43">
        <f t="shared" si="274"/>
        <v>0</v>
      </c>
      <c r="LP26" s="43">
        <f t="shared" si="275"/>
        <v>47.404500000000006</v>
      </c>
      <c r="LQ26" s="28">
        <f t="shared" si="113"/>
        <v>3671.1060491822223</v>
      </c>
      <c r="LR26" s="65">
        <v>904</v>
      </c>
      <c r="LS26" s="32">
        <f t="shared" si="114"/>
        <v>4.0609580190068826</v>
      </c>
      <c r="LT26" s="26">
        <f t="shared" si="115"/>
        <v>1.1095513713133558</v>
      </c>
      <c r="LU26" s="31">
        <f t="shared" si="116"/>
        <v>31</v>
      </c>
      <c r="LW26" s="42"/>
      <c r="MA26" s="32">
        <f t="shared" si="117"/>
        <v>3.9263166301414136</v>
      </c>
      <c r="MB26" s="26">
        <f t="shared" si="118"/>
        <v>1.0727641065960145</v>
      </c>
    </row>
    <row r="27" spans="1:340" ht="15.75" thickBot="1">
      <c r="A27" t="b">
        <f t="shared" si="3"/>
        <v>1</v>
      </c>
      <c r="B27" s="123" t="s">
        <v>152</v>
      </c>
      <c r="C27" s="39" t="s">
        <v>94</v>
      </c>
      <c r="D27"/>
      <c r="E27" s="97">
        <v>46026</v>
      </c>
      <c r="F27" t="s">
        <v>43</v>
      </c>
      <c r="G27" t="s">
        <v>20</v>
      </c>
      <c r="H27" t="s">
        <v>27</v>
      </c>
      <c r="I27" s="77"/>
      <c r="J27" s="77"/>
      <c r="K27" s="77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24"/>
      <c r="AG27" s="124"/>
      <c r="AH27" s="104"/>
      <c r="AI27" s="104"/>
      <c r="AJ27" s="22">
        <v>0.4</v>
      </c>
      <c r="AK27" s="22"/>
      <c r="AL27" s="22"/>
      <c r="AM27" s="22"/>
      <c r="AN27" s="22"/>
      <c r="AO27" s="104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104"/>
      <c r="BA27" s="104"/>
      <c r="BB27" s="104"/>
      <c r="BC27" s="124">
        <v>0.6</v>
      </c>
      <c r="BD27" s="124"/>
      <c r="BE27" s="104"/>
      <c r="BF27" s="104"/>
      <c r="BG27" s="104"/>
      <c r="BH27" s="104"/>
      <c r="BI27" s="78">
        <f t="shared" si="4"/>
        <v>1</v>
      </c>
      <c r="BJ27" s="105"/>
      <c r="BK27" s="105"/>
      <c r="BL27" s="105"/>
      <c r="BM27" s="105"/>
      <c r="BN27" s="105"/>
      <c r="BO27" s="105"/>
      <c r="BP27" s="105"/>
      <c r="BQ27" s="105"/>
      <c r="BR27" s="105"/>
      <c r="BS27" s="105"/>
      <c r="BT27" s="105"/>
      <c r="BU27" s="105"/>
      <c r="BV27" s="105"/>
      <c r="BW27" s="105"/>
      <c r="BX27" s="105"/>
      <c r="BY27" s="105"/>
      <c r="BZ27" s="105"/>
      <c r="CA27" s="105"/>
      <c r="CB27" s="105"/>
      <c r="CC27" s="105"/>
      <c r="CD27" s="105"/>
      <c r="CE27" s="105"/>
      <c r="CF27" s="120"/>
      <c r="CG27" s="128"/>
      <c r="CH27" s="128"/>
      <c r="CI27" s="105"/>
      <c r="CJ27" s="105"/>
      <c r="CK27" s="105"/>
      <c r="CL27" s="105">
        <v>0.4</v>
      </c>
      <c r="CM27" s="105"/>
      <c r="CN27" s="105"/>
      <c r="CO27" s="105"/>
      <c r="CP27" s="105"/>
      <c r="CQ27" s="105"/>
      <c r="CR27" s="105"/>
      <c r="CS27" s="105"/>
      <c r="CT27" s="105"/>
      <c r="CU27" s="105"/>
      <c r="CV27" s="105"/>
      <c r="CW27" s="105"/>
      <c r="CX27" s="105"/>
      <c r="CY27" s="105"/>
      <c r="CZ27" s="105"/>
      <c r="DA27" s="105"/>
      <c r="DB27" s="105"/>
      <c r="DC27" s="105"/>
      <c r="DD27" s="125">
        <v>0.6</v>
      </c>
      <c r="DE27" s="125"/>
      <c r="DF27" s="105"/>
      <c r="DG27" s="105"/>
      <c r="DH27" s="105"/>
      <c r="DI27" s="105"/>
      <c r="DJ27" s="79">
        <f t="shared" si="5"/>
        <v>1</v>
      </c>
      <c r="DK27" s="108"/>
      <c r="DL27" s="108"/>
      <c r="DM27" s="108"/>
      <c r="DN27" s="108"/>
      <c r="DO27" s="108"/>
      <c r="DP27" s="108"/>
      <c r="DQ27" s="108"/>
      <c r="DR27" s="108"/>
      <c r="DS27" s="108"/>
      <c r="DT27" s="108"/>
      <c r="DU27" s="108"/>
      <c r="DV27" s="108"/>
      <c r="DW27" s="108"/>
      <c r="DX27" s="108"/>
      <c r="DY27" s="108"/>
      <c r="DZ27" s="108"/>
      <c r="EA27" s="108">
        <v>0.73</v>
      </c>
      <c r="EB27" s="108"/>
      <c r="EC27" s="108"/>
      <c r="ED27" s="108"/>
      <c r="EE27" s="108"/>
      <c r="EF27" s="108"/>
      <c r="EG27" s="108"/>
      <c r="EH27" s="129"/>
      <c r="EI27" s="129"/>
      <c r="EJ27" s="108"/>
      <c r="EK27" s="108"/>
      <c r="EL27" s="108"/>
      <c r="EM27" s="108">
        <v>0.15</v>
      </c>
      <c r="EN27" s="108"/>
      <c r="EO27" s="108"/>
      <c r="EP27" s="108"/>
      <c r="EQ27" s="108"/>
      <c r="ER27" s="108"/>
      <c r="ES27" s="106"/>
      <c r="ET27" s="106"/>
      <c r="EU27" s="106">
        <v>0.1</v>
      </c>
      <c r="EV27" s="106"/>
      <c r="EW27" s="106"/>
      <c r="EX27" s="106"/>
      <c r="EY27" s="106"/>
      <c r="EZ27" s="106"/>
      <c r="FA27" s="106"/>
      <c r="FB27" s="106"/>
      <c r="FC27" s="106"/>
      <c r="FD27" s="106"/>
      <c r="FE27" s="126"/>
      <c r="FF27" s="126"/>
      <c r="FG27" s="106"/>
      <c r="FH27" s="106"/>
      <c r="FI27" s="106"/>
      <c r="FJ27" s="106">
        <v>0.02</v>
      </c>
      <c r="FK27" s="17">
        <f t="shared" si="6"/>
        <v>1</v>
      </c>
      <c r="FL27" s="18"/>
      <c r="FM27" s="19">
        <f t="shared" si="119"/>
        <v>0</v>
      </c>
      <c r="FN27" s="19">
        <f t="shared" si="120"/>
        <v>0</v>
      </c>
      <c r="FO27" s="19">
        <f t="shared" si="121"/>
        <v>0</v>
      </c>
      <c r="FP27" s="19">
        <f t="shared" si="122"/>
        <v>0</v>
      </c>
      <c r="FQ27" s="19">
        <f t="shared" si="123"/>
        <v>0</v>
      </c>
      <c r="FR27" s="19">
        <f t="shared" si="124"/>
        <v>0</v>
      </c>
      <c r="FS27" s="19">
        <f t="shared" si="125"/>
        <v>0</v>
      </c>
      <c r="FT27" s="19">
        <f t="shared" si="126"/>
        <v>0</v>
      </c>
      <c r="FU27" s="19">
        <f t="shared" si="127"/>
        <v>0</v>
      </c>
      <c r="FV27" s="19">
        <f t="shared" si="128"/>
        <v>0</v>
      </c>
      <c r="FW27" s="19">
        <f t="shared" si="129"/>
        <v>0</v>
      </c>
      <c r="FX27" s="19">
        <f t="shared" si="130"/>
        <v>0</v>
      </c>
      <c r="FY27" s="19">
        <f t="shared" si="131"/>
        <v>0</v>
      </c>
      <c r="FZ27" s="19">
        <f t="shared" si="132"/>
        <v>0</v>
      </c>
      <c r="GA27" s="19">
        <f t="shared" si="133"/>
        <v>0</v>
      </c>
      <c r="GB27" s="19">
        <f t="shared" si="134"/>
        <v>0</v>
      </c>
      <c r="GC27" s="19">
        <f t="shared" si="135"/>
        <v>1.095</v>
      </c>
      <c r="GD27" s="19">
        <f t="shared" si="136"/>
        <v>0</v>
      </c>
      <c r="GE27" s="19">
        <f t="shared" si="137"/>
        <v>0</v>
      </c>
      <c r="GF27" s="19">
        <f t="shared" si="138"/>
        <v>0</v>
      </c>
      <c r="GG27" s="19">
        <f t="shared" si="139"/>
        <v>0</v>
      </c>
      <c r="GH27" s="19">
        <f t="shared" si="140"/>
        <v>0</v>
      </c>
      <c r="GI27" s="19">
        <f t="shared" si="141"/>
        <v>0</v>
      </c>
      <c r="GJ27" s="19">
        <f t="shared" si="142"/>
        <v>0</v>
      </c>
      <c r="GK27" s="19">
        <f t="shared" si="143"/>
        <v>0</v>
      </c>
      <c r="GL27" s="19">
        <f t="shared" si="144"/>
        <v>0</v>
      </c>
      <c r="GM27" s="19">
        <f t="shared" si="145"/>
        <v>0</v>
      </c>
      <c r="GN27" s="19">
        <f t="shared" si="146"/>
        <v>0.60000000000000009</v>
      </c>
      <c r="GO27" s="19">
        <f t="shared" si="147"/>
        <v>1.0249999999999999</v>
      </c>
      <c r="GP27" s="19">
        <f t="shared" si="148"/>
        <v>0</v>
      </c>
      <c r="GQ27" s="19">
        <f t="shared" si="149"/>
        <v>0</v>
      </c>
      <c r="GR27" s="19">
        <f t="shared" si="150"/>
        <v>0</v>
      </c>
      <c r="GS27" s="19">
        <f t="shared" si="151"/>
        <v>0</v>
      </c>
      <c r="GT27" s="19">
        <f t="shared" si="152"/>
        <v>0</v>
      </c>
      <c r="GU27" s="19">
        <f t="shared" si="153"/>
        <v>0</v>
      </c>
      <c r="GV27" s="19">
        <f t="shared" si="154"/>
        <v>0</v>
      </c>
      <c r="GW27" s="19">
        <f t="shared" si="155"/>
        <v>0.15000000000000002</v>
      </c>
      <c r="GX27" s="19">
        <f t="shared" si="156"/>
        <v>0</v>
      </c>
      <c r="GY27" s="19">
        <f t="shared" si="157"/>
        <v>0</v>
      </c>
      <c r="GZ27" s="19">
        <f t="shared" si="158"/>
        <v>0</v>
      </c>
      <c r="HA27" s="19">
        <f t="shared" si="159"/>
        <v>0</v>
      </c>
      <c r="HB27" s="19">
        <f t="shared" si="160"/>
        <v>0</v>
      </c>
      <c r="HC27" s="19">
        <f t="shared" si="161"/>
        <v>0</v>
      </c>
      <c r="HD27" s="19">
        <f t="shared" si="162"/>
        <v>0</v>
      </c>
      <c r="HE27" s="19">
        <f t="shared" si="163"/>
        <v>0</v>
      </c>
      <c r="HF27" s="19">
        <f t="shared" si="164"/>
        <v>0</v>
      </c>
      <c r="HG27" s="19">
        <f t="shared" si="165"/>
        <v>2.0999999999999996</v>
      </c>
      <c r="HH27" s="19">
        <f t="shared" si="166"/>
        <v>0</v>
      </c>
      <c r="HI27" s="19">
        <f t="shared" si="167"/>
        <v>0</v>
      </c>
      <c r="HJ27" s="19">
        <f t="shared" si="168"/>
        <v>0</v>
      </c>
      <c r="HK27" s="19">
        <f t="shared" si="169"/>
        <v>0</v>
      </c>
      <c r="HL27" s="19">
        <f t="shared" si="170"/>
        <v>0.03</v>
      </c>
      <c r="HM27" s="20">
        <f t="shared" si="171"/>
        <v>4.9999999999999991</v>
      </c>
      <c r="HN27" s="53">
        <v>902</v>
      </c>
      <c r="HO27" s="21">
        <f t="shared" si="172"/>
        <v>0</v>
      </c>
      <c r="HP27" s="21">
        <f t="shared" si="173"/>
        <v>0</v>
      </c>
      <c r="HQ27" s="21">
        <f t="shared" si="174"/>
        <v>0</v>
      </c>
      <c r="HR27" s="21">
        <f t="shared" si="175"/>
        <v>0</v>
      </c>
      <c r="HS27" s="21">
        <f t="shared" si="176"/>
        <v>0</v>
      </c>
      <c r="HT27" s="69">
        <f t="shared" si="177"/>
        <v>0</v>
      </c>
      <c r="HU27" s="21">
        <f t="shared" si="178"/>
        <v>0</v>
      </c>
      <c r="HV27" s="21">
        <f t="shared" si="179"/>
        <v>0</v>
      </c>
      <c r="HW27" s="21">
        <f t="shared" si="180"/>
        <v>0</v>
      </c>
      <c r="HX27" s="21">
        <f t="shared" si="181"/>
        <v>0</v>
      </c>
      <c r="HY27" s="21">
        <f t="shared" si="182"/>
        <v>0</v>
      </c>
      <c r="HZ27" s="21">
        <f t="shared" si="183"/>
        <v>0</v>
      </c>
      <c r="IA27" s="21">
        <f t="shared" si="184"/>
        <v>0</v>
      </c>
      <c r="IB27" s="21">
        <f t="shared" si="185"/>
        <v>0</v>
      </c>
      <c r="IC27" s="21">
        <f t="shared" si="186"/>
        <v>0</v>
      </c>
      <c r="ID27" s="21">
        <f t="shared" si="187"/>
        <v>0</v>
      </c>
      <c r="IE27" s="21">
        <f t="shared" si="188"/>
        <v>197.53800000000001</v>
      </c>
      <c r="IF27" s="69">
        <f t="shared" si="189"/>
        <v>0</v>
      </c>
      <c r="IG27" s="69">
        <f t="shared" si="190"/>
        <v>0</v>
      </c>
      <c r="IH27" s="69">
        <f t="shared" si="191"/>
        <v>0</v>
      </c>
      <c r="II27" s="21">
        <f t="shared" si="192"/>
        <v>0</v>
      </c>
      <c r="IJ27" s="21">
        <f t="shared" si="193"/>
        <v>0</v>
      </c>
      <c r="IK27" s="21">
        <f t="shared" si="194"/>
        <v>0</v>
      </c>
      <c r="IL27" s="21">
        <f t="shared" si="195"/>
        <v>0</v>
      </c>
      <c r="IM27" s="21">
        <f t="shared" si="196"/>
        <v>0</v>
      </c>
      <c r="IN27" s="21">
        <f t="shared" si="197"/>
        <v>0</v>
      </c>
      <c r="IO27" s="21">
        <f t="shared" si="198"/>
        <v>0</v>
      </c>
      <c r="IP27" s="21">
        <f t="shared" si="199"/>
        <v>108.24000000000002</v>
      </c>
      <c r="IQ27" s="21">
        <f t="shared" si="200"/>
        <v>184.91000000000003</v>
      </c>
      <c r="IR27" s="21">
        <f t="shared" si="201"/>
        <v>0</v>
      </c>
      <c r="IS27" s="21">
        <f t="shared" si="202"/>
        <v>0</v>
      </c>
      <c r="IT27" s="21">
        <f t="shared" si="203"/>
        <v>0</v>
      </c>
      <c r="IU27" s="21">
        <f t="shared" si="204"/>
        <v>0</v>
      </c>
      <c r="IV27" s="21">
        <f t="shared" si="205"/>
        <v>0</v>
      </c>
      <c r="IW27" s="21">
        <f t="shared" si="206"/>
        <v>0</v>
      </c>
      <c r="IX27" s="21">
        <f t="shared" si="207"/>
        <v>0</v>
      </c>
      <c r="IY27" s="21">
        <f t="shared" si="208"/>
        <v>27.060000000000006</v>
      </c>
      <c r="IZ27" s="21">
        <f t="shared" si="209"/>
        <v>0</v>
      </c>
      <c r="JA27" s="21">
        <f t="shared" si="210"/>
        <v>0</v>
      </c>
      <c r="JB27" s="21">
        <f t="shared" si="211"/>
        <v>0</v>
      </c>
      <c r="JC27" s="21">
        <f t="shared" si="212"/>
        <v>0</v>
      </c>
      <c r="JD27" s="21">
        <f t="shared" si="213"/>
        <v>0</v>
      </c>
      <c r="JE27" s="21">
        <f t="shared" si="214"/>
        <v>0</v>
      </c>
      <c r="JF27" s="21">
        <f t="shared" si="215"/>
        <v>0</v>
      </c>
      <c r="JG27" s="21">
        <f t="shared" si="216"/>
        <v>0</v>
      </c>
      <c r="JH27" s="21">
        <f t="shared" si="217"/>
        <v>0</v>
      </c>
      <c r="JI27" s="21">
        <f t="shared" si="218"/>
        <v>378.84</v>
      </c>
      <c r="JJ27" s="21">
        <f t="shared" si="219"/>
        <v>0</v>
      </c>
      <c r="JK27" s="21">
        <f t="shared" si="220"/>
        <v>0</v>
      </c>
      <c r="JL27" s="21">
        <f t="shared" si="221"/>
        <v>0</v>
      </c>
      <c r="JM27" s="21">
        <f t="shared" si="222"/>
        <v>0</v>
      </c>
      <c r="JN27" s="21">
        <f t="shared" si="223"/>
        <v>5.4120000000000008</v>
      </c>
      <c r="JO27" s="35">
        <f t="shared" si="110"/>
        <v>902</v>
      </c>
      <c r="JP27" s="38">
        <f t="shared" si="111"/>
        <v>0</v>
      </c>
      <c r="JQ27" s="43">
        <f t="shared" si="224"/>
        <v>0</v>
      </c>
      <c r="JR27" s="43">
        <f t="shared" si="225"/>
        <v>0</v>
      </c>
      <c r="JS27" s="43">
        <f t="shared" si="226"/>
        <v>0</v>
      </c>
      <c r="JT27" s="43">
        <f t="shared" si="227"/>
        <v>0</v>
      </c>
      <c r="JU27" s="43">
        <f t="shared" si="228"/>
        <v>0</v>
      </c>
      <c r="JV27" s="43">
        <f t="shared" si="229"/>
        <v>0</v>
      </c>
      <c r="JW27" s="43">
        <f t="shared" si="230"/>
        <v>0</v>
      </c>
      <c r="JX27" s="43">
        <f t="shared" si="231"/>
        <v>0</v>
      </c>
      <c r="JY27" s="43">
        <f t="shared" si="232"/>
        <v>0</v>
      </c>
      <c r="JZ27" s="43">
        <f t="shared" si="233"/>
        <v>0</v>
      </c>
      <c r="KA27" s="43">
        <f t="shared" si="234"/>
        <v>0</v>
      </c>
      <c r="KB27" s="43">
        <f t="shared" si="235"/>
        <v>0</v>
      </c>
      <c r="KC27" s="43">
        <f t="shared" si="236"/>
        <v>0</v>
      </c>
      <c r="KD27" s="43">
        <f t="shared" si="237"/>
        <v>0</v>
      </c>
      <c r="KE27" s="43">
        <f t="shared" si="238"/>
        <v>0</v>
      </c>
      <c r="KF27" s="43">
        <f t="shared" si="239"/>
        <v>0</v>
      </c>
      <c r="KG27" s="43">
        <f t="shared" si="240"/>
        <v>819.76788664533342</v>
      </c>
      <c r="KH27" s="43">
        <f t="shared" si="241"/>
        <v>0</v>
      </c>
      <c r="KI27" s="43">
        <f t="shared" si="242"/>
        <v>0</v>
      </c>
      <c r="KJ27" s="43">
        <f t="shared" si="243"/>
        <v>0</v>
      </c>
      <c r="KK27" s="43">
        <f t="shared" si="244"/>
        <v>0</v>
      </c>
      <c r="KL27" s="43">
        <f t="shared" si="245"/>
        <v>0</v>
      </c>
      <c r="KM27" s="43">
        <f t="shared" si="246"/>
        <v>0</v>
      </c>
      <c r="KN27" s="43">
        <f t="shared" si="247"/>
        <v>0</v>
      </c>
      <c r="KO27" s="43">
        <f t="shared" si="248"/>
        <v>0</v>
      </c>
      <c r="KP27" s="43">
        <f t="shared" si="249"/>
        <v>0</v>
      </c>
      <c r="KQ27" s="43">
        <f t="shared" si="250"/>
        <v>0</v>
      </c>
      <c r="KR27" s="43">
        <f t="shared" si="251"/>
        <v>417.80640000000005</v>
      </c>
      <c r="KS27" s="43">
        <f t="shared" si="252"/>
        <v>632.26849334222231</v>
      </c>
      <c r="KT27" s="43">
        <f t="shared" si="253"/>
        <v>0</v>
      </c>
      <c r="KU27" s="43">
        <f t="shared" si="254"/>
        <v>0</v>
      </c>
      <c r="KV27" s="43">
        <f t="shared" si="255"/>
        <v>0</v>
      </c>
      <c r="KW27" s="43">
        <f t="shared" si="256"/>
        <v>0</v>
      </c>
      <c r="KX27" s="43">
        <f t="shared" si="257"/>
        <v>0</v>
      </c>
      <c r="KY27" s="43">
        <f t="shared" si="258"/>
        <v>0</v>
      </c>
      <c r="KZ27" s="43">
        <f t="shared" si="259"/>
        <v>0</v>
      </c>
      <c r="LA27" s="43">
        <f t="shared" si="260"/>
        <v>108.42509040000002</v>
      </c>
      <c r="LB27" s="43">
        <f t="shared" si="261"/>
        <v>0</v>
      </c>
      <c r="LC27" s="43">
        <f t="shared" si="262"/>
        <v>0</v>
      </c>
      <c r="LD27" s="43">
        <f t="shared" si="263"/>
        <v>0</v>
      </c>
      <c r="LE27" s="43">
        <f t="shared" si="264"/>
        <v>0</v>
      </c>
      <c r="LF27" s="43">
        <f t="shared" si="265"/>
        <v>0</v>
      </c>
      <c r="LG27" s="43">
        <f t="shared" si="266"/>
        <v>0</v>
      </c>
      <c r="LH27" s="43">
        <f t="shared" si="267"/>
        <v>0</v>
      </c>
      <c r="LI27" s="43">
        <f t="shared" si="268"/>
        <v>0</v>
      </c>
      <c r="LJ27" s="43">
        <f t="shared" si="269"/>
        <v>0</v>
      </c>
      <c r="LK27" s="43">
        <f t="shared" si="270"/>
        <v>1517.5383299999999</v>
      </c>
      <c r="LL27" s="43">
        <f t="shared" si="271"/>
        <v>0</v>
      </c>
      <c r="LM27" s="43">
        <f t="shared" si="272"/>
        <v>0</v>
      </c>
      <c r="LN27" s="43">
        <f t="shared" si="273"/>
        <v>0</v>
      </c>
      <c r="LO27" s="43">
        <f t="shared" si="274"/>
        <v>0</v>
      </c>
      <c r="LP27" s="43">
        <f t="shared" si="275"/>
        <v>45.731400000000001</v>
      </c>
      <c r="LQ27" s="28">
        <f t="shared" si="113"/>
        <v>3541.5376003875558</v>
      </c>
      <c r="LR27" s="65">
        <v>884</v>
      </c>
      <c r="LS27" s="32">
        <f t="shared" si="114"/>
        <v>4.006264253832077</v>
      </c>
      <c r="LT27" s="26">
        <f t="shared" si="115"/>
        <v>1.0946077196262505</v>
      </c>
      <c r="LU27" s="31">
        <f t="shared" si="116"/>
        <v>18</v>
      </c>
      <c r="LW27" s="42"/>
      <c r="MA27" s="32">
        <f t="shared" si="117"/>
        <v>3.9263166301414145</v>
      </c>
      <c r="MB27" s="26">
        <f t="shared" si="118"/>
        <v>1.072764106596015</v>
      </c>
    </row>
    <row r="28" spans="1:340" ht="15.75" thickBot="1">
      <c r="A28" t="b">
        <f t="shared" si="3"/>
        <v>1</v>
      </c>
      <c r="B28" s="123" t="s">
        <v>153</v>
      </c>
      <c r="C28" s="39" t="s">
        <v>154</v>
      </c>
      <c r="D28"/>
      <c r="E28" s="97">
        <v>46040</v>
      </c>
      <c r="F28" t="s">
        <v>43</v>
      </c>
      <c r="G28" t="s">
        <v>20</v>
      </c>
      <c r="H28" t="s">
        <v>27</v>
      </c>
      <c r="I28" s="77"/>
      <c r="J28" s="77"/>
      <c r="K28" s="77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24"/>
      <c r="AG28" s="124"/>
      <c r="AH28" s="104"/>
      <c r="AI28" s="104"/>
      <c r="AJ28" s="22">
        <v>0.3</v>
      </c>
      <c r="AK28" s="22"/>
      <c r="AL28" s="22"/>
      <c r="AM28" s="22"/>
      <c r="AN28" s="22"/>
      <c r="AO28" s="104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104"/>
      <c r="BA28" s="104"/>
      <c r="BB28" s="104"/>
      <c r="BC28" s="124">
        <v>0.7</v>
      </c>
      <c r="BD28" s="124"/>
      <c r="BE28" s="104"/>
      <c r="BF28" s="104"/>
      <c r="BG28" s="104"/>
      <c r="BH28" s="104"/>
      <c r="BI28" s="78">
        <f t="shared" si="4"/>
        <v>1</v>
      </c>
      <c r="BJ28" s="105"/>
      <c r="BK28" s="105"/>
      <c r="BL28" s="105"/>
      <c r="BM28" s="105"/>
      <c r="BN28" s="105"/>
      <c r="BO28" s="105"/>
      <c r="BP28" s="105"/>
      <c r="BQ28" s="105"/>
      <c r="BR28" s="105"/>
      <c r="BS28" s="105"/>
      <c r="BT28" s="105"/>
      <c r="BU28" s="105"/>
      <c r="BV28" s="105"/>
      <c r="BW28" s="105"/>
      <c r="BX28" s="105">
        <v>0.2</v>
      </c>
      <c r="BY28" s="105"/>
      <c r="BZ28" s="105"/>
      <c r="CA28" s="105"/>
      <c r="CB28" s="105"/>
      <c r="CC28" s="105"/>
      <c r="CD28" s="105"/>
      <c r="CE28" s="105"/>
      <c r="CF28" s="120"/>
      <c r="CG28" s="128"/>
      <c r="CH28" s="128"/>
      <c r="CI28" s="105"/>
      <c r="CJ28" s="105"/>
      <c r="CK28" s="105"/>
      <c r="CL28" s="105">
        <v>0.3</v>
      </c>
      <c r="CM28" s="105"/>
      <c r="CN28" s="105"/>
      <c r="CO28" s="105"/>
      <c r="CP28" s="105"/>
      <c r="CQ28" s="105"/>
      <c r="CR28" s="105"/>
      <c r="CS28" s="105"/>
      <c r="CT28" s="105"/>
      <c r="CU28" s="105"/>
      <c r="CV28" s="105"/>
      <c r="CW28" s="105"/>
      <c r="CX28" s="105"/>
      <c r="CY28" s="105"/>
      <c r="CZ28" s="105"/>
      <c r="DA28" s="105"/>
      <c r="DB28" s="105"/>
      <c r="DC28" s="105"/>
      <c r="DD28" s="125">
        <v>0.5</v>
      </c>
      <c r="DE28" s="125"/>
      <c r="DF28" s="105"/>
      <c r="DG28" s="105"/>
      <c r="DH28" s="105"/>
      <c r="DI28" s="105"/>
      <c r="DJ28" s="79">
        <f t="shared" si="5"/>
        <v>1</v>
      </c>
      <c r="DK28" s="108"/>
      <c r="DL28" s="108"/>
      <c r="DM28" s="108"/>
      <c r="DN28" s="108">
        <v>0.85</v>
      </c>
      <c r="DO28" s="108"/>
      <c r="DP28" s="108"/>
      <c r="DQ28" s="108"/>
      <c r="DR28" s="108"/>
      <c r="DS28" s="108"/>
      <c r="DT28" s="108"/>
      <c r="DU28" s="108"/>
      <c r="DV28" s="108"/>
      <c r="DW28" s="108"/>
      <c r="DX28" s="108"/>
      <c r="DY28" s="108"/>
      <c r="DZ28" s="108"/>
      <c r="EA28" s="108"/>
      <c r="EB28" s="108"/>
      <c r="EC28" s="108"/>
      <c r="ED28" s="108"/>
      <c r="EE28" s="108"/>
      <c r="EF28" s="108"/>
      <c r="EG28" s="108"/>
      <c r="EH28" s="129"/>
      <c r="EI28" s="129"/>
      <c r="EJ28" s="108"/>
      <c r="EK28" s="108"/>
      <c r="EL28" s="108"/>
      <c r="EM28" s="108"/>
      <c r="EN28" s="108"/>
      <c r="EO28" s="108"/>
      <c r="EP28" s="108"/>
      <c r="EQ28" s="108"/>
      <c r="ER28" s="108"/>
      <c r="ES28" s="106"/>
      <c r="ET28" s="106"/>
      <c r="EU28" s="106">
        <v>0.13</v>
      </c>
      <c r="EV28" s="106"/>
      <c r="EW28" s="106"/>
      <c r="EX28" s="106"/>
      <c r="EY28" s="106"/>
      <c r="EZ28" s="106"/>
      <c r="FA28" s="106"/>
      <c r="FB28" s="106"/>
      <c r="FC28" s="106"/>
      <c r="FD28" s="106"/>
      <c r="FE28" s="126"/>
      <c r="FF28" s="126"/>
      <c r="FG28" s="106"/>
      <c r="FH28" s="106"/>
      <c r="FI28" s="106"/>
      <c r="FJ28" s="106">
        <v>0.02</v>
      </c>
      <c r="FK28" s="17">
        <f t="shared" si="6"/>
        <v>1</v>
      </c>
      <c r="FL28" s="18"/>
      <c r="FM28" s="19">
        <f t="shared" si="119"/>
        <v>0</v>
      </c>
      <c r="FN28" s="19">
        <f t="shared" si="120"/>
        <v>0</v>
      </c>
      <c r="FO28" s="19">
        <f t="shared" si="121"/>
        <v>0</v>
      </c>
      <c r="FP28" s="19">
        <f t="shared" si="122"/>
        <v>1.2749999999999999</v>
      </c>
      <c r="FQ28" s="19">
        <f t="shared" si="123"/>
        <v>0</v>
      </c>
      <c r="FR28" s="19">
        <f t="shared" si="124"/>
        <v>0</v>
      </c>
      <c r="FS28" s="19">
        <f t="shared" si="125"/>
        <v>0</v>
      </c>
      <c r="FT28" s="19">
        <f t="shared" si="126"/>
        <v>0</v>
      </c>
      <c r="FU28" s="19">
        <f t="shared" si="127"/>
        <v>0</v>
      </c>
      <c r="FV28" s="19">
        <f t="shared" si="128"/>
        <v>0</v>
      </c>
      <c r="FW28" s="19">
        <f t="shared" si="129"/>
        <v>0</v>
      </c>
      <c r="FX28" s="19">
        <f t="shared" si="130"/>
        <v>0</v>
      </c>
      <c r="FY28" s="19">
        <f t="shared" si="131"/>
        <v>0</v>
      </c>
      <c r="FZ28" s="19">
        <f t="shared" si="132"/>
        <v>0</v>
      </c>
      <c r="GA28" s="19">
        <f t="shared" si="133"/>
        <v>0.4</v>
      </c>
      <c r="GB28" s="19">
        <f t="shared" si="134"/>
        <v>0</v>
      </c>
      <c r="GC28" s="19">
        <f t="shared" si="135"/>
        <v>0</v>
      </c>
      <c r="GD28" s="19">
        <f t="shared" si="136"/>
        <v>0</v>
      </c>
      <c r="GE28" s="19">
        <f t="shared" si="137"/>
        <v>0</v>
      </c>
      <c r="GF28" s="19">
        <f t="shared" si="138"/>
        <v>0</v>
      </c>
      <c r="GG28" s="19">
        <f t="shared" si="139"/>
        <v>0</v>
      </c>
      <c r="GH28" s="19">
        <f t="shared" si="140"/>
        <v>0</v>
      </c>
      <c r="GI28" s="19">
        <f t="shared" si="141"/>
        <v>0</v>
      </c>
      <c r="GJ28" s="19">
        <f t="shared" si="142"/>
        <v>0</v>
      </c>
      <c r="GK28" s="19">
        <f t="shared" si="143"/>
        <v>0</v>
      </c>
      <c r="GL28" s="19">
        <f t="shared" si="144"/>
        <v>0</v>
      </c>
      <c r="GM28" s="19">
        <f t="shared" si="145"/>
        <v>0</v>
      </c>
      <c r="GN28" s="19">
        <f t="shared" si="146"/>
        <v>0.44999999999999996</v>
      </c>
      <c r="GO28" s="19">
        <f t="shared" si="147"/>
        <v>0.6</v>
      </c>
      <c r="GP28" s="19">
        <f t="shared" si="148"/>
        <v>0</v>
      </c>
      <c r="GQ28" s="19">
        <f t="shared" si="149"/>
        <v>0</v>
      </c>
      <c r="GR28" s="19">
        <f t="shared" si="150"/>
        <v>0</v>
      </c>
      <c r="GS28" s="19">
        <f t="shared" si="151"/>
        <v>0</v>
      </c>
      <c r="GT28" s="19">
        <f t="shared" si="152"/>
        <v>0</v>
      </c>
      <c r="GU28" s="19">
        <f t="shared" si="153"/>
        <v>0</v>
      </c>
      <c r="GV28" s="19">
        <f t="shared" si="154"/>
        <v>0</v>
      </c>
      <c r="GW28" s="19">
        <f t="shared" si="155"/>
        <v>0.19500000000000001</v>
      </c>
      <c r="GX28" s="19">
        <f t="shared" si="156"/>
        <v>0</v>
      </c>
      <c r="GY28" s="19">
        <f t="shared" si="157"/>
        <v>0</v>
      </c>
      <c r="GZ28" s="19">
        <f t="shared" si="158"/>
        <v>0</v>
      </c>
      <c r="HA28" s="19">
        <f t="shared" si="159"/>
        <v>0</v>
      </c>
      <c r="HB28" s="19">
        <f t="shared" si="160"/>
        <v>0</v>
      </c>
      <c r="HC28" s="19">
        <f t="shared" si="161"/>
        <v>0</v>
      </c>
      <c r="HD28" s="19">
        <f t="shared" si="162"/>
        <v>0</v>
      </c>
      <c r="HE28" s="19">
        <f t="shared" si="163"/>
        <v>0</v>
      </c>
      <c r="HF28" s="19">
        <f t="shared" si="164"/>
        <v>0</v>
      </c>
      <c r="HG28" s="19">
        <f t="shared" si="165"/>
        <v>2.0499999999999998</v>
      </c>
      <c r="HH28" s="19">
        <f t="shared" si="166"/>
        <v>0</v>
      </c>
      <c r="HI28" s="19">
        <f t="shared" si="167"/>
        <v>0</v>
      </c>
      <c r="HJ28" s="19">
        <f t="shared" si="168"/>
        <v>0</v>
      </c>
      <c r="HK28" s="19">
        <f t="shared" si="169"/>
        <v>0</v>
      </c>
      <c r="HL28" s="19">
        <f t="shared" si="170"/>
        <v>0.03</v>
      </c>
      <c r="HM28" s="20">
        <f t="shared" si="171"/>
        <v>5</v>
      </c>
      <c r="HN28" s="53">
        <v>540</v>
      </c>
      <c r="HO28" s="21">
        <f t="shared" si="172"/>
        <v>0</v>
      </c>
      <c r="HP28" s="21">
        <f t="shared" si="173"/>
        <v>0</v>
      </c>
      <c r="HQ28" s="21">
        <f t="shared" si="174"/>
        <v>0</v>
      </c>
      <c r="HR28" s="21">
        <f t="shared" si="175"/>
        <v>137.69999999999999</v>
      </c>
      <c r="HS28" s="21">
        <f t="shared" si="176"/>
        <v>0</v>
      </c>
      <c r="HT28" s="69">
        <f t="shared" si="177"/>
        <v>0</v>
      </c>
      <c r="HU28" s="21">
        <f t="shared" si="178"/>
        <v>0</v>
      </c>
      <c r="HV28" s="21">
        <f t="shared" si="179"/>
        <v>0</v>
      </c>
      <c r="HW28" s="21">
        <f t="shared" si="180"/>
        <v>0</v>
      </c>
      <c r="HX28" s="21">
        <f t="shared" si="181"/>
        <v>0</v>
      </c>
      <c r="HY28" s="21">
        <f t="shared" si="182"/>
        <v>0</v>
      </c>
      <c r="HZ28" s="21">
        <f t="shared" si="183"/>
        <v>0</v>
      </c>
      <c r="IA28" s="21">
        <f t="shared" si="184"/>
        <v>0</v>
      </c>
      <c r="IB28" s="21">
        <f t="shared" si="185"/>
        <v>0</v>
      </c>
      <c r="IC28" s="21">
        <f t="shared" si="186"/>
        <v>43.2</v>
      </c>
      <c r="ID28" s="21">
        <f t="shared" si="187"/>
        <v>0</v>
      </c>
      <c r="IE28" s="21">
        <f t="shared" si="188"/>
        <v>0</v>
      </c>
      <c r="IF28" s="69">
        <f t="shared" si="189"/>
        <v>0</v>
      </c>
      <c r="IG28" s="69">
        <f t="shared" si="190"/>
        <v>0</v>
      </c>
      <c r="IH28" s="69">
        <f t="shared" si="191"/>
        <v>0</v>
      </c>
      <c r="II28" s="21">
        <f t="shared" si="192"/>
        <v>0</v>
      </c>
      <c r="IJ28" s="21">
        <f t="shared" si="193"/>
        <v>0</v>
      </c>
      <c r="IK28" s="21">
        <f t="shared" si="194"/>
        <v>0</v>
      </c>
      <c r="IL28" s="21">
        <f t="shared" si="195"/>
        <v>0</v>
      </c>
      <c r="IM28" s="21">
        <f t="shared" si="196"/>
        <v>0</v>
      </c>
      <c r="IN28" s="21">
        <f t="shared" si="197"/>
        <v>0</v>
      </c>
      <c r="IO28" s="21">
        <f t="shared" si="198"/>
        <v>0</v>
      </c>
      <c r="IP28" s="21">
        <f t="shared" si="199"/>
        <v>48.599999999999994</v>
      </c>
      <c r="IQ28" s="21">
        <f t="shared" si="200"/>
        <v>64.8</v>
      </c>
      <c r="IR28" s="21">
        <f t="shared" si="201"/>
        <v>0</v>
      </c>
      <c r="IS28" s="21">
        <f t="shared" si="202"/>
        <v>0</v>
      </c>
      <c r="IT28" s="21">
        <f t="shared" si="203"/>
        <v>0</v>
      </c>
      <c r="IU28" s="21">
        <f t="shared" si="204"/>
        <v>0</v>
      </c>
      <c r="IV28" s="21">
        <f t="shared" si="205"/>
        <v>0</v>
      </c>
      <c r="IW28" s="21">
        <f t="shared" si="206"/>
        <v>0</v>
      </c>
      <c r="IX28" s="21">
        <f t="shared" si="207"/>
        <v>0</v>
      </c>
      <c r="IY28" s="21">
        <f t="shared" si="208"/>
        <v>21.06</v>
      </c>
      <c r="IZ28" s="21">
        <f t="shared" si="209"/>
        <v>0</v>
      </c>
      <c r="JA28" s="21">
        <f t="shared" si="210"/>
        <v>0</v>
      </c>
      <c r="JB28" s="21">
        <f t="shared" si="211"/>
        <v>0</v>
      </c>
      <c r="JC28" s="21">
        <f t="shared" si="212"/>
        <v>0</v>
      </c>
      <c r="JD28" s="21">
        <f t="shared" si="213"/>
        <v>0</v>
      </c>
      <c r="JE28" s="21">
        <f t="shared" si="214"/>
        <v>0</v>
      </c>
      <c r="JF28" s="21">
        <f t="shared" si="215"/>
        <v>0</v>
      </c>
      <c r="JG28" s="21">
        <f t="shared" si="216"/>
        <v>0</v>
      </c>
      <c r="JH28" s="21">
        <f t="shared" si="217"/>
        <v>0</v>
      </c>
      <c r="JI28" s="21">
        <f t="shared" si="218"/>
        <v>221.4</v>
      </c>
      <c r="JJ28" s="21">
        <f t="shared" si="219"/>
        <v>0</v>
      </c>
      <c r="JK28" s="21">
        <f t="shared" si="220"/>
        <v>0</v>
      </c>
      <c r="JL28" s="21">
        <f t="shared" si="221"/>
        <v>0</v>
      </c>
      <c r="JM28" s="21">
        <f t="shared" si="222"/>
        <v>0</v>
      </c>
      <c r="JN28" s="21">
        <f t="shared" si="223"/>
        <v>3.2399999999999998</v>
      </c>
      <c r="JO28" s="35">
        <f t="shared" si="110"/>
        <v>540</v>
      </c>
      <c r="JP28" s="38">
        <f t="shared" si="111"/>
        <v>0</v>
      </c>
      <c r="JQ28" s="43">
        <f t="shared" si="224"/>
        <v>0</v>
      </c>
      <c r="JR28" s="43">
        <f t="shared" si="225"/>
        <v>0</v>
      </c>
      <c r="JS28" s="43">
        <f t="shared" si="226"/>
        <v>0</v>
      </c>
      <c r="JT28" s="43">
        <f t="shared" si="227"/>
        <v>592.23668399999997</v>
      </c>
      <c r="JU28" s="43">
        <f t="shared" si="228"/>
        <v>0</v>
      </c>
      <c r="JV28" s="43">
        <f t="shared" si="229"/>
        <v>0</v>
      </c>
      <c r="JW28" s="43">
        <f t="shared" si="230"/>
        <v>0</v>
      </c>
      <c r="JX28" s="43">
        <f t="shared" si="231"/>
        <v>0</v>
      </c>
      <c r="JY28" s="43">
        <f t="shared" si="232"/>
        <v>0</v>
      </c>
      <c r="JZ28" s="43">
        <f t="shared" si="233"/>
        <v>0</v>
      </c>
      <c r="KA28" s="43">
        <f t="shared" si="234"/>
        <v>0</v>
      </c>
      <c r="KB28" s="43">
        <f t="shared" si="235"/>
        <v>0</v>
      </c>
      <c r="KC28" s="43">
        <f t="shared" si="236"/>
        <v>0</v>
      </c>
      <c r="KD28" s="43">
        <f t="shared" si="237"/>
        <v>0</v>
      </c>
      <c r="KE28" s="43">
        <f t="shared" si="238"/>
        <v>176.10371956363636</v>
      </c>
      <c r="KF28" s="43">
        <f t="shared" si="239"/>
        <v>0</v>
      </c>
      <c r="KG28" s="43">
        <f t="shared" si="240"/>
        <v>0</v>
      </c>
      <c r="KH28" s="43">
        <f t="shared" si="241"/>
        <v>0</v>
      </c>
      <c r="KI28" s="43">
        <f t="shared" si="242"/>
        <v>0</v>
      </c>
      <c r="KJ28" s="43">
        <f t="shared" si="243"/>
        <v>0</v>
      </c>
      <c r="KK28" s="43">
        <f t="shared" si="244"/>
        <v>0</v>
      </c>
      <c r="KL28" s="43">
        <f t="shared" si="245"/>
        <v>0</v>
      </c>
      <c r="KM28" s="43">
        <f t="shared" si="246"/>
        <v>0</v>
      </c>
      <c r="KN28" s="43">
        <f t="shared" si="247"/>
        <v>0</v>
      </c>
      <c r="KO28" s="43">
        <f t="shared" si="248"/>
        <v>0</v>
      </c>
      <c r="KP28" s="43">
        <f t="shared" si="249"/>
        <v>0</v>
      </c>
      <c r="KQ28" s="43">
        <f t="shared" si="250"/>
        <v>0</v>
      </c>
      <c r="KR28" s="43">
        <f t="shared" si="251"/>
        <v>187.59599999999998</v>
      </c>
      <c r="KS28" s="43">
        <f t="shared" si="252"/>
        <v>221.57264814545454</v>
      </c>
      <c r="KT28" s="43">
        <f t="shared" si="253"/>
        <v>0</v>
      </c>
      <c r="KU28" s="43">
        <f t="shared" si="254"/>
        <v>0</v>
      </c>
      <c r="KV28" s="43">
        <f t="shared" si="255"/>
        <v>0</v>
      </c>
      <c r="KW28" s="43">
        <f t="shared" si="256"/>
        <v>0</v>
      </c>
      <c r="KX28" s="43">
        <f t="shared" si="257"/>
        <v>0</v>
      </c>
      <c r="KY28" s="43">
        <f t="shared" si="258"/>
        <v>0</v>
      </c>
      <c r="KZ28" s="43">
        <f t="shared" si="259"/>
        <v>0</v>
      </c>
      <c r="LA28" s="43">
        <f t="shared" si="260"/>
        <v>84.384050399999978</v>
      </c>
      <c r="LB28" s="43">
        <f t="shared" si="261"/>
        <v>0</v>
      </c>
      <c r="LC28" s="43">
        <f t="shared" si="262"/>
        <v>0</v>
      </c>
      <c r="LD28" s="43">
        <f t="shared" si="263"/>
        <v>0</v>
      </c>
      <c r="LE28" s="43">
        <f t="shared" si="264"/>
        <v>0</v>
      </c>
      <c r="LF28" s="43">
        <f t="shared" si="265"/>
        <v>0</v>
      </c>
      <c r="LG28" s="43">
        <f t="shared" si="266"/>
        <v>0</v>
      </c>
      <c r="LH28" s="43">
        <f t="shared" si="267"/>
        <v>0</v>
      </c>
      <c r="LI28" s="43">
        <f t="shared" si="268"/>
        <v>0</v>
      </c>
      <c r="LJ28" s="43">
        <f t="shared" si="269"/>
        <v>0</v>
      </c>
      <c r="LK28" s="43">
        <f t="shared" si="270"/>
        <v>886.87305000000003</v>
      </c>
      <c r="LL28" s="43">
        <f t="shared" si="271"/>
        <v>0</v>
      </c>
      <c r="LM28" s="43">
        <f t="shared" si="272"/>
        <v>0</v>
      </c>
      <c r="LN28" s="43">
        <f t="shared" si="273"/>
        <v>0</v>
      </c>
      <c r="LO28" s="43">
        <f t="shared" si="274"/>
        <v>0</v>
      </c>
      <c r="LP28" s="43">
        <f t="shared" si="275"/>
        <v>27.377999999999997</v>
      </c>
      <c r="LQ28" s="28">
        <f t="shared" si="113"/>
        <v>2176.144152109091</v>
      </c>
      <c r="LR28" s="65">
        <v>448</v>
      </c>
      <c r="LS28" s="32">
        <f t="shared" si="114"/>
        <v>4.857464625243507</v>
      </c>
      <c r="LT28" s="26">
        <f t="shared" si="115"/>
        <v>1.3271761271157123</v>
      </c>
      <c r="LU28" s="31">
        <f t="shared" si="116"/>
        <v>92</v>
      </c>
      <c r="LW28" s="42"/>
      <c r="MA28" s="32">
        <f t="shared" si="117"/>
        <v>4.0298965779797982</v>
      </c>
      <c r="MB28" s="26">
        <f t="shared" si="118"/>
        <v>1.1010646387922944</v>
      </c>
    </row>
    <row r="29" spans="1:340" ht="15.75" thickBot="1">
      <c r="A29" t="b">
        <f t="shared" si="3"/>
        <v>1</v>
      </c>
      <c r="B29" s="123" t="s">
        <v>155</v>
      </c>
      <c r="C29" s="39" t="s">
        <v>156</v>
      </c>
      <c r="D29"/>
      <c r="E29" s="97">
        <v>46040</v>
      </c>
      <c r="F29" t="s">
        <v>43</v>
      </c>
      <c r="G29" t="s">
        <v>20</v>
      </c>
      <c r="H29" t="s">
        <v>27</v>
      </c>
      <c r="I29" s="77"/>
      <c r="J29" s="77"/>
      <c r="K29" s="77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24"/>
      <c r="AG29" s="124"/>
      <c r="AH29" s="104"/>
      <c r="AI29" s="104"/>
      <c r="AJ29" s="104">
        <v>0.3</v>
      </c>
      <c r="AK29" s="104"/>
      <c r="AL29" s="104"/>
      <c r="AM29" s="104"/>
      <c r="AN29" s="22"/>
      <c r="AO29" s="104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104"/>
      <c r="BA29" s="104"/>
      <c r="BB29" s="104"/>
      <c r="BC29" s="124">
        <v>0.7</v>
      </c>
      <c r="BD29" s="124"/>
      <c r="BE29" s="104"/>
      <c r="BF29" s="104"/>
      <c r="BG29" s="104"/>
      <c r="BH29" s="104"/>
      <c r="BI29" s="78">
        <f t="shared" si="4"/>
        <v>1</v>
      </c>
      <c r="BJ29" s="10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105"/>
      <c r="BV29" s="105"/>
      <c r="BW29" s="105"/>
      <c r="BX29" s="105">
        <v>0.2</v>
      </c>
      <c r="BY29" s="105"/>
      <c r="BZ29" s="105"/>
      <c r="CA29" s="105"/>
      <c r="CB29" s="105"/>
      <c r="CC29" s="105"/>
      <c r="CD29" s="105"/>
      <c r="CE29" s="105"/>
      <c r="CF29" s="120"/>
      <c r="CG29" s="128"/>
      <c r="CH29" s="128"/>
      <c r="CI29" s="105"/>
      <c r="CJ29" s="105"/>
      <c r="CK29" s="105"/>
      <c r="CL29" s="105">
        <v>0.3</v>
      </c>
      <c r="CM29" s="105"/>
      <c r="CN29" s="105"/>
      <c r="CO29" s="105"/>
      <c r="CP29" s="105"/>
      <c r="CQ29" s="105"/>
      <c r="CR29" s="105"/>
      <c r="CS29" s="105"/>
      <c r="CT29" s="105"/>
      <c r="CU29" s="105"/>
      <c r="CV29" s="105"/>
      <c r="CW29" s="105"/>
      <c r="CX29" s="105"/>
      <c r="CY29" s="105"/>
      <c r="CZ29" s="105"/>
      <c r="DA29" s="105"/>
      <c r="DB29" s="105"/>
      <c r="DC29" s="105"/>
      <c r="DD29" s="125">
        <v>0.5</v>
      </c>
      <c r="DE29" s="125"/>
      <c r="DF29" s="105"/>
      <c r="DG29" s="105"/>
      <c r="DH29" s="105"/>
      <c r="DI29" s="105"/>
      <c r="DJ29" s="79">
        <f t="shared" si="5"/>
        <v>1</v>
      </c>
      <c r="DK29" s="108"/>
      <c r="DL29" s="108"/>
      <c r="DM29" s="108"/>
      <c r="DN29" s="108">
        <v>0.85</v>
      </c>
      <c r="DO29" s="108"/>
      <c r="DP29" s="108"/>
      <c r="DQ29" s="108"/>
      <c r="DR29" s="108"/>
      <c r="DS29" s="108"/>
      <c r="DT29" s="108"/>
      <c r="DU29" s="108"/>
      <c r="DV29" s="108"/>
      <c r="DW29" s="108"/>
      <c r="DX29" s="108"/>
      <c r="DY29" s="108"/>
      <c r="DZ29" s="108"/>
      <c r="EA29" s="108"/>
      <c r="EB29" s="108"/>
      <c r="EC29" s="108"/>
      <c r="ED29" s="108"/>
      <c r="EE29" s="108"/>
      <c r="EF29" s="108"/>
      <c r="EG29" s="108"/>
      <c r="EH29" s="129"/>
      <c r="EI29" s="129"/>
      <c r="EJ29" s="108"/>
      <c r="EK29" s="108"/>
      <c r="EL29" s="108"/>
      <c r="EM29" s="108"/>
      <c r="EN29" s="108"/>
      <c r="EO29" s="108"/>
      <c r="EP29" s="108"/>
      <c r="EQ29" s="108"/>
      <c r="ER29" s="108"/>
      <c r="ES29" s="106"/>
      <c r="ET29" s="106"/>
      <c r="EU29" s="106">
        <v>0.13</v>
      </c>
      <c r="EV29" s="106"/>
      <c r="EW29" s="106"/>
      <c r="EX29" s="106"/>
      <c r="EY29" s="106"/>
      <c r="EZ29" s="106"/>
      <c r="FA29" s="106"/>
      <c r="FB29" s="106"/>
      <c r="FC29" s="106"/>
      <c r="FD29" s="106"/>
      <c r="FE29" s="126"/>
      <c r="FF29" s="126"/>
      <c r="FG29" s="106"/>
      <c r="FH29" s="106"/>
      <c r="FI29" s="106"/>
      <c r="FJ29" s="106">
        <v>0.02</v>
      </c>
      <c r="FK29" s="17">
        <f t="shared" si="6"/>
        <v>1</v>
      </c>
      <c r="FL29" s="18"/>
      <c r="FM29" s="19">
        <f t="shared" si="119"/>
        <v>0</v>
      </c>
      <c r="FN29" s="19">
        <f t="shared" si="120"/>
        <v>0</v>
      </c>
      <c r="FO29" s="19">
        <f t="shared" si="121"/>
        <v>0</v>
      </c>
      <c r="FP29" s="19">
        <f t="shared" si="122"/>
        <v>1.2749999999999999</v>
      </c>
      <c r="FQ29" s="19">
        <f t="shared" si="123"/>
        <v>0</v>
      </c>
      <c r="FR29" s="19">
        <f t="shared" si="124"/>
        <v>0</v>
      </c>
      <c r="FS29" s="19">
        <f t="shared" si="125"/>
        <v>0</v>
      </c>
      <c r="FT29" s="19">
        <f t="shared" si="126"/>
        <v>0</v>
      </c>
      <c r="FU29" s="19">
        <f t="shared" si="127"/>
        <v>0</v>
      </c>
      <c r="FV29" s="19">
        <f t="shared" si="128"/>
        <v>0</v>
      </c>
      <c r="FW29" s="19">
        <f t="shared" si="129"/>
        <v>0</v>
      </c>
      <c r="FX29" s="19">
        <f t="shared" si="130"/>
        <v>0</v>
      </c>
      <c r="FY29" s="19">
        <f t="shared" si="131"/>
        <v>0</v>
      </c>
      <c r="FZ29" s="19">
        <f t="shared" si="132"/>
        <v>0</v>
      </c>
      <c r="GA29" s="19">
        <f t="shared" si="133"/>
        <v>0.4</v>
      </c>
      <c r="GB29" s="19">
        <f t="shared" si="134"/>
        <v>0</v>
      </c>
      <c r="GC29" s="19">
        <f t="shared" si="135"/>
        <v>0</v>
      </c>
      <c r="GD29" s="19">
        <f t="shared" si="136"/>
        <v>0</v>
      </c>
      <c r="GE29" s="19">
        <f t="shared" si="137"/>
        <v>0</v>
      </c>
      <c r="GF29" s="19">
        <f t="shared" si="138"/>
        <v>0</v>
      </c>
      <c r="GG29" s="19">
        <f t="shared" si="139"/>
        <v>0</v>
      </c>
      <c r="GH29" s="19">
        <f t="shared" si="140"/>
        <v>0</v>
      </c>
      <c r="GI29" s="19">
        <f t="shared" si="141"/>
        <v>0</v>
      </c>
      <c r="GJ29" s="19">
        <f t="shared" si="142"/>
        <v>0</v>
      </c>
      <c r="GK29" s="19">
        <f t="shared" si="143"/>
        <v>0</v>
      </c>
      <c r="GL29" s="19">
        <f t="shared" si="144"/>
        <v>0</v>
      </c>
      <c r="GM29" s="19">
        <f t="shared" si="145"/>
        <v>0</v>
      </c>
      <c r="GN29" s="19">
        <f t="shared" si="146"/>
        <v>0.44999999999999996</v>
      </c>
      <c r="GO29" s="19">
        <f t="shared" si="147"/>
        <v>0.6</v>
      </c>
      <c r="GP29" s="19">
        <f t="shared" si="148"/>
        <v>0</v>
      </c>
      <c r="GQ29" s="19">
        <f t="shared" si="149"/>
        <v>0</v>
      </c>
      <c r="GR29" s="19">
        <f t="shared" si="150"/>
        <v>0</v>
      </c>
      <c r="GS29" s="19">
        <f t="shared" si="151"/>
        <v>0</v>
      </c>
      <c r="GT29" s="19">
        <f t="shared" si="152"/>
        <v>0</v>
      </c>
      <c r="GU29" s="19">
        <f t="shared" si="153"/>
        <v>0</v>
      </c>
      <c r="GV29" s="19">
        <f t="shared" si="154"/>
        <v>0</v>
      </c>
      <c r="GW29" s="19">
        <f t="shared" si="155"/>
        <v>0.19500000000000001</v>
      </c>
      <c r="GX29" s="19">
        <f t="shared" si="156"/>
        <v>0</v>
      </c>
      <c r="GY29" s="19">
        <f t="shared" si="157"/>
        <v>0</v>
      </c>
      <c r="GZ29" s="19">
        <f t="shared" si="158"/>
        <v>0</v>
      </c>
      <c r="HA29" s="19">
        <f t="shared" si="159"/>
        <v>0</v>
      </c>
      <c r="HB29" s="19">
        <f t="shared" si="160"/>
        <v>0</v>
      </c>
      <c r="HC29" s="19">
        <f t="shared" si="161"/>
        <v>0</v>
      </c>
      <c r="HD29" s="19">
        <f t="shared" si="162"/>
        <v>0</v>
      </c>
      <c r="HE29" s="19">
        <f t="shared" si="163"/>
        <v>0</v>
      </c>
      <c r="HF29" s="19">
        <f t="shared" si="164"/>
        <v>0</v>
      </c>
      <c r="HG29" s="19">
        <f t="shared" si="165"/>
        <v>2.0499999999999998</v>
      </c>
      <c r="HH29" s="19">
        <f t="shared" si="166"/>
        <v>0</v>
      </c>
      <c r="HI29" s="19">
        <f t="shared" si="167"/>
        <v>0</v>
      </c>
      <c r="HJ29" s="19">
        <f t="shared" si="168"/>
        <v>0</v>
      </c>
      <c r="HK29" s="19">
        <f t="shared" si="169"/>
        <v>0</v>
      </c>
      <c r="HL29" s="19">
        <f t="shared" si="170"/>
        <v>0.03</v>
      </c>
      <c r="HM29" s="20">
        <f t="shared" si="171"/>
        <v>5</v>
      </c>
      <c r="HN29" s="53">
        <v>1574</v>
      </c>
      <c r="HO29" s="21">
        <f t="shared" si="172"/>
        <v>0</v>
      </c>
      <c r="HP29" s="21">
        <f t="shared" si="173"/>
        <v>0</v>
      </c>
      <c r="HQ29" s="21">
        <f t="shared" si="174"/>
        <v>0</v>
      </c>
      <c r="HR29" s="21">
        <f t="shared" si="175"/>
        <v>401.37</v>
      </c>
      <c r="HS29" s="21">
        <f t="shared" si="176"/>
        <v>0</v>
      </c>
      <c r="HT29" s="69">
        <f t="shared" si="177"/>
        <v>0</v>
      </c>
      <c r="HU29" s="21">
        <f t="shared" si="178"/>
        <v>0</v>
      </c>
      <c r="HV29" s="21">
        <f t="shared" si="179"/>
        <v>0</v>
      </c>
      <c r="HW29" s="21">
        <f t="shared" si="180"/>
        <v>0</v>
      </c>
      <c r="HX29" s="21">
        <f t="shared" si="181"/>
        <v>0</v>
      </c>
      <c r="HY29" s="21">
        <f t="shared" si="182"/>
        <v>0</v>
      </c>
      <c r="HZ29" s="21">
        <f t="shared" si="183"/>
        <v>0</v>
      </c>
      <c r="IA29" s="21">
        <f t="shared" si="184"/>
        <v>0</v>
      </c>
      <c r="IB29" s="21">
        <f t="shared" si="185"/>
        <v>0</v>
      </c>
      <c r="IC29" s="21">
        <f t="shared" si="186"/>
        <v>125.92</v>
      </c>
      <c r="ID29" s="21">
        <f t="shared" si="187"/>
        <v>0</v>
      </c>
      <c r="IE29" s="21">
        <f t="shared" si="188"/>
        <v>0</v>
      </c>
      <c r="IF29" s="69">
        <f t="shared" si="189"/>
        <v>0</v>
      </c>
      <c r="IG29" s="69">
        <f t="shared" si="190"/>
        <v>0</v>
      </c>
      <c r="IH29" s="69">
        <f t="shared" si="191"/>
        <v>0</v>
      </c>
      <c r="II29" s="21">
        <f t="shared" si="192"/>
        <v>0</v>
      </c>
      <c r="IJ29" s="21">
        <f t="shared" si="193"/>
        <v>0</v>
      </c>
      <c r="IK29" s="21">
        <f t="shared" si="194"/>
        <v>0</v>
      </c>
      <c r="IL29" s="21">
        <f t="shared" si="195"/>
        <v>0</v>
      </c>
      <c r="IM29" s="21">
        <f t="shared" si="196"/>
        <v>0</v>
      </c>
      <c r="IN29" s="21">
        <f t="shared" si="197"/>
        <v>0</v>
      </c>
      <c r="IO29" s="21">
        <f t="shared" si="198"/>
        <v>0</v>
      </c>
      <c r="IP29" s="21">
        <f t="shared" si="199"/>
        <v>141.66</v>
      </c>
      <c r="IQ29" s="21">
        <f t="shared" si="200"/>
        <v>188.88</v>
      </c>
      <c r="IR29" s="21">
        <f t="shared" si="201"/>
        <v>0</v>
      </c>
      <c r="IS29" s="21">
        <f t="shared" si="202"/>
        <v>0</v>
      </c>
      <c r="IT29" s="21">
        <f t="shared" si="203"/>
        <v>0</v>
      </c>
      <c r="IU29" s="21">
        <f t="shared" si="204"/>
        <v>0</v>
      </c>
      <c r="IV29" s="21">
        <f t="shared" si="205"/>
        <v>0</v>
      </c>
      <c r="IW29" s="21">
        <f t="shared" si="206"/>
        <v>0</v>
      </c>
      <c r="IX29" s="21">
        <f t="shared" si="207"/>
        <v>0</v>
      </c>
      <c r="IY29" s="21">
        <f t="shared" si="208"/>
        <v>61.386000000000003</v>
      </c>
      <c r="IZ29" s="21">
        <f t="shared" si="209"/>
        <v>0</v>
      </c>
      <c r="JA29" s="21">
        <f t="shared" si="210"/>
        <v>0</v>
      </c>
      <c r="JB29" s="21">
        <f t="shared" si="211"/>
        <v>0</v>
      </c>
      <c r="JC29" s="21">
        <f t="shared" si="212"/>
        <v>0</v>
      </c>
      <c r="JD29" s="21">
        <f t="shared" si="213"/>
        <v>0</v>
      </c>
      <c r="JE29" s="21">
        <f t="shared" si="214"/>
        <v>0</v>
      </c>
      <c r="JF29" s="21">
        <f t="shared" si="215"/>
        <v>0</v>
      </c>
      <c r="JG29" s="21">
        <f t="shared" si="216"/>
        <v>0</v>
      </c>
      <c r="JH29" s="21">
        <f t="shared" si="217"/>
        <v>0</v>
      </c>
      <c r="JI29" s="21">
        <f t="shared" si="218"/>
        <v>645.33999999999992</v>
      </c>
      <c r="JJ29" s="21">
        <f t="shared" si="219"/>
        <v>0</v>
      </c>
      <c r="JK29" s="21">
        <f t="shared" si="220"/>
        <v>0</v>
      </c>
      <c r="JL29" s="21">
        <f t="shared" si="221"/>
        <v>0</v>
      </c>
      <c r="JM29" s="21">
        <f t="shared" si="222"/>
        <v>0</v>
      </c>
      <c r="JN29" s="21">
        <f t="shared" si="223"/>
        <v>9.4439999999999991</v>
      </c>
      <c r="JO29" s="35">
        <f t="shared" si="110"/>
        <v>1573.9999999999998</v>
      </c>
      <c r="JP29" s="38">
        <f t="shared" si="111"/>
        <v>0</v>
      </c>
      <c r="JQ29" s="43">
        <f t="shared" si="224"/>
        <v>0</v>
      </c>
      <c r="JR29" s="43">
        <f t="shared" si="225"/>
        <v>0</v>
      </c>
      <c r="JS29" s="43">
        <f t="shared" si="226"/>
        <v>0</v>
      </c>
      <c r="JT29" s="43">
        <f t="shared" si="227"/>
        <v>1726.2602604000003</v>
      </c>
      <c r="JU29" s="43">
        <f t="shared" si="228"/>
        <v>0</v>
      </c>
      <c r="JV29" s="43">
        <f t="shared" si="229"/>
        <v>0</v>
      </c>
      <c r="JW29" s="43">
        <f t="shared" si="230"/>
        <v>0</v>
      </c>
      <c r="JX29" s="43">
        <f t="shared" si="231"/>
        <v>0</v>
      </c>
      <c r="JY29" s="43">
        <f t="shared" si="232"/>
        <v>0</v>
      </c>
      <c r="JZ29" s="43">
        <f t="shared" si="233"/>
        <v>0</v>
      </c>
      <c r="KA29" s="43">
        <f t="shared" si="234"/>
        <v>0</v>
      </c>
      <c r="KB29" s="43">
        <f t="shared" si="235"/>
        <v>0</v>
      </c>
      <c r="KC29" s="43">
        <f t="shared" si="236"/>
        <v>0</v>
      </c>
      <c r="KD29" s="43">
        <f t="shared" si="237"/>
        <v>0</v>
      </c>
      <c r="KE29" s="43">
        <f t="shared" si="238"/>
        <v>513.30973072808081</v>
      </c>
      <c r="KF29" s="43">
        <f t="shared" si="239"/>
        <v>0</v>
      </c>
      <c r="KG29" s="43">
        <f t="shared" si="240"/>
        <v>0</v>
      </c>
      <c r="KH29" s="43">
        <f t="shared" si="241"/>
        <v>0</v>
      </c>
      <c r="KI29" s="43">
        <f t="shared" si="242"/>
        <v>0</v>
      </c>
      <c r="KJ29" s="43">
        <f t="shared" si="243"/>
        <v>0</v>
      </c>
      <c r="KK29" s="43">
        <f t="shared" si="244"/>
        <v>0</v>
      </c>
      <c r="KL29" s="43">
        <f t="shared" si="245"/>
        <v>0</v>
      </c>
      <c r="KM29" s="43">
        <f t="shared" si="246"/>
        <v>0</v>
      </c>
      <c r="KN29" s="43">
        <f t="shared" si="247"/>
        <v>0</v>
      </c>
      <c r="KO29" s="43">
        <f t="shared" si="248"/>
        <v>0</v>
      </c>
      <c r="KP29" s="43">
        <f t="shared" si="249"/>
        <v>0</v>
      </c>
      <c r="KQ29" s="43">
        <f t="shared" si="250"/>
        <v>0</v>
      </c>
      <c r="KR29" s="43">
        <f t="shared" si="251"/>
        <v>546.80759999999998</v>
      </c>
      <c r="KS29" s="43">
        <f t="shared" si="252"/>
        <v>645.84323737212117</v>
      </c>
      <c r="KT29" s="43">
        <f t="shared" si="253"/>
        <v>0</v>
      </c>
      <c r="KU29" s="43">
        <f t="shared" si="254"/>
        <v>0</v>
      </c>
      <c r="KV29" s="43">
        <f t="shared" si="255"/>
        <v>0</v>
      </c>
      <c r="KW29" s="43">
        <f t="shared" si="256"/>
        <v>0</v>
      </c>
      <c r="KX29" s="43">
        <f t="shared" si="257"/>
        <v>0</v>
      </c>
      <c r="KY29" s="43">
        <f t="shared" si="258"/>
        <v>0</v>
      </c>
      <c r="KZ29" s="43">
        <f t="shared" si="259"/>
        <v>0</v>
      </c>
      <c r="LA29" s="43">
        <f t="shared" si="260"/>
        <v>245.96388023999998</v>
      </c>
      <c r="LB29" s="43">
        <f t="shared" si="261"/>
        <v>0</v>
      </c>
      <c r="LC29" s="43">
        <f t="shared" si="262"/>
        <v>0</v>
      </c>
      <c r="LD29" s="43">
        <f t="shared" si="263"/>
        <v>0</v>
      </c>
      <c r="LE29" s="43">
        <f t="shared" si="264"/>
        <v>0</v>
      </c>
      <c r="LF29" s="43">
        <f t="shared" si="265"/>
        <v>0</v>
      </c>
      <c r="LG29" s="43">
        <f t="shared" si="266"/>
        <v>0</v>
      </c>
      <c r="LH29" s="43">
        <f t="shared" si="267"/>
        <v>0</v>
      </c>
      <c r="LI29" s="43">
        <f t="shared" si="268"/>
        <v>0</v>
      </c>
      <c r="LJ29" s="43">
        <f t="shared" si="269"/>
        <v>0</v>
      </c>
      <c r="LK29" s="43">
        <f t="shared" si="270"/>
        <v>2585.0707049999996</v>
      </c>
      <c r="LL29" s="43">
        <f t="shared" si="271"/>
        <v>0</v>
      </c>
      <c r="LM29" s="43">
        <f t="shared" si="272"/>
        <v>0</v>
      </c>
      <c r="LN29" s="43">
        <f t="shared" si="273"/>
        <v>0</v>
      </c>
      <c r="LO29" s="43">
        <f t="shared" si="274"/>
        <v>0</v>
      </c>
      <c r="LP29" s="43">
        <f t="shared" si="275"/>
        <v>79.801799999999986</v>
      </c>
      <c r="LQ29" s="28">
        <f t="shared" si="113"/>
        <v>6343.0572137402023</v>
      </c>
      <c r="LR29" s="65">
        <v>1556</v>
      </c>
      <c r="LS29" s="32">
        <f t="shared" si="114"/>
        <v>4.0765149188561711</v>
      </c>
      <c r="LT29" s="26">
        <f t="shared" si="115"/>
        <v>1.1138018903978608</v>
      </c>
      <c r="LU29" s="31">
        <f t="shared" si="116"/>
        <v>18</v>
      </c>
      <c r="LW29" s="42"/>
      <c r="MA29" s="32">
        <f t="shared" si="117"/>
        <v>4.0298965779797991</v>
      </c>
      <c r="MB29" s="26">
        <f t="shared" si="118"/>
        <v>1.1010646387922949</v>
      </c>
    </row>
    <row r="30" spans="1:340" ht="15.75" thickBot="1">
      <c r="A30" t="b">
        <f t="shared" si="3"/>
        <v>1</v>
      </c>
      <c r="B30" s="123" t="s">
        <v>157</v>
      </c>
      <c r="C30" s="39" t="s">
        <v>158</v>
      </c>
      <c r="D30"/>
      <c r="E30" s="97">
        <v>46026</v>
      </c>
      <c r="F30" t="s">
        <v>43</v>
      </c>
      <c r="G30" t="s">
        <v>20</v>
      </c>
      <c r="H30" t="s">
        <v>26</v>
      </c>
      <c r="I30" s="77"/>
      <c r="J30" s="77"/>
      <c r="K30" s="77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24"/>
      <c r="AG30" s="124"/>
      <c r="AH30" s="104"/>
      <c r="AI30" s="104"/>
      <c r="AJ30" s="104">
        <v>0.35</v>
      </c>
      <c r="AK30" s="104"/>
      <c r="AL30" s="104"/>
      <c r="AM30" s="104"/>
      <c r="AN30" s="104"/>
      <c r="AO30" s="104"/>
      <c r="AP30" s="104"/>
      <c r="AQ30" s="104"/>
      <c r="AR30" s="104">
        <v>0.05</v>
      </c>
      <c r="AS30" s="104"/>
      <c r="AT30" s="104"/>
      <c r="AU30" s="104"/>
      <c r="AV30" s="104"/>
      <c r="AW30" s="104"/>
      <c r="AX30" s="104"/>
      <c r="AY30" s="104"/>
      <c r="AZ30" s="104">
        <v>0.6</v>
      </c>
      <c r="BA30" s="104"/>
      <c r="BB30" s="104"/>
      <c r="BC30" s="124"/>
      <c r="BD30" s="124"/>
      <c r="BE30" s="104"/>
      <c r="BF30" s="104"/>
      <c r="BG30" s="104"/>
      <c r="BH30" s="104"/>
      <c r="BI30" s="78">
        <f t="shared" si="4"/>
        <v>1</v>
      </c>
      <c r="BJ30" s="105"/>
      <c r="BK30" s="105"/>
      <c r="BL30" s="105"/>
      <c r="BM30" s="105"/>
      <c r="BN30" s="105"/>
      <c r="BO30" s="105"/>
      <c r="BP30" s="105"/>
      <c r="BQ30" s="105"/>
      <c r="BR30" s="105"/>
      <c r="BS30" s="105"/>
      <c r="BT30" s="105"/>
      <c r="BU30" s="105"/>
      <c r="BV30" s="105"/>
      <c r="BW30" s="105"/>
      <c r="BX30" s="105"/>
      <c r="BY30" s="105"/>
      <c r="BZ30" s="105"/>
      <c r="CA30" s="105"/>
      <c r="CB30" s="105"/>
      <c r="CC30" s="105"/>
      <c r="CD30" s="105"/>
      <c r="CE30" s="105"/>
      <c r="CF30" s="120"/>
      <c r="CG30" s="128"/>
      <c r="CH30" s="128"/>
      <c r="CI30" s="105"/>
      <c r="CJ30" s="105"/>
      <c r="CK30" s="105"/>
      <c r="CL30" s="105">
        <v>0.35</v>
      </c>
      <c r="CM30" s="105"/>
      <c r="CN30" s="105"/>
      <c r="CO30" s="105"/>
      <c r="CP30" s="105"/>
      <c r="CQ30" s="105"/>
      <c r="CR30" s="105"/>
      <c r="CS30" s="105">
        <v>0.05</v>
      </c>
      <c r="CT30" s="105"/>
      <c r="CU30" s="105"/>
      <c r="CV30" s="105"/>
      <c r="CW30" s="105"/>
      <c r="CX30" s="105"/>
      <c r="CY30" s="105"/>
      <c r="CZ30" s="105"/>
      <c r="DA30" s="105">
        <v>0.6</v>
      </c>
      <c r="DB30" s="105"/>
      <c r="DC30" s="105"/>
      <c r="DD30" s="125"/>
      <c r="DE30" s="125"/>
      <c r="DF30" s="105"/>
      <c r="DG30" s="105"/>
      <c r="DH30" s="105"/>
      <c r="DI30" s="105"/>
      <c r="DJ30" s="79">
        <f t="shared" si="5"/>
        <v>1</v>
      </c>
      <c r="DK30" s="108"/>
      <c r="DL30" s="108"/>
      <c r="DM30" s="108"/>
      <c r="DN30" s="108"/>
      <c r="DO30" s="108"/>
      <c r="DP30" s="108"/>
      <c r="DQ30" s="108"/>
      <c r="DR30" s="108"/>
      <c r="DS30" s="108">
        <v>0.2</v>
      </c>
      <c r="DT30" s="108"/>
      <c r="DU30" s="108"/>
      <c r="DV30" s="108"/>
      <c r="DW30" s="108"/>
      <c r="DX30" s="108"/>
      <c r="DY30" s="108"/>
      <c r="DZ30" s="108"/>
      <c r="EA30" s="108">
        <v>0.6</v>
      </c>
      <c r="EB30" s="108"/>
      <c r="EC30" s="108"/>
      <c r="ED30" s="108"/>
      <c r="EE30" s="108"/>
      <c r="EF30" s="108"/>
      <c r="EG30" s="108"/>
      <c r="EH30" s="129"/>
      <c r="EI30" s="129"/>
      <c r="EJ30" s="108"/>
      <c r="EK30" s="108"/>
      <c r="EL30" s="108"/>
      <c r="EM30" s="108"/>
      <c r="EN30" s="108"/>
      <c r="EO30" s="108"/>
      <c r="EP30" s="108"/>
      <c r="EQ30" s="108"/>
      <c r="ER30" s="108"/>
      <c r="ES30" s="106"/>
      <c r="ET30" s="106"/>
      <c r="EU30" s="106">
        <v>0.18</v>
      </c>
      <c r="EV30" s="106"/>
      <c r="EW30" s="106"/>
      <c r="EX30" s="106"/>
      <c r="EY30" s="106"/>
      <c r="EZ30" s="106"/>
      <c r="FA30" s="106"/>
      <c r="FB30" s="106"/>
      <c r="FC30" s="106"/>
      <c r="FD30" s="106"/>
      <c r="FE30" s="126"/>
      <c r="FF30" s="126"/>
      <c r="FG30" s="106"/>
      <c r="FH30" s="106"/>
      <c r="FI30" s="106"/>
      <c r="FJ30" s="106">
        <v>0.02</v>
      </c>
      <c r="FK30" s="17">
        <f t="shared" si="6"/>
        <v>1</v>
      </c>
      <c r="FL30" s="18"/>
      <c r="FM30" s="19">
        <f t="shared" si="119"/>
        <v>0</v>
      </c>
      <c r="FN30" s="19">
        <f t="shared" si="120"/>
        <v>0</v>
      </c>
      <c r="FO30" s="19">
        <f t="shared" si="121"/>
        <v>0</v>
      </c>
      <c r="FP30" s="19">
        <f t="shared" si="122"/>
        <v>0</v>
      </c>
      <c r="FQ30" s="19">
        <f t="shared" si="123"/>
        <v>0</v>
      </c>
      <c r="FR30" s="19">
        <f t="shared" si="124"/>
        <v>0</v>
      </c>
      <c r="FS30" s="19">
        <f t="shared" si="125"/>
        <v>0</v>
      </c>
      <c r="FT30" s="19">
        <f t="shared" si="126"/>
        <v>0</v>
      </c>
      <c r="FU30" s="19">
        <f t="shared" si="127"/>
        <v>0.30000000000000004</v>
      </c>
      <c r="FV30" s="19">
        <f t="shared" si="128"/>
        <v>0</v>
      </c>
      <c r="FW30" s="19">
        <f t="shared" si="129"/>
        <v>0</v>
      </c>
      <c r="FX30" s="19">
        <f t="shared" si="130"/>
        <v>0</v>
      </c>
      <c r="FY30" s="19">
        <f t="shared" si="131"/>
        <v>0</v>
      </c>
      <c r="FZ30" s="19">
        <f t="shared" si="132"/>
        <v>0</v>
      </c>
      <c r="GA30" s="19">
        <f t="shared" si="133"/>
        <v>0</v>
      </c>
      <c r="GB30" s="19">
        <f t="shared" si="134"/>
        <v>0</v>
      </c>
      <c r="GC30" s="19">
        <f t="shared" si="135"/>
        <v>0.89999999999999991</v>
      </c>
      <c r="GD30" s="19">
        <f t="shared" si="136"/>
        <v>0</v>
      </c>
      <c r="GE30" s="19">
        <f t="shared" si="137"/>
        <v>0</v>
      </c>
      <c r="GF30" s="19">
        <f t="shared" si="138"/>
        <v>0</v>
      </c>
      <c r="GG30" s="19">
        <f t="shared" si="139"/>
        <v>0</v>
      </c>
      <c r="GH30" s="19">
        <f t="shared" si="140"/>
        <v>0</v>
      </c>
      <c r="GI30" s="19">
        <f t="shared" si="141"/>
        <v>0</v>
      </c>
      <c r="GJ30" s="19">
        <f t="shared" si="142"/>
        <v>0</v>
      </c>
      <c r="GK30" s="19">
        <f t="shared" si="143"/>
        <v>0</v>
      </c>
      <c r="GL30" s="19">
        <f t="shared" si="144"/>
        <v>0</v>
      </c>
      <c r="GM30" s="19">
        <f t="shared" si="145"/>
        <v>0</v>
      </c>
      <c r="GN30" s="19">
        <f t="shared" si="146"/>
        <v>0.52499999999999991</v>
      </c>
      <c r="GO30" s="19">
        <f t="shared" si="147"/>
        <v>0.7</v>
      </c>
      <c r="GP30" s="19">
        <f t="shared" si="148"/>
        <v>0</v>
      </c>
      <c r="GQ30" s="19">
        <f t="shared" si="149"/>
        <v>0</v>
      </c>
      <c r="GR30" s="19">
        <f t="shared" si="150"/>
        <v>0</v>
      </c>
      <c r="GS30" s="19">
        <f t="shared" si="151"/>
        <v>0</v>
      </c>
      <c r="GT30" s="19">
        <f t="shared" si="152"/>
        <v>0</v>
      </c>
      <c r="GU30" s="19">
        <f t="shared" si="153"/>
        <v>0</v>
      </c>
      <c r="GV30" s="19">
        <f t="shared" si="154"/>
        <v>0.17500000000000002</v>
      </c>
      <c r="GW30" s="19">
        <f t="shared" si="155"/>
        <v>0.27</v>
      </c>
      <c r="GX30" s="19">
        <f t="shared" si="156"/>
        <v>0</v>
      </c>
      <c r="GY30" s="19">
        <f t="shared" si="157"/>
        <v>0</v>
      </c>
      <c r="GZ30" s="19">
        <f t="shared" si="158"/>
        <v>0</v>
      </c>
      <c r="HA30" s="19">
        <f t="shared" si="159"/>
        <v>0</v>
      </c>
      <c r="HB30" s="19">
        <f t="shared" si="160"/>
        <v>0</v>
      </c>
      <c r="HC30" s="19">
        <f t="shared" si="161"/>
        <v>0</v>
      </c>
      <c r="HD30" s="19">
        <f t="shared" si="162"/>
        <v>2.0999999999999996</v>
      </c>
      <c r="HE30" s="19">
        <f t="shared" si="163"/>
        <v>0</v>
      </c>
      <c r="HF30" s="19">
        <f t="shared" si="164"/>
        <v>0</v>
      </c>
      <c r="HG30" s="19">
        <f t="shared" si="165"/>
        <v>0</v>
      </c>
      <c r="HH30" s="19">
        <f t="shared" si="166"/>
        <v>0</v>
      </c>
      <c r="HI30" s="19">
        <f t="shared" si="167"/>
        <v>0</v>
      </c>
      <c r="HJ30" s="19">
        <f t="shared" si="168"/>
        <v>0</v>
      </c>
      <c r="HK30" s="19">
        <f t="shared" si="169"/>
        <v>0</v>
      </c>
      <c r="HL30" s="19">
        <f t="shared" si="170"/>
        <v>0.03</v>
      </c>
      <c r="HM30" s="20">
        <f t="shared" si="171"/>
        <v>4.9999999999999991</v>
      </c>
      <c r="HN30" s="53">
        <v>1414</v>
      </c>
      <c r="HO30" s="21">
        <f t="shared" si="172"/>
        <v>0</v>
      </c>
      <c r="HP30" s="21">
        <f t="shared" si="173"/>
        <v>0</v>
      </c>
      <c r="HQ30" s="21">
        <f t="shared" si="174"/>
        <v>0</v>
      </c>
      <c r="HR30" s="21">
        <f t="shared" si="175"/>
        <v>0</v>
      </c>
      <c r="HS30" s="21">
        <f t="shared" si="176"/>
        <v>0</v>
      </c>
      <c r="HT30" s="69">
        <f t="shared" si="177"/>
        <v>0</v>
      </c>
      <c r="HU30" s="21">
        <f t="shared" si="178"/>
        <v>0</v>
      </c>
      <c r="HV30" s="21">
        <f t="shared" si="179"/>
        <v>0</v>
      </c>
      <c r="HW30" s="21">
        <f t="shared" si="180"/>
        <v>84.840000000000018</v>
      </c>
      <c r="HX30" s="21">
        <f t="shared" si="181"/>
        <v>0</v>
      </c>
      <c r="HY30" s="21">
        <f t="shared" si="182"/>
        <v>0</v>
      </c>
      <c r="HZ30" s="21">
        <f t="shared" si="183"/>
        <v>0</v>
      </c>
      <c r="IA30" s="21">
        <f t="shared" si="184"/>
        <v>0</v>
      </c>
      <c r="IB30" s="21">
        <f t="shared" si="185"/>
        <v>0</v>
      </c>
      <c r="IC30" s="21">
        <f t="shared" si="186"/>
        <v>0</v>
      </c>
      <c r="ID30" s="21">
        <f t="shared" si="187"/>
        <v>0</v>
      </c>
      <c r="IE30" s="21">
        <f t="shared" si="188"/>
        <v>254.52000000000004</v>
      </c>
      <c r="IF30" s="69">
        <f t="shared" si="189"/>
        <v>0</v>
      </c>
      <c r="IG30" s="69">
        <f t="shared" si="190"/>
        <v>0</v>
      </c>
      <c r="IH30" s="69">
        <f t="shared" si="191"/>
        <v>0</v>
      </c>
      <c r="II30" s="21">
        <f t="shared" si="192"/>
        <v>0</v>
      </c>
      <c r="IJ30" s="21">
        <f t="shared" si="193"/>
        <v>0</v>
      </c>
      <c r="IK30" s="21">
        <f t="shared" si="194"/>
        <v>0</v>
      </c>
      <c r="IL30" s="21">
        <f t="shared" si="195"/>
        <v>0</v>
      </c>
      <c r="IM30" s="21">
        <f t="shared" si="196"/>
        <v>0</v>
      </c>
      <c r="IN30" s="21">
        <f t="shared" si="197"/>
        <v>0</v>
      </c>
      <c r="IO30" s="21">
        <f t="shared" si="198"/>
        <v>0</v>
      </c>
      <c r="IP30" s="21">
        <f t="shared" si="199"/>
        <v>148.47</v>
      </c>
      <c r="IQ30" s="21">
        <f t="shared" si="200"/>
        <v>197.96000000000004</v>
      </c>
      <c r="IR30" s="21">
        <f t="shared" si="201"/>
        <v>0</v>
      </c>
      <c r="IS30" s="21">
        <f t="shared" si="202"/>
        <v>0</v>
      </c>
      <c r="IT30" s="21">
        <f t="shared" si="203"/>
        <v>0</v>
      </c>
      <c r="IU30" s="21">
        <f t="shared" si="204"/>
        <v>0</v>
      </c>
      <c r="IV30" s="21">
        <f t="shared" si="205"/>
        <v>0</v>
      </c>
      <c r="IW30" s="21">
        <f t="shared" si="206"/>
        <v>0</v>
      </c>
      <c r="IX30" s="21">
        <f t="shared" si="207"/>
        <v>49.490000000000009</v>
      </c>
      <c r="IY30" s="21">
        <f t="shared" si="208"/>
        <v>76.356000000000023</v>
      </c>
      <c r="IZ30" s="21">
        <f t="shared" si="209"/>
        <v>0</v>
      </c>
      <c r="JA30" s="21">
        <f t="shared" si="210"/>
        <v>0</v>
      </c>
      <c r="JB30" s="21">
        <f t="shared" si="211"/>
        <v>0</v>
      </c>
      <c r="JC30" s="21">
        <f t="shared" si="212"/>
        <v>0</v>
      </c>
      <c r="JD30" s="21">
        <f t="shared" si="213"/>
        <v>0</v>
      </c>
      <c r="JE30" s="21">
        <f t="shared" si="214"/>
        <v>0</v>
      </c>
      <c r="JF30" s="21">
        <f t="shared" si="215"/>
        <v>593.88</v>
      </c>
      <c r="JG30" s="21">
        <f t="shared" si="216"/>
        <v>0</v>
      </c>
      <c r="JH30" s="21">
        <f t="shared" si="217"/>
        <v>0</v>
      </c>
      <c r="JI30" s="21">
        <f t="shared" si="218"/>
        <v>0</v>
      </c>
      <c r="JJ30" s="21">
        <f t="shared" si="219"/>
        <v>0</v>
      </c>
      <c r="JK30" s="21">
        <f t="shared" si="220"/>
        <v>0</v>
      </c>
      <c r="JL30" s="21">
        <f t="shared" si="221"/>
        <v>0</v>
      </c>
      <c r="JM30" s="21">
        <f t="shared" si="222"/>
        <v>0</v>
      </c>
      <c r="JN30" s="21">
        <f t="shared" si="223"/>
        <v>8.4840000000000018</v>
      </c>
      <c r="JO30" s="35">
        <f t="shared" si="110"/>
        <v>1414</v>
      </c>
      <c r="JP30" s="38">
        <f t="shared" si="111"/>
        <v>0</v>
      </c>
      <c r="JQ30" s="43">
        <f t="shared" si="224"/>
        <v>0</v>
      </c>
      <c r="JR30" s="43">
        <f t="shared" si="225"/>
        <v>0</v>
      </c>
      <c r="JS30" s="43">
        <f t="shared" si="226"/>
        <v>0</v>
      </c>
      <c r="JT30" s="43">
        <f t="shared" si="227"/>
        <v>0</v>
      </c>
      <c r="JU30" s="43">
        <f t="shared" si="228"/>
        <v>0</v>
      </c>
      <c r="JV30" s="43">
        <f t="shared" si="229"/>
        <v>0</v>
      </c>
      <c r="JW30" s="43">
        <f t="shared" si="230"/>
        <v>0</v>
      </c>
      <c r="JX30" s="43">
        <f t="shared" si="231"/>
        <v>0</v>
      </c>
      <c r="JY30" s="43">
        <f t="shared" si="232"/>
        <v>392.95851840000006</v>
      </c>
      <c r="JZ30" s="43">
        <f t="shared" si="233"/>
        <v>0</v>
      </c>
      <c r="KA30" s="43">
        <f t="shared" si="234"/>
        <v>0</v>
      </c>
      <c r="KB30" s="43">
        <f t="shared" si="235"/>
        <v>0</v>
      </c>
      <c r="KC30" s="43">
        <f t="shared" si="236"/>
        <v>0</v>
      </c>
      <c r="KD30" s="43">
        <f t="shared" si="237"/>
        <v>0</v>
      </c>
      <c r="KE30" s="43">
        <f t="shared" si="238"/>
        <v>0</v>
      </c>
      <c r="KF30" s="43">
        <f t="shared" si="239"/>
        <v>0</v>
      </c>
      <c r="KG30" s="43">
        <f t="shared" si="240"/>
        <v>1056.2389135709093</v>
      </c>
      <c r="KH30" s="43">
        <f t="shared" si="241"/>
        <v>0</v>
      </c>
      <c r="KI30" s="43">
        <f t="shared" si="242"/>
        <v>0</v>
      </c>
      <c r="KJ30" s="43">
        <f t="shared" si="243"/>
        <v>0</v>
      </c>
      <c r="KK30" s="43">
        <f t="shared" si="244"/>
        <v>0</v>
      </c>
      <c r="KL30" s="43">
        <f t="shared" si="245"/>
        <v>0</v>
      </c>
      <c r="KM30" s="43">
        <f t="shared" si="246"/>
        <v>0</v>
      </c>
      <c r="KN30" s="43">
        <f t="shared" si="247"/>
        <v>0</v>
      </c>
      <c r="KO30" s="43">
        <f t="shared" si="248"/>
        <v>0</v>
      </c>
      <c r="KP30" s="43">
        <f t="shared" si="249"/>
        <v>0</v>
      </c>
      <c r="KQ30" s="43">
        <f t="shared" si="250"/>
        <v>0</v>
      </c>
      <c r="KR30" s="43">
        <f t="shared" si="251"/>
        <v>573.0942</v>
      </c>
      <c r="KS30" s="43">
        <f t="shared" si="252"/>
        <v>676.89076276040419</v>
      </c>
      <c r="KT30" s="43">
        <f t="shared" si="253"/>
        <v>0</v>
      </c>
      <c r="KU30" s="43">
        <f t="shared" si="254"/>
        <v>0</v>
      </c>
      <c r="KV30" s="43">
        <f t="shared" si="255"/>
        <v>0</v>
      </c>
      <c r="KW30" s="43">
        <f t="shared" si="256"/>
        <v>0</v>
      </c>
      <c r="KX30" s="43">
        <f t="shared" si="257"/>
        <v>0</v>
      </c>
      <c r="KY30" s="43">
        <f t="shared" si="258"/>
        <v>0</v>
      </c>
      <c r="KZ30" s="43">
        <f t="shared" si="259"/>
        <v>428.08850000000012</v>
      </c>
      <c r="LA30" s="43">
        <f t="shared" si="260"/>
        <v>305.94627504000005</v>
      </c>
      <c r="LB30" s="43">
        <f t="shared" si="261"/>
        <v>0</v>
      </c>
      <c r="LC30" s="43">
        <f t="shared" si="262"/>
        <v>0</v>
      </c>
      <c r="LD30" s="43">
        <f t="shared" si="263"/>
        <v>0</v>
      </c>
      <c r="LE30" s="43">
        <f t="shared" si="264"/>
        <v>0</v>
      </c>
      <c r="LF30" s="43">
        <f t="shared" si="265"/>
        <v>0</v>
      </c>
      <c r="LG30" s="43">
        <f t="shared" si="266"/>
        <v>0</v>
      </c>
      <c r="LH30" s="43">
        <f t="shared" si="267"/>
        <v>2486.3677139975762</v>
      </c>
      <c r="LI30" s="43">
        <f t="shared" si="268"/>
        <v>0</v>
      </c>
      <c r="LJ30" s="43">
        <f t="shared" si="269"/>
        <v>0</v>
      </c>
      <c r="LK30" s="43">
        <f t="shared" si="270"/>
        <v>0</v>
      </c>
      <c r="LL30" s="43">
        <f t="shared" si="271"/>
        <v>0</v>
      </c>
      <c r="LM30" s="43">
        <f t="shared" si="272"/>
        <v>0</v>
      </c>
      <c r="LN30" s="43">
        <f t="shared" si="273"/>
        <v>0</v>
      </c>
      <c r="LO30" s="43">
        <f t="shared" si="274"/>
        <v>0</v>
      </c>
      <c r="LP30" s="43">
        <f t="shared" si="275"/>
        <v>71.689800000000005</v>
      </c>
      <c r="LQ30" s="28">
        <f t="shared" si="113"/>
        <v>5991.2746837688901</v>
      </c>
      <c r="LR30" s="65">
        <v>1344</v>
      </c>
      <c r="LS30" s="32">
        <f t="shared" si="114"/>
        <v>4.4577936635185198</v>
      </c>
      <c r="LT30" s="26">
        <f t="shared" si="115"/>
        <v>1.2179764107974098</v>
      </c>
      <c r="LU30" s="31">
        <f t="shared" si="116"/>
        <v>70</v>
      </c>
      <c r="LW30" s="42"/>
      <c r="MA30" s="32">
        <f t="shared" si="117"/>
        <v>4.2371108088888896</v>
      </c>
      <c r="MB30" s="26">
        <f t="shared" si="118"/>
        <v>1.1576805488767457</v>
      </c>
    </row>
    <row r="31" spans="1:340" ht="15.75" thickBot="1">
      <c r="A31" t="b">
        <f t="shared" si="3"/>
        <v>1</v>
      </c>
      <c r="B31" s="123" t="s">
        <v>159</v>
      </c>
      <c r="C31" s="39" t="s">
        <v>160</v>
      </c>
      <c r="D31"/>
      <c r="E31" s="97">
        <v>46028</v>
      </c>
      <c r="F31" t="s">
        <v>43</v>
      </c>
      <c r="G31" t="s">
        <v>20</v>
      </c>
      <c r="H31" t="s">
        <v>26</v>
      </c>
      <c r="I31" s="77"/>
      <c r="J31" s="77"/>
      <c r="K31" s="77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24"/>
      <c r="AG31" s="124"/>
      <c r="AH31" s="104"/>
      <c r="AI31" s="104"/>
      <c r="AJ31" s="22">
        <v>0.3</v>
      </c>
      <c r="AK31" s="22"/>
      <c r="AL31" s="22"/>
      <c r="AM31" s="22"/>
      <c r="AN31" s="22"/>
      <c r="AO31" s="104"/>
      <c r="AP31" s="22"/>
      <c r="AQ31" s="22"/>
      <c r="AR31" s="22">
        <v>0.05</v>
      </c>
      <c r="AS31" s="22"/>
      <c r="AT31" s="22"/>
      <c r="AU31" s="22"/>
      <c r="AV31" s="22"/>
      <c r="AW31" s="22"/>
      <c r="AX31" s="22"/>
      <c r="AY31" s="22"/>
      <c r="AZ31" s="104"/>
      <c r="BA31" s="104"/>
      <c r="BB31" s="104"/>
      <c r="BC31" s="124">
        <v>0.65</v>
      </c>
      <c r="BD31" s="124"/>
      <c r="BE31" s="104"/>
      <c r="BF31" s="104"/>
      <c r="BG31" s="104"/>
      <c r="BH31" s="104"/>
      <c r="BI31" s="78">
        <f t="shared" si="4"/>
        <v>1</v>
      </c>
      <c r="BJ31" s="105"/>
      <c r="BK31" s="105"/>
      <c r="BL31" s="105"/>
      <c r="BM31" s="105"/>
      <c r="BN31" s="105"/>
      <c r="BO31" s="105"/>
      <c r="BP31" s="105"/>
      <c r="BQ31" s="105"/>
      <c r="BR31" s="105"/>
      <c r="BS31" s="105"/>
      <c r="BT31" s="105"/>
      <c r="BU31" s="105"/>
      <c r="BV31" s="105"/>
      <c r="BW31" s="105"/>
      <c r="BX31" s="105"/>
      <c r="BY31" s="105"/>
      <c r="BZ31" s="105"/>
      <c r="CA31" s="105"/>
      <c r="CB31" s="105"/>
      <c r="CC31" s="105"/>
      <c r="CD31" s="105"/>
      <c r="CE31" s="105"/>
      <c r="CF31" s="120"/>
      <c r="CG31" s="128"/>
      <c r="CH31" s="128"/>
      <c r="CI31" s="105"/>
      <c r="CJ31" s="105"/>
      <c r="CK31" s="105"/>
      <c r="CL31" s="105">
        <v>0.45</v>
      </c>
      <c r="CM31" s="105"/>
      <c r="CN31" s="105"/>
      <c r="CO31" s="105"/>
      <c r="CP31" s="105"/>
      <c r="CQ31" s="105"/>
      <c r="CR31" s="105"/>
      <c r="CS31" s="105">
        <v>0.05</v>
      </c>
      <c r="CT31" s="105"/>
      <c r="CU31" s="105"/>
      <c r="CV31" s="105"/>
      <c r="CW31" s="105"/>
      <c r="CX31" s="105"/>
      <c r="CY31" s="105"/>
      <c r="CZ31" s="105"/>
      <c r="DA31" s="105"/>
      <c r="DB31" s="105"/>
      <c r="DC31" s="105">
        <v>0.2</v>
      </c>
      <c r="DD31" s="125">
        <v>0.3</v>
      </c>
      <c r="DE31" s="125"/>
      <c r="DF31" s="105"/>
      <c r="DG31" s="105"/>
      <c r="DH31" s="105"/>
      <c r="DI31" s="105"/>
      <c r="DJ31" s="79">
        <f t="shared" si="5"/>
        <v>1</v>
      </c>
      <c r="DK31" s="108"/>
      <c r="DL31" s="108"/>
      <c r="DM31" s="108"/>
      <c r="DN31" s="108"/>
      <c r="DO31" s="108"/>
      <c r="DP31" s="108"/>
      <c r="DQ31" s="108"/>
      <c r="DR31" s="108"/>
      <c r="DS31" s="108">
        <v>0.4</v>
      </c>
      <c r="DT31" s="108"/>
      <c r="DU31" s="108"/>
      <c r="DV31" s="108"/>
      <c r="DW31" s="108"/>
      <c r="DX31" s="108"/>
      <c r="DY31" s="108"/>
      <c r="DZ31" s="108"/>
      <c r="EA31" s="108">
        <v>0.4</v>
      </c>
      <c r="EB31" s="108"/>
      <c r="EC31" s="108"/>
      <c r="ED31" s="108"/>
      <c r="EE31" s="108"/>
      <c r="EF31" s="108"/>
      <c r="EG31" s="108"/>
      <c r="EH31" s="129"/>
      <c r="EI31" s="129"/>
      <c r="EJ31" s="108"/>
      <c r="EK31" s="108"/>
      <c r="EL31" s="108"/>
      <c r="EM31" s="108"/>
      <c r="EN31" s="108"/>
      <c r="EO31" s="108"/>
      <c r="EP31" s="108"/>
      <c r="EQ31" s="108"/>
      <c r="ER31" s="108"/>
      <c r="ES31" s="106"/>
      <c r="ET31" s="106"/>
      <c r="EU31" s="106">
        <v>0.18</v>
      </c>
      <c r="EV31" s="106"/>
      <c r="EW31" s="106"/>
      <c r="EX31" s="106"/>
      <c r="EY31" s="106"/>
      <c r="EZ31" s="106"/>
      <c r="FA31" s="106"/>
      <c r="FB31" s="106"/>
      <c r="FC31" s="106"/>
      <c r="FD31" s="106"/>
      <c r="FE31" s="126"/>
      <c r="FF31" s="126"/>
      <c r="FG31" s="106"/>
      <c r="FH31" s="106"/>
      <c r="FI31" s="106"/>
      <c r="FJ31" s="106">
        <v>0.02</v>
      </c>
      <c r="FK31" s="17">
        <f t="shared" si="6"/>
        <v>1</v>
      </c>
      <c r="FL31" s="18"/>
      <c r="FM31" s="19">
        <f t="shared" si="119"/>
        <v>0</v>
      </c>
      <c r="FN31" s="19">
        <f t="shared" si="120"/>
        <v>0</v>
      </c>
      <c r="FO31" s="19">
        <f t="shared" si="121"/>
        <v>0</v>
      </c>
      <c r="FP31" s="19">
        <f t="shared" si="122"/>
        <v>0</v>
      </c>
      <c r="FQ31" s="19">
        <f t="shared" si="123"/>
        <v>0</v>
      </c>
      <c r="FR31" s="19">
        <f t="shared" si="124"/>
        <v>0</v>
      </c>
      <c r="FS31" s="19">
        <f t="shared" si="125"/>
        <v>0</v>
      </c>
      <c r="FT31" s="19">
        <f t="shared" si="126"/>
        <v>0</v>
      </c>
      <c r="FU31" s="19">
        <f t="shared" si="127"/>
        <v>0.60000000000000009</v>
      </c>
      <c r="FV31" s="19">
        <f t="shared" si="128"/>
        <v>0</v>
      </c>
      <c r="FW31" s="19">
        <f t="shared" si="129"/>
        <v>0</v>
      </c>
      <c r="FX31" s="19">
        <f t="shared" si="130"/>
        <v>0</v>
      </c>
      <c r="FY31" s="19">
        <f t="shared" si="131"/>
        <v>0</v>
      </c>
      <c r="FZ31" s="19">
        <f t="shared" si="132"/>
        <v>0</v>
      </c>
      <c r="GA31" s="19">
        <f t="shared" si="133"/>
        <v>0</v>
      </c>
      <c r="GB31" s="19">
        <f t="shared" si="134"/>
        <v>0</v>
      </c>
      <c r="GC31" s="19">
        <f t="shared" si="135"/>
        <v>0.60000000000000009</v>
      </c>
      <c r="GD31" s="19">
        <f t="shared" si="136"/>
        <v>0</v>
      </c>
      <c r="GE31" s="19">
        <f t="shared" si="137"/>
        <v>0</v>
      </c>
      <c r="GF31" s="19">
        <f t="shared" si="138"/>
        <v>0</v>
      </c>
      <c r="GG31" s="19">
        <f t="shared" si="139"/>
        <v>0</v>
      </c>
      <c r="GH31" s="19">
        <f t="shared" si="140"/>
        <v>0</v>
      </c>
      <c r="GI31" s="19">
        <f t="shared" si="141"/>
        <v>0</v>
      </c>
      <c r="GJ31" s="19">
        <f t="shared" si="142"/>
        <v>0</v>
      </c>
      <c r="GK31" s="19">
        <f t="shared" si="143"/>
        <v>0</v>
      </c>
      <c r="GL31" s="19">
        <f t="shared" si="144"/>
        <v>0</v>
      </c>
      <c r="GM31" s="19">
        <f t="shared" si="145"/>
        <v>0</v>
      </c>
      <c r="GN31" s="19">
        <f t="shared" si="146"/>
        <v>0.44999999999999996</v>
      </c>
      <c r="GO31" s="19">
        <f t="shared" si="147"/>
        <v>0.9</v>
      </c>
      <c r="GP31" s="19">
        <f t="shared" si="148"/>
        <v>0</v>
      </c>
      <c r="GQ31" s="19">
        <f t="shared" si="149"/>
        <v>0</v>
      </c>
      <c r="GR31" s="19">
        <f t="shared" si="150"/>
        <v>0</v>
      </c>
      <c r="GS31" s="19">
        <f t="shared" si="151"/>
        <v>0</v>
      </c>
      <c r="GT31" s="19">
        <f t="shared" si="152"/>
        <v>0</v>
      </c>
      <c r="GU31" s="19">
        <f t="shared" si="153"/>
        <v>0</v>
      </c>
      <c r="GV31" s="19">
        <f t="shared" si="154"/>
        <v>0.17500000000000002</v>
      </c>
      <c r="GW31" s="19">
        <f t="shared" si="155"/>
        <v>0.27</v>
      </c>
      <c r="GX31" s="19">
        <f t="shared" si="156"/>
        <v>0</v>
      </c>
      <c r="GY31" s="19">
        <f t="shared" si="157"/>
        <v>0</v>
      </c>
      <c r="GZ31" s="19">
        <f t="shared" si="158"/>
        <v>0</v>
      </c>
      <c r="HA31" s="19">
        <f t="shared" si="159"/>
        <v>0</v>
      </c>
      <c r="HB31" s="19">
        <f t="shared" si="160"/>
        <v>0</v>
      </c>
      <c r="HC31" s="19">
        <f t="shared" si="161"/>
        <v>0</v>
      </c>
      <c r="HD31" s="19">
        <f t="shared" si="162"/>
        <v>0</v>
      </c>
      <c r="HE31" s="19">
        <f t="shared" si="163"/>
        <v>0</v>
      </c>
      <c r="HF31" s="19">
        <f t="shared" si="164"/>
        <v>0.4</v>
      </c>
      <c r="HG31" s="19">
        <f t="shared" si="165"/>
        <v>1.5750000000000002</v>
      </c>
      <c r="HH31" s="19">
        <f t="shared" si="166"/>
        <v>0</v>
      </c>
      <c r="HI31" s="19">
        <f t="shared" si="167"/>
        <v>0</v>
      </c>
      <c r="HJ31" s="19">
        <f t="shared" si="168"/>
        <v>0</v>
      </c>
      <c r="HK31" s="19">
        <f t="shared" si="169"/>
        <v>0</v>
      </c>
      <c r="HL31" s="19">
        <f t="shared" si="170"/>
        <v>0.03</v>
      </c>
      <c r="HM31" s="20">
        <f t="shared" si="171"/>
        <v>5.0000000000000009</v>
      </c>
      <c r="HN31" s="53">
        <v>1085</v>
      </c>
      <c r="HO31" s="21">
        <f t="shared" si="172"/>
        <v>0</v>
      </c>
      <c r="HP31" s="21">
        <f t="shared" si="173"/>
        <v>0</v>
      </c>
      <c r="HQ31" s="21">
        <f t="shared" si="174"/>
        <v>0</v>
      </c>
      <c r="HR31" s="21">
        <f t="shared" si="175"/>
        <v>0</v>
      </c>
      <c r="HS31" s="21">
        <f t="shared" si="176"/>
        <v>0</v>
      </c>
      <c r="HT31" s="69">
        <f t="shared" si="177"/>
        <v>0</v>
      </c>
      <c r="HU31" s="21">
        <f t="shared" si="178"/>
        <v>0</v>
      </c>
      <c r="HV31" s="21">
        <f t="shared" si="179"/>
        <v>0</v>
      </c>
      <c r="HW31" s="21">
        <f t="shared" si="180"/>
        <v>130.19999999999999</v>
      </c>
      <c r="HX31" s="21">
        <f t="shared" si="181"/>
        <v>0</v>
      </c>
      <c r="HY31" s="21">
        <f t="shared" si="182"/>
        <v>0</v>
      </c>
      <c r="HZ31" s="21">
        <f t="shared" si="183"/>
        <v>0</v>
      </c>
      <c r="IA31" s="21">
        <f t="shared" si="184"/>
        <v>0</v>
      </c>
      <c r="IB31" s="21">
        <f t="shared" si="185"/>
        <v>0</v>
      </c>
      <c r="IC31" s="21">
        <f t="shared" si="186"/>
        <v>0</v>
      </c>
      <c r="ID31" s="21">
        <f t="shared" si="187"/>
        <v>0</v>
      </c>
      <c r="IE31" s="21">
        <f t="shared" si="188"/>
        <v>130.19999999999999</v>
      </c>
      <c r="IF31" s="69">
        <f t="shared" si="189"/>
        <v>0</v>
      </c>
      <c r="IG31" s="69">
        <f t="shared" si="190"/>
        <v>0</v>
      </c>
      <c r="IH31" s="69">
        <f t="shared" si="191"/>
        <v>0</v>
      </c>
      <c r="II31" s="21">
        <f t="shared" si="192"/>
        <v>0</v>
      </c>
      <c r="IJ31" s="21">
        <f t="shared" si="193"/>
        <v>0</v>
      </c>
      <c r="IK31" s="21">
        <f t="shared" si="194"/>
        <v>0</v>
      </c>
      <c r="IL31" s="21">
        <f t="shared" si="195"/>
        <v>0</v>
      </c>
      <c r="IM31" s="21">
        <f t="shared" si="196"/>
        <v>0</v>
      </c>
      <c r="IN31" s="21">
        <f t="shared" si="197"/>
        <v>0</v>
      </c>
      <c r="IO31" s="21">
        <f t="shared" si="198"/>
        <v>0</v>
      </c>
      <c r="IP31" s="21">
        <f t="shared" si="199"/>
        <v>97.649999999999977</v>
      </c>
      <c r="IQ31" s="21">
        <f t="shared" si="200"/>
        <v>195.29999999999995</v>
      </c>
      <c r="IR31" s="21">
        <f t="shared" si="201"/>
        <v>0</v>
      </c>
      <c r="IS31" s="21">
        <f t="shared" si="202"/>
        <v>0</v>
      </c>
      <c r="IT31" s="21">
        <f t="shared" si="203"/>
        <v>0</v>
      </c>
      <c r="IU31" s="21">
        <f t="shared" si="204"/>
        <v>0</v>
      </c>
      <c r="IV31" s="21">
        <f t="shared" si="205"/>
        <v>0</v>
      </c>
      <c r="IW31" s="21">
        <f t="shared" si="206"/>
        <v>0</v>
      </c>
      <c r="IX31" s="21">
        <f t="shared" si="207"/>
        <v>37.975000000000001</v>
      </c>
      <c r="IY31" s="21">
        <f t="shared" si="208"/>
        <v>58.589999999999996</v>
      </c>
      <c r="IZ31" s="21">
        <f t="shared" si="209"/>
        <v>0</v>
      </c>
      <c r="JA31" s="21">
        <f t="shared" si="210"/>
        <v>0</v>
      </c>
      <c r="JB31" s="21">
        <f t="shared" si="211"/>
        <v>0</v>
      </c>
      <c r="JC31" s="21">
        <f t="shared" si="212"/>
        <v>0</v>
      </c>
      <c r="JD31" s="21">
        <f t="shared" si="213"/>
        <v>0</v>
      </c>
      <c r="JE31" s="21">
        <f t="shared" si="214"/>
        <v>0</v>
      </c>
      <c r="JF31" s="21">
        <f t="shared" si="215"/>
        <v>0</v>
      </c>
      <c r="JG31" s="21">
        <f t="shared" si="216"/>
        <v>0</v>
      </c>
      <c r="JH31" s="21">
        <f t="shared" si="217"/>
        <v>86.799999999999983</v>
      </c>
      <c r="JI31" s="21">
        <f t="shared" si="218"/>
        <v>341.77499999999998</v>
      </c>
      <c r="JJ31" s="21">
        <f t="shared" si="219"/>
        <v>0</v>
      </c>
      <c r="JK31" s="21">
        <f t="shared" si="220"/>
        <v>0</v>
      </c>
      <c r="JL31" s="21">
        <f t="shared" si="221"/>
        <v>0</v>
      </c>
      <c r="JM31" s="21">
        <f t="shared" si="222"/>
        <v>0</v>
      </c>
      <c r="JN31" s="21">
        <f t="shared" si="223"/>
        <v>6.509999999999998</v>
      </c>
      <c r="JO31" s="35">
        <f t="shared" si="110"/>
        <v>1084.9999999999998</v>
      </c>
      <c r="JP31" s="38">
        <f t="shared" si="111"/>
        <v>0</v>
      </c>
      <c r="JQ31" s="43">
        <f t="shared" si="224"/>
        <v>0</v>
      </c>
      <c r="JR31" s="43">
        <f t="shared" si="225"/>
        <v>0</v>
      </c>
      <c r="JS31" s="43">
        <f t="shared" si="226"/>
        <v>0</v>
      </c>
      <c r="JT31" s="43">
        <f t="shared" si="227"/>
        <v>0</v>
      </c>
      <c r="JU31" s="43">
        <f t="shared" si="228"/>
        <v>0</v>
      </c>
      <c r="JV31" s="43">
        <f t="shared" si="229"/>
        <v>0</v>
      </c>
      <c r="JW31" s="43">
        <f t="shared" si="230"/>
        <v>0</v>
      </c>
      <c r="JX31" s="43">
        <f t="shared" si="231"/>
        <v>0</v>
      </c>
      <c r="JY31" s="43">
        <f t="shared" si="232"/>
        <v>603.05515199999991</v>
      </c>
      <c r="JZ31" s="43">
        <f t="shared" si="233"/>
        <v>0</v>
      </c>
      <c r="KA31" s="43">
        <f t="shared" si="234"/>
        <v>0</v>
      </c>
      <c r="KB31" s="43">
        <f t="shared" si="235"/>
        <v>0</v>
      </c>
      <c r="KC31" s="43">
        <f t="shared" si="236"/>
        <v>0</v>
      </c>
      <c r="KD31" s="43">
        <f t="shared" si="237"/>
        <v>0</v>
      </c>
      <c r="KE31" s="43">
        <f t="shared" si="238"/>
        <v>0</v>
      </c>
      <c r="KF31" s="43">
        <f t="shared" si="239"/>
        <v>0</v>
      </c>
      <c r="KG31" s="43">
        <f t="shared" si="240"/>
        <v>540.32023631515153</v>
      </c>
      <c r="KH31" s="43">
        <f t="shared" si="241"/>
        <v>0</v>
      </c>
      <c r="KI31" s="43">
        <f t="shared" si="242"/>
        <v>0</v>
      </c>
      <c r="KJ31" s="43">
        <f t="shared" si="243"/>
        <v>0</v>
      </c>
      <c r="KK31" s="43">
        <f t="shared" si="244"/>
        <v>0</v>
      </c>
      <c r="KL31" s="43">
        <f t="shared" si="245"/>
        <v>0</v>
      </c>
      <c r="KM31" s="43">
        <f t="shared" si="246"/>
        <v>0</v>
      </c>
      <c r="KN31" s="43">
        <f t="shared" si="247"/>
        <v>0</v>
      </c>
      <c r="KO31" s="43">
        <f t="shared" si="248"/>
        <v>0</v>
      </c>
      <c r="KP31" s="43">
        <f t="shared" si="249"/>
        <v>0</v>
      </c>
      <c r="KQ31" s="43">
        <f t="shared" si="250"/>
        <v>0</v>
      </c>
      <c r="KR31" s="43">
        <f t="shared" si="251"/>
        <v>376.92899999999992</v>
      </c>
      <c r="KS31" s="43">
        <f t="shared" si="252"/>
        <v>667.79534232727258</v>
      </c>
      <c r="KT31" s="43">
        <f t="shared" si="253"/>
        <v>0</v>
      </c>
      <c r="KU31" s="43">
        <f t="shared" si="254"/>
        <v>0</v>
      </c>
      <c r="KV31" s="43">
        <f t="shared" si="255"/>
        <v>0</v>
      </c>
      <c r="KW31" s="43">
        <f t="shared" si="256"/>
        <v>0</v>
      </c>
      <c r="KX31" s="43">
        <f t="shared" si="257"/>
        <v>0</v>
      </c>
      <c r="KY31" s="43">
        <f t="shared" si="258"/>
        <v>0</v>
      </c>
      <c r="KZ31" s="43">
        <f t="shared" si="259"/>
        <v>328.48375000000004</v>
      </c>
      <c r="LA31" s="43">
        <f t="shared" si="260"/>
        <v>234.76075559999995</v>
      </c>
      <c r="LB31" s="43">
        <f t="shared" si="261"/>
        <v>0</v>
      </c>
      <c r="LC31" s="43">
        <f t="shared" si="262"/>
        <v>0</v>
      </c>
      <c r="LD31" s="43">
        <f t="shared" si="263"/>
        <v>0</v>
      </c>
      <c r="LE31" s="43">
        <f t="shared" si="264"/>
        <v>0</v>
      </c>
      <c r="LF31" s="43">
        <f t="shared" si="265"/>
        <v>0</v>
      </c>
      <c r="LG31" s="43">
        <f t="shared" si="266"/>
        <v>0</v>
      </c>
      <c r="LH31" s="43">
        <f t="shared" si="267"/>
        <v>0</v>
      </c>
      <c r="LI31" s="43">
        <f t="shared" si="268"/>
        <v>0</v>
      </c>
      <c r="LJ31" s="43">
        <f t="shared" si="269"/>
        <v>417.99060799999995</v>
      </c>
      <c r="LK31" s="43">
        <f t="shared" si="270"/>
        <v>1369.0652062499998</v>
      </c>
      <c r="LL31" s="43">
        <f t="shared" si="271"/>
        <v>0</v>
      </c>
      <c r="LM31" s="43">
        <f t="shared" si="272"/>
        <v>0</v>
      </c>
      <c r="LN31" s="43">
        <f t="shared" si="273"/>
        <v>0</v>
      </c>
      <c r="LO31" s="43">
        <f t="shared" si="274"/>
        <v>0</v>
      </c>
      <c r="LP31" s="43">
        <f t="shared" si="275"/>
        <v>55.009499999999981</v>
      </c>
      <c r="LQ31" s="28">
        <f t="shared" si="113"/>
        <v>4593.4095504924235</v>
      </c>
      <c r="LR31" s="65">
        <v>1006</v>
      </c>
      <c r="LS31" s="32">
        <f t="shared" si="114"/>
        <v>4.5660134696743775</v>
      </c>
      <c r="LT31" s="26">
        <f t="shared" si="115"/>
        <v>1.2475446638454584</v>
      </c>
      <c r="LU31" s="31">
        <f t="shared" si="116"/>
        <v>79</v>
      </c>
      <c r="LW31" s="42"/>
      <c r="MA31" s="32">
        <f t="shared" si="117"/>
        <v>4.2335571893939399</v>
      </c>
      <c r="MB31" s="26">
        <f t="shared" si="118"/>
        <v>1.1567096145885081</v>
      </c>
    </row>
    <row r="32" spans="1:340" ht="15.75" thickBot="1">
      <c r="A32" t="b">
        <f t="shared" si="3"/>
        <v>1</v>
      </c>
      <c r="B32" s="123" t="s">
        <v>161</v>
      </c>
      <c r="C32" s="39" t="s">
        <v>162</v>
      </c>
      <c r="D32"/>
      <c r="E32" s="97">
        <v>46034</v>
      </c>
      <c r="F32" t="s">
        <v>43</v>
      </c>
      <c r="G32" t="s">
        <v>20</v>
      </c>
      <c r="H32" t="s">
        <v>27</v>
      </c>
      <c r="I32" s="77"/>
      <c r="J32" s="77"/>
      <c r="K32" s="77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24"/>
      <c r="AG32" s="124"/>
      <c r="AH32" s="104"/>
      <c r="AI32" s="104"/>
      <c r="AJ32" s="22">
        <v>0.4</v>
      </c>
      <c r="AK32" s="22"/>
      <c r="AL32" s="22"/>
      <c r="AM32" s="22"/>
      <c r="AN32" s="22"/>
      <c r="AO32" s="104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104"/>
      <c r="BA32" s="104"/>
      <c r="BB32" s="104"/>
      <c r="BC32" s="124">
        <v>0.6</v>
      </c>
      <c r="BD32" s="124"/>
      <c r="BE32" s="104"/>
      <c r="BF32" s="104"/>
      <c r="BG32" s="104"/>
      <c r="BH32" s="104"/>
      <c r="BI32" s="78">
        <f t="shared" si="4"/>
        <v>1</v>
      </c>
      <c r="BJ32" s="105"/>
      <c r="BK32" s="105"/>
      <c r="BL32" s="105"/>
      <c r="BM32" s="105"/>
      <c r="BN32" s="105"/>
      <c r="BO32" s="105"/>
      <c r="BP32" s="105"/>
      <c r="BQ32" s="105"/>
      <c r="BR32" s="105"/>
      <c r="BS32" s="105"/>
      <c r="BT32" s="105"/>
      <c r="BU32" s="105"/>
      <c r="BV32" s="105"/>
      <c r="BW32" s="105"/>
      <c r="BX32" s="105"/>
      <c r="BY32" s="105"/>
      <c r="BZ32" s="105"/>
      <c r="CA32" s="105"/>
      <c r="CB32" s="105"/>
      <c r="CC32" s="105"/>
      <c r="CD32" s="105"/>
      <c r="CE32" s="105"/>
      <c r="CF32" s="120"/>
      <c r="CG32" s="128"/>
      <c r="CH32" s="128"/>
      <c r="CI32" s="105"/>
      <c r="CJ32" s="105"/>
      <c r="CK32" s="105"/>
      <c r="CL32" s="105">
        <v>0.4</v>
      </c>
      <c r="CM32" s="105"/>
      <c r="CN32" s="105"/>
      <c r="CO32" s="105"/>
      <c r="CP32" s="105"/>
      <c r="CQ32" s="105"/>
      <c r="CR32" s="105"/>
      <c r="CS32" s="105"/>
      <c r="CT32" s="105"/>
      <c r="CU32" s="105"/>
      <c r="CV32" s="105"/>
      <c r="CW32" s="105"/>
      <c r="CX32" s="105"/>
      <c r="CY32" s="105"/>
      <c r="CZ32" s="105"/>
      <c r="DA32" s="105"/>
      <c r="DB32" s="105"/>
      <c r="DC32" s="105"/>
      <c r="DD32" s="125">
        <v>0.6</v>
      </c>
      <c r="DE32" s="125"/>
      <c r="DF32" s="105"/>
      <c r="DG32" s="105"/>
      <c r="DH32" s="105"/>
      <c r="DI32" s="105"/>
      <c r="DJ32" s="79">
        <f t="shared" si="5"/>
        <v>1</v>
      </c>
      <c r="DK32" s="108">
        <v>0.3</v>
      </c>
      <c r="DL32" s="108"/>
      <c r="DM32" s="108"/>
      <c r="DN32" s="108"/>
      <c r="DO32" s="108"/>
      <c r="DP32" s="108"/>
      <c r="DQ32" s="108"/>
      <c r="DR32" s="108"/>
      <c r="DS32" s="108">
        <v>0.5</v>
      </c>
      <c r="DT32" s="108"/>
      <c r="DU32" s="108"/>
      <c r="DV32" s="108"/>
      <c r="DW32" s="108"/>
      <c r="DX32" s="108"/>
      <c r="DY32" s="108"/>
      <c r="DZ32" s="108"/>
      <c r="EA32" s="108"/>
      <c r="EB32" s="108"/>
      <c r="EC32" s="108"/>
      <c r="ED32" s="108"/>
      <c r="EE32" s="108"/>
      <c r="EF32" s="108"/>
      <c r="EG32" s="108"/>
      <c r="EH32" s="129"/>
      <c r="EI32" s="129"/>
      <c r="EJ32" s="108"/>
      <c r="EK32" s="108"/>
      <c r="EL32" s="108"/>
      <c r="EM32" s="108"/>
      <c r="EN32" s="108"/>
      <c r="EO32" s="108"/>
      <c r="EP32" s="108"/>
      <c r="EQ32" s="108"/>
      <c r="ER32" s="108"/>
      <c r="ES32" s="106"/>
      <c r="ET32" s="106"/>
      <c r="EU32" s="106">
        <v>0.18</v>
      </c>
      <c r="EV32" s="106"/>
      <c r="EW32" s="106"/>
      <c r="EX32" s="106"/>
      <c r="EY32" s="106"/>
      <c r="EZ32" s="106"/>
      <c r="FA32" s="106"/>
      <c r="FB32" s="106"/>
      <c r="FC32" s="106"/>
      <c r="FD32" s="106"/>
      <c r="FE32" s="126"/>
      <c r="FF32" s="126"/>
      <c r="FG32" s="106"/>
      <c r="FH32" s="106"/>
      <c r="FI32" s="106"/>
      <c r="FJ32" s="106">
        <v>0.02</v>
      </c>
      <c r="FK32" s="17">
        <f t="shared" si="6"/>
        <v>1</v>
      </c>
      <c r="FL32" s="18"/>
      <c r="FM32" s="19">
        <f t="shared" si="119"/>
        <v>0.44999999999999996</v>
      </c>
      <c r="FN32" s="19">
        <f t="shared" si="120"/>
        <v>0</v>
      </c>
      <c r="FO32" s="19">
        <f t="shared" si="121"/>
        <v>0</v>
      </c>
      <c r="FP32" s="19">
        <f t="shared" si="122"/>
        <v>0</v>
      </c>
      <c r="FQ32" s="19">
        <f t="shared" si="123"/>
        <v>0</v>
      </c>
      <c r="FR32" s="19">
        <f t="shared" si="124"/>
        <v>0</v>
      </c>
      <c r="FS32" s="19">
        <f t="shared" si="125"/>
        <v>0</v>
      </c>
      <c r="FT32" s="19">
        <f t="shared" si="126"/>
        <v>0</v>
      </c>
      <c r="FU32" s="19">
        <f t="shared" si="127"/>
        <v>0.75</v>
      </c>
      <c r="FV32" s="19">
        <f t="shared" si="128"/>
        <v>0</v>
      </c>
      <c r="FW32" s="19">
        <f t="shared" si="129"/>
        <v>0</v>
      </c>
      <c r="FX32" s="19">
        <f t="shared" si="130"/>
        <v>0</v>
      </c>
      <c r="FY32" s="19">
        <f t="shared" si="131"/>
        <v>0</v>
      </c>
      <c r="FZ32" s="19">
        <f t="shared" si="132"/>
        <v>0</v>
      </c>
      <c r="GA32" s="19">
        <f t="shared" si="133"/>
        <v>0</v>
      </c>
      <c r="GB32" s="19">
        <f t="shared" si="134"/>
        <v>0</v>
      </c>
      <c r="GC32" s="19">
        <f t="shared" si="135"/>
        <v>0</v>
      </c>
      <c r="GD32" s="19">
        <f t="shared" si="136"/>
        <v>0</v>
      </c>
      <c r="GE32" s="19">
        <f t="shared" si="137"/>
        <v>0</v>
      </c>
      <c r="GF32" s="19">
        <f t="shared" si="138"/>
        <v>0</v>
      </c>
      <c r="GG32" s="19">
        <f t="shared" si="139"/>
        <v>0</v>
      </c>
      <c r="GH32" s="19">
        <f t="shared" si="140"/>
        <v>0</v>
      </c>
      <c r="GI32" s="19">
        <f t="shared" si="141"/>
        <v>0</v>
      </c>
      <c r="GJ32" s="19">
        <f t="shared" si="142"/>
        <v>0</v>
      </c>
      <c r="GK32" s="19">
        <f t="shared" si="143"/>
        <v>0</v>
      </c>
      <c r="GL32" s="19">
        <f t="shared" si="144"/>
        <v>0</v>
      </c>
      <c r="GM32" s="19">
        <f t="shared" si="145"/>
        <v>0</v>
      </c>
      <c r="GN32" s="19">
        <f t="shared" si="146"/>
        <v>0.60000000000000009</v>
      </c>
      <c r="GO32" s="19">
        <f t="shared" si="147"/>
        <v>0.8</v>
      </c>
      <c r="GP32" s="19">
        <f t="shared" si="148"/>
        <v>0</v>
      </c>
      <c r="GQ32" s="19">
        <f t="shared" si="149"/>
        <v>0</v>
      </c>
      <c r="GR32" s="19">
        <f t="shared" si="150"/>
        <v>0</v>
      </c>
      <c r="GS32" s="19">
        <f t="shared" si="151"/>
        <v>0</v>
      </c>
      <c r="GT32" s="19">
        <f t="shared" si="152"/>
        <v>0</v>
      </c>
      <c r="GU32" s="19">
        <f t="shared" si="153"/>
        <v>0</v>
      </c>
      <c r="GV32" s="19">
        <f t="shared" si="154"/>
        <v>0</v>
      </c>
      <c r="GW32" s="19">
        <f t="shared" si="155"/>
        <v>0.27</v>
      </c>
      <c r="GX32" s="19">
        <f t="shared" si="156"/>
        <v>0</v>
      </c>
      <c r="GY32" s="19">
        <f t="shared" si="157"/>
        <v>0</v>
      </c>
      <c r="GZ32" s="19">
        <f t="shared" si="158"/>
        <v>0</v>
      </c>
      <c r="HA32" s="19">
        <f t="shared" si="159"/>
        <v>0</v>
      </c>
      <c r="HB32" s="19">
        <f t="shared" si="160"/>
        <v>0</v>
      </c>
      <c r="HC32" s="19">
        <f t="shared" si="161"/>
        <v>0</v>
      </c>
      <c r="HD32" s="19">
        <f t="shared" si="162"/>
        <v>0</v>
      </c>
      <c r="HE32" s="19">
        <f t="shared" si="163"/>
        <v>0</v>
      </c>
      <c r="HF32" s="19">
        <f t="shared" si="164"/>
        <v>0</v>
      </c>
      <c r="HG32" s="19">
        <f t="shared" si="165"/>
        <v>2.0999999999999996</v>
      </c>
      <c r="HH32" s="19">
        <f t="shared" si="166"/>
        <v>0</v>
      </c>
      <c r="HI32" s="19">
        <f t="shared" si="167"/>
        <v>0</v>
      </c>
      <c r="HJ32" s="19">
        <f t="shared" si="168"/>
        <v>0</v>
      </c>
      <c r="HK32" s="19">
        <f t="shared" si="169"/>
        <v>0</v>
      </c>
      <c r="HL32" s="19">
        <f t="shared" si="170"/>
        <v>0.03</v>
      </c>
      <c r="HM32" s="20">
        <f t="shared" si="171"/>
        <v>5</v>
      </c>
      <c r="HN32" s="53">
        <v>1025</v>
      </c>
      <c r="HO32" s="21">
        <f t="shared" si="172"/>
        <v>92.249999999999986</v>
      </c>
      <c r="HP32" s="21">
        <f t="shared" si="173"/>
        <v>0</v>
      </c>
      <c r="HQ32" s="21">
        <f t="shared" si="174"/>
        <v>0</v>
      </c>
      <c r="HR32" s="21">
        <f t="shared" si="175"/>
        <v>0</v>
      </c>
      <c r="HS32" s="21">
        <f t="shared" si="176"/>
        <v>0</v>
      </c>
      <c r="HT32" s="69">
        <f t="shared" si="177"/>
        <v>0</v>
      </c>
      <c r="HU32" s="21">
        <f t="shared" si="178"/>
        <v>0</v>
      </c>
      <c r="HV32" s="21">
        <f t="shared" si="179"/>
        <v>0</v>
      </c>
      <c r="HW32" s="21">
        <f t="shared" si="180"/>
        <v>153.75</v>
      </c>
      <c r="HX32" s="21">
        <f t="shared" si="181"/>
        <v>0</v>
      </c>
      <c r="HY32" s="21">
        <f t="shared" si="182"/>
        <v>0</v>
      </c>
      <c r="HZ32" s="21">
        <f t="shared" si="183"/>
        <v>0</v>
      </c>
      <c r="IA32" s="21">
        <f t="shared" si="184"/>
        <v>0</v>
      </c>
      <c r="IB32" s="21">
        <f t="shared" si="185"/>
        <v>0</v>
      </c>
      <c r="IC32" s="21">
        <f t="shared" si="186"/>
        <v>0</v>
      </c>
      <c r="ID32" s="21">
        <f t="shared" si="187"/>
        <v>0</v>
      </c>
      <c r="IE32" s="21">
        <f t="shared" si="188"/>
        <v>0</v>
      </c>
      <c r="IF32" s="69">
        <f t="shared" si="189"/>
        <v>0</v>
      </c>
      <c r="IG32" s="69">
        <f t="shared" si="190"/>
        <v>0</v>
      </c>
      <c r="IH32" s="69">
        <f t="shared" si="191"/>
        <v>0</v>
      </c>
      <c r="II32" s="21">
        <f t="shared" si="192"/>
        <v>0</v>
      </c>
      <c r="IJ32" s="21">
        <f t="shared" si="193"/>
        <v>0</v>
      </c>
      <c r="IK32" s="21">
        <f t="shared" si="194"/>
        <v>0</v>
      </c>
      <c r="IL32" s="21">
        <f t="shared" si="195"/>
        <v>0</v>
      </c>
      <c r="IM32" s="21">
        <f t="shared" si="196"/>
        <v>0</v>
      </c>
      <c r="IN32" s="21">
        <f t="shared" si="197"/>
        <v>0</v>
      </c>
      <c r="IO32" s="21">
        <f t="shared" si="198"/>
        <v>0</v>
      </c>
      <c r="IP32" s="21">
        <f t="shared" si="199"/>
        <v>123.00000000000003</v>
      </c>
      <c r="IQ32" s="21">
        <f t="shared" si="200"/>
        <v>164</v>
      </c>
      <c r="IR32" s="21">
        <f t="shared" si="201"/>
        <v>0</v>
      </c>
      <c r="IS32" s="21">
        <f t="shared" si="202"/>
        <v>0</v>
      </c>
      <c r="IT32" s="21">
        <f t="shared" si="203"/>
        <v>0</v>
      </c>
      <c r="IU32" s="21">
        <f t="shared" si="204"/>
        <v>0</v>
      </c>
      <c r="IV32" s="21">
        <f t="shared" si="205"/>
        <v>0</v>
      </c>
      <c r="IW32" s="21">
        <f t="shared" si="206"/>
        <v>0</v>
      </c>
      <c r="IX32" s="21">
        <f t="shared" si="207"/>
        <v>0</v>
      </c>
      <c r="IY32" s="21">
        <f t="shared" si="208"/>
        <v>55.35</v>
      </c>
      <c r="IZ32" s="21">
        <f t="shared" si="209"/>
        <v>0</v>
      </c>
      <c r="JA32" s="21">
        <f t="shared" si="210"/>
        <v>0</v>
      </c>
      <c r="JB32" s="21">
        <f t="shared" si="211"/>
        <v>0</v>
      </c>
      <c r="JC32" s="21">
        <f t="shared" si="212"/>
        <v>0</v>
      </c>
      <c r="JD32" s="21">
        <f t="shared" si="213"/>
        <v>0</v>
      </c>
      <c r="JE32" s="21">
        <f t="shared" si="214"/>
        <v>0</v>
      </c>
      <c r="JF32" s="21">
        <f t="shared" si="215"/>
        <v>0</v>
      </c>
      <c r="JG32" s="21">
        <f t="shared" si="216"/>
        <v>0</v>
      </c>
      <c r="JH32" s="21">
        <f t="shared" si="217"/>
        <v>0</v>
      </c>
      <c r="JI32" s="21">
        <f t="shared" si="218"/>
        <v>430.49999999999989</v>
      </c>
      <c r="JJ32" s="21">
        <f t="shared" si="219"/>
        <v>0</v>
      </c>
      <c r="JK32" s="21">
        <f t="shared" si="220"/>
        <v>0</v>
      </c>
      <c r="JL32" s="21">
        <f t="shared" si="221"/>
        <v>0</v>
      </c>
      <c r="JM32" s="21">
        <f t="shared" si="222"/>
        <v>0</v>
      </c>
      <c r="JN32" s="21">
        <f t="shared" si="223"/>
        <v>6.15</v>
      </c>
      <c r="JO32" s="35">
        <f t="shared" si="110"/>
        <v>1025</v>
      </c>
      <c r="JP32" s="38">
        <f t="shared" si="111"/>
        <v>0</v>
      </c>
      <c r="JQ32" s="43">
        <f t="shared" si="224"/>
        <v>372.92062499999997</v>
      </c>
      <c r="JR32" s="43">
        <f t="shared" si="225"/>
        <v>0</v>
      </c>
      <c r="JS32" s="43">
        <f t="shared" si="226"/>
        <v>0</v>
      </c>
      <c r="JT32" s="43">
        <f t="shared" si="227"/>
        <v>0</v>
      </c>
      <c r="JU32" s="43">
        <f t="shared" si="228"/>
        <v>0</v>
      </c>
      <c r="JV32" s="43">
        <f t="shared" si="229"/>
        <v>0</v>
      </c>
      <c r="JW32" s="43">
        <f t="shared" si="230"/>
        <v>0</v>
      </c>
      <c r="JX32" s="43">
        <f t="shared" si="231"/>
        <v>0</v>
      </c>
      <c r="JY32" s="43">
        <f t="shared" si="232"/>
        <v>712.13310000000001</v>
      </c>
      <c r="JZ32" s="43">
        <f t="shared" si="233"/>
        <v>0</v>
      </c>
      <c r="KA32" s="43">
        <f t="shared" si="234"/>
        <v>0</v>
      </c>
      <c r="KB32" s="43">
        <f t="shared" si="235"/>
        <v>0</v>
      </c>
      <c r="KC32" s="43">
        <f t="shared" si="236"/>
        <v>0</v>
      </c>
      <c r="KD32" s="43">
        <f t="shared" si="237"/>
        <v>0</v>
      </c>
      <c r="KE32" s="43">
        <f t="shared" si="238"/>
        <v>0</v>
      </c>
      <c r="KF32" s="43">
        <f t="shared" si="239"/>
        <v>0</v>
      </c>
      <c r="KG32" s="43">
        <f t="shared" si="240"/>
        <v>0</v>
      </c>
      <c r="KH32" s="43">
        <f t="shared" si="241"/>
        <v>0</v>
      </c>
      <c r="KI32" s="43">
        <f t="shared" si="242"/>
        <v>0</v>
      </c>
      <c r="KJ32" s="43">
        <f t="shared" si="243"/>
        <v>0</v>
      </c>
      <c r="KK32" s="43">
        <f t="shared" si="244"/>
        <v>0</v>
      </c>
      <c r="KL32" s="43">
        <f t="shared" si="245"/>
        <v>0</v>
      </c>
      <c r="KM32" s="43">
        <f t="shared" si="246"/>
        <v>0</v>
      </c>
      <c r="KN32" s="43">
        <f t="shared" si="247"/>
        <v>0</v>
      </c>
      <c r="KO32" s="43">
        <f t="shared" si="248"/>
        <v>0</v>
      </c>
      <c r="KP32" s="43">
        <f t="shared" si="249"/>
        <v>0</v>
      </c>
      <c r="KQ32" s="43">
        <f t="shared" si="250"/>
        <v>0</v>
      </c>
      <c r="KR32" s="43">
        <f t="shared" si="251"/>
        <v>474.78000000000009</v>
      </c>
      <c r="KS32" s="43">
        <f t="shared" si="252"/>
        <v>560.77028234343436</v>
      </c>
      <c r="KT32" s="43">
        <f t="shared" si="253"/>
        <v>0</v>
      </c>
      <c r="KU32" s="43">
        <f t="shared" si="254"/>
        <v>0</v>
      </c>
      <c r="KV32" s="43">
        <f t="shared" si="255"/>
        <v>0</v>
      </c>
      <c r="KW32" s="43">
        <f t="shared" si="256"/>
        <v>0</v>
      </c>
      <c r="KX32" s="43">
        <f t="shared" si="257"/>
        <v>0</v>
      </c>
      <c r="KY32" s="43">
        <f t="shared" si="258"/>
        <v>0</v>
      </c>
      <c r="KZ32" s="43">
        <f t="shared" si="259"/>
        <v>0</v>
      </c>
      <c r="LA32" s="43">
        <f t="shared" si="260"/>
        <v>221.77859399999997</v>
      </c>
      <c r="LB32" s="43">
        <f t="shared" si="261"/>
        <v>0</v>
      </c>
      <c r="LC32" s="43">
        <f t="shared" si="262"/>
        <v>0</v>
      </c>
      <c r="LD32" s="43">
        <f t="shared" si="263"/>
        <v>0</v>
      </c>
      <c r="LE32" s="43">
        <f t="shared" si="264"/>
        <v>0</v>
      </c>
      <c r="LF32" s="43">
        <f t="shared" si="265"/>
        <v>0</v>
      </c>
      <c r="LG32" s="43">
        <f t="shared" si="266"/>
        <v>0</v>
      </c>
      <c r="LH32" s="43">
        <f t="shared" si="267"/>
        <v>0</v>
      </c>
      <c r="LI32" s="43">
        <f t="shared" si="268"/>
        <v>0</v>
      </c>
      <c r="LJ32" s="43">
        <f t="shared" si="269"/>
        <v>0</v>
      </c>
      <c r="LK32" s="43">
        <f t="shared" si="270"/>
        <v>1724.4753749999995</v>
      </c>
      <c r="LL32" s="43">
        <f t="shared" si="271"/>
        <v>0</v>
      </c>
      <c r="LM32" s="43">
        <f t="shared" si="272"/>
        <v>0</v>
      </c>
      <c r="LN32" s="43">
        <f t="shared" si="273"/>
        <v>0</v>
      </c>
      <c r="LO32" s="43">
        <f t="shared" si="274"/>
        <v>0</v>
      </c>
      <c r="LP32" s="43">
        <f t="shared" si="275"/>
        <v>51.967500000000001</v>
      </c>
      <c r="LQ32" s="28">
        <f t="shared" si="113"/>
        <v>4118.8254763434334</v>
      </c>
      <c r="LR32" s="65">
        <v>1000</v>
      </c>
      <c r="LS32" s="32">
        <f t="shared" si="114"/>
        <v>4.1188254763434333</v>
      </c>
      <c r="LT32" s="26">
        <f t="shared" si="115"/>
        <v>1.1253621520064025</v>
      </c>
      <c r="LU32" s="31">
        <f t="shared" si="116"/>
        <v>25</v>
      </c>
      <c r="LW32" s="42"/>
      <c r="MA32" s="32">
        <f t="shared" si="117"/>
        <v>4.0183663183838378</v>
      </c>
      <c r="MB32" s="26">
        <f t="shared" si="118"/>
        <v>1.0979142946403928</v>
      </c>
    </row>
    <row r="33" spans="1:340" ht="15.75" thickBot="1">
      <c r="A33" t="b">
        <f t="shared" si="3"/>
        <v>1</v>
      </c>
      <c r="B33" s="123" t="s">
        <v>163</v>
      </c>
      <c r="C33" s="39" t="s">
        <v>164</v>
      </c>
      <c r="D33"/>
      <c r="E33" s="97">
        <v>46034</v>
      </c>
      <c r="F33" t="s">
        <v>43</v>
      </c>
      <c r="G33" t="s">
        <v>20</v>
      </c>
      <c r="H33" t="s">
        <v>27</v>
      </c>
      <c r="I33" s="77"/>
      <c r="J33" s="77"/>
      <c r="K33" s="77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24"/>
      <c r="AG33" s="124"/>
      <c r="AH33" s="104"/>
      <c r="AI33" s="104"/>
      <c r="AJ33" s="22">
        <v>0.4</v>
      </c>
      <c r="AK33" s="22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24">
        <v>0.6</v>
      </c>
      <c r="BD33" s="124"/>
      <c r="BE33" s="104"/>
      <c r="BF33" s="104"/>
      <c r="BG33" s="104"/>
      <c r="BH33" s="104"/>
      <c r="BI33" s="78">
        <f t="shared" si="4"/>
        <v>1</v>
      </c>
      <c r="BJ33" s="105"/>
      <c r="BK33" s="105"/>
      <c r="BL33" s="105"/>
      <c r="BM33" s="105"/>
      <c r="BN33" s="105"/>
      <c r="BO33" s="105"/>
      <c r="BP33" s="105"/>
      <c r="BQ33" s="105"/>
      <c r="BR33" s="105"/>
      <c r="BS33" s="105"/>
      <c r="BT33" s="105"/>
      <c r="BU33" s="105"/>
      <c r="BV33" s="105"/>
      <c r="BW33" s="105"/>
      <c r="BX33" s="105"/>
      <c r="BY33" s="105"/>
      <c r="BZ33" s="105"/>
      <c r="CA33" s="105"/>
      <c r="CB33" s="105"/>
      <c r="CC33" s="105"/>
      <c r="CD33" s="105"/>
      <c r="CE33" s="105"/>
      <c r="CF33" s="120"/>
      <c r="CG33" s="128"/>
      <c r="CH33" s="128"/>
      <c r="CI33" s="105"/>
      <c r="CJ33" s="105"/>
      <c r="CK33" s="105"/>
      <c r="CL33" s="105">
        <v>0.4</v>
      </c>
      <c r="CM33" s="105"/>
      <c r="CN33" s="105"/>
      <c r="CO33" s="105"/>
      <c r="CP33" s="105"/>
      <c r="CQ33" s="105"/>
      <c r="CR33" s="105"/>
      <c r="CS33" s="105"/>
      <c r="CT33" s="105"/>
      <c r="CU33" s="105"/>
      <c r="CV33" s="105"/>
      <c r="CW33" s="105"/>
      <c r="CX33" s="105"/>
      <c r="CY33" s="105"/>
      <c r="CZ33" s="105"/>
      <c r="DA33" s="105"/>
      <c r="DB33" s="105"/>
      <c r="DC33" s="105"/>
      <c r="DD33" s="125">
        <v>0.6</v>
      </c>
      <c r="DE33" s="125"/>
      <c r="DF33" s="105"/>
      <c r="DG33" s="105"/>
      <c r="DH33" s="105"/>
      <c r="DI33" s="105"/>
      <c r="DJ33" s="79">
        <f t="shared" si="5"/>
        <v>1</v>
      </c>
      <c r="DK33" s="108">
        <v>0.3</v>
      </c>
      <c r="DL33" s="108"/>
      <c r="DM33" s="108"/>
      <c r="DN33" s="108"/>
      <c r="DO33" s="108"/>
      <c r="DP33" s="108"/>
      <c r="DQ33" s="108"/>
      <c r="DR33" s="108"/>
      <c r="DS33" s="108">
        <v>0.5</v>
      </c>
      <c r="DT33" s="108"/>
      <c r="DU33" s="108"/>
      <c r="DV33" s="108"/>
      <c r="DW33" s="108"/>
      <c r="DX33" s="108"/>
      <c r="DY33" s="108"/>
      <c r="DZ33" s="108"/>
      <c r="EA33" s="108"/>
      <c r="EB33" s="108"/>
      <c r="EC33" s="108"/>
      <c r="ED33" s="108"/>
      <c r="EE33" s="108"/>
      <c r="EF33" s="108"/>
      <c r="EG33" s="108"/>
      <c r="EH33" s="129"/>
      <c r="EI33" s="129"/>
      <c r="EJ33" s="108"/>
      <c r="EK33" s="108"/>
      <c r="EL33" s="108"/>
      <c r="EM33" s="108"/>
      <c r="EN33" s="108"/>
      <c r="EO33" s="108"/>
      <c r="EP33" s="108"/>
      <c r="EQ33" s="108"/>
      <c r="ER33" s="108"/>
      <c r="ES33" s="106"/>
      <c r="ET33" s="106"/>
      <c r="EU33" s="106">
        <v>0.18</v>
      </c>
      <c r="EV33" s="106"/>
      <c r="EW33" s="106"/>
      <c r="EX33" s="106"/>
      <c r="EY33" s="106"/>
      <c r="EZ33" s="106"/>
      <c r="FA33" s="106"/>
      <c r="FB33" s="106"/>
      <c r="FC33" s="106"/>
      <c r="FD33" s="106"/>
      <c r="FE33" s="126"/>
      <c r="FF33" s="126"/>
      <c r="FG33" s="106"/>
      <c r="FH33" s="106"/>
      <c r="FI33" s="106"/>
      <c r="FJ33" s="106">
        <v>0.02</v>
      </c>
      <c r="FK33" s="17">
        <f t="shared" si="6"/>
        <v>1</v>
      </c>
      <c r="FL33" s="18"/>
      <c r="FM33" s="19">
        <f t="shared" si="119"/>
        <v>0.44999999999999996</v>
      </c>
      <c r="FN33" s="19">
        <f t="shared" si="120"/>
        <v>0</v>
      </c>
      <c r="FO33" s="19">
        <f t="shared" si="121"/>
        <v>0</v>
      </c>
      <c r="FP33" s="19">
        <f t="shared" si="122"/>
        <v>0</v>
      </c>
      <c r="FQ33" s="19">
        <f t="shared" si="123"/>
        <v>0</v>
      </c>
      <c r="FR33" s="19">
        <f t="shared" si="124"/>
        <v>0</v>
      </c>
      <c r="FS33" s="19">
        <f t="shared" si="125"/>
        <v>0</v>
      </c>
      <c r="FT33" s="19">
        <f t="shared" si="126"/>
        <v>0</v>
      </c>
      <c r="FU33" s="19">
        <f t="shared" si="127"/>
        <v>0.75</v>
      </c>
      <c r="FV33" s="19">
        <f t="shared" si="128"/>
        <v>0</v>
      </c>
      <c r="FW33" s="19">
        <f t="shared" si="129"/>
        <v>0</v>
      </c>
      <c r="FX33" s="19">
        <f t="shared" si="130"/>
        <v>0</v>
      </c>
      <c r="FY33" s="19">
        <f t="shared" si="131"/>
        <v>0</v>
      </c>
      <c r="FZ33" s="19">
        <f t="shared" si="132"/>
        <v>0</v>
      </c>
      <c r="GA33" s="19">
        <f t="shared" si="133"/>
        <v>0</v>
      </c>
      <c r="GB33" s="19">
        <f t="shared" si="134"/>
        <v>0</v>
      </c>
      <c r="GC33" s="19">
        <f t="shared" si="135"/>
        <v>0</v>
      </c>
      <c r="GD33" s="19">
        <f t="shared" si="136"/>
        <v>0</v>
      </c>
      <c r="GE33" s="19">
        <f t="shared" si="137"/>
        <v>0</v>
      </c>
      <c r="GF33" s="19">
        <f t="shared" si="138"/>
        <v>0</v>
      </c>
      <c r="GG33" s="19">
        <f t="shared" si="139"/>
        <v>0</v>
      </c>
      <c r="GH33" s="19">
        <f t="shared" si="140"/>
        <v>0</v>
      </c>
      <c r="GI33" s="19">
        <f t="shared" si="141"/>
        <v>0</v>
      </c>
      <c r="GJ33" s="19">
        <f t="shared" si="142"/>
        <v>0</v>
      </c>
      <c r="GK33" s="19">
        <f t="shared" si="143"/>
        <v>0</v>
      </c>
      <c r="GL33" s="19">
        <f t="shared" si="144"/>
        <v>0</v>
      </c>
      <c r="GM33" s="19">
        <f t="shared" si="145"/>
        <v>0</v>
      </c>
      <c r="GN33" s="19">
        <f t="shared" si="146"/>
        <v>0.60000000000000009</v>
      </c>
      <c r="GO33" s="19">
        <f t="shared" si="147"/>
        <v>0.8</v>
      </c>
      <c r="GP33" s="19">
        <f t="shared" si="148"/>
        <v>0</v>
      </c>
      <c r="GQ33" s="19">
        <f t="shared" si="149"/>
        <v>0</v>
      </c>
      <c r="GR33" s="19">
        <f t="shared" si="150"/>
        <v>0</v>
      </c>
      <c r="GS33" s="19">
        <f t="shared" si="151"/>
        <v>0</v>
      </c>
      <c r="GT33" s="19">
        <f t="shared" si="152"/>
        <v>0</v>
      </c>
      <c r="GU33" s="19">
        <f t="shared" si="153"/>
        <v>0</v>
      </c>
      <c r="GV33" s="19">
        <f t="shared" si="154"/>
        <v>0</v>
      </c>
      <c r="GW33" s="19">
        <f t="shared" si="155"/>
        <v>0.27</v>
      </c>
      <c r="GX33" s="19">
        <f t="shared" si="156"/>
        <v>0</v>
      </c>
      <c r="GY33" s="19">
        <f t="shared" si="157"/>
        <v>0</v>
      </c>
      <c r="GZ33" s="19">
        <f t="shared" si="158"/>
        <v>0</v>
      </c>
      <c r="HA33" s="19">
        <f t="shared" si="159"/>
        <v>0</v>
      </c>
      <c r="HB33" s="19">
        <f t="shared" si="160"/>
        <v>0</v>
      </c>
      <c r="HC33" s="19">
        <f t="shared" si="161"/>
        <v>0</v>
      </c>
      <c r="HD33" s="19">
        <f t="shared" si="162"/>
        <v>0</v>
      </c>
      <c r="HE33" s="19">
        <f t="shared" si="163"/>
        <v>0</v>
      </c>
      <c r="HF33" s="19">
        <f t="shared" si="164"/>
        <v>0</v>
      </c>
      <c r="HG33" s="19">
        <f t="shared" si="165"/>
        <v>2.0999999999999996</v>
      </c>
      <c r="HH33" s="19">
        <f t="shared" si="166"/>
        <v>0</v>
      </c>
      <c r="HI33" s="19">
        <f t="shared" si="167"/>
        <v>0</v>
      </c>
      <c r="HJ33" s="19">
        <f t="shared" si="168"/>
        <v>0</v>
      </c>
      <c r="HK33" s="19">
        <f t="shared" si="169"/>
        <v>0</v>
      </c>
      <c r="HL33" s="19">
        <f t="shared" si="170"/>
        <v>0.03</v>
      </c>
      <c r="HM33" s="20">
        <f t="shared" si="171"/>
        <v>5</v>
      </c>
      <c r="HN33" s="53">
        <v>653</v>
      </c>
      <c r="HO33" s="21">
        <f t="shared" si="172"/>
        <v>58.769999999999996</v>
      </c>
      <c r="HP33" s="21">
        <f t="shared" si="173"/>
        <v>0</v>
      </c>
      <c r="HQ33" s="21">
        <f t="shared" si="174"/>
        <v>0</v>
      </c>
      <c r="HR33" s="21">
        <f t="shared" si="175"/>
        <v>0</v>
      </c>
      <c r="HS33" s="21">
        <f t="shared" si="176"/>
        <v>0</v>
      </c>
      <c r="HT33" s="69">
        <f t="shared" si="177"/>
        <v>0</v>
      </c>
      <c r="HU33" s="21">
        <f t="shared" si="178"/>
        <v>0</v>
      </c>
      <c r="HV33" s="21">
        <f t="shared" si="179"/>
        <v>0</v>
      </c>
      <c r="HW33" s="21">
        <f t="shared" si="180"/>
        <v>97.95</v>
      </c>
      <c r="HX33" s="21">
        <f t="shared" si="181"/>
        <v>0</v>
      </c>
      <c r="HY33" s="21">
        <f t="shared" si="182"/>
        <v>0</v>
      </c>
      <c r="HZ33" s="21">
        <f t="shared" si="183"/>
        <v>0</v>
      </c>
      <c r="IA33" s="21">
        <f t="shared" si="184"/>
        <v>0</v>
      </c>
      <c r="IB33" s="21">
        <f t="shared" si="185"/>
        <v>0</v>
      </c>
      <c r="IC33" s="21">
        <f t="shared" si="186"/>
        <v>0</v>
      </c>
      <c r="ID33" s="21">
        <f t="shared" si="187"/>
        <v>0</v>
      </c>
      <c r="IE33" s="21">
        <f t="shared" si="188"/>
        <v>0</v>
      </c>
      <c r="IF33" s="69">
        <f t="shared" si="189"/>
        <v>0</v>
      </c>
      <c r="IG33" s="69">
        <f t="shared" si="190"/>
        <v>0</v>
      </c>
      <c r="IH33" s="69">
        <f t="shared" si="191"/>
        <v>0</v>
      </c>
      <c r="II33" s="21">
        <f t="shared" si="192"/>
        <v>0</v>
      </c>
      <c r="IJ33" s="21">
        <f t="shared" si="193"/>
        <v>0</v>
      </c>
      <c r="IK33" s="21">
        <f t="shared" si="194"/>
        <v>0</v>
      </c>
      <c r="IL33" s="21">
        <f t="shared" si="195"/>
        <v>0</v>
      </c>
      <c r="IM33" s="21">
        <f t="shared" si="196"/>
        <v>0</v>
      </c>
      <c r="IN33" s="21">
        <f t="shared" si="197"/>
        <v>0</v>
      </c>
      <c r="IO33" s="21">
        <f t="shared" si="198"/>
        <v>0</v>
      </c>
      <c r="IP33" s="21">
        <f t="shared" si="199"/>
        <v>78.360000000000014</v>
      </c>
      <c r="IQ33" s="21">
        <f t="shared" si="200"/>
        <v>104.47999999999999</v>
      </c>
      <c r="IR33" s="21">
        <f t="shared" si="201"/>
        <v>0</v>
      </c>
      <c r="IS33" s="21">
        <f t="shared" si="202"/>
        <v>0</v>
      </c>
      <c r="IT33" s="21">
        <f t="shared" si="203"/>
        <v>0</v>
      </c>
      <c r="IU33" s="21">
        <f t="shared" si="204"/>
        <v>0</v>
      </c>
      <c r="IV33" s="21">
        <f t="shared" si="205"/>
        <v>0</v>
      </c>
      <c r="IW33" s="21">
        <f t="shared" si="206"/>
        <v>0</v>
      </c>
      <c r="IX33" s="21">
        <f t="shared" si="207"/>
        <v>0</v>
      </c>
      <c r="IY33" s="21">
        <f t="shared" si="208"/>
        <v>35.262</v>
      </c>
      <c r="IZ33" s="21">
        <f t="shared" si="209"/>
        <v>0</v>
      </c>
      <c r="JA33" s="21">
        <f t="shared" si="210"/>
        <v>0</v>
      </c>
      <c r="JB33" s="21">
        <f t="shared" si="211"/>
        <v>0</v>
      </c>
      <c r="JC33" s="21">
        <f t="shared" si="212"/>
        <v>0</v>
      </c>
      <c r="JD33" s="21">
        <f t="shared" si="213"/>
        <v>0</v>
      </c>
      <c r="JE33" s="21">
        <f t="shared" si="214"/>
        <v>0</v>
      </c>
      <c r="JF33" s="21">
        <f t="shared" si="215"/>
        <v>0</v>
      </c>
      <c r="JG33" s="21">
        <f t="shared" si="216"/>
        <v>0</v>
      </c>
      <c r="JH33" s="21">
        <f t="shared" si="217"/>
        <v>0</v>
      </c>
      <c r="JI33" s="21">
        <f t="shared" si="218"/>
        <v>274.25999999999993</v>
      </c>
      <c r="JJ33" s="21">
        <f t="shared" si="219"/>
        <v>0</v>
      </c>
      <c r="JK33" s="21">
        <f t="shared" si="220"/>
        <v>0</v>
      </c>
      <c r="JL33" s="21">
        <f t="shared" si="221"/>
        <v>0</v>
      </c>
      <c r="JM33" s="21">
        <f t="shared" si="222"/>
        <v>0</v>
      </c>
      <c r="JN33" s="21">
        <f t="shared" si="223"/>
        <v>3.9180000000000001</v>
      </c>
      <c r="JO33" s="35">
        <f t="shared" si="110"/>
        <v>652.99999999999989</v>
      </c>
      <c r="JP33" s="38">
        <f t="shared" si="111"/>
        <v>0</v>
      </c>
      <c r="JQ33" s="43">
        <f t="shared" si="224"/>
        <v>237.57772500000002</v>
      </c>
      <c r="JR33" s="43">
        <f t="shared" si="225"/>
        <v>0</v>
      </c>
      <c r="JS33" s="43">
        <f t="shared" si="226"/>
        <v>0</v>
      </c>
      <c r="JT33" s="43">
        <f t="shared" si="227"/>
        <v>0</v>
      </c>
      <c r="JU33" s="43">
        <f t="shared" si="228"/>
        <v>0</v>
      </c>
      <c r="JV33" s="43">
        <f t="shared" si="229"/>
        <v>0</v>
      </c>
      <c r="JW33" s="43">
        <f t="shared" si="230"/>
        <v>0</v>
      </c>
      <c r="JX33" s="43">
        <f t="shared" si="231"/>
        <v>0</v>
      </c>
      <c r="JY33" s="43">
        <f t="shared" si="232"/>
        <v>453.68089200000003</v>
      </c>
      <c r="JZ33" s="43">
        <f t="shared" si="233"/>
        <v>0</v>
      </c>
      <c r="KA33" s="43">
        <f t="shared" si="234"/>
        <v>0</v>
      </c>
      <c r="KB33" s="43">
        <f t="shared" si="235"/>
        <v>0</v>
      </c>
      <c r="KC33" s="43">
        <f t="shared" si="236"/>
        <v>0</v>
      </c>
      <c r="KD33" s="43">
        <f t="shared" si="237"/>
        <v>0</v>
      </c>
      <c r="KE33" s="43">
        <f t="shared" si="238"/>
        <v>0</v>
      </c>
      <c r="KF33" s="43">
        <f t="shared" si="239"/>
        <v>0</v>
      </c>
      <c r="KG33" s="43">
        <f t="shared" si="240"/>
        <v>0</v>
      </c>
      <c r="KH33" s="43">
        <f t="shared" si="241"/>
        <v>0</v>
      </c>
      <c r="KI33" s="43">
        <f t="shared" si="242"/>
        <v>0</v>
      </c>
      <c r="KJ33" s="43">
        <f t="shared" si="243"/>
        <v>0</v>
      </c>
      <c r="KK33" s="43">
        <f t="shared" si="244"/>
        <v>0</v>
      </c>
      <c r="KL33" s="43">
        <f t="shared" si="245"/>
        <v>0</v>
      </c>
      <c r="KM33" s="43">
        <f t="shared" si="246"/>
        <v>0</v>
      </c>
      <c r="KN33" s="43">
        <f t="shared" si="247"/>
        <v>0</v>
      </c>
      <c r="KO33" s="43">
        <f t="shared" si="248"/>
        <v>0</v>
      </c>
      <c r="KP33" s="43">
        <f t="shared" si="249"/>
        <v>0</v>
      </c>
      <c r="KQ33" s="43">
        <f t="shared" si="250"/>
        <v>0</v>
      </c>
      <c r="KR33" s="43">
        <f t="shared" si="251"/>
        <v>302.46960000000007</v>
      </c>
      <c r="KS33" s="43">
        <f t="shared" si="252"/>
        <v>357.25170182464643</v>
      </c>
      <c r="KT33" s="43">
        <f t="shared" si="253"/>
        <v>0</v>
      </c>
      <c r="KU33" s="43">
        <f t="shared" si="254"/>
        <v>0</v>
      </c>
      <c r="KV33" s="43">
        <f t="shared" si="255"/>
        <v>0</v>
      </c>
      <c r="KW33" s="43">
        <f t="shared" si="256"/>
        <v>0</v>
      </c>
      <c r="KX33" s="43">
        <f t="shared" si="257"/>
        <v>0</v>
      </c>
      <c r="KY33" s="43">
        <f t="shared" si="258"/>
        <v>0</v>
      </c>
      <c r="KZ33" s="43">
        <f t="shared" si="259"/>
        <v>0</v>
      </c>
      <c r="LA33" s="43">
        <f t="shared" si="260"/>
        <v>141.28919207999999</v>
      </c>
      <c r="LB33" s="43">
        <f t="shared" si="261"/>
        <v>0</v>
      </c>
      <c r="LC33" s="43">
        <f t="shared" si="262"/>
        <v>0</v>
      </c>
      <c r="LD33" s="43">
        <f t="shared" si="263"/>
        <v>0</v>
      </c>
      <c r="LE33" s="43">
        <f t="shared" si="264"/>
        <v>0</v>
      </c>
      <c r="LF33" s="43">
        <f t="shared" si="265"/>
        <v>0</v>
      </c>
      <c r="LG33" s="43">
        <f t="shared" si="266"/>
        <v>0</v>
      </c>
      <c r="LH33" s="43">
        <f t="shared" si="267"/>
        <v>0</v>
      </c>
      <c r="LI33" s="43">
        <f t="shared" si="268"/>
        <v>0</v>
      </c>
      <c r="LJ33" s="43">
        <f t="shared" si="269"/>
        <v>0</v>
      </c>
      <c r="LK33" s="43">
        <f t="shared" si="270"/>
        <v>1098.6169949999996</v>
      </c>
      <c r="LL33" s="43">
        <f t="shared" si="271"/>
        <v>0</v>
      </c>
      <c r="LM33" s="43">
        <f t="shared" si="272"/>
        <v>0</v>
      </c>
      <c r="LN33" s="43">
        <f t="shared" si="273"/>
        <v>0</v>
      </c>
      <c r="LO33" s="43">
        <f t="shared" si="274"/>
        <v>0</v>
      </c>
      <c r="LP33" s="43">
        <f t="shared" si="275"/>
        <v>33.107099999999996</v>
      </c>
      <c r="LQ33" s="28">
        <f t="shared" si="113"/>
        <v>2623.9932059046464</v>
      </c>
      <c r="LR33" s="65">
        <v>610</v>
      </c>
      <c r="LS33" s="32">
        <f t="shared" si="114"/>
        <v>4.3016282064010598</v>
      </c>
      <c r="LT33" s="26">
        <f t="shared" si="115"/>
        <v>1.1753082531150436</v>
      </c>
      <c r="LU33" s="31">
        <f t="shared" si="116"/>
        <v>43</v>
      </c>
      <c r="LW33" s="42"/>
      <c r="MA33" s="32">
        <f t="shared" si="117"/>
        <v>4.0183663183838387</v>
      </c>
      <c r="MB33" s="26">
        <f t="shared" si="118"/>
        <v>1.097914294640393</v>
      </c>
    </row>
    <row r="34" spans="1:340" ht="15.75" thickBot="1">
      <c r="A34" t="b">
        <f t="shared" si="3"/>
        <v>1</v>
      </c>
      <c r="B34" s="123" t="s">
        <v>165</v>
      </c>
      <c r="C34" s="39" t="s">
        <v>87</v>
      </c>
      <c r="D34"/>
      <c r="E34" s="97">
        <v>46035</v>
      </c>
      <c r="F34" t="s">
        <v>43</v>
      </c>
      <c r="G34" t="s">
        <v>20</v>
      </c>
      <c r="H34" t="s">
        <v>27</v>
      </c>
      <c r="I34" s="77"/>
      <c r="J34" s="77"/>
      <c r="K34" s="77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24"/>
      <c r="AG34" s="124"/>
      <c r="AH34" s="104"/>
      <c r="AI34" s="104"/>
      <c r="AJ34" s="22">
        <v>0.4</v>
      </c>
      <c r="AK34" s="22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24">
        <v>0.6</v>
      </c>
      <c r="BD34" s="124"/>
      <c r="BE34" s="104"/>
      <c r="BF34" s="104"/>
      <c r="BG34" s="104"/>
      <c r="BH34" s="104"/>
      <c r="BI34" s="78">
        <f t="shared" si="4"/>
        <v>1</v>
      </c>
      <c r="BJ34" s="105"/>
      <c r="BK34" s="105"/>
      <c r="BL34" s="105"/>
      <c r="BM34" s="105"/>
      <c r="BN34" s="105"/>
      <c r="BO34" s="105"/>
      <c r="BP34" s="105"/>
      <c r="BQ34" s="105"/>
      <c r="BR34" s="105"/>
      <c r="BS34" s="105"/>
      <c r="BT34" s="105"/>
      <c r="BU34" s="105"/>
      <c r="BV34" s="105"/>
      <c r="BW34" s="105"/>
      <c r="BX34" s="105"/>
      <c r="BY34" s="105"/>
      <c r="BZ34" s="105"/>
      <c r="CA34" s="105"/>
      <c r="CB34" s="105"/>
      <c r="CC34" s="105"/>
      <c r="CD34" s="105"/>
      <c r="CE34" s="105"/>
      <c r="CF34" s="120"/>
      <c r="CG34" s="128"/>
      <c r="CH34" s="128"/>
      <c r="CI34" s="105"/>
      <c r="CJ34" s="105"/>
      <c r="CK34" s="105"/>
      <c r="CL34" s="105">
        <v>0.4</v>
      </c>
      <c r="CM34" s="105"/>
      <c r="CN34" s="105"/>
      <c r="CO34" s="105"/>
      <c r="CP34" s="105"/>
      <c r="CQ34" s="105"/>
      <c r="CR34" s="105"/>
      <c r="CS34" s="105"/>
      <c r="CT34" s="105"/>
      <c r="CU34" s="105"/>
      <c r="CV34" s="105"/>
      <c r="CW34" s="105"/>
      <c r="CX34" s="105"/>
      <c r="CY34" s="105"/>
      <c r="CZ34" s="105"/>
      <c r="DA34" s="105"/>
      <c r="DB34" s="105"/>
      <c r="DC34" s="105"/>
      <c r="DD34" s="125">
        <v>0.6</v>
      </c>
      <c r="DE34" s="125"/>
      <c r="DF34" s="105"/>
      <c r="DG34" s="105"/>
      <c r="DH34" s="105"/>
      <c r="DI34" s="105"/>
      <c r="DJ34" s="79">
        <f t="shared" si="5"/>
        <v>1</v>
      </c>
      <c r="DK34" s="108">
        <v>0.3</v>
      </c>
      <c r="DL34" s="108"/>
      <c r="DM34" s="108"/>
      <c r="DN34" s="108"/>
      <c r="DO34" s="108"/>
      <c r="DP34" s="108"/>
      <c r="DQ34" s="108"/>
      <c r="DR34" s="108"/>
      <c r="DS34" s="108">
        <v>0.5</v>
      </c>
      <c r="DT34" s="108"/>
      <c r="DU34" s="108"/>
      <c r="DV34" s="108"/>
      <c r="DW34" s="108"/>
      <c r="DX34" s="108"/>
      <c r="DY34" s="108"/>
      <c r="DZ34" s="108"/>
      <c r="EA34" s="108"/>
      <c r="EB34" s="108"/>
      <c r="EC34" s="108"/>
      <c r="ED34" s="108"/>
      <c r="EE34" s="108"/>
      <c r="EF34" s="108"/>
      <c r="EG34" s="108"/>
      <c r="EH34" s="129"/>
      <c r="EI34" s="129"/>
      <c r="EJ34" s="108"/>
      <c r="EK34" s="108"/>
      <c r="EL34" s="108"/>
      <c r="EM34" s="108"/>
      <c r="EN34" s="108"/>
      <c r="EO34" s="108"/>
      <c r="EP34" s="108"/>
      <c r="EQ34" s="108"/>
      <c r="ER34" s="108"/>
      <c r="ES34" s="106"/>
      <c r="ET34" s="106"/>
      <c r="EU34" s="106">
        <v>0.18</v>
      </c>
      <c r="EV34" s="106"/>
      <c r="EW34" s="106"/>
      <c r="EX34" s="106"/>
      <c r="EY34" s="106"/>
      <c r="EZ34" s="106"/>
      <c r="FA34" s="106"/>
      <c r="FB34" s="106"/>
      <c r="FC34" s="106"/>
      <c r="FD34" s="106"/>
      <c r="FE34" s="126"/>
      <c r="FF34" s="126"/>
      <c r="FG34" s="106"/>
      <c r="FH34" s="106"/>
      <c r="FI34" s="106"/>
      <c r="FJ34" s="106">
        <v>0.02</v>
      </c>
      <c r="FK34" s="17">
        <f t="shared" si="6"/>
        <v>1</v>
      </c>
      <c r="FL34" s="18"/>
      <c r="FM34" s="19">
        <f t="shared" si="119"/>
        <v>0.44999999999999996</v>
      </c>
      <c r="FN34" s="19">
        <f t="shared" si="120"/>
        <v>0</v>
      </c>
      <c r="FO34" s="19">
        <f t="shared" si="121"/>
        <v>0</v>
      </c>
      <c r="FP34" s="19">
        <f t="shared" si="122"/>
        <v>0</v>
      </c>
      <c r="FQ34" s="19">
        <f t="shared" si="123"/>
        <v>0</v>
      </c>
      <c r="FR34" s="19">
        <f t="shared" si="124"/>
        <v>0</v>
      </c>
      <c r="FS34" s="19">
        <f t="shared" si="125"/>
        <v>0</v>
      </c>
      <c r="FT34" s="19">
        <f t="shared" si="126"/>
        <v>0</v>
      </c>
      <c r="FU34" s="19">
        <f t="shared" si="127"/>
        <v>0.75</v>
      </c>
      <c r="FV34" s="19">
        <f t="shared" si="128"/>
        <v>0</v>
      </c>
      <c r="FW34" s="19">
        <f t="shared" si="129"/>
        <v>0</v>
      </c>
      <c r="FX34" s="19">
        <f t="shared" si="130"/>
        <v>0</v>
      </c>
      <c r="FY34" s="19">
        <f t="shared" si="131"/>
        <v>0</v>
      </c>
      <c r="FZ34" s="19">
        <f t="shared" si="132"/>
        <v>0</v>
      </c>
      <c r="GA34" s="19">
        <f t="shared" si="133"/>
        <v>0</v>
      </c>
      <c r="GB34" s="19">
        <f t="shared" si="134"/>
        <v>0</v>
      </c>
      <c r="GC34" s="19">
        <f t="shared" si="135"/>
        <v>0</v>
      </c>
      <c r="GD34" s="19">
        <f t="shared" si="136"/>
        <v>0</v>
      </c>
      <c r="GE34" s="19">
        <f t="shared" si="137"/>
        <v>0</v>
      </c>
      <c r="GF34" s="19">
        <f t="shared" si="138"/>
        <v>0</v>
      </c>
      <c r="GG34" s="19">
        <f t="shared" si="139"/>
        <v>0</v>
      </c>
      <c r="GH34" s="19">
        <f t="shared" si="140"/>
        <v>0</v>
      </c>
      <c r="GI34" s="19">
        <f t="shared" si="141"/>
        <v>0</v>
      </c>
      <c r="GJ34" s="19">
        <f t="shared" si="142"/>
        <v>0</v>
      </c>
      <c r="GK34" s="19">
        <f t="shared" si="143"/>
        <v>0</v>
      </c>
      <c r="GL34" s="19">
        <f t="shared" si="144"/>
        <v>0</v>
      </c>
      <c r="GM34" s="19">
        <f t="shared" si="145"/>
        <v>0</v>
      </c>
      <c r="GN34" s="19">
        <f t="shared" si="146"/>
        <v>0.60000000000000009</v>
      </c>
      <c r="GO34" s="19">
        <f t="shared" si="147"/>
        <v>0.8</v>
      </c>
      <c r="GP34" s="19">
        <f t="shared" si="148"/>
        <v>0</v>
      </c>
      <c r="GQ34" s="19">
        <f t="shared" si="149"/>
        <v>0</v>
      </c>
      <c r="GR34" s="19">
        <f t="shared" si="150"/>
        <v>0</v>
      </c>
      <c r="GS34" s="19">
        <f t="shared" si="151"/>
        <v>0</v>
      </c>
      <c r="GT34" s="19">
        <f t="shared" si="152"/>
        <v>0</v>
      </c>
      <c r="GU34" s="19">
        <f t="shared" si="153"/>
        <v>0</v>
      </c>
      <c r="GV34" s="19">
        <f t="shared" si="154"/>
        <v>0</v>
      </c>
      <c r="GW34" s="19">
        <f t="shared" si="155"/>
        <v>0.27</v>
      </c>
      <c r="GX34" s="19">
        <f t="shared" si="156"/>
        <v>0</v>
      </c>
      <c r="GY34" s="19">
        <f t="shared" si="157"/>
        <v>0</v>
      </c>
      <c r="GZ34" s="19">
        <f t="shared" si="158"/>
        <v>0</v>
      </c>
      <c r="HA34" s="19">
        <f t="shared" si="159"/>
        <v>0</v>
      </c>
      <c r="HB34" s="19">
        <f t="shared" si="160"/>
        <v>0</v>
      </c>
      <c r="HC34" s="19">
        <f t="shared" si="161"/>
        <v>0</v>
      </c>
      <c r="HD34" s="19">
        <f t="shared" si="162"/>
        <v>0</v>
      </c>
      <c r="HE34" s="19">
        <f t="shared" si="163"/>
        <v>0</v>
      </c>
      <c r="HF34" s="19">
        <f t="shared" si="164"/>
        <v>0</v>
      </c>
      <c r="HG34" s="19">
        <f t="shared" si="165"/>
        <v>2.0999999999999996</v>
      </c>
      <c r="HH34" s="19">
        <f t="shared" si="166"/>
        <v>0</v>
      </c>
      <c r="HI34" s="19">
        <f t="shared" si="167"/>
        <v>0</v>
      </c>
      <c r="HJ34" s="19">
        <f t="shared" si="168"/>
        <v>0</v>
      </c>
      <c r="HK34" s="19">
        <f t="shared" si="169"/>
        <v>0</v>
      </c>
      <c r="HL34" s="19">
        <f t="shared" si="170"/>
        <v>0.03</v>
      </c>
      <c r="HM34" s="20">
        <f t="shared" si="171"/>
        <v>5</v>
      </c>
      <c r="HN34" s="53">
        <v>354</v>
      </c>
      <c r="HO34" s="21">
        <f t="shared" si="172"/>
        <v>31.859999999999996</v>
      </c>
      <c r="HP34" s="21">
        <f t="shared" si="173"/>
        <v>0</v>
      </c>
      <c r="HQ34" s="21">
        <f t="shared" si="174"/>
        <v>0</v>
      </c>
      <c r="HR34" s="21">
        <f t="shared" si="175"/>
        <v>0</v>
      </c>
      <c r="HS34" s="21">
        <f t="shared" si="176"/>
        <v>0</v>
      </c>
      <c r="HT34" s="69">
        <f t="shared" si="177"/>
        <v>0</v>
      </c>
      <c r="HU34" s="21">
        <f t="shared" si="178"/>
        <v>0</v>
      </c>
      <c r="HV34" s="21">
        <f t="shared" si="179"/>
        <v>0</v>
      </c>
      <c r="HW34" s="21">
        <f t="shared" si="180"/>
        <v>53.1</v>
      </c>
      <c r="HX34" s="21">
        <f t="shared" si="181"/>
        <v>0</v>
      </c>
      <c r="HY34" s="21">
        <f t="shared" si="182"/>
        <v>0</v>
      </c>
      <c r="HZ34" s="21">
        <f t="shared" si="183"/>
        <v>0</v>
      </c>
      <c r="IA34" s="21">
        <f t="shared" si="184"/>
        <v>0</v>
      </c>
      <c r="IB34" s="21">
        <f t="shared" si="185"/>
        <v>0</v>
      </c>
      <c r="IC34" s="21">
        <f t="shared" si="186"/>
        <v>0</v>
      </c>
      <c r="ID34" s="21">
        <f t="shared" si="187"/>
        <v>0</v>
      </c>
      <c r="IE34" s="21">
        <f t="shared" si="188"/>
        <v>0</v>
      </c>
      <c r="IF34" s="69">
        <f t="shared" si="189"/>
        <v>0</v>
      </c>
      <c r="IG34" s="69">
        <f t="shared" si="190"/>
        <v>0</v>
      </c>
      <c r="IH34" s="69">
        <f t="shared" si="191"/>
        <v>0</v>
      </c>
      <c r="II34" s="21">
        <f t="shared" si="192"/>
        <v>0</v>
      </c>
      <c r="IJ34" s="21">
        <f t="shared" si="193"/>
        <v>0</v>
      </c>
      <c r="IK34" s="21">
        <f t="shared" si="194"/>
        <v>0</v>
      </c>
      <c r="IL34" s="21">
        <f t="shared" si="195"/>
        <v>0</v>
      </c>
      <c r="IM34" s="21">
        <f t="shared" si="196"/>
        <v>0</v>
      </c>
      <c r="IN34" s="21">
        <f t="shared" si="197"/>
        <v>0</v>
      </c>
      <c r="IO34" s="21">
        <f t="shared" si="198"/>
        <v>0</v>
      </c>
      <c r="IP34" s="21">
        <f t="shared" si="199"/>
        <v>42.480000000000004</v>
      </c>
      <c r="IQ34" s="21">
        <f t="shared" si="200"/>
        <v>56.64</v>
      </c>
      <c r="IR34" s="21">
        <f t="shared" si="201"/>
        <v>0</v>
      </c>
      <c r="IS34" s="21">
        <f t="shared" si="202"/>
        <v>0</v>
      </c>
      <c r="IT34" s="21">
        <f t="shared" si="203"/>
        <v>0</v>
      </c>
      <c r="IU34" s="21">
        <f t="shared" si="204"/>
        <v>0</v>
      </c>
      <c r="IV34" s="21">
        <f t="shared" si="205"/>
        <v>0</v>
      </c>
      <c r="IW34" s="21">
        <f t="shared" si="206"/>
        <v>0</v>
      </c>
      <c r="IX34" s="21">
        <f t="shared" si="207"/>
        <v>0</v>
      </c>
      <c r="IY34" s="21">
        <f t="shared" si="208"/>
        <v>19.116000000000003</v>
      </c>
      <c r="IZ34" s="21">
        <f t="shared" si="209"/>
        <v>0</v>
      </c>
      <c r="JA34" s="21">
        <f t="shared" si="210"/>
        <v>0</v>
      </c>
      <c r="JB34" s="21">
        <f t="shared" si="211"/>
        <v>0</v>
      </c>
      <c r="JC34" s="21">
        <f t="shared" si="212"/>
        <v>0</v>
      </c>
      <c r="JD34" s="21">
        <f t="shared" si="213"/>
        <v>0</v>
      </c>
      <c r="JE34" s="21">
        <f t="shared" si="214"/>
        <v>0</v>
      </c>
      <c r="JF34" s="21">
        <f t="shared" si="215"/>
        <v>0</v>
      </c>
      <c r="JG34" s="21">
        <f t="shared" si="216"/>
        <v>0</v>
      </c>
      <c r="JH34" s="21">
        <f t="shared" si="217"/>
        <v>0</v>
      </c>
      <c r="JI34" s="21">
        <f t="shared" si="218"/>
        <v>148.67999999999998</v>
      </c>
      <c r="JJ34" s="21">
        <f t="shared" si="219"/>
        <v>0</v>
      </c>
      <c r="JK34" s="21">
        <f t="shared" si="220"/>
        <v>0</v>
      </c>
      <c r="JL34" s="21">
        <f t="shared" si="221"/>
        <v>0</v>
      </c>
      <c r="JM34" s="21">
        <f t="shared" si="222"/>
        <v>0</v>
      </c>
      <c r="JN34" s="21">
        <f t="shared" si="223"/>
        <v>2.1239999999999997</v>
      </c>
      <c r="JO34" s="35">
        <f t="shared" si="110"/>
        <v>354</v>
      </c>
      <c r="JP34" s="38">
        <f t="shared" si="111"/>
        <v>0</v>
      </c>
      <c r="JQ34" s="43">
        <f t="shared" si="224"/>
        <v>128.79405</v>
      </c>
      <c r="JR34" s="43">
        <f t="shared" si="225"/>
        <v>0</v>
      </c>
      <c r="JS34" s="43">
        <f t="shared" si="226"/>
        <v>0</v>
      </c>
      <c r="JT34" s="43">
        <f t="shared" si="227"/>
        <v>0</v>
      </c>
      <c r="JU34" s="43">
        <f t="shared" si="228"/>
        <v>0</v>
      </c>
      <c r="JV34" s="43">
        <f t="shared" si="229"/>
        <v>0</v>
      </c>
      <c r="JW34" s="43">
        <f t="shared" si="230"/>
        <v>0</v>
      </c>
      <c r="JX34" s="43">
        <f t="shared" si="231"/>
        <v>0</v>
      </c>
      <c r="JY34" s="43">
        <f t="shared" si="232"/>
        <v>245.94645600000001</v>
      </c>
      <c r="JZ34" s="43">
        <f t="shared" si="233"/>
        <v>0</v>
      </c>
      <c r="KA34" s="43">
        <f t="shared" si="234"/>
        <v>0</v>
      </c>
      <c r="KB34" s="43">
        <f t="shared" si="235"/>
        <v>0</v>
      </c>
      <c r="KC34" s="43">
        <f t="shared" si="236"/>
        <v>0</v>
      </c>
      <c r="KD34" s="43">
        <f t="shared" si="237"/>
        <v>0</v>
      </c>
      <c r="KE34" s="43">
        <f t="shared" si="238"/>
        <v>0</v>
      </c>
      <c r="KF34" s="43">
        <f t="shared" si="239"/>
        <v>0</v>
      </c>
      <c r="KG34" s="43">
        <f t="shared" si="240"/>
        <v>0</v>
      </c>
      <c r="KH34" s="43">
        <f t="shared" si="241"/>
        <v>0</v>
      </c>
      <c r="KI34" s="43">
        <f t="shared" si="242"/>
        <v>0</v>
      </c>
      <c r="KJ34" s="43">
        <f t="shared" si="243"/>
        <v>0</v>
      </c>
      <c r="KK34" s="43">
        <f t="shared" si="244"/>
        <v>0</v>
      </c>
      <c r="KL34" s="43">
        <f t="shared" si="245"/>
        <v>0</v>
      </c>
      <c r="KM34" s="43">
        <f t="shared" si="246"/>
        <v>0</v>
      </c>
      <c r="KN34" s="43">
        <f t="shared" si="247"/>
        <v>0</v>
      </c>
      <c r="KO34" s="43">
        <f t="shared" si="248"/>
        <v>0</v>
      </c>
      <c r="KP34" s="43">
        <f t="shared" si="249"/>
        <v>0</v>
      </c>
      <c r="KQ34" s="43">
        <f t="shared" si="250"/>
        <v>0</v>
      </c>
      <c r="KR34" s="43">
        <f t="shared" si="251"/>
        <v>163.97280000000001</v>
      </c>
      <c r="KS34" s="43">
        <f t="shared" si="252"/>
        <v>193.67090726787879</v>
      </c>
      <c r="KT34" s="43">
        <f t="shared" si="253"/>
        <v>0</v>
      </c>
      <c r="KU34" s="43">
        <f t="shared" si="254"/>
        <v>0</v>
      </c>
      <c r="KV34" s="43">
        <f t="shared" si="255"/>
        <v>0</v>
      </c>
      <c r="KW34" s="43">
        <f t="shared" si="256"/>
        <v>0</v>
      </c>
      <c r="KX34" s="43">
        <f t="shared" si="257"/>
        <v>0</v>
      </c>
      <c r="KY34" s="43">
        <f t="shared" si="258"/>
        <v>0</v>
      </c>
      <c r="KZ34" s="43">
        <f t="shared" si="259"/>
        <v>0</v>
      </c>
      <c r="LA34" s="43">
        <f t="shared" si="260"/>
        <v>76.594753440000005</v>
      </c>
      <c r="LB34" s="43">
        <f t="shared" si="261"/>
        <v>0</v>
      </c>
      <c r="LC34" s="43">
        <f t="shared" si="262"/>
        <v>0</v>
      </c>
      <c r="LD34" s="43">
        <f t="shared" si="263"/>
        <v>0</v>
      </c>
      <c r="LE34" s="43">
        <f t="shared" si="264"/>
        <v>0</v>
      </c>
      <c r="LF34" s="43">
        <f t="shared" si="265"/>
        <v>0</v>
      </c>
      <c r="LG34" s="43">
        <f t="shared" si="266"/>
        <v>0</v>
      </c>
      <c r="LH34" s="43">
        <f t="shared" si="267"/>
        <v>0</v>
      </c>
      <c r="LI34" s="43">
        <f t="shared" si="268"/>
        <v>0</v>
      </c>
      <c r="LJ34" s="43">
        <f t="shared" si="269"/>
        <v>0</v>
      </c>
      <c r="LK34" s="43">
        <f t="shared" si="270"/>
        <v>595.57490999999993</v>
      </c>
      <c r="LL34" s="43">
        <f t="shared" si="271"/>
        <v>0</v>
      </c>
      <c r="LM34" s="43">
        <f t="shared" si="272"/>
        <v>0</v>
      </c>
      <c r="LN34" s="43">
        <f t="shared" si="273"/>
        <v>0</v>
      </c>
      <c r="LO34" s="43">
        <f t="shared" si="274"/>
        <v>0</v>
      </c>
      <c r="LP34" s="43">
        <f t="shared" si="275"/>
        <v>17.947799999999997</v>
      </c>
      <c r="LQ34" s="28">
        <f t="shared" si="113"/>
        <v>1422.5016767078787</v>
      </c>
      <c r="LR34" s="65">
        <v>337</v>
      </c>
      <c r="LS34" s="32">
        <f t="shared" si="114"/>
        <v>4.2210732246524589</v>
      </c>
      <c r="LT34" s="26">
        <f t="shared" si="115"/>
        <v>1.1532986952602347</v>
      </c>
      <c r="LU34" s="31">
        <f t="shared" si="116"/>
        <v>17</v>
      </c>
      <c r="LW34" s="42"/>
      <c r="MA34" s="32">
        <f t="shared" si="117"/>
        <v>4.0183663183838378</v>
      </c>
      <c r="MB34" s="26">
        <f t="shared" si="118"/>
        <v>1.0979142946403928</v>
      </c>
    </row>
    <row r="35" spans="1:340" ht="15.75" thickBot="1">
      <c r="A35" t="b">
        <f t="shared" si="3"/>
        <v>1</v>
      </c>
      <c r="B35" s="123" t="s">
        <v>166</v>
      </c>
      <c r="C35" s="39" t="s">
        <v>167</v>
      </c>
      <c r="D35"/>
      <c r="E35" s="97">
        <v>46035</v>
      </c>
      <c r="F35" t="s">
        <v>43</v>
      </c>
      <c r="G35" t="s">
        <v>20</v>
      </c>
      <c r="H35" t="s">
        <v>27</v>
      </c>
      <c r="I35" s="77"/>
      <c r="J35" s="77"/>
      <c r="K35" s="77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24"/>
      <c r="AG35" s="124"/>
      <c r="AH35" s="104"/>
      <c r="AI35" s="104"/>
      <c r="AJ35" s="22">
        <v>0.4</v>
      </c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24">
        <v>0.6</v>
      </c>
      <c r="BD35" s="124"/>
      <c r="BE35" s="104"/>
      <c r="BF35" s="104"/>
      <c r="BG35" s="104"/>
      <c r="BH35" s="104"/>
      <c r="BI35" s="78">
        <f t="shared" si="4"/>
        <v>1</v>
      </c>
      <c r="BJ35" s="105"/>
      <c r="BK35" s="105"/>
      <c r="BL35" s="105"/>
      <c r="BM35" s="105"/>
      <c r="BN35" s="105"/>
      <c r="BO35" s="105"/>
      <c r="BP35" s="105"/>
      <c r="BQ35" s="105"/>
      <c r="BR35" s="105"/>
      <c r="BS35" s="105"/>
      <c r="BT35" s="105"/>
      <c r="BU35" s="105"/>
      <c r="BV35" s="105"/>
      <c r="BW35" s="105"/>
      <c r="BX35" s="105"/>
      <c r="BY35" s="105"/>
      <c r="BZ35" s="105"/>
      <c r="CA35" s="105"/>
      <c r="CB35" s="105"/>
      <c r="CC35" s="105"/>
      <c r="CD35" s="105"/>
      <c r="CE35" s="105"/>
      <c r="CF35" s="120"/>
      <c r="CG35" s="128"/>
      <c r="CH35" s="128"/>
      <c r="CI35" s="105"/>
      <c r="CJ35" s="105"/>
      <c r="CK35" s="105"/>
      <c r="CL35" s="105">
        <v>0.4</v>
      </c>
      <c r="CM35" s="105"/>
      <c r="CN35" s="105"/>
      <c r="CO35" s="105"/>
      <c r="CP35" s="105"/>
      <c r="CQ35" s="105"/>
      <c r="CR35" s="105"/>
      <c r="CS35" s="105"/>
      <c r="CT35" s="105"/>
      <c r="CU35" s="105"/>
      <c r="CV35" s="105"/>
      <c r="CW35" s="105"/>
      <c r="CX35" s="105"/>
      <c r="CY35" s="105"/>
      <c r="CZ35" s="105"/>
      <c r="DA35" s="105"/>
      <c r="DB35" s="105"/>
      <c r="DC35" s="105"/>
      <c r="DD35" s="125">
        <v>0.6</v>
      </c>
      <c r="DE35" s="125"/>
      <c r="DF35" s="105"/>
      <c r="DG35" s="105"/>
      <c r="DH35" s="105"/>
      <c r="DI35" s="105"/>
      <c r="DJ35" s="79">
        <f t="shared" si="5"/>
        <v>1</v>
      </c>
      <c r="DK35" s="108">
        <v>0.3</v>
      </c>
      <c r="DL35" s="108"/>
      <c r="DM35" s="108"/>
      <c r="DN35" s="108"/>
      <c r="DO35" s="108"/>
      <c r="DP35" s="108"/>
      <c r="DQ35" s="108"/>
      <c r="DR35" s="108"/>
      <c r="DS35" s="108">
        <v>0.5</v>
      </c>
      <c r="DT35" s="108"/>
      <c r="DU35" s="108"/>
      <c r="DV35" s="108"/>
      <c r="DW35" s="108"/>
      <c r="DX35" s="108"/>
      <c r="DY35" s="108"/>
      <c r="DZ35" s="108"/>
      <c r="EA35" s="108"/>
      <c r="EB35" s="108"/>
      <c r="EC35" s="108"/>
      <c r="ED35" s="108"/>
      <c r="EE35" s="108"/>
      <c r="EF35" s="108"/>
      <c r="EG35" s="108"/>
      <c r="EH35" s="129"/>
      <c r="EI35" s="129"/>
      <c r="EJ35" s="108"/>
      <c r="EK35" s="108"/>
      <c r="EL35" s="108"/>
      <c r="EM35" s="108"/>
      <c r="EN35" s="108"/>
      <c r="EO35" s="108"/>
      <c r="EP35" s="108"/>
      <c r="EQ35" s="108"/>
      <c r="ER35" s="108"/>
      <c r="ES35" s="106"/>
      <c r="ET35" s="106"/>
      <c r="EU35" s="106">
        <v>0.18</v>
      </c>
      <c r="EV35" s="106"/>
      <c r="EW35" s="106"/>
      <c r="EX35" s="106"/>
      <c r="EY35" s="106"/>
      <c r="EZ35" s="106"/>
      <c r="FA35" s="106"/>
      <c r="FB35" s="106"/>
      <c r="FC35" s="106"/>
      <c r="FD35" s="106"/>
      <c r="FE35" s="126"/>
      <c r="FF35" s="126"/>
      <c r="FG35" s="106"/>
      <c r="FH35" s="106"/>
      <c r="FI35" s="106"/>
      <c r="FJ35" s="106">
        <v>0.02</v>
      </c>
      <c r="FK35" s="17">
        <f t="shared" si="6"/>
        <v>1</v>
      </c>
      <c r="FL35" s="18"/>
      <c r="FM35" s="19">
        <f t="shared" si="119"/>
        <v>0.44999999999999996</v>
      </c>
      <c r="FN35" s="19">
        <f t="shared" si="120"/>
        <v>0</v>
      </c>
      <c r="FO35" s="19">
        <f t="shared" si="121"/>
        <v>0</v>
      </c>
      <c r="FP35" s="19">
        <f t="shared" si="122"/>
        <v>0</v>
      </c>
      <c r="FQ35" s="19">
        <f t="shared" si="123"/>
        <v>0</v>
      </c>
      <c r="FR35" s="19">
        <f t="shared" si="124"/>
        <v>0</v>
      </c>
      <c r="FS35" s="19">
        <f t="shared" si="125"/>
        <v>0</v>
      </c>
      <c r="FT35" s="19">
        <f t="shared" si="126"/>
        <v>0</v>
      </c>
      <c r="FU35" s="19">
        <f t="shared" si="127"/>
        <v>0.75</v>
      </c>
      <c r="FV35" s="19">
        <f t="shared" si="128"/>
        <v>0</v>
      </c>
      <c r="FW35" s="19">
        <f t="shared" si="129"/>
        <v>0</v>
      </c>
      <c r="FX35" s="19">
        <f t="shared" si="130"/>
        <v>0</v>
      </c>
      <c r="FY35" s="19">
        <f t="shared" si="131"/>
        <v>0</v>
      </c>
      <c r="FZ35" s="19">
        <f t="shared" si="132"/>
        <v>0</v>
      </c>
      <c r="GA35" s="19">
        <f t="shared" si="133"/>
        <v>0</v>
      </c>
      <c r="GB35" s="19">
        <f t="shared" si="134"/>
        <v>0</v>
      </c>
      <c r="GC35" s="19">
        <f t="shared" si="135"/>
        <v>0</v>
      </c>
      <c r="GD35" s="19">
        <f t="shared" si="136"/>
        <v>0</v>
      </c>
      <c r="GE35" s="19">
        <f t="shared" si="137"/>
        <v>0</v>
      </c>
      <c r="GF35" s="19">
        <f t="shared" si="138"/>
        <v>0</v>
      </c>
      <c r="GG35" s="19">
        <f t="shared" si="139"/>
        <v>0</v>
      </c>
      <c r="GH35" s="19">
        <f t="shared" si="140"/>
        <v>0</v>
      </c>
      <c r="GI35" s="19">
        <f t="shared" si="141"/>
        <v>0</v>
      </c>
      <c r="GJ35" s="19">
        <f t="shared" si="142"/>
        <v>0</v>
      </c>
      <c r="GK35" s="19">
        <f t="shared" si="143"/>
        <v>0</v>
      </c>
      <c r="GL35" s="19">
        <f t="shared" si="144"/>
        <v>0</v>
      </c>
      <c r="GM35" s="19">
        <f t="shared" si="145"/>
        <v>0</v>
      </c>
      <c r="GN35" s="19">
        <f t="shared" si="146"/>
        <v>0.60000000000000009</v>
      </c>
      <c r="GO35" s="19">
        <f t="shared" si="147"/>
        <v>0.8</v>
      </c>
      <c r="GP35" s="19">
        <f t="shared" si="148"/>
        <v>0</v>
      </c>
      <c r="GQ35" s="19">
        <f t="shared" si="149"/>
        <v>0</v>
      </c>
      <c r="GR35" s="19">
        <f t="shared" si="150"/>
        <v>0</v>
      </c>
      <c r="GS35" s="19">
        <f t="shared" si="151"/>
        <v>0</v>
      </c>
      <c r="GT35" s="19">
        <f t="shared" si="152"/>
        <v>0</v>
      </c>
      <c r="GU35" s="19">
        <f t="shared" si="153"/>
        <v>0</v>
      </c>
      <c r="GV35" s="19">
        <f t="shared" si="154"/>
        <v>0</v>
      </c>
      <c r="GW35" s="19">
        <f t="shared" si="155"/>
        <v>0.27</v>
      </c>
      <c r="GX35" s="19">
        <f t="shared" si="156"/>
        <v>0</v>
      </c>
      <c r="GY35" s="19">
        <f t="shared" si="157"/>
        <v>0</v>
      </c>
      <c r="GZ35" s="19">
        <f t="shared" si="158"/>
        <v>0</v>
      </c>
      <c r="HA35" s="19">
        <f t="shared" si="159"/>
        <v>0</v>
      </c>
      <c r="HB35" s="19">
        <f t="shared" si="160"/>
        <v>0</v>
      </c>
      <c r="HC35" s="19">
        <f t="shared" si="161"/>
        <v>0</v>
      </c>
      <c r="HD35" s="19">
        <f t="shared" si="162"/>
        <v>0</v>
      </c>
      <c r="HE35" s="19">
        <f t="shared" si="163"/>
        <v>0</v>
      </c>
      <c r="HF35" s="19">
        <f t="shared" si="164"/>
        <v>0</v>
      </c>
      <c r="HG35" s="19">
        <f t="shared" si="165"/>
        <v>2.0999999999999996</v>
      </c>
      <c r="HH35" s="19">
        <f t="shared" si="166"/>
        <v>0</v>
      </c>
      <c r="HI35" s="19">
        <f t="shared" si="167"/>
        <v>0</v>
      </c>
      <c r="HJ35" s="19">
        <f t="shared" si="168"/>
        <v>0</v>
      </c>
      <c r="HK35" s="19">
        <f t="shared" si="169"/>
        <v>0</v>
      </c>
      <c r="HL35" s="19">
        <f t="shared" si="170"/>
        <v>0.03</v>
      </c>
      <c r="HM35" s="20">
        <f t="shared" si="171"/>
        <v>5</v>
      </c>
      <c r="HN35" s="53">
        <v>354</v>
      </c>
      <c r="HO35" s="21">
        <f t="shared" si="172"/>
        <v>31.859999999999996</v>
      </c>
      <c r="HP35" s="21">
        <f t="shared" si="173"/>
        <v>0</v>
      </c>
      <c r="HQ35" s="21">
        <f t="shared" si="174"/>
        <v>0</v>
      </c>
      <c r="HR35" s="21">
        <f t="shared" si="175"/>
        <v>0</v>
      </c>
      <c r="HS35" s="21">
        <f t="shared" si="176"/>
        <v>0</v>
      </c>
      <c r="HT35" s="69">
        <f t="shared" si="177"/>
        <v>0</v>
      </c>
      <c r="HU35" s="21">
        <f t="shared" si="178"/>
        <v>0</v>
      </c>
      <c r="HV35" s="21">
        <f t="shared" si="179"/>
        <v>0</v>
      </c>
      <c r="HW35" s="21">
        <f t="shared" si="180"/>
        <v>53.1</v>
      </c>
      <c r="HX35" s="21">
        <f t="shared" si="181"/>
        <v>0</v>
      </c>
      <c r="HY35" s="21">
        <f t="shared" si="182"/>
        <v>0</v>
      </c>
      <c r="HZ35" s="21">
        <f t="shared" si="183"/>
        <v>0</v>
      </c>
      <c r="IA35" s="21">
        <f t="shared" si="184"/>
        <v>0</v>
      </c>
      <c r="IB35" s="21">
        <f t="shared" si="185"/>
        <v>0</v>
      </c>
      <c r="IC35" s="21">
        <f t="shared" si="186"/>
        <v>0</v>
      </c>
      <c r="ID35" s="21">
        <f t="shared" si="187"/>
        <v>0</v>
      </c>
      <c r="IE35" s="21">
        <f t="shared" si="188"/>
        <v>0</v>
      </c>
      <c r="IF35" s="69">
        <f t="shared" si="189"/>
        <v>0</v>
      </c>
      <c r="IG35" s="69">
        <f t="shared" si="190"/>
        <v>0</v>
      </c>
      <c r="IH35" s="69">
        <f t="shared" si="191"/>
        <v>0</v>
      </c>
      <c r="II35" s="21">
        <f t="shared" si="192"/>
        <v>0</v>
      </c>
      <c r="IJ35" s="21">
        <f t="shared" si="193"/>
        <v>0</v>
      </c>
      <c r="IK35" s="21">
        <f t="shared" si="194"/>
        <v>0</v>
      </c>
      <c r="IL35" s="21">
        <f t="shared" si="195"/>
        <v>0</v>
      </c>
      <c r="IM35" s="21">
        <f t="shared" si="196"/>
        <v>0</v>
      </c>
      <c r="IN35" s="21">
        <f t="shared" si="197"/>
        <v>0</v>
      </c>
      <c r="IO35" s="21">
        <f t="shared" si="198"/>
        <v>0</v>
      </c>
      <c r="IP35" s="21">
        <f t="shared" si="199"/>
        <v>42.480000000000004</v>
      </c>
      <c r="IQ35" s="21">
        <f t="shared" si="200"/>
        <v>56.64</v>
      </c>
      <c r="IR35" s="21">
        <f t="shared" si="201"/>
        <v>0</v>
      </c>
      <c r="IS35" s="21">
        <f t="shared" si="202"/>
        <v>0</v>
      </c>
      <c r="IT35" s="21">
        <f t="shared" si="203"/>
        <v>0</v>
      </c>
      <c r="IU35" s="21">
        <f t="shared" si="204"/>
        <v>0</v>
      </c>
      <c r="IV35" s="21">
        <f t="shared" si="205"/>
        <v>0</v>
      </c>
      <c r="IW35" s="21">
        <f t="shared" si="206"/>
        <v>0</v>
      </c>
      <c r="IX35" s="21">
        <f t="shared" si="207"/>
        <v>0</v>
      </c>
      <c r="IY35" s="21">
        <f t="shared" si="208"/>
        <v>19.116000000000003</v>
      </c>
      <c r="IZ35" s="21">
        <f t="shared" si="209"/>
        <v>0</v>
      </c>
      <c r="JA35" s="21">
        <f t="shared" si="210"/>
        <v>0</v>
      </c>
      <c r="JB35" s="21">
        <f t="shared" si="211"/>
        <v>0</v>
      </c>
      <c r="JC35" s="21">
        <f t="shared" si="212"/>
        <v>0</v>
      </c>
      <c r="JD35" s="21">
        <f t="shared" si="213"/>
        <v>0</v>
      </c>
      <c r="JE35" s="21">
        <f t="shared" si="214"/>
        <v>0</v>
      </c>
      <c r="JF35" s="21">
        <f t="shared" si="215"/>
        <v>0</v>
      </c>
      <c r="JG35" s="21">
        <f t="shared" si="216"/>
        <v>0</v>
      </c>
      <c r="JH35" s="21">
        <f t="shared" si="217"/>
        <v>0</v>
      </c>
      <c r="JI35" s="21">
        <f t="shared" si="218"/>
        <v>148.67999999999998</v>
      </c>
      <c r="JJ35" s="21">
        <f t="shared" si="219"/>
        <v>0</v>
      </c>
      <c r="JK35" s="21">
        <f t="shared" si="220"/>
        <v>0</v>
      </c>
      <c r="JL35" s="21">
        <f t="shared" si="221"/>
        <v>0</v>
      </c>
      <c r="JM35" s="21">
        <f t="shared" si="222"/>
        <v>0</v>
      </c>
      <c r="JN35" s="21">
        <f t="shared" si="223"/>
        <v>2.1239999999999997</v>
      </c>
      <c r="JO35" s="35">
        <f t="shared" si="110"/>
        <v>354</v>
      </c>
      <c r="JP35" s="38">
        <f t="shared" si="111"/>
        <v>0</v>
      </c>
      <c r="JQ35" s="43">
        <f t="shared" si="224"/>
        <v>128.79405</v>
      </c>
      <c r="JR35" s="43">
        <f t="shared" si="225"/>
        <v>0</v>
      </c>
      <c r="JS35" s="43">
        <f t="shared" si="226"/>
        <v>0</v>
      </c>
      <c r="JT35" s="43">
        <f t="shared" si="227"/>
        <v>0</v>
      </c>
      <c r="JU35" s="43">
        <f t="shared" si="228"/>
        <v>0</v>
      </c>
      <c r="JV35" s="43">
        <f t="shared" si="229"/>
        <v>0</v>
      </c>
      <c r="JW35" s="43">
        <f t="shared" si="230"/>
        <v>0</v>
      </c>
      <c r="JX35" s="43">
        <f t="shared" si="231"/>
        <v>0</v>
      </c>
      <c r="JY35" s="43">
        <f t="shared" si="232"/>
        <v>245.94645600000001</v>
      </c>
      <c r="JZ35" s="43">
        <f t="shared" si="233"/>
        <v>0</v>
      </c>
      <c r="KA35" s="43">
        <f t="shared" si="234"/>
        <v>0</v>
      </c>
      <c r="KB35" s="43">
        <f t="shared" si="235"/>
        <v>0</v>
      </c>
      <c r="KC35" s="43">
        <f t="shared" si="236"/>
        <v>0</v>
      </c>
      <c r="KD35" s="43">
        <f t="shared" si="237"/>
        <v>0</v>
      </c>
      <c r="KE35" s="43">
        <f t="shared" si="238"/>
        <v>0</v>
      </c>
      <c r="KF35" s="43">
        <f t="shared" si="239"/>
        <v>0</v>
      </c>
      <c r="KG35" s="43">
        <f t="shared" si="240"/>
        <v>0</v>
      </c>
      <c r="KH35" s="43">
        <f t="shared" si="241"/>
        <v>0</v>
      </c>
      <c r="KI35" s="43">
        <f t="shared" si="242"/>
        <v>0</v>
      </c>
      <c r="KJ35" s="43">
        <f t="shared" si="243"/>
        <v>0</v>
      </c>
      <c r="KK35" s="43">
        <f t="shared" si="244"/>
        <v>0</v>
      </c>
      <c r="KL35" s="43">
        <f t="shared" si="245"/>
        <v>0</v>
      </c>
      <c r="KM35" s="43">
        <f t="shared" si="246"/>
        <v>0</v>
      </c>
      <c r="KN35" s="43">
        <f t="shared" si="247"/>
        <v>0</v>
      </c>
      <c r="KO35" s="43">
        <f t="shared" si="248"/>
        <v>0</v>
      </c>
      <c r="KP35" s="43">
        <f t="shared" si="249"/>
        <v>0</v>
      </c>
      <c r="KQ35" s="43">
        <f t="shared" si="250"/>
        <v>0</v>
      </c>
      <c r="KR35" s="43">
        <f t="shared" si="251"/>
        <v>163.97280000000001</v>
      </c>
      <c r="KS35" s="43">
        <f t="shared" si="252"/>
        <v>193.67090726787879</v>
      </c>
      <c r="KT35" s="43">
        <f t="shared" si="253"/>
        <v>0</v>
      </c>
      <c r="KU35" s="43">
        <f t="shared" si="254"/>
        <v>0</v>
      </c>
      <c r="KV35" s="43">
        <f t="shared" si="255"/>
        <v>0</v>
      </c>
      <c r="KW35" s="43">
        <f t="shared" si="256"/>
        <v>0</v>
      </c>
      <c r="KX35" s="43">
        <f t="shared" si="257"/>
        <v>0</v>
      </c>
      <c r="KY35" s="43">
        <f t="shared" si="258"/>
        <v>0</v>
      </c>
      <c r="KZ35" s="43">
        <f t="shared" si="259"/>
        <v>0</v>
      </c>
      <c r="LA35" s="43">
        <f t="shared" si="260"/>
        <v>76.594753440000005</v>
      </c>
      <c r="LB35" s="43">
        <f t="shared" si="261"/>
        <v>0</v>
      </c>
      <c r="LC35" s="43">
        <f t="shared" si="262"/>
        <v>0</v>
      </c>
      <c r="LD35" s="43">
        <f t="shared" si="263"/>
        <v>0</v>
      </c>
      <c r="LE35" s="43">
        <f t="shared" si="264"/>
        <v>0</v>
      </c>
      <c r="LF35" s="43">
        <f t="shared" si="265"/>
        <v>0</v>
      </c>
      <c r="LG35" s="43">
        <f t="shared" si="266"/>
        <v>0</v>
      </c>
      <c r="LH35" s="43">
        <f t="shared" si="267"/>
        <v>0</v>
      </c>
      <c r="LI35" s="43">
        <f t="shared" si="268"/>
        <v>0</v>
      </c>
      <c r="LJ35" s="43">
        <f t="shared" si="269"/>
        <v>0</v>
      </c>
      <c r="LK35" s="43">
        <f t="shared" si="270"/>
        <v>595.57490999999993</v>
      </c>
      <c r="LL35" s="43">
        <f t="shared" si="271"/>
        <v>0</v>
      </c>
      <c r="LM35" s="43">
        <f t="shared" si="272"/>
        <v>0</v>
      </c>
      <c r="LN35" s="43">
        <f t="shared" si="273"/>
        <v>0</v>
      </c>
      <c r="LO35" s="43">
        <f t="shared" si="274"/>
        <v>0</v>
      </c>
      <c r="LP35" s="43">
        <f t="shared" si="275"/>
        <v>17.947799999999997</v>
      </c>
      <c r="LQ35" s="28">
        <f t="shared" si="113"/>
        <v>1422.5016767078787</v>
      </c>
      <c r="LR35" s="65">
        <v>337</v>
      </c>
      <c r="LS35" s="32">
        <f t="shared" si="114"/>
        <v>4.2210732246524589</v>
      </c>
      <c r="LT35" s="26">
        <f t="shared" si="115"/>
        <v>1.1532986952602347</v>
      </c>
      <c r="LU35" s="31">
        <f t="shared" si="116"/>
        <v>17</v>
      </c>
      <c r="LW35" s="42"/>
      <c r="MA35" s="32">
        <f t="shared" si="117"/>
        <v>4.0183663183838378</v>
      </c>
      <c r="MB35" s="26">
        <f t="shared" si="118"/>
        <v>1.0979142946403928</v>
      </c>
    </row>
    <row r="36" spans="1:340" ht="15.75" thickBot="1">
      <c r="A36" t="b">
        <f t="shared" si="3"/>
        <v>1</v>
      </c>
      <c r="B36" s="123" t="s">
        <v>168</v>
      </c>
      <c r="C36" s="39" t="s">
        <v>121</v>
      </c>
      <c r="D36"/>
      <c r="E36" s="97">
        <v>46035</v>
      </c>
      <c r="F36" t="s">
        <v>43</v>
      </c>
      <c r="G36" t="s">
        <v>20</v>
      </c>
      <c r="H36" t="s">
        <v>27</v>
      </c>
      <c r="I36" s="77"/>
      <c r="J36" s="77"/>
      <c r="K36" s="77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24"/>
      <c r="AG36" s="124"/>
      <c r="AH36" s="104"/>
      <c r="AI36" s="104"/>
      <c r="AJ36" s="22">
        <v>0.4</v>
      </c>
      <c r="AK36" s="22"/>
      <c r="AL36" s="22"/>
      <c r="AM36" s="22"/>
      <c r="AN36" s="22"/>
      <c r="AO36" s="104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104"/>
      <c r="BA36" s="104"/>
      <c r="BB36" s="104"/>
      <c r="BC36" s="124">
        <v>0.6</v>
      </c>
      <c r="BD36" s="124"/>
      <c r="BE36" s="104"/>
      <c r="BF36" s="104"/>
      <c r="BG36" s="104"/>
      <c r="BH36" s="104"/>
      <c r="BI36" s="78">
        <f t="shared" si="4"/>
        <v>1</v>
      </c>
      <c r="BJ36" s="105"/>
      <c r="BK36" s="105"/>
      <c r="BL36" s="105"/>
      <c r="BM36" s="105"/>
      <c r="BN36" s="105"/>
      <c r="BO36" s="105"/>
      <c r="BP36" s="105"/>
      <c r="BQ36" s="105"/>
      <c r="BR36" s="105"/>
      <c r="BS36" s="105"/>
      <c r="BT36" s="105"/>
      <c r="BU36" s="105"/>
      <c r="BV36" s="105"/>
      <c r="BW36" s="105"/>
      <c r="BX36" s="105"/>
      <c r="BY36" s="105"/>
      <c r="BZ36" s="105"/>
      <c r="CA36" s="105"/>
      <c r="CB36" s="105"/>
      <c r="CC36" s="105"/>
      <c r="CD36" s="105"/>
      <c r="CE36" s="105"/>
      <c r="CF36" s="120"/>
      <c r="CG36" s="128"/>
      <c r="CH36" s="128"/>
      <c r="CI36" s="105"/>
      <c r="CJ36" s="105"/>
      <c r="CK36" s="105"/>
      <c r="CL36" s="105">
        <v>0.4</v>
      </c>
      <c r="CM36" s="105"/>
      <c r="CN36" s="105"/>
      <c r="CO36" s="105"/>
      <c r="CP36" s="105"/>
      <c r="CQ36" s="105"/>
      <c r="CR36" s="105"/>
      <c r="CS36" s="105"/>
      <c r="CT36" s="105"/>
      <c r="CU36" s="105"/>
      <c r="CV36" s="105"/>
      <c r="CW36" s="105"/>
      <c r="CX36" s="105"/>
      <c r="CY36" s="105"/>
      <c r="CZ36" s="105"/>
      <c r="DA36" s="105"/>
      <c r="DB36" s="105"/>
      <c r="DC36" s="105"/>
      <c r="DD36" s="125">
        <v>0.6</v>
      </c>
      <c r="DE36" s="125"/>
      <c r="DF36" s="105"/>
      <c r="DG36" s="105"/>
      <c r="DH36" s="105"/>
      <c r="DI36" s="105"/>
      <c r="DJ36" s="79">
        <f t="shared" si="5"/>
        <v>1</v>
      </c>
      <c r="DK36" s="108">
        <v>0.3</v>
      </c>
      <c r="DL36" s="108"/>
      <c r="DM36" s="108"/>
      <c r="DN36" s="108"/>
      <c r="DO36" s="108"/>
      <c r="DP36" s="108"/>
      <c r="DQ36" s="108"/>
      <c r="DR36" s="108"/>
      <c r="DS36" s="108">
        <v>0.5</v>
      </c>
      <c r="DT36" s="108"/>
      <c r="DU36" s="108"/>
      <c r="DV36" s="108"/>
      <c r="DW36" s="108"/>
      <c r="DX36" s="108"/>
      <c r="DY36" s="108"/>
      <c r="DZ36" s="108"/>
      <c r="EA36" s="108"/>
      <c r="EB36" s="108"/>
      <c r="EC36" s="108"/>
      <c r="ED36" s="108"/>
      <c r="EE36" s="108"/>
      <c r="EF36" s="108"/>
      <c r="EG36" s="108"/>
      <c r="EH36" s="129"/>
      <c r="EI36" s="129"/>
      <c r="EJ36" s="108"/>
      <c r="EK36" s="108"/>
      <c r="EL36" s="108"/>
      <c r="EM36" s="108"/>
      <c r="EN36" s="108"/>
      <c r="EO36" s="108"/>
      <c r="EP36" s="108"/>
      <c r="EQ36" s="108"/>
      <c r="ER36" s="108"/>
      <c r="ES36" s="106"/>
      <c r="ET36" s="106"/>
      <c r="EU36" s="106">
        <v>0.18</v>
      </c>
      <c r="EV36" s="106"/>
      <c r="EW36" s="106"/>
      <c r="EX36" s="106"/>
      <c r="EY36" s="106"/>
      <c r="EZ36" s="106"/>
      <c r="FA36" s="106"/>
      <c r="FB36" s="106"/>
      <c r="FC36" s="106"/>
      <c r="FD36" s="106"/>
      <c r="FE36" s="126"/>
      <c r="FF36" s="126"/>
      <c r="FG36" s="106"/>
      <c r="FH36" s="106"/>
      <c r="FI36" s="106"/>
      <c r="FJ36" s="106">
        <v>0.02</v>
      </c>
      <c r="FK36" s="17">
        <f t="shared" si="6"/>
        <v>1</v>
      </c>
      <c r="FL36" s="18"/>
      <c r="FM36" s="19">
        <f t="shared" si="119"/>
        <v>0.44999999999999996</v>
      </c>
      <c r="FN36" s="19">
        <f t="shared" si="120"/>
        <v>0</v>
      </c>
      <c r="FO36" s="19">
        <f t="shared" si="121"/>
        <v>0</v>
      </c>
      <c r="FP36" s="19">
        <f t="shared" si="122"/>
        <v>0</v>
      </c>
      <c r="FQ36" s="19">
        <f t="shared" si="123"/>
        <v>0</v>
      </c>
      <c r="FR36" s="19">
        <f t="shared" si="124"/>
        <v>0</v>
      </c>
      <c r="FS36" s="19">
        <f t="shared" si="125"/>
        <v>0</v>
      </c>
      <c r="FT36" s="19">
        <f t="shared" si="126"/>
        <v>0</v>
      </c>
      <c r="FU36" s="19">
        <f t="shared" si="127"/>
        <v>0.75</v>
      </c>
      <c r="FV36" s="19">
        <f t="shared" si="128"/>
        <v>0</v>
      </c>
      <c r="FW36" s="19">
        <f t="shared" si="129"/>
        <v>0</v>
      </c>
      <c r="FX36" s="19">
        <f t="shared" si="130"/>
        <v>0</v>
      </c>
      <c r="FY36" s="19">
        <f t="shared" si="131"/>
        <v>0</v>
      </c>
      <c r="FZ36" s="19">
        <f t="shared" si="132"/>
        <v>0</v>
      </c>
      <c r="GA36" s="19">
        <f t="shared" si="133"/>
        <v>0</v>
      </c>
      <c r="GB36" s="19">
        <f t="shared" si="134"/>
        <v>0</v>
      </c>
      <c r="GC36" s="19">
        <f t="shared" si="135"/>
        <v>0</v>
      </c>
      <c r="GD36" s="19">
        <f t="shared" si="136"/>
        <v>0</v>
      </c>
      <c r="GE36" s="19">
        <f t="shared" si="137"/>
        <v>0</v>
      </c>
      <c r="GF36" s="19">
        <f t="shared" si="138"/>
        <v>0</v>
      </c>
      <c r="GG36" s="19">
        <f t="shared" si="139"/>
        <v>0</v>
      </c>
      <c r="GH36" s="19">
        <f t="shared" si="140"/>
        <v>0</v>
      </c>
      <c r="GI36" s="19">
        <f t="shared" si="141"/>
        <v>0</v>
      </c>
      <c r="GJ36" s="19">
        <f t="shared" si="142"/>
        <v>0</v>
      </c>
      <c r="GK36" s="19">
        <f t="shared" si="143"/>
        <v>0</v>
      </c>
      <c r="GL36" s="19">
        <f t="shared" si="144"/>
        <v>0</v>
      </c>
      <c r="GM36" s="19">
        <f t="shared" si="145"/>
        <v>0</v>
      </c>
      <c r="GN36" s="19">
        <f t="shared" si="146"/>
        <v>0.60000000000000009</v>
      </c>
      <c r="GO36" s="19">
        <f t="shared" si="147"/>
        <v>0.8</v>
      </c>
      <c r="GP36" s="19">
        <f t="shared" si="148"/>
        <v>0</v>
      </c>
      <c r="GQ36" s="19">
        <f t="shared" si="149"/>
        <v>0</v>
      </c>
      <c r="GR36" s="19">
        <f t="shared" si="150"/>
        <v>0</v>
      </c>
      <c r="GS36" s="19">
        <f t="shared" si="151"/>
        <v>0</v>
      </c>
      <c r="GT36" s="19">
        <f t="shared" si="152"/>
        <v>0</v>
      </c>
      <c r="GU36" s="19">
        <f t="shared" si="153"/>
        <v>0</v>
      </c>
      <c r="GV36" s="19">
        <f t="shared" si="154"/>
        <v>0</v>
      </c>
      <c r="GW36" s="19">
        <f t="shared" si="155"/>
        <v>0.27</v>
      </c>
      <c r="GX36" s="19">
        <f t="shared" si="156"/>
        <v>0</v>
      </c>
      <c r="GY36" s="19">
        <f t="shared" si="157"/>
        <v>0</v>
      </c>
      <c r="GZ36" s="19">
        <f t="shared" si="158"/>
        <v>0</v>
      </c>
      <c r="HA36" s="19">
        <f t="shared" si="159"/>
        <v>0</v>
      </c>
      <c r="HB36" s="19">
        <f t="shared" si="160"/>
        <v>0</v>
      </c>
      <c r="HC36" s="19">
        <f t="shared" si="161"/>
        <v>0</v>
      </c>
      <c r="HD36" s="19">
        <f t="shared" si="162"/>
        <v>0</v>
      </c>
      <c r="HE36" s="19">
        <f t="shared" si="163"/>
        <v>0</v>
      </c>
      <c r="HF36" s="19">
        <f t="shared" si="164"/>
        <v>0</v>
      </c>
      <c r="HG36" s="19">
        <f t="shared" si="165"/>
        <v>2.0999999999999996</v>
      </c>
      <c r="HH36" s="19">
        <f t="shared" si="166"/>
        <v>0</v>
      </c>
      <c r="HI36" s="19">
        <f t="shared" si="167"/>
        <v>0</v>
      </c>
      <c r="HJ36" s="19">
        <f t="shared" si="168"/>
        <v>0</v>
      </c>
      <c r="HK36" s="19">
        <f t="shared" si="169"/>
        <v>0</v>
      </c>
      <c r="HL36" s="19">
        <f t="shared" si="170"/>
        <v>0.03</v>
      </c>
      <c r="HM36" s="20">
        <f t="shared" si="171"/>
        <v>5</v>
      </c>
      <c r="HN36" s="53">
        <v>710</v>
      </c>
      <c r="HO36" s="21">
        <f t="shared" si="172"/>
        <v>63.899999999999991</v>
      </c>
      <c r="HP36" s="21">
        <f t="shared" si="173"/>
        <v>0</v>
      </c>
      <c r="HQ36" s="21">
        <f t="shared" si="174"/>
        <v>0</v>
      </c>
      <c r="HR36" s="21">
        <f t="shared" si="175"/>
        <v>0</v>
      </c>
      <c r="HS36" s="21">
        <f t="shared" si="176"/>
        <v>0</v>
      </c>
      <c r="HT36" s="69">
        <f t="shared" si="177"/>
        <v>0</v>
      </c>
      <c r="HU36" s="21">
        <f t="shared" si="178"/>
        <v>0</v>
      </c>
      <c r="HV36" s="21">
        <f t="shared" si="179"/>
        <v>0</v>
      </c>
      <c r="HW36" s="21">
        <f t="shared" si="180"/>
        <v>106.5</v>
      </c>
      <c r="HX36" s="21">
        <f t="shared" si="181"/>
        <v>0</v>
      </c>
      <c r="HY36" s="21">
        <f t="shared" si="182"/>
        <v>0</v>
      </c>
      <c r="HZ36" s="21">
        <f t="shared" si="183"/>
        <v>0</v>
      </c>
      <c r="IA36" s="21">
        <f t="shared" si="184"/>
        <v>0</v>
      </c>
      <c r="IB36" s="21">
        <f t="shared" si="185"/>
        <v>0</v>
      </c>
      <c r="IC36" s="21">
        <f t="shared" si="186"/>
        <v>0</v>
      </c>
      <c r="ID36" s="21">
        <f t="shared" si="187"/>
        <v>0</v>
      </c>
      <c r="IE36" s="21">
        <f t="shared" si="188"/>
        <v>0</v>
      </c>
      <c r="IF36" s="69">
        <f t="shared" si="189"/>
        <v>0</v>
      </c>
      <c r="IG36" s="69">
        <f t="shared" si="190"/>
        <v>0</v>
      </c>
      <c r="IH36" s="69">
        <f t="shared" si="191"/>
        <v>0</v>
      </c>
      <c r="II36" s="21">
        <f t="shared" si="192"/>
        <v>0</v>
      </c>
      <c r="IJ36" s="21">
        <f t="shared" si="193"/>
        <v>0</v>
      </c>
      <c r="IK36" s="21">
        <f t="shared" si="194"/>
        <v>0</v>
      </c>
      <c r="IL36" s="21">
        <f t="shared" si="195"/>
        <v>0</v>
      </c>
      <c r="IM36" s="21">
        <f t="shared" si="196"/>
        <v>0</v>
      </c>
      <c r="IN36" s="21">
        <f t="shared" si="197"/>
        <v>0</v>
      </c>
      <c r="IO36" s="21">
        <f t="shared" si="198"/>
        <v>0</v>
      </c>
      <c r="IP36" s="21">
        <f t="shared" si="199"/>
        <v>85.200000000000017</v>
      </c>
      <c r="IQ36" s="21">
        <f t="shared" si="200"/>
        <v>113.6</v>
      </c>
      <c r="IR36" s="21">
        <f t="shared" si="201"/>
        <v>0</v>
      </c>
      <c r="IS36" s="21">
        <f t="shared" si="202"/>
        <v>0</v>
      </c>
      <c r="IT36" s="21">
        <f t="shared" si="203"/>
        <v>0</v>
      </c>
      <c r="IU36" s="21">
        <f t="shared" si="204"/>
        <v>0</v>
      </c>
      <c r="IV36" s="21">
        <f t="shared" si="205"/>
        <v>0</v>
      </c>
      <c r="IW36" s="21">
        <f t="shared" si="206"/>
        <v>0</v>
      </c>
      <c r="IX36" s="21">
        <f t="shared" si="207"/>
        <v>0</v>
      </c>
      <c r="IY36" s="21">
        <f t="shared" si="208"/>
        <v>38.340000000000003</v>
      </c>
      <c r="IZ36" s="21">
        <f t="shared" si="209"/>
        <v>0</v>
      </c>
      <c r="JA36" s="21">
        <f t="shared" si="210"/>
        <v>0</v>
      </c>
      <c r="JB36" s="21">
        <f t="shared" si="211"/>
        <v>0</v>
      </c>
      <c r="JC36" s="21">
        <f t="shared" si="212"/>
        <v>0</v>
      </c>
      <c r="JD36" s="21">
        <f t="shared" si="213"/>
        <v>0</v>
      </c>
      <c r="JE36" s="21">
        <f t="shared" si="214"/>
        <v>0</v>
      </c>
      <c r="JF36" s="21">
        <f t="shared" si="215"/>
        <v>0</v>
      </c>
      <c r="JG36" s="21">
        <f t="shared" si="216"/>
        <v>0</v>
      </c>
      <c r="JH36" s="21">
        <f t="shared" si="217"/>
        <v>0</v>
      </c>
      <c r="JI36" s="21">
        <f t="shared" si="218"/>
        <v>298.19999999999993</v>
      </c>
      <c r="JJ36" s="21">
        <f t="shared" si="219"/>
        <v>0</v>
      </c>
      <c r="JK36" s="21">
        <f t="shared" si="220"/>
        <v>0</v>
      </c>
      <c r="JL36" s="21">
        <f t="shared" si="221"/>
        <v>0</v>
      </c>
      <c r="JM36" s="21">
        <f t="shared" si="222"/>
        <v>0</v>
      </c>
      <c r="JN36" s="21">
        <f t="shared" si="223"/>
        <v>4.26</v>
      </c>
      <c r="JO36" s="35">
        <f t="shared" si="110"/>
        <v>709.99999999999989</v>
      </c>
      <c r="JP36" s="38">
        <f t="shared" si="111"/>
        <v>0</v>
      </c>
      <c r="JQ36" s="43">
        <f t="shared" si="224"/>
        <v>258.31574999999998</v>
      </c>
      <c r="JR36" s="43">
        <f t="shared" si="225"/>
        <v>0</v>
      </c>
      <c r="JS36" s="43">
        <f t="shared" si="226"/>
        <v>0</v>
      </c>
      <c r="JT36" s="43">
        <f t="shared" si="227"/>
        <v>0</v>
      </c>
      <c r="JU36" s="43">
        <f t="shared" si="228"/>
        <v>0</v>
      </c>
      <c r="JV36" s="43">
        <f t="shared" si="229"/>
        <v>0</v>
      </c>
      <c r="JW36" s="43">
        <f t="shared" si="230"/>
        <v>0</v>
      </c>
      <c r="JX36" s="43">
        <f t="shared" si="231"/>
        <v>0</v>
      </c>
      <c r="JY36" s="43">
        <f t="shared" si="232"/>
        <v>493.28244000000001</v>
      </c>
      <c r="JZ36" s="43">
        <f t="shared" si="233"/>
        <v>0</v>
      </c>
      <c r="KA36" s="43">
        <f t="shared" si="234"/>
        <v>0</v>
      </c>
      <c r="KB36" s="43">
        <f t="shared" si="235"/>
        <v>0</v>
      </c>
      <c r="KC36" s="43">
        <f t="shared" si="236"/>
        <v>0</v>
      </c>
      <c r="KD36" s="43">
        <f t="shared" si="237"/>
        <v>0</v>
      </c>
      <c r="KE36" s="43">
        <f t="shared" si="238"/>
        <v>0</v>
      </c>
      <c r="KF36" s="43">
        <f t="shared" si="239"/>
        <v>0</v>
      </c>
      <c r="KG36" s="43">
        <f t="shared" si="240"/>
        <v>0</v>
      </c>
      <c r="KH36" s="43">
        <f t="shared" si="241"/>
        <v>0</v>
      </c>
      <c r="KI36" s="43">
        <f t="shared" si="242"/>
        <v>0</v>
      </c>
      <c r="KJ36" s="43">
        <f t="shared" si="243"/>
        <v>0</v>
      </c>
      <c r="KK36" s="43">
        <f t="shared" si="244"/>
        <v>0</v>
      </c>
      <c r="KL36" s="43">
        <f t="shared" si="245"/>
        <v>0</v>
      </c>
      <c r="KM36" s="43">
        <f t="shared" si="246"/>
        <v>0</v>
      </c>
      <c r="KN36" s="43">
        <f t="shared" si="247"/>
        <v>0</v>
      </c>
      <c r="KO36" s="43">
        <f t="shared" si="248"/>
        <v>0</v>
      </c>
      <c r="KP36" s="43">
        <f t="shared" si="249"/>
        <v>0</v>
      </c>
      <c r="KQ36" s="43">
        <f t="shared" si="250"/>
        <v>0</v>
      </c>
      <c r="KR36" s="43">
        <f t="shared" si="251"/>
        <v>328.87200000000007</v>
      </c>
      <c r="KS36" s="43">
        <f t="shared" si="252"/>
        <v>388.43600045252521</v>
      </c>
      <c r="KT36" s="43">
        <f t="shared" si="253"/>
        <v>0</v>
      </c>
      <c r="KU36" s="43">
        <f t="shared" si="254"/>
        <v>0</v>
      </c>
      <c r="KV36" s="43">
        <f t="shared" si="255"/>
        <v>0</v>
      </c>
      <c r="KW36" s="43">
        <f t="shared" si="256"/>
        <v>0</v>
      </c>
      <c r="KX36" s="43">
        <f t="shared" si="257"/>
        <v>0</v>
      </c>
      <c r="KY36" s="43">
        <f t="shared" si="258"/>
        <v>0</v>
      </c>
      <c r="KZ36" s="43">
        <f t="shared" si="259"/>
        <v>0</v>
      </c>
      <c r="LA36" s="43">
        <f t="shared" si="260"/>
        <v>153.62224559999999</v>
      </c>
      <c r="LB36" s="43">
        <f t="shared" si="261"/>
        <v>0</v>
      </c>
      <c r="LC36" s="43">
        <f t="shared" si="262"/>
        <v>0</v>
      </c>
      <c r="LD36" s="43">
        <f t="shared" si="263"/>
        <v>0</v>
      </c>
      <c r="LE36" s="43">
        <f t="shared" si="264"/>
        <v>0</v>
      </c>
      <c r="LF36" s="43">
        <f t="shared" si="265"/>
        <v>0</v>
      </c>
      <c r="LG36" s="43">
        <f t="shared" si="266"/>
        <v>0</v>
      </c>
      <c r="LH36" s="43">
        <f t="shared" si="267"/>
        <v>0</v>
      </c>
      <c r="LI36" s="43">
        <f t="shared" si="268"/>
        <v>0</v>
      </c>
      <c r="LJ36" s="43">
        <f t="shared" si="269"/>
        <v>0</v>
      </c>
      <c r="LK36" s="43">
        <f t="shared" si="270"/>
        <v>1194.5146499999996</v>
      </c>
      <c r="LL36" s="43">
        <f t="shared" si="271"/>
        <v>0</v>
      </c>
      <c r="LM36" s="43">
        <f t="shared" si="272"/>
        <v>0</v>
      </c>
      <c r="LN36" s="43">
        <f t="shared" si="273"/>
        <v>0</v>
      </c>
      <c r="LO36" s="43">
        <f t="shared" si="274"/>
        <v>0</v>
      </c>
      <c r="LP36" s="43">
        <f t="shared" si="275"/>
        <v>35.996999999999993</v>
      </c>
      <c r="LQ36" s="28">
        <f t="shared" si="113"/>
        <v>2853.0400860525247</v>
      </c>
      <c r="LR36" s="65">
        <v>710</v>
      </c>
      <c r="LS36" s="32">
        <f t="shared" si="114"/>
        <v>4.0183663183838378</v>
      </c>
      <c r="LT36" s="26">
        <f t="shared" si="115"/>
        <v>1.0979142946403928</v>
      </c>
      <c r="LU36" s="31">
        <f t="shared" si="116"/>
        <v>0</v>
      </c>
      <c r="LW36" s="42"/>
      <c r="MA36" s="32">
        <f t="shared" si="117"/>
        <v>4.0183663183838378</v>
      </c>
      <c r="MB36" s="26">
        <f t="shared" si="118"/>
        <v>1.0979142946403928</v>
      </c>
    </row>
    <row r="37" spans="1:340" ht="15.75" thickBot="1">
      <c r="A37" t="b">
        <f t="shared" si="3"/>
        <v>1</v>
      </c>
      <c r="B37" s="123" t="s">
        <v>169</v>
      </c>
      <c r="C37" s="39" t="s">
        <v>170</v>
      </c>
      <c r="D37"/>
      <c r="E37" s="97">
        <v>46027</v>
      </c>
      <c r="F37" t="s">
        <v>43</v>
      </c>
      <c r="G37" t="s">
        <v>20</v>
      </c>
      <c r="H37" t="s">
        <v>26</v>
      </c>
      <c r="I37" s="77"/>
      <c r="J37" s="77"/>
      <c r="K37" s="77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24"/>
      <c r="AG37" s="124"/>
      <c r="AH37" s="104"/>
      <c r="AI37" s="104"/>
      <c r="AJ37" s="22">
        <v>0.35</v>
      </c>
      <c r="AK37" s="104"/>
      <c r="AL37" s="104"/>
      <c r="AM37" s="104"/>
      <c r="AN37" s="104"/>
      <c r="AO37" s="104"/>
      <c r="AP37" s="104"/>
      <c r="AQ37" s="104"/>
      <c r="AR37" s="22">
        <v>0.05</v>
      </c>
      <c r="AS37" s="104"/>
      <c r="AT37" s="104"/>
      <c r="AU37" s="104"/>
      <c r="AV37" s="104"/>
      <c r="AW37" s="104"/>
      <c r="AX37" s="104"/>
      <c r="AY37" s="104"/>
      <c r="AZ37" s="104">
        <v>0.6</v>
      </c>
      <c r="BA37" s="104"/>
      <c r="BB37" s="104"/>
      <c r="BC37" s="124"/>
      <c r="BD37" s="124"/>
      <c r="BE37" s="104"/>
      <c r="BF37" s="104"/>
      <c r="BG37" s="104"/>
      <c r="BH37" s="104"/>
      <c r="BI37" s="78">
        <f t="shared" si="4"/>
        <v>1</v>
      </c>
      <c r="BJ37" s="105"/>
      <c r="BK37" s="105"/>
      <c r="BL37" s="105"/>
      <c r="BM37" s="105"/>
      <c r="BN37" s="105"/>
      <c r="BO37" s="105"/>
      <c r="BP37" s="105"/>
      <c r="BQ37" s="105"/>
      <c r="BR37" s="105"/>
      <c r="BS37" s="105"/>
      <c r="BT37" s="105"/>
      <c r="BU37" s="105"/>
      <c r="BV37" s="105"/>
      <c r="BW37" s="105"/>
      <c r="BX37" s="105"/>
      <c r="BY37" s="105"/>
      <c r="BZ37" s="105"/>
      <c r="CA37" s="105"/>
      <c r="CB37" s="105"/>
      <c r="CC37" s="105"/>
      <c r="CD37" s="105"/>
      <c r="CE37" s="105"/>
      <c r="CF37" s="120"/>
      <c r="CG37" s="128"/>
      <c r="CH37" s="128"/>
      <c r="CI37" s="105"/>
      <c r="CJ37" s="105"/>
      <c r="CK37" s="105"/>
      <c r="CL37" s="105">
        <v>0.35</v>
      </c>
      <c r="CM37" s="105"/>
      <c r="CN37" s="105"/>
      <c r="CO37" s="105"/>
      <c r="CP37" s="105"/>
      <c r="CQ37" s="105"/>
      <c r="CR37" s="105"/>
      <c r="CS37" s="105">
        <v>0.05</v>
      </c>
      <c r="CT37" s="105"/>
      <c r="CU37" s="105"/>
      <c r="CV37" s="105"/>
      <c r="CW37" s="105"/>
      <c r="CX37" s="105"/>
      <c r="CY37" s="105"/>
      <c r="CZ37" s="105"/>
      <c r="DA37" s="105">
        <v>0.6</v>
      </c>
      <c r="DB37" s="105"/>
      <c r="DC37" s="105"/>
      <c r="DD37" s="125"/>
      <c r="DE37" s="125"/>
      <c r="DF37" s="105"/>
      <c r="DG37" s="105"/>
      <c r="DH37" s="105"/>
      <c r="DI37" s="105"/>
      <c r="DJ37" s="79">
        <f t="shared" si="5"/>
        <v>1</v>
      </c>
      <c r="DK37" s="108"/>
      <c r="DL37" s="108"/>
      <c r="DM37" s="108"/>
      <c r="DN37" s="108"/>
      <c r="DO37" s="108"/>
      <c r="DP37" s="108"/>
      <c r="DQ37" s="108"/>
      <c r="DR37" s="108"/>
      <c r="DS37" s="108">
        <v>0.2</v>
      </c>
      <c r="DT37" s="108"/>
      <c r="DU37" s="108"/>
      <c r="DV37" s="108"/>
      <c r="DW37" s="108"/>
      <c r="DX37" s="108"/>
      <c r="DY37" s="108"/>
      <c r="DZ37" s="108"/>
      <c r="EA37" s="108">
        <v>0.6</v>
      </c>
      <c r="EB37" s="108"/>
      <c r="EC37" s="108"/>
      <c r="ED37" s="108"/>
      <c r="EE37" s="108"/>
      <c r="EF37" s="108"/>
      <c r="EG37" s="108"/>
      <c r="EH37" s="129"/>
      <c r="EI37" s="129"/>
      <c r="EJ37" s="108"/>
      <c r="EK37" s="108"/>
      <c r="EL37" s="108"/>
      <c r="EM37" s="108"/>
      <c r="EN37" s="108"/>
      <c r="EO37" s="108"/>
      <c r="EP37" s="108"/>
      <c r="EQ37" s="108"/>
      <c r="ER37" s="108"/>
      <c r="ES37" s="106"/>
      <c r="ET37" s="106"/>
      <c r="EU37" s="106">
        <v>0.18</v>
      </c>
      <c r="EV37" s="106"/>
      <c r="EW37" s="106"/>
      <c r="EX37" s="106"/>
      <c r="EY37" s="106"/>
      <c r="EZ37" s="106"/>
      <c r="FA37" s="106"/>
      <c r="FB37" s="106"/>
      <c r="FC37" s="106"/>
      <c r="FD37" s="106"/>
      <c r="FE37" s="126"/>
      <c r="FF37" s="126"/>
      <c r="FG37" s="106"/>
      <c r="FH37" s="106"/>
      <c r="FI37" s="106"/>
      <c r="FJ37" s="106">
        <v>0.02</v>
      </c>
      <c r="FK37" s="17">
        <f t="shared" si="6"/>
        <v>1</v>
      </c>
      <c r="FL37" s="18"/>
      <c r="FM37" s="19">
        <f t="shared" si="119"/>
        <v>0</v>
      </c>
      <c r="FN37" s="19">
        <f t="shared" si="120"/>
        <v>0</v>
      </c>
      <c r="FO37" s="19">
        <f t="shared" si="121"/>
        <v>0</v>
      </c>
      <c r="FP37" s="19">
        <f t="shared" si="122"/>
        <v>0</v>
      </c>
      <c r="FQ37" s="19">
        <f t="shared" si="123"/>
        <v>0</v>
      </c>
      <c r="FR37" s="19">
        <f t="shared" si="124"/>
        <v>0</v>
      </c>
      <c r="FS37" s="19">
        <f t="shared" si="125"/>
        <v>0</v>
      </c>
      <c r="FT37" s="19">
        <f t="shared" si="126"/>
        <v>0</v>
      </c>
      <c r="FU37" s="19">
        <f t="shared" si="127"/>
        <v>0.30000000000000004</v>
      </c>
      <c r="FV37" s="19">
        <f t="shared" si="128"/>
        <v>0</v>
      </c>
      <c r="FW37" s="19">
        <f t="shared" si="129"/>
        <v>0</v>
      </c>
      <c r="FX37" s="19">
        <f t="shared" si="130"/>
        <v>0</v>
      </c>
      <c r="FY37" s="19">
        <f t="shared" si="131"/>
        <v>0</v>
      </c>
      <c r="FZ37" s="19">
        <f t="shared" si="132"/>
        <v>0</v>
      </c>
      <c r="GA37" s="19">
        <f t="shared" si="133"/>
        <v>0</v>
      </c>
      <c r="GB37" s="19">
        <f t="shared" si="134"/>
        <v>0</v>
      </c>
      <c r="GC37" s="19">
        <f t="shared" si="135"/>
        <v>0.89999999999999991</v>
      </c>
      <c r="GD37" s="19">
        <f t="shared" si="136"/>
        <v>0</v>
      </c>
      <c r="GE37" s="19">
        <f t="shared" si="137"/>
        <v>0</v>
      </c>
      <c r="GF37" s="19">
        <f t="shared" si="138"/>
        <v>0</v>
      </c>
      <c r="GG37" s="19">
        <f t="shared" si="139"/>
        <v>0</v>
      </c>
      <c r="GH37" s="19">
        <f t="shared" si="140"/>
        <v>0</v>
      </c>
      <c r="GI37" s="19">
        <f t="shared" si="141"/>
        <v>0</v>
      </c>
      <c r="GJ37" s="19">
        <f t="shared" si="142"/>
        <v>0</v>
      </c>
      <c r="GK37" s="19">
        <f t="shared" si="143"/>
        <v>0</v>
      </c>
      <c r="GL37" s="19">
        <f t="shared" si="144"/>
        <v>0</v>
      </c>
      <c r="GM37" s="19">
        <f t="shared" si="145"/>
        <v>0</v>
      </c>
      <c r="GN37" s="19">
        <f t="shared" si="146"/>
        <v>0.52499999999999991</v>
      </c>
      <c r="GO37" s="19">
        <f t="shared" si="147"/>
        <v>0.7</v>
      </c>
      <c r="GP37" s="19">
        <f t="shared" si="148"/>
        <v>0</v>
      </c>
      <c r="GQ37" s="19">
        <f t="shared" si="149"/>
        <v>0</v>
      </c>
      <c r="GR37" s="19">
        <f t="shared" si="150"/>
        <v>0</v>
      </c>
      <c r="GS37" s="19">
        <f t="shared" si="151"/>
        <v>0</v>
      </c>
      <c r="GT37" s="19">
        <f t="shared" si="152"/>
        <v>0</v>
      </c>
      <c r="GU37" s="19">
        <f t="shared" si="153"/>
        <v>0</v>
      </c>
      <c r="GV37" s="19">
        <f t="shared" si="154"/>
        <v>0.17500000000000002</v>
      </c>
      <c r="GW37" s="19">
        <f t="shared" si="155"/>
        <v>0.27</v>
      </c>
      <c r="GX37" s="19">
        <f t="shared" si="156"/>
        <v>0</v>
      </c>
      <c r="GY37" s="19">
        <f t="shared" si="157"/>
        <v>0</v>
      </c>
      <c r="GZ37" s="19">
        <f t="shared" si="158"/>
        <v>0</v>
      </c>
      <c r="HA37" s="19">
        <f t="shared" si="159"/>
        <v>0</v>
      </c>
      <c r="HB37" s="19">
        <f t="shared" si="160"/>
        <v>0</v>
      </c>
      <c r="HC37" s="19">
        <f t="shared" si="161"/>
        <v>0</v>
      </c>
      <c r="HD37" s="19">
        <f t="shared" si="162"/>
        <v>2.0999999999999996</v>
      </c>
      <c r="HE37" s="19">
        <f t="shared" si="163"/>
        <v>0</v>
      </c>
      <c r="HF37" s="19">
        <f t="shared" si="164"/>
        <v>0</v>
      </c>
      <c r="HG37" s="19">
        <f t="shared" si="165"/>
        <v>0</v>
      </c>
      <c r="HH37" s="19">
        <f t="shared" si="166"/>
        <v>0</v>
      </c>
      <c r="HI37" s="19">
        <f t="shared" si="167"/>
        <v>0</v>
      </c>
      <c r="HJ37" s="19">
        <f t="shared" si="168"/>
        <v>0</v>
      </c>
      <c r="HK37" s="19">
        <f t="shared" si="169"/>
        <v>0</v>
      </c>
      <c r="HL37" s="19">
        <f t="shared" si="170"/>
        <v>0.03</v>
      </c>
      <c r="HM37" s="20">
        <f t="shared" si="171"/>
        <v>4.9999999999999991</v>
      </c>
      <c r="HN37" s="53">
        <v>1657</v>
      </c>
      <c r="HO37" s="21">
        <f t="shared" si="172"/>
        <v>0</v>
      </c>
      <c r="HP37" s="21">
        <f t="shared" si="173"/>
        <v>0</v>
      </c>
      <c r="HQ37" s="21">
        <f t="shared" si="174"/>
        <v>0</v>
      </c>
      <c r="HR37" s="21">
        <f t="shared" si="175"/>
        <v>0</v>
      </c>
      <c r="HS37" s="21">
        <f t="shared" si="176"/>
        <v>0</v>
      </c>
      <c r="HT37" s="69">
        <f t="shared" si="177"/>
        <v>0</v>
      </c>
      <c r="HU37" s="21">
        <f t="shared" si="178"/>
        <v>0</v>
      </c>
      <c r="HV37" s="21">
        <f t="shared" si="179"/>
        <v>0</v>
      </c>
      <c r="HW37" s="21">
        <f t="shared" si="180"/>
        <v>99.42000000000003</v>
      </c>
      <c r="HX37" s="21">
        <f t="shared" si="181"/>
        <v>0</v>
      </c>
      <c r="HY37" s="21">
        <f t="shared" si="182"/>
        <v>0</v>
      </c>
      <c r="HZ37" s="21">
        <f t="shared" si="183"/>
        <v>0</v>
      </c>
      <c r="IA37" s="21">
        <f t="shared" si="184"/>
        <v>0</v>
      </c>
      <c r="IB37" s="21">
        <f t="shared" si="185"/>
        <v>0</v>
      </c>
      <c r="IC37" s="21">
        <f t="shared" si="186"/>
        <v>0</v>
      </c>
      <c r="ID37" s="21">
        <f t="shared" si="187"/>
        <v>0</v>
      </c>
      <c r="IE37" s="21">
        <f t="shared" si="188"/>
        <v>298.26000000000005</v>
      </c>
      <c r="IF37" s="69">
        <f t="shared" si="189"/>
        <v>0</v>
      </c>
      <c r="IG37" s="69">
        <f t="shared" si="190"/>
        <v>0</v>
      </c>
      <c r="IH37" s="69">
        <f t="shared" si="191"/>
        <v>0</v>
      </c>
      <c r="II37" s="21">
        <f t="shared" si="192"/>
        <v>0</v>
      </c>
      <c r="IJ37" s="21">
        <f t="shared" si="193"/>
        <v>0</v>
      </c>
      <c r="IK37" s="21">
        <f t="shared" si="194"/>
        <v>0</v>
      </c>
      <c r="IL37" s="21">
        <f t="shared" si="195"/>
        <v>0</v>
      </c>
      <c r="IM37" s="21">
        <f t="shared" si="196"/>
        <v>0</v>
      </c>
      <c r="IN37" s="21">
        <f t="shared" si="197"/>
        <v>0</v>
      </c>
      <c r="IO37" s="21">
        <f t="shared" si="198"/>
        <v>0</v>
      </c>
      <c r="IP37" s="21">
        <f t="shared" si="199"/>
        <v>173.98499999999999</v>
      </c>
      <c r="IQ37" s="21">
        <f t="shared" si="200"/>
        <v>231.98000000000002</v>
      </c>
      <c r="IR37" s="21">
        <f t="shared" si="201"/>
        <v>0</v>
      </c>
      <c r="IS37" s="21">
        <f t="shared" si="202"/>
        <v>0</v>
      </c>
      <c r="IT37" s="21">
        <f t="shared" si="203"/>
        <v>0</v>
      </c>
      <c r="IU37" s="21">
        <f t="shared" si="204"/>
        <v>0</v>
      </c>
      <c r="IV37" s="21">
        <f t="shared" si="205"/>
        <v>0</v>
      </c>
      <c r="IW37" s="21">
        <f t="shared" si="206"/>
        <v>0</v>
      </c>
      <c r="IX37" s="21">
        <f t="shared" si="207"/>
        <v>57.995000000000012</v>
      </c>
      <c r="IY37" s="21">
        <f t="shared" si="208"/>
        <v>89.478000000000023</v>
      </c>
      <c r="IZ37" s="21">
        <f t="shared" si="209"/>
        <v>0</v>
      </c>
      <c r="JA37" s="21">
        <f t="shared" si="210"/>
        <v>0</v>
      </c>
      <c r="JB37" s="21">
        <f t="shared" si="211"/>
        <v>0</v>
      </c>
      <c r="JC37" s="21">
        <f t="shared" si="212"/>
        <v>0</v>
      </c>
      <c r="JD37" s="21">
        <f t="shared" si="213"/>
        <v>0</v>
      </c>
      <c r="JE37" s="21">
        <f t="shared" si="214"/>
        <v>0</v>
      </c>
      <c r="JF37" s="21">
        <f t="shared" si="215"/>
        <v>695.93999999999994</v>
      </c>
      <c r="JG37" s="21">
        <f t="shared" si="216"/>
        <v>0</v>
      </c>
      <c r="JH37" s="21">
        <f t="shared" si="217"/>
        <v>0</v>
      </c>
      <c r="JI37" s="21">
        <f t="shared" si="218"/>
        <v>0</v>
      </c>
      <c r="JJ37" s="21">
        <f t="shared" si="219"/>
        <v>0</v>
      </c>
      <c r="JK37" s="21">
        <f t="shared" si="220"/>
        <v>0</v>
      </c>
      <c r="JL37" s="21">
        <f t="shared" si="221"/>
        <v>0</v>
      </c>
      <c r="JM37" s="21">
        <f t="shared" si="222"/>
        <v>0</v>
      </c>
      <c r="JN37" s="21">
        <f t="shared" si="223"/>
        <v>9.9420000000000019</v>
      </c>
      <c r="JO37" s="35">
        <f t="shared" si="110"/>
        <v>1657</v>
      </c>
      <c r="JP37" s="38">
        <f t="shared" si="111"/>
        <v>0</v>
      </c>
      <c r="JQ37" s="43">
        <f t="shared" si="224"/>
        <v>0</v>
      </c>
      <c r="JR37" s="43">
        <f t="shared" si="225"/>
        <v>0</v>
      </c>
      <c r="JS37" s="43">
        <f t="shared" si="226"/>
        <v>0</v>
      </c>
      <c r="JT37" s="43">
        <f t="shared" si="227"/>
        <v>0</v>
      </c>
      <c r="JU37" s="43">
        <f t="shared" si="228"/>
        <v>0</v>
      </c>
      <c r="JV37" s="43">
        <f t="shared" si="229"/>
        <v>0</v>
      </c>
      <c r="JW37" s="43">
        <f t="shared" si="230"/>
        <v>0</v>
      </c>
      <c r="JX37" s="43">
        <f t="shared" si="231"/>
        <v>0</v>
      </c>
      <c r="JY37" s="43">
        <f t="shared" si="232"/>
        <v>460.48957920000015</v>
      </c>
      <c r="JZ37" s="43">
        <f t="shared" si="233"/>
        <v>0</v>
      </c>
      <c r="KA37" s="43">
        <f t="shared" si="234"/>
        <v>0</v>
      </c>
      <c r="KB37" s="43">
        <f t="shared" si="235"/>
        <v>0</v>
      </c>
      <c r="KC37" s="43">
        <f t="shared" si="236"/>
        <v>0</v>
      </c>
      <c r="KD37" s="43">
        <f t="shared" si="237"/>
        <v>0</v>
      </c>
      <c r="KE37" s="43">
        <f t="shared" si="238"/>
        <v>0</v>
      </c>
      <c r="KF37" s="43">
        <f t="shared" si="239"/>
        <v>0</v>
      </c>
      <c r="KG37" s="43">
        <f t="shared" si="240"/>
        <v>1237.7566335127276</v>
      </c>
      <c r="KH37" s="43">
        <f t="shared" si="241"/>
        <v>0</v>
      </c>
      <c r="KI37" s="43">
        <f t="shared" si="242"/>
        <v>0</v>
      </c>
      <c r="KJ37" s="43">
        <f t="shared" si="243"/>
        <v>0</v>
      </c>
      <c r="KK37" s="43">
        <f t="shared" si="244"/>
        <v>0</v>
      </c>
      <c r="KL37" s="43">
        <f t="shared" si="245"/>
        <v>0</v>
      </c>
      <c r="KM37" s="43">
        <f t="shared" si="246"/>
        <v>0</v>
      </c>
      <c r="KN37" s="43">
        <f t="shared" si="247"/>
        <v>0</v>
      </c>
      <c r="KO37" s="43">
        <f t="shared" si="248"/>
        <v>0</v>
      </c>
      <c r="KP37" s="43">
        <f t="shared" si="249"/>
        <v>0</v>
      </c>
      <c r="KQ37" s="43">
        <f t="shared" si="250"/>
        <v>0</v>
      </c>
      <c r="KR37" s="43">
        <f t="shared" si="251"/>
        <v>671.58209999999997</v>
      </c>
      <c r="KS37" s="43">
        <f t="shared" si="252"/>
        <v>793.2164030367677</v>
      </c>
      <c r="KT37" s="43">
        <f t="shared" si="253"/>
        <v>0</v>
      </c>
      <c r="KU37" s="43">
        <f t="shared" si="254"/>
        <v>0</v>
      </c>
      <c r="KV37" s="43">
        <f t="shared" si="255"/>
        <v>0</v>
      </c>
      <c r="KW37" s="43">
        <f t="shared" si="256"/>
        <v>0</v>
      </c>
      <c r="KX37" s="43">
        <f t="shared" si="257"/>
        <v>0</v>
      </c>
      <c r="KY37" s="43">
        <f t="shared" si="258"/>
        <v>0</v>
      </c>
      <c r="KZ37" s="43">
        <f t="shared" si="259"/>
        <v>501.6567500000001</v>
      </c>
      <c r="LA37" s="43">
        <f t="shared" si="260"/>
        <v>358.52402952000006</v>
      </c>
      <c r="LB37" s="43">
        <f t="shared" si="261"/>
        <v>0</v>
      </c>
      <c r="LC37" s="43">
        <f t="shared" si="262"/>
        <v>0</v>
      </c>
      <c r="LD37" s="43">
        <f t="shared" si="263"/>
        <v>0</v>
      </c>
      <c r="LE37" s="43">
        <f t="shared" si="264"/>
        <v>0</v>
      </c>
      <c r="LF37" s="43">
        <f t="shared" si="265"/>
        <v>0</v>
      </c>
      <c r="LG37" s="43">
        <f t="shared" si="266"/>
        <v>0</v>
      </c>
      <c r="LH37" s="43">
        <f t="shared" si="267"/>
        <v>2913.6572150593938</v>
      </c>
      <c r="LI37" s="43">
        <f t="shared" si="268"/>
        <v>0</v>
      </c>
      <c r="LJ37" s="43">
        <f t="shared" si="269"/>
        <v>0</v>
      </c>
      <c r="LK37" s="43">
        <f t="shared" si="270"/>
        <v>0</v>
      </c>
      <c r="LL37" s="43">
        <f t="shared" si="271"/>
        <v>0</v>
      </c>
      <c r="LM37" s="43">
        <f t="shared" si="272"/>
        <v>0</v>
      </c>
      <c r="LN37" s="43">
        <f t="shared" si="273"/>
        <v>0</v>
      </c>
      <c r="LO37" s="43">
        <f t="shared" si="274"/>
        <v>0</v>
      </c>
      <c r="LP37" s="43">
        <f t="shared" si="275"/>
        <v>84.009900000000016</v>
      </c>
      <c r="LQ37" s="28">
        <f t="shared" si="113"/>
        <v>7020.8926103288895</v>
      </c>
      <c r="LR37" s="65">
        <v>1624</v>
      </c>
      <c r="LS37" s="32">
        <f t="shared" si="114"/>
        <v>4.323209735424193</v>
      </c>
      <c r="LT37" s="26">
        <f t="shared" si="115"/>
        <v>1.1812048457443149</v>
      </c>
      <c r="LU37" s="31">
        <f t="shared" si="116"/>
        <v>33</v>
      </c>
      <c r="LW37" s="42"/>
      <c r="MA37" s="32">
        <f t="shared" si="117"/>
        <v>4.2371108088888896</v>
      </c>
      <c r="MB37" s="26">
        <f t="shared" si="118"/>
        <v>1.1576805488767457</v>
      </c>
    </row>
    <row r="38" spans="1:340" ht="15.75" thickBot="1">
      <c r="A38" t="b">
        <f t="shared" si="3"/>
        <v>1</v>
      </c>
      <c r="B38" s="123" t="s">
        <v>171</v>
      </c>
      <c r="C38" s="39" t="s">
        <v>172</v>
      </c>
      <c r="D38"/>
      <c r="E38" s="97">
        <v>46027</v>
      </c>
      <c r="F38" t="s">
        <v>43</v>
      </c>
      <c r="G38" t="s">
        <v>20</v>
      </c>
      <c r="H38" t="s">
        <v>26</v>
      </c>
      <c r="I38" s="77"/>
      <c r="J38" s="77"/>
      <c r="K38" s="77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24"/>
      <c r="AG38" s="124"/>
      <c r="AH38" s="104"/>
      <c r="AI38" s="104"/>
      <c r="AJ38" s="22">
        <v>0.35</v>
      </c>
      <c r="AK38" s="22"/>
      <c r="AL38" s="22"/>
      <c r="AM38" s="22"/>
      <c r="AN38" s="22"/>
      <c r="AO38" s="104"/>
      <c r="AP38" s="22"/>
      <c r="AQ38" s="22"/>
      <c r="AR38" s="22">
        <v>0.05</v>
      </c>
      <c r="AS38" s="22"/>
      <c r="AT38" s="22"/>
      <c r="AU38" s="22"/>
      <c r="AV38" s="22"/>
      <c r="AW38" s="22"/>
      <c r="AX38" s="22"/>
      <c r="AY38" s="22"/>
      <c r="AZ38" s="104">
        <v>0.6</v>
      </c>
      <c r="BA38" s="104"/>
      <c r="BB38" s="104"/>
      <c r="BC38" s="124"/>
      <c r="BD38" s="124"/>
      <c r="BE38" s="104"/>
      <c r="BF38" s="104"/>
      <c r="BG38" s="104"/>
      <c r="BH38" s="104"/>
      <c r="BI38" s="78">
        <f t="shared" si="4"/>
        <v>1</v>
      </c>
      <c r="BJ38" s="105"/>
      <c r="BK38" s="105"/>
      <c r="BL38" s="105"/>
      <c r="BM38" s="105"/>
      <c r="BN38" s="105"/>
      <c r="BO38" s="105"/>
      <c r="BP38" s="105"/>
      <c r="BQ38" s="105"/>
      <c r="BR38" s="105"/>
      <c r="BS38" s="105"/>
      <c r="BT38" s="105"/>
      <c r="BU38" s="105"/>
      <c r="BV38" s="105"/>
      <c r="BW38" s="105"/>
      <c r="BX38" s="105"/>
      <c r="BY38" s="105"/>
      <c r="BZ38" s="105"/>
      <c r="CA38" s="105"/>
      <c r="CB38" s="105"/>
      <c r="CC38" s="105"/>
      <c r="CD38" s="105"/>
      <c r="CE38" s="105"/>
      <c r="CF38" s="120"/>
      <c r="CG38" s="128"/>
      <c r="CH38" s="128"/>
      <c r="CI38" s="105"/>
      <c r="CJ38" s="105"/>
      <c r="CK38" s="105"/>
      <c r="CL38" s="105">
        <v>0.35</v>
      </c>
      <c r="CM38" s="105"/>
      <c r="CN38" s="105"/>
      <c r="CO38" s="105"/>
      <c r="CP38" s="105"/>
      <c r="CQ38" s="105"/>
      <c r="CR38" s="105"/>
      <c r="CS38" s="105">
        <v>0.05</v>
      </c>
      <c r="CT38" s="105"/>
      <c r="CU38" s="105"/>
      <c r="CV38" s="105"/>
      <c r="CW38" s="105"/>
      <c r="CX38" s="105"/>
      <c r="CY38" s="105"/>
      <c r="CZ38" s="105"/>
      <c r="DA38" s="105">
        <v>0.6</v>
      </c>
      <c r="DB38" s="105"/>
      <c r="DC38" s="105"/>
      <c r="DD38" s="125"/>
      <c r="DE38" s="125"/>
      <c r="DF38" s="105"/>
      <c r="DG38" s="105"/>
      <c r="DH38" s="105"/>
      <c r="DI38" s="105"/>
      <c r="DJ38" s="79">
        <f t="shared" si="5"/>
        <v>1</v>
      </c>
      <c r="DK38" s="108"/>
      <c r="DL38" s="108"/>
      <c r="DM38" s="108"/>
      <c r="DN38" s="108"/>
      <c r="DO38" s="108"/>
      <c r="DP38" s="108"/>
      <c r="DQ38" s="108"/>
      <c r="DR38" s="108"/>
      <c r="DS38" s="108">
        <v>0.2</v>
      </c>
      <c r="DT38" s="108"/>
      <c r="DU38" s="108"/>
      <c r="DV38" s="108"/>
      <c r="DW38" s="108"/>
      <c r="DX38" s="108"/>
      <c r="DY38" s="108"/>
      <c r="DZ38" s="108"/>
      <c r="EA38" s="108">
        <v>0.6</v>
      </c>
      <c r="EB38" s="108"/>
      <c r="EC38" s="108"/>
      <c r="ED38" s="108"/>
      <c r="EE38" s="108"/>
      <c r="EF38" s="108"/>
      <c r="EG38" s="108"/>
      <c r="EH38" s="129"/>
      <c r="EI38" s="129"/>
      <c r="EJ38" s="108"/>
      <c r="EK38" s="108"/>
      <c r="EL38" s="108"/>
      <c r="EM38" s="108"/>
      <c r="EN38" s="108"/>
      <c r="EO38" s="108"/>
      <c r="EP38" s="108"/>
      <c r="EQ38" s="108"/>
      <c r="ER38" s="108"/>
      <c r="ES38" s="106"/>
      <c r="ET38" s="106"/>
      <c r="EU38" s="106">
        <v>0.18</v>
      </c>
      <c r="EV38" s="106"/>
      <c r="EW38" s="106"/>
      <c r="EX38" s="106"/>
      <c r="EY38" s="106"/>
      <c r="EZ38" s="106"/>
      <c r="FA38" s="106"/>
      <c r="FB38" s="106"/>
      <c r="FC38" s="106"/>
      <c r="FD38" s="106"/>
      <c r="FE38" s="126"/>
      <c r="FF38" s="126"/>
      <c r="FG38" s="106"/>
      <c r="FH38" s="106"/>
      <c r="FI38" s="106"/>
      <c r="FJ38" s="106">
        <v>0.02</v>
      </c>
      <c r="FK38" s="17">
        <f t="shared" si="6"/>
        <v>1</v>
      </c>
      <c r="FL38" s="18"/>
      <c r="FM38" s="19">
        <f t="shared" si="119"/>
        <v>0</v>
      </c>
      <c r="FN38" s="19">
        <f t="shared" si="120"/>
        <v>0</v>
      </c>
      <c r="FO38" s="19">
        <f t="shared" si="121"/>
        <v>0</v>
      </c>
      <c r="FP38" s="19">
        <f t="shared" si="122"/>
        <v>0</v>
      </c>
      <c r="FQ38" s="19">
        <f t="shared" si="123"/>
        <v>0</v>
      </c>
      <c r="FR38" s="19">
        <f t="shared" si="124"/>
        <v>0</v>
      </c>
      <c r="FS38" s="19">
        <f t="shared" si="125"/>
        <v>0</v>
      </c>
      <c r="FT38" s="19">
        <f t="shared" si="126"/>
        <v>0</v>
      </c>
      <c r="FU38" s="19">
        <f t="shared" si="127"/>
        <v>0.30000000000000004</v>
      </c>
      <c r="FV38" s="19">
        <f t="shared" si="128"/>
        <v>0</v>
      </c>
      <c r="FW38" s="19">
        <f t="shared" si="129"/>
        <v>0</v>
      </c>
      <c r="FX38" s="19">
        <f t="shared" si="130"/>
        <v>0</v>
      </c>
      <c r="FY38" s="19">
        <f t="shared" si="131"/>
        <v>0</v>
      </c>
      <c r="FZ38" s="19">
        <f t="shared" si="132"/>
        <v>0</v>
      </c>
      <c r="GA38" s="19">
        <f t="shared" si="133"/>
        <v>0</v>
      </c>
      <c r="GB38" s="19">
        <f t="shared" si="134"/>
        <v>0</v>
      </c>
      <c r="GC38" s="19">
        <f t="shared" si="135"/>
        <v>0.89999999999999991</v>
      </c>
      <c r="GD38" s="19">
        <f t="shared" si="136"/>
        <v>0</v>
      </c>
      <c r="GE38" s="19">
        <f t="shared" si="137"/>
        <v>0</v>
      </c>
      <c r="GF38" s="19">
        <f t="shared" si="138"/>
        <v>0</v>
      </c>
      <c r="GG38" s="19">
        <f t="shared" si="139"/>
        <v>0</v>
      </c>
      <c r="GH38" s="19">
        <f t="shared" si="140"/>
        <v>0</v>
      </c>
      <c r="GI38" s="19">
        <f t="shared" si="141"/>
        <v>0</v>
      </c>
      <c r="GJ38" s="19">
        <f t="shared" si="142"/>
        <v>0</v>
      </c>
      <c r="GK38" s="19">
        <f t="shared" si="143"/>
        <v>0</v>
      </c>
      <c r="GL38" s="19">
        <f t="shared" si="144"/>
        <v>0</v>
      </c>
      <c r="GM38" s="19">
        <f t="shared" si="145"/>
        <v>0</v>
      </c>
      <c r="GN38" s="19">
        <f t="shared" si="146"/>
        <v>0.52499999999999991</v>
      </c>
      <c r="GO38" s="19">
        <f t="shared" si="147"/>
        <v>0.7</v>
      </c>
      <c r="GP38" s="19">
        <f t="shared" si="148"/>
        <v>0</v>
      </c>
      <c r="GQ38" s="19">
        <f t="shared" si="149"/>
        <v>0</v>
      </c>
      <c r="GR38" s="19">
        <f t="shared" si="150"/>
        <v>0</v>
      </c>
      <c r="GS38" s="19">
        <f t="shared" si="151"/>
        <v>0</v>
      </c>
      <c r="GT38" s="19">
        <f t="shared" si="152"/>
        <v>0</v>
      </c>
      <c r="GU38" s="19">
        <f t="shared" si="153"/>
        <v>0</v>
      </c>
      <c r="GV38" s="19">
        <f t="shared" si="154"/>
        <v>0.17500000000000002</v>
      </c>
      <c r="GW38" s="19">
        <f t="shared" si="155"/>
        <v>0.27</v>
      </c>
      <c r="GX38" s="19">
        <f t="shared" si="156"/>
        <v>0</v>
      </c>
      <c r="GY38" s="19">
        <f t="shared" si="157"/>
        <v>0</v>
      </c>
      <c r="GZ38" s="19">
        <f t="shared" si="158"/>
        <v>0</v>
      </c>
      <c r="HA38" s="19">
        <f t="shared" si="159"/>
        <v>0</v>
      </c>
      <c r="HB38" s="19">
        <f t="shared" si="160"/>
        <v>0</v>
      </c>
      <c r="HC38" s="19">
        <f t="shared" si="161"/>
        <v>0</v>
      </c>
      <c r="HD38" s="19">
        <f t="shared" si="162"/>
        <v>2.0999999999999996</v>
      </c>
      <c r="HE38" s="19">
        <f t="shared" si="163"/>
        <v>0</v>
      </c>
      <c r="HF38" s="19">
        <f t="shared" si="164"/>
        <v>0</v>
      </c>
      <c r="HG38" s="19">
        <f t="shared" si="165"/>
        <v>0</v>
      </c>
      <c r="HH38" s="19">
        <f t="shared" si="166"/>
        <v>0</v>
      </c>
      <c r="HI38" s="19">
        <f t="shared" si="167"/>
        <v>0</v>
      </c>
      <c r="HJ38" s="19">
        <f t="shared" si="168"/>
        <v>0</v>
      </c>
      <c r="HK38" s="19">
        <f t="shared" si="169"/>
        <v>0</v>
      </c>
      <c r="HL38" s="19">
        <f t="shared" si="170"/>
        <v>0.03</v>
      </c>
      <c r="HM38" s="20">
        <f t="shared" si="171"/>
        <v>4.9999999999999991</v>
      </c>
      <c r="HN38" s="53">
        <v>1344</v>
      </c>
      <c r="HO38" s="21">
        <f t="shared" si="172"/>
        <v>0</v>
      </c>
      <c r="HP38" s="21">
        <f t="shared" si="173"/>
        <v>0</v>
      </c>
      <c r="HQ38" s="21">
        <f t="shared" si="174"/>
        <v>0</v>
      </c>
      <c r="HR38" s="21">
        <f t="shared" si="175"/>
        <v>0</v>
      </c>
      <c r="HS38" s="21">
        <f t="shared" si="176"/>
        <v>0</v>
      </c>
      <c r="HT38" s="69">
        <f t="shared" si="177"/>
        <v>0</v>
      </c>
      <c r="HU38" s="21">
        <f t="shared" si="178"/>
        <v>0</v>
      </c>
      <c r="HV38" s="21">
        <f t="shared" si="179"/>
        <v>0</v>
      </c>
      <c r="HW38" s="21">
        <f t="shared" si="180"/>
        <v>80.640000000000029</v>
      </c>
      <c r="HX38" s="21">
        <f t="shared" si="181"/>
        <v>0</v>
      </c>
      <c r="HY38" s="21">
        <f t="shared" si="182"/>
        <v>0</v>
      </c>
      <c r="HZ38" s="21">
        <f t="shared" si="183"/>
        <v>0</v>
      </c>
      <c r="IA38" s="21">
        <f t="shared" si="184"/>
        <v>0</v>
      </c>
      <c r="IB38" s="21">
        <f t="shared" si="185"/>
        <v>0</v>
      </c>
      <c r="IC38" s="21">
        <f t="shared" si="186"/>
        <v>0</v>
      </c>
      <c r="ID38" s="21">
        <f t="shared" si="187"/>
        <v>0</v>
      </c>
      <c r="IE38" s="21">
        <f t="shared" si="188"/>
        <v>241.92000000000002</v>
      </c>
      <c r="IF38" s="69">
        <f t="shared" si="189"/>
        <v>0</v>
      </c>
      <c r="IG38" s="69">
        <f t="shared" si="190"/>
        <v>0</v>
      </c>
      <c r="IH38" s="69">
        <f t="shared" si="191"/>
        <v>0</v>
      </c>
      <c r="II38" s="21">
        <f t="shared" si="192"/>
        <v>0</v>
      </c>
      <c r="IJ38" s="21">
        <f t="shared" si="193"/>
        <v>0</v>
      </c>
      <c r="IK38" s="21">
        <f t="shared" si="194"/>
        <v>0</v>
      </c>
      <c r="IL38" s="21">
        <f t="shared" si="195"/>
        <v>0</v>
      </c>
      <c r="IM38" s="21">
        <f t="shared" si="196"/>
        <v>0</v>
      </c>
      <c r="IN38" s="21">
        <f t="shared" si="197"/>
        <v>0</v>
      </c>
      <c r="IO38" s="21">
        <f t="shared" si="198"/>
        <v>0</v>
      </c>
      <c r="IP38" s="21">
        <f t="shared" si="199"/>
        <v>141.12</v>
      </c>
      <c r="IQ38" s="21">
        <f t="shared" si="200"/>
        <v>188.16000000000003</v>
      </c>
      <c r="IR38" s="21">
        <f t="shared" si="201"/>
        <v>0</v>
      </c>
      <c r="IS38" s="21">
        <f t="shared" si="202"/>
        <v>0</v>
      </c>
      <c r="IT38" s="21">
        <f t="shared" si="203"/>
        <v>0</v>
      </c>
      <c r="IU38" s="21">
        <f t="shared" si="204"/>
        <v>0</v>
      </c>
      <c r="IV38" s="21">
        <f t="shared" si="205"/>
        <v>0</v>
      </c>
      <c r="IW38" s="21">
        <f t="shared" si="206"/>
        <v>0</v>
      </c>
      <c r="IX38" s="21">
        <f t="shared" si="207"/>
        <v>47.040000000000013</v>
      </c>
      <c r="IY38" s="21">
        <f t="shared" si="208"/>
        <v>72.576000000000008</v>
      </c>
      <c r="IZ38" s="21">
        <f t="shared" si="209"/>
        <v>0</v>
      </c>
      <c r="JA38" s="21">
        <f t="shared" si="210"/>
        <v>0</v>
      </c>
      <c r="JB38" s="21">
        <f t="shared" si="211"/>
        <v>0</v>
      </c>
      <c r="JC38" s="21">
        <f t="shared" si="212"/>
        <v>0</v>
      </c>
      <c r="JD38" s="21">
        <f t="shared" si="213"/>
        <v>0</v>
      </c>
      <c r="JE38" s="21">
        <f t="shared" si="214"/>
        <v>0</v>
      </c>
      <c r="JF38" s="21">
        <f t="shared" si="215"/>
        <v>564.48</v>
      </c>
      <c r="JG38" s="21">
        <f t="shared" si="216"/>
        <v>0</v>
      </c>
      <c r="JH38" s="21">
        <f t="shared" si="217"/>
        <v>0</v>
      </c>
      <c r="JI38" s="21">
        <f t="shared" si="218"/>
        <v>0</v>
      </c>
      <c r="JJ38" s="21">
        <f t="shared" si="219"/>
        <v>0</v>
      </c>
      <c r="JK38" s="21">
        <f t="shared" si="220"/>
        <v>0</v>
      </c>
      <c r="JL38" s="21">
        <f t="shared" si="221"/>
        <v>0</v>
      </c>
      <c r="JM38" s="21">
        <f t="shared" si="222"/>
        <v>0</v>
      </c>
      <c r="JN38" s="21">
        <f t="shared" si="223"/>
        <v>8.0640000000000018</v>
      </c>
      <c r="JO38" s="35">
        <f t="shared" si="110"/>
        <v>1344.0000000000002</v>
      </c>
      <c r="JP38" s="38">
        <f t="shared" si="111"/>
        <v>0</v>
      </c>
      <c r="JQ38" s="43">
        <f t="shared" si="224"/>
        <v>0</v>
      </c>
      <c r="JR38" s="43">
        <f t="shared" si="225"/>
        <v>0</v>
      </c>
      <c r="JS38" s="43">
        <f t="shared" si="226"/>
        <v>0</v>
      </c>
      <c r="JT38" s="43">
        <f t="shared" si="227"/>
        <v>0</v>
      </c>
      <c r="JU38" s="43">
        <f t="shared" si="228"/>
        <v>0</v>
      </c>
      <c r="JV38" s="43">
        <f t="shared" si="229"/>
        <v>0</v>
      </c>
      <c r="JW38" s="43">
        <f t="shared" si="230"/>
        <v>0</v>
      </c>
      <c r="JX38" s="43">
        <f t="shared" si="231"/>
        <v>0</v>
      </c>
      <c r="JY38" s="43">
        <f t="shared" si="232"/>
        <v>373.50512640000011</v>
      </c>
      <c r="JZ38" s="43">
        <f t="shared" si="233"/>
        <v>0</v>
      </c>
      <c r="KA38" s="43">
        <f t="shared" si="234"/>
        <v>0</v>
      </c>
      <c r="KB38" s="43">
        <f t="shared" si="235"/>
        <v>0</v>
      </c>
      <c r="KC38" s="43">
        <f t="shared" si="236"/>
        <v>0</v>
      </c>
      <c r="KD38" s="43">
        <f t="shared" si="237"/>
        <v>0</v>
      </c>
      <c r="KE38" s="43">
        <f t="shared" si="238"/>
        <v>0</v>
      </c>
      <c r="KF38" s="43">
        <f t="shared" si="239"/>
        <v>0</v>
      </c>
      <c r="KG38" s="43">
        <f t="shared" si="240"/>
        <v>1003.9498584436365</v>
      </c>
      <c r="KH38" s="43">
        <f t="shared" si="241"/>
        <v>0</v>
      </c>
      <c r="KI38" s="43">
        <f t="shared" si="242"/>
        <v>0</v>
      </c>
      <c r="KJ38" s="43">
        <f t="shared" si="243"/>
        <v>0</v>
      </c>
      <c r="KK38" s="43">
        <f t="shared" si="244"/>
        <v>0</v>
      </c>
      <c r="KL38" s="43">
        <f t="shared" si="245"/>
        <v>0</v>
      </c>
      <c r="KM38" s="43">
        <f t="shared" si="246"/>
        <v>0</v>
      </c>
      <c r="KN38" s="43">
        <f t="shared" si="247"/>
        <v>0</v>
      </c>
      <c r="KO38" s="43">
        <f t="shared" si="248"/>
        <v>0</v>
      </c>
      <c r="KP38" s="43">
        <f t="shared" si="249"/>
        <v>0</v>
      </c>
      <c r="KQ38" s="43">
        <f t="shared" si="250"/>
        <v>0</v>
      </c>
      <c r="KR38" s="43">
        <f t="shared" si="251"/>
        <v>544.72320000000002</v>
      </c>
      <c r="KS38" s="43">
        <f t="shared" si="252"/>
        <v>643.38131905939406</v>
      </c>
      <c r="KT38" s="43">
        <f t="shared" si="253"/>
        <v>0</v>
      </c>
      <c r="KU38" s="43">
        <f t="shared" si="254"/>
        <v>0</v>
      </c>
      <c r="KV38" s="43">
        <f t="shared" si="255"/>
        <v>0</v>
      </c>
      <c r="KW38" s="43">
        <f t="shared" si="256"/>
        <v>0</v>
      </c>
      <c r="KX38" s="43">
        <f t="shared" si="257"/>
        <v>0</v>
      </c>
      <c r="KY38" s="43">
        <f t="shared" si="258"/>
        <v>0</v>
      </c>
      <c r="KZ38" s="43">
        <f t="shared" si="259"/>
        <v>406.89600000000013</v>
      </c>
      <c r="LA38" s="43">
        <f t="shared" si="260"/>
        <v>290.80041984000002</v>
      </c>
      <c r="LB38" s="43">
        <f t="shared" si="261"/>
        <v>0</v>
      </c>
      <c r="LC38" s="43">
        <f t="shared" si="262"/>
        <v>0</v>
      </c>
      <c r="LD38" s="43">
        <f t="shared" si="263"/>
        <v>0</v>
      </c>
      <c r="LE38" s="43">
        <f t="shared" si="264"/>
        <v>0</v>
      </c>
      <c r="LF38" s="43">
        <f t="shared" si="265"/>
        <v>0</v>
      </c>
      <c r="LG38" s="43">
        <f t="shared" si="266"/>
        <v>0</v>
      </c>
      <c r="LH38" s="43">
        <f t="shared" si="267"/>
        <v>2363.2802034036367</v>
      </c>
      <c r="LI38" s="43">
        <f t="shared" si="268"/>
        <v>0</v>
      </c>
      <c r="LJ38" s="43">
        <f t="shared" si="269"/>
        <v>0</v>
      </c>
      <c r="LK38" s="43">
        <f t="shared" si="270"/>
        <v>0</v>
      </c>
      <c r="LL38" s="43">
        <f t="shared" si="271"/>
        <v>0</v>
      </c>
      <c r="LM38" s="43">
        <f t="shared" si="272"/>
        <v>0</v>
      </c>
      <c r="LN38" s="43">
        <f t="shared" si="273"/>
        <v>0</v>
      </c>
      <c r="LO38" s="43">
        <f t="shared" si="274"/>
        <v>0</v>
      </c>
      <c r="LP38" s="43">
        <f t="shared" si="275"/>
        <v>68.140800000000013</v>
      </c>
      <c r="LQ38" s="28">
        <f t="shared" si="113"/>
        <v>5694.6769271466683</v>
      </c>
      <c r="LR38" s="65">
        <v>1316</v>
      </c>
      <c r="LS38" s="32">
        <f t="shared" si="114"/>
        <v>4.3272621026950366</v>
      </c>
      <c r="LT38" s="26">
        <f t="shared" si="115"/>
        <v>1.1823120499166766</v>
      </c>
      <c r="LU38" s="31">
        <f t="shared" si="116"/>
        <v>28</v>
      </c>
      <c r="LW38" s="42"/>
      <c r="MA38" s="32">
        <f t="shared" si="117"/>
        <v>4.2371108088888896</v>
      </c>
      <c r="MB38" s="26">
        <f t="shared" si="118"/>
        <v>1.1576805488767457</v>
      </c>
    </row>
    <row r="39" spans="1:340" ht="15.75" thickBot="1">
      <c r="A39" t="b">
        <f t="shared" si="3"/>
        <v>1</v>
      </c>
      <c r="B39" s="123" t="s">
        <v>173</v>
      </c>
      <c r="C39" s="39" t="s">
        <v>174</v>
      </c>
      <c r="D39"/>
      <c r="E39" s="97">
        <v>46028</v>
      </c>
      <c r="F39" t="s">
        <v>43</v>
      </c>
      <c r="G39" t="s">
        <v>20</v>
      </c>
      <c r="H39" t="s">
        <v>26</v>
      </c>
      <c r="I39" s="77"/>
      <c r="J39" s="77"/>
      <c r="K39" s="77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24"/>
      <c r="AG39" s="124"/>
      <c r="AH39" s="104"/>
      <c r="AI39" s="104"/>
      <c r="AJ39" s="104">
        <v>0.35</v>
      </c>
      <c r="AK39" s="104"/>
      <c r="AL39" s="104"/>
      <c r="AM39" s="104"/>
      <c r="AN39" s="104"/>
      <c r="AO39" s="104"/>
      <c r="AP39" s="104"/>
      <c r="AQ39" s="104"/>
      <c r="AR39" s="104">
        <v>0.05</v>
      </c>
      <c r="AS39" s="104"/>
      <c r="AT39" s="104"/>
      <c r="AU39" s="104"/>
      <c r="AV39" s="104"/>
      <c r="AW39" s="104"/>
      <c r="AX39" s="104"/>
      <c r="AY39" s="104"/>
      <c r="AZ39" s="104">
        <v>0.6</v>
      </c>
      <c r="BA39" s="104"/>
      <c r="BB39" s="104"/>
      <c r="BC39" s="124"/>
      <c r="BD39" s="124"/>
      <c r="BE39" s="104"/>
      <c r="BF39" s="104"/>
      <c r="BG39" s="104"/>
      <c r="BH39" s="104"/>
      <c r="BI39" s="78">
        <f t="shared" si="4"/>
        <v>1</v>
      </c>
      <c r="BJ39" s="105"/>
      <c r="BK39" s="105"/>
      <c r="BL39" s="105"/>
      <c r="BM39" s="105"/>
      <c r="BN39" s="105"/>
      <c r="BO39" s="105"/>
      <c r="BP39" s="105"/>
      <c r="BQ39" s="105"/>
      <c r="BR39" s="105"/>
      <c r="BS39" s="105"/>
      <c r="BT39" s="105"/>
      <c r="BU39" s="105"/>
      <c r="BV39" s="105"/>
      <c r="BW39" s="105"/>
      <c r="BX39" s="105"/>
      <c r="BY39" s="105"/>
      <c r="BZ39" s="105"/>
      <c r="CA39" s="105"/>
      <c r="CB39" s="105"/>
      <c r="CC39" s="105"/>
      <c r="CD39" s="105"/>
      <c r="CE39" s="105"/>
      <c r="CF39" s="120"/>
      <c r="CG39" s="128"/>
      <c r="CH39" s="128"/>
      <c r="CI39" s="105"/>
      <c r="CJ39" s="105"/>
      <c r="CK39" s="105"/>
      <c r="CL39" s="105">
        <v>0.35</v>
      </c>
      <c r="CM39" s="105"/>
      <c r="CN39" s="105"/>
      <c r="CO39" s="105"/>
      <c r="CP39" s="105"/>
      <c r="CQ39" s="105"/>
      <c r="CR39" s="105"/>
      <c r="CS39" s="105">
        <v>0.05</v>
      </c>
      <c r="CT39" s="105"/>
      <c r="CU39" s="105"/>
      <c r="CV39" s="105"/>
      <c r="CW39" s="105"/>
      <c r="CX39" s="105"/>
      <c r="CY39" s="105"/>
      <c r="CZ39" s="105"/>
      <c r="DA39" s="105">
        <v>0.6</v>
      </c>
      <c r="DB39" s="105"/>
      <c r="DC39" s="105"/>
      <c r="DD39" s="125"/>
      <c r="DE39" s="125"/>
      <c r="DF39" s="105"/>
      <c r="DG39" s="105"/>
      <c r="DH39" s="105"/>
      <c r="DI39" s="105"/>
      <c r="DJ39" s="79">
        <f t="shared" si="5"/>
        <v>1</v>
      </c>
      <c r="DK39" s="108"/>
      <c r="DL39" s="108"/>
      <c r="DM39" s="108"/>
      <c r="DN39" s="108"/>
      <c r="DO39" s="108"/>
      <c r="DP39" s="108"/>
      <c r="DQ39" s="108"/>
      <c r="DR39" s="108"/>
      <c r="DS39" s="108">
        <v>0.2</v>
      </c>
      <c r="DT39" s="108"/>
      <c r="DU39" s="108"/>
      <c r="DV39" s="108"/>
      <c r="DW39" s="108"/>
      <c r="DX39" s="108"/>
      <c r="DY39" s="108"/>
      <c r="DZ39" s="108"/>
      <c r="EA39" s="108">
        <v>0.6</v>
      </c>
      <c r="EB39" s="108"/>
      <c r="EC39" s="108"/>
      <c r="ED39" s="108"/>
      <c r="EE39" s="108"/>
      <c r="EF39" s="108"/>
      <c r="EG39" s="108"/>
      <c r="EH39" s="129"/>
      <c r="EI39" s="129"/>
      <c r="EJ39" s="108"/>
      <c r="EK39" s="108"/>
      <c r="EL39" s="108"/>
      <c r="EM39" s="108"/>
      <c r="EN39" s="108"/>
      <c r="EO39" s="108"/>
      <c r="EP39" s="108"/>
      <c r="EQ39" s="108"/>
      <c r="ER39" s="108"/>
      <c r="ES39" s="106"/>
      <c r="ET39" s="106"/>
      <c r="EU39" s="106">
        <v>0.18</v>
      </c>
      <c r="EV39" s="106"/>
      <c r="EW39" s="106"/>
      <c r="EX39" s="106"/>
      <c r="EY39" s="106"/>
      <c r="EZ39" s="106"/>
      <c r="FA39" s="106"/>
      <c r="FB39" s="106"/>
      <c r="FC39" s="106"/>
      <c r="FD39" s="106"/>
      <c r="FE39" s="126"/>
      <c r="FF39" s="126"/>
      <c r="FG39" s="106"/>
      <c r="FH39" s="106"/>
      <c r="FI39" s="106"/>
      <c r="FJ39" s="106">
        <v>0.02</v>
      </c>
      <c r="FK39" s="17">
        <f t="shared" si="6"/>
        <v>1</v>
      </c>
      <c r="FL39" s="18"/>
      <c r="FM39" s="19">
        <f t="shared" si="119"/>
        <v>0</v>
      </c>
      <c r="FN39" s="19">
        <f t="shared" si="120"/>
        <v>0</v>
      </c>
      <c r="FO39" s="19">
        <f t="shared" si="121"/>
        <v>0</v>
      </c>
      <c r="FP39" s="19">
        <f t="shared" si="122"/>
        <v>0</v>
      </c>
      <c r="FQ39" s="19">
        <f t="shared" si="123"/>
        <v>0</v>
      </c>
      <c r="FR39" s="19">
        <f t="shared" si="124"/>
        <v>0</v>
      </c>
      <c r="FS39" s="19">
        <f t="shared" si="125"/>
        <v>0</v>
      </c>
      <c r="FT39" s="19">
        <f t="shared" si="126"/>
        <v>0</v>
      </c>
      <c r="FU39" s="19">
        <f t="shared" si="127"/>
        <v>0.30000000000000004</v>
      </c>
      <c r="FV39" s="19">
        <f t="shared" si="128"/>
        <v>0</v>
      </c>
      <c r="FW39" s="19">
        <f t="shared" si="129"/>
        <v>0</v>
      </c>
      <c r="FX39" s="19">
        <f t="shared" si="130"/>
        <v>0</v>
      </c>
      <c r="FY39" s="19">
        <f t="shared" si="131"/>
        <v>0</v>
      </c>
      <c r="FZ39" s="19">
        <f t="shared" si="132"/>
        <v>0</v>
      </c>
      <c r="GA39" s="19">
        <f t="shared" si="133"/>
        <v>0</v>
      </c>
      <c r="GB39" s="19">
        <f t="shared" si="134"/>
        <v>0</v>
      </c>
      <c r="GC39" s="19">
        <f t="shared" si="135"/>
        <v>0.89999999999999991</v>
      </c>
      <c r="GD39" s="19">
        <f t="shared" si="136"/>
        <v>0</v>
      </c>
      <c r="GE39" s="19">
        <f t="shared" si="137"/>
        <v>0</v>
      </c>
      <c r="GF39" s="19">
        <f t="shared" si="138"/>
        <v>0</v>
      </c>
      <c r="GG39" s="19">
        <f t="shared" si="139"/>
        <v>0</v>
      </c>
      <c r="GH39" s="19">
        <f t="shared" si="140"/>
        <v>0</v>
      </c>
      <c r="GI39" s="19">
        <f t="shared" si="141"/>
        <v>0</v>
      </c>
      <c r="GJ39" s="19">
        <f t="shared" si="142"/>
        <v>0</v>
      </c>
      <c r="GK39" s="19">
        <f t="shared" si="143"/>
        <v>0</v>
      </c>
      <c r="GL39" s="19">
        <f t="shared" si="144"/>
        <v>0</v>
      </c>
      <c r="GM39" s="19">
        <f t="shared" si="145"/>
        <v>0</v>
      </c>
      <c r="GN39" s="19">
        <f t="shared" si="146"/>
        <v>0.52499999999999991</v>
      </c>
      <c r="GO39" s="19">
        <f t="shared" si="147"/>
        <v>0.7</v>
      </c>
      <c r="GP39" s="19">
        <f t="shared" si="148"/>
        <v>0</v>
      </c>
      <c r="GQ39" s="19">
        <f t="shared" si="149"/>
        <v>0</v>
      </c>
      <c r="GR39" s="19">
        <f t="shared" si="150"/>
        <v>0</v>
      </c>
      <c r="GS39" s="19">
        <f t="shared" si="151"/>
        <v>0</v>
      </c>
      <c r="GT39" s="19">
        <f t="shared" si="152"/>
        <v>0</v>
      </c>
      <c r="GU39" s="19">
        <f t="shared" si="153"/>
        <v>0</v>
      </c>
      <c r="GV39" s="19">
        <f t="shared" si="154"/>
        <v>0.17500000000000002</v>
      </c>
      <c r="GW39" s="19">
        <f t="shared" si="155"/>
        <v>0.27</v>
      </c>
      <c r="GX39" s="19">
        <f t="shared" si="156"/>
        <v>0</v>
      </c>
      <c r="GY39" s="19">
        <f t="shared" si="157"/>
        <v>0</v>
      </c>
      <c r="GZ39" s="19">
        <f t="shared" si="158"/>
        <v>0</v>
      </c>
      <c r="HA39" s="19">
        <f t="shared" si="159"/>
        <v>0</v>
      </c>
      <c r="HB39" s="19">
        <f t="shared" si="160"/>
        <v>0</v>
      </c>
      <c r="HC39" s="19">
        <f t="shared" si="161"/>
        <v>0</v>
      </c>
      <c r="HD39" s="19">
        <f t="shared" si="162"/>
        <v>2.0999999999999996</v>
      </c>
      <c r="HE39" s="19">
        <f t="shared" si="163"/>
        <v>0</v>
      </c>
      <c r="HF39" s="19">
        <f t="shared" si="164"/>
        <v>0</v>
      </c>
      <c r="HG39" s="19">
        <f t="shared" si="165"/>
        <v>0</v>
      </c>
      <c r="HH39" s="19">
        <f t="shared" si="166"/>
        <v>0</v>
      </c>
      <c r="HI39" s="19">
        <f t="shared" si="167"/>
        <v>0</v>
      </c>
      <c r="HJ39" s="19">
        <f t="shared" si="168"/>
        <v>0</v>
      </c>
      <c r="HK39" s="19">
        <f t="shared" si="169"/>
        <v>0</v>
      </c>
      <c r="HL39" s="19">
        <f t="shared" si="170"/>
        <v>0.03</v>
      </c>
      <c r="HM39" s="20">
        <f t="shared" si="171"/>
        <v>4.9999999999999991</v>
      </c>
      <c r="HN39" s="53">
        <v>1326</v>
      </c>
      <c r="HO39" s="21">
        <f t="shared" si="172"/>
        <v>0</v>
      </c>
      <c r="HP39" s="21">
        <f t="shared" si="173"/>
        <v>0</v>
      </c>
      <c r="HQ39" s="21">
        <f t="shared" si="174"/>
        <v>0</v>
      </c>
      <c r="HR39" s="21">
        <f t="shared" si="175"/>
        <v>0</v>
      </c>
      <c r="HS39" s="21">
        <f t="shared" si="176"/>
        <v>0</v>
      </c>
      <c r="HT39" s="69">
        <f t="shared" si="177"/>
        <v>0</v>
      </c>
      <c r="HU39" s="21">
        <f t="shared" si="178"/>
        <v>0</v>
      </c>
      <c r="HV39" s="21">
        <f t="shared" si="179"/>
        <v>0</v>
      </c>
      <c r="HW39" s="21">
        <f t="shared" si="180"/>
        <v>79.560000000000031</v>
      </c>
      <c r="HX39" s="21">
        <f t="shared" si="181"/>
        <v>0</v>
      </c>
      <c r="HY39" s="21">
        <f t="shared" si="182"/>
        <v>0</v>
      </c>
      <c r="HZ39" s="21">
        <f t="shared" si="183"/>
        <v>0</v>
      </c>
      <c r="IA39" s="21">
        <f t="shared" si="184"/>
        <v>0</v>
      </c>
      <c r="IB39" s="21">
        <f t="shared" si="185"/>
        <v>0</v>
      </c>
      <c r="IC39" s="21">
        <f t="shared" si="186"/>
        <v>0</v>
      </c>
      <c r="ID39" s="21">
        <f t="shared" si="187"/>
        <v>0</v>
      </c>
      <c r="IE39" s="21">
        <f t="shared" si="188"/>
        <v>238.68</v>
      </c>
      <c r="IF39" s="69">
        <f t="shared" si="189"/>
        <v>0</v>
      </c>
      <c r="IG39" s="69">
        <f t="shared" si="190"/>
        <v>0</v>
      </c>
      <c r="IH39" s="69">
        <f t="shared" si="191"/>
        <v>0</v>
      </c>
      <c r="II39" s="21">
        <f t="shared" si="192"/>
        <v>0</v>
      </c>
      <c r="IJ39" s="21">
        <f t="shared" si="193"/>
        <v>0</v>
      </c>
      <c r="IK39" s="21">
        <f t="shared" si="194"/>
        <v>0</v>
      </c>
      <c r="IL39" s="21">
        <f t="shared" si="195"/>
        <v>0</v>
      </c>
      <c r="IM39" s="21">
        <f t="shared" si="196"/>
        <v>0</v>
      </c>
      <c r="IN39" s="21">
        <f t="shared" si="197"/>
        <v>0</v>
      </c>
      <c r="IO39" s="21">
        <f t="shared" si="198"/>
        <v>0</v>
      </c>
      <c r="IP39" s="21">
        <f t="shared" si="199"/>
        <v>139.22999999999999</v>
      </c>
      <c r="IQ39" s="21">
        <f t="shared" si="200"/>
        <v>185.64000000000001</v>
      </c>
      <c r="IR39" s="21">
        <f t="shared" si="201"/>
        <v>0</v>
      </c>
      <c r="IS39" s="21">
        <f t="shared" si="202"/>
        <v>0</v>
      </c>
      <c r="IT39" s="21">
        <f t="shared" si="203"/>
        <v>0</v>
      </c>
      <c r="IU39" s="21">
        <f t="shared" si="204"/>
        <v>0</v>
      </c>
      <c r="IV39" s="21">
        <f t="shared" si="205"/>
        <v>0</v>
      </c>
      <c r="IW39" s="21">
        <f t="shared" si="206"/>
        <v>0</v>
      </c>
      <c r="IX39" s="21">
        <f t="shared" si="207"/>
        <v>46.410000000000011</v>
      </c>
      <c r="IY39" s="21">
        <f t="shared" si="208"/>
        <v>71.604000000000013</v>
      </c>
      <c r="IZ39" s="21">
        <f t="shared" si="209"/>
        <v>0</v>
      </c>
      <c r="JA39" s="21">
        <f t="shared" si="210"/>
        <v>0</v>
      </c>
      <c r="JB39" s="21">
        <f t="shared" si="211"/>
        <v>0</v>
      </c>
      <c r="JC39" s="21">
        <f t="shared" si="212"/>
        <v>0</v>
      </c>
      <c r="JD39" s="21">
        <f t="shared" si="213"/>
        <v>0</v>
      </c>
      <c r="JE39" s="21">
        <f t="shared" si="214"/>
        <v>0</v>
      </c>
      <c r="JF39" s="21">
        <f t="shared" si="215"/>
        <v>556.91999999999996</v>
      </c>
      <c r="JG39" s="21">
        <f t="shared" si="216"/>
        <v>0</v>
      </c>
      <c r="JH39" s="21">
        <f t="shared" si="217"/>
        <v>0</v>
      </c>
      <c r="JI39" s="21">
        <f t="shared" si="218"/>
        <v>0</v>
      </c>
      <c r="JJ39" s="21">
        <f t="shared" si="219"/>
        <v>0</v>
      </c>
      <c r="JK39" s="21">
        <f t="shared" si="220"/>
        <v>0</v>
      </c>
      <c r="JL39" s="21">
        <f t="shared" si="221"/>
        <v>0</v>
      </c>
      <c r="JM39" s="21">
        <f t="shared" si="222"/>
        <v>0</v>
      </c>
      <c r="JN39" s="21">
        <f t="shared" si="223"/>
        <v>7.9560000000000013</v>
      </c>
      <c r="JO39" s="35">
        <f t="shared" si="110"/>
        <v>1325.9999999999998</v>
      </c>
      <c r="JP39" s="38">
        <f t="shared" si="111"/>
        <v>0</v>
      </c>
      <c r="JQ39" s="43">
        <f t="shared" si="224"/>
        <v>0</v>
      </c>
      <c r="JR39" s="43">
        <f t="shared" si="225"/>
        <v>0</v>
      </c>
      <c r="JS39" s="43">
        <f t="shared" si="226"/>
        <v>0</v>
      </c>
      <c r="JT39" s="43">
        <f t="shared" si="227"/>
        <v>0</v>
      </c>
      <c r="JU39" s="43">
        <f t="shared" si="228"/>
        <v>0</v>
      </c>
      <c r="JV39" s="43">
        <f t="shared" si="229"/>
        <v>0</v>
      </c>
      <c r="JW39" s="43">
        <f t="shared" si="230"/>
        <v>0</v>
      </c>
      <c r="JX39" s="43">
        <f t="shared" si="231"/>
        <v>0</v>
      </c>
      <c r="JY39" s="43">
        <f t="shared" si="232"/>
        <v>368.50282560000011</v>
      </c>
      <c r="JZ39" s="43">
        <f t="shared" si="233"/>
        <v>0</v>
      </c>
      <c r="KA39" s="43">
        <f t="shared" si="234"/>
        <v>0</v>
      </c>
      <c r="KB39" s="43">
        <f t="shared" si="235"/>
        <v>0</v>
      </c>
      <c r="KC39" s="43">
        <f t="shared" si="236"/>
        <v>0</v>
      </c>
      <c r="KD39" s="43">
        <f t="shared" si="237"/>
        <v>0</v>
      </c>
      <c r="KE39" s="43">
        <f t="shared" si="238"/>
        <v>0</v>
      </c>
      <c r="KF39" s="43">
        <f t="shared" si="239"/>
        <v>0</v>
      </c>
      <c r="KG39" s="43">
        <f t="shared" si="240"/>
        <v>990.50410141090913</v>
      </c>
      <c r="KH39" s="43">
        <f t="shared" si="241"/>
        <v>0</v>
      </c>
      <c r="KI39" s="43">
        <f t="shared" si="242"/>
        <v>0</v>
      </c>
      <c r="KJ39" s="43">
        <f t="shared" si="243"/>
        <v>0</v>
      </c>
      <c r="KK39" s="43">
        <f t="shared" si="244"/>
        <v>0</v>
      </c>
      <c r="KL39" s="43">
        <f t="shared" si="245"/>
        <v>0</v>
      </c>
      <c r="KM39" s="43">
        <f t="shared" si="246"/>
        <v>0</v>
      </c>
      <c r="KN39" s="43">
        <f t="shared" si="247"/>
        <v>0</v>
      </c>
      <c r="KO39" s="43">
        <f t="shared" si="248"/>
        <v>0</v>
      </c>
      <c r="KP39" s="43">
        <f t="shared" si="249"/>
        <v>0</v>
      </c>
      <c r="KQ39" s="43">
        <f t="shared" si="250"/>
        <v>0</v>
      </c>
      <c r="KR39" s="43">
        <f t="shared" si="251"/>
        <v>537.42779999999993</v>
      </c>
      <c r="KS39" s="43">
        <f t="shared" si="252"/>
        <v>634.76460496484856</v>
      </c>
      <c r="KT39" s="43">
        <f t="shared" si="253"/>
        <v>0</v>
      </c>
      <c r="KU39" s="43">
        <f t="shared" si="254"/>
        <v>0</v>
      </c>
      <c r="KV39" s="43">
        <f t="shared" si="255"/>
        <v>0</v>
      </c>
      <c r="KW39" s="43">
        <f t="shared" si="256"/>
        <v>0</v>
      </c>
      <c r="KX39" s="43">
        <f t="shared" si="257"/>
        <v>0</v>
      </c>
      <c r="KY39" s="43">
        <f t="shared" si="258"/>
        <v>0</v>
      </c>
      <c r="KZ39" s="43">
        <f t="shared" si="259"/>
        <v>401.44650000000013</v>
      </c>
      <c r="LA39" s="43">
        <f t="shared" si="260"/>
        <v>286.90577136000002</v>
      </c>
      <c r="LB39" s="43">
        <f t="shared" si="261"/>
        <v>0</v>
      </c>
      <c r="LC39" s="43">
        <f t="shared" si="262"/>
        <v>0</v>
      </c>
      <c r="LD39" s="43">
        <f t="shared" si="263"/>
        <v>0</v>
      </c>
      <c r="LE39" s="43">
        <f t="shared" si="264"/>
        <v>0</v>
      </c>
      <c r="LF39" s="43">
        <f t="shared" si="265"/>
        <v>0</v>
      </c>
      <c r="LG39" s="43">
        <f t="shared" si="266"/>
        <v>0</v>
      </c>
      <c r="LH39" s="43">
        <f t="shared" si="267"/>
        <v>2331.629129250909</v>
      </c>
      <c r="LI39" s="43">
        <f t="shared" si="268"/>
        <v>0</v>
      </c>
      <c r="LJ39" s="43">
        <f t="shared" si="269"/>
        <v>0</v>
      </c>
      <c r="LK39" s="43">
        <f t="shared" si="270"/>
        <v>0</v>
      </c>
      <c r="LL39" s="43">
        <f t="shared" si="271"/>
        <v>0</v>
      </c>
      <c r="LM39" s="43">
        <f t="shared" si="272"/>
        <v>0</v>
      </c>
      <c r="LN39" s="43">
        <f t="shared" si="273"/>
        <v>0</v>
      </c>
      <c r="LO39" s="43">
        <f t="shared" si="274"/>
        <v>0</v>
      </c>
      <c r="LP39" s="43">
        <f t="shared" si="275"/>
        <v>67.228200000000001</v>
      </c>
      <c r="LQ39" s="28">
        <f t="shared" si="113"/>
        <v>5618.4089325866662</v>
      </c>
      <c r="LR39" s="65">
        <v>1300</v>
      </c>
      <c r="LS39" s="32">
        <f t="shared" si="114"/>
        <v>4.321853025066666</v>
      </c>
      <c r="LT39" s="26">
        <f t="shared" si="115"/>
        <v>1.1808341598542802</v>
      </c>
      <c r="LU39" s="31">
        <f t="shared" si="116"/>
        <v>26</v>
      </c>
      <c r="LW39" s="42"/>
      <c r="MA39" s="32">
        <f t="shared" si="117"/>
        <v>4.2371108088888896</v>
      </c>
      <c r="MB39" s="26">
        <f t="shared" si="118"/>
        <v>1.1576805488767457</v>
      </c>
    </row>
    <row r="40" spans="1:340" ht="15.75" thickBot="1">
      <c r="A40" t="b">
        <f t="shared" si="3"/>
        <v>1</v>
      </c>
      <c r="B40" s="123" t="s">
        <v>175</v>
      </c>
      <c r="C40" s="39" t="s">
        <v>176</v>
      </c>
      <c r="D40"/>
      <c r="E40" s="97">
        <v>46028</v>
      </c>
      <c r="F40" t="s">
        <v>43</v>
      </c>
      <c r="G40" t="s">
        <v>20</v>
      </c>
      <c r="H40" t="s">
        <v>26</v>
      </c>
      <c r="I40" s="77"/>
      <c r="J40" s="77"/>
      <c r="K40" s="77"/>
      <c r="L40" s="104">
        <v>0.25</v>
      </c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24"/>
      <c r="AG40" s="124"/>
      <c r="AH40" s="104"/>
      <c r="AI40" s="104"/>
      <c r="AJ40" s="22"/>
      <c r="AK40" s="22"/>
      <c r="AL40" s="22"/>
      <c r="AM40" s="22"/>
      <c r="AN40" s="104"/>
      <c r="AO40" s="104"/>
      <c r="AP40" s="104"/>
      <c r="AQ40" s="104"/>
      <c r="AR40" s="104">
        <v>0.05</v>
      </c>
      <c r="AS40" s="104"/>
      <c r="AT40" s="104"/>
      <c r="AU40" s="104"/>
      <c r="AV40" s="104"/>
      <c r="AW40" s="104"/>
      <c r="AX40" s="104"/>
      <c r="AY40" s="104"/>
      <c r="AZ40" s="104">
        <v>0.35</v>
      </c>
      <c r="BA40" s="104"/>
      <c r="BB40" s="104"/>
      <c r="BC40" s="124">
        <v>0.35</v>
      </c>
      <c r="BD40" s="124"/>
      <c r="BE40" s="104"/>
      <c r="BF40" s="104"/>
      <c r="BG40" s="104"/>
      <c r="BH40" s="104"/>
      <c r="BI40" s="78">
        <f t="shared" si="4"/>
        <v>0.99999999999999989</v>
      </c>
      <c r="BJ40" s="105"/>
      <c r="BK40" s="105"/>
      <c r="BL40" s="105"/>
      <c r="BM40" s="105"/>
      <c r="BN40" s="105"/>
      <c r="BO40" s="105"/>
      <c r="BP40" s="105"/>
      <c r="BQ40" s="105"/>
      <c r="BR40" s="105"/>
      <c r="BS40" s="105"/>
      <c r="BT40" s="105"/>
      <c r="BU40" s="105"/>
      <c r="BV40" s="105"/>
      <c r="BW40" s="105"/>
      <c r="BX40" s="105">
        <v>0.2</v>
      </c>
      <c r="BY40" s="105"/>
      <c r="BZ40" s="105"/>
      <c r="CA40" s="105"/>
      <c r="CB40" s="105"/>
      <c r="CC40" s="105"/>
      <c r="CD40" s="105"/>
      <c r="CE40" s="105"/>
      <c r="CF40" s="120"/>
      <c r="CG40" s="128"/>
      <c r="CH40" s="128"/>
      <c r="CI40" s="105"/>
      <c r="CJ40" s="105"/>
      <c r="CK40" s="105"/>
      <c r="CL40" s="105"/>
      <c r="CM40" s="105"/>
      <c r="CN40" s="105"/>
      <c r="CO40" s="105"/>
      <c r="CP40" s="105"/>
      <c r="CQ40" s="105"/>
      <c r="CR40" s="105"/>
      <c r="CS40" s="105">
        <v>0.05</v>
      </c>
      <c r="CT40" s="105"/>
      <c r="CU40" s="105"/>
      <c r="CV40" s="105"/>
      <c r="CW40" s="105"/>
      <c r="CX40" s="105"/>
      <c r="CY40" s="105"/>
      <c r="CZ40" s="105"/>
      <c r="DA40" s="105">
        <v>0.1</v>
      </c>
      <c r="DB40" s="105"/>
      <c r="DC40" s="105"/>
      <c r="DD40" s="125">
        <v>0.65</v>
      </c>
      <c r="DE40" s="125"/>
      <c r="DF40" s="105"/>
      <c r="DG40" s="105"/>
      <c r="DH40" s="105"/>
      <c r="DI40" s="105"/>
      <c r="DJ40" s="79">
        <f t="shared" si="5"/>
        <v>1</v>
      </c>
      <c r="DK40" s="108"/>
      <c r="DL40" s="108"/>
      <c r="DM40" s="108"/>
      <c r="DN40" s="108"/>
      <c r="DO40" s="108"/>
      <c r="DP40" s="108"/>
      <c r="DQ40" s="108"/>
      <c r="DR40" s="108"/>
      <c r="DS40" s="108"/>
      <c r="DT40" s="108"/>
      <c r="DU40" s="108"/>
      <c r="DV40" s="108"/>
      <c r="DW40" s="108"/>
      <c r="DX40" s="108"/>
      <c r="DY40" s="108"/>
      <c r="DZ40" s="108"/>
      <c r="EA40" s="108">
        <v>0.76</v>
      </c>
      <c r="EB40" s="108"/>
      <c r="EC40" s="108"/>
      <c r="ED40" s="108"/>
      <c r="EE40" s="108"/>
      <c r="EF40" s="108"/>
      <c r="EG40" s="108"/>
      <c r="EH40" s="129"/>
      <c r="EI40" s="129"/>
      <c r="EJ40" s="108"/>
      <c r="EK40" s="108"/>
      <c r="EL40" s="108"/>
      <c r="EM40" s="108"/>
      <c r="EN40" s="108"/>
      <c r="EO40" s="108"/>
      <c r="EP40" s="108"/>
      <c r="EQ40" s="108"/>
      <c r="ER40" s="108"/>
      <c r="ES40" s="106"/>
      <c r="ET40" s="106"/>
      <c r="EU40" s="106">
        <v>0.22</v>
      </c>
      <c r="EV40" s="106"/>
      <c r="EW40" s="106"/>
      <c r="EX40" s="106"/>
      <c r="EY40" s="106"/>
      <c r="EZ40" s="106"/>
      <c r="FA40" s="106"/>
      <c r="FB40" s="106"/>
      <c r="FC40" s="106"/>
      <c r="FD40" s="106"/>
      <c r="FE40" s="126"/>
      <c r="FF40" s="126"/>
      <c r="FG40" s="106"/>
      <c r="FH40" s="106"/>
      <c r="FI40" s="106"/>
      <c r="FJ40" s="106">
        <v>0.02</v>
      </c>
      <c r="FK40" s="17">
        <f t="shared" si="6"/>
        <v>1</v>
      </c>
      <c r="FL40" s="18"/>
      <c r="FM40" s="19">
        <f t="shared" si="119"/>
        <v>0</v>
      </c>
      <c r="FN40" s="19">
        <f t="shared" si="120"/>
        <v>0</v>
      </c>
      <c r="FO40" s="19">
        <f t="shared" si="121"/>
        <v>0</v>
      </c>
      <c r="FP40" s="19">
        <f t="shared" si="122"/>
        <v>0.375</v>
      </c>
      <c r="FQ40" s="19">
        <f t="shared" si="123"/>
        <v>0</v>
      </c>
      <c r="FR40" s="19">
        <f t="shared" si="124"/>
        <v>0</v>
      </c>
      <c r="FS40" s="19">
        <f t="shared" si="125"/>
        <v>0</v>
      </c>
      <c r="FT40" s="19">
        <f t="shared" si="126"/>
        <v>0</v>
      </c>
      <c r="FU40" s="19">
        <f t="shared" si="127"/>
        <v>0</v>
      </c>
      <c r="FV40" s="19">
        <f t="shared" si="128"/>
        <v>0</v>
      </c>
      <c r="FW40" s="19">
        <f t="shared" si="129"/>
        <v>0</v>
      </c>
      <c r="FX40" s="19">
        <f t="shared" si="130"/>
        <v>0</v>
      </c>
      <c r="FY40" s="19">
        <f t="shared" si="131"/>
        <v>0</v>
      </c>
      <c r="FZ40" s="19">
        <f t="shared" si="132"/>
        <v>0</v>
      </c>
      <c r="GA40" s="19">
        <f t="shared" si="133"/>
        <v>0.4</v>
      </c>
      <c r="GB40" s="19">
        <f t="shared" si="134"/>
        <v>0</v>
      </c>
      <c r="GC40" s="19">
        <f t="shared" si="135"/>
        <v>1.1400000000000001</v>
      </c>
      <c r="GD40" s="19">
        <f t="shared" si="136"/>
        <v>0</v>
      </c>
      <c r="GE40" s="19">
        <f t="shared" si="137"/>
        <v>0</v>
      </c>
      <c r="GF40" s="19">
        <f t="shared" si="138"/>
        <v>0</v>
      </c>
      <c r="GG40" s="19">
        <f t="shared" si="139"/>
        <v>0</v>
      </c>
      <c r="GH40" s="19">
        <f t="shared" si="140"/>
        <v>0</v>
      </c>
      <c r="GI40" s="19">
        <f t="shared" si="141"/>
        <v>0</v>
      </c>
      <c r="GJ40" s="19">
        <f t="shared" si="142"/>
        <v>0</v>
      </c>
      <c r="GK40" s="19">
        <f t="shared" si="143"/>
        <v>0</v>
      </c>
      <c r="GL40" s="19">
        <f t="shared" si="144"/>
        <v>0</v>
      </c>
      <c r="GM40" s="19">
        <f t="shared" si="145"/>
        <v>0</v>
      </c>
      <c r="GN40" s="19">
        <f t="shared" si="146"/>
        <v>0</v>
      </c>
      <c r="GO40" s="19">
        <f t="shared" si="147"/>
        <v>0</v>
      </c>
      <c r="GP40" s="19">
        <f t="shared" si="148"/>
        <v>0</v>
      </c>
      <c r="GQ40" s="19">
        <f t="shared" si="149"/>
        <v>0</v>
      </c>
      <c r="GR40" s="19">
        <f t="shared" si="150"/>
        <v>0</v>
      </c>
      <c r="GS40" s="19">
        <f t="shared" si="151"/>
        <v>0</v>
      </c>
      <c r="GT40" s="19">
        <f t="shared" si="152"/>
        <v>0</v>
      </c>
      <c r="GU40" s="19">
        <f t="shared" si="153"/>
        <v>0</v>
      </c>
      <c r="GV40" s="19">
        <f t="shared" si="154"/>
        <v>0.17500000000000002</v>
      </c>
      <c r="GW40" s="19">
        <f t="shared" si="155"/>
        <v>0.33</v>
      </c>
      <c r="GX40" s="19">
        <f t="shared" si="156"/>
        <v>0</v>
      </c>
      <c r="GY40" s="19">
        <f t="shared" si="157"/>
        <v>0</v>
      </c>
      <c r="GZ40" s="19">
        <f t="shared" si="158"/>
        <v>0</v>
      </c>
      <c r="HA40" s="19">
        <f t="shared" si="159"/>
        <v>0</v>
      </c>
      <c r="HB40" s="19">
        <f t="shared" si="160"/>
        <v>0</v>
      </c>
      <c r="HC40" s="19">
        <f t="shared" si="161"/>
        <v>0</v>
      </c>
      <c r="HD40" s="19">
        <f t="shared" si="162"/>
        <v>0.72499999999999987</v>
      </c>
      <c r="HE40" s="19">
        <f t="shared" si="163"/>
        <v>0</v>
      </c>
      <c r="HF40" s="19">
        <f t="shared" si="164"/>
        <v>0</v>
      </c>
      <c r="HG40" s="19">
        <f t="shared" si="165"/>
        <v>1.825</v>
      </c>
      <c r="HH40" s="19">
        <f t="shared" si="166"/>
        <v>0</v>
      </c>
      <c r="HI40" s="19">
        <f t="shared" si="167"/>
        <v>0</v>
      </c>
      <c r="HJ40" s="19">
        <f t="shared" si="168"/>
        <v>0</v>
      </c>
      <c r="HK40" s="19">
        <f t="shared" si="169"/>
        <v>0</v>
      </c>
      <c r="HL40" s="19">
        <f t="shared" si="170"/>
        <v>0.03</v>
      </c>
      <c r="HM40" s="20">
        <f t="shared" si="171"/>
        <v>5</v>
      </c>
      <c r="HN40" s="53">
        <v>1015</v>
      </c>
      <c r="HO40" s="21">
        <f t="shared" si="172"/>
        <v>0</v>
      </c>
      <c r="HP40" s="21">
        <f t="shared" si="173"/>
        <v>0</v>
      </c>
      <c r="HQ40" s="21">
        <f t="shared" si="174"/>
        <v>0</v>
      </c>
      <c r="HR40" s="21">
        <f t="shared" si="175"/>
        <v>76.125</v>
      </c>
      <c r="HS40" s="21">
        <f t="shared" si="176"/>
        <v>0</v>
      </c>
      <c r="HT40" s="69">
        <f t="shared" si="177"/>
        <v>0</v>
      </c>
      <c r="HU40" s="21">
        <f t="shared" si="178"/>
        <v>0</v>
      </c>
      <c r="HV40" s="21">
        <f t="shared" si="179"/>
        <v>0</v>
      </c>
      <c r="HW40" s="21">
        <f t="shared" si="180"/>
        <v>0</v>
      </c>
      <c r="HX40" s="21">
        <f t="shared" si="181"/>
        <v>0</v>
      </c>
      <c r="HY40" s="21">
        <f t="shared" si="182"/>
        <v>0</v>
      </c>
      <c r="HZ40" s="21">
        <f t="shared" si="183"/>
        <v>0</v>
      </c>
      <c r="IA40" s="21">
        <f t="shared" si="184"/>
        <v>0</v>
      </c>
      <c r="IB40" s="21">
        <f t="shared" si="185"/>
        <v>0</v>
      </c>
      <c r="IC40" s="21">
        <f t="shared" si="186"/>
        <v>81.2</v>
      </c>
      <c r="ID40" s="21">
        <f t="shared" si="187"/>
        <v>0</v>
      </c>
      <c r="IE40" s="21">
        <f t="shared" si="188"/>
        <v>231.42000000000002</v>
      </c>
      <c r="IF40" s="69">
        <f t="shared" si="189"/>
        <v>0</v>
      </c>
      <c r="IG40" s="69">
        <f t="shared" si="190"/>
        <v>0</v>
      </c>
      <c r="IH40" s="69">
        <f t="shared" si="191"/>
        <v>0</v>
      </c>
      <c r="II40" s="21">
        <f t="shared" si="192"/>
        <v>0</v>
      </c>
      <c r="IJ40" s="21">
        <f t="shared" si="193"/>
        <v>0</v>
      </c>
      <c r="IK40" s="21">
        <f t="shared" si="194"/>
        <v>0</v>
      </c>
      <c r="IL40" s="21">
        <f t="shared" si="195"/>
        <v>0</v>
      </c>
      <c r="IM40" s="21">
        <f t="shared" si="196"/>
        <v>0</v>
      </c>
      <c r="IN40" s="21">
        <f t="shared" si="197"/>
        <v>0</v>
      </c>
      <c r="IO40" s="21">
        <f t="shared" si="198"/>
        <v>0</v>
      </c>
      <c r="IP40" s="21">
        <f t="shared" si="199"/>
        <v>0</v>
      </c>
      <c r="IQ40" s="21">
        <f t="shared" si="200"/>
        <v>0</v>
      </c>
      <c r="IR40" s="21">
        <f t="shared" si="201"/>
        <v>0</v>
      </c>
      <c r="IS40" s="21">
        <f t="shared" si="202"/>
        <v>0</v>
      </c>
      <c r="IT40" s="21">
        <f t="shared" si="203"/>
        <v>0</v>
      </c>
      <c r="IU40" s="21">
        <f t="shared" si="204"/>
        <v>0</v>
      </c>
      <c r="IV40" s="21">
        <f t="shared" si="205"/>
        <v>0</v>
      </c>
      <c r="IW40" s="21">
        <f t="shared" si="206"/>
        <v>0</v>
      </c>
      <c r="IX40" s="21">
        <f t="shared" si="207"/>
        <v>35.525000000000006</v>
      </c>
      <c r="IY40" s="21">
        <f t="shared" si="208"/>
        <v>66.989999999999995</v>
      </c>
      <c r="IZ40" s="21">
        <f t="shared" si="209"/>
        <v>0</v>
      </c>
      <c r="JA40" s="21">
        <f t="shared" si="210"/>
        <v>0</v>
      </c>
      <c r="JB40" s="21">
        <f t="shared" si="211"/>
        <v>0</v>
      </c>
      <c r="JC40" s="21">
        <f t="shared" si="212"/>
        <v>0</v>
      </c>
      <c r="JD40" s="21">
        <f t="shared" si="213"/>
        <v>0</v>
      </c>
      <c r="JE40" s="21">
        <f t="shared" si="214"/>
        <v>0</v>
      </c>
      <c r="JF40" s="21">
        <f t="shared" si="215"/>
        <v>147.17499999999998</v>
      </c>
      <c r="JG40" s="21">
        <f t="shared" si="216"/>
        <v>0</v>
      </c>
      <c r="JH40" s="21">
        <f t="shared" si="217"/>
        <v>0</v>
      </c>
      <c r="JI40" s="21">
        <f t="shared" si="218"/>
        <v>370.47500000000002</v>
      </c>
      <c r="JJ40" s="21">
        <f t="shared" si="219"/>
        <v>0</v>
      </c>
      <c r="JK40" s="21">
        <f t="shared" si="220"/>
        <v>0</v>
      </c>
      <c r="JL40" s="21">
        <f t="shared" si="221"/>
        <v>0</v>
      </c>
      <c r="JM40" s="21">
        <f t="shared" si="222"/>
        <v>0</v>
      </c>
      <c r="JN40" s="21">
        <f t="shared" si="223"/>
        <v>6.09</v>
      </c>
      <c r="JO40" s="35">
        <f t="shared" si="110"/>
        <v>1015</v>
      </c>
      <c r="JP40" s="38">
        <f t="shared" si="111"/>
        <v>0</v>
      </c>
      <c r="JQ40" s="43">
        <f t="shared" si="224"/>
        <v>0</v>
      </c>
      <c r="JR40" s="43">
        <f t="shared" si="225"/>
        <v>0</v>
      </c>
      <c r="JS40" s="43">
        <f t="shared" si="226"/>
        <v>0</v>
      </c>
      <c r="JT40" s="43">
        <f t="shared" si="227"/>
        <v>327.40753500000005</v>
      </c>
      <c r="JU40" s="43">
        <f t="shared" si="228"/>
        <v>0</v>
      </c>
      <c r="JV40" s="43">
        <f t="shared" si="229"/>
        <v>0</v>
      </c>
      <c r="JW40" s="43">
        <f t="shared" si="230"/>
        <v>0</v>
      </c>
      <c r="JX40" s="43">
        <f t="shared" si="231"/>
        <v>0</v>
      </c>
      <c r="JY40" s="43">
        <f t="shared" si="232"/>
        <v>0</v>
      </c>
      <c r="JZ40" s="43">
        <f t="shared" si="233"/>
        <v>0</v>
      </c>
      <c r="KA40" s="43">
        <f t="shared" si="234"/>
        <v>0</v>
      </c>
      <c r="KB40" s="43">
        <f t="shared" si="235"/>
        <v>0</v>
      </c>
      <c r="KC40" s="43">
        <f t="shared" si="236"/>
        <v>0</v>
      </c>
      <c r="KD40" s="43">
        <f t="shared" si="237"/>
        <v>0</v>
      </c>
      <c r="KE40" s="43">
        <f t="shared" si="238"/>
        <v>331.00976917979796</v>
      </c>
      <c r="KF40" s="43">
        <f t="shared" si="239"/>
        <v>0</v>
      </c>
      <c r="KG40" s="43">
        <f t="shared" si="240"/>
        <v>960.37564583757592</v>
      </c>
      <c r="KH40" s="43">
        <f t="shared" si="241"/>
        <v>0</v>
      </c>
      <c r="KI40" s="43">
        <f t="shared" si="242"/>
        <v>0</v>
      </c>
      <c r="KJ40" s="43">
        <f t="shared" si="243"/>
        <v>0</v>
      </c>
      <c r="KK40" s="43">
        <f t="shared" si="244"/>
        <v>0</v>
      </c>
      <c r="KL40" s="43">
        <f t="shared" si="245"/>
        <v>0</v>
      </c>
      <c r="KM40" s="43">
        <f t="shared" si="246"/>
        <v>0</v>
      </c>
      <c r="KN40" s="43">
        <f t="shared" si="247"/>
        <v>0</v>
      </c>
      <c r="KO40" s="43">
        <f t="shared" si="248"/>
        <v>0</v>
      </c>
      <c r="KP40" s="43">
        <f t="shared" si="249"/>
        <v>0</v>
      </c>
      <c r="KQ40" s="43">
        <f t="shared" si="250"/>
        <v>0</v>
      </c>
      <c r="KR40" s="43">
        <f t="shared" si="251"/>
        <v>0</v>
      </c>
      <c r="KS40" s="43">
        <f t="shared" si="252"/>
        <v>0</v>
      </c>
      <c r="KT40" s="43">
        <f t="shared" si="253"/>
        <v>0</v>
      </c>
      <c r="KU40" s="43">
        <f t="shared" si="254"/>
        <v>0</v>
      </c>
      <c r="KV40" s="43">
        <f t="shared" si="255"/>
        <v>0</v>
      </c>
      <c r="KW40" s="43">
        <f t="shared" si="256"/>
        <v>0</v>
      </c>
      <c r="KX40" s="43">
        <f t="shared" si="257"/>
        <v>0</v>
      </c>
      <c r="KY40" s="43">
        <f t="shared" si="258"/>
        <v>0</v>
      </c>
      <c r="KZ40" s="43">
        <f t="shared" si="259"/>
        <v>307.29125000000005</v>
      </c>
      <c r="LA40" s="43">
        <f t="shared" si="260"/>
        <v>268.41821159999995</v>
      </c>
      <c r="LB40" s="43">
        <f t="shared" si="261"/>
        <v>0</v>
      </c>
      <c r="LC40" s="43">
        <f t="shared" si="262"/>
        <v>0</v>
      </c>
      <c r="LD40" s="43">
        <f t="shared" si="263"/>
        <v>0</v>
      </c>
      <c r="LE40" s="43">
        <f t="shared" si="264"/>
        <v>0</v>
      </c>
      <c r="LF40" s="43">
        <f t="shared" si="265"/>
        <v>0</v>
      </c>
      <c r="LG40" s="43">
        <f t="shared" si="266"/>
        <v>0</v>
      </c>
      <c r="LH40" s="43">
        <f t="shared" si="267"/>
        <v>616.17021672323233</v>
      </c>
      <c r="LI40" s="43">
        <f t="shared" si="268"/>
        <v>0</v>
      </c>
      <c r="LJ40" s="43">
        <f t="shared" si="269"/>
        <v>0</v>
      </c>
      <c r="LK40" s="43">
        <f t="shared" si="270"/>
        <v>1484.03023125</v>
      </c>
      <c r="LL40" s="43">
        <f t="shared" si="271"/>
        <v>0</v>
      </c>
      <c r="LM40" s="43">
        <f t="shared" si="272"/>
        <v>0</v>
      </c>
      <c r="LN40" s="43">
        <f t="shared" si="273"/>
        <v>0</v>
      </c>
      <c r="LO40" s="43">
        <f t="shared" si="274"/>
        <v>0</v>
      </c>
      <c r="LP40" s="43">
        <f t="shared" si="275"/>
        <v>51.460499999999996</v>
      </c>
      <c r="LQ40" s="28">
        <f t="shared" si="113"/>
        <v>4346.1633595906069</v>
      </c>
      <c r="LR40" s="65">
        <v>950</v>
      </c>
      <c r="LS40" s="32">
        <f t="shared" si="114"/>
        <v>4.5749087995690596</v>
      </c>
      <c r="LT40" s="26">
        <f t="shared" si="115"/>
        <v>1.2499750818494697</v>
      </c>
      <c r="LU40" s="31">
        <f t="shared" si="116"/>
        <v>65</v>
      </c>
      <c r="LW40" s="42"/>
      <c r="MA40" s="32">
        <f t="shared" si="117"/>
        <v>4.2819343444242435</v>
      </c>
      <c r="MB40" s="26">
        <f t="shared" si="118"/>
        <v>1.1699274165093561</v>
      </c>
    </row>
    <row r="41" spans="1:340" ht="15.75" thickBot="1">
      <c r="A41" t="b">
        <f t="shared" si="3"/>
        <v>1</v>
      </c>
      <c r="B41" s="123" t="s">
        <v>177</v>
      </c>
      <c r="C41" s="39" t="s">
        <v>77</v>
      </c>
      <c r="D41"/>
      <c r="E41" s="97">
        <v>46034</v>
      </c>
      <c r="F41" t="s">
        <v>43</v>
      </c>
      <c r="G41" t="s">
        <v>20</v>
      </c>
      <c r="H41" t="s">
        <v>27</v>
      </c>
      <c r="I41" s="77"/>
      <c r="J41" s="77"/>
      <c r="K41" s="77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24"/>
      <c r="AG41" s="124"/>
      <c r="AH41" s="104"/>
      <c r="AI41" s="104"/>
      <c r="AJ41" s="22">
        <v>0.5</v>
      </c>
      <c r="AK41" s="22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24">
        <v>0.5</v>
      </c>
      <c r="BD41" s="124"/>
      <c r="BE41" s="104"/>
      <c r="BF41" s="104"/>
      <c r="BG41" s="104"/>
      <c r="BH41" s="104"/>
      <c r="BI41" s="78">
        <f t="shared" si="4"/>
        <v>1</v>
      </c>
      <c r="BJ41" s="105"/>
      <c r="BK41" s="105"/>
      <c r="BL41" s="105"/>
      <c r="BM41" s="105"/>
      <c r="BN41" s="105"/>
      <c r="BO41" s="105"/>
      <c r="BP41" s="105"/>
      <c r="BQ41" s="105"/>
      <c r="BR41" s="105"/>
      <c r="BS41" s="105"/>
      <c r="BT41" s="105"/>
      <c r="BU41" s="105"/>
      <c r="BV41" s="105"/>
      <c r="BW41" s="105"/>
      <c r="BX41" s="105"/>
      <c r="BY41" s="105"/>
      <c r="BZ41" s="105"/>
      <c r="CA41" s="105"/>
      <c r="CB41" s="105"/>
      <c r="CC41" s="105"/>
      <c r="CD41" s="105"/>
      <c r="CE41" s="105"/>
      <c r="CF41" s="120"/>
      <c r="CG41" s="128"/>
      <c r="CH41" s="128"/>
      <c r="CI41" s="105"/>
      <c r="CJ41" s="105"/>
      <c r="CK41" s="105"/>
      <c r="CL41" s="105">
        <v>0.4</v>
      </c>
      <c r="CM41" s="105"/>
      <c r="CN41" s="105"/>
      <c r="CO41" s="105"/>
      <c r="CP41" s="105"/>
      <c r="CQ41" s="105"/>
      <c r="CR41" s="105"/>
      <c r="CS41" s="105"/>
      <c r="CT41" s="105"/>
      <c r="CU41" s="105"/>
      <c r="CV41" s="105"/>
      <c r="CW41" s="105"/>
      <c r="CX41" s="105"/>
      <c r="CY41" s="105"/>
      <c r="CZ41" s="105"/>
      <c r="DA41" s="105"/>
      <c r="DB41" s="105"/>
      <c r="DC41" s="105"/>
      <c r="DD41" s="125">
        <v>0.6</v>
      </c>
      <c r="DE41" s="125"/>
      <c r="DF41" s="105"/>
      <c r="DG41" s="105"/>
      <c r="DH41" s="105"/>
      <c r="DI41" s="105"/>
      <c r="DJ41" s="79">
        <f t="shared" si="5"/>
        <v>1</v>
      </c>
      <c r="DK41" s="108"/>
      <c r="DL41" s="108"/>
      <c r="DM41" s="108"/>
      <c r="DN41" s="108">
        <v>0.84</v>
      </c>
      <c r="DO41" s="108"/>
      <c r="DP41" s="108"/>
      <c r="DQ41" s="108"/>
      <c r="DR41" s="108"/>
      <c r="DS41" s="108"/>
      <c r="DT41" s="108"/>
      <c r="DU41" s="108"/>
      <c r="DV41" s="108"/>
      <c r="DW41" s="108"/>
      <c r="DX41" s="108"/>
      <c r="DY41" s="108"/>
      <c r="DZ41" s="108"/>
      <c r="EA41" s="108"/>
      <c r="EB41" s="108"/>
      <c r="EC41" s="108"/>
      <c r="ED41" s="108"/>
      <c r="EE41" s="108"/>
      <c r="EF41" s="108"/>
      <c r="EG41" s="108"/>
      <c r="EH41" s="129"/>
      <c r="EI41" s="129"/>
      <c r="EJ41" s="108"/>
      <c r="EK41" s="108"/>
      <c r="EL41" s="108"/>
      <c r="EM41" s="108"/>
      <c r="EN41" s="108"/>
      <c r="EO41" s="108"/>
      <c r="EP41" s="108"/>
      <c r="EQ41" s="108"/>
      <c r="ER41" s="108"/>
      <c r="ES41" s="106"/>
      <c r="ET41" s="106"/>
      <c r="EU41" s="106">
        <v>0.13500000000000001</v>
      </c>
      <c r="EV41" s="106"/>
      <c r="EW41" s="106"/>
      <c r="EX41" s="106"/>
      <c r="EY41" s="106"/>
      <c r="EZ41" s="106"/>
      <c r="FA41" s="106">
        <v>5.0000000000000001E-3</v>
      </c>
      <c r="FB41" s="106"/>
      <c r="FC41" s="106"/>
      <c r="FD41" s="106"/>
      <c r="FE41" s="126"/>
      <c r="FF41" s="126"/>
      <c r="FG41" s="106"/>
      <c r="FH41" s="106"/>
      <c r="FI41" s="106"/>
      <c r="FJ41" s="106">
        <v>0.02</v>
      </c>
      <c r="FK41" s="17">
        <f t="shared" ref="FK41:FK76" si="280">SUM(DK41:FJ41)</f>
        <v>1</v>
      </c>
      <c r="FL41" s="18"/>
      <c r="FM41" s="19">
        <f t="shared" si="119"/>
        <v>0</v>
      </c>
      <c r="FN41" s="19">
        <f t="shared" si="120"/>
        <v>0</v>
      </c>
      <c r="FO41" s="19">
        <f t="shared" si="121"/>
        <v>0</v>
      </c>
      <c r="FP41" s="19">
        <f t="shared" si="122"/>
        <v>1.26</v>
      </c>
      <c r="FQ41" s="19">
        <f t="shared" si="123"/>
        <v>0</v>
      </c>
      <c r="FR41" s="19">
        <f t="shared" si="124"/>
        <v>0</v>
      </c>
      <c r="FS41" s="19">
        <f t="shared" si="125"/>
        <v>0</v>
      </c>
      <c r="FT41" s="19">
        <f t="shared" si="126"/>
        <v>0</v>
      </c>
      <c r="FU41" s="19">
        <f t="shared" si="127"/>
        <v>0</v>
      </c>
      <c r="FV41" s="19">
        <f t="shared" si="128"/>
        <v>0</v>
      </c>
      <c r="FW41" s="19">
        <f t="shared" si="129"/>
        <v>0</v>
      </c>
      <c r="FX41" s="19">
        <f t="shared" si="130"/>
        <v>0</v>
      </c>
      <c r="FY41" s="19">
        <f t="shared" si="131"/>
        <v>0</v>
      </c>
      <c r="FZ41" s="19">
        <f t="shared" si="132"/>
        <v>0</v>
      </c>
      <c r="GA41" s="19">
        <f t="shared" si="133"/>
        <v>0</v>
      </c>
      <c r="GB41" s="19">
        <f t="shared" si="134"/>
        <v>0</v>
      </c>
      <c r="GC41" s="19">
        <f t="shared" si="135"/>
        <v>0</v>
      </c>
      <c r="GD41" s="19">
        <f t="shared" si="136"/>
        <v>0</v>
      </c>
      <c r="GE41" s="19">
        <f t="shared" si="137"/>
        <v>0</v>
      </c>
      <c r="GF41" s="19">
        <f t="shared" si="138"/>
        <v>0</v>
      </c>
      <c r="GG41" s="19">
        <f t="shared" si="139"/>
        <v>0</v>
      </c>
      <c r="GH41" s="19">
        <f t="shared" si="140"/>
        <v>0</v>
      </c>
      <c r="GI41" s="19">
        <f t="shared" si="141"/>
        <v>0</v>
      </c>
      <c r="GJ41" s="19">
        <f t="shared" si="142"/>
        <v>0</v>
      </c>
      <c r="GK41" s="19">
        <f t="shared" si="143"/>
        <v>0</v>
      </c>
      <c r="GL41" s="19">
        <f t="shared" si="144"/>
        <v>0</v>
      </c>
      <c r="GM41" s="19">
        <f t="shared" si="145"/>
        <v>0</v>
      </c>
      <c r="GN41" s="19">
        <f t="shared" si="146"/>
        <v>0.75</v>
      </c>
      <c r="GO41" s="19">
        <f t="shared" si="147"/>
        <v>0.8</v>
      </c>
      <c r="GP41" s="19">
        <f t="shared" si="148"/>
        <v>0</v>
      </c>
      <c r="GQ41" s="19">
        <f t="shared" si="149"/>
        <v>0</v>
      </c>
      <c r="GR41" s="19">
        <f t="shared" si="150"/>
        <v>0</v>
      </c>
      <c r="GS41" s="19">
        <f t="shared" si="151"/>
        <v>0</v>
      </c>
      <c r="GT41" s="19">
        <f t="shared" si="152"/>
        <v>0</v>
      </c>
      <c r="GU41" s="19">
        <f t="shared" si="153"/>
        <v>0</v>
      </c>
      <c r="GV41" s="19">
        <f t="shared" si="154"/>
        <v>0</v>
      </c>
      <c r="GW41" s="19">
        <f t="shared" si="155"/>
        <v>0.20250000000000001</v>
      </c>
      <c r="GX41" s="19">
        <f t="shared" si="156"/>
        <v>0</v>
      </c>
      <c r="GY41" s="19">
        <f t="shared" si="157"/>
        <v>0</v>
      </c>
      <c r="GZ41" s="19">
        <f t="shared" si="158"/>
        <v>0</v>
      </c>
      <c r="HA41" s="19">
        <f t="shared" si="159"/>
        <v>0</v>
      </c>
      <c r="HB41" s="19">
        <f t="shared" si="160"/>
        <v>0</v>
      </c>
      <c r="HC41" s="19">
        <f t="shared" si="161"/>
        <v>7.4999999999999997E-3</v>
      </c>
      <c r="HD41" s="19">
        <f t="shared" si="162"/>
        <v>0</v>
      </c>
      <c r="HE41" s="19">
        <f t="shared" si="163"/>
        <v>0</v>
      </c>
      <c r="HF41" s="19">
        <f t="shared" si="164"/>
        <v>0</v>
      </c>
      <c r="HG41" s="19">
        <f t="shared" si="165"/>
        <v>1.95</v>
      </c>
      <c r="HH41" s="19">
        <f t="shared" si="166"/>
        <v>0</v>
      </c>
      <c r="HI41" s="19">
        <f t="shared" si="167"/>
        <v>0</v>
      </c>
      <c r="HJ41" s="19">
        <f t="shared" si="168"/>
        <v>0</v>
      </c>
      <c r="HK41" s="19">
        <f t="shared" si="169"/>
        <v>0</v>
      </c>
      <c r="HL41" s="19">
        <f t="shared" si="170"/>
        <v>0.03</v>
      </c>
      <c r="HM41" s="20">
        <f t="shared" si="171"/>
        <v>5</v>
      </c>
      <c r="HN41" s="53">
        <v>590</v>
      </c>
      <c r="HO41" s="21">
        <f t="shared" si="172"/>
        <v>0</v>
      </c>
      <c r="HP41" s="21">
        <f t="shared" si="173"/>
        <v>0</v>
      </c>
      <c r="HQ41" s="21">
        <f t="shared" si="174"/>
        <v>0</v>
      </c>
      <c r="HR41" s="21">
        <f t="shared" si="175"/>
        <v>148.68</v>
      </c>
      <c r="HS41" s="21">
        <f t="shared" si="176"/>
        <v>0</v>
      </c>
      <c r="HT41" s="69">
        <f t="shared" si="177"/>
        <v>0</v>
      </c>
      <c r="HU41" s="21">
        <f t="shared" si="178"/>
        <v>0</v>
      </c>
      <c r="HV41" s="21">
        <f t="shared" si="179"/>
        <v>0</v>
      </c>
      <c r="HW41" s="21">
        <f t="shared" si="180"/>
        <v>0</v>
      </c>
      <c r="HX41" s="21">
        <f t="shared" si="181"/>
        <v>0</v>
      </c>
      <c r="HY41" s="21">
        <f t="shared" si="182"/>
        <v>0</v>
      </c>
      <c r="HZ41" s="21">
        <f t="shared" si="183"/>
        <v>0</v>
      </c>
      <c r="IA41" s="21">
        <f t="shared" si="184"/>
        <v>0</v>
      </c>
      <c r="IB41" s="21">
        <f t="shared" si="185"/>
        <v>0</v>
      </c>
      <c r="IC41" s="21">
        <f t="shared" si="186"/>
        <v>0</v>
      </c>
      <c r="ID41" s="21">
        <f t="shared" si="187"/>
        <v>0</v>
      </c>
      <c r="IE41" s="21">
        <f t="shared" si="188"/>
        <v>0</v>
      </c>
      <c r="IF41" s="69">
        <f t="shared" si="189"/>
        <v>0</v>
      </c>
      <c r="IG41" s="69">
        <f t="shared" si="190"/>
        <v>0</v>
      </c>
      <c r="IH41" s="69">
        <f t="shared" si="191"/>
        <v>0</v>
      </c>
      <c r="II41" s="21">
        <f t="shared" si="192"/>
        <v>0</v>
      </c>
      <c r="IJ41" s="21">
        <f t="shared" si="193"/>
        <v>0</v>
      </c>
      <c r="IK41" s="21">
        <f t="shared" si="194"/>
        <v>0</v>
      </c>
      <c r="IL41" s="21">
        <f t="shared" si="195"/>
        <v>0</v>
      </c>
      <c r="IM41" s="21">
        <f t="shared" si="196"/>
        <v>0</v>
      </c>
      <c r="IN41" s="21">
        <f t="shared" si="197"/>
        <v>0</v>
      </c>
      <c r="IO41" s="21">
        <f t="shared" si="198"/>
        <v>0</v>
      </c>
      <c r="IP41" s="21">
        <f t="shared" si="199"/>
        <v>88.5</v>
      </c>
      <c r="IQ41" s="21">
        <f t="shared" si="200"/>
        <v>94.4</v>
      </c>
      <c r="IR41" s="21">
        <f t="shared" si="201"/>
        <v>0</v>
      </c>
      <c r="IS41" s="21">
        <f t="shared" si="202"/>
        <v>0</v>
      </c>
      <c r="IT41" s="21">
        <f t="shared" si="203"/>
        <v>0</v>
      </c>
      <c r="IU41" s="21">
        <f t="shared" si="204"/>
        <v>0</v>
      </c>
      <c r="IV41" s="21">
        <f t="shared" si="205"/>
        <v>0</v>
      </c>
      <c r="IW41" s="21">
        <f t="shared" si="206"/>
        <v>0</v>
      </c>
      <c r="IX41" s="21">
        <f t="shared" si="207"/>
        <v>0</v>
      </c>
      <c r="IY41" s="21">
        <f t="shared" si="208"/>
        <v>23.895000000000003</v>
      </c>
      <c r="IZ41" s="21">
        <f t="shared" si="209"/>
        <v>0</v>
      </c>
      <c r="JA41" s="21">
        <f t="shared" si="210"/>
        <v>0</v>
      </c>
      <c r="JB41" s="21">
        <f t="shared" si="211"/>
        <v>0</v>
      </c>
      <c r="JC41" s="21">
        <f t="shared" si="212"/>
        <v>0</v>
      </c>
      <c r="JD41" s="21">
        <f t="shared" si="213"/>
        <v>0</v>
      </c>
      <c r="JE41" s="21">
        <f t="shared" si="214"/>
        <v>0.88500000000000001</v>
      </c>
      <c r="JF41" s="21">
        <f t="shared" si="215"/>
        <v>0</v>
      </c>
      <c r="JG41" s="21">
        <f t="shared" si="216"/>
        <v>0</v>
      </c>
      <c r="JH41" s="21">
        <f t="shared" si="217"/>
        <v>0</v>
      </c>
      <c r="JI41" s="21">
        <f t="shared" si="218"/>
        <v>230.1</v>
      </c>
      <c r="JJ41" s="21">
        <f t="shared" si="219"/>
        <v>0</v>
      </c>
      <c r="JK41" s="21">
        <f t="shared" si="220"/>
        <v>0</v>
      </c>
      <c r="JL41" s="21">
        <f t="shared" si="221"/>
        <v>0</v>
      </c>
      <c r="JM41" s="21">
        <f t="shared" si="222"/>
        <v>0</v>
      </c>
      <c r="JN41" s="21">
        <f t="shared" si="223"/>
        <v>3.54</v>
      </c>
      <c r="JO41" s="35">
        <f t="shared" si="110"/>
        <v>590</v>
      </c>
      <c r="JP41" s="38">
        <f t="shared" si="111"/>
        <v>0</v>
      </c>
      <c r="JQ41" s="43">
        <f t="shared" si="224"/>
        <v>0</v>
      </c>
      <c r="JR41" s="43">
        <f t="shared" si="225"/>
        <v>0</v>
      </c>
      <c r="JS41" s="43">
        <f t="shared" si="226"/>
        <v>0</v>
      </c>
      <c r="JT41" s="43">
        <f t="shared" si="227"/>
        <v>639.46078560000012</v>
      </c>
      <c r="JU41" s="43">
        <f t="shared" si="228"/>
        <v>0</v>
      </c>
      <c r="JV41" s="43">
        <f t="shared" si="229"/>
        <v>0</v>
      </c>
      <c r="JW41" s="43">
        <f t="shared" si="230"/>
        <v>0</v>
      </c>
      <c r="JX41" s="43">
        <f t="shared" si="231"/>
        <v>0</v>
      </c>
      <c r="JY41" s="43">
        <f t="shared" si="232"/>
        <v>0</v>
      </c>
      <c r="JZ41" s="43">
        <f t="shared" si="233"/>
        <v>0</v>
      </c>
      <c r="KA41" s="43">
        <f t="shared" si="234"/>
        <v>0</v>
      </c>
      <c r="KB41" s="43">
        <f t="shared" si="235"/>
        <v>0</v>
      </c>
      <c r="KC41" s="43">
        <f t="shared" si="236"/>
        <v>0</v>
      </c>
      <c r="KD41" s="43">
        <f t="shared" si="237"/>
        <v>0</v>
      </c>
      <c r="KE41" s="43">
        <f t="shared" si="238"/>
        <v>0</v>
      </c>
      <c r="KF41" s="43">
        <f t="shared" si="239"/>
        <v>0</v>
      </c>
      <c r="KG41" s="43">
        <f t="shared" si="240"/>
        <v>0</v>
      </c>
      <c r="KH41" s="43">
        <f t="shared" si="241"/>
        <v>0</v>
      </c>
      <c r="KI41" s="43">
        <f t="shared" si="242"/>
        <v>0</v>
      </c>
      <c r="KJ41" s="43">
        <f t="shared" si="243"/>
        <v>0</v>
      </c>
      <c r="KK41" s="43">
        <f t="shared" si="244"/>
        <v>0</v>
      </c>
      <c r="KL41" s="43">
        <f t="shared" si="245"/>
        <v>0</v>
      </c>
      <c r="KM41" s="43">
        <f t="shared" si="246"/>
        <v>0</v>
      </c>
      <c r="KN41" s="43">
        <f t="shared" si="247"/>
        <v>0</v>
      </c>
      <c r="KO41" s="43">
        <f t="shared" si="248"/>
        <v>0</v>
      </c>
      <c r="KP41" s="43">
        <f t="shared" si="249"/>
        <v>0</v>
      </c>
      <c r="KQ41" s="43">
        <f t="shared" si="250"/>
        <v>0</v>
      </c>
      <c r="KR41" s="43">
        <f t="shared" si="251"/>
        <v>341.61</v>
      </c>
      <c r="KS41" s="43">
        <f t="shared" si="252"/>
        <v>322.78484544646466</v>
      </c>
      <c r="KT41" s="43">
        <f t="shared" si="253"/>
        <v>0</v>
      </c>
      <c r="KU41" s="43">
        <f t="shared" si="254"/>
        <v>0</v>
      </c>
      <c r="KV41" s="43">
        <f t="shared" si="255"/>
        <v>0</v>
      </c>
      <c r="KW41" s="43">
        <f t="shared" si="256"/>
        <v>0</v>
      </c>
      <c r="KX41" s="43">
        <f t="shared" si="257"/>
        <v>0</v>
      </c>
      <c r="KY41" s="43">
        <f t="shared" si="258"/>
        <v>0</v>
      </c>
      <c r="KZ41" s="43">
        <f t="shared" si="259"/>
        <v>0</v>
      </c>
      <c r="LA41" s="43">
        <f t="shared" si="260"/>
        <v>95.743441799999999</v>
      </c>
      <c r="LB41" s="43">
        <f t="shared" si="261"/>
        <v>0</v>
      </c>
      <c r="LC41" s="43">
        <f t="shared" si="262"/>
        <v>0</v>
      </c>
      <c r="LD41" s="43">
        <f t="shared" si="263"/>
        <v>0</v>
      </c>
      <c r="LE41" s="43">
        <f t="shared" si="264"/>
        <v>0</v>
      </c>
      <c r="LF41" s="43">
        <f t="shared" si="265"/>
        <v>0</v>
      </c>
      <c r="LG41" s="43">
        <f t="shared" si="266"/>
        <v>9.1332000000000004</v>
      </c>
      <c r="LH41" s="43">
        <f t="shared" si="267"/>
        <v>0</v>
      </c>
      <c r="LI41" s="43">
        <f t="shared" si="268"/>
        <v>0</v>
      </c>
      <c r="LJ41" s="43">
        <f t="shared" si="269"/>
        <v>0</v>
      </c>
      <c r="LK41" s="43">
        <f t="shared" si="270"/>
        <v>921.72307499999999</v>
      </c>
      <c r="LL41" s="43">
        <f t="shared" si="271"/>
        <v>0</v>
      </c>
      <c r="LM41" s="43">
        <f t="shared" si="272"/>
        <v>0</v>
      </c>
      <c r="LN41" s="43">
        <f t="shared" si="273"/>
        <v>0</v>
      </c>
      <c r="LO41" s="43">
        <f t="shared" si="274"/>
        <v>0</v>
      </c>
      <c r="LP41" s="43">
        <f t="shared" si="275"/>
        <v>29.912999999999997</v>
      </c>
      <c r="LQ41" s="28">
        <f t="shared" si="113"/>
        <v>2360.368347846465</v>
      </c>
      <c r="LR41" s="65">
        <v>576</v>
      </c>
      <c r="LS41" s="32">
        <f t="shared" ref="LS41:LS77" si="281">LQ41/LR41</f>
        <v>4.0978617150112235</v>
      </c>
      <c r="LT41" s="26">
        <f t="shared" ref="LT41:LT77" si="282">LS41/3.66</f>
        <v>1.1196343483637223</v>
      </c>
      <c r="LU41" s="31">
        <f t="shared" si="116"/>
        <v>14</v>
      </c>
      <c r="LW41" s="42"/>
      <c r="MA41" s="32">
        <f t="shared" si="117"/>
        <v>4.0006243183838386</v>
      </c>
      <c r="MB41" s="26">
        <f t="shared" ref="MB41:MB77" si="283">MA41/3.66</f>
        <v>1.0930667536567864</v>
      </c>
    </row>
    <row r="42" spans="1:340" ht="15.75" thickBot="1">
      <c r="A42" t="b">
        <f t="shared" si="3"/>
        <v>1</v>
      </c>
      <c r="B42" s="123" t="s">
        <v>347</v>
      </c>
      <c r="C42" s="39" t="s">
        <v>158</v>
      </c>
      <c r="D42"/>
      <c r="E42" s="97">
        <v>46027</v>
      </c>
      <c r="F42" t="s">
        <v>43</v>
      </c>
      <c r="G42" t="s">
        <v>20</v>
      </c>
      <c r="H42" t="s">
        <v>26</v>
      </c>
      <c r="I42" s="77"/>
      <c r="J42" s="77"/>
      <c r="K42" s="77"/>
      <c r="L42" s="22"/>
      <c r="M42" s="22"/>
      <c r="N42" s="98"/>
      <c r="O42" s="22"/>
      <c r="P42" s="22"/>
      <c r="Q42" s="22"/>
      <c r="R42" s="22"/>
      <c r="S42" s="104"/>
      <c r="T42" s="22"/>
      <c r="U42" s="22"/>
      <c r="V42" s="104"/>
      <c r="W42" s="22"/>
      <c r="X42" s="22"/>
      <c r="Y42" s="22"/>
      <c r="Z42" s="104"/>
      <c r="AA42" s="104"/>
      <c r="AB42" s="104"/>
      <c r="AC42" s="22"/>
      <c r="AD42" s="22"/>
      <c r="AE42" s="22"/>
      <c r="AF42" s="124"/>
      <c r="AG42" s="124"/>
      <c r="AH42" s="22"/>
      <c r="AI42" s="104"/>
      <c r="AJ42" s="22">
        <v>0.35</v>
      </c>
      <c r="AK42" s="22"/>
      <c r="AL42" s="22"/>
      <c r="AM42" s="22"/>
      <c r="AN42" s="22"/>
      <c r="AO42" s="104"/>
      <c r="AP42" s="22"/>
      <c r="AQ42" s="22"/>
      <c r="AR42" s="22">
        <v>0.05</v>
      </c>
      <c r="AS42" s="22"/>
      <c r="AT42" s="22"/>
      <c r="AU42" s="22"/>
      <c r="AV42" s="22"/>
      <c r="AW42" s="22"/>
      <c r="AX42" s="22"/>
      <c r="AY42" s="22"/>
      <c r="AZ42" s="22">
        <v>0.6</v>
      </c>
      <c r="BA42" s="98"/>
      <c r="BB42" s="98"/>
      <c r="BC42" s="124"/>
      <c r="BD42" s="124"/>
      <c r="BE42" s="104"/>
      <c r="BF42" s="22"/>
      <c r="BG42" s="22"/>
      <c r="BH42" s="22"/>
      <c r="BI42" s="78">
        <f t="shared" ref="BI42" si="284">SUM(I42:BH42)</f>
        <v>1</v>
      </c>
      <c r="BJ42" s="23"/>
      <c r="BK42" s="23"/>
      <c r="BL42" s="23"/>
      <c r="BM42" s="23"/>
      <c r="BN42" s="23"/>
      <c r="BO42" s="99"/>
      <c r="BP42" s="23"/>
      <c r="BQ42" s="23"/>
      <c r="BR42" s="23"/>
      <c r="BS42" s="23"/>
      <c r="BT42" s="105"/>
      <c r="BU42" s="23"/>
      <c r="BV42" s="23"/>
      <c r="BW42" s="105"/>
      <c r="BX42" s="23"/>
      <c r="BY42" s="23"/>
      <c r="BZ42" s="23"/>
      <c r="CA42" s="105"/>
      <c r="CB42" s="105"/>
      <c r="CC42" s="105"/>
      <c r="CD42" s="23"/>
      <c r="CE42" s="23"/>
      <c r="CF42" s="71"/>
      <c r="CG42" s="128"/>
      <c r="CH42" s="128"/>
      <c r="CI42" s="23"/>
      <c r="CJ42" s="23"/>
      <c r="CK42" s="23"/>
      <c r="CL42" s="23">
        <v>0.35</v>
      </c>
      <c r="CM42" s="23"/>
      <c r="CN42" s="23"/>
      <c r="CO42" s="23"/>
      <c r="CP42" s="105"/>
      <c r="CQ42" s="23"/>
      <c r="CR42" s="23"/>
      <c r="CS42" s="23">
        <v>0.05</v>
      </c>
      <c r="CT42" s="23"/>
      <c r="CU42" s="23"/>
      <c r="CV42" s="23"/>
      <c r="CW42" s="23"/>
      <c r="CX42" s="23"/>
      <c r="CY42" s="23"/>
      <c r="CZ42" s="23"/>
      <c r="DA42" s="23">
        <v>0.6</v>
      </c>
      <c r="DB42" s="99"/>
      <c r="DC42" s="99"/>
      <c r="DD42" s="125"/>
      <c r="DE42" s="125"/>
      <c r="DF42" s="105"/>
      <c r="DG42" s="23"/>
      <c r="DH42" s="23"/>
      <c r="DI42" s="23"/>
      <c r="DJ42" s="79">
        <f t="shared" si="5"/>
        <v>1</v>
      </c>
      <c r="DK42" s="24"/>
      <c r="DL42" s="24"/>
      <c r="DM42" s="24"/>
      <c r="DN42" s="24"/>
      <c r="DO42" s="24"/>
      <c r="DP42" s="103"/>
      <c r="DQ42" s="24"/>
      <c r="DR42" s="24"/>
      <c r="DS42" s="24">
        <v>0.2</v>
      </c>
      <c r="DT42" s="24"/>
      <c r="DU42" s="108"/>
      <c r="DV42" s="24"/>
      <c r="DW42" s="24"/>
      <c r="DX42" s="108"/>
      <c r="DY42" s="24"/>
      <c r="DZ42" s="24"/>
      <c r="EA42" s="24">
        <v>0.6</v>
      </c>
      <c r="EB42" s="108"/>
      <c r="EC42" s="108"/>
      <c r="ED42" s="108"/>
      <c r="EE42" s="24"/>
      <c r="EF42" s="24"/>
      <c r="EG42" s="24"/>
      <c r="EH42" s="129"/>
      <c r="EI42" s="129"/>
      <c r="EJ42" s="24"/>
      <c r="EK42" s="24"/>
      <c r="EL42" s="24"/>
      <c r="EM42" s="24"/>
      <c r="EN42" s="24"/>
      <c r="EO42" s="24"/>
      <c r="EP42" s="24"/>
      <c r="EQ42" s="108"/>
      <c r="ER42" s="24"/>
      <c r="ES42" s="25"/>
      <c r="ET42" s="25"/>
      <c r="EU42" s="25">
        <v>0.18</v>
      </c>
      <c r="EV42" s="25"/>
      <c r="EW42" s="25"/>
      <c r="EX42" s="25"/>
      <c r="EY42" s="25"/>
      <c r="EZ42" s="25"/>
      <c r="FA42" s="25"/>
      <c r="FB42" s="25"/>
      <c r="FC42" s="100"/>
      <c r="FD42" s="100"/>
      <c r="FE42" s="126"/>
      <c r="FF42" s="126"/>
      <c r="FG42" s="106"/>
      <c r="FH42" s="25"/>
      <c r="FI42" s="25"/>
      <c r="FJ42" s="25">
        <v>0.02</v>
      </c>
      <c r="FK42" s="17">
        <f t="shared" si="280"/>
        <v>1</v>
      </c>
      <c r="FL42" s="18"/>
      <c r="FM42" s="19">
        <f t="shared" si="119"/>
        <v>0</v>
      </c>
      <c r="FN42" s="19">
        <f t="shared" si="120"/>
        <v>0</v>
      </c>
      <c r="FO42" s="19">
        <f t="shared" si="121"/>
        <v>0</v>
      </c>
      <c r="FP42" s="19">
        <f t="shared" si="122"/>
        <v>0</v>
      </c>
      <c r="FQ42" s="19">
        <f t="shared" si="123"/>
        <v>0</v>
      </c>
      <c r="FR42" s="19">
        <f t="shared" si="124"/>
        <v>0</v>
      </c>
      <c r="FS42" s="19">
        <f t="shared" si="125"/>
        <v>0</v>
      </c>
      <c r="FT42" s="19">
        <f t="shared" si="126"/>
        <v>0</v>
      </c>
      <c r="FU42" s="19">
        <f t="shared" si="127"/>
        <v>0.30000000000000004</v>
      </c>
      <c r="FV42" s="19">
        <f t="shared" si="128"/>
        <v>0</v>
      </c>
      <c r="FW42" s="19">
        <f t="shared" si="129"/>
        <v>0</v>
      </c>
      <c r="FX42" s="19">
        <f t="shared" si="130"/>
        <v>0</v>
      </c>
      <c r="FY42" s="19">
        <f t="shared" si="131"/>
        <v>0</v>
      </c>
      <c r="FZ42" s="19">
        <f t="shared" si="132"/>
        <v>0</v>
      </c>
      <c r="GA42" s="19">
        <f t="shared" si="133"/>
        <v>0</v>
      </c>
      <c r="GB42" s="19">
        <f t="shared" si="134"/>
        <v>0</v>
      </c>
      <c r="GC42" s="19">
        <f t="shared" si="135"/>
        <v>0.89999999999999991</v>
      </c>
      <c r="GD42" s="19">
        <f t="shared" si="136"/>
        <v>0</v>
      </c>
      <c r="GE42" s="19">
        <f t="shared" si="137"/>
        <v>0</v>
      </c>
      <c r="GF42" s="19">
        <f t="shared" si="138"/>
        <v>0</v>
      </c>
      <c r="GG42" s="19">
        <f t="shared" si="139"/>
        <v>0</v>
      </c>
      <c r="GH42" s="19">
        <f t="shared" si="140"/>
        <v>0</v>
      </c>
      <c r="GI42" s="19">
        <f t="shared" si="141"/>
        <v>0</v>
      </c>
      <c r="GJ42" s="19">
        <f t="shared" si="142"/>
        <v>0</v>
      </c>
      <c r="GK42" s="19">
        <f t="shared" si="143"/>
        <v>0</v>
      </c>
      <c r="GL42" s="19">
        <f t="shared" si="144"/>
        <v>0</v>
      </c>
      <c r="GM42" s="19">
        <f t="shared" si="145"/>
        <v>0</v>
      </c>
      <c r="GN42" s="19">
        <f t="shared" si="146"/>
        <v>0.52499999999999991</v>
      </c>
      <c r="GO42" s="19">
        <f t="shared" si="147"/>
        <v>0.7</v>
      </c>
      <c r="GP42" s="19">
        <f t="shared" si="148"/>
        <v>0</v>
      </c>
      <c r="GQ42" s="19">
        <f t="shared" si="149"/>
        <v>0</v>
      </c>
      <c r="GR42" s="19">
        <f t="shared" si="150"/>
        <v>0</v>
      </c>
      <c r="GS42" s="19">
        <f t="shared" si="151"/>
        <v>0</v>
      </c>
      <c r="GT42" s="19">
        <f t="shared" si="152"/>
        <v>0</v>
      </c>
      <c r="GU42" s="19">
        <f t="shared" si="153"/>
        <v>0</v>
      </c>
      <c r="GV42" s="19">
        <f t="shared" si="154"/>
        <v>0.17500000000000002</v>
      </c>
      <c r="GW42" s="19">
        <f t="shared" si="155"/>
        <v>0.27</v>
      </c>
      <c r="GX42" s="19">
        <f t="shared" si="156"/>
        <v>0</v>
      </c>
      <c r="GY42" s="19">
        <f t="shared" si="157"/>
        <v>0</v>
      </c>
      <c r="GZ42" s="19">
        <f t="shared" si="158"/>
        <v>0</v>
      </c>
      <c r="HA42" s="19">
        <f t="shared" si="159"/>
        <v>0</v>
      </c>
      <c r="HB42" s="19">
        <f t="shared" si="160"/>
        <v>0</v>
      </c>
      <c r="HC42" s="19">
        <f t="shared" si="161"/>
        <v>0</v>
      </c>
      <c r="HD42" s="19">
        <f t="shared" si="162"/>
        <v>2.0999999999999996</v>
      </c>
      <c r="HE42" s="19">
        <f t="shared" si="163"/>
        <v>0</v>
      </c>
      <c r="HF42" s="19">
        <f t="shared" si="164"/>
        <v>0</v>
      </c>
      <c r="HG42" s="19">
        <f t="shared" si="165"/>
        <v>0</v>
      </c>
      <c r="HH42" s="19">
        <f t="shared" si="166"/>
        <v>0</v>
      </c>
      <c r="HI42" s="19">
        <f t="shared" si="167"/>
        <v>0</v>
      </c>
      <c r="HJ42" s="19">
        <f t="shared" si="168"/>
        <v>0</v>
      </c>
      <c r="HK42" s="19">
        <f t="shared" si="169"/>
        <v>0</v>
      </c>
      <c r="HL42" s="19">
        <f t="shared" si="170"/>
        <v>0.03</v>
      </c>
      <c r="HM42" s="20">
        <f t="shared" si="171"/>
        <v>4.9999999999999991</v>
      </c>
      <c r="HN42" s="53">
        <v>1105</v>
      </c>
      <c r="HO42" s="21">
        <f t="shared" si="172"/>
        <v>0</v>
      </c>
      <c r="HP42" s="21">
        <f t="shared" si="173"/>
        <v>0</v>
      </c>
      <c r="HQ42" s="21">
        <f t="shared" si="174"/>
        <v>0</v>
      </c>
      <c r="HR42" s="21">
        <f t="shared" si="175"/>
        <v>0</v>
      </c>
      <c r="HS42" s="21">
        <f t="shared" si="176"/>
        <v>0</v>
      </c>
      <c r="HT42" s="69">
        <f t="shared" si="177"/>
        <v>0</v>
      </c>
      <c r="HU42" s="21">
        <f t="shared" si="178"/>
        <v>0</v>
      </c>
      <c r="HV42" s="21">
        <f t="shared" si="179"/>
        <v>0</v>
      </c>
      <c r="HW42" s="21">
        <f t="shared" si="180"/>
        <v>66.300000000000026</v>
      </c>
      <c r="HX42" s="21">
        <f t="shared" si="181"/>
        <v>0</v>
      </c>
      <c r="HY42" s="21">
        <f t="shared" si="182"/>
        <v>0</v>
      </c>
      <c r="HZ42" s="21">
        <f t="shared" si="183"/>
        <v>0</v>
      </c>
      <c r="IA42" s="21">
        <f t="shared" si="184"/>
        <v>0</v>
      </c>
      <c r="IB42" s="21">
        <f t="shared" si="185"/>
        <v>0</v>
      </c>
      <c r="IC42" s="21">
        <f t="shared" si="186"/>
        <v>0</v>
      </c>
      <c r="ID42" s="21">
        <f t="shared" si="187"/>
        <v>0</v>
      </c>
      <c r="IE42" s="21">
        <f t="shared" si="188"/>
        <v>198.9</v>
      </c>
      <c r="IF42" s="69">
        <f t="shared" si="189"/>
        <v>0</v>
      </c>
      <c r="IG42" s="69">
        <f t="shared" si="190"/>
        <v>0</v>
      </c>
      <c r="IH42" s="69">
        <f t="shared" si="191"/>
        <v>0</v>
      </c>
      <c r="II42" s="21">
        <f t="shared" si="192"/>
        <v>0</v>
      </c>
      <c r="IJ42" s="21">
        <f t="shared" si="193"/>
        <v>0</v>
      </c>
      <c r="IK42" s="21">
        <f t="shared" si="194"/>
        <v>0</v>
      </c>
      <c r="IL42" s="21">
        <f t="shared" si="195"/>
        <v>0</v>
      </c>
      <c r="IM42" s="21">
        <f t="shared" si="196"/>
        <v>0</v>
      </c>
      <c r="IN42" s="21">
        <f t="shared" si="197"/>
        <v>0</v>
      </c>
      <c r="IO42" s="21">
        <f t="shared" si="198"/>
        <v>0</v>
      </c>
      <c r="IP42" s="21">
        <f t="shared" si="199"/>
        <v>116.02499999999999</v>
      </c>
      <c r="IQ42" s="21">
        <f t="shared" si="200"/>
        <v>154.70000000000002</v>
      </c>
      <c r="IR42" s="21">
        <f t="shared" si="201"/>
        <v>0</v>
      </c>
      <c r="IS42" s="21">
        <f t="shared" si="202"/>
        <v>0</v>
      </c>
      <c r="IT42" s="21">
        <f t="shared" si="203"/>
        <v>0</v>
      </c>
      <c r="IU42" s="21">
        <f t="shared" si="204"/>
        <v>0</v>
      </c>
      <c r="IV42" s="21">
        <f t="shared" si="205"/>
        <v>0</v>
      </c>
      <c r="IW42" s="21">
        <f t="shared" si="206"/>
        <v>0</v>
      </c>
      <c r="IX42" s="21">
        <f t="shared" si="207"/>
        <v>38.675000000000011</v>
      </c>
      <c r="IY42" s="21">
        <f t="shared" si="208"/>
        <v>59.670000000000016</v>
      </c>
      <c r="IZ42" s="21">
        <f t="shared" si="209"/>
        <v>0</v>
      </c>
      <c r="JA42" s="21">
        <f t="shared" si="210"/>
        <v>0</v>
      </c>
      <c r="JB42" s="21">
        <f t="shared" si="211"/>
        <v>0</v>
      </c>
      <c r="JC42" s="21">
        <f t="shared" si="212"/>
        <v>0</v>
      </c>
      <c r="JD42" s="21">
        <f t="shared" si="213"/>
        <v>0</v>
      </c>
      <c r="JE42" s="21">
        <f t="shared" si="214"/>
        <v>0</v>
      </c>
      <c r="JF42" s="21">
        <f t="shared" si="215"/>
        <v>464.09999999999997</v>
      </c>
      <c r="JG42" s="21">
        <f t="shared" si="216"/>
        <v>0</v>
      </c>
      <c r="JH42" s="21">
        <f t="shared" si="217"/>
        <v>0</v>
      </c>
      <c r="JI42" s="21">
        <f t="shared" si="218"/>
        <v>0</v>
      </c>
      <c r="JJ42" s="21">
        <f t="shared" si="219"/>
        <v>0</v>
      </c>
      <c r="JK42" s="21">
        <f t="shared" si="220"/>
        <v>0</v>
      </c>
      <c r="JL42" s="21">
        <f t="shared" si="221"/>
        <v>0</v>
      </c>
      <c r="JM42" s="21">
        <f t="shared" si="222"/>
        <v>0</v>
      </c>
      <c r="JN42" s="21">
        <f t="shared" si="223"/>
        <v>6.6300000000000008</v>
      </c>
      <c r="JO42" s="35">
        <f t="shared" si="110"/>
        <v>1105.0000000000002</v>
      </c>
      <c r="JP42" s="38">
        <f t="shared" si="111"/>
        <v>0</v>
      </c>
      <c r="JQ42" s="43">
        <f t="shared" si="224"/>
        <v>0</v>
      </c>
      <c r="JR42" s="43">
        <f t="shared" si="225"/>
        <v>0</v>
      </c>
      <c r="JS42" s="43">
        <f t="shared" si="226"/>
        <v>0</v>
      </c>
      <c r="JT42" s="43">
        <f t="shared" si="227"/>
        <v>0</v>
      </c>
      <c r="JU42" s="43">
        <f t="shared" si="228"/>
        <v>0</v>
      </c>
      <c r="JV42" s="43">
        <f t="shared" si="229"/>
        <v>0</v>
      </c>
      <c r="JW42" s="43">
        <f t="shared" si="230"/>
        <v>0</v>
      </c>
      <c r="JX42" s="43">
        <f t="shared" si="231"/>
        <v>0</v>
      </c>
      <c r="JY42" s="43">
        <f t="shared" si="232"/>
        <v>307.08568800000012</v>
      </c>
      <c r="JZ42" s="43">
        <f t="shared" si="233"/>
        <v>0</v>
      </c>
      <c r="KA42" s="43">
        <f t="shared" si="234"/>
        <v>0</v>
      </c>
      <c r="KB42" s="43">
        <f t="shared" si="235"/>
        <v>0</v>
      </c>
      <c r="KC42" s="43">
        <f t="shared" si="236"/>
        <v>0</v>
      </c>
      <c r="KD42" s="43">
        <f t="shared" si="237"/>
        <v>0</v>
      </c>
      <c r="KE42" s="43">
        <f t="shared" si="238"/>
        <v>0</v>
      </c>
      <c r="KF42" s="43">
        <f t="shared" si="239"/>
        <v>0</v>
      </c>
      <c r="KG42" s="43">
        <f t="shared" si="240"/>
        <v>825.420084509091</v>
      </c>
      <c r="KH42" s="43">
        <f t="shared" si="241"/>
        <v>0</v>
      </c>
      <c r="KI42" s="43">
        <f t="shared" si="242"/>
        <v>0</v>
      </c>
      <c r="KJ42" s="43">
        <f t="shared" si="243"/>
        <v>0</v>
      </c>
      <c r="KK42" s="43">
        <f t="shared" si="244"/>
        <v>0</v>
      </c>
      <c r="KL42" s="43">
        <f t="shared" si="245"/>
        <v>0</v>
      </c>
      <c r="KM42" s="43">
        <f t="shared" si="246"/>
        <v>0</v>
      </c>
      <c r="KN42" s="43">
        <f t="shared" si="247"/>
        <v>0</v>
      </c>
      <c r="KO42" s="43">
        <f t="shared" si="248"/>
        <v>0</v>
      </c>
      <c r="KP42" s="43">
        <f t="shared" si="249"/>
        <v>0</v>
      </c>
      <c r="KQ42" s="43">
        <f t="shared" si="250"/>
        <v>0</v>
      </c>
      <c r="KR42" s="43">
        <f t="shared" si="251"/>
        <v>447.85649999999993</v>
      </c>
      <c r="KS42" s="43">
        <f t="shared" si="252"/>
        <v>528.97050413737384</v>
      </c>
      <c r="KT42" s="43">
        <f t="shared" si="253"/>
        <v>0</v>
      </c>
      <c r="KU42" s="43">
        <f t="shared" si="254"/>
        <v>0</v>
      </c>
      <c r="KV42" s="43">
        <f t="shared" si="255"/>
        <v>0</v>
      </c>
      <c r="KW42" s="43">
        <f t="shared" si="256"/>
        <v>0</v>
      </c>
      <c r="KX42" s="43">
        <f t="shared" si="257"/>
        <v>0</v>
      </c>
      <c r="KY42" s="43">
        <f t="shared" si="258"/>
        <v>0</v>
      </c>
      <c r="KZ42" s="43">
        <f t="shared" si="259"/>
        <v>334.53875000000011</v>
      </c>
      <c r="LA42" s="43">
        <f t="shared" si="260"/>
        <v>239.08814280000004</v>
      </c>
      <c r="LB42" s="43">
        <f t="shared" si="261"/>
        <v>0</v>
      </c>
      <c r="LC42" s="43">
        <f t="shared" si="262"/>
        <v>0</v>
      </c>
      <c r="LD42" s="43">
        <f t="shared" si="263"/>
        <v>0</v>
      </c>
      <c r="LE42" s="43">
        <f t="shared" si="264"/>
        <v>0</v>
      </c>
      <c r="LF42" s="43">
        <f t="shared" si="265"/>
        <v>0</v>
      </c>
      <c r="LG42" s="43">
        <f t="shared" si="266"/>
        <v>0</v>
      </c>
      <c r="LH42" s="43">
        <f t="shared" si="267"/>
        <v>1943.0242743757576</v>
      </c>
      <c r="LI42" s="43">
        <f t="shared" si="268"/>
        <v>0</v>
      </c>
      <c r="LJ42" s="43">
        <f t="shared" si="269"/>
        <v>0</v>
      </c>
      <c r="LK42" s="43">
        <f t="shared" si="270"/>
        <v>0</v>
      </c>
      <c r="LL42" s="43">
        <f t="shared" si="271"/>
        <v>0</v>
      </c>
      <c r="LM42" s="43">
        <f t="shared" si="272"/>
        <v>0</v>
      </c>
      <c r="LN42" s="43">
        <f t="shared" si="273"/>
        <v>0</v>
      </c>
      <c r="LO42" s="43">
        <f t="shared" si="274"/>
        <v>0</v>
      </c>
      <c r="LP42" s="43">
        <f t="shared" si="275"/>
        <v>56.023499999999999</v>
      </c>
      <c r="LQ42" s="28">
        <f t="shared" si="113"/>
        <v>4682.0074438222227</v>
      </c>
      <c r="LR42" s="65">
        <v>1036</v>
      </c>
      <c r="LS42" s="32">
        <f t="shared" si="281"/>
        <v>4.5193122044616052</v>
      </c>
      <c r="LT42" s="26">
        <f t="shared" si="282"/>
        <v>1.2347847553173785</v>
      </c>
      <c r="LU42" s="31">
        <f t="shared" si="116"/>
        <v>69</v>
      </c>
      <c r="LW42" s="42"/>
      <c r="MA42" s="32">
        <f t="shared" si="117"/>
        <v>4.2371108088888887</v>
      </c>
      <c r="MB42" s="26">
        <f t="shared" si="283"/>
        <v>1.1576805488767454</v>
      </c>
    </row>
    <row r="43" spans="1:340" ht="15.75" thickBot="1">
      <c r="A43" t="b">
        <f t="shared" ref="A43:A74" si="285">IF(G43="","",IF(G43="EC1",HM43=500%,HM43=150%))</f>
        <v>1</v>
      </c>
      <c r="B43" s="123" t="s">
        <v>178</v>
      </c>
      <c r="C43" s="39" t="s">
        <v>103</v>
      </c>
      <c r="D43"/>
      <c r="E43" s="97">
        <v>46033</v>
      </c>
      <c r="F43" t="s">
        <v>43</v>
      </c>
      <c r="G43" t="s">
        <v>20</v>
      </c>
      <c r="H43" t="s">
        <v>27</v>
      </c>
      <c r="I43" s="77"/>
      <c r="J43" s="77"/>
      <c r="K43" s="77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>
        <v>0.1</v>
      </c>
      <c r="X43" s="104"/>
      <c r="Y43" s="104"/>
      <c r="Z43" s="104"/>
      <c r="AA43" s="104"/>
      <c r="AB43" s="104"/>
      <c r="AC43" s="104"/>
      <c r="AD43" s="104"/>
      <c r="AE43" s="104"/>
      <c r="AF43" s="124"/>
      <c r="AG43" s="124"/>
      <c r="AH43" s="104"/>
      <c r="AI43" s="104"/>
      <c r="AJ43" s="104">
        <v>0.4</v>
      </c>
      <c r="AK43" s="104"/>
      <c r="AL43" s="104"/>
      <c r="AM43" s="104"/>
      <c r="AN43" s="104"/>
      <c r="AO43" s="104"/>
      <c r="AP43" s="104"/>
      <c r="AQ43" s="104"/>
      <c r="AR43" s="104"/>
      <c r="AS43" s="104"/>
      <c r="AT43" s="104"/>
      <c r="AU43" s="104"/>
      <c r="AV43" s="104"/>
      <c r="AW43" s="104"/>
      <c r="AX43" s="104"/>
      <c r="AY43" s="104"/>
      <c r="AZ43" s="104"/>
      <c r="BA43" s="104"/>
      <c r="BB43" s="104"/>
      <c r="BC43" s="124">
        <v>0.5</v>
      </c>
      <c r="BD43" s="124"/>
      <c r="BE43" s="104"/>
      <c r="BF43" s="104"/>
      <c r="BG43" s="104"/>
      <c r="BH43" s="104"/>
      <c r="BI43" s="78">
        <f t="shared" si="4"/>
        <v>1</v>
      </c>
      <c r="BJ43" s="105"/>
      <c r="BK43" s="105"/>
      <c r="BL43" s="105"/>
      <c r="BM43" s="105"/>
      <c r="BN43" s="105"/>
      <c r="BO43" s="105"/>
      <c r="BP43" s="105"/>
      <c r="BQ43" s="105"/>
      <c r="BR43" s="105"/>
      <c r="BS43" s="105"/>
      <c r="BT43" s="105"/>
      <c r="BU43" s="105"/>
      <c r="BV43" s="105"/>
      <c r="BW43" s="105"/>
      <c r="BX43" s="105">
        <v>0.25</v>
      </c>
      <c r="BY43" s="105"/>
      <c r="BZ43" s="105"/>
      <c r="CA43" s="105"/>
      <c r="CB43" s="105"/>
      <c r="CC43" s="105"/>
      <c r="CD43" s="105"/>
      <c r="CE43" s="105"/>
      <c r="CF43" s="120"/>
      <c r="CG43" s="128"/>
      <c r="CH43" s="128"/>
      <c r="CI43" s="105"/>
      <c r="CJ43" s="105"/>
      <c r="CK43" s="105"/>
      <c r="CL43" s="105">
        <v>0.25</v>
      </c>
      <c r="CM43" s="105"/>
      <c r="CN43" s="105"/>
      <c r="CO43" s="105"/>
      <c r="CP43" s="105"/>
      <c r="CQ43" s="105"/>
      <c r="CR43" s="105"/>
      <c r="CS43" s="105"/>
      <c r="CT43" s="105"/>
      <c r="CU43" s="105"/>
      <c r="CV43" s="105"/>
      <c r="CW43" s="105"/>
      <c r="CX43" s="105"/>
      <c r="CY43" s="105"/>
      <c r="CZ43" s="105"/>
      <c r="DA43" s="105"/>
      <c r="DB43" s="105"/>
      <c r="DC43" s="105"/>
      <c r="DD43" s="125">
        <v>0.5</v>
      </c>
      <c r="DE43" s="125"/>
      <c r="DF43" s="105"/>
      <c r="DG43" s="105"/>
      <c r="DH43" s="105"/>
      <c r="DI43" s="105"/>
      <c r="DJ43" s="79">
        <f t="shared" ref="DJ43:DJ75" si="286">SUM(BJ43:DI43)</f>
        <v>1</v>
      </c>
      <c r="DK43" s="108"/>
      <c r="DL43" s="108"/>
      <c r="DM43" s="108"/>
      <c r="DN43" s="108">
        <v>0.7</v>
      </c>
      <c r="DO43" s="108"/>
      <c r="DP43" s="108"/>
      <c r="DQ43" s="108"/>
      <c r="DR43" s="108"/>
      <c r="DS43" s="108"/>
      <c r="DT43" s="108"/>
      <c r="DU43" s="108"/>
      <c r="DV43" s="108"/>
      <c r="DW43" s="108"/>
      <c r="DX43" s="108"/>
      <c r="DY43" s="108"/>
      <c r="DZ43" s="108"/>
      <c r="EA43" s="108"/>
      <c r="EB43" s="108"/>
      <c r="EC43" s="108"/>
      <c r="ED43" s="108"/>
      <c r="EE43" s="108"/>
      <c r="EF43" s="108"/>
      <c r="EG43" s="108"/>
      <c r="EH43" s="129"/>
      <c r="EI43" s="129"/>
      <c r="EJ43" s="108"/>
      <c r="EK43" s="108"/>
      <c r="EL43" s="108"/>
      <c r="EM43" s="108">
        <v>0.19</v>
      </c>
      <c r="EN43" s="108"/>
      <c r="EO43" s="108"/>
      <c r="EP43" s="108"/>
      <c r="EQ43" s="108"/>
      <c r="ER43" s="108"/>
      <c r="ES43" s="106"/>
      <c r="ET43" s="106"/>
      <c r="EU43" s="106">
        <v>0.09</v>
      </c>
      <c r="EV43" s="106"/>
      <c r="EW43" s="106"/>
      <c r="EX43" s="106"/>
      <c r="EY43" s="106"/>
      <c r="EZ43" s="106"/>
      <c r="FA43" s="106"/>
      <c r="FB43" s="106"/>
      <c r="FC43" s="106"/>
      <c r="FD43" s="106"/>
      <c r="FE43" s="126"/>
      <c r="FF43" s="126"/>
      <c r="FG43" s="106"/>
      <c r="FH43" s="106"/>
      <c r="FI43" s="106"/>
      <c r="FJ43" s="106">
        <v>0.02</v>
      </c>
      <c r="FK43" s="17">
        <f t="shared" si="280"/>
        <v>0.99999999999999989</v>
      </c>
      <c r="FL43" s="18"/>
      <c r="FM43" s="19">
        <f t="shared" si="119"/>
        <v>0</v>
      </c>
      <c r="FN43" s="19">
        <f t="shared" si="120"/>
        <v>0</v>
      </c>
      <c r="FO43" s="19">
        <f t="shared" si="121"/>
        <v>0</v>
      </c>
      <c r="FP43" s="19">
        <f t="shared" si="122"/>
        <v>1.0499999999999998</v>
      </c>
      <c r="FQ43" s="19">
        <f t="shared" si="123"/>
        <v>0</v>
      </c>
      <c r="FR43" s="19">
        <f t="shared" si="124"/>
        <v>0</v>
      </c>
      <c r="FS43" s="19">
        <f t="shared" si="125"/>
        <v>0</v>
      </c>
      <c r="FT43" s="19">
        <f t="shared" si="126"/>
        <v>0</v>
      </c>
      <c r="FU43" s="19">
        <f t="shared" si="127"/>
        <v>0</v>
      </c>
      <c r="FV43" s="19">
        <f t="shared" si="128"/>
        <v>0</v>
      </c>
      <c r="FW43" s="19">
        <f t="shared" si="129"/>
        <v>0</v>
      </c>
      <c r="FX43" s="19">
        <f t="shared" si="130"/>
        <v>0</v>
      </c>
      <c r="FY43" s="19">
        <f t="shared" si="131"/>
        <v>0</v>
      </c>
      <c r="FZ43" s="19">
        <f t="shared" si="132"/>
        <v>0</v>
      </c>
      <c r="GA43" s="19">
        <f t="shared" si="133"/>
        <v>0.65</v>
      </c>
      <c r="GB43" s="19">
        <f t="shared" si="134"/>
        <v>0</v>
      </c>
      <c r="GC43" s="19">
        <f t="shared" si="135"/>
        <v>0</v>
      </c>
      <c r="GD43" s="19">
        <f t="shared" si="136"/>
        <v>0</v>
      </c>
      <c r="GE43" s="19">
        <f t="shared" si="137"/>
        <v>0</v>
      </c>
      <c r="GF43" s="19">
        <f t="shared" si="138"/>
        <v>0</v>
      </c>
      <c r="GG43" s="19">
        <f t="shared" si="139"/>
        <v>0</v>
      </c>
      <c r="GH43" s="19">
        <f t="shared" si="140"/>
        <v>0</v>
      </c>
      <c r="GI43" s="19">
        <f t="shared" si="141"/>
        <v>0</v>
      </c>
      <c r="GJ43" s="19">
        <f t="shared" si="142"/>
        <v>0</v>
      </c>
      <c r="GK43" s="19">
        <f t="shared" si="143"/>
        <v>0</v>
      </c>
      <c r="GL43" s="19">
        <f t="shared" si="144"/>
        <v>0</v>
      </c>
      <c r="GM43" s="19">
        <f t="shared" si="145"/>
        <v>0</v>
      </c>
      <c r="GN43" s="19">
        <f t="shared" si="146"/>
        <v>0.60000000000000009</v>
      </c>
      <c r="GO43" s="19">
        <f t="shared" si="147"/>
        <v>0.78500000000000003</v>
      </c>
      <c r="GP43" s="19">
        <f t="shared" si="148"/>
        <v>0</v>
      </c>
      <c r="GQ43" s="19">
        <f t="shared" si="149"/>
        <v>0</v>
      </c>
      <c r="GR43" s="19">
        <f t="shared" si="150"/>
        <v>0</v>
      </c>
      <c r="GS43" s="19">
        <f t="shared" si="151"/>
        <v>0</v>
      </c>
      <c r="GT43" s="19">
        <f t="shared" si="152"/>
        <v>0</v>
      </c>
      <c r="GU43" s="19">
        <f t="shared" si="153"/>
        <v>0</v>
      </c>
      <c r="GV43" s="19">
        <f t="shared" si="154"/>
        <v>0</v>
      </c>
      <c r="GW43" s="19">
        <f t="shared" si="155"/>
        <v>0.13500000000000001</v>
      </c>
      <c r="GX43" s="19">
        <f t="shared" si="156"/>
        <v>0</v>
      </c>
      <c r="GY43" s="19">
        <f t="shared" si="157"/>
        <v>0</v>
      </c>
      <c r="GZ43" s="19">
        <f t="shared" si="158"/>
        <v>0</v>
      </c>
      <c r="HA43" s="19">
        <f t="shared" si="159"/>
        <v>0</v>
      </c>
      <c r="HB43" s="19">
        <f t="shared" si="160"/>
        <v>0</v>
      </c>
      <c r="HC43" s="19">
        <f t="shared" si="161"/>
        <v>0</v>
      </c>
      <c r="HD43" s="19">
        <f t="shared" si="162"/>
        <v>0</v>
      </c>
      <c r="HE43" s="19">
        <f t="shared" si="163"/>
        <v>0</v>
      </c>
      <c r="HF43" s="19">
        <f t="shared" si="164"/>
        <v>0</v>
      </c>
      <c r="HG43" s="19">
        <f t="shared" si="165"/>
        <v>1.75</v>
      </c>
      <c r="HH43" s="19">
        <f t="shared" si="166"/>
        <v>0</v>
      </c>
      <c r="HI43" s="19">
        <f t="shared" si="167"/>
        <v>0</v>
      </c>
      <c r="HJ43" s="19">
        <f t="shared" si="168"/>
        <v>0</v>
      </c>
      <c r="HK43" s="19">
        <f t="shared" si="169"/>
        <v>0</v>
      </c>
      <c r="HL43" s="19">
        <f t="shared" si="170"/>
        <v>0.03</v>
      </c>
      <c r="HM43" s="20">
        <f t="shared" si="171"/>
        <v>5</v>
      </c>
      <c r="HN43" s="53">
        <v>1117</v>
      </c>
      <c r="HO43" s="21">
        <f t="shared" si="172"/>
        <v>0</v>
      </c>
      <c r="HP43" s="21">
        <f t="shared" si="173"/>
        <v>0</v>
      </c>
      <c r="HQ43" s="21">
        <f t="shared" si="174"/>
        <v>0</v>
      </c>
      <c r="HR43" s="21">
        <f t="shared" si="175"/>
        <v>234.57</v>
      </c>
      <c r="HS43" s="21">
        <f t="shared" si="176"/>
        <v>0</v>
      </c>
      <c r="HT43" s="69">
        <f t="shared" si="177"/>
        <v>0</v>
      </c>
      <c r="HU43" s="21">
        <f t="shared" si="178"/>
        <v>0</v>
      </c>
      <c r="HV43" s="21">
        <f t="shared" si="179"/>
        <v>0</v>
      </c>
      <c r="HW43" s="21">
        <f t="shared" si="180"/>
        <v>0</v>
      </c>
      <c r="HX43" s="21">
        <f t="shared" si="181"/>
        <v>0</v>
      </c>
      <c r="HY43" s="21">
        <f t="shared" si="182"/>
        <v>0</v>
      </c>
      <c r="HZ43" s="21">
        <f t="shared" si="183"/>
        <v>0</v>
      </c>
      <c r="IA43" s="21">
        <f t="shared" si="184"/>
        <v>0</v>
      </c>
      <c r="IB43" s="21">
        <f t="shared" si="185"/>
        <v>0</v>
      </c>
      <c r="IC43" s="21">
        <f t="shared" si="186"/>
        <v>145.21</v>
      </c>
      <c r="ID43" s="21">
        <f t="shared" si="187"/>
        <v>0</v>
      </c>
      <c r="IE43" s="21">
        <f t="shared" si="188"/>
        <v>0</v>
      </c>
      <c r="IF43" s="69">
        <f t="shared" si="189"/>
        <v>0</v>
      </c>
      <c r="IG43" s="69">
        <f t="shared" si="190"/>
        <v>0</v>
      </c>
      <c r="IH43" s="69">
        <f t="shared" si="191"/>
        <v>0</v>
      </c>
      <c r="II43" s="21">
        <f t="shared" si="192"/>
        <v>0</v>
      </c>
      <c r="IJ43" s="21">
        <f t="shared" si="193"/>
        <v>0</v>
      </c>
      <c r="IK43" s="21">
        <f t="shared" si="194"/>
        <v>0</v>
      </c>
      <c r="IL43" s="21">
        <f t="shared" si="195"/>
        <v>0</v>
      </c>
      <c r="IM43" s="21">
        <f t="shared" si="196"/>
        <v>0</v>
      </c>
      <c r="IN43" s="21">
        <f t="shared" si="197"/>
        <v>0</v>
      </c>
      <c r="IO43" s="21">
        <f t="shared" si="198"/>
        <v>0</v>
      </c>
      <c r="IP43" s="21">
        <f t="shared" si="199"/>
        <v>134.04000000000002</v>
      </c>
      <c r="IQ43" s="21">
        <f t="shared" si="200"/>
        <v>175.369</v>
      </c>
      <c r="IR43" s="21">
        <f t="shared" si="201"/>
        <v>0</v>
      </c>
      <c r="IS43" s="21">
        <f t="shared" si="202"/>
        <v>0</v>
      </c>
      <c r="IT43" s="21">
        <f t="shared" si="203"/>
        <v>0</v>
      </c>
      <c r="IU43" s="21">
        <f t="shared" si="204"/>
        <v>0</v>
      </c>
      <c r="IV43" s="21">
        <f t="shared" si="205"/>
        <v>0</v>
      </c>
      <c r="IW43" s="21">
        <f t="shared" si="206"/>
        <v>0</v>
      </c>
      <c r="IX43" s="21">
        <f t="shared" si="207"/>
        <v>0</v>
      </c>
      <c r="IY43" s="21">
        <f t="shared" si="208"/>
        <v>30.159000000000002</v>
      </c>
      <c r="IZ43" s="21">
        <f t="shared" si="209"/>
        <v>0</v>
      </c>
      <c r="JA43" s="21">
        <f t="shared" si="210"/>
        <v>0</v>
      </c>
      <c r="JB43" s="21">
        <f t="shared" si="211"/>
        <v>0</v>
      </c>
      <c r="JC43" s="21">
        <f t="shared" si="212"/>
        <v>0</v>
      </c>
      <c r="JD43" s="21">
        <f t="shared" si="213"/>
        <v>0</v>
      </c>
      <c r="JE43" s="21">
        <f t="shared" si="214"/>
        <v>0</v>
      </c>
      <c r="JF43" s="21">
        <f t="shared" si="215"/>
        <v>0</v>
      </c>
      <c r="JG43" s="21">
        <f t="shared" si="216"/>
        <v>0</v>
      </c>
      <c r="JH43" s="21">
        <f t="shared" si="217"/>
        <v>0</v>
      </c>
      <c r="JI43" s="21">
        <f t="shared" si="218"/>
        <v>390.95</v>
      </c>
      <c r="JJ43" s="21">
        <f t="shared" si="219"/>
        <v>0</v>
      </c>
      <c r="JK43" s="21">
        <f t="shared" si="220"/>
        <v>0</v>
      </c>
      <c r="JL43" s="21">
        <f t="shared" si="221"/>
        <v>0</v>
      </c>
      <c r="JM43" s="21">
        <f t="shared" si="222"/>
        <v>0</v>
      </c>
      <c r="JN43" s="21">
        <f t="shared" si="223"/>
        <v>6.702</v>
      </c>
      <c r="JO43" s="35">
        <f t="shared" ref="JO43:JO74" si="287">SUM(HO43:JN43)</f>
        <v>1117</v>
      </c>
      <c r="JP43" s="38">
        <f t="shared" ref="JP43:JP74" si="288">JO43-HN43</f>
        <v>0</v>
      </c>
      <c r="JQ43" s="43">
        <f t="shared" si="224"/>
        <v>0</v>
      </c>
      <c r="JR43" s="43">
        <f t="shared" si="225"/>
        <v>0</v>
      </c>
      <c r="JS43" s="43">
        <f t="shared" si="226"/>
        <v>0</v>
      </c>
      <c r="JT43" s="43">
        <f t="shared" si="227"/>
        <v>1008.8668044000001</v>
      </c>
      <c r="JU43" s="43">
        <f t="shared" si="228"/>
        <v>0</v>
      </c>
      <c r="JV43" s="43">
        <f t="shared" si="229"/>
        <v>0</v>
      </c>
      <c r="JW43" s="43">
        <f t="shared" si="230"/>
        <v>0</v>
      </c>
      <c r="JX43" s="43">
        <f t="shared" si="231"/>
        <v>0</v>
      </c>
      <c r="JY43" s="43">
        <f t="shared" si="232"/>
        <v>0</v>
      </c>
      <c r="JZ43" s="43">
        <f t="shared" si="233"/>
        <v>0</v>
      </c>
      <c r="KA43" s="43">
        <f t="shared" si="234"/>
        <v>0</v>
      </c>
      <c r="KB43" s="43">
        <f t="shared" si="235"/>
        <v>0</v>
      </c>
      <c r="KC43" s="43">
        <f t="shared" si="236"/>
        <v>0</v>
      </c>
      <c r="KD43" s="43">
        <f t="shared" si="237"/>
        <v>0</v>
      </c>
      <c r="KE43" s="43">
        <f t="shared" si="238"/>
        <v>591.94493328323233</v>
      </c>
      <c r="KF43" s="43">
        <f t="shared" si="239"/>
        <v>0</v>
      </c>
      <c r="KG43" s="43">
        <f t="shared" si="240"/>
        <v>0</v>
      </c>
      <c r="KH43" s="43">
        <f t="shared" si="241"/>
        <v>0</v>
      </c>
      <c r="KI43" s="43">
        <f t="shared" si="242"/>
        <v>0</v>
      </c>
      <c r="KJ43" s="43">
        <f t="shared" si="243"/>
        <v>0</v>
      </c>
      <c r="KK43" s="43">
        <f t="shared" si="244"/>
        <v>0</v>
      </c>
      <c r="KL43" s="43">
        <f t="shared" si="245"/>
        <v>0</v>
      </c>
      <c r="KM43" s="43">
        <f t="shared" si="246"/>
        <v>0</v>
      </c>
      <c r="KN43" s="43">
        <f t="shared" si="247"/>
        <v>0</v>
      </c>
      <c r="KO43" s="43">
        <f t="shared" si="248"/>
        <v>0</v>
      </c>
      <c r="KP43" s="43">
        <f t="shared" si="249"/>
        <v>0</v>
      </c>
      <c r="KQ43" s="43">
        <f t="shared" si="250"/>
        <v>0</v>
      </c>
      <c r="KR43" s="43">
        <f t="shared" si="251"/>
        <v>517.39440000000002</v>
      </c>
      <c r="KS43" s="43">
        <f t="shared" si="252"/>
        <v>599.64465636759599</v>
      </c>
      <c r="KT43" s="43">
        <f t="shared" si="253"/>
        <v>0</v>
      </c>
      <c r="KU43" s="43">
        <f t="shared" si="254"/>
        <v>0</v>
      </c>
      <c r="KV43" s="43">
        <f t="shared" si="255"/>
        <v>0</v>
      </c>
      <c r="KW43" s="43">
        <f t="shared" si="256"/>
        <v>0</v>
      </c>
      <c r="KX43" s="43">
        <f t="shared" si="257"/>
        <v>0</v>
      </c>
      <c r="KY43" s="43">
        <f t="shared" si="258"/>
        <v>0</v>
      </c>
      <c r="KZ43" s="43">
        <f t="shared" si="259"/>
        <v>0</v>
      </c>
      <c r="LA43" s="43">
        <f t="shared" si="260"/>
        <v>120.84228755999999</v>
      </c>
      <c r="LB43" s="43">
        <f t="shared" si="261"/>
        <v>0</v>
      </c>
      <c r="LC43" s="43">
        <f t="shared" si="262"/>
        <v>0</v>
      </c>
      <c r="LD43" s="43">
        <f t="shared" si="263"/>
        <v>0</v>
      </c>
      <c r="LE43" s="43">
        <f t="shared" si="264"/>
        <v>0</v>
      </c>
      <c r="LF43" s="43">
        <f t="shared" si="265"/>
        <v>0</v>
      </c>
      <c r="LG43" s="43">
        <f t="shared" si="266"/>
        <v>0</v>
      </c>
      <c r="LH43" s="43">
        <f t="shared" si="267"/>
        <v>0</v>
      </c>
      <c r="LI43" s="43">
        <f t="shared" si="268"/>
        <v>0</v>
      </c>
      <c r="LJ43" s="43">
        <f t="shared" si="269"/>
        <v>0</v>
      </c>
      <c r="LK43" s="43">
        <f t="shared" si="270"/>
        <v>1566.0479624999998</v>
      </c>
      <c r="LL43" s="43">
        <f t="shared" si="271"/>
        <v>0</v>
      </c>
      <c r="LM43" s="43">
        <f t="shared" si="272"/>
        <v>0</v>
      </c>
      <c r="LN43" s="43">
        <f t="shared" si="273"/>
        <v>0</v>
      </c>
      <c r="LO43" s="43">
        <f t="shared" si="274"/>
        <v>0</v>
      </c>
      <c r="LP43" s="43">
        <f t="shared" si="275"/>
        <v>56.631899999999995</v>
      </c>
      <c r="LQ43" s="28">
        <f t="shared" ref="LQ43:LQ74" si="289">SUM(JQ43:LP43)</f>
        <v>4461.372944110828</v>
      </c>
      <c r="LR43" s="65">
        <v>1050</v>
      </c>
      <c r="LS43" s="32">
        <f t="shared" si="281"/>
        <v>4.2489266134388837</v>
      </c>
      <c r="LT43" s="26">
        <f t="shared" si="282"/>
        <v>1.1609089107756512</v>
      </c>
      <c r="LU43" s="31">
        <f t="shared" ref="LU43:LU74" si="290">HN43-LR43</f>
        <v>67</v>
      </c>
      <c r="LW43" s="42"/>
      <c r="MA43" s="32">
        <f t="shared" ref="MA43:MA74" si="291">LQ43/JO43</f>
        <v>3.9940670941010099</v>
      </c>
      <c r="MB43" s="26">
        <f t="shared" si="283"/>
        <v>1.0912751623226802</v>
      </c>
    </row>
    <row r="44" spans="1:340" ht="15.75" thickBot="1">
      <c r="A44" t="b">
        <f t="shared" si="285"/>
        <v>1</v>
      </c>
      <c r="B44" s="123" t="s">
        <v>179</v>
      </c>
      <c r="C44" s="39" t="s">
        <v>111</v>
      </c>
      <c r="D44"/>
      <c r="E44" s="97">
        <v>46034</v>
      </c>
      <c r="F44" t="s">
        <v>43</v>
      </c>
      <c r="G44" t="s">
        <v>20</v>
      </c>
      <c r="H44" t="s">
        <v>27</v>
      </c>
      <c r="I44" s="77"/>
      <c r="J44" s="77"/>
      <c r="K44" s="77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24"/>
      <c r="AG44" s="124"/>
      <c r="AH44" s="104"/>
      <c r="AI44" s="104"/>
      <c r="AJ44" s="104">
        <v>0.5</v>
      </c>
      <c r="AK44" s="104"/>
      <c r="AL44" s="104"/>
      <c r="AM44" s="104"/>
      <c r="AN44" s="104"/>
      <c r="AO44" s="104"/>
      <c r="AP44" s="104"/>
      <c r="AQ44" s="104"/>
      <c r="AR44" s="104"/>
      <c r="AS44" s="104"/>
      <c r="AT44" s="104"/>
      <c r="AU44" s="104"/>
      <c r="AV44" s="104"/>
      <c r="AW44" s="104"/>
      <c r="AX44" s="104"/>
      <c r="AY44" s="104"/>
      <c r="AZ44" s="104"/>
      <c r="BA44" s="104"/>
      <c r="BB44" s="104"/>
      <c r="BC44" s="124">
        <v>0.5</v>
      </c>
      <c r="BD44" s="124"/>
      <c r="BE44" s="104"/>
      <c r="BF44" s="104"/>
      <c r="BG44" s="104"/>
      <c r="BH44" s="104"/>
      <c r="BI44" s="78">
        <f t="shared" si="4"/>
        <v>1</v>
      </c>
      <c r="BJ44" s="105"/>
      <c r="BK44" s="105"/>
      <c r="BL44" s="105"/>
      <c r="BM44" s="105"/>
      <c r="BN44" s="105"/>
      <c r="BO44" s="105"/>
      <c r="BP44" s="105"/>
      <c r="BQ44" s="105"/>
      <c r="BR44" s="105"/>
      <c r="BS44" s="105"/>
      <c r="BT44" s="105"/>
      <c r="BU44" s="105"/>
      <c r="BV44" s="105"/>
      <c r="BW44" s="105"/>
      <c r="BX44" s="105"/>
      <c r="BY44" s="105"/>
      <c r="BZ44" s="105"/>
      <c r="CA44" s="105"/>
      <c r="CB44" s="105"/>
      <c r="CC44" s="105"/>
      <c r="CD44" s="105"/>
      <c r="CE44" s="105"/>
      <c r="CF44" s="120"/>
      <c r="CG44" s="128"/>
      <c r="CH44" s="128"/>
      <c r="CI44" s="105"/>
      <c r="CJ44" s="105"/>
      <c r="CK44" s="105"/>
      <c r="CL44" s="105">
        <v>0.4</v>
      </c>
      <c r="CM44" s="105"/>
      <c r="CN44" s="105"/>
      <c r="CO44" s="105"/>
      <c r="CP44" s="105"/>
      <c r="CQ44" s="105"/>
      <c r="CR44" s="105"/>
      <c r="CS44" s="105"/>
      <c r="CT44" s="105"/>
      <c r="CU44" s="105"/>
      <c r="CV44" s="105"/>
      <c r="CW44" s="105"/>
      <c r="CX44" s="105"/>
      <c r="CY44" s="105"/>
      <c r="CZ44" s="105"/>
      <c r="DA44" s="105"/>
      <c r="DB44" s="105"/>
      <c r="DC44" s="105"/>
      <c r="DD44" s="125">
        <v>0.6</v>
      </c>
      <c r="DE44" s="125"/>
      <c r="DF44" s="105"/>
      <c r="DG44" s="105"/>
      <c r="DH44" s="105"/>
      <c r="DI44" s="105"/>
      <c r="DJ44" s="79">
        <f t="shared" si="286"/>
        <v>1</v>
      </c>
      <c r="DK44" s="108"/>
      <c r="DL44" s="108"/>
      <c r="DM44" s="108"/>
      <c r="DN44" s="108">
        <v>0.84</v>
      </c>
      <c r="DO44" s="108"/>
      <c r="DP44" s="108"/>
      <c r="DQ44" s="108"/>
      <c r="DR44" s="108"/>
      <c r="DS44" s="108"/>
      <c r="DT44" s="108"/>
      <c r="DU44" s="108"/>
      <c r="DV44" s="108"/>
      <c r="DW44" s="108"/>
      <c r="DX44" s="108"/>
      <c r="DY44" s="108"/>
      <c r="DZ44" s="108"/>
      <c r="EA44" s="108"/>
      <c r="EB44" s="108"/>
      <c r="EC44" s="108"/>
      <c r="ED44" s="108"/>
      <c r="EE44" s="108"/>
      <c r="EF44" s="108"/>
      <c r="EG44" s="108"/>
      <c r="EH44" s="129"/>
      <c r="EI44" s="129"/>
      <c r="EJ44" s="108"/>
      <c r="EK44" s="108"/>
      <c r="EL44" s="108"/>
      <c r="EM44" s="108"/>
      <c r="EN44" s="108"/>
      <c r="EO44" s="108"/>
      <c r="EP44" s="108"/>
      <c r="EQ44" s="108"/>
      <c r="ER44" s="108"/>
      <c r="ES44" s="106"/>
      <c r="ET44" s="106"/>
      <c r="EU44" s="106">
        <v>0.13500000000000001</v>
      </c>
      <c r="EV44" s="106"/>
      <c r="EW44" s="106"/>
      <c r="EX44" s="106"/>
      <c r="EY44" s="106"/>
      <c r="EZ44" s="106"/>
      <c r="FA44" s="106">
        <v>5.0000000000000001E-3</v>
      </c>
      <c r="FB44" s="106"/>
      <c r="FC44" s="106"/>
      <c r="FD44" s="106"/>
      <c r="FE44" s="126"/>
      <c r="FF44" s="126"/>
      <c r="FG44" s="106"/>
      <c r="FH44" s="106"/>
      <c r="FI44" s="106"/>
      <c r="FJ44" s="106">
        <v>0.02</v>
      </c>
      <c r="FK44" s="17">
        <f t="shared" si="280"/>
        <v>1</v>
      </c>
      <c r="FL44" s="18"/>
      <c r="FM44" s="19">
        <f t="shared" si="119"/>
        <v>0</v>
      </c>
      <c r="FN44" s="19">
        <f t="shared" si="120"/>
        <v>0</v>
      </c>
      <c r="FO44" s="19">
        <f t="shared" si="121"/>
        <v>0</v>
      </c>
      <c r="FP44" s="19">
        <f t="shared" si="122"/>
        <v>1.26</v>
      </c>
      <c r="FQ44" s="19">
        <f t="shared" si="123"/>
        <v>0</v>
      </c>
      <c r="FR44" s="19">
        <f t="shared" si="124"/>
        <v>0</v>
      </c>
      <c r="FS44" s="19">
        <f t="shared" si="125"/>
        <v>0</v>
      </c>
      <c r="FT44" s="19">
        <f t="shared" si="126"/>
        <v>0</v>
      </c>
      <c r="FU44" s="19">
        <f t="shared" si="127"/>
        <v>0</v>
      </c>
      <c r="FV44" s="19">
        <f t="shared" si="128"/>
        <v>0</v>
      </c>
      <c r="FW44" s="19">
        <f t="shared" si="129"/>
        <v>0</v>
      </c>
      <c r="FX44" s="19">
        <f t="shared" si="130"/>
        <v>0</v>
      </c>
      <c r="FY44" s="19">
        <f t="shared" si="131"/>
        <v>0</v>
      </c>
      <c r="FZ44" s="19">
        <f t="shared" si="132"/>
        <v>0</v>
      </c>
      <c r="GA44" s="19">
        <f t="shared" si="133"/>
        <v>0</v>
      </c>
      <c r="GB44" s="19">
        <f t="shared" si="134"/>
        <v>0</v>
      </c>
      <c r="GC44" s="19">
        <f t="shared" si="135"/>
        <v>0</v>
      </c>
      <c r="GD44" s="19">
        <f t="shared" si="136"/>
        <v>0</v>
      </c>
      <c r="GE44" s="19">
        <f t="shared" si="137"/>
        <v>0</v>
      </c>
      <c r="GF44" s="19">
        <f t="shared" si="138"/>
        <v>0</v>
      </c>
      <c r="GG44" s="19">
        <f t="shared" si="139"/>
        <v>0</v>
      </c>
      <c r="GH44" s="19">
        <f t="shared" si="140"/>
        <v>0</v>
      </c>
      <c r="GI44" s="19">
        <f t="shared" si="141"/>
        <v>0</v>
      </c>
      <c r="GJ44" s="19">
        <f t="shared" si="142"/>
        <v>0</v>
      </c>
      <c r="GK44" s="19">
        <f t="shared" si="143"/>
        <v>0</v>
      </c>
      <c r="GL44" s="19">
        <f t="shared" si="144"/>
        <v>0</v>
      </c>
      <c r="GM44" s="19">
        <f t="shared" si="145"/>
        <v>0</v>
      </c>
      <c r="GN44" s="19">
        <f t="shared" si="146"/>
        <v>0.75</v>
      </c>
      <c r="GO44" s="19">
        <f t="shared" si="147"/>
        <v>0.8</v>
      </c>
      <c r="GP44" s="19">
        <f t="shared" si="148"/>
        <v>0</v>
      </c>
      <c r="GQ44" s="19">
        <f t="shared" si="149"/>
        <v>0</v>
      </c>
      <c r="GR44" s="19">
        <f t="shared" si="150"/>
        <v>0</v>
      </c>
      <c r="GS44" s="19">
        <f t="shared" si="151"/>
        <v>0</v>
      </c>
      <c r="GT44" s="19">
        <f t="shared" si="152"/>
        <v>0</v>
      </c>
      <c r="GU44" s="19">
        <f t="shared" si="153"/>
        <v>0</v>
      </c>
      <c r="GV44" s="19">
        <f t="shared" si="154"/>
        <v>0</v>
      </c>
      <c r="GW44" s="19">
        <f t="shared" si="155"/>
        <v>0.20250000000000001</v>
      </c>
      <c r="GX44" s="19">
        <f t="shared" si="156"/>
        <v>0</v>
      </c>
      <c r="GY44" s="19">
        <f t="shared" si="157"/>
        <v>0</v>
      </c>
      <c r="GZ44" s="19">
        <f t="shared" si="158"/>
        <v>0</v>
      </c>
      <c r="HA44" s="19">
        <f t="shared" si="159"/>
        <v>0</v>
      </c>
      <c r="HB44" s="19">
        <f t="shared" si="160"/>
        <v>0</v>
      </c>
      <c r="HC44" s="19">
        <f t="shared" si="161"/>
        <v>7.4999999999999997E-3</v>
      </c>
      <c r="HD44" s="19">
        <f t="shared" si="162"/>
        <v>0</v>
      </c>
      <c r="HE44" s="19">
        <f t="shared" si="163"/>
        <v>0</v>
      </c>
      <c r="HF44" s="19">
        <f t="shared" si="164"/>
        <v>0</v>
      </c>
      <c r="HG44" s="19">
        <f t="shared" si="165"/>
        <v>1.95</v>
      </c>
      <c r="HH44" s="19">
        <f t="shared" si="166"/>
        <v>0</v>
      </c>
      <c r="HI44" s="19">
        <f t="shared" si="167"/>
        <v>0</v>
      </c>
      <c r="HJ44" s="19">
        <f t="shared" si="168"/>
        <v>0</v>
      </c>
      <c r="HK44" s="19">
        <f t="shared" si="169"/>
        <v>0</v>
      </c>
      <c r="HL44" s="19">
        <f t="shared" si="170"/>
        <v>0.03</v>
      </c>
      <c r="HM44" s="20">
        <f t="shared" si="171"/>
        <v>5</v>
      </c>
      <c r="HN44" s="53">
        <v>589</v>
      </c>
      <c r="HO44" s="21">
        <f t="shared" si="172"/>
        <v>0</v>
      </c>
      <c r="HP44" s="21">
        <f t="shared" si="173"/>
        <v>0</v>
      </c>
      <c r="HQ44" s="21">
        <f t="shared" si="174"/>
        <v>0</v>
      </c>
      <c r="HR44" s="21">
        <f t="shared" si="175"/>
        <v>148.428</v>
      </c>
      <c r="HS44" s="21">
        <f t="shared" si="176"/>
        <v>0</v>
      </c>
      <c r="HT44" s="69">
        <f t="shared" si="177"/>
        <v>0</v>
      </c>
      <c r="HU44" s="21">
        <f t="shared" si="178"/>
        <v>0</v>
      </c>
      <c r="HV44" s="21">
        <f t="shared" si="179"/>
        <v>0</v>
      </c>
      <c r="HW44" s="21">
        <f t="shared" si="180"/>
        <v>0</v>
      </c>
      <c r="HX44" s="21">
        <f t="shared" si="181"/>
        <v>0</v>
      </c>
      <c r="HY44" s="21">
        <f t="shared" si="182"/>
        <v>0</v>
      </c>
      <c r="HZ44" s="21">
        <f t="shared" si="183"/>
        <v>0</v>
      </c>
      <c r="IA44" s="21">
        <f t="shared" si="184"/>
        <v>0</v>
      </c>
      <c r="IB44" s="21">
        <f t="shared" si="185"/>
        <v>0</v>
      </c>
      <c r="IC44" s="21">
        <f t="shared" si="186"/>
        <v>0</v>
      </c>
      <c r="ID44" s="21">
        <f t="shared" si="187"/>
        <v>0</v>
      </c>
      <c r="IE44" s="21">
        <f t="shared" si="188"/>
        <v>0</v>
      </c>
      <c r="IF44" s="69">
        <f t="shared" si="189"/>
        <v>0</v>
      </c>
      <c r="IG44" s="69">
        <f t="shared" si="190"/>
        <v>0</v>
      </c>
      <c r="IH44" s="69">
        <f t="shared" si="191"/>
        <v>0</v>
      </c>
      <c r="II44" s="21">
        <f t="shared" si="192"/>
        <v>0</v>
      </c>
      <c r="IJ44" s="21">
        <f t="shared" si="193"/>
        <v>0</v>
      </c>
      <c r="IK44" s="21">
        <f t="shared" si="194"/>
        <v>0</v>
      </c>
      <c r="IL44" s="21">
        <f t="shared" si="195"/>
        <v>0</v>
      </c>
      <c r="IM44" s="21">
        <f t="shared" si="196"/>
        <v>0</v>
      </c>
      <c r="IN44" s="21">
        <f t="shared" si="197"/>
        <v>0</v>
      </c>
      <c r="IO44" s="21">
        <f t="shared" si="198"/>
        <v>0</v>
      </c>
      <c r="IP44" s="21">
        <f t="shared" si="199"/>
        <v>88.35</v>
      </c>
      <c r="IQ44" s="21">
        <f t="shared" si="200"/>
        <v>94.240000000000009</v>
      </c>
      <c r="IR44" s="21">
        <f t="shared" si="201"/>
        <v>0</v>
      </c>
      <c r="IS44" s="21">
        <f t="shared" si="202"/>
        <v>0</v>
      </c>
      <c r="IT44" s="21">
        <f t="shared" si="203"/>
        <v>0</v>
      </c>
      <c r="IU44" s="21">
        <f t="shared" si="204"/>
        <v>0</v>
      </c>
      <c r="IV44" s="21">
        <f t="shared" si="205"/>
        <v>0</v>
      </c>
      <c r="IW44" s="21">
        <f t="shared" si="206"/>
        <v>0</v>
      </c>
      <c r="IX44" s="21">
        <f t="shared" si="207"/>
        <v>0</v>
      </c>
      <c r="IY44" s="21">
        <f t="shared" si="208"/>
        <v>23.854500000000002</v>
      </c>
      <c r="IZ44" s="21">
        <f t="shared" si="209"/>
        <v>0</v>
      </c>
      <c r="JA44" s="21">
        <f t="shared" si="210"/>
        <v>0</v>
      </c>
      <c r="JB44" s="21">
        <f t="shared" si="211"/>
        <v>0</v>
      </c>
      <c r="JC44" s="21">
        <f t="shared" si="212"/>
        <v>0</v>
      </c>
      <c r="JD44" s="21">
        <f t="shared" si="213"/>
        <v>0</v>
      </c>
      <c r="JE44" s="21">
        <f t="shared" si="214"/>
        <v>0.88349999999999995</v>
      </c>
      <c r="JF44" s="21">
        <f t="shared" si="215"/>
        <v>0</v>
      </c>
      <c r="JG44" s="21">
        <f t="shared" si="216"/>
        <v>0</v>
      </c>
      <c r="JH44" s="21">
        <f t="shared" si="217"/>
        <v>0</v>
      </c>
      <c r="JI44" s="21">
        <f t="shared" si="218"/>
        <v>229.70999999999998</v>
      </c>
      <c r="JJ44" s="21">
        <f t="shared" si="219"/>
        <v>0</v>
      </c>
      <c r="JK44" s="21">
        <f t="shared" si="220"/>
        <v>0</v>
      </c>
      <c r="JL44" s="21">
        <f t="shared" si="221"/>
        <v>0</v>
      </c>
      <c r="JM44" s="21">
        <f t="shared" si="222"/>
        <v>0</v>
      </c>
      <c r="JN44" s="21">
        <f t="shared" si="223"/>
        <v>3.5339999999999998</v>
      </c>
      <c r="JO44" s="35">
        <f t="shared" si="287"/>
        <v>589.00000000000011</v>
      </c>
      <c r="JP44" s="38">
        <f t="shared" si="288"/>
        <v>0</v>
      </c>
      <c r="JQ44" s="43">
        <f t="shared" si="224"/>
        <v>0</v>
      </c>
      <c r="JR44" s="43">
        <f t="shared" si="225"/>
        <v>0</v>
      </c>
      <c r="JS44" s="43">
        <f t="shared" si="226"/>
        <v>0</v>
      </c>
      <c r="JT44" s="43">
        <f t="shared" si="227"/>
        <v>638.37695376000011</v>
      </c>
      <c r="JU44" s="43">
        <f t="shared" si="228"/>
        <v>0</v>
      </c>
      <c r="JV44" s="43">
        <f t="shared" si="229"/>
        <v>0</v>
      </c>
      <c r="JW44" s="43">
        <f t="shared" si="230"/>
        <v>0</v>
      </c>
      <c r="JX44" s="43">
        <f t="shared" si="231"/>
        <v>0</v>
      </c>
      <c r="JY44" s="43">
        <f t="shared" si="232"/>
        <v>0</v>
      </c>
      <c r="JZ44" s="43">
        <f t="shared" si="233"/>
        <v>0</v>
      </c>
      <c r="KA44" s="43">
        <f t="shared" si="234"/>
        <v>0</v>
      </c>
      <c r="KB44" s="43">
        <f t="shared" si="235"/>
        <v>0</v>
      </c>
      <c r="KC44" s="43">
        <f t="shared" si="236"/>
        <v>0</v>
      </c>
      <c r="KD44" s="43">
        <f t="shared" si="237"/>
        <v>0</v>
      </c>
      <c r="KE44" s="43">
        <f t="shared" si="238"/>
        <v>0</v>
      </c>
      <c r="KF44" s="43">
        <f t="shared" si="239"/>
        <v>0</v>
      </c>
      <c r="KG44" s="43">
        <f t="shared" si="240"/>
        <v>0</v>
      </c>
      <c r="KH44" s="43">
        <f t="shared" si="241"/>
        <v>0</v>
      </c>
      <c r="KI44" s="43">
        <f t="shared" si="242"/>
        <v>0</v>
      </c>
      <c r="KJ44" s="43">
        <f t="shared" si="243"/>
        <v>0</v>
      </c>
      <c r="KK44" s="43">
        <f t="shared" si="244"/>
        <v>0</v>
      </c>
      <c r="KL44" s="43">
        <f t="shared" si="245"/>
        <v>0</v>
      </c>
      <c r="KM44" s="43">
        <f t="shared" si="246"/>
        <v>0</v>
      </c>
      <c r="KN44" s="43">
        <f t="shared" si="247"/>
        <v>0</v>
      </c>
      <c r="KO44" s="43">
        <f t="shared" si="248"/>
        <v>0</v>
      </c>
      <c r="KP44" s="43">
        <f t="shared" si="249"/>
        <v>0</v>
      </c>
      <c r="KQ44" s="43">
        <f t="shared" si="250"/>
        <v>0</v>
      </c>
      <c r="KR44" s="43">
        <f t="shared" si="251"/>
        <v>341.03099999999995</v>
      </c>
      <c r="KS44" s="43">
        <f t="shared" si="252"/>
        <v>322.23775248808084</v>
      </c>
      <c r="KT44" s="43">
        <f t="shared" si="253"/>
        <v>0</v>
      </c>
      <c r="KU44" s="43">
        <f t="shared" si="254"/>
        <v>0</v>
      </c>
      <c r="KV44" s="43">
        <f t="shared" si="255"/>
        <v>0</v>
      </c>
      <c r="KW44" s="43">
        <f t="shared" si="256"/>
        <v>0</v>
      </c>
      <c r="KX44" s="43">
        <f t="shared" si="257"/>
        <v>0</v>
      </c>
      <c r="KY44" s="43">
        <f t="shared" si="258"/>
        <v>0</v>
      </c>
      <c r="KZ44" s="43">
        <f t="shared" si="259"/>
        <v>0</v>
      </c>
      <c r="LA44" s="43">
        <f t="shared" si="260"/>
        <v>95.581164779999995</v>
      </c>
      <c r="LB44" s="43">
        <f t="shared" si="261"/>
        <v>0</v>
      </c>
      <c r="LC44" s="43">
        <f t="shared" si="262"/>
        <v>0</v>
      </c>
      <c r="LD44" s="43">
        <f t="shared" si="263"/>
        <v>0</v>
      </c>
      <c r="LE44" s="43">
        <f t="shared" si="264"/>
        <v>0</v>
      </c>
      <c r="LF44" s="43">
        <f t="shared" si="265"/>
        <v>0</v>
      </c>
      <c r="LG44" s="43">
        <f t="shared" si="266"/>
        <v>9.1177200000000003</v>
      </c>
      <c r="LH44" s="43">
        <f t="shared" si="267"/>
        <v>0</v>
      </c>
      <c r="LI44" s="43">
        <f t="shared" si="268"/>
        <v>0</v>
      </c>
      <c r="LJ44" s="43">
        <f t="shared" si="269"/>
        <v>0</v>
      </c>
      <c r="LK44" s="43">
        <f t="shared" si="270"/>
        <v>920.16083249999986</v>
      </c>
      <c r="LL44" s="43">
        <f t="shared" si="271"/>
        <v>0</v>
      </c>
      <c r="LM44" s="43">
        <f t="shared" si="272"/>
        <v>0</v>
      </c>
      <c r="LN44" s="43">
        <f t="shared" si="273"/>
        <v>0</v>
      </c>
      <c r="LO44" s="43">
        <f t="shared" si="274"/>
        <v>0</v>
      </c>
      <c r="LP44" s="43">
        <f t="shared" si="275"/>
        <v>29.862299999999998</v>
      </c>
      <c r="LQ44" s="28">
        <f t="shared" si="289"/>
        <v>2356.3677235280807</v>
      </c>
      <c r="LR44" s="65">
        <v>574</v>
      </c>
      <c r="LS44" s="32">
        <f t="shared" ref="LS44" si="292">LQ44/LR44</f>
        <v>4.1051702500489213</v>
      </c>
      <c r="LT44" s="26">
        <f t="shared" si="282"/>
        <v>1.121631215860361</v>
      </c>
      <c r="LU44" s="31">
        <f t="shared" si="290"/>
        <v>15</v>
      </c>
      <c r="LW44" s="42"/>
      <c r="MA44" s="32">
        <f t="shared" si="291"/>
        <v>4.0006243183838377</v>
      </c>
      <c r="MB44" s="26">
        <f t="shared" si="283"/>
        <v>1.0930667536567862</v>
      </c>
    </row>
    <row r="45" spans="1:340" ht="15.75" thickBot="1">
      <c r="A45" t="b">
        <f t="shared" si="285"/>
        <v>1</v>
      </c>
      <c r="B45" s="123" t="s">
        <v>180</v>
      </c>
      <c r="C45" s="39" t="s">
        <v>84</v>
      </c>
      <c r="D45"/>
      <c r="E45" s="97">
        <v>46029</v>
      </c>
      <c r="F45" t="s">
        <v>43</v>
      </c>
      <c r="G45" t="s">
        <v>20</v>
      </c>
      <c r="H45" t="s">
        <v>26</v>
      </c>
      <c r="I45" s="77"/>
      <c r="J45" s="77"/>
      <c r="K45" s="77"/>
      <c r="L45" s="104">
        <v>0.2</v>
      </c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24"/>
      <c r="AG45" s="124"/>
      <c r="AH45" s="104"/>
      <c r="AI45" s="104"/>
      <c r="AJ45" s="22">
        <v>0.45</v>
      </c>
      <c r="AK45" s="22"/>
      <c r="AL45" s="104"/>
      <c r="AM45" s="104"/>
      <c r="AN45" s="104"/>
      <c r="AO45" s="104"/>
      <c r="AP45" s="104"/>
      <c r="AQ45" s="104"/>
      <c r="AR45" s="104">
        <v>0.05</v>
      </c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24">
        <v>0.3</v>
      </c>
      <c r="BD45" s="124"/>
      <c r="BE45" s="104"/>
      <c r="BF45" s="104"/>
      <c r="BG45" s="104"/>
      <c r="BH45" s="104"/>
      <c r="BI45" s="78">
        <f t="shared" si="4"/>
        <v>1</v>
      </c>
      <c r="BJ45" s="105"/>
      <c r="BK45" s="105"/>
      <c r="BL45" s="105"/>
      <c r="BM45" s="105"/>
      <c r="BN45" s="105"/>
      <c r="BO45" s="105"/>
      <c r="BP45" s="105"/>
      <c r="BQ45" s="105"/>
      <c r="BR45" s="105"/>
      <c r="BS45" s="105"/>
      <c r="BT45" s="105"/>
      <c r="BU45" s="105"/>
      <c r="BV45" s="105"/>
      <c r="BW45" s="105"/>
      <c r="BX45" s="105"/>
      <c r="BY45" s="105"/>
      <c r="BZ45" s="105"/>
      <c r="CA45" s="105"/>
      <c r="CB45" s="105"/>
      <c r="CC45" s="105"/>
      <c r="CD45" s="105"/>
      <c r="CE45" s="105"/>
      <c r="CF45" s="120"/>
      <c r="CG45" s="128"/>
      <c r="CH45" s="128"/>
      <c r="CI45" s="105"/>
      <c r="CJ45" s="105"/>
      <c r="CK45" s="105"/>
      <c r="CL45" s="105">
        <v>0.55000000000000004</v>
      </c>
      <c r="CM45" s="105"/>
      <c r="CN45" s="105"/>
      <c r="CO45" s="105"/>
      <c r="CP45" s="105"/>
      <c r="CQ45" s="105"/>
      <c r="CR45" s="105"/>
      <c r="CS45" s="105">
        <v>0.05</v>
      </c>
      <c r="CT45" s="105"/>
      <c r="CU45" s="105"/>
      <c r="CV45" s="105"/>
      <c r="CW45" s="105"/>
      <c r="CX45" s="105"/>
      <c r="CY45" s="105"/>
      <c r="CZ45" s="105"/>
      <c r="DA45" s="105"/>
      <c r="DB45" s="105"/>
      <c r="DC45" s="105"/>
      <c r="DD45" s="125">
        <v>0.4</v>
      </c>
      <c r="DE45" s="125"/>
      <c r="DF45" s="105"/>
      <c r="DG45" s="105"/>
      <c r="DH45" s="105"/>
      <c r="DI45" s="105"/>
      <c r="DJ45" s="79">
        <f t="shared" si="286"/>
        <v>1</v>
      </c>
      <c r="DK45" s="108"/>
      <c r="DL45" s="108"/>
      <c r="DM45" s="108"/>
      <c r="DN45" s="108"/>
      <c r="DO45" s="108"/>
      <c r="DP45" s="108"/>
      <c r="DQ45" s="108"/>
      <c r="DR45" s="108"/>
      <c r="DS45" s="108">
        <v>0.5</v>
      </c>
      <c r="DT45" s="108"/>
      <c r="DU45" s="108"/>
      <c r="DV45" s="108"/>
      <c r="DW45" s="108"/>
      <c r="DX45" s="108"/>
      <c r="DY45" s="108"/>
      <c r="DZ45" s="108"/>
      <c r="EA45" s="108">
        <v>0.3</v>
      </c>
      <c r="EB45" s="108"/>
      <c r="EC45" s="108"/>
      <c r="ED45" s="108"/>
      <c r="EE45" s="108"/>
      <c r="EF45" s="108"/>
      <c r="EG45" s="108"/>
      <c r="EH45" s="129"/>
      <c r="EI45" s="129"/>
      <c r="EJ45" s="108"/>
      <c r="EK45" s="108"/>
      <c r="EL45" s="108"/>
      <c r="EM45" s="108"/>
      <c r="EN45" s="108"/>
      <c r="EO45" s="108"/>
      <c r="EP45" s="108"/>
      <c r="EQ45" s="108"/>
      <c r="ER45" s="108"/>
      <c r="ES45" s="106"/>
      <c r="ET45" s="106"/>
      <c r="EU45" s="106">
        <v>0.18</v>
      </c>
      <c r="EV45" s="106"/>
      <c r="EW45" s="106"/>
      <c r="EX45" s="106"/>
      <c r="EY45" s="106"/>
      <c r="EZ45" s="106"/>
      <c r="FA45" s="106"/>
      <c r="FB45" s="106"/>
      <c r="FC45" s="106"/>
      <c r="FD45" s="106"/>
      <c r="FE45" s="126"/>
      <c r="FF45" s="126"/>
      <c r="FG45" s="106"/>
      <c r="FH45" s="106"/>
      <c r="FI45" s="106"/>
      <c r="FJ45" s="106">
        <v>0.02</v>
      </c>
      <c r="FK45" s="17">
        <f t="shared" si="280"/>
        <v>1</v>
      </c>
      <c r="FL45" s="18"/>
      <c r="FM45" s="19">
        <f t="shared" si="119"/>
        <v>0</v>
      </c>
      <c r="FN45" s="19">
        <f t="shared" si="120"/>
        <v>0</v>
      </c>
      <c r="FO45" s="19">
        <f t="shared" si="121"/>
        <v>0</v>
      </c>
      <c r="FP45" s="19">
        <f t="shared" si="122"/>
        <v>0.30000000000000004</v>
      </c>
      <c r="FQ45" s="19">
        <f t="shared" si="123"/>
        <v>0</v>
      </c>
      <c r="FR45" s="19">
        <f t="shared" si="124"/>
        <v>0</v>
      </c>
      <c r="FS45" s="19">
        <f t="shared" si="125"/>
        <v>0</v>
      </c>
      <c r="FT45" s="19">
        <f t="shared" si="126"/>
        <v>0</v>
      </c>
      <c r="FU45" s="19">
        <f t="shared" si="127"/>
        <v>0.75</v>
      </c>
      <c r="FV45" s="19">
        <f t="shared" si="128"/>
        <v>0</v>
      </c>
      <c r="FW45" s="19">
        <f t="shared" si="129"/>
        <v>0</v>
      </c>
      <c r="FX45" s="19">
        <f t="shared" si="130"/>
        <v>0</v>
      </c>
      <c r="FY45" s="19">
        <f t="shared" si="131"/>
        <v>0</v>
      </c>
      <c r="FZ45" s="19">
        <f t="shared" si="132"/>
        <v>0</v>
      </c>
      <c r="GA45" s="19">
        <f t="shared" si="133"/>
        <v>0</v>
      </c>
      <c r="GB45" s="19">
        <f t="shared" si="134"/>
        <v>0</v>
      </c>
      <c r="GC45" s="19">
        <f t="shared" si="135"/>
        <v>0.44999999999999996</v>
      </c>
      <c r="GD45" s="19">
        <f t="shared" si="136"/>
        <v>0</v>
      </c>
      <c r="GE45" s="19">
        <f t="shared" si="137"/>
        <v>0</v>
      </c>
      <c r="GF45" s="19">
        <f t="shared" si="138"/>
        <v>0</v>
      </c>
      <c r="GG45" s="19">
        <f t="shared" si="139"/>
        <v>0</v>
      </c>
      <c r="GH45" s="19">
        <f t="shared" si="140"/>
        <v>0</v>
      </c>
      <c r="GI45" s="19">
        <f t="shared" si="141"/>
        <v>0</v>
      </c>
      <c r="GJ45" s="19">
        <f t="shared" si="142"/>
        <v>0</v>
      </c>
      <c r="GK45" s="19">
        <f t="shared" si="143"/>
        <v>0</v>
      </c>
      <c r="GL45" s="19">
        <f t="shared" si="144"/>
        <v>0</v>
      </c>
      <c r="GM45" s="19">
        <f t="shared" si="145"/>
        <v>0</v>
      </c>
      <c r="GN45" s="19">
        <f t="shared" si="146"/>
        <v>0.67500000000000004</v>
      </c>
      <c r="GO45" s="19">
        <f t="shared" si="147"/>
        <v>1.1000000000000001</v>
      </c>
      <c r="GP45" s="19">
        <f t="shared" si="148"/>
        <v>0</v>
      </c>
      <c r="GQ45" s="19">
        <f t="shared" si="149"/>
        <v>0</v>
      </c>
      <c r="GR45" s="19">
        <f t="shared" si="150"/>
        <v>0</v>
      </c>
      <c r="GS45" s="19">
        <f t="shared" si="151"/>
        <v>0</v>
      </c>
      <c r="GT45" s="19">
        <f t="shared" si="152"/>
        <v>0</v>
      </c>
      <c r="GU45" s="19">
        <f t="shared" si="153"/>
        <v>0</v>
      </c>
      <c r="GV45" s="19">
        <f t="shared" si="154"/>
        <v>0.17500000000000002</v>
      </c>
      <c r="GW45" s="19">
        <f t="shared" si="155"/>
        <v>0.27</v>
      </c>
      <c r="GX45" s="19">
        <f t="shared" si="156"/>
        <v>0</v>
      </c>
      <c r="GY45" s="19">
        <f t="shared" si="157"/>
        <v>0</v>
      </c>
      <c r="GZ45" s="19">
        <f t="shared" si="158"/>
        <v>0</v>
      </c>
      <c r="HA45" s="19">
        <f t="shared" si="159"/>
        <v>0</v>
      </c>
      <c r="HB45" s="19">
        <f t="shared" si="160"/>
        <v>0</v>
      </c>
      <c r="HC45" s="19">
        <f t="shared" si="161"/>
        <v>0</v>
      </c>
      <c r="HD45" s="19">
        <f t="shared" si="162"/>
        <v>0</v>
      </c>
      <c r="HE45" s="19">
        <f t="shared" si="163"/>
        <v>0</v>
      </c>
      <c r="HF45" s="19">
        <f t="shared" si="164"/>
        <v>0</v>
      </c>
      <c r="HG45" s="19">
        <f t="shared" si="165"/>
        <v>1.25</v>
      </c>
      <c r="HH45" s="19">
        <f t="shared" si="166"/>
        <v>0</v>
      </c>
      <c r="HI45" s="19">
        <f t="shared" si="167"/>
        <v>0</v>
      </c>
      <c r="HJ45" s="19">
        <f t="shared" si="168"/>
        <v>0</v>
      </c>
      <c r="HK45" s="19">
        <f t="shared" si="169"/>
        <v>0</v>
      </c>
      <c r="HL45" s="19">
        <f t="shared" si="170"/>
        <v>0.03</v>
      </c>
      <c r="HM45" s="20">
        <f t="shared" si="171"/>
        <v>5</v>
      </c>
      <c r="HN45" s="53">
        <v>1872</v>
      </c>
      <c r="HO45" s="21">
        <f t="shared" si="172"/>
        <v>0</v>
      </c>
      <c r="HP45" s="21">
        <f t="shared" si="173"/>
        <v>0</v>
      </c>
      <c r="HQ45" s="21">
        <f t="shared" si="174"/>
        <v>0</v>
      </c>
      <c r="HR45" s="21">
        <f t="shared" si="175"/>
        <v>112.32000000000002</v>
      </c>
      <c r="HS45" s="21">
        <f t="shared" si="176"/>
        <v>0</v>
      </c>
      <c r="HT45" s="69">
        <f t="shared" si="177"/>
        <v>0</v>
      </c>
      <c r="HU45" s="21">
        <f t="shared" si="178"/>
        <v>0</v>
      </c>
      <c r="HV45" s="21">
        <f t="shared" si="179"/>
        <v>0</v>
      </c>
      <c r="HW45" s="21">
        <f t="shared" si="180"/>
        <v>280.8</v>
      </c>
      <c r="HX45" s="21">
        <f t="shared" si="181"/>
        <v>0</v>
      </c>
      <c r="HY45" s="21">
        <f t="shared" si="182"/>
        <v>0</v>
      </c>
      <c r="HZ45" s="21">
        <f t="shared" si="183"/>
        <v>0</v>
      </c>
      <c r="IA45" s="21">
        <f t="shared" si="184"/>
        <v>0</v>
      </c>
      <c r="IB45" s="21">
        <f t="shared" si="185"/>
        <v>0</v>
      </c>
      <c r="IC45" s="21">
        <f t="shared" si="186"/>
        <v>0</v>
      </c>
      <c r="ID45" s="21">
        <f t="shared" si="187"/>
        <v>0</v>
      </c>
      <c r="IE45" s="21">
        <f t="shared" si="188"/>
        <v>168.47999999999996</v>
      </c>
      <c r="IF45" s="69">
        <f t="shared" si="189"/>
        <v>0</v>
      </c>
      <c r="IG45" s="69">
        <f t="shared" si="190"/>
        <v>0</v>
      </c>
      <c r="IH45" s="69">
        <f t="shared" si="191"/>
        <v>0</v>
      </c>
      <c r="II45" s="21">
        <f t="shared" si="192"/>
        <v>0</v>
      </c>
      <c r="IJ45" s="21">
        <f t="shared" si="193"/>
        <v>0</v>
      </c>
      <c r="IK45" s="21">
        <f t="shared" si="194"/>
        <v>0</v>
      </c>
      <c r="IL45" s="21">
        <f t="shared" si="195"/>
        <v>0</v>
      </c>
      <c r="IM45" s="21">
        <f t="shared" si="196"/>
        <v>0</v>
      </c>
      <c r="IN45" s="21">
        <f t="shared" si="197"/>
        <v>0</v>
      </c>
      <c r="IO45" s="21">
        <f t="shared" si="198"/>
        <v>0</v>
      </c>
      <c r="IP45" s="21">
        <f t="shared" si="199"/>
        <v>252.72000000000003</v>
      </c>
      <c r="IQ45" s="21">
        <f t="shared" si="200"/>
        <v>411.84000000000003</v>
      </c>
      <c r="IR45" s="21">
        <f t="shared" si="201"/>
        <v>0</v>
      </c>
      <c r="IS45" s="21">
        <f t="shared" si="202"/>
        <v>0</v>
      </c>
      <c r="IT45" s="21">
        <f t="shared" si="203"/>
        <v>0</v>
      </c>
      <c r="IU45" s="21">
        <f t="shared" si="204"/>
        <v>0</v>
      </c>
      <c r="IV45" s="21">
        <f t="shared" si="205"/>
        <v>0</v>
      </c>
      <c r="IW45" s="21">
        <f t="shared" si="206"/>
        <v>0</v>
      </c>
      <c r="IX45" s="21">
        <f t="shared" si="207"/>
        <v>65.52000000000001</v>
      </c>
      <c r="IY45" s="21">
        <f t="shared" si="208"/>
        <v>101.08800000000001</v>
      </c>
      <c r="IZ45" s="21">
        <f t="shared" si="209"/>
        <v>0</v>
      </c>
      <c r="JA45" s="21">
        <f t="shared" si="210"/>
        <v>0</v>
      </c>
      <c r="JB45" s="21">
        <f t="shared" si="211"/>
        <v>0</v>
      </c>
      <c r="JC45" s="21">
        <f t="shared" si="212"/>
        <v>0</v>
      </c>
      <c r="JD45" s="21">
        <f t="shared" si="213"/>
        <v>0</v>
      </c>
      <c r="JE45" s="21">
        <f t="shared" si="214"/>
        <v>0</v>
      </c>
      <c r="JF45" s="21">
        <f t="shared" si="215"/>
        <v>0</v>
      </c>
      <c r="JG45" s="21">
        <f t="shared" si="216"/>
        <v>0</v>
      </c>
      <c r="JH45" s="21">
        <f t="shared" si="217"/>
        <v>0</v>
      </c>
      <c r="JI45" s="21">
        <f t="shared" si="218"/>
        <v>468</v>
      </c>
      <c r="JJ45" s="21">
        <f t="shared" si="219"/>
        <v>0</v>
      </c>
      <c r="JK45" s="21">
        <f t="shared" si="220"/>
        <v>0</v>
      </c>
      <c r="JL45" s="21">
        <f t="shared" si="221"/>
        <v>0</v>
      </c>
      <c r="JM45" s="21">
        <f t="shared" si="222"/>
        <v>0</v>
      </c>
      <c r="JN45" s="21">
        <f t="shared" si="223"/>
        <v>11.231999999999999</v>
      </c>
      <c r="JO45" s="35">
        <f t="shared" si="287"/>
        <v>1871.9999999999998</v>
      </c>
      <c r="JP45" s="38">
        <f t="shared" si="288"/>
        <v>0</v>
      </c>
      <c r="JQ45" s="43">
        <f t="shared" si="224"/>
        <v>0</v>
      </c>
      <c r="JR45" s="43">
        <f t="shared" si="225"/>
        <v>0</v>
      </c>
      <c r="JS45" s="43">
        <f t="shared" si="226"/>
        <v>0</v>
      </c>
      <c r="JT45" s="43">
        <f t="shared" si="227"/>
        <v>483.07933440000016</v>
      </c>
      <c r="JU45" s="43">
        <f t="shared" si="228"/>
        <v>0</v>
      </c>
      <c r="JV45" s="43">
        <f t="shared" si="229"/>
        <v>0</v>
      </c>
      <c r="JW45" s="43">
        <f t="shared" si="230"/>
        <v>0</v>
      </c>
      <c r="JX45" s="43">
        <f t="shared" si="231"/>
        <v>0</v>
      </c>
      <c r="JY45" s="43">
        <f t="shared" si="232"/>
        <v>1300.5982080000001</v>
      </c>
      <c r="JZ45" s="43">
        <f t="shared" si="233"/>
        <v>0</v>
      </c>
      <c r="KA45" s="43">
        <f t="shared" si="234"/>
        <v>0</v>
      </c>
      <c r="KB45" s="43">
        <f t="shared" si="235"/>
        <v>0</v>
      </c>
      <c r="KC45" s="43">
        <f t="shared" si="236"/>
        <v>0</v>
      </c>
      <c r="KD45" s="43">
        <f t="shared" si="237"/>
        <v>0</v>
      </c>
      <c r="KE45" s="43">
        <f t="shared" si="238"/>
        <v>0</v>
      </c>
      <c r="KF45" s="43">
        <f t="shared" si="239"/>
        <v>0</v>
      </c>
      <c r="KG45" s="43">
        <f t="shared" si="240"/>
        <v>699.17936570181803</v>
      </c>
      <c r="KH45" s="43">
        <f t="shared" si="241"/>
        <v>0</v>
      </c>
      <c r="KI45" s="43">
        <f t="shared" si="242"/>
        <v>0</v>
      </c>
      <c r="KJ45" s="43">
        <f t="shared" si="243"/>
        <v>0</v>
      </c>
      <c r="KK45" s="43">
        <f t="shared" si="244"/>
        <v>0</v>
      </c>
      <c r="KL45" s="43">
        <f t="shared" si="245"/>
        <v>0</v>
      </c>
      <c r="KM45" s="43">
        <f t="shared" si="246"/>
        <v>0</v>
      </c>
      <c r="KN45" s="43">
        <f t="shared" si="247"/>
        <v>0</v>
      </c>
      <c r="KO45" s="43">
        <f t="shared" si="248"/>
        <v>0</v>
      </c>
      <c r="KP45" s="43">
        <f t="shared" si="249"/>
        <v>0</v>
      </c>
      <c r="KQ45" s="43">
        <f t="shared" si="250"/>
        <v>0</v>
      </c>
      <c r="KR45" s="43">
        <f t="shared" si="251"/>
        <v>975.49920000000009</v>
      </c>
      <c r="KS45" s="43">
        <f t="shared" si="252"/>
        <v>1408.2172748800001</v>
      </c>
      <c r="KT45" s="43">
        <f t="shared" si="253"/>
        <v>0</v>
      </c>
      <c r="KU45" s="43">
        <f t="shared" si="254"/>
        <v>0</v>
      </c>
      <c r="KV45" s="43">
        <f t="shared" si="255"/>
        <v>0</v>
      </c>
      <c r="KW45" s="43">
        <f t="shared" si="256"/>
        <v>0</v>
      </c>
      <c r="KX45" s="43">
        <f t="shared" si="257"/>
        <v>0</v>
      </c>
      <c r="KY45" s="43">
        <f t="shared" si="258"/>
        <v>0</v>
      </c>
      <c r="KZ45" s="43">
        <f t="shared" si="259"/>
        <v>566.74800000000016</v>
      </c>
      <c r="LA45" s="43">
        <f t="shared" si="260"/>
        <v>405.04344191999996</v>
      </c>
      <c r="LB45" s="43">
        <f t="shared" si="261"/>
        <v>0</v>
      </c>
      <c r="LC45" s="43">
        <f t="shared" si="262"/>
        <v>0</v>
      </c>
      <c r="LD45" s="43">
        <f t="shared" si="263"/>
        <v>0</v>
      </c>
      <c r="LE45" s="43">
        <f t="shared" si="264"/>
        <v>0</v>
      </c>
      <c r="LF45" s="43">
        <f t="shared" si="265"/>
        <v>0</v>
      </c>
      <c r="LG45" s="43">
        <f t="shared" si="266"/>
        <v>0</v>
      </c>
      <c r="LH45" s="43">
        <f t="shared" si="267"/>
        <v>0</v>
      </c>
      <c r="LI45" s="43">
        <f t="shared" si="268"/>
        <v>0</v>
      </c>
      <c r="LJ45" s="43">
        <f t="shared" si="269"/>
        <v>0</v>
      </c>
      <c r="LK45" s="43">
        <f t="shared" si="270"/>
        <v>1874.691</v>
      </c>
      <c r="LL45" s="43">
        <f t="shared" si="271"/>
        <v>0</v>
      </c>
      <c r="LM45" s="43">
        <f t="shared" si="272"/>
        <v>0</v>
      </c>
      <c r="LN45" s="43">
        <f t="shared" si="273"/>
        <v>0</v>
      </c>
      <c r="LO45" s="43">
        <f t="shared" si="274"/>
        <v>0</v>
      </c>
      <c r="LP45" s="43">
        <f t="shared" si="275"/>
        <v>94.910399999999981</v>
      </c>
      <c r="LQ45" s="28">
        <f t="shared" si="289"/>
        <v>7807.9662249018184</v>
      </c>
      <c r="LR45" s="65">
        <v>1828</v>
      </c>
      <c r="LS45" s="32">
        <f t="shared" si="281"/>
        <v>4.2713163155918039</v>
      </c>
      <c r="LT45" s="26">
        <f t="shared" si="282"/>
        <v>1.1670263157354654</v>
      </c>
      <c r="LU45" s="31">
        <f t="shared" si="290"/>
        <v>44</v>
      </c>
      <c r="LW45" s="42"/>
      <c r="MA45" s="32">
        <f t="shared" si="291"/>
        <v>4.1709221286868692</v>
      </c>
      <c r="MB45" s="26">
        <f t="shared" si="283"/>
        <v>1.1395962100237347</v>
      </c>
    </row>
    <row r="46" spans="1:340" ht="15.75" thickBot="1">
      <c r="A46" t="b">
        <f t="shared" si="285"/>
        <v>1</v>
      </c>
      <c r="B46" s="123" t="s">
        <v>181</v>
      </c>
      <c r="C46" s="39" t="s">
        <v>98</v>
      </c>
      <c r="D46"/>
      <c r="E46" s="97">
        <v>46029</v>
      </c>
      <c r="F46" t="s">
        <v>43</v>
      </c>
      <c r="G46" t="s">
        <v>20</v>
      </c>
      <c r="H46" t="s">
        <v>26</v>
      </c>
      <c r="I46" s="77"/>
      <c r="J46" s="77"/>
      <c r="K46" s="77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4"/>
      <c r="AE46" s="104"/>
      <c r="AF46" s="124"/>
      <c r="AG46" s="124"/>
      <c r="AH46" s="104"/>
      <c r="AI46" s="104"/>
      <c r="AJ46" s="22">
        <v>0.3</v>
      </c>
      <c r="AK46" s="22"/>
      <c r="AL46" s="104"/>
      <c r="AM46" s="104"/>
      <c r="AN46" s="104"/>
      <c r="AO46" s="104"/>
      <c r="AP46" s="104"/>
      <c r="AQ46" s="104"/>
      <c r="AR46" s="104">
        <v>0.05</v>
      </c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24">
        <v>0.65</v>
      </c>
      <c r="BD46" s="124"/>
      <c r="BE46" s="104"/>
      <c r="BF46" s="104"/>
      <c r="BG46" s="104"/>
      <c r="BH46" s="104"/>
      <c r="BI46" s="78">
        <f t="shared" si="4"/>
        <v>1</v>
      </c>
      <c r="BJ46" s="105"/>
      <c r="BK46" s="105"/>
      <c r="BL46" s="105"/>
      <c r="BM46" s="105"/>
      <c r="BN46" s="105"/>
      <c r="BO46" s="105"/>
      <c r="BP46" s="105"/>
      <c r="BQ46" s="105"/>
      <c r="BR46" s="105"/>
      <c r="BS46" s="105"/>
      <c r="BT46" s="105"/>
      <c r="BU46" s="105"/>
      <c r="BV46" s="105"/>
      <c r="BW46" s="105"/>
      <c r="BX46" s="105">
        <v>0.13</v>
      </c>
      <c r="BY46" s="105"/>
      <c r="BZ46" s="105"/>
      <c r="CA46" s="105"/>
      <c r="CB46" s="105"/>
      <c r="CC46" s="105"/>
      <c r="CD46" s="105"/>
      <c r="CE46" s="105"/>
      <c r="CF46" s="120"/>
      <c r="CG46" s="128"/>
      <c r="CH46" s="128"/>
      <c r="CI46" s="105"/>
      <c r="CJ46" s="105"/>
      <c r="CK46" s="105"/>
      <c r="CL46" s="105">
        <v>0.3</v>
      </c>
      <c r="CM46" s="105"/>
      <c r="CN46" s="105"/>
      <c r="CO46" s="105"/>
      <c r="CP46" s="105"/>
      <c r="CQ46" s="105"/>
      <c r="CR46" s="105"/>
      <c r="CS46" s="105">
        <v>0.09</v>
      </c>
      <c r="CT46" s="105"/>
      <c r="CU46" s="105"/>
      <c r="CV46" s="105"/>
      <c r="CW46" s="105"/>
      <c r="CX46" s="105"/>
      <c r="CY46" s="105"/>
      <c r="CZ46" s="105"/>
      <c r="DA46" s="105"/>
      <c r="DB46" s="105"/>
      <c r="DC46" s="105"/>
      <c r="DD46" s="125">
        <v>0.48</v>
      </c>
      <c r="DE46" s="125"/>
      <c r="DF46" s="105"/>
      <c r="DG46" s="105"/>
      <c r="DH46" s="105"/>
      <c r="DI46" s="105"/>
      <c r="DJ46" s="79">
        <f t="shared" si="286"/>
        <v>1</v>
      </c>
      <c r="DK46" s="108"/>
      <c r="DL46" s="108"/>
      <c r="DM46" s="108"/>
      <c r="DN46" s="108"/>
      <c r="DO46" s="108"/>
      <c r="DP46" s="108"/>
      <c r="DQ46" s="108"/>
      <c r="DR46" s="108"/>
      <c r="DS46" s="108"/>
      <c r="DT46" s="108"/>
      <c r="DU46" s="108"/>
      <c r="DV46" s="108"/>
      <c r="DW46" s="108"/>
      <c r="DX46" s="108"/>
      <c r="DY46" s="108"/>
      <c r="DZ46" s="108"/>
      <c r="EA46" s="108">
        <v>0.89500000000000002</v>
      </c>
      <c r="EB46" s="108"/>
      <c r="EC46" s="108"/>
      <c r="ED46" s="108"/>
      <c r="EE46" s="108"/>
      <c r="EF46" s="108"/>
      <c r="EG46" s="108"/>
      <c r="EH46" s="129"/>
      <c r="EI46" s="129"/>
      <c r="EJ46" s="108"/>
      <c r="EK46" s="108"/>
      <c r="EL46" s="108"/>
      <c r="EM46" s="108"/>
      <c r="EN46" s="108"/>
      <c r="EO46" s="108"/>
      <c r="EP46" s="108"/>
      <c r="EQ46" s="108"/>
      <c r="ER46" s="108"/>
      <c r="ES46" s="106"/>
      <c r="ET46" s="106"/>
      <c r="EU46" s="106">
        <v>0.08</v>
      </c>
      <c r="EV46" s="106"/>
      <c r="EW46" s="106"/>
      <c r="EX46" s="106"/>
      <c r="EY46" s="106"/>
      <c r="EZ46" s="106"/>
      <c r="FA46" s="106">
        <v>5.0000000000000001E-3</v>
      </c>
      <c r="FB46" s="106"/>
      <c r="FC46" s="106"/>
      <c r="FD46" s="106"/>
      <c r="FE46" s="126"/>
      <c r="FF46" s="126"/>
      <c r="FG46" s="106"/>
      <c r="FH46" s="106"/>
      <c r="FI46" s="106"/>
      <c r="FJ46" s="106">
        <v>0.02</v>
      </c>
      <c r="FK46" s="17">
        <f t="shared" si="280"/>
        <v>1</v>
      </c>
      <c r="FL46" s="18"/>
      <c r="FM46" s="19">
        <f t="shared" si="119"/>
        <v>0</v>
      </c>
      <c r="FN46" s="19">
        <f t="shared" si="120"/>
        <v>0</v>
      </c>
      <c r="FO46" s="19">
        <f t="shared" si="121"/>
        <v>0</v>
      </c>
      <c r="FP46" s="19">
        <f t="shared" si="122"/>
        <v>0</v>
      </c>
      <c r="FQ46" s="19">
        <f t="shared" si="123"/>
        <v>0</v>
      </c>
      <c r="FR46" s="19">
        <f t="shared" si="124"/>
        <v>0</v>
      </c>
      <c r="FS46" s="19">
        <f t="shared" si="125"/>
        <v>0</v>
      </c>
      <c r="FT46" s="19">
        <f t="shared" si="126"/>
        <v>0</v>
      </c>
      <c r="FU46" s="19">
        <f t="shared" si="127"/>
        <v>0</v>
      </c>
      <c r="FV46" s="19">
        <f t="shared" si="128"/>
        <v>0</v>
      </c>
      <c r="FW46" s="19">
        <f t="shared" si="129"/>
        <v>0</v>
      </c>
      <c r="FX46" s="19">
        <f t="shared" si="130"/>
        <v>0</v>
      </c>
      <c r="FY46" s="19">
        <f t="shared" si="131"/>
        <v>0</v>
      </c>
      <c r="FZ46" s="19">
        <f t="shared" si="132"/>
        <v>0</v>
      </c>
      <c r="GA46" s="19">
        <f t="shared" si="133"/>
        <v>0.26</v>
      </c>
      <c r="GB46" s="19">
        <f t="shared" si="134"/>
        <v>0</v>
      </c>
      <c r="GC46" s="19">
        <f t="shared" si="135"/>
        <v>1.3425</v>
      </c>
      <c r="GD46" s="19">
        <f t="shared" si="136"/>
        <v>0</v>
      </c>
      <c r="GE46" s="19">
        <f t="shared" si="137"/>
        <v>0</v>
      </c>
      <c r="GF46" s="19">
        <f t="shared" si="138"/>
        <v>0</v>
      </c>
      <c r="GG46" s="19">
        <f t="shared" si="139"/>
        <v>0</v>
      </c>
      <c r="GH46" s="19">
        <f t="shared" si="140"/>
        <v>0</v>
      </c>
      <c r="GI46" s="19">
        <f t="shared" si="141"/>
        <v>0</v>
      </c>
      <c r="GJ46" s="19">
        <f t="shared" si="142"/>
        <v>0</v>
      </c>
      <c r="GK46" s="19">
        <f t="shared" si="143"/>
        <v>0</v>
      </c>
      <c r="GL46" s="19">
        <f t="shared" si="144"/>
        <v>0</v>
      </c>
      <c r="GM46" s="19">
        <f t="shared" si="145"/>
        <v>0</v>
      </c>
      <c r="GN46" s="19">
        <f t="shared" si="146"/>
        <v>0.44999999999999996</v>
      </c>
      <c r="GO46" s="19">
        <f t="shared" si="147"/>
        <v>0.6</v>
      </c>
      <c r="GP46" s="19">
        <f t="shared" si="148"/>
        <v>0</v>
      </c>
      <c r="GQ46" s="19">
        <f t="shared" si="149"/>
        <v>0</v>
      </c>
      <c r="GR46" s="19">
        <f t="shared" si="150"/>
        <v>0</v>
      </c>
      <c r="GS46" s="19">
        <f t="shared" si="151"/>
        <v>0</v>
      </c>
      <c r="GT46" s="19">
        <f t="shared" si="152"/>
        <v>0</v>
      </c>
      <c r="GU46" s="19">
        <f t="shared" si="153"/>
        <v>0</v>
      </c>
      <c r="GV46" s="19">
        <f t="shared" si="154"/>
        <v>0.255</v>
      </c>
      <c r="GW46" s="19">
        <f t="shared" si="155"/>
        <v>0.12</v>
      </c>
      <c r="GX46" s="19">
        <f t="shared" si="156"/>
        <v>0</v>
      </c>
      <c r="GY46" s="19">
        <f t="shared" si="157"/>
        <v>0</v>
      </c>
      <c r="GZ46" s="19">
        <f t="shared" si="158"/>
        <v>0</v>
      </c>
      <c r="HA46" s="19">
        <f t="shared" si="159"/>
        <v>0</v>
      </c>
      <c r="HB46" s="19">
        <f t="shared" si="160"/>
        <v>0</v>
      </c>
      <c r="HC46" s="19">
        <f t="shared" si="161"/>
        <v>7.4999999999999997E-3</v>
      </c>
      <c r="HD46" s="19">
        <f t="shared" si="162"/>
        <v>0</v>
      </c>
      <c r="HE46" s="19">
        <f t="shared" si="163"/>
        <v>0</v>
      </c>
      <c r="HF46" s="19">
        <f t="shared" si="164"/>
        <v>0</v>
      </c>
      <c r="HG46" s="19">
        <f t="shared" si="165"/>
        <v>1.9350000000000001</v>
      </c>
      <c r="HH46" s="19">
        <f t="shared" si="166"/>
        <v>0</v>
      </c>
      <c r="HI46" s="19">
        <f t="shared" si="167"/>
        <v>0</v>
      </c>
      <c r="HJ46" s="19">
        <f t="shared" si="168"/>
        <v>0</v>
      </c>
      <c r="HK46" s="19">
        <f t="shared" si="169"/>
        <v>0</v>
      </c>
      <c r="HL46" s="19">
        <f t="shared" si="170"/>
        <v>0.03</v>
      </c>
      <c r="HM46" s="20">
        <f t="shared" si="171"/>
        <v>5.0000000000000009</v>
      </c>
      <c r="HN46" s="53">
        <v>4799</v>
      </c>
      <c r="HO46" s="21">
        <f t="shared" si="172"/>
        <v>0</v>
      </c>
      <c r="HP46" s="21">
        <f t="shared" si="173"/>
        <v>0</v>
      </c>
      <c r="HQ46" s="21">
        <f t="shared" si="174"/>
        <v>0</v>
      </c>
      <c r="HR46" s="21">
        <f t="shared" si="175"/>
        <v>0</v>
      </c>
      <c r="HS46" s="21">
        <f t="shared" si="176"/>
        <v>0</v>
      </c>
      <c r="HT46" s="69">
        <f t="shared" si="177"/>
        <v>0</v>
      </c>
      <c r="HU46" s="21">
        <f t="shared" si="178"/>
        <v>0</v>
      </c>
      <c r="HV46" s="21">
        <f t="shared" si="179"/>
        <v>0</v>
      </c>
      <c r="HW46" s="21">
        <f t="shared" si="180"/>
        <v>0</v>
      </c>
      <c r="HX46" s="21">
        <f t="shared" si="181"/>
        <v>0</v>
      </c>
      <c r="HY46" s="21">
        <f t="shared" si="182"/>
        <v>0</v>
      </c>
      <c r="HZ46" s="21">
        <f t="shared" si="183"/>
        <v>0</v>
      </c>
      <c r="IA46" s="21">
        <f t="shared" si="184"/>
        <v>0</v>
      </c>
      <c r="IB46" s="21">
        <f t="shared" si="185"/>
        <v>0</v>
      </c>
      <c r="IC46" s="21">
        <f t="shared" si="186"/>
        <v>249.54799999999994</v>
      </c>
      <c r="ID46" s="21">
        <f t="shared" si="187"/>
        <v>0</v>
      </c>
      <c r="IE46" s="21">
        <f t="shared" si="188"/>
        <v>1288.5314999999998</v>
      </c>
      <c r="IF46" s="69">
        <f t="shared" si="189"/>
        <v>0</v>
      </c>
      <c r="IG46" s="69">
        <f t="shared" si="190"/>
        <v>0</v>
      </c>
      <c r="IH46" s="69">
        <f t="shared" si="191"/>
        <v>0</v>
      </c>
      <c r="II46" s="21">
        <f t="shared" si="192"/>
        <v>0</v>
      </c>
      <c r="IJ46" s="21">
        <f t="shared" si="193"/>
        <v>0</v>
      </c>
      <c r="IK46" s="21">
        <f t="shared" si="194"/>
        <v>0</v>
      </c>
      <c r="IL46" s="21">
        <f t="shared" si="195"/>
        <v>0</v>
      </c>
      <c r="IM46" s="21">
        <f t="shared" si="196"/>
        <v>0</v>
      </c>
      <c r="IN46" s="21">
        <f t="shared" si="197"/>
        <v>0</v>
      </c>
      <c r="IO46" s="21">
        <f t="shared" si="198"/>
        <v>0</v>
      </c>
      <c r="IP46" s="21">
        <f t="shared" si="199"/>
        <v>431.90999999999985</v>
      </c>
      <c r="IQ46" s="21">
        <f t="shared" si="200"/>
        <v>575.87999999999988</v>
      </c>
      <c r="IR46" s="21">
        <f t="shared" si="201"/>
        <v>0</v>
      </c>
      <c r="IS46" s="21">
        <f t="shared" si="202"/>
        <v>0</v>
      </c>
      <c r="IT46" s="21">
        <f t="shared" si="203"/>
        <v>0</v>
      </c>
      <c r="IU46" s="21">
        <f t="shared" si="204"/>
        <v>0</v>
      </c>
      <c r="IV46" s="21">
        <f t="shared" si="205"/>
        <v>0</v>
      </c>
      <c r="IW46" s="21">
        <f t="shared" si="206"/>
        <v>0</v>
      </c>
      <c r="IX46" s="21">
        <f t="shared" si="207"/>
        <v>244.74899999999997</v>
      </c>
      <c r="IY46" s="21">
        <f t="shared" si="208"/>
        <v>115.17599999999997</v>
      </c>
      <c r="IZ46" s="21">
        <f t="shared" si="209"/>
        <v>0</v>
      </c>
      <c r="JA46" s="21">
        <f t="shared" si="210"/>
        <v>0</v>
      </c>
      <c r="JB46" s="21">
        <f t="shared" si="211"/>
        <v>0</v>
      </c>
      <c r="JC46" s="21">
        <f t="shared" si="212"/>
        <v>0</v>
      </c>
      <c r="JD46" s="21">
        <f t="shared" si="213"/>
        <v>0</v>
      </c>
      <c r="JE46" s="21">
        <f t="shared" si="214"/>
        <v>7.1984999999999983</v>
      </c>
      <c r="JF46" s="21">
        <f t="shared" si="215"/>
        <v>0</v>
      </c>
      <c r="JG46" s="21">
        <f t="shared" si="216"/>
        <v>0</v>
      </c>
      <c r="JH46" s="21">
        <f t="shared" si="217"/>
        <v>0</v>
      </c>
      <c r="JI46" s="21">
        <f t="shared" si="218"/>
        <v>1857.2129999999997</v>
      </c>
      <c r="JJ46" s="21">
        <f t="shared" si="219"/>
        <v>0</v>
      </c>
      <c r="JK46" s="21">
        <f t="shared" si="220"/>
        <v>0</v>
      </c>
      <c r="JL46" s="21">
        <f t="shared" si="221"/>
        <v>0</v>
      </c>
      <c r="JM46" s="21">
        <f t="shared" si="222"/>
        <v>0</v>
      </c>
      <c r="JN46" s="21">
        <f t="shared" si="223"/>
        <v>28.793999999999993</v>
      </c>
      <c r="JO46" s="35">
        <f t="shared" si="287"/>
        <v>4798.9999999999991</v>
      </c>
      <c r="JP46" s="38">
        <f t="shared" si="288"/>
        <v>0</v>
      </c>
      <c r="JQ46" s="43">
        <f t="shared" si="224"/>
        <v>0</v>
      </c>
      <c r="JR46" s="43">
        <f t="shared" si="225"/>
        <v>0</v>
      </c>
      <c r="JS46" s="43">
        <f t="shared" si="226"/>
        <v>0</v>
      </c>
      <c r="JT46" s="43">
        <f t="shared" si="227"/>
        <v>0</v>
      </c>
      <c r="JU46" s="43">
        <f t="shared" si="228"/>
        <v>0</v>
      </c>
      <c r="JV46" s="43">
        <f t="shared" si="229"/>
        <v>0</v>
      </c>
      <c r="JW46" s="43">
        <f t="shared" si="230"/>
        <v>0</v>
      </c>
      <c r="JX46" s="43">
        <f t="shared" si="231"/>
        <v>0</v>
      </c>
      <c r="JY46" s="43">
        <f t="shared" si="232"/>
        <v>0</v>
      </c>
      <c r="JZ46" s="43">
        <f t="shared" si="233"/>
        <v>0</v>
      </c>
      <c r="KA46" s="43">
        <f t="shared" si="234"/>
        <v>0</v>
      </c>
      <c r="KB46" s="43">
        <f t="shared" si="235"/>
        <v>0</v>
      </c>
      <c r="KC46" s="43">
        <f t="shared" si="236"/>
        <v>0</v>
      </c>
      <c r="KD46" s="43">
        <f t="shared" si="237"/>
        <v>0</v>
      </c>
      <c r="KE46" s="43">
        <f t="shared" si="238"/>
        <v>1017.2761807793129</v>
      </c>
      <c r="KF46" s="43">
        <f t="shared" si="239"/>
        <v>0</v>
      </c>
      <c r="KG46" s="43">
        <f t="shared" si="240"/>
        <v>5347.3090981529695</v>
      </c>
      <c r="KH46" s="43">
        <f t="shared" si="241"/>
        <v>0</v>
      </c>
      <c r="KI46" s="43">
        <f t="shared" si="242"/>
        <v>0</v>
      </c>
      <c r="KJ46" s="43">
        <f t="shared" si="243"/>
        <v>0</v>
      </c>
      <c r="KK46" s="43">
        <f t="shared" si="244"/>
        <v>0</v>
      </c>
      <c r="KL46" s="43">
        <f t="shared" si="245"/>
        <v>0</v>
      </c>
      <c r="KM46" s="43">
        <f t="shared" si="246"/>
        <v>0</v>
      </c>
      <c r="KN46" s="43">
        <f t="shared" si="247"/>
        <v>0</v>
      </c>
      <c r="KO46" s="43">
        <f t="shared" si="248"/>
        <v>0</v>
      </c>
      <c r="KP46" s="43">
        <f t="shared" si="249"/>
        <v>0</v>
      </c>
      <c r="KQ46" s="43">
        <f t="shared" si="250"/>
        <v>0</v>
      </c>
      <c r="KR46" s="43">
        <f t="shared" si="251"/>
        <v>1667.1725999999994</v>
      </c>
      <c r="KS46" s="43">
        <f t="shared" si="252"/>
        <v>1969.12433046303</v>
      </c>
      <c r="KT46" s="43">
        <f t="shared" si="253"/>
        <v>0</v>
      </c>
      <c r="KU46" s="43">
        <f t="shared" si="254"/>
        <v>0</v>
      </c>
      <c r="KV46" s="43">
        <f t="shared" si="255"/>
        <v>0</v>
      </c>
      <c r="KW46" s="43">
        <f t="shared" si="256"/>
        <v>0</v>
      </c>
      <c r="KX46" s="43">
        <f t="shared" si="257"/>
        <v>0</v>
      </c>
      <c r="KY46" s="43">
        <f t="shared" si="258"/>
        <v>0</v>
      </c>
      <c r="KZ46" s="43">
        <f t="shared" si="259"/>
        <v>2117.0788499999999</v>
      </c>
      <c r="LA46" s="43">
        <f t="shared" si="260"/>
        <v>461.49180383999982</v>
      </c>
      <c r="LB46" s="43">
        <f t="shared" si="261"/>
        <v>0</v>
      </c>
      <c r="LC46" s="43">
        <f t="shared" si="262"/>
        <v>0</v>
      </c>
      <c r="LD46" s="43">
        <f t="shared" si="263"/>
        <v>0</v>
      </c>
      <c r="LE46" s="43">
        <f t="shared" si="264"/>
        <v>0</v>
      </c>
      <c r="LF46" s="43">
        <f t="shared" si="265"/>
        <v>0</v>
      </c>
      <c r="LG46" s="43">
        <f t="shared" si="266"/>
        <v>74.288519999999991</v>
      </c>
      <c r="LH46" s="43">
        <f t="shared" si="267"/>
        <v>0</v>
      </c>
      <c r="LI46" s="43">
        <f t="shared" si="268"/>
        <v>0</v>
      </c>
      <c r="LJ46" s="43">
        <f t="shared" si="269"/>
        <v>0</v>
      </c>
      <c r="LK46" s="43">
        <f t="shared" si="270"/>
        <v>7439.5309747499987</v>
      </c>
      <c r="LL46" s="43">
        <f t="shared" si="271"/>
        <v>0</v>
      </c>
      <c r="LM46" s="43">
        <f t="shared" si="272"/>
        <v>0</v>
      </c>
      <c r="LN46" s="43">
        <f t="shared" si="273"/>
        <v>0</v>
      </c>
      <c r="LO46" s="43">
        <f t="shared" si="274"/>
        <v>0</v>
      </c>
      <c r="LP46" s="43">
        <f t="shared" si="275"/>
        <v>243.30929999999992</v>
      </c>
      <c r="LQ46" s="28">
        <f t="shared" si="289"/>
        <v>20336.581657985309</v>
      </c>
      <c r="LR46" s="65">
        <v>4726</v>
      </c>
      <c r="LS46" s="32">
        <f t="shared" si="281"/>
        <v>4.3031277312706964</v>
      </c>
      <c r="LT46" s="26">
        <f t="shared" si="282"/>
        <v>1.1757179593635783</v>
      </c>
      <c r="LU46" s="31">
        <f t="shared" si="290"/>
        <v>73</v>
      </c>
      <c r="LW46" s="42"/>
      <c r="MA46" s="32">
        <f t="shared" si="291"/>
        <v>4.2376706934747475</v>
      </c>
      <c r="MB46" s="26">
        <f t="shared" si="283"/>
        <v>1.157833522807308</v>
      </c>
    </row>
    <row r="47" spans="1:340" ht="15.75" thickBot="1">
      <c r="A47" t="b">
        <f t="shared" si="285"/>
        <v>1</v>
      </c>
      <c r="B47" s="123" t="s">
        <v>182</v>
      </c>
      <c r="C47" s="39" t="s">
        <v>183</v>
      </c>
      <c r="D47"/>
      <c r="E47" s="97">
        <v>46029</v>
      </c>
      <c r="F47" t="s">
        <v>43</v>
      </c>
      <c r="G47" t="s">
        <v>19</v>
      </c>
      <c r="H47" t="s">
        <v>27</v>
      </c>
      <c r="I47" s="77"/>
      <c r="J47" s="77"/>
      <c r="K47" s="77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4"/>
      <c r="AE47" s="104"/>
      <c r="AF47" s="124"/>
      <c r="AG47" s="124"/>
      <c r="AH47" s="104"/>
      <c r="AI47" s="104"/>
      <c r="AJ47" s="22"/>
      <c r="AK47" s="104">
        <v>0.5</v>
      </c>
      <c r="AL47" s="104"/>
      <c r="AM47" s="104"/>
      <c r="AN47" s="104"/>
      <c r="AO47" s="104"/>
      <c r="AP47" s="104"/>
      <c r="AQ47" s="104"/>
      <c r="AR47" s="104"/>
      <c r="AS47" s="104"/>
      <c r="AT47" s="104"/>
      <c r="AU47" s="104"/>
      <c r="AV47" s="104"/>
      <c r="AW47" s="104"/>
      <c r="AX47" s="104"/>
      <c r="AY47" s="104"/>
      <c r="AZ47" s="104"/>
      <c r="BA47" s="104"/>
      <c r="BB47" s="104"/>
      <c r="BC47" s="124"/>
      <c r="BD47" s="124"/>
      <c r="BE47" s="104"/>
      <c r="BF47" s="104"/>
      <c r="BG47" s="104">
        <v>0.5</v>
      </c>
      <c r="BH47" s="104"/>
      <c r="BI47" s="78">
        <f t="shared" si="4"/>
        <v>1</v>
      </c>
      <c r="BJ47" s="105"/>
      <c r="BK47" s="105"/>
      <c r="BL47" s="105"/>
      <c r="BM47" s="105"/>
      <c r="BN47" s="105"/>
      <c r="BO47" s="105"/>
      <c r="BP47" s="105"/>
      <c r="BQ47" s="105"/>
      <c r="BR47" s="105"/>
      <c r="BS47" s="105"/>
      <c r="BT47" s="105"/>
      <c r="BU47" s="105"/>
      <c r="BV47" s="105"/>
      <c r="BW47" s="105"/>
      <c r="BX47" s="105"/>
      <c r="BY47" s="105"/>
      <c r="BZ47" s="105"/>
      <c r="CA47" s="105"/>
      <c r="CB47" s="105"/>
      <c r="CC47" s="105"/>
      <c r="CD47" s="105"/>
      <c r="CE47" s="105"/>
      <c r="CF47" s="120"/>
      <c r="CG47" s="128"/>
      <c r="CH47" s="128"/>
      <c r="CI47" s="105"/>
      <c r="CJ47" s="105"/>
      <c r="CK47" s="105"/>
      <c r="CL47" s="105"/>
      <c r="CM47" s="105"/>
      <c r="CN47" s="105"/>
      <c r="CO47" s="105"/>
      <c r="CP47" s="105"/>
      <c r="CQ47" s="105"/>
      <c r="CR47" s="105"/>
      <c r="CS47" s="105"/>
      <c r="CT47" s="105"/>
      <c r="CU47" s="105"/>
      <c r="CV47" s="105"/>
      <c r="CW47" s="105"/>
      <c r="CX47" s="105"/>
      <c r="CY47" s="105"/>
      <c r="CZ47" s="105"/>
      <c r="DA47" s="105"/>
      <c r="DB47" s="105"/>
      <c r="DC47" s="105"/>
      <c r="DD47" s="125"/>
      <c r="DE47" s="125"/>
      <c r="DF47" s="105"/>
      <c r="DG47" s="105"/>
      <c r="DH47" s="105"/>
      <c r="DI47" s="105"/>
      <c r="DJ47" s="79">
        <f t="shared" si="286"/>
        <v>0</v>
      </c>
      <c r="DK47" s="108"/>
      <c r="DL47" s="108"/>
      <c r="DM47" s="108"/>
      <c r="DN47" s="108"/>
      <c r="DO47" s="108"/>
      <c r="DP47" s="108"/>
      <c r="DQ47" s="108"/>
      <c r="DR47" s="108"/>
      <c r="DS47" s="108"/>
      <c r="DT47" s="108"/>
      <c r="DU47" s="108"/>
      <c r="DV47" s="108"/>
      <c r="DW47" s="108"/>
      <c r="DX47" s="108"/>
      <c r="DY47" s="108"/>
      <c r="DZ47" s="108"/>
      <c r="EA47" s="108"/>
      <c r="EB47" s="108"/>
      <c r="EC47" s="108"/>
      <c r="ED47" s="108"/>
      <c r="EE47" s="108"/>
      <c r="EF47" s="108"/>
      <c r="EG47" s="108"/>
      <c r="EH47" s="129"/>
      <c r="EI47" s="129"/>
      <c r="EJ47" s="108"/>
      <c r="EK47" s="108"/>
      <c r="EL47" s="108"/>
      <c r="EM47" s="108"/>
      <c r="EN47" s="108"/>
      <c r="EO47" s="108"/>
      <c r="EP47" s="108"/>
      <c r="EQ47" s="108"/>
      <c r="ER47" s="108"/>
      <c r="ES47" s="106"/>
      <c r="ET47" s="106"/>
      <c r="EU47" s="106"/>
      <c r="EV47" s="106"/>
      <c r="EW47" s="106"/>
      <c r="EX47" s="106"/>
      <c r="EY47" s="106"/>
      <c r="EZ47" s="106"/>
      <c r="FA47" s="106"/>
      <c r="FB47" s="106"/>
      <c r="FC47" s="106"/>
      <c r="FD47" s="106"/>
      <c r="FE47" s="126"/>
      <c r="FF47" s="126"/>
      <c r="FG47" s="106"/>
      <c r="FH47" s="106"/>
      <c r="FI47" s="106"/>
      <c r="FJ47" s="106"/>
      <c r="FK47" s="17">
        <f t="shared" si="280"/>
        <v>0</v>
      </c>
      <c r="FL47" s="18"/>
      <c r="FM47" s="19">
        <f t="shared" si="119"/>
        <v>0</v>
      </c>
      <c r="FN47" s="19">
        <f t="shared" si="120"/>
        <v>0</v>
      </c>
      <c r="FO47" s="19">
        <f t="shared" si="121"/>
        <v>0</v>
      </c>
      <c r="FP47" s="19">
        <f t="shared" si="122"/>
        <v>0</v>
      </c>
      <c r="FQ47" s="19">
        <f t="shared" si="123"/>
        <v>0</v>
      </c>
      <c r="FR47" s="19">
        <f t="shared" si="124"/>
        <v>0</v>
      </c>
      <c r="FS47" s="19">
        <f t="shared" si="125"/>
        <v>0</v>
      </c>
      <c r="FT47" s="19">
        <f t="shared" si="126"/>
        <v>0</v>
      </c>
      <c r="FU47" s="19">
        <f t="shared" si="127"/>
        <v>0</v>
      </c>
      <c r="FV47" s="19">
        <f t="shared" si="128"/>
        <v>0</v>
      </c>
      <c r="FW47" s="19">
        <f t="shared" si="129"/>
        <v>0</v>
      </c>
      <c r="FX47" s="19">
        <f t="shared" si="130"/>
        <v>0</v>
      </c>
      <c r="FY47" s="19">
        <f t="shared" si="131"/>
        <v>0</v>
      </c>
      <c r="FZ47" s="19">
        <f t="shared" si="132"/>
        <v>0</v>
      </c>
      <c r="GA47" s="19">
        <f t="shared" si="133"/>
        <v>0</v>
      </c>
      <c r="GB47" s="19">
        <f t="shared" si="134"/>
        <v>0</v>
      </c>
      <c r="GC47" s="19">
        <f t="shared" si="135"/>
        <v>0</v>
      </c>
      <c r="GD47" s="19">
        <f t="shared" si="136"/>
        <v>0</v>
      </c>
      <c r="GE47" s="19">
        <f t="shared" si="137"/>
        <v>0</v>
      </c>
      <c r="GF47" s="19">
        <f t="shared" si="138"/>
        <v>0</v>
      </c>
      <c r="GG47" s="19">
        <f t="shared" si="139"/>
        <v>0</v>
      </c>
      <c r="GH47" s="19">
        <f t="shared" si="140"/>
        <v>0</v>
      </c>
      <c r="GI47" s="19">
        <f t="shared" si="141"/>
        <v>0</v>
      </c>
      <c r="GJ47" s="19">
        <f t="shared" si="142"/>
        <v>0</v>
      </c>
      <c r="GK47" s="19">
        <f t="shared" si="143"/>
        <v>0</v>
      </c>
      <c r="GL47" s="19">
        <f t="shared" si="144"/>
        <v>0</v>
      </c>
      <c r="GM47" s="19">
        <f t="shared" si="145"/>
        <v>0</v>
      </c>
      <c r="GN47" s="19">
        <f t="shared" si="146"/>
        <v>0</v>
      </c>
      <c r="GO47" s="19">
        <f t="shared" si="147"/>
        <v>0.75</v>
      </c>
      <c r="GP47" s="19">
        <f t="shared" si="148"/>
        <v>0</v>
      </c>
      <c r="GQ47" s="19">
        <f t="shared" si="149"/>
        <v>0</v>
      </c>
      <c r="GR47" s="19">
        <f t="shared" si="150"/>
        <v>0</v>
      </c>
      <c r="GS47" s="19">
        <f t="shared" si="151"/>
        <v>0</v>
      </c>
      <c r="GT47" s="19">
        <f t="shared" si="152"/>
        <v>0</v>
      </c>
      <c r="GU47" s="19">
        <f t="shared" si="153"/>
        <v>0</v>
      </c>
      <c r="GV47" s="19">
        <f t="shared" si="154"/>
        <v>0</v>
      </c>
      <c r="GW47" s="19">
        <f t="shared" si="155"/>
        <v>0</v>
      </c>
      <c r="GX47" s="19">
        <f t="shared" si="156"/>
        <v>0</v>
      </c>
      <c r="GY47" s="19">
        <f t="shared" si="157"/>
        <v>0</v>
      </c>
      <c r="GZ47" s="19">
        <f t="shared" si="158"/>
        <v>0</v>
      </c>
      <c r="HA47" s="19">
        <f t="shared" si="159"/>
        <v>0</v>
      </c>
      <c r="HB47" s="19">
        <f t="shared" si="160"/>
        <v>0</v>
      </c>
      <c r="HC47" s="19">
        <f t="shared" si="161"/>
        <v>0</v>
      </c>
      <c r="HD47" s="19">
        <f t="shared" si="162"/>
        <v>0</v>
      </c>
      <c r="HE47" s="19">
        <f t="shared" si="163"/>
        <v>0</v>
      </c>
      <c r="HF47" s="19">
        <f t="shared" si="164"/>
        <v>0</v>
      </c>
      <c r="HG47" s="19">
        <f t="shared" si="165"/>
        <v>0</v>
      </c>
      <c r="HH47" s="19">
        <f t="shared" si="166"/>
        <v>0</v>
      </c>
      <c r="HI47" s="19">
        <f t="shared" si="167"/>
        <v>0</v>
      </c>
      <c r="HJ47" s="19">
        <f t="shared" si="168"/>
        <v>0</v>
      </c>
      <c r="HK47" s="19">
        <f t="shared" si="169"/>
        <v>0.75</v>
      </c>
      <c r="HL47" s="19">
        <f t="shared" si="170"/>
        <v>0</v>
      </c>
      <c r="HM47" s="20">
        <f t="shared" si="171"/>
        <v>1.5</v>
      </c>
      <c r="HN47" s="53">
        <v>2250</v>
      </c>
      <c r="HO47" s="21">
        <f t="shared" si="172"/>
        <v>0</v>
      </c>
      <c r="HP47" s="21">
        <f t="shared" si="173"/>
        <v>0</v>
      </c>
      <c r="HQ47" s="21">
        <f t="shared" si="174"/>
        <v>0</v>
      </c>
      <c r="HR47" s="21">
        <f t="shared" si="175"/>
        <v>0</v>
      </c>
      <c r="HS47" s="21">
        <f t="shared" si="176"/>
        <v>0</v>
      </c>
      <c r="HT47" s="69">
        <f t="shared" si="177"/>
        <v>0</v>
      </c>
      <c r="HU47" s="21">
        <f t="shared" si="178"/>
        <v>0</v>
      </c>
      <c r="HV47" s="21">
        <f t="shared" si="179"/>
        <v>0</v>
      </c>
      <c r="HW47" s="21">
        <f t="shared" si="180"/>
        <v>0</v>
      </c>
      <c r="HX47" s="21">
        <f t="shared" si="181"/>
        <v>0</v>
      </c>
      <c r="HY47" s="21">
        <f t="shared" si="182"/>
        <v>0</v>
      </c>
      <c r="HZ47" s="21">
        <f t="shared" si="183"/>
        <v>0</v>
      </c>
      <c r="IA47" s="21">
        <f t="shared" si="184"/>
        <v>0</v>
      </c>
      <c r="IB47" s="21">
        <f t="shared" si="185"/>
        <v>0</v>
      </c>
      <c r="IC47" s="21">
        <f t="shared" si="186"/>
        <v>0</v>
      </c>
      <c r="ID47" s="21">
        <f t="shared" si="187"/>
        <v>0</v>
      </c>
      <c r="IE47" s="21">
        <f t="shared" si="188"/>
        <v>0</v>
      </c>
      <c r="IF47" s="69">
        <f t="shared" si="189"/>
        <v>0</v>
      </c>
      <c r="IG47" s="69">
        <f t="shared" si="190"/>
        <v>0</v>
      </c>
      <c r="IH47" s="69">
        <f t="shared" si="191"/>
        <v>0</v>
      </c>
      <c r="II47" s="21">
        <f t="shared" si="192"/>
        <v>0</v>
      </c>
      <c r="IJ47" s="21">
        <f t="shared" si="193"/>
        <v>0</v>
      </c>
      <c r="IK47" s="21">
        <f t="shared" si="194"/>
        <v>0</v>
      </c>
      <c r="IL47" s="21">
        <f t="shared" si="195"/>
        <v>0</v>
      </c>
      <c r="IM47" s="21">
        <f t="shared" si="196"/>
        <v>0</v>
      </c>
      <c r="IN47" s="21">
        <f t="shared" si="197"/>
        <v>0</v>
      </c>
      <c r="IO47" s="21">
        <f t="shared" si="198"/>
        <v>0</v>
      </c>
      <c r="IP47" s="21">
        <f t="shared" si="199"/>
        <v>0</v>
      </c>
      <c r="IQ47" s="21">
        <f t="shared" si="200"/>
        <v>1125</v>
      </c>
      <c r="IR47" s="21">
        <f t="shared" si="201"/>
        <v>0</v>
      </c>
      <c r="IS47" s="21">
        <f t="shared" si="202"/>
        <v>0</v>
      </c>
      <c r="IT47" s="21">
        <f t="shared" si="203"/>
        <v>0</v>
      </c>
      <c r="IU47" s="21">
        <f t="shared" si="204"/>
        <v>0</v>
      </c>
      <c r="IV47" s="21">
        <f t="shared" si="205"/>
        <v>0</v>
      </c>
      <c r="IW47" s="21">
        <f t="shared" si="206"/>
        <v>0</v>
      </c>
      <c r="IX47" s="21">
        <f t="shared" si="207"/>
        <v>0</v>
      </c>
      <c r="IY47" s="21">
        <f t="shared" si="208"/>
        <v>0</v>
      </c>
      <c r="IZ47" s="21">
        <f t="shared" si="209"/>
        <v>0</v>
      </c>
      <c r="JA47" s="21">
        <f t="shared" si="210"/>
        <v>0</v>
      </c>
      <c r="JB47" s="21">
        <f t="shared" si="211"/>
        <v>0</v>
      </c>
      <c r="JC47" s="21">
        <f t="shared" si="212"/>
        <v>0</v>
      </c>
      <c r="JD47" s="21">
        <f t="shared" si="213"/>
        <v>0</v>
      </c>
      <c r="JE47" s="21">
        <f t="shared" si="214"/>
        <v>0</v>
      </c>
      <c r="JF47" s="21">
        <f t="shared" si="215"/>
        <v>0</v>
      </c>
      <c r="JG47" s="21">
        <f t="shared" si="216"/>
        <v>0</v>
      </c>
      <c r="JH47" s="21">
        <f t="shared" si="217"/>
        <v>0</v>
      </c>
      <c r="JI47" s="21">
        <f t="shared" si="218"/>
        <v>0</v>
      </c>
      <c r="JJ47" s="21">
        <f t="shared" si="219"/>
        <v>0</v>
      </c>
      <c r="JK47" s="21">
        <f t="shared" si="220"/>
        <v>0</v>
      </c>
      <c r="JL47" s="21">
        <f t="shared" si="221"/>
        <v>0</v>
      </c>
      <c r="JM47" s="21">
        <f t="shared" si="222"/>
        <v>1125</v>
      </c>
      <c r="JN47" s="21">
        <f t="shared" si="223"/>
        <v>0</v>
      </c>
      <c r="JO47" s="35">
        <f t="shared" si="287"/>
        <v>2250</v>
      </c>
      <c r="JP47" s="38">
        <f t="shared" si="288"/>
        <v>0</v>
      </c>
      <c r="JQ47" s="43">
        <f t="shared" si="224"/>
        <v>0</v>
      </c>
      <c r="JR47" s="43">
        <f t="shared" si="225"/>
        <v>0</v>
      </c>
      <c r="JS47" s="43">
        <f t="shared" si="226"/>
        <v>0</v>
      </c>
      <c r="JT47" s="43">
        <f t="shared" si="227"/>
        <v>0</v>
      </c>
      <c r="JU47" s="43">
        <f t="shared" si="228"/>
        <v>0</v>
      </c>
      <c r="JV47" s="43">
        <f t="shared" si="229"/>
        <v>0</v>
      </c>
      <c r="JW47" s="43">
        <f t="shared" si="230"/>
        <v>0</v>
      </c>
      <c r="JX47" s="43">
        <f t="shared" si="231"/>
        <v>0</v>
      </c>
      <c r="JY47" s="43">
        <f t="shared" si="232"/>
        <v>0</v>
      </c>
      <c r="JZ47" s="43">
        <f t="shared" si="233"/>
        <v>0</v>
      </c>
      <c r="KA47" s="43">
        <f t="shared" si="234"/>
        <v>0</v>
      </c>
      <c r="KB47" s="43">
        <f t="shared" si="235"/>
        <v>0</v>
      </c>
      <c r="KC47" s="43">
        <f t="shared" si="236"/>
        <v>0</v>
      </c>
      <c r="KD47" s="43">
        <f t="shared" si="237"/>
        <v>0</v>
      </c>
      <c r="KE47" s="43">
        <f t="shared" si="238"/>
        <v>0</v>
      </c>
      <c r="KF47" s="43">
        <f t="shared" si="239"/>
        <v>0</v>
      </c>
      <c r="KG47" s="43">
        <f t="shared" si="240"/>
        <v>0</v>
      </c>
      <c r="KH47" s="43">
        <f t="shared" si="241"/>
        <v>0</v>
      </c>
      <c r="KI47" s="43">
        <f t="shared" si="242"/>
        <v>0</v>
      </c>
      <c r="KJ47" s="43">
        <f t="shared" si="243"/>
        <v>0</v>
      </c>
      <c r="KK47" s="43">
        <f t="shared" si="244"/>
        <v>0</v>
      </c>
      <c r="KL47" s="43">
        <f t="shared" si="245"/>
        <v>0</v>
      </c>
      <c r="KM47" s="43">
        <f t="shared" si="246"/>
        <v>0</v>
      </c>
      <c r="KN47" s="43">
        <f t="shared" si="247"/>
        <v>0</v>
      </c>
      <c r="KO47" s="43">
        <f t="shared" si="248"/>
        <v>0</v>
      </c>
      <c r="KP47" s="43">
        <f t="shared" si="249"/>
        <v>0</v>
      </c>
      <c r="KQ47" s="43">
        <f t="shared" si="250"/>
        <v>0</v>
      </c>
      <c r="KR47" s="43">
        <f t="shared" si="251"/>
        <v>0</v>
      </c>
      <c r="KS47" s="43">
        <f t="shared" si="252"/>
        <v>3846.7473636363634</v>
      </c>
      <c r="KT47" s="43">
        <f t="shared" si="253"/>
        <v>0</v>
      </c>
      <c r="KU47" s="43">
        <f t="shared" si="254"/>
        <v>0</v>
      </c>
      <c r="KV47" s="43">
        <f t="shared" si="255"/>
        <v>0</v>
      </c>
      <c r="KW47" s="43">
        <f t="shared" si="256"/>
        <v>0</v>
      </c>
      <c r="KX47" s="43">
        <f t="shared" si="257"/>
        <v>0</v>
      </c>
      <c r="KY47" s="43">
        <f t="shared" si="258"/>
        <v>0</v>
      </c>
      <c r="KZ47" s="43">
        <f t="shared" si="259"/>
        <v>0</v>
      </c>
      <c r="LA47" s="43">
        <f t="shared" si="260"/>
        <v>0</v>
      </c>
      <c r="LB47" s="43">
        <f t="shared" si="261"/>
        <v>0</v>
      </c>
      <c r="LC47" s="43">
        <f t="shared" si="262"/>
        <v>0</v>
      </c>
      <c r="LD47" s="43">
        <f t="shared" si="263"/>
        <v>0</v>
      </c>
      <c r="LE47" s="43">
        <f t="shared" si="264"/>
        <v>0</v>
      </c>
      <c r="LF47" s="43">
        <f t="shared" si="265"/>
        <v>0</v>
      </c>
      <c r="LG47" s="43">
        <f t="shared" si="266"/>
        <v>0</v>
      </c>
      <c r="LH47" s="43">
        <f t="shared" si="267"/>
        <v>0</v>
      </c>
      <c r="LI47" s="43">
        <f t="shared" si="268"/>
        <v>0</v>
      </c>
      <c r="LJ47" s="43">
        <f t="shared" si="269"/>
        <v>0</v>
      </c>
      <c r="LK47" s="43">
        <f t="shared" si="270"/>
        <v>0</v>
      </c>
      <c r="LL47" s="43">
        <f t="shared" si="271"/>
        <v>0</v>
      </c>
      <c r="LM47" s="43">
        <f t="shared" si="272"/>
        <v>0</v>
      </c>
      <c r="LN47" s="43">
        <f t="shared" si="273"/>
        <v>0</v>
      </c>
      <c r="LO47" s="43">
        <f t="shared" si="274"/>
        <v>5003.9549999999999</v>
      </c>
      <c r="LP47" s="43">
        <f t="shared" si="275"/>
        <v>0</v>
      </c>
      <c r="LQ47" s="28">
        <f t="shared" si="289"/>
        <v>8850.7023636363629</v>
      </c>
      <c r="LR47" s="65">
        <v>2164</v>
      </c>
      <c r="LS47" s="32">
        <f t="shared" si="281"/>
        <v>4.0899733658208701</v>
      </c>
      <c r="LT47" s="26">
        <f t="shared" si="282"/>
        <v>1.1174790616996912</v>
      </c>
      <c r="LU47" s="31">
        <f t="shared" si="290"/>
        <v>86</v>
      </c>
      <c r="LW47" s="42"/>
      <c r="MA47" s="32">
        <f t="shared" si="291"/>
        <v>3.9336454949494946</v>
      </c>
      <c r="MB47" s="26">
        <f t="shared" si="283"/>
        <v>1.0747665286747252</v>
      </c>
    </row>
    <row r="48" spans="1:340" ht="15.75" thickBot="1">
      <c r="A48" t="b">
        <f t="shared" si="285"/>
        <v>1</v>
      </c>
      <c r="B48" s="123" t="s">
        <v>184</v>
      </c>
      <c r="C48" s="39" t="s">
        <v>81</v>
      </c>
      <c r="D48"/>
      <c r="E48" s="97">
        <v>46035</v>
      </c>
      <c r="F48" t="s">
        <v>43</v>
      </c>
      <c r="G48" t="s">
        <v>20</v>
      </c>
      <c r="H48" t="s">
        <v>27</v>
      </c>
      <c r="I48" s="77"/>
      <c r="J48" s="77"/>
      <c r="K48" s="77"/>
      <c r="L48" s="22"/>
      <c r="M48" s="22"/>
      <c r="N48" s="98"/>
      <c r="O48" s="22"/>
      <c r="P48" s="22"/>
      <c r="Q48" s="22"/>
      <c r="R48" s="22"/>
      <c r="S48" s="104"/>
      <c r="T48" s="22"/>
      <c r="U48" s="22"/>
      <c r="V48" s="104"/>
      <c r="W48" s="22"/>
      <c r="X48" s="22"/>
      <c r="Y48" s="22"/>
      <c r="Z48" s="104"/>
      <c r="AA48" s="104"/>
      <c r="AB48" s="104"/>
      <c r="AC48" s="22"/>
      <c r="AD48" s="22"/>
      <c r="AE48" s="22"/>
      <c r="AF48" s="124"/>
      <c r="AG48" s="124"/>
      <c r="AH48" s="22"/>
      <c r="AI48" s="104"/>
      <c r="AJ48" s="22">
        <v>0.4</v>
      </c>
      <c r="AK48" s="22"/>
      <c r="AL48" s="22"/>
      <c r="AM48" s="22"/>
      <c r="AN48" s="22"/>
      <c r="AO48" s="104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104"/>
      <c r="BA48" s="104"/>
      <c r="BB48" s="104"/>
      <c r="BC48" s="124">
        <v>0.6</v>
      </c>
      <c r="BD48" s="124"/>
      <c r="BE48" s="104"/>
      <c r="BF48" s="22"/>
      <c r="BG48" s="22"/>
      <c r="BH48" s="22"/>
      <c r="BI48" s="78">
        <f t="shared" si="4"/>
        <v>1</v>
      </c>
      <c r="BJ48" s="23"/>
      <c r="BK48" s="23"/>
      <c r="BL48" s="23"/>
      <c r="BM48" s="23"/>
      <c r="BN48" s="23"/>
      <c r="BO48" s="99"/>
      <c r="BP48" s="23"/>
      <c r="BQ48" s="23"/>
      <c r="BR48" s="23"/>
      <c r="BS48" s="23"/>
      <c r="BT48" s="105"/>
      <c r="BU48" s="23"/>
      <c r="BV48" s="23"/>
      <c r="BW48" s="105"/>
      <c r="BX48" s="23"/>
      <c r="BY48" s="23"/>
      <c r="BZ48" s="23"/>
      <c r="CA48" s="105"/>
      <c r="CB48" s="105"/>
      <c r="CC48" s="105"/>
      <c r="CD48" s="23"/>
      <c r="CE48" s="23"/>
      <c r="CF48" s="71"/>
      <c r="CG48" s="128"/>
      <c r="CH48" s="128"/>
      <c r="CI48" s="23"/>
      <c r="CJ48" s="23"/>
      <c r="CK48" s="23"/>
      <c r="CL48" s="23">
        <v>0.4</v>
      </c>
      <c r="CM48" s="23"/>
      <c r="CN48" s="23"/>
      <c r="CO48" s="23"/>
      <c r="CP48" s="105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99"/>
      <c r="DC48" s="99"/>
      <c r="DD48" s="125">
        <v>0.6</v>
      </c>
      <c r="DE48" s="125"/>
      <c r="DF48" s="105"/>
      <c r="DG48" s="23"/>
      <c r="DH48" s="23"/>
      <c r="DI48" s="23"/>
      <c r="DJ48" s="79">
        <f t="shared" si="286"/>
        <v>1</v>
      </c>
      <c r="DK48" s="24">
        <v>0.3</v>
      </c>
      <c r="DL48" s="24"/>
      <c r="DM48" s="24"/>
      <c r="DN48" s="24"/>
      <c r="DO48" s="24"/>
      <c r="DP48" s="103"/>
      <c r="DQ48" s="24"/>
      <c r="DR48" s="24"/>
      <c r="DS48" s="24">
        <v>0.5</v>
      </c>
      <c r="DT48" s="24"/>
      <c r="DU48" s="108"/>
      <c r="DV48" s="24"/>
      <c r="DW48" s="24"/>
      <c r="DX48" s="108"/>
      <c r="DY48" s="24"/>
      <c r="DZ48" s="24"/>
      <c r="EA48" s="24"/>
      <c r="EB48" s="108"/>
      <c r="EC48" s="108"/>
      <c r="ED48" s="108"/>
      <c r="EE48" s="24"/>
      <c r="EF48" s="24"/>
      <c r="EG48" s="24"/>
      <c r="EH48" s="129"/>
      <c r="EI48" s="129"/>
      <c r="EJ48" s="24"/>
      <c r="EK48" s="24"/>
      <c r="EL48" s="24"/>
      <c r="EM48" s="24"/>
      <c r="EN48" s="24"/>
      <c r="EO48" s="24"/>
      <c r="EP48" s="24"/>
      <c r="EQ48" s="108"/>
      <c r="ER48" s="24"/>
      <c r="ES48" s="25"/>
      <c r="ET48" s="25"/>
      <c r="EU48" s="25">
        <v>0.18</v>
      </c>
      <c r="EV48" s="25"/>
      <c r="EW48" s="25"/>
      <c r="EX48" s="25"/>
      <c r="EY48" s="25"/>
      <c r="EZ48" s="25"/>
      <c r="FA48" s="25"/>
      <c r="FB48" s="25"/>
      <c r="FC48" s="100"/>
      <c r="FD48" s="100"/>
      <c r="FE48" s="126"/>
      <c r="FF48" s="126"/>
      <c r="FG48" s="106"/>
      <c r="FH48" s="25"/>
      <c r="FI48" s="25"/>
      <c r="FJ48" s="25">
        <v>0.02</v>
      </c>
      <c r="FK48" s="17">
        <f t="shared" si="280"/>
        <v>1</v>
      </c>
      <c r="FL48" s="18"/>
      <c r="FM48" s="19">
        <f t="shared" si="119"/>
        <v>0.44999999999999996</v>
      </c>
      <c r="FN48" s="19">
        <f t="shared" si="120"/>
        <v>0</v>
      </c>
      <c r="FO48" s="19">
        <f t="shared" si="121"/>
        <v>0</v>
      </c>
      <c r="FP48" s="19">
        <f t="shared" si="122"/>
        <v>0</v>
      </c>
      <c r="FQ48" s="19">
        <f t="shared" si="123"/>
        <v>0</v>
      </c>
      <c r="FR48" s="19">
        <f t="shared" si="124"/>
        <v>0</v>
      </c>
      <c r="FS48" s="19">
        <f t="shared" si="125"/>
        <v>0</v>
      </c>
      <c r="FT48" s="19">
        <f t="shared" si="126"/>
        <v>0</v>
      </c>
      <c r="FU48" s="19">
        <f t="shared" si="127"/>
        <v>0.75</v>
      </c>
      <c r="FV48" s="19">
        <f t="shared" si="128"/>
        <v>0</v>
      </c>
      <c r="FW48" s="19">
        <f t="shared" si="129"/>
        <v>0</v>
      </c>
      <c r="FX48" s="19">
        <f t="shared" si="130"/>
        <v>0</v>
      </c>
      <c r="FY48" s="19">
        <f t="shared" si="131"/>
        <v>0</v>
      </c>
      <c r="FZ48" s="19">
        <f t="shared" si="132"/>
        <v>0</v>
      </c>
      <c r="GA48" s="19">
        <f t="shared" si="133"/>
        <v>0</v>
      </c>
      <c r="GB48" s="19">
        <f t="shared" si="134"/>
        <v>0</v>
      </c>
      <c r="GC48" s="19">
        <f t="shared" si="135"/>
        <v>0</v>
      </c>
      <c r="GD48" s="19">
        <f t="shared" si="136"/>
        <v>0</v>
      </c>
      <c r="GE48" s="19">
        <f t="shared" si="137"/>
        <v>0</v>
      </c>
      <c r="GF48" s="19">
        <f t="shared" si="138"/>
        <v>0</v>
      </c>
      <c r="GG48" s="19">
        <f t="shared" si="139"/>
        <v>0</v>
      </c>
      <c r="GH48" s="19">
        <f t="shared" si="140"/>
        <v>0</v>
      </c>
      <c r="GI48" s="19">
        <f t="shared" si="141"/>
        <v>0</v>
      </c>
      <c r="GJ48" s="19">
        <f t="shared" si="142"/>
        <v>0</v>
      </c>
      <c r="GK48" s="19">
        <f t="shared" si="143"/>
        <v>0</v>
      </c>
      <c r="GL48" s="19">
        <f t="shared" si="144"/>
        <v>0</v>
      </c>
      <c r="GM48" s="19">
        <f t="shared" si="145"/>
        <v>0</v>
      </c>
      <c r="GN48" s="19">
        <f t="shared" si="146"/>
        <v>0.60000000000000009</v>
      </c>
      <c r="GO48" s="19">
        <f t="shared" si="147"/>
        <v>0.8</v>
      </c>
      <c r="GP48" s="19">
        <f t="shared" si="148"/>
        <v>0</v>
      </c>
      <c r="GQ48" s="19">
        <f t="shared" si="149"/>
        <v>0</v>
      </c>
      <c r="GR48" s="19">
        <f t="shared" si="150"/>
        <v>0</v>
      </c>
      <c r="GS48" s="19">
        <f t="shared" si="151"/>
        <v>0</v>
      </c>
      <c r="GT48" s="19">
        <f t="shared" si="152"/>
        <v>0</v>
      </c>
      <c r="GU48" s="19">
        <f t="shared" si="153"/>
        <v>0</v>
      </c>
      <c r="GV48" s="19">
        <f t="shared" si="154"/>
        <v>0</v>
      </c>
      <c r="GW48" s="19">
        <f t="shared" si="155"/>
        <v>0.27</v>
      </c>
      <c r="GX48" s="19">
        <f t="shared" si="156"/>
        <v>0</v>
      </c>
      <c r="GY48" s="19">
        <f t="shared" si="157"/>
        <v>0</v>
      </c>
      <c r="GZ48" s="19">
        <f t="shared" si="158"/>
        <v>0</v>
      </c>
      <c r="HA48" s="19">
        <f t="shared" si="159"/>
        <v>0</v>
      </c>
      <c r="HB48" s="19">
        <f t="shared" si="160"/>
        <v>0</v>
      </c>
      <c r="HC48" s="19">
        <f t="shared" si="161"/>
        <v>0</v>
      </c>
      <c r="HD48" s="19">
        <f t="shared" si="162"/>
        <v>0</v>
      </c>
      <c r="HE48" s="19">
        <f t="shared" si="163"/>
        <v>0</v>
      </c>
      <c r="HF48" s="19">
        <f t="shared" si="164"/>
        <v>0</v>
      </c>
      <c r="HG48" s="19">
        <f t="shared" si="165"/>
        <v>2.0999999999999996</v>
      </c>
      <c r="HH48" s="19">
        <f t="shared" si="166"/>
        <v>0</v>
      </c>
      <c r="HI48" s="19">
        <f t="shared" si="167"/>
        <v>0</v>
      </c>
      <c r="HJ48" s="19">
        <f t="shared" si="168"/>
        <v>0</v>
      </c>
      <c r="HK48" s="19">
        <f t="shared" si="169"/>
        <v>0</v>
      </c>
      <c r="HL48" s="19">
        <f t="shared" si="170"/>
        <v>0.03</v>
      </c>
      <c r="HM48" s="20">
        <f t="shared" si="171"/>
        <v>5</v>
      </c>
      <c r="HN48" s="53">
        <v>486</v>
      </c>
      <c r="HO48" s="21">
        <f t="shared" si="172"/>
        <v>43.739999999999995</v>
      </c>
      <c r="HP48" s="21">
        <f t="shared" si="173"/>
        <v>0</v>
      </c>
      <c r="HQ48" s="21">
        <f t="shared" si="174"/>
        <v>0</v>
      </c>
      <c r="HR48" s="21">
        <f t="shared" si="175"/>
        <v>0</v>
      </c>
      <c r="HS48" s="21">
        <f t="shared" si="176"/>
        <v>0</v>
      </c>
      <c r="HT48" s="69">
        <f t="shared" si="177"/>
        <v>0</v>
      </c>
      <c r="HU48" s="21">
        <f t="shared" si="178"/>
        <v>0</v>
      </c>
      <c r="HV48" s="21">
        <f t="shared" si="179"/>
        <v>0</v>
      </c>
      <c r="HW48" s="21">
        <f t="shared" si="180"/>
        <v>72.900000000000006</v>
      </c>
      <c r="HX48" s="21">
        <f t="shared" si="181"/>
        <v>0</v>
      </c>
      <c r="HY48" s="21">
        <f t="shared" si="182"/>
        <v>0</v>
      </c>
      <c r="HZ48" s="21">
        <f t="shared" si="183"/>
        <v>0</v>
      </c>
      <c r="IA48" s="21">
        <f t="shared" si="184"/>
        <v>0</v>
      </c>
      <c r="IB48" s="21">
        <f t="shared" si="185"/>
        <v>0</v>
      </c>
      <c r="IC48" s="21">
        <f t="shared" si="186"/>
        <v>0</v>
      </c>
      <c r="ID48" s="21">
        <f t="shared" si="187"/>
        <v>0</v>
      </c>
      <c r="IE48" s="21">
        <f t="shared" si="188"/>
        <v>0</v>
      </c>
      <c r="IF48" s="69">
        <f t="shared" si="189"/>
        <v>0</v>
      </c>
      <c r="IG48" s="69">
        <f t="shared" si="190"/>
        <v>0</v>
      </c>
      <c r="IH48" s="69">
        <f t="shared" si="191"/>
        <v>0</v>
      </c>
      <c r="II48" s="21">
        <f t="shared" si="192"/>
        <v>0</v>
      </c>
      <c r="IJ48" s="21">
        <f t="shared" si="193"/>
        <v>0</v>
      </c>
      <c r="IK48" s="21">
        <f t="shared" si="194"/>
        <v>0</v>
      </c>
      <c r="IL48" s="21">
        <f t="shared" si="195"/>
        <v>0</v>
      </c>
      <c r="IM48" s="21">
        <f t="shared" si="196"/>
        <v>0</v>
      </c>
      <c r="IN48" s="21">
        <f t="shared" si="197"/>
        <v>0</v>
      </c>
      <c r="IO48" s="21">
        <f t="shared" si="198"/>
        <v>0</v>
      </c>
      <c r="IP48" s="21">
        <f t="shared" si="199"/>
        <v>58.320000000000007</v>
      </c>
      <c r="IQ48" s="21">
        <f t="shared" si="200"/>
        <v>77.760000000000005</v>
      </c>
      <c r="IR48" s="21">
        <f t="shared" si="201"/>
        <v>0</v>
      </c>
      <c r="IS48" s="21">
        <f t="shared" si="202"/>
        <v>0</v>
      </c>
      <c r="IT48" s="21">
        <f t="shared" si="203"/>
        <v>0</v>
      </c>
      <c r="IU48" s="21">
        <f t="shared" si="204"/>
        <v>0</v>
      </c>
      <c r="IV48" s="21">
        <f t="shared" si="205"/>
        <v>0</v>
      </c>
      <c r="IW48" s="21">
        <f t="shared" si="206"/>
        <v>0</v>
      </c>
      <c r="IX48" s="21">
        <f t="shared" si="207"/>
        <v>0</v>
      </c>
      <c r="IY48" s="21">
        <f t="shared" si="208"/>
        <v>26.244</v>
      </c>
      <c r="IZ48" s="21">
        <f t="shared" si="209"/>
        <v>0</v>
      </c>
      <c r="JA48" s="21">
        <f t="shared" si="210"/>
        <v>0</v>
      </c>
      <c r="JB48" s="21">
        <f t="shared" si="211"/>
        <v>0</v>
      </c>
      <c r="JC48" s="21">
        <f t="shared" si="212"/>
        <v>0</v>
      </c>
      <c r="JD48" s="21">
        <f t="shared" si="213"/>
        <v>0</v>
      </c>
      <c r="JE48" s="21">
        <f t="shared" si="214"/>
        <v>0</v>
      </c>
      <c r="JF48" s="21">
        <f t="shared" si="215"/>
        <v>0</v>
      </c>
      <c r="JG48" s="21">
        <f t="shared" si="216"/>
        <v>0</v>
      </c>
      <c r="JH48" s="21">
        <f t="shared" si="217"/>
        <v>0</v>
      </c>
      <c r="JI48" s="21">
        <f t="shared" si="218"/>
        <v>204.11999999999995</v>
      </c>
      <c r="JJ48" s="21">
        <f t="shared" si="219"/>
        <v>0</v>
      </c>
      <c r="JK48" s="21">
        <f t="shared" si="220"/>
        <v>0</v>
      </c>
      <c r="JL48" s="21">
        <f t="shared" si="221"/>
        <v>0</v>
      </c>
      <c r="JM48" s="21">
        <f t="shared" si="222"/>
        <v>0</v>
      </c>
      <c r="JN48" s="21">
        <f t="shared" si="223"/>
        <v>2.9159999999999999</v>
      </c>
      <c r="JO48" s="35">
        <f t="shared" si="287"/>
        <v>486</v>
      </c>
      <c r="JP48" s="38">
        <f t="shared" si="288"/>
        <v>0</v>
      </c>
      <c r="JQ48" s="43">
        <f t="shared" si="224"/>
        <v>176.81895</v>
      </c>
      <c r="JR48" s="43">
        <f t="shared" si="225"/>
        <v>0</v>
      </c>
      <c r="JS48" s="43">
        <f t="shared" si="226"/>
        <v>0</v>
      </c>
      <c r="JT48" s="43">
        <f t="shared" si="227"/>
        <v>0</v>
      </c>
      <c r="JU48" s="43">
        <f t="shared" si="228"/>
        <v>0</v>
      </c>
      <c r="JV48" s="43">
        <f t="shared" si="229"/>
        <v>0</v>
      </c>
      <c r="JW48" s="43">
        <f t="shared" si="230"/>
        <v>0</v>
      </c>
      <c r="JX48" s="43">
        <f t="shared" si="231"/>
        <v>0</v>
      </c>
      <c r="JY48" s="43">
        <f t="shared" si="232"/>
        <v>337.655304</v>
      </c>
      <c r="JZ48" s="43">
        <f t="shared" si="233"/>
        <v>0</v>
      </c>
      <c r="KA48" s="43">
        <f t="shared" si="234"/>
        <v>0</v>
      </c>
      <c r="KB48" s="43">
        <f t="shared" si="235"/>
        <v>0</v>
      </c>
      <c r="KC48" s="43">
        <f t="shared" si="236"/>
        <v>0</v>
      </c>
      <c r="KD48" s="43">
        <f t="shared" si="237"/>
        <v>0</v>
      </c>
      <c r="KE48" s="43">
        <f t="shared" si="238"/>
        <v>0</v>
      </c>
      <c r="KF48" s="43">
        <f t="shared" si="239"/>
        <v>0</v>
      </c>
      <c r="KG48" s="43">
        <f t="shared" si="240"/>
        <v>0</v>
      </c>
      <c r="KH48" s="43">
        <f t="shared" si="241"/>
        <v>0</v>
      </c>
      <c r="KI48" s="43">
        <f t="shared" si="242"/>
        <v>0</v>
      </c>
      <c r="KJ48" s="43">
        <f t="shared" si="243"/>
        <v>0</v>
      </c>
      <c r="KK48" s="43">
        <f t="shared" si="244"/>
        <v>0</v>
      </c>
      <c r="KL48" s="43">
        <f t="shared" si="245"/>
        <v>0</v>
      </c>
      <c r="KM48" s="43">
        <f t="shared" si="246"/>
        <v>0</v>
      </c>
      <c r="KN48" s="43">
        <f t="shared" si="247"/>
        <v>0</v>
      </c>
      <c r="KO48" s="43">
        <f t="shared" si="248"/>
        <v>0</v>
      </c>
      <c r="KP48" s="43">
        <f t="shared" si="249"/>
        <v>0</v>
      </c>
      <c r="KQ48" s="43">
        <f t="shared" si="250"/>
        <v>0</v>
      </c>
      <c r="KR48" s="43">
        <f t="shared" si="251"/>
        <v>225.11520000000002</v>
      </c>
      <c r="KS48" s="43">
        <f t="shared" si="252"/>
        <v>265.88717777454548</v>
      </c>
      <c r="KT48" s="43">
        <f t="shared" si="253"/>
        <v>0</v>
      </c>
      <c r="KU48" s="43">
        <f t="shared" si="254"/>
        <v>0</v>
      </c>
      <c r="KV48" s="43">
        <f t="shared" si="255"/>
        <v>0</v>
      </c>
      <c r="KW48" s="43">
        <f t="shared" si="256"/>
        <v>0</v>
      </c>
      <c r="KX48" s="43">
        <f t="shared" si="257"/>
        <v>0</v>
      </c>
      <c r="KY48" s="43">
        <f t="shared" si="258"/>
        <v>0</v>
      </c>
      <c r="KZ48" s="43">
        <f t="shared" si="259"/>
        <v>0</v>
      </c>
      <c r="LA48" s="43">
        <f t="shared" si="260"/>
        <v>105.15550895999999</v>
      </c>
      <c r="LB48" s="43">
        <f t="shared" si="261"/>
        <v>0</v>
      </c>
      <c r="LC48" s="43">
        <f t="shared" si="262"/>
        <v>0</v>
      </c>
      <c r="LD48" s="43">
        <f t="shared" si="263"/>
        <v>0</v>
      </c>
      <c r="LE48" s="43">
        <f t="shared" si="264"/>
        <v>0</v>
      </c>
      <c r="LF48" s="43">
        <f t="shared" si="265"/>
        <v>0</v>
      </c>
      <c r="LG48" s="43">
        <f t="shared" si="266"/>
        <v>0</v>
      </c>
      <c r="LH48" s="43">
        <f t="shared" si="267"/>
        <v>0</v>
      </c>
      <c r="LI48" s="43">
        <f t="shared" si="268"/>
        <v>0</v>
      </c>
      <c r="LJ48" s="43">
        <f t="shared" si="269"/>
        <v>0</v>
      </c>
      <c r="LK48" s="43">
        <f t="shared" si="270"/>
        <v>817.65368999999976</v>
      </c>
      <c r="LL48" s="43">
        <f t="shared" si="271"/>
        <v>0</v>
      </c>
      <c r="LM48" s="43">
        <f t="shared" si="272"/>
        <v>0</v>
      </c>
      <c r="LN48" s="43">
        <f t="shared" si="273"/>
        <v>0</v>
      </c>
      <c r="LO48" s="43">
        <f t="shared" si="274"/>
        <v>0</v>
      </c>
      <c r="LP48" s="43">
        <f t="shared" si="275"/>
        <v>24.640199999999997</v>
      </c>
      <c r="LQ48" s="28">
        <f t="shared" si="289"/>
        <v>1952.9260307345451</v>
      </c>
      <c r="LR48" s="65">
        <v>474</v>
      </c>
      <c r="LS48" s="32">
        <f t="shared" si="281"/>
        <v>4.1200971112543145</v>
      </c>
      <c r="LT48" s="26">
        <f t="shared" si="282"/>
        <v>1.1257095932388836</v>
      </c>
      <c r="LU48" s="31">
        <f t="shared" si="290"/>
        <v>12</v>
      </c>
      <c r="LW48" s="42"/>
      <c r="MA48" s="32">
        <f t="shared" si="291"/>
        <v>4.0183663183838378</v>
      </c>
      <c r="MB48" s="26">
        <f t="shared" si="283"/>
        <v>1.0979142946403928</v>
      </c>
    </row>
    <row r="49" spans="1:340" ht="15.75" thickBot="1">
      <c r="A49" t="b">
        <f t="shared" si="285"/>
        <v>1</v>
      </c>
      <c r="B49" s="123" t="s">
        <v>185</v>
      </c>
      <c r="C49" s="39" t="s">
        <v>186</v>
      </c>
      <c r="D49"/>
      <c r="E49" s="97">
        <v>46034</v>
      </c>
      <c r="F49" t="s">
        <v>43</v>
      </c>
      <c r="G49" t="s">
        <v>20</v>
      </c>
      <c r="H49" t="s">
        <v>27</v>
      </c>
      <c r="I49" s="77"/>
      <c r="J49" s="77"/>
      <c r="K49" s="77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  <c r="AB49" s="104"/>
      <c r="AC49" s="104"/>
      <c r="AD49" s="104"/>
      <c r="AE49" s="104"/>
      <c r="AF49" s="124"/>
      <c r="AG49" s="124"/>
      <c r="AH49" s="104"/>
      <c r="AI49" s="104"/>
      <c r="AJ49" s="22">
        <v>0.5</v>
      </c>
      <c r="AK49" s="22"/>
      <c r="AL49" s="22"/>
      <c r="AM49" s="22"/>
      <c r="AN49" s="22"/>
      <c r="AO49" s="104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104"/>
      <c r="BA49" s="104"/>
      <c r="BB49" s="104"/>
      <c r="BC49" s="124">
        <v>0.5</v>
      </c>
      <c r="BD49" s="124"/>
      <c r="BE49" s="104"/>
      <c r="BF49" s="104"/>
      <c r="BG49" s="104"/>
      <c r="BH49" s="104"/>
      <c r="BI49" s="78">
        <f t="shared" si="4"/>
        <v>1</v>
      </c>
      <c r="BJ49" s="105"/>
      <c r="BK49" s="105"/>
      <c r="BL49" s="105"/>
      <c r="BM49" s="105"/>
      <c r="BN49" s="105"/>
      <c r="BO49" s="105"/>
      <c r="BP49" s="105"/>
      <c r="BQ49" s="105"/>
      <c r="BR49" s="105"/>
      <c r="BS49" s="105"/>
      <c r="BT49" s="105"/>
      <c r="BU49" s="105"/>
      <c r="BV49" s="105"/>
      <c r="BW49" s="105"/>
      <c r="BX49" s="105"/>
      <c r="BY49" s="105"/>
      <c r="BZ49" s="105"/>
      <c r="CA49" s="105"/>
      <c r="CB49" s="105"/>
      <c r="CC49" s="105"/>
      <c r="CD49" s="105"/>
      <c r="CE49" s="105"/>
      <c r="CF49" s="120"/>
      <c r="CG49" s="128"/>
      <c r="CH49" s="128"/>
      <c r="CI49" s="105"/>
      <c r="CJ49" s="105"/>
      <c r="CK49" s="105"/>
      <c r="CL49" s="105">
        <v>0.4</v>
      </c>
      <c r="CM49" s="105"/>
      <c r="CN49" s="105"/>
      <c r="CO49" s="105"/>
      <c r="CP49" s="105"/>
      <c r="CQ49" s="105"/>
      <c r="CR49" s="105"/>
      <c r="CS49" s="105"/>
      <c r="CT49" s="105"/>
      <c r="CU49" s="105"/>
      <c r="CV49" s="105"/>
      <c r="CW49" s="105"/>
      <c r="CX49" s="105"/>
      <c r="CY49" s="105"/>
      <c r="CZ49" s="105"/>
      <c r="DA49" s="105"/>
      <c r="DB49" s="105"/>
      <c r="DC49" s="105"/>
      <c r="DD49" s="125">
        <v>0.6</v>
      </c>
      <c r="DE49" s="125"/>
      <c r="DF49" s="105"/>
      <c r="DG49" s="105"/>
      <c r="DH49" s="105"/>
      <c r="DI49" s="105"/>
      <c r="DJ49" s="79">
        <f t="shared" si="286"/>
        <v>1</v>
      </c>
      <c r="DK49" s="108"/>
      <c r="DL49" s="108"/>
      <c r="DM49" s="108"/>
      <c r="DN49" s="108">
        <v>0.84</v>
      </c>
      <c r="DO49" s="108"/>
      <c r="DP49" s="108"/>
      <c r="DQ49" s="108"/>
      <c r="DR49" s="108"/>
      <c r="DS49" s="108"/>
      <c r="DT49" s="108"/>
      <c r="DU49" s="108"/>
      <c r="DV49" s="108"/>
      <c r="DW49" s="108"/>
      <c r="DX49" s="108"/>
      <c r="DY49" s="108"/>
      <c r="DZ49" s="108"/>
      <c r="EA49" s="108"/>
      <c r="EB49" s="108"/>
      <c r="EC49" s="108"/>
      <c r="ED49" s="108"/>
      <c r="EE49" s="108"/>
      <c r="EF49" s="108"/>
      <c r="EG49" s="108"/>
      <c r="EH49" s="129"/>
      <c r="EI49" s="129"/>
      <c r="EJ49" s="108"/>
      <c r="EK49" s="108"/>
      <c r="EL49" s="108"/>
      <c r="EM49" s="108"/>
      <c r="EN49" s="108"/>
      <c r="EO49" s="108"/>
      <c r="EP49" s="108"/>
      <c r="EQ49" s="108"/>
      <c r="ER49" s="108"/>
      <c r="ES49" s="106"/>
      <c r="ET49" s="106"/>
      <c r="EU49" s="106">
        <v>0.13500000000000001</v>
      </c>
      <c r="EV49" s="106"/>
      <c r="EW49" s="106"/>
      <c r="EX49" s="106"/>
      <c r="EY49" s="106"/>
      <c r="EZ49" s="106"/>
      <c r="FA49" s="106">
        <v>5.0000000000000001E-3</v>
      </c>
      <c r="FB49" s="106"/>
      <c r="FC49" s="106"/>
      <c r="FD49" s="106"/>
      <c r="FE49" s="126"/>
      <c r="FF49" s="126"/>
      <c r="FG49" s="106"/>
      <c r="FH49" s="106"/>
      <c r="FI49" s="106"/>
      <c r="FJ49" s="106">
        <v>0.02</v>
      </c>
      <c r="FK49" s="17">
        <f t="shared" si="280"/>
        <v>1</v>
      </c>
      <c r="FL49" s="18"/>
      <c r="FM49" s="19">
        <f t="shared" si="119"/>
        <v>0</v>
      </c>
      <c r="FN49" s="19">
        <f t="shared" si="120"/>
        <v>0</v>
      </c>
      <c r="FO49" s="19">
        <f t="shared" si="121"/>
        <v>0</v>
      </c>
      <c r="FP49" s="19">
        <f t="shared" si="122"/>
        <v>1.26</v>
      </c>
      <c r="FQ49" s="19">
        <f t="shared" si="123"/>
        <v>0</v>
      </c>
      <c r="FR49" s="19">
        <f t="shared" si="124"/>
        <v>0</v>
      </c>
      <c r="FS49" s="19">
        <f t="shared" si="125"/>
        <v>0</v>
      </c>
      <c r="FT49" s="19">
        <f t="shared" si="126"/>
        <v>0</v>
      </c>
      <c r="FU49" s="19">
        <f t="shared" si="127"/>
        <v>0</v>
      </c>
      <c r="FV49" s="19">
        <f t="shared" si="128"/>
        <v>0</v>
      </c>
      <c r="FW49" s="19">
        <f t="shared" si="129"/>
        <v>0</v>
      </c>
      <c r="FX49" s="19">
        <f t="shared" si="130"/>
        <v>0</v>
      </c>
      <c r="FY49" s="19">
        <f t="shared" si="131"/>
        <v>0</v>
      </c>
      <c r="FZ49" s="19">
        <f t="shared" si="132"/>
        <v>0</v>
      </c>
      <c r="GA49" s="19">
        <f t="shared" si="133"/>
        <v>0</v>
      </c>
      <c r="GB49" s="19">
        <f t="shared" si="134"/>
        <v>0</v>
      </c>
      <c r="GC49" s="19">
        <f t="shared" si="135"/>
        <v>0</v>
      </c>
      <c r="GD49" s="19">
        <f t="shared" si="136"/>
        <v>0</v>
      </c>
      <c r="GE49" s="19">
        <f t="shared" si="137"/>
        <v>0</v>
      </c>
      <c r="GF49" s="19">
        <f t="shared" si="138"/>
        <v>0</v>
      </c>
      <c r="GG49" s="19">
        <f t="shared" si="139"/>
        <v>0</v>
      </c>
      <c r="GH49" s="19">
        <f t="shared" si="140"/>
        <v>0</v>
      </c>
      <c r="GI49" s="19">
        <f t="shared" si="141"/>
        <v>0</v>
      </c>
      <c r="GJ49" s="19">
        <f t="shared" si="142"/>
        <v>0</v>
      </c>
      <c r="GK49" s="19">
        <f t="shared" si="143"/>
        <v>0</v>
      </c>
      <c r="GL49" s="19">
        <f t="shared" si="144"/>
        <v>0</v>
      </c>
      <c r="GM49" s="19">
        <f t="shared" si="145"/>
        <v>0</v>
      </c>
      <c r="GN49" s="19">
        <f t="shared" si="146"/>
        <v>0.75</v>
      </c>
      <c r="GO49" s="19">
        <f t="shared" si="147"/>
        <v>0.8</v>
      </c>
      <c r="GP49" s="19">
        <f t="shared" si="148"/>
        <v>0</v>
      </c>
      <c r="GQ49" s="19">
        <f t="shared" si="149"/>
        <v>0</v>
      </c>
      <c r="GR49" s="19">
        <f t="shared" si="150"/>
        <v>0</v>
      </c>
      <c r="GS49" s="19">
        <f t="shared" si="151"/>
        <v>0</v>
      </c>
      <c r="GT49" s="19">
        <f t="shared" si="152"/>
        <v>0</v>
      </c>
      <c r="GU49" s="19">
        <f t="shared" si="153"/>
        <v>0</v>
      </c>
      <c r="GV49" s="19">
        <f t="shared" si="154"/>
        <v>0</v>
      </c>
      <c r="GW49" s="19">
        <f t="shared" si="155"/>
        <v>0.20250000000000001</v>
      </c>
      <c r="GX49" s="19">
        <f t="shared" si="156"/>
        <v>0</v>
      </c>
      <c r="GY49" s="19">
        <f t="shared" si="157"/>
        <v>0</v>
      </c>
      <c r="GZ49" s="19">
        <f t="shared" si="158"/>
        <v>0</v>
      </c>
      <c r="HA49" s="19">
        <f t="shared" si="159"/>
        <v>0</v>
      </c>
      <c r="HB49" s="19">
        <f t="shared" si="160"/>
        <v>0</v>
      </c>
      <c r="HC49" s="19">
        <f t="shared" si="161"/>
        <v>7.4999999999999997E-3</v>
      </c>
      <c r="HD49" s="19">
        <f t="shared" si="162"/>
        <v>0</v>
      </c>
      <c r="HE49" s="19">
        <f t="shared" si="163"/>
        <v>0</v>
      </c>
      <c r="HF49" s="19">
        <f t="shared" si="164"/>
        <v>0</v>
      </c>
      <c r="HG49" s="19">
        <f t="shared" si="165"/>
        <v>1.95</v>
      </c>
      <c r="HH49" s="19">
        <f t="shared" si="166"/>
        <v>0</v>
      </c>
      <c r="HI49" s="19">
        <f t="shared" si="167"/>
        <v>0</v>
      </c>
      <c r="HJ49" s="19">
        <f t="shared" si="168"/>
        <v>0</v>
      </c>
      <c r="HK49" s="19">
        <f t="shared" si="169"/>
        <v>0</v>
      </c>
      <c r="HL49" s="19">
        <f t="shared" si="170"/>
        <v>0.03</v>
      </c>
      <c r="HM49" s="20">
        <f t="shared" si="171"/>
        <v>5</v>
      </c>
      <c r="HN49" s="53">
        <v>679</v>
      </c>
      <c r="HO49" s="21">
        <f t="shared" si="172"/>
        <v>0</v>
      </c>
      <c r="HP49" s="21">
        <f t="shared" si="173"/>
        <v>0</v>
      </c>
      <c r="HQ49" s="21">
        <f t="shared" si="174"/>
        <v>0</v>
      </c>
      <c r="HR49" s="21">
        <f t="shared" si="175"/>
        <v>171.108</v>
      </c>
      <c r="HS49" s="21">
        <f t="shared" si="176"/>
        <v>0</v>
      </c>
      <c r="HT49" s="69">
        <f t="shared" si="177"/>
        <v>0</v>
      </c>
      <c r="HU49" s="21">
        <f t="shared" si="178"/>
        <v>0</v>
      </c>
      <c r="HV49" s="21">
        <f t="shared" si="179"/>
        <v>0</v>
      </c>
      <c r="HW49" s="21">
        <f t="shared" si="180"/>
        <v>0</v>
      </c>
      <c r="HX49" s="21">
        <f t="shared" si="181"/>
        <v>0</v>
      </c>
      <c r="HY49" s="21">
        <f t="shared" si="182"/>
        <v>0</v>
      </c>
      <c r="HZ49" s="21">
        <f t="shared" si="183"/>
        <v>0</v>
      </c>
      <c r="IA49" s="21">
        <f t="shared" si="184"/>
        <v>0</v>
      </c>
      <c r="IB49" s="21">
        <f t="shared" si="185"/>
        <v>0</v>
      </c>
      <c r="IC49" s="21">
        <f t="shared" si="186"/>
        <v>0</v>
      </c>
      <c r="ID49" s="21">
        <f t="shared" si="187"/>
        <v>0</v>
      </c>
      <c r="IE49" s="21">
        <f t="shared" si="188"/>
        <v>0</v>
      </c>
      <c r="IF49" s="69">
        <f t="shared" si="189"/>
        <v>0</v>
      </c>
      <c r="IG49" s="69">
        <f t="shared" si="190"/>
        <v>0</v>
      </c>
      <c r="IH49" s="69">
        <f t="shared" si="191"/>
        <v>0</v>
      </c>
      <c r="II49" s="21">
        <f t="shared" si="192"/>
        <v>0</v>
      </c>
      <c r="IJ49" s="21">
        <f t="shared" si="193"/>
        <v>0</v>
      </c>
      <c r="IK49" s="21">
        <f t="shared" si="194"/>
        <v>0</v>
      </c>
      <c r="IL49" s="21">
        <f t="shared" si="195"/>
        <v>0</v>
      </c>
      <c r="IM49" s="21">
        <f t="shared" si="196"/>
        <v>0</v>
      </c>
      <c r="IN49" s="21">
        <f t="shared" si="197"/>
        <v>0</v>
      </c>
      <c r="IO49" s="21">
        <f t="shared" si="198"/>
        <v>0</v>
      </c>
      <c r="IP49" s="21">
        <f t="shared" si="199"/>
        <v>101.85</v>
      </c>
      <c r="IQ49" s="21">
        <f t="shared" si="200"/>
        <v>108.64000000000001</v>
      </c>
      <c r="IR49" s="21">
        <f t="shared" si="201"/>
        <v>0</v>
      </c>
      <c r="IS49" s="21">
        <f t="shared" si="202"/>
        <v>0</v>
      </c>
      <c r="IT49" s="21">
        <f t="shared" si="203"/>
        <v>0</v>
      </c>
      <c r="IU49" s="21">
        <f t="shared" si="204"/>
        <v>0</v>
      </c>
      <c r="IV49" s="21">
        <f t="shared" si="205"/>
        <v>0</v>
      </c>
      <c r="IW49" s="21">
        <f t="shared" si="206"/>
        <v>0</v>
      </c>
      <c r="IX49" s="21">
        <f t="shared" si="207"/>
        <v>0</v>
      </c>
      <c r="IY49" s="21">
        <f t="shared" si="208"/>
        <v>27.499500000000001</v>
      </c>
      <c r="IZ49" s="21">
        <f t="shared" si="209"/>
        <v>0</v>
      </c>
      <c r="JA49" s="21">
        <f t="shared" si="210"/>
        <v>0</v>
      </c>
      <c r="JB49" s="21">
        <f t="shared" si="211"/>
        <v>0</v>
      </c>
      <c r="JC49" s="21">
        <f t="shared" si="212"/>
        <v>0</v>
      </c>
      <c r="JD49" s="21">
        <f t="shared" si="213"/>
        <v>0</v>
      </c>
      <c r="JE49" s="21">
        <f t="shared" si="214"/>
        <v>1.0185</v>
      </c>
      <c r="JF49" s="21">
        <f t="shared" si="215"/>
        <v>0</v>
      </c>
      <c r="JG49" s="21">
        <f t="shared" si="216"/>
        <v>0</v>
      </c>
      <c r="JH49" s="21">
        <f t="shared" si="217"/>
        <v>0</v>
      </c>
      <c r="JI49" s="21">
        <f t="shared" si="218"/>
        <v>264.81</v>
      </c>
      <c r="JJ49" s="21">
        <f t="shared" si="219"/>
        <v>0</v>
      </c>
      <c r="JK49" s="21">
        <f t="shared" si="220"/>
        <v>0</v>
      </c>
      <c r="JL49" s="21">
        <f t="shared" si="221"/>
        <v>0</v>
      </c>
      <c r="JM49" s="21">
        <f t="shared" si="222"/>
        <v>0</v>
      </c>
      <c r="JN49" s="21">
        <f t="shared" si="223"/>
        <v>4.0739999999999998</v>
      </c>
      <c r="JO49" s="35">
        <f t="shared" si="287"/>
        <v>678.99999999999989</v>
      </c>
      <c r="JP49" s="38">
        <f t="shared" si="288"/>
        <v>0</v>
      </c>
      <c r="JQ49" s="43">
        <f t="shared" si="224"/>
        <v>0</v>
      </c>
      <c r="JR49" s="43">
        <f t="shared" si="225"/>
        <v>0</v>
      </c>
      <c r="JS49" s="43">
        <f t="shared" si="226"/>
        <v>0</v>
      </c>
      <c r="JT49" s="43">
        <f t="shared" si="227"/>
        <v>735.92181936000009</v>
      </c>
      <c r="JU49" s="43">
        <f t="shared" si="228"/>
        <v>0</v>
      </c>
      <c r="JV49" s="43">
        <f t="shared" si="229"/>
        <v>0</v>
      </c>
      <c r="JW49" s="43">
        <f t="shared" si="230"/>
        <v>0</v>
      </c>
      <c r="JX49" s="43">
        <f t="shared" si="231"/>
        <v>0</v>
      </c>
      <c r="JY49" s="43">
        <f t="shared" si="232"/>
        <v>0</v>
      </c>
      <c r="JZ49" s="43">
        <f t="shared" si="233"/>
        <v>0</v>
      </c>
      <c r="KA49" s="43">
        <f t="shared" si="234"/>
        <v>0</v>
      </c>
      <c r="KB49" s="43">
        <f t="shared" si="235"/>
        <v>0</v>
      </c>
      <c r="KC49" s="43">
        <f t="shared" si="236"/>
        <v>0</v>
      </c>
      <c r="KD49" s="43">
        <f t="shared" si="237"/>
        <v>0</v>
      </c>
      <c r="KE49" s="43">
        <f t="shared" si="238"/>
        <v>0</v>
      </c>
      <c r="KF49" s="43">
        <f t="shared" si="239"/>
        <v>0</v>
      </c>
      <c r="KG49" s="43">
        <f t="shared" si="240"/>
        <v>0</v>
      </c>
      <c r="KH49" s="43">
        <f t="shared" si="241"/>
        <v>0</v>
      </c>
      <c r="KI49" s="43">
        <f t="shared" si="242"/>
        <v>0</v>
      </c>
      <c r="KJ49" s="43">
        <f t="shared" si="243"/>
        <v>0</v>
      </c>
      <c r="KK49" s="43">
        <f t="shared" si="244"/>
        <v>0</v>
      </c>
      <c r="KL49" s="43">
        <f t="shared" si="245"/>
        <v>0</v>
      </c>
      <c r="KM49" s="43">
        <f t="shared" si="246"/>
        <v>0</v>
      </c>
      <c r="KN49" s="43">
        <f t="shared" si="247"/>
        <v>0</v>
      </c>
      <c r="KO49" s="43">
        <f t="shared" si="248"/>
        <v>0</v>
      </c>
      <c r="KP49" s="43">
        <f t="shared" si="249"/>
        <v>0</v>
      </c>
      <c r="KQ49" s="43">
        <f t="shared" si="250"/>
        <v>0</v>
      </c>
      <c r="KR49" s="43">
        <f t="shared" si="251"/>
        <v>393.14099999999996</v>
      </c>
      <c r="KS49" s="43">
        <f t="shared" si="252"/>
        <v>371.47611874262628</v>
      </c>
      <c r="KT49" s="43">
        <f t="shared" si="253"/>
        <v>0</v>
      </c>
      <c r="KU49" s="43">
        <f t="shared" si="254"/>
        <v>0</v>
      </c>
      <c r="KV49" s="43">
        <f t="shared" si="255"/>
        <v>0</v>
      </c>
      <c r="KW49" s="43">
        <f t="shared" si="256"/>
        <v>0</v>
      </c>
      <c r="KX49" s="43">
        <f t="shared" si="257"/>
        <v>0</v>
      </c>
      <c r="KY49" s="43">
        <f t="shared" si="258"/>
        <v>0</v>
      </c>
      <c r="KZ49" s="43">
        <f t="shared" si="259"/>
        <v>0</v>
      </c>
      <c r="LA49" s="43">
        <f t="shared" si="260"/>
        <v>110.18609658</v>
      </c>
      <c r="LB49" s="43">
        <f t="shared" si="261"/>
        <v>0</v>
      </c>
      <c r="LC49" s="43">
        <f t="shared" si="262"/>
        <v>0</v>
      </c>
      <c r="LD49" s="43">
        <f t="shared" si="263"/>
        <v>0</v>
      </c>
      <c r="LE49" s="43">
        <f t="shared" si="264"/>
        <v>0</v>
      </c>
      <c r="LF49" s="43">
        <f t="shared" si="265"/>
        <v>0</v>
      </c>
      <c r="LG49" s="43">
        <f t="shared" si="266"/>
        <v>10.51092</v>
      </c>
      <c r="LH49" s="43">
        <f t="shared" si="267"/>
        <v>0</v>
      </c>
      <c r="LI49" s="43">
        <f t="shared" si="268"/>
        <v>0</v>
      </c>
      <c r="LJ49" s="43">
        <f t="shared" si="269"/>
        <v>0</v>
      </c>
      <c r="LK49" s="43">
        <f t="shared" si="270"/>
        <v>1060.7626574999999</v>
      </c>
      <c r="LL49" s="43">
        <f t="shared" si="271"/>
        <v>0</v>
      </c>
      <c r="LM49" s="43">
        <f t="shared" si="272"/>
        <v>0</v>
      </c>
      <c r="LN49" s="43">
        <f t="shared" si="273"/>
        <v>0</v>
      </c>
      <c r="LO49" s="43">
        <f t="shared" si="274"/>
        <v>0</v>
      </c>
      <c r="LP49" s="43">
        <f t="shared" si="275"/>
        <v>34.425299999999993</v>
      </c>
      <c r="LQ49" s="28">
        <f t="shared" si="289"/>
        <v>2716.4239121826258</v>
      </c>
      <c r="LR49" s="65">
        <v>616</v>
      </c>
      <c r="LS49" s="32">
        <f t="shared" si="281"/>
        <v>4.4097790782185484</v>
      </c>
      <c r="LT49" s="26">
        <f t="shared" si="282"/>
        <v>1.2048576716444122</v>
      </c>
      <c r="LU49" s="31">
        <f t="shared" si="290"/>
        <v>63</v>
      </c>
      <c r="LW49" s="42"/>
      <c r="MA49" s="32">
        <f t="shared" si="291"/>
        <v>4.0006243183838386</v>
      </c>
      <c r="MB49" s="26">
        <f t="shared" si="283"/>
        <v>1.0930667536567864</v>
      </c>
    </row>
    <row r="50" spans="1:340" ht="15.75" thickBot="1">
      <c r="A50" t="b">
        <f t="shared" si="285"/>
        <v>1</v>
      </c>
      <c r="B50" s="123" t="s">
        <v>187</v>
      </c>
      <c r="C50" s="39" t="s">
        <v>188</v>
      </c>
      <c r="D50"/>
      <c r="E50" s="97">
        <v>46030</v>
      </c>
      <c r="F50" t="s">
        <v>43</v>
      </c>
      <c r="G50" t="s">
        <v>20</v>
      </c>
      <c r="H50" t="s">
        <v>27</v>
      </c>
      <c r="I50" s="77"/>
      <c r="J50" s="77"/>
      <c r="K50" s="77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  <c r="AB50" s="104"/>
      <c r="AC50" s="104"/>
      <c r="AD50" s="104"/>
      <c r="AE50" s="104"/>
      <c r="AF50" s="124"/>
      <c r="AG50" s="124"/>
      <c r="AH50" s="104"/>
      <c r="AI50" s="104"/>
      <c r="AJ50" s="22">
        <v>0.3</v>
      </c>
      <c r="AK50" s="22"/>
      <c r="AL50" s="22"/>
      <c r="AM50" s="22"/>
      <c r="AN50" s="104"/>
      <c r="AO50" s="104"/>
      <c r="AP50" s="22"/>
      <c r="AQ50" s="22"/>
      <c r="AR50" s="22"/>
      <c r="AS50" s="22"/>
      <c r="AT50" s="22"/>
      <c r="AU50" s="22"/>
      <c r="AV50" s="22"/>
      <c r="AW50" s="22"/>
      <c r="AX50" s="22"/>
      <c r="AY50" s="104"/>
      <c r="AZ50" s="104"/>
      <c r="BA50" s="104"/>
      <c r="BB50" s="104"/>
      <c r="BC50" s="124"/>
      <c r="BD50" s="124"/>
      <c r="BE50" s="104"/>
      <c r="BF50" s="104"/>
      <c r="BG50" s="104">
        <v>0.7</v>
      </c>
      <c r="BH50" s="104"/>
      <c r="BI50" s="78">
        <f t="shared" si="4"/>
        <v>1</v>
      </c>
      <c r="BJ50" s="105"/>
      <c r="BK50" s="105"/>
      <c r="BL50" s="105"/>
      <c r="BM50" s="105"/>
      <c r="BN50" s="105"/>
      <c r="BO50" s="105"/>
      <c r="BP50" s="105"/>
      <c r="BQ50" s="105"/>
      <c r="BR50" s="105"/>
      <c r="BS50" s="105"/>
      <c r="BT50" s="105"/>
      <c r="BU50" s="105"/>
      <c r="BV50" s="105"/>
      <c r="BW50" s="105"/>
      <c r="BX50" s="105"/>
      <c r="BY50" s="105"/>
      <c r="BZ50" s="105"/>
      <c r="CA50" s="105"/>
      <c r="CB50" s="105"/>
      <c r="CC50" s="105"/>
      <c r="CD50" s="105"/>
      <c r="CE50" s="105"/>
      <c r="CF50" s="120"/>
      <c r="CG50" s="128"/>
      <c r="CH50" s="128"/>
      <c r="CI50" s="105"/>
      <c r="CJ50" s="105"/>
      <c r="CK50" s="105"/>
      <c r="CL50" s="105">
        <v>0.3</v>
      </c>
      <c r="CM50" s="105"/>
      <c r="CN50" s="105"/>
      <c r="CO50" s="105"/>
      <c r="CP50" s="105"/>
      <c r="CQ50" s="105"/>
      <c r="CR50" s="105"/>
      <c r="CS50" s="105"/>
      <c r="CT50" s="105"/>
      <c r="CU50" s="105"/>
      <c r="CV50" s="105"/>
      <c r="CW50" s="105"/>
      <c r="CX50" s="105"/>
      <c r="CY50" s="105"/>
      <c r="CZ50" s="105"/>
      <c r="DA50" s="105"/>
      <c r="DB50" s="105"/>
      <c r="DC50" s="105"/>
      <c r="DD50" s="125"/>
      <c r="DE50" s="125"/>
      <c r="DF50" s="105"/>
      <c r="DG50" s="105"/>
      <c r="DH50" s="105">
        <v>0.7</v>
      </c>
      <c r="DI50" s="105"/>
      <c r="DJ50" s="79">
        <f t="shared" si="286"/>
        <v>1</v>
      </c>
      <c r="DK50" s="108"/>
      <c r="DL50" s="108"/>
      <c r="DM50" s="108"/>
      <c r="DN50" s="108"/>
      <c r="DO50" s="108"/>
      <c r="DP50" s="108"/>
      <c r="DQ50" s="108"/>
      <c r="DR50" s="108"/>
      <c r="DS50" s="108"/>
      <c r="DT50" s="108"/>
      <c r="DU50" s="108"/>
      <c r="DV50" s="108"/>
      <c r="DW50" s="108"/>
      <c r="DX50" s="108"/>
      <c r="DY50" s="108"/>
      <c r="DZ50" s="108"/>
      <c r="EA50" s="108">
        <v>0.92</v>
      </c>
      <c r="EB50" s="108"/>
      <c r="EC50" s="108"/>
      <c r="ED50" s="108"/>
      <c r="EE50" s="108"/>
      <c r="EF50" s="108"/>
      <c r="EG50" s="108"/>
      <c r="EH50" s="129"/>
      <c r="EI50" s="129"/>
      <c r="EJ50" s="108"/>
      <c r="EK50" s="108"/>
      <c r="EL50" s="108"/>
      <c r="EM50" s="108"/>
      <c r="EN50" s="108"/>
      <c r="EO50" s="108"/>
      <c r="EP50" s="108"/>
      <c r="EQ50" s="108"/>
      <c r="ER50" s="108"/>
      <c r="ES50" s="106"/>
      <c r="ET50" s="106"/>
      <c r="EU50" s="106">
        <v>5.5E-2</v>
      </c>
      <c r="EV50" s="106"/>
      <c r="EW50" s="106"/>
      <c r="EX50" s="106"/>
      <c r="EY50" s="106"/>
      <c r="EZ50" s="106"/>
      <c r="FA50" s="106">
        <v>5.0000000000000001E-3</v>
      </c>
      <c r="FB50" s="106"/>
      <c r="FC50" s="106"/>
      <c r="FD50" s="106"/>
      <c r="FE50" s="126"/>
      <c r="FF50" s="126"/>
      <c r="FG50" s="106"/>
      <c r="FH50" s="106"/>
      <c r="FI50" s="106"/>
      <c r="FJ50" s="106">
        <v>0.02</v>
      </c>
      <c r="FK50" s="17">
        <f t="shared" si="280"/>
        <v>1</v>
      </c>
      <c r="FL50" s="18"/>
      <c r="FM50" s="19">
        <f t="shared" si="119"/>
        <v>0</v>
      </c>
      <c r="FN50" s="19">
        <f t="shared" si="120"/>
        <v>0</v>
      </c>
      <c r="FO50" s="19">
        <f t="shared" si="121"/>
        <v>0</v>
      </c>
      <c r="FP50" s="19">
        <f t="shared" si="122"/>
        <v>0</v>
      </c>
      <c r="FQ50" s="19">
        <f t="shared" si="123"/>
        <v>0</v>
      </c>
      <c r="FR50" s="19">
        <f t="shared" si="124"/>
        <v>0</v>
      </c>
      <c r="FS50" s="19">
        <f t="shared" si="125"/>
        <v>0</v>
      </c>
      <c r="FT50" s="19">
        <f t="shared" si="126"/>
        <v>0</v>
      </c>
      <c r="FU50" s="19">
        <f t="shared" si="127"/>
        <v>0</v>
      </c>
      <c r="FV50" s="19">
        <f t="shared" si="128"/>
        <v>0</v>
      </c>
      <c r="FW50" s="19">
        <f t="shared" si="129"/>
        <v>0</v>
      </c>
      <c r="FX50" s="19">
        <f t="shared" si="130"/>
        <v>0</v>
      </c>
      <c r="FY50" s="19">
        <f t="shared" si="131"/>
        <v>0</v>
      </c>
      <c r="FZ50" s="19">
        <f t="shared" si="132"/>
        <v>0</v>
      </c>
      <c r="GA50" s="19">
        <f t="shared" si="133"/>
        <v>0</v>
      </c>
      <c r="GB50" s="19">
        <f t="shared" si="134"/>
        <v>0</v>
      </c>
      <c r="GC50" s="19">
        <f t="shared" si="135"/>
        <v>1.3800000000000001</v>
      </c>
      <c r="GD50" s="19">
        <f t="shared" si="136"/>
        <v>0</v>
      </c>
      <c r="GE50" s="19">
        <f t="shared" si="137"/>
        <v>0</v>
      </c>
      <c r="GF50" s="19">
        <f t="shared" si="138"/>
        <v>0</v>
      </c>
      <c r="GG50" s="19">
        <f t="shared" si="139"/>
        <v>0</v>
      </c>
      <c r="GH50" s="19">
        <f t="shared" si="140"/>
        <v>0</v>
      </c>
      <c r="GI50" s="19">
        <f t="shared" si="141"/>
        <v>0</v>
      </c>
      <c r="GJ50" s="19">
        <f t="shared" si="142"/>
        <v>0</v>
      </c>
      <c r="GK50" s="19">
        <f t="shared" si="143"/>
        <v>0</v>
      </c>
      <c r="GL50" s="19">
        <f t="shared" si="144"/>
        <v>0</v>
      </c>
      <c r="GM50" s="19">
        <f t="shared" si="145"/>
        <v>0</v>
      </c>
      <c r="GN50" s="19">
        <f t="shared" si="146"/>
        <v>0.44999999999999996</v>
      </c>
      <c r="GO50" s="19">
        <f t="shared" si="147"/>
        <v>0.6</v>
      </c>
      <c r="GP50" s="19">
        <f t="shared" si="148"/>
        <v>0</v>
      </c>
      <c r="GQ50" s="19">
        <f t="shared" si="149"/>
        <v>0</v>
      </c>
      <c r="GR50" s="19">
        <f t="shared" si="150"/>
        <v>0</v>
      </c>
      <c r="GS50" s="19">
        <f t="shared" si="151"/>
        <v>0</v>
      </c>
      <c r="GT50" s="19">
        <f t="shared" si="152"/>
        <v>0</v>
      </c>
      <c r="GU50" s="19">
        <f t="shared" si="153"/>
        <v>0</v>
      </c>
      <c r="GV50" s="19">
        <f t="shared" si="154"/>
        <v>0</v>
      </c>
      <c r="GW50" s="19">
        <f t="shared" si="155"/>
        <v>8.2500000000000004E-2</v>
      </c>
      <c r="GX50" s="19">
        <f t="shared" si="156"/>
        <v>0</v>
      </c>
      <c r="GY50" s="19">
        <f t="shared" si="157"/>
        <v>0</v>
      </c>
      <c r="GZ50" s="19">
        <f t="shared" si="158"/>
        <v>0</v>
      </c>
      <c r="HA50" s="19">
        <f t="shared" si="159"/>
        <v>0</v>
      </c>
      <c r="HB50" s="19">
        <f t="shared" si="160"/>
        <v>0</v>
      </c>
      <c r="HC50" s="19">
        <f t="shared" si="161"/>
        <v>7.4999999999999997E-3</v>
      </c>
      <c r="HD50" s="19">
        <f t="shared" si="162"/>
        <v>0</v>
      </c>
      <c r="HE50" s="19">
        <f t="shared" si="163"/>
        <v>0</v>
      </c>
      <c r="HF50" s="19">
        <f t="shared" si="164"/>
        <v>0</v>
      </c>
      <c r="HG50" s="19">
        <f t="shared" si="165"/>
        <v>0</v>
      </c>
      <c r="HH50" s="19">
        <f t="shared" si="166"/>
        <v>0</v>
      </c>
      <c r="HI50" s="19">
        <f t="shared" si="167"/>
        <v>0</v>
      </c>
      <c r="HJ50" s="19">
        <f t="shared" si="168"/>
        <v>0</v>
      </c>
      <c r="HK50" s="19">
        <f t="shared" si="169"/>
        <v>2.4499999999999997</v>
      </c>
      <c r="HL50" s="19">
        <f t="shared" si="170"/>
        <v>0.03</v>
      </c>
      <c r="HM50" s="20">
        <f t="shared" si="171"/>
        <v>5</v>
      </c>
      <c r="HN50" s="53">
        <v>751</v>
      </c>
      <c r="HO50" s="21">
        <f t="shared" si="172"/>
        <v>0</v>
      </c>
      <c r="HP50" s="21">
        <f t="shared" si="173"/>
        <v>0</v>
      </c>
      <c r="HQ50" s="21">
        <f t="shared" si="174"/>
        <v>0</v>
      </c>
      <c r="HR50" s="21">
        <f t="shared" si="175"/>
        <v>0</v>
      </c>
      <c r="HS50" s="21">
        <f t="shared" si="176"/>
        <v>0</v>
      </c>
      <c r="HT50" s="69">
        <f t="shared" si="177"/>
        <v>0</v>
      </c>
      <c r="HU50" s="21">
        <f t="shared" si="178"/>
        <v>0</v>
      </c>
      <c r="HV50" s="21">
        <f t="shared" si="179"/>
        <v>0</v>
      </c>
      <c r="HW50" s="21">
        <f t="shared" si="180"/>
        <v>0</v>
      </c>
      <c r="HX50" s="21">
        <f t="shared" si="181"/>
        <v>0</v>
      </c>
      <c r="HY50" s="21">
        <f t="shared" si="182"/>
        <v>0</v>
      </c>
      <c r="HZ50" s="21">
        <f t="shared" si="183"/>
        <v>0</v>
      </c>
      <c r="IA50" s="21">
        <f t="shared" si="184"/>
        <v>0</v>
      </c>
      <c r="IB50" s="21">
        <f t="shared" si="185"/>
        <v>0</v>
      </c>
      <c r="IC50" s="21">
        <f t="shared" si="186"/>
        <v>0</v>
      </c>
      <c r="ID50" s="21">
        <f t="shared" si="187"/>
        <v>0</v>
      </c>
      <c r="IE50" s="21">
        <f t="shared" si="188"/>
        <v>207.27600000000001</v>
      </c>
      <c r="IF50" s="69">
        <f t="shared" si="189"/>
        <v>0</v>
      </c>
      <c r="IG50" s="69">
        <f t="shared" si="190"/>
        <v>0</v>
      </c>
      <c r="IH50" s="69">
        <f t="shared" si="191"/>
        <v>0</v>
      </c>
      <c r="II50" s="21">
        <f t="shared" si="192"/>
        <v>0</v>
      </c>
      <c r="IJ50" s="21">
        <f t="shared" si="193"/>
        <v>0</v>
      </c>
      <c r="IK50" s="21">
        <f t="shared" si="194"/>
        <v>0</v>
      </c>
      <c r="IL50" s="21">
        <f t="shared" si="195"/>
        <v>0</v>
      </c>
      <c r="IM50" s="21">
        <f t="shared" si="196"/>
        <v>0</v>
      </c>
      <c r="IN50" s="21">
        <f t="shared" si="197"/>
        <v>0</v>
      </c>
      <c r="IO50" s="21">
        <f t="shared" si="198"/>
        <v>0</v>
      </c>
      <c r="IP50" s="21">
        <f t="shared" si="199"/>
        <v>67.59</v>
      </c>
      <c r="IQ50" s="21">
        <f t="shared" si="200"/>
        <v>90.11999999999999</v>
      </c>
      <c r="IR50" s="21">
        <f t="shared" si="201"/>
        <v>0</v>
      </c>
      <c r="IS50" s="21">
        <f t="shared" si="202"/>
        <v>0</v>
      </c>
      <c r="IT50" s="21">
        <f t="shared" si="203"/>
        <v>0</v>
      </c>
      <c r="IU50" s="21">
        <f t="shared" si="204"/>
        <v>0</v>
      </c>
      <c r="IV50" s="21">
        <f t="shared" si="205"/>
        <v>0</v>
      </c>
      <c r="IW50" s="21">
        <f t="shared" si="206"/>
        <v>0</v>
      </c>
      <c r="IX50" s="21">
        <f t="shared" si="207"/>
        <v>0</v>
      </c>
      <c r="IY50" s="21">
        <f t="shared" si="208"/>
        <v>12.391500000000001</v>
      </c>
      <c r="IZ50" s="21">
        <f t="shared" si="209"/>
        <v>0</v>
      </c>
      <c r="JA50" s="21">
        <f t="shared" si="210"/>
        <v>0</v>
      </c>
      <c r="JB50" s="21">
        <f t="shared" si="211"/>
        <v>0</v>
      </c>
      <c r="JC50" s="21">
        <f t="shared" si="212"/>
        <v>0</v>
      </c>
      <c r="JD50" s="21">
        <f t="shared" si="213"/>
        <v>0</v>
      </c>
      <c r="JE50" s="21">
        <f t="shared" si="214"/>
        <v>1.1264999999999998</v>
      </c>
      <c r="JF50" s="21">
        <f t="shared" si="215"/>
        <v>0</v>
      </c>
      <c r="JG50" s="21">
        <f t="shared" si="216"/>
        <v>0</v>
      </c>
      <c r="JH50" s="21">
        <f t="shared" si="217"/>
        <v>0</v>
      </c>
      <c r="JI50" s="21">
        <f t="shared" si="218"/>
        <v>0</v>
      </c>
      <c r="JJ50" s="21">
        <f t="shared" si="219"/>
        <v>0</v>
      </c>
      <c r="JK50" s="21">
        <f t="shared" si="220"/>
        <v>0</v>
      </c>
      <c r="JL50" s="21">
        <f t="shared" si="221"/>
        <v>0</v>
      </c>
      <c r="JM50" s="21">
        <f t="shared" si="222"/>
        <v>367.98999999999995</v>
      </c>
      <c r="JN50" s="21">
        <f t="shared" si="223"/>
        <v>4.5059999999999993</v>
      </c>
      <c r="JO50" s="35">
        <f t="shared" si="287"/>
        <v>750.99999999999989</v>
      </c>
      <c r="JP50" s="38">
        <f t="shared" si="288"/>
        <v>0</v>
      </c>
      <c r="JQ50" s="43">
        <f t="shared" si="224"/>
        <v>0</v>
      </c>
      <c r="JR50" s="43">
        <f t="shared" si="225"/>
        <v>0</v>
      </c>
      <c r="JS50" s="43">
        <f t="shared" si="226"/>
        <v>0</v>
      </c>
      <c r="JT50" s="43">
        <f t="shared" si="227"/>
        <v>0</v>
      </c>
      <c r="JU50" s="43">
        <f t="shared" si="228"/>
        <v>0</v>
      </c>
      <c r="JV50" s="43">
        <f t="shared" si="229"/>
        <v>0</v>
      </c>
      <c r="JW50" s="43">
        <f t="shared" si="230"/>
        <v>0</v>
      </c>
      <c r="JX50" s="43">
        <f t="shared" si="231"/>
        <v>0</v>
      </c>
      <c r="JY50" s="43">
        <f t="shared" si="232"/>
        <v>0</v>
      </c>
      <c r="JZ50" s="43">
        <f t="shared" si="233"/>
        <v>0</v>
      </c>
      <c r="KA50" s="43">
        <f t="shared" si="234"/>
        <v>0</v>
      </c>
      <c r="KB50" s="43">
        <f t="shared" si="235"/>
        <v>0</v>
      </c>
      <c r="KC50" s="43">
        <f t="shared" si="236"/>
        <v>0</v>
      </c>
      <c r="KD50" s="43">
        <f t="shared" si="237"/>
        <v>0</v>
      </c>
      <c r="KE50" s="43">
        <f t="shared" si="238"/>
        <v>0</v>
      </c>
      <c r="KF50" s="43">
        <f t="shared" si="239"/>
        <v>0</v>
      </c>
      <c r="KG50" s="43">
        <f t="shared" si="240"/>
        <v>860.17985639369704</v>
      </c>
      <c r="KH50" s="43">
        <f t="shared" si="241"/>
        <v>0</v>
      </c>
      <c r="KI50" s="43">
        <f t="shared" si="242"/>
        <v>0</v>
      </c>
      <c r="KJ50" s="43">
        <f t="shared" si="243"/>
        <v>0</v>
      </c>
      <c r="KK50" s="43">
        <f t="shared" si="244"/>
        <v>0</v>
      </c>
      <c r="KL50" s="43">
        <f t="shared" si="245"/>
        <v>0</v>
      </c>
      <c r="KM50" s="43">
        <f t="shared" si="246"/>
        <v>0</v>
      </c>
      <c r="KN50" s="43">
        <f t="shared" si="247"/>
        <v>0</v>
      </c>
      <c r="KO50" s="43">
        <f t="shared" si="248"/>
        <v>0</v>
      </c>
      <c r="KP50" s="43">
        <f t="shared" si="249"/>
        <v>0</v>
      </c>
      <c r="KQ50" s="43">
        <f t="shared" si="250"/>
        <v>0</v>
      </c>
      <c r="KR50" s="43">
        <f t="shared" si="251"/>
        <v>260.8974</v>
      </c>
      <c r="KS50" s="43">
        <f t="shared" si="252"/>
        <v>308.15010880969692</v>
      </c>
      <c r="KT50" s="43">
        <f t="shared" si="253"/>
        <v>0</v>
      </c>
      <c r="KU50" s="43">
        <f t="shared" si="254"/>
        <v>0</v>
      </c>
      <c r="KV50" s="43">
        <f t="shared" si="255"/>
        <v>0</v>
      </c>
      <c r="KW50" s="43">
        <f t="shared" si="256"/>
        <v>0</v>
      </c>
      <c r="KX50" s="43">
        <f t="shared" si="257"/>
        <v>0</v>
      </c>
      <c r="KY50" s="43">
        <f t="shared" si="258"/>
        <v>0</v>
      </c>
      <c r="KZ50" s="43">
        <f t="shared" si="259"/>
        <v>0</v>
      </c>
      <c r="LA50" s="43">
        <f t="shared" si="260"/>
        <v>49.650757859999999</v>
      </c>
      <c r="LB50" s="43">
        <f t="shared" si="261"/>
        <v>0</v>
      </c>
      <c r="LC50" s="43">
        <f t="shared" si="262"/>
        <v>0</v>
      </c>
      <c r="LD50" s="43">
        <f t="shared" si="263"/>
        <v>0</v>
      </c>
      <c r="LE50" s="43">
        <f t="shared" si="264"/>
        <v>0</v>
      </c>
      <c r="LF50" s="43">
        <f t="shared" si="265"/>
        <v>0</v>
      </c>
      <c r="LG50" s="43">
        <f t="shared" si="266"/>
        <v>11.625479999999998</v>
      </c>
      <c r="LH50" s="43">
        <f t="shared" si="267"/>
        <v>0</v>
      </c>
      <c r="LI50" s="43">
        <f t="shared" si="268"/>
        <v>0</v>
      </c>
      <c r="LJ50" s="43">
        <f t="shared" si="269"/>
        <v>0</v>
      </c>
      <c r="LK50" s="43">
        <f t="shared" si="270"/>
        <v>0</v>
      </c>
      <c r="LL50" s="43">
        <f t="shared" si="271"/>
        <v>0</v>
      </c>
      <c r="LM50" s="43">
        <f t="shared" si="272"/>
        <v>0</v>
      </c>
      <c r="LN50" s="43">
        <f t="shared" si="273"/>
        <v>0</v>
      </c>
      <c r="LO50" s="43">
        <f t="shared" si="274"/>
        <v>1636.8048003999997</v>
      </c>
      <c r="LP50" s="43">
        <f t="shared" si="275"/>
        <v>38.075699999999991</v>
      </c>
      <c r="LQ50" s="28">
        <f t="shared" si="289"/>
        <v>3165.3841034633938</v>
      </c>
      <c r="LR50" s="65">
        <v>700</v>
      </c>
      <c r="LS50" s="32">
        <f t="shared" si="281"/>
        <v>4.5219772906619911</v>
      </c>
      <c r="LT50" s="26">
        <f t="shared" si="282"/>
        <v>1.235512920945899</v>
      </c>
      <c r="LU50" s="31">
        <f t="shared" si="290"/>
        <v>51</v>
      </c>
      <c r="LW50" s="42"/>
      <c r="MA50" s="32">
        <f t="shared" si="291"/>
        <v>4.2148922815757581</v>
      </c>
      <c r="MB50" s="26">
        <f t="shared" si="283"/>
        <v>1.1516099129988411</v>
      </c>
    </row>
    <row r="51" spans="1:340" ht="15.75" thickBot="1">
      <c r="A51" t="b">
        <f t="shared" si="285"/>
        <v>1</v>
      </c>
      <c r="B51" s="123" t="s">
        <v>189</v>
      </c>
      <c r="C51" s="39" t="s">
        <v>190</v>
      </c>
      <c r="D51"/>
      <c r="E51" s="97">
        <v>46030</v>
      </c>
      <c r="F51" t="s">
        <v>43</v>
      </c>
      <c r="G51" t="s">
        <v>20</v>
      </c>
      <c r="H51" t="s">
        <v>27</v>
      </c>
      <c r="I51" s="77"/>
      <c r="J51" s="77"/>
      <c r="K51" s="77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24"/>
      <c r="AG51" s="124"/>
      <c r="AH51" s="104"/>
      <c r="AI51" s="104"/>
      <c r="AJ51" s="22">
        <v>0.3</v>
      </c>
      <c r="AK51" s="22"/>
      <c r="AL51" s="22"/>
      <c r="AM51" s="22"/>
      <c r="AN51" s="104"/>
      <c r="AO51" s="104"/>
      <c r="AP51" s="22"/>
      <c r="AQ51" s="22"/>
      <c r="AR51" s="22"/>
      <c r="AS51" s="22"/>
      <c r="AT51" s="22"/>
      <c r="AU51" s="22"/>
      <c r="AV51" s="22"/>
      <c r="AW51" s="22"/>
      <c r="AX51" s="22"/>
      <c r="AY51" s="104"/>
      <c r="AZ51" s="104"/>
      <c r="BA51" s="104"/>
      <c r="BB51" s="104"/>
      <c r="BC51" s="124"/>
      <c r="BD51" s="124"/>
      <c r="BE51" s="104"/>
      <c r="BF51" s="104"/>
      <c r="BG51" s="104">
        <v>0.7</v>
      </c>
      <c r="BH51" s="104"/>
      <c r="BI51" s="78">
        <f t="shared" si="4"/>
        <v>1</v>
      </c>
      <c r="BJ51" s="105"/>
      <c r="BK51" s="105"/>
      <c r="BL51" s="105"/>
      <c r="BM51" s="105"/>
      <c r="BN51" s="105"/>
      <c r="BO51" s="105"/>
      <c r="BP51" s="105"/>
      <c r="BQ51" s="105"/>
      <c r="BR51" s="105"/>
      <c r="BS51" s="105"/>
      <c r="BT51" s="105"/>
      <c r="BU51" s="105"/>
      <c r="BV51" s="105"/>
      <c r="BW51" s="105"/>
      <c r="BX51" s="105"/>
      <c r="BY51" s="105"/>
      <c r="BZ51" s="105"/>
      <c r="CA51" s="105"/>
      <c r="CB51" s="105"/>
      <c r="CC51" s="105"/>
      <c r="CD51" s="105"/>
      <c r="CE51" s="105"/>
      <c r="CF51" s="120"/>
      <c r="CG51" s="128"/>
      <c r="CH51" s="128"/>
      <c r="CI51" s="105"/>
      <c r="CJ51" s="105"/>
      <c r="CK51" s="105"/>
      <c r="CL51" s="105">
        <v>0.3</v>
      </c>
      <c r="CM51" s="105"/>
      <c r="CN51" s="105"/>
      <c r="CO51" s="105"/>
      <c r="CP51" s="105"/>
      <c r="CQ51" s="105"/>
      <c r="CR51" s="105"/>
      <c r="CS51" s="105"/>
      <c r="CT51" s="105"/>
      <c r="CU51" s="105"/>
      <c r="CV51" s="105"/>
      <c r="CW51" s="105"/>
      <c r="CX51" s="105"/>
      <c r="CY51" s="105"/>
      <c r="CZ51" s="105"/>
      <c r="DA51" s="105"/>
      <c r="DB51" s="105"/>
      <c r="DC51" s="105"/>
      <c r="DD51" s="125"/>
      <c r="DE51" s="125"/>
      <c r="DF51" s="105"/>
      <c r="DG51" s="105"/>
      <c r="DH51" s="105">
        <v>0.7</v>
      </c>
      <c r="DI51" s="105"/>
      <c r="DJ51" s="79">
        <f t="shared" si="286"/>
        <v>1</v>
      </c>
      <c r="DK51" s="108"/>
      <c r="DL51" s="108"/>
      <c r="DM51" s="108"/>
      <c r="DN51" s="108"/>
      <c r="DO51" s="108"/>
      <c r="DP51" s="108"/>
      <c r="DQ51" s="108"/>
      <c r="DR51" s="108"/>
      <c r="DS51" s="108"/>
      <c r="DT51" s="108"/>
      <c r="DU51" s="108"/>
      <c r="DV51" s="108"/>
      <c r="DW51" s="108"/>
      <c r="DX51" s="108"/>
      <c r="DY51" s="108"/>
      <c r="DZ51" s="108"/>
      <c r="EA51" s="108">
        <v>0.92</v>
      </c>
      <c r="EB51" s="108"/>
      <c r="EC51" s="108"/>
      <c r="ED51" s="108"/>
      <c r="EE51" s="108"/>
      <c r="EF51" s="108"/>
      <c r="EG51" s="108"/>
      <c r="EH51" s="129"/>
      <c r="EI51" s="129"/>
      <c r="EJ51" s="108"/>
      <c r="EK51" s="108"/>
      <c r="EL51" s="108"/>
      <c r="EM51" s="108"/>
      <c r="EN51" s="108"/>
      <c r="EO51" s="108"/>
      <c r="EP51" s="108"/>
      <c r="EQ51" s="108"/>
      <c r="ER51" s="108"/>
      <c r="ES51" s="106"/>
      <c r="ET51" s="106"/>
      <c r="EU51" s="106">
        <v>5.5E-2</v>
      </c>
      <c r="EV51" s="106"/>
      <c r="EW51" s="106"/>
      <c r="EX51" s="106"/>
      <c r="EY51" s="106"/>
      <c r="EZ51" s="106"/>
      <c r="FA51" s="106">
        <v>5.0000000000000001E-3</v>
      </c>
      <c r="FB51" s="106"/>
      <c r="FC51" s="106"/>
      <c r="FD51" s="106"/>
      <c r="FE51" s="126"/>
      <c r="FF51" s="126"/>
      <c r="FG51" s="106"/>
      <c r="FH51" s="106"/>
      <c r="FI51" s="106"/>
      <c r="FJ51" s="106">
        <v>0.02</v>
      </c>
      <c r="FK51" s="17">
        <f t="shared" si="280"/>
        <v>1</v>
      </c>
      <c r="FL51" s="18"/>
      <c r="FM51" s="19">
        <f t="shared" si="119"/>
        <v>0</v>
      </c>
      <c r="FN51" s="19">
        <f t="shared" si="120"/>
        <v>0</v>
      </c>
      <c r="FO51" s="19">
        <f t="shared" si="121"/>
        <v>0</v>
      </c>
      <c r="FP51" s="19">
        <f t="shared" si="122"/>
        <v>0</v>
      </c>
      <c r="FQ51" s="19">
        <f t="shared" si="123"/>
        <v>0</v>
      </c>
      <c r="FR51" s="19">
        <f t="shared" si="124"/>
        <v>0</v>
      </c>
      <c r="FS51" s="19">
        <f t="shared" si="125"/>
        <v>0</v>
      </c>
      <c r="FT51" s="19">
        <f t="shared" si="126"/>
        <v>0</v>
      </c>
      <c r="FU51" s="19">
        <f t="shared" si="127"/>
        <v>0</v>
      </c>
      <c r="FV51" s="19">
        <f t="shared" si="128"/>
        <v>0</v>
      </c>
      <c r="FW51" s="19">
        <f t="shared" si="129"/>
        <v>0</v>
      </c>
      <c r="FX51" s="19">
        <f t="shared" si="130"/>
        <v>0</v>
      </c>
      <c r="FY51" s="19">
        <f t="shared" si="131"/>
        <v>0</v>
      </c>
      <c r="FZ51" s="19">
        <f t="shared" si="132"/>
        <v>0</v>
      </c>
      <c r="GA51" s="19">
        <f t="shared" si="133"/>
        <v>0</v>
      </c>
      <c r="GB51" s="19">
        <f t="shared" si="134"/>
        <v>0</v>
      </c>
      <c r="GC51" s="19">
        <f t="shared" si="135"/>
        <v>1.3800000000000001</v>
      </c>
      <c r="GD51" s="19">
        <f t="shared" si="136"/>
        <v>0</v>
      </c>
      <c r="GE51" s="19">
        <f t="shared" si="137"/>
        <v>0</v>
      </c>
      <c r="GF51" s="19">
        <f t="shared" si="138"/>
        <v>0</v>
      </c>
      <c r="GG51" s="19">
        <f t="shared" si="139"/>
        <v>0</v>
      </c>
      <c r="GH51" s="19">
        <f t="shared" si="140"/>
        <v>0</v>
      </c>
      <c r="GI51" s="19">
        <f t="shared" si="141"/>
        <v>0</v>
      </c>
      <c r="GJ51" s="19">
        <f t="shared" si="142"/>
        <v>0</v>
      </c>
      <c r="GK51" s="19">
        <f t="shared" si="143"/>
        <v>0</v>
      </c>
      <c r="GL51" s="19">
        <f t="shared" si="144"/>
        <v>0</v>
      </c>
      <c r="GM51" s="19">
        <f t="shared" si="145"/>
        <v>0</v>
      </c>
      <c r="GN51" s="19">
        <f t="shared" si="146"/>
        <v>0.44999999999999996</v>
      </c>
      <c r="GO51" s="19">
        <f t="shared" si="147"/>
        <v>0.6</v>
      </c>
      <c r="GP51" s="19">
        <f t="shared" si="148"/>
        <v>0</v>
      </c>
      <c r="GQ51" s="19">
        <f t="shared" si="149"/>
        <v>0</v>
      </c>
      <c r="GR51" s="19">
        <f t="shared" si="150"/>
        <v>0</v>
      </c>
      <c r="GS51" s="19">
        <f t="shared" si="151"/>
        <v>0</v>
      </c>
      <c r="GT51" s="19">
        <f t="shared" si="152"/>
        <v>0</v>
      </c>
      <c r="GU51" s="19">
        <f t="shared" si="153"/>
        <v>0</v>
      </c>
      <c r="GV51" s="19">
        <f t="shared" si="154"/>
        <v>0</v>
      </c>
      <c r="GW51" s="19">
        <f t="shared" si="155"/>
        <v>8.2500000000000004E-2</v>
      </c>
      <c r="GX51" s="19">
        <f t="shared" si="156"/>
        <v>0</v>
      </c>
      <c r="GY51" s="19">
        <f t="shared" si="157"/>
        <v>0</v>
      </c>
      <c r="GZ51" s="19">
        <f t="shared" si="158"/>
        <v>0</v>
      </c>
      <c r="HA51" s="19">
        <f t="shared" si="159"/>
        <v>0</v>
      </c>
      <c r="HB51" s="19">
        <f t="shared" si="160"/>
        <v>0</v>
      </c>
      <c r="HC51" s="19">
        <f t="shared" si="161"/>
        <v>7.4999999999999997E-3</v>
      </c>
      <c r="HD51" s="19">
        <f t="shared" si="162"/>
        <v>0</v>
      </c>
      <c r="HE51" s="19">
        <f t="shared" si="163"/>
        <v>0</v>
      </c>
      <c r="HF51" s="19">
        <f t="shared" si="164"/>
        <v>0</v>
      </c>
      <c r="HG51" s="19">
        <f t="shared" si="165"/>
        <v>0</v>
      </c>
      <c r="HH51" s="19">
        <f t="shared" si="166"/>
        <v>0</v>
      </c>
      <c r="HI51" s="19">
        <f t="shared" si="167"/>
        <v>0</v>
      </c>
      <c r="HJ51" s="19">
        <f t="shared" si="168"/>
        <v>0</v>
      </c>
      <c r="HK51" s="19">
        <f t="shared" si="169"/>
        <v>2.4499999999999997</v>
      </c>
      <c r="HL51" s="19">
        <f t="shared" si="170"/>
        <v>0.03</v>
      </c>
      <c r="HM51" s="20">
        <f t="shared" si="171"/>
        <v>5</v>
      </c>
      <c r="HN51" s="53">
        <v>941</v>
      </c>
      <c r="HO51" s="21">
        <f t="shared" si="172"/>
        <v>0</v>
      </c>
      <c r="HP51" s="21">
        <f t="shared" si="173"/>
        <v>0</v>
      </c>
      <c r="HQ51" s="21">
        <f t="shared" si="174"/>
        <v>0</v>
      </c>
      <c r="HR51" s="21">
        <f t="shared" si="175"/>
        <v>0</v>
      </c>
      <c r="HS51" s="21">
        <f t="shared" si="176"/>
        <v>0</v>
      </c>
      <c r="HT51" s="69">
        <f t="shared" si="177"/>
        <v>0</v>
      </c>
      <c r="HU51" s="21">
        <f t="shared" si="178"/>
        <v>0</v>
      </c>
      <c r="HV51" s="21">
        <f t="shared" si="179"/>
        <v>0</v>
      </c>
      <c r="HW51" s="21">
        <f t="shared" si="180"/>
        <v>0</v>
      </c>
      <c r="HX51" s="21">
        <f t="shared" si="181"/>
        <v>0</v>
      </c>
      <c r="HY51" s="21">
        <f t="shared" si="182"/>
        <v>0</v>
      </c>
      <c r="HZ51" s="21">
        <f t="shared" si="183"/>
        <v>0</v>
      </c>
      <c r="IA51" s="21">
        <f t="shared" si="184"/>
        <v>0</v>
      </c>
      <c r="IB51" s="21">
        <f t="shared" si="185"/>
        <v>0</v>
      </c>
      <c r="IC51" s="21">
        <f t="shared" si="186"/>
        <v>0</v>
      </c>
      <c r="ID51" s="21">
        <f t="shared" si="187"/>
        <v>0</v>
      </c>
      <c r="IE51" s="21">
        <f t="shared" si="188"/>
        <v>259.71600000000001</v>
      </c>
      <c r="IF51" s="69">
        <f t="shared" si="189"/>
        <v>0</v>
      </c>
      <c r="IG51" s="69">
        <f t="shared" si="190"/>
        <v>0</v>
      </c>
      <c r="IH51" s="69">
        <f t="shared" si="191"/>
        <v>0</v>
      </c>
      <c r="II51" s="21">
        <f t="shared" si="192"/>
        <v>0</v>
      </c>
      <c r="IJ51" s="21">
        <f t="shared" si="193"/>
        <v>0</v>
      </c>
      <c r="IK51" s="21">
        <f t="shared" si="194"/>
        <v>0</v>
      </c>
      <c r="IL51" s="21">
        <f t="shared" si="195"/>
        <v>0</v>
      </c>
      <c r="IM51" s="21">
        <f t="shared" si="196"/>
        <v>0</v>
      </c>
      <c r="IN51" s="21">
        <f t="shared" si="197"/>
        <v>0</v>
      </c>
      <c r="IO51" s="21">
        <f t="shared" si="198"/>
        <v>0</v>
      </c>
      <c r="IP51" s="21">
        <f t="shared" si="199"/>
        <v>84.689999999999984</v>
      </c>
      <c r="IQ51" s="21">
        <f t="shared" si="200"/>
        <v>112.92</v>
      </c>
      <c r="IR51" s="21">
        <f t="shared" si="201"/>
        <v>0</v>
      </c>
      <c r="IS51" s="21">
        <f t="shared" si="202"/>
        <v>0</v>
      </c>
      <c r="IT51" s="21">
        <f t="shared" si="203"/>
        <v>0</v>
      </c>
      <c r="IU51" s="21">
        <f t="shared" si="204"/>
        <v>0</v>
      </c>
      <c r="IV51" s="21">
        <f t="shared" si="205"/>
        <v>0</v>
      </c>
      <c r="IW51" s="21">
        <f t="shared" si="206"/>
        <v>0</v>
      </c>
      <c r="IX51" s="21">
        <f t="shared" si="207"/>
        <v>0</v>
      </c>
      <c r="IY51" s="21">
        <f t="shared" si="208"/>
        <v>15.526500000000002</v>
      </c>
      <c r="IZ51" s="21">
        <f t="shared" si="209"/>
        <v>0</v>
      </c>
      <c r="JA51" s="21">
        <f t="shared" si="210"/>
        <v>0</v>
      </c>
      <c r="JB51" s="21">
        <f t="shared" si="211"/>
        <v>0</v>
      </c>
      <c r="JC51" s="21">
        <f t="shared" si="212"/>
        <v>0</v>
      </c>
      <c r="JD51" s="21">
        <f t="shared" si="213"/>
        <v>0</v>
      </c>
      <c r="JE51" s="21">
        <f t="shared" si="214"/>
        <v>1.4115</v>
      </c>
      <c r="JF51" s="21">
        <f t="shared" si="215"/>
        <v>0</v>
      </c>
      <c r="JG51" s="21">
        <f t="shared" si="216"/>
        <v>0</v>
      </c>
      <c r="JH51" s="21">
        <f t="shared" si="217"/>
        <v>0</v>
      </c>
      <c r="JI51" s="21">
        <f t="shared" si="218"/>
        <v>0</v>
      </c>
      <c r="JJ51" s="21">
        <f t="shared" si="219"/>
        <v>0</v>
      </c>
      <c r="JK51" s="21">
        <f t="shared" si="220"/>
        <v>0</v>
      </c>
      <c r="JL51" s="21">
        <f t="shared" si="221"/>
        <v>0</v>
      </c>
      <c r="JM51" s="21">
        <f t="shared" si="222"/>
        <v>461.09</v>
      </c>
      <c r="JN51" s="21">
        <f t="shared" si="223"/>
        <v>5.6459999999999999</v>
      </c>
      <c r="JO51" s="35">
        <f t="shared" si="287"/>
        <v>941</v>
      </c>
      <c r="JP51" s="38">
        <f t="shared" si="288"/>
        <v>0</v>
      </c>
      <c r="JQ51" s="43">
        <f t="shared" si="224"/>
        <v>0</v>
      </c>
      <c r="JR51" s="43">
        <f t="shared" si="225"/>
        <v>0</v>
      </c>
      <c r="JS51" s="43">
        <f t="shared" si="226"/>
        <v>0</v>
      </c>
      <c r="JT51" s="43">
        <f t="shared" si="227"/>
        <v>0</v>
      </c>
      <c r="JU51" s="43">
        <f t="shared" si="228"/>
        <v>0</v>
      </c>
      <c r="JV51" s="43">
        <f t="shared" si="229"/>
        <v>0</v>
      </c>
      <c r="JW51" s="43">
        <f t="shared" si="230"/>
        <v>0</v>
      </c>
      <c r="JX51" s="43">
        <f t="shared" si="231"/>
        <v>0</v>
      </c>
      <c r="JY51" s="43">
        <f t="shared" si="232"/>
        <v>0</v>
      </c>
      <c r="JZ51" s="43">
        <f t="shared" si="233"/>
        <v>0</v>
      </c>
      <c r="KA51" s="43">
        <f t="shared" si="234"/>
        <v>0</v>
      </c>
      <c r="KB51" s="43">
        <f t="shared" si="235"/>
        <v>0</v>
      </c>
      <c r="KC51" s="43">
        <f t="shared" si="236"/>
        <v>0</v>
      </c>
      <c r="KD51" s="43">
        <f t="shared" si="237"/>
        <v>0</v>
      </c>
      <c r="KE51" s="43">
        <f t="shared" si="238"/>
        <v>0</v>
      </c>
      <c r="KF51" s="43">
        <f t="shared" si="239"/>
        <v>0</v>
      </c>
      <c r="KG51" s="43">
        <f t="shared" si="240"/>
        <v>1077.801923923394</v>
      </c>
      <c r="KH51" s="43">
        <f t="shared" si="241"/>
        <v>0</v>
      </c>
      <c r="KI51" s="43">
        <f t="shared" si="242"/>
        <v>0</v>
      </c>
      <c r="KJ51" s="43">
        <f t="shared" si="243"/>
        <v>0</v>
      </c>
      <c r="KK51" s="43">
        <f t="shared" si="244"/>
        <v>0</v>
      </c>
      <c r="KL51" s="43">
        <f t="shared" si="245"/>
        <v>0</v>
      </c>
      <c r="KM51" s="43">
        <f t="shared" si="246"/>
        <v>0</v>
      </c>
      <c r="KN51" s="43">
        <f t="shared" si="247"/>
        <v>0</v>
      </c>
      <c r="KO51" s="43">
        <f t="shared" si="248"/>
        <v>0</v>
      </c>
      <c r="KP51" s="43">
        <f t="shared" si="249"/>
        <v>0</v>
      </c>
      <c r="KQ51" s="43">
        <f t="shared" si="250"/>
        <v>0</v>
      </c>
      <c r="KR51" s="43">
        <f t="shared" si="251"/>
        <v>326.90339999999992</v>
      </c>
      <c r="KS51" s="43">
        <f t="shared" si="252"/>
        <v>386.11085537939397</v>
      </c>
      <c r="KT51" s="43">
        <f t="shared" si="253"/>
        <v>0</v>
      </c>
      <c r="KU51" s="43">
        <f t="shared" si="254"/>
        <v>0</v>
      </c>
      <c r="KV51" s="43">
        <f t="shared" si="255"/>
        <v>0</v>
      </c>
      <c r="KW51" s="43">
        <f t="shared" si="256"/>
        <v>0</v>
      </c>
      <c r="KX51" s="43">
        <f t="shared" si="257"/>
        <v>0</v>
      </c>
      <c r="KY51" s="43">
        <f t="shared" si="258"/>
        <v>0</v>
      </c>
      <c r="KZ51" s="43">
        <f t="shared" si="259"/>
        <v>0</v>
      </c>
      <c r="LA51" s="43">
        <f t="shared" si="260"/>
        <v>62.212201260000001</v>
      </c>
      <c r="LB51" s="43">
        <f t="shared" si="261"/>
        <v>0</v>
      </c>
      <c r="LC51" s="43">
        <f t="shared" si="262"/>
        <v>0</v>
      </c>
      <c r="LD51" s="43">
        <f t="shared" si="263"/>
        <v>0</v>
      </c>
      <c r="LE51" s="43">
        <f t="shared" si="264"/>
        <v>0</v>
      </c>
      <c r="LF51" s="43">
        <f t="shared" si="265"/>
        <v>0</v>
      </c>
      <c r="LG51" s="43">
        <f t="shared" si="266"/>
        <v>14.56668</v>
      </c>
      <c r="LH51" s="43">
        <f t="shared" si="267"/>
        <v>0</v>
      </c>
      <c r="LI51" s="43">
        <f t="shared" si="268"/>
        <v>0</v>
      </c>
      <c r="LJ51" s="43">
        <f t="shared" si="269"/>
        <v>0</v>
      </c>
      <c r="LK51" s="43">
        <f t="shared" si="270"/>
        <v>0</v>
      </c>
      <c r="LL51" s="43">
        <f t="shared" si="271"/>
        <v>0</v>
      </c>
      <c r="LM51" s="43">
        <f t="shared" si="272"/>
        <v>0</v>
      </c>
      <c r="LN51" s="43">
        <f t="shared" si="273"/>
        <v>0</v>
      </c>
      <c r="LO51" s="43">
        <f t="shared" si="274"/>
        <v>2050.9098764</v>
      </c>
      <c r="LP51" s="43">
        <f t="shared" si="275"/>
        <v>47.708699999999993</v>
      </c>
      <c r="LQ51" s="28">
        <f t="shared" si="289"/>
        <v>3966.2136369627879</v>
      </c>
      <c r="LR51" s="65">
        <v>830</v>
      </c>
      <c r="LS51" s="32">
        <f t="shared" si="281"/>
        <v>4.7785706469431179</v>
      </c>
      <c r="LT51" s="26">
        <f t="shared" si="282"/>
        <v>1.3056203953396497</v>
      </c>
      <c r="LU51" s="31">
        <f t="shared" si="290"/>
        <v>111</v>
      </c>
      <c r="LW51" s="42"/>
      <c r="MA51" s="32">
        <f t="shared" si="291"/>
        <v>4.2148922815757572</v>
      </c>
      <c r="MB51" s="26">
        <f t="shared" si="283"/>
        <v>1.1516099129988406</v>
      </c>
    </row>
    <row r="52" spans="1:340" ht="15.75" thickBot="1">
      <c r="A52" t="b">
        <f t="shared" si="285"/>
        <v>1</v>
      </c>
      <c r="B52" s="123" t="s">
        <v>191</v>
      </c>
      <c r="C52" s="39" t="s">
        <v>192</v>
      </c>
      <c r="D52"/>
      <c r="E52" s="97">
        <v>46030</v>
      </c>
      <c r="F52" t="s">
        <v>21</v>
      </c>
      <c r="G52" t="s">
        <v>20</v>
      </c>
      <c r="H52" t="s">
        <v>26</v>
      </c>
      <c r="I52" s="77"/>
      <c r="J52" s="77"/>
      <c r="K52" s="77"/>
      <c r="L52" s="22"/>
      <c r="M52" s="22"/>
      <c r="N52" s="98"/>
      <c r="O52" s="22"/>
      <c r="P52" s="22"/>
      <c r="Q52" s="22"/>
      <c r="R52" s="22"/>
      <c r="S52" s="104"/>
      <c r="T52" s="22"/>
      <c r="U52" s="22"/>
      <c r="V52" s="104"/>
      <c r="W52" s="22"/>
      <c r="X52" s="22"/>
      <c r="Y52" s="22"/>
      <c r="Z52" s="104"/>
      <c r="AA52" s="104"/>
      <c r="AB52" s="104"/>
      <c r="AC52" s="22"/>
      <c r="AD52" s="22"/>
      <c r="AE52" s="22"/>
      <c r="AF52" s="124"/>
      <c r="AG52" s="124"/>
      <c r="AH52" s="22"/>
      <c r="AI52" s="104"/>
      <c r="AJ52" s="22">
        <v>0.3</v>
      </c>
      <c r="AK52" s="22"/>
      <c r="AL52" s="22"/>
      <c r="AM52" s="104"/>
      <c r="AN52" s="22"/>
      <c r="AO52" s="104"/>
      <c r="AP52" s="22"/>
      <c r="AQ52" s="22"/>
      <c r="AR52" s="22">
        <v>0.06</v>
      </c>
      <c r="AS52" s="22"/>
      <c r="AT52" s="22"/>
      <c r="AU52" s="22"/>
      <c r="AV52" s="22"/>
      <c r="AW52" s="22"/>
      <c r="AX52" s="22"/>
      <c r="AY52" s="22"/>
      <c r="AZ52" s="22"/>
      <c r="BA52" s="98"/>
      <c r="BB52" s="98"/>
      <c r="BC52" s="124">
        <v>0.64</v>
      </c>
      <c r="BD52" s="124"/>
      <c r="BE52" s="104"/>
      <c r="BF52" s="22"/>
      <c r="BG52" s="104"/>
      <c r="BH52" s="22"/>
      <c r="BI52" s="78">
        <f t="shared" ref="BI52" si="293">SUM(I52:BH52)</f>
        <v>1</v>
      </c>
      <c r="BJ52" s="23"/>
      <c r="BK52" s="23"/>
      <c r="BL52" s="23"/>
      <c r="BM52" s="23"/>
      <c r="BN52" s="23"/>
      <c r="BO52" s="99"/>
      <c r="BP52" s="23"/>
      <c r="BQ52" s="23"/>
      <c r="BR52" s="23"/>
      <c r="BS52" s="23"/>
      <c r="BT52" s="105"/>
      <c r="BU52" s="23"/>
      <c r="BV52" s="23"/>
      <c r="BW52" s="105"/>
      <c r="BX52" s="105">
        <v>0.1</v>
      </c>
      <c r="BY52" s="23"/>
      <c r="BZ52" s="23"/>
      <c r="CA52" s="105"/>
      <c r="CB52" s="105"/>
      <c r="CC52" s="105"/>
      <c r="CD52" s="23"/>
      <c r="CE52" s="23"/>
      <c r="CF52" s="71"/>
      <c r="CG52" s="128"/>
      <c r="CH52" s="128"/>
      <c r="CI52" s="23"/>
      <c r="CJ52" s="23"/>
      <c r="CK52" s="105"/>
      <c r="CL52" s="23">
        <v>0.3</v>
      </c>
      <c r="CM52" s="23"/>
      <c r="CN52" s="23"/>
      <c r="CO52" s="23"/>
      <c r="CP52" s="105"/>
      <c r="CQ52" s="23"/>
      <c r="CR52" s="23"/>
      <c r="CS52" s="105">
        <v>0.06</v>
      </c>
      <c r="CT52" s="23"/>
      <c r="CU52" s="23"/>
      <c r="CV52" s="23"/>
      <c r="CW52" s="23"/>
      <c r="CX52" s="23"/>
      <c r="CY52" s="23"/>
      <c r="CZ52" s="23"/>
      <c r="DA52" s="23"/>
      <c r="DB52" s="99"/>
      <c r="DC52" s="99"/>
      <c r="DD52" s="125">
        <v>0.54</v>
      </c>
      <c r="DE52" s="125"/>
      <c r="DF52" s="105"/>
      <c r="DG52" s="23"/>
      <c r="DH52" s="105"/>
      <c r="DI52" s="23"/>
      <c r="DJ52" s="79">
        <f t="shared" si="286"/>
        <v>1</v>
      </c>
      <c r="DK52" s="24"/>
      <c r="DL52" s="24"/>
      <c r="DM52" s="24"/>
      <c r="DN52" s="108"/>
      <c r="DO52" s="24"/>
      <c r="DP52" s="103"/>
      <c r="DQ52" s="24"/>
      <c r="DR52" s="24"/>
      <c r="DS52" s="24"/>
      <c r="DT52" s="24"/>
      <c r="DU52" s="108"/>
      <c r="DV52" s="24"/>
      <c r="DW52" s="24"/>
      <c r="DX52" s="108"/>
      <c r="DY52" s="24"/>
      <c r="DZ52" s="24"/>
      <c r="EA52" s="24">
        <v>0.9</v>
      </c>
      <c r="EB52" s="108"/>
      <c r="EC52" s="108"/>
      <c r="ED52" s="108"/>
      <c r="EE52" s="24"/>
      <c r="EF52" s="24"/>
      <c r="EG52" s="24"/>
      <c r="EH52" s="129"/>
      <c r="EI52" s="129"/>
      <c r="EJ52" s="24"/>
      <c r="EK52" s="24"/>
      <c r="EL52" s="24"/>
      <c r="EM52" s="24"/>
      <c r="EN52" s="24"/>
      <c r="EO52" s="24"/>
      <c r="EP52" s="24"/>
      <c r="EQ52" s="108"/>
      <c r="ER52" s="24"/>
      <c r="ES52" s="25"/>
      <c r="ET52" s="25"/>
      <c r="EU52" s="25">
        <v>0.08</v>
      </c>
      <c r="EV52" s="25"/>
      <c r="EW52" s="25"/>
      <c r="EX52" s="25"/>
      <c r="EY52" s="25"/>
      <c r="EZ52" s="25"/>
      <c r="FA52" s="106"/>
      <c r="FB52" s="25"/>
      <c r="FC52" s="100"/>
      <c r="FD52" s="100"/>
      <c r="FE52" s="126"/>
      <c r="FF52" s="126"/>
      <c r="FG52" s="106"/>
      <c r="FH52" s="25"/>
      <c r="FI52" s="25"/>
      <c r="FJ52" s="106">
        <v>0.02</v>
      </c>
      <c r="FK52" s="17">
        <f t="shared" si="280"/>
        <v>1</v>
      </c>
      <c r="FL52" s="18"/>
      <c r="FM52" s="19">
        <f t="shared" si="119"/>
        <v>0</v>
      </c>
      <c r="FN52" s="19">
        <f t="shared" si="120"/>
        <v>0</v>
      </c>
      <c r="FO52" s="19">
        <f t="shared" si="121"/>
        <v>0</v>
      </c>
      <c r="FP52" s="19">
        <f t="shared" si="122"/>
        <v>0</v>
      </c>
      <c r="FQ52" s="19">
        <f t="shared" si="123"/>
        <v>0</v>
      </c>
      <c r="FR52" s="19">
        <f t="shared" si="124"/>
        <v>0</v>
      </c>
      <c r="FS52" s="19">
        <f t="shared" si="125"/>
        <v>0</v>
      </c>
      <c r="FT52" s="19">
        <f t="shared" si="126"/>
        <v>0</v>
      </c>
      <c r="FU52" s="19">
        <f t="shared" si="127"/>
        <v>0</v>
      </c>
      <c r="FV52" s="19">
        <f t="shared" si="128"/>
        <v>0</v>
      </c>
      <c r="FW52" s="19">
        <f t="shared" si="129"/>
        <v>0</v>
      </c>
      <c r="FX52" s="19">
        <f t="shared" si="130"/>
        <v>0</v>
      </c>
      <c r="FY52" s="19">
        <f t="shared" si="131"/>
        <v>0</v>
      </c>
      <c r="FZ52" s="19">
        <f t="shared" si="132"/>
        <v>0</v>
      </c>
      <c r="GA52" s="19">
        <f t="shared" si="133"/>
        <v>0.2</v>
      </c>
      <c r="GB52" s="19">
        <f t="shared" si="134"/>
        <v>0</v>
      </c>
      <c r="GC52" s="19">
        <f t="shared" si="135"/>
        <v>1.35</v>
      </c>
      <c r="GD52" s="19">
        <f t="shared" si="136"/>
        <v>0</v>
      </c>
      <c r="GE52" s="19">
        <f t="shared" si="137"/>
        <v>0</v>
      </c>
      <c r="GF52" s="19">
        <f t="shared" si="138"/>
        <v>0</v>
      </c>
      <c r="GG52" s="19">
        <f t="shared" si="139"/>
        <v>0</v>
      </c>
      <c r="GH52" s="19">
        <f t="shared" si="140"/>
        <v>0</v>
      </c>
      <c r="GI52" s="19">
        <f t="shared" si="141"/>
        <v>0</v>
      </c>
      <c r="GJ52" s="19">
        <f t="shared" si="142"/>
        <v>0</v>
      </c>
      <c r="GK52" s="19">
        <f t="shared" si="143"/>
        <v>0</v>
      </c>
      <c r="GL52" s="19">
        <f t="shared" si="144"/>
        <v>0</v>
      </c>
      <c r="GM52" s="19">
        <f t="shared" si="145"/>
        <v>0</v>
      </c>
      <c r="GN52" s="19">
        <f t="shared" si="146"/>
        <v>0.44999999999999996</v>
      </c>
      <c r="GO52" s="19">
        <f t="shared" si="147"/>
        <v>0.6</v>
      </c>
      <c r="GP52" s="19">
        <f t="shared" si="148"/>
        <v>0</v>
      </c>
      <c r="GQ52" s="19">
        <f t="shared" si="149"/>
        <v>0</v>
      </c>
      <c r="GR52" s="19">
        <f t="shared" si="150"/>
        <v>0</v>
      </c>
      <c r="GS52" s="19">
        <f t="shared" si="151"/>
        <v>0</v>
      </c>
      <c r="GT52" s="19">
        <f t="shared" si="152"/>
        <v>0</v>
      </c>
      <c r="GU52" s="19">
        <f t="shared" si="153"/>
        <v>0</v>
      </c>
      <c r="GV52" s="19">
        <f t="shared" si="154"/>
        <v>0.21</v>
      </c>
      <c r="GW52" s="19">
        <f t="shared" si="155"/>
        <v>0.12</v>
      </c>
      <c r="GX52" s="19">
        <f t="shared" si="156"/>
        <v>0</v>
      </c>
      <c r="GY52" s="19">
        <f t="shared" si="157"/>
        <v>0</v>
      </c>
      <c r="GZ52" s="19">
        <f t="shared" si="158"/>
        <v>0</v>
      </c>
      <c r="HA52" s="19">
        <f t="shared" si="159"/>
        <v>0</v>
      </c>
      <c r="HB52" s="19">
        <f t="shared" si="160"/>
        <v>0</v>
      </c>
      <c r="HC52" s="19">
        <f t="shared" si="161"/>
        <v>0</v>
      </c>
      <c r="HD52" s="19">
        <f t="shared" si="162"/>
        <v>0</v>
      </c>
      <c r="HE52" s="19">
        <f t="shared" si="163"/>
        <v>0</v>
      </c>
      <c r="HF52" s="19">
        <f t="shared" si="164"/>
        <v>0</v>
      </c>
      <c r="HG52" s="19">
        <f t="shared" si="165"/>
        <v>2.04</v>
      </c>
      <c r="HH52" s="19">
        <f t="shared" si="166"/>
        <v>0</v>
      </c>
      <c r="HI52" s="19">
        <f t="shared" si="167"/>
        <v>0</v>
      </c>
      <c r="HJ52" s="19">
        <f t="shared" si="168"/>
        <v>0</v>
      </c>
      <c r="HK52" s="19">
        <f t="shared" si="169"/>
        <v>0</v>
      </c>
      <c r="HL52" s="19">
        <f t="shared" si="170"/>
        <v>0.03</v>
      </c>
      <c r="HM52" s="20">
        <f t="shared" si="171"/>
        <v>5.0000000000000009</v>
      </c>
      <c r="HN52" s="53">
        <v>118</v>
      </c>
      <c r="HO52" s="21">
        <f t="shared" si="172"/>
        <v>0</v>
      </c>
      <c r="HP52" s="21">
        <f t="shared" si="173"/>
        <v>0</v>
      </c>
      <c r="HQ52" s="21">
        <f t="shared" si="174"/>
        <v>0</v>
      </c>
      <c r="HR52" s="21">
        <f t="shared" si="175"/>
        <v>0</v>
      </c>
      <c r="HS52" s="21">
        <f t="shared" si="176"/>
        <v>0</v>
      </c>
      <c r="HT52" s="69">
        <f t="shared" si="177"/>
        <v>0</v>
      </c>
      <c r="HU52" s="21">
        <f t="shared" si="178"/>
        <v>0</v>
      </c>
      <c r="HV52" s="21">
        <f t="shared" si="179"/>
        <v>0</v>
      </c>
      <c r="HW52" s="21">
        <f t="shared" si="180"/>
        <v>0</v>
      </c>
      <c r="HX52" s="21">
        <f t="shared" si="181"/>
        <v>0</v>
      </c>
      <c r="HY52" s="21">
        <f t="shared" si="182"/>
        <v>0</v>
      </c>
      <c r="HZ52" s="21">
        <f t="shared" si="183"/>
        <v>0</v>
      </c>
      <c r="IA52" s="21">
        <f t="shared" si="184"/>
        <v>0</v>
      </c>
      <c r="IB52" s="21">
        <f t="shared" si="185"/>
        <v>0</v>
      </c>
      <c r="IC52" s="21">
        <f t="shared" si="186"/>
        <v>4.72</v>
      </c>
      <c r="ID52" s="21">
        <f t="shared" si="187"/>
        <v>0</v>
      </c>
      <c r="IE52" s="21">
        <f t="shared" si="188"/>
        <v>31.859999999999996</v>
      </c>
      <c r="IF52" s="69">
        <f t="shared" si="189"/>
        <v>0</v>
      </c>
      <c r="IG52" s="69">
        <f t="shared" si="190"/>
        <v>0</v>
      </c>
      <c r="IH52" s="69">
        <f t="shared" si="191"/>
        <v>0</v>
      </c>
      <c r="II52" s="21">
        <f t="shared" si="192"/>
        <v>0</v>
      </c>
      <c r="IJ52" s="21">
        <f t="shared" si="193"/>
        <v>0</v>
      </c>
      <c r="IK52" s="21">
        <f t="shared" si="194"/>
        <v>0</v>
      </c>
      <c r="IL52" s="21">
        <f t="shared" si="195"/>
        <v>0</v>
      </c>
      <c r="IM52" s="21">
        <f t="shared" si="196"/>
        <v>0</v>
      </c>
      <c r="IN52" s="21">
        <f t="shared" si="197"/>
        <v>0</v>
      </c>
      <c r="IO52" s="21">
        <f t="shared" si="198"/>
        <v>0</v>
      </c>
      <c r="IP52" s="21">
        <f t="shared" si="199"/>
        <v>10.619999999999997</v>
      </c>
      <c r="IQ52" s="21">
        <f t="shared" si="200"/>
        <v>14.159999999999997</v>
      </c>
      <c r="IR52" s="21">
        <f t="shared" si="201"/>
        <v>0</v>
      </c>
      <c r="IS52" s="21">
        <f t="shared" si="202"/>
        <v>0</v>
      </c>
      <c r="IT52" s="21">
        <f t="shared" si="203"/>
        <v>0</v>
      </c>
      <c r="IU52" s="21">
        <f t="shared" si="204"/>
        <v>0</v>
      </c>
      <c r="IV52" s="21">
        <f t="shared" si="205"/>
        <v>0</v>
      </c>
      <c r="IW52" s="21">
        <f t="shared" si="206"/>
        <v>0</v>
      </c>
      <c r="IX52" s="21">
        <f t="shared" si="207"/>
        <v>4.9559999999999986</v>
      </c>
      <c r="IY52" s="21">
        <f t="shared" si="208"/>
        <v>2.8319999999999994</v>
      </c>
      <c r="IZ52" s="21">
        <f t="shared" si="209"/>
        <v>0</v>
      </c>
      <c r="JA52" s="21">
        <f t="shared" si="210"/>
        <v>0</v>
      </c>
      <c r="JB52" s="21">
        <f t="shared" si="211"/>
        <v>0</v>
      </c>
      <c r="JC52" s="21">
        <f t="shared" si="212"/>
        <v>0</v>
      </c>
      <c r="JD52" s="21">
        <f t="shared" si="213"/>
        <v>0</v>
      </c>
      <c r="JE52" s="21">
        <f t="shared" si="214"/>
        <v>0</v>
      </c>
      <c r="JF52" s="21">
        <f t="shared" si="215"/>
        <v>0</v>
      </c>
      <c r="JG52" s="21">
        <f t="shared" si="216"/>
        <v>0</v>
      </c>
      <c r="JH52" s="21">
        <f t="shared" si="217"/>
        <v>0</v>
      </c>
      <c r="JI52" s="21">
        <f t="shared" si="218"/>
        <v>48.143999999999991</v>
      </c>
      <c r="JJ52" s="21">
        <f t="shared" si="219"/>
        <v>0</v>
      </c>
      <c r="JK52" s="21">
        <f t="shared" si="220"/>
        <v>0</v>
      </c>
      <c r="JL52" s="21">
        <f t="shared" si="221"/>
        <v>0</v>
      </c>
      <c r="JM52" s="21">
        <f t="shared" si="222"/>
        <v>0</v>
      </c>
      <c r="JN52" s="21">
        <f t="shared" si="223"/>
        <v>0.70799999999999985</v>
      </c>
      <c r="JO52" s="35">
        <f t="shared" si="287"/>
        <v>117.99999999999997</v>
      </c>
      <c r="JP52" s="38">
        <f t="shared" si="288"/>
        <v>0</v>
      </c>
      <c r="JQ52" s="43">
        <f t="shared" si="224"/>
        <v>0</v>
      </c>
      <c r="JR52" s="43">
        <f t="shared" si="225"/>
        <v>0</v>
      </c>
      <c r="JS52" s="43">
        <f t="shared" si="226"/>
        <v>0</v>
      </c>
      <c r="JT52" s="43">
        <f t="shared" si="227"/>
        <v>0</v>
      </c>
      <c r="JU52" s="43">
        <f t="shared" si="228"/>
        <v>0</v>
      </c>
      <c r="JV52" s="43">
        <f t="shared" si="229"/>
        <v>0</v>
      </c>
      <c r="JW52" s="43">
        <f t="shared" si="230"/>
        <v>0</v>
      </c>
      <c r="JX52" s="43">
        <f t="shared" si="231"/>
        <v>0</v>
      </c>
      <c r="JY52" s="43">
        <f t="shared" si="232"/>
        <v>0</v>
      </c>
      <c r="JZ52" s="43">
        <f t="shared" si="233"/>
        <v>0</v>
      </c>
      <c r="KA52" s="43">
        <f t="shared" si="234"/>
        <v>0</v>
      </c>
      <c r="KB52" s="43">
        <f t="shared" si="235"/>
        <v>0</v>
      </c>
      <c r="KC52" s="43">
        <f t="shared" si="236"/>
        <v>0</v>
      </c>
      <c r="KD52" s="43">
        <f t="shared" si="237"/>
        <v>0</v>
      </c>
      <c r="KE52" s="43">
        <f t="shared" si="238"/>
        <v>19.240961952323229</v>
      </c>
      <c r="KF52" s="43">
        <f t="shared" si="239"/>
        <v>0</v>
      </c>
      <c r="KG52" s="43">
        <f t="shared" si="240"/>
        <v>132.21661082181816</v>
      </c>
      <c r="KH52" s="43">
        <f t="shared" si="241"/>
        <v>0</v>
      </c>
      <c r="KI52" s="43">
        <f t="shared" si="242"/>
        <v>0</v>
      </c>
      <c r="KJ52" s="43">
        <f t="shared" si="243"/>
        <v>0</v>
      </c>
      <c r="KK52" s="43">
        <f t="shared" si="244"/>
        <v>0</v>
      </c>
      <c r="KL52" s="43">
        <f t="shared" si="245"/>
        <v>0</v>
      </c>
      <c r="KM52" s="43">
        <f t="shared" si="246"/>
        <v>0</v>
      </c>
      <c r="KN52" s="43">
        <f t="shared" si="247"/>
        <v>0</v>
      </c>
      <c r="KO52" s="43">
        <f t="shared" si="248"/>
        <v>0</v>
      </c>
      <c r="KP52" s="43">
        <f t="shared" si="249"/>
        <v>0</v>
      </c>
      <c r="KQ52" s="43">
        <f t="shared" si="250"/>
        <v>0</v>
      </c>
      <c r="KR52" s="43">
        <f t="shared" si="251"/>
        <v>40.993199999999987</v>
      </c>
      <c r="KS52" s="43">
        <f t="shared" si="252"/>
        <v>48.417726816969683</v>
      </c>
      <c r="KT52" s="43">
        <f t="shared" si="253"/>
        <v>0</v>
      </c>
      <c r="KU52" s="43">
        <f t="shared" si="254"/>
        <v>0</v>
      </c>
      <c r="KV52" s="43">
        <f t="shared" si="255"/>
        <v>0</v>
      </c>
      <c r="KW52" s="43">
        <f t="shared" si="256"/>
        <v>0</v>
      </c>
      <c r="KX52" s="43">
        <f t="shared" si="257"/>
        <v>0</v>
      </c>
      <c r="KY52" s="43">
        <f t="shared" si="258"/>
        <v>0</v>
      </c>
      <c r="KZ52" s="43">
        <f t="shared" si="259"/>
        <v>42.869399999999992</v>
      </c>
      <c r="LA52" s="43">
        <f t="shared" si="260"/>
        <v>11.347370879999996</v>
      </c>
      <c r="LB52" s="43">
        <f t="shared" si="261"/>
        <v>0</v>
      </c>
      <c r="LC52" s="43">
        <f t="shared" si="262"/>
        <v>0</v>
      </c>
      <c r="LD52" s="43">
        <f t="shared" si="263"/>
        <v>0</v>
      </c>
      <c r="LE52" s="43">
        <f t="shared" si="264"/>
        <v>0</v>
      </c>
      <c r="LF52" s="43">
        <f t="shared" si="265"/>
        <v>0</v>
      </c>
      <c r="LG52" s="43">
        <f t="shared" si="266"/>
        <v>0</v>
      </c>
      <c r="LH52" s="43">
        <f t="shared" si="267"/>
        <v>0</v>
      </c>
      <c r="LI52" s="43">
        <f t="shared" si="268"/>
        <v>0</v>
      </c>
      <c r="LJ52" s="43">
        <f t="shared" si="269"/>
        <v>0</v>
      </c>
      <c r="LK52" s="43">
        <f t="shared" si="270"/>
        <v>192.85282799999996</v>
      </c>
      <c r="LL52" s="43">
        <f t="shared" si="271"/>
        <v>0</v>
      </c>
      <c r="LM52" s="43">
        <f t="shared" si="272"/>
        <v>0</v>
      </c>
      <c r="LN52" s="43">
        <f t="shared" si="273"/>
        <v>0</v>
      </c>
      <c r="LO52" s="43">
        <f t="shared" si="274"/>
        <v>0</v>
      </c>
      <c r="LP52" s="43">
        <f t="shared" si="275"/>
        <v>5.9825999999999979</v>
      </c>
      <c r="LQ52" s="28">
        <f t="shared" si="289"/>
        <v>493.92069847111105</v>
      </c>
      <c r="LR52" s="65">
        <v>82</v>
      </c>
      <c r="LS52" s="32">
        <f t="shared" si="281"/>
        <v>6.0234231520867203</v>
      </c>
      <c r="LT52" s="26">
        <f t="shared" si="282"/>
        <v>1.6457440306247868</v>
      </c>
      <c r="LU52" s="31">
        <f t="shared" si="290"/>
        <v>36</v>
      </c>
      <c r="LW52" s="42"/>
      <c r="MA52" s="32">
        <f t="shared" si="291"/>
        <v>4.1857686311111113</v>
      </c>
      <c r="MB52" s="26">
        <f t="shared" si="283"/>
        <v>1.1436526314511233</v>
      </c>
    </row>
    <row r="53" spans="1:340" ht="15.75" thickBot="1">
      <c r="A53" t="b">
        <f t="shared" si="285"/>
        <v>1</v>
      </c>
      <c r="B53" s="123" t="s">
        <v>193</v>
      </c>
      <c r="C53" s="39" t="s">
        <v>194</v>
      </c>
      <c r="D53"/>
      <c r="E53" s="97">
        <v>46030</v>
      </c>
      <c r="F53" t="s">
        <v>43</v>
      </c>
      <c r="G53" t="s">
        <v>20</v>
      </c>
      <c r="H53" t="s">
        <v>26</v>
      </c>
      <c r="I53" s="77"/>
      <c r="J53" s="77"/>
      <c r="K53" s="77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24"/>
      <c r="AG53" s="124"/>
      <c r="AH53" s="104"/>
      <c r="AI53" s="104"/>
      <c r="AJ53" s="22">
        <v>0.34</v>
      </c>
      <c r="AK53" s="22"/>
      <c r="AL53" s="22"/>
      <c r="AM53" s="22"/>
      <c r="AN53" s="22"/>
      <c r="AO53" s="104"/>
      <c r="AP53" s="22"/>
      <c r="AQ53" s="22"/>
      <c r="AR53" s="22">
        <v>0.06</v>
      </c>
      <c r="AS53" s="22"/>
      <c r="AT53" s="22"/>
      <c r="AU53" s="22"/>
      <c r="AV53" s="22"/>
      <c r="AW53" s="22"/>
      <c r="AX53" s="22"/>
      <c r="AY53" s="22"/>
      <c r="AZ53" s="104"/>
      <c r="BA53" s="104"/>
      <c r="BB53" s="104"/>
      <c r="BC53" s="124">
        <v>0.6</v>
      </c>
      <c r="BD53" s="124"/>
      <c r="BE53" s="104"/>
      <c r="BF53" s="104"/>
      <c r="BG53" s="104"/>
      <c r="BH53" s="104"/>
      <c r="BI53" s="78">
        <f t="shared" ref="BI53:BI58" si="294">SUM(I53:BH53)</f>
        <v>1</v>
      </c>
      <c r="BJ53" s="105"/>
      <c r="BK53" s="105"/>
      <c r="BL53" s="105"/>
      <c r="BM53" s="105"/>
      <c r="BN53" s="105"/>
      <c r="BO53" s="105"/>
      <c r="BP53" s="105"/>
      <c r="BQ53" s="105"/>
      <c r="BR53" s="105"/>
      <c r="BS53" s="105"/>
      <c r="BT53" s="105"/>
      <c r="BU53" s="105"/>
      <c r="BV53" s="105"/>
      <c r="BW53" s="105"/>
      <c r="BX53" s="105"/>
      <c r="BY53" s="105"/>
      <c r="BZ53" s="105">
        <v>0.44</v>
      </c>
      <c r="CA53" s="105"/>
      <c r="CB53" s="105"/>
      <c r="CC53" s="105"/>
      <c r="CD53" s="105"/>
      <c r="CE53" s="105"/>
      <c r="CF53" s="120"/>
      <c r="CG53" s="128"/>
      <c r="CH53" s="128"/>
      <c r="CI53" s="105"/>
      <c r="CJ53" s="105"/>
      <c r="CK53" s="105"/>
      <c r="CL53" s="105">
        <v>0.5</v>
      </c>
      <c r="CM53" s="105"/>
      <c r="CN53" s="105"/>
      <c r="CO53" s="105"/>
      <c r="CP53" s="105"/>
      <c r="CQ53" s="105"/>
      <c r="CR53" s="105"/>
      <c r="CS53" s="105">
        <v>0.06</v>
      </c>
      <c r="CT53" s="105"/>
      <c r="CU53" s="105"/>
      <c r="CV53" s="105"/>
      <c r="CW53" s="105"/>
      <c r="CX53" s="105"/>
      <c r="CY53" s="105"/>
      <c r="CZ53" s="105"/>
      <c r="DA53" s="105"/>
      <c r="DB53" s="105"/>
      <c r="DC53" s="105"/>
      <c r="DD53" s="125"/>
      <c r="DE53" s="125"/>
      <c r="DF53" s="105"/>
      <c r="DG53" s="105"/>
      <c r="DH53" s="105"/>
      <c r="DI53" s="105"/>
      <c r="DJ53" s="79">
        <f t="shared" si="286"/>
        <v>1</v>
      </c>
      <c r="DK53" s="108"/>
      <c r="DL53" s="108"/>
      <c r="DM53" s="108"/>
      <c r="DN53" s="108"/>
      <c r="DO53" s="108"/>
      <c r="DP53" s="108"/>
      <c r="DQ53" s="108"/>
      <c r="DR53" s="108"/>
      <c r="DS53" s="108"/>
      <c r="DT53" s="108"/>
      <c r="DU53" s="108"/>
      <c r="DV53" s="108"/>
      <c r="DW53" s="108"/>
      <c r="DX53" s="108"/>
      <c r="DY53" s="108"/>
      <c r="DZ53" s="108"/>
      <c r="EA53" s="108">
        <v>0.78</v>
      </c>
      <c r="EB53" s="108"/>
      <c r="EC53" s="108"/>
      <c r="ED53" s="108"/>
      <c r="EE53" s="108"/>
      <c r="EF53" s="108"/>
      <c r="EG53" s="108"/>
      <c r="EH53" s="129"/>
      <c r="EI53" s="129"/>
      <c r="EJ53" s="108"/>
      <c r="EK53" s="108"/>
      <c r="EL53" s="108"/>
      <c r="EM53" s="108"/>
      <c r="EN53" s="108"/>
      <c r="EO53" s="108"/>
      <c r="EP53" s="108"/>
      <c r="EQ53" s="108"/>
      <c r="ER53" s="108"/>
      <c r="ES53" s="106"/>
      <c r="ET53" s="106"/>
      <c r="EU53" s="106">
        <v>0.2</v>
      </c>
      <c r="EV53" s="106"/>
      <c r="EW53" s="106"/>
      <c r="EX53" s="106"/>
      <c r="EY53" s="106"/>
      <c r="EZ53" s="106"/>
      <c r="FA53" s="106"/>
      <c r="FB53" s="106"/>
      <c r="FC53" s="106"/>
      <c r="FD53" s="106"/>
      <c r="FE53" s="126"/>
      <c r="FF53" s="126"/>
      <c r="FG53" s="106"/>
      <c r="FH53" s="106"/>
      <c r="FI53" s="106"/>
      <c r="FJ53" s="106">
        <v>0.02</v>
      </c>
      <c r="FK53" s="17">
        <f t="shared" si="280"/>
        <v>1</v>
      </c>
      <c r="FL53" s="18"/>
      <c r="FM53" s="19">
        <f t="shared" si="119"/>
        <v>0</v>
      </c>
      <c r="FN53" s="19">
        <f t="shared" si="120"/>
        <v>0</v>
      </c>
      <c r="FO53" s="19">
        <f t="shared" si="121"/>
        <v>0</v>
      </c>
      <c r="FP53" s="19">
        <f t="shared" si="122"/>
        <v>0</v>
      </c>
      <c r="FQ53" s="19">
        <f t="shared" si="123"/>
        <v>0</v>
      </c>
      <c r="FR53" s="19">
        <f t="shared" si="124"/>
        <v>0</v>
      </c>
      <c r="FS53" s="19">
        <f t="shared" si="125"/>
        <v>0</v>
      </c>
      <c r="FT53" s="19">
        <f t="shared" si="126"/>
        <v>0</v>
      </c>
      <c r="FU53" s="19">
        <f t="shared" si="127"/>
        <v>0</v>
      </c>
      <c r="FV53" s="19">
        <f t="shared" si="128"/>
        <v>0</v>
      </c>
      <c r="FW53" s="19">
        <f t="shared" si="129"/>
        <v>0</v>
      </c>
      <c r="FX53" s="19">
        <f t="shared" si="130"/>
        <v>0</v>
      </c>
      <c r="FY53" s="19">
        <f t="shared" si="131"/>
        <v>0</v>
      </c>
      <c r="FZ53" s="19">
        <f t="shared" si="132"/>
        <v>0</v>
      </c>
      <c r="GA53" s="19">
        <f t="shared" si="133"/>
        <v>0</v>
      </c>
      <c r="GB53" s="19">
        <f t="shared" si="134"/>
        <v>0</v>
      </c>
      <c r="GC53" s="19">
        <f t="shared" si="135"/>
        <v>2.0499999999999998</v>
      </c>
      <c r="GD53" s="19">
        <f t="shared" si="136"/>
        <v>0</v>
      </c>
      <c r="GE53" s="19">
        <f t="shared" si="137"/>
        <v>0</v>
      </c>
      <c r="GF53" s="19">
        <f t="shared" si="138"/>
        <v>0</v>
      </c>
      <c r="GG53" s="19">
        <f t="shared" si="139"/>
        <v>0</v>
      </c>
      <c r="GH53" s="19">
        <f t="shared" si="140"/>
        <v>0</v>
      </c>
      <c r="GI53" s="19">
        <f t="shared" si="141"/>
        <v>0</v>
      </c>
      <c r="GJ53" s="19">
        <f t="shared" si="142"/>
        <v>0</v>
      </c>
      <c r="GK53" s="19">
        <f t="shared" si="143"/>
        <v>0</v>
      </c>
      <c r="GL53" s="19">
        <f t="shared" si="144"/>
        <v>0</v>
      </c>
      <c r="GM53" s="19">
        <f t="shared" si="145"/>
        <v>0</v>
      </c>
      <c r="GN53" s="19">
        <f t="shared" si="146"/>
        <v>0.51</v>
      </c>
      <c r="GO53" s="19">
        <f t="shared" si="147"/>
        <v>1</v>
      </c>
      <c r="GP53" s="19">
        <f t="shared" si="148"/>
        <v>0</v>
      </c>
      <c r="GQ53" s="19">
        <f t="shared" si="149"/>
        <v>0</v>
      </c>
      <c r="GR53" s="19">
        <f t="shared" si="150"/>
        <v>0</v>
      </c>
      <c r="GS53" s="19">
        <f t="shared" si="151"/>
        <v>0</v>
      </c>
      <c r="GT53" s="19">
        <f t="shared" si="152"/>
        <v>0</v>
      </c>
      <c r="GU53" s="19">
        <f t="shared" si="153"/>
        <v>0</v>
      </c>
      <c r="GV53" s="19">
        <f t="shared" si="154"/>
        <v>0.21</v>
      </c>
      <c r="GW53" s="19">
        <f t="shared" si="155"/>
        <v>0.30000000000000004</v>
      </c>
      <c r="GX53" s="19">
        <f t="shared" si="156"/>
        <v>0</v>
      </c>
      <c r="GY53" s="19">
        <f t="shared" si="157"/>
        <v>0</v>
      </c>
      <c r="GZ53" s="19">
        <f t="shared" si="158"/>
        <v>0</v>
      </c>
      <c r="HA53" s="19">
        <f t="shared" si="159"/>
        <v>0</v>
      </c>
      <c r="HB53" s="19">
        <f t="shared" si="160"/>
        <v>0</v>
      </c>
      <c r="HC53" s="19">
        <f t="shared" si="161"/>
        <v>0</v>
      </c>
      <c r="HD53" s="19">
        <f t="shared" si="162"/>
        <v>0</v>
      </c>
      <c r="HE53" s="19">
        <f t="shared" si="163"/>
        <v>0</v>
      </c>
      <c r="HF53" s="19">
        <f t="shared" si="164"/>
        <v>0</v>
      </c>
      <c r="HG53" s="19">
        <f t="shared" si="165"/>
        <v>0.89999999999999991</v>
      </c>
      <c r="HH53" s="19">
        <f t="shared" si="166"/>
        <v>0</v>
      </c>
      <c r="HI53" s="19">
        <f t="shared" si="167"/>
        <v>0</v>
      </c>
      <c r="HJ53" s="19">
        <f t="shared" si="168"/>
        <v>0</v>
      </c>
      <c r="HK53" s="19">
        <f t="shared" si="169"/>
        <v>0</v>
      </c>
      <c r="HL53" s="19">
        <f t="shared" si="170"/>
        <v>0.03</v>
      </c>
      <c r="HM53" s="20">
        <f t="shared" si="171"/>
        <v>4.9999999999999991</v>
      </c>
      <c r="HN53" s="53">
        <v>431</v>
      </c>
      <c r="HO53" s="21">
        <f t="shared" si="172"/>
        <v>0</v>
      </c>
      <c r="HP53" s="21">
        <f t="shared" si="173"/>
        <v>0</v>
      </c>
      <c r="HQ53" s="21">
        <f t="shared" si="174"/>
        <v>0</v>
      </c>
      <c r="HR53" s="21">
        <f t="shared" si="175"/>
        <v>0</v>
      </c>
      <c r="HS53" s="21">
        <f t="shared" si="176"/>
        <v>0</v>
      </c>
      <c r="HT53" s="69">
        <f t="shared" si="177"/>
        <v>0</v>
      </c>
      <c r="HU53" s="21">
        <f t="shared" si="178"/>
        <v>0</v>
      </c>
      <c r="HV53" s="21">
        <f t="shared" si="179"/>
        <v>0</v>
      </c>
      <c r="HW53" s="21">
        <f t="shared" si="180"/>
        <v>0</v>
      </c>
      <c r="HX53" s="21">
        <f t="shared" si="181"/>
        <v>0</v>
      </c>
      <c r="HY53" s="21">
        <f t="shared" si="182"/>
        <v>0</v>
      </c>
      <c r="HZ53" s="21">
        <f t="shared" si="183"/>
        <v>0</v>
      </c>
      <c r="IA53" s="21">
        <f t="shared" si="184"/>
        <v>0</v>
      </c>
      <c r="IB53" s="21">
        <f t="shared" si="185"/>
        <v>0</v>
      </c>
      <c r="IC53" s="21">
        <f t="shared" si="186"/>
        <v>0</v>
      </c>
      <c r="ID53" s="21">
        <f t="shared" si="187"/>
        <v>0</v>
      </c>
      <c r="IE53" s="21">
        <f t="shared" si="188"/>
        <v>176.71000000000004</v>
      </c>
      <c r="IF53" s="69">
        <f t="shared" si="189"/>
        <v>0</v>
      </c>
      <c r="IG53" s="69">
        <f t="shared" si="190"/>
        <v>0</v>
      </c>
      <c r="IH53" s="69">
        <f t="shared" si="191"/>
        <v>0</v>
      </c>
      <c r="II53" s="21">
        <f t="shared" si="192"/>
        <v>0</v>
      </c>
      <c r="IJ53" s="21">
        <f t="shared" si="193"/>
        <v>0</v>
      </c>
      <c r="IK53" s="21">
        <f t="shared" si="194"/>
        <v>0</v>
      </c>
      <c r="IL53" s="21">
        <f t="shared" si="195"/>
        <v>0</v>
      </c>
      <c r="IM53" s="21">
        <f t="shared" si="196"/>
        <v>0</v>
      </c>
      <c r="IN53" s="21">
        <f t="shared" si="197"/>
        <v>0</v>
      </c>
      <c r="IO53" s="21">
        <f t="shared" si="198"/>
        <v>0</v>
      </c>
      <c r="IP53" s="21">
        <f t="shared" si="199"/>
        <v>43.96200000000001</v>
      </c>
      <c r="IQ53" s="21">
        <f t="shared" si="200"/>
        <v>86.200000000000017</v>
      </c>
      <c r="IR53" s="21">
        <f t="shared" si="201"/>
        <v>0</v>
      </c>
      <c r="IS53" s="21">
        <f t="shared" si="202"/>
        <v>0</v>
      </c>
      <c r="IT53" s="21">
        <f t="shared" si="203"/>
        <v>0</v>
      </c>
      <c r="IU53" s="21">
        <f t="shared" si="204"/>
        <v>0</v>
      </c>
      <c r="IV53" s="21">
        <f t="shared" si="205"/>
        <v>0</v>
      </c>
      <c r="IW53" s="21">
        <f t="shared" si="206"/>
        <v>0</v>
      </c>
      <c r="IX53" s="21">
        <f t="shared" si="207"/>
        <v>18.102</v>
      </c>
      <c r="IY53" s="21">
        <f t="shared" si="208"/>
        <v>25.860000000000007</v>
      </c>
      <c r="IZ53" s="21">
        <f t="shared" si="209"/>
        <v>0</v>
      </c>
      <c r="JA53" s="21">
        <f t="shared" si="210"/>
        <v>0</v>
      </c>
      <c r="JB53" s="21">
        <f t="shared" si="211"/>
        <v>0</v>
      </c>
      <c r="JC53" s="21">
        <f t="shared" si="212"/>
        <v>0</v>
      </c>
      <c r="JD53" s="21">
        <f t="shared" si="213"/>
        <v>0</v>
      </c>
      <c r="JE53" s="21">
        <f t="shared" si="214"/>
        <v>0</v>
      </c>
      <c r="JF53" s="21">
        <f t="shared" si="215"/>
        <v>0</v>
      </c>
      <c r="JG53" s="21">
        <f t="shared" si="216"/>
        <v>0</v>
      </c>
      <c r="JH53" s="21">
        <f t="shared" si="217"/>
        <v>0</v>
      </c>
      <c r="JI53" s="21">
        <f t="shared" si="218"/>
        <v>77.580000000000013</v>
      </c>
      <c r="JJ53" s="21">
        <f t="shared" si="219"/>
        <v>0</v>
      </c>
      <c r="JK53" s="21">
        <f t="shared" si="220"/>
        <v>0</v>
      </c>
      <c r="JL53" s="21">
        <f t="shared" si="221"/>
        <v>0</v>
      </c>
      <c r="JM53" s="21">
        <f t="shared" si="222"/>
        <v>0</v>
      </c>
      <c r="JN53" s="21">
        <f t="shared" si="223"/>
        <v>2.5860000000000003</v>
      </c>
      <c r="JO53" s="35">
        <f t="shared" si="287"/>
        <v>431.00000000000011</v>
      </c>
      <c r="JP53" s="38">
        <f t="shared" si="288"/>
        <v>0</v>
      </c>
      <c r="JQ53" s="43">
        <f t="shared" si="224"/>
        <v>0</v>
      </c>
      <c r="JR53" s="43">
        <f t="shared" si="225"/>
        <v>0</v>
      </c>
      <c r="JS53" s="43">
        <f t="shared" si="226"/>
        <v>0</v>
      </c>
      <c r="JT53" s="43">
        <f t="shared" si="227"/>
        <v>0</v>
      </c>
      <c r="JU53" s="43">
        <f t="shared" si="228"/>
        <v>0</v>
      </c>
      <c r="JV53" s="43">
        <f t="shared" si="229"/>
        <v>0</v>
      </c>
      <c r="JW53" s="43">
        <f t="shared" si="230"/>
        <v>0</v>
      </c>
      <c r="JX53" s="43">
        <f t="shared" si="231"/>
        <v>0</v>
      </c>
      <c r="JY53" s="43">
        <f t="shared" si="232"/>
        <v>0</v>
      </c>
      <c r="JZ53" s="43">
        <f t="shared" si="233"/>
        <v>0</v>
      </c>
      <c r="KA53" s="43">
        <f t="shared" si="234"/>
        <v>0</v>
      </c>
      <c r="KB53" s="43">
        <f t="shared" si="235"/>
        <v>0</v>
      </c>
      <c r="KC53" s="43">
        <f t="shared" si="236"/>
        <v>0</v>
      </c>
      <c r="KD53" s="43">
        <f t="shared" si="237"/>
        <v>0</v>
      </c>
      <c r="KE53" s="43">
        <f t="shared" si="238"/>
        <v>0</v>
      </c>
      <c r="KF53" s="43">
        <f t="shared" si="239"/>
        <v>0</v>
      </c>
      <c r="KG53" s="43">
        <f t="shared" si="240"/>
        <v>733.33324853494969</v>
      </c>
      <c r="KH53" s="43">
        <f t="shared" si="241"/>
        <v>0</v>
      </c>
      <c r="KI53" s="43">
        <f t="shared" si="242"/>
        <v>0</v>
      </c>
      <c r="KJ53" s="43">
        <f t="shared" si="243"/>
        <v>0</v>
      </c>
      <c r="KK53" s="43">
        <f t="shared" si="244"/>
        <v>0</v>
      </c>
      <c r="KL53" s="43">
        <f t="shared" si="245"/>
        <v>0</v>
      </c>
      <c r="KM53" s="43">
        <f t="shared" si="246"/>
        <v>0</v>
      </c>
      <c r="KN53" s="43">
        <f t="shared" si="247"/>
        <v>0</v>
      </c>
      <c r="KO53" s="43">
        <f t="shared" si="248"/>
        <v>0</v>
      </c>
      <c r="KP53" s="43">
        <f t="shared" si="249"/>
        <v>0</v>
      </c>
      <c r="KQ53" s="43">
        <f t="shared" si="250"/>
        <v>0</v>
      </c>
      <c r="KR53" s="43">
        <f t="shared" si="251"/>
        <v>169.69332000000003</v>
      </c>
      <c r="KS53" s="43">
        <f t="shared" si="252"/>
        <v>294.74633132929296</v>
      </c>
      <c r="KT53" s="43">
        <f t="shared" si="253"/>
        <v>0</v>
      </c>
      <c r="KU53" s="43">
        <f t="shared" si="254"/>
        <v>0</v>
      </c>
      <c r="KV53" s="43">
        <f t="shared" si="255"/>
        <v>0</v>
      </c>
      <c r="KW53" s="43">
        <f t="shared" si="256"/>
        <v>0</v>
      </c>
      <c r="KX53" s="43">
        <f t="shared" si="257"/>
        <v>0</v>
      </c>
      <c r="KY53" s="43">
        <f t="shared" si="258"/>
        <v>0</v>
      </c>
      <c r="KZ53" s="43">
        <f t="shared" si="259"/>
        <v>156.5823</v>
      </c>
      <c r="LA53" s="43">
        <f t="shared" si="260"/>
        <v>103.61688240000001</v>
      </c>
      <c r="LB53" s="43">
        <f t="shared" si="261"/>
        <v>0</v>
      </c>
      <c r="LC53" s="43">
        <f t="shared" si="262"/>
        <v>0</v>
      </c>
      <c r="LD53" s="43">
        <f t="shared" si="263"/>
        <v>0</v>
      </c>
      <c r="LE53" s="43">
        <f t="shared" si="264"/>
        <v>0</v>
      </c>
      <c r="LF53" s="43">
        <f t="shared" si="265"/>
        <v>0</v>
      </c>
      <c r="LG53" s="43">
        <f t="shared" si="266"/>
        <v>0</v>
      </c>
      <c r="LH53" s="43">
        <f t="shared" si="267"/>
        <v>0</v>
      </c>
      <c r="LI53" s="43">
        <f t="shared" si="268"/>
        <v>0</v>
      </c>
      <c r="LJ53" s="43">
        <f t="shared" si="269"/>
        <v>0</v>
      </c>
      <c r="LK53" s="43">
        <f t="shared" si="270"/>
        <v>310.76608500000003</v>
      </c>
      <c r="LL53" s="43">
        <f t="shared" si="271"/>
        <v>0</v>
      </c>
      <c r="LM53" s="43">
        <f t="shared" si="272"/>
        <v>0</v>
      </c>
      <c r="LN53" s="43">
        <f t="shared" si="273"/>
        <v>0</v>
      </c>
      <c r="LO53" s="43">
        <f t="shared" si="274"/>
        <v>0</v>
      </c>
      <c r="LP53" s="43">
        <f t="shared" si="275"/>
        <v>21.851700000000001</v>
      </c>
      <c r="LQ53" s="28">
        <f t="shared" si="289"/>
        <v>1790.5898672642429</v>
      </c>
      <c r="LR53" s="65">
        <v>402</v>
      </c>
      <c r="LS53" s="32">
        <f t="shared" si="281"/>
        <v>4.4542036499110518</v>
      </c>
      <c r="LT53" s="26">
        <f t="shared" si="282"/>
        <v>1.2169955327625823</v>
      </c>
      <c r="LU53" s="31">
        <f t="shared" si="290"/>
        <v>29</v>
      </c>
      <c r="LW53" s="42"/>
      <c r="MA53" s="32">
        <f t="shared" si="291"/>
        <v>4.1545008521212123</v>
      </c>
      <c r="MB53" s="26">
        <f t="shared" si="283"/>
        <v>1.1351095224374896</v>
      </c>
    </row>
    <row r="54" spans="1:340" ht="15.75" thickBot="1">
      <c r="A54" t="b">
        <f t="shared" si="285"/>
        <v>1</v>
      </c>
      <c r="B54" s="123" t="s">
        <v>195</v>
      </c>
      <c r="C54" s="39" t="s">
        <v>196</v>
      </c>
      <c r="D54"/>
      <c r="E54" s="97">
        <v>46030</v>
      </c>
      <c r="F54" t="s">
        <v>43</v>
      </c>
      <c r="G54" t="s">
        <v>20</v>
      </c>
      <c r="H54" t="s">
        <v>27</v>
      </c>
      <c r="I54" s="77"/>
      <c r="J54" s="77"/>
      <c r="K54" s="77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24"/>
      <c r="AG54" s="124"/>
      <c r="AH54" s="104"/>
      <c r="AI54" s="104"/>
      <c r="AJ54" s="22">
        <v>0.3</v>
      </c>
      <c r="AK54" s="22"/>
      <c r="AL54" s="22"/>
      <c r="AM54" s="22"/>
      <c r="AN54" s="22"/>
      <c r="AO54" s="104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104"/>
      <c r="BA54" s="104"/>
      <c r="BB54" s="104"/>
      <c r="BC54" s="124"/>
      <c r="BD54" s="124"/>
      <c r="BE54" s="104"/>
      <c r="BF54" s="104"/>
      <c r="BG54" s="104">
        <v>0.7</v>
      </c>
      <c r="BH54" s="104"/>
      <c r="BI54" s="78">
        <f t="shared" si="294"/>
        <v>1</v>
      </c>
      <c r="BJ54" s="105"/>
      <c r="BK54" s="105"/>
      <c r="BL54" s="105"/>
      <c r="BM54" s="105"/>
      <c r="BN54" s="105"/>
      <c r="BO54" s="105"/>
      <c r="BP54" s="105"/>
      <c r="BQ54" s="105"/>
      <c r="BR54" s="105"/>
      <c r="BS54" s="105"/>
      <c r="BT54" s="105"/>
      <c r="BU54" s="105"/>
      <c r="BV54" s="105"/>
      <c r="BW54" s="105"/>
      <c r="BX54" s="105"/>
      <c r="BY54" s="105"/>
      <c r="BZ54" s="105"/>
      <c r="CA54" s="105"/>
      <c r="CB54" s="105"/>
      <c r="CC54" s="105"/>
      <c r="CD54" s="105"/>
      <c r="CE54" s="105"/>
      <c r="CF54" s="120"/>
      <c r="CG54" s="128"/>
      <c r="CH54" s="128"/>
      <c r="CI54" s="105"/>
      <c r="CJ54" s="105"/>
      <c r="CK54" s="105"/>
      <c r="CL54" s="105">
        <v>0.3</v>
      </c>
      <c r="CM54" s="105"/>
      <c r="CN54" s="105"/>
      <c r="CO54" s="105"/>
      <c r="CP54" s="105"/>
      <c r="CQ54" s="105"/>
      <c r="CR54" s="105"/>
      <c r="CS54" s="105"/>
      <c r="CT54" s="105"/>
      <c r="CU54" s="105"/>
      <c r="CV54" s="105"/>
      <c r="CW54" s="105"/>
      <c r="CX54" s="105"/>
      <c r="CY54" s="105"/>
      <c r="CZ54" s="105"/>
      <c r="DA54" s="105"/>
      <c r="DB54" s="105"/>
      <c r="DC54" s="105"/>
      <c r="DD54" s="125"/>
      <c r="DE54" s="125"/>
      <c r="DF54" s="105"/>
      <c r="DG54" s="105"/>
      <c r="DH54" s="105">
        <v>0.7</v>
      </c>
      <c r="DI54" s="105"/>
      <c r="DJ54" s="79">
        <f t="shared" si="286"/>
        <v>1</v>
      </c>
      <c r="DK54" s="108"/>
      <c r="DL54" s="108"/>
      <c r="DM54" s="108"/>
      <c r="DN54" s="108"/>
      <c r="DO54" s="108"/>
      <c r="DP54" s="108"/>
      <c r="DQ54" s="108"/>
      <c r="DR54" s="108"/>
      <c r="DS54" s="108"/>
      <c r="DT54" s="108"/>
      <c r="DU54" s="108"/>
      <c r="DV54" s="108"/>
      <c r="DW54" s="108"/>
      <c r="DX54" s="108"/>
      <c r="DY54" s="108"/>
      <c r="DZ54" s="108"/>
      <c r="EA54" s="108">
        <v>0.7</v>
      </c>
      <c r="EB54" s="108"/>
      <c r="EC54" s="108"/>
      <c r="ED54" s="108"/>
      <c r="EE54" s="108"/>
      <c r="EF54" s="108"/>
      <c r="EG54" s="108"/>
      <c r="EH54" s="129"/>
      <c r="EI54" s="129"/>
      <c r="EJ54" s="108"/>
      <c r="EK54" s="108"/>
      <c r="EL54" s="108"/>
      <c r="EM54" s="108">
        <v>0.2</v>
      </c>
      <c r="EN54" s="108"/>
      <c r="EO54" s="108"/>
      <c r="EP54" s="108"/>
      <c r="EQ54" s="108"/>
      <c r="ER54" s="108"/>
      <c r="ES54" s="106"/>
      <c r="ET54" s="106"/>
      <c r="EU54" s="106">
        <v>7.4999999999999997E-2</v>
      </c>
      <c r="EV54" s="106"/>
      <c r="EW54" s="106"/>
      <c r="EX54" s="106"/>
      <c r="EY54" s="106"/>
      <c r="EZ54" s="106"/>
      <c r="FA54" s="106">
        <v>5.0000000000000001E-3</v>
      </c>
      <c r="FB54" s="106"/>
      <c r="FC54" s="106"/>
      <c r="FD54" s="106"/>
      <c r="FE54" s="126"/>
      <c r="FF54" s="126"/>
      <c r="FG54" s="106"/>
      <c r="FH54" s="106"/>
      <c r="FI54" s="106"/>
      <c r="FJ54" s="106">
        <v>0.02</v>
      </c>
      <c r="FK54" s="17">
        <f t="shared" si="280"/>
        <v>0.99999999999999989</v>
      </c>
      <c r="FL54" s="18"/>
      <c r="FM54" s="19">
        <f t="shared" si="119"/>
        <v>0</v>
      </c>
      <c r="FN54" s="19">
        <f t="shared" si="120"/>
        <v>0</v>
      </c>
      <c r="FO54" s="19">
        <f t="shared" si="121"/>
        <v>0</v>
      </c>
      <c r="FP54" s="19">
        <f t="shared" si="122"/>
        <v>0</v>
      </c>
      <c r="FQ54" s="19">
        <f t="shared" si="123"/>
        <v>0</v>
      </c>
      <c r="FR54" s="19">
        <f t="shared" si="124"/>
        <v>0</v>
      </c>
      <c r="FS54" s="19">
        <f t="shared" si="125"/>
        <v>0</v>
      </c>
      <c r="FT54" s="19">
        <f t="shared" si="126"/>
        <v>0</v>
      </c>
      <c r="FU54" s="19">
        <f t="shared" si="127"/>
        <v>0</v>
      </c>
      <c r="FV54" s="19">
        <f t="shared" si="128"/>
        <v>0</v>
      </c>
      <c r="FW54" s="19">
        <f t="shared" si="129"/>
        <v>0</v>
      </c>
      <c r="FX54" s="19">
        <f t="shared" si="130"/>
        <v>0</v>
      </c>
      <c r="FY54" s="19">
        <f t="shared" si="131"/>
        <v>0</v>
      </c>
      <c r="FZ54" s="19">
        <f t="shared" si="132"/>
        <v>0</v>
      </c>
      <c r="GA54" s="19">
        <f t="shared" si="133"/>
        <v>0</v>
      </c>
      <c r="GB54" s="19">
        <f t="shared" si="134"/>
        <v>0</v>
      </c>
      <c r="GC54" s="19">
        <f t="shared" si="135"/>
        <v>1.0499999999999998</v>
      </c>
      <c r="GD54" s="19">
        <f t="shared" si="136"/>
        <v>0</v>
      </c>
      <c r="GE54" s="19">
        <f t="shared" si="137"/>
        <v>0</v>
      </c>
      <c r="GF54" s="19">
        <f t="shared" si="138"/>
        <v>0</v>
      </c>
      <c r="GG54" s="19">
        <f t="shared" si="139"/>
        <v>0</v>
      </c>
      <c r="GH54" s="19">
        <f t="shared" si="140"/>
        <v>0</v>
      </c>
      <c r="GI54" s="19">
        <f t="shared" si="141"/>
        <v>0</v>
      </c>
      <c r="GJ54" s="19">
        <f t="shared" si="142"/>
        <v>0</v>
      </c>
      <c r="GK54" s="19">
        <f t="shared" si="143"/>
        <v>0</v>
      </c>
      <c r="GL54" s="19">
        <f t="shared" si="144"/>
        <v>0</v>
      </c>
      <c r="GM54" s="19">
        <f t="shared" si="145"/>
        <v>0</v>
      </c>
      <c r="GN54" s="19">
        <f t="shared" si="146"/>
        <v>0.44999999999999996</v>
      </c>
      <c r="GO54" s="19">
        <f t="shared" si="147"/>
        <v>0.9</v>
      </c>
      <c r="GP54" s="19">
        <f t="shared" si="148"/>
        <v>0</v>
      </c>
      <c r="GQ54" s="19">
        <f t="shared" si="149"/>
        <v>0</v>
      </c>
      <c r="GR54" s="19">
        <f t="shared" si="150"/>
        <v>0</v>
      </c>
      <c r="GS54" s="19">
        <f t="shared" si="151"/>
        <v>0</v>
      </c>
      <c r="GT54" s="19">
        <f t="shared" si="152"/>
        <v>0</v>
      </c>
      <c r="GU54" s="19">
        <f t="shared" si="153"/>
        <v>0</v>
      </c>
      <c r="GV54" s="19">
        <f t="shared" si="154"/>
        <v>0</v>
      </c>
      <c r="GW54" s="19">
        <f t="shared" si="155"/>
        <v>0.11249999999999999</v>
      </c>
      <c r="GX54" s="19">
        <f t="shared" si="156"/>
        <v>0</v>
      </c>
      <c r="GY54" s="19">
        <f t="shared" si="157"/>
        <v>0</v>
      </c>
      <c r="GZ54" s="19">
        <f t="shared" si="158"/>
        <v>0</v>
      </c>
      <c r="HA54" s="19">
        <f t="shared" si="159"/>
        <v>0</v>
      </c>
      <c r="HB54" s="19">
        <f t="shared" si="160"/>
        <v>0</v>
      </c>
      <c r="HC54" s="19">
        <f t="shared" si="161"/>
        <v>7.4999999999999997E-3</v>
      </c>
      <c r="HD54" s="19">
        <f t="shared" si="162"/>
        <v>0</v>
      </c>
      <c r="HE54" s="19">
        <f t="shared" si="163"/>
        <v>0</v>
      </c>
      <c r="HF54" s="19">
        <f t="shared" si="164"/>
        <v>0</v>
      </c>
      <c r="HG54" s="19">
        <f t="shared" si="165"/>
        <v>0</v>
      </c>
      <c r="HH54" s="19">
        <f t="shared" si="166"/>
        <v>0</v>
      </c>
      <c r="HI54" s="19">
        <f t="shared" si="167"/>
        <v>0</v>
      </c>
      <c r="HJ54" s="19">
        <f t="shared" si="168"/>
        <v>0</v>
      </c>
      <c r="HK54" s="19">
        <f t="shared" si="169"/>
        <v>2.4499999999999997</v>
      </c>
      <c r="HL54" s="19">
        <f t="shared" si="170"/>
        <v>0.03</v>
      </c>
      <c r="HM54" s="20">
        <f t="shared" si="171"/>
        <v>4.9999999999999991</v>
      </c>
      <c r="HN54" s="53">
        <v>1235</v>
      </c>
      <c r="HO54" s="21">
        <f t="shared" si="172"/>
        <v>0</v>
      </c>
      <c r="HP54" s="21">
        <f t="shared" si="173"/>
        <v>0</v>
      </c>
      <c r="HQ54" s="21">
        <f t="shared" si="174"/>
        <v>0</v>
      </c>
      <c r="HR54" s="21">
        <f t="shared" si="175"/>
        <v>0</v>
      </c>
      <c r="HS54" s="21">
        <f t="shared" si="176"/>
        <v>0</v>
      </c>
      <c r="HT54" s="69">
        <f t="shared" si="177"/>
        <v>0</v>
      </c>
      <c r="HU54" s="21">
        <f t="shared" si="178"/>
        <v>0</v>
      </c>
      <c r="HV54" s="21">
        <f t="shared" si="179"/>
        <v>0</v>
      </c>
      <c r="HW54" s="21">
        <f t="shared" si="180"/>
        <v>0</v>
      </c>
      <c r="HX54" s="21">
        <f t="shared" si="181"/>
        <v>0</v>
      </c>
      <c r="HY54" s="21">
        <f t="shared" si="182"/>
        <v>0</v>
      </c>
      <c r="HZ54" s="21">
        <f t="shared" si="183"/>
        <v>0</v>
      </c>
      <c r="IA54" s="21">
        <f t="shared" si="184"/>
        <v>0</v>
      </c>
      <c r="IB54" s="21">
        <f t="shared" si="185"/>
        <v>0</v>
      </c>
      <c r="IC54" s="21">
        <f t="shared" si="186"/>
        <v>0</v>
      </c>
      <c r="ID54" s="21">
        <f t="shared" si="187"/>
        <v>0</v>
      </c>
      <c r="IE54" s="21">
        <f t="shared" si="188"/>
        <v>259.35000000000002</v>
      </c>
      <c r="IF54" s="69">
        <f t="shared" si="189"/>
        <v>0</v>
      </c>
      <c r="IG54" s="69">
        <f t="shared" si="190"/>
        <v>0</v>
      </c>
      <c r="IH54" s="69">
        <f t="shared" si="191"/>
        <v>0</v>
      </c>
      <c r="II54" s="21">
        <f t="shared" si="192"/>
        <v>0</v>
      </c>
      <c r="IJ54" s="21">
        <f t="shared" si="193"/>
        <v>0</v>
      </c>
      <c r="IK54" s="21">
        <f t="shared" si="194"/>
        <v>0</v>
      </c>
      <c r="IL54" s="21">
        <f t="shared" si="195"/>
        <v>0</v>
      </c>
      <c r="IM54" s="21">
        <f t="shared" si="196"/>
        <v>0</v>
      </c>
      <c r="IN54" s="21">
        <f t="shared" si="197"/>
        <v>0</v>
      </c>
      <c r="IO54" s="21">
        <f t="shared" si="198"/>
        <v>0</v>
      </c>
      <c r="IP54" s="21">
        <f t="shared" si="199"/>
        <v>111.15000000000002</v>
      </c>
      <c r="IQ54" s="21">
        <f t="shared" si="200"/>
        <v>222.30000000000004</v>
      </c>
      <c r="IR54" s="21">
        <f t="shared" si="201"/>
        <v>0</v>
      </c>
      <c r="IS54" s="21">
        <f t="shared" si="202"/>
        <v>0</v>
      </c>
      <c r="IT54" s="21">
        <f t="shared" si="203"/>
        <v>0</v>
      </c>
      <c r="IU54" s="21">
        <f t="shared" si="204"/>
        <v>0</v>
      </c>
      <c r="IV54" s="21">
        <f t="shared" si="205"/>
        <v>0</v>
      </c>
      <c r="IW54" s="21">
        <f t="shared" si="206"/>
        <v>0</v>
      </c>
      <c r="IX54" s="21">
        <f t="shared" si="207"/>
        <v>0</v>
      </c>
      <c r="IY54" s="21">
        <f t="shared" si="208"/>
        <v>27.787500000000005</v>
      </c>
      <c r="IZ54" s="21">
        <f t="shared" si="209"/>
        <v>0</v>
      </c>
      <c r="JA54" s="21">
        <f t="shared" si="210"/>
        <v>0</v>
      </c>
      <c r="JB54" s="21">
        <f t="shared" si="211"/>
        <v>0</v>
      </c>
      <c r="JC54" s="21">
        <f t="shared" si="212"/>
        <v>0</v>
      </c>
      <c r="JD54" s="21">
        <f t="shared" si="213"/>
        <v>0</v>
      </c>
      <c r="JE54" s="21">
        <f t="shared" si="214"/>
        <v>1.8525000000000003</v>
      </c>
      <c r="JF54" s="21">
        <f t="shared" si="215"/>
        <v>0</v>
      </c>
      <c r="JG54" s="21">
        <f t="shared" si="216"/>
        <v>0</v>
      </c>
      <c r="JH54" s="21">
        <f t="shared" si="217"/>
        <v>0</v>
      </c>
      <c r="JI54" s="21">
        <f t="shared" si="218"/>
        <v>0</v>
      </c>
      <c r="JJ54" s="21">
        <f t="shared" si="219"/>
        <v>0</v>
      </c>
      <c r="JK54" s="21">
        <f t="shared" si="220"/>
        <v>0</v>
      </c>
      <c r="JL54" s="21">
        <f t="shared" si="221"/>
        <v>0</v>
      </c>
      <c r="JM54" s="21">
        <f t="shared" si="222"/>
        <v>605.15</v>
      </c>
      <c r="JN54" s="21">
        <f t="shared" si="223"/>
        <v>7.410000000000001</v>
      </c>
      <c r="JO54" s="35">
        <f t="shared" si="287"/>
        <v>1235.0000000000002</v>
      </c>
      <c r="JP54" s="38">
        <f t="shared" si="288"/>
        <v>0</v>
      </c>
      <c r="JQ54" s="43">
        <f t="shared" si="224"/>
        <v>0</v>
      </c>
      <c r="JR54" s="43">
        <f t="shared" si="225"/>
        <v>0</v>
      </c>
      <c r="JS54" s="43">
        <f t="shared" si="226"/>
        <v>0</v>
      </c>
      <c r="JT54" s="43">
        <f t="shared" si="227"/>
        <v>0</v>
      </c>
      <c r="JU54" s="43">
        <f t="shared" si="228"/>
        <v>0</v>
      </c>
      <c r="JV54" s="43">
        <f t="shared" si="229"/>
        <v>0</v>
      </c>
      <c r="JW54" s="43">
        <f t="shared" si="230"/>
        <v>0</v>
      </c>
      <c r="JX54" s="43">
        <f t="shared" si="231"/>
        <v>0</v>
      </c>
      <c r="JY54" s="43">
        <f t="shared" si="232"/>
        <v>0</v>
      </c>
      <c r="JZ54" s="43">
        <f t="shared" si="233"/>
        <v>0</v>
      </c>
      <c r="KA54" s="43">
        <f t="shared" si="234"/>
        <v>0</v>
      </c>
      <c r="KB54" s="43">
        <f t="shared" si="235"/>
        <v>0</v>
      </c>
      <c r="KC54" s="43">
        <f t="shared" si="236"/>
        <v>0</v>
      </c>
      <c r="KD54" s="43">
        <f t="shared" si="237"/>
        <v>0</v>
      </c>
      <c r="KE54" s="43">
        <f t="shared" si="238"/>
        <v>0</v>
      </c>
      <c r="KF54" s="43">
        <f t="shared" si="239"/>
        <v>0</v>
      </c>
      <c r="KG54" s="43">
        <f t="shared" si="240"/>
        <v>1076.2830513696972</v>
      </c>
      <c r="KH54" s="43">
        <f t="shared" si="241"/>
        <v>0</v>
      </c>
      <c r="KI54" s="43">
        <f t="shared" si="242"/>
        <v>0</v>
      </c>
      <c r="KJ54" s="43">
        <f t="shared" si="243"/>
        <v>0</v>
      </c>
      <c r="KK54" s="43">
        <f t="shared" si="244"/>
        <v>0</v>
      </c>
      <c r="KL54" s="43">
        <f t="shared" si="245"/>
        <v>0</v>
      </c>
      <c r="KM54" s="43">
        <f t="shared" si="246"/>
        <v>0</v>
      </c>
      <c r="KN54" s="43">
        <f t="shared" si="247"/>
        <v>0</v>
      </c>
      <c r="KO54" s="43">
        <f t="shared" si="248"/>
        <v>0</v>
      </c>
      <c r="KP54" s="43">
        <f t="shared" si="249"/>
        <v>0</v>
      </c>
      <c r="KQ54" s="43">
        <f t="shared" si="250"/>
        <v>0</v>
      </c>
      <c r="KR54" s="43">
        <f t="shared" si="251"/>
        <v>429.03900000000004</v>
      </c>
      <c r="KS54" s="43">
        <f t="shared" si="252"/>
        <v>760.11727905454563</v>
      </c>
      <c r="KT54" s="43">
        <f t="shared" si="253"/>
        <v>0</v>
      </c>
      <c r="KU54" s="43">
        <f t="shared" si="254"/>
        <v>0</v>
      </c>
      <c r="KV54" s="43">
        <f t="shared" si="255"/>
        <v>0</v>
      </c>
      <c r="KW54" s="43">
        <f t="shared" si="256"/>
        <v>0</v>
      </c>
      <c r="KX54" s="43">
        <f t="shared" si="257"/>
        <v>0</v>
      </c>
      <c r="KY54" s="43">
        <f t="shared" si="258"/>
        <v>0</v>
      </c>
      <c r="KZ54" s="43">
        <f t="shared" si="259"/>
        <v>0</v>
      </c>
      <c r="LA54" s="43">
        <f t="shared" si="260"/>
        <v>111.34006650000001</v>
      </c>
      <c r="LB54" s="43">
        <f t="shared" si="261"/>
        <v>0</v>
      </c>
      <c r="LC54" s="43">
        <f t="shared" si="262"/>
        <v>0</v>
      </c>
      <c r="LD54" s="43">
        <f t="shared" si="263"/>
        <v>0</v>
      </c>
      <c r="LE54" s="43">
        <f t="shared" si="264"/>
        <v>0</v>
      </c>
      <c r="LF54" s="43">
        <f t="shared" si="265"/>
        <v>0</v>
      </c>
      <c r="LG54" s="43">
        <f t="shared" si="266"/>
        <v>19.117800000000003</v>
      </c>
      <c r="LH54" s="43">
        <f t="shared" si="267"/>
        <v>0</v>
      </c>
      <c r="LI54" s="43">
        <f t="shared" si="268"/>
        <v>0</v>
      </c>
      <c r="LJ54" s="43">
        <f t="shared" si="269"/>
        <v>0</v>
      </c>
      <c r="LK54" s="43">
        <f t="shared" si="270"/>
        <v>0</v>
      </c>
      <c r="LL54" s="43">
        <f t="shared" si="271"/>
        <v>0</v>
      </c>
      <c r="LM54" s="43">
        <f t="shared" si="272"/>
        <v>0</v>
      </c>
      <c r="LN54" s="43">
        <f t="shared" si="273"/>
        <v>0</v>
      </c>
      <c r="LO54" s="43">
        <f t="shared" si="274"/>
        <v>2691.6829939999998</v>
      </c>
      <c r="LP54" s="43">
        <f t="shared" si="275"/>
        <v>62.614500000000007</v>
      </c>
      <c r="LQ54" s="28">
        <f t="shared" si="289"/>
        <v>5150.1946909242424</v>
      </c>
      <c r="LR54" s="65">
        <v>1186</v>
      </c>
      <c r="LS54" s="32">
        <f t="shared" si="281"/>
        <v>4.3424913076932903</v>
      </c>
      <c r="LT54" s="26">
        <f t="shared" si="282"/>
        <v>1.186473034888877</v>
      </c>
      <c r="LU54" s="31">
        <f t="shared" si="290"/>
        <v>49</v>
      </c>
      <c r="LW54" s="42"/>
      <c r="MA54" s="32">
        <f t="shared" si="291"/>
        <v>4.1701981303030298</v>
      </c>
      <c r="MB54" s="26">
        <f t="shared" si="283"/>
        <v>1.1393983962576584</v>
      </c>
    </row>
    <row r="55" spans="1:340" ht="15.75" thickBot="1">
      <c r="A55" t="b">
        <f t="shared" si="285"/>
        <v>1</v>
      </c>
      <c r="B55" s="123" t="s">
        <v>197</v>
      </c>
      <c r="C55" s="39" t="s">
        <v>198</v>
      </c>
      <c r="D55"/>
      <c r="E55" s="97">
        <v>46030</v>
      </c>
      <c r="F55" t="s">
        <v>43</v>
      </c>
      <c r="G55" t="s">
        <v>19</v>
      </c>
      <c r="H55" t="s">
        <v>27</v>
      </c>
      <c r="I55" s="77"/>
      <c r="J55" s="77"/>
      <c r="K55" s="77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24"/>
      <c r="AG55" s="124"/>
      <c r="AH55" s="104"/>
      <c r="AI55" s="104"/>
      <c r="AJ55" s="104"/>
      <c r="AK55" s="104">
        <v>0.5</v>
      </c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24"/>
      <c r="BD55" s="124"/>
      <c r="BE55" s="104"/>
      <c r="BF55" s="104"/>
      <c r="BG55" s="104">
        <v>0.5</v>
      </c>
      <c r="BH55" s="104"/>
      <c r="BI55" s="78">
        <f t="shared" si="294"/>
        <v>1</v>
      </c>
      <c r="BJ55" s="105"/>
      <c r="BK55" s="105"/>
      <c r="BL55" s="105"/>
      <c r="BM55" s="105"/>
      <c r="BN55" s="105"/>
      <c r="BO55" s="105"/>
      <c r="BP55" s="105"/>
      <c r="BQ55" s="105"/>
      <c r="BR55" s="105"/>
      <c r="BS55" s="105"/>
      <c r="BT55" s="105"/>
      <c r="BU55" s="105"/>
      <c r="BV55" s="105"/>
      <c r="BW55" s="105"/>
      <c r="BX55" s="105"/>
      <c r="BY55" s="105"/>
      <c r="BZ55" s="105"/>
      <c r="CA55" s="105"/>
      <c r="CB55" s="105"/>
      <c r="CC55" s="105"/>
      <c r="CD55" s="105"/>
      <c r="CE55" s="105"/>
      <c r="CF55" s="120"/>
      <c r="CG55" s="128"/>
      <c r="CH55" s="128"/>
      <c r="CI55" s="105"/>
      <c r="CJ55" s="105"/>
      <c r="CK55" s="105"/>
      <c r="CL55" s="105"/>
      <c r="CM55" s="105"/>
      <c r="CN55" s="105"/>
      <c r="CO55" s="105"/>
      <c r="CP55" s="105"/>
      <c r="CQ55" s="105"/>
      <c r="CR55" s="105"/>
      <c r="CS55" s="105"/>
      <c r="CT55" s="105"/>
      <c r="CU55" s="105"/>
      <c r="CV55" s="105"/>
      <c r="CW55" s="105"/>
      <c r="CX55" s="105"/>
      <c r="CY55" s="105"/>
      <c r="CZ55" s="105"/>
      <c r="DA55" s="105"/>
      <c r="DB55" s="105"/>
      <c r="DC55" s="105"/>
      <c r="DD55" s="125"/>
      <c r="DE55" s="125"/>
      <c r="DF55" s="105"/>
      <c r="DG55" s="105"/>
      <c r="DH55" s="105"/>
      <c r="DI55" s="105"/>
      <c r="DJ55" s="79">
        <f t="shared" si="286"/>
        <v>0</v>
      </c>
      <c r="DK55" s="108"/>
      <c r="DL55" s="108"/>
      <c r="DM55" s="108"/>
      <c r="DN55" s="108"/>
      <c r="DO55" s="108"/>
      <c r="DP55" s="108"/>
      <c r="DQ55" s="108"/>
      <c r="DR55" s="108"/>
      <c r="DS55" s="108"/>
      <c r="DT55" s="108"/>
      <c r="DU55" s="108"/>
      <c r="DV55" s="108"/>
      <c r="DW55" s="108"/>
      <c r="DX55" s="108"/>
      <c r="DY55" s="108"/>
      <c r="DZ55" s="108"/>
      <c r="EA55" s="108"/>
      <c r="EB55" s="108"/>
      <c r="EC55" s="108"/>
      <c r="ED55" s="108"/>
      <c r="EE55" s="108"/>
      <c r="EF55" s="108"/>
      <c r="EG55" s="108"/>
      <c r="EH55" s="129"/>
      <c r="EI55" s="129"/>
      <c r="EJ55" s="108"/>
      <c r="EK55" s="108"/>
      <c r="EL55" s="108"/>
      <c r="EM55" s="108"/>
      <c r="EN55" s="108"/>
      <c r="EO55" s="108"/>
      <c r="EP55" s="108"/>
      <c r="EQ55" s="108"/>
      <c r="ER55" s="108"/>
      <c r="ES55" s="106"/>
      <c r="ET55" s="106"/>
      <c r="EU55" s="106"/>
      <c r="EV55" s="106"/>
      <c r="EW55" s="106"/>
      <c r="EX55" s="106"/>
      <c r="EY55" s="106"/>
      <c r="EZ55" s="106"/>
      <c r="FA55" s="106"/>
      <c r="FB55" s="106"/>
      <c r="FC55" s="106"/>
      <c r="FD55" s="106"/>
      <c r="FE55" s="126"/>
      <c r="FF55" s="126"/>
      <c r="FG55" s="106"/>
      <c r="FH55" s="106"/>
      <c r="FI55" s="106"/>
      <c r="FJ55" s="106"/>
      <c r="FK55" s="17">
        <f t="shared" si="280"/>
        <v>0</v>
      </c>
      <c r="FL55" s="18"/>
      <c r="FM55" s="19">
        <f t="shared" si="119"/>
        <v>0</v>
      </c>
      <c r="FN55" s="19">
        <f t="shared" si="120"/>
        <v>0</v>
      </c>
      <c r="FO55" s="19">
        <f t="shared" si="121"/>
        <v>0</v>
      </c>
      <c r="FP55" s="19">
        <f t="shared" si="122"/>
        <v>0</v>
      </c>
      <c r="FQ55" s="19">
        <f t="shared" si="123"/>
        <v>0</v>
      </c>
      <c r="FR55" s="19">
        <f t="shared" si="124"/>
        <v>0</v>
      </c>
      <c r="FS55" s="19">
        <f t="shared" si="125"/>
        <v>0</v>
      </c>
      <c r="FT55" s="19">
        <f t="shared" si="126"/>
        <v>0</v>
      </c>
      <c r="FU55" s="19">
        <f t="shared" si="127"/>
        <v>0</v>
      </c>
      <c r="FV55" s="19">
        <f t="shared" si="128"/>
        <v>0</v>
      </c>
      <c r="FW55" s="19">
        <f t="shared" si="129"/>
        <v>0</v>
      </c>
      <c r="FX55" s="19">
        <f t="shared" si="130"/>
        <v>0</v>
      </c>
      <c r="FY55" s="19">
        <f t="shared" si="131"/>
        <v>0</v>
      </c>
      <c r="FZ55" s="19">
        <f t="shared" si="132"/>
        <v>0</v>
      </c>
      <c r="GA55" s="19">
        <f t="shared" si="133"/>
        <v>0</v>
      </c>
      <c r="GB55" s="19">
        <f t="shared" si="134"/>
        <v>0</v>
      </c>
      <c r="GC55" s="19">
        <f t="shared" si="135"/>
        <v>0</v>
      </c>
      <c r="GD55" s="19">
        <f t="shared" si="136"/>
        <v>0</v>
      </c>
      <c r="GE55" s="19">
        <f t="shared" si="137"/>
        <v>0</v>
      </c>
      <c r="GF55" s="19">
        <f t="shared" si="138"/>
        <v>0</v>
      </c>
      <c r="GG55" s="19">
        <f t="shared" si="139"/>
        <v>0</v>
      </c>
      <c r="GH55" s="19">
        <f t="shared" si="140"/>
        <v>0</v>
      </c>
      <c r="GI55" s="19">
        <f t="shared" si="141"/>
        <v>0</v>
      </c>
      <c r="GJ55" s="19">
        <f t="shared" si="142"/>
        <v>0</v>
      </c>
      <c r="GK55" s="19">
        <f t="shared" si="143"/>
        <v>0</v>
      </c>
      <c r="GL55" s="19">
        <f t="shared" si="144"/>
        <v>0</v>
      </c>
      <c r="GM55" s="19">
        <f t="shared" si="145"/>
        <v>0</v>
      </c>
      <c r="GN55" s="19">
        <f t="shared" si="146"/>
        <v>0</v>
      </c>
      <c r="GO55" s="19">
        <f t="shared" si="147"/>
        <v>0.75</v>
      </c>
      <c r="GP55" s="19">
        <f t="shared" si="148"/>
        <v>0</v>
      </c>
      <c r="GQ55" s="19">
        <f t="shared" si="149"/>
        <v>0</v>
      </c>
      <c r="GR55" s="19">
        <f t="shared" si="150"/>
        <v>0</v>
      </c>
      <c r="GS55" s="19">
        <f t="shared" si="151"/>
        <v>0</v>
      </c>
      <c r="GT55" s="19">
        <f t="shared" si="152"/>
        <v>0</v>
      </c>
      <c r="GU55" s="19">
        <f t="shared" si="153"/>
        <v>0</v>
      </c>
      <c r="GV55" s="19">
        <f t="shared" si="154"/>
        <v>0</v>
      </c>
      <c r="GW55" s="19">
        <f t="shared" si="155"/>
        <v>0</v>
      </c>
      <c r="GX55" s="19">
        <f t="shared" si="156"/>
        <v>0</v>
      </c>
      <c r="GY55" s="19">
        <f t="shared" si="157"/>
        <v>0</v>
      </c>
      <c r="GZ55" s="19">
        <f t="shared" si="158"/>
        <v>0</v>
      </c>
      <c r="HA55" s="19">
        <f t="shared" si="159"/>
        <v>0</v>
      </c>
      <c r="HB55" s="19">
        <f t="shared" si="160"/>
        <v>0</v>
      </c>
      <c r="HC55" s="19">
        <f t="shared" si="161"/>
        <v>0</v>
      </c>
      <c r="HD55" s="19">
        <f t="shared" si="162"/>
        <v>0</v>
      </c>
      <c r="HE55" s="19">
        <f t="shared" si="163"/>
        <v>0</v>
      </c>
      <c r="HF55" s="19">
        <f t="shared" si="164"/>
        <v>0</v>
      </c>
      <c r="HG55" s="19">
        <f t="shared" si="165"/>
        <v>0</v>
      </c>
      <c r="HH55" s="19">
        <f t="shared" si="166"/>
        <v>0</v>
      </c>
      <c r="HI55" s="19">
        <f t="shared" si="167"/>
        <v>0</v>
      </c>
      <c r="HJ55" s="19">
        <f t="shared" si="168"/>
        <v>0</v>
      </c>
      <c r="HK55" s="19">
        <f t="shared" si="169"/>
        <v>0.75</v>
      </c>
      <c r="HL55" s="19">
        <f t="shared" si="170"/>
        <v>0</v>
      </c>
      <c r="HM55" s="20">
        <f t="shared" si="171"/>
        <v>1.5</v>
      </c>
      <c r="HN55" s="53">
        <v>2215</v>
      </c>
      <c r="HO55" s="21">
        <f t="shared" si="172"/>
        <v>0</v>
      </c>
      <c r="HP55" s="21">
        <f t="shared" si="173"/>
        <v>0</v>
      </c>
      <c r="HQ55" s="21">
        <f t="shared" si="174"/>
        <v>0</v>
      </c>
      <c r="HR55" s="21">
        <f t="shared" si="175"/>
        <v>0</v>
      </c>
      <c r="HS55" s="21">
        <f t="shared" si="176"/>
        <v>0</v>
      </c>
      <c r="HT55" s="69">
        <f t="shared" si="177"/>
        <v>0</v>
      </c>
      <c r="HU55" s="21">
        <f t="shared" si="178"/>
        <v>0</v>
      </c>
      <c r="HV55" s="21">
        <f t="shared" si="179"/>
        <v>0</v>
      </c>
      <c r="HW55" s="21">
        <f t="shared" si="180"/>
        <v>0</v>
      </c>
      <c r="HX55" s="21">
        <f t="shared" si="181"/>
        <v>0</v>
      </c>
      <c r="HY55" s="21">
        <f t="shared" si="182"/>
        <v>0</v>
      </c>
      <c r="HZ55" s="21">
        <f t="shared" si="183"/>
        <v>0</v>
      </c>
      <c r="IA55" s="21">
        <f t="shared" si="184"/>
        <v>0</v>
      </c>
      <c r="IB55" s="21">
        <f t="shared" si="185"/>
        <v>0</v>
      </c>
      <c r="IC55" s="21">
        <f t="shared" si="186"/>
        <v>0</v>
      </c>
      <c r="ID55" s="21">
        <f t="shared" si="187"/>
        <v>0</v>
      </c>
      <c r="IE55" s="21">
        <f t="shared" si="188"/>
        <v>0</v>
      </c>
      <c r="IF55" s="69">
        <f t="shared" si="189"/>
        <v>0</v>
      </c>
      <c r="IG55" s="69">
        <f t="shared" si="190"/>
        <v>0</v>
      </c>
      <c r="IH55" s="69">
        <f t="shared" si="191"/>
        <v>0</v>
      </c>
      <c r="II55" s="21">
        <f t="shared" si="192"/>
        <v>0</v>
      </c>
      <c r="IJ55" s="21">
        <f t="shared" si="193"/>
        <v>0</v>
      </c>
      <c r="IK55" s="21">
        <f t="shared" si="194"/>
        <v>0</v>
      </c>
      <c r="IL55" s="21">
        <f t="shared" si="195"/>
        <v>0</v>
      </c>
      <c r="IM55" s="21">
        <f t="shared" si="196"/>
        <v>0</v>
      </c>
      <c r="IN55" s="21">
        <f t="shared" si="197"/>
        <v>0</v>
      </c>
      <c r="IO55" s="21">
        <f t="shared" si="198"/>
        <v>0</v>
      </c>
      <c r="IP55" s="21">
        <f t="shared" si="199"/>
        <v>0</v>
      </c>
      <c r="IQ55" s="21">
        <f t="shared" si="200"/>
        <v>1107.5</v>
      </c>
      <c r="IR55" s="21">
        <f t="shared" si="201"/>
        <v>0</v>
      </c>
      <c r="IS55" s="21">
        <f t="shared" si="202"/>
        <v>0</v>
      </c>
      <c r="IT55" s="21">
        <f t="shared" si="203"/>
        <v>0</v>
      </c>
      <c r="IU55" s="21">
        <f t="shared" si="204"/>
        <v>0</v>
      </c>
      <c r="IV55" s="21">
        <f t="shared" si="205"/>
        <v>0</v>
      </c>
      <c r="IW55" s="21">
        <f t="shared" si="206"/>
        <v>0</v>
      </c>
      <c r="IX55" s="21">
        <f t="shared" si="207"/>
        <v>0</v>
      </c>
      <c r="IY55" s="21">
        <f t="shared" si="208"/>
        <v>0</v>
      </c>
      <c r="IZ55" s="21">
        <f t="shared" si="209"/>
        <v>0</v>
      </c>
      <c r="JA55" s="21">
        <f t="shared" si="210"/>
        <v>0</v>
      </c>
      <c r="JB55" s="21">
        <f t="shared" si="211"/>
        <v>0</v>
      </c>
      <c r="JC55" s="21">
        <f t="shared" si="212"/>
        <v>0</v>
      </c>
      <c r="JD55" s="21">
        <f t="shared" si="213"/>
        <v>0</v>
      </c>
      <c r="JE55" s="21">
        <f t="shared" si="214"/>
        <v>0</v>
      </c>
      <c r="JF55" s="21">
        <f t="shared" si="215"/>
        <v>0</v>
      </c>
      <c r="JG55" s="21">
        <f t="shared" si="216"/>
        <v>0</v>
      </c>
      <c r="JH55" s="21">
        <f t="shared" si="217"/>
        <v>0</v>
      </c>
      <c r="JI55" s="21">
        <f t="shared" si="218"/>
        <v>0</v>
      </c>
      <c r="JJ55" s="21">
        <f t="shared" si="219"/>
        <v>0</v>
      </c>
      <c r="JK55" s="21">
        <f t="shared" si="220"/>
        <v>0</v>
      </c>
      <c r="JL55" s="21">
        <f t="shared" si="221"/>
        <v>0</v>
      </c>
      <c r="JM55" s="21">
        <f t="shared" si="222"/>
        <v>1107.5</v>
      </c>
      <c r="JN55" s="21">
        <f t="shared" si="223"/>
        <v>0</v>
      </c>
      <c r="JO55" s="35">
        <f t="shared" si="287"/>
        <v>2215</v>
      </c>
      <c r="JP55" s="38">
        <f t="shared" si="288"/>
        <v>0</v>
      </c>
      <c r="JQ55" s="43">
        <f t="shared" si="224"/>
        <v>0</v>
      </c>
      <c r="JR55" s="43">
        <f t="shared" si="225"/>
        <v>0</v>
      </c>
      <c r="JS55" s="43">
        <f t="shared" si="226"/>
        <v>0</v>
      </c>
      <c r="JT55" s="43">
        <f t="shared" si="227"/>
        <v>0</v>
      </c>
      <c r="JU55" s="43">
        <f t="shared" si="228"/>
        <v>0</v>
      </c>
      <c r="JV55" s="43">
        <f t="shared" si="229"/>
        <v>0</v>
      </c>
      <c r="JW55" s="43">
        <f t="shared" si="230"/>
        <v>0</v>
      </c>
      <c r="JX55" s="43">
        <f t="shared" si="231"/>
        <v>0</v>
      </c>
      <c r="JY55" s="43">
        <f t="shared" si="232"/>
        <v>0</v>
      </c>
      <c r="JZ55" s="43">
        <f t="shared" si="233"/>
        <v>0</v>
      </c>
      <c r="KA55" s="43">
        <f t="shared" si="234"/>
        <v>0</v>
      </c>
      <c r="KB55" s="43">
        <f t="shared" si="235"/>
        <v>0</v>
      </c>
      <c r="KC55" s="43">
        <f t="shared" si="236"/>
        <v>0</v>
      </c>
      <c r="KD55" s="43">
        <f t="shared" si="237"/>
        <v>0</v>
      </c>
      <c r="KE55" s="43">
        <f t="shared" si="238"/>
        <v>0</v>
      </c>
      <c r="KF55" s="43">
        <f t="shared" si="239"/>
        <v>0</v>
      </c>
      <c r="KG55" s="43">
        <f t="shared" si="240"/>
        <v>0</v>
      </c>
      <c r="KH55" s="43">
        <f t="shared" si="241"/>
        <v>0</v>
      </c>
      <c r="KI55" s="43">
        <f t="shared" si="242"/>
        <v>0</v>
      </c>
      <c r="KJ55" s="43">
        <f t="shared" si="243"/>
        <v>0</v>
      </c>
      <c r="KK55" s="43">
        <f t="shared" si="244"/>
        <v>0</v>
      </c>
      <c r="KL55" s="43">
        <f t="shared" si="245"/>
        <v>0</v>
      </c>
      <c r="KM55" s="43">
        <f t="shared" si="246"/>
        <v>0</v>
      </c>
      <c r="KN55" s="43">
        <f t="shared" si="247"/>
        <v>0</v>
      </c>
      <c r="KO55" s="43">
        <f t="shared" si="248"/>
        <v>0</v>
      </c>
      <c r="KP55" s="43">
        <f t="shared" si="249"/>
        <v>0</v>
      </c>
      <c r="KQ55" s="43">
        <f t="shared" si="250"/>
        <v>0</v>
      </c>
      <c r="KR55" s="43">
        <f t="shared" si="251"/>
        <v>0</v>
      </c>
      <c r="KS55" s="43">
        <f t="shared" si="252"/>
        <v>3786.9090713131313</v>
      </c>
      <c r="KT55" s="43">
        <f t="shared" si="253"/>
        <v>0</v>
      </c>
      <c r="KU55" s="43">
        <f t="shared" si="254"/>
        <v>0</v>
      </c>
      <c r="KV55" s="43">
        <f t="shared" si="255"/>
        <v>0</v>
      </c>
      <c r="KW55" s="43">
        <f t="shared" si="256"/>
        <v>0</v>
      </c>
      <c r="KX55" s="43">
        <f t="shared" si="257"/>
        <v>0</v>
      </c>
      <c r="KY55" s="43">
        <f t="shared" si="258"/>
        <v>0</v>
      </c>
      <c r="KZ55" s="43">
        <f t="shared" si="259"/>
        <v>0</v>
      </c>
      <c r="LA55" s="43">
        <f t="shared" si="260"/>
        <v>0</v>
      </c>
      <c r="LB55" s="43">
        <f t="shared" si="261"/>
        <v>0</v>
      </c>
      <c r="LC55" s="43">
        <f t="shared" si="262"/>
        <v>0</v>
      </c>
      <c r="LD55" s="43">
        <f t="shared" si="263"/>
        <v>0</v>
      </c>
      <c r="LE55" s="43">
        <f t="shared" si="264"/>
        <v>0</v>
      </c>
      <c r="LF55" s="43">
        <f t="shared" si="265"/>
        <v>0</v>
      </c>
      <c r="LG55" s="43">
        <f t="shared" si="266"/>
        <v>0</v>
      </c>
      <c r="LH55" s="43">
        <f t="shared" si="267"/>
        <v>0</v>
      </c>
      <c r="LI55" s="43">
        <f t="shared" si="268"/>
        <v>0</v>
      </c>
      <c r="LJ55" s="43">
        <f t="shared" si="269"/>
        <v>0</v>
      </c>
      <c r="LK55" s="43">
        <f t="shared" si="270"/>
        <v>0</v>
      </c>
      <c r="LL55" s="43">
        <f t="shared" si="271"/>
        <v>0</v>
      </c>
      <c r="LM55" s="43">
        <f t="shared" si="272"/>
        <v>0</v>
      </c>
      <c r="LN55" s="43">
        <f t="shared" si="273"/>
        <v>0</v>
      </c>
      <c r="LO55" s="43">
        <f t="shared" si="274"/>
        <v>4926.1157000000003</v>
      </c>
      <c r="LP55" s="43">
        <f t="shared" si="275"/>
        <v>0</v>
      </c>
      <c r="LQ55" s="28">
        <f t="shared" si="289"/>
        <v>8713.0247713131321</v>
      </c>
      <c r="LR55" s="65">
        <v>2152</v>
      </c>
      <c r="LS55" s="32">
        <f t="shared" si="281"/>
        <v>4.048803332394578</v>
      </c>
      <c r="LT55" s="26">
        <f t="shared" si="282"/>
        <v>1.1062304186870431</v>
      </c>
      <c r="LU55" s="31">
        <f t="shared" si="290"/>
        <v>63</v>
      </c>
      <c r="LW55" s="42"/>
      <c r="MA55" s="32">
        <f t="shared" si="291"/>
        <v>3.9336454949494954</v>
      </c>
      <c r="MB55" s="26">
        <f t="shared" si="283"/>
        <v>1.0747665286747254</v>
      </c>
    </row>
    <row r="56" spans="1:340" ht="15.75" thickBot="1">
      <c r="A56" t="b">
        <f t="shared" si="285"/>
        <v>1</v>
      </c>
      <c r="B56" s="123" t="s">
        <v>199</v>
      </c>
      <c r="C56" s="39" t="s">
        <v>200</v>
      </c>
      <c r="D56"/>
      <c r="E56" s="97">
        <v>46035</v>
      </c>
      <c r="F56" t="s">
        <v>43</v>
      </c>
      <c r="G56" t="s">
        <v>20</v>
      </c>
      <c r="H56" t="s">
        <v>27</v>
      </c>
      <c r="I56" s="77"/>
      <c r="J56" s="77"/>
      <c r="K56" s="77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24"/>
      <c r="AG56" s="124"/>
      <c r="AH56" s="104"/>
      <c r="AI56" s="104"/>
      <c r="AJ56" s="22">
        <v>0.4</v>
      </c>
      <c r="AK56" s="22"/>
      <c r="AL56" s="22"/>
      <c r="AM56" s="22"/>
      <c r="AN56" s="22"/>
      <c r="AO56" s="104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104"/>
      <c r="BA56" s="104"/>
      <c r="BB56" s="104"/>
      <c r="BC56" s="124">
        <v>0.6</v>
      </c>
      <c r="BD56" s="124"/>
      <c r="BE56" s="104"/>
      <c r="BF56" s="104"/>
      <c r="BG56" s="104"/>
      <c r="BH56" s="104"/>
      <c r="BI56" s="78">
        <f t="shared" si="294"/>
        <v>1</v>
      </c>
      <c r="BJ56" s="105"/>
      <c r="BK56" s="105"/>
      <c r="BL56" s="105"/>
      <c r="BM56" s="105"/>
      <c r="BN56" s="105"/>
      <c r="BO56" s="105"/>
      <c r="BP56" s="105"/>
      <c r="BQ56" s="105"/>
      <c r="BR56" s="105"/>
      <c r="BS56" s="105"/>
      <c r="BT56" s="105"/>
      <c r="BU56" s="105"/>
      <c r="BV56" s="105"/>
      <c r="BW56" s="105"/>
      <c r="BX56" s="105"/>
      <c r="BY56" s="105"/>
      <c r="BZ56" s="105"/>
      <c r="CA56" s="105"/>
      <c r="CB56" s="105"/>
      <c r="CC56" s="105"/>
      <c r="CD56" s="105"/>
      <c r="CE56" s="105"/>
      <c r="CF56" s="120"/>
      <c r="CG56" s="128"/>
      <c r="CH56" s="128"/>
      <c r="CI56" s="105"/>
      <c r="CJ56" s="105"/>
      <c r="CK56" s="105"/>
      <c r="CL56" s="105">
        <v>0.4</v>
      </c>
      <c r="CM56" s="105"/>
      <c r="CN56" s="105"/>
      <c r="CO56" s="105"/>
      <c r="CP56" s="105"/>
      <c r="CQ56" s="105"/>
      <c r="CR56" s="105"/>
      <c r="CS56" s="105"/>
      <c r="CT56" s="105"/>
      <c r="CU56" s="105"/>
      <c r="CV56" s="105"/>
      <c r="CW56" s="105"/>
      <c r="CX56" s="105"/>
      <c r="CY56" s="105"/>
      <c r="CZ56" s="105"/>
      <c r="DA56" s="105"/>
      <c r="DB56" s="105"/>
      <c r="DC56" s="105"/>
      <c r="DD56" s="125">
        <v>0.6</v>
      </c>
      <c r="DE56" s="125"/>
      <c r="DF56" s="105"/>
      <c r="DG56" s="105"/>
      <c r="DH56" s="105"/>
      <c r="DI56" s="105"/>
      <c r="DJ56" s="79">
        <f t="shared" si="286"/>
        <v>1</v>
      </c>
      <c r="DK56" s="108">
        <v>0.3</v>
      </c>
      <c r="DL56" s="108"/>
      <c r="DM56" s="108"/>
      <c r="DN56" s="108"/>
      <c r="DO56" s="108"/>
      <c r="DP56" s="108"/>
      <c r="DQ56" s="108"/>
      <c r="DR56" s="108"/>
      <c r="DS56" s="108">
        <v>0.5</v>
      </c>
      <c r="DT56" s="108"/>
      <c r="DU56" s="108"/>
      <c r="DV56" s="108"/>
      <c r="DW56" s="108"/>
      <c r="DX56" s="108"/>
      <c r="DY56" s="108"/>
      <c r="DZ56" s="108"/>
      <c r="EA56" s="108"/>
      <c r="EB56" s="108"/>
      <c r="EC56" s="108"/>
      <c r="ED56" s="108"/>
      <c r="EE56" s="108"/>
      <c r="EF56" s="108"/>
      <c r="EG56" s="108"/>
      <c r="EH56" s="129"/>
      <c r="EI56" s="129"/>
      <c r="EJ56" s="108"/>
      <c r="EK56" s="108"/>
      <c r="EL56" s="108"/>
      <c r="EM56" s="108"/>
      <c r="EN56" s="108"/>
      <c r="EO56" s="108"/>
      <c r="EP56" s="108"/>
      <c r="EQ56" s="108"/>
      <c r="ER56" s="108"/>
      <c r="ES56" s="106"/>
      <c r="ET56" s="106"/>
      <c r="EU56" s="106">
        <v>0.18</v>
      </c>
      <c r="EV56" s="106"/>
      <c r="EW56" s="106"/>
      <c r="EX56" s="106"/>
      <c r="EY56" s="106"/>
      <c r="EZ56" s="106"/>
      <c r="FA56" s="106"/>
      <c r="FB56" s="106"/>
      <c r="FC56" s="106"/>
      <c r="FD56" s="106"/>
      <c r="FE56" s="126"/>
      <c r="FF56" s="126"/>
      <c r="FG56" s="106"/>
      <c r="FH56" s="106"/>
      <c r="FI56" s="106"/>
      <c r="FJ56" s="106">
        <v>0.02</v>
      </c>
      <c r="FK56" s="17">
        <f t="shared" si="280"/>
        <v>1</v>
      </c>
      <c r="FL56" s="18"/>
      <c r="FM56" s="19">
        <f t="shared" si="119"/>
        <v>0.44999999999999996</v>
      </c>
      <c r="FN56" s="19">
        <f t="shared" si="120"/>
        <v>0</v>
      </c>
      <c r="FO56" s="19">
        <f t="shared" si="121"/>
        <v>0</v>
      </c>
      <c r="FP56" s="19">
        <f t="shared" si="122"/>
        <v>0</v>
      </c>
      <c r="FQ56" s="19">
        <f t="shared" si="123"/>
        <v>0</v>
      </c>
      <c r="FR56" s="19">
        <f t="shared" si="124"/>
        <v>0</v>
      </c>
      <c r="FS56" s="19">
        <f t="shared" si="125"/>
        <v>0</v>
      </c>
      <c r="FT56" s="19">
        <f t="shared" si="126"/>
        <v>0</v>
      </c>
      <c r="FU56" s="19">
        <f t="shared" si="127"/>
        <v>0.75</v>
      </c>
      <c r="FV56" s="19">
        <f t="shared" si="128"/>
        <v>0</v>
      </c>
      <c r="FW56" s="19">
        <f t="shared" si="129"/>
        <v>0</v>
      </c>
      <c r="FX56" s="19">
        <f t="shared" si="130"/>
        <v>0</v>
      </c>
      <c r="FY56" s="19">
        <f t="shared" si="131"/>
        <v>0</v>
      </c>
      <c r="FZ56" s="19">
        <f t="shared" si="132"/>
        <v>0</v>
      </c>
      <c r="GA56" s="19">
        <f t="shared" si="133"/>
        <v>0</v>
      </c>
      <c r="GB56" s="19">
        <f t="shared" si="134"/>
        <v>0</v>
      </c>
      <c r="GC56" s="19">
        <f t="shared" si="135"/>
        <v>0</v>
      </c>
      <c r="GD56" s="19">
        <f t="shared" si="136"/>
        <v>0</v>
      </c>
      <c r="GE56" s="19">
        <f t="shared" si="137"/>
        <v>0</v>
      </c>
      <c r="GF56" s="19">
        <f t="shared" si="138"/>
        <v>0</v>
      </c>
      <c r="GG56" s="19">
        <f t="shared" si="139"/>
        <v>0</v>
      </c>
      <c r="GH56" s="19">
        <f t="shared" si="140"/>
        <v>0</v>
      </c>
      <c r="GI56" s="19">
        <f t="shared" si="141"/>
        <v>0</v>
      </c>
      <c r="GJ56" s="19">
        <f t="shared" si="142"/>
        <v>0</v>
      </c>
      <c r="GK56" s="19">
        <f t="shared" si="143"/>
        <v>0</v>
      </c>
      <c r="GL56" s="19">
        <f t="shared" si="144"/>
        <v>0</v>
      </c>
      <c r="GM56" s="19">
        <f t="shared" si="145"/>
        <v>0</v>
      </c>
      <c r="GN56" s="19">
        <f t="shared" si="146"/>
        <v>0.60000000000000009</v>
      </c>
      <c r="GO56" s="19">
        <f t="shared" si="147"/>
        <v>0.8</v>
      </c>
      <c r="GP56" s="19">
        <f t="shared" si="148"/>
        <v>0</v>
      </c>
      <c r="GQ56" s="19">
        <f t="shared" si="149"/>
        <v>0</v>
      </c>
      <c r="GR56" s="19">
        <f t="shared" si="150"/>
        <v>0</v>
      </c>
      <c r="GS56" s="19">
        <f t="shared" si="151"/>
        <v>0</v>
      </c>
      <c r="GT56" s="19">
        <f t="shared" si="152"/>
        <v>0</v>
      </c>
      <c r="GU56" s="19">
        <f t="shared" si="153"/>
        <v>0</v>
      </c>
      <c r="GV56" s="19">
        <f t="shared" si="154"/>
        <v>0</v>
      </c>
      <c r="GW56" s="19">
        <f t="shared" si="155"/>
        <v>0.27</v>
      </c>
      <c r="GX56" s="19">
        <f t="shared" si="156"/>
        <v>0</v>
      </c>
      <c r="GY56" s="19">
        <f t="shared" si="157"/>
        <v>0</v>
      </c>
      <c r="GZ56" s="19">
        <f t="shared" si="158"/>
        <v>0</v>
      </c>
      <c r="HA56" s="19">
        <f t="shared" si="159"/>
        <v>0</v>
      </c>
      <c r="HB56" s="19">
        <f t="shared" si="160"/>
        <v>0</v>
      </c>
      <c r="HC56" s="19">
        <f t="shared" si="161"/>
        <v>0</v>
      </c>
      <c r="HD56" s="19">
        <f t="shared" si="162"/>
        <v>0</v>
      </c>
      <c r="HE56" s="19">
        <f t="shared" si="163"/>
        <v>0</v>
      </c>
      <c r="HF56" s="19">
        <f t="shared" si="164"/>
        <v>0</v>
      </c>
      <c r="HG56" s="19">
        <f t="shared" si="165"/>
        <v>2.0999999999999996</v>
      </c>
      <c r="HH56" s="19">
        <f t="shared" si="166"/>
        <v>0</v>
      </c>
      <c r="HI56" s="19">
        <f t="shared" si="167"/>
        <v>0</v>
      </c>
      <c r="HJ56" s="19">
        <f t="shared" si="168"/>
        <v>0</v>
      </c>
      <c r="HK56" s="19">
        <f t="shared" si="169"/>
        <v>0</v>
      </c>
      <c r="HL56" s="19">
        <f t="shared" si="170"/>
        <v>0.03</v>
      </c>
      <c r="HM56" s="20">
        <f t="shared" si="171"/>
        <v>5</v>
      </c>
      <c r="HN56" s="53">
        <v>476</v>
      </c>
      <c r="HO56" s="21">
        <f t="shared" si="172"/>
        <v>42.839999999999996</v>
      </c>
      <c r="HP56" s="21">
        <f t="shared" si="173"/>
        <v>0</v>
      </c>
      <c r="HQ56" s="21">
        <f t="shared" si="174"/>
        <v>0</v>
      </c>
      <c r="HR56" s="21">
        <f t="shared" si="175"/>
        <v>0</v>
      </c>
      <c r="HS56" s="21">
        <f t="shared" si="176"/>
        <v>0</v>
      </c>
      <c r="HT56" s="69">
        <f t="shared" si="177"/>
        <v>0</v>
      </c>
      <c r="HU56" s="21">
        <f t="shared" si="178"/>
        <v>0</v>
      </c>
      <c r="HV56" s="21">
        <f t="shared" si="179"/>
        <v>0</v>
      </c>
      <c r="HW56" s="21">
        <f t="shared" si="180"/>
        <v>71.400000000000006</v>
      </c>
      <c r="HX56" s="21">
        <f t="shared" si="181"/>
        <v>0</v>
      </c>
      <c r="HY56" s="21">
        <f t="shared" si="182"/>
        <v>0</v>
      </c>
      <c r="HZ56" s="21">
        <f t="shared" si="183"/>
        <v>0</v>
      </c>
      <c r="IA56" s="21">
        <f t="shared" si="184"/>
        <v>0</v>
      </c>
      <c r="IB56" s="21">
        <f t="shared" si="185"/>
        <v>0</v>
      </c>
      <c r="IC56" s="21">
        <f t="shared" si="186"/>
        <v>0</v>
      </c>
      <c r="ID56" s="21">
        <f t="shared" si="187"/>
        <v>0</v>
      </c>
      <c r="IE56" s="21">
        <f t="shared" si="188"/>
        <v>0</v>
      </c>
      <c r="IF56" s="69">
        <f t="shared" si="189"/>
        <v>0</v>
      </c>
      <c r="IG56" s="69">
        <f t="shared" si="190"/>
        <v>0</v>
      </c>
      <c r="IH56" s="69">
        <f t="shared" si="191"/>
        <v>0</v>
      </c>
      <c r="II56" s="21">
        <f t="shared" si="192"/>
        <v>0</v>
      </c>
      <c r="IJ56" s="21">
        <f t="shared" si="193"/>
        <v>0</v>
      </c>
      <c r="IK56" s="21">
        <f t="shared" si="194"/>
        <v>0</v>
      </c>
      <c r="IL56" s="21">
        <f t="shared" si="195"/>
        <v>0</v>
      </c>
      <c r="IM56" s="21">
        <f t="shared" si="196"/>
        <v>0</v>
      </c>
      <c r="IN56" s="21">
        <f t="shared" si="197"/>
        <v>0</v>
      </c>
      <c r="IO56" s="21">
        <f t="shared" si="198"/>
        <v>0</v>
      </c>
      <c r="IP56" s="21">
        <f t="shared" si="199"/>
        <v>57.120000000000005</v>
      </c>
      <c r="IQ56" s="21">
        <f t="shared" si="200"/>
        <v>76.16</v>
      </c>
      <c r="IR56" s="21">
        <f t="shared" si="201"/>
        <v>0</v>
      </c>
      <c r="IS56" s="21">
        <f t="shared" si="202"/>
        <v>0</v>
      </c>
      <c r="IT56" s="21">
        <f t="shared" si="203"/>
        <v>0</v>
      </c>
      <c r="IU56" s="21">
        <f t="shared" si="204"/>
        <v>0</v>
      </c>
      <c r="IV56" s="21">
        <f t="shared" si="205"/>
        <v>0</v>
      </c>
      <c r="IW56" s="21">
        <f t="shared" si="206"/>
        <v>0</v>
      </c>
      <c r="IX56" s="21">
        <f t="shared" si="207"/>
        <v>0</v>
      </c>
      <c r="IY56" s="21">
        <f t="shared" si="208"/>
        <v>25.704000000000001</v>
      </c>
      <c r="IZ56" s="21">
        <f t="shared" si="209"/>
        <v>0</v>
      </c>
      <c r="JA56" s="21">
        <f t="shared" si="210"/>
        <v>0</v>
      </c>
      <c r="JB56" s="21">
        <f t="shared" si="211"/>
        <v>0</v>
      </c>
      <c r="JC56" s="21">
        <f t="shared" si="212"/>
        <v>0</v>
      </c>
      <c r="JD56" s="21">
        <f t="shared" si="213"/>
        <v>0</v>
      </c>
      <c r="JE56" s="21">
        <f t="shared" si="214"/>
        <v>0</v>
      </c>
      <c r="JF56" s="21">
        <f t="shared" si="215"/>
        <v>0</v>
      </c>
      <c r="JG56" s="21">
        <f t="shared" si="216"/>
        <v>0</v>
      </c>
      <c r="JH56" s="21">
        <f t="shared" si="217"/>
        <v>0</v>
      </c>
      <c r="JI56" s="21">
        <f t="shared" si="218"/>
        <v>199.91999999999996</v>
      </c>
      <c r="JJ56" s="21">
        <f t="shared" si="219"/>
        <v>0</v>
      </c>
      <c r="JK56" s="21">
        <f t="shared" si="220"/>
        <v>0</v>
      </c>
      <c r="JL56" s="21">
        <f t="shared" si="221"/>
        <v>0</v>
      </c>
      <c r="JM56" s="21">
        <f t="shared" si="222"/>
        <v>0</v>
      </c>
      <c r="JN56" s="21">
        <f t="shared" si="223"/>
        <v>2.8559999999999999</v>
      </c>
      <c r="JO56" s="35">
        <f t="shared" si="287"/>
        <v>475.99999999999994</v>
      </c>
      <c r="JP56" s="38">
        <f t="shared" si="288"/>
        <v>0</v>
      </c>
      <c r="JQ56" s="43">
        <f t="shared" si="224"/>
        <v>173.1807</v>
      </c>
      <c r="JR56" s="43">
        <f t="shared" si="225"/>
        <v>0</v>
      </c>
      <c r="JS56" s="43">
        <f t="shared" si="226"/>
        <v>0</v>
      </c>
      <c r="JT56" s="43">
        <f t="shared" si="227"/>
        <v>0</v>
      </c>
      <c r="JU56" s="43">
        <f t="shared" si="228"/>
        <v>0</v>
      </c>
      <c r="JV56" s="43">
        <f t="shared" si="229"/>
        <v>0</v>
      </c>
      <c r="JW56" s="43">
        <f t="shared" si="230"/>
        <v>0</v>
      </c>
      <c r="JX56" s="43">
        <f t="shared" si="231"/>
        <v>0</v>
      </c>
      <c r="JY56" s="43">
        <f t="shared" si="232"/>
        <v>330.70766400000002</v>
      </c>
      <c r="JZ56" s="43">
        <f t="shared" si="233"/>
        <v>0</v>
      </c>
      <c r="KA56" s="43">
        <f t="shared" si="234"/>
        <v>0</v>
      </c>
      <c r="KB56" s="43">
        <f t="shared" si="235"/>
        <v>0</v>
      </c>
      <c r="KC56" s="43">
        <f t="shared" si="236"/>
        <v>0</v>
      </c>
      <c r="KD56" s="43">
        <f t="shared" si="237"/>
        <v>0</v>
      </c>
      <c r="KE56" s="43">
        <f t="shared" si="238"/>
        <v>0</v>
      </c>
      <c r="KF56" s="43">
        <f t="shared" si="239"/>
        <v>0</v>
      </c>
      <c r="KG56" s="43">
        <f t="shared" si="240"/>
        <v>0</v>
      </c>
      <c r="KH56" s="43">
        <f t="shared" si="241"/>
        <v>0</v>
      </c>
      <c r="KI56" s="43">
        <f t="shared" si="242"/>
        <v>0</v>
      </c>
      <c r="KJ56" s="43">
        <f t="shared" si="243"/>
        <v>0</v>
      </c>
      <c r="KK56" s="43">
        <f t="shared" si="244"/>
        <v>0</v>
      </c>
      <c r="KL56" s="43">
        <f t="shared" si="245"/>
        <v>0</v>
      </c>
      <c r="KM56" s="43">
        <f t="shared" si="246"/>
        <v>0</v>
      </c>
      <c r="KN56" s="43">
        <f t="shared" si="247"/>
        <v>0</v>
      </c>
      <c r="KO56" s="43">
        <f t="shared" si="248"/>
        <v>0</v>
      </c>
      <c r="KP56" s="43">
        <f t="shared" si="249"/>
        <v>0</v>
      </c>
      <c r="KQ56" s="43">
        <f t="shared" si="250"/>
        <v>0</v>
      </c>
      <c r="KR56" s="43">
        <f t="shared" si="251"/>
        <v>220.48320000000001</v>
      </c>
      <c r="KS56" s="43">
        <f t="shared" si="252"/>
        <v>260.41624819070705</v>
      </c>
      <c r="KT56" s="43">
        <f t="shared" si="253"/>
        <v>0</v>
      </c>
      <c r="KU56" s="43">
        <f t="shared" si="254"/>
        <v>0</v>
      </c>
      <c r="KV56" s="43">
        <f t="shared" si="255"/>
        <v>0</v>
      </c>
      <c r="KW56" s="43">
        <f t="shared" si="256"/>
        <v>0</v>
      </c>
      <c r="KX56" s="43">
        <f t="shared" si="257"/>
        <v>0</v>
      </c>
      <c r="KY56" s="43">
        <f t="shared" si="258"/>
        <v>0</v>
      </c>
      <c r="KZ56" s="43">
        <f t="shared" si="259"/>
        <v>0</v>
      </c>
      <c r="LA56" s="43">
        <f t="shared" si="260"/>
        <v>102.99181535999999</v>
      </c>
      <c r="LB56" s="43">
        <f t="shared" si="261"/>
        <v>0</v>
      </c>
      <c r="LC56" s="43">
        <f t="shared" si="262"/>
        <v>0</v>
      </c>
      <c r="LD56" s="43">
        <f t="shared" si="263"/>
        <v>0</v>
      </c>
      <c r="LE56" s="43">
        <f t="shared" si="264"/>
        <v>0</v>
      </c>
      <c r="LF56" s="43">
        <f t="shared" si="265"/>
        <v>0</v>
      </c>
      <c r="LG56" s="43">
        <f t="shared" si="266"/>
        <v>0</v>
      </c>
      <c r="LH56" s="43">
        <f t="shared" si="267"/>
        <v>0</v>
      </c>
      <c r="LI56" s="43">
        <f t="shared" si="268"/>
        <v>0</v>
      </c>
      <c r="LJ56" s="43">
        <f t="shared" si="269"/>
        <v>0</v>
      </c>
      <c r="LK56" s="43">
        <f t="shared" si="270"/>
        <v>800.82953999999984</v>
      </c>
      <c r="LL56" s="43">
        <f t="shared" si="271"/>
        <v>0</v>
      </c>
      <c r="LM56" s="43">
        <f t="shared" si="272"/>
        <v>0</v>
      </c>
      <c r="LN56" s="43">
        <f t="shared" si="273"/>
        <v>0</v>
      </c>
      <c r="LO56" s="43">
        <f t="shared" si="274"/>
        <v>0</v>
      </c>
      <c r="LP56" s="43">
        <f t="shared" si="275"/>
        <v>24.133199999999999</v>
      </c>
      <c r="LQ56" s="28">
        <f t="shared" si="289"/>
        <v>1912.7423675507068</v>
      </c>
      <c r="LR56" s="65">
        <v>476</v>
      </c>
      <c r="LS56" s="32">
        <f t="shared" si="281"/>
        <v>4.0183663183838378</v>
      </c>
      <c r="LT56" s="26">
        <f t="shared" si="282"/>
        <v>1.0979142946403928</v>
      </c>
      <c r="LU56" s="31">
        <f t="shared" si="290"/>
        <v>0</v>
      </c>
      <c r="LW56" s="42"/>
      <c r="MA56" s="32">
        <f t="shared" si="291"/>
        <v>4.0183663183838387</v>
      </c>
      <c r="MB56" s="26">
        <f t="shared" si="283"/>
        <v>1.097914294640393</v>
      </c>
    </row>
    <row r="57" spans="1:340" ht="15.75" thickBot="1">
      <c r="A57" t="b">
        <f t="shared" si="285"/>
        <v>1</v>
      </c>
      <c r="B57" s="123" t="s">
        <v>201</v>
      </c>
      <c r="C57" s="39" t="s">
        <v>202</v>
      </c>
      <c r="D57"/>
      <c r="E57" s="97">
        <v>46035</v>
      </c>
      <c r="F57" t="s">
        <v>43</v>
      </c>
      <c r="G57" t="s">
        <v>20</v>
      </c>
      <c r="H57" t="s">
        <v>27</v>
      </c>
      <c r="I57" s="77"/>
      <c r="J57" s="77"/>
      <c r="K57" s="77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24"/>
      <c r="AG57" s="124"/>
      <c r="AH57" s="104"/>
      <c r="AI57" s="104"/>
      <c r="AJ57" s="22">
        <v>0.4</v>
      </c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24">
        <v>0.6</v>
      </c>
      <c r="BD57" s="124"/>
      <c r="BE57" s="104"/>
      <c r="BF57" s="104"/>
      <c r="BG57" s="104"/>
      <c r="BH57" s="104"/>
      <c r="BI57" s="78">
        <f t="shared" si="294"/>
        <v>1</v>
      </c>
      <c r="BJ57" s="105"/>
      <c r="BK57" s="105"/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05"/>
      <c r="CE57" s="105"/>
      <c r="CF57" s="120"/>
      <c r="CG57" s="128"/>
      <c r="CH57" s="128"/>
      <c r="CI57" s="105"/>
      <c r="CJ57" s="105"/>
      <c r="CK57" s="105"/>
      <c r="CL57" s="105">
        <v>0.4</v>
      </c>
      <c r="CM57" s="105"/>
      <c r="CN57" s="105"/>
      <c r="CO57" s="105"/>
      <c r="CP57" s="105"/>
      <c r="CQ57" s="105"/>
      <c r="CR57" s="105"/>
      <c r="CS57" s="105"/>
      <c r="CT57" s="105"/>
      <c r="CU57" s="105"/>
      <c r="CV57" s="105"/>
      <c r="CW57" s="105"/>
      <c r="CX57" s="105"/>
      <c r="CY57" s="105"/>
      <c r="CZ57" s="105"/>
      <c r="DA57" s="105"/>
      <c r="DB57" s="105"/>
      <c r="DC57" s="105"/>
      <c r="DD57" s="125">
        <v>0.6</v>
      </c>
      <c r="DE57" s="125"/>
      <c r="DF57" s="105"/>
      <c r="DG57" s="105"/>
      <c r="DH57" s="105"/>
      <c r="DI57" s="105"/>
      <c r="DJ57" s="79">
        <f t="shared" si="286"/>
        <v>1</v>
      </c>
      <c r="DK57" s="108">
        <v>0.3</v>
      </c>
      <c r="DL57" s="108"/>
      <c r="DM57" s="108"/>
      <c r="DN57" s="108"/>
      <c r="DO57" s="108"/>
      <c r="DP57" s="108"/>
      <c r="DQ57" s="108"/>
      <c r="DR57" s="108"/>
      <c r="DS57" s="108">
        <v>0.5</v>
      </c>
      <c r="DT57" s="108"/>
      <c r="DU57" s="108"/>
      <c r="DV57" s="108"/>
      <c r="DW57" s="108"/>
      <c r="DX57" s="108"/>
      <c r="DY57" s="108"/>
      <c r="DZ57" s="108"/>
      <c r="EA57" s="108"/>
      <c r="EB57" s="108"/>
      <c r="EC57" s="108"/>
      <c r="ED57" s="108"/>
      <c r="EE57" s="108"/>
      <c r="EF57" s="108"/>
      <c r="EG57" s="108"/>
      <c r="EH57" s="129"/>
      <c r="EI57" s="129"/>
      <c r="EJ57" s="108"/>
      <c r="EK57" s="108"/>
      <c r="EL57" s="108"/>
      <c r="EM57" s="108"/>
      <c r="EN57" s="108"/>
      <c r="EO57" s="108"/>
      <c r="EP57" s="108"/>
      <c r="EQ57" s="108"/>
      <c r="ER57" s="108"/>
      <c r="ES57" s="106"/>
      <c r="ET57" s="106"/>
      <c r="EU57" s="106">
        <v>0.18</v>
      </c>
      <c r="EV57" s="106"/>
      <c r="EW57" s="106"/>
      <c r="EX57" s="106"/>
      <c r="EY57" s="106"/>
      <c r="EZ57" s="106"/>
      <c r="FA57" s="106"/>
      <c r="FB57" s="106"/>
      <c r="FC57" s="106"/>
      <c r="FD57" s="106"/>
      <c r="FE57" s="126"/>
      <c r="FF57" s="126"/>
      <c r="FG57" s="106"/>
      <c r="FH57" s="106"/>
      <c r="FI57" s="106"/>
      <c r="FJ57" s="106">
        <v>0.02</v>
      </c>
      <c r="FK57" s="17">
        <f t="shared" si="280"/>
        <v>1</v>
      </c>
      <c r="FL57" s="18"/>
      <c r="FM57" s="19">
        <f t="shared" si="119"/>
        <v>0.44999999999999996</v>
      </c>
      <c r="FN57" s="19">
        <f t="shared" si="120"/>
        <v>0</v>
      </c>
      <c r="FO57" s="19">
        <f t="shared" si="121"/>
        <v>0</v>
      </c>
      <c r="FP57" s="19">
        <f t="shared" si="122"/>
        <v>0</v>
      </c>
      <c r="FQ57" s="19">
        <f t="shared" si="123"/>
        <v>0</v>
      </c>
      <c r="FR57" s="19">
        <f t="shared" si="124"/>
        <v>0</v>
      </c>
      <c r="FS57" s="19">
        <f t="shared" si="125"/>
        <v>0</v>
      </c>
      <c r="FT57" s="19">
        <f t="shared" si="126"/>
        <v>0</v>
      </c>
      <c r="FU57" s="19">
        <f t="shared" si="127"/>
        <v>0.75</v>
      </c>
      <c r="FV57" s="19">
        <f t="shared" si="128"/>
        <v>0</v>
      </c>
      <c r="FW57" s="19">
        <f t="shared" si="129"/>
        <v>0</v>
      </c>
      <c r="FX57" s="19">
        <f t="shared" si="130"/>
        <v>0</v>
      </c>
      <c r="FY57" s="19">
        <f t="shared" si="131"/>
        <v>0</v>
      </c>
      <c r="FZ57" s="19">
        <f t="shared" si="132"/>
        <v>0</v>
      </c>
      <c r="GA57" s="19">
        <f t="shared" si="133"/>
        <v>0</v>
      </c>
      <c r="GB57" s="19">
        <f t="shared" si="134"/>
        <v>0</v>
      </c>
      <c r="GC57" s="19">
        <f t="shared" si="135"/>
        <v>0</v>
      </c>
      <c r="GD57" s="19">
        <f t="shared" si="136"/>
        <v>0</v>
      </c>
      <c r="GE57" s="19">
        <f t="shared" si="137"/>
        <v>0</v>
      </c>
      <c r="GF57" s="19">
        <f t="shared" si="138"/>
        <v>0</v>
      </c>
      <c r="GG57" s="19">
        <f t="shared" si="139"/>
        <v>0</v>
      </c>
      <c r="GH57" s="19">
        <f t="shared" si="140"/>
        <v>0</v>
      </c>
      <c r="GI57" s="19">
        <f t="shared" si="141"/>
        <v>0</v>
      </c>
      <c r="GJ57" s="19">
        <f t="shared" si="142"/>
        <v>0</v>
      </c>
      <c r="GK57" s="19">
        <f t="shared" si="143"/>
        <v>0</v>
      </c>
      <c r="GL57" s="19">
        <f t="shared" si="144"/>
        <v>0</v>
      </c>
      <c r="GM57" s="19">
        <f t="shared" si="145"/>
        <v>0</v>
      </c>
      <c r="GN57" s="19">
        <f t="shared" si="146"/>
        <v>0.60000000000000009</v>
      </c>
      <c r="GO57" s="19">
        <f t="shared" si="147"/>
        <v>0.8</v>
      </c>
      <c r="GP57" s="19">
        <f t="shared" si="148"/>
        <v>0</v>
      </c>
      <c r="GQ57" s="19">
        <f t="shared" si="149"/>
        <v>0</v>
      </c>
      <c r="GR57" s="19">
        <f t="shared" si="150"/>
        <v>0</v>
      </c>
      <c r="GS57" s="19">
        <f t="shared" si="151"/>
        <v>0</v>
      </c>
      <c r="GT57" s="19">
        <f t="shared" si="152"/>
        <v>0</v>
      </c>
      <c r="GU57" s="19">
        <f t="shared" si="153"/>
        <v>0</v>
      </c>
      <c r="GV57" s="19">
        <f t="shared" si="154"/>
        <v>0</v>
      </c>
      <c r="GW57" s="19">
        <f t="shared" si="155"/>
        <v>0.27</v>
      </c>
      <c r="GX57" s="19">
        <f t="shared" si="156"/>
        <v>0</v>
      </c>
      <c r="GY57" s="19">
        <f t="shared" si="157"/>
        <v>0</v>
      </c>
      <c r="GZ57" s="19">
        <f t="shared" si="158"/>
        <v>0</v>
      </c>
      <c r="HA57" s="19">
        <f t="shared" si="159"/>
        <v>0</v>
      </c>
      <c r="HB57" s="19">
        <f t="shared" si="160"/>
        <v>0</v>
      </c>
      <c r="HC57" s="19">
        <f t="shared" si="161"/>
        <v>0</v>
      </c>
      <c r="HD57" s="19">
        <f t="shared" si="162"/>
        <v>0</v>
      </c>
      <c r="HE57" s="19">
        <f t="shared" si="163"/>
        <v>0</v>
      </c>
      <c r="HF57" s="19">
        <f t="shared" si="164"/>
        <v>0</v>
      </c>
      <c r="HG57" s="19">
        <f t="shared" si="165"/>
        <v>2.0999999999999996</v>
      </c>
      <c r="HH57" s="19">
        <f t="shared" si="166"/>
        <v>0</v>
      </c>
      <c r="HI57" s="19">
        <f t="shared" si="167"/>
        <v>0</v>
      </c>
      <c r="HJ57" s="19">
        <f t="shared" si="168"/>
        <v>0</v>
      </c>
      <c r="HK57" s="19">
        <f t="shared" si="169"/>
        <v>0</v>
      </c>
      <c r="HL57" s="19">
        <f t="shared" si="170"/>
        <v>0.03</v>
      </c>
      <c r="HM57" s="20">
        <f t="shared" si="171"/>
        <v>5</v>
      </c>
      <c r="HN57" s="53">
        <v>476</v>
      </c>
      <c r="HO57" s="21">
        <f t="shared" si="172"/>
        <v>42.839999999999996</v>
      </c>
      <c r="HP57" s="21">
        <f t="shared" si="173"/>
        <v>0</v>
      </c>
      <c r="HQ57" s="21">
        <f t="shared" si="174"/>
        <v>0</v>
      </c>
      <c r="HR57" s="21">
        <f t="shared" si="175"/>
        <v>0</v>
      </c>
      <c r="HS57" s="21">
        <f t="shared" si="176"/>
        <v>0</v>
      </c>
      <c r="HT57" s="69">
        <f t="shared" si="177"/>
        <v>0</v>
      </c>
      <c r="HU57" s="21">
        <f t="shared" si="178"/>
        <v>0</v>
      </c>
      <c r="HV57" s="21">
        <f t="shared" si="179"/>
        <v>0</v>
      </c>
      <c r="HW57" s="21">
        <f t="shared" si="180"/>
        <v>71.400000000000006</v>
      </c>
      <c r="HX57" s="21">
        <f t="shared" si="181"/>
        <v>0</v>
      </c>
      <c r="HY57" s="21">
        <f t="shared" si="182"/>
        <v>0</v>
      </c>
      <c r="HZ57" s="21">
        <f t="shared" si="183"/>
        <v>0</v>
      </c>
      <c r="IA57" s="21">
        <f t="shared" si="184"/>
        <v>0</v>
      </c>
      <c r="IB57" s="21">
        <f t="shared" si="185"/>
        <v>0</v>
      </c>
      <c r="IC57" s="21">
        <f t="shared" si="186"/>
        <v>0</v>
      </c>
      <c r="ID57" s="21">
        <f t="shared" si="187"/>
        <v>0</v>
      </c>
      <c r="IE57" s="21">
        <f t="shared" si="188"/>
        <v>0</v>
      </c>
      <c r="IF57" s="69">
        <f t="shared" si="189"/>
        <v>0</v>
      </c>
      <c r="IG57" s="69">
        <f t="shared" si="190"/>
        <v>0</v>
      </c>
      <c r="IH57" s="69">
        <f t="shared" si="191"/>
        <v>0</v>
      </c>
      <c r="II57" s="21">
        <f t="shared" si="192"/>
        <v>0</v>
      </c>
      <c r="IJ57" s="21">
        <f t="shared" si="193"/>
        <v>0</v>
      </c>
      <c r="IK57" s="21">
        <f t="shared" si="194"/>
        <v>0</v>
      </c>
      <c r="IL57" s="21">
        <f t="shared" si="195"/>
        <v>0</v>
      </c>
      <c r="IM57" s="21">
        <f t="shared" si="196"/>
        <v>0</v>
      </c>
      <c r="IN57" s="21">
        <f t="shared" si="197"/>
        <v>0</v>
      </c>
      <c r="IO57" s="21">
        <f t="shared" si="198"/>
        <v>0</v>
      </c>
      <c r="IP57" s="21">
        <f t="shared" si="199"/>
        <v>57.120000000000005</v>
      </c>
      <c r="IQ57" s="21">
        <f t="shared" si="200"/>
        <v>76.16</v>
      </c>
      <c r="IR57" s="21">
        <f t="shared" si="201"/>
        <v>0</v>
      </c>
      <c r="IS57" s="21">
        <f t="shared" si="202"/>
        <v>0</v>
      </c>
      <c r="IT57" s="21">
        <f t="shared" si="203"/>
        <v>0</v>
      </c>
      <c r="IU57" s="21">
        <f t="shared" si="204"/>
        <v>0</v>
      </c>
      <c r="IV57" s="21">
        <f t="shared" si="205"/>
        <v>0</v>
      </c>
      <c r="IW57" s="21">
        <f t="shared" si="206"/>
        <v>0</v>
      </c>
      <c r="IX57" s="21">
        <f t="shared" si="207"/>
        <v>0</v>
      </c>
      <c r="IY57" s="21">
        <f t="shared" si="208"/>
        <v>25.704000000000001</v>
      </c>
      <c r="IZ57" s="21">
        <f t="shared" si="209"/>
        <v>0</v>
      </c>
      <c r="JA57" s="21">
        <f t="shared" si="210"/>
        <v>0</v>
      </c>
      <c r="JB57" s="21">
        <f t="shared" si="211"/>
        <v>0</v>
      </c>
      <c r="JC57" s="21">
        <f t="shared" si="212"/>
        <v>0</v>
      </c>
      <c r="JD57" s="21">
        <f t="shared" si="213"/>
        <v>0</v>
      </c>
      <c r="JE57" s="21">
        <f t="shared" si="214"/>
        <v>0</v>
      </c>
      <c r="JF57" s="21">
        <f t="shared" si="215"/>
        <v>0</v>
      </c>
      <c r="JG57" s="21">
        <f t="shared" si="216"/>
        <v>0</v>
      </c>
      <c r="JH57" s="21">
        <f t="shared" si="217"/>
        <v>0</v>
      </c>
      <c r="JI57" s="21">
        <f t="shared" si="218"/>
        <v>199.91999999999996</v>
      </c>
      <c r="JJ57" s="21">
        <f t="shared" si="219"/>
        <v>0</v>
      </c>
      <c r="JK57" s="21">
        <f t="shared" si="220"/>
        <v>0</v>
      </c>
      <c r="JL57" s="21">
        <f t="shared" si="221"/>
        <v>0</v>
      </c>
      <c r="JM57" s="21">
        <f t="shared" si="222"/>
        <v>0</v>
      </c>
      <c r="JN57" s="21">
        <f t="shared" si="223"/>
        <v>2.8559999999999999</v>
      </c>
      <c r="JO57" s="35">
        <f t="shared" si="287"/>
        <v>475.99999999999994</v>
      </c>
      <c r="JP57" s="38">
        <f t="shared" si="288"/>
        <v>0</v>
      </c>
      <c r="JQ57" s="43">
        <f t="shared" si="224"/>
        <v>173.1807</v>
      </c>
      <c r="JR57" s="43">
        <f t="shared" si="225"/>
        <v>0</v>
      </c>
      <c r="JS57" s="43">
        <f t="shared" si="226"/>
        <v>0</v>
      </c>
      <c r="JT57" s="43">
        <f t="shared" si="227"/>
        <v>0</v>
      </c>
      <c r="JU57" s="43">
        <f t="shared" si="228"/>
        <v>0</v>
      </c>
      <c r="JV57" s="43">
        <f t="shared" si="229"/>
        <v>0</v>
      </c>
      <c r="JW57" s="43">
        <f t="shared" si="230"/>
        <v>0</v>
      </c>
      <c r="JX57" s="43">
        <f t="shared" si="231"/>
        <v>0</v>
      </c>
      <c r="JY57" s="43">
        <f t="shared" si="232"/>
        <v>330.70766400000002</v>
      </c>
      <c r="JZ57" s="43">
        <f t="shared" si="233"/>
        <v>0</v>
      </c>
      <c r="KA57" s="43">
        <f t="shared" si="234"/>
        <v>0</v>
      </c>
      <c r="KB57" s="43">
        <f t="shared" si="235"/>
        <v>0</v>
      </c>
      <c r="KC57" s="43">
        <f t="shared" si="236"/>
        <v>0</v>
      </c>
      <c r="KD57" s="43">
        <f t="shared" si="237"/>
        <v>0</v>
      </c>
      <c r="KE57" s="43">
        <f t="shared" si="238"/>
        <v>0</v>
      </c>
      <c r="KF57" s="43">
        <f t="shared" si="239"/>
        <v>0</v>
      </c>
      <c r="KG57" s="43">
        <f t="shared" si="240"/>
        <v>0</v>
      </c>
      <c r="KH57" s="43">
        <f t="shared" si="241"/>
        <v>0</v>
      </c>
      <c r="KI57" s="43">
        <f t="shared" si="242"/>
        <v>0</v>
      </c>
      <c r="KJ57" s="43">
        <f t="shared" si="243"/>
        <v>0</v>
      </c>
      <c r="KK57" s="43">
        <f t="shared" si="244"/>
        <v>0</v>
      </c>
      <c r="KL57" s="43">
        <f t="shared" si="245"/>
        <v>0</v>
      </c>
      <c r="KM57" s="43">
        <f t="shared" si="246"/>
        <v>0</v>
      </c>
      <c r="KN57" s="43">
        <f t="shared" si="247"/>
        <v>0</v>
      </c>
      <c r="KO57" s="43">
        <f t="shared" si="248"/>
        <v>0</v>
      </c>
      <c r="KP57" s="43">
        <f t="shared" si="249"/>
        <v>0</v>
      </c>
      <c r="KQ57" s="43">
        <f t="shared" si="250"/>
        <v>0</v>
      </c>
      <c r="KR57" s="43">
        <f t="shared" si="251"/>
        <v>220.48320000000001</v>
      </c>
      <c r="KS57" s="43">
        <f t="shared" si="252"/>
        <v>260.41624819070705</v>
      </c>
      <c r="KT57" s="43">
        <f t="shared" si="253"/>
        <v>0</v>
      </c>
      <c r="KU57" s="43">
        <f t="shared" si="254"/>
        <v>0</v>
      </c>
      <c r="KV57" s="43">
        <f t="shared" si="255"/>
        <v>0</v>
      </c>
      <c r="KW57" s="43">
        <f t="shared" si="256"/>
        <v>0</v>
      </c>
      <c r="KX57" s="43">
        <f t="shared" si="257"/>
        <v>0</v>
      </c>
      <c r="KY57" s="43">
        <f t="shared" si="258"/>
        <v>0</v>
      </c>
      <c r="KZ57" s="43">
        <f t="shared" si="259"/>
        <v>0</v>
      </c>
      <c r="LA57" s="43">
        <f t="shared" si="260"/>
        <v>102.99181535999999</v>
      </c>
      <c r="LB57" s="43">
        <f t="shared" si="261"/>
        <v>0</v>
      </c>
      <c r="LC57" s="43">
        <f t="shared" si="262"/>
        <v>0</v>
      </c>
      <c r="LD57" s="43">
        <f t="shared" si="263"/>
        <v>0</v>
      </c>
      <c r="LE57" s="43">
        <f t="shared" si="264"/>
        <v>0</v>
      </c>
      <c r="LF57" s="43">
        <f t="shared" si="265"/>
        <v>0</v>
      </c>
      <c r="LG57" s="43">
        <f t="shared" si="266"/>
        <v>0</v>
      </c>
      <c r="LH57" s="43">
        <f t="shared" si="267"/>
        <v>0</v>
      </c>
      <c r="LI57" s="43">
        <f t="shared" si="268"/>
        <v>0</v>
      </c>
      <c r="LJ57" s="43">
        <f t="shared" si="269"/>
        <v>0</v>
      </c>
      <c r="LK57" s="43">
        <f t="shared" si="270"/>
        <v>800.82953999999984</v>
      </c>
      <c r="LL57" s="43">
        <f t="shared" si="271"/>
        <v>0</v>
      </c>
      <c r="LM57" s="43">
        <f t="shared" si="272"/>
        <v>0</v>
      </c>
      <c r="LN57" s="43">
        <f t="shared" si="273"/>
        <v>0</v>
      </c>
      <c r="LO57" s="43">
        <f t="shared" si="274"/>
        <v>0</v>
      </c>
      <c r="LP57" s="43">
        <f t="shared" si="275"/>
        <v>24.133199999999999</v>
      </c>
      <c r="LQ57" s="28">
        <f t="shared" si="289"/>
        <v>1912.7423675507068</v>
      </c>
      <c r="LR57" s="65">
        <v>476</v>
      </c>
      <c r="LS57" s="32">
        <f t="shared" si="281"/>
        <v>4.0183663183838378</v>
      </c>
      <c r="LT57" s="26">
        <f t="shared" si="282"/>
        <v>1.0979142946403928</v>
      </c>
      <c r="LU57" s="31">
        <f t="shared" si="290"/>
        <v>0</v>
      </c>
      <c r="LW57" s="42"/>
      <c r="MA57" s="32">
        <f t="shared" si="291"/>
        <v>4.0183663183838387</v>
      </c>
      <c r="MB57" s="26">
        <f t="shared" si="283"/>
        <v>1.097914294640393</v>
      </c>
    </row>
    <row r="58" spans="1:340" ht="15.75" thickBot="1">
      <c r="A58" t="b">
        <f t="shared" si="285"/>
        <v>1</v>
      </c>
      <c r="B58" s="123" t="s">
        <v>203</v>
      </c>
      <c r="C58" s="39" t="s">
        <v>74</v>
      </c>
      <c r="D58"/>
      <c r="E58" s="97">
        <v>46035</v>
      </c>
      <c r="F58" t="s">
        <v>43</v>
      </c>
      <c r="G58" t="s">
        <v>20</v>
      </c>
      <c r="H58" t="s">
        <v>27</v>
      </c>
      <c r="I58" s="77"/>
      <c r="J58" s="77"/>
      <c r="K58" s="77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24"/>
      <c r="AG58" s="124"/>
      <c r="AH58" s="104"/>
      <c r="AI58" s="104"/>
      <c r="AJ58" s="104">
        <v>0.4</v>
      </c>
      <c r="AK58" s="22"/>
      <c r="AL58" s="22"/>
      <c r="AM58" s="22"/>
      <c r="AN58" s="104"/>
      <c r="AO58" s="104"/>
      <c r="AP58" s="22"/>
      <c r="AQ58" s="22"/>
      <c r="AR58" s="22"/>
      <c r="AS58" s="22"/>
      <c r="AT58" s="22"/>
      <c r="AU58" s="22"/>
      <c r="AV58" s="22"/>
      <c r="AW58" s="22"/>
      <c r="AX58" s="22"/>
      <c r="AY58" s="104"/>
      <c r="AZ58" s="104"/>
      <c r="BA58" s="104"/>
      <c r="BB58" s="104"/>
      <c r="BC58" s="124">
        <v>0.6</v>
      </c>
      <c r="BD58" s="124"/>
      <c r="BE58" s="104"/>
      <c r="BF58" s="104"/>
      <c r="BG58" s="104"/>
      <c r="BH58" s="104"/>
      <c r="BI58" s="78">
        <f t="shared" si="294"/>
        <v>1</v>
      </c>
      <c r="BJ58" s="105"/>
      <c r="BK58" s="105"/>
      <c r="BL58" s="105"/>
      <c r="BM58" s="105"/>
      <c r="BN58" s="105"/>
      <c r="BO58" s="105"/>
      <c r="BP58" s="105"/>
      <c r="BQ58" s="105"/>
      <c r="BR58" s="105"/>
      <c r="BS58" s="105"/>
      <c r="BT58" s="105"/>
      <c r="BU58" s="105"/>
      <c r="BV58" s="105"/>
      <c r="BW58" s="105"/>
      <c r="BX58" s="105"/>
      <c r="BY58" s="105"/>
      <c r="BZ58" s="105"/>
      <c r="CA58" s="105"/>
      <c r="CB58" s="105"/>
      <c r="CC58" s="105"/>
      <c r="CD58" s="105"/>
      <c r="CE58" s="105"/>
      <c r="CF58" s="120"/>
      <c r="CG58" s="128"/>
      <c r="CH58" s="128"/>
      <c r="CI58" s="105"/>
      <c r="CJ58" s="105"/>
      <c r="CK58" s="105"/>
      <c r="CL58" s="105">
        <v>0.4</v>
      </c>
      <c r="CM58" s="105"/>
      <c r="CN58" s="105"/>
      <c r="CO58" s="105"/>
      <c r="CP58" s="105"/>
      <c r="CQ58" s="105"/>
      <c r="CR58" s="105"/>
      <c r="CS58" s="105"/>
      <c r="CT58" s="105"/>
      <c r="CU58" s="105"/>
      <c r="CV58" s="105"/>
      <c r="CW58" s="105"/>
      <c r="CX58" s="105"/>
      <c r="CY58" s="105"/>
      <c r="CZ58" s="105"/>
      <c r="DA58" s="105"/>
      <c r="DB58" s="105"/>
      <c r="DC58" s="105"/>
      <c r="DD58" s="125">
        <v>0.6</v>
      </c>
      <c r="DE58" s="125"/>
      <c r="DF58" s="105"/>
      <c r="DG58" s="105"/>
      <c r="DH58" s="105"/>
      <c r="DI58" s="105"/>
      <c r="DJ58" s="79">
        <f t="shared" si="286"/>
        <v>1</v>
      </c>
      <c r="DK58" s="108">
        <v>0.3</v>
      </c>
      <c r="DL58" s="108"/>
      <c r="DM58" s="108"/>
      <c r="DN58" s="108"/>
      <c r="DO58" s="108"/>
      <c r="DP58" s="108"/>
      <c r="DQ58" s="108"/>
      <c r="DR58" s="108"/>
      <c r="DS58" s="108">
        <v>0.5</v>
      </c>
      <c r="DT58" s="108"/>
      <c r="DU58" s="108"/>
      <c r="DV58" s="108"/>
      <c r="DW58" s="108"/>
      <c r="DX58" s="108"/>
      <c r="DY58" s="108"/>
      <c r="DZ58" s="108"/>
      <c r="EA58" s="108"/>
      <c r="EB58" s="108"/>
      <c r="EC58" s="108"/>
      <c r="ED58" s="108"/>
      <c r="EE58" s="108"/>
      <c r="EF58" s="108"/>
      <c r="EG58" s="108"/>
      <c r="EH58" s="129"/>
      <c r="EI58" s="129"/>
      <c r="EJ58" s="108"/>
      <c r="EK58" s="108"/>
      <c r="EL58" s="108"/>
      <c r="EM58" s="108"/>
      <c r="EN58" s="108"/>
      <c r="EO58" s="108"/>
      <c r="EP58" s="108"/>
      <c r="EQ58" s="108"/>
      <c r="ER58" s="108"/>
      <c r="ES58" s="106"/>
      <c r="ET58" s="106"/>
      <c r="EU58" s="106">
        <v>0.18</v>
      </c>
      <c r="EV58" s="106"/>
      <c r="EW58" s="106"/>
      <c r="EX58" s="106"/>
      <c r="EY58" s="106"/>
      <c r="EZ58" s="106"/>
      <c r="FA58" s="106"/>
      <c r="FB58" s="106"/>
      <c r="FC58" s="106"/>
      <c r="FD58" s="106"/>
      <c r="FE58" s="126"/>
      <c r="FF58" s="126"/>
      <c r="FG58" s="106"/>
      <c r="FH58" s="106"/>
      <c r="FI58" s="106"/>
      <c r="FJ58" s="106">
        <v>0.02</v>
      </c>
      <c r="FK58" s="17">
        <f t="shared" si="280"/>
        <v>1</v>
      </c>
      <c r="FL58" s="18"/>
      <c r="FM58" s="19">
        <f t="shared" si="119"/>
        <v>0.44999999999999996</v>
      </c>
      <c r="FN58" s="19">
        <f t="shared" si="120"/>
        <v>0</v>
      </c>
      <c r="FO58" s="19">
        <f t="shared" si="121"/>
        <v>0</v>
      </c>
      <c r="FP58" s="19">
        <f t="shared" si="122"/>
        <v>0</v>
      </c>
      <c r="FQ58" s="19">
        <f t="shared" si="123"/>
        <v>0</v>
      </c>
      <c r="FR58" s="19">
        <f t="shared" si="124"/>
        <v>0</v>
      </c>
      <c r="FS58" s="19">
        <f t="shared" si="125"/>
        <v>0</v>
      </c>
      <c r="FT58" s="19">
        <f t="shared" si="126"/>
        <v>0</v>
      </c>
      <c r="FU58" s="19">
        <f t="shared" si="127"/>
        <v>0.75</v>
      </c>
      <c r="FV58" s="19">
        <f t="shared" si="128"/>
        <v>0</v>
      </c>
      <c r="FW58" s="19">
        <f t="shared" si="129"/>
        <v>0</v>
      </c>
      <c r="FX58" s="19">
        <f t="shared" si="130"/>
        <v>0</v>
      </c>
      <c r="FY58" s="19">
        <f t="shared" si="131"/>
        <v>0</v>
      </c>
      <c r="FZ58" s="19">
        <f t="shared" si="132"/>
        <v>0</v>
      </c>
      <c r="GA58" s="19">
        <f t="shared" si="133"/>
        <v>0</v>
      </c>
      <c r="GB58" s="19">
        <f t="shared" si="134"/>
        <v>0</v>
      </c>
      <c r="GC58" s="19">
        <f t="shared" si="135"/>
        <v>0</v>
      </c>
      <c r="GD58" s="19">
        <f t="shared" si="136"/>
        <v>0</v>
      </c>
      <c r="GE58" s="19">
        <f t="shared" si="137"/>
        <v>0</v>
      </c>
      <c r="GF58" s="19">
        <f t="shared" si="138"/>
        <v>0</v>
      </c>
      <c r="GG58" s="19">
        <f t="shared" si="139"/>
        <v>0</v>
      </c>
      <c r="GH58" s="19">
        <f t="shared" si="140"/>
        <v>0</v>
      </c>
      <c r="GI58" s="19">
        <f t="shared" si="141"/>
        <v>0</v>
      </c>
      <c r="GJ58" s="19">
        <f t="shared" si="142"/>
        <v>0</v>
      </c>
      <c r="GK58" s="19">
        <f t="shared" si="143"/>
        <v>0</v>
      </c>
      <c r="GL58" s="19">
        <f t="shared" si="144"/>
        <v>0</v>
      </c>
      <c r="GM58" s="19">
        <f t="shared" si="145"/>
        <v>0</v>
      </c>
      <c r="GN58" s="19">
        <f t="shared" si="146"/>
        <v>0.60000000000000009</v>
      </c>
      <c r="GO58" s="19">
        <f t="shared" si="147"/>
        <v>0.8</v>
      </c>
      <c r="GP58" s="19">
        <f t="shared" si="148"/>
        <v>0</v>
      </c>
      <c r="GQ58" s="19">
        <f t="shared" si="149"/>
        <v>0</v>
      </c>
      <c r="GR58" s="19">
        <f t="shared" si="150"/>
        <v>0</v>
      </c>
      <c r="GS58" s="19">
        <f t="shared" si="151"/>
        <v>0</v>
      </c>
      <c r="GT58" s="19">
        <f t="shared" si="152"/>
        <v>0</v>
      </c>
      <c r="GU58" s="19">
        <f t="shared" si="153"/>
        <v>0</v>
      </c>
      <c r="GV58" s="19">
        <f t="shared" si="154"/>
        <v>0</v>
      </c>
      <c r="GW58" s="19">
        <f t="shared" si="155"/>
        <v>0.27</v>
      </c>
      <c r="GX58" s="19">
        <f t="shared" si="156"/>
        <v>0</v>
      </c>
      <c r="GY58" s="19">
        <f t="shared" si="157"/>
        <v>0</v>
      </c>
      <c r="GZ58" s="19">
        <f t="shared" si="158"/>
        <v>0</v>
      </c>
      <c r="HA58" s="19">
        <f t="shared" si="159"/>
        <v>0</v>
      </c>
      <c r="HB58" s="19">
        <f t="shared" si="160"/>
        <v>0</v>
      </c>
      <c r="HC58" s="19">
        <f t="shared" si="161"/>
        <v>0</v>
      </c>
      <c r="HD58" s="19">
        <f t="shared" si="162"/>
        <v>0</v>
      </c>
      <c r="HE58" s="19">
        <f t="shared" si="163"/>
        <v>0</v>
      </c>
      <c r="HF58" s="19">
        <f t="shared" si="164"/>
        <v>0</v>
      </c>
      <c r="HG58" s="19">
        <f t="shared" si="165"/>
        <v>2.0999999999999996</v>
      </c>
      <c r="HH58" s="19">
        <f t="shared" si="166"/>
        <v>0</v>
      </c>
      <c r="HI58" s="19">
        <f t="shared" si="167"/>
        <v>0</v>
      </c>
      <c r="HJ58" s="19">
        <f t="shared" si="168"/>
        <v>0</v>
      </c>
      <c r="HK58" s="19">
        <f t="shared" si="169"/>
        <v>0</v>
      </c>
      <c r="HL58" s="19">
        <f t="shared" si="170"/>
        <v>0.03</v>
      </c>
      <c r="HM58" s="20">
        <f t="shared" si="171"/>
        <v>5</v>
      </c>
      <c r="HN58" s="53">
        <v>360</v>
      </c>
      <c r="HO58" s="21">
        <f t="shared" si="172"/>
        <v>32.399999999999991</v>
      </c>
      <c r="HP58" s="21">
        <f t="shared" si="173"/>
        <v>0</v>
      </c>
      <c r="HQ58" s="21">
        <f t="shared" si="174"/>
        <v>0</v>
      </c>
      <c r="HR58" s="21">
        <f t="shared" si="175"/>
        <v>0</v>
      </c>
      <c r="HS58" s="21">
        <f t="shared" si="176"/>
        <v>0</v>
      </c>
      <c r="HT58" s="69">
        <f t="shared" si="177"/>
        <v>0</v>
      </c>
      <c r="HU58" s="21">
        <f t="shared" si="178"/>
        <v>0</v>
      </c>
      <c r="HV58" s="21">
        <f t="shared" si="179"/>
        <v>0</v>
      </c>
      <c r="HW58" s="21">
        <f t="shared" si="180"/>
        <v>54</v>
      </c>
      <c r="HX58" s="21">
        <f t="shared" si="181"/>
        <v>0</v>
      </c>
      <c r="HY58" s="21">
        <f t="shared" si="182"/>
        <v>0</v>
      </c>
      <c r="HZ58" s="21">
        <f t="shared" si="183"/>
        <v>0</v>
      </c>
      <c r="IA58" s="21">
        <f t="shared" si="184"/>
        <v>0</v>
      </c>
      <c r="IB58" s="21">
        <f t="shared" si="185"/>
        <v>0</v>
      </c>
      <c r="IC58" s="21">
        <f t="shared" si="186"/>
        <v>0</v>
      </c>
      <c r="ID58" s="21">
        <f t="shared" si="187"/>
        <v>0</v>
      </c>
      <c r="IE58" s="21">
        <f t="shared" si="188"/>
        <v>0</v>
      </c>
      <c r="IF58" s="69">
        <f t="shared" si="189"/>
        <v>0</v>
      </c>
      <c r="IG58" s="69">
        <f t="shared" si="190"/>
        <v>0</v>
      </c>
      <c r="IH58" s="69">
        <f t="shared" si="191"/>
        <v>0</v>
      </c>
      <c r="II58" s="21">
        <f t="shared" si="192"/>
        <v>0</v>
      </c>
      <c r="IJ58" s="21">
        <f t="shared" si="193"/>
        <v>0</v>
      </c>
      <c r="IK58" s="21">
        <f t="shared" si="194"/>
        <v>0</v>
      </c>
      <c r="IL58" s="21">
        <f t="shared" si="195"/>
        <v>0</v>
      </c>
      <c r="IM58" s="21">
        <f t="shared" si="196"/>
        <v>0</v>
      </c>
      <c r="IN58" s="21">
        <f t="shared" si="197"/>
        <v>0</v>
      </c>
      <c r="IO58" s="21">
        <f t="shared" si="198"/>
        <v>0</v>
      </c>
      <c r="IP58" s="21">
        <f t="shared" si="199"/>
        <v>43.2</v>
      </c>
      <c r="IQ58" s="21">
        <f t="shared" si="200"/>
        <v>57.6</v>
      </c>
      <c r="IR58" s="21">
        <f t="shared" si="201"/>
        <v>0</v>
      </c>
      <c r="IS58" s="21">
        <f t="shared" si="202"/>
        <v>0</v>
      </c>
      <c r="IT58" s="21">
        <f t="shared" si="203"/>
        <v>0</v>
      </c>
      <c r="IU58" s="21">
        <f t="shared" si="204"/>
        <v>0</v>
      </c>
      <c r="IV58" s="21">
        <f t="shared" si="205"/>
        <v>0</v>
      </c>
      <c r="IW58" s="21">
        <f t="shared" si="206"/>
        <v>0</v>
      </c>
      <c r="IX58" s="21">
        <f t="shared" si="207"/>
        <v>0</v>
      </c>
      <c r="IY58" s="21">
        <f t="shared" si="208"/>
        <v>19.440000000000001</v>
      </c>
      <c r="IZ58" s="21">
        <f t="shared" si="209"/>
        <v>0</v>
      </c>
      <c r="JA58" s="21">
        <f t="shared" si="210"/>
        <v>0</v>
      </c>
      <c r="JB58" s="21">
        <f t="shared" si="211"/>
        <v>0</v>
      </c>
      <c r="JC58" s="21">
        <f t="shared" si="212"/>
        <v>0</v>
      </c>
      <c r="JD58" s="21">
        <f t="shared" si="213"/>
        <v>0</v>
      </c>
      <c r="JE58" s="21">
        <f t="shared" si="214"/>
        <v>0</v>
      </c>
      <c r="JF58" s="21">
        <f t="shared" si="215"/>
        <v>0</v>
      </c>
      <c r="JG58" s="21">
        <f t="shared" si="216"/>
        <v>0</v>
      </c>
      <c r="JH58" s="21">
        <f t="shared" si="217"/>
        <v>0</v>
      </c>
      <c r="JI58" s="21">
        <f t="shared" si="218"/>
        <v>151.19999999999999</v>
      </c>
      <c r="JJ58" s="21">
        <f t="shared" si="219"/>
        <v>0</v>
      </c>
      <c r="JK58" s="21">
        <f t="shared" si="220"/>
        <v>0</v>
      </c>
      <c r="JL58" s="21">
        <f t="shared" si="221"/>
        <v>0</v>
      </c>
      <c r="JM58" s="21">
        <f t="shared" si="222"/>
        <v>0</v>
      </c>
      <c r="JN58" s="21">
        <f t="shared" si="223"/>
        <v>2.1599999999999997</v>
      </c>
      <c r="JO58" s="35">
        <f t="shared" si="287"/>
        <v>360</v>
      </c>
      <c r="JP58" s="38">
        <f t="shared" si="288"/>
        <v>0</v>
      </c>
      <c r="JQ58" s="43">
        <f t="shared" si="224"/>
        <v>130.97699999999998</v>
      </c>
      <c r="JR58" s="43">
        <f t="shared" si="225"/>
        <v>0</v>
      </c>
      <c r="JS58" s="43">
        <f t="shared" si="226"/>
        <v>0</v>
      </c>
      <c r="JT58" s="43">
        <f t="shared" si="227"/>
        <v>0</v>
      </c>
      <c r="JU58" s="43">
        <f t="shared" si="228"/>
        <v>0</v>
      </c>
      <c r="JV58" s="43">
        <f t="shared" si="229"/>
        <v>0</v>
      </c>
      <c r="JW58" s="43">
        <f t="shared" si="230"/>
        <v>0</v>
      </c>
      <c r="JX58" s="43">
        <f t="shared" si="231"/>
        <v>0</v>
      </c>
      <c r="JY58" s="43">
        <f t="shared" si="232"/>
        <v>250.11503999999999</v>
      </c>
      <c r="JZ58" s="43">
        <f t="shared" si="233"/>
        <v>0</v>
      </c>
      <c r="KA58" s="43">
        <f t="shared" si="234"/>
        <v>0</v>
      </c>
      <c r="KB58" s="43">
        <f t="shared" si="235"/>
        <v>0</v>
      </c>
      <c r="KC58" s="43">
        <f t="shared" si="236"/>
        <v>0</v>
      </c>
      <c r="KD58" s="43">
        <f t="shared" si="237"/>
        <v>0</v>
      </c>
      <c r="KE58" s="43">
        <f t="shared" si="238"/>
        <v>0</v>
      </c>
      <c r="KF58" s="43">
        <f t="shared" si="239"/>
        <v>0</v>
      </c>
      <c r="KG58" s="43">
        <f t="shared" si="240"/>
        <v>0</v>
      </c>
      <c r="KH58" s="43">
        <f t="shared" si="241"/>
        <v>0</v>
      </c>
      <c r="KI58" s="43">
        <f t="shared" si="242"/>
        <v>0</v>
      </c>
      <c r="KJ58" s="43">
        <f t="shared" si="243"/>
        <v>0</v>
      </c>
      <c r="KK58" s="43">
        <f t="shared" si="244"/>
        <v>0</v>
      </c>
      <c r="KL58" s="43">
        <f t="shared" si="245"/>
        <v>0</v>
      </c>
      <c r="KM58" s="43">
        <f t="shared" si="246"/>
        <v>0</v>
      </c>
      <c r="KN58" s="43">
        <f t="shared" si="247"/>
        <v>0</v>
      </c>
      <c r="KO58" s="43">
        <f t="shared" si="248"/>
        <v>0</v>
      </c>
      <c r="KP58" s="43">
        <f t="shared" si="249"/>
        <v>0</v>
      </c>
      <c r="KQ58" s="43">
        <f t="shared" si="250"/>
        <v>0</v>
      </c>
      <c r="KR58" s="43">
        <f t="shared" si="251"/>
        <v>166.75200000000001</v>
      </c>
      <c r="KS58" s="43">
        <f t="shared" si="252"/>
        <v>196.95346501818182</v>
      </c>
      <c r="KT58" s="43">
        <f t="shared" si="253"/>
        <v>0</v>
      </c>
      <c r="KU58" s="43">
        <f t="shared" si="254"/>
        <v>0</v>
      </c>
      <c r="KV58" s="43">
        <f t="shared" si="255"/>
        <v>0</v>
      </c>
      <c r="KW58" s="43">
        <f t="shared" si="256"/>
        <v>0</v>
      </c>
      <c r="KX58" s="43">
        <f t="shared" si="257"/>
        <v>0</v>
      </c>
      <c r="KY58" s="43">
        <f t="shared" si="258"/>
        <v>0</v>
      </c>
      <c r="KZ58" s="43">
        <f t="shared" si="259"/>
        <v>0</v>
      </c>
      <c r="LA58" s="43">
        <f t="shared" si="260"/>
        <v>77.892969600000001</v>
      </c>
      <c r="LB58" s="43">
        <f t="shared" si="261"/>
        <v>0</v>
      </c>
      <c r="LC58" s="43">
        <f t="shared" si="262"/>
        <v>0</v>
      </c>
      <c r="LD58" s="43">
        <f t="shared" si="263"/>
        <v>0</v>
      </c>
      <c r="LE58" s="43">
        <f t="shared" si="264"/>
        <v>0</v>
      </c>
      <c r="LF58" s="43">
        <f t="shared" si="265"/>
        <v>0</v>
      </c>
      <c r="LG58" s="43">
        <f t="shared" si="266"/>
        <v>0</v>
      </c>
      <c r="LH58" s="43">
        <f t="shared" si="267"/>
        <v>0</v>
      </c>
      <c r="LI58" s="43">
        <f t="shared" si="268"/>
        <v>0</v>
      </c>
      <c r="LJ58" s="43">
        <f t="shared" si="269"/>
        <v>0</v>
      </c>
      <c r="LK58" s="43">
        <f t="shared" si="270"/>
        <v>605.6694</v>
      </c>
      <c r="LL58" s="43">
        <f t="shared" si="271"/>
        <v>0</v>
      </c>
      <c r="LM58" s="43">
        <f t="shared" si="272"/>
        <v>0</v>
      </c>
      <c r="LN58" s="43">
        <f t="shared" si="273"/>
        <v>0</v>
      </c>
      <c r="LO58" s="43">
        <f t="shared" si="274"/>
        <v>0</v>
      </c>
      <c r="LP58" s="43">
        <f t="shared" si="275"/>
        <v>18.251999999999995</v>
      </c>
      <c r="LQ58" s="28">
        <f t="shared" si="289"/>
        <v>1446.6118746181817</v>
      </c>
      <c r="LR58" s="65">
        <v>360</v>
      </c>
      <c r="LS58" s="32">
        <f t="shared" si="281"/>
        <v>4.0183663183838378</v>
      </c>
      <c r="LT58" s="26">
        <f t="shared" si="282"/>
        <v>1.0979142946403928</v>
      </c>
      <c r="LU58" s="31">
        <f t="shared" si="290"/>
        <v>0</v>
      </c>
      <c r="LW58" s="42"/>
      <c r="MA58" s="32">
        <f t="shared" si="291"/>
        <v>4.0183663183838378</v>
      </c>
      <c r="MB58" s="26">
        <f t="shared" si="283"/>
        <v>1.0979142946403928</v>
      </c>
    </row>
    <row r="59" spans="1:340" ht="15.75" thickBot="1">
      <c r="A59" t="b">
        <f t="shared" si="285"/>
        <v>1</v>
      </c>
      <c r="B59" s="123" t="s">
        <v>204</v>
      </c>
      <c r="C59" s="39" t="s">
        <v>108</v>
      </c>
      <c r="D59"/>
      <c r="E59" s="97">
        <v>46031</v>
      </c>
      <c r="F59" t="s">
        <v>43</v>
      </c>
      <c r="G59" t="s">
        <v>20</v>
      </c>
      <c r="H59" t="s">
        <v>27</v>
      </c>
      <c r="I59" s="77"/>
      <c r="J59" s="77"/>
      <c r="K59" s="77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24"/>
      <c r="AG59" s="124"/>
      <c r="AH59" s="104"/>
      <c r="AI59" s="104"/>
      <c r="AJ59" s="22">
        <v>0.3</v>
      </c>
      <c r="AK59" s="22"/>
      <c r="AL59" s="22"/>
      <c r="AM59" s="22"/>
      <c r="AN59" s="22"/>
      <c r="AO59" s="104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104"/>
      <c r="BA59" s="104"/>
      <c r="BB59" s="104"/>
      <c r="BC59" s="124"/>
      <c r="BD59" s="124"/>
      <c r="BE59" s="104"/>
      <c r="BF59" s="104"/>
      <c r="BG59" s="104">
        <v>0.7</v>
      </c>
      <c r="BH59" s="104"/>
      <c r="BI59" s="78">
        <f t="shared" ref="BI59" si="295">SUM(I59:BH59)</f>
        <v>1</v>
      </c>
      <c r="BJ59" s="105"/>
      <c r="BK59" s="105"/>
      <c r="BL59" s="105"/>
      <c r="BM59" s="105"/>
      <c r="BN59" s="105"/>
      <c r="BO59" s="105"/>
      <c r="BP59" s="105"/>
      <c r="BQ59" s="105"/>
      <c r="BR59" s="105"/>
      <c r="BS59" s="105"/>
      <c r="BT59" s="105"/>
      <c r="BU59" s="105"/>
      <c r="BV59" s="105"/>
      <c r="BW59" s="105"/>
      <c r="BX59" s="105"/>
      <c r="BY59" s="105"/>
      <c r="BZ59" s="105"/>
      <c r="CA59" s="105"/>
      <c r="CB59" s="105"/>
      <c r="CC59" s="105"/>
      <c r="CD59" s="105"/>
      <c r="CE59" s="105"/>
      <c r="CF59" s="120"/>
      <c r="CG59" s="128"/>
      <c r="CH59" s="128"/>
      <c r="CI59" s="105"/>
      <c r="CJ59" s="105"/>
      <c r="CK59" s="105"/>
      <c r="CL59" s="105">
        <v>0.3</v>
      </c>
      <c r="CM59" s="105"/>
      <c r="CN59" s="105"/>
      <c r="CO59" s="105"/>
      <c r="CP59" s="105"/>
      <c r="CQ59" s="105"/>
      <c r="CR59" s="105"/>
      <c r="CS59" s="105"/>
      <c r="CT59" s="105"/>
      <c r="CU59" s="105"/>
      <c r="CV59" s="105"/>
      <c r="CW59" s="105"/>
      <c r="CX59" s="105"/>
      <c r="CY59" s="105"/>
      <c r="CZ59" s="105"/>
      <c r="DA59" s="105"/>
      <c r="DB59" s="105"/>
      <c r="DC59" s="105"/>
      <c r="DD59" s="125"/>
      <c r="DE59" s="125"/>
      <c r="DF59" s="105"/>
      <c r="DG59" s="105"/>
      <c r="DH59" s="105">
        <v>0.7</v>
      </c>
      <c r="DI59" s="105"/>
      <c r="DJ59" s="79">
        <f t="shared" si="286"/>
        <v>1</v>
      </c>
      <c r="DK59" s="108"/>
      <c r="DL59" s="108"/>
      <c r="DM59" s="108"/>
      <c r="DN59" s="108"/>
      <c r="DO59" s="108"/>
      <c r="DP59" s="108"/>
      <c r="DQ59" s="108"/>
      <c r="DR59" s="108"/>
      <c r="DS59" s="108"/>
      <c r="DT59" s="108"/>
      <c r="DU59" s="108"/>
      <c r="DV59" s="108"/>
      <c r="DW59" s="108"/>
      <c r="DX59" s="108"/>
      <c r="DY59" s="108"/>
      <c r="DZ59" s="108"/>
      <c r="EA59" s="108">
        <v>0.7</v>
      </c>
      <c r="EB59" s="108"/>
      <c r="EC59" s="108"/>
      <c r="ED59" s="108"/>
      <c r="EE59" s="108"/>
      <c r="EF59" s="108"/>
      <c r="EG59" s="108"/>
      <c r="EH59" s="129"/>
      <c r="EI59" s="129"/>
      <c r="EJ59" s="108"/>
      <c r="EK59" s="108"/>
      <c r="EL59" s="108"/>
      <c r="EM59" s="108">
        <v>0.2</v>
      </c>
      <c r="EN59" s="108"/>
      <c r="EO59" s="108"/>
      <c r="EP59" s="108"/>
      <c r="EQ59" s="108"/>
      <c r="ER59" s="108"/>
      <c r="ES59" s="106"/>
      <c r="ET59" s="106"/>
      <c r="EU59" s="106">
        <v>7.4999999999999997E-2</v>
      </c>
      <c r="EV59" s="106"/>
      <c r="EW59" s="106"/>
      <c r="EX59" s="106"/>
      <c r="EY59" s="106"/>
      <c r="EZ59" s="106"/>
      <c r="FA59" s="106">
        <v>5.0000000000000001E-3</v>
      </c>
      <c r="FB59" s="106"/>
      <c r="FC59" s="106"/>
      <c r="FD59" s="106"/>
      <c r="FE59" s="126"/>
      <c r="FF59" s="126"/>
      <c r="FG59" s="106"/>
      <c r="FH59" s="106"/>
      <c r="FI59" s="106"/>
      <c r="FJ59" s="106">
        <v>0.02</v>
      </c>
      <c r="FK59" s="17">
        <f t="shared" si="280"/>
        <v>0.99999999999999989</v>
      </c>
      <c r="FL59" s="18"/>
      <c r="FM59" s="19">
        <f t="shared" si="119"/>
        <v>0</v>
      </c>
      <c r="FN59" s="19">
        <f t="shared" si="120"/>
        <v>0</v>
      </c>
      <c r="FO59" s="19">
        <f t="shared" si="121"/>
        <v>0</v>
      </c>
      <c r="FP59" s="19">
        <f t="shared" si="122"/>
        <v>0</v>
      </c>
      <c r="FQ59" s="19">
        <f t="shared" si="123"/>
        <v>0</v>
      </c>
      <c r="FR59" s="19">
        <f t="shared" si="124"/>
        <v>0</v>
      </c>
      <c r="FS59" s="19">
        <f t="shared" si="125"/>
        <v>0</v>
      </c>
      <c r="FT59" s="19">
        <f t="shared" si="126"/>
        <v>0</v>
      </c>
      <c r="FU59" s="19">
        <f t="shared" si="127"/>
        <v>0</v>
      </c>
      <c r="FV59" s="19">
        <f t="shared" si="128"/>
        <v>0</v>
      </c>
      <c r="FW59" s="19">
        <f t="shared" si="129"/>
        <v>0</v>
      </c>
      <c r="FX59" s="19">
        <f t="shared" si="130"/>
        <v>0</v>
      </c>
      <c r="FY59" s="19">
        <f t="shared" si="131"/>
        <v>0</v>
      </c>
      <c r="FZ59" s="19">
        <f t="shared" si="132"/>
        <v>0</v>
      </c>
      <c r="GA59" s="19">
        <f t="shared" si="133"/>
        <v>0</v>
      </c>
      <c r="GB59" s="19">
        <f t="shared" si="134"/>
        <v>0</v>
      </c>
      <c r="GC59" s="19">
        <f t="shared" si="135"/>
        <v>1.0499999999999998</v>
      </c>
      <c r="GD59" s="19">
        <f t="shared" si="136"/>
        <v>0</v>
      </c>
      <c r="GE59" s="19">
        <f t="shared" si="137"/>
        <v>0</v>
      </c>
      <c r="GF59" s="19">
        <f t="shared" si="138"/>
        <v>0</v>
      </c>
      <c r="GG59" s="19">
        <f t="shared" si="139"/>
        <v>0</v>
      </c>
      <c r="GH59" s="19">
        <f t="shared" si="140"/>
        <v>0</v>
      </c>
      <c r="GI59" s="19">
        <f t="shared" si="141"/>
        <v>0</v>
      </c>
      <c r="GJ59" s="19">
        <f t="shared" si="142"/>
        <v>0</v>
      </c>
      <c r="GK59" s="19">
        <f t="shared" si="143"/>
        <v>0</v>
      </c>
      <c r="GL59" s="19">
        <f t="shared" si="144"/>
        <v>0</v>
      </c>
      <c r="GM59" s="19">
        <f t="shared" si="145"/>
        <v>0</v>
      </c>
      <c r="GN59" s="19">
        <f t="shared" si="146"/>
        <v>0.44999999999999996</v>
      </c>
      <c r="GO59" s="19">
        <f t="shared" si="147"/>
        <v>0.9</v>
      </c>
      <c r="GP59" s="19">
        <f t="shared" si="148"/>
        <v>0</v>
      </c>
      <c r="GQ59" s="19">
        <f t="shared" si="149"/>
        <v>0</v>
      </c>
      <c r="GR59" s="19">
        <f t="shared" si="150"/>
        <v>0</v>
      </c>
      <c r="GS59" s="19">
        <f t="shared" si="151"/>
        <v>0</v>
      </c>
      <c r="GT59" s="19">
        <f t="shared" si="152"/>
        <v>0</v>
      </c>
      <c r="GU59" s="19">
        <f t="shared" si="153"/>
        <v>0</v>
      </c>
      <c r="GV59" s="19">
        <f t="shared" si="154"/>
        <v>0</v>
      </c>
      <c r="GW59" s="19">
        <f t="shared" si="155"/>
        <v>0.11249999999999999</v>
      </c>
      <c r="GX59" s="19">
        <f t="shared" si="156"/>
        <v>0</v>
      </c>
      <c r="GY59" s="19">
        <f t="shared" si="157"/>
        <v>0</v>
      </c>
      <c r="GZ59" s="19">
        <f t="shared" si="158"/>
        <v>0</v>
      </c>
      <c r="HA59" s="19">
        <f t="shared" si="159"/>
        <v>0</v>
      </c>
      <c r="HB59" s="19">
        <f t="shared" si="160"/>
        <v>0</v>
      </c>
      <c r="HC59" s="19">
        <f t="shared" si="161"/>
        <v>7.4999999999999997E-3</v>
      </c>
      <c r="HD59" s="19">
        <f t="shared" si="162"/>
        <v>0</v>
      </c>
      <c r="HE59" s="19">
        <f t="shared" si="163"/>
        <v>0</v>
      </c>
      <c r="HF59" s="19">
        <f t="shared" si="164"/>
        <v>0</v>
      </c>
      <c r="HG59" s="19">
        <f t="shared" si="165"/>
        <v>0</v>
      </c>
      <c r="HH59" s="19">
        <f t="shared" si="166"/>
        <v>0</v>
      </c>
      <c r="HI59" s="19">
        <f t="shared" si="167"/>
        <v>0</v>
      </c>
      <c r="HJ59" s="19">
        <f t="shared" si="168"/>
        <v>0</v>
      </c>
      <c r="HK59" s="19">
        <f t="shared" si="169"/>
        <v>2.4499999999999997</v>
      </c>
      <c r="HL59" s="19">
        <f t="shared" si="170"/>
        <v>0.03</v>
      </c>
      <c r="HM59" s="20">
        <f t="shared" si="171"/>
        <v>4.9999999999999991</v>
      </c>
      <c r="HN59" s="53">
        <v>1210</v>
      </c>
      <c r="HO59" s="21">
        <f t="shared" si="172"/>
        <v>0</v>
      </c>
      <c r="HP59" s="21">
        <f t="shared" si="173"/>
        <v>0</v>
      </c>
      <c r="HQ59" s="21">
        <f t="shared" si="174"/>
        <v>0</v>
      </c>
      <c r="HR59" s="21">
        <f t="shared" si="175"/>
        <v>0</v>
      </c>
      <c r="HS59" s="21">
        <f t="shared" si="176"/>
        <v>0</v>
      </c>
      <c r="HT59" s="69">
        <f t="shared" si="177"/>
        <v>0</v>
      </c>
      <c r="HU59" s="21">
        <f t="shared" si="178"/>
        <v>0</v>
      </c>
      <c r="HV59" s="21">
        <f t="shared" si="179"/>
        <v>0</v>
      </c>
      <c r="HW59" s="21">
        <f t="shared" si="180"/>
        <v>0</v>
      </c>
      <c r="HX59" s="21">
        <f t="shared" si="181"/>
        <v>0</v>
      </c>
      <c r="HY59" s="21">
        <f t="shared" si="182"/>
        <v>0</v>
      </c>
      <c r="HZ59" s="21">
        <f t="shared" si="183"/>
        <v>0</v>
      </c>
      <c r="IA59" s="21">
        <f t="shared" si="184"/>
        <v>0</v>
      </c>
      <c r="IB59" s="21">
        <f t="shared" si="185"/>
        <v>0</v>
      </c>
      <c r="IC59" s="21">
        <f t="shared" si="186"/>
        <v>0</v>
      </c>
      <c r="ID59" s="21">
        <f t="shared" si="187"/>
        <v>0</v>
      </c>
      <c r="IE59" s="21">
        <f t="shared" si="188"/>
        <v>254.1</v>
      </c>
      <c r="IF59" s="69">
        <f t="shared" si="189"/>
        <v>0</v>
      </c>
      <c r="IG59" s="69">
        <f t="shared" si="190"/>
        <v>0</v>
      </c>
      <c r="IH59" s="69">
        <f t="shared" si="191"/>
        <v>0</v>
      </c>
      <c r="II59" s="21">
        <f t="shared" si="192"/>
        <v>0</v>
      </c>
      <c r="IJ59" s="21">
        <f t="shared" si="193"/>
        <v>0</v>
      </c>
      <c r="IK59" s="21">
        <f t="shared" si="194"/>
        <v>0</v>
      </c>
      <c r="IL59" s="21">
        <f t="shared" si="195"/>
        <v>0</v>
      </c>
      <c r="IM59" s="21">
        <f t="shared" si="196"/>
        <v>0</v>
      </c>
      <c r="IN59" s="21">
        <f t="shared" si="197"/>
        <v>0</v>
      </c>
      <c r="IO59" s="21">
        <f t="shared" si="198"/>
        <v>0</v>
      </c>
      <c r="IP59" s="21">
        <f t="shared" si="199"/>
        <v>108.90000000000002</v>
      </c>
      <c r="IQ59" s="21">
        <f t="shared" si="200"/>
        <v>217.80000000000004</v>
      </c>
      <c r="IR59" s="21">
        <f t="shared" si="201"/>
        <v>0</v>
      </c>
      <c r="IS59" s="21">
        <f t="shared" si="202"/>
        <v>0</v>
      </c>
      <c r="IT59" s="21">
        <f t="shared" si="203"/>
        <v>0</v>
      </c>
      <c r="IU59" s="21">
        <f t="shared" si="204"/>
        <v>0</v>
      </c>
      <c r="IV59" s="21">
        <f t="shared" si="205"/>
        <v>0</v>
      </c>
      <c r="IW59" s="21">
        <f t="shared" si="206"/>
        <v>0</v>
      </c>
      <c r="IX59" s="21">
        <f t="shared" si="207"/>
        <v>0</v>
      </c>
      <c r="IY59" s="21">
        <f t="shared" si="208"/>
        <v>27.225000000000005</v>
      </c>
      <c r="IZ59" s="21">
        <f t="shared" si="209"/>
        <v>0</v>
      </c>
      <c r="JA59" s="21">
        <f t="shared" si="210"/>
        <v>0</v>
      </c>
      <c r="JB59" s="21">
        <f t="shared" si="211"/>
        <v>0</v>
      </c>
      <c r="JC59" s="21">
        <f t="shared" si="212"/>
        <v>0</v>
      </c>
      <c r="JD59" s="21">
        <f t="shared" si="213"/>
        <v>0</v>
      </c>
      <c r="JE59" s="21">
        <f t="shared" si="214"/>
        <v>1.8150000000000002</v>
      </c>
      <c r="JF59" s="21">
        <f t="shared" si="215"/>
        <v>0</v>
      </c>
      <c r="JG59" s="21">
        <f t="shared" si="216"/>
        <v>0</v>
      </c>
      <c r="JH59" s="21">
        <f t="shared" si="217"/>
        <v>0</v>
      </c>
      <c r="JI59" s="21">
        <f t="shared" si="218"/>
        <v>0</v>
      </c>
      <c r="JJ59" s="21">
        <f t="shared" si="219"/>
        <v>0</v>
      </c>
      <c r="JK59" s="21">
        <f t="shared" si="220"/>
        <v>0</v>
      </c>
      <c r="JL59" s="21">
        <f t="shared" si="221"/>
        <v>0</v>
      </c>
      <c r="JM59" s="21">
        <f t="shared" si="222"/>
        <v>592.9</v>
      </c>
      <c r="JN59" s="21">
        <f t="shared" si="223"/>
        <v>7.2600000000000007</v>
      </c>
      <c r="JO59" s="35">
        <f t="shared" si="287"/>
        <v>1210.0000000000002</v>
      </c>
      <c r="JP59" s="38">
        <f t="shared" si="288"/>
        <v>0</v>
      </c>
      <c r="JQ59" s="43">
        <f t="shared" si="224"/>
        <v>0</v>
      </c>
      <c r="JR59" s="43">
        <f t="shared" si="225"/>
        <v>0</v>
      </c>
      <c r="JS59" s="43">
        <f t="shared" si="226"/>
        <v>0</v>
      </c>
      <c r="JT59" s="43">
        <f t="shared" si="227"/>
        <v>0</v>
      </c>
      <c r="JU59" s="43">
        <f t="shared" si="228"/>
        <v>0</v>
      </c>
      <c r="JV59" s="43">
        <f t="shared" si="229"/>
        <v>0</v>
      </c>
      <c r="JW59" s="43">
        <f t="shared" si="230"/>
        <v>0</v>
      </c>
      <c r="JX59" s="43">
        <f t="shared" si="231"/>
        <v>0</v>
      </c>
      <c r="JY59" s="43">
        <f t="shared" si="232"/>
        <v>0</v>
      </c>
      <c r="JZ59" s="43">
        <f t="shared" si="233"/>
        <v>0</v>
      </c>
      <c r="KA59" s="43">
        <f t="shared" si="234"/>
        <v>0</v>
      </c>
      <c r="KB59" s="43">
        <f t="shared" si="235"/>
        <v>0</v>
      </c>
      <c r="KC59" s="43">
        <f t="shared" si="236"/>
        <v>0</v>
      </c>
      <c r="KD59" s="43">
        <f t="shared" si="237"/>
        <v>0</v>
      </c>
      <c r="KE59" s="43">
        <f t="shared" si="238"/>
        <v>0</v>
      </c>
      <c r="KF59" s="43">
        <f t="shared" si="239"/>
        <v>0</v>
      </c>
      <c r="KG59" s="43">
        <f t="shared" si="240"/>
        <v>1054.4959450666668</v>
      </c>
      <c r="KH59" s="43">
        <f t="shared" si="241"/>
        <v>0</v>
      </c>
      <c r="KI59" s="43">
        <f t="shared" si="242"/>
        <v>0</v>
      </c>
      <c r="KJ59" s="43">
        <f t="shared" si="243"/>
        <v>0</v>
      </c>
      <c r="KK59" s="43">
        <f t="shared" si="244"/>
        <v>0</v>
      </c>
      <c r="KL59" s="43">
        <f t="shared" si="245"/>
        <v>0</v>
      </c>
      <c r="KM59" s="43">
        <f t="shared" si="246"/>
        <v>0</v>
      </c>
      <c r="KN59" s="43">
        <f t="shared" si="247"/>
        <v>0</v>
      </c>
      <c r="KO59" s="43">
        <f t="shared" si="248"/>
        <v>0</v>
      </c>
      <c r="KP59" s="43">
        <f t="shared" si="249"/>
        <v>0</v>
      </c>
      <c r="KQ59" s="43">
        <f t="shared" si="250"/>
        <v>0</v>
      </c>
      <c r="KR59" s="43">
        <f t="shared" si="251"/>
        <v>420.35400000000004</v>
      </c>
      <c r="KS59" s="43">
        <f t="shared" si="252"/>
        <v>744.73028960000011</v>
      </c>
      <c r="KT59" s="43">
        <f t="shared" si="253"/>
        <v>0</v>
      </c>
      <c r="KU59" s="43">
        <f t="shared" si="254"/>
        <v>0</v>
      </c>
      <c r="KV59" s="43">
        <f t="shared" si="255"/>
        <v>0</v>
      </c>
      <c r="KW59" s="43">
        <f t="shared" si="256"/>
        <v>0</v>
      </c>
      <c r="KX59" s="43">
        <f t="shared" si="257"/>
        <v>0</v>
      </c>
      <c r="KY59" s="43">
        <f t="shared" si="258"/>
        <v>0</v>
      </c>
      <c r="KZ59" s="43">
        <f t="shared" si="259"/>
        <v>0</v>
      </c>
      <c r="LA59" s="43">
        <f t="shared" si="260"/>
        <v>109.086219</v>
      </c>
      <c r="LB59" s="43">
        <f t="shared" si="261"/>
        <v>0</v>
      </c>
      <c r="LC59" s="43">
        <f t="shared" si="262"/>
        <v>0</v>
      </c>
      <c r="LD59" s="43">
        <f t="shared" si="263"/>
        <v>0</v>
      </c>
      <c r="LE59" s="43">
        <f t="shared" si="264"/>
        <v>0</v>
      </c>
      <c r="LF59" s="43">
        <f t="shared" si="265"/>
        <v>0</v>
      </c>
      <c r="LG59" s="43">
        <f t="shared" si="266"/>
        <v>18.730800000000002</v>
      </c>
      <c r="LH59" s="43">
        <f t="shared" si="267"/>
        <v>0</v>
      </c>
      <c r="LI59" s="43">
        <f t="shared" si="268"/>
        <v>0</v>
      </c>
      <c r="LJ59" s="43">
        <f t="shared" si="269"/>
        <v>0</v>
      </c>
      <c r="LK59" s="43">
        <f t="shared" si="270"/>
        <v>0</v>
      </c>
      <c r="LL59" s="43">
        <f t="shared" si="271"/>
        <v>0</v>
      </c>
      <c r="LM59" s="43">
        <f t="shared" si="272"/>
        <v>0</v>
      </c>
      <c r="LN59" s="43">
        <f t="shared" si="273"/>
        <v>0</v>
      </c>
      <c r="LO59" s="43">
        <f t="shared" si="274"/>
        <v>2637.1954839999999</v>
      </c>
      <c r="LP59" s="43">
        <f t="shared" si="275"/>
        <v>61.347000000000001</v>
      </c>
      <c r="LQ59" s="28">
        <f t="shared" si="289"/>
        <v>5045.9397376666657</v>
      </c>
      <c r="LR59" s="65">
        <v>1186</v>
      </c>
      <c r="LS59" s="32">
        <f t="shared" si="281"/>
        <v>4.2545866253513198</v>
      </c>
      <c r="LT59" s="26">
        <f t="shared" si="282"/>
        <v>1.1624553621178468</v>
      </c>
      <c r="LU59" s="31">
        <f t="shared" si="290"/>
        <v>24</v>
      </c>
      <c r="LW59" s="42"/>
      <c r="MA59" s="32">
        <f t="shared" si="291"/>
        <v>4.1701981303030289</v>
      </c>
      <c r="MB59" s="26">
        <f t="shared" si="283"/>
        <v>1.1393983962576582</v>
      </c>
    </row>
    <row r="60" spans="1:340" ht="15.75" thickBot="1">
      <c r="A60" t="b">
        <f t="shared" si="285"/>
        <v>1</v>
      </c>
      <c r="B60" s="123" t="s">
        <v>205</v>
      </c>
      <c r="C60" s="39" t="s">
        <v>64</v>
      </c>
      <c r="D60"/>
      <c r="E60" s="97">
        <v>46031</v>
      </c>
      <c r="F60" t="s">
        <v>43</v>
      </c>
      <c r="G60" t="s">
        <v>20</v>
      </c>
      <c r="H60" t="s">
        <v>27</v>
      </c>
      <c r="I60" s="77"/>
      <c r="J60" s="77"/>
      <c r="K60" s="77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24"/>
      <c r="AG60" s="124"/>
      <c r="AH60" s="104"/>
      <c r="AI60" s="104"/>
      <c r="AJ60" s="104">
        <v>0.3</v>
      </c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24"/>
      <c r="BD60" s="124"/>
      <c r="BE60" s="104"/>
      <c r="BF60" s="104"/>
      <c r="BG60" s="104">
        <v>0.7</v>
      </c>
      <c r="BH60" s="104"/>
      <c r="BI60" s="78">
        <f t="shared" ref="BI60:BI98" si="296">SUM(I60:BH60)</f>
        <v>1</v>
      </c>
      <c r="BJ60" s="105"/>
      <c r="BK60" s="105"/>
      <c r="BL60" s="105"/>
      <c r="BM60" s="105"/>
      <c r="BN60" s="105"/>
      <c r="BO60" s="105"/>
      <c r="BP60" s="105"/>
      <c r="BQ60" s="105"/>
      <c r="BR60" s="105"/>
      <c r="BS60" s="105"/>
      <c r="BT60" s="105"/>
      <c r="BU60" s="105"/>
      <c r="BV60" s="105"/>
      <c r="BW60" s="105"/>
      <c r="BX60" s="105"/>
      <c r="BY60" s="105"/>
      <c r="BZ60" s="105"/>
      <c r="CA60" s="105"/>
      <c r="CB60" s="105"/>
      <c r="CC60" s="105"/>
      <c r="CD60" s="105"/>
      <c r="CE60" s="105"/>
      <c r="CF60" s="120"/>
      <c r="CG60" s="128"/>
      <c r="CH60" s="128"/>
      <c r="CI60" s="105"/>
      <c r="CJ60" s="105"/>
      <c r="CK60" s="105"/>
      <c r="CL60" s="105">
        <v>0.3</v>
      </c>
      <c r="CM60" s="105"/>
      <c r="CN60" s="105"/>
      <c r="CO60" s="105"/>
      <c r="CP60" s="105"/>
      <c r="CQ60" s="105"/>
      <c r="CR60" s="105"/>
      <c r="CS60" s="105"/>
      <c r="CT60" s="105"/>
      <c r="CU60" s="105"/>
      <c r="CV60" s="105"/>
      <c r="CW60" s="105"/>
      <c r="CX60" s="105"/>
      <c r="CY60" s="105"/>
      <c r="CZ60" s="105"/>
      <c r="DA60" s="105"/>
      <c r="DB60" s="105"/>
      <c r="DC60" s="105"/>
      <c r="DD60" s="125"/>
      <c r="DE60" s="125"/>
      <c r="DF60" s="105"/>
      <c r="DG60" s="105"/>
      <c r="DH60" s="105">
        <v>0.7</v>
      </c>
      <c r="DI60" s="105"/>
      <c r="DJ60" s="79">
        <f t="shared" si="286"/>
        <v>1</v>
      </c>
      <c r="DK60" s="108"/>
      <c r="DL60" s="108"/>
      <c r="DM60" s="108"/>
      <c r="DN60" s="108"/>
      <c r="DO60" s="108"/>
      <c r="DP60" s="108"/>
      <c r="DQ60" s="108"/>
      <c r="DR60" s="108"/>
      <c r="DS60" s="108"/>
      <c r="DT60" s="108"/>
      <c r="DU60" s="108"/>
      <c r="DV60" s="108"/>
      <c r="DW60" s="108"/>
      <c r="DX60" s="108"/>
      <c r="DY60" s="108"/>
      <c r="DZ60" s="108"/>
      <c r="EA60" s="108">
        <v>0.7</v>
      </c>
      <c r="EB60" s="108"/>
      <c r="EC60" s="108"/>
      <c r="ED60" s="108"/>
      <c r="EE60" s="108"/>
      <c r="EF60" s="108"/>
      <c r="EG60" s="108"/>
      <c r="EH60" s="129"/>
      <c r="EI60" s="129"/>
      <c r="EJ60" s="108"/>
      <c r="EK60" s="108"/>
      <c r="EL60" s="108"/>
      <c r="EM60" s="108">
        <v>0.2</v>
      </c>
      <c r="EN60" s="108"/>
      <c r="EO60" s="108"/>
      <c r="EP60" s="108"/>
      <c r="EQ60" s="108"/>
      <c r="ER60" s="108"/>
      <c r="ES60" s="106"/>
      <c r="ET60" s="106"/>
      <c r="EU60" s="106">
        <v>7.4999999999999997E-2</v>
      </c>
      <c r="EV60" s="106"/>
      <c r="EW60" s="106"/>
      <c r="EX60" s="106"/>
      <c r="EY60" s="106"/>
      <c r="EZ60" s="106"/>
      <c r="FA60" s="106">
        <v>5.0000000000000001E-3</v>
      </c>
      <c r="FB60" s="106"/>
      <c r="FC60" s="106"/>
      <c r="FD60" s="106"/>
      <c r="FE60" s="126"/>
      <c r="FF60" s="126"/>
      <c r="FG60" s="106"/>
      <c r="FH60" s="106"/>
      <c r="FI60" s="106"/>
      <c r="FJ60" s="106">
        <v>0.02</v>
      </c>
      <c r="FK60" s="17">
        <f t="shared" si="280"/>
        <v>0.99999999999999989</v>
      </c>
      <c r="FL60" s="18"/>
      <c r="FM60" s="19">
        <f t="shared" si="119"/>
        <v>0</v>
      </c>
      <c r="FN60" s="19">
        <f t="shared" si="120"/>
        <v>0</v>
      </c>
      <c r="FO60" s="19">
        <f t="shared" si="121"/>
        <v>0</v>
      </c>
      <c r="FP60" s="19">
        <f t="shared" si="122"/>
        <v>0</v>
      </c>
      <c r="FQ60" s="19">
        <f t="shared" si="123"/>
        <v>0</v>
      </c>
      <c r="FR60" s="19">
        <f t="shared" si="124"/>
        <v>0</v>
      </c>
      <c r="FS60" s="19">
        <f t="shared" si="125"/>
        <v>0</v>
      </c>
      <c r="FT60" s="19">
        <f t="shared" si="126"/>
        <v>0</v>
      </c>
      <c r="FU60" s="19">
        <f t="shared" si="127"/>
        <v>0</v>
      </c>
      <c r="FV60" s="19">
        <f t="shared" si="128"/>
        <v>0</v>
      </c>
      <c r="FW60" s="19">
        <f t="shared" si="129"/>
        <v>0</v>
      </c>
      <c r="FX60" s="19">
        <f t="shared" si="130"/>
        <v>0</v>
      </c>
      <c r="FY60" s="19">
        <f t="shared" si="131"/>
        <v>0</v>
      </c>
      <c r="FZ60" s="19">
        <f t="shared" si="132"/>
        <v>0</v>
      </c>
      <c r="GA60" s="19">
        <f t="shared" si="133"/>
        <v>0</v>
      </c>
      <c r="GB60" s="19">
        <f t="shared" si="134"/>
        <v>0</v>
      </c>
      <c r="GC60" s="19">
        <f t="shared" si="135"/>
        <v>1.0499999999999998</v>
      </c>
      <c r="GD60" s="19">
        <f t="shared" si="136"/>
        <v>0</v>
      </c>
      <c r="GE60" s="19">
        <f t="shared" si="137"/>
        <v>0</v>
      </c>
      <c r="GF60" s="19">
        <f t="shared" si="138"/>
        <v>0</v>
      </c>
      <c r="GG60" s="19">
        <f t="shared" si="139"/>
        <v>0</v>
      </c>
      <c r="GH60" s="19">
        <f t="shared" si="140"/>
        <v>0</v>
      </c>
      <c r="GI60" s="19">
        <f t="shared" si="141"/>
        <v>0</v>
      </c>
      <c r="GJ60" s="19">
        <f t="shared" si="142"/>
        <v>0</v>
      </c>
      <c r="GK60" s="19">
        <f t="shared" si="143"/>
        <v>0</v>
      </c>
      <c r="GL60" s="19">
        <f t="shared" si="144"/>
        <v>0</v>
      </c>
      <c r="GM60" s="19">
        <f t="shared" si="145"/>
        <v>0</v>
      </c>
      <c r="GN60" s="19">
        <f t="shared" si="146"/>
        <v>0.44999999999999996</v>
      </c>
      <c r="GO60" s="19">
        <f t="shared" si="147"/>
        <v>0.9</v>
      </c>
      <c r="GP60" s="19">
        <f t="shared" si="148"/>
        <v>0</v>
      </c>
      <c r="GQ60" s="19">
        <f t="shared" si="149"/>
        <v>0</v>
      </c>
      <c r="GR60" s="19">
        <f t="shared" si="150"/>
        <v>0</v>
      </c>
      <c r="GS60" s="19">
        <f t="shared" si="151"/>
        <v>0</v>
      </c>
      <c r="GT60" s="19">
        <f t="shared" si="152"/>
        <v>0</v>
      </c>
      <c r="GU60" s="19">
        <f t="shared" si="153"/>
        <v>0</v>
      </c>
      <c r="GV60" s="19">
        <f t="shared" si="154"/>
        <v>0</v>
      </c>
      <c r="GW60" s="19">
        <f t="shared" si="155"/>
        <v>0.11249999999999999</v>
      </c>
      <c r="GX60" s="19">
        <f t="shared" si="156"/>
        <v>0</v>
      </c>
      <c r="GY60" s="19">
        <f t="shared" si="157"/>
        <v>0</v>
      </c>
      <c r="GZ60" s="19">
        <f t="shared" si="158"/>
        <v>0</v>
      </c>
      <c r="HA60" s="19">
        <f t="shared" si="159"/>
        <v>0</v>
      </c>
      <c r="HB60" s="19">
        <f t="shared" si="160"/>
        <v>0</v>
      </c>
      <c r="HC60" s="19">
        <f t="shared" si="161"/>
        <v>7.4999999999999997E-3</v>
      </c>
      <c r="HD60" s="19">
        <f t="shared" si="162"/>
        <v>0</v>
      </c>
      <c r="HE60" s="19">
        <f t="shared" si="163"/>
        <v>0</v>
      </c>
      <c r="HF60" s="19">
        <f t="shared" si="164"/>
        <v>0</v>
      </c>
      <c r="HG60" s="19">
        <f t="shared" si="165"/>
        <v>0</v>
      </c>
      <c r="HH60" s="19">
        <f t="shared" si="166"/>
        <v>0</v>
      </c>
      <c r="HI60" s="19">
        <f t="shared" si="167"/>
        <v>0</v>
      </c>
      <c r="HJ60" s="19">
        <f t="shared" si="168"/>
        <v>0</v>
      </c>
      <c r="HK60" s="19">
        <f t="shared" si="169"/>
        <v>2.4499999999999997</v>
      </c>
      <c r="HL60" s="19">
        <f t="shared" si="170"/>
        <v>0.03</v>
      </c>
      <c r="HM60" s="20">
        <f t="shared" si="171"/>
        <v>4.9999999999999991</v>
      </c>
      <c r="HN60" s="53">
        <v>629</v>
      </c>
      <c r="HO60" s="21">
        <f t="shared" si="172"/>
        <v>0</v>
      </c>
      <c r="HP60" s="21">
        <f t="shared" si="173"/>
        <v>0</v>
      </c>
      <c r="HQ60" s="21">
        <f t="shared" si="174"/>
        <v>0</v>
      </c>
      <c r="HR60" s="21">
        <f t="shared" si="175"/>
        <v>0</v>
      </c>
      <c r="HS60" s="21">
        <f t="shared" si="176"/>
        <v>0</v>
      </c>
      <c r="HT60" s="69">
        <f t="shared" si="177"/>
        <v>0</v>
      </c>
      <c r="HU60" s="21">
        <f t="shared" si="178"/>
        <v>0</v>
      </c>
      <c r="HV60" s="21">
        <f t="shared" si="179"/>
        <v>0</v>
      </c>
      <c r="HW60" s="21">
        <f t="shared" si="180"/>
        <v>0</v>
      </c>
      <c r="HX60" s="21">
        <f t="shared" si="181"/>
        <v>0</v>
      </c>
      <c r="HY60" s="21">
        <f t="shared" si="182"/>
        <v>0</v>
      </c>
      <c r="HZ60" s="21">
        <f t="shared" si="183"/>
        <v>0</v>
      </c>
      <c r="IA60" s="21">
        <f t="shared" si="184"/>
        <v>0</v>
      </c>
      <c r="IB60" s="21">
        <f t="shared" si="185"/>
        <v>0</v>
      </c>
      <c r="IC60" s="21">
        <f t="shared" si="186"/>
        <v>0</v>
      </c>
      <c r="ID60" s="21">
        <f t="shared" si="187"/>
        <v>0</v>
      </c>
      <c r="IE60" s="21">
        <f t="shared" si="188"/>
        <v>132.09</v>
      </c>
      <c r="IF60" s="69">
        <f t="shared" si="189"/>
        <v>0</v>
      </c>
      <c r="IG60" s="69">
        <f t="shared" si="190"/>
        <v>0</v>
      </c>
      <c r="IH60" s="69">
        <f t="shared" si="191"/>
        <v>0</v>
      </c>
      <c r="II60" s="21">
        <f t="shared" si="192"/>
        <v>0</v>
      </c>
      <c r="IJ60" s="21">
        <f t="shared" si="193"/>
        <v>0</v>
      </c>
      <c r="IK60" s="21">
        <f t="shared" si="194"/>
        <v>0</v>
      </c>
      <c r="IL60" s="21">
        <f t="shared" si="195"/>
        <v>0</v>
      </c>
      <c r="IM60" s="21">
        <f t="shared" si="196"/>
        <v>0</v>
      </c>
      <c r="IN60" s="21">
        <f t="shared" si="197"/>
        <v>0</v>
      </c>
      <c r="IO60" s="21">
        <f t="shared" si="198"/>
        <v>0</v>
      </c>
      <c r="IP60" s="21">
        <f t="shared" si="199"/>
        <v>56.61</v>
      </c>
      <c r="IQ60" s="21">
        <f t="shared" si="200"/>
        <v>113.22000000000003</v>
      </c>
      <c r="IR60" s="21">
        <f t="shared" si="201"/>
        <v>0</v>
      </c>
      <c r="IS60" s="21">
        <f t="shared" si="202"/>
        <v>0</v>
      </c>
      <c r="IT60" s="21">
        <f t="shared" si="203"/>
        <v>0</v>
      </c>
      <c r="IU60" s="21">
        <f t="shared" si="204"/>
        <v>0</v>
      </c>
      <c r="IV60" s="21">
        <f t="shared" si="205"/>
        <v>0</v>
      </c>
      <c r="IW60" s="21">
        <f t="shared" si="206"/>
        <v>0</v>
      </c>
      <c r="IX60" s="21">
        <f t="shared" si="207"/>
        <v>0</v>
      </c>
      <c r="IY60" s="21">
        <f t="shared" si="208"/>
        <v>14.1525</v>
      </c>
      <c r="IZ60" s="21">
        <f t="shared" si="209"/>
        <v>0</v>
      </c>
      <c r="JA60" s="21">
        <f t="shared" si="210"/>
        <v>0</v>
      </c>
      <c r="JB60" s="21">
        <f t="shared" si="211"/>
        <v>0</v>
      </c>
      <c r="JC60" s="21">
        <f t="shared" si="212"/>
        <v>0</v>
      </c>
      <c r="JD60" s="21">
        <f t="shared" si="213"/>
        <v>0</v>
      </c>
      <c r="JE60" s="21">
        <f t="shared" si="214"/>
        <v>0.94350000000000023</v>
      </c>
      <c r="JF60" s="21">
        <f t="shared" si="215"/>
        <v>0</v>
      </c>
      <c r="JG60" s="21">
        <f t="shared" si="216"/>
        <v>0</v>
      </c>
      <c r="JH60" s="21">
        <f t="shared" si="217"/>
        <v>0</v>
      </c>
      <c r="JI60" s="21">
        <f t="shared" si="218"/>
        <v>0</v>
      </c>
      <c r="JJ60" s="21">
        <f t="shared" si="219"/>
        <v>0</v>
      </c>
      <c r="JK60" s="21">
        <f t="shared" si="220"/>
        <v>0</v>
      </c>
      <c r="JL60" s="21">
        <f t="shared" si="221"/>
        <v>0</v>
      </c>
      <c r="JM60" s="21">
        <f t="shared" si="222"/>
        <v>308.20999999999998</v>
      </c>
      <c r="JN60" s="21">
        <f t="shared" si="223"/>
        <v>3.7740000000000009</v>
      </c>
      <c r="JO60" s="35">
        <f t="shared" si="287"/>
        <v>628.99999999999989</v>
      </c>
      <c r="JP60" s="38">
        <f t="shared" si="288"/>
        <v>0</v>
      </c>
      <c r="JQ60" s="43">
        <f t="shared" si="224"/>
        <v>0</v>
      </c>
      <c r="JR60" s="43">
        <f t="shared" si="225"/>
        <v>0</v>
      </c>
      <c r="JS60" s="43">
        <f t="shared" si="226"/>
        <v>0</v>
      </c>
      <c r="JT60" s="43">
        <f t="shared" si="227"/>
        <v>0</v>
      </c>
      <c r="JU60" s="43">
        <f t="shared" si="228"/>
        <v>0</v>
      </c>
      <c r="JV60" s="43">
        <f t="shared" si="229"/>
        <v>0</v>
      </c>
      <c r="JW60" s="43">
        <f t="shared" si="230"/>
        <v>0</v>
      </c>
      <c r="JX60" s="43">
        <f t="shared" si="231"/>
        <v>0</v>
      </c>
      <c r="JY60" s="43">
        <f t="shared" si="232"/>
        <v>0</v>
      </c>
      <c r="JZ60" s="43">
        <f t="shared" si="233"/>
        <v>0</v>
      </c>
      <c r="KA60" s="43">
        <f t="shared" si="234"/>
        <v>0</v>
      </c>
      <c r="KB60" s="43">
        <f t="shared" si="235"/>
        <v>0</v>
      </c>
      <c r="KC60" s="43">
        <f t="shared" si="236"/>
        <v>0</v>
      </c>
      <c r="KD60" s="43">
        <f t="shared" si="237"/>
        <v>0</v>
      </c>
      <c r="KE60" s="43">
        <f t="shared" si="238"/>
        <v>0</v>
      </c>
      <c r="KF60" s="43">
        <f t="shared" si="239"/>
        <v>0</v>
      </c>
      <c r="KG60" s="43">
        <f t="shared" si="240"/>
        <v>548.16359458424245</v>
      </c>
      <c r="KH60" s="43">
        <f t="shared" si="241"/>
        <v>0</v>
      </c>
      <c r="KI60" s="43">
        <f t="shared" si="242"/>
        <v>0</v>
      </c>
      <c r="KJ60" s="43">
        <f t="shared" si="243"/>
        <v>0</v>
      </c>
      <c r="KK60" s="43">
        <f t="shared" si="244"/>
        <v>0</v>
      </c>
      <c r="KL60" s="43">
        <f t="shared" si="245"/>
        <v>0</v>
      </c>
      <c r="KM60" s="43">
        <f t="shared" si="246"/>
        <v>0</v>
      </c>
      <c r="KN60" s="43">
        <f t="shared" si="247"/>
        <v>0</v>
      </c>
      <c r="KO60" s="43">
        <f t="shared" si="248"/>
        <v>0</v>
      </c>
      <c r="KP60" s="43">
        <f t="shared" si="249"/>
        <v>0</v>
      </c>
      <c r="KQ60" s="43">
        <f t="shared" si="250"/>
        <v>0</v>
      </c>
      <c r="KR60" s="43">
        <f t="shared" si="251"/>
        <v>218.5146</v>
      </c>
      <c r="KS60" s="43">
        <f t="shared" si="252"/>
        <v>387.13665467636372</v>
      </c>
      <c r="KT60" s="43">
        <f t="shared" si="253"/>
        <v>0</v>
      </c>
      <c r="KU60" s="43">
        <f t="shared" si="254"/>
        <v>0</v>
      </c>
      <c r="KV60" s="43">
        <f t="shared" si="255"/>
        <v>0</v>
      </c>
      <c r="KW60" s="43">
        <f t="shared" si="256"/>
        <v>0</v>
      </c>
      <c r="KX60" s="43">
        <f t="shared" si="257"/>
        <v>0</v>
      </c>
      <c r="KY60" s="43">
        <f t="shared" si="258"/>
        <v>0</v>
      </c>
      <c r="KZ60" s="43">
        <f t="shared" si="259"/>
        <v>0</v>
      </c>
      <c r="LA60" s="43">
        <f t="shared" si="260"/>
        <v>56.706803099999995</v>
      </c>
      <c r="LB60" s="43">
        <f t="shared" si="261"/>
        <v>0</v>
      </c>
      <c r="LC60" s="43">
        <f t="shared" si="262"/>
        <v>0</v>
      </c>
      <c r="LD60" s="43">
        <f t="shared" si="263"/>
        <v>0</v>
      </c>
      <c r="LE60" s="43">
        <f t="shared" si="264"/>
        <v>0</v>
      </c>
      <c r="LF60" s="43">
        <f t="shared" si="265"/>
        <v>0</v>
      </c>
      <c r="LG60" s="43">
        <f t="shared" si="266"/>
        <v>9.7369200000000031</v>
      </c>
      <c r="LH60" s="43">
        <f t="shared" si="267"/>
        <v>0</v>
      </c>
      <c r="LI60" s="43">
        <f t="shared" si="268"/>
        <v>0</v>
      </c>
      <c r="LJ60" s="43">
        <f t="shared" si="269"/>
        <v>0</v>
      </c>
      <c r="LK60" s="43">
        <f t="shared" si="270"/>
        <v>0</v>
      </c>
      <c r="LL60" s="43">
        <f t="shared" si="271"/>
        <v>0</v>
      </c>
      <c r="LM60" s="43">
        <f t="shared" si="272"/>
        <v>0</v>
      </c>
      <c r="LN60" s="43">
        <f t="shared" si="273"/>
        <v>0</v>
      </c>
      <c r="LO60" s="43">
        <f t="shared" si="274"/>
        <v>1370.9057516</v>
      </c>
      <c r="LP60" s="43">
        <f t="shared" si="275"/>
        <v>31.890300000000003</v>
      </c>
      <c r="LQ60" s="28">
        <f t="shared" si="289"/>
        <v>2623.054623960606</v>
      </c>
      <c r="LR60" s="65">
        <v>616</v>
      </c>
      <c r="LS60" s="32">
        <f t="shared" si="281"/>
        <v>4.2582055583776075</v>
      </c>
      <c r="LT60" s="26">
        <f t="shared" si="282"/>
        <v>1.163444141633226</v>
      </c>
      <c r="LU60" s="31">
        <f t="shared" si="290"/>
        <v>13</v>
      </c>
      <c r="LW60" s="42"/>
      <c r="MA60" s="32">
        <f t="shared" si="291"/>
        <v>4.1701981303030307</v>
      </c>
      <c r="MB60" s="26">
        <f t="shared" si="283"/>
        <v>1.1393983962576586</v>
      </c>
    </row>
    <row r="61" spans="1:340" ht="15.75" thickBot="1">
      <c r="A61" t="b">
        <f t="shared" si="285"/>
        <v>1</v>
      </c>
      <c r="B61" s="123" t="s">
        <v>206</v>
      </c>
      <c r="C61" s="39" t="s">
        <v>207</v>
      </c>
      <c r="D61"/>
      <c r="E61" s="97">
        <v>46031</v>
      </c>
      <c r="F61" t="s">
        <v>43</v>
      </c>
      <c r="G61" t="s">
        <v>20</v>
      </c>
      <c r="H61" t="s">
        <v>27</v>
      </c>
      <c r="I61" s="77"/>
      <c r="J61" s="77"/>
      <c r="K61" s="77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24"/>
      <c r="AG61" s="124"/>
      <c r="AH61" s="104"/>
      <c r="AI61" s="104"/>
      <c r="AJ61" s="104">
        <v>0.3</v>
      </c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24">
        <v>0.7</v>
      </c>
      <c r="BD61" s="124"/>
      <c r="BE61" s="104"/>
      <c r="BF61" s="104"/>
      <c r="BG61" s="104"/>
      <c r="BH61" s="104"/>
      <c r="BI61" s="78">
        <f t="shared" si="296"/>
        <v>1</v>
      </c>
      <c r="BJ61" s="105"/>
      <c r="BK61" s="105"/>
      <c r="BL61" s="105"/>
      <c r="BM61" s="105"/>
      <c r="BN61" s="105"/>
      <c r="BO61" s="105"/>
      <c r="BP61" s="105"/>
      <c r="BQ61" s="105"/>
      <c r="BR61" s="105"/>
      <c r="BS61" s="105"/>
      <c r="BT61" s="105"/>
      <c r="BU61" s="105"/>
      <c r="BV61" s="105"/>
      <c r="BW61" s="105"/>
      <c r="BX61" s="105"/>
      <c r="BY61" s="105"/>
      <c r="BZ61" s="105"/>
      <c r="CA61" s="105"/>
      <c r="CB61" s="105"/>
      <c r="CC61" s="105"/>
      <c r="CD61" s="105"/>
      <c r="CE61" s="105"/>
      <c r="CF61" s="120"/>
      <c r="CG61" s="128"/>
      <c r="CH61" s="128"/>
      <c r="CI61" s="105"/>
      <c r="CJ61" s="105"/>
      <c r="CK61" s="105"/>
      <c r="CL61" s="105">
        <v>0.3</v>
      </c>
      <c r="CM61" s="105"/>
      <c r="CN61" s="105"/>
      <c r="CO61" s="105"/>
      <c r="CP61" s="105"/>
      <c r="CQ61" s="105"/>
      <c r="CR61" s="105"/>
      <c r="CS61" s="105"/>
      <c r="CT61" s="105"/>
      <c r="CU61" s="105"/>
      <c r="CV61" s="105"/>
      <c r="CW61" s="105"/>
      <c r="CX61" s="105"/>
      <c r="CY61" s="105"/>
      <c r="CZ61" s="105"/>
      <c r="DA61" s="105"/>
      <c r="DB61" s="105"/>
      <c r="DC61" s="105"/>
      <c r="DD61" s="125">
        <v>0.7</v>
      </c>
      <c r="DE61" s="125"/>
      <c r="DF61" s="105"/>
      <c r="DG61" s="105"/>
      <c r="DH61" s="105"/>
      <c r="DI61" s="105"/>
      <c r="DJ61" s="79">
        <f t="shared" si="286"/>
        <v>1</v>
      </c>
      <c r="DK61" s="108"/>
      <c r="DL61" s="108"/>
      <c r="DM61" s="108"/>
      <c r="DN61" s="108"/>
      <c r="DO61" s="108"/>
      <c r="DP61" s="108"/>
      <c r="DQ61" s="108"/>
      <c r="DR61" s="108"/>
      <c r="DS61" s="108"/>
      <c r="DT61" s="108"/>
      <c r="DU61" s="108"/>
      <c r="DV61" s="108"/>
      <c r="DW61" s="108"/>
      <c r="DX61" s="108"/>
      <c r="DY61" s="108"/>
      <c r="DZ61" s="108"/>
      <c r="EA61" s="108">
        <v>0.7</v>
      </c>
      <c r="EB61" s="108"/>
      <c r="EC61" s="108"/>
      <c r="ED61" s="108"/>
      <c r="EE61" s="108"/>
      <c r="EF61" s="108"/>
      <c r="EG61" s="108"/>
      <c r="EH61" s="129"/>
      <c r="EI61" s="129"/>
      <c r="EJ61" s="108"/>
      <c r="EK61" s="108"/>
      <c r="EL61" s="108"/>
      <c r="EM61" s="108">
        <v>0.2</v>
      </c>
      <c r="EN61" s="108"/>
      <c r="EO61" s="108"/>
      <c r="EP61" s="108"/>
      <c r="EQ61" s="108"/>
      <c r="ER61" s="108"/>
      <c r="ES61" s="106"/>
      <c r="ET61" s="106"/>
      <c r="EU61" s="106">
        <v>0.08</v>
      </c>
      <c r="EV61" s="106"/>
      <c r="EW61" s="106"/>
      <c r="EX61" s="106"/>
      <c r="EY61" s="106"/>
      <c r="EZ61" s="106"/>
      <c r="FA61" s="106"/>
      <c r="FB61" s="106"/>
      <c r="FC61" s="106"/>
      <c r="FD61" s="106"/>
      <c r="FE61" s="126"/>
      <c r="FF61" s="126"/>
      <c r="FG61" s="106"/>
      <c r="FH61" s="106"/>
      <c r="FI61" s="106"/>
      <c r="FJ61" s="106">
        <v>0.02</v>
      </c>
      <c r="FK61" s="17">
        <f t="shared" si="280"/>
        <v>0.99999999999999989</v>
      </c>
      <c r="FL61" s="18"/>
      <c r="FM61" s="19">
        <f t="shared" si="119"/>
        <v>0</v>
      </c>
      <c r="FN61" s="19">
        <f t="shared" si="120"/>
        <v>0</v>
      </c>
      <c r="FO61" s="19">
        <f t="shared" si="121"/>
        <v>0</v>
      </c>
      <c r="FP61" s="19">
        <f t="shared" si="122"/>
        <v>0</v>
      </c>
      <c r="FQ61" s="19">
        <f t="shared" si="123"/>
        <v>0</v>
      </c>
      <c r="FR61" s="19">
        <f t="shared" si="124"/>
        <v>0</v>
      </c>
      <c r="FS61" s="19">
        <f t="shared" si="125"/>
        <v>0</v>
      </c>
      <c r="FT61" s="19">
        <f t="shared" si="126"/>
        <v>0</v>
      </c>
      <c r="FU61" s="19">
        <f t="shared" si="127"/>
        <v>0</v>
      </c>
      <c r="FV61" s="19">
        <f t="shared" si="128"/>
        <v>0</v>
      </c>
      <c r="FW61" s="19">
        <f t="shared" si="129"/>
        <v>0</v>
      </c>
      <c r="FX61" s="19">
        <f t="shared" si="130"/>
        <v>0</v>
      </c>
      <c r="FY61" s="19">
        <f t="shared" si="131"/>
        <v>0</v>
      </c>
      <c r="FZ61" s="19">
        <f t="shared" si="132"/>
        <v>0</v>
      </c>
      <c r="GA61" s="19">
        <f t="shared" si="133"/>
        <v>0</v>
      </c>
      <c r="GB61" s="19">
        <f t="shared" si="134"/>
        <v>0</v>
      </c>
      <c r="GC61" s="19">
        <f t="shared" si="135"/>
        <v>1.0499999999999998</v>
      </c>
      <c r="GD61" s="19">
        <f t="shared" si="136"/>
        <v>0</v>
      </c>
      <c r="GE61" s="19">
        <f t="shared" si="137"/>
        <v>0</v>
      </c>
      <c r="GF61" s="19">
        <f t="shared" si="138"/>
        <v>0</v>
      </c>
      <c r="GG61" s="19">
        <f t="shared" si="139"/>
        <v>0</v>
      </c>
      <c r="GH61" s="19">
        <f t="shared" si="140"/>
        <v>0</v>
      </c>
      <c r="GI61" s="19">
        <f t="shared" si="141"/>
        <v>0</v>
      </c>
      <c r="GJ61" s="19">
        <f t="shared" si="142"/>
        <v>0</v>
      </c>
      <c r="GK61" s="19">
        <f t="shared" si="143"/>
        <v>0</v>
      </c>
      <c r="GL61" s="19">
        <f t="shared" si="144"/>
        <v>0</v>
      </c>
      <c r="GM61" s="19">
        <f t="shared" si="145"/>
        <v>0</v>
      </c>
      <c r="GN61" s="19">
        <f t="shared" si="146"/>
        <v>0.44999999999999996</v>
      </c>
      <c r="GO61" s="19">
        <f t="shared" si="147"/>
        <v>0.9</v>
      </c>
      <c r="GP61" s="19">
        <f t="shared" si="148"/>
        <v>0</v>
      </c>
      <c r="GQ61" s="19">
        <f t="shared" si="149"/>
        <v>0</v>
      </c>
      <c r="GR61" s="19">
        <f t="shared" si="150"/>
        <v>0</v>
      </c>
      <c r="GS61" s="19">
        <f t="shared" si="151"/>
        <v>0</v>
      </c>
      <c r="GT61" s="19">
        <f t="shared" si="152"/>
        <v>0</v>
      </c>
      <c r="GU61" s="19">
        <f t="shared" si="153"/>
        <v>0</v>
      </c>
      <c r="GV61" s="19">
        <f t="shared" si="154"/>
        <v>0</v>
      </c>
      <c r="GW61" s="19">
        <f t="shared" si="155"/>
        <v>0.12</v>
      </c>
      <c r="GX61" s="19">
        <f t="shared" si="156"/>
        <v>0</v>
      </c>
      <c r="GY61" s="19">
        <f t="shared" si="157"/>
        <v>0</v>
      </c>
      <c r="GZ61" s="19">
        <f t="shared" si="158"/>
        <v>0</v>
      </c>
      <c r="HA61" s="19">
        <f t="shared" si="159"/>
        <v>0</v>
      </c>
      <c r="HB61" s="19">
        <f t="shared" si="160"/>
        <v>0</v>
      </c>
      <c r="HC61" s="19">
        <f t="shared" si="161"/>
        <v>0</v>
      </c>
      <c r="HD61" s="19">
        <f t="shared" si="162"/>
        <v>0</v>
      </c>
      <c r="HE61" s="19">
        <f t="shared" si="163"/>
        <v>0</v>
      </c>
      <c r="HF61" s="19">
        <f t="shared" si="164"/>
        <v>0</v>
      </c>
      <c r="HG61" s="19">
        <f t="shared" si="165"/>
        <v>2.4499999999999997</v>
      </c>
      <c r="HH61" s="19">
        <f t="shared" si="166"/>
        <v>0</v>
      </c>
      <c r="HI61" s="19">
        <f t="shared" si="167"/>
        <v>0</v>
      </c>
      <c r="HJ61" s="19">
        <f t="shared" si="168"/>
        <v>0</v>
      </c>
      <c r="HK61" s="19">
        <f t="shared" si="169"/>
        <v>0</v>
      </c>
      <c r="HL61" s="19">
        <f t="shared" si="170"/>
        <v>0.03</v>
      </c>
      <c r="HM61" s="20">
        <f t="shared" si="171"/>
        <v>5</v>
      </c>
      <c r="HN61" s="53">
        <v>798</v>
      </c>
      <c r="HO61" s="21">
        <f t="shared" si="172"/>
        <v>0</v>
      </c>
      <c r="HP61" s="21">
        <f t="shared" si="173"/>
        <v>0</v>
      </c>
      <c r="HQ61" s="21">
        <f t="shared" si="174"/>
        <v>0</v>
      </c>
      <c r="HR61" s="21">
        <f t="shared" si="175"/>
        <v>0</v>
      </c>
      <c r="HS61" s="21">
        <f t="shared" si="176"/>
        <v>0</v>
      </c>
      <c r="HT61" s="69">
        <f t="shared" si="177"/>
        <v>0</v>
      </c>
      <c r="HU61" s="21">
        <f t="shared" si="178"/>
        <v>0</v>
      </c>
      <c r="HV61" s="21">
        <f t="shared" si="179"/>
        <v>0</v>
      </c>
      <c r="HW61" s="21">
        <f t="shared" si="180"/>
        <v>0</v>
      </c>
      <c r="HX61" s="21">
        <f t="shared" si="181"/>
        <v>0</v>
      </c>
      <c r="HY61" s="21">
        <f t="shared" si="182"/>
        <v>0</v>
      </c>
      <c r="HZ61" s="21">
        <f t="shared" si="183"/>
        <v>0</v>
      </c>
      <c r="IA61" s="21">
        <f t="shared" si="184"/>
        <v>0</v>
      </c>
      <c r="IB61" s="21">
        <f t="shared" si="185"/>
        <v>0</v>
      </c>
      <c r="IC61" s="21">
        <f t="shared" si="186"/>
        <v>0</v>
      </c>
      <c r="ID61" s="21">
        <f t="shared" si="187"/>
        <v>0</v>
      </c>
      <c r="IE61" s="21">
        <f t="shared" si="188"/>
        <v>167.57999999999998</v>
      </c>
      <c r="IF61" s="69">
        <f t="shared" si="189"/>
        <v>0</v>
      </c>
      <c r="IG61" s="69">
        <f t="shared" si="190"/>
        <v>0</v>
      </c>
      <c r="IH61" s="69">
        <f t="shared" si="191"/>
        <v>0</v>
      </c>
      <c r="II61" s="21">
        <f t="shared" si="192"/>
        <v>0</v>
      </c>
      <c r="IJ61" s="21">
        <f t="shared" si="193"/>
        <v>0</v>
      </c>
      <c r="IK61" s="21">
        <f t="shared" si="194"/>
        <v>0</v>
      </c>
      <c r="IL61" s="21">
        <f t="shared" si="195"/>
        <v>0</v>
      </c>
      <c r="IM61" s="21">
        <f t="shared" si="196"/>
        <v>0</v>
      </c>
      <c r="IN61" s="21">
        <f t="shared" si="197"/>
        <v>0</v>
      </c>
      <c r="IO61" s="21">
        <f t="shared" si="198"/>
        <v>0</v>
      </c>
      <c r="IP61" s="21">
        <f t="shared" si="199"/>
        <v>71.819999999999993</v>
      </c>
      <c r="IQ61" s="21">
        <f t="shared" si="200"/>
        <v>143.64000000000001</v>
      </c>
      <c r="IR61" s="21">
        <f t="shared" si="201"/>
        <v>0</v>
      </c>
      <c r="IS61" s="21">
        <f t="shared" si="202"/>
        <v>0</v>
      </c>
      <c r="IT61" s="21">
        <f t="shared" si="203"/>
        <v>0</v>
      </c>
      <c r="IU61" s="21">
        <f t="shared" si="204"/>
        <v>0</v>
      </c>
      <c r="IV61" s="21">
        <f t="shared" si="205"/>
        <v>0</v>
      </c>
      <c r="IW61" s="21">
        <f t="shared" si="206"/>
        <v>0</v>
      </c>
      <c r="IX61" s="21">
        <f t="shared" si="207"/>
        <v>0</v>
      </c>
      <c r="IY61" s="21">
        <f t="shared" si="208"/>
        <v>19.151999999999997</v>
      </c>
      <c r="IZ61" s="21">
        <f t="shared" si="209"/>
        <v>0</v>
      </c>
      <c r="JA61" s="21">
        <f t="shared" si="210"/>
        <v>0</v>
      </c>
      <c r="JB61" s="21">
        <f t="shared" si="211"/>
        <v>0</v>
      </c>
      <c r="JC61" s="21">
        <f t="shared" si="212"/>
        <v>0</v>
      </c>
      <c r="JD61" s="21">
        <f t="shared" si="213"/>
        <v>0</v>
      </c>
      <c r="JE61" s="21">
        <f t="shared" si="214"/>
        <v>0</v>
      </c>
      <c r="JF61" s="21">
        <f t="shared" si="215"/>
        <v>0</v>
      </c>
      <c r="JG61" s="21">
        <f t="shared" si="216"/>
        <v>0</v>
      </c>
      <c r="JH61" s="21">
        <f t="shared" si="217"/>
        <v>0</v>
      </c>
      <c r="JI61" s="21">
        <f t="shared" si="218"/>
        <v>391.01999999999992</v>
      </c>
      <c r="JJ61" s="21">
        <f t="shared" si="219"/>
        <v>0</v>
      </c>
      <c r="JK61" s="21">
        <f t="shared" si="220"/>
        <v>0</v>
      </c>
      <c r="JL61" s="21">
        <f t="shared" si="221"/>
        <v>0</v>
      </c>
      <c r="JM61" s="21">
        <f t="shared" si="222"/>
        <v>0</v>
      </c>
      <c r="JN61" s="21">
        <f t="shared" si="223"/>
        <v>4.7879999999999994</v>
      </c>
      <c r="JO61" s="35">
        <f t="shared" si="287"/>
        <v>797.99999999999989</v>
      </c>
      <c r="JP61" s="38">
        <f t="shared" si="288"/>
        <v>0</v>
      </c>
      <c r="JQ61" s="43">
        <f t="shared" si="224"/>
        <v>0</v>
      </c>
      <c r="JR61" s="43">
        <f t="shared" si="225"/>
        <v>0</v>
      </c>
      <c r="JS61" s="43">
        <f t="shared" si="226"/>
        <v>0</v>
      </c>
      <c r="JT61" s="43">
        <f t="shared" si="227"/>
        <v>0</v>
      </c>
      <c r="JU61" s="43">
        <f t="shared" si="228"/>
        <v>0</v>
      </c>
      <c r="JV61" s="43">
        <f t="shared" si="229"/>
        <v>0</v>
      </c>
      <c r="JW61" s="43">
        <f t="shared" si="230"/>
        <v>0</v>
      </c>
      <c r="JX61" s="43">
        <f t="shared" si="231"/>
        <v>0</v>
      </c>
      <c r="JY61" s="43">
        <f t="shared" si="232"/>
        <v>0</v>
      </c>
      <c r="JZ61" s="43">
        <f t="shared" si="233"/>
        <v>0</v>
      </c>
      <c r="KA61" s="43">
        <f t="shared" si="234"/>
        <v>0</v>
      </c>
      <c r="KB61" s="43">
        <f t="shared" si="235"/>
        <v>0</v>
      </c>
      <c r="KC61" s="43">
        <f t="shared" si="236"/>
        <v>0</v>
      </c>
      <c r="KD61" s="43">
        <f t="shared" si="237"/>
        <v>0</v>
      </c>
      <c r="KE61" s="43">
        <f t="shared" si="238"/>
        <v>0</v>
      </c>
      <c r="KF61" s="43">
        <f t="shared" si="239"/>
        <v>0</v>
      </c>
      <c r="KG61" s="43">
        <f t="shared" si="240"/>
        <v>695.44443319272727</v>
      </c>
      <c r="KH61" s="43">
        <f t="shared" si="241"/>
        <v>0</v>
      </c>
      <c r="KI61" s="43">
        <f t="shared" si="242"/>
        <v>0</v>
      </c>
      <c r="KJ61" s="43">
        <f t="shared" si="243"/>
        <v>0</v>
      </c>
      <c r="KK61" s="43">
        <f t="shared" si="244"/>
        <v>0</v>
      </c>
      <c r="KL61" s="43">
        <f t="shared" si="245"/>
        <v>0</v>
      </c>
      <c r="KM61" s="43">
        <f t="shared" si="246"/>
        <v>0</v>
      </c>
      <c r="KN61" s="43">
        <f t="shared" si="247"/>
        <v>0</v>
      </c>
      <c r="KO61" s="43">
        <f t="shared" si="248"/>
        <v>0</v>
      </c>
      <c r="KP61" s="43">
        <f t="shared" si="249"/>
        <v>0</v>
      </c>
      <c r="KQ61" s="43">
        <f t="shared" si="250"/>
        <v>0</v>
      </c>
      <c r="KR61" s="43">
        <f t="shared" si="251"/>
        <v>277.22519999999997</v>
      </c>
      <c r="KS61" s="43">
        <f t="shared" si="252"/>
        <v>491.15270338909096</v>
      </c>
      <c r="KT61" s="43">
        <f t="shared" si="253"/>
        <v>0</v>
      </c>
      <c r="KU61" s="43">
        <f t="shared" si="254"/>
        <v>0</v>
      </c>
      <c r="KV61" s="43">
        <f t="shared" si="255"/>
        <v>0</v>
      </c>
      <c r="KW61" s="43">
        <f t="shared" si="256"/>
        <v>0</v>
      </c>
      <c r="KX61" s="43">
        <f t="shared" si="257"/>
        <v>0</v>
      </c>
      <c r="KY61" s="43">
        <f t="shared" si="258"/>
        <v>0</v>
      </c>
      <c r="KZ61" s="43">
        <f t="shared" si="259"/>
        <v>0</v>
      </c>
      <c r="LA61" s="43">
        <f t="shared" si="260"/>
        <v>76.738999679999978</v>
      </c>
      <c r="LB61" s="43">
        <f t="shared" si="261"/>
        <v>0</v>
      </c>
      <c r="LC61" s="43">
        <f t="shared" si="262"/>
        <v>0</v>
      </c>
      <c r="LD61" s="43">
        <f t="shared" si="263"/>
        <v>0</v>
      </c>
      <c r="LE61" s="43">
        <f t="shared" si="264"/>
        <v>0</v>
      </c>
      <c r="LF61" s="43">
        <f t="shared" si="265"/>
        <v>0</v>
      </c>
      <c r="LG61" s="43">
        <f t="shared" si="266"/>
        <v>0</v>
      </c>
      <c r="LH61" s="43">
        <f t="shared" si="267"/>
        <v>0</v>
      </c>
      <c r="LI61" s="43">
        <f t="shared" si="268"/>
        <v>0</v>
      </c>
      <c r="LJ61" s="43">
        <f t="shared" si="269"/>
        <v>0</v>
      </c>
      <c r="LK61" s="43">
        <f t="shared" si="270"/>
        <v>1566.3283649999996</v>
      </c>
      <c r="LL61" s="43">
        <f t="shared" si="271"/>
        <v>0</v>
      </c>
      <c r="LM61" s="43">
        <f t="shared" si="272"/>
        <v>0</v>
      </c>
      <c r="LN61" s="43">
        <f t="shared" si="273"/>
        <v>0</v>
      </c>
      <c r="LO61" s="43">
        <f t="shared" si="274"/>
        <v>0</v>
      </c>
      <c r="LP61" s="43">
        <f t="shared" si="275"/>
        <v>40.45859999999999</v>
      </c>
      <c r="LQ61" s="28">
        <f t="shared" si="289"/>
        <v>3147.3483012618181</v>
      </c>
      <c r="LR61" s="65">
        <v>784</v>
      </c>
      <c r="LS61" s="32">
        <f t="shared" si="281"/>
        <v>4.0144748740584415</v>
      </c>
      <c r="LT61" s="26">
        <f t="shared" si="282"/>
        <v>1.096851058485913</v>
      </c>
      <c r="LU61" s="31">
        <f t="shared" si="290"/>
        <v>14</v>
      </c>
      <c r="LW61" s="42"/>
      <c r="MA61" s="32">
        <f t="shared" si="291"/>
        <v>3.9440454903030306</v>
      </c>
      <c r="MB61" s="26">
        <f t="shared" si="283"/>
        <v>1.0776080574598443</v>
      </c>
    </row>
    <row r="62" spans="1:340" ht="15.75" thickBot="1">
      <c r="A62" t="b">
        <f t="shared" si="285"/>
        <v>1</v>
      </c>
      <c r="B62" s="123" t="s">
        <v>208</v>
      </c>
      <c r="C62" s="39" t="s">
        <v>209</v>
      </c>
      <c r="D62"/>
      <c r="E62" s="97">
        <v>46031</v>
      </c>
      <c r="F62" t="s">
        <v>43</v>
      </c>
      <c r="G62" t="s">
        <v>20</v>
      </c>
      <c r="H62" t="s">
        <v>27</v>
      </c>
      <c r="I62" s="77"/>
      <c r="J62" s="77"/>
      <c r="K62" s="77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24"/>
      <c r="AG62" s="124"/>
      <c r="AH62" s="104"/>
      <c r="AI62" s="104"/>
      <c r="AJ62" s="104">
        <v>0.3</v>
      </c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24">
        <v>0.7</v>
      </c>
      <c r="BD62" s="124"/>
      <c r="BE62" s="104"/>
      <c r="BF62" s="104"/>
      <c r="BG62" s="104"/>
      <c r="BH62" s="104"/>
      <c r="BI62" s="78">
        <f t="shared" si="296"/>
        <v>1</v>
      </c>
      <c r="BJ62" s="105"/>
      <c r="BK62" s="105"/>
      <c r="BL62" s="105"/>
      <c r="BM62" s="105"/>
      <c r="BN62" s="105"/>
      <c r="BO62" s="105"/>
      <c r="BP62" s="105"/>
      <c r="BQ62" s="105"/>
      <c r="BR62" s="105"/>
      <c r="BS62" s="105"/>
      <c r="BT62" s="105"/>
      <c r="BU62" s="105"/>
      <c r="BV62" s="105"/>
      <c r="BW62" s="105"/>
      <c r="BX62" s="105"/>
      <c r="BY62" s="105"/>
      <c r="BZ62" s="105"/>
      <c r="CA62" s="105"/>
      <c r="CB62" s="105"/>
      <c r="CC62" s="105"/>
      <c r="CD62" s="105"/>
      <c r="CE62" s="105"/>
      <c r="CF62" s="120"/>
      <c r="CG62" s="128"/>
      <c r="CH62" s="128"/>
      <c r="CI62" s="105"/>
      <c r="CJ62" s="105"/>
      <c r="CK62" s="105"/>
      <c r="CL62" s="105">
        <v>0.3</v>
      </c>
      <c r="CM62" s="105"/>
      <c r="CN62" s="105"/>
      <c r="CO62" s="105"/>
      <c r="CP62" s="105"/>
      <c r="CQ62" s="105"/>
      <c r="CR62" s="105"/>
      <c r="CS62" s="105"/>
      <c r="CT62" s="105"/>
      <c r="CU62" s="105"/>
      <c r="CV62" s="105"/>
      <c r="CW62" s="105"/>
      <c r="CX62" s="105"/>
      <c r="CY62" s="105"/>
      <c r="CZ62" s="105"/>
      <c r="DA62" s="105"/>
      <c r="DB62" s="105"/>
      <c r="DC62" s="105"/>
      <c r="DD62" s="125">
        <v>0.7</v>
      </c>
      <c r="DE62" s="125"/>
      <c r="DF62" s="105"/>
      <c r="DG62" s="105"/>
      <c r="DH62" s="105"/>
      <c r="DI62" s="105"/>
      <c r="DJ62" s="79">
        <f t="shared" si="286"/>
        <v>1</v>
      </c>
      <c r="DK62" s="108"/>
      <c r="DL62" s="108"/>
      <c r="DM62" s="108"/>
      <c r="DN62" s="108"/>
      <c r="DO62" s="108"/>
      <c r="DP62" s="108"/>
      <c r="DQ62" s="108"/>
      <c r="DR62" s="108"/>
      <c r="DS62" s="108"/>
      <c r="DT62" s="108"/>
      <c r="DU62" s="108"/>
      <c r="DV62" s="108"/>
      <c r="DW62" s="108"/>
      <c r="DX62" s="108"/>
      <c r="DY62" s="108"/>
      <c r="DZ62" s="108"/>
      <c r="EA62" s="108">
        <v>0.7</v>
      </c>
      <c r="EB62" s="108"/>
      <c r="EC62" s="108"/>
      <c r="ED62" s="108"/>
      <c r="EE62" s="108"/>
      <c r="EF62" s="108"/>
      <c r="EG62" s="108"/>
      <c r="EH62" s="129"/>
      <c r="EI62" s="129"/>
      <c r="EJ62" s="108"/>
      <c r="EK62" s="108"/>
      <c r="EL62" s="108"/>
      <c r="EM62" s="108">
        <v>0.2</v>
      </c>
      <c r="EN62" s="108"/>
      <c r="EO62" s="108"/>
      <c r="EP62" s="108"/>
      <c r="EQ62" s="108"/>
      <c r="ER62" s="108"/>
      <c r="ES62" s="106"/>
      <c r="ET62" s="106"/>
      <c r="EU62" s="106">
        <v>0.08</v>
      </c>
      <c r="EV62" s="106"/>
      <c r="EW62" s="106"/>
      <c r="EX62" s="106"/>
      <c r="EY62" s="106"/>
      <c r="EZ62" s="106"/>
      <c r="FA62" s="106"/>
      <c r="FB62" s="106"/>
      <c r="FC62" s="106"/>
      <c r="FD62" s="106"/>
      <c r="FE62" s="126"/>
      <c r="FF62" s="126"/>
      <c r="FG62" s="106"/>
      <c r="FH62" s="106"/>
      <c r="FI62" s="106"/>
      <c r="FJ62" s="106">
        <v>0.02</v>
      </c>
      <c r="FK62" s="17">
        <f t="shared" si="280"/>
        <v>0.99999999999999989</v>
      </c>
      <c r="FL62" s="18"/>
      <c r="FM62" s="19">
        <f t="shared" si="119"/>
        <v>0</v>
      </c>
      <c r="FN62" s="19">
        <f t="shared" si="120"/>
        <v>0</v>
      </c>
      <c r="FO62" s="19">
        <f t="shared" si="121"/>
        <v>0</v>
      </c>
      <c r="FP62" s="19">
        <f t="shared" si="122"/>
        <v>0</v>
      </c>
      <c r="FQ62" s="19">
        <f t="shared" si="123"/>
        <v>0</v>
      </c>
      <c r="FR62" s="19">
        <f t="shared" si="124"/>
        <v>0</v>
      </c>
      <c r="FS62" s="19">
        <f t="shared" si="125"/>
        <v>0</v>
      </c>
      <c r="FT62" s="19">
        <f t="shared" si="126"/>
        <v>0</v>
      </c>
      <c r="FU62" s="19">
        <f t="shared" si="127"/>
        <v>0</v>
      </c>
      <c r="FV62" s="19">
        <f t="shared" si="128"/>
        <v>0</v>
      </c>
      <c r="FW62" s="19">
        <f t="shared" si="129"/>
        <v>0</v>
      </c>
      <c r="FX62" s="19">
        <f t="shared" si="130"/>
        <v>0</v>
      </c>
      <c r="FY62" s="19">
        <f t="shared" si="131"/>
        <v>0</v>
      </c>
      <c r="FZ62" s="19">
        <f t="shared" si="132"/>
        <v>0</v>
      </c>
      <c r="GA62" s="19">
        <f t="shared" si="133"/>
        <v>0</v>
      </c>
      <c r="GB62" s="19">
        <f t="shared" si="134"/>
        <v>0</v>
      </c>
      <c r="GC62" s="19">
        <f t="shared" si="135"/>
        <v>1.0499999999999998</v>
      </c>
      <c r="GD62" s="19">
        <f t="shared" si="136"/>
        <v>0</v>
      </c>
      <c r="GE62" s="19">
        <f t="shared" si="137"/>
        <v>0</v>
      </c>
      <c r="GF62" s="19">
        <f t="shared" si="138"/>
        <v>0</v>
      </c>
      <c r="GG62" s="19">
        <f t="shared" si="139"/>
        <v>0</v>
      </c>
      <c r="GH62" s="19">
        <f t="shared" si="140"/>
        <v>0</v>
      </c>
      <c r="GI62" s="19">
        <f t="shared" si="141"/>
        <v>0</v>
      </c>
      <c r="GJ62" s="19">
        <f t="shared" si="142"/>
        <v>0</v>
      </c>
      <c r="GK62" s="19">
        <f t="shared" si="143"/>
        <v>0</v>
      </c>
      <c r="GL62" s="19">
        <f t="shared" si="144"/>
        <v>0</v>
      </c>
      <c r="GM62" s="19">
        <f t="shared" si="145"/>
        <v>0</v>
      </c>
      <c r="GN62" s="19">
        <f t="shared" si="146"/>
        <v>0.44999999999999996</v>
      </c>
      <c r="GO62" s="19">
        <f t="shared" si="147"/>
        <v>0.9</v>
      </c>
      <c r="GP62" s="19">
        <f t="shared" si="148"/>
        <v>0</v>
      </c>
      <c r="GQ62" s="19">
        <f t="shared" si="149"/>
        <v>0</v>
      </c>
      <c r="GR62" s="19">
        <f t="shared" si="150"/>
        <v>0</v>
      </c>
      <c r="GS62" s="19">
        <f t="shared" si="151"/>
        <v>0</v>
      </c>
      <c r="GT62" s="19">
        <f t="shared" si="152"/>
        <v>0</v>
      </c>
      <c r="GU62" s="19">
        <f t="shared" si="153"/>
        <v>0</v>
      </c>
      <c r="GV62" s="19">
        <f t="shared" si="154"/>
        <v>0</v>
      </c>
      <c r="GW62" s="19">
        <f t="shared" si="155"/>
        <v>0.12</v>
      </c>
      <c r="GX62" s="19">
        <f t="shared" si="156"/>
        <v>0</v>
      </c>
      <c r="GY62" s="19">
        <f t="shared" si="157"/>
        <v>0</v>
      </c>
      <c r="GZ62" s="19">
        <f t="shared" si="158"/>
        <v>0</v>
      </c>
      <c r="HA62" s="19">
        <f t="shared" si="159"/>
        <v>0</v>
      </c>
      <c r="HB62" s="19">
        <f t="shared" si="160"/>
        <v>0</v>
      </c>
      <c r="HC62" s="19">
        <f t="shared" si="161"/>
        <v>0</v>
      </c>
      <c r="HD62" s="19">
        <f t="shared" si="162"/>
        <v>0</v>
      </c>
      <c r="HE62" s="19">
        <f t="shared" si="163"/>
        <v>0</v>
      </c>
      <c r="HF62" s="19">
        <f t="shared" si="164"/>
        <v>0</v>
      </c>
      <c r="HG62" s="19">
        <f t="shared" si="165"/>
        <v>2.4499999999999997</v>
      </c>
      <c r="HH62" s="19">
        <f t="shared" si="166"/>
        <v>0</v>
      </c>
      <c r="HI62" s="19">
        <f t="shared" si="167"/>
        <v>0</v>
      </c>
      <c r="HJ62" s="19">
        <f t="shared" si="168"/>
        <v>0</v>
      </c>
      <c r="HK62" s="19">
        <f t="shared" si="169"/>
        <v>0</v>
      </c>
      <c r="HL62" s="19">
        <f t="shared" si="170"/>
        <v>0.03</v>
      </c>
      <c r="HM62" s="20">
        <f t="shared" si="171"/>
        <v>5</v>
      </c>
      <c r="HN62" s="53">
        <v>814</v>
      </c>
      <c r="HO62" s="21">
        <f t="shared" si="172"/>
        <v>0</v>
      </c>
      <c r="HP62" s="21">
        <f t="shared" si="173"/>
        <v>0</v>
      </c>
      <c r="HQ62" s="21">
        <f t="shared" si="174"/>
        <v>0</v>
      </c>
      <c r="HR62" s="21">
        <f t="shared" si="175"/>
        <v>0</v>
      </c>
      <c r="HS62" s="21">
        <f t="shared" si="176"/>
        <v>0</v>
      </c>
      <c r="HT62" s="69">
        <f t="shared" si="177"/>
        <v>0</v>
      </c>
      <c r="HU62" s="21">
        <f t="shared" si="178"/>
        <v>0</v>
      </c>
      <c r="HV62" s="21">
        <f t="shared" si="179"/>
        <v>0</v>
      </c>
      <c r="HW62" s="21">
        <f t="shared" si="180"/>
        <v>0</v>
      </c>
      <c r="HX62" s="21">
        <f t="shared" si="181"/>
        <v>0</v>
      </c>
      <c r="HY62" s="21">
        <f t="shared" si="182"/>
        <v>0</v>
      </c>
      <c r="HZ62" s="21">
        <f t="shared" si="183"/>
        <v>0</v>
      </c>
      <c r="IA62" s="21">
        <f t="shared" si="184"/>
        <v>0</v>
      </c>
      <c r="IB62" s="21">
        <f t="shared" si="185"/>
        <v>0</v>
      </c>
      <c r="IC62" s="21">
        <f t="shared" si="186"/>
        <v>0</v>
      </c>
      <c r="ID62" s="21">
        <f t="shared" si="187"/>
        <v>0</v>
      </c>
      <c r="IE62" s="21">
        <f t="shared" si="188"/>
        <v>170.93999999999997</v>
      </c>
      <c r="IF62" s="69">
        <f t="shared" si="189"/>
        <v>0</v>
      </c>
      <c r="IG62" s="69">
        <f t="shared" si="190"/>
        <v>0</v>
      </c>
      <c r="IH62" s="69">
        <f t="shared" si="191"/>
        <v>0</v>
      </c>
      <c r="II62" s="21">
        <f t="shared" si="192"/>
        <v>0</v>
      </c>
      <c r="IJ62" s="21">
        <f t="shared" si="193"/>
        <v>0</v>
      </c>
      <c r="IK62" s="21">
        <f t="shared" si="194"/>
        <v>0</v>
      </c>
      <c r="IL62" s="21">
        <f t="shared" si="195"/>
        <v>0</v>
      </c>
      <c r="IM62" s="21">
        <f t="shared" si="196"/>
        <v>0</v>
      </c>
      <c r="IN62" s="21">
        <f t="shared" si="197"/>
        <v>0</v>
      </c>
      <c r="IO62" s="21">
        <f t="shared" si="198"/>
        <v>0</v>
      </c>
      <c r="IP62" s="21">
        <f t="shared" si="199"/>
        <v>73.259999999999991</v>
      </c>
      <c r="IQ62" s="21">
        <f t="shared" si="200"/>
        <v>146.52000000000001</v>
      </c>
      <c r="IR62" s="21">
        <f t="shared" si="201"/>
        <v>0</v>
      </c>
      <c r="IS62" s="21">
        <f t="shared" si="202"/>
        <v>0</v>
      </c>
      <c r="IT62" s="21">
        <f t="shared" si="203"/>
        <v>0</v>
      </c>
      <c r="IU62" s="21">
        <f t="shared" si="204"/>
        <v>0</v>
      </c>
      <c r="IV62" s="21">
        <f t="shared" si="205"/>
        <v>0</v>
      </c>
      <c r="IW62" s="21">
        <f t="shared" si="206"/>
        <v>0</v>
      </c>
      <c r="IX62" s="21">
        <f t="shared" si="207"/>
        <v>0</v>
      </c>
      <c r="IY62" s="21">
        <f t="shared" si="208"/>
        <v>19.535999999999998</v>
      </c>
      <c r="IZ62" s="21">
        <f t="shared" si="209"/>
        <v>0</v>
      </c>
      <c r="JA62" s="21">
        <f t="shared" si="210"/>
        <v>0</v>
      </c>
      <c r="JB62" s="21">
        <f t="shared" si="211"/>
        <v>0</v>
      </c>
      <c r="JC62" s="21">
        <f t="shared" si="212"/>
        <v>0</v>
      </c>
      <c r="JD62" s="21">
        <f t="shared" si="213"/>
        <v>0</v>
      </c>
      <c r="JE62" s="21">
        <f t="shared" si="214"/>
        <v>0</v>
      </c>
      <c r="JF62" s="21">
        <f t="shared" si="215"/>
        <v>0</v>
      </c>
      <c r="JG62" s="21">
        <f t="shared" si="216"/>
        <v>0</v>
      </c>
      <c r="JH62" s="21">
        <f t="shared" si="217"/>
        <v>0</v>
      </c>
      <c r="JI62" s="21">
        <f t="shared" si="218"/>
        <v>398.85999999999996</v>
      </c>
      <c r="JJ62" s="21">
        <f t="shared" si="219"/>
        <v>0</v>
      </c>
      <c r="JK62" s="21">
        <f t="shared" si="220"/>
        <v>0</v>
      </c>
      <c r="JL62" s="21">
        <f t="shared" si="221"/>
        <v>0</v>
      </c>
      <c r="JM62" s="21">
        <f t="shared" si="222"/>
        <v>0</v>
      </c>
      <c r="JN62" s="21">
        <f t="shared" si="223"/>
        <v>4.8839999999999995</v>
      </c>
      <c r="JO62" s="35">
        <f t="shared" si="287"/>
        <v>814</v>
      </c>
      <c r="JP62" s="38">
        <f t="shared" si="288"/>
        <v>0</v>
      </c>
      <c r="JQ62" s="43">
        <f t="shared" si="224"/>
        <v>0</v>
      </c>
      <c r="JR62" s="43">
        <f t="shared" si="225"/>
        <v>0</v>
      </c>
      <c r="JS62" s="43">
        <f t="shared" si="226"/>
        <v>0</v>
      </c>
      <c r="JT62" s="43">
        <f t="shared" si="227"/>
        <v>0</v>
      </c>
      <c r="JU62" s="43">
        <f t="shared" si="228"/>
        <v>0</v>
      </c>
      <c r="JV62" s="43">
        <f t="shared" si="229"/>
        <v>0</v>
      </c>
      <c r="JW62" s="43">
        <f t="shared" si="230"/>
        <v>0</v>
      </c>
      <c r="JX62" s="43">
        <f t="shared" si="231"/>
        <v>0</v>
      </c>
      <c r="JY62" s="43">
        <f t="shared" si="232"/>
        <v>0</v>
      </c>
      <c r="JZ62" s="43">
        <f t="shared" si="233"/>
        <v>0</v>
      </c>
      <c r="KA62" s="43">
        <f t="shared" si="234"/>
        <v>0</v>
      </c>
      <c r="KB62" s="43">
        <f t="shared" si="235"/>
        <v>0</v>
      </c>
      <c r="KC62" s="43">
        <f t="shared" si="236"/>
        <v>0</v>
      </c>
      <c r="KD62" s="43">
        <f t="shared" si="237"/>
        <v>0</v>
      </c>
      <c r="KE62" s="43">
        <f t="shared" si="238"/>
        <v>0</v>
      </c>
      <c r="KF62" s="43">
        <f t="shared" si="239"/>
        <v>0</v>
      </c>
      <c r="KG62" s="43">
        <f t="shared" si="240"/>
        <v>709.38818122666657</v>
      </c>
      <c r="KH62" s="43">
        <f t="shared" si="241"/>
        <v>0</v>
      </c>
      <c r="KI62" s="43">
        <f t="shared" si="242"/>
        <v>0</v>
      </c>
      <c r="KJ62" s="43">
        <f t="shared" si="243"/>
        <v>0</v>
      </c>
      <c r="KK62" s="43">
        <f t="shared" si="244"/>
        <v>0</v>
      </c>
      <c r="KL62" s="43">
        <f t="shared" si="245"/>
        <v>0</v>
      </c>
      <c r="KM62" s="43">
        <f t="shared" si="246"/>
        <v>0</v>
      </c>
      <c r="KN62" s="43">
        <f t="shared" si="247"/>
        <v>0</v>
      </c>
      <c r="KO62" s="43">
        <f t="shared" si="248"/>
        <v>0</v>
      </c>
      <c r="KP62" s="43">
        <f t="shared" si="249"/>
        <v>0</v>
      </c>
      <c r="KQ62" s="43">
        <f t="shared" si="250"/>
        <v>0</v>
      </c>
      <c r="KR62" s="43">
        <f t="shared" si="251"/>
        <v>282.78359999999998</v>
      </c>
      <c r="KS62" s="43">
        <f t="shared" si="252"/>
        <v>501.00037664000001</v>
      </c>
      <c r="KT62" s="43">
        <f t="shared" si="253"/>
        <v>0</v>
      </c>
      <c r="KU62" s="43">
        <f t="shared" si="254"/>
        <v>0</v>
      </c>
      <c r="KV62" s="43">
        <f t="shared" si="255"/>
        <v>0</v>
      </c>
      <c r="KW62" s="43">
        <f t="shared" si="256"/>
        <v>0</v>
      </c>
      <c r="KX62" s="43">
        <f t="shared" si="257"/>
        <v>0</v>
      </c>
      <c r="KY62" s="43">
        <f t="shared" si="258"/>
        <v>0</v>
      </c>
      <c r="KZ62" s="43">
        <f t="shared" si="259"/>
        <v>0</v>
      </c>
      <c r="LA62" s="43">
        <f t="shared" si="260"/>
        <v>78.277626239999975</v>
      </c>
      <c r="LB62" s="43">
        <f t="shared" si="261"/>
        <v>0</v>
      </c>
      <c r="LC62" s="43">
        <f t="shared" si="262"/>
        <v>0</v>
      </c>
      <c r="LD62" s="43">
        <f t="shared" si="263"/>
        <v>0</v>
      </c>
      <c r="LE62" s="43">
        <f t="shared" si="264"/>
        <v>0</v>
      </c>
      <c r="LF62" s="43">
        <f t="shared" si="265"/>
        <v>0</v>
      </c>
      <c r="LG62" s="43">
        <f t="shared" si="266"/>
        <v>0</v>
      </c>
      <c r="LH62" s="43">
        <f t="shared" si="267"/>
        <v>0</v>
      </c>
      <c r="LI62" s="43">
        <f t="shared" si="268"/>
        <v>0</v>
      </c>
      <c r="LJ62" s="43">
        <f t="shared" si="269"/>
        <v>0</v>
      </c>
      <c r="LK62" s="43">
        <f t="shared" si="270"/>
        <v>1597.7334449999998</v>
      </c>
      <c r="LL62" s="43">
        <f t="shared" si="271"/>
        <v>0</v>
      </c>
      <c r="LM62" s="43">
        <f t="shared" si="272"/>
        <v>0</v>
      </c>
      <c r="LN62" s="43">
        <f t="shared" si="273"/>
        <v>0</v>
      </c>
      <c r="LO62" s="43">
        <f t="shared" si="274"/>
        <v>0</v>
      </c>
      <c r="LP62" s="43">
        <f t="shared" si="275"/>
        <v>41.269799999999989</v>
      </c>
      <c r="LQ62" s="28">
        <f t="shared" si="289"/>
        <v>3210.4530291066667</v>
      </c>
      <c r="LR62" s="65">
        <v>801</v>
      </c>
      <c r="LS62" s="32">
        <f t="shared" si="281"/>
        <v>4.0080562161131921</v>
      </c>
      <c r="LT62" s="26">
        <f t="shared" si="282"/>
        <v>1.0950973268068831</v>
      </c>
      <c r="LU62" s="31">
        <f t="shared" si="290"/>
        <v>13</v>
      </c>
      <c r="LW62" s="42"/>
      <c r="MA62" s="32">
        <f t="shared" si="291"/>
        <v>3.9440454903030302</v>
      </c>
      <c r="MB62" s="26">
        <f t="shared" si="283"/>
        <v>1.0776080574598443</v>
      </c>
    </row>
    <row r="63" spans="1:340" ht="15.75" thickBot="1">
      <c r="A63" t="b">
        <f t="shared" si="285"/>
        <v>1</v>
      </c>
      <c r="B63" s="123" t="s">
        <v>210</v>
      </c>
      <c r="C63" s="39" t="s">
        <v>211</v>
      </c>
      <c r="D63"/>
      <c r="E63" s="97">
        <v>46031</v>
      </c>
      <c r="F63" t="s">
        <v>43</v>
      </c>
      <c r="G63" t="s">
        <v>19</v>
      </c>
      <c r="H63" t="s">
        <v>27</v>
      </c>
      <c r="I63" s="77"/>
      <c r="J63" s="77"/>
      <c r="K63" s="77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24"/>
      <c r="AG63" s="124"/>
      <c r="AH63" s="104"/>
      <c r="AI63" s="104"/>
      <c r="AJ63" s="22"/>
      <c r="AK63" s="22"/>
      <c r="AL63" s="22"/>
      <c r="AM63" s="22"/>
      <c r="AN63" s="22"/>
      <c r="AO63" s="104"/>
      <c r="AP63" s="22"/>
      <c r="AQ63" s="22"/>
      <c r="AR63" s="22"/>
      <c r="AS63" s="22"/>
      <c r="AT63" s="22"/>
      <c r="AU63" s="22"/>
      <c r="AV63" s="22"/>
      <c r="AW63" s="22"/>
      <c r="AX63" s="22"/>
      <c r="AY63" s="22">
        <v>0.01</v>
      </c>
      <c r="AZ63" s="104"/>
      <c r="BA63" s="104"/>
      <c r="BB63" s="104">
        <v>0.495</v>
      </c>
      <c r="BC63" s="124">
        <v>0.495</v>
      </c>
      <c r="BD63" s="124"/>
      <c r="BE63" s="104"/>
      <c r="BF63" s="104"/>
      <c r="BG63" s="104"/>
      <c r="BH63" s="104"/>
      <c r="BI63" s="78">
        <f t="shared" si="296"/>
        <v>1</v>
      </c>
      <c r="BJ63" s="105"/>
      <c r="BK63" s="105"/>
      <c r="BL63" s="105"/>
      <c r="BM63" s="105"/>
      <c r="BN63" s="105"/>
      <c r="BO63" s="105"/>
      <c r="BP63" s="105"/>
      <c r="BQ63" s="105"/>
      <c r="BR63" s="105"/>
      <c r="BS63" s="105"/>
      <c r="BT63" s="105"/>
      <c r="BU63" s="105"/>
      <c r="BV63" s="105"/>
      <c r="BW63" s="105"/>
      <c r="BX63" s="105"/>
      <c r="BY63" s="105"/>
      <c r="BZ63" s="105"/>
      <c r="CA63" s="105"/>
      <c r="CB63" s="105"/>
      <c r="CC63" s="105"/>
      <c r="CD63" s="105"/>
      <c r="CE63" s="105"/>
      <c r="CF63" s="120"/>
      <c r="CG63" s="128"/>
      <c r="CH63" s="128"/>
      <c r="CI63" s="105"/>
      <c r="CJ63" s="105"/>
      <c r="CK63" s="105"/>
      <c r="CL63" s="105"/>
      <c r="CM63" s="105"/>
      <c r="CN63" s="105"/>
      <c r="CO63" s="105"/>
      <c r="CP63" s="105"/>
      <c r="CQ63" s="105"/>
      <c r="CR63" s="105"/>
      <c r="CS63" s="105"/>
      <c r="CT63" s="105"/>
      <c r="CU63" s="105"/>
      <c r="CV63" s="105"/>
      <c r="CW63" s="105"/>
      <c r="CX63" s="105"/>
      <c r="CY63" s="105"/>
      <c r="CZ63" s="105"/>
      <c r="DA63" s="105"/>
      <c r="DB63" s="105"/>
      <c r="DC63" s="105"/>
      <c r="DD63" s="125"/>
      <c r="DE63" s="125"/>
      <c r="DF63" s="105"/>
      <c r="DG63" s="105"/>
      <c r="DH63" s="105"/>
      <c r="DI63" s="105"/>
      <c r="DJ63" s="79">
        <f t="shared" si="286"/>
        <v>0</v>
      </c>
      <c r="DK63" s="108"/>
      <c r="DL63" s="108"/>
      <c r="DM63" s="108"/>
      <c r="DN63" s="108"/>
      <c r="DO63" s="108"/>
      <c r="DP63" s="108"/>
      <c r="DQ63" s="108"/>
      <c r="DR63" s="108"/>
      <c r="DS63" s="108"/>
      <c r="DT63" s="108"/>
      <c r="DU63" s="108"/>
      <c r="DV63" s="108"/>
      <c r="DW63" s="108"/>
      <c r="DX63" s="108"/>
      <c r="DY63" s="108"/>
      <c r="DZ63" s="108"/>
      <c r="EA63" s="108"/>
      <c r="EB63" s="108"/>
      <c r="EC63" s="108"/>
      <c r="ED63" s="108"/>
      <c r="EE63" s="108"/>
      <c r="EF63" s="108"/>
      <c r="EG63" s="108"/>
      <c r="EH63" s="129"/>
      <c r="EI63" s="129"/>
      <c r="EJ63" s="108"/>
      <c r="EK63" s="108"/>
      <c r="EL63" s="108"/>
      <c r="EM63" s="108"/>
      <c r="EN63" s="108"/>
      <c r="EO63" s="108"/>
      <c r="EP63" s="108"/>
      <c r="EQ63" s="108"/>
      <c r="ER63" s="108"/>
      <c r="ES63" s="106"/>
      <c r="ET63" s="106"/>
      <c r="EU63" s="106"/>
      <c r="EV63" s="106"/>
      <c r="EW63" s="106"/>
      <c r="EX63" s="106"/>
      <c r="EY63" s="106"/>
      <c r="EZ63" s="106"/>
      <c r="FA63" s="106"/>
      <c r="FB63" s="106"/>
      <c r="FC63" s="106"/>
      <c r="FD63" s="106"/>
      <c r="FE63" s="126"/>
      <c r="FF63" s="126"/>
      <c r="FG63" s="106"/>
      <c r="FH63" s="106"/>
      <c r="FI63" s="106"/>
      <c r="FJ63" s="106"/>
      <c r="FK63" s="17">
        <f t="shared" si="280"/>
        <v>0</v>
      </c>
      <c r="FL63" s="18"/>
      <c r="FM63" s="19">
        <f t="shared" si="119"/>
        <v>0</v>
      </c>
      <c r="FN63" s="19">
        <f t="shared" si="120"/>
        <v>0</v>
      </c>
      <c r="FO63" s="19">
        <f t="shared" si="121"/>
        <v>0</v>
      </c>
      <c r="FP63" s="19">
        <f t="shared" si="122"/>
        <v>0</v>
      </c>
      <c r="FQ63" s="19">
        <f t="shared" si="123"/>
        <v>0</v>
      </c>
      <c r="FR63" s="19">
        <f t="shared" si="124"/>
        <v>0</v>
      </c>
      <c r="FS63" s="19">
        <f t="shared" si="125"/>
        <v>0</v>
      </c>
      <c r="FT63" s="19">
        <f t="shared" si="126"/>
        <v>0</v>
      </c>
      <c r="FU63" s="19">
        <f t="shared" si="127"/>
        <v>0</v>
      </c>
      <c r="FV63" s="19">
        <f t="shared" si="128"/>
        <v>0</v>
      </c>
      <c r="FW63" s="19">
        <f t="shared" si="129"/>
        <v>0</v>
      </c>
      <c r="FX63" s="19">
        <f t="shared" si="130"/>
        <v>0</v>
      </c>
      <c r="FY63" s="19">
        <f t="shared" si="131"/>
        <v>0</v>
      </c>
      <c r="FZ63" s="19">
        <f t="shared" si="132"/>
        <v>0</v>
      </c>
      <c r="GA63" s="19">
        <f t="shared" si="133"/>
        <v>0</v>
      </c>
      <c r="GB63" s="19">
        <f t="shared" si="134"/>
        <v>0</v>
      </c>
      <c r="GC63" s="19">
        <f t="shared" si="135"/>
        <v>0</v>
      </c>
      <c r="GD63" s="19">
        <f t="shared" si="136"/>
        <v>0</v>
      </c>
      <c r="GE63" s="19">
        <f t="shared" si="137"/>
        <v>0</v>
      </c>
      <c r="GF63" s="19">
        <f t="shared" si="138"/>
        <v>0</v>
      </c>
      <c r="GG63" s="19">
        <f t="shared" si="139"/>
        <v>0</v>
      </c>
      <c r="GH63" s="19">
        <f t="shared" si="140"/>
        <v>0</v>
      </c>
      <c r="GI63" s="19">
        <f t="shared" si="141"/>
        <v>0</v>
      </c>
      <c r="GJ63" s="19">
        <f t="shared" si="142"/>
        <v>0</v>
      </c>
      <c r="GK63" s="19">
        <f t="shared" si="143"/>
        <v>0</v>
      </c>
      <c r="GL63" s="19">
        <f t="shared" si="144"/>
        <v>0</v>
      </c>
      <c r="GM63" s="19">
        <f t="shared" si="145"/>
        <v>0</v>
      </c>
      <c r="GN63" s="19">
        <f t="shared" si="146"/>
        <v>0</v>
      </c>
      <c r="GO63" s="19">
        <f t="shared" si="147"/>
        <v>0</v>
      </c>
      <c r="GP63" s="19">
        <f t="shared" si="148"/>
        <v>0</v>
      </c>
      <c r="GQ63" s="19">
        <f t="shared" si="149"/>
        <v>0</v>
      </c>
      <c r="GR63" s="19">
        <f t="shared" si="150"/>
        <v>0</v>
      </c>
      <c r="GS63" s="19">
        <f t="shared" si="151"/>
        <v>0</v>
      </c>
      <c r="GT63" s="19">
        <f t="shared" si="152"/>
        <v>0</v>
      </c>
      <c r="GU63" s="19">
        <f t="shared" si="153"/>
        <v>0</v>
      </c>
      <c r="GV63" s="19">
        <f t="shared" si="154"/>
        <v>0</v>
      </c>
      <c r="GW63" s="19">
        <f t="shared" si="155"/>
        <v>0</v>
      </c>
      <c r="GX63" s="19">
        <f t="shared" si="156"/>
        <v>0</v>
      </c>
      <c r="GY63" s="19">
        <f t="shared" si="157"/>
        <v>0</v>
      </c>
      <c r="GZ63" s="19">
        <f t="shared" si="158"/>
        <v>0</v>
      </c>
      <c r="HA63" s="19">
        <f t="shared" si="159"/>
        <v>0</v>
      </c>
      <c r="HB63" s="19">
        <f t="shared" si="160"/>
        <v>0</v>
      </c>
      <c r="HC63" s="19">
        <f t="shared" si="161"/>
        <v>1.4999999999999999E-2</v>
      </c>
      <c r="HD63" s="19">
        <f t="shared" si="162"/>
        <v>0</v>
      </c>
      <c r="HE63" s="19">
        <f t="shared" si="163"/>
        <v>0</v>
      </c>
      <c r="HF63" s="19">
        <f t="shared" si="164"/>
        <v>0.74249999999999994</v>
      </c>
      <c r="HG63" s="19">
        <f t="shared" si="165"/>
        <v>0.74249999999999994</v>
      </c>
      <c r="HH63" s="19">
        <f t="shared" si="166"/>
        <v>0</v>
      </c>
      <c r="HI63" s="19">
        <f t="shared" si="167"/>
        <v>0</v>
      </c>
      <c r="HJ63" s="19">
        <f t="shared" si="168"/>
        <v>0</v>
      </c>
      <c r="HK63" s="19">
        <f t="shared" si="169"/>
        <v>0</v>
      </c>
      <c r="HL63" s="19">
        <f t="shared" si="170"/>
        <v>0</v>
      </c>
      <c r="HM63" s="20">
        <f t="shared" si="171"/>
        <v>1.5</v>
      </c>
      <c r="HN63" s="53">
        <v>658</v>
      </c>
      <c r="HO63" s="21">
        <f t="shared" si="172"/>
        <v>0</v>
      </c>
      <c r="HP63" s="21">
        <f t="shared" si="173"/>
        <v>0</v>
      </c>
      <c r="HQ63" s="21">
        <f t="shared" si="174"/>
        <v>0</v>
      </c>
      <c r="HR63" s="21">
        <f t="shared" si="175"/>
        <v>0</v>
      </c>
      <c r="HS63" s="21">
        <f t="shared" si="176"/>
        <v>0</v>
      </c>
      <c r="HT63" s="69">
        <f t="shared" si="177"/>
        <v>0</v>
      </c>
      <c r="HU63" s="21">
        <f t="shared" si="178"/>
        <v>0</v>
      </c>
      <c r="HV63" s="21">
        <f t="shared" si="179"/>
        <v>0</v>
      </c>
      <c r="HW63" s="21">
        <f t="shared" si="180"/>
        <v>0</v>
      </c>
      <c r="HX63" s="21">
        <f t="shared" si="181"/>
        <v>0</v>
      </c>
      <c r="HY63" s="21">
        <f t="shared" si="182"/>
        <v>0</v>
      </c>
      <c r="HZ63" s="21">
        <f t="shared" si="183"/>
        <v>0</v>
      </c>
      <c r="IA63" s="21">
        <f t="shared" si="184"/>
        <v>0</v>
      </c>
      <c r="IB63" s="21">
        <f t="shared" si="185"/>
        <v>0</v>
      </c>
      <c r="IC63" s="21">
        <f t="shared" si="186"/>
        <v>0</v>
      </c>
      <c r="ID63" s="21">
        <f t="shared" si="187"/>
        <v>0</v>
      </c>
      <c r="IE63" s="21">
        <f t="shared" si="188"/>
        <v>0</v>
      </c>
      <c r="IF63" s="69">
        <f t="shared" si="189"/>
        <v>0</v>
      </c>
      <c r="IG63" s="69">
        <f t="shared" si="190"/>
        <v>0</v>
      </c>
      <c r="IH63" s="69">
        <f t="shared" si="191"/>
        <v>0</v>
      </c>
      <c r="II63" s="21">
        <f t="shared" si="192"/>
        <v>0</v>
      </c>
      <c r="IJ63" s="21">
        <f t="shared" si="193"/>
        <v>0</v>
      </c>
      <c r="IK63" s="21">
        <f t="shared" si="194"/>
        <v>0</v>
      </c>
      <c r="IL63" s="21">
        <f t="shared" si="195"/>
        <v>0</v>
      </c>
      <c r="IM63" s="21">
        <f t="shared" si="196"/>
        <v>0</v>
      </c>
      <c r="IN63" s="21">
        <f t="shared" si="197"/>
        <v>0</v>
      </c>
      <c r="IO63" s="21">
        <f t="shared" si="198"/>
        <v>0</v>
      </c>
      <c r="IP63" s="21">
        <f t="shared" si="199"/>
        <v>0</v>
      </c>
      <c r="IQ63" s="21">
        <f t="shared" si="200"/>
        <v>0</v>
      </c>
      <c r="IR63" s="21">
        <f t="shared" si="201"/>
        <v>0</v>
      </c>
      <c r="IS63" s="21">
        <f t="shared" si="202"/>
        <v>0</v>
      </c>
      <c r="IT63" s="21">
        <f t="shared" si="203"/>
        <v>0</v>
      </c>
      <c r="IU63" s="21">
        <f t="shared" si="204"/>
        <v>0</v>
      </c>
      <c r="IV63" s="21">
        <f t="shared" si="205"/>
        <v>0</v>
      </c>
      <c r="IW63" s="21">
        <f t="shared" si="206"/>
        <v>0</v>
      </c>
      <c r="IX63" s="21">
        <f t="shared" si="207"/>
        <v>0</v>
      </c>
      <c r="IY63" s="21">
        <f t="shared" si="208"/>
        <v>0</v>
      </c>
      <c r="IZ63" s="21">
        <f t="shared" si="209"/>
        <v>0</v>
      </c>
      <c r="JA63" s="21">
        <f t="shared" si="210"/>
        <v>0</v>
      </c>
      <c r="JB63" s="21">
        <f t="shared" si="211"/>
        <v>0</v>
      </c>
      <c r="JC63" s="21">
        <f t="shared" si="212"/>
        <v>0</v>
      </c>
      <c r="JD63" s="21">
        <f t="shared" si="213"/>
        <v>0</v>
      </c>
      <c r="JE63" s="21">
        <f t="shared" si="214"/>
        <v>6.5799999999999992</v>
      </c>
      <c r="JF63" s="21">
        <f t="shared" si="215"/>
        <v>0</v>
      </c>
      <c r="JG63" s="21">
        <f t="shared" si="216"/>
        <v>0</v>
      </c>
      <c r="JH63" s="21">
        <f t="shared" si="217"/>
        <v>325.70999999999998</v>
      </c>
      <c r="JI63" s="21">
        <f t="shared" si="218"/>
        <v>325.70999999999998</v>
      </c>
      <c r="JJ63" s="21">
        <f t="shared" si="219"/>
        <v>0</v>
      </c>
      <c r="JK63" s="21">
        <f t="shared" si="220"/>
        <v>0</v>
      </c>
      <c r="JL63" s="21">
        <f t="shared" si="221"/>
        <v>0</v>
      </c>
      <c r="JM63" s="21">
        <f t="shared" si="222"/>
        <v>0</v>
      </c>
      <c r="JN63" s="21">
        <f t="shared" si="223"/>
        <v>0</v>
      </c>
      <c r="JO63" s="35">
        <f t="shared" si="287"/>
        <v>658</v>
      </c>
      <c r="JP63" s="38">
        <f t="shared" si="288"/>
        <v>0</v>
      </c>
      <c r="JQ63" s="43">
        <f t="shared" si="224"/>
        <v>0</v>
      </c>
      <c r="JR63" s="43">
        <f t="shared" si="225"/>
        <v>0</v>
      </c>
      <c r="JS63" s="43">
        <f t="shared" si="226"/>
        <v>0</v>
      </c>
      <c r="JT63" s="43">
        <f t="shared" si="227"/>
        <v>0</v>
      </c>
      <c r="JU63" s="43">
        <f t="shared" si="228"/>
        <v>0</v>
      </c>
      <c r="JV63" s="43">
        <f t="shared" si="229"/>
        <v>0</v>
      </c>
      <c r="JW63" s="43">
        <f t="shared" si="230"/>
        <v>0</v>
      </c>
      <c r="JX63" s="43">
        <f t="shared" si="231"/>
        <v>0</v>
      </c>
      <c r="JY63" s="43">
        <f t="shared" si="232"/>
        <v>0</v>
      </c>
      <c r="JZ63" s="43">
        <f t="shared" si="233"/>
        <v>0</v>
      </c>
      <c r="KA63" s="43">
        <f t="shared" si="234"/>
        <v>0</v>
      </c>
      <c r="KB63" s="43">
        <f t="shared" si="235"/>
        <v>0</v>
      </c>
      <c r="KC63" s="43">
        <f t="shared" si="236"/>
        <v>0</v>
      </c>
      <c r="KD63" s="43">
        <f t="shared" si="237"/>
        <v>0</v>
      </c>
      <c r="KE63" s="43">
        <f t="shared" si="238"/>
        <v>0</v>
      </c>
      <c r="KF63" s="43">
        <f t="shared" si="239"/>
        <v>0</v>
      </c>
      <c r="KG63" s="43">
        <f t="shared" si="240"/>
        <v>0</v>
      </c>
      <c r="KH63" s="43">
        <f t="shared" si="241"/>
        <v>0</v>
      </c>
      <c r="KI63" s="43">
        <f t="shared" si="242"/>
        <v>0</v>
      </c>
      <c r="KJ63" s="43">
        <f t="shared" si="243"/>
        <v>0</v>
      </c>
      <c r="KK63" s="43">
        <f t="shared" si="244"/>
        <v>0</v>
      </c>
      <c r="KL63" s="43">
        <f t="shared" si="245"/>
        <v>0</v>
      </c>
      <c r="KM63" s="43">
        <f t="shared" si="246"/>
        <v>0</v>
      </c>
      <c r="KN63" s="43">
        <f t="shared" si="247"/>
        <v>0</v>
      </c>
      <c r="KO63" s="43">
        <f t="shared" si="248"/>
        <v>0</v>
      </c>
      <c r="KP63" s="43">
        <f t="shared" si="249"/>
        <v>0</v>
      </c>
      <c r="KQ63" s="43">
        <f t="shared" si="250"/>
        <v>0</v>
      </c>
      <c r="KR63" s="43">
        <f t="shared" si="251"/>
        <v>0</v>
      </c>
      <c r="KS63" s="43">
        <f t="shared" si="252"/>
        <v>0</v>
      </c>
      <c r="KT63" s="43">
        <f t="shared" si="253"/>
        <v>0</v>
      </c>
      <c r="KU63" s="43">
        <f t="shared" si="254"/>
        <v>0</v>
      </c>
      <c r="KV63" s="43">
        <f t="shared" si="255"/>
        <v>0</v>
      </c>
      <c r="KW63" s="43">
        <f t="shared" si="256"/>
        <v>0</v>
      </c>
      <c r="KX63" s="43">
        <f t="shared" si="257"/>
        <v>0</v>
      </c>
      <c r="KY63" s="43">
        <f t="shared" si="258"/>
        <v>0</v>
      </c>
      <c r="KZ63" s="43">
        <f t="shared" si="259"/>
        <v>0</v>
      </c>
      <c r="LA63" s="43">
        <f t="shared" si="260"/>
        <v>0</v>
      </c>
      <c r="LB63" s="43">
        <f t="shared" si="261"/>
        <v>0</v>
      </c>
      <c r="LC63" s="43">
        <f t="shared" si="262"/>
        <v>0</v>
      </c>
      <c r="LD63" s="43">
        <f t="shared" si="263"/>
        <v>0</v>
      </c>
      <c r="LE63" s="43">
        <f t="shared" si="264"/>
        <v>0</v>
      </c>
      <c r="LF63" s="43">
        <f t="shared" si="265"/>
        <v>0</v>
      </c>
      <c r="LG63" s="43">
        <f t="shared" si="266"/>
        <v>67.905599999999993</v>
      </c>
      <c r="LH63" s="43">
        <f t="shared" si="267"/>
        <v>0</v>
      </c>
      <c r="LI63" s="43">
        <f t="shared" si="268"/>
        <v>0</v>
      </c>
      <c r="LJ63" s="43">
        <f t="shared" si="269"/>
        <v>1568.4760476000001</v>
      </c>
      <c r="LK63" s="43">
        <f t="shared" si="270"/>
        <v>1304.7128324999999</v>
      </c>
      <c r="LL63" s="43">
        <f t="shared" si="271"/>
        <v>0</v>
      </c>
      <c r="LM63" s="43">
        <f t="shared" si="272"/>
        <v>0</v>
      </c>
      <c r="LN63" s="43">
        <f t="shared" si="273"/>
        <v>0</v>
      </c>
      <c r="LO63" s="43">
        <f t="shared" si="274"/>
        <v>0</v>
      </c>
      <c r="LP63" s="43">
        <f t="shared" si="275"/>
        <v>0</v>
      </c>
      <c r="LQ63" s="28">
        <f t="shared" si="289"/>
        <v>2941.0944801000001</v>
      </c>
      <c r="LR63" s="65">
        <v>620</v>
      </c>
      <c r="LS63" s="32">
        <f t="shared" si="281"/>
        <v>4.7437007743548385</v>
      </c>
      <c r="LT63" s="26">
        <f t="shared" si="282"/>
        <v>1.2960931077472235</v>
      </c>
      <c r="LU63" s="31">
        <f t="shared" si="290"/>
        <v>38</v>
      </c>
      <c r="LW63" s="42"/>
      <c r="MA63" s="32">
        <f t="shared" si="291"/>
        <v>4.46974845</v>
      </c>
      <c r="MB63" s="26">
        <f t="shared" si="283"/>
        <v>1.2212427459016393</v>
      </c>
    </row>
    <row r="64" spans="1:340" ht="15.75" thickBot="1">
      <c r="A64" t="b">
        <f t="shared" si="285"/>
        <v>1</v>
      </c>
      <c r="B64" s="123" t="s">
        <v>212</v>
      </c>
      <c r="C64" s="39" t="s">
        <v>213</v>
      </c>
      <c r="D64"/>
      <c r="E64" s="97">
        <v>46032</v>
      </c>
      <c r="F64" t="s">
        <v>43</v>
      </c>
      <c r="G64" t="s">
        <v>20</v>
      </c>
      <c r="H64" t="s">
        <v>27</v>
      </c>
      <c r="I64" s="77"/>
      <c r="J64" s="77"/>
      <c r="K64" s="77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24"/>
      <c r="AG64" s="124"/>
      <c r="AH64" s="104"/>
      <c r="AI64" s="104"/>
      <c r="AJ64" s="22">
        <v>0.3</v>
      </c>
      <c r="AK64" s="22"/>
      <c r="AL64" s="22"/>
      <c r="AM64" s="22"/>
      <c r="AN64" s="22"/>
      <c r="AO64" s="104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104"/>
      <c r="BA64" s="104"/>
      <c r="BB64" s="104"/>
      <c r="BC64" s="124">
        <v>0.7</v>
      </c>
      <c r="BD64" s="124"/>
      <c r="BE64" s="104"/>
      <c r="BF64" s="104"/>
      <c r="BG64" s="104"/>
      <c r="BH64" s="104"/>
      <c r="BI64" s="78">
        <f t="shared" si="296"/>
        <v>1</v>
      </c>
      <c r="BJ64" s="105"/>
      <c r="BK64" s="105"/>
      <c r="BL64" s="105"/>
      <c r="BM64" s="105"/>
      <c r="BN64" s="105"/>
      <c r="BO64" s="105"/>
      <c r="BP64" s="105"/>
      <c r="BQ64" s="105"/>
      <c r="BR64" s="105"/>
      <c r="BS64" s="105"/>
      <c r="BT64" s="105"/>
      <c r="BU64" s="105"/>
      <c r="BV64" s="105"/>
      <c r="BW64" s="105"/>
      <c r="BX64" s="105"/>
      <c r="BY64" s="105"/>
      <c r="BZ64" s="105"/>
      <c r="CA64" s="105"/>
      <c r="CB64" s="105"/>
      <c r="CC64" s="105"/>
      <c r="CD64" s="105"/>
      <c r="CE64" s="105"/>
      <c r="CF64" s="120"/>
      <c r="CG64" s="128"/>
      <c r="CH64" s="128"/>
      <c r="CI64" s="105"/>
      <c r="CJ64" s="105"/>
      <c r="CK64" s="105"/>
      <c r="CL64" s="105">
        <v>0.3</v>
      </c>
      <c r="CM64" s="105"/>
      <c r="CN64" s="105"/>
      <c r="CO64" s="105"/>
      <c r="CP64" s="105"/>
      <c r="CQ64" s="105"/>
      <c r="CR64" s="105"/>
      <c r="CS64" s="105"/>
      <c r="CT64" s="105"/>
      <c r="CU64" s="105"/>
      <c r="CV64" s="105"/>
      <c r="CW64" s="105"/>
      <c r="CX64" s="105"/>
      <c r="CY64" s="105"/>
      <c r="CZ64" s="105"/>
      <c r="DA64" s="105"/>
      <c r="DB64" s="105"/>
      <c r="DC64" s="105"/>
      <c r="DD64" s="125">
        <v>0.7</v>
      </c>
      <c r="DE64" s="125"/>
      <c r="DF64" s="105"/>
      <c r="DG64" s="105"/>
      <c r="DH64" s="105"/>
      <c r="DI64" s="105"/>
      <c r="DJ64" s="79">
        <f t="shared" si="286"/>
        <v>1</v>
      </c>
      <c r="DK64" s="108"/>
      <c r="DL64" s="108"/>
      <c r="DM64" s="108"/>
      <c r="DN64" s="108"/>
      <c r="DO64" s="108"/>
      <c r="DP64" s="108"/>
      <c r="DQ64" s="108"/>
      <c r="DR64" s="108"/>
      <c r="DS64" s="108"/>
      <c r="DT64" s="108"/>
      <c r="DU64" s="108"/>
      <c r="DV64" s="108"/>
      <c r="DW64" s="108"/>
      <c r="DX64" s="108"/>
      <c r="DY64" s="108"/>
      <c r="DZ64" s="108"/>
      <c r="EA64" s="108">
        <v>0.7</v>
      </c>
      <c r="EB64" s="108"/>
      <c r="EC64" s="108"/>
      <c r="ED64" s="108"/>
      <c r="EE64" s="108"/>
      <c r="EF64" s="108"/>
      <c r="EG64" s="108"/>
      <c r="EH64" s="129"/>
      <c r="EI64" s="129"/>
      <c r="EJ64" s="108"/>
      <c r="EK64" s="108"/>
      <c r="EL64" s="108"/>
      <c r="EM64" s="108">
        <v>0.2</v>
      </c>
      <c r="EN64" s="108"/>
      <c r="EO64" s="108"/>
      <c r="EP64" s="108"/>
      <c r="EQ64" s="108"/>
      <c r="ER64" s="108"/>
      <c r="ES64" s="106"/>
      <c r="ET64" s="106"/>
      <c r="EU64" s="106">
        <v>0.08</v>
      </c>
      <c r="EV64" s="106"/>
      <c r="EW64" s="106"/>
      <c r="EX64" s="106"/>
      <c r="EY64" s="106"/>
      <c r="EZ64" s="106"/>
      <c r="FA64" s="106"/>
      <c r="FB64" s="106"/>
      <c r="FC64" s="106"/>
      <c r="FD64" s="106"/>
      <c r="FE64" s="126"/>
      <c r="FF64" s="126"/>
      <c r="FG64" s="106"/>
      <c r="FH64" s="106"/>
      <c r="FI64" s="106"/>
      <c r="FJ64" s="106">
        <v>0.02</v>
      </c>
      <c r="FK64" s="17">
        <f t="shared" si="280"/>
        <v>0.99999999999999989</v>
      </c>
      <c r="FL64" s="18"/>
      <c r="FM64" s="19">
        <f t="shared" si="119"/>
        <v>0</v>
      </c>
      <c r="FN64" s="19">
        <f t="shared" si="120"/>
        <v>0</v>
      </c>
      <c r="FO64" s="19">
        <f t="shared" si="121"/>
        <v>0</v>
      </c>
      <c r="FP64" s="19">
        <f t="shared" si="122"/>
        <v>0</v>
      </c>
      <c r="FQ64" s="19">
        <f t="shared" si="123"/>
        <v>0</v>
      </c>
      <c r="FR64" s="19">
        <f t="shared" si="124"/>
        <v>0</v>
      </c>
      <c r="FS64" s="19">
        <f t="shared" si="125"/>
        <v>0</v>
      </c>
      <c r="FT64" s="19">
        <f t="shared" si="126"/>
        <v>0</v>
      </c>
      <c r="FU64" s="19">
        <f t="shared" si="127"/>
        <v>0</v>
      </c>
      <c r="FV64" s="19">
        <f t="shared" si="128"/>
        <v>0</v>
      </c>
      <c r="FW64" s="19">
        <f t="shared" si="129"/>
        <v>0</v>
      </c>
      <c r="FX64" s="19">
        <f t="shared" si="130"/>
        <v>0</v>
      </c>
      <c r="FY64" s="19">
        <f t="shared" si="131"/>
        <v>0</v>
      </c>
      <c r="FZ64" s="19">
        <f t="shared" si="132"/>
        <v>0</v>
      </c>
      <c r="GA64" s="19">
        <f t="shared" si="133"/>
        <v>0</v>
      </c>
      <c r="GB64" s="19">
        <f t="shared" si="134"/>
        <v>0</v>
      </c>
      <c r="GC64" s="19">
        <f t="shared" si="135"/>
        <v>1.0499999999999998</v>
      </c>
      <c r="GD64" s="19">
        <f t="shared" si="136"/>
        <v>0</v>
      </c>
      <c r="GE64" s="19">
        <f t="shared" si="137"/>
        <v>0</v>
      </c>
      <c r="GF64" s="19">
        <f t="shared" si="138"/>
        <v>0</v>
      </c>
      <c r="GG64" s="19">
        <f t="shared" si="139"/>
        <v>0</v>
      </c>
      <c r="GH64" s="19">
        <f t="shared" si="140"/>
        <v>0</v>
      </c>
      <c r="GI64" s="19">
        <f t="shared" si="141"/>
        <v>0</v>
      </c>
      <c r="GJ64" s="19">
        <f t="shared" si="142"/>
        <v>0</v>
      </c>
      <c r="GK64" s="19">
        <f t="shared" si="143"/>
        <v>0</v>
      </c>
      <c r="GL64" s="19">
        <f t="shared" si="144"/>
        <v>0</v>
      </c>
      <c r="GM64" s="19">
        <f t="shared" si="145"/>
        <v>0</v>
      </c>
      <c r="GN64" s="19">
        <f t="shared" si="146"/>
        <v>0.44999999999999996</v>
      </c>
      <c r="GO64" s="19">
        <f t="shared" si="147"/>
        <v>0.9</v>
      </c>
      <c r="GP64" s="19">
        <f t="shared" si="148"/>
        <v>0</v>
      </c>
      <c r="GQ64" s="19">
        <f t="shared" si="149"/>
        <v>0</v>
      </c>
      <c r="GR64" s="19">
        <f t="shared" si="150"/>
        <v>0</v>
      </c>
      <c r="GS64" s="19">
        <f t="shared" si="151"/>
        <v>0</v>
      </c>
      <c r="GT64" s="19">
        <f t="shared" si="152"/>
        <v>0</v>
      </c>
      <c r="GU64" s="19">
        <f t="shared" si="153"/>
        <v>0</v>
      </c>
      <c r="GV64" s="19">
        <f t="shared" si="154"/>
        <v>0</v>
      </c>
      <c r="GW64" s="19">
        <f t="shared" si="155"/>
        <v>0.12</v>
      </c>
      <c r="GX64" s="19">
        <f t="shared" si="156"/>
        <v>0</v>
      </c>
      <c r="GY64" s="19">
        <f t="shared" si="157"/>
        <v>0</v>
      </c>
      <c r="GZ64" s="19">
        <f t="shared" si="158"/>
        <v>0</v>
      </c>
      <c r="HA64" s="19">
        <f t="shared" si="159"/>
        <v>0</v>
      </c>
      <c r="HB64" s="19">
        <f t="shared" si="160"/>
        <v>0</v>
      </c>
      <c r="HC64" s="19">
        <f t="shared" si="161"/>
        <v>0</v>
      </c>
      <c r="HD64" s="19">
        <f t="shared" si="162"/>
        <v>0</v>
      </c>
      <c r="HE64" s="19">
        <f t="shared" si="163"/>
        <v>0</v>
      </c>
      <c r="HF64" s="19">
        <f t="shared" si="164"/>
        <v>0</v>
      </c>
      <c r="HG64" s="19">
        <f t="shared" si="165"/>
        <v>2.4499999999999997</v>
      </c>
      <c r="HH64" s="19">
        <f t="shared" si="166"/>
        <v>0</v>
      </c>
      <c r="HI64" s="19">
        <f t="shared" si="167"/>
        <v>0</v>
      </c>
      <c r="HJ64" s="19">
        <f t="shared" si="168"/>
        <v>0</v>
      </c>
      <c r="HK64" s="19">
        <f t="shared" si="169"/>
        <v>0</v>
      </c>
      <c r="HL64" s="19">
        <f t="shared" si="170"/>
        <v>0.03</v>
      </c>
      <c r="HM64" s="20">
        <f t="shared" si="171"/>
        <v>5</v>
      </c>
      <c r="HN64" s="53">
        <v>286</v>
      </c>
      <c r="HO64" s="21">
        <f t="shared" si="172"/>
        <v>0</v>
      </c>
      <c r="HP64" s="21">
        <f t="shared" si="173"/>
        <v>0</v>
      </c>
      <c r="HQ64" s="21">
        <f t="shared" si="174"/>
        <v>0</v>
      </c>
      <c r="HR64" s="21">
        <f t="shared" si="175"/>
        <v>0</v>
      </c>
      <c r="HS64" s="21">
        <f t="shared" si="176"/>
        <v>0</v>
      </c>
      <c r="HT64" s="69">
        <f t="shared" si="177"/>
        <v>0</v>
      </c>
      <c r="HU64" s="21">
        <f t="shared" si="178"/>
        <v>0</v>
      </c>
      <c r="HV64" s="21">
        <f t="shared" si="179"/>
        <v>0</v>
      </c>
      <c r="HW64" s="21">
        <f t="shared" si="180"/>
        <v>0</v>
      </c>
      <c r="HX64" s="21">
        <f t="shared" si="181"/>
        <v>0</v>
      </c>
      <c r="HY64" s="21">
        <f t="shared" si="182"/>
        <v>0</v>
      </c>
      <c r="HZ64" s="21">
        <f t="shared" si="183"/>
        <v>0</v>
      </c>
      <c r="IA64" s="21">
        <f t="shared" si="184"/>
        <v>0</v>
      </c>
      <c r="IB64" s="21">
        <f t="shared" si="185"/>
        <v>0</v>
      </c>
      <c r="IC64" s="21">
        <f t="shared" si="186"/>
        <v>0</v>
      </c>
      <c r="ID64" s="21">
        <f t="shared" si="187"/>
        <v>0</v>
      </c>
      <c r="IE64" s="21">
        <f t="shared" si="188"/>
        <v>60.059999999999988</v>
      </c>
      <c r="IF64" s="69">
        <f t="shared" si="189"/>
        <v>0</v>
      </c>
      <c r="IG64" s="69">
        <f t="shared" si="190"/>
        <v>0</v>
      </c>
      <c r="IH64" s="69">
        <f t="shared" si="191"/>
        <v>0</v>
      </c>
      <c r="II64" s="21">
        <f t="shared" si="192"/>
        <v>0</v>
      </c>
      <c r="IJ64" s="21">
        <f t="shared" si="193"/>
        <v>0</v>
      </c>
      <c r="IK64" s="21">
        <f t="shared" si="194"/>
        <v>0</v>
      </c>
      <c r="IL64" s="21">
        <f t="shared" si="195"/>
        <v>0</v>
      </c>
      <c r="IM64" s="21">
        <f t="shared" si="196"/>
        <v>0</v>
      </c>
      <c r="IN64" s="21">
        <f t="shared" si="197"/>
        <v>0</v>
      </c>
      <c r="IO64" s="21">
        <f t="shared" si="198"/>
        <v>0</v>
      </c>
      <c r="IP64" s="21">
        <f t="shared" si="199"/>
        <v>25.74</v>
      </c>
      <c r="IQ64" s="21">
        <f t="shared" si="200"/>
        <v>51.480000000000004</v>
      </c>
      <c r="IR64" s="21">
        <f t="shared" si="201"/>
        <v>0</v>
      </c>
      <c r="IS64" s="21">
        <f t="shared" si="202"/>
        <v>0</v>
      </c>
      <c r="IT64" s="21">
        <f t="shared" si="203"/>
        <v>0</v>
      </c>
      <c r="IU64" s="21">
        <f t="shared" si="204"/>
        <v>0</v>
      </c>
      <c r="IV64" s="21">
        <f t="shared" si="205"/>
        <v>0</v>
      </c>
      <c r="IW64" s="21">
        <f t="shared" si="206"/>
        <v>0</v>
      </c>
      <c r="IX64" s="21">
        <f t="shared" si="207"/>
        <v>0</v>
      </c>
      <c r="IY64" s="21">
        <f t="shared" si="208"/>
        <v>6.8639999999999999</v>
      </c>
      <c r="IZ64" s="21">
        <f t="shared" si="209"/>
        <v>0</v>
      </c>
      <c r="JA64" s="21">
        <f t="shared" si="210"/>
        <v>0</v>
      </c>
      <c r="JB64" s="21">
        <f t="shared" si="211"/>
        <v>0</v>
      </c>
      <c r="JC64" s="21">
        <f t="shared" si="212"/>
        <v>0</v>
      </c>
      <c r="JD64" s="21">
        <f t="shared" si="213"/>
        <v>0</v>
      </c>
      <c r="JE64" s="21">
        <f t="shared" si="214"/>
        <v>0</v>
      </c>
      <c r="JF64" s="21">
        <f t="shared" si="215"/>
        <v>0</v>
      </c>
      <c r="JG64" s="21">
        <f t="shared" si="216"/>
        <v>0</v>
      </c>
      <c r="JH64" s="21">
        <f t="shared" si="217"/>
        <v>0</v>
      </c>
      <c r="JI64" s="21">
        <f t="shared" si="218"/>
        <v>140.13999999999999</v>
      </c>
      <c r="JJ64" s="21">
        <f t="shared" si="219"/>
        <v>0</v>
      </c>
      <c r="JK64" s="21">
        <f t="shared" si="220"/>
        <v>0</v>
      </c>
      <c r="JL64" s="21">
        <f t="shared" si="221"/>
        <v>0</v>
      </c>
      <c r="JM64" s="21">
        <f t="shared" si="222"/>
        <v>0</v>
      </c>
      <c r="JN64" s="21">
        <f t="shared" si="223"/>
        <v>1.716</v>
      </c>
      <c r="JO64" s="35">
        <f t="shared" si="287"/>
        <v>286</v>
      </c>
      <c r="JP64" s="38">
        <f t="shared" si="288"/>
        <v>0</v>
      </c>
      <c r="JQ64" s="43">
        <f t="shared" si="224"/>
        <v>0</v>
      </c>
      <c r="JR64" s="43">
        <f t="shared" si="225"/>
        <v>0</v>
      </c>
      <c r="JS64" s="43">
        <f t="shared" si="226"/>
        <v>0</v>
      </c>
      <c r="JT64" s="43">
        <f t="shared" si="227"/>
        <v>0</v>
      </c>
      <c r="JU64" s="43">
        <f t="shared" si="228"/>
        <v>0</v>
      </c>
      <c r="JV64" s="43">
        <f t="shared" si="229"/>
        <v>0</v>
      </c>
      <c r="JW64" s="43">
        <f t="shared" si="230"/>
        <v>0</v>
      </c>
      <c r="JX64" s="43">
        <f t="shared" si="231"/>
        <v>0</v>
      </c>
      <c r="JY64" s="43">
        <f t="shared" si="232"/>
        <v>0</v>
      </c>
      <c r="JZ64" s="43">
        <f t="shared" si="233"/>
        <v>0</v>
      </c>
      <c r="KA64" s="43">
        <f t="shared" si="234"/>
        <v>0</v>
      </c>
      <c r="KB64" s="43">
        <f t="shared" si="235"/>
        <v>0</v>
      </c>
      <c r="KC64" s="43">
        <f t="shared" si="236"/>
        <v>0</v>
      </c>
      <c r="KD64" s="43">
        <f t="shared" si="237"/>
        <v>0</v>
      </c>
      <c r="KE64" s="43">
        <f t="shared" si="238"/>
        <v>0</v>
      </c>
      <c r="KF64" s="43">
        <f t="shared" si="239"/>
        <v>0</v>
      </c>
      <c r="KG64" s="43">
        <f t="shared" si="240"/>
        <v>249.24449610666665</v>
      </c>
      <c r="KH64" s="43">
        <f t="shared" si="241"/>
        <v>0</v>
      </c>
      <c r="KI64" s="43">
        <f t="shared" si="242"/>
        <v>0</v>
      </c>
      <c r="KJ64" s="43">
        <f t="shared" si="243"/>
        <v>0</v>
      </c>
      <c r="KK64" s="43">
        <f t="shared" si="244"/>
        <v>0</v>
      </c>
      <c r="KL64" s="43">
        <f t="shared" si="245"/>
        <v>0</v>
      </c>
      <c r="KM64" s="43">
        <f t="shared" si="246"/>
        <v>0</v>
      </c>
      <c r="KN64" s="43">
        <f t="shared" si="247"/>
        <v>0</v>
      </c>
      <c r="KO64" s="43">
        <f t="shared" si="248"/>
        <v>0</v>
      </c>
      <c r="KP64" s="43">
        <f t="shared" si="249"/>
        <v>0</v>
      </c>
      <c r="KQ64" s="43">
        <f t="shared" si="250"/>
        <v>0</v>
      </c>
      <c r="KR64" s="43">
        <f t="shared" si="251"/>
        <v>99.356399999999994</v>
      </c>
      <c r="KS64" s="43">
        <f t="shared" si="252"/>
        <v>176.02715936000001</v>
      </c>
      <c r="KT64" s="43">
        <f t="shared" si="253"/>
        <v>0</v>
      </c>
      <c r="KU64" s="43">
        <f t="shared" si="254"/>
        <v>0</v>
      </c>
      <c r="KV64" s="43">
        <f t="shared" si="255"/>
        <v>0</v>
      </c>
      <c r="KW64" s="43">
        <f t="shared" si="256"/>
        <v>0</v>
      </c>
      <c r="KX64" s="43">
        <f t="shared" si="257"/>
        <v>0</v>
      </c>
      <c r="KY64" s="43">
        <f t="shared" si="258"/>
        <v>0</v>
      </c>
      <c r="KZ64" s="43">
        <f t="shared" si="259"/>
        <v>0</v>
      </c>
      <c r="LA64" s="43">
        <f t="shared" si="260"/>
        <v>27.502949759999996</v>
      </c>
      <c r="LB64" s="43">
        <f t="shared" si="261"/>
        <v>0</v>
      </c>
      <c r="LC64" s="43">
        <f t="shared" si="262"/>
        <v>0</v>
      </c>
      <c r="LD64" s="43">
        <f t="shared" si="263"/>
        <v>0</v>
      </c>
      <c r="LE64" s="43">
        <f t="shared" si="264"/>
        <v>0</v>
      </c>
      <c r="LF64" s="43">
        <f t="shared" si="265"/>
        <v>0</v>
      </c>
      <c r="LG64" s="43">
        <f t="shared" si="266"/>
        <v>0</v>
      </c>
      <c r="LH64" s="43">
        <f t="shared" si="267"/>
        <v>0</v>
      </c>
      <c r="LI64" s="43">
        <f t="shared" si="268"/>
        <v>0</v>
      </c>
      <c r="LJ64" s="43">
        <f t="shared" si="269"/>
        <v>0</v>
      </c>
      <c r="LK64" s="43">
        <f t="shared" si="270"/>
        <v>561.36580499999991</v>
      </c>
      <c r="LL64" s="43">
        <f t="shared" si="271"/>
        <v>0</v>
      </c>
      <c r="LM64" s="43">
        <f t="shared" si="272"/>
        <v>0</v>
      </c>
      <c r="LN64" s="43">
        <f t="shared" si="273"/>
        <v>0</v>
      </c>
      <c r="LO64" s="43">
        <f t="shared" si="274"/>
        <v>0</v>
      </c>
      <c r="LP64" s="43">
        <f t="shared" si="275"/>
        <v>14.500199999999998</v>
      </c>
      <c r="LQ64" s="28">
        <f t="shared" si="289"/>
        <v>1127.9970102266666</v>
      </c>
      <c r="LR64" s="65">
        <v>281</v>
      </c>
      <c r="LS64" s="32">
        <f t="shared" si="281"/>
        <v>4.0142242356820876</v>
      </c>
      <c r="LT64" s="26">
        <f t="shared" si="282"/>
        <v>1.0967825780552152</v>
      </c>
      <c r="LU64" s="31">
        <f t="shared" si="290"/>
        <v>5</v>
      </c>
      <c r="LW64" s="42"/>
      <c r="MA64" s="32">
        <f t="shared" si="291"/>
        <v>3.9440454903030302</v>
      </c>
      <c r="MB64" s="26">
        <f t="shared" si="283"/>
        <v>1.0776080574598443</v>
      </c>
    </row>
    <row r="65" spans="1:340" ht="15.75" thickBot="1">
      <c r="A65" t="b">
        <f t="shared" si="285"/>
        <v>1</v>
      </c>
      <c r="B65" s="123" t="s">
        <v>214</v>
      </c>
      <c r="C65" s="39" t="s">
        <v>215</v>
      </c>
      <c r="D65"/>
      <c r="E65" s="97">
        <v>46032</v>
      </c>
      <c r="F65" t="s">
        <v>43</v>
      </c>
      <c r="G65" t="s">
        <v>20</v>
      </c>
      <c r="H65" t="s">
        <v>27</v>
      </c>
      <c r="I65" s="77"/>
      <c r="J65" s="77"/>
      <c r="K65" s="77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24"/>
      <c r="AG65" s="124"/>
      <c r="AH65" s="104"/>
      <c r="AI65" s="104"/>
      <c r="AJ65" s="22">
        <v>0.3</v>
      </c>
      <c r="AK65" s="22"/>
      <c r="AL65" s="22"/>
      <c r="AM65" s="22"/>
      <c r="AN65" s="22"/>
      <c r="AO65" s="104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104"/>
      <c r="BA65" s="104"/>
      <c r="BB65" s="104"/>
      <c r="BC65" s="124">
        <v>0.7</v>
      </c>
      <c r="BD65" s="124"/>
      <c r="BE65" s="104"/>
      <c r="BF65" s="104"/>
      <c r="BG65" s="104"/>
      <c r="BH65" s="104"/>
      <c r="BI65" s="78">
        <f t="shared" si="296"/>
        <v>1</v>
      </c>
      <c r="BJ65" s="105"/>
      <c r="BK65" s="105"/>
      <c r="BL65" s="105"/>
      <c r="BM65" s="105"/>
      <c r="BN65" s="105"/>
      <c r="BO65" s="105"/>
      <c r="BP65" s="105"/>
      <c r="BQ65" s="105"/>
      <c r="BR65" s="105"/>
      <c r="BS65" s="105"/>
      <c r="BT65" s="105"/>
      <c r="BU65" s="105"/>
      <c r="BV65" s="105"/>
      <c r="BW65" s="105"/>
      <c r="BX65" s="105"/>
      <c r="BY65" s="105"/>
      <c r="BZ65" s="105"/>
      <c r="CA65" s="105"/>
      <c r="CB65" s="105"/>
      <c r="CC65" s="105"/>
      <c r="CD65" s="105"/>
      <c r="CE65" s="105"/>
      <c r="CF65" s="120"/>
      <c r="CG65" s="128"/>
      <c r="CH65" s="128"/>
      <c r="CI65" s="105"/>
      <c r="CJ65" s="105"/>
      <c r="CK65" s="105"/>
      <c r="CL65" s="105">
        <v>0.3</v>
      </c>
      <c r="CM65" s="105"/>
      <c r="CN65" s="105"/>
      <c r="CO65" s="105"/>
      <c r="CP65" s="105"/>
      <c r="CQ65" s="105"/>
      <c r="CR65" s="105"/>
      <c r="CS65" s="105"/>
      <c r="CT65" s="105"/>
      <c r="CU65" s="105"/>
      <c r="CV65" s="105"/>
      <c r="CW65" s="105"/>
      <c r="CX65" s="105"/>
      <c r="CY65" s="105"/>
      <c r="CZ65" s="105"/>
      <c r="DA65" s="105"/>
      <c r="DB65" s="105"/>
      <c r="DC65" s="105"/>
      <c r="DD65" s="125">
        <v>0.7</v>
      </c>
      <c r="DE65" s="125"/>
      <c r="DF65" s="105"/>
      <c r="DG65" s="105"/>
      <c r="DH65" s="105"/>
      <c r="DI65" s="105"/>
      <c r="DJ65" s="79">
        <f t="shared" si="286"/>
        <v>1</v>
      </c>
      <c r="DK65" s="108"/>
      <c r="DL65" s="108"/>
      <c r="DM65" s="108"/>
      <c r="DN65" s="108"/>
      <c r="DO65" s="108"/>
      <c r="DP65" s="108"/>
      <c r="DQ65" s="108"/>
      <c r="DR65" s="108"/>
      <c r="DS65" s="108"/>
      <c r="DT65" s="108"/>
      <c r="DU65" s="108"/>
      <c r="DV65" s="108"/>
      <c r="DW65" s="108"/>
      <c r="DX65" s="108"/>
      <c r="DY65" s="108"/>
      <c r="DZ65" s="108"/>
      <c r="EA65" s="108">
        <v>0.7</v>
      </c>
      <c r="EB65" s="108"/>
      <c r="EC65" s="108"/>
      <c r="ED65" s="108"/>
      <c r="EE65" s="108"/>
      <c r="EF65" s="108"/>
      <c r="EG65" s="108"/>
      <c r="EH65" s="129"/>
      <c r="EI65" s="129"/>
      <c r="EJ65" s="108"/>
      <c r="EK65" s="108"/>
      <c r="EL65" s="108"/>
      <c r="EM65" s="108">
        <v>0.2</v>
      </c>
      <c r="EN65" s="108"/>
      <c r="EO65" s="108"/>
      <c r="EP65" s="108"/>
      <c r="EQ65" s="108"/>
      <c r="ER65" s="108"/>
      <c r="ES65" s="106"/>
      <c r="ET65" s="106"/>
      <c r="EU65" s="106">
        <v>0.08</v>
      </c>
      <c r="EV65" s="106"/>
      <c r="EW65" s="106"/>
      <c r="EX65" s="106"/>
      <c r="EY65" s="106"/>
      <c r="EZ65" s="106"/>
      <c r="FA65" s="106"/>
      <c r="FB65" s="106"/>
      <c r="FC65" s="106"/>
      <c r="FD65" s="106"/>
      <c r="FE65" s="126"/>
      <c r="FF65" s="126"/>
      <c r="FG65" s="106"/>
      <c r="FH65" s="106"/>
      <c r="FI65" s="106"/>
      <c r="FJ65" s="106">
        <v>0.02</v>
      </c>
      <c r="FK65" s="17">
        <f t="shared" si="280"/>
        <v>0.99999999999999989</v>
      </c>
      <c r="FL65" s="18"/>
      <c r="FM65" s="19">
        <f t="shared" si="119"/>
        <v>0</v>
      </c>
      <c r="FN65" s="19">
        <f t="shared" si="120"/>
        <v>0</v>
      </c>
      <c r="FO65" s="19">
        <f t="shared" si="121"/>
        <v>0</v>
      </c>
      <c r="FP65" s="19">
        <f t="shared" si="122"/>
        <v>0</v>
      </c>
      <c r="FQ65" s="19">
        <f t="shared" si="123"/>
        <v>0</v>
      </c>
      <c r="FR65" s="19">
        <f t="shared" si="124"/>
        <v>0</v>
      </c>
      <c r="FS65" s="19">
        <f t="shared" si="125"/>
        <v>0</v>
      </c>
      <c r="FT65" s="19">
        <f t="shared" si="126"/>
        <v>0</v>
      </c>
      <c r="FU65" s="19">
        <f t="shared" si="127"/>
        <v>0</v>
      </c>
      <c r="FV65" s="19">
        <f t="shared" si="128"/>
        <v>0</v>
      </c>
      <c r="FW65" s="19">
        <f t="shared" si="129"/>
        <v>0</v>
      </c>
      <c r="FX65" s="19">
        <f t="shared" si="130"/>
        <v>0</v>
      </c>
      <c r="FY65" s="19">
        <f t="shared" si="131"/>
        <v>0</v>
      </c>
      <c r="FZ65" s="19">
        <f t="shared" si="132"/>
        <v>0</v>
      </c>
      <c r="GA65" s="19">
        <f t="shared" si="133"/>
        <v>0</v>
      </c>
      <c r="GB65" s="19">
        <f t="shared" si="134"/>
        <v>0</v>
      </c>
      <c r="GC65" s="19">
        <f t="shared" si="135"/>
        <v>1.0499999999999998</v>
      </c>
      <c r="GD65" s="19">
        <f t="shared" si="136"/>
        <v>0</v>
      </c>
      <c r="GE65" s="19">
        <f t="shared" si="137"/>
        <v>0</v>
      </c>
      <c r="GF65" s="19">
        <f t="shared" si="138"/>
        <v>0</v>
      </c>
      <c r="GG65" s="19">
        <f t="shared" si="139"/>
        <v>0</v>
      </c>
      <c r="GH65" s="19">
        <f t="shared" si="140"/>
        <v>0</v>
      </c>
      <c r="GI65" s="19">
        <f t="shared" si="141"/>
        <v>0</v>
      </c>
      <c r="GJ65" s="19">
        <f t="shared" si="142"/>
        <v>0</v>
      </c>
      <c r="GK65" s="19">
        <f t="shared" si="143"/>
        <v>0</v>
      </c>
      <c r="GL65" s="19">
        <f t="shared" si="144"/>
        <v>0</v>
      </c>
      <c r="GM65" s="19">
        <f t="shared" si="145"/>
        <v>0</v>
      </c>
      <c r="GN65" s="19">
        <f t="shared" si="146"/>
        <v>0.44999999999999996</v>
      </c>
      <c r="GO65" s="19">
        <f t="shared" si="147"/>
        <v>0.9</v>
      </c>
      <c r="GP65" s="19">
        <f t="shared" si="148"/>
        <v>0</v>
      </c>
      <c r="GQ65" s="19">
        <f t="shared" si="149"/>
        <v>0</v>
      </c>
      <c r="GR65" s="19">
        <f t="shared" si="150"/>
        <v>0</v>
      </c>
      <c r="GS65" s="19">
        <f t="shared" si="151"/>
        <v>0</v>
      </c>
      <c r="GT65" s="19">
        <f t="shared" si="152"/>
        <v>0</v>
      </c>
      <c r="GU65" s="19">
        <f t="shared" si="153"/>
        <v>0</v>
      </c>
      <c r="GV65" s="19">
        <f t="shared" si="154"/>
        <v>0</v>
      </c>
      <c r="GW65" s="19">
        <f t="shared" si="155"/>
        <v>0.12</v>
      </c>
      <c r="GX65" s="19">
        <f t="shared" si="156"/>
        <v>0</v>
      </c>
      <c r="GY65" s="19">
        <f t="shared" si="157"/>
        <v>0</v>
      </c>
      <c r="GZ65" s="19">
        <f t="shared" si="158"/>
        <v>0</v>
      </c>
      <c r="HA65" s="19">
        <f t="shared" si="159"/>
        <v>0</v>
      </c>
      <c r="HB65" s="19">
        <f t="shared" si="160"/>
        <v>0</v>
      </c>
      <c r="HC65" s="19">
        <f t="shared" si="161"/>
        <v>0</v>
      </c>
      <c r="HD65" s="19">
        <f t="shared" si="162"/>
        <v>0</v>
      </c>
      <c r="HE65" s="19">
        <f t="shared" si="163"/>
        <v>0</v>
      </c>
      <c r="HF65" s="19">
        <f t="shared" si="164"/>
        <v>0</v>
      </c>
      <c r="HG65" s="19">
        <f t="shared" si="165"/>
        <v>2.4499999999999997</v>
      </c>
      <c r="HH65" s="19">
        <f t="shared" si="166"/>
        <v>0</v>
      </c>
      <c r="HI65" s="19">
        <f t="shared" si="167"/>
        <v>0</v>
      </c>
      <c r="HJ65" s="19">
        <f t="shared" si="168"/>
        <v>0</v>
      </c>
      <c r="HK65" s="19">
        <f t="shared" si="169"/>
        <v>0</v>
      </c>
      <c r="HL65" s="19">
        <f t="shared" si="170"/>
        <v>0.03</v>
      </c>
      <c r="HM65" s="20">
        <f t="shared" si="171"/>
        <v>5</v>
      </c>
      <c r="HN65" s="53">
        <v>904</v>
      </c>
      <c r="HO65" s="21">
        <f t="shared" si="172"/>
        <v>0</v>
      </c>
      <c r="HP65" s="21">
        <f t="shared" si="173"/>
        <v>0</v>
      </c>
      <c r="HQ65" s="21">
        <f t="shared" si="174"/>
        <v>0</v>
      </c>
      <c r="HR65" s="21">
        <f t="shared" si="175"/>
        <v>0</v>
      </c>
      <c r="HS65" s="21">
        <f t="shared" si="176"/>
        <v>0</v>
      </c>
      <c r="HT65" s="69">
        <f t="shared" si="177"/>
        <v>0</v>
      </c>
      <c r="HU65" s="21">
        <f t="shared" si="178"/>
        <v>0</v>
      </c>
      <c r="HV65" s="21">
        <f t="shared" si="179"/>
        <v>0</v>
      </c>
      <c r="HW65" s="21">
        <f t="shared" si="180"/>
        <v>0</v>
      </c>
      <c r="HX65" s="21">
        <f t="shared" si="181"/>
        <v>0</v>
      </c>
      <c r="HY65" s="21">
        <f t="shared" si="182"/>
        <v>0</v>
      </c>
      <c r="HZ65" s="21">
        <f t="shared" si="183"/>
        <v>0</v>
      </c>
      <c r="IA65" s="21">
        <f t="shared" si="184"/>
        <v>0</v>
      </c>
      <c r="IB65" s="21">
        <f t="shared" si="185"/>
        <v>0</v>
      </c>
      <c r="IC65" s="21">
        <f t="shared" si="186"/>
        <v>0</v>
      </c>
      <c r="ID65" s="21">
        <f t="shared" si="187"/>
        <v>0</v>
      </c>
      <c r="IE65" s="21">
        <f t="shared" si="188"/>
        <v>189.83999999999997</v>
      </c>
      <c r="IF65" s="69">
        <f t="shared" si="189"/>
        <v>0</v>
      </c>
      <c r="IG65" s="69">
        <f t="shared" si="190"/>
        <v>0</v>
      </c>
      <c r="IH65" s="69">
        <f t="shared" si="191"/>
        <v>0</v>
      </c>
      <c r="II65" s="21">
        <f t="shared" si="192"/>
        <v>0</v>
      </c>
      <c r="IJ65" s="21">
        <f t="shared" si="193"/>
        <v>0</v>
      </c>
      <c r="IK65" s="21">
        <f t="shared" si="194"/>
        <v>0</v>
      </c>
      <c r="IL65" s="21">
        <f t="shared" si="195"/>
        <v>0</v>
      </c>
      <c r="IM65" s="21">
        <f t="shared" si="196"/>
        <v>0</v>
      </c>
      <c r="IN65" s="21">
        <f t="shared" si="197"/>
        <v>0</v>
      </c>
      <c r="IO65" s="21">
        <f t="shared" si="198"/>
        <v>0</v>
      </c>
      <c r="IP65" s="21">
        <f t="shared" si="199"/>
        <v>81.359999999999985</v>
      </c>
      <c r="IQ65" s="21">
        <f t="shared" si="200"/>
        <v>162.72</v>
      </c>
      <c r="IR65" s="21">
        <f t="shared" si="201"/>
        <v>0</v>
      </c>
      <c r="IS65" s="21">
        <f t="shared" si="202"/>
        <v>0</v>
      </c>
      <c r="IT65" s="21">
        <f t="shared" si="203"/>
        <v>0</v>
      </c>
      <c r="IU65" s="21">
        <f t="shared" si="204"/>
        <v>0</v>
      </c>
      <c r="IV65" s="21">
        <f t="shared" si="205"/>
        <v>0</v>
      </c>
      <c r="IW65" s="21">
        <f t="shared" si="206"/>
        <v>0</v>
      </c>
      <c r="IX65" s="21">
        <f t="shared" si="207"/>
        <v>0</v>
      </c>
      <c r="IY65" s="21">
        <f t="shared" si="208"/>
        <v>21.695999999999998</v>
      </c>
      <c r="IZ65" s="21">
        <f t="shared" si="209"/>
        <v>0</v>
      </c>
      <c r="JA65" s="21">
        <f t="shared" si="210"/>
        <v>0</v>
      </c>
      <c r="JB65" s="21">
        <f t="shared" si="211"/>
        <v>0</v>
      </c>
      <c r="JC65" s="21">
        <f t="shared" si="212"/>
        <v>0</v>
      </c>
      <c r="JD65" s="21">
        <f t="shared" si="213"/>
        <v>0</v>
      </c>
      <c r="JE65" s="21">
        <f t="shared" si="214"/>
        <v>0</v>
      </c>
      <c r="JF65" s="21">
        <f t="shared" si="215"/>
        <v>0</v>
      </c>
      <c r="JG65" s="21">
        <f t="shared" si="216"/>
        <v>0</v>
      </c>
      <c r="JH65" s="21">
        <f t="shared" si="217"/>
        <v>0</v>
      </c>
      <c r="JI65" s="21">
        <f t="shared" si="218"/>
        <v>442.95999999999992</v>
      </c>
      <c r="JJ65" s="21">
        <f t="shared" si="219"/>
        <v>0</v>
      </c>
      <c r="JK65" s="21">
        <f t="shared" si="220"/>
        <v>0</v>
      </c>
      <c r="JL65" s="21">
        <f t="shared" si="221"/>
        <v>0</v>
      </c>
      <c r="JM65" s="21">
        <f t="shared" si="222"/>
        <v>0</v>
      </c>
      <c r="JN65" s="21">
        <f t="shared" si="223"/>
        <v>5.4239999999999995</v>
      </c>
      <c r="JO65" s="35">
        <f t="shared" si="287"/>
        <v>903.99999999999989</v>
      </c>
      <c r="JP65" s="38">
        <f t="shared" si="288"/>
        <v>0</v>
      </c>
      <c r="JQ65" s="43">
        <f t="shared" si="224"/>
        <v>0</v>
      </c>
      <c r="JR65" s="43">
        <f t="shared" si="225"/>
        <v>0</v>
      </c>
      <c r="JS65" s="43">
        <f t="shared" si="226"/>
        <v>0</v>
      </c>
      <c r="JT65" s="43">
        <f t="shared" si="227"/>
        <v>0</v>
      </c>
      <c r="JU65" s="43">
        <f t="shared" si="228"/>
        <v>0</v>
      </c>
      <c r="JV65" s="43">
        <f t="shared" si="229"/>
        <v>0</v>
      </c>
      <c r="JW65" s="43">
        <f t="shared" si="230"/>
        <v>0</v>
      </c>
      <c r="JX65" s="43">
        <f t="shared" si="231"/>
        <v>0</v>
      </c>
      <c r="JY65" s="43">
        <f t="shared" si="232"/>
        <v>0</v>
      </c>
      <c r="JZ65" s="43">
        <f t="shared" si="233"/>
        <v>0</v>
      </c>
      <c r="KA65" s="43">
        <f t="shared" si="234"/>
        <v>0</v>
      </c>
      <c r="KB65" s="43">
        <f t="shared" si="235"/>
        <v>0</v>
      </c>
      <c r="KC65" s="43">
        <f t="shared" si="236"/>
        <v>0</v>
      </c>
      <c r="KD65" s="43">
        <f t="shared" si="237"/>
        <v>0</v>
      </c>
      <c r="KE65" s="43">
        <f t="shared" si="238"/>
        <v>0</v>
      </c>
      <c r="KF65" s="43">
        <f t="shared" si="239"/>
        <v>0</v>
      </c>
      <c r="KG65" s="43">
        <f t="shared" si="240"/>
        <v>787.82176391757571</v>
      </c>
      <c r="KH65" s="43">
        <f t="shared" si="241"/>
        <v>0</v>
      </c>
      <c r="KI65" s="43">
        <f t="shared" si="242"/>
        <v>0</v>
      </c>
      <c r="KJ65" s="43">
        <f t="shared" si="243"/>
        <v>0</v>
      </c>
      <c r="KK65" s="43">
        <f t="shared" si="244"/>
        <v>0</v>
      </c>
      <c r="KL65" s="43">
        <f t="shared" si="245"/>
        <v>0</v>
      </c>
      <c r="KM65" s="43">
        <f t="shared" si="246"/>
        <v>0</v>
      </c>
      <c r="KN65" s="43">
        <f t="shared" si="247"/>
        <v>0</v>
      </c>
      <c r="KO65" s="43">
        <f t="shared" si="248"/>
        <v>0</v>
      </c>
      <c r="KP65" s="43">
        <f t="shared" si="249"/>
        <v>0</v>
      </c>
      <c r="KQ65" s="43">
        <f t="shared" si="250"/>
        <v>0</v>
      </c>
      <c r="KR65" s="43">
        <f t="shared" si="251"/>
        <v>314.04959999999994</v>
      </c>
      <c r="KS65" s="43">
        <f t="shared" si="252"/>
        <v>556.39353867636362</v>
      </c>
      <c r="KT65" s="43">
        <f t="shared" si="253"/>
        <v>0</v>
      </c>
      <c r="KU65" s="43">
        <f t="shared" si="254"/>
        <v>0</v>
      </c>
      <c r="KV65" s="43">
        <f t="shared" si="255"/>
        <v>0</v>
      </c>
      <c r="KW65" s="43">
        <f t="shared" si="256"/>
        <v>0</v>
      </c>
      <c r="KX65" s="43">
        <f t="shared" si="257"/>
        <v>0</v>
      </c>
      <c r="KY65" s="43">
        <f t="shared" si="258"/>
        <v>0</v>
      </c>
      <c r="KZ65" s="43">
        <f t="shared" si="259"/>
        <v>0</v>
      </c>
      <c r="LA65" s="43">
        <f t="shared" si="260"/>
        <v>86.932400639999983</v>
      </c>
      <c r="LB65" s="43">
        <f t="shared" si="261"/>
        <v>0</v>
      </c>
      <c r="LC65" s="43">
        <f t="shared" si="262"/>
        <v>0</v>
      </c>
      <c r="LD65" s="43">
        <f t="shared" si="263"/>
        <v>0</v>
      </c>
      <c r="LE65" s="43">
        <f t="shared" si="264"/>
        <v>0</v>
      </c>
      <c r="LF65" s="43">
        <f t="shared" si="265"/>
        <v>0</v>
      </c>
      <c r="LG65" s="43">
        <f t="shared" si="266"/>
        <v>0</v>
      </c>
      <c r="LH65" s="43">
        <f t="shared" si="267"/>
        <v>0</v>
      </c>
      <c r="LI65" s="43">
        <f t="shared" si="268"/>
        <v>0</v>
      </c>
      <c r="LJ65" s="43">
        <f t="shared" si="269"/>
        <v>0</v>
      </c>
      <c r="LK65" s="43">
        <f t="shared" si="270"/>
        <v>1774.3870199999997</v>
      </c>
      <c r="LL65" s="43">
        <f t="shared" si="271"/>
        <v>0</v>
      </c>
      <c r="LM65" s="43">
        <f t="shared" si="272"/>
        <v>0</v>
      </c>
      <c r="LN65" s="43">
        <f t="shared" si="273"/>
        <v>0</v>
      </c>
      <c r="LO65" s="43">
        <f t="shared" si="274"/>
        <v>0</v>
      </c>
      <c r="LP65" s="43">
        <f t="shared" si="275"/>
        <v>45.832799999999992</v>
      </c>
      <c r="LQ65" s="28">
        <f t="shared" si="289"/>
        <v>3565.4171232339395</v>
      </c>
      <c r="LR65" s="65">
        <v>888</v>
      </c>
      <c r="LS65" s="32">
        <f t="shared" si="281"/>
        <v>4.0151093730111933</v>
      </c>
      <c r="LT65" s="26">
        <f t="shared" si="282"/>
        <v>1.0970244188555172</v>
      </c>
      <c r="LU65" s="31">
        <f t="shared" si="290"/>
        <v>16</v>
      </c>
      <c r="LW65" s="42"/>
      <c r="MA65" s="32">
        <f t="shared" si="291"/>
        <v>3.9440454903030311</v>
      </c>
      <c r="MB65" s="26">
        <f t="shared" si="283"/>
        <v>1.0776080574598446</v>
      </c>
    </row>
    <row r="66" spans="1:340" ht="15.75" thickBot="1">
      <c r="A66" t="b">
        <f t="shared" si="285"/>
        <v>1</v>
      </c>
      <c r="B66" s="123" t="s">
        <v>216</v>
      </c>
      <c r="C66" s="39" t="s">
        <v>217</v>
      </c>
      <c r="D66"/>
      <c r="E66" s="97">
        <v>46032</v>
      </c>
      <c r="F66" t="s">
        <v>43</v>
      </c>
      <c r="G66" t="s">
        <v>20</v>
      </c>
      <c r="H66" t="s">
        <v>27</v>
      </c>
      <c r="I66" s="77"/>
      <c r="J66" s="77"/>
      <c r="K66" s="77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24"/>
      <c r="AG66" s="124"/>
      <c r="AH66" s="104"/>
      <c r="AI66" s="104"/>
      <c r="AJ66" s="22">
        <v>0.3</v>
      </c>
      <c r="AK66" s="22"/>
      <c r="AL66" s="22"/>
      <c r="AM66" s="22"/>
      <c r="AN66" s="22"/>
      <c r="AO66" s="104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104"/>
      <c r="BA66" s="104"/>
      <c r="BB66" s="104"/>
      <c r="BC66" s="124">
        <v>0.7</v>
      </c>
      <c r="BD66" s="124"/>
      <c r="BE66" s="104"/>
      <c r="BF66" s="104"/>
      <c r="BG66" s="104"/>
      <c r="BH66" s="104"/>
      <c r="BI66" s="78">
        <f t="shared" si="296"/>
        <v>1</v>
      </c>
      <c r="BJ66" s="105"/>
      <c r="BK66" s="105"/>
      <c r="BL66" s="105"/>
      <c r="BM66" s="105"/>
      <c r="BN66" s="105"/>
      <c r="BO66" s="105"/>
      <c r="BP66" s="105"/>
      <c r="BQ66" s="105"/>
      <c r="BR66" s="105"/>
      <c r="BS66" s="105"/>
      <c r="BT66" s="105"/>
      <c r="BU66" s="105"/>
      <c r="BV66" s="105"/>
      <c r="BW66" s="105"/>
      <c r="BX66" s="105"/>
      <c r="BY66" s="105"/>
      <c r="BZ66" s="105"/>
      <c r="CA66" s="105"/>
      <c r="CB66" s="105"/>
      <c r="CC66" s="105"/>
      <c r="CD66" s="105"/>
      <c r="CE66" s="105"/>
      <c r="CF66" s="120"/>
      <c r="CG66" s="128"/>
      <c r="CH66" s="128"/>
      <c r="CI66" s="105"/>
      <c r="CJ66" s="105"/>
      <c r="CK66" s="105"/>
      <c r="CL66" s="105">
        <v>0.3</v>
      </c>
      <c r="CM66" s="105"/>
      <c r="CN66" s="105"/>
      <c r="CO66" s="105"/>
      <c r="CP66" s="105"/>
      <c r="CQ66" s="105"/>
      <c r="CR66" s="105"/>
      <c r="CS66" s="105"/>
      <c r="CT66" s="105"/>
      <c r="CU66" s="105"/>
      <c r="CV66" s="105"/>
      <c r="CW66" s="105"/>
      <c r="CX66" s="105"/>
      <c r="CY66" s="105"/>
      <c r="CZ66" s="105"/>
      <c r="DA66" s="105"/>
      <c r="DB66" s="105"/>
      <c r="DC66" s="105"/>
      <c r="DD66" s="125">
        <v>0.7</v>
      </c>
      <c r="DE66" s="125"/>
      <c r="DF66" s="105"/>
      <c r="DG66" s="105"/>
      <c r="DH66" s="105"/>
      <c r="DI66" s="105"/>
      <c r="DJ66" s="79">
        <f t="shared" si="286"/>
        <v>1</v>
      </c>
      <c r="DK66" s="108"/>
      <c r="DL66" s="108"/>
      <c r="DM66" s="108"/>
      <c r="DN66" s="108"/>
      <c r="DO66" s="108"/>
      <c r="DP66" s="108"/>
      <c r="DQ66" s="108"/>
      <c r="DR66" s="108"/>
      <c r="DS66" s="108"/>
      <c r="DT66" s="108"/>
      <c r="DU66" s="108"/>
      <c r="DV66" s="108"/>
      <c r="DW66" s="108"/>
      <c r="DX66" s="108"/>
      <c r="DY66" s="108"/>
      <c r="DZ66" s="108"/>
      <c r="EA66" s="108">
        <v>0.7</v>
      </c>
      <c r="EB66" s="108"/>
      <c r="EC66" s="108"/>
      <c r="ED66" s="108"/>
      <c r="EE66" s="108"/>
      <c r="EF66" s="108"/>
      <c r="EG66" s="108"/>
      <c r="EH66" s="129"/>
      <c r="EI66" s="129"/>
      <c r="EJ66" s="108"/>
      <c r="EK66" s="108"/>
      <c r="EL66" s="108"/>
      <c r="EM66" s="108">
        <v>0.2</v>
      </c>
      <c r="EN66" s="108"/>
      <c r="EO66" s="108"/>
      <c r="EP66" s="108"/>
      <c r="EQ66" s="108"/>
      <c r="ER66" s="108"/>
      <c r="ES66" s="106"/>
      <c r="ET66" s="106"/>
      <c r="EU66" s="106">
        <v>0.08</v>
      </c>
      <c r="EV66" s="106"/>
      <c r="EW66" s="106"/>
      <c r="EX66" s="106"/>
      <c r="EY66" s="106"/>
      <c r="EZ66" s="106"/>
      <c r="FA66" s="106"/>
      <c r="FB66" s="106"/>
      <c r="FC66" s="106"/>
      <c r="FD66" s="106"/>
      <c r="FE66" s="126"/>
      <c r="FF66" s="126"/>
      <c r="FG66" s="106"/>
      <c r="FH66" s="106"/>
      <c r="FI66" s="106"/>
      <c r="FJ66" s="106">
        <v>0.02</v>
      </c>
      <c r="FK66" s="17">
        <f t="shared" si="280"/>
        <v>0.99999999999999989</v>
      </c>
      <c r="FL66" s="18"/>
      <c r="FM66" s="19">
        <f t="shared" si="119"/>
        <v>0</v>
      </c>
      <c r="FN66" s="19">
        <f t="shared" si="120"/>
        <v>0</v>
      </c>
      <c r="FO66" s="19">
        <f t="shared" si="121"/>
        <v>0</v>
      </c>
      <c r="FP66" s="19">
        <f t="shared" si="122"/>
        <v>0</v>
      </c>
      <c r="FQ66" s="19">
        <f t="shared" si="123"/>
        <v>0</v>
      </c>
      <c r="FR66" s="19">
        <f t="shared" si="124"/>
        <v>0</v>
      </c>
      <c r="FS66" s="19">
        <f t="shared" si="125"/>
        <v>0</v>
      </c>
      <c r="FT66" s="19">
        <f t="shared" si="126"/>
        <v>0</v>
      </c>
      <c r="FU66" s="19">
        <f t="shared" si="127"/>
        <v>0</v>
      </c>
      <c r="FV66" s="19">
        <f t="shared" si="128"/>
        <v>0</v>
      </c>
      <c r="FW66" s="19">
        <f t="shared" si="129"/>
        <v>0</v>
      </c>
      <c r="FX66" s="19">
        <f t="shared" si="130"/>
        <v>0</v>
      </c>
      <c r="FY66" s="19">
        <f t="shared" si="131"/>
        <v>0</v>
      </c>
      <c r="FZ66" s="19">
        <f t="shared" si="132"/>
        <v>0</v>
      </c>
      <c r="GA66" s="19">
        <f t="shared" si="133"/>
        <v>0</v>
      </c>
      <c r="GB66" s="19">
        <f t="shared" si="134"/>
        <v>0</v>
      </c>
      <c r="GC66" s="19">
        <f t="shared" si="135"/>
        <v>1.0499999999999998</v>
      </c>
      <c r="GD66" s="19">
        <f t="shared" si="136"/>
        <v>0</v>
      </c>
      <c r="GE66" s="19">
        <f t="shared" si="137"/>
        <v>0</v>
      </c>
      <c r="GF66" s="19">
        <f t="shared" si="138"/>
        <v>0</v>
      </c>
      <c r="GG66" s="19">
        <f t="shared" si="139"/>
        <v>0</v>
      </c>
      <c r="GH66" s="19">
        <f t="shared" si="140"/>
        <v>0</v>
      </c>
      <c r="GI66" s="19">
        <f t="shared" si="141"/>
        <v>0</v>
      </c>
      <c r="GJ66" s="19">
        <f t="shared" si="142"/>
        <v>0</v>
      </c>
      <c r="GK66" s="19">
        <f t="shared" si="143"/>
        <v>0</v>
      </c>
      <c r="GL66" s="19">
        <f t="shared" si="144"/>
        <v>0</v>
      </c>
      <c r="GM66" s="19">
        <f t="shared" si="145"/>
        <v>0</v>
      </c>
      <c r="GN66" s="19">
        <f t="shared" si="146"/>
        <v>0.44999999999999996</v>
      </c>
      <c r="GO66" s="19">
        <f t="shared" si="147"/>
        <v>0.9</v>
      </c>
      <c r="GP66" s="19">
        <f t="shared" si="148"/>
        <v>0</v>
      </c>
      <c r="GQ66" s="19">
        <f t="shared" si="149"/>
        <v>0</v>
      </c>
      <c r="GR66" s="19">
        <f t="shared" si="150"/>
        <v>0</v>
      </c>
      <c r="GS66" s="19">
        <f t="shared" si="151"/>
        <v>0</v>
      </c>
      <c r="GT66" s="19">
        <f t="shared" si="152"/>
        <v>0</v>
      </c>
      <c r="GU66" s="19">
        <f t="shared" si="153"/>
        <v>0</v>
      </c>
      <c r="GV66" s="19">
        <f t="shared" si="154"/>
        <v>0</v>
      </c>
      <c r="GW66" s="19">
        <f t="shared" si="155"/>
        <v>0.12</v>
      </c>
      <c r="GX66" s="19">
        <f t="shared" si="156"/>
        <v>0</v>
      </c>
      <c r="GY66" s="19">
        <f t="shared" si="157"/>
        <v>0</v>
      </c>
      <c r="GZ66" s="19">
        <f t="shared" si="158"/>
        <v>0</v>
      </c>
      <c r="HA66" s="19">
        <f t="shared" si="159"/>
        <v>0</v>
      </c>
      <c r="HB66" s="19">
        <f t="shared" si="160"/>
        <v>0</v>
      </c>
      <c r="HC66" s="19">
        <f t="shared" si="161"/>
        <v>0</v>
      </c>
      <c r="HD66" s="19">
        <f t="shared" si="162"/>
        <v>0</v>
      </c>
      <c r="HE66" s="19">
        <f t="shared" si="163"/>
        <v>0</v>
      </c>
      <c r="HF66" s="19">
        <f t="shared" si="164"/>
        <v>0</v>
      </c>
      <c r="HG66" s="19">
        <f t="shared" si="165"/>
        <v>2.4499999999999997</v>
      </c>
      <c r="HH66" s="19">
        <f t="shared" si="166"/>
        <v>0</v>
      </c>
      <c r="HI66" s="19">
        <f t="shared" si="167"/>
        <v>0</v>
      </c>
      <c r="HJ66" s="19">
        <f t="shared" si="168"/>
        <v>0</v>
      </c>
      <c r="HK66" s="19">
        <f t="shared" si="169"/>
        <v>0</v>
      </c>
      <c r="HL66" s="19">
        <f t="shared" si="170"/>
        <v>0.03</v>
      </c>
      <c r="HM66" s="20">
        <f t="shared" si="171"/>
        <v>5</v>
      </c>
      <c r="HN66" s="53">
        <v>613</v>
      </c>
      <c r="HO66" s="21">
        <f t="shared" si="172"/>
        <v>0</v>
      </c>
      <c r="HP66" s="21">
        <f t="shared" si="173"/>
        <v>0</v>
      </c>
      <c r="HQ66" s="21">
        <f t="shared" si="174"/>
        <v>0</v>
      </c>
      <c r="HR66" s="21">
        <f t="shared" si="175"/>
        <v>0</v>
      </c>
      <c r="HS66" s="21">
        <f t="shared" si="176"/>
        <v>0</v>
      </c>
      <c r="HT66" s="69">
        <f t="shared" si="177"/>
        <v>0</v>
      </c>
      <c r="HU66" s="21">
        <f t="shared" si="178"/>
        <v>0</v>
      </c>
      <c r="HV66" s="21">
        <f t="shared" si="179"/>
        <v>0</v>
      </c>
      <c r="HW66" s="21">
        <f t="shared" si="180"/>
        <v>0</v>
      </c>
      <c r="HX66" s="21">
        <f t="shared" si="181"/>
        <v>0</v>
      </c>
      <c r="HY66" s="21">
        <f t="shared" si="182"/>
        <v>0</v>
      </c>
      <c r="HZ66" s="21">
        <f t="shared" si="183"/>
        <v>0</v>
      </c>
      <c r="IA66" s="21">
        <f t="shared" si="184"/>
        <v>0</v>
      </c>
      <c r="IB66" s="21">
        <f t="shared" si="185"/>
        <v>0</v>
      </c>
      <c r="IC66" s="21">
        <f t="shared" si="186"/>
        <v>0</v>
      </c>
      <c r="ID66" s="21">
        <f t="shared" si="187"/>
        <v>0</v>
      </c>
      <c r="IE66" s="21">
        <f t="shared" si="188"/>
        <v>128.72999999999996</v>
      </c>
      <c r="IF66" s="69">
        <f t="shared" si="189"/>
        <v>0</v>
      </c>
      <c r="IG66" s="69">
        <f t="shared" si="190"/>
        <v>0</v>
      </c>
      <c r="IH66" s="69">
        <f t="shared" si="191"/>
        <v>0</v>
      </c>
      <c r="II66" s="21">
        <f t="shared" si="192"/>
        <v>0</v>
      </c>
      <c r="IJ66" s="21">
        <f t="shared" si="193"/>
        <v>0</v>
      </c>
      <c r="IK66" s="21">
        <f t="shared" si="194"/>
        <v>0</v>
      </c>
      <c r="IL66" s="21">
        <f t="shared" si="195"/>
        <v>0</v>
      </c>
      <c r="IM66" s="21">
        <f t="shared" si="196"/>
        <v>0</v>
      </c>
      <c r="IN66" s="21">
        <f t="shared" si="197"/>
        <v>0</v>
      </c>
      <c r="IO66" s="21">
        <f t="shared" si="198"/>
        <v>0</v>
      </c>
      <c r="IP66" s="21">
        <f t="shared" si="199"/>
        <v>55.169999999999995</v>
      </c>
      <c r="IQ66" s="21">
        <f t="shared" si="200"/>
        <v>110.34</v>
      </c>
      <c r="IR66" s="21">
        <f t="shared" si="201"/>
        <v>0</v>
      </c>
      <c r="IS66" s="21">
        <f t="shared" si="202"/>
        <v>0</v>
      </c>
      <c r="IT66" s="21">
        <f t="shared" si="203"/>
        <v>0</v>
      </c>
      <c r="IU66" s="21">
        <f t="shared" si="204"/>
        <v>0</v>
      </c>
      <c r="IV66" s="21">
        <f t="shared" si="205"/>
        <v>0</v>
      </c>
      <c r="IW66" s="21">
        <f t="shared" si="206"/>
        <v>0</v>
      </c>
      <c r="IX66" s="21">
        <f t="shared" si="207"/>
        <v>0</v>
      </c>
      <c r="IY66" s="21">
        <f t="shared" si="208"/>
        <v>14.712</v>
      </c>
      <c r="IZ66" s="21">
        <f t="shared" si="209"/>
        <v>0</v>
      </c>
      <c r="JA66" s="21">
        <f t="shared" si="210"/>
        <v>0</v>
      </c>
      <c r="JB66" s="21">
        <f t="shared" si="211"/>
        <v>0</v>
      </c>
      <c r="JC66" s="21">
        <f t="shared" si="212"/>
        <v>0</v>
      </c>
      <c r="JD66" s="21">
        <f t="shared" si="213"/>
        <v>0</v>
      </c>
      <c r="JE66" s="21">
        <f t="shared" si="214"/>
        <v>0</v>
      </c>
      <c r="JF66" s="21">
        <f t="shared" si="215"/>
        <v>0</v>
      </c>
      <c r="JG66" s="21">
        <f t="shared" si="216"/>
        <v>0</v>
      </c>
      <c r="JH66" s="21">
        <f t="shared" si="217"/>
        <v>0</v>
      </c>
      <c r="JI66" s="21">
        <f t="shared" si="218"/>
        <v>300.37</v>
      </c>
      <c r="JJ66" s="21">
        <f t="shared" si="219"/>
        <v>0</v>
      </c>
      <c r="JK66" s="21">
        <f t="shared" si="220"/>
        <v>0</v>
      </c>
      <c r="JL66" s="21">
        <f t="shared" si="221"/>
        <v>0</v>
      </c>
      <c r="JM66" s="21">
        <f t="shared" si="222"/>
        <v>0</v>
      </c>
      <c r="JN66" s="21">
        <f t="shared" si="223"/>
        <v>3.6779999999999999</v>
      </c>
      <c r="JO66" s="35">
        <f t="shared" si="287"/>
        <v>612.99999999999989</v>
      </c>
      <c r="JP66" s="38">
        <f t="shared" si="288"/>
        <v>0</v>
      </c>
      <c r="JQ66" s="43">
        <f t="shared" si="224"/>
        <v>0</v>
      </c>
      <c r="JR66" s="43">
        <f t="shared" si="225"/>
        <v>0</v>
      </c>
      <c r="JS66" s="43">
        <f t="shared" si="226"/>
        <v>0</v>
      </c>
      <c r="JT66" s="43">
        <f t="shared" si="227"/>
        <v>0</v>
      </c>
      <c r="JU66" s="43">
        <f t="shared" si="228"/>
        <v>0</v>
      </c>
      <c r="JV66" s="43">
        <f t="shared" si="229"/>
        <v>0</v>
      </c>
      <c r="JW66" s="43">
        <f t="shared" si="230"/>
        <v>0</v>
      </c>
      <c r="JX66" s="43">
        <f t="shared" si="231"/>
        <v>0</v>
      </c>
      <c r="JY66" s="43">
        <f t="shared" si="232"/>
        <v>0</v>
      </c>
      <c r="JZ66" s="43">
        <f t="shared" si="233"/>
        <v>0</v>
      </c>
      <c r="KA66" s="43">
        <f t="shared" si="234"/>
        <v>0</v>
      </c>
      <c r="KB66" s="43">
        <f t="shared" si="235"/>
        <v>0</v>
      </c>
      <c r="KC66" s="43">
        <f t="shared" si="236"/>
        <v>0</v>
      </c>
      <c r="KD66" s="43">
        <f t="shared" si="237"/>
        <v>0</v>
      </c>
      <c r="KE66" s="43">
        <f t="shared" si="238"/>
        <v>0</v>
      </c>
      <c r="KF66" s="43">
        <f t="shared" si="239"/>
        <v>0</v>
      </c>
      <c r="KG66" s="43">
        <f t="shared" si="240"/>
        <v>534.21984655030292</v>
      </c>
      <c r="KH66" s="43">
        <f t="shared" si="241"/>
        <v>0</v>
      </c>
      <c r="KI66" s="43">
        <f t="shared" si="242"/>
        <v>0</v>
      </c>
      <c r="KJ66" s="43">
        <f t="shared" si="243"/>
        <v>0</v>
      </c>
      <c r="KK66" s="43">
        <f t="shared" si="244"/>
        <v>0</v>
      </c>
      <c r="KL66" s="43">
        <f t="shared" si="245"/>
        <v>0</v>
      </c>
      <c r="KM66" s="43">
        <f t="shared" si="246"/>
        <v>0</v>
      </c>
      <c r="KN66" s="43">
        <f t="shared" si="247"/>
        <v>0</v>
      </c>
      <c r="KO66" s="43">
        <f t="shared" si="248"/>
        <v>0</v>
      </c>
      <c r="KP66" s="43">
        <f t="shared" si="249"/>
        <v>0</v>
      </c>
      <c r="KQ66" s="43">
        <f t="shared" si="250"/>
        <v>0</v>
      </c>
      <c r="KR66" s="43">
        <f t="shared" si="251"/>
        <v>212.95619999999997</v>
      </c>
      <c r="KS66" s="43">
        <f t="shared" si="252"/>
        <v>377.28898142545455</v>
      </c>
      <c r="KT66" s="43">
        <f t="shared" si="253"/>
        <v>0</v>
      </c>
      <c r="KU66" s="43">
        <f t="shared" si="254"/>
        <v>0</v>
      </c>
      <c r="KV66" s="43">
        <f t="shared" si="255"/>
        <v>0</v>
      </c>
      <c r="KW66" s="43">
        <f t="shared" si="256"/>
        <v>0</v>
      </c>
      <c r="KX66" s="43">
        <f t="shared" si="257"/>
        <v>0</v>
      </c>
      <c r="KY66" s="43">
        <f t="shared" si="258"/>
        <v>0</v>
      </c>
      <c r="KZ66" s="43">
        <f t="shared" si="259"/>
        <v>0</v>
      </c>
      <c r="LA66" s="43">
        <f t="shared" si="260"/>
        <v>58.948630079999994</v>
      </c>
      <c r="LB66" s="43">
        <f t="shared" si="261"/>
        <v>0</v>
      </c>
      <c r="LC66" s="43">
        <f t="shared" si="262"/>
        <v>0</v>
      </c>
      <c r="LD66" s="43">
        <f t="shared" si="263"/>
        <v>0</v>
      </c>
      <c r="LE66" s="43">
        <f t="shared" si="264"/>
        <v>0</v>
      </c>
      <c r="LF66" s="43">
        <f t="shared" si="265"/>
        <v>0</v>
      </c>
      <c r="LG66" s="43">
        <f t="shared" si="266"/>
        <v>0</v>
      </c>
      <c r="LH66" s="43">
        <f t="shared" si="267"/>
        <v>0</v>
      </c>
      <c r="LI66" s="43">
        <f t="shared" si="268"/>
        <v>0</v>
      </c>
      <c r="LJ66" s="43">
        <f t="shared" si="269"/>
        <v>0</v>
      </c>
      <c r="LK66" s="43">
        <f t="shared" si="270"/>
        <v>1203.2071275000001</v>
      </c>
      <c r="LL66" s="43">
        <f t="shared" si="271"/>
        <v>0</v>
      </c>
      <c r="LM66" s="43">
        <f t="shared" si="272"/>
        <v>0</v>
      </c>
      <c r="LN66" s="43">
        <f t="shared" si="273"/>
        <v>0</v>
      </c>
      <c r="LO66" s="43">
        <f t="shared" si="274"/>
        <v>0</v>
      </c>
      <c r="LP66" s="43">
        <f t="shared" si="275"/>
        <v>31.079099999999997</v>
      </c>
      <c r="LQ66" s="28">
        <f t="shared" si="289"/>
        <v>2417.6998855557576</v>
      </c>
      <c r="LR66" s="65">
        <v>600</v>
      </c>
      <c r="LS66" s="32">
        <f t="shared" si="281"/>
        <v>4.0294998092595957</v>
      </c>
      <c r="LT66" s="26">
        <f t="shared" si="282"/>
        <v>1.100956232038141</v>
      </c>
      <c r="LU66" s="31">
        <f t="shared" si="290"/>
        <v>13</v>
      </c>
      <c r="LW66" s="42"/>
      <c r="MA66" s="32">
        <f t="shared" si="291"/>
        <v>3.9440454903030311</v>
      </c>
      <c r="MB66" s="26">
        <f t="shared" si="283"/>
        <v>1.0776080574598446</v>
      </c>
    </row>
    <row r="67" spans="1:340" ht="15.75" thickBot="1">
      <c r="A67" t="b">
        <f t="shared" si="285"/>
        <v>1</v>
      </c>
      <c r="B67" s="123" t="s">
        <v>218</v>
      </c>
      <c r="C67" s="39" t="s">
        <v>109</v>
      </c>
      <c r="D67"/>
      <c r="E67" s="97">
        <v>46032</v>
      </c>
      <c r="F67" t="s">
        <v>43</v>
      </c>
      <c r="G67" t="s">
        <v>20</v>
      </c>
      <c r="H67" t="s">
        <v>27</v>
      </c>
      <c r="I67" s="77"/>
      <c r="J67" s="77"/>
      <c r="K67" s="77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24"/>
      <c r="AG67" s="124"/>
      <c r="AH67" s="104"/>
      <c r="AI67" s="104"/>
      <c r="AJ67" s="22">
        <v>0.3</v>
      </c>
      <c r="AK67" s="22"/>
      <c r="AL67" s="22"/>
      <c r="AM67" s="22"/>
      <c r="AN67" s="22"/>
      <c r="AO67" s="104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104"/>
      <c r="BA67" s="104"/>
      <c r="BB67" s="104"/>
      <c r="BC67" s="124">
        <v>0.7</v>
      </c>
      <c r="BD67" s="124"/>
      <c r="BE67" s="104"/>
      <c r="BF67" s="104"/>
      <c r="BG67" s="104"/>
      <c r="BH67" s="104"/>
      <c r="BI67" s="78">
        <f t="shared" si="296"/>
        <v>1</v>
      </c>
      <c r="BJ67" s="105"/>
      <c r="BK67" s="105"/>
      <c r="BL67" s="105"/>
      <c r="BM67" s="105"/>
      <c r="BN67" s="105"/>
      <c r="BO67" s="105"/>
      <c r="BP67" s="105"/>
      <c r="BQ67" s="105"/>
      <c r="BR67" s="105"/>
      <c r="BS67" s="105"/>
      <c r="BT67" s="105"/>
      <c r="BU67" s="105"/>
      <c r="BV67" s="105"/>
      <c r="BW67" s="105"/>
      <c r="BX67" s="105"/>
      <c r="BY67" s="105"/>
      <c r="BZ67" s="105"/>
      <c r="CA67" s="105"/>
      <c r="CB67" s="105"/>
      <c r="CC67" s="105"/>
      <c r="CD67" s="105"/>
      <c r="CE67" s="105"/>
      <c r="CF67" s="120"/>
      <c r="CG67" s="128"/>
      <c r="CH67" s="128"/>
      <c r="CI67" s="105"/>
      <c r="CJ67" s="105"/>
      <c r="CK67" s="105"/>
      <c r="CL67" s="105">
        <v>0.3</v>
      </c>
      <c r="CM67" s="105"/>
      <c r="CN67" s="105"/>
      <c r="CO67" s="105"/>
      <c r="CP67" s="105"/>
      <c r="CQ67" s="105"/>
      <c r="CR67" s="105"/>
      <c r="CS67" s="105"/>
      <c r="CT67" s="105"/>
      <c r="CU67" s="105"/>
      <c r="CV67" s="105"/>
      <c r="CW67" s="105"/>
      <c r="CX67" s="105"/>
      <c r="CY67" s="105"/>
      <c r="CZ67" s="105"/>
      <c r="DA67" s="105"/>
      <c r="DB67" s="105"/>
      <c r="DC67" s="105"/>
      <c r="DD67" s="125">
        <v>0.7</v>
      </c>
      <c r="DE67" s="125"/>
      <c r="DF67" s="105"/>
      <c r="DG67" s="105"/>
      <c r="DH67" s="105"/>
      <c r="DI67" s="105"/>
      <c r="DJ67" s="79">
        <f t="shared" si="286"/>
        <v>1</v>
      </c>
      <c r="DK67" s="108"/>
      <c r="DL67" s="108"/>
      <c r="DM67" s="108"/>
      <c r="DN67" s="108"/>
      <c r="DO67" s="108"/>
      <c r="DP67" s="108"/>
      <c r="DQ67" s="108"/>
      <c r="DR67" s="108"/>
      <c r="DS67" s="108"/>
      <c r="DT67" s="108"/>
      <c r="DU67" s="108"/>
      <c r="DV67" s="108"/>
      <c r="DW67" s="108"/>
      <c r="DX67" s="108"/>
      <c r="DY67" s="108"/>
      <c r="DZ67" s="108"/>
      <c r="EA67" s="108">
        <v>0.7</v>
      </c>
      <c r="EB67" s="108"/>
      <c r="EC67" s="108"/>
      <c r="ED67" s="108"/>
      <c r="EE67" s="108"/>
      <c r="EF67" s="108"/>
      <c r="EG67" s="108"/>
      <c r="EH67" s="129"/>
      <c r="EI67" s="129"/>
      <c r="EJ67" s="108"/>
      <c r="EK67" s="108"/>
      <c r="EL67" s="108"/>
      <c r="EM67" s="108">
        <v>0.2</v>
      </c>
      <c r="EN67" s="108"/>
      <c r="EO67" s="108"/>
      <c r="EP67" s="108"/>
      <c r="EQ67" s="108"/>
      <c r="ER67" s="108"/>
      <c r="ES67" s="106"/>
      <c r="ET67" s="106"/>
      <c r="EU67" s="106">
        <v>0.08</v>
      </c>
      <c r="EV67" s="106"/>
      <c r="EW67" s="106"/>
      <c r="EX67" s="106"/>
      <c r="EY67" s="106"/>
      <c r="EZ67" s="106"/>
      <c r="FA67" s="106"/>
      <c r="FB67" s="106"/>
      <c r="FC67" s="106"/>
      <c r="FD67" s="106"/>
      <c r="FE67" s="126"/>
      <c r="FF67" s="126"/>
      <c r="FG67" s="106"/>
      <c r="FH67" s="106"/>
      <c r="FI67" s="106"/>
      <c r="FJ67" s="106">
        <v>0.02</v>
      </c>
      <c r="FK67" s="17">
        <f t="shared" si="280"/>
        <v>0.99999999999999989</v>
      </c>
      <c r="FL67" s="18"/>
      <c r="FM67" s="19">
        <f t="shared" si="119"/>
        <v>0</v>
      </c>
      <c r="FN67" s="19">
        <f t="shared" si="120"/>
        <v>0</v>
      </c>
      <c r="FO67" s="19">
        <f t="shared" si="121"/>
        <v>0</v>
      </c>
      <c r="FP67" s="19">
        <f t="shared" si="122"/>
        <v>0</v>
      </c>
      <c r="FQ67" s="19">
        <f t="shared" si="123"/>
        <v>0</v>
      </c>
      <c r="FR67" s="19">
        <f t="shared" si="124"/>
        <v>0</v>
      </c>
      <c r="FS67" s="19">
        <f t="shared" si="125"/>
        <v>0</v>
      </c>
      <c r="FT67" s="19">
        <f t="shared" si="126"/>
        <v>0</v>
      </c>
      <c r="FU67" s="19">
        <f t="shared" si="127"/>
        <v>0</v>
      </c>
      <c r="FV67" s="19">
        <f t="shared" si="128"/>
        <v>0</v>
      </c>
      <c r="FW67" s="19">
        <f t="shared" si="129"/>
        <v>0</v>
      </c>
      <c r="FX67" s="19">
        <f t="shared" si="130"/>
        <v>0</v>
      </c>
      <c r="FY67" s="19">
        <f t="shared" si="131"/>
        <v>0</v>
      </c>
      <c r="FZ67" s="19">
        <f t="shared" si="132"/>
        <v>0</v>
      </c>
      <c r="GA67" s="19">
        <f t="shared" si="133"/>
        <v>0</v>
      </c>
      <c r="GB67" s="19">
        <f t="shared" si="134"/>
        <v>0</v>
      </c>
      <c r="GC67" s="19">
        <f t="shared" si="135"/>
        <v>1.0499999999999998</v>
      </c>
      <c r="GD67" s="19">
        <f t="shared" si="136"/>
        <v>0</v>
      </c>
      <c r="GE67" s="19">
        <f t="shared" si="137"/>
        <v>0</v>
      </c>
      <c r="GF67" s="19">
        <f t="shared" si="138"/>
        <v>0</v>
      </c>
      <c r="GG67" s="19">
        <f t="shared" si="139"/>
        <v>0</v>
      </c>
      <c r="GH67" s="19">
        <f t="shared" si="140"/>
        <v>0</v>
      </c>
      <c r="GI67" s="19">
        <f t="shared" si="141"/>
        <v>0</v>
      </c>
      <c r="GJ67" s="19">
        <f t="shared" si="142"/>
        <v>0</v>
      </c>
      <c r="GK67" s="19">
        <f t="shared" si="143"/>
        <v>0</v>
      </c>
      <c r="GL67" s="19">
        <f t="shared" si="144"/>
        <v>0</v>
      </c>
      <c r="GM67" s="19">
        <f t="shared" si="145"/>
        <v>0</v>
      </c>
      <c r="GN67" s="19">
        <f t="shared" si="146"/>
        <v>0.44999999999999996</v>
      </c>
      <c r="GO67" s="19">
        <f t="shared" si="147"/>
        <v>0.9</v>
      </c>
      <c r="GP67" s="19">
        <f t="shared" si="148"/>
        <v>0</v>
      </c>
      <c r="GQ67" s="19">
        <f t="shared" si="149"/>
        <v>0</v>
      </c>
      <c r="GR67" s="19">
        <f t="shared" si="150"/>
        <v>0</v>
      </c>
      <c r="GS67" s="19">
        <f t="shared" si="151"/>
        <v>0</v>
      </c>
      <c r="GT67" s="19">
        <f t="shared" si="152"/>
        <v>0</v>
      </c>
      <c r="GU67" s="19">
        <f t="shared" si="153"/>
        <v>0</v>
      </c>
      <c r="GV67" s="19">
        <f t="shared" si="154"/>
        <v>0</v>
      </c>
      <c r="GW67" s="19">
        <f t="shared" si="155"/>
        <v>0.12</v>
      </c>
      <c r="GX67" s="19">
        <f t="shared" si="156"/>
        <v>0</v>
      </c>
      <c r="GY67" s="19">
        <f t="shared" si="157"/>
        <v>0</v>
      </c>
      <c r="GZ67" s="19">
        <f t="shared" si="158"/>
        <v>0</v>
      </c>
      <c r="HA67" s="19">
        <f t="shared" si="159"/>
        <v>0</v>
      </c>
      <c r="HB67" s="19">
        <f t="shared" si="160"/>
        <v>0</v>
      </c>
      <c r="HC67" s="19">
        <f t="shared" si="161"/>
        <v>0</v>
      </c>
      <c r="HD67" s="19">
        <f t="shared" si="162"/>
        <v>0</v>
      </c>
      <c r="HE67" s="19">
        <f t="shared" si="163"/>
        <v>0</v>
      </c>
      <c r="HF67" s="19">
        <f t="shared" si="164"/>
        <v>0</v>
      </c>
      <c r="HG67" s="19">
        <f t="shared" si="165"/>
        <v>2.4499999999999997</v>
      </c>
      <c r="HH67" s="19">
        <f t="shared" si="166"/>
        <v>0</v>
      </c>
      <c r="HI67" s="19">
        <f t="shared" si="167"/>
        <v>0</v>
      </c>
      <c r="HJ67" s="19">
        <f t="shared" si="168"/>
        <v>0</v>
      </c>
      <c r="HK67" s="19">
        <f t="shared" si="169"/>
        <v>0</v>
      </c>
      <c r="HL67" s="19">
        <f t="shared" si="170"/>
        <v>0.03</v>
      </c>
      <c r="HM67" s="20">
        <f t="shared" si="171"/>
        <v>5</v>
      </c>
      <c r="HN67" s="53">
        <v>1202</v>
      </c>
      <c r="HO67" s="21">
        <f t="shared" si="172"/>
        <v>0</v>
      </c>
      <c r="HP67" s="21">
        <f t="shared" si="173"/>
        <v>0</v>
      </c>
      <c r="HQ67" s="21">
        <f t="shared" si="174"/>
        <v>0</v>
      </c>
      <c r="HR67" s="21">
        <f t="shared" si="175"/>
        <v>0</v>
      </c>
      <c r="HS67" s="21">
        <f t="shared" si="176"/>
        <v>0</v>
      </c>
      <c r="HT67" s="69">
        <f t="shared" si="177"/>
        <v>0</v>
      </c>
      <c r="HU67" s="21">
        <f t="shared" si="178"/>
        <v>0</v>
      </c>
      <c r="HV67" s="21">
        <f t="shared" si="179"/>
        <v>0</v>
      </c>
      <c r="HW67" s="21">
        <f t="shared" si="180"/>
        <v>0</v>
      </c>
      <c r="HX67" s="21">
        <f t="shared" si="181"/>
        <v>0</v>
      </c>
      <c r="HY67" s="21">
        <f t="shared" si="182"/>
        <v>0</v>
      </c>
      <c r="HZ67" s="21">
        <f t="shared" si="183"/>
        <v>0</v>
      </c>
      <c r="IA67" s="21">
        <f t="shared" si="184"/>
        <v>0</v>
      </c>
      <c r="IB67" s="21">
        <f t="shared" si="185"/>
        <v>0</v>
      </c>
      <c r="IC67" s="21">
        <f t="shared" si="186"/>
        <v>0</v>
      </c>
      <c r="ID67" s="21">
        <f t="shared" si="187"/>
        <v>0</v>
      </c>
      <c r="IE67" s="21">
        <f t="shared" si="188"/>
        <v>252.41999999999993</v>
      </c>
      <c r="IF67" s="69">
        <f t="shared" si="189"/>
        <v>0</v>
      </c>
      <c r="IG67" s="69">
        <f t="shared" si="190"/>
        <v>0</v>
      </c>
      <c r="IH67" s="69">
        <f t="shared" si="191"/>
        <v>0</v>
      </c>
      <c r="II67" s="21">
        <f t="shared" si="192"/>
        <v>0</v>
      </c>
      <c r="IJ67" s="21">
        <f t="shared" si="193"/>
        <v>0</v>
      </c>
      <c r="IK67" s="21">
        <f t="shared" si="194"/>
        <v>0</v>
      </c>
      <c r="IL67" s="21">
        <f t="shared" si="195"/>
        <v>0</v>
      </c>
      <c r="IM67" s="21">
        <f t="shared" si="196"/>
        <v>0</v>
      </c>
      <c r="IN67" s="21">
        <f t="shared" si="197"/>
        <v>0</v>
      </c>
      <c r="IO67" s="21">
        <f t="shared" si="198"/>
        <v>0</v>
      </c>
      <c r="IP67" s="21">
        <f t="shared" si="199"/>
        <v>108.17999999999999</v>
      </c>
      <c r="IQ67" s="21">
        <f t="shared" si="200"/>
        <v>216.35999999999999</v>
      </c>
      <c r="IR67" s="21">
        <f t="shared" si="201"/>
        <v>0</v>
      </c>
      <c r="IS67" s="21">
        <f t="shared" si="202"/>
        <v>0</v>
      </c>
      <c r="IT67" s="21">
        <f t="shared" si="203"/>
        <v>0</v>
      </c>
      <c r="IU67" s="21">
        <f t="shared" si="204"/>
        <v>0</v>
      </c>
      <c r="IV67" s="21">
        <f t="shared" si="205"/>
        <v>0</v>
      </c>
      <c r="IW67" s="21">
        <f t="shared" si="206"/>
        <v>0</v>
      </c>
      <c r="IX67" s="21">
        <f t="shared" si="207"/>
        <v>0</v>
      </c>
      <c r="IY67" s="21">
        <f t="shared" si="208"/>
        <v>28.847999999999995</v>
      </c>
      <c r="IZ67" s="21">
        <f t="shared" si="209"/>
        <v>0</v>
      </c>
      <c r="JA67" s="21">
        <f t="shared" si="210"/>
        <v>0</v>
      </c>
      <c r="JB67" s="21">
        <f t="shared" si="211"/>
        <v>0</v>
      </c>
      <c r="JC67" s="21">
        <f t="shared" si="212"/>
        <v>0</v>
      </c>
      <c r="JD67" s="21">
        <f t="shared" si="213"/>
        <v>0</v>
      </c>
      <c r="JE67" s="21">
        <f t="shared" si="214"/>
        <v>0</v>
      </c>
      <c r="JF67" s="21">
        <f t="shared" si="215"/>
        <v>0</v>
      </c>
      <c r="JG67" s="21">
        <f t="shared" si="216"/>
        <v>0</v>
      </c>
      <c r="JH67" s="21">
        <f t="shared" si="217"/>
        <v>0</v>
      </c>
      <c r="JI67" s="21">
        <f t="shared" si="218"/>
        <v>588.9799999999999</v>
      </c>
      <c r="JJ67" s="21">
        <f t="shared" si="219"/>
        <v>0</v>
      </c>
      <c r="JK67" s="21">
        <f t="shared" si="220"/>
        <v>0</v>
      </c>
      <c r="JL67" s="21">
        <f t="shared" si="221"/>
        <v>0</v>
      </c>
      <c r="JM67" s="21">
        <f t="shared" si="222"/>
        <v>0</v>
      </c>
      <c r="JN67" s="21">
        <f t="shared" si="223"/>
        <v>7.2119999999999989</v>
      </c>
      <c r="JO67" s="35">
        <f t="shared" si="287"/>
        <v>1201.9999999999998</v>
      </c>
      <c r="JP67" s="38">
        <f t="shared" si="288"/>
        <v>0</v>
      </c>
      <c r="JQ67" s="43">
        <f t="shared" si="224"/>
        <v>0</v>
      </c>
      <c r="JR67" s="43">
        <f t="shared" si="225"/>
        <v>0</v>
      </c>
      <c r="JS67" s="43">
        <f t="shared" si="226"/>
        <v>0</v>
      </c>
      <c r="JT67" s="43">
        <f t="shared" si="227"/>
        <v>0</v>
      </c>
      <c r="JU67" s="43">
        <f t="shared" si="228"/>
        <v>0</v>
      </c>
      <c r="JV67" s="43">
        <f t="shared" si="229"/>
        <v>0</v>
      </c>
      <c r="JW67" s="43">
        <f t="shared" si="230"/>
        <v>0</v>
      </c>
      <c r="JX67" s="43">
        <f t="shared" si="231"/>
        <v>0</v>
      </c>
      <c r="JY67" s="43">
        <f t="shared" si="232"/>
        <v>0</v>
      </c>
      <c r="JZ67" s="43">
        <f t="shared" si="233"/>
        <v>0</v>
      </c>
      <c r="KA67" s="43">
        <f t="shared" si="234"/>
        <v>0</v>
      </c>
      <c r="KB67" s="43">
        <f t="shared" si="235"/>
        <v>0</v>
      </c>
      <c r="KC67" s="43">
        <f t="shared" si="236"/>
        <v>0</v>
      </c>
      <c r="KD67" s="43">
        <f t="shared" si="237"/>
        <v>0</v>
      </c>
      <c r="KE67" s="43">
        <f t="shared" si="238"/>
        <v>0</v>
      </c>
      <c r="KF67" s="43">
        <f t="shared" si="239"/>
        <v>0</v>
      </c>
      <c r="KG67" s="43">
        <f t="shared" si="240"/>
        <v>1047.5240710496967</v>
      </c>
      <c r="KH67" s="43">
        <f t="shared" si="241"/>
        <v>0</v>
      </c>
      <c r="KI67" s="43">
        <f t="shared" si="242"/>
        <v>0</v>
      </c>
      <c r="KJ67" s="43">
        <f t="shared" si="243"/>
        <v>0</v>
      </c>
      <c r="KK67" s="43">
        <f t="shared" si="244"/>
        <v>0</v>
      </c>
      <c r="KL67" s="43">
        <f t="shared" si="245"/>
        <v>0</v>
      </c>
      <c r="KM67" s="43">
        <f t="shared" si="246"/>
        <v>0</v>
      </c>
      <c r="KN67" s="43">
        <f t="shared" si="247"/>
        <v>0</v>
      </c>
      <c r="KO67" s="43">
        <f t="shared" si="248"/>
        <v>0</v>
      </c>
      <c r="KP67" s="43">
        <f t="shared" si="249"/>
        <v>0</v>
      </c>
      <c r="KQ67" s="43">
        <f t="shared" si="250"/>
        <v>0</v>
      </c>
      <c r="KR67" s="43">
        <f t="shared" si="251"/>
        <v>417.57479999999998</v>
      </c>
      <c r="KS67" s="43">
        <f t="shared" si="252"/>
        <v>739.80645297454544</v>
      </c>
      <c r="KT67" s="43">
        <f t="shared" si="253"/>
        <v>0</v>
      </c>
      <c r="KU67" s="43">
        <f t="shared" si="254"/>
        <v>0</v>
      </c>
      <c r="KV67" s="43">
        <f t="shared" si="255"/>
        <v>0</v>
      </c>
      <c r="KW67" s="43">
        <f t="shared" si="256"/>
        <v>0</v>
      </c>
      <c r="KX67" s="43">
        <f t="shared" si="257"/>
        <v>0</v>
      </c>
      <c r="KY67" s="43">
        <f t="shared" si="258"/>
        <v>0</v>
      </c>
      <c r="KZ67" s="43">
        <f t="shared" si="259"/>
        <v>0</v>
      </c>
      <c r="LA67" s="43">
        <f t="shared" si="260"/>
        <v>115.58932031999997</v>
      </c>
      <c r="LB67" s="43">
        <f t="shared" si="261"/>
        <v>0</v>
      </c>
      <c r="LC67" s="43">
        <f t="shared" si="262"/>
        <v>0</v>
      </c>
      <c r="LD67" s="43">
        <f t="shared" si="263"/>
        <v>0</v>
      </c>
      <c r="LE67" s="43">
        <f t="shared" si="264"/>
        <v>0</v>
      </c>
      <c r="LF67" s="43">
        <f t="shared" si="265"/>
        <v>0</v>
      </c>
      <c r="LG67" s="43">
        <f t="shared" si="266"/>
        <v>0</v>
      </c>
      <c r="LH67" s="43">
        <f t="shared" si="267"/>
        <v>0</v>
      </c>
      <c r="LI67" s="43">
        <f t="shared" si="268"/>
        <v>0</v>
      </c>
      <c r="LJ67" s="43">
        <f t="shared" si="269"/>
        <v>0</v>
      </c>
      <c r="LK67" s="43">
        <f t="shared" si="270"/>
        <v>2359.3066349999995</v>
      </c>
      <c r="LL67" s="43">
        <f t="shared" si="271"/>
        <v>0</v>
      </c>
      <c r="LM67" s="43">
        <f t="shared" si="272"/>
        <v>0</v>
      </c>
      <c r="LN67" s="43">
        <f t="shared" si="273"/>
        <v>0</v>
      </c>
      <c r="LO67" s="43">
        <f t="shared" si="274"/>
        <v>0</v>
      </c>
      <c r="LP67" s="43">
        <f t="shared" si="275"/>
        <v>60.941399999999987</v>
      </c>
      <c r="LQ67" s="28">
        <f t="shared" si="289"/>
        <v>4740.742679344241</v>
      </c>
      <c r="LR67" s="65">
        <v>1186</v>
      </c>
      <c r="LS67" s="32">
        <f t="shared" si="281"/>
        <v>3.9972535238990226</v>
      </c>
      <c r="LT67" s="26">
        <f t="shared" si="282"/>
        <v>1.0921457715571099</v>
      </c>
      <c r="LU67" s="31">
        <f t="shared" si="290"/>
        <v>16</v>
      </c>
      <c r="LW67" s="42"/>
      <c r="MA67" s="32">
        <f t="shared" si="291"/>
        <v>3.9440454903030298</v>
      </c>
      <c r="MB67" s="26">
        <f t="shared" si="283"/>
        <v>1.0776080574598441</v>
      </c>
    </row>
    <row r="68" spans="1:340" ht="15.75" thickBot="1">
      <c r="A68" t="b">
        <f t="shared" si="285"/>
        <v>1</v>
      </c>
      <c r="B68" s="123" t="s">
        <v>219</v>
      </c>
      <c r="C68" s="39" t="s">
        <v>99</v>
      </c>
      <c r="D68"/>
      <c r="E68" s="97">
        <v>46032</v>
      </c>
      <c r="F68" t="s">
        <v>43</v>
      </c>
      <c r="G68" t="s">
        <v>20</v>
      </c>
      <c r="H68" t="s">
        <v>27</v>
      </c>
      <c r="I68" s="77"/>
      <c r="J68" s="77"/>
      <c r="K68" s="77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24"/>
      <c r="AG68" s="124"/>
      <c r="AH68" s="104"/>
      <c r="AI68" s="104"/>
      <c r="AJ68" s="104">
        <v>0.3</v>
      </c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24">
        <v>0.7</v>
      </c>
      <c r="BD68" s="124"/>
      <c r="BE68" s="104"/>
      <c r="BF68" s="104"/>
      <c r="BG68" s="104"/>
      <c r="BH68" s="104"/>
      <c r="BI68" s="78">
        <f t="shared" si="296"/>
        <v>1</v>
      </c>
      <c r="BJ68" s="105"/>
      <c r="BK68" s="105"/>
      <c r="BL68" s="105"/>
      <c r="BM68" s="105"/>
      <c r="BN68" s="105"/>
      <c r="BO68" s="105"/>
      <c r="BP68" s="105"/>
      <c r="BQ68" s="105"/>
      <c r="BR68" s="105"/>
      <c r="BS68" s="105"/>
      <c r="BT68" s="105"/>
      <c r="BU68" s="105"/>
      <c r="BV68" s="105"/>
      <c r="BW68" s="105"/>
      <c r="BX68" s="105"/>
      <c r="BY68" s="105"/>
      <c r="BZ68" s="105"/>
      <c r="CA68" s="105"/>
      <c r="CB68" s="105"/>
      <c r="CC68" s="105"/>
      <c r="CD68" s="105"/>
      <c r="CE68" s="105"/>
      <c r="CF68" s="120"/>
      <c r="CG68" s="128"/>
      <c r="CH68" s="128"/>
      <c r="CI68" s="105"/>
      <c r="CJ68" s="105"/>
      <c r="CK68" s="105"/>
      <c r="CL68" s="105">
        <v>0.3</v>
      </c>
      <c r="CM68" s="105"/>
      <c r="CN68" s="105"/>
      <c r="CO68" s="105"/>
      <c r="CP68" s="105"/>
      <c r="CQ68" s="105"/>
      <c r="CR68" s="105"/>
      <c r="CS68" s="105"/>
      <c r="CT68" s="105"/>
      <c r="CU68" s="105"/>
      <c r="CV68" s="105"/>
      <c r="CW68" s="105"/>
      <c r="CX68" s="105"/>
      <c r="CY68" s="105"/>
      <c r="CZ68" s="105"/>
      <c r="DA68" s="105"/>
      <c r="DB68" s="105"/>
      <c r="DC68" s="105"/>
      <c r="DD68" s="125">
        <v>0.7</v>
      </c>
      <c r="DE68" s="125"/>
      <c r="DF68" s="105"/>
      <c r="DG68" s="105"/>
      <c r="DH68" s="105"/>
      <c r="DI68" s="105"/>
      <c r="DJ68" s="79">
        <f t="shared" si="286"/>
        <v>1</v>
      </c>
      <c r="DK68" s="108"/>
      <c r="DL68" s="108"/>
      <c r="DM68" s="108"/>
      <c r="DN68" s="108"/>
      <c r="DO68" s="108"/>
      <c r="DP68" s="108"/>
      <c r="DQ68" s="108"/>
      <c r="DR68" s="108"/>
      <c r="DS68" s="108"/>
      <c r="DT68" s="108"/>
      <c r="DU68" s="108"/>
      <c r="DV68" s="108"/>
      <c r="DW68" s="108"/>
      <c r="DX68" s="108"/>
      <c r="DY68" s="108"/>
      <c r="DZ68" s="108"/>
      <c r="EA68" s="108">
        <v>0.7</v>
      </c>
      <c r="EB68" s="108"/>
      <c r="EC68" s="108"/>
      <c r="ED68" s="108"/>
      <c r="EE68" s="108"/>
      <c r="EF68" s="108"/>
      <c r="EG68" s="108"/>
      <c r="EH68" s="129"/>
      <c r="EI68" s="129"/>
      <c r="EJ68" s="108"/>
      <c r="EK68" s="108"/>
      <c r="EL68" s="108"/>
      <c r="EM68" s="108">
        <v>0.2</v>
      </c>
      <c r="EN68" s="108"/>
      <c r="EO68" s="108"/>
      <c r="EP68" s="108"/>
      <c r="EQ68" s="108"/>
      <c r="ER68" s="108"/>
      <c r="ES68" s="106"/>
      <c r="ET68" s="106"/>
      <c r="EU68" s="106">
        <v>7.0000000000000007E-2</v>
      </c>
      <c r="EV68" s="106"/>
      <c r="EW68" s="106"/>
      <c r="EX68" s="106"/>
      <c r="EY68" s="106"/>
      <c r="EZ68" s="106"/>
      <c r="FA68" s="106">
        <v>0.01</v>
      </c>
      <c r="FB68" s="106"/>
      <c r="FC68" s="106"/>
      <c r="FD68" s="106"/>
      <c r="FE68" s="126"/>
      <c r="FF68" s="126"/>
      <c r="FG68" s="106"/>
      <c r="FH68" s="106"/>
      <c r="FI68" s="106"/>
      <c r="FJ68" s="106">
        <v>0.02</v>
      </c>
      <c r="FK68" s="17">
        <f t="shared" si="280"/>
        <v>1</v>
      </c>
      <c r="FL68" s="18"/>
      <c r="FM68" s="19">
        <f t="shared" si="119"/>
        <v>0</v>
      </c>
      <c r="FN68" s="19">
        <f t="shared" si="120"/>
        <v>0</v>
      </c>
      <c r="FO68" s="19">
        <f t="shared" si="121"/>
        <v>0</v>
      </c>
      <c r="FP68" s="19">
        <f t="shared" si="122"/>
        <v>0</v>
      </c>
      <c r="FQ68" s="19">
        <f t="shared" si="123"/>
        <v>0</v>
      </c>
      <c r="FR68" s="19">
        <f t="shared" si="124"/>
        <v>0</v>
      </c>
      <c r="FS68" s="19">
        <f t="shared" si="125"/>
        <v>0</v>
      </c>
      <c r="FT68" s="19">
        <f t="shared" si="126"/>
        <v>0</v>
      </c>
      <c r="FU68" s="19">
        <f t="shared" si="127"/>
        <v>0</v>
      </c>
      <c r="FV68" s="19">
        <f t="shared" si="128"/>
        <v>0</v>
      </c>
      <c r="FW68" s="19">
        <f t="shared" si="129"/>
        <v>0</v>
      </c>
      <c r="FX68" s="19">
        <f t="shared" si="130"/>
        <v>0</v>
      </c>
      <c r="FY68" s="19">
        <f t="shared" si="131"/>
        <v>0</v>
      </c>
      <c r="FZ68" s="19">
        <f t="shared" si="132"/>
        <v>0</v>
      </c>
      <c r="GA68" s="19">
        <f t="shared" si="133"/>
        <v>0</v>
      </c>
      <c r="GB68" s="19">
        <f t="shared" si="134"/>
        <v>0</v>
      </c>
      <c r="GC68" s="19">
        <f t="shared" si="135"/>
        <v>1.0499999999999998</v>
      </c>
      <c r="GD68" s="19">
        <f t="shared" si="136"/>
        <v>0</v>
      </c>
      <c r="GE68" s="19">
        <f t="shared" si="137"/>
        <v>0</v>
      </c>
      <c r="GF68" s="19">
        <f t="shared" si="138"/>
        <v>0</v>
      </c>
      <c r="GG68" s="19">
        <f t="shared" si="139"/>
        <v>0</v>
      </c>
      <c r="GH68" s="19">
        <f t="shared" si="140"/>
        <v>0</v>
      </c>
      <c r="GI68" s="19">
        <f t="shared" si="141"/>
        <v>0</v>
      </c>
      <c r="GJ68" s="19">
        <f t="shared" si="142"/>
        <v>0</v>
      </c>
      <c r="GK68" s="19">
        <f t="shared" si="143"/>
        <v>0</v>
      </c>
      <c r="GL68" s="19">
        <f t="shared" si="144"/>
        <v>0</v>
      </c>
      <c r="GM68" s="19">
        <f t="shared" si="145"/>
        <v>0</v>
      </c>
      <c r="GN68" s="19">
        <f t="shared" si="146"/>
        <v>0.44999999999999996</v>
      </c>
      <c r="GO68" s="19">
        <f t="shared" si="147"/>
        <v>0.9</v>
      </c>
      <c r="GP68" s="19">
        <f t="shared" si="148"/>
        <v>0</v>
      </c>
      <c r="GQ68" s="19">
        <f t="shared" si="149"/>
        <v>0</v>
      </c>
      <c r="GR68" s="19">
        <f t="shared" si="150"/>
        <v>0</v>
      </c>
      <c r="GS68" s="19">
        <f t="shared" si="151"/>
        <v>0</v>
      </c>
      <c r="GT68" s="19">
        <f t="shared" si="152"/>
        <v>0</v>
      </c>
      <c r="GU68" s="19">
        <f t="shared" si="153"/>
        <v>0</v>
      </c>
      <c r="GV68" s="19">
        <f t="shared" si="154"/>
        <v>0</v>
      </c>
      <c r="GW68" s="19">
        <f t="shared" si="155"/>
        <v>0.10500000000000001</v>
      </c>
      <c r="GX68" s="19">
        <f t="shared" si="156"/>
        <v>0</v>
      </c>
      <c r="GY68" s="19">
        <f t="shared" si="157"/>
        <v>0</v>
      </c>
      <c r="GZ68" s="19">
        <f t="shared" si="158"/>
        <v>0</v>
      </c>
      <c r="HA68" s="19">
        <f t="shared" si="159"/>
        <v>0</v>
      </c>
      <c r="HB68" s="19">
        <f t="shared" si="160"/>
        <v>0</v>
      </c>
      <c r="HC68" s="19">
        <f t="shared" si="161"/>
        <v>1.4999999999999999E-2</v>
      </c>
      <c r="HD68" s="19">
        <f t="shared" si="162"/>
        <v>0</v>
      </c>
      <c r="HE68" s="19">
        <f t="shared" si="163"/>
        <v>0</v>
      </c>
      <c r="HF68" s="19">
        <f t="shared" si="164"/>
        <v>0</v>
      </c>
      <c r="HG68" s="19">
        <f t="shared" si="165"/>
        <v>2.4499999999999997</v>
      </c>
      <c r="HH68" s="19">
        <f t="shared" si="166"/>
        <v>0</v>
      </c>
      <c r="HI68" s="19">
        <f t="shared" si="167"/>
        <v>0</v>
      </c>
      <c r="HJ68" s="19">
        <f t="shared" si="168"/>
        <v>0</v>
      </c>
      <c r="HK68" s="19">
        <f t="shared" si="169"/>
        <v>0</v>
      </c>
      <c r="HL68" s="19">
        <f t="shared" si="170"/>
        <v>0.03</v>
      </c>
      <c r="HM68" s="20">
        <f t="shared" si="171"/>
        <v>5</v>
      </c>
      <c r="HN68" s="53">
        <v>567</v>
      </c>
      <c r="HO68" s="21">
        <f t="shared" si="172"/>
        <v>0</v>
      </c>
      <c r="HP68" s="21">
        <f t="shared" si="173"/>
        <v>0</v>
      </c>
      <c r="HQ68" s="21">
        <f t="shared" si="174"/>
        <v>0</v>
      </c>
      <c r="HR68" s="21">
        <f t="shared" si="175"/>
        <v>0</v>
      </c>
      <c r="HS68" s="21">
        <f t="shared" si="176"/>
        <v>0</v>
      </c>
      <c r="HT68" s="69">
        <f t="shared" si="177"/>
        <v>0</v>
      </c>
      <c r="HU68" s="21">
        <f t="shared" si="178"/>
        <v>0</v>
      </c>
      <c r="HV68" s="21">
        <f t="shared" si="179"/>
        <v>0</v>
      </c>
      <c r="HW68" s="21">
        <f t="shared" si="180"/>
        <v>0</v>
      </c>
      <c r="HX68" s="21">
        <f t="shared" si="181"/>
        <v>0</v>
      </c>
      <c r="HY68" s="21">
        <f t="shared" si="182"/>
        <v>0</v>
      </c>
      <c r="HZ68" s="21">
        <f t="shared" si="183"/>
        <v>0</v>
      </c>
      <c r="IA68" s="21">
        <f t="shared" si="184"/>
        <v>0</v>
      </c>
      <c r="IB68" s="21">
        <f t="shared" si="185"/>
        <v>0</v>
      </c>
      <c r="IC68" s="21">
        <f t="shared" si="186"/>
        <v>0</v>
      </c>
      <c r="ID68" s="21">
        <f t="shared" si="187"/>
        <v>0</v>
      </c>
      <c r="IE68" s="21">
        <f t="shared" si="188"/>
        <v>119.06999999999998</v>
      </c>
      <c r="IF68" s="69">
        <f t="shared" si="189"/>
        <v>0</v>
      </c>
      <c r="IG68" s="69">
        <f t="shared" si="190"/>
        <v>0</v>
      </c>
      <c r="IH68" s="69">
        <f t="shared" si="191"/>
        <v>0</v>
      </c>
      <c r="II68" s="21">
        <f t="shared" si="192"/>
        <v>0</v>
      </c>
      <c r="IJ68" s="21">
        <f t="shared" si="193"/>
        <v>0</v>
      </c>
      <c r="IK68" s="21">
        <f t="shared" si="194"/>
        <v>0</v>
      </c>
      <c r="IL68" s="21">
        <f t="shared" si="195"/>
        <v>0</v>
      </c>
      <c r="IM68" s="21">
        <f t="shared" si="196"/>
        <v>0</v>
      </c>
      <c r="IN68" s="21">
        <f t="shared" si="197"/>
        <v>0</v>
      </c>
      <c r="IO68" s="21">
        <f t="shared" si="198"/>
        <v>0</v>
      </c>
      <c r="IP68" s="21">
        <f t="shared" si="199"/>
        <v>51.029999999999994</v>
      </c>
      <c r="IQ68" s="21">
        <f t="shared" si="200"/>
        <v>102.06</v>
      </c>
      <c r="IR68" s="21">
        <f t="shared" si="201"/>
        <v>0</v>
      </c>
      <c r="IS68" s="21">
        <f t="shared" si="202"/>
        <v>0</v>
      </c>
      <c r="IT68" s="21">
        <f t="shared" si="203"/>
        <v>0</v>
      </c>
      <c r="IU68" s="21">
        <f t="shared" si="204"/>
        <v>0</v>
      </c>
      <c r="IV68" s="21">
        <f t="shared" si="205"/>
        <v>0</v>
      </c>
      <c r="IW68" s="21">
        <f t="shared" si="206"/>
        <v>0</v>
      </c>
      <c r="IX68" s="21">
        <f t="shared" si="207"/>
        <v>0</v>
      </c>
      <c r="IY68" s="21">
        <f t="shared" si="208"/>
        <v>11.907</v>
      </c>
      <c r="IZ68" s="21">
        <f t="shared" si="209"/>
        <v>0</v>
      </c>
      <c r="JA68" s="21">
        <f t="shared" si="210"/>
        <v>0</v>
      </c>
      <c r="JB68" s="21">
        <f t="shared" si="211"/>
        <v>0</v>
      </c>
      <c r="JC68" s="21">
        <f t="shared" si="212"/>
        <v>0</v>
      </c>
      <c r="JD68" s="21">
        <f t="shared" si="213"/>
        <v>0</v>
      </c>
      <c r="JE68" s="21">
        <f t="shared" si="214"/>
        <v>1.7009999999999998</v>
      </c>
      <c r="JF68" s="21">
        <f t="shared" si="215"/>
        <v>0</v>
      </c>
      <c r="JG68" s="21">
        <f t="shared" si="216"/>
        <v>0</v>
      </c>
      <c r="JH68" s="21">
        <f t="shared" si="217"/>
        <v>0</v>
      </c>
      <c r="JI68" s="21">
        <f t="shared" si="218"/>
        <v>277.83</v>
      </c>
      <c r="JJ68" s="21">
        <f t="shared" si="219"/>
        <v>0</v>
      </c>
      <c r="JK68" s="21">
        <f t="shared" si="220"/>
        <v>0</v>
      </c>
      <c r="JL68" s="21">
        <f t="shared" si="221"/>
        <v>0</v>
      </c>
      <c r="JM68" s="21">
        <f t="shared" si="222"/>
        <v>0</v>
      </c>
      <c r="JN68" s="21">
        <f t="shared" si="223"/>
        <v>3.4019999999999997</v>
      </c>
      <c r="JO68" s="35">
        <f t="shared" si="287"/>
        <v>567</v>
      </c>
      <c r="JP68" s="38">
        <f t="shared" si="288"/>
        <v>0</v>
      </c>
      <c r="JQ68" s="43">
        <f t="shared" si="224"/>
        <v>0</v>
      </c>
      <c r="JR68" s="43">
        <f t="shared" si="225"/>
        <v>0</v>
      </c>
      <c r="JS68" s="43">
        <f t="shared" si="226"/>
        <v>0</v>
      </c>
      <c r="JT68" s="43">
        <f t="shared" si="227"/>
        <v>0</v>
      </c>
      <c r="JU68" s="43">
        <f t="shared" si="228"/>
        <v>0</v>
      </c>
      <c r="JV68" s="43">
        <f t="shared" si="229"/>
        <v>0</v>
      </c>
      <c r="JW68" s="43">
        <f t="shared" si="230"/>
        <v>0</v>
      </c>
      <c r="JX68" s="43">
        <f t="shared" si="231"/>
        <v>0</v>
      </c>
      <c r="JY68" s="43">
        <f t="shared" si="232"/>
        <v>0</v>
      </c>
      <c r="JZ68" s="43">
        <f t="shared" si="233"/>
        <v>0</v>
      </c>
      <c r="KA68" s="43">
        <f t="shared" si="234"/>
        <v>0</v>
      </c>
      <c r="KB68" s="43">
        <f t="shared" si="235"/>
        <v>0</v>
      </c>
      <c r="KC68" s="43">
        <f t="shared" si="236"/>
        <v>0</v>
      </c>
      <c r="KD68" s="43">
        <f t="shared" si="237"/>
        <v>0</v>
      </c>
      <c r="KE68" s="43">
        <f t="shared" si="238"/>
        <v>0</v>
      </c>
      <c r="KF68" s="43">
        <f t="shared" si="239"/>
        <v>0</v>
      </c>
      <c r="KG68" s="43">
        <f t="shared" si="240"/>
        <v>494.1315709527272</v>
      </c>
      <c r="KH68" s="43">
        <f t="shared" si="241"/>
        <v>0</v>
      </c>
      <c r="KI68" s="43">
        <f t="shared" si="242"/>
        <v>0</v>
      </c>
      <c r="KJ68" s="43">
        <f t="shared" si="243"/>
        <v>0</v>
      </c>
      <c r="KK68" s="43">
        <f t="shared" si="244"/>
        <v>0</v>
      </c>
      <c r="KL68" s="43">
        <f t="shared" si="245"/>
        <v>0</v>
      </c>
      <c r="KM68" s="43">
        <f t="shared" si="246"/>
        <v>0</v>
      </c>
      <c r="KN68" s="43">
        <f t="shared" si="247"/>
        <v>0</v>
      </c>
      <c r="KO68" s="43">
        <f t="shared" si="248"/>
        <v>0</v>
      </c>
      <c r="KP68" s="43">
        <f t="shared" si="249"/>
        <v>0</v>
      </c>
      <c r="KQ68" s="43">
        <f t="shared" si="250"/>
        <v>0</v>
      </c>
      <c r="KR68" s="43">
        <f t="shared" si="251"/>
        <v>196.97579999999996</v>
      </c>
      <c r="KS68" s="43">
        <f t="shared" si="252"/>
        <v>348.97692082909089</v>
      </c>
      <c r="KT68" s="43">
        <f t="shared" si="253"/>
        <v>0</v>
      </c>
      <c r="KU68" s="43">
        <f t="shared" si="254"/>
        <v>0</v>
      </c>
      <c r="KV68" s="43">
        <f t="shared" si="255"/>
        <v>0</v>
      </c>
      <c r="KW68" s="43">
        <f t="shared" si="256"/>
        <v>0</v>
      </c>
      <c r="KX68" s="43">
        <f t="shared" si="257"/>
        <v>0</v>
      </c>
      <c r="KY68" s="43">
        <f t="shared" si="258"/>
        <v>0</v>
      </c>
      <c r="KZ68" s="43">
        <f t="shared" si="259"/>
        <v>0</v>
      </c>
      <c r="LA68" s="43">
        <f t="shared" si="260"/>
        <v>47.709443879999995</v>
      </c>
      <c r="LB68" s="43">
        <f t="shared" si="261"/>
        <v>0</v>
      </c>
      <c r="LC68" s="43">
        <f t="shared" si="262"/>
        <v>0</v>
      </c>
      <c r="LD68" s="43">
        <f t="shared" si="263"/>
        <v>0</v>
      </c>
      <c r="LE68" s="43">
        <f t="shared" si="264"/>
        <v>0</v>
      </c>
      <c r="LF68" s="43">
        <f t="shared" si="265"/>
        <v>0</v>
      </c>
      <c r="LG68" s="43">
        <f t="shared" si="266"/>
        <v>17.554320000000001</v>
      </c>
      <c r="LH68" s="43">
        <f t="shared" si="267"/>
        <v>0</v>
      </c>
      <c r="LI68" s="43">
        <f t="shared" si="268"/>
        <v>0</v>
      </c>
      <c r="LJ68" s="43">
        <f t="shared" si="269"/>
        <v>0</v>
      </c>
      <c r="LK68" s="43">
        <f t="shared" si="270"/>
        <v>1112.9175224999999</v>
      </c>
      <c r="LL68" s="43">
        <f t="shared" si="271"/>
        <v>0</v>
      </c>
      <c r="LM68" s="43">
        <f t="shared" si="272"/>
        <v>0</v>
      </c>
      <c r="LN68" s="43">
        <f t="shared" si="273"/>
        <v>0</v>
      </c>
      <c r="LO68" s="43">
        <f t="shared" si="274"/>
        <v>0</v>
      </c>
      <c r="LP68" s="43">
        <f t="shared" si="275"/>
        <v>28.746899999999997</v>
      </c>
      <c r="LQ68" s="28">
        <f t="shared" si="289"/>
        <v>2247.0124781618179</v>
      </c>
      <c r="LR68" s="65">
        <v>514</v>
      </c>
      <c r="LS68" s="32">
        <f t="shared" si="281"/>
        <v>4.3716196073187117</v>
      </c>
      <c r="LT68" s="26">
        <f t="shared" si="282"/>
        <v>1.1944315866991015</v>
      </c>
      <c r="LU68" s="31">
        <f t="shared" si="290"/>
        <v>53</v>
      </c>
      <c r="LW68" s="42"/>
      <c r="MA68" s="32">
        <f t="shared" si="291"/>
        <v>3.9629849703030295</v>
      </c>
      <c r="MB68" s="26">
        <f t="shared" si="283"/>
        <v>1.0827827787713196</v>
      </c>
    </row>
    <row r="69" spans="1:340" ht="15.75" thickBot="1">
      <c r="A69" t="b">
        <f t="shared" si="285"/>
        <v>1</v>
      </c>
      <c r="B69" s="123" t="s">
        <v>220</v>
      </c>
      <c r="C69" s="39" t="s">
        <v>59</v>
      </c>
      <c r="D69"/>
      <c r="E69" s="97">
        <v>46032</v>
      </c>
      <c r="F69" t="s">
        <v>43</v>
      </c>
      <c r="G69" t="s">
        <v>19</v>
      </c>
      <c r="H69" t="s">
        <v>27</v>
      </c>
      <c r="I69" s="77"/>
      <c r="J69" s="77"/>
      <c r="K69" s="77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24"/>
      <c r="AG69" s="124"/>
      <c r="AH69" s="104"/>
      <c r="AI69" s="104"/>
      <c r="AJ69" s="22"/>
      <c r="AK69" s="22"/>
      <c r="AL69" s="22"/>
      <c r="AM69" s="22"/>
      <c r="AN69" s="22"/>
      <c r="AO69" s="104"/>
      <c r="AP69" s="22"/>
      <c r="AQ69" s="22"/>
      <c r="AR69" s="22"/>
      <c r="AS69" s="22"/>
      <c r="AT69" s="22"/>
      <c r="AU69" s="22"/>
      <c r="AV69" s="22"/>
      <c r="AW69" s="22"/>
      <c r="AX69" s="22"/>
      <c r="AY69" s="22">
        <v>0.01</v>
      </c>
      <c r="AZ69" s="104"/>
      <c r="BA69" s="104"/>
      <c r="BB69" s="104">
        <v>0.495</v>
      </c>
      <c r="BC69" s="124">
        <v>0.495</v>
      </c>
      <c r="BD69" s="124"/>
      <c r="BE69" s="104"/>
      <c r="BF69" s="104"/>
      <c r="BG69" s="104"/>
      <c r="BH69" s="104"/>
      <c r="BI69" s="78">
        <f t="shared" si="296"/>
        <v>1</v>
      </c>
      <c r="BJ69" s="105"/>
      <c r="BK69" s="105"/>
      <c r="BL69" s="105"/>
      <c r="BM69" s="105"/>
      <c r="BN69" s="105"/>
      <c r="BO69" s="105"/>
      <c r="BP69" s="105"/>
      <c r="BQ69" s="105"/>
      <c r="BR69" s="105"/>
      <c r="BS69" s="105"/>
      <c r="BT69" s="105"/>
      <c r="BU69" s="105"/>
      <c r="BV69" s="105"/>
      <c r="BW69" s="105"/>
      <c r="BX69" s="105"/>
      <c r="BY69" s="105"/>
      <c r="BZ69" s="105"/>
      <c r="CA69" s="105"/>
      <c r="CB69" s="105"/>
      <c r="CC69" s="105"/>
      <c r="CD69" s="105"/>
      <c r="CE69" s="105"/>
      <c r="CF69" s="120"/>
      <c r="CG69" s="128"/>
      <c r="CH69" s="128"/>
      <c r="CI69" s="105"/>
      <c r="CJ69" s="105"/>
      <c r="CK69" s="105"/>
      <c r="CL69" s="105"/>
      <c r="CM69" s="105"/>
      <c r="CN69" s="105"/>
      <c r="CO69" s="105"/>
      <c r="CP69" s="105"/>
      <c r="CQ69" s="105"/>
      <c r="CR69" s="105"/>
      <c r="CS69" s="105"/>
      <c r="CT69" s="105"/>
      <c r="CU69" s="105"/>
      <c r="CV69" s="105"/>
      <c r="CW69" s="105"/>
      <c r="CX69" s="105"/>
      <c r="CY69" s="105"/>
      <c r="CZ69" s="105"/>
      <c r="DA69" s="105"/>
      <c r="DB69" s="105"/>
      <c r="DC69" s="105"/>
      <c r="DD69" s="125"/>
      <c r="DE69" s="125"/>
      <c r="DF69" s="105"/>
      <c r="DG69" s="105"/>
      <c r="DH69" s="105"/>
      <c r="DI69" s="105"/>
      <c r="DJ69" s="79">
        <f t="shared" si="286"/>
        <v>0</v>
      </c>
      <c r="DK69" s="108"/>
      <c r="DL69" s="108"/>
      <c r="DM69" s="108"/>
      <c r="DN69" s="108"/>
      <c r="DO69" s="108"/>
      <c r="DP69" s="108"/>
      <c r="DQ69" s="108"/>
      <c r="DR69" s="108"/>
      <c r="DS69" s="108"/>
      <c r="DT69" s="108"/>
      <c r="DU69" s="108"/>
      <c r="DV69" s="108"/>
      <c r="DW69" s="108"/>
      <c r="DX69" s="108"/>
      <c r="DY69" s="108"/>
      <c r="DZ69" s="108"/>
      <c r="EA69" s="108"/>
      <c r="EB69" s="108"/>
      <c r="EC69" s="108"/>
      <c r="ED69" s="108"/>
      <c r="EE69" s="108"/>
      <c r="EF69" s="108"/>
      <c r="EG69" s="108"/>
      <c r="EH69" s="129"/>
      <c r="EI69" s="129"/>
      <c r="EJ69" s="108"/>
      <c r="EK69" s="108"/>
      <c r="EL69" s="108"/>
      <c r="EM69" s="108"/>
      <c r="EN69" s="108"/>
      <c r="EO69" s="108"/>
      <c r="EP69" s="108"/>
      <c r="EQ69" s="108"/>
      <c r="ER69" s="108"/>
      <c r="ES69" s="106"/>
      <c r="ET69" s="106"/>
      <c r="EU69" s="106"/>
      <c r="EV69" s="106"/>
      <c r="EW69" s="106"/>
      <c r="EX69" s="106"/>
      <c r="EY69" s="106"/>
      <c r="EZ69" s="106"/>
      <c r="FA69" s="106"/>
      <c r="FB69" s="106"/>
      <c r="FC69" s="106"/>
      <c r="FD69" s="106"/>
      <c r="FE69" s="126"/>
      <c r="FF69" s="126"/>
      <c r="FG69" s="106"/>
      <c r="FH69" s="106"/>
      <c r="FI69" s="106"/>
      <c r="FJ69" s="106"/>
      <c r="FK69" s="17">
        <f t="shared" si="280"/>
        <v>0</v>
      </c>
      <c r="FL69" s="18"/>
      <c r="FM69" s="19">
        <f t="shared" si="119"/>
        <v>0</v>
      </c>
      <c r="FN69" s="19">
        <f t="shared" si="120"/>
        <v>0</v>
      </c>
      <c r="FO69" s="19">
        <f t="shared" si="121"/>
        <v>0</v>
      </c>
      <c r="FP69" s="19">
        <f t="shared" si="122"/>
        <v>0</v>
      </c>
      <c r="FQ69" s="19">
        <f t="shared" si="123"/>
        <v>0</v>
      </c>
      <c r="FR69" s="19">
        <f t="shared" si="124"/>
        <v>0</v>
      </c>
      <c r="FS69" s="19">
        <f t="shared" si="125"/>
        <v>0</v>
      </c>
      <c r="FT69" s="19">
        <f t="shared" si="126"/>
        <v>0</v>
      </c>
      <c r="FU69" s="19">
        <f t="shared" si="127"/>
        <v>0</v>
      </c>
      <c r="FV69" s="19">
        <f t="shared" si="128"/>
        <v>0</v>
      </c>
      <c r="FW69" s="19">
        <f t="shared" si="129"/>
        <v>0</v>
      </c>
      <c r="FX69" s="19">
        <f t="shared" si="130"/>
        <v>0</v>
      </c>
      <c r="FY69" s="19">
        <f t="shared" si="131"/>
        <v>0</v>
      </c>
      <c r="FZ69" s="19">
        <f t="shared" si="132"/>
        <v>0</v>
      </c>
      <c r="GA69" s="19">
        <f t="shared" si="133"/>
        <v>0</v>
      </c>
      <c r="GB69" s="19">
        <f t="shared" si="134"/>
        <v>0</v>
      </c>
      <c r="GC69" s="19">
        <f t="shared" si="135"/>
        <v>0</v>
      </c>
      <c r="GD69" s="19">
        <f t="shared" si="136"/>
        <v>0</v>
      </c>
      <c r="GE69" s="19">
        <f t="shared" si="137"/>
        <v>0</v>
      </c>
      <c r="GF69" s="19">
        <f t="shared" si="138"/>
        <v>0</v>
      </c>
      <c r="GG69" s="19">
        <f t="shared" si="139"/>
        <v>0</v>
      </c>
      <c r="GH69" s="19">
        <f t="shared" si="140"/>
        <v>0</v>
      </c>
      <c r="GI69" s="19">
        <f t="shared" si="141"/>
        <v>0</v>
      </c>
      <c r="GJ69" s="19">
        <f t="shared" si="142"/>
        <v>0</v>
      </c>
      <c r="GK69" s="19">
        <f t="shared" si="143"/>
        <v>0</v>
      </c>
      <c r="GL69" s="19">
        <f t="shared" si="144"/>
        <v>0</v>
      </c>
      <c r="GM69" s="19">
        <f t="shared" si="145"/>
        <v>0</v>
      </c>
      <c r="GN69" s="19">
        <f t="shared" si="146"/>
        <v>0</v>
      </c>
      <c r="GO69" s="19">
        <f t="shared" si="147"/>
        <v>0</v>
      </c>
      <c r="GP69" s="19">
        <f t="shared" si="148"/>
        <v>0</v>
      </c>
      <c r="GQ69" s="19">
        <f t="shared" si="149"/>
        <v>0</v>
      </c>
      <c r="GR69" s="19">
        <f t="shared" si="150"/>
        <v>0</v>
      </c>
      <c r="GS69" s="19">
        <f t="shared" si="151"/>
        <v>0</v>
      </c>
      <c r="GT69" s="19">
        <f t="shared" si="152"/>
        <v>0</v>
      </c>
      <c r="GU69" s="19">
        <f t="shared" si="153"/>
        <v>0</v>
      </c>
      <c r="GV69" s="19">
        <f t="shared" si="154"/>
        <v>0</v>
      </c>
      <c r="GW69" s="19">
        <f t="shared" si="155"/>
        <v>0</v>
      </c>
      <c r="GX69" s="19">
        <f t="shared" si="156"/>
        <v>0</v>
      </c>
      <c r="GY69" s="19">
        <f t="shared" si="157"/>
        <v>0</v>
      </c>
      <c r="GZ69" s="19">
        <f t="shared" si="158"/>
        <v>0</v>
      </c>
      <c r="HA69" s="19">
        <f t="shared" si="159"/>
        <v>0</v>
      </c>
      <c r="HB69" s="19">
        <f t="shared" si="160"/>
        <v>0</v>
      </c>
      <c r="HC69" s="19">
        <f t="shared" si="161"/>
        <v>1.4999999999999999E-2</v>
      </c>
      <c r="HD69" s="19">
        <f t="shared" si="162"/>
        <v>0</v>
      </c>
      <c r="HE69" s="19">
        <f t="shared" si="163"/>
        <v>0</v>
      </c>
      <c r="HF69" s="19">
        <f t="shared" si="164"/>
        <v>0.74249999999999994</v>
      </c>
      <c r="HG69" s="19">
        <f t="shared" si="165"/>
        <v>0.74249999999999994</v>
      </c>
      <c r="HH69" s="19">
        <f t="shared" si="166"/>
        <v>0</v>
      </c>
      <c r="HI69" s="19">
        <f t="shared" si="167"/>
        <v>0</v>
      </c>
      <c r="HJ69" s="19">
        <f t="shared" si="168"/>
        <v>0</v>
      </c>
      <c r="HK69" s="19">
        <f t="shared" si="169"/>
        <v>0</v>
      </c>
      <c r="HL69" s="19">
        <f t="shared" si="170"/>
        <v>0</v>
      </c>
      <c r="HM69" s="20">
        <f t="shared" si="171"/>
        <v>1.5</v>
      </c>
      <c r="HN69" s="53">
        <v>612</v>
      </c>
      <c r="HO69" s="21">
        <f t="shared" si="172"/>
        <v>0</v>
      </c>
      <c r="HP69" s="21">
        <f t="shared" si="173"/>
        <v>0</v>
      </c>
      <c r="HQ69" s="21">
        <f t="shared" si="174"/>
        <v>0</v>
      </c>
      <c r="HR69" s="21">
        <f t="shared" si="175"/>
        <v>0</v>
      </c>
      <c r="HS69" s="21">
        <f t="shared" si="176"/>
        <v>0</v>
      </c>
      <c r="HT69" s="69">
        <f t="shared" si="177"/>
        <v>0</v>
      </c>
      <c r="HU69" s="21">
        <f t="shared" si="178"/>
        <v>0</v>
      </c>
      <c r="HV69" s="21">
        <f t="shared" si="179"/>
        <v>0</v>
      </c>
      <c r="HW69" s="21">
        <f t="shared" si="180"/>
        <v>0</v>
      </c>
      <c r="HX69" s="21">
        <f t="shared" si="181"/>
        <v>0</v>
      </c>
      <c r="HY69" s="21">
        <f t="shared" si="182"/>
        <v>0</v>
      </c>
      <c r="HZ69" s="21">
        <f t="shared" si="183"/>
        <v>0</v>
      </c>
      <c r="IA69" s="21">
        <f t="shared" si="184"/>
        <v>0</v>
      </c>
      <c r="IB69" s="21">
        <f t="shared" si="185"/>
        <v>0</v>
      </c>
      <c r="IC69" s="21">
        <f t="shared" si="186"/>
        <v>0</v>
      </c>
      <c r="ID69" s="21">
        <f t="shared" si="187"/>
        <v>0</v>
      </c>
      <c r="IE69" s="21">
        <f t="shared" si="188"/>
        <v>0</v>
      </c>
      <c r="IF69" s="69">
        <f t="shared" si="189"/>
        <v>0</v>
      </c>
      <c r="IG69" s="69">
        <f t="shared" si="190"/>
        <v>0</v>
      </c>
      <c r="IH69" s="69">
        <f t="shared" si="191"/>
        <v>0</v>
      </c>
      <c r="II69" s="21">
        <f t="shared" si="192"/>
        <v>0</v>
      </c>
      <c r="IJ69" s="21">
        <f t="shared" si="193"/>
        <v>0</v>
      </c>
      <c r="IK69" s="21">
        <f t="shared" si="194"/>
        <v>0</v>
      </c>
      <c r="IL69" s="21">
        <f t="shared" si="195"/>
        <v>0</v>
      </c>
      <c r="IM69" s="21">
        <f t="shared" si="196"/>
        <v>0</v>
      </c>
      <c r="IN69" s="21">
        <f t="shared" si="197"/>
        <v>0</v>
      </c>
      <c r="IO69" s="21">
        <f t="shared" si="198"/>
        <v>0</v>
      </c>
      <c r="IP69" s="21">
        <f t="shared" si="199"/>
        <v>0</v>
      </c>
      <c r="IQ69" s="21">
        <f t="shared" si="200"/>
        <v>0</v>
      </c>
      <c r="IR69" s="21">
        <f t="shared" si="201"/>
        <v>0</v>
      </c>
      <c r="IS69" s="21">
        <f t="shared" si="202"/>
        <v>0</v>
      </c>
      <c r="IT69" s="21">
        <f t="shared" si="203"/>
        <v>0</v>
      </c>
      <c r="IU69" s="21">
        <f t="shared" si="204"/>
        <v>0</v>
      </c>
      <c r="IV69" s="21">
        <f t="shared" si="205"/>
        <v>0</v>
      </c>
      <c r="IW69" s="21">
        <f t="shared" si="206"/>
        <v>0</v>
      </c>
      <c r="IX69" s="21">
        <f t="shared" si="207"/>
        <v>0</v>
      </c>
      <c r="IY69" s="21">
        <f t="shared" si="208"/>
        <v>0</v>
      </c>
      <c r="IZ69" s="21">
        <f t="shared" si="209"/>
        <v>0</v>
      </c>
      <c r="JA69" s="21">
        <f t="shared" si="210"/>
        <v>0</v>
      </c>
      <c r="JB69" s="21">
        <f t="shared" si="211"/>
        <v>0</v>
      </c>
      <c r="JC69" s="21">
        <f t="shared" si="212"/>
        <v>0</v>
      </c>
      <c r="JD69" s="21">
        <f t="shared" si="213"/>
        <v>0</v>
      </c>
      <c r="JE69" s="21">
        <f t="shared" si="214"/>
        <v>6.12</v>
      </c>
      <c r="JF69" s="21">
        <f t="shared" si="215"/>
        <v>0</v>
      </c>
      <c r="JG69" s="21">
        <f t="shared" si="216"/>
        <v>0</v>
      </c>
      <c r="JH69" s="21">
        <f t="shared" si="217"/>
        <v>302.94</v>
      </c>
      <c r="JI69" s="21">
        <f t="shared" si="218"/>
        <v>302.94</v>
      </c>
      <c r="JJ69" s="21">
        <f t="shared" si="219"/>
        <v>0</v>
      </c>
      <c r="JK69" s="21">
        <f t="shared" si="220"/>
        <v>0</v>
      </c>
      <c r="JL69" s="21">
        <f t="shared" si="221"/>
        <v>0</v>
      </c>
      <c r="JM69" s="21">
        <f t="shared" si="222"/>
        <v>0</v>
      </c>
      <c r="JN69" s="21">
        <f t="shared" si="223"/>
        <v>0</v>
      </c>
      <c r="JO69" s="35">
        <f t="shared" si="287"/>
        <v>612</v>
      </c>
      <c r="JP69" s="38">
        <f t="shared" si="288"/>
        <v>0</v>
      </c>
      <c r="JQ69" s="43">
        <f t="shared" si="224"/>
        <v>0</v>
      </c>
      <c r="JR69" s="43">
        <f t="shared" si="225"/>
        <v>0</v>
      </c>
      <c r="JS69" s="43">
        <f t="shared" si="226"/>
        <v>0</v>
      </c>
      <c r="JT69" s="43">
        <f t="shared" si="227"/>
        <v>0</v>
      </c>
      <c r="JU69" s="43">
        <f t="shared" si="228"/>
        <v>0</v>
      </c>
      <c r="JV69" s="43">
        <f t="shared" si="229"/>
        <v>0</v>
      </c>
      <c r="JW69" s="43">
        <f t="shared" si="230"/>
        <v>0</v>
      </c>
      <c r="JX69" s="43">
        <f t="shared" si="231"/>
        <v>0</v>
      </c>
      <c r="JY69" s="43">
        <f t="shared" si="232"/>
        <v>0</v>
      </c>
      <c r="JZ69" s="43">
        <f t="shared" si="233"/>
        <v>0</v>
      </c>
      <c r="KA69" s="43">
        <f t="shared" si="234"/>
        <v>0</v>
      </c>
      <c r="KB69" s="43">
        <f t="shared" si="235"/>
        <v>0</v>
      </c>
      <c r="KC69" s="43">
        <f t="shared" si="236"/>
        <v>0</v>
      </c>
      <c r="KD69" s="43">
        <f t="shared" si="237"/>
        <v>0</v>
      </c>
      <c r="KE69" s="43">
        <f t="shared" si="238"/>
        <v>0</v>
      </c>
      <c r="KF69" s="43">
        <f t="shared" si="239"/>
        <v>0</v>
      </c>
      <c r="KG69" s="43">
        <f t="shared" si="240"/>
        <v>0</v>
      </c>
      <c r="KH69" s="43">
        <f t="shared" si="241"/>
        <v>0</v>
      </c>
      <c r="KI69" s="43">
        <f t="shared" si="242"/>
        <v>0</v>
      </c>
      <c r="KJ69" s="43">
        <f t="shared" si="243"/>
        <v>0</v>
      </c>
      <c r="KK69" s="43">
        <f t="shared" si="244"/>
        <v>0</v>
      </c>
      <c r="KL69" s="43">
        <f t="shared" si="245"/>
        <v>0</v>
      </c>
      <c r="KM69" s="43">
        <f t="shared" si="246"/>
        <v>0</v>
      </c>
      <c r="KN69" s="43">
        <f t="shared" si="247"/>
        <v>0</v>
      </c>
      <c r="KO69" s="43">
        <f t="shared" si="248"/>
        <v>0</v>
      </c>
      <c r="KP69" s="43">
        <f t="shared" si="249"/>
        <v>0</v>
      </c>
      <c r="KQ69" s="43">
        <f t="shared" si="250"/>
        <v>0</v>
      </c>
      <c r="KR69" s="43">
        <f t="shared" si="251"/>
        <v>0</v>
      </c>
      <c r="KS69" s="43">
        <f t="shared" si="252"/>
        <v>0</v>
      </c>
      <c r="KT69" s="43">
        <f t="shared" si="253"/>
        <v>0</v>
      </c>
      <c r="KU69" s="43">
        <f t="shared" si="254"/>
        <v>0</v>
      </c>
      <c r="KV69" s="43">
        <f t="shared" si="255"/>
        <v>0</v>
      </c>
      <c r="KW69" s="43">
        <f t="shared" si="256"/>
        <v>0</v>
      </c>
      <c r="KX69" s="43">
        <f t="shared" si="257"/>
        <v>0</v>
      </c>
      <c r="KY69" s="43">
        <f t="shared" si="258"/>
        <v>0</v>
      </c>
      <c r="KZ69" s="43">
        <f t="shared" si="259"/>
        <v>0</v>
      </c>
      <c r="LA69" s="43">
        <f t="shared" si="260"/>
        <v>0</v>
      </c>
      <c r="LB69" s="43">
        <f t="shared" si="261"/>
        <v>0</v>
      </c>
      <c r="LC69" s="43">
        <f t="shared" si="262"/>
        <v>0</v>
      </c>
      <c r="LD69" s="43">
        <f t="shared" si="263"/>
        <v>0</v>
      </c>
      <c r="LE69" s="43">
        <f t="shared" si="264"/>
        <v>0</v>
      </c>
      <c r="LF69" s="43">
        <f t="shared" si="265"/>
        <v>0</v>
      </c>
      <c r="LG69" s="43">
        <f t="shared" si="266"/>
        <v>63.1584</v>
      </c>
      <c r="LH69" s="43">
        <f t="shared" si="267"/>
        <v>0</v>
      </c>
      <c r="LI69" s="43">
        <f t="shared" si="268"/>
        <v>0</v>
      </c>
      <c r="LJ69" s="43">
        <f t="shared" si="269"/>
        <v>1458.8257464000001</v>
      </c>
      <c r="LK69" s="43">
        <f t="shared" si="270"/>
        <v>1213.5019050000001</v>
      </c>
      <c r="LL69" s="43">
        <f t="shared" si="271"/>
        <v>0</v>
      </c>
      <c r="LM69" s="43">
        <f t="shared" si="272"/>
        <v>0</v>
      </c>
      <c r="LN69" s="43">
        <f t="shared" si="273"/>
        <v>0</v>
      </c>
      <c r="LO69" s="43">
        <f t="shared" si="274"/>
        <v>0</v>
      </c>
      <c r="LP69" s="43">
        <f t="shared" si="275"/>
        <v>0</v>
      </c>
      <c r="LQ69" s="28">
        <f t="shared" si="289"/>
        <v>2735.4860514000002</v>
      </c>
      <c r="LR69" s="65">
        <v>588</v>
      </c>
      <c r="LS69" s="32">
        <f t="shared" si="281"/>
        <v>4.652187162244898</v>
      </c>
      <c r="LT69" s="26">
        <f t="shared" si="282"/>
        <v>1.2710893885915022</v>
      </c>
      <c r="LU69" s="31">
        <f t="shared" si="290"/>
        <v>24</v>
      </c>
      <c r="LW69" s="42"/>
      <c r="MA69" s="32">
        <f t="shared" si="291"/>
        <v>4.46974845</v>
      </c>
      <c r="MB69" s="26">
        <f t="shared" si="283"/>
        <v>1.2212427459016393</v>
      </c>
    </row>
    <row r="70" spans="1:340" ht="15.75" thickBot="1">
      <c r="A70" t="b">
        <f t="shared" si="285"/>
        <v>1</v>
      </c>
      <c r="B70" s="123" t="s">
        <v>221</v>
      </c>
      <c r="C70" s="39" t="s">
        <v>78</v>
      </c>
      <c r="D70"/>
      <c r="E70" s="97">
        <v>46032</v>
      </c>
      <c r="F70" t="s">
        <v>43</v>
      </c>
      <c r="G70" t="s">
        <v>19</v>
      </c>
      <c r="H70" t="s">
        <v>27</v>
      </c>
      <c r="I70" s="77"/>
      <c r="J70" s="77"/>
      <c r="K70" s="77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24"/>
      <c r="AG70" s="124"/>
      <c r="AH70" s="104"/>
      <c r="AI70" s="104"/>
      <c r="AJ70" s="22"/>
      <c r="AK70" s="22"/>
      <c r="AL70" s="22"/>
      <c r="AM70" s="22"/>
      <c r="AN70" s="22"/>
      <c r="AO70" s="104"/>
      <c r="AP70" s="22"/>
      <c r="AQ70" s="22"/>
      <c r="AR70" s="22"/>
      <c r="AS70" s="22"/>
      <c r="AT70" s="22"/>
      <c r="AU70" s="22"/>
      <c r="AV70" s="22"/>
      <c r="AW70" s="22"/>
      <c r="AX70" s="22"/>
      <c r="AY70" s="22">
        <v>0.01</v>
      </c>
      <c r="AZ70" s="104"/>
      <c r="BA70" s="104"/>
      <c r="BB70" s="104">
        <v>0.495</v>
      </c>
      <c r="BC70" s="124">
        <v>0.495</v>
      </c>
      <c r="BD70" s="124"/>
      <c r="BE70" s="104"/>
      <c r="BF70" s="104"/>
      <c r="BG70" s="104"/>
      <c r="BH70" s="104"/>
      <c r="BI70" s="78">
        <f t="shared" si="296"/>
        <v>1</v>
      </c>
      <c r="BJ70" s="105"/>
      <c r="BK70" s="105"/>
      <c r="BL70" s="105"/>
      <c r="BM70" s="105"/>
      <c r="BN70" s="105"/>
      <c r="BO70" s="105"/>
      <c r="BP70" s="105"/>
      <c r="BQ70" s="105"/>
      <c r="BR70" s="105"/>
      <c r="BS70" s="105"/>
      <c r="BT70" s="105"/>
      <c r="BU70" s="105"/>
      <c r="BV70" s="105"/>
      <c r="BW70" s="105"/>
      <c r="BX70" s="105"/>
      <c r="BY70" s="105"/>
      <c r="BZ70" s="105"/>
      <c r="CA70" s="105"/>
      <c r="CB70" s="105"/>
      <c r="CC70" s="105"/>
      <c r="CD70" s="105"/>
      <c r="CE70" s="105"/>
      <c r="CF70" s="120"/>
      <c r="CG70" s="128"/>
      <c r="CH70" s="128"/>
      <c r="CI70" s="105"/>
      <c r="CJ70" s="23"/>
      <c r="CK70" s="23"/>
      <c r="CL70" s="105"/>
      <c r="CM70" s="105"/>
      <c r="CN70" s="105"/>
      <c r="CO70" s="105"/>
      <c r="CP70" s="105"/>
      <c r="CQ70" s="105"/>
      <c r="CR70" s="105"/>
      <c r="CS70" s="105"/>
      <c r="CT70" s="105"/>
      <c r="CU70" s="105"/>
      <c r="CV70" s="105"/>
      <c r="CW70" s="105"/>
      <c r="CX70" s="105"/>
      <c r="CY70" s="105"/>
      <c r="CZ70" s="105"/>
      <c r="DA70" s="105"/>
      <c r="DB70" s="105"/>
      <c r="DC70" s="105"/>
      <c r="DD70" s="125"/>
      <c r="DE70" s="125"/>
      <c r="DF70" s="105"/>
      <c r="DG70" s="105"/>
      <c r="DH70" s="105"/>
      <c r="DI70" s="105"/>
      <c r="DJ70" s="79">
        <f t="shared" si="286"/>
        <v>0</v>
      </c>
      <c r="DK70" s="108"/>
      <c r="DL70" s="108"/>
      <c r="DM70" s="108"/>
      <c r="DN70" s="108"/>
      <c r="DO70" s="108"/>
      <c r="DP70" s="108"/>
      <c r="DQ70" s="108"/>
      <c r="DR70" s="108"/>
      <c r="DS70" s="24"/>
      <c r="DT70" s="108"/>
      <c r="DU70" s="108"/>
      <c r="DV70" s="108"/>
      <c r="DW70" s="108"/>
      <c r="DX70" s="108"/>
      <c r="DY70" s="108"/>
      <c r="DZ70" s="108"/>
      <c r="EA70" s="24"/>
      <c r="EB70" s="108"/>
      <c r="EC70" s="108"/>
      <c r="ED70" s="108"/>
      <c r="EE70" s="108"/>
      <c r="EF70" s="108"/>
      <c r="EG70" s="108"/>
      <c r="EH70" s="129"/>
      <c r="EI70" s="129"/>
      <c r="EJ70" s="108"/>
      <c r="EK70" s="108"/>
      <c r="EL70" s="108"/>
      <c r="EM70" s="108"/>
      <c r="EN70" s="108"/>
      <c r="EO70" s="108"/>
      <c r="EP70" s="108"/>
      <c r="EQ70" s="108"/>
      <c r="ER70" s="108"/>
      <c r="ES70" s="106"/>
      <c r="ET70" s="106"/>
      <c r="EU70" s="25"/>
      <c r="EV70" s="25"/>
      <c r="EW70" s="106"/>
      <c r="EX70" s="106"/>
      <c r="EY70" s="106"/>
      <c r="EZ70" s="106"/>
      <c r="FA70" s="25"/>
      <c r="FB70" s="106"/>
      <c r="FC70" s="106"/>
      <c r="FD70" s="106"/>
      <c r="FE70" s="126"/>
      <c r="FF70" s="126"/>
      <c r="FG70" s="106"/>
      <c r="FH70" s="106"/>
      <c r="FI70" s="106"/>
      <c r="FJ70" s="25"/>
      <c r="FK70" s="17">
        <f t="shared" si="280"/>
        <v>0</v>
      </c>
      <c r="FL70" s="18"/>
      <c r="FM70" s="19">
        <f t="shared" si="119"/>
        <v>0</v>
      </c>
      <c r="FN70" s="19">
        <f t="shared" si="120"/>
        <v>0</v>
      </c>
      <c r="FO70" s="19">
        <f t="shared" si="121"/>
        <v>0</v>
      </c>
      <c r="FP70" s="19">
        <f t="shared" si="122"/>
        <v>0</v>
      </c>
      <c r="FQ70" s="19">
        <f t="shared" si="123"/>
        <v>0</v>
      </c>
      <c r="FR70" s="19">
        <f t="shared" si="124"/>
        <v>0</v>
      </c>
      <c r="FS70" s="19">
        <f t="shared" si="125"/>
        <v>0</v>
      </c>
      <c r="FT70" s="19">
        <f t="shared" si="126"/>
        <v>0</v>
      </c>
      <c r="FU70" s="19">
        <f t="shared" si="127"/>
        <v>0</v>
      </c>
      <c r="FV70" s="19">
        <f t="shared" si="128"/>
        <v>0</v>
      </c>
      <c r="FW70" s="19">
        <f t="shared" si="129"/>
        <v>0</v>
      </c>
      <c r="FX70" s="19">
        <f t="shared" si="130"/>
        <v>0</v>
      </c>
      <c r="FY70" s="19">
        <f t="shared" si="131"/>
        <v>0</v>
      </c>
      <c r="FZ70" s="19">
        <f t="shared" si="132"/>
        <v>0</v>
      </c>
      <c r="GA70" s="19">
        <f t="shared" si="133"/>
        <v>0</v>
      </c>
      <c r="GB70" s="19">
        <f t="shared" si="134"/>
        <v>0</v>
      </c>
      <c r="GC70" s="19">
        <f t="shared" si="135"/>
        <v>0</v>
      </c>
      <c r="GD70" s="19">
        <f t="shared" si="136"/>
        <v>0</v>
      </c>
      <c r="GE70" s="19">
        <f t="shared" si="137"/>
        <v>0</v>
      </c>
      <c r="GF70" s="19">
        <f t="shared" si="138"/>
        <v>0</v>
      </c>
      <c r="GG70" s="19">
        <f t="shared" si="139"/>
        <v>0</v>
      </c>
      <c r="GH70" s="19">
        <f t="shared" si="140"/>
        <v>0</v>
      </c>
      <c r="GI70" s="19">
        <f t="shared" si="141"/>
        <v>0</v>
      </c>
      <c r="GJ70" s="19">
        <f t="shared" si="142"/>
        <v>0</v>
      </c>
      <c r="GK70" s="19">
        <f t="shared" si="143"/>
        <v>0</v>
      </c>
      <c r="GL70" s="19">
        <f t="shared" si="144"/>
        <v>0</v>
      </c>
      <c r="GM70" s="19">
        <f t="shared" si="145"/>
        <v>0</v>
      </c>
      <c r="GN70" s="19">
        <f t="shared" si="146"/>
        <v>0</v>
      </c>
      <c r="GO70" s="19">
        <f t="shared" si="147"/>
        <v>0</v>
      </c>
      <c r="GP70" s="19">
        <f t="shared" si="148"/>
        <v>0</v>
      </c>
      <c r="GQ70" s="19">
        <f t="shared" si="149"/>
        <v>0</v>
      </c>
      <c r="GR70" s="19">
        <f t="shared" si="150"/>
        <v>0</v>
      </c>
      <c r="GS70" s="19">
        <f t="shared" si="151"/>
        <v>0</v>
      </c>
      <c r="GT70" s="19">
        <f t="shared" si="152"/>
        <v>0</v>
      </c>
      <c r="GU70" s="19">
        <f t="shared" si="153"/>
        <v>0</v>
      </c>
      <c r="GV70" s="19">
        <f t="shared" si="154"/>
        <v>0</v>
      </c>
      <c r="GW70" s="19">
        <f t="shared" si="155"/>
        <v>0</v>
      </c>
      <c r="GX70" s="19">
        <f t="shared" si="156"/>
        <v>0</v>
      </c>
      <c r="GY70" s="19">
        <f t="shared" si="157"/>
        <v>0</v>
      </c>
      <c r="GZ70" s="19">
        <f t="shared" si="158"/>
        <v>0</v>
      </c>
      <c r="HA70" s="19">
        <f t="shared" si="159"/>
        <v>0</v>
      </c>
      <c r="HB70" s="19">
        <f t="shared" si="160"/>
        <v>0</v>
      </c>
      <c r="HC70" s="19">
        <f t="shared" si="161"/>
        <v>1.4999999999999999E-2</v>
      </c>
      <c r="HD70" s="19">
        <f t="shared" si="162"/>
        <v>0</v>
      </c>
      <c r="HE70" s="19">
        <f t="shared" si="163"/>
        <v>0</v>
      </c>
      <c r="HF70" s="19">
        <f t="shared" si="164"/>
        <v>0.74249999999999994</v>
      </c>
      <c r="HG70" s="19">
        <f t="shared" si="165"/>
        <v>0.74249999999999994</v>
      </c>
      <c r="HH70" s="19">
        <f t="shared" si="166"/>
        <v>0</v>
      </c>
      <c r="HI70" s="19">
        <f t="shared" si="167"/>
        <v>0</v>
      </c>
      <c r="HJ70" s="19">
        <f t="shared" si="168"/>
        <v>0</v>
      </c>
      <c r="HK70" s="19">
        <f t="shared" si="169"/>
        <v>0</v>
      </c>
      <c r="HL70" s="19">
        <f t="shared" si="170"/>
        <v>0</v>
      </c>
      <c r="HM70" s="20">
        <f t="shared" si="171"/>
        <v>1.5</v>
      </c>
      <c r="HN70" s="53">
        <v>860</v>
      </c>
      <c r="HO70" s="21">
        <f t="shared" si="172"/>
        <v>0</v>
      </c>
      <c r="HP70" s="21">
        <f t="shared" si="173"/>
        <v>0</v>
      </c>
      <c r="HQ70" s="21">
        <f t="shared" si="174"/>
        <v>0</v>
      </c>
      <c r="HR70" s="21">
        <f t="shared" si="175"/>
        <v>0</v>
      </c>
      <c r="HS70" s="21">
        <f t="shared" si="176"/>
        <v>0</v>
      </c>
      <c r="HT70" s="69">
        <f t="shared" si="177"/>
        <v>0</v>
      </c>
      <c r="HU70" s="21">
        <f t="shared" si="178"/>
        <v>0</v>
      </c>
      <c r="HV70" s="21">
        <f t="shared" si="179"/>
        <v>0</v>
      </c>
      <c r="HW70" s="21">
        <f t="shared" si="180"/>
        <v>0</v>
      </c>
      <c r="HX70" s="21">
        <f t="shared" si="181"/>
        <v>0</v>
      </c>
      <c r="HY70" s="21">
        <f t="shared" si="182"/>
        <v>0</v>
      </c>
      <c r="HZ70" s="21">
        <f t="shared" si="183"/>
        <v>0</v>
      </c>
      <c r="IA70" s="21">
        <f t="shared" si="184"/>
        <v>0</v>
      </c>
      <c r="IB70" s="21">
        <f t="shared" si="185"/>
        <v>0</v>
      </c>
      <c r="IC70" s="21">
        <f t="shared" si="186"/>
        <v>0</v>
      </c>
      <c r="ID70" s="21">
        <f t="shared" si="187"/>
        <v>0</v>
      </c>
      <c r="IE70" s="21">
        <f t="shared" si="188"/>
        <v>0</v>
      </c>
      <c r="IF70" s="69">
        <f t="shared" si="189"/>
        <v>0</v>
      </c>
      <c r="IG70" s="69">
        <f t="shared" si="190"/>
        <v>0</v>
      </c>
      <c r="IH70" s="69">
        <f t="shared" si="191"/>
        <v>0</v>
      </c>
      <c r="II70" s="21">
        <f t="shared" si="192"/>
        <v>0</v>
      </c>
      <c r="IJ70" s="21">
        <f t="shared" si="193"/>
        <v>0</v>
      </c>
      <c r="IK70" s="21">
        <f t="shared" si="194"/>
        <v>0</v>
      </c>
      <c r="IL70" s="21">
        <f t="shared" si="195"/>
        <v>0</v>
      </c>
      <c r="IM70" s="21">
        <f t="shared" si="196"/>
        <v>0</v>
      </c>
      <c r="IN70" s="21">
        <f t="shared" si="197"/>
        <v>0</v>
      </c>
      <c r="IO70" s="21">
        <f t="shared" si="198"/>
        <v>0</v>
      </c>
      <c r="IP70" s="21">
        <f t="shared" si="199"/>
        <v>0</v>
      </c>
      <c r="IQ70" s="21">
        <f t="shared" si="200"/>
        <v>0</v>
      </c>
      <c r="IR70" s="21">
        <f t="shared" si="201"/>
        <v>0</v>
      </c>
      <c r="IS70" s="21">
        <f t="shared" si="202"/>
        <v>0</v>
      </c>
      <c r="IT70" s="21">
        <f t="shared" si="203"/>
        <v>0</v>
      </c>
      <c r="IU70" s="21">
        <f t="shared" si="204"/>
        <v>0</v>
      </c>
      <c r="IV70" s="21">
        <f t="shared" si="205"/>
        <v>0</v>
      </c>
      <c r="IW70" s="21">
        <f t="shared" si="206"/>
        <v>0</v>
      </c>
      <c r="IX70" s="21">
        <f t="shared" si="207"/>
        <v>0</v>
      </c>
      <c r="IY70" s="21">
        <f t="shared" si="208"/>
        <v>0</v>
      </c>
      <c r="IZ70" s="21">
        <f t="shared" si="209"/>
        <v>0</v>
      </c>
      <c r="JA70" s="21">
        <f t="shared" si="210"/>
        <v>0</v>
      </c>
      <c r="JB70" s="21">
        <f t="shared" si="211"/>
        <v>0</v>
      </c>
      <c r="JC70" s="21">
        <f t="shared" si="212"/>
        <v>0</v>
      </c>
      <c r="JD70" s="21">
        <f t="shared" si="213"/>
        <v>0</v>
      </c>
      <c r="JE70" s="21">
        <f t="shared" si="214"/>
        <v>8.6</v>
      </c>
      <c r="JF70" s="21">
        <f t="shared" si="215"/>
        <v>0</v>
      </c>
      <c r="JG70" s="21">
        <f t="shared" si="216"/>
        <v>0</v>
      </c>
      <c r="JH70" s="21">
        <f t="shared" si="217"/>
        <v>425.7</v>
      </c>
      <c r="JI70" s="21">
        <f t="shared" si="218"/>
        <v>425.7</v>
      </c>
      <c r="JJ70" s="21">
        <f t="shared" si="219"/>
        <v>0</v>
      </c>
      <c r="JK70" s="21">
        <f t="shared" si="220"/>
        <v>0</v>
      </c>
      <c r="JL70" s="21">
        <f t="shared" si="221"/>
        <v>0</v>
      </c>
      <c r="JM70" s="21">
        <f t="shared" si="222"/>
        <v>0</v>
      </c>
      <c r="JN70" s="21">
        <f t="shared" si="223"/>
        <v>0</v>
      </c>
      <c r="JO70" s="35">
        <f t="shared" si="287"/>
        <v>860</v>
      </c>
      <c r="JP70" s="38">
        <f t="shared" si="288"/>
        <v>0</v>
      </c>
      <c r="JQ70" s="43">
        <f t="shared" si="224"/>
        <v>0</v>
      </c>
      <c r="JR70" s="43">
        <f t="shared" si="225"/>
        <v>0</v>
      </c>
      <c r="JS70" s="43">
        <f t="shared" si="226"/>
        <v>0</v>
      </c>
      <c r="JT70" s="43">
        <f t="shared" si="227"/>
        <v>0</v>
      </c>
      <c r="JU70" s="43">
        <f t="shared" si="228"/>
        <v>0</v>
      </c>
      <c r="JV70" s="43">
        <f t="shared" si="229"/>
        <v>0</v>
      </c>
      <c r="JW70" s="43">
        <f t="shared" si="230"/>
        <v>0</v>
      </c>
      <c r="JX70" s="43">
        <f t="shared" si="231"/>
        <v>0</v>
      </c>
      <c r="JY70" s="43">
        <f t="shared" si="232"/>
        <v>0</v>
      </c>
      <c r="JZ70" s="43">
        <f t="shared" si="233"/>
        <v>0</v>
      </c>
      <c r="KA70" s="43">
        <f t="shared" si="234"/>
        <v>0</v>
      </c>
      <c r="KB70" s="43">
        <f t="shared" si="235"/>
        <v>0</v>
      </c>
      <c r="KC70" s="43">
        <f t="shared" si="236"/>
        <v>0</v>
      </c>
      <c r="KD70" s="43">
        <f t="shared" si="237"/>
        <v>0</v>
      </c>
      <c r="KE70" s="43">
        <f t="shared" si="238"/>
        <v>0</v>
      </c>
      <c r="KF70" s="43">
        <f t="shared" si="239"/>
        <v>0</v>
      </c>
      <c r="KG70" s="43">
        <f t="shared" si="240"/>
        <v>0</v>
      </c>
      <c r="KH70" s="43">
        <f t="shared" si="241"/>
        <v>0</v>
      </c>
      <c r="KI70" s="43">
        <f t="shared" si="242"/>
        <v>0</v>
      </c>
      <c r="KJ70" s="43">
        <f t="shared" si="243"/>
        <v>0</v>
      </c>
      <c r="KK70" s="43">
        <f t="shared" si="244"/>
        <v>0</v>
      </c>
      <c r="KL70" s="43">
        <f t="shared" si="245"/>
        <v>0</v>
      </c>
      <c r="KM70" s="43">
        <f t="shared" si="246"/>
        <v>0</v>
      </c>
      <c r="KN70" s="43">
        <f t="shared" si="247"/>
        <v>0</v>
      </c>
      <c r="KO70" s="43">
        <f t="shared" si="248"/>
        <v>0</v>
      </c>
      <c r="KP70" s="43">
        <f t="shared" si="249"/>
        <v>0</v>
      </c>
      <c r="KQ70" s="43">
        <f t="shared" si="250"/>
        <v>0</v>
      </c>
      <c r="KR70" s="43">
        <f t="shared" si="251"/>
        <v>0</v>
      </c>
      <c r="KS70" s="43">
        <f t="shared" si="252"/>
        <v>0</v>
      </c>
      <c r="KT70" s="43">
        <f t="shared" si="253"/>
        <v>0</v>
      </c>
      <c r="KU70" s="43">
        <f t="shared" si="254"/>
        <v>0</v>
      </c>
      <c r="KV70" s="43">
        <f t="shared" si="255"/>
        <v>0</v>
      </c>
      <c r="KW70" s="43">
        <f t="shared" si="256"/>
        <v>0</v>
      </c>
      <c r="KX70" s="43">
        <f t="shared" si="257"/>
        <v>0</v>
      </c>
      <c r="KY70" s="43">
        <f t="shared" si="258"/>
        <v>0</v>
      </c>
      <c r="KZ70" s="43">
        <f t="shared" si="259"/>
        <v>0</v>
      </c>
      <c r="LA70" s="43">
        <f t="shared" si="260"/>
        <v>0</v>
      </c>
      <c r="LB70" s="43">
        <f t="shared" si="261"/>
        <v>0</v>
      </c>
      <c r="LC70" s="43">
        <f t="shared" si="262"/>
        <v>0</v>
      </c>
      <c r="LD70" s="43">
        <f t="shared" si="263"/>
        <v>0</v>
      </c>
      <c r="LE70" s="43">
        <f t="shared" si="264"/>
        <v>0</v>
      </c>
      <c r="LF70" s="43">
        <f t="shared" si="265"/>
        <v>0</v>
      </c>
      <c r="LG70" s="43">
        <f t="shared" si="266"/>
        <v>88.751999999999995</v>
      </c>
      <c r="LH70" s="43">
        <f t="shared" si="267"/>
        <v>0</v>
      </c>
      <c r="LI70" s="43">
        <f t="shared" si="268"/>
        <v>0</v>
      </c>
      <c r="LJ70" s="43">
        <f t="shared" si="269"/>
        <v>2049.9838920000002</v>
      </c>
      <c r="LK70" s="43">
        <f t="shared" si="270"/>
        <v>1705.2477749999998</v>
      </c>
      <c r="LL70" s="43">
        <f t="shared" si="271"/>
        <v>0</v>
      </c>
      <c r="LM70" s="43">
        <f t="shared" si="272"/>
        <v>0</v>
      </c>
      <c r="LN70" s="43">
        <f t="shared" si="273"/>
        <v>0</v>
      </c>
      <c r="LO70" s="43">
        <f t="shared" si="274"/>
        <v>0</v>
      </c>
      <c r="LP70" s="43">
        <f t="shared" si="275"/>
        <v>0</v>
      </c>
      <c r="LQ70" s="28">
        <f t="shared" si="289"/>
        <v>3843.983667</v>
      </c>
      <c r="LR70" s="65">
        <v>812</v>
      </c>
      <c r="LS70" s="32">
        <f t="shared" si="281"/>
        <v>4.7339700332512313</v>
      </c>
      <c r="LT70" s="26">
        <f t="shared" si="282"/>
        <v>1.2934344353145439</v>
      </c>
      <c r="LU70" s="31">
        <f t="shared" si="290"/>
        <v>48</v>
      </c>
      <c r="LW70" s="42"/>
      <c r="MA70" s="32">
        <f t="shared" si="291"/>
        <v>4.46974845</v>
      </c>
      <c r="MB70" s="26">
        <f t="shared" si="283"/>
        <v>1.2212427459016393</v>
      </c>
    </row>
    <row r="71" spans="1:340" ht="15.75" thickBot="1">
      <c r="A71" t="b">
        <f t="shared" si="285"/>
        <v>1</v>
      </c>
      <c r="B71" s="123" t="s">
        <v>222</v>
      </c>
      <c r="C71" s="39" t="s">
        <v>223</v>
      </c>
      <c r="D71"/>
      <c r="E71" s="97">
        <v>46037</v>
      </c>
      <c r="F71" t="s">
        <v>43</v>
      </c>
      <c r="G71" t="s">
        <v>20</v>
      </c>
      <c r="H71" t="s">
        <v>27</v>
      </c>
      <c r="I71" s="77"/>
      <c r="J71" s="77"/>
      <c r="K71" s="77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24"/>
      <c r="AG71" s="124"/>
      <c r="AH71" s="104"/>
      <c r="AI71" s="22"/>
      <c r="AJ71" s="104">
        <v>0.4</v>
      </c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24">
        <v>0.6</v>
      </c>
      <c r="BD71" s="124"/>
      <c r="BE71" s="104"/>
      <c r="BF71" s="104"/>
      <c r="BG71" s="104"/>
      <c r="BH71" s="104"/>
      <c r="BI71" s="78">
        <f t="shared" si="296"/>
        <v>1</v>
      </c>
      <c r="BJ71" s="105"/>
      <c r="BK71" s="105"/>
      <c r="BL71" s="105"/>
      <c r="BM71" s="105"/>
      <c r="BN71" s="105"/>
      <c r="BO71" s="105"/>
      <c r="BP71" s="105"/>
      <c r="BQ71" s="105"/>
      <c r="BR71" s="105"/>
      <c r="BS71" s="105"/>
      <c r="BT71" s="105"/>
      <c r="BU71" s="105"/>
      <c r="BV71" s="105"/>
      <c r="BW71" s="105"/>
      <c r="BX71" s="105"/>
      <c r="BY71" s="105"/>
      <c r="BZ71" s="105"/>
      <c r="CA71" s="105"/>
      <c r="CB71" s="105"/>
      <c r="CC71" s="105"/>
      <c r="CD71" s="105"/>
      <c r="CE71" s="105"/>
      <c r="CF71" s="120"/>
      <c r="CG71" s="128"/>
      <c r="CH71" s="128"/>
      <c r="CI71" s="105"/>
      <c r="CJ71" s="23"/>
      <c r="CK71" s="105"/>
      <c r="CL71" s="105">
        <v>0.4</v>
      </c>
      <c r="CM71" s="105"/>
      <c r="CN71" s="105"/>
      <c r="CO71" s="105"/>
      <c r="CP71" s="105"/>
      <c r="CQ71" s="105"/>
      <c r="CR71" s="105"/>
      <c r="CS71" s="105"/>
      <c r="CT71" s="105"/>
      <c r="CU71" s="105"/>
      <c r="CV71" s="105"/>
      <c r="CW71" s="105"/>
      <c r="CX71" s="105"/>
      <c r="CY71" s="105"/>
      <c r="CZ71" s="105"/>
      <c r="DA71" s="105"/>
      <c r="DB71" s="105"/>
      <c r="DC71" s="105"/>
      <c r="DD71" s="125">
        <v>0.6</v>
      </c>
      <c r="DE71" s="125"/>
      <c r="DF71" s="105"/>
      <c r="DG71" s="105"/>
      <c r="DH71" s="105"/>
      <c r="DI71" s="105"/>
      <c r="DJ71" s="79">
        <f t="shared" si="286"/>
        <v>1</v>
      </c>
      <c r="DK71" s="108"/>
      <c r="DL71" s="108"/>
      <c r="DM71" s="108"/>
      <c r="DN71" s="108">
        <v>0.73</v>
      </c>
      <c r="DO71" s="108"/>
      <c r="DP71" s="108"/>
      <c r="DQ71" s="108"/>
      <c r="DR71" s="108"/>
      <c r="DS71" s="24"/>
      <c r="DT71" s="108"/>
      <c r="DU71" s="108"/>
      <c r="DV71" s="108"/>
      <c r="DW71" s="108"/>
      <c r="DX71" s="108"/>
      <c r="DY71" s="108"/>
      <c r="DZ71" s="108"/>
      <c r="EA71" s="24"/>
      <c r="EB71" s="108"/>
      <c r="EC71" s="108"/>
      <c r="ED71" s="108"/>
      <c r="EE71" s="108"/>
      <c r="EF71" s="108"/>
      <c r="EG71" s="108"/>
      <c r="EH71" s="129"/>
      <c r="EI71" s="129"/>
      <c r="EJ71" s="108"/>
      <c r="EK71" s="108"/>
      <c r="EL71" s="108"/>
      <c r="EM71" s="108">
        <v>0.15</v>
      </c>
      <c r="EN71" s="108"/>
      <c r="EO71" s="108"/>
      <c r="EP71" s="108"/>
      <c r="EQ71" s="108"/>
      <c r="ER71" s="108"/>
      <c r="ES71" s="106"/>
      <c r="ET71" s="106"/>
      <c r="EU71" s="106">
        <v>0.1</v>
      </c>
      <c r="EV71" s="106"/>
      <c r="EW71" s="106"/>
      <c r="EX71" s="106"/>
      <c r="EY71" s="106"/>
      <c r="EZ71" s="106"/>
      <c r="FA71" s="25"/>
      <c r="FB71" s="106"/>
      <c r="FC71" s="106"/>
      <c r="FD71" s="106"/>
      <c r="FE71" s="126"/>
      <c r="FF71" s="126"/>
      <c r="FG71" s="106"/>
      <c r="FH71" s="106"/>
      <c r="FI71" s="106"/>
      <c r="FJ71" s="25">
        <v>0.02</v>
      </c>
      <c r="FK71" s="17">
        <f t="shared" si="280"/>
        <v>1</v>
      </c>
      <c r="FL71" s="18"/>
      <c r="FM71" s="19">
        <f t="shared" si="119"/>
        <v>0</v>
      </c>
      <c r="FN71" s="19">
        <f t="shared" si="120"/>
        <v>0</v>
      </c>
      <c r="FO71" s="19">
        <f t="shared" si="121"/>
        <v>0</v>
      </c>
      <c r="FP71" s="19">
        <f t="shared" si="122"/>
        <v>1.095</v>
      </c>
      <c r="FQ71" s="19">
        <f t="shared" si="123"/>
        <v>0</v>
      </c>
      <c r="FR71" s="19">
        <f t="shared" si="124"/>
        <v>0</v>
      </c>
      <c r="FS71" s="19">
        <f t="shared" si="125"/>
        <v>0</v>
      </c>
      <c r="FT71" s="19">
        <f t="shared" si="126"/>
        <v>0</v>
      </c>
      <c r="FU71" s="19">
        <f t="shared" si="127"/>
        <v>0</v>
      </c>
      <c r="FV71" s="19">
        <f t="shared" si="128"/>
        <v>0</v>
      </c>
      <c r="FW71" s="19">
        <f t="shared" si="129"/>
        <v>0</v>
      </c>
      <c r="FX71" s="19">
        <f t="shared" si="130"/>
        <v>0</v>
      </c>
      <c r="FY71" s="19">
        <f t="shared" si="131"/>
        <v>0</v>
      </c>
      <c r="FZ71" s="19">
        <f t="shared" si="132"/>
        <v>0</v>
      </c>
      <c r="GA71" s="19">
        <f t="shared" si="133"/>
        <v>0</v>
      </c>
      <c r="GB71" s="19">
        <f t="shared" si="134"/>
        <v>0</v>
      </c>
      <c r="GC71" s="19">
        <f t="shared" si="135"/>
        <v>0</v>
      </c>
      <c r="GD71" s="19">
        <f t="shared" si="136"/>
        <v>0</v>
      </c>
      <c r="GE71" s="19">
        <f t="shared" si="137"/>
        <v>0</v>
      </c>
      <c r="GF71" s="19">
        <f t="shared" si="138"/>
        <v>0</v>
      </c>
      <c r="GG71" s="19">
        <f t="shared" si="139"/>
        <v>0</v>
      </c>
      <c r="GH71" s="19">
        <f t="shared" si="140"/>
        <v>0</v>
      </c>
      <c r="GI71" s="19">
        <f t="shared" si="141"/>
        <v>0</v>
      </c>
      <c r="GJ71" s="19">
        <f t="shared" si="142"/>
        <v>0</v>
      </c>
      <c r="GK71" s="19">
        <f t="shared" si="143"/>
        <v>0</v>
      </c>
      <c r="GL71" s="19">
        <f t="shared" si="144"/>
        <v>0</v>
      </c>
      <c r="GM71" s="19">
        <f t="shared" si="145"/>
        <v>0</v>
      </c>
      <c r="GN71" s="19">
        <f t="shared" si="146"/>
        <v>0.60000000000000009</v>
      </c>
      <c r="GO71" s="19">
        <f t="shared" si="147"/>
        <v>1.0249999999999999</v>
      </c>
      <c r="GP71" s="19">
        <f t="shared" si="148"/>
        <v>0</v>
      </c>
      <c r="GQ71" s="19">
        <f t="shared" si="149"/>
        <v>0</v>
      </c>
      <c r="GR71" s="19">
        <f t="shared" si="150"/>
        <v>0</v>
      </c>
      <c r="GS71" s="19">
        <f t="shared" si="151"/>
        <v>0</v>
      </c>
      <c r="GT71" s="19">
        <f t="shared" si="152"/>
        <v>0</v>
      </c>
      <c r="GU71" s="19">
        <f t="shared" si="153"/>
        <v>0</v>
      </c>
      <c r="GV71" s="19">
        <f t="shared" si="154"/>
        <v>0</v>
      </c>
      <c r="GW71" s="19">
        <f t="shared" si="155"/>
        <v>0.15000000000000002</v>
      </c>
      <c r="GX71" s="19">
        <f t="shared" si="156"/>
        <v>0</v>
      </c>
      <c r="GY71" s="19">
        <f t="shared" si="157"/>
        <v>0</v>
      </c>
      <c r="GZ71" s="19">
        <f t="shared" si="158"/>
        <v>0</v>
      </c>
      <c r="HA71" s="19">
        <f t="shared" si="159"/>
        <v>0</v>
      </c>
      <c r="HB71" s="19">
        <f t="shared" si="160"/>
        <v>0</v>
      </c>
      <c r="HC71" s="19">
        <f t="shared" si="161"/>
        <v>0</v>
      </c>
      <c r="HD71" s="19">
        <f t="shared" si="162"/>
        <v>0</v>
      </c>
      <c r="HE71" s="19">
        <f t="shared" si="163"/>
        <v>0</v>
      </c>
      <c r="HF71" s="19">
        <f t="shared" si="164"/>
        <v>0</v>
      </c>
      <c r="HG71" s="19">
        <f t="shared" si="165"/>
        <v>2.0999999999999996</v>
      </c>
      <c r="HH71" s="19">
        <f t="shared" si="166"/>
        <v>0</v>
      </c>
      <c r="HI71" s="19">
        <f t="shared" si="167"/>
        <v>0</v>
      </c>
      <c r="HJ71" s="19">
        <f t="shared" si="168"/>
        <v>0</v>
      </c>
      <c r="HK71" s="19">
        <f t="shared" si="169"/>
        <v>0</v>
      </c>
      <c r="HL71" s="19">
        <f t="shared" si="170"/>
        <v>0.03</v>
      </c>
      <c r="HM71" s="20">
        <f t="shared" si="171"/>
        <v>4.9999999999999991</v>
      </c>
      <c r="HN71" s="53">
        <v>368</v>
      </c>
      <c r="HO71" s="21">
        <f t="shared" si="172"/>
        <v>0</v>
      </c>
      <c r="HP71" s="21">
        <f t="shared" si="173"/>
        <v>0</v>
      </c>
      <c r="HQ71" s="21">
        <f t="shared" si="174"/>
        <v>0</v>
      </c>
      <c r="HR71" s="21">
        <f t="shared" si="175"/>
        <v>80.592000000000013</v>
      </c>
      <c r="HS71" s="21">
        <f t="shared" si="176"/>
        <v>0</v>
      </c>
      <c r="HT71" s="69">
        <f t="shared" si="177"/>
        <v>0</v>
      </c>
      <c r="HU71" s="21">
        <f t="shared" si="178"/>
        <v>0</v>
      </c>
      <c r="HV71" s="21">
        <f t="shared" si="179"/>
        <v>0</v>
      </c>
      <c r="HW71" s="21">
        <f t="shared" si="180"/>
        <v>0</v>
      </c>
      <c r="HX71" s="21">
        <f t="shared" si="181"/>
        <v>0</v>
      </c>
      <c r="HY71" s="21">
        <f t="shared" si="182"/>
        <v>0</v>
      </c>
      <c r="HZ71" s="21">
        <f t="shared" si="183"/>
        <v>0</v>
      </c>
      <c r="IA71" s="21">
        <f t="shared" si="184"/>
        <v>0</v>
      </c>
      <c r="IB71" s="21">
        <f t="shared" si="185"/>
        <v>0</v>
      </c>
      <c r="IC71" s="21">
        <f t="shared" si="186"/>
        <v>0</v>
      </c>
      <c r="ID71" s="21">
        <f t="shared" si="187"/>
        <v>0</v>
      </c>
      <c r="IE71" s="21">
        <f t="shared" si="188"/>
        <v>0</v>
      </c>
      <c r="IF71" s="69">
        <f t="shared" si="189"/>
        <v>0</v>
      </c>
      <c r="IG71" s="69">
        <f t="shared" si="190"/>
        <v>0</v>
      </c>
      <c r="IH71" s="69">
        <f t="shared" si="191"/>
        <v>0</v>
      </c>
      <c r="II71" s="21">
        <f t="shared" si="192"/>
        <v>0</v>
      </c>
      <c r="IJ71" s="21">
        <f t="shared" si="193"/>
        <v>0</v>
      </c>
      <c r="IK71" s="21">
        <f t="shared" si="194"/>
        <v>0</v>
      </c>
      <c r="IL71" s="21">
        <f t="shared" si="195"/>
        <v>0</v>
      </c>
      <c r="IM71" s="21">
        <f t="shared" si="196"/>
        <v>0</v>
      </c>
      <c r="IN71" s="21">
        <f t="shared" si="197"/>
        <v>0</v>
      </c>
      <c r="IO71" s="21">
        <f t="shared" si="198"/>
        <v>0</v>
      </c>
      <c r="IP71" s="21">
        <f t="shared" si="199"/>
        <v>44.160000000000018</v>
      </c>
      <c r="IQ71" s="21">
        <f t="shared" si="200"/>
        <v>75.440000000000012</v>
      </c>
      <c r="IR71" s="21">
        <f t="shared" si="201"/>
        <v>0</v>
      </c>
      <c r="IS71" s="21">
        <f t="shared" si="202"/>
        <v>0</v>
      </c>
      <c r="IT71" s="21">
        <f t="shared" si="203"/>
        <v>0</v>
      </c>
      <c r="IU71" s="21">
        <f t="shared" si="204"/>
        <v>0</v>
      </c>
      <c r="IV71" s="21">
        <f t="shared" si="205"/>
        <v>0</v>
      </c>
      <c r="IW71" s="21">
        <f t="shared" si="206"/>
        <v>0</v>
      </c>
      <c r="IX71" s="21">
        <f t="shared" si="207"/>
        <v>0</v>
      </c>
      <c r="IY71" s="21">
        <f t="shared" si="208"/>
        <v>11.040000000000004</v>
      </c>
      <c r="IZ71" s="21">
        <f t="shared" si="209"/>
        <v>0</v>
      </c>
      <c r="JA71" s="21">
        <f t="shared" si="210"/>
        <v>0</v>
      </c>
      <c r="JB71" s="21">
        <f t="shared" si="211"/>
        <v>0</v>
      </c>
      <c r="JC71" s="21">
        <f t="shared" si="212"/>
        <v>0</v>
      </c>
      <c r="JD71" s="21">
        <f t="shared" si="213"/>
        <v>0</v>
      </c>
      <c r="JE71" s="21">
        <f t="shared" si="214"/>
        <v>0</v>
      </c>
      <c r="JF71" s="21">
        <f t="shared" si="215"/>
        <v>0</v>
      </c>
      <c r="JG71" s="21">
        <f t="shared" si="216"/>
        <v>0</v>
      </c>
      <c r="JH71" s="21">
        <f t="shared" si="217"/>
        <v>0</v>
      </c>
      <c r="JI71" s="21">
        <f t="shared" si="218"/>
        <v>154.56</v>
      </c>
      <c r="JJ71" s="21">
        <f t="shared" si="219"/>
        <v>0</v>
      </c>
      <c r="JK71" s="21">
        <f t="shared" si="220"/>
        <v>0</v>
      </c>
      <c r="JL71" s="21">
        <f t="shared" si="221"/>
        <v>0</v>
      </c>
      <c r="JM71" s="21">
        <f t="shared" si="222"/>
        <v>0</v>
      </c>
      <c r="JN71" s="21">
        <f t="shared" si="223"/>
        <v>2.2080000000000002</v>
      </c>
      <c r="JO71" s="35">
        <f t="shared" si="287"/>
        <v>368.00000000000006</v>
      </c>
      <c r="JP71" s="38">
        <f t="shared" si="288"/>
        <v>0</v>
      </c>
      <c r="JQ71" s="43">
        <f t="shared" si="224"/>
        <v>0</v>
      </c>
      <c r="JR71" s="43">
        <f t="shared" si="225"/>
        <v>0</v>
      </c>
      <c r="JS71" s="43">
        <f t="shared" si="226"/>
        <v>0</v>
      </c>
      <c r="JT71" s="43">
        <f t="shared" si="227"/>
        <v>346.61974464000008</v>
      </c>
      <c r="JU71" s="43">
        <f t="shared" si="228"/>
        <v>0</v>
      </c>
      <c r="JV71" s="43">
        <f t="shared" si="229"/>
        <v>0</v>
      </c>
      <c r="JW71" s="43">
        <f t="shared" si="230"/>
        <v>0</v>
      </c>
      <c r="JX71" s="43">
        <f t="shared" si="231"/>
        <v>0</v>
      </c>
      <c r="JY71" s="43">
        <f t="shared" si="232"/>
        <v>0</v>
      </c>
      <c r="JZ71" s="43">
        <f t="shared" si="233"/>
        <v>0</v>
      </c>
      <c r="KA71" s="43">
        <f t="shared" si="234"/>
        <v>0</v>
      </c>
      <c r="KB71" s="43">
        <f t="shared" si="235"/>
        <v>0</v>
      </c>
      <c r="KC71" s="43">
        <f t="shared" si="236"/>
        <v>0</v>
      </c>
      <c r="KD71" s="43">
        <f t="shared" si="237"/>
        <v>0</v>
      </c>
      <c r="KE71" s="43">
        <f t="shared" si="238"/>
        <v>0</v>
      </c>
      <c r="KF71" s="43">
        <f t="shared" si="239"/>
        <v>0</v>
      </c>
      <c r="KG71" s="43">
        <f t="shared" si="240"/>
        <v>0</v>
      </c>
      <c r="KH71" s="43">
        <f t="shared" si="241"/>
        <v>0</v>
      </c>
      <c r="KI71" s="43">
        <f t="shared" si="242"/>
        <v>0</v>
      </c>
      <c r="KJ71" s="43">
        <f t="shared" si="243"/>
        <v>0</v>
      </c>
      <c r="KK71" s="43">
        <f t="shared" si="244"/>
        <v>0</v>
      </c>
      <c r="KL71" s="43">
        <f t="shared" si="245"/>
        <v>0</v>
      </c>
      <c r="KM71" s="43">
        <f t="shared" si="246"/>
        <v>0</v>
      </c>
      <c r="KN71" s="43">
        <f t="shared" si="247"/>
        <v>0</v>
      </c>
      <c r="KO71" s="43">
        <f t="shared" si="248"/>
        <v>0</v>
      </c>
      <c r="KP71" s="43">
        <f t="shared" si="249"/>
        <v>0</v>
      </c>
      <c r="KQ71" s="43">
        <f t="shared" si="250"/>
        <v>0</v>
      </c>
      <c r="KR71" s="43">
        <f t="shared" si="251"/>
        <v>170.45760000000007</v>
      </c>
      <c r="KS71" s="43">
        <f t="shared" si="252"/>
        <v>257.95432987797983</v>
      </c>
      <c r="KT71" s="43">
        <f t="shared" si="253"/>
        <v>0</v>
      </c>
      <c r="KU71" s="43">
        <f t="shared" si="254"/>
        <v>0</v>
      </c>
      <c r="KV71" s="43">
        <f t="shared" si="255"/>
        <v>0</v>
      </c>
      <c r="KW71" s="43">
        <f t="shared" si="256"/>
        <v>0</v>
      </c>
      <c r="KX71" s="43">
        <f t="shared" si="257"/>
        <v>0</v>
      </c>
      <c r="KY71" s="43">
        <f t="shared" si="258"/>
        <v>0</v>
      </c>
      <c r="KZ71" s="43">
        <f t="shared" si="259"/>
        <v>0</v>
      </c>
      <c r="LA71" s="43">
        <f t="shared" si="260"/>
        <v>44.235513600000012</v>
      </c>
      <c r="LB71" s="43">
        <f t="shared" si="261"/>
        <v>0</v>
      </c>
      <c r="LC71" s="43">
        <f t="shared" si="262"/>
        <v>0</v>
      </c>
      <c r="LD71" s="43">
        <f t="shared" si="263"/>
        <v>0</v>
      </c>
      <c r="LE71" s="43">
        <f t="shared" si="264"/>
        <v>0</v>
      </c>
      <c r="LF71" s="43">
        <f t="shared" si="265"/>
        <v>0</v>
      </c>
      <c r="LG71" s="43">
        <f t="shared" si="266"/>
        <v>0</v>
      </c>
      <c r="LH71" s="43">
        <f t="shared" si="267"/>
        <v>0</v>
      </c>
      <c r="LI71" s="43">
        <f t="shared" si="268"/>
        <v>0</v>
      </c>
      <c r="LJ71" s="43">
        <f t="shared" si="269"/>
        <v>0</v>
      </c>
      <c r="LK71" s="43">
        <f t="shared" si="270"/>
        <v>619.12872000000004</v>
      </c>
      <c r="LL71" s="43">
        <f t="shared" si="271"/>
        <v>0</v>
      </c>
      <c r="LM71" s="43">
        <f t="shared" si="272"/>
        <v>0</v>
      </c>
      <c r="LN71" s="43">
        <f t="shared" si="273"/>
        <v>0</v>
      </c>
      <c r="LO71" s="43">
        <f t="shared" si="274"/>
        <v>0</v>
      </c>
      <c r="LP71" s="43">
        <f t="shared" si="275"/>
        <v>18.657599999999999</v>
      </c>
      <c r="LQ71" s="28">
        <f t="shared" si="289"/>
        <v>1457.0535081179801</v>
      </c>
      <c r="LR71" s="65">
        <v>340</v>
      </c>
      <c r="LS71" s="32">
        <f t="shared" si="281"/>
        <v>4.2854514944646471</v>
      </c>
      <c r="LT71" s="26">
        <f t="shared" si="282"/>
        <v>1.1708883864657504</v>
      </c>
      <c r="LU71" s="31">
        <f t="shared" si="290"/>
        <v>28</v>
      </c>
      <c r="LW71" s="42"/>
      <c r="MA71" s="32">
        <f t="shared" si="291"/>
        <v>3.9593845329292932</v>
      </c>
      <c r="MB71" s="26">
        <f t="shared" si="283"/>
        <v>1.0817990527129215</v>
      </c>
    </row>
    <row r="72" spans="1:340" ht="15.75" thickBot="1">
      <c r="A72" t="b">
        <f t="shared" si="285"/>
        <v>1</v>
      </c>
      <c r="B72" s="123" t="s">
        <v>224</v>
      </c>
      <c r="C72" s="39" t="s">
        <v>105</v>
      </c>
      <c r="D72"/>
      <c r="E72" s="97">
        <v>46033</v>
      </c>
      <c r="F72" t="s">
        <v>43</v>
      </c>
      <c r="G72" t="s">
        <v>20</v>
      </c>
      <c r="H72" t="s">
        <v>27</v>
      </c>
      <c r="I72" s="77"/>
      <c r="J72" s="77"/>
      <c r="K72" s="77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24"/>
      <c r="AG72" s="124"/>
      <c r="AH72" s="104"/>
      <c r="AI72" s="104"/>
      <c r="AJ72" s="22">
        <v>0.3</v>
      </c>
      <c r="AK72" s="22"/>
      <c r="AL72" s="22"/>
      <c r="AM72" s="22"/>
      <c r="AN72" s="22"/>
      <c r="AO72" s="104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104"/>
      <c r="BA72" s="104"/>
      <c r="BB72" s="104"/>
      <c r="BC72" s="124">
        <v>0.7</v>
      </c>
      <c r="BD72" s="124"/>
      <c r="BE72" s="104"/>
      <c r="BF72" s="104"/>
      <c r="BG72" s="104"/>
      <c r="BH72" s="104"/>
      <c r="BI72" s="78">
        <f t="shared" si="296"/>
        <v>1</v>
      </c>
      <c r="BJ72" s="105"/>
      <c r="BK72" s="105"/>
      <c r="BL72" s="105"/>
      <c r="BM72" s="105"/>
      <c r="BN72" s="105"/>
      <c r="BO72" s="105"/>
      <c r="BP72" s="105"/>
      <c r="BQ72" s="105"/>
      <c r="BR72" s="105"/>
      <c r="BS72" s="105"/>
      <c r="BT72" s="105"/>
      <c r="BU72" s="105"/>
      <c r="BV72" s="105"/>
      <c r="BW72" s="105"/>
      <c r="BX72" s="105"/>
      <c r="BY72" s="105"/>
      <c r="BZ72" s="105"/>
      <c r="CA72" s="105"/>
      <c r="CB72" s="105"/>
      <c r="CC72" s="105"/>
      <c r="CD72" s="105"/>
      <c r="CE72" s="105"/>
      <c r="CF72" s="120"/>
      <c r="CG72" s="128"/>
      <c r="CH72" s="128"/>
      <c r="CI72" s="105"/>
      <c r="CJ72" s="105"/>
      <c r="CK72" s="105"/>
      <c r="CL72" s="105">
        <v>0.3</v>
      </c>
      <c r="CM72" s="105"/>
      <c r="CN72" s="105"/>
      <c r="CO72" s="105"/>
      <c r="CP72" s="105"/>
      <c r="CQ72" s="105"/>
      <c r="CR72" s="105"/>
      <c r="CS72" s="105"/>
      <c r="CT72" s="105"/>
      <c r="CU72" s="105"/>
      <c r="CV72" s="105"/>
      <c r="CW72" s="105"/>
      <c r="CX72" s="105"/>
      <c r="CY72" s="105"/>
      <c r="CZ72" s="105"/>
      <c r="DA72" s="105"/>
      <c r="DB72" s="105"/>
      <c r="DC72" s="105"/>
      <c r="DD72" s="125">
        <v>0.7</v>
      </c>
      <c r="DE72" s="125"/>
      <c r="DF72" s="105"/>
      <c r="DG72" s="105"/>
      <c r="DH72" s="105"/>
      <c r="DI72" s="105"/>
      <c r="DJ72" s="79">
        <f t="shared" si="286"/>
        <v>1</v>
      </c>
      <c r="DK72" s="108"/>
      <c r="DL72" s="108"/>
      <c r="DM72" s="108"/>
      <c r="DN72" s="108"/>
      <c r="DO72" s="108"/>
      <c r="DP72" s="108"/>
      <c r="DQ72" s="108"/>
      <c r="DR72" s="108"/>
      <c r="DS72" s="108"/>
      <c r="DT72" s="108"/>
      <c r="DU72" s="108"/>
      <c r="DV72" s="108"/>
      <c r="DW72" s="108"/>
      <c r="DX72" s="108"/>
      <c r="DY72" s="108"/>
      <c r="DZ72" s="108"/>
      <c r="EA72" s="108">
        <v>0.7</v>
      </c>
      <c r="EB72" s="108"/>
      <c r="EC72" s="108"/>
      <c r="ED72" s="108"/>
      <c r="EE72" s="108"/>
      <c r="EF72" s="108"/>
      <c r="EG72" s="108"/>
      <c r="EH72" s="129"/>
      <c r="EI72" s="129"/>
      <c r="EJ72" s="108"/>
      <c r="EK72" s="108"/>
      <c r="EL72" s="108"/>
      <c r="EM72" s="108">
        <v>0.2</v>
      </c>
      <c r="EN72" s="108"/>
      <c r="EO72" s="108"/>
      <c r="EP72" s="108"/>
      <c r="EQ72" s="108"/>
      <c r="ER72" s="108"/>
      <c r="ES72" s="106"/>
      <c r="ET72" s="106"/>
      <c r="EU72" s="106">
        <v>7.0000000000000007E-2</v>
      </c>
      <c r="EV72" s="106"/>
      <c r="EW72" s="106"/>
      <c r="EX72" s="106"/>
      <c r="EY72" s="106"/>
      <c r="EZ72" s="106"/>
      <c r="FA72" s="106">
        <v>0.01</v>
      </c>
      <c r="FB72" s="106"/>
      <c r="FC72" s="106"/>
      <c r="FD72" s="106"/>
      <c r="FE72" s="126"/>
      <c r="FF72" s="126"/>
      <c r="FG72" s="106"/>
      <c r="FH72" s="106"/>
      <c r="FI72" s="106"/>
      <c r="FJ72" s="106">
        <v>0.02</v>
      </c>
      <c r="FK72" s="17">
        <f t="shared" si="280"/>
        <v>1</v>
      </c>
      <c r="FL72" s="18"/>
      <c r="FM72" s="19">
        <f t="shared" si="119"/>
        <v>0</v>
      </c>
      <c r="FN72" s="19">
        <f t="shared" si="120"/>
        <v>0</v>
      </c>
      <c r="FO72" s="19">
        <f t="shared" si="121"/>
        <v>0</v>
      </c>
      <c r="FP72" s="19">
        <f t="shared" si="122"/>
        <v>0</v>
      </c>
      <c r="FQ72" s="19">
        <f t="shared" si="123"/>
        <v>0</v>
      </c>
      <c r="FR72" s="19">
        <f t="shared" si="124"/>
        <v>0</v>
      </c>
      <c r="FS72" s="19">
        <f t="shared" si="125"/>
        <v>0</v>
      </c>
      <c r="FT72" s="19">
        <f t="shared" si="126"/>
        <v>0</v>
      </c>
      <c r="FU72" s="19">
        <f t="shared" si="127"/>
        <v>0</v>
      </c>
      <c r="FV72" s="19">
        <f t="shared" si="128"/>
        <v>0</v>
      </c>
      <c r="FW72" s="19">
        <f t="shared" si="129"/>
        <v>0</v>
      </c>
      <c r="FX72" s="19">
        <f t="shared" si="130"/>
        <v>0</v>
      </c>
      <c r="FY72" s="19">
        <f t="shared" si="131"/>
        <v>0</v>
      </c>
      <c r="FZ72" s="19">
        <f t="shared" si="132"/>
        <v>0</v>
      </c>
      <c r="GA72" s="19">
        <f t="shared" si="133"/>
        <v>0</v>
      </c>
      <c r="GB72" s="19">
        <f t="shared" si="134"/>
        <v>0</v>
      </c>
      <c r="GC72" s="19">
        <f t="shared" si="135"/>
        <v>1.0499999999999998</v>
      </c>
      <c r="GD72" s="19">
        <f t="shared" si="136"/>
        <v>0</v>
      </c>
      <c r="GE72" s="19">
        <f t="shared" si="137"/>
        <v>0</v>
      </c>
      <c r="GF72" s="19">
        <f t="shared" si="138"/>
        <v>0</v>
      </c>
      <c r="GG72" s="19">
        <f t="shared" si="139"/>
        <v>0</v>
      </c>
      <c r="GH72" s="19">
        <f t="shared" si="140"/>
        <v>0</v>
      </c>
      <c r="GI72" s="19">
        <f t="shared" si="141"/>
        <v>0</v>
      </c>
      <c r="GJ72" s="19">
        <f t="shared" si="142"/>
        <v>0</v>
      </c>
      <c r="GK72" s="19">
        <f t="shared" si="143"/>
        <v>0</v>
      </c>
      <c r="GL72" s="19">
        <f t="shared" si="144"/>
        <v>0</v>
      </c>
      <c r="GM72" s="19">
        <f t="shared" si="145"/>
        <v>0</v>
      </c>
      <c r="GN72" s="19">
        <f t="shared" si="146"/>
        <v>0.44999999999999996</v>
      </c>
      <c r="GO72" s="19">
        <f t="shared" si="147"/>
        <v>0.9</v>
      </c>
      <c r="GP72" s="19">
        <f t="shared" si="148"/>
        <v>0</v>
      </c>
      <c r="GQ72" s="19">
        <f t="shared" si="149"/>
        <v>0</v>
      </c>
      <c r="GR72" s="19">
        <f t="shared" si="150"/>
        <v>0</v>
      </c>
      <c r="GS72" s="19">
        <f t="shared" si="151"/>
        <v>0</v>
      </c>
      <c r="GT72" s="19">
        <f t="shared" si="152"/>
        <v>0</v>
      </c>
      <c r="GU72" s="19">
        <f t="shared" si="153"/>
        <v>0</v>
      </c>
      <c r="GV72" s="19">
        <f t="shared" si="154"/>
        <v>0</v>
      </c>
      <c r="GW72" s="19">
        <f t="shared" si="155"/>
        <v>0.10500000000000001</v>
      </c>
      <c r="GX72" s="19">
        <f t="shared" si="156"/>
        <v>0</v>
      </c>
      <c r="GY72" s="19">
        <f t="shared" si="157"/>
        <v>0</v>
      </c>
      <c r="GZ72" s="19">
        <f t="shared" si="158"/>
        <v>0</v>
      </c>
      <c r="HA72" s="19">
        <f t="shared" si="159"/>
        <v>0</v>
      </c>
      <c r="HB72" s="19">
        <f t="shared" si="160"/>
        <v>0</v>
      </c>
      <c r="HC72" s="19">
        <f t="shared" si="161"/>
        <v>1.4999999999999999E-2</v>
      </c>
      <c r="HD72" s="19">
        <f t="shared" si="162"/>
        <v>0</v>
      </c>
      <c r="HE72" s="19">
        <f t="shared" si="163"/>
        <v>0</v>
      </c>
      <c r="HF72" s="19">
        <f t="shared" si="164"/>
        <v>0</v>
      </c>
      <c r="HG72" s="19">
        <f t="shared" si="165"/>
        <v>2.4499999999999997</v>
      </c>
      <c r="HH72" s="19">
        <f t="shared" si="166"/>
        <v>0</v>
      </c>
      <c r="HI72" s="19">
        <f t="shared" si="167"/>
        <v>0</v>
      </c>
      <c r="HJ72" s="19">
        <f t="shared" si="168"/>
        <v>0</v>
      </c>
      <c r="HK72" s="19">
        <f t="shared" si="169"/>
        <v>0</v>
      </c>
      <c r="HL72" s="19">
        <f t="shared" si="170"/>
        <v>0.03</v>
      </c>
      <c r="HM72" s="20">
        <f t="shared" si="171"/>
        <v>5</v>
      </c>
      <c r="HN72" s="53">
        <v>756</v>
      </c>
      <c r="HO72" s="21">
        <f t="shared" si="172"/>
        <v>0</v>
      </c>
      <c r="HP72" s="21">
        <f t="shared" si="173"/>
        <v>0</v>
      </c>
      <c r="HQ72" s="21">
        <f t="shared" si="174"/>
        <v>0</v>
      </c>
      <c r="HR72" s="21">
        <f t="shared" si="175"/>
        <v>0</v>
      </c>
      <c r="HS72" s="21">
        <f t="shared" si="176"/>
        <v>0</v>
      </c>
      <c r="HT72" s="69">
        <f t="shared" si="177"/>
        <v>0</v>
      </c>
      <c r="HU72" s="21">
        <f t="shared" si="178"/>
        <v>0</v>
      </c>
      <c r="HV72" s="21">
        <f t="shared" si="179"/>
        <v>0</v>
      </c>
      <c r="HW72" s="21">
        <f t="shared" si="180"/>
        <v>0</v>
      </c>
      <c r="HX72" s="21">
        <f t="shared" si="181"/>
        <v>0</v>
      </c>
      <c r="HY72" s="21">
        <f t="shared" si="182"/>
        <v>0</v>
      </c>
      <c r="HZ72" s="21">
        <f t="shared" si="183"/>
        <v>0</v>
      </c>
      <c r="IA72" s="21">
        <f t="shared" si="184"/>
        <v>0</v>
      </c>
      <c r="IB72" s="21">
        <f t="shared" si="185"/>
        <v>0</v>
      </c>
      <c r="IC72" s="21">
        <f t="shared" si="186"/>
        <v>0</v>
      </c>
      <c r="ID72" s="21">
        <f t="shared" si="187"/>
        <v>0</v>
      </c>
      <c r="IE72" s="21">
        <f t="shared" si="188"/>
        <v>158.75999999999996</v>
      </c>
      <c r="IF72" s="69">
        <f t="shared" si="189"/>
        <v>0</v>
      </c>
      <c r="IG72" s="69">
        <f t="shared" si="190"/>
        <v>0</v>
      </c>
      <c r="IH72" s="69">
        <f t="shared" si="191"/>
        <v>0</v>
      </c>
      <c r="II72" s="21">
        <f t="shared" si="192"/>
        <v>0</v>
      </c>
      <c r="IJ72" s="21">
        <f t="shared" si="193"/>
        <v>0</v>
      </c>
      <c r="IK72" s="21">
        <f t="shared" si="194"/>
        <v>0</v>
      </c>
      <c r="IL72" s="21">
        <f t="shared" si="195"/>
        <v>0</v>
      </c>
      <c r="IM72" s="21">
        <f t="shared" si="196"/>
        <v>0</v>
      </c>
      <c r="IN72" s="21">
        <f t="shared" si="197"/>
        <v>0</v>
      </c>
      <c r="IO72" s="21">
        <f t="shared" si="198"/>
        <v>0</v>
      </c>
      <c r="IP72" s="21">
        <f t="shared" si="199"/>
        <v>68.039999999999992</v>
      </c>
      <c r="IQ72" s="21">
        <f t="shared" si="200"/>
        <v>136.07999999999998</v>
      </c>
      <c r="IR72" s="21">
        <f t="shared" si="201"/>
        <v>0</v>
      </c>
      <c r="IS72" s="21">
        <f t="shared" si="202"/>
        <v>0</v>
      </c>
      <c r="IT72" s="21">
        <f t="shared" si="203"/>
        <v>0</v>
      </c>
      <c r="IU72" s="21">
        <f t="shared" si="204"/>
        <v>0</v>
      </c>
      <c r="IV72" s="21">
        <f t="shared" si="205"/>
        <v>0</v>
      </c>
      <c r="IW72" s="21">
        <f t="shared" si="206"/>
        <v>0</v>
      </c>
      <c r="IX72" s="21">
        <f t="shared" si="207"/>
        <v>0</v>
      </c>
      <c r="IY72" s="21">
        <f t="shared" si="208"/>
        <v>15.876000000000001</v>
      </c>
      <c r="IZ72" s="21">
        <f t="shared" si="209"/>
        <v>0</v>
      </c>
      <c r="JA72" s="21">
        <f t="shared" si="210"/>
        <v>0</v>
      </c>
      <c r="JB72" s="21">
        <f t="shared" si="211"/>
        <v>0</v>
      </c>
      <c r="JC72" s="21">
        <f t="shared" si="212"/>
        <v>0</v>
      </c>
      <c r="JD72" s="21">
        <f t="shared" si="213"/>
        <v>0</v>
      </c>
      <c r="JE72" s="21">
        <f t="shared" si="214"/>
        <v>2.2679999999999998</v>
      </c>
      <c r="JF72" s="21">
        <f t="shared" si="215"/>
        <v>0</v>
      </c>
      <c r="JG72" s="21">
        <f t="shared" si="216"/>
        <v>0</v>
      </c>
      <c r="JH72" s="21">
        <f t="shared" si="217"/>
        <v>0</v>
      </c>
      <c r="JI72" s="21">
        <f t="shared" si="218"/>
        <v>370.43999999999994</v>
      </c>
      <c r="JJ72" s="21">
        <f t="shared" si="219"/>
        <v>0</v>
      </c>
      <c r="JK72" s="21">
        <f t="shared" si="220"/>
        <v>0</v>
      </c>
      <c r="JL72" s="21">
        <f t="shared" si="221"/>
        <v>0</v>
      </c>
      <c r="JM72" s="21">
        <f t="shared" si="222"/>
        <v>0</v>
      </c>
      <c r="JN72" s="21">
        <f t="shared" si="223"/>
        <v>4.5359999999999996</v>
      </c>
      <c r="JO72" s="35">
        <f t="shared" si="287"/>
        <v>755.99999999999977</v>
      </c>
      <c r="JP72" s="38">
        <f t="shared" si="288"/>
        <v>0</v>
      </c>
      <c r="JQ72" s="43">
        <f t="shared" si="224"/>
        <v>0</v>
      </c>
      <c r="JR72" s="43">
        <f t="shared" si="225"/>
        <v>0</v>
      </c>
      <c r="JS72" s="43">
        <f t="shared" si="226"/>
        <v>0</v>
      </c>
      <c r="JT72" s="43">
        <f t="shared" si="227"/>
        <v>0</v>
      </c>
      <c r="JU72" s="43">
        <f t="shared" si="228"/>
        <v>0</v>
      </c>
      <c r="JV72" s="43">
        <f t="shared" si="229"/>
        <v>0</v>
      </c>
      <c r="JW72" s="43">
        <f t="shared" si="230"/>
        <v>0</v>
      </c>
      <c r="JX72" s="43">
        <f t="shared" si="231"/>
        <v>0</v>
      </c>
      <c r="JY72" s="43">
        <f t="shared" si="232"/>
        <v>0</v>
      </c>
      <c r="JZ72" s="43">
        <f t="shared" si="233"/>
        <v>0</v>
      </c>
      <c r="KA72" s="43">
        <f t="shared" si="234"/>
        <v>0</v>
      </c>
      <c r="KB72" s="43">
        <f t="shared" si="235"/>
        <v>0</v>
      </c>
      <c r="KC72" s="43">
        <f t="shared" si="236"/>
        <v>0</v>
      </c>
      <c r="KD72" s="43">
        <f t="shared" si="237"/>
        <v>0</v>
      </c>
      <c r="KE72" s="43">
        <f t="shared" si="238"/>
        <v>0</v>
      </c>
      <c r="KF72" s="43">
        <f t="shared" si="239"/>
        <v>0</v>
      </c>
      <c r="KG72" s="43">
        <f t="shared" si="240"/>
        <v>658.84209460363627</v>
      </c>
      <c r="KH72" s="43">
        <f t="shared" si="241"/>
        <v>0</v>
      </c>
      <c r="KI72" s="43">
        <f t="shared" si="242"/>
        <v>0</v>
      </c>
      <c r="KJ72" s="43">
        <f t="shared" si="243"/>
        <v>0</v>
      </c>
      <c r="KK72" s="43">
        <f t="shared" si="244"/>
        <v>0</v>
      </c>
      <c r="KL72" s="43">
        <f t="shared" si="245"/>
        <v>0</v>
      </c>
      <c r="KM72" s="43">
        <f t="shared" si="246"/>
        <v>0</v>
      </c>
      <c r="KN72" s="43">
        <f t="shared" si="247"/>
        <v>0</v>
      </c>
      <c r="KO72" s="43">
        <f t="shared" si="248"/>
        <v>0</v>
      </c>
      <c r="KP72" s="43">
        <f t="shared" si="249"/>
        <v>0</v>
      </c>
      <c r="KQ72" s="43">
        <f t="shared" si="250"/>
        <v>0</v>
      </c>
      <c r="KR72" s="43">
        <f t="shared" si="251"/>
        <v>262.63439999999997</v>
      </c>
      <c r="KS72" s="43">
        <f t="shared" si="252"/>
        <v>465.30256110545452</v>
      </c>
      <c r="KT72" s="43">
        <f t="shared" si="253"/>
        <v>0</v>
      </c>
      <c r="KU72" s="43">
        <f t="shared" si="254"/>
        <v>0</v>
      </c>
      <c r="KV72" s="43">
        <f t="shared" si="255"/>
        <v>0</v>
      </c>
      <c r="KW72" s="43">
        <f t="shared" si="256"/>
        <v>0</v>
      </c>
      <c r="KX72" s="43">
        <f t="shared" si="257"/>
        <v>0</v>
      </c>
      <c r="KY72" s="43">
        <f t="shared" si="258"/>
        <v>0</v>
      </c>
      <c r="KZ72" s="43">
        <f t="shared" si="259"/>
        <v>0</v>
      </c>
      <c r="LA72" s="43">
        <f t="shared" si="260"/>
        <v>63.61259184</v>
      </c>
      <c r="LB72" s="43">
        <f t="shared" si="261"/>
        <v>0</v>
      </c>
      <c r="LC72" s="43">
        <f t="shared" si="262"/>
        <v>0</v>
      </c>
      <c r="LD72" s="43">
        <f t="shared" si="263"/>
        <v>0</v>
      </c>
      <c r="LE72" s="43">
        <f t="shared" si="264"/>
        <v>0</v>
      </c>
      <c r="LF72" s="43">
        <f t="shared" si="265"/>
        <v>0</v>
      </c>
      <c r="LG72" s="43">
        <f t="shared" si="266"/>
        <v>23.405759999999997</v>
      </c>
      <c r="LH72" s="43">
        <f t="shared" si="267"/>
        <v>0</v>
      </c>
      <c r="LI72" s="43">
        <f t="shared" si="268"/>
        <v>0</v>
      </c>
      <c r="LJ72" s="43">
        <f t="shared" si="269"/>
        <v>0</v>
      </c>
      <c r="LK72" s="43">
        <f t="shared" si="270"/>
        <v>1483.8900299999998</v>
      </c>
      <c r="LL72" s="43">
        <f t="shared" si="271"/>
        <v>0</v>
      </c>
      <c r="LM72" s="43">
        <f t="shared" si="272"/>
        <v>0</v>
      </c>
      <c r="LN72" s="43">
        <f t="shared" si="273"/>
        <v>0</v>
      </c>
      <c r="LO72" s="43">
        <f t="shared" si="274"/>
        <v>0</v>
      </c>
      <c r="LP72" s="43">
        <f t="shared" si="275"/>
        <v>38.329199999999993</v>
      </c>
      <c r="LQ72" s="28">
        <f t="shared" si="289"/>
        <v>2996.0166375490908</v>
      </c>
      <c r="LR72" s="65">
        <v>706</v>
      </c>
      <c r="LS72" s="32">
        <f t="shared" si="281"/>
        <v>4.2436496282565024</v>
      </c>
      <c r="LT72" s="26">
        <f t="shared" si="282"/>
        <v>1.1594671115454924</v>
      </c>
      <c r="LU72" s="31">
        <f t="shared" si="290"/>
        <v>50</v>
      </c>
      <c r="LW72" s="42"/>
      <c r="MA72" s="32">
        <f t="shared" si="291"/>
        <v>3.9629849703030313</v>
      </c>
      <c r="MB72" s="26">
        <f t="shared" si="283"/>
        <v>1.08278277877132</v>
      </c>
    </row>
    <row r="73" spans="1:340" ht="15.75" thickBot="1">
      <c r="A73" t="b">
        <f t="shared" si="285"/>
        <v>1</v>
      </c>
      <c r="B73" s="123" t="s">
        <v>225</v>
      </c>
      <c r="C73" s="39" t="s">
        <v>66</v>
      </c>
      <c r="D73"/>
      <c r="E73" s="97">
        <v>46036</v>
      </c>
      <c r="F73" t="s">
        <v>43</v>
      </c>
      <c r="G73" t="s">
        <v>20</v>
      </c>
      <c r="H73" t="s">
        <v>27</v>
      </c>
      <c r="I73" s="77"/>
      <c r="J73" s="77"/>
      <c r="K73" s="77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24"/>
      <c r="AG73" s="124"/>
      <c r="AH73" s="104"/>
      <c r="AI73" s="104"/>
      <c r="AJ73" s="22">
        <v>0.5</v>
      </c>
      <c r="AK73" s="22"/>
      <c r="AL73" s="22"/>
      <c r="AM73" s="22"/>
      <c r="AN73" s="22"/>
      <c r="AO73" s="104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104"/>
      <c r="BA73" s="104"/>
      <c r="BB73" s="104"/>
      <c r="BC73" s="124">
        <v>0.5</v>
      </c>
      <c r="BD73" s="124"/>
      <c r="BE73" s="104"/>
      <c r="BF73" s="104"/>
      <c r="BG73" s="104"/>
      <c r="BH73" s="104"/>
      <c r="BI73" s="78">
        <f t="shared" si="296"/>
        <v>1</v>
      </c>
      <c r="BJ73" s="105"/>
      <c r="BK73" s="105"/>
      <c r="BL73" s="105"/>
      <c r="BM73" s="105"/>
      <c r="BN73" s="105"/>
      <c r="BO73" s="105"/>
      <c r="BP73" s="105"/>
      <c r="BQ73" s="105"/>
      <c r="BR73" s="105"/>
      <c r="BS73" s="105"/>
      <c r="BT73" s="105"/>
      <c r="BU73" s="105"/>
      <c r="BV73" s="105"/>
      <c r="BW73" s="105"/>
      <c r="BX73" s="105"/>
      <c r="BY73" s="105"/>
      <c r="BZ73" s="105"/>
      <c r="CA73" s="105"/>
      <c r="CB73" s="105"/>
      <c r="CC73" s="105"/>
      <c r="CD73" s="105"/>
      <c r="CE73" s="105"/>
      <c r="CF73" s="120"/>
      <c r="CG73" s="128"/>
      <c r="CH73" s="128"/>
      <c r="CI73" s="105"/>
      <c r="CJ73" s="105"/>
      <c r="CK73" s="105"/>
      <c r="CL73" s="105">
        <v>0.4</v>
      </c>
      <c r="CM73" s="105"/>
      <c r="CN73" s="105"/>
      <c r="CO73" s="105"/>
      <c r="CP73" s="105"/>
      <c r="CQ73" s="105"/>
      <c r="CR73" s="105"/>
      <c r="CS73" s="105"/>
      <c r="CT73" s="105"/>
      <c r="CU73" s="105"/>
      <c r="CV73" s="105"/>
      <c r="CW73" s="105"/>
      <c r="CX73" s="105"/>
      <c r="CY73" s="105"/>
      <c r="CZ73" s="105"/>
      <c r="DA73" s="105"/>
      <c r="DB73" s="105"/>
      <c r="DC73" s="105"/>
      <c r="DD73" s="125">
        <v>0.6</v>
      </c>
      <c r="DE73" s="125"/>
      <c r="DF73" s="105"/>
      <c r="DG73" s="105"/>
      <c r="DH73" s="105"/>
      <c r="DI73" s="105"/>
      <c r="DJ73" s="79">
        <f t="shared" si="286"/>
        <v>1</v>
      </c>
      <c r="DK73" s="108">
        <v>0.84</v>
      </c>
      <c r="DL73" s="108"/>
      <c r="DM73" s="108"/>
      <c r="DN73" s="108"/>
      <c r="DO73" s="108"/>
      <c r="DP73" s="108"/>
      <c r="DQ73" s="108"/>
      <c r="DR73" s="108"/>
      <c r="DS73" s="108"/>
      <c r="DT73" s="108"/>
      <c r="DU73" s="108"/>
      <c r="DV73" s="108"/>
      <c r="DW73" s="108"/>
      <c r="DX73" s="108"/>
      <c r="DY73" s="108"/>
      <c r="DZ73" s="108"/>
      <c r="EA73" s="108"/>
      <c r="EB73" s="108"/>
      <c r="EC73" s="108"/>
      <c r="ED73" s="108"/>
      <c r="EE73" s="108"/>
      <c r="EF73" s="108"/>
      <c r="EG73" s="108"/>
      <c r="EH73" s="129"/>
      <c r="EI73" s="129"/>
      <c r="EJ73" s="108"/>
      <c r="EK73" s="108"/>
      <c r="EL73" s="108"/>
      <c r="EM73" s="108"/>
      <c r="EN73" s="108"/>
      <c r="EO73" s="108"/>
      <c r="EP73" s="108"/>
      <c r="EQ73" s="108"/>
      <c r="ER73" s="108"/>
      <c r="ES73" s="106"/>
      <c r="ET73" s="106"/>
      <c r="EU73" s="106">
        <v>0.13</v>
      </c>
      <c r="EV73" s="106"/>
      <c r="EW73" s="106"/>
      <c r="EX73" s="106"/>
      <c r="EY73" s="106"/>
      <c r="EZ73" s="106"/>
      <c r="FA73" s="106">
        <v>0.01</v>
      </c>
      <c r="FB73" s="106"/>
      <c r="FC73" s="106"/>
      <c r="FD73" s="106"/>
      <c r="FE73" s="126"/>
      <c r="FF73" s="126"/>
      <c r="FG73" s="106"/>
      <c r="FH73" s="106"/>
      <c r="FI73" s="106"/>
      <c r="FJ73" s="106">
        <v>0.02</v>
      </c>
      <c r="FK73" s="17">
        <f t="shared" si="280"/>
        <v>1</v>
      </c>
      <c r="FL73" s="18"/>
      <c r="FM73" s="19">
        <f t="shared" si="119"/>
        <v>1.26</v>
      </c>
      <c r="FN73" s="19">
        <f t="shared" si="120"/>
        <v>0</v>
      </c>
      <c r="FO73" s="19">
        <f t="shared" si="121"/>
        <v>0</v>
      </c>
      <c r="FP73" s="19">
        <f t="shared" si="122"/>
        <v>0</v>
      </c>
      <c r="FQ73" s="19">
        <f t="shared" si="123"/>
        <v>0</v>
      </c>
      <c r="FR73" s="19">
        <f t="shared" si="124"/>
        <v>0</v>
      </c>
      <c r="FS73" s="19">
        <f t="shared" si="125"/>
        <v>0</v>
      </c>
      <c r="FT73" s="19">
        <f t="shared" si="126"/>
        <v>0</v>
      </c>
      <c r="FU73" s="19">
        <f t="shared" si="127"/>
        <v>0</v>
      </c>
      <c r="FV73" s="19">
        <f t="shared" si="128"/>
        <v>0</v>
      </c>
      <c r="FW73" s="19">
        <f t="shared" si="129"/>
        <v>0</v>
      </c>
      <c r="FX73" s="19">
        <f t="shared" si="130"/>
        <v>0</v>
      </c>
      <c r="FY73" s="19">
        <f t="shared" si="131"/>
        <v>0</v>
      </c>
      <c r="FZ73" s="19">
        <f t="shared" si="132"/>
        <v>0</v>
      </c>
      <c r="GA73" s="19">
        <f t="shared" si="133"/>
        <v>0</v>
      </c>
      <c r="GB73" s="19">
        <f t="shared" si="134"/>
        <v>0</v>
      </c>
      <c r="GC73" s="19">
        <f t="shared" si="135"/>
        <v>0</v>
      </c>
      <c r="GD73" s="19">
        <f t="shared" si="136"/>
        <v>0</v>
      </c>
      <c r="GE73" s="19">
        <f t="shared" si="137"/>
        <v>0</v>
      </c>
      <c r="GF73" s="19">
        <f t="shared" si="138"/>
        <v>0</v>
      </c>
      <c r="GG73" s="19">
        <f t="shared" si="139"/>
        <v>0</v>
      </c>
      <c r="GH73" s="19">
        <f t="shared" si="140"/>
        <v>0</v>
      </c>
      <c r="GI73" s="19">
        <f t="shared" si="141"/>
        <v>0</v>
      </c>
      <c r="GJ73" s="19">
        <f t="shared" si="142"/>
        <v>0</v>
      </c>
      <c r="GK73" s="19">
        <f t="shared" si="143"/>
        <v>0</v>
      </c>
      <c r="GL73" s="19">
        <f t="shared" si="144"/>
        <v>0</v>
      </c>
      <c r="GM73" s="19">
        <f t="shared" si="145"/>
        <v>0</v>
      </c>
      <c r="GN73" s="19">
        <f t="shared" si="146"/>
        <v>0.75</v>
      </c>
      <c r="GO73" s="19">
        <f t="shared" si="147"/>
        <v>0.8</v>
      </c>
      <c r="GP73" s="19">
        <f t="shared" si="148"/>
        <v>0</v>
      </c>
      <c r="GQ73" s="19">
        <f t="shared" si="149"/>
        <v>0</v>
      </c>
      <c r="GR73" s="19">
        <f t="shared" si="150"/>
        <v>0</v>
      </c>
      <c r="GS73" s="19">
        <f t="shared" si="151"/>
        <v>0</v>
      </c>
      <c r="GT73" s="19">
        <f t="shared" si="152"/>
        <v>0</v>
      </c>
      <c r="GU73" s="19">
        <f t="shared" si="153"/>
        <v>0</v>
      </c>
      <c r="GV73" s="19">
        <f t="shared" si="154"/>
        <v>0</v>
      </c>
      <c r="GW73" s="19">
        <f t="shared" si="155"/>
        <v>0.19500000000000001</v>
      </c>
      <c r="GX73" s="19">
        <f t="shared" si="156"/>
        <v>0</v>
      </c>
      <c r="GY73" s="19">
        <f t="shared" si="157"/>
        <v>0</v>
      </c>
      <c r="GZ73" s="19">
        <f t="shared" si="158"/>
        <v>0</v>
      </c>
      <c r="HA73" s="19">
        <f t="shared" si="159"/>
        <v>0</v>
      </c>
      <c r="HB73" s="19">
        <f t="shared" si="160"/>
        <v>0</v>
      </c>
      <c r="HC73" s="19">
        <f t="shared" si="161"/>
        <v>1.4999999999999999E-2</v>
      </c>
      <c r="HD73" s="19">
        <f t="shared" si="162"/>
        <v>0</v>
      </c>
      <c r="HE73" s="19">
        <f t="shared" si="163"/>
        <v>0</v>
      </c>
      <c r="HF73" s="19">
        <f t="shared" si="164"/>
        <v>0</v>
      </c>
      <c r="HG73" s="19">
        <f t="shared" si="165"/>
        <v>1.95</v>
      </c>
      <c r="HH73" s="19">
        <f t="shared" si="166"/>
        <v>0</v>
      </c>
      <c r="HI73" s="19">
        <f t="shared" si="167"/>
        <v>0</v>
      </c>
      <c r="HJ73" s="19">
        <f t="shared" si="168"/>
        <v>0</v>
      </c>
      <c r="HK73" s="19">
        <f t="shared" si="169"/>
        <v>0</v>
      </c>
      <c r="HL73" s="19">
        <f t="shared" si="170"/>
        <v>0.03</v>
      </c>
      <c r="HM73" s="20">
        <f t="shared" si="171"/>
        <v>5</v>
      </c>
      <c r="HN73" s="53">
        <v>618</v>
      </c>
      <c r="HO73" s="21">
        <f t="shared" si="172"/>
        <v>155.73599999999999</v>
      </c>
      <c r="HP73" s="21">
        <f t="shared" si="173"/>
        <v>0</v>
      </c>
      <c r="HQ73" s="21">
        <f t="shared" si="174"/>
        <v>0</v>
      </c>
      <c r="HR73" s="21">
        <f t="shared" si="175"/>
        <v>0</v>
      </c>
      <c r="HS73" s="21">
        <f t="shared" si="176"/>
        <v>0</v>
      </c>
      <c r="HT73" s="69">
        <f t="shared" si="177"/>
        <v>0</v>
      </c>
      <c r="HU73" s="21">
        <f t="shared" si="178"/>
        <v>0</v>
      </c>
      <c r="HV73" s="21">
        <f t="shared" si="179"/>
        <v>0</v>
      </c>
      <c r="HW73" s="21">
        <f t="shared" si="180"/>
        <v>0</v>
      </c>
      <c r="HX73" s="21">
        <f t="shared" si="181"/>
        <v>0</v>
      </c>
      <c r="HY73" s="21">
        <f t="shared" si="182"/>
        <v>0</v>
      </c>
      <c r="HZ73" s="21">
        <f t="shared" si="183"/>
        <v>0</v>
      </c>
      <c r="IA73" s="21">
        <f t="shared" si="184"/>
        <v>0</v>
      </c>
      <c r="IB73" s="21">
        <f t="shared" si="185"/>
        <v>0</v>
      </c>
      <c r="IC73" s="21">
        <f t="shared" si="186"/>
        <v>0</v>
      </c>
      <c r="ID73" s="21">
        <f t="shared" si="187"/>
        <v>0</v>
      </c>
      <c r="IE73" s="21">
        <f t="shared" si="188"/>
        <v>0</v>
      </c>
      <c r="IF73" s="69">
        <f t="shared" si="189"/>
        <v>0</v>
      </c>
      <c r="IG73" s="69">
        <f t="shared" si="190"/>
        <v>0</v>
      </c>
      <c r="IH73" s="69">
        <f t="shared" si="191"/>
        <v>0</v>
      </c>
      <c r="II73" s="21">
        <f t="shared" si="192"/>
        <v>0</v>
      </c>
      <c r="IJ73" s="21">
        <f t="shared" si="193"/>
        <v>0</v>
      </c>
      <c r="IK73" s="21">
        <f t="shared" si="194"/>
        <v>0</v>
      </c>
      <c r="IL73" s="21">
        <f t="shared" si="195"/>
        <v>0</v>
      </c>
      <c r="IM73" s="21">
        <f t="shared" si="196"/>
        <v>0</v>
      </c>
      <c r="IN73" s="21">
        <f t="shared" si="197"/>
        <v>0</v>
      </c>
      <c r="IO73" s="21">
        <f t="shared" si="198"/>
        <v>0</v>
      </c>
      <c r="IP73" s="21">
        <f t="shared" si="199"/>
        <v>92.7</v>
      </c>
      <c r="IQ73" s="21">
        <f t="shared" si="200"/>
        <v>98.88000000000001</v>
      </c>
      <c r="IR73" s="21">
        <f t="shared" si="201"/>
        <v>0</v>
      </c>
      <c r="IS73" s="21">
        <f t="shared" si="202"/>
        <v>0</v>
      </c>
      <c r="IT73" s="21">
        <f t="shared" si="203"/>
        <v>0</v>
      </c>
      <c r="IU73" s="21">
        <f t="shared" si="204"/>
        <v>0</v>
      </c>
      <c r="IV73" s="21">
        <f t="shared" si="205"/>
        <v>0</v>
      </c>
      <c r="IW73" s="21">
        <f t="shared" si="206"/>
        <v>0</v>
      </c>
      <c r="IX73" s="21">
        <f t="shared" si="207"/>
        <v>0</v>
      </c>
      <c r="IY73" s="21">
        <f t="shared" si="208"/>
        <v>24.102</v>
      </c>
      <c r="IZ73" s="21">
        <f t="shared" si="209"/>
        <v>0</v>
      </c>
      <c r="JA73" s="21">
        <f t="shared" si="210"/>
        <v>0</v>
      </c>
      <c r="JB73" s="21">
        <f t="shared" si="211"/>
        <v>0</v>
      </c>
      <c r="JC73" s="21">
        <f t="shared" si="212"/>
        <v>0</v>
      </c>
      <c r="JD73" s="21">
        <f t="shared" si="213"/>
        <v>0</v>
      </c>
      <c r="JE73" s="21">
        <f t="shared" si="214"/>
        <v>1.8539999999999999</v>
      </c>
      <c r="JF73" s="21">
        <f t="shared" si="215"/>
        <v>0</v>
      </c>
      <c r="JG73" s="21">
        <f t="shared" si="216"/>
        <v>0</v>
      </c>
      <c r="JH73" s="21">
        <f t="shared" si="217"/>
        <v>0</v>
      </c>
      <c r="JI73" s="21">
        <f t="shared" si="218"/>
        <v>241.01999999999998</v>
      </c>
      <c r="JJ73" s="21">
        <f t="shared" si="219"/>
        <v>0</v>
      </c>
      <c r="JK73" s="21">
        <f t="shared" si="220"/>
        <v>0</v>
      </c>
      <c r="JL73" s="21">
        <f t="shared" si="221"/>
        <v>0</v>
      </c>
      <c r="JM73" s="21">
        <f t="shared" si="222"/>
        <v>0</v>
      </c>
      <c r="JN73" s="21">
        <f t="shared" si="223"/>
        <v>3.7079999999999997</v>
      </c>
      <c r="JO73" s="35">
        <f t="shared" si="287"/>
        <v>617.99999999999989</v>
      </c>
      <c r="JP73" s="38">
        <f t="shared" si="288"/>
        <v>0</v>
      </c>
      <c r="JQ73" s="43">
        <f t="shared" si="224"/>
        <v>629.56277999999998</v>
      </c>
      <c r="JR73" s="43">
        <f t="shared" si="225"/>
        <v>0</v>
      </c>
      <c r="JS73" s="43">
        <f t="shared" si="226"/>
        <v>0</v>
      </c>
      <c r="JT73" s="43">
        <f t="shared" si="227"/>
        <v>0</v>
      </c>
      <c r="JU73" s="43">
        <f t="shared" si="228"/>
        <v>0</v>
      </c>
      <c r="JV73" s="43">
        <f t="shared" si="229"/>
        <v>0</v>
      </c>
      <c r="JW73" s="43">
        <f t="shared" si="230"/>
        <v>0</v>
      </c>
      <c r="JX73" s="43">
        <f t="shared" si="231"/>
        <v>0</v>
      </c>
      <c r="JY73" s="43">
        <f t="shared" si="232"/>
        <v>0</v>
      </c>
      <c r="JZ73" s="43">
        <f t="shared" si="233"/>
        <v>0</v>
      </c>
      <c r="KA73" s="43">
        <f t="shared" si="234"/>
        <v>0</v>
      </c>
      <c r="KB73" s="43">
        <f t="shared" si="235"/>
        <v>0</v>
      </c>
      <c r="KC73" s="43">
        <f t="shared" si="236"/>
        <v>0</v>
      </c>
      <c r="KD73" s="43">
        <f t="shared" si="237"/>
        <v>0</v>
      </c>
      <c r="KE73" s="43">
        <f t="shared" si="238"/>
        <v>0</v>
      </c>
      <c r="KF73" s="43">
        <f t="shared" si="239"/>
        <v>0</v>
      </c>
      <c r="KG73" s="43">
        <f t="shared" si="240"/>
        <v>0</v>
      </c>
      <c r="KH73" s="43">
        <f t="shared" si="241"/>
        <v>0</v>
      </c>
      <c r="KI73" s="43">
        <f t="shared" si="242"/>
        <v>0</v>
      </c>
      <c r="KJ73" s="43">
        <f t="shared" si="243"/>
        <v>0</v>
      </c>
      <c r="KK73" s="43">
        <f t="shared" si="244"/>
        <v>0</v>
      </c>
      <c r="KL73" s="43">
        <f t="shared" si="245"/>
        <v>0</v>
      </c>
      <c r="KM73" s="43">
        <f t="shared" si="246"/>
        <v>0</v>
      </c>
      <c r="KN73" s="43">
        <f t="shared" si="247"/>
        <v>0</v>
      </c>
      <c r="KO73" s="43">
        <f t="shared" si="248"/>
        <v>0</v>
      </c>
      <c r="KP73" s="43">
        <f t="shared" si="249"/>
        <v>0</v>
      </c>
      <c r="KQ73" s="43">
        <f t="shared" si="250"/>
        <v>0</v>
      </c>
      <c r="KR73" s="43">
        <f t="shared" si="251"/>
        <v>357.822</v>
      </c>
      <c r="KS73" s="43">
        <f t="shared" si="252"/>
        <v>338.10344828121214</v>
      </c>
      <c r="KT73" s="43">
        <f t="shared" si="253"/>
        <v>0</v>
      </c>
      <c r="KU73" s="43">
        <f t="shared" si="254"/>
        <v>0</v>
      </c>
      <c r="KV73" s="43">
        <f t="shared" si="255"/>
        <v>0</v>
      </c>
      <c r="KW73" s="43">
        <f t="shared" si="256"/>
        <v>0</v>
      </c>
      <c r="KX73" s="43">
        <f t="shared" si="257"/>
        <v>0</v>
      </c>
      <c r="KY73" s="43">
        <f t="shared" si="258"/>
        <v>0</v>
      </c>
      <c r="KZ73" s="43">
        <f t="shared" si="259"/>
        <v>0</v>
      </c>
      <c r="LA73" s="43">
        <f t="shared" si="260"/>
        <v>96.572857679999984</v>
      </c>
      <c r="LB73" s="43">
        <f t="shared" si="261"/>
        <v>0</v>
      </c>
      <c r="LC73" s="43">
        <f t="shared" si="262"/>
        <v>0</v>
      </c>
      <c r="LD73" s="43">
        <f t="shared" si="263"/>
        <v>0</v>
      </c>
      <c r="LE73" s="43">
        <f t="shared" si="264"/>
        <v>0</v>
      </c>
      <c r="LF73" s="43">
        <f t="shared" si="265"/>
        <v>0</v>
      </c>
      <c r="LG73" s="43">
        <f t="shared" si="266"/>
        <v>19.133279999999999</v>
      </c>
      <c r="LH73" s="43">
        <f t="shared" si="267"/>
        <v>0</v>
      </c>
      <c r="LI73" s="43">
        <f t="shared" si="268"/>
        <v>0</v>
      </c>
      <c r="LJ73" s="43">
        <f t="shared" si="269"/>
        <v>0</v>
      </c>
      <c r="LK73" s="43">
        <f t="shared" si="270"/>
        <v>965.46586499999989</v>
      </c>
      <c r="LL73" s="43">
        <f t="shared" si="271"/>
        <v>0</v>
      </c>
      <c r="LM73" s="43">
        <f t="shared" si="272"/>
        <v>0</v>
      </c>
      <c r="LN73" s="43">
        <f t="shared" si="273"/>
        <v>0</v>
      </c>
      <c r="LO73" s="43">
        <f t="shared" si="274"/>
        <v>0</v>
      </c>
      <c r="LP73" s="43">
        <f t="shared" si="275"/>
        <v>31.332599999999996</v>
      </c>
      <c r="LQ73" s="28">
        <f t="shared" si="289"/>
        <v>2437.9928309612119</v>
      </c>
      <c r="LR73" s="65">
        <v>578</v>
      </c>
      <c r="LS73" s="32">
        <f t="shared" si="281"/>
        <v>4.2179806764034806</v>
      </c>
      <c r="LT73" s="26">
        <f t="shared" si="282"/>
        <v>1.1524537367222625</v>
      </c>
      <c r="LU73" s="31">
        <f t="shared" si="290"/>
        <v>40</v>
      </c>
      <c r="LW73" s="42"/>
      <c r="MA73" s="32">
        <f t="shared" si="291"/>
        <v>3.9449722183838389</v>
      </c>
      <c r="MB73" s="26">
        <f t="shared" si="283"/>
        <v>1.0778612618535079</v>
      </c>
    </row>
    <row r="74" spans="1:340" ht="15.75" thickBot="1">
      <c r="A74" t="b">
        <f t="shared" si="285"/>
        <v>1</v>
      </c>
      <c r="B74" s="123" t="s">
        <v>226</v>
      </c>
      <c r="C74" s="39" t="s">
        <v>227</v>
      </c>
      <c r="D74"/>
      <c r="E74" s="97">
        <v>46033</v>
      </c>
      <c r="F74" t="s">
        <v>21</v>
      </c>
      <c r="G74" t="s">
        <v>20</v>
      </c>
      <c r="H74" t="s">
        <v>27</v>
      </c>
      <c r="I74" s="77"/>
      <c r="J74" s="77"/>
      <c r="K74" s="77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24"/>
      <c r="AG74" s="124"/>
      <c r="AH74" s="104"/>
      <c r="AI74" s="104"/>
      <c r="AJ74" s="104">
        <v>0.4</v>
      </c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22"/>
      <c r="AZ74" s="22"/>
      <c r="BA74" s="98"/>
      <c r="BB74" s="98"/>
      <c r="BC74" s="124">
        <v>0.59</v>
      </c>
      <c r="BD74" s="124"/>
      <c r="BE74" s="104"/>
      <c r="BF74" s="22"/>
      <c r="BG74" s="22"/>
      <c r="BH74" s="104">
        <v>0.01</v>
      </c>
      <c r="BI74" s="78">
        <f t="shared" si="296"/>
        <v>1</v>
      </c>
      <c r="BJ74" s="105"/>
      <c r="BK74" s="105"/>
      <c r="BL74" s="105"/>
      <c r="BM74" s="105"/>
      <c r="BN74" s="105"/>
      <c r="BO74" s="105"/>
      <c r="BP74" s="105"/>
      <c r="BQ74" s="105"/>
      <c r="BR74" s="105"/>
      <c r="BS74" s="105"/>
      <c r="BT74" s="105"/>
      <c r="BU74" s="105"/>
      <c r="BV74" s="105"/>
      <c r="BW74" s="105"/>
      <c r="BX74" s="105"/>
      <c r="BY74" s="105"/>
      <c r="BZ74" s="105"/>
      <c r="CA74" s="105"/>
      <c r="CB74" s="105"/>
      <c r="CC74" s="105"/>
      <c r="CD74" s="105"/>
      <c r="CE74" s="105"/>
      <c r="CF74" s="120"/>
      <c r="CG74" s="128"/>
      <c r="CH74" s="128"/>
      <c r="CI74" s="105"/>
      <c r="CJ74" s="105"/>
      <c r="CK74" s="105"/>
      <c r="CL74" s="105">
        <v>0.35</v>
      </c>
      <c r="CM74" s="105"/>
      <c r="CN74" s="105"/>
      <c r="CO74" s="105"/>
      <c r="CP74" s="105"/>
      <c r="CQ74" s="105"/>
      <c r="CR74" s="105"/>
      <c r="CS74" s="105"/>
      <c r="CT74" s="105"/>
      <c r="CU74" s="105"/>
      <c r="CV74" s="105"/>
      <c r="CW74" s="105"/>
      <c r="CX74" s="105"/>
      <c r="CY74" s="105"/>
      <c r="CZ74" s="105"/>
      <c r="DA74" s="105"/>
      <c r="DB74" s="105"/>
      <c r="DC74" s="105">
        <v>0.15</v>
      </c>
      <c r="DD74" s="125">
        <v>0.5</v>
      </c>
      <c r="DE74" s="125"/>
      <c r="DF74" s="105"/>
      <c r="DG74" s="105"/>
      <c r="DH74" s="105"/>
      <c r="DI74" s="105"/>
      <c r="DJ74" s="79">
        <f t="shared" si="286"/>
        <v>1</v>
      </c>
      <c r="DK74" s="108"/>
      <c r="DL74" s="108"/>
      <c r="DM74" s="108"/>
      <c r="DN74" s="108">
        <v>0.4</v>
      </c>
      <c r="DO74" s="108"/>
      <c r="DP74" s="108"/>
      <c r="DQ74" s="108"/>
      <c r="DR74" s="108"/>
      <c r="DS74" s="108">
        <v>0.4</v>
      </c>
      <c r="DT74" s="108"/>
      <c r="DU74" s="108"/>
      <c r="DV74" s="108"/>
      <c r="DW74" s="108"/>
      <c r="DX74" s="108"/>
      <c r="DY74" s="108"/>
      <c r="DZ74" s="108"/>
      <c r="EA74" s="108"/>
      <c r="EB74" s="108"/>
      <c r="EC74" s="108"/>
      <c r="ED74" s="108"/>
      <c r="EE74" s="108"/>
      <c r="EF74" s="108"/>
      <c r="EG74" s="108"/>
      <c r="EH74" s="129"/>
      <c r="EI74" s="129"/>
      <c r="EJ74" s="108"/>
      <c r="EK74" s="108"/>
      <c r="EL74" s="108"/>
      <c r="EM74" s="108"/>
      <c r="EN74" s="108"/>
      <c r="EO74" s="108"/>
      <c r="EP74" s="108"/>
      <c r="EQ74" s="108"/>
      <c r="ER74" s="108"/>
      <c r="ES74" s="106"/>
      <c r="ET74" s="106"/>
      <c r="EU74" s="106">
        <v>0.17499999999999999</v>
      </c>
      <c r="EV74" s="106"/>
      <c r="EW74" s="106"/>
      <c r="EX74" s="106"/>
      <c r="EY74" s="106"/>
      <c r="EZ74" s="106"/>
      <c r="FA74" s="106">
        <v>5.0000000000000001E-3</v>
      </c>
      <c r="FB74" s="106"/>
      <c r="FC74" s="106"/>
      <c r="FD74" s="106"/>
      <c r="FE74" s="126"/>
      <c r="FF74" s="126"/>
      <c r="FG74" s="106"/>
      <c r="FH74" s="106"/>
      <c r="FI74" s="106"/>
      <c r="FJ74" s="106">
        <v>0.02</v>
      </c>
      <c r="FK74" s="17">
        <f t="shared" si="280"/>
        <v>1</v>
      </c>
      <c r="FL74" s="18"/>
      <c r="FM74" s="19">
        <f t="shared" si="119"/>
        <v>0</v>
      </c>
      <c r="FN74" s="19">
        <f t="shared" si="120"/>
        <v>0</v>
      </c>
      <c r="FO74" s="19">
        <f t="shared" si="121"/>
        <v>0</v>
      </c>
      <c r="FP74" s="19">
        <f t="shared" si="122"/>
        <v>0.60000000000000009</v>
      </c>
      <c r="FQ74" s="19">
        <f t="shared" si="123"/>
        <v>0</v>
      </c>
      <c r="FR74" s="19">
        <f t="shared" si="124"/>
        <v>0</v>
      </c>
      <c r="FS74" s="19">
        <f t="shared" si="125"/>
        <v>0</v>
      </c>
      <c r="FT74" s="19">
        <f t="shared" si="126"/>
        <v>0</v>
      </c>
      <c r="FU74" s="19">
        <f t="shared" si="127"/>
        <v>0.60000000000000009</v>
      </c>
      <c r="FV74" s="19">
        <f t="shared" si="128"/>
        <v>0</v>
      </c>
      <c r="FW74" s="19">
        <f t="shared" si="129"/>
        <v>0</v>
      </c>
      <c r="FX74" s="19">
        <f t="shared" si="130"/>
        <v>0</v>
      </c>
      <c r="FY74" s="19">
        <f t="shared" si="131"/>
        <v>0</v>
      </c>
      <c r="FZ74" s="19">
        <f t="shared" si="132"/>
        <v>0</v>
      </c>
      <c r="GA74" s="19">
        <f t="shared" si="133"/>
        <v>0</v>
      </c>
      <c r="GB74" s="19">
        <f t="shared" si="134"/>
        <v>0</v>
      </c>
      <c r="GC74" s="19">
        <f t="shared" si="135"/>
        <v>0</v>
      </c>
      <c r="GD74" s="19">
        <f t="shared" si="136"/>
        <v>0</v>
      </c>
      <c r="GE74" s="19">
        <f t="shared" si="137"/>
        <v>0</v>
      </c>
      <c r="GF74" s="19">
        <f t="shared" si="138"/>
        <v>0</v>
      </c>
      <c r="GG74" s="19">
        <f t="shared" si="139"/>
        <v>0</v>
      </c>
      <c r="GH74" s="19">
        <f t="shared" si="140"/>
        <v>0</v>
      </c>
      <c r="GI74" s="19">
        <f t="shared" si="141"/>
        <v>0</v>
      </c>
      <c r="GJ74" s="19">
        <f t="shared" si="142"/>
        <v>0</v>
      </c>
      <c r="GK74" s="19">
        <f t="shared" si="143"/>
        <v>0</v>
      </c>
      <c r="GL74" s="19">
        <f t="shared" si="144"/>
        <v>0</v>
      </c>
      <c r="GM74" s="19">
        <f t="shared" si="145"/>
        <v>0</v>
      </c>
      <c r="GN74" s="19">
        <f t="shared" si="146"/>
        <v>0.60000000000000009</v>
      </c>
      <c r="GO74" s="19">
        <f t="shared" si="147"/>
        <v>0.7</v>
      </c>
      <c r="GP74" s="19">
        <f t="shared" si="148"/>
        <v>0</v>
      </c>
      <c r="GQ74" s="19">
        <f t="shared" si="149"/>
        <v>0</v>
      </c>
      <c r="GR74" s="19">
        <f t="shared" si="150"/>
        <v>0</v>
      </c>
      <c r="GS74" s="19">
        <f t="shared" si="151"/>
        <v>0</v>
      </c>
      <c r="GT74" s="19">
        <f t="shared" si="152"/>
        <v>0</v>
      </c>
      <c r="GU74" s="19">
        <f t="shared" si="153"/>
        <v>0</v>
      </c>
      <c r="GV74" s="19">
        <f t="shared" si="154"/>
        <v>0</v>
      </c>
      <c r="GW74" s="19">
        <f t="shared" si="155"/>
        <v>0.26249999999999996</v>
      </c>
      <c r="GX74" s="19">
        <f t="shared" si="156"/>
        <v>0</v>
      </c>
      <c r="GY74" s="19">
        <f t="shared" si="157"/>
        <v>0</v>
      </c>
      <c r="GZ74" s="19">
        <f t="shared" si="158"/>
        <v>0</v>
      </c>
      <c r="HA74" s="19">
        <f t="shared" si="159"/>
        <v>0</v>
      </c>
      <c r="HB74" s="19">
        <f t="shared" si="160"/>
        <v>0</v>
      </c>
      <c r="HC74" s="19">
        <f t="shared" si="161"/>
        <v>7.4999999999999997E-3</v>
      </c>
      <c r="HD74" s="19">
        <f t="shared" si="162"/>
        <v>0</v>
      </c>
      <c r="HE74" s="19">
        <f t="shared" si="163"/>
        <v>0</v>
      </c>
      <c r="HF74" s="19">
        <f t="shared" si="164"/>
        <v>0.3</v>
      </c>
      <c r="HG74" s="19">
        <f t="shared" si="165"/>
        <v>1.885</v>
      </c>
      <c r="HH74" s="19">
        <f t="shared" si="166"/>
        <v>0</v>
      </c>
      <c r="HI74" s="19">
        <f t="shared" si="167"/>
        <v>0</v>
      </c>
      <c r="HJ74" s="19">
        <f t="shared" si="168"/>
        <v>0</v>
      </c>
      <c r="HK74" s="19">
        <f t="shared" si="169"/>
        <v>0</v>
      </c>
      <c r="HL74" s="19">
        <f t="shared" si="170"/>
        <v>4.4999999999999998E-2</v>
      </c>
      <c r="HM74" s="20">
        <f t="shared" si="171"/>
        <v>5</v>
      </c>
      <c r="HN74" s="53">
        <v>76.5</v>
      </c>
      <c r="HO74" s="21">
        <f t="shared" si="172"/>
        <v>0</v>
      </c>
      <c r="HP74" s="21">
        <f t="shared" si="173"/>
        <v>0</v>
      </c>
      <c r="HQ74" s="21">
        <f t="shared" si="174"/>
        <v>0</v>
      </c>
      <c r="HR74" s="21">
        <f t="shared" si="175"/>
        <v>9.1800000000000015</v>
      </c>
      <c r="HS74" s="21">
        <f t="shared" si="176"/>
        <v>0</v>
      </c>
      <c r="HT74" s="69">
        <f t="shared" si="177"/>
        <v>0</v>
      </c>
      <c r="HU74" s="21">
        <f t="shared" si="178"/>
        <v>0</v>
      </c>
      <c r="HV74" s="21">
        <f t="shared" si="179"/>
        <v>0</v>
      </c>
      <c r="HW74" s="21">
        <f t="shared" si="180"/>
        <v>9.1800000000000015</v>
      </c>
      <c r="HX74" s="21">
        <f t="shared" si="181"/>
        <v>0</v>
      </c>
      <c r="HY74" s="21">
        <f t="shared" si="182"/>
        <v>0</v>
      </c>
      <c r="HZ74" s="21">
        <f t="shared" si="183"/>
        <v>0</v>
      </c>
      <c r="IA74" s="21">
        <f t="shared" si="184"/>
        <v>0</v>
      </c>
      <c r="IB74" s="21">
        <f t="shared" si="185"/>
        <v>0</v>
      </c>
      <c r="IC74" s="21">
        <f t="shared" si="186"/>
        <v>0</v>
      </c>
      <c r="ID74" s="21">
        <f t="shared" si="187"/>
        <v>0</v>
      </c>
      <c r="IE74" s="21">
        <f t="shared" si="188"/>
        <v>0</v>
      </c>
      <c r="IF74" s="69">
        <f t="shared" si="189"/>
        <v>0</v>
      </c>
      <c r="IG74" s="69">
        <f t="shared" si="190"/>
        <v>0</v>
      </c>
      <c r="IH74" s="69">
        <f t="shared" si="191"/>
        <v>0</v>
      </c>
      <c r="II74" s="21">
        <f t="shared" si="192"/>
        <v>0</v>
      </c>
      <c r="IJ74" s="21">
        <f t="shared" si="193"/>
        <v>0</v>
      </c>
      <c r="IK74" s="21">
        <f t="shared" si="194"/>
        <v>0</v>
      </c>
      <c r="IL74" s="21">
        <f t="shared" si="195"/>
        <v>0</v>
      </c>
      <c r="IM74" s="21">
        <f t="shared" si="196"/>
        <v>0</v>
      </c>
      <c r="IN74" s="21">
        <f t="shared" si="197"/>
        <v>0</v>
      </c>
      <c r="IO74" s="21">
        <f t="shared" si="198"/>
        <v>0</v>
      </c>
      <c r="IP74" s="21">
        <f t="shared" si="199"/>
        <v>9.1800000000000015</v>
      </c>
      <c r="IQ74" s="21">
        <f t="shared" si="200"/>
        <v>10.709999999999999</v>
      </c>
      <c r="IR74" s="21">
        <f t="shared" si="201"/>
        <v>0</v>
      </c>
      <c r="IS74" s="21">
        <f t="shared" si="202"/>
        <v>0</v>
      </c>
      <c r="IT74" s="21">
        <f t="shared" si="203"/>
        <v>0</v>
      </c>
      <c r="IU74" s="21">
        <f t="shared" si="204"/>
        <v>0</v>
      </c>
      <c r="IV74" s="21">
        <f t="shared" si="205"/>
        <v>0</v>
      </c>
      <c r="IW74" s="21">
        <f t="shared" si="206"/>
        <v>0</v>
      </c>
      <c r="IX74" s="21">
        <f t="shared" si="207"/>
        <v>0</v>
      </c>
      <c r="IY74" s="21">
        <f t="shared" si="208"/>
        <v>4.0162499999999994</v>
      </c>
      <c r="IZ74" s="21">
        <f t="shared" si="209"/>
        <v>0</v>
      </c>
      <c r="JA74" s="21">
        <f t="shared" si="210"/>
        <v>0</v>
      </c>
      <c r="JB74" s="21">
        <f t="shared" si="211"/>
        <v>0</v>
      </c>
      <c r="JC74" s="21">
        <f t="shared" si="212"/>
        <v>0</v>
      </c>
      <c r="JD74" s="21">
        <f t="shared" si="213"/>
        <v>0</v>
      </c>
      <c r="JE74" s="21">
        <f t="shared" si="214"/>
        <v>0.11474999999999999</v>
      </c>
      <c r="JF74" s="21">
        <f t="shared" si="215"/>
        <v>0</v>
      </c>
      <c r="JG74" s="21">
        <f t="shared" si="216"/>
        <v>0</v>
      </c>
      <c r="JH74" s="21">
        <f t="shared" si="217"/>
        <v>4.59</v>
      </c>
      <c r="JI74" s="21">
        <f t="shared" si="218"/>
        <v>28.840500000000002</v>
      </c>
      <c r="JJ74" s="21">
        <f t="shared" si="219"/>
        <v>0</v>
      </c>
      <c r="JK74" s="21">
        <f t="shared" si="220"/>
        <v>0</v>
      </c>
      <c r="JL74" s="21">
        <f t="shared" si="221"/>
        <v>0</v>
      </c>
      <c r="JM74" s="21">
        <f t="shared" si="222"/>
        <v>0</v>
      </c>
      <c r="JN74" s="21">
        <f t="shared" si="223"/>
        <v>0.6885</v>
      </c>
      <c r="JO74" s="35">
        <f t="shared" si="287"/>
        <v>76.500000000000014</v>
      </c>
      <c r="JP74" s="38">
        <f t="shared" si="288"/>
        <v>0</v>
      </c>
      <c r="JQ74" s="43">
        <f t="shared" si="224"/>
        <v>0</v>
      </c>
      <c r="JR74" s="43">
        <f t="shared" si="225"/>
        <v>0</v>
      </c>
      <c r="JS74" s="43">
        <f t="shared" si="226"/>
        <v>0</v>
      </c>
      <c r="JT74" s="43">
        <f t="shared" si="227"/>
        <v>39.482445600000013</v>
      </c>
      <c r="JU74" s="43">
        <f t="shared" si="228"/>
        <v>0</v>
      </c>
      <c r="JV74" s="43">
        <f t="shared" si="229"/>
        <v>0</v>
      </c>
      <c r="JW74" s="43">
        <f t="shared" si="230"/>
        <v>0</v>
      </c>
      <c r="JX74" s="43">
        <f t="shared" si="231"/>
        <v>0</v>
      </c>
      <c r="JY74" s="43">
        <f t="shared" si="232"/>
        <v>42.519556800000004</v>
      </c>
      <c r="JZ74" s="43">
        <f t="shared" si="233"/>
        <v>0</v>
      </c>
      <c r="KA74" s="43">
        <f t="shared" si="234"/>
        <v>0</v>
      </c>
      <c r="KB74" s="43">
        <f t="shared" si="235"/>
        <v>0</v>
      </c>
      <c r="KC74" s="43">
        <f t="shared" si="236"/>
        <v>0</v>
      </c>
      <c r="KD74" s="43">
        <f t="shared" si="237"/>
        <v>0</v>
      </c>
      <c r="KE74" s="43">
        <f t="shared" si="238"/>
        <v>0</v>
      </c>
      <c r="KF74" s="43">
        <f t="shared" si="239"/>
        <v>0</v>
      </c>
      <c r="KG74" s="43">
        <f t="shared" si="240"/>
        <v>0</v>
      </c>
      <c r="KH74" s="43">
        <f t="shared" si="241"/>
        <v>0</v>
      </c>
      <c r="KI74" s="43">
        <f t="shared" si="242"/>
        <v>0</v>
      </c>
      <c r="KJ74" s="43">
        <f t="shared" si="243"/>
        <v>0</v>
      </c>
      <c r="KK74" s="43">
        <f t="shared" si="244"/>
        <v>0</v>
      </c>
      <c r="KL74" s="43">
        <f t="shared" si="245"/>
        <v>0</v>
      </c>
      <c r="KM74" s="43">
        <f t="shared" si="246"/>
        <v>0</v>
      </c>
      <c r="KN74" s="43">
        <f t="shared" si="247"/>
        <v>0</v>
      </c>
      <c r="KO74" s="43">
        <f t="shared" si="248"/>
        <v>0</v>
      </c>
      <c r="KP74" s="43">
        <f t="shared" si="249"/>
        <v>0</v>
      </c>
      <c r="KQ74" s="43">
        <f t="shared" si="250"/>
        <v>0</v>
      </c>
      <c r="KR74" s="43">
        <f t="shared" si="251"/>
        <v>35.434800000000003</v>
      </c>
      <c r="KS74" s="43">
        <f t="shared" si="252"/>
        <v>36.621034901818177</v>
      </c>
      <c r="KT74" s="43">
        <f t="shared" si="253"/>
        <v>0</v>
      </c>
      <c r="KU74" s="43">
        <f t="shared" si="254"/>
        <v>0</v>
      </c>
      <c r="KV74" s="43">
        <f t="shared" si="255"/>
        <v>0</v>
      </c>
      <c r="KW74" s="43">
        <f t="shared" si="256"/>
        <v>0</v>
      </c>
      <c r="KX74" s="43">
        <f t="shared" si="257"/>
        <v>0</v>
      </c>
      <c r="KY74" s="43">
        <f t="shared" si="258"/>
        <v>0</v>
      </c>
      <c r="KZ74" s="43">
        <f t="shared" si="259"/>
        <v>0</v>
      </c>
      <c r="LA74" s="43">
        <f t="shared" si="260"/>
        <v>16.092471149999994</v>
      </c>
      <c r="LB74" s="43">
        <f t="shared" si="261"/>
        <v>0</v>
      </c>
      <c r="LC74" s="43">
        <f t="shared" si="262"/>
        <v>0</v>
      </c>
      <c r="LD74" s="43">
        <f t="shared" si="263"/>
        <v>0</v>
      </c>
      <c r="LE74" s="43">
        <f t="shared" si="264"/>
        <v>0</v>
      </c>
      <c r="LF74" s="43">
        <f t="shared" si="265"/>
        <v>0</v>
      </c>
      <c r="LG74" s="43">
        <f t="shared" si="266"/>
        <v>1.1842199999999998</v>
      </c>
      <c r="LH74" s="43">
        <f t="shared" si="267"/>
        <v>0</v>
      </c>
      <c r="LI74" s="43">
        <f t="shared" si="268"/>
        <v>0</v>
      </c>
      <c r="LJ74" s="43">
        <f t="shared" si="269"/>
        <v>22.103420400000001</v>
      </c>
      <c r="LK74" s="43">
        <f t="shared" si="270"/>
        <v>115.527832875</v>
      </c>
      <c r="LL74" s="43">
        <f t="shared" si="271"/>
        <v>0</v>
      </c>
      <c r="LM74" s="43">
        <f t="shared" si="272"/>
        <v>0</v>
      </c>
      <c r="LN74" s="43">
        <f t="shared" si="273"/>
        <v>0</v>
      </c>
      <c r="LO74" s="43">
        <f t="shared" si="274"/>
        <v>0</v>
      </c>
      <c r="LP74" s="43">
        <f t="shared" si="275"/>
        <v>5.8178249999999991</v>
      </c>
      <c r="LQ74" s="28">
        <f t="shared" si="289"/>
        <v>314.78360672681822</v>
      </c>
      <c r="LR74" s="65">
        <v>48</v>
      </c>
      <c r="LS74" s="32">
        <f t="shared" si="281"/>
        <v>6.5579918068087126</v>
      </c>
      <c r="LT74" s="26">
        <f t="shared" si="282"/>
        <v>1.79180104011167</v>
      </c>
      <c r="LU74" s="31">
        <f t="shared" si="290"/>
        <v>28.5</v>
      </c>
      <c r="LW74" s="42"/>
      <c r="MA74" s="32">
        <f t="shared" si="291"/>
        <v>4.1148183885858582</v>
      </c>
      <c r="MB74" s="26">
        <f t="shared" si="283"/>
        <v>1.1242673192857535</v>
      </c>
    </row>
    <row r="75" spans="1:340" ht="15.75" thickBot="1">
      <c r="A75" t="b">
        <f t="shared" ref="A75:A107" si="297">IF(G75="","",IF(G75="EC1",HM75=500%,HM75=150%))</f>
        <v>1</v>
      </c>
      <c r="B75" s="123" t="s">
        <v>228</v>
      </c>
      <c r="C75" s="39" t="s">
        <v>227</v>
      </c>
      <c r="D75"/>
      <c r="E75" s="97">
        <v>46033</v>
      </c>
      <c r="F75" t="s">
        <v>21</v>
      </c>
      <c r="G75" t="s">
        <v>20</v>
      </c>
      <c r="H75" t="s">
        <v>27</v>
      </c>
      <c r="I75" s="77"/>
      <c r="J75" s="77"/>
      <c r="K75" s="77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24"/>
      <c r="AG75" s="124"/>
      <c r="AH75" s="104"/>
      <c r="AI75" s="104"/>
      <c r="AJ75" s="104">
        <v>0.4</v>
      </c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24">
        <v>0.59</v>
      </c>
      <c r="BD75" s="124"/>
      <c r="BE75" s="104"/>
      <c r="BF75" s="104"/>
      <c r="BG75" s="104"/>
      <c r="BH75" s="104">
        <v>0.01</v>
      </c>
      <c r="BI75" s="78">
        <f t="shared" si="296"/>
        <v>1</v>
      </c>
      <c r="BJ75" s="105"/>
      <c r="BK75" s="105"/>
      <c r="BL75" s="105"/>
      <c r="BM75" s="105"/>
      <c r="BN75" s="105"/>
      <c r="BO75" s="105"/>
      <c r="BP75" s="105"/>
      <c r="BQ75" s="105"/>
      <c r="BR75" s="105"/>
      <c r="BS75" s="105"/>
      <c r="BT75" s="105"/>
      <c r="BU75" s="105"/>
      <c r="BV75" s="105"/>
      <c r="BW75" s="105"/>
      <c r="BX75" s="105"/>
      <c r="BY75" s="105"/>
      <c r="BZ75" s="105"/>
      <c r="CA75" s="105"/>
      <c r="CB75" s="105"/>
      <c r="CC75" s="105"/>
      <c r="CD75" s="105"/>
      <c r="CE75" s="105"/>
      <c r="CF75" s="120"/>
      <c r="CG75" s="128"/>
      <c r="CH75" s="128"/>
      <c r="CI75" s="105"/>
      <c r="CJ75" s="105"/>
      <c r="CK75" s="105"/>
      <c r="CL75" s="105">
        <v>0.35</v>
      </c>
      <c r="CM75" s="105"/>
      <c r="CN75" s="105"/>
      <c r="CO75" s="105"/>
      <c r="CP75" s="105"/>
      <c r="CQ75" s="105"/>
      <c r="CR75" s="105"/>
      <c r="CS75" s="105"/>
      <c r="CT75" s="105"/>
      <c r="CU75" s="105"/>
      <c r="CV75" s="105"/>
      <c r="CW75" s="105"/>
      <c r="CX75" s="105"/>
      <c r="CY75" s="105"/>
      <c r="CZ75" s="105"/>
      <c r="DA75" s="105"/>
      <c r="DB75" s="105"/>
      <c r="DC75" s="105">
        <v>0.15</v>
      </c>
      <c r="DD75" s="125">
        <v>0.5</v>
      </c>
      <c r="DE75" s="125"/>
      <c r="DF75" s="105"/>
      <c r="DG75" s="105"/>
      <c r="DH75" s="105"/>
      <c r="DI75" s="105"/>
      <c r="DJ75" s="79">
        <f t="shared" si="286"/>
        <v>1</v>
      </c>
      <c r="DK75" s="108"/>
      <c r="DL75" s="108"/>
      <c r="DM75" s="108"/>
      <c r="DN75" s="108">
        <v>0.4</v>
      </c>
      <c r="DO75" s="108"/>
      <c r="DP75" s="108"/>
      <c r="DQ75" s="108"/>
      <c r="DR75" s="108"/>
      <c r="DS75" s="108">
        <v>0.4</v>
      </c>
      <c r="DT75" s="108"/>
      <c r="DU75" s="108"/>
      <c r="DV75" s="108"/>
      <c r="DW75" s="108"/>
      <c r="DX75" s="108"/>
      <c r="DY75" s="108"/>
      <c r="DZ75" s="108"/>
      <c r="EA75" s="108"/>
      <c r="EB75" s="108"/>
      <c r="EC75" s="108"/>
      <c r="ED75" s="108"/>
      <c r="EE75" s="108"/>
      <c r="EF75" s="108"/>
      <c r="EG75" s="108"/>
      <c r="EH75" s="129"/>
      <c r="EI75" s="129"/>
      <c r="EJ75" s="108"/>
      <c r="EK75" s="108"/>
      <c r="EL75" s="108"/>
      <c r="EM75" s="108"/>
      <c r="EN75" s="108"/>
      <c r="EO75" s="108"/>
      <c r="EP75" s="108"/>
      <c r="EQ75" s="108"/>
      <c r="ER75" s="108"/>
      <c r="ES75" s="106"/>
      <c r="ET75" s="106"/>
      <c r="EU75" s="106">
        <v>0.17499999999999999</v>
      </c>
      <c r="EV75" s="106"/>
      <c r="EW75" s="106"/>
      <c r="EX75" s="106"/>
      <c r="EY75" s="106"/>
      <c r="EZ75" s="106"/>
      <c r="FA75" s="106">
        <v>5.0000000000000001E-3</v>
      </c>
      <c r="FB75" s="106"/>
      <c r="FC75" s="106"/>
      <c r="FD75" s="106"/>
      <c r="FE75" s="126"/>
      <c r="FF75" s="126"/>
      <c r="FG75" s="106"/>
      <c r="FH75" s="106"/>
      <c r="FI75" s="106"/>
      <c r="FJ75" s="106">
        <v>0.02</v>
      </c>
      <c r="FK75" s="17">
        <f t="shared" si="280"/>
        <v>1</v>
      </c>
      <c r="FL75" s="18"/>
      <c r="FM75" s="19">
        <f t="shared" ref="FM75:FM138" si="298">I75*1.5+BJ75*2+DK75*1.5</f>
        <v>0</v>
      </c>
      <c r="FN75" s="19">
        <f t="shared" ref="FN75:FN138" si="299">J75*1.5+BK75*2+DL75*1.5</f>
        <v>0</v>
      </c>
      <c r="FO75" s="19">
        <f t="shared" ref="FO75:FO138" si="300">K75*1.5+BL75*2+DM75*1.5</f>
        <v>0</v>
      </c>
      <c r="FP75" s="19">
        <f t="shared" ref="FP75:FP138" si="301">L75*1.5+BM75*2+DN75*1.5</f>
        <v>0.60000000000000009</v>
      </c>
      <c r="FQ75" s="19">
        <f t="shared" ref="FQ75:FQ138" si="302">M75*1.5+BN75*2+DO75*1.5</f>
        <v>0</v>
      </c>
      <c r="FR75" s="19">
        <f t="shared" ref="FR75:FR138" si="303">N75*1.5+BO75*2+DP75*1.5</f>
        <v>0</v>
      </c>
      <c r="FS75" s="19">
        <f t="shared" ref="FS75:FS138" si="304">O75*1.5+BP75*2+DQ75*1.5</f>
        <v>0</v>
      </c>
      <c r="FT75" s="19">
        <f t="shared" ref="FT75:FT138" si="305">P75*1.5+BQ75*2+DR75*1.5</f>
        <v>0</v>
      </c>
      <c r="FU75" s="19">
        <f t="shared" ref="FU75:FU138" si="306">Q75*1.5+BR75*2+DS75*1.5</f>
        <v>0.60000000000000009</v>
      </c>
      <c r="FV75" s="19">
        <f t="shared" ref="FV75:FV138" si="307">R75*1.5+BS75*2+DT75*1.5</f>
        <v>0</v>
      </c>
      <c r="FW75" s="19">
        <f t="shared" ref="FW75:FW138" si="308">S75*1.5+BT75*2+DU75*1.5</f>
        <v>0</v>
      </c>
      <c r="FX75" s="19">
        <f t="shared" ref="FX75:FX138" si="309">T75*1.5+BU75*2+DV75*1.5</f>
        <v>0</v>
      </c>
      <c r="FY75" s="19">
        <f t="shared" ref="FY75:FY138" si="310">U75*1.5+BV75*2+DW75*1.5</f>
        <v>0</v>
      </c>
      <c r="FZ75" s="19">
        <f t="shared" ref="FZ75:FZ138" si="311">V75*1.5+BW75*2+DX75*1.5</f>
        <v>0</v>
      </c>
      <c r="GA75" s="19">
        <f t="shared" ref="GA75:GA138" si="312">W75*1.5+BX75*2+DY75*1.5</f>
        <v>0</v>
      </c>
      <c r="GB75" s="19">
        <f t="shared" ref="GB75:GB138" si="313">X75*1.5+BY75*2+DZ75*1.5</f>
        <v>0</v>
      </c>
      <c r="GC75" s="19">
        <f t="shared" ref="GC75:GC138" si="314">Y75*1.5+BZ75*2+EA75*1.5</f>
        <v>0</v>
      </c>
      <c r="GD75" s="19">
        <f t="shared" ref="GD75:GD138" si="315">Z75*1.5+CA75*2+EB75*1.5</f>
        <v>0</v>
      </c>
      <c r="GE75" s="19">
        <f t="shared" ref="GE75:GE138" si="316">AA75*1.5+CB75*2+EC75*1.5</f>
        <v>0</v>
      </c>
      <c r="GF75" s="19">
        <f t="shared" ref="GF75:GF138" si="317">AB75*1.5+CC75*2+ED75*1.5</f>
        <v>0</v>
      </c>
      <c r="GG75" s="19">
        <f t="shared" ref="GG75:GG138" si="318">AC75*1.5+CD75*2+EE75*1.5</f>
        <v>0</v>
      </c>
      <c r="GH75" s="19">
        <f t="shared" ref="GH75:GH138" si="319">AD75*1.5+CE75*2+EF75*1.5</f>
        <v>0</v>
      </c>
      <c r="GI75" s="19">
        <f t="shared" ref="GI75:GI138" si="320">AE75*1.5+CF75*2+EG75*1.5</f>
        <v>0</v>
      </c>
      <c r="GJ75" s="19">
        <f t="shared" ref="GJ75:GJ138" si="321">AF75*1.5+CG75*2+EH75*1.5</f>
        <v>0</v>
      </c>
      <c r="GK75" s="19">
        <f t="shared" ref="GK75:GK138" si="322">AG75*1.5+CH75*2+EI75*1.5</f>
        <v>0</v>
      </c>
      <c r="GL75" s="19">
        <f t="shared" ref="GL75:GL138" si="323">AH75*1.5+CI75*2+EJ75*1.5</f>
        <v>0</v>
      </c>
      <c r="GM75" s="19">
        <f t="shared" ref="GM75:GM138" si="324">AI75*1.5+CJ75*2+EK75*1.5</f>
        <v>0</v>
      </c>
      <c r="GN75" s="19">
        <f t="shared" ref="GN75:GN138" si="325">AJ75*1.5+CK75*2+EL75*1.5</f>
        <v>0.60000000000000009</v>
      </c>
      <c r="GO75" s="19">
        <f t="shared" ref="GO75:GO138" si="326">AK75*1.5+CL75*2+EM75*1.5</f>
        <v>0.7</v>
      </c>
      <c r="GP75" s="19">
        <f t="shared" ref="GP75:GP138" si="327">AL75*1.5+CM75*2+EN75*1.5</f>
        <v>0</v>
      </c>
      <c r="GQ75" s="19">
        <f t="shared" ref="GQ75:GQ138" si="328">AM75*1.5+CN75*2+EO75*1.5</f>
        <v>0</v>
      </c>
      <c r="GR75" s="19">
        <f t="shared" ref="GR75:GR138" si="329">AN75*1.5+CO75*2+EP75*1.5</f>
        <v>0</v>
      </c>
      <c r="GS75" s="19">
        <f t="shared" ref="GS75:GS138" si="330">AO75*1.5+CP75*2+EQ75*1.5</f>
        <v>0</v>
      </c>
      <c r="GT75" s="19">
        <f t="shared" ref="GT75:GT138" si="331">AP75*1.5+CQ75*2+ER75*1.5</f>
        <v>0</v>
      </c>
      <c r="GU75" s="19">
        <f t="shared" ref="GU75:GU138" si="332">AQ75*1.5+CR75*2+ES75*1.5</f>
        <v>0</v>
      </c>
      <c r="GV75" s="19">
        <f t="shared" ref="GV75:GV138" si="333">AR75*1.5+CS75*2+ET75*1.5</f>
        <v>0</v>
      </c>
      <c r="GW75" s="19">
        <f t="shared" ref="GW75:GW138" si="334">AS75*1.5+CT75*2+EU75*1.5</f>
        <v>0.26249999999999996</v>
      </c>
      <c r="GX75" s="19">
        <f t="shared" ref="GX75:GX138" si="335">AT75*1.5+CU75*2+EV75*1.5</f>
        <v>0</v>
      </c>
      <c r="GY75" s="19">
        <f t="shared" ref="GY75:GY138" si="336">AU75*1.5+CV75*2+EW75*1.5</f>
        <v>0</v>
      </c>
      <c r="GZ75" s="19">
        <f t="shared" ref="GZ75:GZ138" si="337">AV75*1.5+CW75*2+EX75*1.5</f>
        <v>0</v>
      </c>
      <c r="HA75" s="19">
        <f t="shared" ref="HA75:HA138" si="338">AW75*1.5+CX75*2+EY75*1.5</f>
        <v>0</v>
      </c>
      <c r="HB75" s="19">
        <f t="shared" ref="HB75:HB138" si="339">AX75*1.5+CY75*2+EZ75*1.5</f>
        <v>0</v>
      </c>
      <c r="HC75" s="19">
        <f t="shared" ref="HC75:HC138" si="340">AY75*1.5+CZ75*2+FA75*1.5</f>
        <v>7.4999999999999997E-3</v>
      </c>
      <c r="HD75" s="19">
        <f t="shared" ref="HD75:HD138" si="341">AZ75*1.5+DA75*2+FB75*1.5</f>
        <v>0</v>
      </c>
      <c r="HE75" s="19">
        <f t="shared" ref="HE75:HE138" si="342">BA75*1.5+DB75*2+FC75*1.5</f>
        <v>0</v>
      </c>
      <c r="HF75" s="19">
        <f t="shared" ref="HF75:HF138" si="343">BB75*1.5+DC75*2+FD75*1.5</f>
        <v>0.3</v>
      </c>
      <c r="HG75" s="19">
        <f t="shared" ref="HG75:HG138" si="344">BC75*1.5+DD75*2+FE75*1.5</f>
        <v>1.885</v>
      </c>
      <c r="HH75" s="19">
        <f t="shared" ref="HH75:HH138" si="345">BD75*1.5+DE75*2+FF75*1.5</f>
        <v>0</v>
      </c>
      <c r="HI75" s="19">
        <f t="shared" ref="HI75:HI138" si="346">BE75*1.5+DF75*2+FG75*1.5</f>
        <v>0</v>
      </c>
      <c r="HJ75" s="19">
        <f t="shared" ref="HJ75:HJ138" si="347">BF75*1.5+DG75*2+FH75*1.5</f>
        <v>0</v>
      </c>
      <c r="HK75" s="19">
        <f t="shared" ref="HK75:HK138" si="348">BG75*1.5+DH75*2+FI75*1.5</f>
        <v>0</v>
      </c>
      <c r="HL75" s="19">
        <f t="shared" ref="HL75:HL138" si="349">BH75*1.5+DI75*2+FJ75*1.5</f>
        <v>4.4999999999999998E-2</v>
      </c>
      <c r="HM75" s="20">
        <f t="shared" ref="HM75:HM138" si="350">SUM(FM75:HL75)</f>
        <v>5</v>
      </c>
      <c r="HN75" s="53">
        <v>76.5</v>
      </c>
      <c r="HO75" s="21">
        <f t="shared" ref="HO75:HO138" si="351">$HN75*FM75/$HM75</f>
        <v>0</v>
      </c>
      <c r="HP75" s="21">
        <f t="shared" ref="HP75:HP138" si="352">$HN75*FN75/$HM75</f>
        <v>0</v>
      </c>
      <c r="HQ75" s="21">
        <f t="shared" ref="HQ75:HQ138" si="353">$HN75*FO75/$HM75</f>
        <v>0</v>
      </c>
      <c r="HR75" s="21">
        <f t="shared" ref="HR75:HR138" si="354">$HN75*FP75/$HM75</f>
        <v>9.1800000000000015</v>
      </c>
      <c r="HS75" s="21">
        <f t="shared" ref="HS75:HS138" si="355">$HN75*FQ75/$HM75</f>
        <v>0</v>
      </c>
      <c r="HT75" s="69">
        <f t="shared" ref="HT75:HT138" si="356">$HN75*FR75/$HM75</f>
        <v>0</v>
      </c>
      <c r="HU75" s="21">
        <f t="shared" ref="HU75:HU138" si="357">$HN75*FS75/$HM75</f>
        <v>0</v>
      </c>
      <c r="HV75" s="21">
        <f t="shared" ref="HV75:HV138" si="358">$HN75*FT75/$HM75</f>
        <v>0</v>
      </c>
      <c r="HW75" s="21">
        <f t="shared" ref="HW75:HW138" si="359">$HN75*FU75/$HM75</f>
        <v>9.1800000000000015</v>
      </c>
      <c r="HX75" s="21">
        <f t="shared" ref="HX75:HX138" si="360">$HN75*FV75/$HM75</f>
        <v>0</v>
      </c>
      <c r="HY75" s="21">
        <f t="shared" ref="HY75:HY138" si="361">$HN75*FW75/$HM75</f>
        <v>0</v>
      </c>
      <c r="HZ75" s="21">
        <f t="shared" ref="HZ75:HZ138" si="362">$HN75*FX75/$HM75</f>
        <v>0</v>
      </c>
      <c r="IA75" s="21">
        <f t="shared" ref="IA75:IA138" si="363">$HN75*FY75/$HM75</f>
        <v>0</v>
      </c>
      <c r="IB75" s="21">
        <f t="shared" ref="IB75:IB138" si="364">$HN75*FZ75/$HM75</f>
        <v>0</v>
      </c>
      <c r="IC75" s="21">
        <f t="shared" ref="IC75:IC138" si="365">$HN75*GA75/$HM75</f>
        <v>0</v>
      </c>
      <c r="ID75" s="21">
        <f t="shared" ref="ID75:ID138" si="366">$HN75*GB75/$HM75</f>
        <v>0</v>
      </c>
      <c r="IE75" s="21">
        <f t="shared" ref="IE75:IE138" si="367">$HN75*GC75/$HM75</f>
        <v>0</v>
      </c>
      <c r="IF75" s="69">
        <f t="shared" ref="IF75:IF138" si="368">$HN75*GD75/$HM75</f>
        <v>0</v>
      </c>
      <c r="IG75" s="69">
        <f t="shared" ref="IG75:IG138" si="369">$HN75*GE75/$HM75</f>
        <v>0</v>
      </c>
      <c r="IH75" s="69">
        <f t="shared" ref="IH75:IH138" si="370">$HN75*GF75/$HM75</f>
        <v>0</v>
      </c>
      <c r="II75" s="21">
        <f t="shared" ref="II75:II138" si="371">$HN75*GG75/$HM75</f>
        <v>0</v>
      </c>
      <c r="IJ75" s="21">
        <f t="shared" ref="IJ75:IJ138" si="372">$HN75*GH75/$HM75</f>
        <v>0</v>
      </c>
      <c r="IK75" s="21">
        <f t="shared" ref="IK75:IK138" si="373">$HN75*GI75/$HM75</f>
        <v>0</v>
      </c>
      <c r="IL75" s="21">
        <f t="shared" ref="IL75:IL138" si="374">$HN75*GJ75/$HM75</f>
        <v>0</v>
      </c>
      <c r="IM75" s="21">
        <f t="shared" ref="IM75:IM138" si="375">$HN75*GK75/$HM75</f>
        <v>0</v>
      </c>
      <c r="IN75" s="21">
        <f t="shared" ref="IN75:IN138" si="376">$HN75*GL75/$HM75</f>
        <v>0</v>
      </c>
      <c r="IO75" s="21">
        <f t="shared" ref="IO75:IO138" si="377">$HN75*GM75/$HM75</f>
        <v>0</v>
      </c>
      <c r="IP75" s="21">
        <f t="shared" ref="IP75:IP138" si="378">$HN75*GN75/$HM75</f>
        <v>9.1800000000000015</v>
      </c>
      <c r="IQ75" s="21">
        <f t="shared" ref="IQ75:IQ138" si="379">$HN75*GO75/$HM75</f>
        <v>10.709999999999999</v>
      </c>
      <c r="IR75" s="21">
        <f t="shared" ref="IR75:IR138" si="380">$HN75*GP75/$HM75</f>
        <v>0</v>
      </c>
      <c r="IS75" s="21">
        <f t="shared" ref="IS75:IS138" si="381">$HN75*GQ75/$HM75</f>
        <v>0</v>
      </c>
      <c r="IT75" s="21">
        <f t="shared" ref="IT75:IT138" si="382">$HN75*GR75/$HM75</f>
        <v>0</v>
      </c>
      <c r="IU75" s="21">
        <f t="shared" ref="IU75:IU138" si="383">$HN75*GS75/$HM75</f>
        <v>0</v>
      </c>
      <c r="IV75" s="21">
        <f t="shared" ref="IV75:IV138" si="384">$HN75*GT75/$HM75</f>
        <v>0</v>
      </c>
      <c r="IW75" s="21">
        <f t="shared" ref="IW75:IW138" si="385">$HN75*GU75/$HM75</f>
        <v>0</v>
      </c>
      <c r="IX75" s="21">
        <f t="shared" ref="IX75:IX138" si="386">$HN75*GV75/$HM75</f>
        <v>0</v>
      </c>
      <c r="IY75" s="21">
        <f t="shared" ref="IY75:IY138" si="387">$HN75*GW75/$HM75</f>
        <v>4.0162499999999994</v>
      </c>
      <c r="IZ75" s="21">
        <f t="shared" ref="IZ75:IZ138" si="388">$HN75*GX75/$HM75</f>
        <v>0</v>
      </c>
      <c r="JA75" s="21">
        <f t="shared" ref="JA75:JA138" si="389">$HN75*GY75/$HM75</f>
        <v>0</v>
      </c>
      <c r="JB75" s="21">
        <f t="shared" ref="JB75:JB138" si="390">$HN75*GZ75/$HM75</f>
        <v>0</v>
      </c>
      <c r="JC75" s="21">
        <f t="shared" ref="JC75:JC138" si="391">$HN75*HA75/$HM75</f>
        <v>0</v>
      </c>
      <c r="JD75" s="21">
        <f t="shared" ref="JD75:JD138" si="392">$HN75*HB75/$HM75</f>
        <v>0</v>
      </c>
      <c r="JE75" s="21">
        <f t="shared" ref="JE75:JE138" si="393">$HN75*HC75/$HM75</f>
        <v>0.11474999999999999</v>
      </c>
      <c r="JF75" s="21">
        <f t="shared" ref="JF75:JF138" si="394">$HN75*HD75/$HM75</f>
        <v>0</v>
      </c>
      <c r="JG75" s="21">
        <f t="shared" ref="JG75:JG138" si="395">$HN75*HE75/$HM75</f>
        <v>0</v>
      </c>
      <c r="JH75" s="21">
        <f t="shared" ref="JH75:JH138" si="396">$HN75*HF75/$HM75</f>
        <v>4.59</v>
      </c>
      <c r="JI75" s="21">
        <f t="shared" ref="JI75:JI138" si="397">$HN75*HG75/$HM75</f>
        <v>28.840500000000002</v>
      </c>
      <c r="JJ75" s="21">
        <f t="shared" ref="JJ75:JJ138" si="398">$HN75*HH75/$HM75</f>
        <v>0</v>
      </c>
      <c r="JK75" s="21">
        <f t="shared" ref="JK75:JK138" si="399">$HN75*HI75/$HM75</f>
        <v>0</v>
      </c>
      <c r="JL75" s="21">
        <f t="shared" ref="JL75:JL138" si="400">$HN75*HJ75/$HM75</f>
        <v>0</v>
      </c>
      <c r="JM75" s="21">
        <f t="shared" ref="JM75:JM138" si="401">$HN75*HK75/$HM75</f>
        <v>0</v>
      </c>
      <c r="JN75" s="21">
        <f t="shared" ref="JN75:JN138" si="402">$HN75*HL75/$HM75</f>
        <v>0.6885</v>
      </c>
      <c r="JO75" s="35">
        <f t="shared" ref="JO75:JO107" si="403">SUM(HO75:JN75)</f>
        <v>76.500000000000014</v>
      </c>
      <c r="JP75" s="38">
        <f t="shared" ref="JP75:JP107" si="404">JO75-HN75</f>
        <v>0</v>
      </c>
      <c r="JQ75" s="43">
        <f t="shared" ref="JQ75:JQ138" si="405">HO75*JQ$6</f>
        <v>0</v>
      </c>
      <c r="JR75" s="43">
        <f t="shared" ref="JR75:JR138" si="406">HP75*JR$6</f>
        <v>0</v>
      </c>
      <c r="JS75" s="43">
        <f t="shared" ref="JS75:JS138" si="407">HQ75*JS$6</f>
        <v>0</v>
      </c>
      <c r="JT75" s="43">
        <f t="shared" ref="JT75:JT138" si="408">HR75*JT$6</f>
        <v>39.482445600000013</v>
      </c>
      <c r="JU75" s="43">
        <f t="shared" ref="JU75:JU138" si="409">HS75*JU$6</f>
        <v>0</v>
      </c>
      <c r="JV75" s="43">
        <f t="shared" ref="JV75:JV138" si="410">HT75*JV$6</f>
        <v>0</v>
      </c>
      <c r="JW75" s="43">
        <f t="shared" ref="JW75:JW138" si="411">HU75*JW$6</f>
        <v>0</v>
      </c>
      <c r="JX75" s="43">
        <f t="shared" ref="JX75:JX138" si="412">HV75*JX$6</f>
        <v>0</v>
      </c>
      <c r="JY75" s="43">
        <f t="shared" ref="JY75:JY138" si="413">HW75*JY$6</f>
        <v>42.519556800000004</v>
      </c>
      <c r="JZ75" s="43">
        <f t="shared" ref="JZ75:JZ138" si="414">HX75*JZ$6</f>
        <v>0</v>
      </c>
      <c r="KA75" s="43">
        <f t="shared" ref="KA75:KA138" si="415">HY75*KA$6</f>
        <v>0</v>
      </c>
      <c r="KB75" s="43">
        <f t="shared" ref="KB75:KB138" si="416">HZ75*KB$6</f>
        <v>0</v>
      </c>
      <c r="KC75" s="43">
        <f t="shared" ref="KC75:KC138" si="417">IA75*KC$6</f>
        <v>0</v>
      </c>
      <c r="KD75" s="43">
        <f t="shared" ref="KD75:KD138" si="418">IB75*KD$6</f>
        <v>0</v>
      </c>
      <c r="KE75" s="43">
        <f t="shared" ref="KE75:KE138" si="419">IC75*KE$6</f>
        <v>0</v>
      </c>
      <c r="KF75" s="43">
        <f t="shared" ref="KF75:KF138" si="420">ID75*KF$6</f>
        <v>0</v>
      </c>
      <c r="KG75" s="43">
        <f t="shared" ref="KG75:KG138" si="421">IE75*KG$6</f>
        <v>0</v>
      </c>
      <c r="KH75" s="43">
        <f t="shared" ref="KH75:KH138" si="422">IF75*KH$6</f>
        <v>0</v>
      </c>
      <c r="KI75" s="43">
        <f t="shared" ref="KI75:KI138" si="423">IG75*KI$6</f>
        <v>0</v>
      </c>
      <c r="KJ75" s="43">
        <f t="shared" ref="KJ75:KJ138" si="424">IH75*KJ$6</f>
        <v>0</v>
      </c>
      <c r="KK75" s="43">
        <f t="shared" ref="KK75:KK138" si="425">II75*KK$6</f>
        <v>0</v>
      </c>
      <c r="KL75" s="43">
        <f t="shared" ref="KL75:KL138" si="426">IJ75*KL$6</f>
        <v>0</v>
      </c>
      <c r="KM75" s="43">
        <f t="shared" ref="KM75:KM138" si="427">IK75*KM$6</f>
        <v>0</v>
      </c>
      <c r="KN75" s="43">
        <f t="shared" ref="KN75:KN138" si="428">IL75*KN$6</f>
        <v>0</v>
      </c>
      <c r="KO75" s="43">
        <f t="shared" ref="KO75:KO138" si="429">IM75*KO$6</f>
        <v>0</v>
      </c>
      <c r="KP75" s="43">
        <f t="shared" ref="KP75:KP138" si="430">IN75*KP$6</f>
        <v>0</v>
      </c>
      <c r="KQ75" s="43">
        <f t="shared" ref="KQ75:KQ138" si="431">IO75*KQ$6</f>
        <v>0</v>
      </c>
      <c r="KR75" s="43">
        <f t="shared" ref="KR75:KR138" si="432">IP75*KR$6</f>
        <v>35.434800000000003</v>
      </c>
      <c r="KS75" s="43">
        <f t="shared" ref="KS75:KS138" si="433">IQ75*KS$6</f>
        <v>36.621034901818177</v>
      </c>
      <c r="KT75" s="43">
        <f t="shared" ref="KT75:KT138" si="434">IR75*KT$6</f>
        <v>0</v>
      </c>
      <c r="KU75" s="43">
        <f t="shared" ref="KU75:KU138" si="435">IS75*KU$6</f>
        <v>0</v>
      </c>
      <c r="KV75" s="43">
        <f t="shared" ref="KV75:KV138" si="436">IT75*KV$6</f>
        <v>0</v>
      </c>
      <c r="KW75" s="43">
        <f t="shared" ref="KW75:KW138" si="437">IU75*KW$6</f>
        <v>0</v>
      </c>
      <c r="KX75" s="43">
        <f t="shared" ref="KX75:KX138" si="438">IV75*KX$6</f>
        <v>0</v>
      </c>
      <c r="KY75" s="43">
        <f t="shared" ref="KY75:KY138" si="439">IW75*KY$6</f>
        <v>0</v>
      </c>
      <c r="KZ75" s="43">
        <f t="shared" ref="KZ75:KZ138" si="440">IX75*KZ$6</f>
        <v>0</v>
      </c>
      <c r="LA75" s="43">
        <f t="shared" ref="LA75:LA138" si="441">IY75*LA$6</f>
        <v>16.092471149999994</v>
      </c>
      <c r="LB75" s="43">
        <f t="shared" ref="LB75:LB138" si="442">IZ75*LB$6</f>
        <v>0</v>
      </c>
      <c r="LC75" s="43">
        <f t="shared" ref="LC75:LC138" si="443">JA75*LC$6</f>
        <v>0</v>
      </c>
      <c r="LD75" s="43">
        <f t="shared" ref="LD75:LD138" si="444">JB75*LD$6</f>
        <v>0</v>
      </c>
      <c r="LE75" s="43">
        <f t="shared" ref="LE75:LE138" si="445">JC75*LE$6</f>
        <v>0</v>
      </c>
      <c r="LF75" s="43">
        <f t="shared" ref="LF75:LF138" si="446">JD75*LF$6</f>
        <v>0</v>
      </c>
      <c r="LG75" s="43">
        <f t="shared" ref="LG75:LG138" si="447">JE75*LG$6</f>
        <v>1.1842199999999998</v>
      </c>
      <c r="LH75" s="43">
        <f t="shared" ref="LH75:LH138" si="448">JF75*LH$6</f>
        <v>0</v>
      </c>
      <c r="LI75" s="43">
        <f t="shared" ref="LI75:LI138" si="449">JG75*LI$6</f>
        <v>0</v>
      </c>
      <c r="LJ75" s="43">
        <f t="shared" ref="LJ75:LJ138" si="450">JH75*LJ$6</f>
        <v>22.103420400000001</v>
      </c>
      <c r="LK75" s="43">
        <f t="shared" ref="LK75:LK138" si="451">JI75*LK$6</f>
        <v>115.527832875</v>
      </c>
      <c r="LL75" s="43">
        <f t="shared" ref="LL75:LL138" si="452">JJ75*LL$6</f>
        <v>0</v>
      </c>
      <c r="LM75" s="43">
        <f t="shared" ref="LM75:LM138" si="453">JK75*LM$6</f>
        <v>0</v>
      </c>
      <c r="LN75" s="43">
        <f t="shared" ref="LN75:LN138" si="454">JL75*LN$6</f>
        <v>0</v>
      </c>
      <c r="LO75" s="43">
        <f t="shared" ref="LO75:LO138" si="455">JM75*LO$6</f>
        <v>0</v>
      </c>
      <c r="LP75" s="43">
        <f t="shared" ref="LP75:LP138" si="456">JN75*LP$6</f>
        <v>5.8178249999999991</v>
      </c>
      <c r="LQ75" s="28">
        <f t="shared" ref="LQ75:LQ107" si="457">SUM(JQ75:LP75)</f>
        <v>314.78360672681822</v>
      </c>
      <c r="LR75" s="65">
        <v>48</v>
      </c>
      <c r="LS75" s="32">
        <f t="shared" si="281"/>
        <v>6.5579918068087126</v>
      </c>
      <c r="LT75" s="26">
        <f t="shared" si="282"/>
        <v>1.79180104011167</v>
      </c>
      <c r="LU75" s="31">
        <f t="shared" ref="LU75:LU107" si="458">HN75-LR75</f>
        <v>28.5</v>
      </c>
      <c r="LW75" s="42"/>
      <c r="MA75" s="32">
        <f t="shared" ref="MA75:MA107" si="459">LQ75/JO75</f>
        <v>4.1148183885858582</v>
      </c>
      <c r="MB75" s="26">
        <f t="shared" si="283"/>
        <v>1.1242673192857535</v>
      </c>
    </row>
    <row r="76" spans="1:340" ht="15.75" thickBot="1">
      <c r="A76" t="b">
        <f t="shared" si="297"/>
        <v>1</v>
      </c>
      <c r="B76" s="123" t="s">
        <v>229</v>
      </c>
      <c r="C76" s="39" t="s">
        <v>230</v>
      </c>
      <c r="D76"/>
      <c r="E76" s="97">
        <v>46033</v>
      </c>
      <c r="F76" t="s">
        <v>43</v>
      </c>
      <c r="G76" t="s">
        <v>20</v>
      </c>
      <c r="H76" t="s">
        <v>27</v>
      </c>
      <c r="I76" s="77"/>
      <c r="J76" s="77"/>
      <c r="K76" s="77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24"/>
      <c r="AG76" s="124"/>
      <c r="AH76" s="104"/>
      <c r="AI76" s="104"/>
      <c r="AJ76" s="22"/>
      <c r="AK76" s="22">
        <v>0.49</v>
      </c>
      <c r="AL76" s="22"/>
      <c r="AM76" s="22"/>
      <c r="AN76" s="22"/>
      <c r="AO76" s="104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104"/>
      <c r="BA76" s="104"/>
      <c r="BB76" s="104"/>
      <c r="BC76" s="124">
        <v>0.5</v>
      </c>
      <c r="BD76" s="124"/>
      <c r="BE76" s="104"/>
      <c r="BF76" s="104"/>
      <c r="BG76" s="104"/>
      <c r="BH76" s="104">
        <v>0.01</v>
      </c>
      <c r="BI76" s="78">
        <f t="shared" si="296"/>
        <v>1</v>
      </c>
      <c r="BJ76" s="105"/>
      <c r="BK76" s="105"/>
      <c r="BL76" s="105"/>
      <c r="BM76" s="105"/>
      <c r="BN76" s="105"/>
      <c r="BO76" s="105"/>
      <c r="BP76" s="105"/>
      <c r="BQ76" s="105"/>
      <c r="BR76" s="105"/>
      <c r="BS76" s="105"/>
      <c r="BT76" s="105"/>
      <c r="BU76" s="105"/>
      <c r="BV76" s="105"/>
      <c r="BW76" s="105"/>
      <c r="BX76" s="105"/>
      <c r="BY76" s="105"/>
      <c r="BZ76" s="105"/>
      <c r="CA76" s="105"/>
      <c r="CB76" s="105"/>
      <c r="CC76" s="105"/>
      <c r="CD76" s="105"/>
      <c r="CE76" s="105"/>
      <c r="CF76" s="120"/>
      <c r="CG76" s="128"/>
      <c r="CH76" s="128"/>
      <c r="CI76" s="105"/>
      <c r="CJ76" s="105"/>
      <c r="CK76" s="105"/>
      <c r="CL76" s="105">
        <v>0.5</v>
      </c>
      <c r="CM76" s="105"/>
      <c r="CN76" s="105"/>
      <c r="CO76" s="105"/>
      <c r="CP76" s="105"/>
      <c r="CQ76" s="105"/>
      <c r="CR76" s="105"/>
      <c r="CS76" s="105"/>
      <c r="CT76" s="105"/>
      <c r="CU76" s="105"/>
      <c r="CV76" s="105"/>
      <c r="CW76" s="105"/>
      <c r="CX76" s="105"/>
      <c r="CY76" s="105"/>
      <c r="CZ76" s="105"/>
      <c r="DA76" s="105"/>
      <c r="DB76" s="105"/>
      <c r="DC76" s="105"/>
      <c r="DD76" s="125">
        <v>0.5</v>
      </c>
      <c r="DE76" s="125"/>
      <c r="DF76" s="105"/>
      <c r="DG76" s="105"/>
      <c r="DH76" s="105"/>
      <c r="DI76" s="105"/>
      <c r="DJ76" s="79">
        <f t="shared" ref="DJ76:DJ107" si="460">SUM(BJ76:DI76)</f>
        <v>1</v>
      </c>
      <c r="DK76" s="108"/>
      <c r="DL76" s="108"/>
      <c r="DM76" s="108"/>
      <c r="DN76" s="108"/>
      <c r="DO76" s="108"/>
      <c r="DP76" s="108"/>
      <c r="DQ76" s="108"/>
      <c r="DR76" s="108"/>
      <c r="DS76" s="108"/>
      <c r="DT76" s="108"/>
      <c r="DU76" s="108"/>
      <c r="DV76" s="108"/>
      <c r="DW76" s="108"/>
      <c r="DX76" s="108"/>
      <c r="DY76" s="108"/>
      <c r="DZ76" s="108"/>
      <c r="EA76" s="108"/>
      <c r="EB76" s="108"/>
      <c r="EC76" s="108"/>
      <c r="ED76" s="108"/>
      <c r="EE76" s="108"/>
      <c r="EF76" s="108"/>
      <c r="EG76" s="108"/>
      <c r="EH76" s="129"/>
      <c r="EI76" s="129"/>
      <c r="EJ76" s="108"/>
      <c r="EK76" s="108"/>
      <c r="EL76" s="108"/>
      <c r="EM76" s="108">
        <v>0.5</v>
      </c>
      <c r="EN76" s="108"/>
      <c r="EO76" s="108"/>
      <c r="EP76" s="108"/>
      <c r="EQ76" s="108"/>
      <c r="ER76" s="108"/>
      <c r="ES76" s="106"/>
      <c r="ET76" s="106"/>
      <c r="EU76" s="106"/>
      <c r="EV76" s="106"/>
      <c r="EW76" s="106"/>
      <c r="EX76" s="106"/>
      <c r="EY76" s="106"/>
      <c r="EZ76" s="106"/>
      <c r="FA76" s="106"/>
      <c r="FB76" s="106"/>
      <c r="FC76" s="106"/>
      <c r="FD76" s="106"/>
      <c r="FE76" s="126">
        <v>0.49</v>
      </c>
      <c r="FF76" s="126"/>
      <c r="FG76" s="106"/>
      <c r="FH76" s="106"/>
      <c r="FI76" s="106"/>
      <c r="FJ76" s="106">
        <v>0.01</v>
      </c>
      <c r="FK76" s="17">
        <f t="shared" si="280"/>
        <v>1</v>
      </c>
      <c r="FL76" s="18"/>
      <c r="FM76" s="19">
        <f t="shared" si="298"/>
        <v>0</v>
      </c>
      <c r="FN76" s="19">
        <f t="shared" si="299"/>
        <v>0</v>
      </c>
      <c r="FO76" s="19">
        <f t="shared" si="300"/>
        <v>0</v>
      </c>
      <c r="FP76" s="19">
        <f t="shared" si="301"/>
        <v>0</v>
      </c>
      <c r="FQ76" s="19">
        <f t="shared" si="302"/>
        <v>0</v>
      </c>
      <c r="FR76" s="19">
        <f t="shared" si="303"/>
        <v>0</v>
      </c>
      <c r="FS76" s="19">
        <f t="shared" si="304"/>
        <v>0</v>
      </c>
      <c r="FT76" s="19">
        <f t="shared" si="305"/>
        <v>0</v>
      </c>
      <c r="FU76" s="19">
        <f t="shared" si="306"/>
        <v>0</v>
      </c>
      <c r="FV76" s="19">
        <f t="shared" si="307"/>
        <v>0</v>
      </c>
      <c r="FW76" s="19">
        <f t="shared" si="308"/>
        <v>0</v>
      </c>
      <c r="FX76" s="19">
        <f t="shared" si="309"/>
        <v>0</v>
      </c>
      <c r="FY76" s="19">
        <f t="shared" si="310"/>
        <v>0</v>
      </c>
      <c r="FZ76" s="19">
        <f t="shared" si="311"/>
        <v>0</v>
      </c>
      <c r="GA76" s="19">
        <f t="shared" si="312"/>
        <v>0</v>
      </c>
      <c r="GB76" s="19">
        <f t="shared" si="313"/>
        <v>0</v>
      </c>
      <c r="GC76" s="19">
        <f t="shared" si="314"/>
        <v>0</v>
      </c>
      <c r="GD76" s="19">
        <f t="shared" si="315"/>
        <v>0</v>
      </c>
      <c r="GE76" s="19">
        <f t="shared" si="316"/>
        <v>0</v>
      </c>
      <c r="GF76" s="19">
        <f t="shared" si="317"/>
        <v>0</v>
      </c>
      <c r="GG76" s="19">
        <f t="shared" si="318"/>
        <v>0</v>
      </c>
      <c r="GH76" s="19">
        <f t="shared" si="319"/>
        <v>0</v>
      </c>
      <c r="GI76" s="19">
        <f t="shared" si="320"/>
        <v>0</v>
      </c>
      <c r="GJ76" s="19">
        <f t="shared" si="321"/>
        <v>0</v>
      </c>
      <c r="GK76" s="19">
        <f t="shared" si="322"/>
        <v>0</v>
      </c>
      <c r="GL76" s="19">
        <f t="shared" si="323"/>
        <v>0</v>
      </c>
      <c r="GM76" s="19">
        <f t="shared" si="324"/>
        <v>0</v>
      </c>
      <c r="GN76" s="19">
        <f t="shared" si="325"/>
        <v>0</v>
      </c>
      <c r="GO76" s="19">
        <f t="shared" si="326"/>
        <v>2.4849999999999999</v>
      </c>
      <c r="GP76" s="19">
        <f t="shared" si="327"/>
        <v>0</v>
      </c>
      <c r="GQ76" s="19">
        <f t="shared" si="328"/>
        <v>0</v>
      </c>
      <c r="GR76" s="19">
        <f t="shared" si="329"/>
        <v>0</v>
      </c>
      <c r="GS76" s="19">
        <f t="shared" si="330"/>
        <v>0</v>
      </c>
      <c r="GT76" s="19">
        <f t="shared" si="331"/>
        <v>0</v>
      </c>
      <c r="GU76" s="19">
        <f t="shared" si="332"/>
        <v>0</v>
      </c>
      <c r="GV76" s="19">
        <f t="shared" si="333"/>
        <v>0</v>
      </c>
      <c r="GW76" s="19">
        <f t="shared" si="334"/>
        <v>0</v>
      </c>
      <c r="GX76" s="19">
        <f t="shared" si="335"/>
        <v>0</v>
      </c>
      <c r="GY76" s="19">
        <f t="shared" si="336"/>
        <v>0</v>
      </c>
      <c r="GZ76" s="19">
        <f t="shared" si="337"/>
        <v>0</v>
      </c>
      <c r="HA76" s="19">
        <f t="shared" si="338"/>
        <v>0</v>
      </c>
      <c r="HB76" s="19">
        <f t="shared" si="339"/>
        <v>0</v>
      </c>
      <c r="HC76" s="19">
        <f t="shared" si="340"/>
        <v>0</v>
      </c>
      <c r="HD76" s="19">
        <f t="shared" si="341"/>
        <v>0</v>
      </c>
      <c r="HE76" s="19">
        <f t="shared" si="342"/>
        <v>0</v>
      </c>
      <c r="HF76" s="19">
        <f t="shared" si="343"/>
        <v>0</v>
      </c>
      <c r="HG76" s="19">
        <f t="shared" si="344"/>
        <v>2.4849999999999999</v>
      </c>
      <c r="HH76" s="19">
        <f t="shared" si="345"/>
        <v>0</v>
      </c>
      <c r="HI76" s="19">
        <f t="shared" si="346"/>
        <v>0</v>
      </c>
      <c r="HJ76" s="19">
        <f t="shared" si="347"/>
        <v>0</v>
      </c>
      <c r="HK76" s="19">
        <f t="shared" si="348"/>
        <v>0</v>
      </c>
      <c r="HL76" s="19">
        <f t="shared" si="349"/>
        <v>0.03</v>
      </c>
      <c r="HM76" s="20">
        <f t="shared" si="350"/>
        <v>5</v>
      </c>
      <c r="HN76" s="53">
        <v>834</v>
      </c>
      <c r="HO76" s="21">
        <f t="shared" si="351"/>
        <v>0</v>
      </c>
      <c r="HP76" s="21">
        <f t="shared" si="352"/>
        <v>0</v>
      </c>
      <c r="HQ76" s="21">
        <f t="shared" si="353"/>
        <v>0</v>
      </c>
      <c r="HR76" s="21">
        <f t="shared" si="354"/>
        <v>0</v>
      </c>
      <c r="HS76" s="21">
        <f t="shared" si="355"/>
        <v>0</v>
      </c>
      <c r="HT76" s="69">
        <f t="shared" si="356"/>
        <v>0</v>
      </c>
      <c r="HU76" s="21">
        <f t="shared" si="357"/>
        <v>0</v>
      </c>
      <c r="HV76" s="21">
        <f t="shared" si="358"/>
        <v>0</v>
      </c>
      <c r="HW76" s="21">
        <f t="shared" si="359"/>
        <v>0</v>
      </c>
      <c r="HX76" s="21">
        <f t="shared" si="360"/>
        <v>0</v>
      </c>
      <c r="HY76" s="21">
        <f t="shared" si="361"/>
        <v>0</v>
      </c>
      <c r="HZ76" s="21">
        <f t="shared" si="362"/>
        <v>0</v>
      </c>
      <c r="IA76" s="21">
        <f t="shared" si="363"/>
        <v>0</v>
      </c>
      <c r="IB76" s="21">
        <f t="shared" si="364"/>
        <v>0</v>
      </c>
      <c r="IC76" s="21">
        <f t="shared" si="365"/>
        <v>0</v>
      </c>
      <c r="ID76" s="21">
        <f t="shared" si="366"/>
        <v>0</v>
      </c>
      <c r="IE76" s="21">
        <f t="shared" si="367"/>
        <v>0</v>
      </c>
      <c r="IF76" s="69">
        <f t="shared" si="368"/>
        <v>0</v>
      </c>
      <c r="IG76" s="69">
        <f t="shared" si="369"/>
        <v>0</v>
      </c>
      <c r="IH76" s="69">
        <f t="shared" si="370"/>
        <v>0</v>
      </c>
      <c r="II76" s="21">
        <f t="shared" si="371"/>
        <v>0</v>
      </c>
      <c r="IJ76" s="21">
        <f t="shared" si="372"/>
        <v>0</v>
      </c>
      <c r="IK76" s="21">
        <f t="shared" si="373"/>
        <v>0</v>
      </c>
      <c r="IL76" s="21">
        <f t="shared" si="374"/>
        <v>0</v>
      </c>
      <c r="IM76" s="21">
        <f t="shared" si="375"/>
        <v>0</v>
      </c>
      <c r="IN76" s="21">
        <f t="shared" si="376"/>
        <v>0</v>
      </c>
      <c r="IO76" s="21">
        <f t="shared" si="377"/>
        <v>0</v>
      </c>
      <c r="IP76" s="21">
        <f t="shared" si="378"/>
        <v>0</v>
      </c>
      <c r="IQ76" s="21">
        <f t="shared" si="379"/>
        <v>414.49799999999993</v>
      </c>
      <c r="IR76" s="21">
        <f t="shared" si="380"/>
        <v>0</v>
      </c>
      <c r="IS76" s="21">
        <f t="shared" si="381"/>
        <v>0</v>
      </c>
      <c r="IT76" s="21">
        <f t="shared" si="382"/>
        <v>0</v>
      </c>
      <c r="IU76" s="21">
        <f t="shared" si="383"/>
        <v>0</v>
      </c>
      <c r="IV76" s="21">
        <f t="shared" si="384"/>
        <v>0</v>
      </c>
      <c r="IW76" s="21">
        <f t="shared" si="385"/>
        <v>0</v>
      </c>
      <c r="IX76" s="21">
        <f t="shared" si="386"/>
        <v>0</v>
      </c>
      <c r="IY76" s="21">
        <f t="shared" si="387"/>
        <v>0</v>
      </c>
      <c r="IZ76" s="21">
        <f t="shared" si="388"/>
        <v>0</v>
      </c>
      <c r="JA76" s="21">
        <f t="shared" si="389"/>
        <v>0</v>
      </c>
      <c r="JB76" s="21">
        <f t="shared" si="390"/>
        <v>0</v>
      </c>
      <c r="JC76" s="21">
        <f t="shared" si="391"/>
        <v>0</v>
      </c>
      <c r="JD76" s="21">
        <f t="shared" si="392"/>
        <v>0</v>
      </c>
      <c r="JE76" s="21">
        <f t="shared" si="393"/>
        <v>0</v>
      </c>
      <c r="JF76" s="21">
        <f t="shared" si="394"/>
        <v>0</v>
      </c>
      <c r="JG76" s="21">
        <f t="shared" si="395"/>
        <v>0</v>
      </c>
      <c r="JH76" s="21">
        <f t="shared" si="396"/>
        <v>0</v>
      </c>
      <c r="JI76" s="21">
        <f t="shared" si="397"/>
        <v>414.49799999999993</v>
      </c>
      <c r="JJ76" s="21">
        <f t="shared" si="398"/>
        <v>0</v>
      </c>
      <c r="JK76" s="21">
        <f t="shared" si="399"/>
        <v>0</v>
      </c>
      <c r="JL76" s="21">
        <f t="shared" si="400"/>
        <v>0</v>
      </c>
      <c r="JM76" s="21">
        <f t="shared" si="401"/>
        <v>0</v>
      </c>
      <c r="JN76" s="21">
        <f t="shared" si="402"/>
        <v>5.0039999999999996</v>
      </c>
      <c r="JO76" s="35">
        <f t="shared" si="403"/>
        <v>833.99999999999989</v>
      </c>
      <c r="JP76" s="38">
        <f t="shared" si="404"/>
        <v>0</v>
      </c>
      <c r="JQ76" s="43">
        <f t="shared" si="405"/>
        <v>0</v>
      </c>
      <c r="JR76" s="43">
        <f t="shared" si="406"/>
        <v>0</v>
      </c>
      <c r="JS76" s="43">
        <f t="shared" si="407"/>
        <v>0</v>
      </c>
      <c r="JT76" s="43">
        <f t="shared" si="408"/>
        <v>0</v>
      </c>
      <c r="JU76" s="43">
        <f t="shared" si="409"/>
        <v>0</v>
      </c>
      <c r="JV76" s="43">
        <f t="shared" si="410"/>
        <v>0</v>
      </c>
      <c r="JW76" s="43">
        <f t="shared" si="411"/>
        <v>0</v>
      </c>
      <c r="JX76" s="43">
        <f t="shared" si="412"/>
        <v>0</v>
      </c>
      <c r="JY76" s="43">
        <f t="shared" si="413"/>
        <v>0</v>
      </c>
      <c r="JZ76" s="43">
        <f t="shared" si="414"/>
        <v>0</v>
      </c>
      <c r="KA76" s="43">
        <f t="shared" si="415"/>
        <v>0</v>
      </c>
      <c r="KB76" s="43">
        <f t="shared" si="416"/>
        <v>0</v>
      </c>
      <c r="KC76" s="43">
        <f t="shared" si="417"/>
        <v>0</v>
      </c>
      <c r="KD76" s="43">
        <f t="shared" si="418"/>
        <v>0</v>
      </c>
      <c r="KE76" s="43">
        <f t="shared" si="419"/>
        <v>0</v>
      </c>
      <c r="KF76" s="43">
        <f t="shared" si="420"/>
        <v>0</v>
      </c>
      <c r="KG76" s="43">
        <f t="shared" si="421"/>
        <v>0</v>
      </c>
      <c r="KH76" s="43">
        <f t="shared" si="422"/>
        <v>0</v>
      </c>
      <c r="KI76" s="43">
        <f t="shared" si="423"/>
        <v>0</v>
      </c>
      <c r="KJ76" s="43">
        <f t="shared" si="424"/>
        <v>0</v>
      </c>
      <c r="KK76" s="43">
        <f t="shared" si="425"/>
        <v>0</v>
      </c>
      <c r="KL76" s="43">
        <f t="shared" si="426"/>
        <v>0</v>
      </c>
      <c r="KM76" s="43">
        <f t="shared" si="427"/>
        <v>0</v>
      </c>
      <c r="KN76" s="43">
        <f t="shared" si="428"/>
        <v>0</v>
      </c>
      <c r="KO76" s="43">
        <f t="shared" si="429"/>
        <v>0</v>
      </c>
      <c r="KP76" s="43">
        <f t="shared" si="430"/>
        <v>0</v>
      </c>
      <c r="KQ76" s="43">
        <f t="shared" si="431"/>
        <v>0</v>
      </c>
      <c r="KR76" s="43">
        <f t="shared" si="432"/>
        <v>0</v>
      </c>
      <c r="KS76" s="43">
        <f t="shared" si="433"/>
        <v>1417.3058566511513</v>
      </c>
      <c r="KT76" s="43">
        <f t="shared" si="434"/>
        <v>0</v>
      </c>
      <c r="KU76" s="43">
        <f t="shared" si="435"/>
        <v>0</v>
      </c>
      <c r="KV76" s="43">
        <f t="shared" si="436"/>
        <v>0</v>
      </c>
      <c r="KW76" s="43">
        <f t="shared" si="437"/>
        <v>0</v>
      </c>
      <c r="KX76" s="43">
        <f t="shared" si="438"/>
        <v>0</v>
      </c>
      <c r="KY76" s="43">
        <f t="shared" si="439"/>
        <v>0</v>
      </c>
      <c r="KZ76" s="43">
        <f t="shared" si="440"/>
        <v>0</v>
      </c>
      <c r="LA76" s="43">
        <f t="shared" si="441"/>
        <v>0</v>
      </c>
      <c r="LB76" s="43">
        <f t="shared" si="442"/>
        <v>0</v>
      </c>
      <c r="LC76" s="43">
        <f t="shared" si="443"/>
        <v>0</v>
      </c>
      <c r="LD76" s="43">
        <f t="shared" si="444"/>
        <v>0</v>
      </c>
      <c r="LE76" s="43">
        <f t="shared" si="445"/>
        <v>0</v>
      </c>
      <c r="LF76" s="43">
        <f t="shared" si="446"/>
        <v>0</v>
      </c>
      <c r="LG76" s="43">
        <f t="shared" si="447"/>
        <v>0</v>
      </c>
      <c r="LH76" s="43">
        <f t="shared" si="448"/>
        <v>0</v>
      </c>
      <c r="LI76" s="43">
        <f t="shared" si="449"/>
        <v>0</v>
      </c>
      <c r="LJ76" s="43">
        <f t="shared" si="450"/>
        <v>0</v>
      </c>
      <c r="LK76" s="43">
        <f t="shared" si="451"/>
        <v>1660.3753634999996</v>
      </c>
      <c r="LL76" s="43">
        <f t="shared" si="452"/>
        <v>0</v>
      </c>
      <c r="LM76" s="43">
        <f t="shared" si="453"/>
        <v>0</v>
      </c>
      <c r="LN76" s="43">
        <f t="shared" si="454"/>
        <v>0</v>
      </c>
      <c r="LO76" s="43">
        <f t="shared" si="455"/>
        <v>0</v>
      </c>
      <c r="LP76" s="43">
        <f t="shared" si="456"/>
        <v>42.283799999999992</v>
      </c>
      <c r="LQ76" s="28">
        <f t="shared" si="457"/>
        <v>3119.9650201511513</v>
      </c>
      <c r="LR76" s="65">
        <v>780</v>
      </c>
      <c r="LS76" s="32">
        <f t="shared" si="281"/>
        <v>3.9999551540399376</v>
      </c>
      <c r="LT76" s="26">
        <f t="shared" si="282"/>
        <v>1.0928839218688353</v>
      </c>
      <c r="LU76" s="31">
        <f t="shared" si="458"/>
        <v>54</v>
      </c>
      <c r="LW76" s="42"/>
      <c r="MA76" s="32">
        <f t="shared" si="459"/>
        <v>3.740965251979798</v>
      </c>
      <c r="MB76" s="26">
        <f t="shared" si="283"/>
        <v>1.0221216535463928</v>
      </c>
    </row>
    <row r="77" spans="1:340" ht="15.75" thickBot="1">
      <c r="A77" t="b">
        <f t="shared" si="297"/>
        <v>1</v>
      </c>
      <c r="B77" s="123" t="s">
        <v>231</v>
      </c>
      <c r="C77" s="39" t="s">
        <v>232</v>
      </c>
      <c r="D77"/>
      <c r="E77" s="97">
        <v>46033</v>
      </c>
      <c r="F77" t="s">
        <v>43</v>
      </c>
      <c r="G77" t="s">
        <v>20</v>
      </c>
      <c r="H77" t="s">
        <v>27</v>
      </c>
      <c r="I77" s="77"/>
      <c r="J77" s="77"/>
      <c r="K77" s="77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24"/>
      <c r="AG77" s="124"/>
      <c r="AH77" s="104"/>
      <c r="AI77" s="104"/>
      <c r="AJ77" s="22"/>
      <c r="AK77" s="22">
        <v>0.49</v>
      </c>
      <c r="AL77" s="22"/>
      <c r="AM77" s="22"/>
      <c r="AN77" s="22"/>
      <c r="AO77" s="104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104"/>
      <c r="BA77" s="104"/>
      <c r="BB77" s="104"/>
      <c r="BC77" s="124">
        <v>0.5</v>
      </c>
      <c r="BD77" s="124"/>
      <c r="BE77" s="104"/>
      <c r="BF77" s="22"/>
      <c r="BG77" s="22"/>
      <c r="BH77" s="104">
        <v>0.01</v>
      </c>
      <c r="BI77" s="78">
        <f t="shared" si="296"/>
        <v>1</v>
      </c>
      <c r="BJ77" s="105"/>
      <c r="BK77" s="105"/>
      <c r="BL77" s="105"/>
      <c r="BM77" s="105"/>
      <c r="BN77" s="105"/>
      <c r="BO77" s="105"/>
      <c r="BP77" s="105"/>
      <c r="BQ77" s="105"/>
      <c r="BR77" s="105"/>
      <c r="BS77" s="105"/>
      <c r="BT77" s="105"/>
      <c r="BU77" s="105"/>
      <c r="BV77" s="105"/>
      <c r="BW77" s="105"/>
      <c r="BX77" s="105"/>
      <c r="BY77" s="105"/>
      <c r="BZ77" s="105"/>
      <c r="CA77" s="105"/>
      <c r="CB77" s="105"/>
      <c r="CC77" s="105"/>
      <c r="CD77" s="105"/>
      <c r="CE77" s="105"/>
      <c r="CF77" s="120"/>
      <c r="CG77" s="128"/>
      <c r="CH77" s="128"/>
      <c r="CI77" s="105"/>
      <c r="CJ77" s="105"/>
      <c r="CK77" s="105"/>
      <c r="CL77" s="105">
        <v>0.5</v>
      </c>
      <c r="CM77" s="105"/>
      <c r="CN77" s="105"/>
      <c r="CO77" s="105"/>
      <c r="CP77" s="105"/>
      <c r="CQ77" s="105"/>
      <c r="CR77" s="105"/>
      <c r="CS77" s="105"/>
      <c r="CT77" s="105"/>
      <c r="CU77" s="105"/>
      <c r="CV77" s="105"/>
      <c r="CW77" s="105"/>
      <c r="CX77" s="105"/>
      <c r="CY77" s="105"/>
      <c r="CZ77" s="105"/>
      <c r="DA77" s="105"/>
      <c r="DB77" s="105"/>
      <c r="DC77" s="105"/>
      <c r="DD77" s="125">
        <v>0.5</v>
      </c>
      <c r="DE77" s="125"/>
      <c r="DF77" s="105"/>
      <c r="DG77" s="105"/>
      <c r="DH77" s="105"/>
      <c r="DI77" s="105"/>
      <c r="DJ77" s="79">
        <f t="shared" si="460"/>
        <v>1</v>
      </c>
      <c r="DK77" s="108"/>
      <c r="DL77" s="108"/>
      <c r="DM77" s="108"/>
      <c r="DN77" s="108"/>
      <c r="DO77" s="108"/>
      <c r="DP77" s="108"/>
      <c r="DQ77" s="108"/>
      <c r="DR77" s="108"/>
      <c r="DS77" s="108"/>
      <c r="DT77" s="108"/>
      <c r="DU77" s="108"/>
      <c r="DV77" s="108"/>
      <c r="DW77" s="108"/>
      <c r="DX77" s="108"/>
      <c r="DY77" s="108"/>
      <c r="DZ77" s="108"/>
      <c r="EA77" s="108"/>
      <c r="EB77" s="108"/>
      <c r="EC77" s="108"/>
      <c r="ED77" s="108"/>
      <c r="EE77" s="108"/>
      <c r="EF77" s="108"/>
      <c r="EG77" s="108"/>
      <c r="EH77" s="129"/>
      <c r="EI77" s="129"/>
      <c r="EJ77" s="108"/>
      <c r="EK77" s="108"/>
      <c r="EL77" s="108"/>
      <c r="EM77" s="108">
        <v>0.5</v>
      </c>
      <c r="EN77" s="108"/>
      <c r="EO77" s="108"/>
      <c r="EP77" s="108"/>
      <c r="EQ77" s="108"/>
      <c r="ER77" s="108"/>
      <c r="ES77" s="106"/>
      <c r="ET77" s="106"/>
      <c r="EU77" s="106"/>
      <c r="EV77" s="106"/>
      <c r="EW77" s="106"/>
      <c r="EX77" s="106"/>
      <c r="EY77" s="106"/>
      <c r="EZ77" s="106"/>
      <c r="FA77" s="106"/>
      <c r="FB77" s="106"/>
      <c r="FC77" s="106"/>
      <c r="FD77" s="106"/>
      <c r="FE77" s="126">
        <v>0.49</v>
      </c>
      <c r="FF77" s="126"/>
      <c r="FG77" s="106"/>
      <c r="FH77" s="106"/>
      <c r="FI77" s="106"/>
      <c r="FJ77" s="106">
        <v>0.01</v>
      </c>
      <c r="FK77" s="17">
        <f t="shared" ref="FK77:FK99" si="461">SUM(DK77:FJ77)</f>
        <v>1</v>
      </c>
      <c r="FL77" s="18"/>
      <c r="FM77" s="19">
        <f t="shared" si="298"/>
        <v>0</v>
      </c>
      <c r="FN77" s="19">
        <f t="shared" si="299"/>
        <v>0</v>
      </c>
      <c r="FO77" s="19">
        <f t="shared" si="300"/>
        <v>0</v>
      </c>
      <c r="FP77" s="19">
        <f t="shared" si="301"/>
        <v>0</v>
      </c>
      <c r="FQ77" s="19">
        <f t="shared" si="302"/>
        <v>0</v>
      </c>
      <c r="FR77" s="19">
        <f t="shared" si="303"/>
        <v>0</v>
      </c>
      <c r="FS77" s="19">
        <f t="shared" si="304"/>
        <v>0</v>
      </c>
      <c r="FT77" s="19">
        <f t="shared" si="305"/>
        <v>0</v>
      </c>
      <c r="FU77" s="19">
        <f t="shared" si="306"/>
        <v>0</v>
      </c>
      <c r="FV77" s="19">
        <f t="shared" si="307"/>
        <v>0</v>
      </c>
      <c r="FW77" s="19">
        <f t="shared" si="308"/>
        <v>0</v>
      </c>
      <c r="FX77" s="19">
        <f t="shared" si="309"/>
        <v>0</v>
      </c>
      <c r="FY77" s="19">
        <f t="shared" si="310"/>
        <v>0</v>
      </c>
      <c r="FZ77" s="19">
        <f t="shared" si="311"/>
        <v>0</v>
      </c>
      <c r="GA77" s="19">
        <f t="shared" si="312"/>
        <v>0</v>
      </c>
      <c r="GB77" s="19">
        <f t="shared" si="313"/>
        <v>0</v>
      </c>
      <c r="GC77" s="19">
        <f t="shared" si="314"/>
        <v>0</v>
      </c>
      <c r="GD77" s="19">
        <f t="shared" si="315"/>
        <v>0</v>
      </c>
      <c r="GE77" s="19">
        <f t="shared" si="316"/>
        <v>0</v>
      </c>
      <c r="GF77" s="19">
        <f t="shared" si="317"/>
        <v>0</v>
      </c>
      <c r="GG77" s="19">
        <f t="shared" si="318"/>
        <v>0</v>
      </c>
      <c r="GH77" s="19">
        <f t="shared" si="319"/>
        <v>0</v>
      </c>
      <c r="GI77" s="19">
        <f t="shared" si="320"/>
        <v>0</v>
      </c>
      <c r="GJ77" s="19">
        <f t="shared" si="321"/>
        <v>0</v>
      </c>
      <c r="GK77" s="19">
        <f t="shared" si="322"/>
        <v>0</v>
      </c>
      <c r="GL77" s="19">
        <f t="shared" si="323"/>
        <v>0</v>
      </c>
      <c r="GM77" s="19">
        <f t="shared" si="324"/>
        <v>0</v>
      </c>
      <c r="GN77" s="19">
        <f t="shared" si="325"/>
        <v>0</v>
      </c>
      <c r="GO77" s="19">
        <f t="shared" si="326"/>
        <v>2.4849999999999999</v>
      </c>
      <c r="GP77" s="19">
        <f t="shared" si="327"/>
        <v>0</v>
      </c>
      <c r="GQ77" s="19">
        <f t="shared" si="328"/>
        <v>0</v>
      </c>
      <c r="GR77" s="19">
        <f t="shared" si="329"/>
        <v>0</v>
      </c>
      <c r="GS77" s="19">
        <f t="shared" si="330"/>
        <v>0</v>
      </c>
      <c r="GT77" s="19">
        <f t="shared" si="331"/>
        <v>0</v>
      </c>
      <c r="GU77" s="19">
        <f t="shared" si="332"/>
        <v>0</v>
      </c>
      <c r="GV77" s="19">
        <f t="shared" si="333"/>
        <v>0</v>
      </c>
      <c r="GW77" s="19">
        <f t="shared" si="334"/>
        <v>0</v>
      </c>
      <c r="GX77" s="19">
        <f t="shared" si="335"/>
        <v>0</v>
      </c>
      <c r="GY77" s="19">
        <f t="shared" si="336"/>
        <v>0</v>
      </c>
      <c r="GZ77" s="19">
        <f t="shared" si="337"/>
        <v>0</v>
      </c>
      <c r="HA77" s="19">
        <f t="shared" si="338"/>
        <v>0</v>
      </c>
      <c r="HB77" s="19">
        <f t="shared" si="339"/>
        <v>0</v>
      </c>
      <c r="HC77" s="19">
        <f t="shared" si="340"/>
        <v>0</v>
      </c>
      <c r="HD77" s="19">
        <f t="shared" si="341"/>
        <v>0</v>
      </c>
      <c r="HE77" s="19">
        <f t="shared" si="342"/>
        <v>0</v>
      </c>
      <c r="HF77" s="19">
        <f t="shared" si="343"/>
        <v>0</v>
      </c>
      <c r="HG77" s="19">
        <f t="shared" si="344"/>
        <v>2.4849999999999999</v>
      </c>
      <c r="HH77" s="19">
        <f t="shared" si="345"/>
        <v>0</v>
      </c>
      <c r="HI77" s="19">
        <f t="shared" si="346"/>
        <v>0</v>
      </c>
      <c r="HJ77" s="19">
        <f t="shared" si="347"/>
        <v>0</v>
      </c>
      <c r="HK77" s="19">
        <f t="shared" si="348"/>
        <v>0</v>
      </c>
      <c r="HL77" s="19">
        <f t="shared" si="349"/>
        <v>0.03</v>
      </c>
      <c r="HM77" s="20">
        <f t="shared" si="350"/>
        <v>5</v>
      </c>
      <c r="HN77" s="53">
        <v>919</v>
      </c>
      <c r="HO77" s="21">
        <f t="shared" si="351"/>
        <v>0</v>
      </c>
      <c r="HP77" s="21">
        <f t="shared" si="352"/>
        <v>0</v>
      </c>
      <c r="HQ77" s="21">
        <f t="shared" si="353"/>
        <v>0</v>
      </c>
      <c r="HR77" s="21">
        <f t="shared" si="354"/>
        <v>0</v>
      </c>
      <c r="HS77" s="21">
        <f t="shared" si="355"/>
        <v>0</v>
      </c>
      <c r="HT77" s="69">
        <f t="shared" si="356"/>
        <v>0</v>
      </c>
      <c r="HU77" s="21">
        <f t="shared" si="357"/>
        <v>0</v>
      </c>
      <c r="HV77" s="21">
        <f t="shared" si="358"/>
        <v>0</v>
      </c>
      <c r="HW77" s="21">
        <f t="shared" si="359"/>
        <v>0</v>
      </c>
      <c r="HX77" s="21">
        <f t="shared" si="360"/>
        <v>0</v>
      </c>
      <c r="HY77" s="21">
        <f t="shared" si="361"/>
        <v>0</v>
      </c>
      <c r="HZ77" s="21">
        <f t="shared" si="362"/>
        <v>0</v>
      </c>
      <c r="IA77" s="21">
        <f t="shared" si="363"/>
        <v>0</v>
      </c>
      <c r="IB77" s="21">
        <f t="shared" si="364"/>
        <v>0</v>
      </c>
      <c r="IC77" s="21">
        <f t="shared" si="365"/>
        <v>0</v>
      </c>
      <c r="ID77" s="21">
        <f t="shared" si="366"/>
        <v>0</v>
      </c>
      <c r="IE77" s="21">
        <f t="shared" si="367"/>
        <v>0</v>
      </c>
      <c r="IF77" s="69">
        <f t="shared" si="368"/>
        <v>0</v>
      </c>
      <c r="IG77" s="69">
        <f t="shared" si="369"/>
        <v>0</v>
      </c>
      <c r="IH77" s="69">
        <f t="shared" si="370"/>
        <v>0</v>
      </c>
      <c r="II77" s="21">
        <f t="shared" si="371"/>
        <v>0</v>
      </c>
      <c r="IJ77" s="21">
        <f t="shared" si="372"/>
        <v>0</v>
      </c>
      <c r="IK77" s="21">
        <f t="shared" si="373"/>
        <v>0</v>
      </c>
      <c r="IL77" s="21">
        <f t="shared" si="374"/>
        <v>0</v>
      </c>
      <c r="IM77" s="21">
        <f t="shared" si="375"/>
        <v>0</v>
      </c>
      <c r="IN77" s="21">
        <f t="shared" si="376"/>
        <v>0</v>
      </c>
      <c r="IO77" s="21">
        <f t="shared" si="377"/>
        <v>0</v>
      </c>
      <c r="IP77" s="21">
        <f t="shared" si="378"/>
        <v>0</v>
      </c>
      <c r="IQ77" s="21">
        <f t="shared" si="379"/>
        <v>456.74299999999994</v>
      </c>
      <c r="IR77" s="21">
        <f t="shared" si="380"/>
        <v>0</v>
      </c>
      <c r="IS77" s="21">
        <f t="shared" si="381"/>
        <v>0</v>
      </c>
      <c r="IT77" s="21">
        <f t="shared" si="382"/>
        <v>0</v>
      </c>
      <c r="IU77" s="21">
        <f t="shared" si="383"/>
        <v>0</v>
      </c>
      <c r="IV77" s="21">
        <f t="shared" si="384"/>
        <v>0</v>
      </c>
      <c r="IW77" s="21">
        <f t="shared" si="385"/>
        <v>0</v>
      </c>
      <c r="IX77" s="21">
        <f t="shared" si="386"/>
        <v>0</v>
      </c>
      <c r="IY77" s="21">
        <f t="shared" si="387"/>
        <v>0</v>
      </c>
      <c r="IZ77" s="21">
        <f t="shared" si="388"/>
        <v>0</v>
      </c>
      <c r="JA77" s="21">
        <f t="shared" si="389"/>
        <v>0</v>
      </c>
      <c r="JB77" s="21">
        <f t="shared" si="390"/>
        <v>0</v>
      </c>
      <c r="JC77" s="21">
        <f t="shared" si="391"/>
        <v>0</v>
      </c>
      <c r="JD77" s="21">
        <f t="shared" si="392"/>
        <v>0</v>
      </c>
      <c r="JE77" s="21">
        <f t="shared" si="393"/>
        <v>0</v>
      </c>
      <c r="JF77" s="21">
        <f t="shared" si="394"/>
        <v>0</v>
      </c>
      <c r="JG77" s="21">
        <f t="shared" si="395"/>
        <v>0</v>
      </c>
      <c r="JH77" s="21">
        <f t="shared" si="396"/>
        <v>0</v>
      </c>
      <c r="JI77" s="21">
        <f t="shared" si="397"/>
        <v>456.74299999999994</v>
      </c>
      <c r="JJ77" s="21">
        <f t="shared" si="398"/>
        <v>0</v>
      </c>
      <c r="JK77" s="21">
        <f t="shared" si="399"/>
        <v>0</v>
      </c>
      <c r="JL77" s="21">
        <f t="shared" si="400"/>
        <v>0</v>
      </c>
      <c r="JM77" s="21">
        <f t="shared" si="401"/>
        <v>0</v>
      </c>
      <c r="JN77" s="21">
        <f t="shared" si="402"/>
        <v>5.5140000000000002</v>
      </c>
      <c r="JO77" s="35">
        <f t="shared" si="403"/>
        <v>918.99999999999989</v>
      </c>
      <c r="JP77" s="38">
        <f t="shared" si="404"/>
        <v>0</v>
      </c>
      <c r="JQ77" s="43">
        <f t="shared" si="405"/>
        <v>0</v>
      </c>
      <c r="JR77" s="43">
        <f t="shared" si="406"/>
        <v>0</v>
      </c>
      <c r="JS77" s="43">
        <f t="shared" si="407"/>
        <v>0</v>
      </c>
      <c r="JT77" s="43">
        <f t="shared" si="408"/>
        <v>0</v>
      </c>
      <c r="JU77" s="43">
        <f t="shared" si="409"/>
        <v>0</v>
      </c>
      <c r="JV77" s="43">
        <f t="shared" si="410"/>
        <v>0</v>
      </c>
      <c r="JW77" s="43">
        <f t="shared" si="411"/>
        <v>0</v>
      </c>
      <c r="JX77" s="43">
        <f t="shared" si="412"/>
        <v>0</v>
      </c>
      <c r="JY77" s="43">
        <f t="shared" si="413"/>
        <v>0</v>
      </c>
      <c r="JZ77" s="43">
        <f t="shared" si="414"/>
        <v>0</v>
      </c>
      <c r="KA77" s="43">
        <f t="shared" si="415"/>
        <v>0</v>
      </c>
      <c r="KB77" s="43">
        <f t="shared" si="416"/>
        <v>0</v>
      </c>
      <c r="KC77" s="43">
        <f t="shared" si="417"/>
        <v>0</v>
      </c>
      <c r="KD77" s="43">
        <f t="shared" si="418"/>
        <v>0</v>
      </c>
      <c r="KE77" s="43">
        <f t="shared" si="419"/>
        <v>0</v>
      </c>
      <c r="KF77" s="43">
        <f t="shared" si="420"/>
        <v>0</v>
      </c>
      <c r="KG77" s="43">
        <f t="shared" si="421"/>
        <v>0</v>
      </c>
      <c r="KH77" s="43">
        <f t="shared" si="422"/>
        <v>0</v>
      </c>
      <c r="KI77" s="43">
        <f t="shared" si="423"/>
        <v>0</v>
      </c>
      <c r="KJ77" s="43">
        <f t="shared" si="424"/>
        <v>0</v>
      </c>
      <c r="KK77" s="43">
        <f t="shared" si="425"/>
        <v>0</v>
      </c>
      <c r="KL77" s="43">
        <f t="shared" si="426"/>
        <v>0</v>
      </c>
      <c r="KM77" s="43">
        <f t="shared" si="427"/>
        <v>0</v>
      </c>
      <c r="KN77" s="43">
        <f t="shared" si="428"/>
        <v>0</v>
      </c>
      <c r="KO77" s="43">
        <f t="shared" si="429"/>
        <v>0</v>
      </c>
      <c r="KP77" s="43">
        <f t="shared" si="430"/>
        <v>0</v>
      </c>
      <c r="KQ77" s="43">
        <f t="shared" si="431"/>
        <v>0</v>
      </c>
      <c r="KR77" s="43">
        <f t="shared" si="432"/>
        <v>0</v>
      </c>
      <c r="KS77" s="43">
        <f t="shared" si="433"/>
        <v>1561.7554943194341</v>
      </c>
      <c r="KT77" s="43">
        <f t="shared" si="434"/>
        <v>0</v>
      </c>
      <c r="KU77" s="43">
        <f t="shared" si="435"/>
        <v>0</v>
      </c>
      <c r="KV77" s="43">
        <f t="shared" si="436"/>
        <v>0</v>
      </c>
      <c r="KW77" s="43">
        <f t="shared" si="437"/>
        <v>0</v>
      </c>
      <c r="KX77" s="43">
        <f t="shared" si="438"/>
        <v>0</v>
      </c>
      <c r="KY77" s="43">
        <f t="shared" si="439"/>
        <v>0</v>
      </c>
      <c r="KZ77" s="43">
        <f t="shared" si="440"/>
        <v>0</v>
      </c>
      <c r="LA77" s="43">
        <f t="shared" si="441"/>
        <v>0</v>
      </c>
      <c r="LB77" s="43">
        <f t="shared" si="442"/>
        <v>0</v>
      </c>
      <c r="LC77" s="43">
        <f t="shared" si="443"/>
        <v>0</v>
      </c>
      <c r="LD77" s="43">
        <f t="shared" si="444"/>
        <v>0</v>
      </c>
      <c r="LE77" s="43">
        <f t="shared" si="445"/>
        <v>0</v>
      </c>
      <c r="LF77" s="43">
        <f t="shared" si="446"/>
        <v>0</v>
      </c>
      <c r="LG77" s="43">
        <f t="shared" si="447"/>
        <v>0</v>
      </c>
      <c r="LH77" s="43">
        <f t="shared" si="448"/>
        <v>0</v>
      </c>
      <c r="LI77" s="43">
        <f t="shared" si="449"/>
        <v>0</v>
      </c>
      <c r="LJ77" s="43">
        <f t="shared" si="450"/>
        <v>0</v>
      </c>
      <c r="LK77" s="43">
        <f t="shared" si="451"/>
        <v>1829.5982722499998</v>
      </c>
      <c r="LL77" s="43">
        <f t="shared" si="452"/>
        <v>0</v>
      </c>
      <c r="LM77" s="43">
        <f t="shared" si="453"/>
        <v>0</v>
      </c>
      <c r="LN77" s="43">
        <f t="shared" si="454"/>
        <v>0</v>
      </c>
      <c r="LO77" s="43">
        <f t="shared" si="455"/>
        <v>0</v>
      </c>
      <c r="LP77" s="43">
        <f t="shared" si="456"/>
        <v>46.593299999999999</v>
      </c>
      <c r="LQ77" s="28">
        <f t="shared" si="457"/>
        <v>3437.9470665694339</v>
      </c>
      <c r="LR77" s="65">
        <v>900</v>
      </c>
      <c r="LS77" s="32">
        <f t="shared" si="281"/>
        <v>3.8199411850771487</v>
      </c>
      <c r="LT77" s="26">
        <f t="shared" si="282"/>
        <v>1.0436997773434833</v>
      </c>
      <c r="LU77" s="31">
        <f t="shared" si="458"/>
        <v>19</v>
      </c>
      <c r="LW77" s="42"/>
      <c r="MA77" s="32">
        <f t="shared" si="459"/>
        <v>3.740965251979798</v>
      </c>
      <c r="MB77" s="26">
        <f t="shared" si="283"/>
        <v>1.0221216535463928</v>
      </c>
    </row>
    <row r="78" spans="1:340" ht="15.75" thickBot="1">
      <c r="A78" t="b">
        <f t="shared" si="297"/>
        <v>1</v>
      </c>
      <c r="B78" s="123" t="s">
        <v>233</v>
      </c>
      <c r="C78" s="39" t="s">
        <v>234</v>
      </c>
      <c r="D78"/>
      <c r="E78" s="97">
        <v>46033</v>
      </c>
      <c r="F78" t="s">
        <v>43</v>
      </c>
      <c r="G78" t="s">
        <v>19</v>
      </c>
      <c r="H78" t="s">
        <v>27</v>
      </c>
      <c r="I78" s="77"/>
      <c r="J78" s="77"/>
      <c r="K78" s="77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24"/>
      <c r="AG78" s="124"/>
      <c r="AH78" s="104"/>
      <c r="AI78" s="104"/>
      <c r="AJ78" s="22"/>
      <c r="AK78" s="22">
        <v>0.495</v>
      </c>
      <c r="AL78" s="22"/>
      <c r="AM78" s="22"/>
      <c r="AN78" s="22"/>
      <c r="AO78" s="104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104"/>
      <c r="BA78" s="104"/>
      <c r="BB78" s="104"/>
      <c r="BC78" s="124">
        <v>0.495</v>
      </c>
      <c r="BD78" s="124"/>
      <c r="BE78" s="104"/>
      <c r="BF78" s="104"/>
      <c r="BG78" s="104"/>
      <c r="BH78" s="104">
        <v>0.01</v>
      </c>
      <c r="BI78" s="78">
        <f t="shared" si="296"/>
        <v>1</v>
      </c>
      <c r="BJ78" s="105"/>
      <c r="BK78" s="105"/>
      <c r="BL78" s="105"/>
      <c r="BM78" s="105"/>
      <c r="BN78" s="105"/>
      <c r="BO78" s="105"/>
      <c r="BP78" s="105"/>
      <c r="BQ78" s="105"/>
      <c r="BR78" s="105"/>
      <c r="BS78" s="105"/>
      <c r="BT78" s="105"/>
      <c r="BU78" s="105"/>
      <c r="BV78" s="105"/>
      <c r="BW78" s="105"/>
      <c r="BX78" s="105"/>
      <c r="BY78" s="105"/>
      <c r="BZ78" s="105"/>
      <c r="CA78" s="105"/>
      <c r="CB78" s="105"/>
      <c r="CC78" s="105"/>
      <c r="CD78" s="105"/>
      <c r="CE78" s="105"/>
      <c r="CF78" s="120"/>
      <c r="CG78" s="128"/>
      <c r="CH78" s="128"/>
      <c r="CI78" s="105"/>
      <c r="CJ78" s="105"/>
      <c r="CK78" s="105"/>
      <c r="CL78" s="105"/>
      <c r="CM78" s="105"/>
      <c r="CN78" s="105"/>
      <c r="CO78" s="105"/>
      <c r="CP78" s="105"/>
      <c r="CQ78" s="105"/>
      <c r="CR78" s="105"/>
      <c r="CS78" s="105"/>
      <c r="CT78" s="105"/>
      <c r="CU78" s="105"/>
      <c r="CV78" s="105"/>
      <c r="CW78" s="105"/>
      <c r="CX78" s="105"/>
      <c r="CY78" s="105"/>
      <c r="CZ78" s="105"/>
      <c r="DA78" s="105"/>
      <c r="DB78" s="105"/>
      <c r="DC78" s="105"/>
      <c r="DD78" s="125"/>
      <c r="DE78" s="125"/>
      <c r="DF78" s="105"/>
      <c r="DG78" s="105"/>
      <c r="DH78" s="105"/>
      <c r="DI78" s="105"/>
      <c r="DJ78" s="79">
        <f t="shared" si="460"/>
        <v>0</v>
      </c>
      <c r="DK78" s="108"/>
      <c r="DL78" s="108"/>
      <c r="DM78" s="108"/>
      <c r="DN78" s="108"/>
      <c r="DO78" s="108"/>
      <c r="DP78" s="108"/>
      <c r="DQ78" s="108"/>
      <c r="DR78" s="108"/>
      <c r="DS78" s="108"/>
      <c r="DT78" s="108"/>
      <c r="DU78" s="108"/>
      <c r="DV78" s="108"/>
      <c r="DW78" s="108"/>
      <c r="DX78" s="108"/>
      <c r="DY78" s="108"/>
      <c r="DZ78" s="108"/>
      <c r="EA78" s="108"/>
      <c r="EB78" s="108"/>
      <c r="EC78" s="108"/>
      <c r="ED78" s="108"/>
      <c r="EE78" s="108"/>
      <c r="EF78" s="108"/>
      <c r="EG78" s="108"/>
      <c r="EH78" s="129"/>
      <c r="EI78" s="129"/>
      <c r="EJ78" s="108"/>
      <c r="EK78" s="108"/>
      <c r="EL78" s="108"/>
      <c r="EM78" s="108"/>
      <c r="EN78" s="108"/>
      <c r="EO78" s="108"/>
      <c r="EP78" s="108"/>
      <c r="EQ78" s="108"/>
      <c r="ER78" s="108"/>
      <c r="ES78" s="106"/>
      <c r="ET78" s="106"/>
      <c r="EU78" s="106"/>
      <c r="EV78" s="106"/>
      <c r="EW78" s="106"/>
      <c r="EX78" s="106"/>
      <c r="EY78" s="106"/>
      <c r="EZ78" s="106"/>
      <c r="FA78" s="106"/>
      <c r="FB78" s="106"/>
      <c r="FC78" s="106"/>
      <c r="FD78" s="106"/>
      <c r="FE78" s="126"/>
      <c r="FF78" s="126"/>
      <c r="FG78" s="106"/>
      <c r="FH78" s="106"/>
      <c r="FI78" s="106"/>
      <c r="FJ78" s="106"/>
      <c r="FK78" s="17">
        <f t="shared" si="461"/>
        <v>0</v>
      </c>
      <c r="FL78" s="18"/>
      <c r="FM78" s="19">
        <f t="shared" si="298"/>
        <v>0</v>
      </c>
      <c r="FN78" s="19">
        <f t="shared" si="299"/>
        <v>0</v>
      </c>
      <c r="FO78" s="19">
        <f t="shared" si="300"/>
        <v>0</v>
      </c>
      <c r="FP78" s="19">
        <f t="shared" si="301"/>
        <v>0</v>
      </c>
      <c r="FQ78" s="19">
        <f t="shared" si="302"/>
        <v>0</v>
      </c>
      <c r="FR78" s="19">
        <f t="shared" si="303"/>
        <v>0</v>
      </c>
      <c r="FS78" s="19">
        <f t="shared" si="304"/>
        <v>0</v>
      </c>
      <c r="FT78" s="19">
        <f t="shared" si="305"/>
        <v>0</v>
      </c>
      <c r="FU78" s="19">
        <f t="shared" si="306"/>
        <v>0</v>
      </c>
      <c r="FV78" s="19">
        <f t="shared" si="307"/>
        <v>0</v>
      </c>
      <c r="FW78" s="19">
        <f t="shared" si="308"/>
        <v>0</v>
      </c>
      <c r="FX78" s="19">
        <f t="shared" si="309"/>
        <v>0</v>
      </c>
      <c r="FY78" s="19">
        <f t="shared" si="310"/>
        <v>0</v>
      </c>
      <c r="FZ78" s="19">
        <f t="shared" si="311"/>
        <v>0</v>
      </c>
      <c r="GA78" s="19">
        <f t="shared" si="312"/>
        <v>0</v>
      </c>
      <c r="GB78" s="19">
        <f t="shared" si="313"/>
        <v>0</v>
      </c>
      <c r="GC78" s="19">
        <f t="shared" si="314"/>
        <v>0</v>
      </c>
      <c r="GD78" s="19">
        <f t="shared" si="315"/>
        <v>0</v>
      </c>
      <c r="GE78" s="19">
        <f t="shared" si="316"/>
        <v>0</v>
      </c>
      <c r="GF78" s="19">
        <f t="shared" si="317"/>
        <v>0</v>
      </c>
      <c r="GG78" s="19">
        <f t="shared" si="318"/>
        <v>0</v>
      </c>
      <c r="GH78" s="19">
        <f t="shared" si="319"/>
        <v>0</v>
      </c>
      <c r="GI78" s="19">
        <f t="shared" si="320"/>
        <v>0</v>
      </c>
      <c r="GJ78" s="19">
        <f t="shared" si="321"/>
        <v>0</v>
      </c>
      <c r="GK78" s="19">
        <f t="shared" si="322"/>
        <v>0</v>
      </c>
      <c r="GL78" s="19">
        <f t="shared" si="323"/>
        <v>0</v>
      </c>
      <c r="GM78" s="19">
        <f t="shared" si="324"/>
        <v>0</v>
      </c>
      <c r="GN78" s="19">
        <f t="shared" si="325"/>
        <v>0</v>
      </c>
      <c r="GO78" s="19">
        <f t="shared" si="326"/>
        <v>0.74249999999999994</v>
      </c>
      <c r="GP78" s="19">
        <f t="shared" si="327"/>
        <v>0</v>
      </c>
      <c r="GQ78" s="19">
        <f t="shared" si="328"/>
        <v>0</v>
      </c>
      <c r="GR78" s="19">
        <f t="shared" si="329"/>
        <v>0</v>
      </c>
      <c r="GS78" s="19">
        <f t="shared" si="330"/>
        <v>0</v>
      </c>
      <c r="GT78" s="19">
        <f t="shared" si="331"/>
        <v>0</v>
      </c>
      <c r="GU78" s="19">
        <f t="shared" si="332"/>
        <v>0</v>
      </c>
      <c r="GV78" s="19">
        <f t="shared" si="333"/>
        <v>0</v>
      </c>
      <c r="GW78" s="19">
        <f t="shared" si="334"/>
        <v>0</v>
      </c>
      <c r="GX78" s="19">
        <f t="shared" si="335"/>
        <v>0</v>
      </c>
      <c r="GY78" s="19">
        <f t="shared" si="336"/>
        <v>0</v>
      </c>
      <c r="GZ78" s="19">
        <f t="shared" si="337"/>
        <v>0</v>
      </c>
      <c r="HA78" s="19">
        <f t="shared" si="338"/>
        <v>0</v>
      </c>
      <c r="HB78" s="19">
        <f t="shared" si="339"/>
        <v>0</v>
      </c>
      <c r="HC78" s="19">
        <f t="shared" si="340"/>
        <v>0</v>
      </c>
      <c r="HD78" s="19">
        <f t="shared" si="341"/>
        <v>0</v>
      </c>
      <c r="HE78" s="19">
        <f t="shared" si="342"/>
        <v>0</v>
      </c>
      <c r="HF78" s="19">
        <f t="shared" si="343"/>
        <v>0</v>
      </c>
      <c r="HG78" s="19">
        <f t="shared" si="344"/>
        <v>0.74249999999999994</v>
      </c>
      <c r="HH78" s="19">
        <f t="shared" si="345"/>
        <v>0</v>
      </c>
      <c r="HI78" s="19">
        <f t="shared" si="346"/>
        <v>0</v>
      </c>
      <c r="HJ78" s="19">
        <f t="shared" si="347"/>
        <v>0</v>
      </c>
      <c r="HK78" s="19">
        <f t="shared" si="348"/>
        <v>0</v>
      </c>
      <c r="HL78" s="19">
        <f t="shared" si="349"/>
        <v>1.4999999999999999E-2</v>
      </c>
      <c r="HM78" s="20">
        <f t="shared" si="350"/>
        <v>1.4999999999999998</v>
      </c>
      <c r="HN78" s="53">
        <v>951</v>
      </c>
      <c r="HO78" s="21">
        <f t="shared" si="351"/>
        <v>0</v>
      </c>
      <c r="HP78" s="21">
        <f t="shared" si="352"/>
        <v>0</v>
      </c>
      <c r="HQ78" s="21">
        <f t="shared" si="353"/>
        <v>0</v>
      </c>
      <c r="HR78" s="21">
        <f t="shared" si="354"/>
        <v>0</v>
      </c>
      <c r="HS78" s="21">
        <f t="shared" si="355"/>
        <v>0</v>
      </c>
      <c r="HT78" s="69">
        <f t="shared" si="356"/>
        <v>0</v>
      </c>
      <c r="HU78" s="21">
        <f t="shared" si="357"/>
        <v>0</v>
      </c>
      <c r="HV78" s="21">
        <f t="shared" si="358"/>
        <v>0</v>
      </c>
      <c r="HW78" s="21">
        <f t="shared" si="359"/>
        <v>0</v>
      </c>
      <c r="HX78" s="21">
        <f t="shared" si="360"/>
        <v>0</v>
      </c>
      <c r="HY78" s="21">
        <f t="shared" si="361"/>
        <v>0</v>
      </c>
      <c r="HZ78" s="21">
        <f t="shared" si="362"/>
        <v>0</v>
      </c>
      <c r="IA78" s="21">
        <f t="shared" si="363"/>
        <v>0</v>
      </c>
      <c r="IB78" s="21">
        <f t="shared" si="364"/>
        <v>0</v>
      </c>
      <c r="IC78" s="21">
        <f t="shared" si="365"/>
        <v>0</v>
      </c>
      <c r="ID78" s="21">
        <f t="shared" si="366"/>
        <v>0</v>
      </c>
      <c r="IE78" s="21">
        <f t="shared" si="367"/>
        <v>0</v>
      </c>
      <c r="IF78" s="69">
        <f t="shared" si="368"/>
        <v>0</v>
      </c>
      <c r="IG78" s="69">
        <f t="shared" si="369"/>
        <v>0</v>
      </c>
      <c r="IH78" s="69">
        <f t="shared" si="370"/>
        <v>0</v>
      </c>
      <c r="II78" s="21">
        <f t="shared" si="371"/>
        <v>0</v>
      </c>
      <c r="IJ78" s="21">
        <f t="shared" si="372"/>
        <v>0</v>
      </c>
      <c r="IK78" s="21">
        <f t="shared" si="373"/>
        <v>0</v>
      </c>
      <c r="IL78" s="21">
        <f t="shared" si="374"/>
        <v>0</v>
      </c>
      <c r="IM78" s="21">
        <f t="shared" si="375"/>
        <v>0</v>
      </c>
      <c r="IN78" s="21">
        <f t="shared" si="376"/>
        <v>0</v>
      </c>
      <c r="IO78" s="21">
        <f t="shared" si="377"/>
        <v>0</v>
      </c>
      <c r="IP78" s="21">
        <f t="shared" si="378"/>
        <v>0</v>
      </c>
      <c r="IQ78" s="21">
        <f t="shared" si="379"/>
        <v>470.74500000000006</v>
      </c>
      <c r="IR78" s="21">
        <f t="shared" si="380"/>
        <v>0</v>
      </c>
      <c r="IS78" s="21">
        <f t="shared" si="381"/>
        <v>0</v>
      </c>
      <c r="IT78" s="21">
        <f t="shared" si="382"/>
        <v>0</v>
      </c>
      <c r="IU78" s="21">
        <f t="shared" si="383"/>
        <v>0</v>
      </c>
      <c r="IV78" s="21">
        <f t="shared" si="384"/>
        <v>0</v>
      </c>
      <c r="IW78" s="21">
        <f t="shared" si="385"/>
        <v>0</v>
      </c>
      <c r="IX78" s="21">
        <f t="shared" si="386"/>
        <v>0</v>
      </c>
      <c r="IY78" s="21">
        <f t="shared" si="387"/>
        <v>0</v>
      </c>
      <c r="IZ78" s="21">
        <f t="shared" si="388"/>
        <v>0</v>
      </c>
      <c r="JA78" s="21">
        <f t="shared" si="389"/>
        <v>0</v>
      </c>
      <c r="JB78" s="21">
        <f t="shared" si="390"/>
        <v>0</v>
      </c>
      <c r="JC78" s="21">
        <f t="shared" si="391"/>
        <v>0</v>
      </c>
      <c r="JD78" s="21">
        <f t="shared" si="392"/>
        <v>0</v>
      </c>
      <c r="JE78" s="21">
        <f t="shared" si="393"/>
        <v>0</v>
      </c>
      <c r="JF78" s="21">
        <f t="shared" si="394"/>
        <v>0</v>
      </c>
      <c r="JG78" s="21">
        <f t="shared" si="395"/>
        <v>0</v>
      </c>
      <c r="JH78" s="21">
        <f t="shared" si="396"/>
        <v>0</v>
      </c>
      <c r="JI78" s="21">
        <f t="shared" si="397"/>
        <v>470.74500000000006</v>
      </c>
      <c r="JJ78" s="21">
        <f t="shared" si="398"/>
        <v>0</v>
      </c>
      <c r="JK78" s="21">
        <f t="shared" si="399"/>
        <v>0</v>
      </c>
      <c r="JL78" s="21">
        <f t="shared" si="400"/>
        <v>0</v>
      </c>
      <c r="JM78" s="21">
        <f t="shared" si="401"/>
        <v>0</v>
      </c>
      <c r="JN78" s="21">
        <f t="shared" si="402"/>
        <v>9.51</v>
      </c>
      <c r="JO78" s="35">
        <f t="shared" si="403"/>
        <v>951.00000000000011</v>
      </c>
      <c r="JP78" s="38">
        <f t="shared" si="404"/>
        <v>0</v>
      </c>
      <c r="JQ78" s="43">
        <f t="shared" si="405"/>
        <v>0</v>
      </c>
      <c r="JR78" s="43">
        <f t="shared" si="406"/>
        <v>0</v>
      </c>
      <c r="JS78" s="43">
        <f t="shared" si="407"/>
        <v>0</v>
      </c>
      <c r="JT78" s="43">
        <f t="shared" si="408"/>
        <v>0</v>
      </c>
      <c r="JU78" s="43">
        <f t="shared" si="409"/>
        <v>0</v>
      </c>
      <c r="JV78" s="43">
        <f t="shared" si="410"/>
        <v>0</v>
      </c>
      <c r="JW78" s="43">
        <f t="shared" si="411"/>
        <v>0</v>
      </c>
      <c r="JX78" s="43">
        <f t="shared" si="412"/>
        <v>0</v>
      </c>
      <c r="JY78" s="43">
        <f t="shared" si="413"/>
        <v>0</v>
      </c>
      <c r="JZ78" s="43">
        <f t="shared" si="414"/>
        <v>0</v>
      </c>
      <c r="KA78" s="43">
        <f t="shared" si="415"/>
        <v>0</v>
      </c>
      <c r="KB78" s="43">
        <f t="shared" si="416"/>
        <v>0</v>
      </c>
      <c r="KC78" s="43">
        <f t="shared" si="417"/>
        <v>0</v>
      </c>
      <c r="KD78" s="43">
        <f t="shared" si="418"/>
        <v>0</v>
      </c>
      <c r="KE78" s="43">
        <f t="shared" si="419"/>
        <v>0</v>
      </c>
      <c r="KF78" s="43">
        <f t="shared" si="420"/>
        <v>0</v>
      </c>
      <c r="KG78" s="43">
        <f t="shared" si="421"/>
        <v>0</v>
      </c>
      <c r="KH78" s="43">
        <f t="shared" si="422"/>
        <v>0</v>
      </c>
      <c r="KI78" s="43">
        <f t="shared" si="423"/>
        <v>0</v>
      </c>
      <c r="KJ78" s="43">
        <f t="shared" si="424"/>
        <v>0</v>
      </c>
      <c r="KK78" s="43">
        <f t="shared" si="425"/>
        <v>0</v>
      </c>
      <c r="KL78" s="43">
        <f t="shared" si="426"/>
        <v>0</v>
      </c>
      <c r="KM78" s="43">
        <f t="shared" si="427"/>
        <v>0</v>
      </c>
      <c r="KN78" s="43">
        <f t="shared" si="428"/>
        <v>0</v>
      </c>
      <c r="KO78" s="43">
        <f t="shared" si="429"/>
        <v>0</v>
      </c>
      <c r="KP78" s="43">
        <f t="shared" si="430"/>
        <v>0</v>
      </c>
      <c r="KQ78" s="43">
        <f t="shared" si="431"/>
        <v>0</v>
      </c>
      <c r="KR78" s="43">
        <f t="shared" si="432"/>
        <v>0</v>
      </c>
      <c r="KS78" s="43">
        <f t="shared" si="433"/>
        <v>1609.6329668400001</v>
      </c>
      <c r="KT78" s="43">
        <f t="shared" si="434"/>
        <v>0</v>
      </c>
      <c r="KU78" s="43">
        <f t="shared" si="435"/>
        <v>0</v>
      </c>
      <c r="KV78" s="43">
        <f t="shared" si="436"/>
        <v>0</v>
      </c>
      <c r="KW78" s="43">
        <f t="shared" si="437"/>
        <v>0</v>
      </c>
      <c r="KX78" s="43">
        <f t="shared" si="438"/>
        <v>0</v>
      </c>
      <c r="KY78" s="43">
        <f t="shared" si="439"/>
        <v>0</v>
      </c>
      <c r="KZ78" s="43">
        <f t="shared" si="440"/>
        <v>0</v>
      </c>
      <c r="LA78" s="43">
        <f t="shared" si="441"/>
        <v>0</v>
      </c>
      <c r="LB78" s="43">
        <f t="shared" si="442"/>
        <v>0</v>
      </c>
      <c r="LC78" s="43">
        <f t="shared" si="443"/>
        <v>0</v>
      </c>
      <c r="LD78" s="43">
        <f t="shared" si="444"/>
        <v>0</v>
      </c>
      <c r="LE78" s="43">
        <f t="shared" si="445"/>
        <v>0</v>
      </c>
      <c r="LF78" s="43">
        <f t="shared" si="446"/>
        <v>0</v>
      </c>
      <c r="LG78" s="43">
        <f t="shared" si="447"/>
        <v>0</v>
      </c>
      <c r="LH78" s="43">
        <f t="shared" si="448"/>
        <v>0</v>
      </c>
      <c r="LI78" s="43">
        <f t="shared" si="449"/>
        <v>0</v>
      </c>
      <c r="LJ78" s="43">
        <f t="shared" si="450"/>
        <v>0</v>
      </c>
      <c r="LK78" s="43">
        <f t="shared" si="451"/>
        <v>1885.6867837500001</v>
      </c>
      <c r="LL78" s="43">
        <f t="shared" si="452"/>
        <v>0</v>
      </c>
      <c r="LM78" s="43">
        <f t="shared" si="453"/>
        <v>0</v>
      </c>
      <c r="LN78" s="43">
        <f t="shared" si="454"/>
        <v>0</v>
      </c>
      <c r="LO78" s="43">
        <f t="shared" si="455"/>
        <v>0</v>
      </c>
      <c r="LP78" s="43">
        <f t="shared" si="456"/>
        <v>80.359499999999997</v>
      </c>
      <c r="LQ78" s="28">
        <f t="shared" si="457"/>
        <v>3575.6792505900003</v>
      </c>
      <c r="LR78" s="65">
        <v>896</v>
      </c>
      <c r="LS78" s="32">
        <f t="shared" ref="LS78:LS149" si="462">LQ78/LR78</f>
        <v>3.9907134493191969</v>
      </c>
      <c r="LT78" s="26">
        <f t="shared" ref="LT78:LT149" si="463">LS78/3.66</f>
        <v>1.0903588659342067</v>
      </c>
      <c r="LU78" s="31">
        <f t="shared" si="458"/>
        <v>55</v>
      </c>
      <c r="LW78" s="42"/>
      <c r="MA78" s="32">
        <f t="shared" si="459"/>
        <v>3.7599150899999998</v>
      </c>
      <c r="MB78" s="26">
        <f t="shared" ref="MB78:MB149" si="464">MA78/3.66</f>
        <v>1.0272992049180327</v>
      </c>
    </row>
    <row r="79" spans="1:340" ht="15.75" thickBot="1">
      <c r="A79" t="b">
        <f t="shared" si="297"/>
        <v>1</v>
      </c>
      <c r="B79" s="123" t="s">
        <v>235</v>
      </c>
      <c r="C79" s="39" t="s">
        <v>236</v>
      </c>
      <c r="D79"/>
      <c r="E79" s="97">
        <v>46033</v>
      </c>
      <c r="F79" t="s">
        <v>43</v>
      </c>
      <c r="G79" t="s">
        <v>19</v>
      </c>
      <c r="H79" t="s">
        <v>27</v>
      </c>
      <c r="I79" s="77"/>
      <c r="J79" s="77"/>
      <c r="K79" s="77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24"/>
      <c r="AG79" s="124"/>
      <c r="AH79" s="104"/>
      <c r="AI79" s="104"/>
      <c r="AJ79" s="22"/>
      <c r="AK79" s="22">
        <v>0.495</v>
      </c>
      <c r="AL79" s="22"/>
      <c r="AM79" s="22"/>
      <c r="AN79" s="22"/>
      <c r="AO79" s="104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104"/>
      <c r="BA79" s="104"/>
      <c r="BB79" s="104"/>
      <c r="BC79" s="124">
        <v>0.495</v>
      </c>
      <c r="BD79" s="124"/>
      <c r="BE79" s="104"/>
      <c r="BF79" s="104"/>
      <c r="BG79" s="104"/>
      <c r="BH79" s="104">
        <v>0.01</v>
      </c>
      <c r="BI79" s="78">
        <f t="shared" si="296"/>
        <v>1</v>
      </c>
      <c r="BJ79" s="105"/>
      <c r="BK79" s="105"/>
      <c r="BL79" s="105"/>
      <c r="BM79" s="105"/>
      <c r="BN79" s="105"/>
      <c r="BO79" s="105"/>
      <c r="BP79" s="105"/>
      <c r="BQ79" s="105"/>
      <c r="BR79" s="105"/>
      <c r="BS79" s="105"/>
      <c r="BT79" s="105"/>
      <c r="BU79" s="105"/>
      <c r="BV79" s="105"/>
      <c r="BW79" s="105"/>
      <c r="BX79" s="105"/>
      <c r="BY79" s="105"/>
      <c r="BZ79" s="105"/>
      <c r="CA79" s="105"/>
      <c r="CB79" s="105"/>
      <c r="CC79" s="105"/>
      <c r="CD79" s="105"/>
      <c r="CE79" s="105"/>
      <c r="CF79" s="120"/>
      <c r="CG79" s="128"/>
      <c r="CH79" s="128"/>
      <c r="CI79" s="105"/>
      <c r="CJ79" s="105"/>
      <c r="CK79" s="105"/>
      <c r="CL79" s="105"/>
      <c r="CM79" s="105"/>
      <c r="CN79" s="105"/>
      <c r="CO79" s="105"/>
      <c r="CP79" s="105"/>
      <c r="CQ79" s="105"/>
      <c r="CR79" s="105"/>
      <c r="CS79" s="105"/>
      <c r="CT79" s="105"/>
      <c r="CU79" s="105"/>
      <c r="CV79" s="105"/>
      <c r="CW79" s="105"/>
      <c r="CX79" s="105"/>
      <c r="CY79" s="105"/>
      <c r="CZ79" s="105"/>
      <c r="DA79" s="105"/>
      <c r="DB79" s="105"/>
      <c r="DC79" s="105"/>
      <c r="DD79" s="125"/>
      <c r="DE79" s="125"/>
      <c r="DF79" s="105"/>
      <c r="DG79" s="105"/>
      <c r="DH79" s="105"/>
      <c r="DI79" s="105"/>
      <c r="DJ79" s="79">
        <f t="shared" si="460"/>
        <v>0</v>
      </c>
      <c r="DK79" s="108"/>
      <c r="DL79" s="108"/>
      <c r="DM79" s="108"/>
      <c r="DN79" s="108"/>
      <c r="DO79" s="108"/>
      <c r="DP79" s="108"/>
      <c r="DQ79" s="108"/>
      <c r="DR79" s="108"/>
      <c r="DS79" s="108"/>
      <c r="DT79" s="108"/>
      <c r="DU79" s="108"/>
      <c r="DV79" s="108"/>
      <c r="DW79" s="108"/>
      <c r="DX79" s="108"/>
      <c r="DY79" s="108"/>
      <c r="DZ79" s="108"/>
      <c r="EA79" s="108"/>
      <c r="EB79" s="108"/>
      <c r="EC79" s="108"/>
      <c r="ED79" s="108"/>
      <c r="EE79" s="108"/>
      <c r="EF79" s="108"/>
      <c r="EG79" s="108"/>
      <c r="EH79" s="129"/>
      <c r="EI79" s="129"/>
      <c r="EJ79" s="108"/>
      <c r="EK79" s="108"/>
      <c r="EL79" s="108"/>
      <c r="EM79" s="108"/>
      <c r="EN79" s="108"/>
      <c r="EO79" s="108"/>
      <c r="EP79" s="108"/>
      <c r="EQ79" s="108"/>
      <c r="ER79" s="108"/>
      <c r="ES79" s="106"/>
      <c r="ET79" s="106"/>
      <c r="EU79" s="106"/>
      <c r="EV79" s="106"/>
      <c r="EW79" s="106"/>
      <c r="EX79" s="106"/>
      <c r="EY79" s="106"/>
      <c r="EZ79" s="106"/>
      <c r="FA79" s="106"/>
      <c r="FB79" s="106"/>
      <c r="FC79" s="106"/>
      <c r="FD79" s="106"/>
      <c r="FE79" s="126"/>
      <c r="FF79" s="126"/>
      <c r="FG79" s="106"/>
      <c r="FH79" s="106"/>
      <c r="FI79" s="106"/>
      <c r="FJ79" s="106"/>
      <c r="FK79" s="17">
        <f t="shared" si="461"/>
        <v>0</v>
      </c>
      <c r="FL79" s="18"/>
      <c r="FM79" s="19">
        <f t="shared" si="298"/>
        <v>0</v>
      </c>
      <c r="FN79" s="19">
        <f t="shared" si="299"/>
        <v>0</v>
      </c>
      <c r="FO79" s="19">
        <f t="shared" si="300"/>
        <v>0</v>
      </c>
      <c r="FP79" s="19">
        <f t="shared" si="301"/>
        <v>0</v>
      </c>
      <c r="FQ79" s="19">
        <f t="shared" si="302"/>
        <v>0</v>
      </c>
      <c r="FR79" s="19">
        <f t="shared" si="303"/>
        <v>0</v>
      </c>
      <c r="FS79" s="19">
        <f t="shared" si="304"/>
        <v>0</v>
      </c>
      <c r="FT79" s="19">
        <f t="shared" si="305"/>
        <v>0</v>
      </c>
      <c r="FU79" s="19">
        <f t="shared" si="306"/>
        <v>0</v>
      </c>
      <c r="FV79" s="19">
        <f t="shared" si="307"/>
        <v>0</v>
      </c>
      <c r="FW79" s="19">
        <f t="shared" si="308"/>
        <v>0</v>
      </c>
      <c r="FX79" s="19">
        <f t="shared" si="309"/>
        <v>0</v>
      </c>
      <c r="FY79" s="19">
        <f t="shared" si="310"/>
        <v>0</v>
      </c>
      <c r="FZ79" s="19">
        <f t="shared" si="311"/>
        <v>0</v>
      </c>
      <c r="GA79" s="19">
        <f t="shared" si="312"/>
        <v>0</v>
      </c>
      <c r="GB79" s="19">
        <f t="shared" si="313"/>
        <v>0</v>
      </c>
      <c r="GC79" s="19">
        <f t="shared" si="314"/>
        <v>0</v>
      </c>
      <c r="GD79" s="19">
        <f t="shared" si="315"/>
        <v>0</v>
      </c>
      <c r="GE79" s="19">
        <f t="shared" si="316"/>
        <v>0</v>
      </c>
      <c r="GF79" s="19">
        <f t="shared" si="317"/>
        <v>0</v>
      </c>
      <c r="GG79" s="19">
        <f t="shared" si="318"/>
        <v>0</v>
      </c>
      <c r="GH79" s="19">
        <f t="shared" si="319"/>
        <v>0</v>
      </c>
      <c r="GI79" s="19">
        <f t="shared" si="320"/>
        <v>0</v>
      </c>
      <c r="GJ79" s="19">
        <f t="shared" si="321"/>
        <v>0</v>
      </c>
      <c r="GK79" s="19">
        <f t="shared" si="322"/>
        <v>0</v>
      </c>
      <c r="GL79" s="19">
        <f t="shared" si="323"/>
        <v>0</v>
      </c>
      <c r="GM79" s="19">
        <f t="shared" si="324"/>
        <v>0</v>
      </c>
      <c r="GN79" s="19">
        <f t="shared" si="325"/>
        <v>0</v>
      </c>
      <c r="GO79" s="19">
        <f t="shared" si="326"/>
        <v>0.74249999999999994</v>
      </c>
      <c r="GP79" s="19">
        <f t="shared" si="327"/>
        <v>0</v>
      </c>
      <c r="GQ79" s="19">
        <f t="shared" si="328"/>
        <v>0</v>
      </c>
      <c r="GR79" s="19">
        <f t="shared" si="329"/>
        <v>0</v>
      </c>
      <c r="GS79" s="19">
        <f t="shared" si="330"/>
        <v>0</v>
      </c>
      <c r="GT79" s="19">
        <f t="shared" si="331"/>
        <v>0</v>
      </c>
      <c r="GU79" s="19">
        <f t="shared" si="332"/>
        <v>0</v>
      </c>
      <c r="GV79" s="19">
        <f t="shared" si="333"/>
        <v>0</v>
      </c>
      <c r="GW79" s="19">
        <f t="shared" si="334"/>
        <v>0</v>
      </c>
      <c r="GX79" s="19">
        <f t="shared" si="335"/>
        <v>0</v>
      </c>
      <c r="GY79" s="19">
        <f t="shared" si="336"/>
        <v>0</v>
      </c>
      <c r="GZ79" s="19">
        <f t="shared" si="337"/>
        <v>0</v>
      </c>
      <c r="HA79" s="19">
        <f t="shared" si="338"/>
        <v>0</v>
      </c>
      <c r="HB79" s="19">
        <f t="shared" si="339"/>
        <v>0</v>
      </c>
      <c r="HC79" s="19">
        <f t="shared" si="340"/>
        <v>0</v>
      </c>
      <c r="HD79" s="19">
        <f t="shared" si="341"/>
        <v>0</v>
      </c>
      <c r="HE79" s="19">
        <f t="shared" si="342"/>
        <v>0</v>
      </c>
      <c r="HF79" s="19">
        <f t="shared" si="343"/>
        <v>0</v>
      </c>
      <c r="HG79" s="19">
        <f t="shared" si="344"/>
        <v>0.74249999999999994</v>
      </c>
      <c r="HH79" s="19">
        <f t="shared" si="345"/>
        <v>0</v>
      </c>
      <c r="HI79" s="19">
        <f t="shared" si="346"/>
        <v>0</v>
      </c>
      <c r="HJ79" s="19">
        <f t="shared" si="347"/>
        <v>0</v>
      </c>
      <c r="HK79" s="19">
        <f t="shared" si="348"/>
        <v>0</v>
      </c>
      <c r="HL79" s="19">
        <f t="shared" si="349"/>
        <v>1.4999999999999999E-2</v>
      </c>
      <c r="HM79" s="20">
        <f t="shared" si="350"/>
        <v>1.4999999999999998</v>
      </c>
      <c r="HN79" s="53">
        <v>920</v>
      </c>
      <c r="HO79" s="21">
        <f t="shared" si="351"/>
        <v>0</v>
      </c>
      <c r="HP79" s="21">
        <f t="shared" si="352"/>
        <v>0</v>
      </c>
      <c r="HQ79" s="21">
        <f t="shared" si="353"/>
        <v>0</v>
      </c>
      <c r="HR79" s="21">
        <f t="shared" si="354"/>
        <v>0</v>
      </c>
      <c r="HS79" s="21">
        <f t="shared" si="355"/>
        <v>0</v>
      </c>
      <c r="HT79" s="69">
        <f t="shared" si="356"/>
        <v>0</v>
      </c>
      <c r="HU79" s="21">
        <f t="shared" si="357"/>
        <v>0</v>
      </c>
      <c r="HV79" s="21">
        <f t="shared" si="358"/>
        <v>0</v>
      </c>
      <c r="HW79" s="21">
        <f t="shared" si="359"/>
        <v>0</v>
      </c>
      <c r="HX79" s="21">
        <f t="shared" si="360"/>
        <v>0</v>
      </c>
      <c r="HY79" s="21">
        <f t="shared" si="361"/>
        <v>0</v>
      </c>
      <c r="HZ79" s="21">
        <f t="shared" si="362"/>
        <v>0</v>
      </c>
      <c r="IA79" s="21">
        <f t="shared" si="363"/>
        <v>0</v>
      </c>
      <c r="IB79" s="21">
        <f t="shared" si="364"/>
        <v>0</v>
      </c>
      <c r="IC79" s="21">
        <f t="shared" si="365"/>
        <v>0</v>
      </c>
      <c r="ID79" s="21">
        <f t="shared" si="366"/>
        <v>0</v>
      </c>
      <c r="IE79" s="21">
        <f t="shared" si="367"/>
        <v>0</v>
      </c>
      <c r="IF79" s="69">
        <f t="shared" si="368"/>
        <v>0</v>
      </c>
      <c r="IG79" s="69">
        <f t="shared" si="369"/>
        <v>0</v>
      </c>
      <c r="IH79" s="69">
        <f t="shared" si="370"/>
        <v>0</v>
      </c>
      <c r="II79" s="21">
        <f t="shared" si="371"/>
        <v>0</v>
      </c>
      <c r="IJ79" s="21">
        <f t="shared" si="372"/>
        <v>0</v>
      </c>
      <c r="IK79" s="21">
        <f t="shared" si="373"/>
        <v>0</v>
      </c>
      <c r="IL79" s="21">
        <f t="shared" si="374"/>
        <v>0</v>
      </c>
      <c r="IM79" s="21">
        <f t="shared" si="375"/>
        <v>0</v>
      </c>
      <c r="IN79" s="21">
        <f t="shared" si="376"/>
        <v>0</v>
      </c>
      <c r="IO79" s="21">
        <f t="shared" si="377"/>
        <v>0</v>
      </c>
      <c r="IP79" s="21">
        <f t="shared" si="378"/>
        <v>0</v>
      </c>
      <c r="IQ79" s="21">
        <f t="shared" si="379"/>
        <v>455.40000000000003</v>
      </c>
      <c r="IR79" s="21">
        <f t="shared" si="380"/>
        <v>0</v>
      </c>
      <c r="IS79" s="21">
        <f t="shared" si="381"/>
        <v>0</v>
      </c>
      <c r="IT79" s="21">
        <f t="shared" si="382"/>
        <v>0</v>
      </c>
      <c r="IU79" s="21">
        <f t="shared" si="383"/>
        <v>0</v>
      </c>
      <c r="IV79" s="21">
        <f t="shared" si="384"/>
        <v>0</v>
      </c>
      <c r="IW79" s="21">
        <f t="shared" si="385"/>
        <v>0</v>
      </c>
      <c r="IX79" s="21">
        <f t="shared" si="386"/>
        <v>0</v>
      </c>
      <c r="IY79" s="21">
        <f t="shared" si="387"/>
        <v>0</v>
      </c>
      <c r="IZ79" s="21">
        <f t="shared" si="388"/>
        <v>0</v>
      </c>
      <c r="JA79" s="21">
        <f t="shared" si="389"/>
        <v>0</v>
      </c>
      <c r="JB79" s="21">
        <f t="shared" si="390"/>
        <v>0</v>
      </c>
      <c r="JC79" s="21">
        <f t="shared" si="391"/>
        <v>0</v>
      </c>
      <c r="JD79" s="21">
        <f t="shared" si="392"/>
        <v>0</v>
      </c>
      <c r="JE79" s="21">
        <f t="shared" si="393"/>
        <v>0</v>
      </c>
      <c r="JF79" s="21">
        <f t="shared" si="394"/>
        <v>0</v>
      </c>
      <c r="JG79" s="21">
        <f t="shared" si="395"/>
        <v>0</v>
      </c>
      <c r="JH79" s="21">
        <f t="shared" si="396"/>
        <v>0</v>
      </c>
      <c r="JI79" s="21">
        <f t="shared" si="397"/>
        <v>455.40000000000003</v>
      </c>
      <c r="JJ79" s="21">
        <f t="shared" si="398"/>
        <v>0</v>
      </c>
      <c r="JK79" s="21">
        <f t="shared" si="399"/>
        <v>0</v>
      </c>
      <c r="JL79" s="21">
        <f t="shared" si="400"/>
        <v>0</v>
      </c>
      <c r="JM79" s="21">
        <f t="shared" si="401"/>
        <v>0</v>
      </c>
      <c r="JN79" s="21">
        <f t="shared" si="402"/>
        <v>9.2000000000000011</v>
      </c>
      <c r="JO79" s="35">
        <f t="shared" si="403"/>
        <v>920.00000000000011</v>
      </c>
      <c r="JP79" s="38">
        <f t="shared" si="404"/>
        <v>0</v>
      </c>
      <c r="JQ79" s="43">
        <f t="shared" si="405"/>
        <v>0</v>
      </c>
      <c r="JR79" s="43">
        <f t="shared" si="406"/>
        <v>0</v>
      </c>
      <c r="JS79" s="43">
        <f t="shared" si="407"/>
        <v>0</v>
      </c>
      <c r="JT79" s="43">
        <f t="shared" si="408"/>
        <v>0</v>
      </c>
      <c r="JU79" s="43">
        <f t="shared" si="409"/>
        <v>0</v>
      </c>
      <c r="JV79" s="43">
        <f t="shared" si="410"/>
        <v>0</v>
      </c>
      <c r="JW79" s="43">
        <f t="shared" si="411"/>
        <v>0</v>
      </c>
      <c r="JX79" s="43">
        <f t="shared" si="412"/>
        <v>0</v>
      </c>
      <c r="JY79" s="43">
        <f t="shared" si="413"/>
        <v>0</v>
      </c>
      <c r="JZ79" s="43">
        <f t="shared" si="414"/>
        <v>0</v>
      </c>
      <c r="KA79" s="43">
        <f t="shared" si="415"/>
        <v>0</v>
      </c>
      <c r="KB79" s="43">
        <f t="shared" si="416"/>
        <v>0</v>
      </c>
      <c r="KC79" s="43">
        <f t="shared" si="417"/>
        <v>0</v>
      </c>
      <c r="KD79" s="43">
        <f t="shared" si="418"/>
        <v>0</v>
      </c>
      <c r="KE79" s="43">
        <f t="shared" si="419"/>
        <v>0</v>
      </c>
      <c r="KF79" s="43">
        <f t="shared" si="420"/>
        <v>0</v>
      </c>
      <c r="KG79" s="43">
        <f t="shared" si="421"/>
        <v>0</v>
      </c>
      <c r="KH79" s="43">
        <f t="shared" si="422"/>
        <v>0</v>
      </c>
      <c r="KI79" s="43">
        <f t="shared" si="423"/>
        <v>0</v>
      </c>
      <c r="KJ79" s="43">
        <f t="shared" si="424"/>
        <v>0</v>
      </c>
      <c r="KK79" s="43">
        <f t="shared" si="425"/>
        <v>0</v>
      </c>
      <c r="KL79" s="43">
        <f t="shared" si="426"/>
        <v>0</v>
      </c>
      <c r="KM79" s="43">
        <f t="shared" si="427"/>
        <v>0</v>
      </c>
      <c r="KN79" s="43">
        <f t="shared" si="428"/>
        <v>0</v>
      </c>
      <c r="KO79" s="43">
        <f t="shared" si="429"/>
        <v>0</v>
      </c>
      <c r="KP79" s="43">
        <f t="shared" si="430"/>
        <v>0</v>
      </c>
      <c r="KQ79" s="43">
        <f t="shared" si="431"/>
        <v>0</v>
      </c>
      <c r="KR79" s="43">
        <f t="shared" si="432"/>
        <v>0</v>
      </c>
      <c r="KS79" s="43">
        <f t="shared" si="433"/>
        <v>1557.1633328</v>
      </c>
      <c r="KT79" s="43">
        <f t="shared" si="434"/>
        <v>0</v>
      </c>
      <c r="KU79" s="43">
        <f t="shared" si="435"/>
        <v>0</v>
      </c>
      <c r="KV79" s="43">
        <f t="shared" si="436"/>
        <v>0</v>
      </c>
      <c r="KW79" s="43">
        <f t="shared" si="437"/>
        <v>0</v>
      </c>
      <c r="KX79" s="43">
        <f t="shared" si="438"/>
        <v>0</v>
      </c>
      <c r="KY79" s="43">
        <f t="shared" si="439"/>
        <v>0</v>
      </c>
      <c r="KZ79" s="43">
        <f t="shared" si="440"/>
        <v>0</v>
      </c>
      <c r="LA79" s="43">
        <f t="shared" si="441"/>
        <v>0</v>
      </c>
      <c r="LB79" s="43">
        <f t="shared" si="442"/>
        <v>0</v>
      </c>
      <c r="LC79" s="43">
        <f t="shared" si="443"/>
        <v>0</v>
      </c>
      <c r="LD79" s="43">
        <f t="shared" si="444"/>
        <v>0</v>
      </c>
      <c r="LE79" s="43">
        <f t="shared" si="445"/>
        <v>0</v>
      </c>
      <c r="LF79" s="43">
        <f t="shared" si="446"/>
        <v>0</v>
      </c>
      <c r="LG79" s="43">
        <f t="shared" si="447"/>
        <v>0</v>
      </c>
      <c r="LH79" s="43">
        <f t="shared" si="448"/>
        <v>0</v>
      </c>
      <c r="LI79" s="43">
        <f t="shared" si="449"/>
        <v>0</v>
      </c>
      <c r="LJ79" s="43">
        <f t="shared" si="450"/>
        <v>0</v>
      </c>
      <c r="LK79" s="43">
        <f t="shared" si="451"/>
        <v>1824.2185500000001</v>
      </c>
      <c r="LL79" s="43">
        <f t="shared" si="452"/>
        <v>0</v>
      </c>
      <c r="LM79" s="43">
        <f t="shared" si="453"/>
        <v>0</v>
      </c>
      <c r="LN79" s="43">
        <f t="shared" si="454"/>
        <v>0</v>
      </c>
      <c r="LO79" s="43">
        <f t="shared" si="455"/>
        <v>0</v>
      </c>
      <c r="LP79" s="43">
        <f t="shared" si="456"/>
        <v>77.740000000000009</v>
      </c>
      <c r="LQ79" s="28">
        <f t="shared" si="457"/>
        <v>3459.1218828000001</v>
      </c>
      <c r="LR79" s="65">
        <v>892</v>
      </c>
      <c r="LS79" s="32">
        <f t="shared" si="462"/>
        <v>3.8779393304932737</v>
      </c>
      <c r="LT79" s="26">
        <f t="shared" si="463"/>
        <v>1.0595462651620966</v>
      </c>
      <c r="LU79" s="31">
        <f t="shared" si="458"/>
        <v>28</v>
      </c>
      <c r="LW79" s="42"/>
      <c r="MA79" s="32">
        <f t="shared" si="459"/>
        <v>3.7599150899999998</v>
      </c>
      <c r="MB79" s="26">
        <f t="shared" si="464"/>
        <v>1.0272992049180327</v>
      </c>
    </row>
    <row r="80" spans="1:340" ht="15.75" thickBot="1">
      <c r="A80" t="b">
        <f t="shared" si="297"/>
        <v>1</v>
      </c>
      <c r="B80" s="123" t="s">
        <v>237</v>
      </c>
      <c r="C80" s="39" t="s">
        <v>238</v>
      </c>
      <c r="D80"/>
      <c r="E80" s="97">
        <v>46034</v>
      </c>
      <c r="F80" t="s">
        <v>43</v>
      </c>
      <c r="G80" t="s">
        <v>19</v>
      </c>
      <c r="H80" t="s">
        <v>27</v>
      </c>
      <c r="I80" s="77"/>
      <c r="J80" s="77"/>
      <c r="K80" s="77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24"/>
      <c r="AG80" s="124"/>
      <c r="AH80" s="104"/>
      <c r="AI80" s="104"/>
      <c r="AJ80" s="22"/>
      <c r="AK80" s="22">
        <v>0.495</v>
      </c>
      <c r="AL80" s="22"/>
      <c r="AM80" s="22"/>
      <c r="AN80" s="22"/>
      <c r="AO80" s="104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104"/>
      <c r="BA80" s="104"/>
      <c r="BB80" s="104"/>
      <c r="BC80" s="124">
        <v>0.495</v>
      </c>
      <c r="BD80" s="124"/>
      <c r="BE80" s="104"/>
      <c r="BF80" s="104"/>
      <c r="BG80" s="104"/>
      <c r="BH80" s="104">
        <v>0.01</v>
      </c>
      <c r="BI80" s="78">
        <f t="shared" si="296"/>
        <v>1</v>
      </c>
      <c r="BJ80" s="105"/>
      <c r="BK80" s="105"/>
      <c r="BL80" s="105"/>
      <c r="BM80" s="105"/>
      <c r="BN80" s="105"/>
      <c r="BO80" s="105"/>
      <c r="BP80" s="105"/>
      <c r="BQ80" s="105"/>
      <c r="BR80" s="105"/>
      <c r="BS80" s="105"/>
      <c r="BT80" s="105"/>
      <c r="BU80" s="105"/>
      <c r="BV80" s="105"/>
      <c r="BW80" s="105"/>
      <c r="BX80" s="105"/>
      <c r="BY80" s="105"/>
      <c r="BZ80" s="105"/>
      <c r="CA80" s="105"/>
      <c r="CB80" s="105"/>
      <c r="CC80" s="105"/>
      <c r="CD80" s="105"/>
      <c r="CE80" s="105"/>
      <c r="CF80" s="120"/>
      <c r="CG80" s="128"/>
      <c r="CH80" s="128"/>
      <c r="CI80" s="105"/>
      <c r="CJ80" s="105"/>
      <c r="CK80" s="105"/>
      <c r="CL80" s="105"/>
      <c r="CM80" s="105"/>
      <c r="CN80" s="105"/>
      <c r="CO80" s="105"/>
      <c r="CP80" s="105"/>
      <c r="CQ80" s="105"/>
      <c r="CR80" s="105"/>
      <c r="CS80" s="105"/>
      <c r="CT80" s="105"/>
      <c r="CU80" s="105"/>
      <c r="CV80" s="105"/>
      <c r="CW80" s="105"/>
      <c r="CX80" s="105"/>
      <c r="CY80" s="105"/>
      <c r="CZ80" s="105"/>
      <c r="DA80" s="105"/>
      <c r="DB80" s="105"/>
      <c r="DC80" s="105"/>
      <c r="DD80" s="125"/>
      <c r="DE80" s="125"/>
      <c r="DF80" s="105"/>
      <c r="DG80" s="105"/>
      <c r="DH80" s="105"/>
      <c r="DI80" s="105"/>
      <c r="DJ80" s="79">
        <f t="shared" si="460"/>
        <v>0</v>
      </c>
      <c r="DK80" s="108"/>
      <c r="DL80" s="108"/>
      <c r="DM80" s="108"/>
      <c r="DN80" s="108"/>
      <c r="DO80" s="108"/>
      <c r="DP80" s="108"/>
      <c r="DQ80" s="108"/>
      <c r="DR80" s="108"/>
      <c r="DS80" s="108"/>
      <c r="DT80" s="108"/>
      <c r="DU80" s="108"/>
      <c r="DV80" s="108"/>
      <c r="DW80" s="108"/>
      <c r="DX80" s="108"/>
      <c r="DY80" s="108"/>
      <c r="DZ80" s="108"/>
      <c r="EA80" s="108"/>
      <c r="EB80" s="108"/>
      <c r="EC80" s="108"/>
      <c r="ED80" s="108"/>
      <c r="EE80" s="108"/>
      <c r="EF80" s="108"/>
      <c r="EG80" s="108"/>
      <c r="EH80" s="129"/>
      <c r="EI80" s="129"/>
      <c r="EJ80" s="108"/>
      <c r="EK80" s="108"/>
      <c r="EL80" s="108"/>
      <c r="EM80" s="108"/>
      <c r="EN80" s="108"/>
      <c r="EO80" s="108"/>
      <c r="EP80" s="108"/>
      <c r="EQ80" s="108"/>
      <c r="ER80" s="108"/>
      <c r="ES80" s="106"/>
      <c r="ET80" s="106"/>
      <c r="EU80" s="106"/>
      <c r="EV80" s="106"/>
      <c r="EW80" s="106"/>
      <c r="EX80" s="106"/>
      <c r="EY80" s="106"/>
      <c r="EZ80" s="106"/>
      <c r="FA80" s="106"/>
      <c r="FB80" s="106"/>
      <c r="FC80" s="106"/>
      <c r="FD80" s="106"/>
      <c r="FE80" s="126"/>
      <c r="FF80" s="126"/>
      <c r="FG80" s="106"/>
      <c r="FH80" s="106"/>
      <c r="FI80" s="106"/>
      <c r="FJ80" s="106"/>
      <c r="FK80" s="17">
        <f t="shared" si="461"/>
        <v>0</v>
      </c>
      <c r="FL80" s="18"/>
      <c r="FM80" s="19">
        <f t="shared" si="298"/>
        <v>0</v>
      </c>
      <c r="FN80" s="19">
        <f t="shared" si="299"/>
        <v>0</v>
      </c>
      <c r="FO80" s="19">
        <f t="shared" si="300"/>
        <v>0</v>
      </c>
      <c r="FP80" s="19">
        <f t="shared" si="301"/>
        <v>0</v>
      </c>
      <c r="FQ80" s="19">
        <f t="shared" si="302"/>
        <v>0</v>
      </c>
      <c r="FR80" s="19">
        <f t="shared" si="303"/>
        <v>0</v>
      </c>
      <c r="FS80" s="19">
        <f t="shared" si="304"/>
        <v>0</v>
      </c>
      <c r="FT80" s="19">
        <f t="shared" si="305"/>
        <v>0</v>
      </c>
      <c r="FU80" s="19">
        <f t="shared" si="306"/>
        <v>0</v>
      </c>
      <c r="FV80" s="19">
        <f t="shared" si="307"/>
        <v>0</v>
      </c>
      <c r="FW80" s="19">
        <f t="shared" si="308"/>
        <v>0</v>
      </c>
      <c r="FX80" s="19">
        <f t="shared" si="309"/>
        <v>0</v>
      </c>
      <c r="FY80" s="19">
        <f t="shared" si="310"/>
        <v>0</v>
      </c>
      <c r="FZ80" s="19">
        <f t="shared" si="311"/>
        <v>0</v>
      </c>
      <c r="GA80" s="19">
        <f t="shared" si="312"/>
        <v>0</v>
      </c>
      <c r="GB80" s="19">
        <f t="shared" si="313"/>
        <v>0</v>
      </c>
      <c r="GC80" s="19">
        <f t="shared" si="314"/>
        <v>0</v>
      </c>
      <c r="GD80" s="19">
        <f t="shared" si="315"/>
        <v>0</v>
      </c>
      <c r="GE80" s="19">
        <f t="shared" si="316"/>
        <v>0</v>
      </c>
      <c r="GF80" s="19">
        <f t="shared" si="317"/>
        <v>0</v>
      </c>
      <c r="GG80" s="19">
        <f t="shared" si="318"/>
        <v>0</v>
      </c>
      <c r="GH80" s="19">
        <f t="shared" si="319"/>
        <v>0</v>
      </c>
      <c r="GI80" s="19">
        <f t="shared" si="320"/>
        <v>0</v>
      </c>
      <c r="GJ80" s="19">
        <f t="shared" si="321"/>
        <v>0</v>
      </c>
      <c r="GK80" s="19">
        <f t="shared" si="322"/>
        <v>0</v>
      </c>
      <c r="GL80" s="19">
        <f t="shared" si="323"/>
        <v>0</v>
      </c>
      <c r="GM80" s="19">
        <f t="shared" si="324"/>
        <v>0</v>
      </c>
      <c r="GN80" s="19">
        <f t="shared" si="325"/>
        <v>0</v>
      </c>
      <c r="GO80" s="19">
        <f t="shared" si="326"/>
        <v>0.74249999999999994</v>
      </c>
      <c r="GP80" s="19">
        <f t="shared" si="327"/>
        <v>0</v>
      </c>
      <c r="GQ80" s="19">
        <f t="shared" si="328"/>
        <v>0</v>
      </c>
      <c r="GR80" s="19">
        <f t="shared" si="329"/>
        <v>0</v>
      </c>
      <c r="GS80" s="19">
        <f t="shared" si="330"/>
        <v>0</v>
      </c>
      <c r="GT80" s="19">
        <f t="shared" si="331"/>
        <v>0</v>
      </c>
      <c r="GU80" s="19">
        <f t="shared" si="332"/>
        <v>0</v>
      </c>
      <c r="GV80" s="19">
        <f t="shared" si="333"/>
        <v>0</v>
      </c>
      <c r="GW80" s="19">
        <f t="shared" si="334"/>
        <v>0</v>
      </c>
      <c r="GX80" s="19">
        <f t="shared" si="335"/>
        <v>0</v>
      </c>
      <c r="GY80" s="19">
        <f t="shared" si="336"/>
        <v>0</v>
      </c>
      <c r="GZ80" s="19">
        <f t="shared" si="337"/>
        <v>0</v>
      </c>
      <c r="HA80" s="19">
        <f t="shared" si="338"/>
        <v>0</v>
      </c>
      <c r="HB80" s="19">
        <f t="shared" si="339"/>
        <v>0</v>
      </c>
      <c r="HC80" s="19">
        <f t="shared" si="340"/>
        <v>0</v>
      </c>
      <c r="HD80" s="19">
        <f t="shared" si="341"/>
        <v>0</v>
      </c>
      <c r="HE80" s="19">
        <f t="shared" si="342"/>
        <v>0</v>
      </c>
      <c r="HF80" s="19">
        <f t="shared" si="343"/>
        <v>0</v>
      </c>
      <c r="HG80" s="19">
        <f t="shared" si="344"/>
        <v>0.74249999999999994</v>
      </c>
      <c r="HH80" s="19">
        <f t="shared" si="345"/>
        <v>0</v>
      </c>
      <c r="HI80" s="19">
        <f t="shared" si="346"/>
        <v>0</v>
      </c>
      <c r="HJ80" s="19">
        <f t="shared" si="347"/>
        <v>0</v>
      </c>
      <c r="HK80" s="19">
        <f t="shared" si="348"/>
        <v>0</v>
      </c>
      <c r="HL80" s="19">
        <f t="shared" si="349"/>
        <v>1.4999999999999999E-2</v>
      </c>
      <c r="HM80" s="20">
        <f t="shared" si="350"/>
        <v>1.4999999999999998</v>
      </c>
      <c r="HN80" s="53">
        <v>962</v>
      </c>
      <c r="HO80" s="21">
        <f t="shared" si="351"/>
        <v>0</v>
      </c>
      <c r="HP80" s="21">
        <f t="shared" si="352"/>
        <v>0</v>
      </c>
      <c r="HQ80" s="21">
        <f t="shared" si="353"/>
        <v>0</v>
      </c>
      <c r="HR80" s="21">
        <f t="shared" si="354"/>
        <v>0</v>
      </c>
      <c r="HS80" s="21">
        <f t="shared" si="355"/>
        <v>0</v>
      </c>
      <c r="HT80" s="69">
        <f t="shared" si="356"/>
        <v>0</v>
      </c>
      <c r="HU80" s="21">
        <f t="shared" si="357"/>
        <v>0</v>
      </c>
      <c r="HV80" s="21">
        <f t="shared" si="358"/>
        <v>0</v>
      </c>
      <c r="HW80" s="21">
        <f t="shared" si="359"/>
        <v>0</v>
      </c>
      <c r="HX80" s="21">
        <f t="shared" si="360"/>
        <v>0</v>
      </c>
      <c r="HY80" s="21">
        <f t="shared" si="361"/>
        <v>0</v>
      </c>
      <c r="HZ80" s="21">
        <f t="shared" si="362"/>
        <v>0</v>
      </c>
      <c r="IA80" s="21">
        <f t="shared" si="363"/>
        <v>0</v>
      </c>
      <c r="IB80" s="21">
        <f t="shared" si="364"/>
        <v>0</v>
      </c>
      <c r="IC80" s="21">
        <f t="shared" si="365"/>
        <v>0</v>
      </c>
      <c r="ID80" s="21">
        <f t="shared" si="366"/>
        <v>0</v>
      </c>
      <c r="IE80" s="21">
        <f t="shared" si="367"/>
        <v>0</v>
      </c>
      <c r="IF80" s="69">
        <f t="shared" si="368"/>
        <v>0</v>
      </c>
      <c r="IG80" s="69">
        <f t="shared" si="369"/>
        <v>0</v>
      </c>
      <c r="IH80" s="69">
        <f t="shared" si="370"/>
        <v>0</v>
      </c>
      <c r="II80" s="21">
        <f t="shared" si="371"/>
        <v>0</v>
      </c>
      <c r="IJ80" s="21">
        <f t="shared" si="372"/>
        <v>0</v>
      </c>
      <c r="IK80" s="21">
        <f t="shared" si="373"/>
        <v>0</v>
      </c>
      <c r="IL80" s="21">
        <f t="shared" si="374"/>
        <v>0</v>
      </c>
      <c r="IM80" s="21">
        <f t="shared" si="375"/>
        <v>0</v>
      </c>
      <c r="IN80" s="21">
        <f t="shared" si="376"/>
        <v>0</v>
      </c>
      <c r="IO80" s="21">
        <f t="shared" si="377"/>
        <v>0</v>
      </c>
      <c r="IP80" s="21">
        <f t="shared" si="378"/>
        <v>0</v>
      </c>
      <c r="IQ80" s="21">
        <f t="shared" si="379"/>
        <v>476.19000000000005</v>
      </c>
      <c r="IR80" s="21">
        <f t="shared" si="380"/>
        <v>0</v>
      </c>
      <c r="IS80" s="21">
        <f t="shared" si="381"/>
        <v>0</v>
      </c>
      <c r="IT80" s="21">
        <f t="shared" si="382"/>
        <v>0</v>
      </c>
      <c r="IU80" s="21">
        <f t="shared" si="383"/>
        <v>0</v>
      </c>
      <c r="IV80" s="21">
        <f t="shared" si="384"/>
        <v>0</v>
      </c>
      <c r="IW80" s="21">
        <f t="shared" si="385"/>
        <v>0</v>
      </c>
      <c r="IX80" s="21">
        <f t="shared" si="386"/>
        <v>0</v>
      </c>
      <c r="IY80" s="21">
        <f t="shared" si="387"/>
        <v>0</v>
      </c>
      <c r="IZ80" s="21">
        <f t="shared" si="388"/>
        <v>0</v>
      </c>
      <c r="JA80" s="21">
        <f t="shared" si="389"/>
        <v>0</v>
      </c>
      <c r="JB80" s="21">
        <f t="shared" si="390"/>
        <v>0</v>
      </c>
      <c r="JC80" s="21">
        <f t="shared" si="391"/>
        <v>0</v>
      </c>
      <c r="JD80" s="21">
        <f t="shared" si="392"/>
        <v>0</v>
      </c>
      <c r="JE80" s="21">
        <f t="shared" si="393"/>
        <v>0</v>
      </c>
      <c r="JF80" s="21">
        <f t="shared" si="394"/>
        <v>0</v>
      </c>
      <c r="JG80" s="21">
        <f t="shared" si="395"/>
        <v>0</v>
      </c>
      <c r="JH80" s="21">
        <f t="shared" si="396"/>
        <v>0</v>
      </c>
      <c r="JI80" s="21">
        <f t="shared" si="397"/>
        <v>476.19000000000005</v>
      </c>
      <c r="JJ80" s="21">
        <f t="shared" si="398"/>
        <v>0</v>
      </c>
      <c r="JK80" s="21">
        <f t="shared" si="399"/>
        <v>0</v>
      </c>
      <c r="JL80" s="21">
        <f t="shared" si="400"/>
        <v>0</v>
      </c>
      <c r="JM80" s="21">
        <f t="shared" si="401"/>
        <v>0</v>
      </c>
      <c r="JN80" s="21">
        <f t="shared" si="402"/>
        <v>9.620000000000001</v>
      </c>
      <c r="JO80" s="35">
        <f t="shared" si="403"/>
        <v>962.00000000000011</v>
      </c>
      <c r="JP80" s="38">
        <f t="shared" si="404"/>
        <v>0</v>
      </c>
      <c r="JQ80" s="43">
        <f t="shared" si="405"/>
        <v>0</v>
      </c>
      <c r="JR80" s="43">
        <f t="shared" si="406"/>
        <v>0</v>
      </c>
      <c r="JS80" s="43">
        <f t="shared" si="407"/>
        <v>0</v>
      </c>
      <c r="JT80" s="43">
        <f t="shared" si="408"/>
        <v>0</v>
      </c>
      <c r="JU80" s="43">
        <f t="shared" si="409"/>
        <v>0</v>
      </c>
      <c r="JV80" s="43">
        <f t="shared" si="410"/>
        <v>0</v>
      </c>
      <c r="JW80" s="43">
        <f t="shared" si="411"/>
        <v>0</v>
      </c>
      <c r="JX80" s="43">
        <f t="shared" si="412"/>
        <v>0</v>
      </c>
      <c r="JY80" s="43">
        <f t="shared" si="413"/>
        <v>0</v>
      </c>
      <c r="JZ80" s="43">
        <f t="shared" si="414"/>
        <v>0</v>
      </c>
      <c r="KA80" s="43">
        <f t="shared" si="415"/>
        <v>0</v>
      </c>
      <c r="KB80" s="43">
        <f t="shared" si="416"/>
        <v>0</v>
      </c>
      <c r="KC80" s="43">
        <f t="shared" si="417"/>
        <v>0</v>
      </c>
      <c r="KD80" s="43">
        <f t="shared" si="418"/>
        <v>0</v>
      </c>
      <c r="KE80" s="43">
        <f t="shared" si="419"/>
        <v>0</v>
      </c>
      <c r="KF80" s="43">
        <f t="shared" si="420"/>
        <v>0</v>
      </c>
      <c r="KG80" s="43">
        <f t="shared" si="421"/>
        <v>0</v>
      </c>
      <c r="KH80" s="43">
        <f t="shared" si="422"/>
        <v>0</v>
      </c>
      <c r="KI80" s="43">
        <f t="shared" si="423"/>
        <v>0</v>
      </c>
      <c r="KJ80" s="43">
        <f t="shared" si="424"/>
        <v>0</v>
      </c>
      <c r="KK80" s="43">
        <f t="shared" si="425"/>
        <v>0</v>
      </c>
      <c r="KL80" s="43">
        <f t="shared" si="426"/>
        <v>0</v>
      </c>
      <c r="KM80" s="43">
        <f t="shared" si="427"/>
        <v>0</v>
      </c>
      <c r="KN80" s="43">
        <f t="shared" si="428"/>
        <v>0</v>
      </c>
      <c r="KO80" s="43">
        <f t="shared" si="429"/>
        <v>0</v>
      </c>
      <c r="KP80" s="43">
        <f t="shared" si="430"/>
        <v>0</v>
      </c>
      <c r="KQ80" s="43">
        <f t="shared" si="431"/>
        <v>0</v>
      </c>
      <c r="KR80" s="43">
        <f t="shared" si="432"/>
        <v>0</v>
      </c>
      <c r="KS80" s="43">
        <f t="shared" si="433"/>
        <v>1628.2512240800002</v>
      </c>
      <c r="KT80" s="43">
        <f t="shared" si="434"/>
        <v>0</v>
      </c>
      <c r="KU80" s="43">
        <f t="shared" si="435"/>
        <v>0</v>
      </c>
      <c r="KV80" s="43">
        <f t="shared" si="436"/>
        <v>0</v>
      </c>
      <c r="KW80" s="43">
        <f t="shared" si="437"/>
        <v>0</v>
      </c>
      <c r="KX80" s="43">
        <f t="shared" si="438"/>
        <v>0</v>
      </c>
      <c r="KY80" s="43">
        <f t="shared" si="439"/>
        <v>0</v>
      </c>
      <c r="KZ80" s="43">
        <f t="shared" si="440"/>
        <v>0</v>
      </c>
      <c r="LA80" s="43">
        <f t="shared" si="441"/>
        <v>0</v>
      </c>
      <c r="LB80" s="43">
        <f t="shared" si="442"/>
        <v>0</v>
      </c>
      <c r="LC80" s="43">
        <f t="shared" si="443"/>
        <v>0</v>
      </c>
      <c r="LD80" s="43">
        <f t="shared" si="444"/>
        <v>0</v>
      </c>
      <c r="LE80" s="43">
        <f t="shared" si="445"/>
        <v>0</v>
      </c>
      <c r="LF80" s="43">
        <f t="shared" si="446"/>
        <v>0</v>
      </c>
      <c r="LG80" s="43">
        <f t="shared" si="447"/>
        <v>0</v>
      </c>
      <c r="LH80" s="43">
        <f t="shared" si="448"/>
        <v>0</v>
      </c>
      <c r="LI80" s="43">
        <f t="shared" si="449"/>
        <v>0</v>
      </c>
      <c r="LJ80" s="43">
        <f t="shared" si="450"/>
        <v>0</v>
      </c>
      <c r="LK80" s="43">
        <f t="shared" si="451"/>
        <v>1907.4980925000002</v>
      </c>
      <c r="LL80" s="43">
        <f t="shared" si="452"/>
        <v>0</v>
      </c>
      <c r="LM80" s="43">
        <f t="shared" si="453"/>
        <v>0</v>
      </c>
      <c r="LN80" s="43">
        <f t="shared" si="454"/>
        <v>0</v>
      </c>
      <c r="LO80" s="43">
        <f t="shared" si="455"/>
        <v>0</v>
      </c>
      <c r="LP80" s="43">
        <f t="shared" si="456"/>
        <v>81.289000000000001</v>
      </c>
      <c r="LQ80" s="28">
        <f t="shared" si="457"/>
        <v>3617.0383165800008</v>
      </c>
      <c r="LR80" s="65">
        <v>922</v>
      </c>
      <c r="LS80" s="32">
        <f t="shared" si="462"/>
        <v>3.9230350505206082</v>
      </c>
      <c r="LT80" s="26">
        <f t="shared" si="463"/>
        <v>1.0718675001422426</v>
      </c>
      <c r="LU80" s="31">
        <f t="shared" si="458"/>
        <v>40</v>
      </c>
      <c r="LW80" s="42"/>
      <c r="MA80" s="32">
        <f t="shared" si="459"/>
        <v>3.7599150900000002</v>
      </c>
      <c r="MB80" s="26">
        <f t="shared" si="464"/>
        <v>1.0272992049180327</v>
      </c>
    </row>
    <row r="81" spans="1:340" ht="15.75" thickBot="1">
      <c r="A81" t="b">
        <f t="shared" ref="A81" si="465">IF(G81="","",IF(G81="EC1",HM81=500%,HM81=150%))</f>
        <v>1</v>
      </c>
      <c r="B81" s="123" t="s">
        <v>239</v>
      </c>
      <c r="C81" s="39" t="s">
        <v>240</v>
      </c>
      <c r="D81"/>
      <c r="E81" s="97">
        <v>46034</v>
      </c>
      <c r="F81" t="s">
        <v>43</v>
      </c>
      <c r="G81" t="s">
        <v>19</v>
      </c>
      <c r="H81" t="s">
        <v>27</v>
      </c>
      <c r="I81" s="77"/>
      <c r="J81" s="77"/>
      <c r="K81" s="77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24"/>
      <c r="AG81" s="124"/>
      <c r="AH81" s="104"/>
      <c r="AI81" s="104"/>
      <c r="AJ81" s="22"/>
      <c r="AK81" s="22">
        <v>0.495</v>
      </c>
      <c r="AL81" s="22"/>
      <c r="AM81" s="22"/>
      <c r="AN81" s="22"/>
      <c r="AO81" s="104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104"/>
      <c r="BA81" s="104"/>
      <c r="BB81" s="104"/>
      <c r="BC81" s="124">
        <v>0.495</v>
      </c>
      <c r="BD81" s="124"/>
      <c r="BE81" s="104"/>
      <c r="BF81" s="104"/>
      <c r="BG81" s="104"/>
      <c r="BH81" s="104">
        <v>0.01</v>
      </c>
      <c r="BI81" s="78">
        <f t="shared" ref="BI81" si="466">SUM(I81:BH81)</f>
        <v>1</v>
      </c>
      <c r="BJ81" s="105"/>
      <c r="BK81" s="105"/>
      <c r="BL81" s="105"/>
      <c r="BM81" s="105"/>
      <c r="BN81" s="105"/>
      <c r="BO81" s="105"/>
      <c r="BP81" s="105"/>
      <c r="BQ81" s="105"/>
      <c r="BR81" s="105"/>
      <c r="BS81" s="105"/>
      <c r="BT81" s="105"/>
      <c r="BU81" s="105"/>
      <c r="BV81" s="105"/>
      <c r="BW81" s="105"/>
      <c r="BX81" s="105"/>
      <c r="BY81" s="105"/>
      <c r="BZ81" s="105"/>
      <c r="CA81" s="105"/>
      <c r="CB81" s="105"/>
      <c r="CC81" s="105"/>
      <c r="CD81" s="105"/>
      <c r="CE81" s="105"/>
      <c r="CF81" s="120"/>
      <c r="CG81" s="128"/>
      <c r="CH81" s="128"/>
      <c r="CI81" s="105"/>
      <c r="CJ81" s="105"/>
      <c r="CK81" s="105"/>
      <c r="CL81" s="105"/>
      <c r="CM81" s="105"/>
      <c r="CN81" s="105"/>
      <c r="CO81" s="105"/>
      <c r="CP81" s="105"/>
      <c r="CQ81" s="105"/>
      <c r="CR81" s="105"/>
      <c r="CS81" s="105"/>
      <c r="CT81" s="105"/>
      <c r="CU81" s="105"/>
      <c r="CV81" s="105"/>
      <c r="CW81" s="105"/>
      <c r="CX81" s="105"/>
      <c r="CY81" s="105"/>
      <c r="CZ81" s="105"/>
      <c r="DA81" s="105"/>
      <c r="DB81" s="105"/>
      <c r="DC81" s="105"/>
      <c r="DD81" s="125"/>
      <c r="DE81" s="125"/>
      <c r="DF81" s="105"/>
      <c r="DG81" s="105"/>
      <c r="DH81" s="105"/>
      <c r="DI81" s="105"/>
      <c r="DJ81" s="79">
        <f t="shared" ref="DJ81" si="467">SUM(BJ81:DI81)</f>
        <v>0</v>
      </c>
      <c r="DK81" s="108"/>
      <c r="DL81" s="108"/>
      <c r="DM81" s="108"/>
      <c r="DN81" s="108"/>
      <c r="DO81" s="108"/>
      <c r="DP81" s="108"/>
      <c r="DQ81" s="108"/>
      <c r="DR81" s="108"/>
      <c r="DS81" s="108"/>
      <c r="DT81" s="108"/>
      <c r="DU81" s="108"/>
      <c r="DV81" s="108"/>
      <c r="DW81" s="108"/>
      <c r="DX81" s="108"/>
      <c r="DY81" s="108"/>
      <c r="DZ81" s="108"/>
      <c r="EA81" s="108"/>
      <c r="EB81" s="108"/>
      <c r="EC81" s="108"/>
      <c r="ED81" s="108"/>
      <c r="EE81" s="108"/>
      <c r="EF81" s="108"/>
      <c r="EG81" s="108"/>
      <c r="EH81" s="129"/>
      <c r="EI81" s="129"/>
      <c r="EJ81" s="108"/>
      <c r="EK81" s="108"/>
      <c r="EL81" s="108"/>
      <c r="EM81" s="108"/>
      <c r="EN81" s="108"/>
      <c r="EO81" s="108"/>
      <c r="EP81" s="108"/>
      <c r="EQ81" s="108"/>
      <c r="ER81" s="108"/>
      <c r="ES81" s="106"/>
      <c r="ET81" s="106"/>
      <c r="EU81" s="106"/>
      <c r="EV81" s="106"/>
      <c r="EW81" s="106"/>
      <c r="EX81" s="106"/>
      <c r="EY81" s="106"/>
      <c r="EZ81" s="106"/>
      <c r="FA81" s="106"/>
      <c r="FB81" s="106"/>
      <c r="FC81" s="106"/>
      <c r="FD81" s="106"/>
      <c r="FE81" s="126"/>
      <c r="FF81" s="126"/>
      <c r="FG81" s="106"/>
      <c r="FH81" s="106"/>
      <c r="FI81" s="106"/>
      <c r="FJ81" s="106"/>
      <c r="FK81" s="17">
        <f t="shared" ref="FK81:FK82" si="468">SUM(DK81:FJ81)</f>
        <v>0</v>
      </c>
      <c r="FL81" s="18"/>
      <c r="FM81" s="19">
        <f t="shared" si="298"/>
        <v>0</v>
      </c>
      <c r="FN81" s="19">
        <f t="shared" si="299"/>
        <v>0</v>
      </c>
      <c r="FO81" s="19">
        <f t="shared" si="300"/>
        <v>0</v>
      </c>
      <c r="FP81" s="19">
        <f t="shared" si="301"/>
        <v>0</v>
      </c>
      <c r="FQ81" s="19">
        <f t="shared" si="302"/>
        <v>0</v>
      </c>
      <c r="FR81" s="19">
        <f t="shared" si="303"/>
        <v>0</v>
      </c>
      <c r="FS81" s="19">
        <f t="shared" si="304"/>
        <v>0</v>
      </c>
      <c r="FT81" s="19">
        <f t="shared" si="305"/>
        <v>0</v>
      </c>
      <c r="FU81" s="19">
        <f t="shared" si="306"/>
        <v>0</v>
      </c>
      <c r="FV81" s="19">
        <f t="shared" si="307"/>
        <v>0</v>
      </c>
      <c r="FW81" s="19">
        <f t="shared" si="308"/>
        <v>0</v>
      </c>
      <c r="FX81" s="19">
        <f t="shared" si="309"/>
        <v>0</v>
      </c>
      <c r="FY81" s="19">
        <f t="shared" si="310"/>
        <v>0</v>
      </c>
      <c r="FZ81" s="19">
        <f t="shared" si="311"/>
        <v>0</v>
      </c>
      <c r="GA81" s="19">
        <f t="shared" si="312"/>
        <v>0</v>
      </c>
      <c r="GB81" s="19">
        <f t="shared" si="313"/>
        <v>0</v>
      </c>
      <c r="GC81" s="19">
        <f t="shared" si="314"/>
        <v>0</v>
      </c>
      <c r="GD81" s="19">
        <f t="shared" si="315"/>
        <v>0</v>
      </c>
      <c r="GE81" s="19">
        <f t="shared" si="316"/>
        <v>0</v>
      </c>
      <c r="GF81" s="19">
        <f t="shared" si="317"/>
        <v>0</v>
      </c>
      <c r="GG81" s="19">
        <f t="shared" si="318"/>
        <v>0</v>
      </c>
      <c r="GH81" s="19">
        <f t="shared" si="319"/>
        <v>0</v>
      </c>
      <c r="GI81" s="19">
        <f t="shared" si="320"/>
        <v>0</v>
      </c>
      <c r="GJ81" s="19">
        <f t="shared" si="321"/>
        <v>0</v>
      </c>
      <c r="GK81" s="19">
        <f t="shared" si="322"/>
        <v>0</v>
      </c>
      <c r="GL81" s="19">
        <f t="shared" si="323"/>
        <v>0</v>
      </c>
      <c r="GM81" s="19">
        <f t="shared" si="324"/>
        <v>0</v>
      </c>
      <c r="GN81" s="19">
        <f t="shared" si="325"/>
        <v>0</v>
      </c>
      <c r="GO81" s="19">
        <f t="shared" si="326"/>
        <v>0.74249999999999994</v>
      </c>
      <c r="GP81" s="19">
        <f t="shared" si="327"/>
        <v>0</v>
      </c>
      <c r="GQ81" s="19">
        <f t="shared" si="328"/>
        <v>0</v>
      </c>
      <c r="GR81" s="19">
        <f t="shared" si="329"/>
        <v>0</v>
      </c>
      <c r="GS81" s="19">
        <f t="shared" si="330"/>
        <v>0</v>
      </c>
      <c r="GT81" s="19">
        <f t="shared" si="331"/>
        <v>0</v>
      </c>
      <c r="GU81" s="19">
        <f t="shared" si="332"/>
        <v>0</v>
      </c>
      <c r="GV81" s="19">
        <f t="shared" si="333"/>
        <v>0</v>
      </c>
      <c r="GW81" s="19">
        <f t="shared" si="334"/>
        <v>0</v>
      </c>
      <c r="GX81" s="19">
        <f t="shared" si="335"/>
        <v>0</v>
      </c>
      <c r="GY81" s="19">
        <f t="shared" si="336"/>
        <v>0</v>
      </c>
      <c r="GZ81" s="19">
        <f t="shared" si="337"/>
        <v>0</v>
      </c>
      <c r="HA81" s="19">
        <f t="shared" si="338"/>
        <v>0</v>
      </c>
      <c r="HB81" s="19">
        <f t="shared" si="339"/>
        <v>0</v>
      </c>
      <c r="HC81" s="19">
        <f t="shared" si="340"/>
        <v>0</v>
      </c>
      <c r="HD81" s="19">
        <f t="shared" si="341"/>
        <v>0</v>
      </c>
      <c r="HE81" s="19">
        <f t="shared" si="342"/>
        <v>0</v>
      </c>
      <c r="HF81" s="19">
        <f t="shared" si="343"/>
        <v>0</v>
      </c>
      <c r="HG81" s="19">
        <f t="shared" si="344"/>
        <v>0.74249999999999994</v>
      </c>
      <c r="HH81" s="19">
        <f t="shared" si="345"/>
        <v>0</v>
      </c>
      <c r="HI81" s="19">
        <f t="shared" si="346"/>
        <v>0</v>
      </c>
      <c r="HJ81" s="19">
        <f t="shared" si="347"/>
        <v>0</v>
      </c>
      <c r="HK81" s="19">
        <f t="shared" si="348"/>
        <v>0</v>
      </c>
      <c r="HL81" s="19">
        <f t="shared" si="349"/>
        <v>1.4999999999999999E-2</v>
      </c>
      <c r="HM81" s="20">
        <f t="shared" si="350"/>
        <v>1.4999999999999998</v>
      </c>
      <c r="HN81" s="53">
        <v>933</v>
      </c>
      <c r="HO81" s="21">
        <f t="shared" si="351"/>
        <v>0</v>
      </c>
      <c r="HP81" s="21">
        <f t="shared" si="352"/>
        <v>0</v>
      </c>
      <c r="HQ81" s="21">
        <f t="shared" si="353"/>
        <v>0</v>
      </c>
      <c r="HR81" s="21">
        <f t="shared" si="354"/>
        <v>0</v>
      </c>
      <c r="HS81" s="21">
        <f t="shared" si="355"/>
        <v>0</v>
      </c>
      <c r="HT81" s="69">
        <f t="shared" si="356"/>
        <v>0</v>
      </c>
      <c r="HU81" s="21">
        <f t="shared" si="357"/>
        <v>0</v>
      </c>
      <c r="HV81" s="21">
        <f t="shared" si="358"/>
        <v>0</v>
      </c>
      <c r="HW81" s="21">
        <f t="shared" si="359"/>
        <v>0</v>
      </c>
      <c r="HX81" s="21">
        <f t="shared" si="360"/>
        <v>0</v>
      </c>
      <c r="HY81" s="21">
        <f t="shared" si="361"/>
        <v>0</v>
      </c>
      <c r="HZ81" s="21">
        <f t="shared" si="362"/>
        <v>0</v>
      </c>
      <c r="IA81" s="21">
        <f t="shared" si="363"/>
        <v>0</v>
      </c>
      <c r="IB81" s="21">
        <f t="shared" si="364"/>
        <v>0</v>
      </c>
      <c r="IC81" s="21">
        <f t="shared" si="365"/>
        <v>0</v>
      </c>
      <c r="ID81" s="21">
        <f t="shared" si="366"/>
        <v>0</v>
      </c>
      <c r="IE81" s="21">
        <f t="shared" si="367"/>
        <v>0</v>
      </c>
      <c r="IF81" s="69">
        <f t="shared" si="368"/>
        <v>0</v>
      </c>
      <c r="IG81" s="69">
        <f t="shared" si="369"/>
        <v>0</v>
      </c>
      <c r="IH81" s="69">
        <f t="shared" si="370"/>
        <v>0</v>
      </c>
      <c r="II81" s="21">
        <f t="shared" si="371"/>
        <v>0</v>
      </c>
      <c r="IJ81" s="21">
        <f t="shared" si="372"/>
        <v>0</v>
      </c>
      <c r="IK81" s="21">
        <f t="shared" si="373"/>
        <v>0</v>
      </c>
      <c r="IL81" s="21">
        <f t="shared" si="374"/>
        <v>0</v>
      </c>
      <c r="IM81" s="21">
        <f t="shared" si="375"/>
        <v>0</v>
      </c>
      <c r="IN81" s="21">
        <f t="shared" si="376"/>
        <v>0</v>
      </c>
      <c r="IO81" s="21">
        <f t="shared" si="377"/>
        <v>0</v>
      </c>
      <c r="IP81" s="21">
        <f t="shared" si="378"/>
        <v>0</v>
      </c>
      <c r="IQ81" s="21">
        <f t="shared" si="379"/>
        <v>461.83500000000004</v>
      </c>
      <c r="IR81" s="21">
        <f t="shared" si="380"/>
        <v>0</v>
      </c>
      <c r="IS81" s="21">
        <f t="shared" si="381"/>
        <v>0</v>
      </c>
      <c r="IT81" s="21">
        <f t="shared" si="382"/>
        <v>0</v>
      </c>
      <c r="IU81" s="21">
        <f t="shared" si="383"/>
        <v>0</v>
      </c>
      <c r="IV81" s="21">
        <f t="shared" si="384"/>
        <v>0</v>
      </c>
      <c r="IW81" s="21">
        <f t="shared" si="385"/>
        <v>0</v>
      </c>
      <c r="IX81" s="21">
        <f t="shared" si="386"/>
        <v>0</v>
      </c>
      <c r="IY81" s="21">
        <f t="shared" si="387"/>
        <v>0</v>
      </c>
      <c r="IZ81" s="21">
        <f t="shared" si="388"/>
        <v>0</v>
      </c>
      <c r="JA81" s="21">
        <f t="shared" si="389"/>
        <v>0</v>
      </c>
      <c r="JB81" s="21">
        <f t="shared" si="390"/>
        <v>0</v>
      </c>
      <c r="JC81" s="21">
        <f t="shared" si="391"/>
        <v>0</v>
      </c>
      <c r="JD81" s="21">
        <f t="shared" si="392"/>
        <v>0</v>
      </c>
      <c r="JE81" s="21">
        <f t="shared" si="393"/>
        <v>0</v>
      </c>
      <c r="JF81" s="21">
        <f t="shared" si="394"/>
        <v>0</v>
      </c>
      <c r="JG81" s="21">
        <f t="shared" si="395"/>
        <v>0</v>
      </c>
      <c r="JH81" s="21">
        <f t="shared" si="396"/>
        <v>0</v>
      </c>
      <c r="JI81" s="21">
        <f t="shared" si="397"/>
        <v>461.83500000000004</v>
      </c>
      <c r="JJ81" s="21">
        <f t="shared" si="398"/>
        <v>0</v>
      </c>
      <c r="JK81" s="21">
        <f t="shared" si="399"/>
        <v>0</v>
      </c>
      <c r="JL81" s="21">
        <f t="shared" si="400"/>
        <v>0</v>
      </c>
      <c r="JM81" s="21">
        <f t="shared" si="401"/>
        <v>0</v>
      </c>
      <c r="JN81" s="21">
        <f t="shared" si="402"/>
        <v>9.33</v>
      </c>
      <c r="JO81" s="35">
        <f t="shared" ref="JO81" si="469">SUM(HO81:JN81)</f>
        <v>933.00000000000011</v>
      </c>
      <c r="JP81" s="38">
        <f t="shared" ref="JP81" si="470">JO81-HN81</f>
        <v>0</v>
      </c>
      <c r="JQ81" s="43">
        <f t="shared" si="405"/>
        <v>0</v>
      </c>
      <c r="JR81" s="43">
        <f t="shared" si="406"/>
        <v>0</v>
      </c>
      <c r="JS81" s="43">
        <f t="shared" si="407"/>
        <v>0</v>
      </c>
      <c r="JT81" s="43">
        <f t="shared" si="408"/>
        <v>0</v>
      </c>
      <c r="JU81" s="43">
        <f t="shared" si="409"/>
        <v>0</v>
      </c>
      <c r="JV81" s="43">
        <f t="shared" si="410"/>
        <v>0</v>
      </c>
      <c r="JW81" s="43">
        <f t="shared" si="411"/>
        <v>0</v>
      </c>
      <c r="JX81" s="43">
        <f t="shared" si="412"/>
        <v>0</v>
      </c>
      <c r="JY81" s="43">
        <f t="shared" si="413"/>
        <v>0</v>
      </c>
      <c r="JZ81" s="43">
        <f t="shared" si="414"/>
        <v>0</v>
      </c>
      <c r="KA81" s="43">
        <f t="shared" si="415"/>
        <v>0</v>
      </c>
      <c r="KB81" s="43">
        <f t="shared" si="416"/>
        <v>0</v>
      </c>
      <c r="KC81" s="43">
        <f t="shared" si="417"/>
        <v>0</v>
      </c>
      <c r="KD81" s="43">
        <f t="shared" si="418"/>
        <v>0</v>
      </c>
      <c r="KE81" s="43">
        <f t="shared" si="419"/>
        <v>0</v>
      </c>
      <c r="KF81" s="43">
        <f t="shared" si="420"/>
        <v>0</v>
      </c>
      <c r="KG81" s="43">
        <f t="shared" si="421"/>
        <v>0</v>
      </c>
      <c r="KH81" s="43">
        <f t="shared" si="422"/>
        <v>0</v>
      </c>
      <c r="KI81" s="43">
        <f t="shared" si="423"/>
        <v>0</v>
      </c>
      <c r="KJ81" s="43">
        <f t="shared" si="424"/>
        <v>0</v>
      </c>
      <c r="KK81" s="43">
        <f t="shared" si="425"/>
        <v>0</v>
      </c>
      <c r="KL81" s="43">
        <f t="shared" si="426"/>
        <v>0</v>
      </c>
      <c r="KM81" s="43">
        <f t="shared" si="427"/>
        <v>0</v>
      </c>
      <c r="KN81" s="43">
        <f t="shared" si="428"/>
        <v>0</v>
      </c>
      <c r="KO81" s="43">
        <f t="shared" si="429"/>
        <v>0</v>
      </c>
      <c r="KP81" s="43">
        <f t="shared" si="430"/>
        <v>0</v>
      </c>
      <c r="KQ81" s="43">
        <f t="shared" si="431"/>
        <v>0</v>
      </c>
      <c r="KR81" s="43">
        <f t="shared" si="432"/>
        <v>0</v>
      </c>
      <c r="KS81" s="43">
        <f t="shared" si="433"/>
        <v>1579.1667277200002</v>
      </c>
      <c r="KT81" s="43">
        <f t="shared" si="434"/>
        <v>0</v>
      </c>
      <c r="KU81" s="43">
        <f t="shared" si="435"/>
        <v>0</v>
      </c>
      <c r="KV81" s="43">
        <f t="shared" si="436"/>
        <v>0</v>
      </c>
      <c r="KW81" s="43">
        <f t="shared" si="437"/>
        <v>0</v>
      </c>
      <c r="KX81" s="43">
        <f t="shared" si="438"/>
        <v>0</v>
      </c>
      <c r="KY81" s="43">
        <f t="shared" si="439"/>
        <v>0</v>
      </c>
      <c r="KZ81" s="43">
        <f t="shared" si="440"/>
        <v>0</v>
      </c>
      <c r="LA81" s="43">
        <f t="shared" si="441"/>
        <v>0</v>
      </c>
      <c r="LB81" s="43">
        <f t="shared" si="442"/>
        <v>0</v>
      </c>
      <c r="LC81" s="43">
        <f t="shared" si="443"/>
        <v>0</v>
      </c>
      <c r="LD81" s="43">
        <f t="shared" si="444"/>
        <v>0</v>
      </c>
      <c r="LE81" s="43">
        <f t="shared" si="445"/>
        <v>0</v>
      </c>
      <c r="LF81" s="43">
        <f t="shared" si="446"/>
        <v>0</v>
      </c>
      <c r="LG81" s="43">
        <f t="shared" si="447"/>
        <v>0</v>
      </c>
      <c r="LH81" s="43">
        <f t="shared" si="448"/>
        <v>0</v>
      </c>
      <c r="LI81" s="43">
        <f t="shared" si="449"/>
        <v>0</v>
      </c>
      <c r="LJ81" s="43">
        <f t="shared" si="450"/>
        <v>0</v>
      </c>
      <c r="LK81" s="43">
        <f t="shared" si="451"/>
        <v>1849.9955512500001</v>
      </c>
      <c r="LL81" s="43">
        <f t="shared" si="452"/>
        <v>0</v>
      </c>
      <c r="LM81" s="43">
        <f t="shared" si="453"/>
        <v>0</v>
      </c>
      <c r="LN81" s="43">
        <f t="shared" si="454"/>
        <v>0</v>
      </c>
      <c r="LO81" s="43">
        <f t="shared" si="455"/>
        <v>0</v>
      </c>
      <c r="LP81" s="43">
        <f t="shared" si="456"/>
        <v>78.838499999999996</v>
      </c>
      <c r="LQ81" s="28">
        <f t="shared" ref="LQ81" si="471">SUM(JQ81:LP81)</f>
        <v>3508.0007789700003</v>
      </c>
      <c r="LR81" s="65">
        <v>908</v>
      </c>
      <c r="LS81" s="32">
        <f t="shared" ref="LS81" si="472">LQ81/LR81</f>
        <v>3.8634369812444938</v>
      </c>
      <c r="LT81" s="26">
        <f t="shared" ref="LT81" si="473">LS81/3.66</f>
        <v>1.0555838746569655</v>
      </c>
      <c r="LU81" s="31">
        <f t="shared" ref="LU81" si="474">HN81-LR81</f>
        <v>25</v>
      </c>
      <c r="LW81" s="42"/>
      <c r="MA81" s="32">
        <f t="shared" ref="MA81" si="475">LQ81/JO81</f>
        <v>3.7599150899999998</v>
      </c>
      <c r="MB81" s="26">
        <f t="shared" ref="MB81" si="476">MA81/3.66</f>
        <v>1.0272992049180327</v>
      </c>
    </row>
    <row r="82" spans="1:340" ht="15.75" thickBot="1">
      <c r="A82" t="b">
        <f t="shared" si="297"/>
        <v>1</v>
      </c>
      <c r="B82" s="123" t="s">
        <v>241</v>
      </c>
      <c r="C82" s="39" t="s">
        <v>242</v>
      </c>
      <c r="D82"/>
      <c r="E82" s="97">
        <v>46037</v>
      </c>
      <c r="F82" t="s">
        <v>43</v>
      </c>
      <c r="G82" t="s">
        <v>20</v>
      </c>
      <c r="H82" t="s">
        <v>27</v>
      </c>
      <c r="I82" s="77"/>
      <c r="J82" s="77"/>
      <c r="K82" s="77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24"/>
      <c r="AG82" s="124"/>
      <c r="AH82" s="104"/>
      <c r="AI82" s="104"/>
      <c r="AJ82" s="22">
        <v>0.3</v>
      </c>
      <c r="AK82" s="22"/>
      <c r="AL82" s="22"/>
      <c r="AM82" s="22"/>
      <c r="AN82" s="22"/>
      <c r="AO82" s="104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98"/>
      <c r="BB82" s="98"/>
      <c r="BC82" s="124">
        <v>0.7</v>
      </c>
      <c r="BD82" s="124"/>
      <c r="BE82" s="104"/>
      <c r="BF82" s="22"/>
      <c r="BG82" s="22"/>
      <c r="BH82" s="104"/>
      <c r="BI82" s="78">
        <f t="shared" si="296"/>
        <v>1</v>
      </c>
      <c r="BJ82" s="105"/>
      <c r="BK82" s="105"/>
      <c r="BL82" s="105"/>
      <c r="BM82" s="105"/>
      <c r="BN82" s="105"/>
      <c r="BO82" s="105"/>
      <c r="BP82" s="105"/>
      <c r="BQ82" s="105"/>
      <c r="BR82" s="105"/>
      <c r="BS82" s="105"/>
      <c r="BT82" s="105"/>
      <c r="BU82" s="105"/>
      <c r="BV82" s="105"/>
      <c r="BW82" s="105"/>
      <c r="BX82" s="105"/>
      <c r="BY82" s="105"/>
      <c r="BZ82" s="105"/>
      <c r="CA82" s="105"/>
      <c r="CB82" s="105"/>
      <c r="CC82" s="105"/>
      <c r="CD82" s="105"/>
      <c r="CE82" s="105"/>
      <c r="CF82" s="120"/>
      <c r="CG82" s="128"/>
      <c r="CH82" s="128"/>
      <c r="CI82" s="105"/>
      <c r="CJ82" s="105"/>
      <c r="CK82" s="105"/>
      <c r="CL82" s="105">
        <v>0.3</v>
      </c>
      <c r="CM82" s="105"/>
      <c r="CN82" s="105"/>
      <c r="CO82" s="105"/>
      <c r="CP82" s="105"/>
      <c r="CQ82" s="105"/>
      <c r="CR82" s="105"/>
      <c r="CS82" s="105"/>
      <c r="CT82" s="105"/>
      <c r="CU82" s="105"/>
      <c r="CV82" s="105"/>
      <c r="CW82" s="105"/>
      <c r="CX82" s="105"/>
      <c r="CY82" s="105"/>
      <c r="CZ82" s="105"/>
      <c r="DA82" s="105"/>
      <c r="DB82" s="105"/>
      <c r="DC82" s="105"/>
      <c r="DD82" s="125">
        <v>0.7</v>
      </c>
      <c r="DE82" s="125"/>
      <c r="DF82" s="105"/>
      <c r="DG82" s="105"/>
      <c r="DH82" s="105"/>
      <c r="DI82" s="105"/>
      <c r="DJ82" s="79">
        <f t="shared" si="460"/>
        <v>1</v>
      </c>
      <c r="DK82" s="108"/>
      <c r="DL82" s="108"/>
      <c r="DM82" s="108"/>
      <c r="DN82" s="108">
        <v>0.3</v>
      </c>
      <c r="DO82" s="108"/>
      <c r="DP82" s="108"/>
      <c r="DQ82" s="108"/>
      <c r="DR82" s="108"/>
      <c r="DS82" s="108">
        <v>0.5</v>
      </c>
      <c r="DT82" s="108"/>
      <c r="DU82" s="108"/>
      <c r="DV82" s="108"/>
      <c r="DW82" s="108"/>
      <c r="DX82" s="108"/>
      <c r="DY82" s="108"/>
      <c r="DZ82" s="108"/>
      <c r="EA82" s="108"/>
      <c r="EB82" s="108"/>
      <c r="EC82" s="108"/>
      <c r="ED82" s="108"/>
      <c r="EE82" s="108"/>
      <c r="EF82" s="108"/>
      <c r="EG82" s="108"/>
      <c r="EH82" s="129"/>
      <c r="EI82" s="129"/>
      <c r="EJ82" s="108"/>
      <c r="EK82" s="108"/>
      <c r="EL82" s="108"/>
      <c r="EM82" s="108"/>
      <c r="EN82" s="108"/>
      <c r="EO82" s="108"/>
      <c r="EP82" s="108"/>
      <c r="EQ82" s="108"/>
      <c r="ER82" s="108"/>
      <c r="ES82" s="106"/>
      <c r="ET82" s="106"/>
      <c r="EU82" s="106">
        <v>0.18</v>
      </c>
      <c r="EV82" s="106"/>
      <c r="EW82" s="106"/>
      <c r="EX82" s="106"/>
      <c r="EY82" s="106"/>
      <c r="EZ82" s="106"/>
      <c r="FA82" s="106"/>
      <c r="FB82" s="106"/>
      <c r="FC82" s="106"/>
      <c r="FD82" s="106"/>
      <c r="FE82" s="126"/>
      <c r="FF82" s="126"/>
      <c r="FG82" s="106"/>
      <c r="FH82" s="106"/>
      <c r="FI82" s="106"/>
      <c r="FJ82" s="106">
        <v>0.02</v>
      </c>
      <c r="FK82" s="17">
        <f t="shared" si="468"/>
        <v>1</v>
      </c>
      <c r="FL82" s="18"/>
      <c r="FM82" s="19">
        <f t="shared" si="298"/>
        <v>0</v>
      </c>
      <c r="FN82" s="19">
        <f t="shared" si="299"/>
        <v>0</v>
      </c>
      <c r="FO82" s="19">
        <f t="shared" si="300"/>
        <v>0</v>
      </c>
      <c r="FP82" s="19">
        <f t="shared" si="301"/>
        <v>0.44999999999999996</v>
      </c>
      <c r="FQ82" s="19">
        <f t="shared" si="302"/>
        <v>0</v>
      </c>
      <c r="FR82" s="19">
        <f t="shared" si="303"/>
        <v>0</v>
      </c>
      <c r="FS82" s="19">
        <f t="shared" si="304"/>
        <v>0</v>
      </c>
      <c r="FT82" s="19">
        <f t="shared" si="305"/>
        <v>0</v>
      </c>
      <c r="FU82" s="19">
        <f t="shared" si="306"/>
        <v>0.75</v>
      </c>
      <c r="FV82" s="19">
        <f t="shared" si="307"/>
        <v>0</v>
      </c>
      <c r="FW82" s="19">
        <f t="shared" si="308"/>
        <v>0</v>
      </c>
      <c r="FX82" s="19">
        <f t="shared" si="309"/>
        <v>0</v>
      </c>
      <c r="FY82" s="19">
        <f t="shared" si="310"/>
        <v>0</v>
      </c>
      <c r="FZ82" s="19">
        <f t="shared" si="311"/>
        <v>0</v>
      </c>
      <c r="GA82" s="19">
        <f t="shared" si="312"/>
        <v>0</v>
      </c>
      <c r="GB82" s="19">
        <f t="shared" si="313"/>
        <v>0</v>
      </c>
      <c r="GC82" s="19">
        <f t="shared" si="314"/>
        <v>0</v>
      </c>
      <c r="GD82" s="19">
        <f t="shared" si="315"/>
        <v>0</v>
      </c>
      <c r="GE82" s="19">
        <f t="shared" si="316"/>
        <v>0</v>
      </c>
      <c r="GF82" s="19">
        <f t="shared" si="317"/>
        <v>0</v>
      </c>
      <c r="GG82" s="19">
        <f t="shared" si="318"/>
        <v>0</v>
      </c>
      <c r="GH82" s="19">
        <f t="shared" si="319"/>
        <v>0</v>
      </c>
      <c r="GI82" s="19">
        <f t="shared" si="320"/>
        <v>0</v>
      </c>
      <c r="GJ82" s="19">
        <f t="shared" si="321"/>
        <v>0</v>
      </c>
      <c r="GK82" s="19">
        <f t="shared" si="322"/>
        <v>0</v>
      </c>
      <c r="GL82" s="19">
        <f t="shared" si="323"/>
        <v>0</v>
      </c>
      <c r="GM82" s="19">
        <f t="shared" si="324"/>
        <v>0</v>
      </c>
      <c r="GN82" s="19">
        <f t="shared" si="325"/>
        <v>0.44999999999999996</v>
      </c>
      <c r="GO82" s="19">
        <f t="shared" si="326"/>
        <v>0.6</v>
      </c>
      <c r="GP82" s="19">
        <f t="shared" si="327"/>
        <v>0</v>
      </c>
      <c r="GQ82" s="19">
        <f t="shared" si="328"/>
        <v>0</v>
      </c>
      <c r="GR82" s="19">
        <f t="shared" si="329"/>
        <v>0</v>
      </c>
      <c r="GS82" s="19">
        <f t="shared" si="330"/>
        <v>0</v>
      </c>
      <c r="GT82" s="19">
        <f t="shared" si="331"/>
        <v>0</v>
      </c>
      <c r="GU82" s="19">
        <f t="shared" si="332"/>
        <v>0</v>
      </c>
      <c r="GV82" s="19">
        <f t="shared" si="333"/>
        <v>0</v>
      </c>
      <c r="GW82" s="19">
        <f t="shared" si="334"/>
        <v>0.27</v>
      </c>
      <c r="GX82" s="19">
        <f t="shared" si="335"/>
        <v>0</v>
      </c>
      <c r="GY82" s="19">
        <f t="shared" si="336"/>
        <v>0</v>
      </c>
      <c r="GZ82" s="19">
        <f t="shared" si="337"/>
        <v>0</v>
      </c>
      <c r="HA82" s="19">
        <f t="shared" si="338"/>
        <v>0</v>
      </c>
      <c r="HB82" s="19">
        <f t="shared" si="339"/>
        <v>0</v>
      </c>
      <c r="HC82" s="19">
        <f t="shared" si="340"/>
        <v>0</v>
      </c>
      <c r="HD82" s="19">
        <f t="shared" si="341"/>
        <v>0</v>
      </c>
      <c r="HE82" s="19">
        <f t="shared" si="342"/>
        <v>0</v>
      </c>
      <c r="HF82" s="19">
        <f t="shared" si="343"/>
        <v>0</v>
      </c>
      <c r="HG82" s="19">
        <f t="shared" si="344"/>
        <v>2.4499999999999997</v>
      </c>
      <c r="HH82" s="19">
        <f t="shared" si="345"/>
        <v>0</v>
      </c>
      <c r="HI82" s="19">
        <f t="shared" si="346"/>
        <v>0</v>
      </c>
      <c r="HJ82" s="19">
        <f t="shared" si="347"/>
        <v>0</v>
      </c>
      <c r="HK82" s="19">
        <f t="shared" si="348"/>
        <v>0</v>
      </c>
      <c r="HL82" s="19">
        <f t="shared" si="349"/>
        <v>0.03</v>
      </c>
      <c r="HM82" s="20">
        <f t="shared" si="350"/>
        <v>5</v>
      </c>
      <c r="HN82" s="53">
        <v>473</v>
      </c>
      <c r="HO82" s="21">
        <f t="shared" si="351"/>
        <v>0</v>
      </c>
      <c r="HP82" s="21">
        <f t="shared" si="352"/>
        <v>0</v>
      </c>
      <c r="HQ82" s="21">
        <f t="shared" si="353"/>
        <v>0</v>
      </c>
      <c r="HR82" s="21">
        <f t="shared" si="354"/>
        <v>42.569999999999993</v>
      </c>
      <c r="HS82" s="21">
        <f t="shared" si="355"/>
        <v>0</v>
      </c>
      <c r="HT82" s="69">
        <f t="shared" si="356"/>
        <v>0</v>
      </c>
      <c r="HU82" s="21">
        <f t="shared" si="357"/>
        <v>0</v>
      </c>
      <c r="HV82" s="21">
        <f t="shared" si="358"/>
        <v>0</v>
      </c>
      <c r="HW82" s="21">
        <f t="shared" si="359"/>
        <v>70.95</v>
      </c>
      <c r="HX82" s="21">
        <f t="shared" si="360"/>
        <v>0</v>
      </c>
      <c r="HY82" s="21">
        <f t="shared" si="361"/>
        <v>0</v>
      </c>
      <c r="HZ82" s="21">
        <f t="shared" si="362"/>
        <v>0</v>
      </c>
      <c r="IA82" s="21">
        <f t="shared" si="363"/>
        <v>0</v>
      </c>
      <c r="IB82" s="21">
        <f t="shared" si="364"/>
        <v>0</v>
      </c>
      <c r="IC82" s="21">
        <f t="shared" si="365"/>
        <v>0</v>
      </c>
      <c r="ID82" s="21">
        <f t="shared" si="366"/>
        <v>0</v>
      </c>
      <c r="IE82" s="21">
        <f t="shared" si="367"/>
        <v>0</v>
      </c>
      <c r="IF82" s="69">
        <f t="shared" si="368"/>
        <v>0</v>
      </c>
      <c r="IG82" s="69">
        <f t="shared" si="369"/>
        <v>0</v>
      </c>
      <c r="IH82" s="69">
        <f t="shared" si="370"/>
        <v>0</v>
      </c>
      <c r="II82" s="21">
        <f t="shared" si="371"/>
        <v>0</v>
      </c>
      <c r="IJ82" s="21">
        <f t="shared" si="372"/>
        <v>0</v>
      </c>
      <c r="IK82" s="21">
        <f t="shared" si="373"/>
        <v>0</v>
      </c>
      <c r="IL82" s="21">
        <f t="shared" si="374"/>
        <v>0</v>
      </c>
      <c r="IM82" s="21">
        <f t="shared" si="375"/>
        <v>0</v>
      </c>
      <c r="IN82" s="21">
        <f t="shared" si="376"/>
        <v>0</v>
      </c>
      <c r="IO82" s="21">
        <f t="shared" si="377"/>
        <v>0</v>
      </c>
      <c r="IP82" s="21">
        <f t="shared" si="378"/>
        <v>42.569999999999993</v>
      </c>
      <c r="IQ82" s="21">
        <f t="shared" si="379"/>
        <v>56.760000000000005</v>
      </c>
      <c r="IR82" s="21">
        <f t="shared" si="380"/>
        <v>0</v>
      </c>
      <c r="IS82" s="21">
        <f t="shared" si="381"/>
        <v>0</v>
      </c>
      <c r="IT82" s="21">
        <f t="shared" si="382"/>
        <v>0</v>
      </c>
      <c r="IU82" s="21">
        <f t="shared" si="383"/>
        <v>0</v>
      </c>
      <c r="IV82" s="21">
        <f t="shared" si="384"/>
        <v>0</v>
      </c>
      <c r="IW82" s="21">
        <f t="shared" si="385"/>
        <v>0</v>
      </c>
      <c r="IX82" s="21">
        <f t="shared" si="386"/>
        <v>0</v>
      </c>
      <c r="IY82" s="21">
        <f t="shared" si="387"/>
        <v>25.542000000000002</v>
      </c>
      <c r="IZ82" s="21">
        <f t="shared" si="388"/>
        <v>0</v>
      </c>
      <c r="JA82" s="21">
        <f t="shared" si="389"/>
        <v>0</v>
      </c>
      <c r="JB82" s="21">
        <f t="shared" si="390"/>
        <v>0</v>
      </c>
      <c r="JC82" s="21">
        <f t="shared" si="391"/>
        <v>0</v>
      </c>
      <c r="JD82" s="21">
        <f t="shared" si="392"/>
        <v>0</v>
      </c>
      <c r="JE82" s="21">
        <f t="shared" si="393"/>
        <v>0</v>
      </c>
      <c r="JF82" s="21">
        <f t="shared" si="394"/>
        <v>0</v>
      </c>
      <c r="JG82" s="21">
        <f t="shared" si="395"/>
        <v>0</v>
      </c>
      <c r="JH82" s="21">
        <f t="shared" si="396"/>
        <v>0</v>
      </c>
      <c r="JI82" s="21">
        <f t="shared" si="397"/>
        <v>231.76999999999998</v>
      </c>
      <c r="JJ82" s="21">
        <f t="shared" si="398"/>
        <v>0</v>
      </c>
      <c r="JK82" s="21">
        <f t="shared" si="399"/>
        <v>0</v>
      </c>
      <c r="JL82" s="21">
        <f t="shared" si="400"/>
        <v>0</v>
      </c>
      <c r="JM82" s="21">
        <f t="shared" si="401"/>
        <v>0</v>
      </c>
      <c r="JN82" s="21">
        <f t="shared" si="402"/>
        <v>2.8380000000000001</v>
      </c>
      <c r="JO82" s="35">
        <f t="shared" si="403"/>
        <v>472.99999999999994</v>
      </c>
      <c r="JP82" s="38">
        <f t="shared" si="404"/>
        <v>0</v>
      </c>
      <c r="JQ82" s="43">
        <f t="shared" si="405"/>
        <v>0</v>
      </c>
      <c r="JR82" s="43">
        <f t="shared" si="406"/>
        <v>0</v>
      </c>
      <c r="JS82" s="43">
        <f t="shared" si="407"/>
        <v>0</v>
      </c>
      <c r="JT82" s="43">
        <f t="shared" si="408"/>
        <v>183.09016439999999</v>
      </c>
      <c r="JU82" s="43">
        <f t="shared" si="409"/>
        <v>0</v>
      </c>
      <c r="JV82" s="43">
        <f t="shared" si="410"/>
        <v>0</v>
      </c>
      <c r="JW82" s="43">
        <f t="shared" si="411"/>
        <v>0</v>
      </c>
      <c r="JX82" s="43">
        <f t="shared" si="412"/>
        <v>0</v>
      </c>
      <c r="JY82" s="43">
        <f t="shared" si="413"/>
        <v>328.62337200000002</v>
      </c>
      <c r="JZ82" s="43">
        <f t="shared" si="414"/>
        <v>0</v>
      </c>
      <c r="KA82" s="43">
        <f t="shared" si="415"/>
        <v>0</v>
      </c>
      <c r="KB82" s="43">
        <f t="shared" si="416"/>
        <v>0</v>
      </c>
      <c r="KC82" s="43">
        <f t="shared" si="417"/>
        <v>0</v>
      </c>
      <c r="KD82" s="43">
        <f t="shared" si="418"/>
        <v>0</v>
      </c>
      <c r="KE82" s="43">
        <f t="shared" si="419"/>
        <v>0</v>
      </c>
      <c r="KF82" s="43">
        <f t="shared" si="420"/>
        <v>0</v>
      </c>
      <c r="KG82" s="43">
        <f t="shared" si="421"/>
        <v>0</v>
      </c>
      <c r="KH82" s="43">
        <f t="shared" si="422"/>
        <v>0</v>
      </c>
      <c r="KI82" s="43">
        <f t="shared" si="423"/>
        <v>0</v>
      </c>
      <c r="KJ82" s="43">
        <f t="shared" si="424"/>
        <v>0</v>
      </c>
      <c r="KK82" s="43">
        <f t="shared" si="425"/>
        <v>0</v>
      </c>
      <c r="KL82" s="43">
        <f t="shared" si="426"/>
        <v>0</v>
      </c>
      <c r="KM82" s="43">
        <f t="shared" si="427"/>
        <v>0</v>
      </c>
      <c r="KN82" s="43">
        <f t="shared" si="428"/>
        <v>0</v>
      </c>
      <c r="KO82" s="43">
        <f t="shared" si="429"/>
        <v>0</v>
      </c>
      <c r="KP82" s="43">
        <f t="shared" si="430"/>
        <v>0</v>
      </c>
      <c r="KQ82" s="43">
        <f t="shared" si="431"/>
        <v>0</v>
      </c>
      <c r="KR82" s="43">
        <f t="shared" si="432"/>
        <v>164.32019999999997</v>
      </c>
      <c r="KS82" s="43">
        <f t="shared" si="433"/>
        <v>194.08122698666668</v>
      </c>
      <c r="KT82" s="43">
        <f t="shared" si="434"/>
        <v>0</v>
      </c>
      <c r="KU82" s="43">
        <f t="shared" si="435"/>
        <v>0</v>
      </c>
      <c r="KV82" s="43">
        <f t="shared" si="436"/>
        <v>0</v>
      </c>
      <c r="KW82" s="43">
        <f t="shared" si="437"/>
        <v>0</v>
      </c>
      <c r="KX82" s="43">
        <f t="shared" si="438"/>
        <v>0</v>
      </c>
      <c r="KY82" s="43">
        <f t="shared" si="439"/>
        <v>0</v>
      </c>
      <c r="KZ82" s="43">
        <f t="shared" si="440"/>
        <v>0</v>
      </c>
      <c r="LA82" s="43">
        <f t="shared" si="441"/>
        <v>102.34270728</v>
      </c>
      <c r="LB82" s="43">
        <f t="shared" si="442"/>
        <v>0</v>
      </c>
      <c r="LC82" s="43">
        <f t="shared" si="443"/>
        <v>0</v>
      </c>
      <c r="LD82" s="43">
        <f t="shared" si="444"/>
        <v>0</v>
      </c>
      <c r="LE82" s="43">
        <f t="shared" si="445"/>
        <v>0</v>
      </c>
      <c r="LF82" s="43">
        <f t="shared" si="446"/>
        <v>0</v>
      </c>
      <c r="LG82" s="43">
        <f t="shared" si="447"/>
        <v>0</v>
      </c>
      <c r="LH82" s="43">
        <f t="shared" si="448"/>
        <v>0</v>
      </c>
      <c r="LI82" s="43">
        <f t="shared" si="449"/>
        <v>0</v>
      </c>
      <c r="LJ82" s="43">
        <f t="shared" si="450"/>
        <v>0</v>
      </c>
      <c r="LK82" s="43">
        <f t="shared" si="451"/>
        <v>928.41267749999986</v>
      </c>
      <c r="LL82" s="43">
        <f t="shared" si="452"/>
        <v>0</v>
      </c>
      <c r="LM82" s="43">
        <f t="shared" si="453"/>
        <v>0</v>
      </c>
      <c r="LN82" s="43">
        <f t="shared" si="454"/>
        <v>0</v>
      </c>
      <c r="LO82" s="43">
        <f t="shared" si="455"/>
        <v>0</v>
      </c>
      <c r="LP82" s="43">
        <f t="shared" si="456"/>
        <v>23.981099999999998</v>
      </c>
      <c r="LQ82" s="28">
        <f t="shared" si="457"/>
        <v>1924.8514481666666</v>
      </c>
      <c r="LR82" s="65">
        <v>442</v>
      </c>
      <c r="LS82" s="32">
        <f t="shared" si="462"/>
        <v>4.3548675297888382</v>
      </c>
      <c r="LT82" s="26">
        <f t="shared" si="463"/>
        <v>1.1898545163357481</v>
      </c>
      <c r="LU82" s="31">
        <f t="shared" si="458"/>
        <v>31</v>
      </c>
      <c r="LW82" s="42"/>
      <c r="MA82" s="32">
        <f t="shared" si="459"/>
        <v>4.0694533787878795</v>
      </c>
      <c r="MB82" s="26">
        <f t="shared" si="464"/>
        <v>1.1118725078655407</v>
      </c>
    </row>
    <row r="83" spans="1:340" ht="15.75" thickBot="1">
      <c r="A83" t="b">
        <f t="shared" si="297"/>
        <v>1</v>
      </c>
      <c r="B83" s="123" t="s">
        <v>243</v>
      </c>
      <c r="C83" s="39" t="s">
        <v>101</v>
      </c>
      <c r="D83"/>
      <c r="E83" s="97">
        <v>46038</v>
      </c>
      <c r="F83" t="s">
        <v>43</v>
      </c>
      <c r="G83" t="s">
        <v>20</v>
      </c>
      <c r="H83" t="s">
        <v>26</v>
      </c>
      <c r="I83" s="77"/>
      <c r="J83" s="77"/>
      <c r="K83" s="77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24"/>
      <c r="AG83" s="124"/>
      <c r="AH83" s="104"/>
      <c r="AI83" s="104"/>
      <c r="AJ83" s="22">
        <v>0.4</v>
      </c>
      <c r="AK83" s="104"/>
      <c r="AL83" s="104"/>
      <c r="AM83" s="104"/>
      <c r="AN83" s="22"/>
      <c r="AO83" s="104"/>
      <c r="AP83" s="22"/>
      <c r="AQ83" s="22"/>
      <c r="AR83" s="22">
        <v>0.05</v>
      </c>
      <c r="AS83" s="22"/>
      <c r="AT83" s="22"/>
      <c r="AU83" s="22"/>
      <c r="AV83" s="22"/>
      <c r="AW83" s="22"/>
      <c r="AX83" s="22"/>
      <c r="AY83" s="22"/>
      <c r="AZ83" s="22"/>
      <c r="BA83" s="98"/>
      <c r="BB83" s="98"/>
      <c r="BC83" s="124">
        <v>0.55000000000000004</v>
      </c>
      <c r="BD83" s="124"/>
      <c r="BE83" s="104"/>
      <c r="BF83" s="22"/>
      <c r="BG83" s="22"/>
      <c r="BH83" s="104"/>
      <c r="BI83" s="78">
        <f t="shared" si="296"/>
        <v>1</v>
      </c>
      <c r="BJ83" s="105"/>
      <c r="BK83" s="105"/>
      <c r="BL83" s="105"/>
      <c r="BM83" s="105"/>
      <c r="BN83" s="105"/>
      <c r="BO83" s="105"/>
      <c r="BP83" s="105"/>
      <c r="BQ83" s="105"/>
      <c r="BR83" s="105"/>
      <c r="BS83" s="105"/>
      <c r="BT83" s="105"/>
      <c r="BU83" s="105"/>
      <c r="BV83" s="105"/>
      <c r="BW83" s="105"/>
      <c r="BX83" s="105"/>
      <c r="BY83" s="105"/>
      <c r="BZ83" s="105"/>
      <c r="CA83" s="105"/>
      <c r="CB83" s="105"/>
      <c r="CC83" s="105"/>
      <c r="CD83" s="105"/>
      <c r="CE83" s="105"/>
      <c r="CF83" s="120"/>
      <c r="CG83" s="128"/>
      <c r="CH83" s="128"/>
      <c r="CI83" s="105"/>
      <c r="CJ83" s="105"/>
      <c r="CK83" s="105"/>
      <c r="CL83" s="105">
        <v>0.4</v>
      </c>
      <c r="CM83" s="105"/>
      <c r="CN83" s="105"/>
      <c r="CO83" s="105"/>
      <c r="CP83" s="105"/>
      <c r="CQ83" s="105"/>
      <c r="CR83" s="105"/>
      <c r="CS83" s="105">
        <v>0.05</v>
      </c>
      <c r="CT83" s="105"/>
      <c r="CU83" s="105"/>
      <c r="CV83" s="105"/>
      <c r="CW83" s="105"/>
      <c r="CX83" s="105"/>
      <c r="CY83" s="105"/>
      <c r="CZ83" s="105"/>
      <c r="DA83" s="105"/>
      <c r="DB83" s="105"/>
      <c r="DC83" s="105"/>
      <c r="DD83" s="125">
        <v>0.55000000000000004</v>
      </c>
      <c r="DE83" s="125"/>
      <c r="DF83" s="105"/>
      <c r="DG83" s="105"/>
      <c r="DH83" s="105"/>
      <c r="DI83" s="105"/>
      <c r="DJ83" s="79">
        <f t="shared" si="460"/>
        <v>1</v>
      </c>
      <c r="DK83" s="108">
        <v>0.3</v>
      </c>
      <c r="DL83" s="108"/>
      <c r="DM83" s="108"/>
      <c r="DN83" s="108"/>
      <c r="DO83" s="108"/>
      <c r="DP83" s="108"/>
      <c r="DQ83" s="108"/>
      <c r="DR83" s="108"/>
      <c r="DS83" s="108">
        <v>0.5</v>
      </c>
      <c r="DT83" s="108"/>
      <c r="DU83" s="108"/>
      <c r="DV83" s="108"/>
      <c r="DW83" s="108"/>
      <c r="DX83" s="108"/>
      <c r="DY83" s="108"/>
      <c r="DZ83" s="108"/>
      <c r="EA83" s="108"/>
      <c r="EB83" s="108"/>
      <c r="EC83" s="108"/>
      <c r="ED83" s="108"/>
      <c r="EE83" s="108"/>
      <c r="EF83" s="108"/>
      <c r="EG83" s="108"/>
      <c r="EH83" s="129"/>
      <c r="EI83" s="129"/>
      <c r="EJ83" s="108"/>
      <c r="EK83" s="108"/>
      <c r="EL83" s="108"/>
      <c r="EM83" s="108"/>
      <c r="EN83" s="108"/>
      <c r="EO83" s="108"/>
      <c r="EP83" s="108"/>
      <c r="EQ83" s="108"/>
      <c r="ER83" s="108"/>
      <c r="ES83" s="106"/>
      <c r="ET83" s="106"/>
      <c r="EU83" s="106">
        <v>0.18</v>
      </c>
      <c r="EV83" s="106"/>
      <c r="EW83" s="106"/>
      <c r="EX83" s="106"/>
      <c r="EY83" s="106"/>
      <c r="EZ83" s="106"/>
      <c r="FA83" s="106"/>
      <c r="FB83" s="106"/>
      <c r="FC83" s="106"/>
      <c r="FD83" s="106"/>
      <c r="FE83" s="126"/>
      <c r="FF83" s="126"/>
      <c r="FG83" s="106"/>
      <c r="FH83" s="106"/>
      <c r="FI83" s="106"/>
      <c r="FJ83" s="106">
        <v>0.02</v>
      </c>
      <c r="FK83" s="17">
        <f t="shared" si="461"/>
        <v>1</v>
      </c>
      <c r="FL83" s="18"/>
      <c r="FM83" s="19">
        <f t="shared" si="298"/>
        <v>0.44999999999999996</v>
      </c>
      <c r="FN83" s="19">
        <f t="shared" si="299"/>
        <v>0</v>
      </c>
      <c r="FO83" s="19">
        <f t="shared" si="300"/>
        <v>0</v>
      </c>
      <c r="FP83" s="19">
        <f t="shared" si="301"/>
        <v>0</v>
      </c>
      <c r="FQ83" s="19">
        <f t="shared" si="302"/>
        <v>0</v>
      </c>
      <c r="FR83" s="19">
        <f t="shared" si="303"/>
        <v>0</v>
      </c>
      <c r="FS83" s="19">
        <f t="shared" si="304"/>
        <v>0</v>
      </c>
      <c r="FT83" s="19">
        <f t="shared" si="305"/>
        <v>0</v>
      </c>
      <c r="FU83" s="19">
        <f t="shared" si="306"/>
        <v>0.75</v>
      </c>
      <c r="FV83" s="19">
        <f t="shared" si="307"/>
        <v>0</v>
      </c>
      <c r="FW83" s="19">
        <f t="shared" si="308"/>
        <v>0</v>
      </c>
      <c r="FX83" s="19">
        <f t="shared" si="309"/>
        <v>0</v>
      </c>
      <c r="FY83" s="19">
        <f t="shared" si="310"/>
        <v>0</v>
      </c>
      <c r="FZ83" s="19">
        <f t="shared" si="311"/>
        <v>0</v>
      </c>
      <c r="GA83" s="19">
        <f t="shared" si="312"/>
        <v>0</v>
      </c>
      <c r="GB83" s="19">
        <f t="shared" si="313"/>
        <v>0</v>
      </c>
      <c r="GC83" s="19">
        <f t="shared" si="314"/>
        <v>0</v>
      </c>
      <c r="GD83" s="19">
        <f t="shared" si="315"/>
        <v>0</v>
      </c>
      <c r="GE83" s="19">
        <f t="shared" si="316"/>
        <v>0</v>
      </c>
      <c r="GF83" s="19">
        <f t="shared" si="317"/>
        <v>0</v>
      </c>
      <c r="GG83" s="19">
        <f t="shared" si="318"/>
        <v>0</v>
      </c>
      <c r="GH83" s="19">
        <f t="shared" si="319"/>
        <v>0</v>
      </c>
      <c r="GI83" s="19">
        <f t="shared" si="320"/>
        <v>0</v>
      </c>
      <c r="GJ83" s="19">
        <f t="shared" si="321"/>
        <v>0</v>
      </c>
      <c r="GK83" s="19">
        <f t="shared" si="322"/>
        <v>0</v>
      </c>
      <c r="GL83" s="19">
        <f t="shared" si="323"/>
        <v>0</v>
      </c>
      <c r="GM83" s="19">
        <f t="shared" si="324"/>
        <v>0</v>
      </c>
      <c r="GN83" s="19">
        <f t="shared" si="325"/>
        <v>0.60000000000000009</v>
      </c>
      <c r="GO83" s="19">
        <f t="shared" si="326"/>
        <v>0.8</v>
      </c>
      <c r="GP83" s="19">
        <f t="shared" si="327"/>
        <v>0</v>
      </c>
      <c r="GQ83" s="19">
        <f t="shared" si="328"/>
        <v>0</v>
      </c>
      <c r="GR83" s="19">
        <f t="shared" si="329"/>
        <v>0</v>
      </c>
      <c r="GS83" s="19">
        <f t="shared" si="330"/>
        <v>0</v>
      </c>
      <c r="GT83" s="19">
        <f t="shared" si="331"/>
        <v>0</v>
      </c>
      <c r="GU83" s="19">
        <f t="shared" si="332"/>
        <v>0</v>
      </c>
      <c r="GV83" s="19">
        <f t="shared" si="333"/>
        <v>0.17500000000000002</v>
      </c>
      <c r="GW83" s="19">
        <f t="shared" si="334"/>
        <v>0.27</v>
      </c>
      <c r="GX83" s="19">
        <f t="shared" si="335"/>
        <v>0</v>
      </c>
      <c r="GY83" s="19">
        <f t="shared" si="336"/>
        <v>0</v>
      </c>
      <c r="GZ83" s="19">
        <f t="shared" si="337"/>
        <v>0</v>
      </c>
      <c r="HA83" s="19">
        <f t="shared" si="338"/>
        <v>0</v>
      </c>
      <c r="HB83" s="19">
        <f t="shared" si="339"/>
        <v>0</v>
      </c>
      <c r="HC83" s="19">
        <f t="shared" si="340"/>
        <v>0</v>
      </c>
      <c r="HD83" s="19">
        <f t="shared" si="341"/>
        <v>0</v>
      </c>
      <c r="HE83" s="19">
        <f t="shared" si="342"/>
        <v>0</v>
      </c>
      <c r="HF83" s="19">
        <f t="shared" si="343"/>
        <v>0</v>
      </c>
      <c r="HG83" s="19">
        <f t="shared" si="344"/>
        <v>1.9250000000000003</v>
      </c>
      <c r="HH83" s="19">
        <f t="shared" si="345"/>
        <v>0</v>
      </c>
      <c r="HI83" s="19">
        <f t="shared" si="346"/>
        <v>0</v>
      </c>
      <c r="HJ83" s="19">
        <f t="shared" si="347"/>
        <v>0</v>
      </c>
      <c r="HK83" s="19">
        <f t="shared" si="348"/>
        <v>0</v>
      </c>
      <c r="HL83" s="19">
        <f t="shared" si="349"/>
        <v>0.03</v>
      </c>
      <c r="HM83" s="20">
        <f t="shared" si="350"/>
        <v>5.0000000000000009</v>
      </c>
      <c r="HN83" s="53">
        <v>1305</v>
      </c>
      <c r="HO83" s="21">
        <f t="shared" si="351"/>
        <v>117.44999999999996</v>
      </c>
      <c r="HP83" s="21">
        <f t="shared" si="352"/>
        <v>0</v>
      </c>
      <c r="HQ83" s="21">
        <f t="shared" si="353"/>
        <v>0</v>
      </c>
      <c r="HR83" s="21">
        <f t="shared" si="354"/>
        <v>0</v>
      </c>
      <c r="HS83" s="21">
        <f t="shared" si="355"/>
        <v>0</v>
      </c>
      <c r="HT83" s="69">
        <f t="shared" si="356"/>
        <v>0</v>
      </c>
      <c r="HU83" s="21">
        <f t="shared" si="357"/>
        <v>0</v>
      </c>
      <c r="HV83" s="21">
        <f t="shared" si="358"/>
        <v>0</v>
      </c>
      <c r="HW83" s="21">
        <f t="shared" si="359"/>
        <v>195.74999999999997</v>
      </c>
      <c r="HX83" s="21">
        <f t="shared" si="360"/>
        <v>0</v>
      </c>
      <c r="HY83" s="21">
        <f t="shared" si="361"/>
        <v>0</v>
      </c>
      <c r="HZ83" s="21">
        <f t="shared" si="362"/>
        <v>0</v>
      </c>
      <c r="IA83" s="21">
        <f t="shared" si="363"/>
        <v>0</v>
      </c>
      <c r="IB83" s="21">
        <f t="shared" si="364"/>
        <v>0</v>
      </c>
      <c r="IC83" s="21">
        <f t="shared" si="365"/>
        <v>0</v>
      </c>
      <c r="ID83" s="21">
        <f t="shared" si="366"/>
        <v>0</v>
      </c>
      <c r="IE83" s="21">
        <f t="shared" si="367"/>
        <v>0</v>
      </c>
      <c r="IF83" s="69">
        <f t="shared" si="368"/>
        <v>0</v>
      </c>
      <c r="IG83" s="69">
        <f t="shared" si="369"/>
        <v>0</v>
      </c>
      <c r="IH83" s="69">
        <f t="shared" si="370"/>
        <v>0</v>
      </c>
      <c r="II83" s="21">
        <f t="shared" si="371"/>
        <v>0</v>
      </c>
      <c r="IJ83" s="21">
        <f t="shared" si="372"/>
        <v>0</v>
      </c>
      <c r="IK83" s="21">
        <f t="shared" si="373"/>
        <v>0</v>
      </c>
      <c r="IL83" s="21">
        <f t="shared" si="374"/>
        <v>0</v>
      </c>
      <c r="IM83" s="21">
        <f t="shared" si="375"/>
        <v>0</v>
      </c>
      <c r="IN83" s="21">
        <f t="shared" si="376"/>
        <v>0</v>
      </c>
      <c r="IO83" s="21">
        <f t="shared" si="377"/>
        <v>0</v>
      </c>
      <c r="IP83" s="21">
        <f t="shared" si="378"/>
        <v>156.6</v>
      </c>
      <c r="IQ83" s="21">
        <f t="shared" si="379"/>
        <v>208.79999999999995</v>
      </c>
      <c r="IR83" s="21">
        <f t="shared" si="380"/>
        <v>0</v>
      </c>
      <c r="IS83" s="21">
        <f t="shared" si="381"/>
        <v>0</v>
      </c>
      <c r="IT83" s="21">
        <f t="shared" si="382"/>
        <v>0</v>
      </c>
      <c r="IU83" s="21">
        <f t="shared" si="383"/>
        <v>0</v>
      </c>
      <c r="IV83" s="21">
        <f t="shared" si="384"/>
        <v>0</v>
      </c>
      <c r="IW83" s="21">
        <f t="shared" si="385"/>
        <v>0</v>
      </c>
      <c r="IX83" s="21">
        <f t="shared" si="386"/>
        <v>45.674999999999997</v>
      </c>
      <c r="IY83" s="21">
        <f t="shared" si="387"/>
        <v>70.47</v>
      </c>
      <c r="IZ83" s="21">
        <f t="shared" si="388"/>
        <v>0</v>
      </c>
      <c r="JA83" s="21">
        <f t="shared" si="389"/>
        <v>0</v>
      </c>
      <c r="JB83" s="21">
        <f t="shared" si="390"/>
        <v>0</v>
      </c>
      <c r="JC83" s="21">
        <f t="shared" si="391"/>
        <v>0</v>
      </c>
      <c r="JD83" s="21">
        <f t="shared" si="392"/>
        <v>0</v>
      </c>
      <c r="JE83" s="21">
        <f t="shared" si="393"/>
        <v>0</v>
      </c>
      <c r="JF83" s="21">
        <f t="shared" si="394"/>
        <v>0</v>
      </c>
      <c r="JG83" s="21">
        <f t="shared" si="395"/>
        <v>0</v>
      </c>
      <c r="JH83" s="21">
        <f t="shared" si="396"/>
        <v>0</v>
      </c>
      <c r="JI83" s="21">
        <f t="shared" si="397"/>
        <v>502.42500000000001</v>
      </c>
      <c r="JJ83" s="21">
        <f t="shared" si="398"/>
        <v>0</v>
      </c>
      <c r="JK83" s="21">
        <f t="shared" si="399"/>
        <v>0</v>
      </c>
      <c r="JL83" s="21">
        <f t="shared" si="400"/>
        <v>0</v>
      </c>
      <c r="JM83" s="21">
        <f t="shared" si="401"/>
        <v>0</v>
      </c>
      <c r="JN83" s="21">
        <f t="shared" si="402"/>
        <v>7.8299999999999983</v>
      </c>
      <c r="JO83" s="35">
        <f t="shared" si="403"/>
        <v>1304.9999999999998</v>
      </c>
      <c r="JP83" s="38">
        <f t="shared" si="404"/>
        <v>0</v>
      </c>
      <c r="JQ83" s="43">
        <f t="shared" si="405"/>
        <v>474.7916249999999</v>
      </c>
      <c r="JR83" s="43">
        <f t="shared" si="406"/>
        <v>0</v>
      </c>
      <c r="JS83" s="43">
        <f t="shared" si="407"/>
        <v>0</v>
      </c>
      <c r="JT83" s="43">
        <f t="shared" si="408"/>
        <v>0</v>
      </c>
      <c r="JU83" s="43">
        <f t="shared" si="409"/>
        <v>0</v>
      </c>
      <c r="JV83" s="43">
        <f t="shared" si="410"/>
        <v>0</v>
      </c>
      <c r="JW83" s="43">
        <f t="shared" si="411"/>
        <v>0</v>
      </c>
      <c r="JX83" s="43">
        <f t="shared" si="412"/>
        <v>0</v>
      </c>
      <c r="JY83" s="43">
        <f t="shared" si="413"/>
        <v>906.66701999999987</v>
      </c>
      <c r="JZ83" s="43">
        <f t="shared" si="414"/>
        <v>0</v>
      </c>
      <c r="KA83" s="43">
        <f t="shared" si="415"/>
        <v>0</v>
      </c>
      <c r="KB83" s="43">
        <f t="shared" si="416"/>
        <v>0</v>
      </c>
      <c r="KC83" s="43">
        <f t="shared" si="417"/>
        <v>0</v>
      </c>
      <c r="KD83" s="43">
        <f t="shared" si="418"/>
        <v>0</v>
      </c>
      <c r="KE83" s="43">
        <f t="shared" si="419"/>
        <v>0</v>
      </c>
      <c r="KF83" s="43">
        <f t="shared" si="420"/>
        <v>0</v>
      </c>
      <c r="KG83" s="43">
        <f t="shared" si="421"/>
        <v>0</v>
      </c>
      <c r="KH83" s="43">
        <f t="shared" si="422"/>
        <v>0</v>
      </c>
      <c r="KI83" s="43">
        <f t="shared" si="423"/>
        <v>0</v>
      </c>
      <c r="KJ83" s="43">
        <f t="shared" si="424"/>
        <v>0</v>
      </c>
      <c r="KK83" s="43">
        <f t="shared" si="425"/>
        <v>0</v>
      </c>
      <c r="KL83" s="43">
        <f t="shared" si="426"/>
        <v>0</v>
      </c>
      <c r="KM83" s="43">
        <f t="shared" si="427"/>
        <v>0</v>
      </c>
      <c r="KN83" s="43">
        <f t="shared" si="428"/>
        <v>0</v>
      </c>
      <c r="KO83" s="43">
        <f t="shared" si="429"/>
        <v>0</v>
      </c>
      <c r="KP83" s="43">
        <f t="shared" si="430"/>
        <v>0</v>
      </c>
      <c r="KQ83" s="43">
        <f t="shared" si="431"/>
        <v>0</v>
      </c>
      <c r="KR83" s="43">
        <f t="shared" si="432"/>
        <v>604.476</v>
      </c>
      <c r="KS83" s="43">
        <f t="shared" si="433"/>
        <v>713.95631069090894</v>
      </c>
      <c r="KT83" s="43">
        <f t="shared" si="434"/>
        <v>0</v>
      </c>
      <c r="KU83" s="43">
        <f t="shared" si="435"/>
        <v>0</v>
      </c>
      <c r="KV83" s="43">
        <f t="shared" si="436"/>
        <v>0</v>
      </c>
      <c r="KW83" s="43">
        <f t="shared" si="437"/>
        <v>0</v>
      </c>
      <c r="KX83" s="43">
        <f t="shared" si="438"/>
        <v>0</v>
      </c>
      <c r="KY83" s="43">
        <f t="shared" si="439"/>
        <v>0</v>
      </c>
      <c r="KZ83" s="43">
        <f t="shared" si="440"/>
        <v>395.08875</v>
      </c>
      <c r="LA83" s="43">
        <f t="shared" si="441"/>
        <v>282.36201479999994</v>
      </c>
      <c r="LB83" s="43">
        <f t="shared" si="442"/>
        <v>0</v>
      </c>
      <c r="LC83" s="43">
        <f t="shared" si="443"/>
        <v>0</v>
      </c>
      <c r="LD83" s="43">
        <f t="shared" si="444"/>
        <v>0</v>
      </c>
      <c r="LE83" s="43">
        <f t="shared" si="445"/>
        <v>0</v>
      </c>
      <c r="LF83" s="43">
        <f t="shared" si="446"/>
        <v>0</v>
      </c>
      <c r="LG83" s="43">
        <f t="shared" si="447"/>
        <v>0</v>
      </c>
      <c r="LH83" s="43">
        <f t="shared" si="448"/>
        <v>0</v>
      </c>
      <c r="LI83" s="43">
        <f t="shared" si="449"/>
        <v>0</v>
      </c>
      <c r="LJ83" s="43">
        <f t="shared" si="450"/>
        <v>0</v>
      </c>
      <c r="LK83" s="43">
        <f t="shared" si="451"/>
        <v>2012.58894375</v>
      </c>
      <c r="LL83" s="43">
        <f t="shared" si="452"/>
        <v>0</v>
      </c>
      <c r="LM83" s="43">
        <f t="shared" si="453"/>
        <v>0</v>
      </c>
      <c r="LN83" s="43">
        <f t="shared" si="454"/>
        <v>0</v>
      </c>
      <c r="LO83" s="43">
        <f t="shared" si="455"/>
        <v>0</v>
      </c>
      <c r="LP83" s="43">
        <f t="shared" si="456"/>
        <v>66.163499999999985</v>
      </c>
      <c r="LQ83" s="28">
        <f t="shared" si="457"/>
        <v>5456.094164240908</v>
      </c>
      <c r="LR83" s="65">
        <v>1232</v>
      </c>
      <c r="LS83" s="32">
        <f t="shared" si="462"/>
        <v>4.4286478605851523</v>
      </c>
      <c r="LT83" s="26">
        <f t="shared" si="463"/>
        <v>1.2100130766626098</v>
      </c>
      <c r="LU83" s="31">
        <f t="shared" si="458"/>
        <v>73</v>
      </c>
      <c r="LW83" s="42"/>
      <c r="MA83" s="32">
        <f t="shared" si="459"/>
        <v>4.1809150683838379</v>
      </c>
      <c r="MB83" s="26">
        <f t="shared" si="464"/>
        <v>1.1423265214163492</v>
      </c>
    </row>
    <row r="84" spans="1:340" ht="15.75" thickBot="1">
      <c r="A84" t="b">
        <f t="shared" si="297"/>
        <v>1</v>
      </c>
      <c r="B84" s="123" t="s">
        <v>244</v>
      </c>
      <c r="C84" s="39" t="s">
        <v>102</v>
      </c>
      <c r="D84"/>
      <c r="E84" s="97">
        <v>46038</v>
      </c>
      <c r="F84" t="s">
        <v>43</v>
      </c>
      <c r="G84" t="s">
        <v>20</v>
      </c>
      <c r="H84" t="s">
        <v>26</v>
      </c>
      <c r="I84" s="77"/>
      <c r="J84" s="77"/>
      <c r="K84" s="77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24"/>
      <c r="AG84" s="124"/>
      <c r="AH84" s="104"/>
      <c r="AI84" s="104"/>
      <c r="AJ84" s="104">
        <v>0.4</v>
      </c>
      <c r="AK84" s="104"/>
      <c r="AL84" s="104"/>
      <c r="AM84" s="104"/>
      <c r="AN84" s="104"/>
      <c r="AO84" s="104"/>
      <c r="AP84" s="104"/>
      <c r="AQ84" s="104"/>
      <c r="AR84" s="104">
        <v>0.05</v>
      </c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24">
        <v>0.55000000000000004</v>
      </c>
      <c r="BD84" s="124"/>
      <c r="BE84" s="104"/>
      <c r="BF84" s="104"/>
      <c r="BG84" s="104"/>
      <c r="BH84" s="104"/>
      <c r="BI84" s="78">
        <f t="shared" si="296"/>
        <v>1</v>
      </c>
      <c r="BJ84" s="105"/>
      <c r="BK84" s="105"/>
      <c r="BL84" s="105"/>
      <c r="BM84" s="105"/>
      <c r="BN84" s="105"/>
      <c r="BO84" s="105"/>
      <c r="BP84" s="105"/>
      <c r="BQ84" s="105"/>
      <c r="BR84" s="105"/>
      <c r="BS84" s="105"/>
      <c r="BT84" s="105"/>
      <c r="BU84" s="105"/>
      <c r="BV84" s="105"/>
      <c r="BW84" s="105"/>
      <c r="BX84" s="105"/>
      <c r="BY84" s="105"/>
      <c r="BZ84" s="105"/>
      <c r="CA84" s="105"/>
      <c r="CB84" s="105"/>
      <c r="CC84" s="105"/>
      <c r="CD84" s="105"/>
      <c r="CE84" s="105"/>
      <c r="CF84" s="120"/>
      <c r="CG84" s="128"/>
      <c r="CH84" s="128"/>
      <c r="CI84" s="105"/>
      <c r="CJ84" s="105"/>
      <c r="CK84" s="105"/>
      <c r="CL84" s="105">
        <v>0.4</v>
      </c>
      <c r="CM84" s="105"/>
      <c r="CN84" s="105"/>
      <c r="CO84" s="105"/>
      <c r="CP84" s="105"/>
      <c r="CQ84" s="105"/>
      <c r="CR84" s="105"/>
      <c r="CS84" s="105">
        <v>0.05</v>
      </c>
      <c r="CT84" s="105"/>
      <c r="CU84" s="105"/>
      <c r="CV84" s="105"/>
      <c r="CW84" s="105"/>
      <c r="CX84" s="105"/>
      <c r="CY84" s="105"/>
      <c r="CZ84" s="105"/>
      <c r="DA84" s="105"/>
      <c r="DB84" s="105"/>
      <c r="DC84" s="105"/>
      <c r="DD84" s="125">
        <v>0.55000000000000004</v>
      </c>
      <c r="DE84" s="125"/>
      <c r="DF84" s="105"/>
      <c r="DG84" s="105"/>
      <c r="DH84" s="105"/>
      <c r="DI84" s="105"/>
      <c r="DJ84" s="79">
        <f t="shared" si="460"/>
        <v>1</v>
      </c>
      <c r="DK84" s="108">
        <v>0.3</v>
      </c>
      <c r="DL84" s="108"/>
      <c r="DM84" s="108"/>
      <c r="DN84" s="108"/>
      <c r="DO84" s="108"/>
      <c r="DP84" s="108"/>
      <c r="DQ84" s="108"/>
      <c r="DR84" s="108"/>
      <c r="DS84" s="108">
        <v>0.5</v>
      </c>
      <c r="DT84" s="108"/>
      <c r="DU84" s="108"/>
      <c r="DV84" s="108"/>
      <c r="DW84" s="108"/>
      <c r="DX84" s="108"/>
      <c r="DY84" s="108"/>
      <c r="DZ84" s="108"/>
      <c r="EA84" s="108"/>
      <c r="EB84" s="108"/>
      <c r="EC84" s="108"/>
      <c r="ED84" s="108"/>
      <c r="EE84" s="108"/>
      <c r="EF84" s="108"/>
      <c r="EG84" s="108"/>
      <c r="EH84" s="129"/>
      <c r="EI84" s="129"/>
      <c r="EJ84" s="108"/>
      <c r="EK84" s="108"/>
      <c r="EL84" s="108"/>
      <c r="EM84" s="108"/>
      <c r="EN84" s="108"/>
      <c r="EO84" s="108"/>
      <c r="EP84" s="108"/>
      <c r="EQ84" s="108"/>
      <c r="ER84" s="108"/>
      <c r="ES84" s="106"/>
      <c r="ET84" s="106"/>
      <c r="EU84" s="106">
        <v>0.18</v>
      </c>
      <c r="EV84" s="106"/>
      <c r="EW84" s="106"/>
      <c r="EX84" s="106"/>
      <c r="EY84" s="106"/>
      <c r="EZ84" s="106"/>
      <c r="FA84" s="106"/>
      <c r="FB84" s="106"/>
      <c r="FC84" s="106"/>
      <c r="FD84" s="106"/>
      <c r="FE84" s="126"/>
      <c r="FF84" s="126"/>
      <c r="FG84" s="106"/>
      <c r="FH84" s="106"/>
      <c r="FI84" s="106"/>
      <c r="FJ84" s="106">
        <v>0.02</v>
      </c>
      <c r="FK84" s="17">
        <f t="shared" si="461"/>
        <v>1</v>
      </c>
      <c r="FL84" s="18"/>
      <c r="FM84" s="19">
        <f t="shared" si="298"/>
        <v>0.44999999999999996</v>
      </c>
      <c r="FN84" s="19">
        <f t="shared" si="299"/>
        <v>0</v>
      </c>
      <c r="FO84" s="19">
        <f t="shared" si="300"/>
        <v>0</v>
      </c>
      <c r="FP84" s="19">
        <f t="shared" si="301"/>
        <v>0</v>
      </c>
      <c r="FQ84" s="19">
        <f t="shared" si="302"/>
        <v>0</v>
      </c>
      <c r="FR84" s="19">
        <f t="shared" si="303"/>
        <v>0</v>
      </c>
      <c r="FS84" s="19">
        <f t="shared" si="304"/>
        <v>0</v>
      </c>
      <c r="FT84" s="19">
        <f t="shared" si="305"/>
        <v>0</v>
      </c>
      <c r="FU84" s="19">
        <f t="shared" si="306"/>
        <v>0.75</v>
      </c>
      <c r="FV84" s="19">
        <f t="shared" si="307"/>
        <v>0</v>
      </c>
      <c r="FW84" s="19">
        <f t="shared" si="308"/>
        <v>0</v>
      </c>
      <c r="FX84" s="19">
        <f t="shared" si="309"/>
        <v>0</v>
      </c>
      <c r="FY84" s="19">
        <f t="shared" si="310"/>
        <v>0</v>
      </c>
      <c r="FZ84" s="19">
        <f t="shared" si="311"/>
        <v>0</v>
      </c>
      <c r="GA84" s="19">
        <f t="shared" si="312"/>
        <v>0</v>
      </c>
      <c r="GB84" s="19">
        <f t="shared" si="313"/>
        <v>0</v>
      </c>
      <c r="GC84" s="19">
        <f t="shared" si="314"/>
        <v>0</v>
      </c>
      <c r="GD84" s="19">
        <f t="shared" si="315"/>
        <v>0</v>
      </c>
      <c r="GE84" s="19">
        <f t="shared" si="316"/>
        <v>0</v>
      </c>
      <c r="GF84" s="19">
        <f t="shared" si="317"/>
        <v>0</v>
      </c>
      <c r="GG84" s="19">
        <f t="shared" si="318"/>
        <v>0</v>
      </c>
      <c r="GH84" s="19">
        <f t="shared" si="319"/>
        <v>0</v>
      </c>
      <c r="GI84" s="19">
        <f t="shared" si="320"/>
        <v>0</v>
      </c>
      <c r="GJ84" s="19">
        <f t="shared" si="321"/>
        <v>0</v>
      </c>
      <c r="GK84" s="19">
        <f t="shared" si="322"/>
        <v>0</v>
      </c>
      <c r="GL84" s="19">
        <f t="shared" si="323"/>
        <v>0</v>
      </c>
      <c r="GM84" s="19">
        <f t="shared" si="324"/>
        <v>0</v>
      </c>
      <c r="GN84" s="19">
        <f t="shared" si="325"/>
        <v>0.60000000000000009</v>
      </c>
      <c r="GO84" s="19">
        <f t="shared" si="326"/>
        <v>0.8</v>
      </c>
      <c r="GP84" s="19">
        <f t="shared" si="327"/>
        <v>0</v>
      </c>
      <c r="GQ84" s="19">
        <f t="shared" si="328"/>
        <v>0</v>
      </c>
      <c r="GR84" s="19">
        <f t="shared" si="329"/>
        <v>0</v>
      </c>
      <c r="GS84" s="19">
        <f t="shared" si="330"/>
        <v>0</v>
      </c>
      <c r="GT84" s="19">
        <f t="shared" si="331"/>
        <v>0</v>
      </c>
      <c r="GU84" s="19">
        <f t="shared" si="332"/>
        <v>0</v>
      </c>
      <c r="GV84" s="19">
        <f t="shared" si="333"/>
        <v>0.17500000000000002</v>
      </c>
      <c r="GW84" s="19">
        <f t="shared" si="334"/>
        <v>0.27</v>
      </c>
      <c r="GX84" s="19">
        <f t="shared" si="335"/>
        <v>0</v>
      </c>
      <c r="GY84" s="19">
        <f t="shared" si="336"/>
        <v>0</v>
      </c>
      <c r="GZ84" s="19">
        <f t="shared" si="337"/>
        <v>0</v>
      </c>
      <c r="HA84" s="19">
        <f t="shared" si="338"/>
        <v>0</v>
      </c>
      <c r="HB84" s="19">
        <f t="shared" si="339"/>
        <v>0</v>
      </c>
      <c r="HC84" s="19">
        <f t="shared" si="340"/>
        <v>0</v>
      </c>
      <c r="HD84" s="19">
        <f t="shared" si="341"/>
        <v>0</v>
      </c>
      <c r="HE84" s="19">
        <f t="shared" si="342"/>
        <v>0</v>
      </c>
      <c r="HF84" s="19">
        <f t="shared" si="343"/>
        <v>0</v>
      </c>
      <c r="HG84" s="19">
        <f t="shared" si="344"/>
        <v>1.9250000000000003</v>
      </c>
      <c r="HH84" s="19">
        <f t="shared" si="345"/>
        <v>0</v>
      </c>
      <c r="HI84" s="19">
        <f t="shared" si="346"/>
        <v>0</v>
      </c>
      <c r="HJ84" s="19">
        <f t="shared" si="347"/>
        <v>0</v>
      </c>
      <c r="HK84" s="19">
        <f t="shared" si="348"/>
        <v>0</v>
      </c>
      <c r="HL84" s="19">
        <f t="shared" si="349"/>
        <v>0.03</v>
      </c>
      <c r="HM84" s="20">
        <f t="shared" si="350"/>
        <v>5.0000000000000009</v>
      </c>
      <c r="HN84" s="53">
        <v>1096</v>
      </c>
      <c r="HO84" s="21">
        <f t="shared" si="351"/>
        <v>98.639999999999972</v>
      </c>
      <c r="HP84" s="21">
        <f t="shared" si="352"/>
        <v>0</v>
      </c>
      <c r="HQ84" s="21">
        <f t="shared" si="353"/>
        <v>0</v>
      </c>
      <c r="HR84" s="21">
        <f t="shared" si="354"/>
        <v>0</v>
      </c>
      <c r="HS84" s="21">
        <f t="shared" si="355"/>
        <v>0</v>
      </c>
      <c r="HT84" s="69">
        <f t="shared" si="356"/>
        <v>0</v>
      </c>
      <c r="HU84" s="21">
        <f t="shared" si="357"/>
        <v>0</v>
      </c>
      <c r="HV84" s="21">
        <f t="shared" si="358"/>
        <v>0</v>
      </c>
      <c r="HW84" s="21">
        <f t="shared" si="359"/>
        <v>164.39999999999998</v>
      </c>
      <c r="HX84" s="21">
        <f t="shared" si="360"/>
        <v>0</v>
      </c>
      <c r="HY84" s="21">
        <f t="shared" si="361"/>
        <v>0</v>
      </c>
      <c r="HZ84" s="21">
        <f t="shared" si="362"/>
        <v>0</v>
      </c>
      <c r="IA84" s="21">
        <f t="shared" si="363"/>
        <v>0</v>
      </c>
      <c r="IB84" s="21">
        <f t="shared" si="364"/>
        <v>0</v>
      </c>
      <c r="IC84" s="21">
        <f t="shared" si="365"/>
        <v>0</v>
      </c>
      <c r="ID84" s="21">
        <f t="shared" si="366"/>
        <v>0</v>
      </c>
      <c r="IE84" s="21">
        <f t="shared" si="367"/>
        <v>0</v>
      </c>
      <c r="IF84" s="69">
        <f t="shared" si="368"/>
        <v>0</v>
      </c>
      <c r="IG84" s="69">
        <f t="shared" si="369"/>
        <v>0</v>
      </c>
      <c r="IH84" s="69">
        <f t="shared" si="370"/>
        <v>0</v>
      </c>
      <c r="II84" s="21">
        <f t="shared" si="371"/>
        <v>0</v>
      </c>
      <c r="IJ84" s="21">
        <f t="shared" si="372"/>
        <v>0</v>
      </c>
      <c r="IK84" s="21">
        <f t="shared" si="373"/>
        <v>0</v>
      </c>
      <c r="IL84" s="21">
        <f t="shared" si="374"/>
        <v>0</v>
      </c>
      <c r="IM84" s="21">
        <f t="shared" si="375"/>
        <v>0</v>
      </c>
      <c r="IN84" s="21">
        <f t="shared" si="376"/>
        <v>0</v>
      </c>
      <c r="IO84" s="21">
        <f t="shared" si="377"/>
        <v>0</v>
      </c>
      <c r="IP84" s="21">
        <f t="shared" si="378"/>
        <v>131.52000000000001</v>
      </c>
      <c r="IQ84" s="21">
        <f t="shared" si="379"/>
        <v>175.35999999999999</v>
      </c>
      <c r="IR84" s="21">
        <f t="shared" si="380"/>
        <v>0</v>
      </c>
      <c r="IS84" s="21">
        <f t="shared" si="381"/>
        <v>0</v>
      </c>
      <c r="IT84" s="21">
        <f t="shared" si="382"/>
        <v>0</v>
      </c>
      <c r="IU84" s="21">
        <f t="shared" si="383"/>
        <v>0</v>
      </c>
      <c r="IV84" s="21">
        <f t="shared" si="384"/>
        <v>0</v>
      </c>
      <c r="IW84" s="21">
        <f t="shared" si="385"/>
        <v>0</v>
      </c>
      <c r="IX84" s="21">
        <f t="shared" si="386"/>
        <v>38.359999999999992</v>
      </c>
      <c r="IY84" s="21">
        <f t="shared" si="387"/>
        <v>59.18399999999999</v>
      </c>
      <c r="IZ84" s="21">
        <f t="shared" si="388"/>
        <v>0</v>
      </c>
      <c r="JA84" s="21">
        <f t="shared" si="389"/>
        <v>0</v>
      </c>
      <c r="JB84" s="21">
        <f t="shared" si="390"/>
        <v>0</v>
      </c>
      <c r="JC84" s="21">
        <f t="shared" si="391"/>
        <v>0</v>
      </c>
      <c r="JD84" s="21">
        <f t="shared" si="392"/>
        <v>0</v>
      </c>
      <c r="JE84" s="21">
        <f t="shared" si="393"/>
        <v>0</v>
      </c>
      <c r="JF84" s="21">
        <f t="shared" si="394"/>
        <v>0</v>
      </c>
      <c r="JG84" s="21">
        <f t="shared" si="395"/>
        <v>0</v>
      </c>
      <c r="JH84" s="21">
        <f t="shared" si="396"/>
        <v>0</v>
      </c>
      <c r="JI84" s="21">
        <f t="shared" si="397"/>
        <v>421.96</v>
      </c>
      <c r="JJ84" s="21">
        <f t="shared" si="398"/>
        <v>0</v>
      </c>
      <c r="JK84" s="21">
        <f t="shared" si="399"/>
        <v>0</v>
      </c>
      <c r="JL84" s="21">
        <f t="shared" si="400"/>
        <v>0</v>
      </c>
      <c r="JM84" s="21">
        <f t="shared" si="401"/>
        <v>0</v>
      </c>
      <c r="JN84" s="21">
        <f t="shared" si="402"/>
        <v>6.5759999999999978</v>
      </c>
      <c r="JO84" s="35">
        <f t="shared" si="403"/>
        <v>1096</v>
      </c>
      <c r="JP84" s="38">
        <f t="shared" si="404"/>
        <v>0</v>
      </c>
      <c r="JQ84" s="43">
        <f t="shared" si="405"/>
        <v>398.7521999999999</v>
      </c>
      <c r="JR84" s="43">
        <f t="shared" si="406"/>
        <v>0</v>
      </c>
      <c r="JS84" s="43">
        <f t="shared" si="407"/>
        <v>0</v>
      </c>
      <c r="JT84" s="43">
        <f t="shared" si="408"/>
        <v>0</v>
      </c>
      <c r="JU84" s="43">
        <f t="shared" si="409"/>
        <v>0</v>
      </c>
      <c r="JV84" s="43">
        <f t="shared" si="410"/>
        <v>0</v>
      </c>
      <c r="JW84" s="43">
        <f t="shared" si="411"/>
        <v>0</v>
      </c>
      <c r="JX84" s="43">
        <f t="shared" si="412"/>
        <v>0</v>
      </c>
      <c r="JY84" s="43">
        <f t="shared" si="413"/>
        <v>761.46134399999983</v>
      </c>
      <c r="JZ84" s="43">
        <f t="shared" si="414"/>
        <v>0</v>
      </c>
      <c r="KA84" s="43">
        <f t="shared" si="415"/>
        <v>0</v>
      </c>
      <c r="KB84" s="43">
        <f t="shared" si="416"/>
        <v>0</v>
      </c>
      <c r="KC84" s="43">
        <f t="shared" si="417"/>
        <v>0</v>
      </c>
      <c r="KD84" s="43">
        <f t="shared" si="418"/>
        <v>0</v>
      </c>
      <c r="KE84" s="43">
        <f t="shared" si="419"/>
        <v>0</v>
      </c>
      <c r="KF84" s="43">
        <f t="shared" si="420"/>
        <v>0</v>
      </c>
      <c r="KG84" s="43">
        <f t="shared" si="421"/>
        <v>0</v>
      </c>
      <c r="KH84" s="43">
        <f t="shared" si="422"/>
        <v>0</v>
      </c>
      <c r="KI84" s="43">
        <f t="shared" si="423"/>
        <v>0</v>
      </c>
      <c r="KJ84" s="43">
        <f t="shared" si="424"/>
        <v>0</v>
      </c>
      <c r="KK84" s="43">
        <f t="shared" si="425"/>
        <v>0</v>
      </c>
      <c r="KL84" s="43">
        <f t="shared" si="426"/>
        <v>0</v>
      </c>
      <c r="KM84" s="43">
        <f t="shared" si="427"/>
        <v>0</v>
      </c>
      <c r="KN84" s="43">
        <f t="shared" si="428"/>
        <v>0</v>
      </c>
      <c r="KO84" s="43">
        <f t="shared" si="429"/>
        <v>0</v>
      </c>
      <c r="KP84" s="43">
        <f t="shared" si="430"/>
        <v>0</v>
      </c>
      <c r="KQ84" s="43">
        <f t="shared" si="431"/>
        <v>0</v>
      </c>
      <c r="KR84" s="43">
        <f t="shared" si="432"/>
        <v>507.66720000000004</v>
      </c>
      <c r="KS84" s="43">
        <f t="shared" si="433"/>
        <v>599.61388238868676</v>
      </c>
      <c r="KT84" s="43">
        <f t="shared" si="434"/>
        <v>0</v>
      </c>
      <c r="KU84" s="43">
        <f t="shared" si="435"/>
        <v>0</v>
      </c>
      <c r="KV84" s="43">
        <f t="shared" si="436"/>
        <v>0</v>
      </c>
      <c r="KW84" s="43">
        <f t="shared" si="437"/>
        <v>0</v>
      </c>
      <c r="KX84" s="43">
        <f t="shared" si="438"/>
        <v>0</v>
      </c>
      <c r="KY84" s="43">
        <f t="shared" si="439"/>
        <v>0</v>
      </c>
      <c r="KZ84" s="43">
        <f t="shared" si="440"/>
        <v>331.81399999999996</v>
      </c>
      <c r="LA84" s="43">
        <f t="shared" si="441"/>
        <v>237.14081855999993</v>
      </c>
      <c r="LB84" s="43">
        <f t="shared" si="442"/>
        <v>0</v>
      </c>
      <c r="LC84" s="43">
        <f t="shared" si="443"/>
        <v>0</v>
      </c>
      <c r="LD84" s="43">
        <f t="shared" si="444"/>
        <v>0</v>
      </c>
      <c r="LE84" s="43">
        <f t="shared" si="445"/>
        <v>0</v>
      </c>
      <c r="LF84" s="43">
        <f t="shared" si="446"/>
        <v>0</v>
      </c>
      <c r="LG84" s="43">
        <f t="shared" si="447"/>
        <v>0</v>
      </c>
      <c r="LH84" s="43">
        <f t="shared" si="448"/>
        <v>0</v>
      </c>
      <c r="LI84" s="43">
        <f t="shared" si="449"/>
        <v>0</v>
      </c>
      <c r="LJ84" s="43">
        <f t="shared" si="450"/>
        <v>0</v>
      </c>
      <c r="LK84" s="43">
        <f t="shared" si="451"/>
        <v>1690.2662699999998</v>
      </c>
      <c r="LL84" s="43">
        <f t="shared" si="452"/>
        <v>0</v>
      </c>
      <c r="LM84" s="43">
        <f t="shared" si="453"/>
        <v>0</v>
      </c>
      <c r="LN84" s="43">
        <f t="shared" si="454"/>
        <v>0</v>
      </c>
      <c r="LO84" s="43">
        <f t="shared" si="455"/>
        <v>0</v>
      </c>
      <c r="LP84" s="43">
        <f t="shared" si="456"/>
        <v>55.567199999999978</v>
      </c>
      <c r="LQ84" s="28">
        <f t="shared" si="457"/>
        <v>4582.282914948687</v>
      </c>
      <c r="LR84" s="65">
        <v>1076</v>
      </c>
      <c r="LS84" s="32">
        <f t="shared" si="462"/>
        <v>4.2586272443761031</v>
      </c>
      <c r="LT84" s="26">
        <f t="shared" si="463"/>
        <v>1.1635593563869133</v>
      </c>
      <c r="LU84" s="31">
        <f t="shared" si="458"/>
        <v>20</v>
      </c>
      <c r="LW84" s="42"/>
      <c r="MA84" s="32">
        <f t="shared" si="459"/>
        <v>4.1809150683838388</v>
      </c>
      <c r="MB84" s="26">
        <f t="shared" si="464"/>
        <v>1.1423265214163494</v>
      </c>
    </row>
    <row r="85" spans="1:340" ht="15.75" thickBot="1">
      <c r="A85" t="b">
        <f t="shared" si="297"/>
        <v>1</v>
      </c>
      <c r="B85" s="123" t="s">
        <v>245</v>
      </c>
      <c r="C85" s="39" t="s">
        <v>246</v>
      </c>
      <c r="D85"/>
      <c r="E85" s="97">
        <v>46039</v>
      </c>
      <c r="F85" t="s">
        <v>43</v>
      </c>
      <c r="G85" t="s">
        <v>20</v>
      </c>
      <c r="H85" t="s">
        <v>26</v>
      </c>
      <c r="I85" s="77"/>
      <c r="J85" s="77"/>
      <c r="K85" s="77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24"/>
      <c r="AG85" s="124"/>
      <c r="AH85" s="104"/>
      <c r="AI85" s="104"/>
      <c r="AJ85" s="104">
        <v>0.4</v>
      </c>
      <c r="AK85" s="22"/>
      <c r="AL85" s="22"/>
      <c r="AM85" s="22"/>
      <c r="AN85" s="22"/>
      <c r="AO85" s="104"/>
      <c r="AP85" s="22"/>
      <c r="AQ85" s="22"/>
      <c r="AR85" s="104">
        <v>0.05</v>
      </c>
      <c r="AS85" s="22"/>
      <c r="AT85" s="22"/>
      <c r="AU85" s="22"/>
      <c r="AV85" s="22"/>
      <c r="AW85" s="22"/>
      <c r="AX85" s="22"/>
      <c r="AY85" s="22"/>
      <c r="AZ85" s="104"/>
      <c r="BA85" s="104"/>
      <c r="BB85" s="104"/>
      <c r="BC85" s="124">
        <v>0.55000000000000004</v>
      </c>
      <c r="BD85" s="124"/>
      <c r="BE85" s="104"/>
      <c r="BF85" s="104"/>
      <c r="BG85" s="104"/>
      <c r="BH85" s="104"/>
      <c r="BI85" s="78">
        <f t="shared" si="296"/>
        <v>1</v>
      </c>
      <c r="BJ85" s="105"/>
      <c r="BK85" s="105"/>
      <c r="BL85" s="105"/>
      <c r="BM85" s="105"/>
      <c r="BN85" s="105"/>
      <c r="BO85" s="105"/>
      <c r="BP85" s="105"/>
      <c r="BQ85" s="105"/>
      <c r="BR85" s="105"/>
      <c r="BS85" s="105"/>
      <c r="BT85" s="105"/>
      <c r="BU85" s="105"/>
      <c r="BV85" s="105"/>
      <c r="BW85" s="105"/>
      <c r="BX85" s="105"/>
      <c r="BY85" s="105"/>
      <c r="BZ85" s="105"/>
      <c r="CA85" s="105"/>
      <c r="CB85" s="105"/>
      <c r="CC85" s="105"/>
      <c r="CD85" s="105"/>
      <c r="CE85" s="105"/>
      <c r="CF85" s="120"/>
      <c r="CG85" s="128"/>
      <c r="CH85" s="128"/>
      <c r="CI85" s="105"/>
      <c r="CJ85" s="105"/>
      <c r="CK85" s="105"/>
      <c r="CL85" s="105">
        <v>0.4</v>
      </c>
      <c r="CM85" s="105"/>
      <c r="CN85" s="105"/>
      <c r="CO85" s="105"/>
      <c r="CP85" s="105"/>
      <c r="CQ85" s="105"/>
      <c r="CR85" s="105"/>
      <c r="CS85" s="105">
        <v>0.05</v>
      </c>
      <c r="CT85" s="105"/>
      <c r="CU85" s="105"/>
      <c r="CV85" s="105"/>
      <c r="CW85" s="105"/>
      <c r="CX85" s="105"/>
      <c r="CY85" s="105"/>
      <c r="CZ85" s="105"/>
      <c r="DA85" s="105"/>
      <c r="DB85" s="105"/>
      <c r="DC85" s="105"/>
      <c r="DD85" s="125">
        <v>0.55000000000000004</v>
      </c>
      <c r="DE85" s="125"/>
      <c r="DF85" s="105"/>
      <c r="DG85" s="105"/>
      <c r="DH85" s="105"/>
      <c r="DI85" s="105"/>
      <c r="DJ85" s="79">
        <f t="shared" si="460"/>
        <v>1</v>
      </c>
      <c r="DK85" s="108">
        <v>0.3</v>
      </c>
      <c r="DL85" s="108"/>
      <c r="DM85" s="108"/>
      <c r="DN85" s="108"/>
      <c r="DO85" s="108"/>
      <c r="DP85" s="108"/>
      <c r="DQ85" s="108"/>
      <c r="DR85" s="108"/>
      <c r="DS85" s="108">
        <v>0.5</v>
      </c>
      <c r="DT85" s="108"/>
      <c r="DU85" s="108"/>
      <c r="DV85" s="108"/>
      <c r="DW85" s="108"/>
      <c r="DX85" s="108"/>
      <c r="DY85" s="108"/>
      <c r="DZ85" s="108"/>
      <c r="EA85" s="108"/>
      <c r="EB85" s="108"/>
      <c r="EC85" s="108"/>
      <c r="ED85" s="108"/>
      <c r="EE85" s="108"/>
      <c r="EF85" s="108"/>
      <c r="EG85" s="108"/>
      <c r="EH85" s="129"/>
      <c r="EI85" s="129"/>
      <c r="EJ85" s="108"/>
      <c r="EK85" s="108"/>
      <c r="EL85" s="108"/>
      <c r="EM85" s="108"/>
      <c r="EN85" s="108"/>
      <c r="EO85" s="108"/>
      <c r="EP85" s="108"/>
      <c r="EQ85" s="108"/>
      <c r="ER85" s="108"/>
      <c r="ES85" s="106"/>
      <c r="ET85" s="106"/>
      <c r="EU85" s="106">
        <v>0.18</v>
      </c>
      <c r="EV85" s="106"/>
      <c r="EW85" s="106"/>
      <c r="EX85" s="106"/>
      <c r="EY85" s="106"/>
      <c r="EZ85" s="106"/>
      <c r="FA85" s="106"/>
      <c r="FB85" s="106"/>
      <c r="FC85" s="106"/>
      <c r="FD85" s="106"/>
      <c r="FE85" s="126"/>
      <c r="FF85" s="126"/>
      <c r="FG85" s="106"/>
      <c r="FH85" s="106"/>
      <c r="FI85" s="106"/>
      <c r="FJ85" s="106">
        <v>0.02</v>
      </c>
      <c r="FK85" s="17">
        <f t="shared" si="461"/>
        <v>1</v>
      </c>
      <c r="FL85" s="18"/>
      <c r="FM85" s="19">
        <f t="shared" si="298"/>
        <v>0.44999999999999996</v>
      </c>
      <c r="FN85" s="19">
        <f t="shared" si="299"/>
        <v>0</v>
      </c>
      <c r="FO85" s="19">
        <f t="shared" si="300"/>
        <v>0</v>
      </c>
      <c r="FP85" s="19">
        <f t="shared" si="301"/>
        <v>0</v>
      </c>
      <c r="FQ85" s="19">
        <f t="shared" si="302"/>
        <v>0</v>
      </c>
      <c r="FR85" s="19">
        <f t="shared" si="303"/>
        <v>0</v>
      </c>
      <c r="FS85" s="19">
        <f t="shared" si="304"/>
        <v>0</v>
      </c>
      <c r="FT85" s="19">
        <f t="shared" si="305"/>
        <v>0</v>
      </c>
      <c r="FU85" s="19">
        <f t="shared" si="306"/>
        <v>0.75</v>
      </c>
      <c r="FV85" s="19">
        <f t="shared" si="307"/>
        <v>0</v>
      </c>
      <c r="FW85" s="19">
        <f t="shared" si="308"/>
        <v>0</v>
      </c>
      <c r="FX85" s="19">
        <f t="shared" si="309"/>
        <v>0</v>
      </c>
      <c r="FY85" s="19">
        <f t="shared" si="310"/>
        <v>0</v>
      </c>
      <c r="FZ85" s="19">
        <f t="shared" si="311"/>
        <v>0</v>
      </c>
      <c r="GA85" s="19">
        <f t="shared" si="312"/>
        <v>0</v>
      </c>
      <c r="GB85" s="19">
        <f t="shared" si="313"/>
        <v>0</v>
      </c>
      <c r="GC85" s="19">
        <f t="shared" si="314"/>
        <v>0</v>
      </c>
      <c r="GD85" s="19">
        <f t="shared" si="315"/>
        <v>0</v>
      </c>
      <c r="GE85" s="19">
        <f t="shared" si="316"/>
        <v>0</v>
      </c>
      <c r="GF85" s="19">
        <f t="shared" si="317"/>
        <v>0</v>
      </c>
      <c r="GG85" s="19">
        <f t="shared" si="318"/>
        <v>0</v>
      </c>
      <c r="GH85" s="19">
        <f t="shared" si="319"/>
        <v>0</v>
      </c>
      <c r="GI85" s="19">
        <f t="shared" si="320"/>
        <v>0</v>
      </c>
      <c r="GJ85" s="19">
        <f t="shared" si="321"/>
        <v>0</v>
      </c>
      <c r="GK85" s="19">
        <f t="shared" si="322"/>
        <v>0</v>
      </c>
      <c r="GL85" s="19">
        <f t="shared" si="323"/>
        <v>0</v>
      </c>
      <c r="GM85" s="19">
        <f t="shared" si="324"/>
        <v>0</v>
      </c>
      <c r="GN85" s="19">
        <f t="shared" si="325"/>
        <v>0.60000000000000009</v>
      </c>
      <c r="GO85" s="19">
        <f t="shared" si="326"/>
        <v>0.8</v>
      </c>
      <c r="GP85" s="19">
        <f t="shared" si="327"/>
        <v>0</v>
      </c>
      <c r="GQ85" s="19">
        <f t="shared" si="328"/>
        <v>0</v>
      </c>
      <c r="GR85" s="19">
        <f t="shared" si="329"/>
        <v>0</v>
      </c>
      <c r="GS85" s="19">
        <f t="shared" si="330"/>
        <v>0</v>
      </c>
      <c r="GT85" s="19">
        <f t="shared" si="331"/>
        <v>0</v>
      </c>
      <c r="GU85" s="19">
        <f t="shared" si="332"/>
        <v>0</v>
      </c>
      <c r="GV85" s="19">
        <f t="shared" si="333"/>
        <v>0.17500000000000002</v>
      </c>
      <c r="GW85" s="19">
        <f t="shared" si="334"/>
        <v>0.27</v>
      </c>
      <c r="GX85" s="19">
        <f t="shared" si="335"/>
        <v>0</v>
      </c>
      <c r="GY85" s="19">
        <f t="shared" si="336"/>
        <v>0</v>
      </c>
      <c r="GZ85" s="19">
        <f t="shared" si="337"/>
        <v>0</v>
      </c>
      <c r="HA85" s="19">
        <f t="shared" si="338"/>
        <v>0</v>
      </c>
      <c r="HB85" s="19">
        <f t="shared" si="339"/>
        <v>0</v>
      </c>
      <c r="HC85" s="19">
        <f t="shared" si="340"/>
        <v>0</v>
      </c>
      <c r="HD85" s="19">
        <f t="shared" si="341"/>
        <v>0</v>
      </c>
      <c r="HE85" s="19">
        <f t="shared" si="342"/>
        <v>0</v>
      </c>
      <c r="HF85" s="19">
        <f t="shared" si="343"/>
        <v>0</v>
      </c>
      <c r="HG85" s="19">
        <f t="shared" si="344"/>
        <v>1.9250000000000003</v>
      </c>
      <c r="HH85" s="19">
        <f t="shared" si="345"/>
        <v>0</v>
      </c>
      <c r="HI85" s="19">
        <f t="shared" si="346"/>
        <v>0</v>
      </c>
      <c r="HJ85" s="19">
        <f t="shared" si="347"/>
        <v>0</v>
      </c>
      <c r="HK85" s="19">
        <f t="shared" si="348"/>
        <v>0</v>
      </c>
      <c r="HL85" s="19">
        <f t="shared" si="349"/>
        <v>0.03</v>
      </c>
      <c r="HM85" s="20">
        <f t="shared" si="350"/>
        <v>5.0000000000000009</v>
      </c>
      <c r="HN85" s="53">
        <v>1447</v>
      </c>
      <c r="HO85" s="21">
        <f t="shared" si="351"/>
        <v>130.22999999999996</v>
      </c>
      <c r="HP85" s="21">
        <f t="shared" si="352"/>
        <v>0</v>
      </c>
      <c r="HQ85" s="21">
        <f t="shared" si="353"/>
        <v>0</v>
      </c>
      <c r="HR85" s="21">
        <f t="shared" si="354"/>
        <v>0</v>
      </c>
      <c r="HS85" s="21">
        <f t="shared" si="355"/>
        <v>0</v>
      </c>
      <c r="HT85" s="69">
        <f t="shared" si="356"/>
        <v>0</v>
      </c>
      <c r="HU85" s="21">
        <f t="shared" si="357"/>
        <v>0</v>
      </c>
      <c r="HV85" s="21">
        <f t="shared" si="358"/>
        <v>0</v>
      </c>
      <c r="HW85" s="21">
        <f t="shared" si="359"/>
        <v>217.04999999999995</v>
      </c>
      <c r="HX85" s="21">
        <f t="shared" si="360"/>
        <v>0</v>
      </c>
      <c r="HY85" s="21">
        <f t="shared" si="361"/>
        <v>0</v>
      </c>
      <c r="HZ85" s="21">
        <f t="shared" si="362"/>
        <v>0</v>
      </c>
      <c r="IA85" s="21">
        <f t="shared" si="363"/>
        <v>0</v>
      </c>
      <c r="IB85" s="21">
        <f t="shared" si="364"/>
        <v>0</v>
      </c>
      <c r="IC85" s="21">
        <f t="shared" si="365"/>
        <v>0</v>
      </c>
      <c r="ID85" s="21">
        <f t="shared" si="366"/>
        <v>0</v>
      </c>
      <c r="IE85" s="21">
        <f t="shared" si="367"/>
        <v>0</v>
      </c>
      <c r="IF85" s="69">
        <f t="shared" si="368"/>
        <v>0</v>
      </c>
      <c r="IG85" s="69">
        <f t="shared" si="369"/>
        <v>0</v>
      </c>
      <c r="IH85" s="69">
        <f t="shared" si="370"/>
        <v>0</v>
      </c>
      <c r="II85" s="21">
        <f t="shared" si="371"/>
        <v>0</v>
      </c>
      <c r="IJ85" s="21">
        <f t="shared" si="372"/>
        <v>0</v>
      </c>
      <c r="IK85" s="21">
        <f t="shared" si="373"/>
        <v>0</v>
      </c>
      <c r="IL85" s="21">
        <f t="shared" si="374"/>
        <v>0</v>
      </c>
      <c r="IM85" s="21">
        <f t="shared" si="375"/>
        <v>0</v>
      </c>
      <c r="IN85" s="21">
        <f t="shared" si="376"/>
        <v>0</v>
      </c>
      <c r="IO85" s="21">
        <f t="shared" si="377"/>
        <v>0</v>
      </c>
      <c r="IP85" s="21">
        <f t="shared" si="378"/>
        <v>173.64000000000001</v>
      </c>
      <c r="IQ85" s="21">
        <f t="shared" si="379"/>
        <v>231.51999999999998</v>
      </c>
      <c r="IR85" s="21">
        <f t="shared" si="380"/>
        <v>0</v>
      </c>
      <c r="IS85" s="21">
        <f t="shared" si="381"/>
        <v>0</v>
      </c>
      <c r="IT85" s="21">
        <f t="shared" si="382"/>
        <v>0</v>
      </c>
      <c r="IU85" s="21">
        <f t="shared" si="383"/>
        <v>0</v>
      </c>
      <c r="IV85" s="21">
        <f t="shared" si="384"/>
        <v>0</v>
      </c>
      <c r="IW85" s="21">
        <f t="shared" si="385"/>
        <v>0</v>
      </c>
      <c r="IX85" s="21">
        <f t="shared" si="386"/>
        <v>50.644999999999996</v>
      </c>
      <c r="IY85" s="21">
        <f t="shared" si="387"/>
        <v>78.137999999999991</v>
      </c>
      <c r="IZ85" s="21">
        <f t="shared" si="388"/>
        <v>0</v>
      </c>
      <c r="JA85" s="21">
        <f t="shared" si="389"/>
        <v>0</v>
      </c>
      <c r="JB85" s="21">
        <f t="shared" si="390"/>
        <v>0</v>
      </c>
      <c r="JC85" s="21">
        <f t="shared" si="391"/>
        <v>0</v>
      </c>
      <c r="JD85" s="21">
        <f t="shared" si="392"/>
        <v>0</v>
      </c>
      <c r="JE85" s="21">
        <f t="shared" si="393"/>
        <v>0</v>
      </c>
      <c r="JF85" s="21">
        <f t="shared" si="394"/>
        <v>0</v>
      </c>
      <c r="JG85" s="21">
        <f t="shared" si="395"/>
        <v>0</v>
      </c>
      <c r="JH85" s="21">
        <f t="shared" si="396"/>
        <v>0</v>
      </c>
      <c r="JI85" s="21">
        <f t="shared" si="397"/>
        <v>557.09500000000003</v>
      </c>
      <c r="JJ85" s="21">
        <f t="shared" si="398"/>
        <v>0</v>
      </c>
      <c r="JK85" s="21">
        <f t="shared" si="399"/>
        <v>0</v>
      </c>
      <c r="JL85" s="21">
        <f t="shared" si="400"/>
        <v>0</v>
      </c>
      <c r="JM85" s="21">
        <f t="shared" si="401"/>
        <v>0</v>
      </c>
      <c r="JN85" s="21">
        <f t="shared" si="402"/>
        <v>8.6819999999999986</v>
      </c>
      <c r="JO85" s="35">
        <f t="shared" si="403"/>
        <v>1447</v>
      </c>
      <c r="JP85" s="38">
        <f t="shared" si="404"/>
        <v>0</v>
      </c>
      <c r="JQ85" s="43">
        <f t="shared" si="405"/>
        <v>526.45477499999993</v>
      </c>
      <c r="JR85" s="43">
        <f t="shared" si="406"/>
        <v>0</v>
      </c>
      <c r="JS85" s="43">
        <f t="shared" si="407"/>
        <v>0</v>
      </c>
      <c r="JT85" s="43">
        <f t="shared" si="408"/>
        <v>0</v>
      </c>
      <c r="JU85" s="43">
        <f t="shared" si="409"/>
        <v>0</v>
      </c>
      <c r="JV85" s="43">
        <f t="shared" si="410"/>
        <v>0</v>
      </c>
      <c r="JW85" s="43">
        <f t="shared" si="411"/>
        <v>0</v>
      </c>
      <c r="JX85" s="43">
        <f t="shared" si="412"/>
        <v>0</v>
      </c>
      <c r="JY85" s="43">
        <f t="shared" si="413"/>
        <v>1005.3235079999997</v>
      </c>
      <c r="JZ85" s="43">
        <f t="shared" si="414"/>
        <v>0</v>
      </c>
      <c r="KA85" s="43">
        <f t="shared" si="415"/>
        <v>0</v>
      </c>
      <c r="KB85" s="43">
        <f t="shared" si="416"/>
        <v>0</v>
      </c>
      <c r="KC85" s="43">
        <f t="shared" si="417"/>
        <v>0</v>
      </c>
      <c r="KD85" s="43">
        <f t="shared" si="418"/>
        <v>0</v>
      </c>
      <c r="KE85" s="43">
        <f t="shared" si="419"/>
        <v>0</v>
      </c>
      <c r="KF85" s="43">
        <f t="shared" si="420"/>
        <v>0</v>
      </c>
      <c r="KG85" s="43">
        <f t="shared" si="421"/>
        <v>0</v>
      </c>
      <c r="KH85" s="43">
        <f t="shared" si="422"/>
        <v>0</v>
      </c>
      <c r="KI85" s="43">
        <f t="shared" si="423"/>
        <v>0</v>
      </c>
      <c r="KJ85" s="43">
        <f t="shared" si="424"/>
        <v>0</v>
      </c>
      <c r="KK85" s="43">
        <f t="shared" si="425"/>
        <v>0</v>
      </c>
      <c r="KL85" s="43">
        <f t="shared" si="426"/>
        <v>0</v>
      </c>
      <c r="KM85" s="43">
        <f t="shared" si="427"/>
        <v>0</v>
      </c>
      <c r="KN85" s="43">
        <f t="shared" si="428"/>
        <v>0</v>
      </c>
      <c r="KO85" s="43">
        <f t="shared" si="429"/>
        <v>0</v>
      </c>
      <c r="KP85" s="43">
        <f t="shared" si="430"/>
        <v>0</v>
      </c>
      <c r="KQ85" s="43">
        <f t="shared" si="431"/>
        <v>0</v>
      </c>
      <c r="KR85" s="43">
        <f t="shared" si="432"/>
        <v>670.25040000000001</v>
      </c>
      <c r="KS85" s="43">
        <f t="shared" si="433"/>
        <v>791.64351078141408</v>
      </c>
      <c r="KT85" s="43">
        <f t="shared" si="434"/>
        <v>0</v>
      </c>
      <c r="KU85" s="43">
        <f t="shared" si="435"/>
        <v>0</v>
      </c>
      <c r="KV85" s="43">
        <f t="shared" si="436"/>
        <v>0</v>
      </c>
      <c r="KW85" s="43">
        <f t="shared" si="437"/>
        <v>0</v>
      </c>
      <c r="KX85" s="43">
        <f t="shared" si="438"/>
        <v>0</v>
      </c>
      <c r="KY85" s="43">
        <f t="shared" si="439"/>
        <v>0</v>
      </c>
      <c r="KZ85" s="43">
        <f t="shared" si="440"/>
        <v>438.07925</v>
      </c>
      <c r="LA85" s="43">
        <f t="shared" si="441"/>
        <v>313.08646391999991</v>
      </c>
      <c r="LB85" s="43">
        <f t="shared" si="442"/>
        <v>0</v>
      </c>
      <c r="LC85" s="43">
        <f t="shared" si="443"/>
        <v>0</v>
      </c>
      <c r="LD85" s="43">
        <f t="shared" si="444"/>
        <v>0</v>
      </c>
      <c r="LE85" s="43">
        <f t="shared" si="445"/>
        <v>0</v>
      </c>
      <c r="LF85" s="43">
        <f t="shared" si="446"/>
        <v>0</v>
      </c>
      <c r="LG85" s="43">
        <f t="shared" si="447"/>
        <v>0</v>
      </c>
      <c r="LH85" s="43">
        <f t="shared" si="448"/>
        <v>0</v>
      </c>
      <c r="LI85" s="43">
        <f t="shared" si="449"/>
        <v>0</v>
      </c>
      <c r="LJ85" s="43">
        <f t="shared" si="450"/>
        <v>0</v>
      </c>
      <c r="LK85" s="43">
        <f t="shared" si="451"/>
        <v>2231.5832962499999</v>
      </c>
      <c r="LL85" s="43">
        <f t="shared" si="452"/>
        <v>0</v>
      </c>
      <c r="LM85" s="43">
        <f t="shared" si="453"/>
        <v>0</v>
      </c>
      <c r="LN85" s="43">
        <f t="shared" si="454"/>
        <v>0</v>
      </c>
      <c r="LO85" s="43">
        <f t="shared" si="455"/>
        <v>0</v>
      </c>
      <c r="LP85" s="43">
        <f t="shared" si="456"/>
        <v>73.362899999999982</v>
      </c>
      <c r="LQ85" s="28">
        <f t="shared" si="457"/>
        <v>6049.7841039514133</v>
      </c>
      <c r="LR85" s="65">
        <v>1416</v>
      </c>
      <c r="LS85" s="32">
        <f t="shared" si="462"/>
        <v>4.2724464010956309</v>
      </c>
      <c r="LT85" s="26">
        <f t="shared" si="463"/>
        <v>1.1673350822665658</v>
      </c>
      <c r="LU85" s="31">
        <f t="shared" si="458"/>
        <v>31</v>
      </c>
      <c r="LW85" s="42"/>
      <c r="MA85" s="32">
        <f t="shared" si="459"/>
        <v>4.1809150683838379</v>
      </c>
      <c r="MB85" s="26">
        <f t="shared" si="464"/>
        <v>1.1423265214163492</v>
      </c>
    </row>
    <row r="86" spans="1:340" ht="15.75" thickBot="1">
      <c r="A86" t="b">
        <f t="shared" si="297"/>
        <v>1</v>
      </c>
      <c r="B86" s="123" t="s">
        <v>247</v>
      </c>
      <c r="C86" s="39" t="s">
        <v>248</v>
      </c>
      <c r="D86"/>
      <c r="E86" s="97">
        <v>46037</v>
      </c>
      <c r="F86" t="s">
        <v>43</v>
      </c>
      <c r="G86" t="s">
        <v>20</v>
      </c>
      <c r="H86" t="s">
        <v>27</v>
      </c>
      <c r="I86" s="77"/>
      <c r="J86" s="77"/>
      <c r="K86" s="77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24"/>
      <c r="AG86" s="124"/>
      <c r="AH86" s="104"/>
      <c r="AI86" s="104"/>
      <c r="AJ86" s="104">
        <v>0.3</v>
      </c>
      <c r="AK86" s="104"/>
      <c r="AL86" s="104"/>
      <c r="AM86" s="104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22"/>
      <c r="AZ86" s="104"/>
      <c r="BA86" s="104"/>
      <c r="BB86" s="104"/>
      <c r="BC86" s="124">
        <v>0.7</v>
      </c>
      <c r="BD86" s="124"/>
      <c r="BE86" s="104"/>
      <c r="BF86" s="104"/>
      <c r="BG86" s="104"/>
      <c r="BH86" s="104"/>
      <c r="BI86" s="78">
        <f t="shared" si="296"/>
        <v>1</v>
      </c>
      <c r="BJ86" s="105"/>
      <c r="BK86" s="105"/>
      <c r="BL86" s="105"/>
      <c r="BM86" s="105"/>
      <c r="BN86" s="105"/>
      <c r="BO86" s="105"/>
      <c r="BP86" s="105"/>
      <c r="BQ86" s="105"/>
      <c r="BR86" s="105"/>
      <c r="BS86" s="105"/>
      <c r="BT86" s="105"/>
      <c r="BU86" s="105"/>
      <c r="BV86" s="105"/>
      <c r="BW86" s="105"/>
      <c r="BX86" s="105"/>
      <c r="BY86" s="105"/>
      <c r="BZ86" s="105"/>
      <c r="CA86" s="105"/>
      <c r="CB86" s="105"/>
      <c r="CC86" s="105"/>
      <c r="CD86" s="105"/>
      <c r="CE86" s="105"/>
      <c r="CF86" s="120"/>
      <c r="CG86" s="128"/>
      <c r="CH86" s="128"/>
      <c r="CI86" s="105"/>
      <c r="CJ86" s="105"/>
      <c r="CK86" s="105"/>
      <c r="CL86" s="105">
        <v>0.3</v>
      </c>
      <c r="CM86" s="105"/>
      <c r="CN86" s="105"/>
      <c r="CO86" s="105"/>
      <c r="CP86" s="105"/>
      <c r="CQ86" s="105"/>
      <c r="CR86" s="105"/>
      <c r="CS86" s="105"/>
      <c r="CT86" s="105"/>
      <c r="CU86" s="105"/>
      <c r="CV86" s="105"/>
      <c r="CW86" s="105"/>
      <c r="CX86" s="105"/>
      <c r="CY86" s="105"/>
      <c r="CZ86" s="105"/>
      <c r="DA86" s="105"/>
      <c r="DB86" s="105"/>
      <c r="DC86" s="105"/>
      <c r="DD86" s="125">
        <v>0.7</v>
      </c>
      <c r="DE86" s="125"/>
      <c r="DF86" s="105"/>
      <c r="DG86" s="105"/>
      <c r="DH86" s="105"/>
      <c r="DI86" s="105"/>
      <c r="DJ86" s="79">
        <f t="shared" si="460"/>
        <v>1</v>
      </c>
      <c r="DK86" s="108"/>
      <c r="DL86" s="108"/>
      <c r="DM86" s="108"/>
      <c r="DN86" s="108">
        <v>0.92</v>
      </c>
      <c r="DO86" s="108"/>
      <c r="DP86" s="108"/>
      <c r="DQ86" s="108"/>
      <c r="DR86" s="108"/>
      <c r="DS86" s="108"/>
      <c r="DT86" s="108"/>
      <c r="DU86" s="108"/>
      <c r="DV86" s="108"/>
      <c r="DW86" s="108"/>
      <c r="DX86" s="108"/>
      <c r="DY86" s="108"/>
      <c r="DZ86" s="108"/>
      <c r="EA86" s="108"/>
      <c r="EB86" s="108"/>
      <c r="EC86" s="108"/>
      <c r="ED86" s="108"/>
      <c r="EE86" s="108"/>
      <c r="EF86" s="108"/>
      <c r="EG86" s="108"/>
      <c r="EH86" s="129"/>
      <c r="EI86" s="129"/>
      <c r="EJ86" s="108"/>
      <c r="EK86" s="108"/>
      <c r="EL86" s="108"/>
      <c r="EM86" s="108"/>
      <c r="EN86" s="108"/>
      <c r="EO86" s="108"/>
      <c r="EP86" s="108"/>
      <c r="EQ86" s="108"/>
      <c r="ER86" s="108"/>
      <c r="ES86" s="106"/>
      <c r="ET86" s="106"/>
      <c r="EU86" s="106">
        <v>0.06</v>
      </c>
      <c r="EV86" s="106"/>
      <c r="EW86" s="106"/>
      <c r="EX86" s="106"/>
      <c r="EY86" s="106"/>
      <c r="EZ86" s="106"/>
      <c r="FA86" s="106"/>
      <c r="FB86" s="106"/>
      <c r="FC86" s="106"/>
      <c r="FD86" s="106"/>
      <c r="FE86" s="126"/>
      <c r="FF86" s="126"/>
      <c r="FG86" s="106"/>
      <c r="FH86" s="106"/>
      <c r="FI86" s="106"/>
      <c r="FJ86" s="106">
        <v>0.02</v>
      </c>
      <c r="FK86" s="17">
        <f t="shared" si="461"/>
        <v>1</v>
      </c>
      <c r="FL86" s="18"/>
      <c r="FM86" s="19">
        <f t="shared" si="298"/>
        <v>0</v>
      </c>
      <c r="FN86" s="19">
        <f t="shared" si="299"/>
        <v>0</v>
      </c>
      <c r="FO86" s="19">
        <f t="shared" si="300"/>
        <v>0</v>
      </c>
      <c r="FP86" s="19">
        <f t="shared" si="301"/>
        <v>1.3800000000000001</v>
      </c>
      <c r="FQ86" s="19">
        <f t="shared" si="302"/>
        <v>0</v>
      </c>
      <c r="FR86" s="19">
        <f t="shared" si="303"/>
        <v>0</v>
      </c>
      <c r="FS86" s="19">
        <f t="shared" si="304"/>
        <v>0</v>
      </c>
      <c r="FT86" s="19">
        <f t="shared" si="305"/>
        <v>0</v>
      </c>
      <c r="FU86" s="19">
        <f t="shared" si="306"/>
        <v>0</v>
      </c>
      <c r="FV86" s="19">
        <f t="shared" si="307"/>
        <v>0</v>
      </c>
      <c r="FW86" s="19">
        <f t="shared" si="308"/>
        <v>0</v>
      </c>
      <c r="FX86" s="19">
        <f t="shared" si="309"/>
        <v>0</v>
      </c>
      <c r="FY86" s="19">
        <f t="shared" si="310"/>
        <v>0</v>
      </c>
      <c r="FZ86" s="19">
        <f t="shared" si="311"/>
        <v>0</v>
      </c>
      <c r="GA86" s="19">
        <f t="shared" si="312"/>
        <v>0</v>
      </c>
      <c r="GB86" s="19">
        <f t="shared" si="313"/>
        <v>0</v>
      </c>
      <c r="GC86" s="19">
        <f t="shared" si="314"/>
        <v>0</v>
      </c>
      <c r="GD86" s="19">
        <f t="shared" si="315"/>
        <v>0</v>
      </c>
      <c r="GE86" s="19">
        <f t="shared" si="316"/>
        <v>0</v>
      </c>
      <c r="GF86" s="19">
        <f t="shared" si="317"/>
        <v>0</v>
      </c>
      <c r="GG86" s="19">
        <f t="shared" si="318"/>
        <v>0</v>
      </c>
      <c r="GH86" s="19">
        <f t="shared" si="319"/>
        <v>0</v>
      </c>
      <c r="GI86" s="19">
        <f t="shared" si="320"/>
        <v>0</v>
      </c>
      <c r="GJ86" s="19">
        <f t="shared" si="321"/>
        <v>0</v>
      </c>
      <c r="GK86" s="19">
        <f t="shared" si="322"/>
        <v>0</v>
      </c>
      <c r="GL86" s="19">
        <f t="shared" si="323"/>
        <v>0</v>
      </c>
      <c r="GM86" s="19">
        <f t="shared" si="324"/>
        <v>0</v>
      </c>
      <c r="GN86" s="19">
        <f t="shared" si="325"/>
        <v>0.44999999999999996</v>
      </c>
      <c r="GO86" s="19">
        <f t="shared" si="326"/>
        <v>0.6</v>
      </c>
      <c r="GP86" s="19">
        <f t="shared" si="327"/>
        <v>0</v>
      </c>
      <c r="GQ86" s="19">
        <f t="shared" si="328"/>
        <v>0</v>
      </c>
      <c r="GR86" s="19">
        <f t="shared" si="329"/>
        <v>0</v>
      </c>
      <c r="GS86" s="19">
        <f t="shared" si="330"/>
        <v>0</v>
      </c>
      <c r="GT86" s="19">
        <f t="shared" si="331"/>
        <v>0</v>
      </c>
      <c r="GU86" s="19">
        <f t="shared" si="332"/>
        <v>0</v>
      </c>
      <c r="GV86" s="19">
        <f t="shared" si="333"/>
        <v>0</v>
      </c>
      <c r="GW86" s="19">
        <f t="shared" si="334"/>
        <v>0.09</v>
      </c>
      <c r="GX86" s="19">
        <f t="shared" si="335"/>
        <v>0</v>
      </c>
      <c r="GY86" s="19">
        <f t="shared" si="336"/>
        <v>0</v>
      </c>
      <c r="GZ86" s="19">
        <f t="shared" si="337"/>
        <v>0</v>
      </c>
      <c r="HA86" s="19">
        <f t="shared" si="338"/>
        <v>0</v>
      </c>
      <c r="HB86" s="19">
        <f t="shared" si="339"/>
        <v>0</v>
      </c>
      <c r="HC86" s="19">
        <f t="shared" si="340"/>
        <v>0</v>
      </c>
      <c r="HD86" s="19">
        <f t="shared" si="341"/>
        <v>0</v>
      </c>
      <c r="HE86" s="19">
        <f t="shared" si="342"/>
        <v>0</v>
      </c>
      <c r="HF86" s="19">
        <f t="shared" si="343"/>
        <v>0</v>
      </c>
      <c r="HG86" s="19">
        <f t="shared" si="344"/>
        <v>2.4499999999999997</v>
      </c>
      <c r="HH86" s="19">
        <f t="shared" si="345"/>
        <v>0</v>
      </c>
      <c r="HI86" s="19">
        <f t="shared" si="346"/>
        <v>0</v>
      </c>
      <c r="HJ86" s="19">
        <f t="shared" si="347"/>
        <v>0</v>
      </c>
      <c r="HK86" s="19">
        <f t="shared" si="348"/>
        <v>0</v>
      </c>
      <c r="HL86" s="19">
        <f t="shared" si="349"/>
        <v>0.03</v>
      </c>
      <c r="HM86" s="20">
        <f t="shared" si="350"/>
        <v>5</v>
      </c>
      <c r="HN86" s="53">
        <v>817</v>
      </c>
      <c r="HO86" s="21">
        <f t="shared" si="351"/>
        <v>0</v>
      </c>
      <c r="HP86" s="21">
        <f t="shared" si="352"/>
        <v>0</v>
      </c>
      <c r="HQ86" s="21">
        <f t="shared" si="353"/>
        <v>0</v>
      </c>
      <c r="HR86" s="21">
        <f t="shared" si="354"/>
        <v>225.49200000000002</v>
      </c>
      <c r="HS86" s="21">
        <f t="shared" si="355"/>
        <v>0</v>
      </c>
      <c r="HT86" s="69">
        <f t="shared" si="356"/>
        <v>0</v>
      </c>
      <c r="HU86" s="21">
        <f t="shared" si="357"/>
        <v>0</v>
      </c>
      <c r="HV86" s="21">
        <f t="shared" si="358"/>
        <v>0</v>
      </c>
      <c r="HW86" s="21">
        <f t="shared" si="359"/>
        <v>0</v>
      </c>
      <c r="HX86" s="21">
        <f t="shared" si="360"/>
        <v>0</v>
      </c>
      <c r="HY86" s="21">
        <f t="shared" si="361"/>
        <v>0</v>
      </c>
      <c r="HZ86" s="21">
        <f t="shared" si="362"/>
        <v>0</v>
      </c>
      <c r="IA86" s="21">
        <f t="shared" si="363"/>
        <v>0</v>
      </c>
      <c r="IB86" s="21">
        <f t="shared" si="364"/>
        <v>0</v>
      </c>
      <c r="IC86" s="21">
        <f t="shared" si="365"/>
        <v>0</v>
      </c>
      <c r="ID86" s="21">
        <f t="shared" si="366"/>
        <v>0</v>
      </c>
      <c r="IE86" s="21">
        <f t="shared" si="367"/>
        <v>0</v>
      </c>
      <c r="IF86" s="69">
        <f t="shared" si="368"/>
        <v>0</v>
      </c>
      <c r="IG86" s="69">
        <f t="shared" si="369"/>
        <v>0</v>
      </c>
      <c r="IH86" s="69">
        <f t="shared" si="370"/>
        <v>0</v>
      </c>
      <c r="II86" s="21">
        <f t="shared" si="371"/>
        <v>0</v>
      </c>
      <c r="IJ86" s="21">
        <f t="shared" si="372"/>
        <v>0</v>
      </c>
      <c r="IK86" s="21">
        <f t="shared" si="373"/>
        <v>0</v>
      </c>
      <c r="IL86" s="21">
        <f t="shared" si="374"/>
        <v>0</v>
      </c>
      <c r="IM86" s="21">
        <f t="shared" si="375"/>
        <v>0</v>
      </c>
      <c r="IN86" s="21">
        <f t="shared" si="376"/>
        <v>0</v>
      </c>
      <c r="IO86" s="21">
        <f t="shared" si="377"/>
        <v>0</v>
      </c>
      <c r="IP86" s="21">
        <f t="shared" si="378"/>
        <v>73.53</v>
      </c>
      <c r="IQ86" s="21">
        <f t="shared" si="379"/>
        <v>98.039999999999992</v>
      </c>
      <c r="IR86" s="21">
        <f t="shared" si="380"/>
        <v>0</v>
      </c>
      <c r="IS86" s="21">
        <f t="shared" si="381"/>
        <v>0</v>
      </c>
      <c r="IT86" s="21">
        <f t="shared" si="382"/>
        <v>0</v>
      </c>
      <c r="IU86" s="21">
        <f t="shared" si="383"/>
        <v>0</v>
      </c>
      <c r="IV86" s="21">
        <f t="shared" si="384"/>
        <v>0</v>
      </c>
      <c r="IW86" s="21">
        <f t="shared" si="385"/>
        <v>0</v>
      </c>
      <c r="IX86" s="21">
        <f t="shared" si="386"/>
        <v>0</v>
      </c>
      <c r="IY86" s="21">
        <f t="shared" si="387"/>
        <v>14.706</v>
      </c>
      <c r="IZ86" s="21">
        <f t="shared" si="388"/>
        <v>0</v>
      </c>
      <c r="JA86" s="21">
        <f t="shared" si="389"/>
        <v>0</v>
      </c>
      <c r="JB86" s="21">
        <f t="shared" si="390"/>
        <v>0</v>
      </c>
      <c r="JC86" s="21">
        <f t="shared" si="391"/>
        <v>0</v>
      </c>
      <c r="JD86" s="21">
        <f t="shared" si="392"/>
        <v>0</v>
      </c>
      <c r="JE86" s="21">
        <f t="shared" si="393"/>
        <v>0</v>
      </c>
      <c r="JF86" s="21">
        <f t="shared" si="394"/>
        <v>0</v>
      </c>
      <c r="JG86" s="21">
        <f t="shared" si="395"/>
        <v>0</v>
      </c>
      <c r="JH86" s="21">
        <f t="shared" si="396"/>
        <v>0</v>
      </c>
      <c r="JI86" s="21">
        <f t="shared" si="397"/>
        <v>400.33</v>
      </c>
      <c r="JJ86" s="21">
        <f t="shared" si="398"/>
        <v>0</v>
      </c>
      <c r="JK86" s="21">
        <f t="shared" si="399"/>
        <v>0</v>
      </c>
      <c r="JL86" s="21">
        <f t="shared" si="400"/>
        <v>0</v>
      </c>
      <c r="JM86" s="21">
        <f t="shared" si="401"/>
        <v>0</v>
      </c>
      <c r="JN86" s="21">
        <f t="shared" si="402"/>
        <v>4.9019999999999992</v>
      </c>
      <c r="JO86" s="35">
        <f t="shared" si="403"/>
        <v>817</v>
      </c>
      <c r="JP86" s="38">
        <f t="shared" si="404"/>
        <v>0</v>
      </c>
      <c r="JQ86" s="43">
        <f t="shared" si="405"/>
        <v>0</v>
      </c>
      <c r="JR86" s="43">
        <f t="shared" si="406"/>
        <v>0</v>
      </c>
      <c r="JS86" s="43">
        <f t="shared" si="407"/>
        <v>0</v>
      </c>
      <c r="JT86" s="43">
        <f t="shared" si="408"/>
        <v>969.82305264000024</v>
      </c>
      <c r="JU86" s="43">
        <f t="shared" si="409"/>
        <v>0</v>
      </c>
      <c r="JV86" s="43">
        <f t="shared" si="410"/>
        <v>0</v>
      </c>
      <c r="JW86" s="43">
        <f t="shared" si="411"/>
        <v>0</v>
      </c>
      <c r="JX86" s="43">
        <f t="shared" si="412"/>
        <v>0</v>
      </c>
      <c r="JY86" s="43">
        <f t="shared" si="413"/>
        <v>0</v>
      </c>
      <c r="JZ86" s="43">
        <f t="shared" si="414"/>
        <v>0</v>
      </c>
      <c r="KA86" s="43">
        <f t="shared" si="415"/>
        <v>0</v>
      </c>
      <c r="KB86" s="43">
        <f t="shared" si="416"/>
        <v>0</v>
      </c>
      <c r="KC86" s="43">
        <f t="shared" si="417"/>
        <v>0</v>
      </c>
      <c r="KD86" s="43">
        <f t="shared" si="418"/>
        <v>0</v>
      </c>
      <c r="KE86" s="43">
        <f t="shared" si="419"/>
        <v>0</v>
      </c>
      <c r="KF86" s="43">
        <f t="shared" si="420"/>
        <v>0</v>
      </c>
      <c r="KG86" s="43">
        <f t="shared" si="421"/>
        <v>0</v>
      </c>
      <c r="KH86" s="43">
        <f t="shared" si="422"/>
        <v>0</v>
      </c>
      <c r="KI86" s="43">
        <f t="shared" si="423"/>
        <v>0</v>
      </c>
      <c r="KJ86" s="43">
        <f t="shared" si="424"/>
        <v>0</v>
      </c>
      <c r="KK86" s="43">
        <f t="shared" si="425"/>
        <v>0</v>
      </c>
      <c r="KL86" s="43">
        <f t="shared" si="426"/>
        <v>0</v>
      </c>
      <c r="KM86" s="43">
        <f t="shared" si="427"/>
        <v>0</v>
      </c>
      <c r="KN86" s="43">
        <f t="shared" si="428"/>
        <v>0</v>
      </c>
      <c r="KO86" s="43">
        <f t="shared" si="429"/>
        <v>0</v>
      </c>
      <c r="KP86" s="43">
        <f t="shared" si="430"/>
        <v>0</v>
      </c>
      <c r="KQ86" s="43">
        <f t="shared" si="431"/>
        <v>0</v>
      </c>
      <c r="KR86" s="43">
        <f t="shared" si="432"/>
        <v>283.82580000000002</v>
      </c>
      <c r="KS86" s="43">
        <f t="shared" si="433"/>
        <v>335.23121024969691</v>
      </c>
      <c r="KT86" s="43">
        <f t="shared" si="434"/>
        <v>0</v>
      </c>
      <c r="KU86" s="43">
        <f t="shared" si="435"/>
        <v>0</v>
      </c>
      <c r="KV86" s="43">
        <f t="shared" si="436"/>
        <v>0</v>
      </c>
      <c r="KW86" s="43">
        <f t="shared" si="437"/>
        <v>0</v>
      </c>
      <c r="KX86" s="43">
        <f t="shared" si="438"/>
        <v>0</v>
      </c>
      <c r="KY86" s="43">
        <f t="shared" si="439"/>
        <v>0</v>
      </c>
      <c r="KZ86" s="43">
        <f t="shared" si="440"/>
        <v>0</v>
      </c>
      <c r="LA86" s="43">
        <f t="shared" si="441"/>
        <v>58.924589039999994</v>
      </c>
      <c r="LB86" s="43">
        <f t="shared" si="442"/>
        <v>0</v>
      </c>
      <c r="LC86" s="43">
        <f t="shared" si="443"/>
        <v>0</v>
      </c>
      <c r="LD86" s="43">
        <f t="shared" si="444"/>
        <v>0</v>
      </c>
      <c r="LE86" s="43">
        <f t="shared" si="445"/>
        <v>0</v>
      </c>
      <c r="LF86" s="43">
        <f t="shared" si="446"/>
        <v>0</v>
      </c>
      <c r="LG86" s="43">
        <f t="shared" si="447"/>
        <v>0</v>
      </c>
      <c r="LH86" s="43">
        <f t="shared" si="448"/>
        <v>0</v>
      </c>
      <c r="LI86" s="43">
        <f t="shared" si="449"/>
        <v>0</v>
      </c>
      <c r="LJ86" s="43">
        <f t="shared" si="450"/>
        <v>0</v>
      </c>
      <c r="LK86" s="43">
        <f t="shared" si="451"/>
        <v>1603.6218974999999</v>
      </c>
      <c r="LL86" s="43">
        <f t="shared" si="452"/>
        <v>0</v>
      </c>
      <c r="LM86" s="43">
        <f t="shared" si="453"/>
        <v>0</v>
      </c>
      <c r="LN86" s="43">
        <f t="shared" si="454"/>
        <v>0</v>
      </c>
      <c r="LO86" s="43">
        <f t="shared" si="455"/>
        <v>0</v>
      </c>
      <c r="LP86" s="43">
        <f t="shared" si="456"/>
        <v>41.421899999999987</v>
      </c>
      <c r="LQ86" s="28">
        <f t="shared" si="457"/>
        <v>3292.8484494296968</v>
      </c>
      <c r="LR86" s="65">
        <v>788</v>
      </c>
      <c r="LS86" s="32">
        <f t="shared" si="462"/>
        <v>4.1787416870935239</v>
      </c>
      <c r="LT86" s="26">
        <f t="shared" si="463"/>
        <v>1.1417327013916732</v>
      </c>
      <c r="LU86" s="31">
        <f t="shared" si="458"/>
        <v>29</v>
      </c>
      <c r="LW86" s="42"/>
      <c r="MA86" s="32">
        <f t="shared" si="459"/>
        <v>4.0304142587878786</v>
      </c>
      <c r="MB86" s="26">
        <f t="shared" si="464"/>
        <v>1.1012060816360323</v>
      </c>
    </row>
    <row r="87" spans="1:340" ht="15.75" thickBot="1">
      <c r="A87" t="b">
        <f t="shared" si="297"/>
        <v>1</v>
      </c>
      <c r="B87" s="123" t="s">
        <v>249</v>
      </c>
      <c r="C87" s="39" t="s">
        <v>250</v>
      </c>
      <c r="D87"/>
      <c r="E87" s="97">
        <v>46038</v>
      </c>
      <c r="F87" t="s">
        <v>43</v>
      </c>
      <c r="G87" t="s">
        <v>20</v>
      </c>
      <c r="H87" t="s">
        <v>27</v>
      </c>
      <c r="I87" s="77"/>
      <c r="J87" s="77"/>
      <c r="K87" s="77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24"/>
      <c r="AG87" s="124"/>
      <c r="AH87" s="104"/>
      <c r="AI87" s="104"/>
      <c r="AJ87" s="104">
        <v>0.3</v>
      </c>
      <c r="AK87" s="104"/>
      <c r="AL87" s="104"/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22"/>
      <c r="AZ87" s="104"/>
      <c r="BA87" s="104"/>
      <c r="BB87" s="104"/>
      <c r="BC87" s="124">
        <v>0.7</v>
      </c>
      <c r="BD87" s="124"/>
      <c r="BE87" s="104"/>
      <c r="BF87" s="104"/>
      <c r="BG87" s="104"/>
      <c r="BH87" s="104"/>
      <c r="BI87" s="78">
        <f t="shared" si="296"/>
        <v>1</v>
      </c>
      <c r="BJ87" s="105"/>
      <c r="BK87" s="105"/>
      <c r="BL87" s="105"/>
      <c r="BM87" s="105"/>
      <c r="BN87" s="105"/>
      <c r="BO87" s="105"/>
      <c r="BP87" s="105"/>
      <c r="BQ87" s="105"/>
      <c r="BR87" s="105"/>
      <c r="BS87" s="105"/>
      <c r="BT87" s="105"/>
      <c r="BU87" s="105"/>
      <c r="BV87" s="105"/>
      <c r="BW87" s="105"/>
      <c r="BX87" s="105"/>
      <c r="BY87" s="105"/>
      <c r="BZ87" s="105"/>
      <c r="CA87" s="105"/>
      <c r="CB87" s="105"/>
      <c r="CC87" s="105"/>
      <c r="CD87" s="105"/>
      <c r="CE87" s="105"/>
      <c r="CF87" s="120"/>
      <c r="CG87" s="128"/>
      <c r="CH87" s="128"/>
      <c r="CI87" s="105"/>
      <c r="CJ87" s="105"/>
      <c r="CK87" s="105"/>
      <c r="CL87" s="105">
        <v>0.3</v>
      </c>
      <c r="CM87" s="105"/>
      <c r="CN87" s="105"/>
      <c r="CO87" s="105"/>
      <c r="CP87" s="105"/>
      <c r="CQ87" s="105"/>
      <c r="CR87" s="105"/>
      <c r="CS87" s="105"/>
      <c r="CT87" s="105"/>
      <c r="CU87" s="105"/>
      <c r="CV87" s="105"/>
      <c r="CW87" s="105"/>
      <c r="CX87" s="105"/>
      <c r="CY87" s="105"/>
      <c r="CZ87" s="105"/>
      <c r="DA87" s="105"/>
      <c r="DB87" s="105"/>
      <c r="DC87" s="105"/>
      <c r="DD87" s="125">
        <v>0.7</v>
      </c>
      <c r="DE87" s="125"/>
      <c r="DF87" s="105"/>
      <c r="DG87" s="105"/>
      <c r="DH87" s="105"/>
      <c r="DI87" s="105"/>
      <c r="DJ87" s="79">
        <f t="shared" si="460"/>
        <v>1</v>
      </c>
      <c r="DK87" s="108"/>
      <c r="DL87" s="108"/>
      <c r="DM87" s="108"/>
      <c r="DN87" s="108">
        <v>0.92</v>
      </c>
      <c r="DO87" s="108"/>
      <c r="DP87" s="108"/>
      <c r="DQ87" s="108"/>
      <c r="DR87" s="108"/>
      <c r="DS87" s="108"/>
      <c r="DT87" s="108"/>
      <c r="DU87" s="108"/>
      <c r="DV87" s="108"/>
      <c r="DW87" s="108"/>
      <c r="DX87" s="108"/>
      <c r="DY87" s="108"/>
      <c r="DZ87" s="108"/>
      <c r="EA87" s="108"/>
      <c r="EB87" s="108"/>
      <c r="EC87" s="108"/>
      <c r="ED87" s="108"/>
      <c r="EE87" s="108"/>
      <c r="EF87" s="108"/>
      <c r="EG87" s="108"/>
      <c r="EH87" s="129"/>
      <c r="EI87" s="129"/>
      <c r="EJ87" s="108"/>
      <c r="EK87" s="108"/>
      <c r="EL87" s="108"/>
      <c r="EM87" s="108"/>
      <c r="EN87" s="108"/>
      <c r="EO87" s="108"/>
      <c r="EP87" s="108"/>
      <c r="EQ87" s="108"/>
      <c r="ER87" s="108"/>
      <c r="ES87" s="106"/>
      <c r="ET87" s="106"/>
      <c r="EU87" s="106">
        <v>0.06</v>
      </c>
      <c r="EV87" s="106"/>
      <c r="EW87" s="106"/>
      <c r="EX87" s="106"/>
      <c r="EY87" s="106"/>
      <c r="EZ87" s="106"/>
      <c r="FA87" s="106"/>
      <c r="FB87" s="106"/>
      <c r="FC87" s="106"/>
      <c r="FD87" s="106"/>
      <c r="FE87" s="126"/>
      <c r="FF87" s="126"/>
      <c r="FG87" s="106"/>
      <c r="FH87" s="106"/>
      <c r="FI87" s="106"/>
      <c r="FJ87" s="106">
        <v>0.02</v>
      </c>
      <c r="FK87" s="17">
        <f t="shared" si="461"/>
        <v>1</v>
      </c>
      <c r="FL87" s="18"/>
      <c r="FM87" s="19">
        <f t="shared" si="298"/>
        <v>0</v>
      </c>
      <c r="FN87" s="19">
        <f t="shared" si="299"/>
        <v>0</v>
      </c>
      <c r="FO87" s="19">
        <f t="shared" si="300"/>
        <v>0</v>
      </c>
      <c r="FP87" s="19">
        <f t="shared" si="301"/>
        <v>1.3800000000000001</v>
      </c>
      <c r="FQ87" s="19">
        <f t="shared" si="302"/>
        <v>0</v>
      </c>
      <c r="FR87" s="19">
        <f t="shared" si="303"/>
        <v>0</v>
      </c>
      <c r="FS87" s="19">
        <f t="shared" si="304"/>
        <v>0</v>
      </c>
      <c r="FT87" s="19">
        <f t="shared" si="305"/>
        <v>0</v>
      </c>
      <c r="FU87" s="19">
        <f t="shared" si="306"/>
        <v>0</v>
      </c>
      <c r="FV87" s="19">
        <f t="shared" si="307"/>
        <v>0</v>
      </c>
      <c r="FW87" s="19">
        <f t="shared" si="308"/>
        <v>0</v>
      </c>
      <c r="FX87" s="19">
        <f t="shared" si="309"/>
        <v>0</v>
      </c>
      <c r="FY87" s="19">
        <f t="shared" si="310"/>
        <v>0</v>
      </c>
      <c r="FZ87" s="19">
        <f t="shared" si="311"/>
        <v>0</v>
      </c>
      <c r="GA87" s="19">
        <f t="shared" si="312"/>
        <v>0</v>
      </c>
      <c r="GB87" s="19">
        <f t="shared" si="313"/>
        <v>0</v>
      </c>
      <c r="GC87" s="19">
        <f t="shared" si="314"/>
        <v>0</v>
      </c>
      <c r="GD87" s="19">
        <f t="shared" si="315"/>
        <v>0</v>
      </c>
      <c r="GE87" s="19">
        <f t="shared" si="316"/>
        <v>0</v>
      </c>
      <c r="GF87" s="19">
        <f t="shared" si="317"/>
        <v>0</v>
      </c>
      <c r="GG87" s="19">
        <f t="shared" si="318"/>
        <v>0</v>
      </c>
      <c r="GH87" s="19">
        <f t="shared" si="319"/>
        <v>0</v>
      </c>
      <c r="GI87" s="19">
        <f t="shared" si="320"/>
        <v>0</v>
      </c>
      <c r="GJ87" s="19">
        <f t="shared" si="321"/>
        <v>0</v>
      </c>
      <c r="GK87" s="19">
        <f t="shared" si="322"/>
        <v>0</v>
      </c>
      <c r="GL87" s="19">
        <f t="shared" si="323"/>
        <v>0</v>
      </c>
      <c r="GM87" s="19">
        <f t="shared" si="324"/>
        <v>0</v>
      </c>
      <c r="GN87" s="19">
        <f t="shared" si="325"/>
        <v>0.44999999999999996</v>
      </c>
      <c r="GO87" s="19">
        <f t="shared" si="326"/>
        <v>0.6</v>
      </c>
      <c r="GP87" s="19">
        <f t="shared" si="327"/>
        <v>0</v>
      </c>
      <c r="GQ87" s="19">
        <f t="shared" si="328"/>
        <v>0</v>
      </c>
      <c r="GR87" s="19">
        <f t="shared" si="329"/>
        <v>0</v>
      </c>
      <c r="GS87" s="19">
        <f t="shared" si="330"/>
        <v>0</v>
      </c>
      <c r="GT87" s="19">
        <f t="shared" si="331"/>
        <v>0</v>
      </c>
      <c r="GU87" s="19">
        <f t="shared" si="332"/>
        <v>0</v>
      </c>
      <c r="GV87" s="19">
        <f t="shared" si="333"/>
        <v>0</v>
      </c>
      <c r="GW87" s="19">
        <f t="shared" si="334"/>
        <v>0.09</v>
      </c>
      <c r="GX87" s="19">
        <f t="shared" si="335"/>
        <v>0</v>
      </c>
      <c r="GY87" s="19">
        <f t="shared" si="336"/>
        <v>0</v>
      </c>
      <c r="GZ87" s="19">
        <f t="shared" si="337"/>
        <v>0</v>
      </c>
      <c r="HA87" s="19">
        <f t="shared" si="338"/>
        <v>0</v>
      </c>
      <c r="HB87" s="19">
        <f t="shared" si="339"/>
        <v>0</v>
      </c>
      <c r="HC87" s="19">
        <f t="shared" si="340"/>
        <v>0</v>
      </c>
      <c r="HD87" s="19">
        <f t="shared" si="341"/>
        <v>0</v>
      </c>
      <c r="HE87" s="19">
        <f t="shared" si="342"/>
        <v>0</v>
      </c>
      <c r="HF87" s="19">
        <f t="shared" si="343"/>
        <v>0</v>
      </c>
      <c r="HG87" s="19">
        <f t="shared" si="344"/>
        <v>2.4499999999999997</v>
      </c>
      <c r="HH87" s="19">
        <f t="shared" si="345"/>
        <v>0</v>
      </c>
      <c r="HI87" s="19">
        <f t="shared" si="346"/>
        <v>0</v>
      </c>
      <c r="HJ87" s="19">
        <f t="shared" si="347"/>
        <v>0</v>
      </c>
      <c r="HK87" s="19">
        <f t="shared" si="348"/>
        <v>0</v>
      </c>
      <c r="HL87" s="19">
        <f t="shared" si="349"/>
        <v>0.03</v>
      </c>
      <c r="HM87" s="20">
        <f t="shared" si="350"/>
        <v>5</v>
      </c>
      <c r="HN87" s="53">
        <v>774</v>
      </c>
      <c r="HO87" s="21">
        <f t="shared" si="351"/>
        <v>0</v>
      </c>
      <c r="HP87" s="21">
        <f t="shared" si="352"/>
        <v>0</v>
      </c>
      <c r="HQ87" s="21">
        <f t="shared" si="353"/>
        <v>0</v>
      </c>
      <c r="HR87" s="21">
        <f t="shared" si="354"/>
        <v>213.62400000000002</v>
      </c>
      <c r="HS87" s="21">
        <f t="shared" si="355"/>
        <v>0</v>
      </c>
      <c r="HT87" s="69">
        <f t="shared" si="356"/>
        <v>0</v>
      </c>
      <c r="HU87" s="21">
        <f t="shared" si="357"/>
        <v>0</v>
      </c>
      <c r="HV87" s="21">
        <f t="shared" si="358"/>
        <v>0</v>
      </c>
      <c r="HW87" s="21">
        <f t="shared" si="359"/>
        <v>0</v>
      </c>
      <c r="HX87" s="21">
        <f t="shared" si="360"/>
        <v>0</v>
      </c>
      <c r="HY87" s="21">
        <f t="shared" si="361"/>
        <v>0</v>
      </c>
      <c r="HZ87" s="21">
        <f t="shared" si="362"/>
        <v>0</v>
      </c>
      <c r="IA87" s="21">
        <f t="shared" si="363"/>
        <v>0</v>
      </c>
      <c r="IB87" s="21">
        <f t="shared" si="364"/>
        <v>0</v>
      </c>
      <c r="IC87" s="21">
        <f t="shared" si="365"/>
        <v>0</v>
      </c>
      <c r="ID87" s="21">
        <f t="shared" si="366"/>
        <v>0</v>
      </c>
      <c r="IE87" s="21">
        <f t="shared" si="367"/>
        <v>0</v>
      </c>
      <c r="IF87" s="69">
        <f t="shared" si="368"/>
        <v>0</v>
      </c>
      <c r="IG87" s="69">
        <f t="shared" si="369"/>
        <v>0</v>
      </c>
      <c r="IH87" s="69">
        <f t="shared" si="370"/>
        <v>0</v>
      </c>
      <c r="II87" s="21">
        <f t="shared" si="371"/>
        <v>0</v>
      </c>
      <c r="IJ87" s="21">
        <f t="shared" si="372"/>
        <v>0</v>
      </c>
      <c r="IK87" s="21">
        <f t="shared" si="373"/>
        <v>0</v>
      </c>
      <c r="IL87" s="21">
        <f t="shared" si="374"/>
        <v>0</v>
      </c>
      <c r="IM87" s="21">
        <f t="shared" si="375"/>
        <v>0</v>
      </c>
      <c r="IN87" s="21">
        <f t="shared" si="376"/>
        <v>0</v>
      </c>
      <c r="IO87" s="21">
        <f t="shared" si="377"/>
        <v>0</v>
      </c>
      <c r="IP87" s="21">
        <f t="shared" si="378"/>
        <v>69.66</v>
      </c>
      <c r="IQ87" s="21">
        <f t="shared" si="379"/>
        <v>92.88</v>
      </c>
      <c r="IR87" s="21">
        <f t="shared" si="380"/>
        <v>0</v>
      </c>
      <c r="IS87" s="21">
        <f t="shared" si="381"/>
        <v>0</v>
      </c>
      <c r="IT87" s="21">
        <f t="shared" si="382"/>
        <v>0</v>
      </c>
      <c r="IU87" s="21">
        <f t="shared" si="383"/>
        <v>0</v>
      </c>
      <c r="IV87" s="21">
        <f t="shared" si="384"/>
        <v>0</v>
      </c>
      <c r="IW87" s="21">
        <f t="shared" si="385"/>
        <v>0</v>
      </c>
      <c r="IX87" s="21">
        <f t="shared" si="386"/>
        <v>0</v>
      </c>
      <c r="IY87" s="21">
        <f t="shared" si="387"/>
        <v>13.931999999999999</v>
      </c>
      <c r="IZ87" s="21">
        <f t="shared" si="388"/>
        <v>0</v>
      </c>
      <c r="JA87" s="21">
        <f t="shared" si="389"/>
        <v>0</v>
      </c>
      <c r="JB87" s="21">
        <f t="shared" si="390"/>
        <v>0</v>
      </c>
      <c r="JC87" s="21">
        <f t="shared" si="391"/>
        <v>0</v>
      </c>
      <c r="JD87" s="21">
        <f t="shared" si="392"/>
        <v>0</v>
      </c>
      <c r="JE87" s="21">
        <f t="shared" si="393"/>
        <v>0</v>
      </c>
      <c r="JF87" s="21">
        <f t="shared" si="394"/>
        <v>0</v>
      </c>
      <c r="JG87" s="21">
        <f t="shared" si="395"/>
        <v>0</v>
      </c>
      <c r="JH87" s="21">
        <f t="shared" si="396"/>
        <v>0</v>
      </c>
      <c r="JI87" s="21">
        <f t="shared" si="397"/>
        <v>379.25999999999993</v>
      </c>
      <c r="JJ87" s="21">
        <f t="shared" si="398"/>
        <v>0</v>
      </c>
      <c r="JK87" s="21">
        <f t="shared" si="399"/>
        <v>0</v>
      </c>
      <c r="JL87" s="21">
        <f t="shared" si="400"/>
        <v>0</v>
      </c>
      <c r="JM87" s="21">
        <f t="shared" si="401"/>
        <v>0</v>
      </c>
      <c r="JN87" s="21">
        <f t="shared" si="402"/>
        <v>4.6440000000000001</v>
      </c>
      <c r="JO87" s="35">
        <f t="shared" si="403"/>
        <v>774</v>
      </c>
      <c r="JP87" s="38">
        <f t="shared" si="404"/>
        <v>0</v>
      </c>
      <c r="JQ87" s="43">
        <f t="shared" si="405"/>
        <v>0</v>
      </c>
      <c r="JR87" s="43">
        <f t="shared" si="406"/>
        <v>0</v>
      </c>
      <c r="JS87" s="43">
        <f t="shared" si="407"/>
        <v>0</v>
      </c>
      <c r="JT87" s="43">
        <f t="shared" si="408"/>
        <v>918.77973408000025</v>
      </c>
      <c r="JU87" s="43">
        <f t="shared" si="409"/>
        <v>0</v>
      </c>
      <c r="JV87" s="43">
        <f t="shared" si="410"/>
        <v>0</v>
      </c>
      <c r="JW87" s="43">
        <f t="shared" si="411"/>
        <v>0</v>
      </c>
      <c r="JX87" s="43">
        <f t="shared" si="412"/>
        <v>0</v>
      </c>
      <c r="JY87" s="43">
        <f t="shared" si="413"/>
        <v>0</v>
      </c>
      <c r="JZ87" s="43">
        <f t="shared" si="414"/>
        <v>0</v>
      </c>
      <c r="KA87" s="43">
        <f t="shared" si="415"/>
        <v>0</v>
      </c>
      <c r="KB87" s="43">
        <f t="shared" si="416"/>
        <v>0</v>
      </c>
      <c r="KC87" s="43">
        <f t="shared" si="417"/>
        <v>0</v>
      </c>
      <c r="KD87" s="43">
        <f t="shared" si="418"/>
        <v>0</v>
      </c>
      <c r="KE87" s="43">
        <f t="shared" si="419"/>
        <v>0</v>
      </c>
      <c r="KF87" s="43">
        <f t="shared" si="420"/>
        <v>0</v>
      </c>
      <c r="KG87" s="43">
        <f t="shared" si="421"/>
        <v>0</v>
      </c>
      <c r="KH87" s="43">
        <f t="shared" si="422"/>
        <v>0</v>
      </c>
      <c r="KI87" s="43">
        <f t="shared" si="423"/>
        <v>0</v>
      </c>
      <c r="KJ87" s="43">
        <f t="shared" si="424"/>
        <v>0</v>
      </c>
      <c r="KK87" s="43">
        <f t="shared" si="425"/>
        <v>0</v>
      </c>
      <c r="KL87" s="43">
        <f t="shared" si="426"/>
        <v>0</v>
      </c>
      <c r="KM87" s="43">
        <f t="shared" si="427"/>
        <v>0</v>
      </c>
      <c r="KN87" s="43">
        <f t="shared" si="428"/>
        <v>0</v>
      </c>
      <c r="KO87" s="43">
        <f t="shared" si="429"/>
        <v>0</v>
      </c>
      <c r="KP87" s="43">
        <f t="shared" si="430"/>
        <v>0</v>
      </c>
      <c r="KQ87" s="43">
        <f t="shared" si="431"/>
        <v>0</v>
      </c>
      <c r="KR87" s="43">
        <f t="shared" si="432"/>
        <v>268.88759999999996</v>
      </c>
      <c r="KS87" s="43">
        <f t="shared" si="433"/>
        <v>317.58746234181814</v>
      </c>
      <c r="KT87" s="43">
        <f t="shared" si="434"/>
        <v>0</v>
      </c>
      <c r="KU87" s="43">
        <f t="shared" si="435"/>
        <v>0</v>
      </c>
      <c r="KV87" s="43">
        <f t="shared" si="436"/>
        <v>0</v>
      </c>
      <c r="KW87" s="43">
        <f t="shared" si="437"/>
        <v>0</v>
      </c>
      <c r="KX87" s="43">
        <f t="shared" si="438"/>
        <v>0</v>
      </c>
      <c r="KY87" s="43">
        <f t="shared" si="439"/>
        <v>0</v>
      </c>
      <c r="KZ87" s="43">
        <f t="shared" si="440"/>
        <v>0</v>
      </c>
      <c r="LA87" s="43">
        <f t="shared" si="441"/>
        <v>55.823294879999985</v>
      </c>
      <c r="LB87" s="43">
        <f t="shared" si="442"/>
        <v>0</v>
      </c>
      <c r="LC87" s="43">
        <f t="shared" si="443"/>
        <v>0</v>
      </c>
      <c r="LD87" s="43">
        <f t="shared" si="444"/>
        <v>0</v>
      </c>
      <c r="LE87" s="43">
        <f t="shared" si="445"/>
        <v>0</v>
      </c>
      <c r="LF87" s="43">
        <f t="shared" si="446"/>
        <v>0</v>
      </c>
      <c r="LG87" s="43">
        <f t="shared" si="447"/>
        <v>0</v>
      </c>
      <c r="LH87" s="43">
        <f t="shared" si="448"/>
        <v>0</v>
      </c>
      <c r="LI87" s="43">
        <f t="shared" si="449"/>
        <v>0</v>
      </c>
      <c r="LJ87" s="43">
        <f t="shared" si="450"/>
        <v>0</v>
      </c>
      <c r="LK87" s="43">
        <f t="shared" si="451"/>
        <v>1519.2207449999996</v>
      </c>
      <c r="LL87" s="43">
        <f t="shared" si="452"/>
        <v>0</v>
      </c>
      <c r="LM87" s="43">
        <f t="shared" si="453"/>
        <v>0</v>
      </c>
      <c r="LN87" s="43">
        <f t="shared" si="454"/>
        <v>0</v>
      </c>
      <c r="LO87" s="43">
        <f t="shared" si="455"/>
        <v>0</v>
      </c>
      <c r="LP87" s="43">
        <f t="shared" si="456"/>
        <v>39.241799999999998</v>
      </c>
      <c r="LQ87" s="28">
        <f t="shared" si="457"/>
        <v>3119.5406363018178</v>
      </c>
      <c r="LR87" s="65">
        <v>774</v>
      </c>
      <c r="LS87" s="32">
        <f t="shared" si="462"/>
        <v>4.0304142587878786</v>
      </c>
      <c r="LT87" s="26">
        <f t="shared" si="463"/>
        <v>1.1012060816360323</v>
      </c>
      <c r="LU87" s="31">
        <f t="shared" si="458"/>
        <v>0</v>
      </c>
      <c r="LW87" s="42"/>
      <c r="MA87" s="32">
        <f t="shared" si="459"/>
        <v>4.0304142587878786</v>
      </c>
      <c r="MB87" s="26">
        <f t="shared" si="464"/>
        <v>1.1012060816360323</v>
      </c>
    </row>
    <row r="88" spans="1:340" ht="15.75" thickBot="1">
      <c r="A88" t="b">
        <f t="shared" si="297"/>
        <v>1</v>
      </c>
      <c r="B88" s="123" t="s">
        <v>251</v>
      </c>
      <c r="C88" s="39" t="s">
        <v>252</v>
      </c>
      <c r="D88"/>
      <c r="E88" s="97">
        <v>46038</v>
      </c>
      <c r="F88" t="s">
        <v>43</v>
      </c>
      <c r="G88" t="s">
        <v>20</v>
      </c>
      <c r="H88" t="s">
        <v>27</v>
      </c>
      <c r="I88" s="77"/>
      <c r="J88" s="77"/>
      <c r="K88" s="77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24"/>
      <c r="AG88" s="124"/>
      <c r="AH88" s="104"/>
      <c r="AI88" s="104"/>
      <c r="AJ88" s="22">
        <v>0.3</v>
      </c>
      <c r="AK88" s="22"/>
      <c r="AL88" s="22"/>
      <c r="AM88" s="22"/>
      <c r="AN88" s="22"/>
      <c r="AO88" s="104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98"/>
      <c r="BB88" s="98"/>
      <c r="BC88" s="124">
        <v>0.7</v>
      </c>
      <c r="BD88" s="124"/>
      <c r="BE88" s="104"/>
      <c r="BF88" s="22"/>
      <c r="BG88" s="22"/>
      <c r="BH88" s="104"/>
      <c r="BI88" s="78">
        <f t="shared" si="296"/>
        <v>1</v>
      </c>
      <c r="BJ88" s="105"/>
      <c r="BK88" s="105"/>
      <c r="BL88" s="105"/>
      <c r="BM88" s="105"/>
      <c r="BN88" s="105"/>
      <c r="BO88" s="105"/>
      <c r="BP88" s="105"/>
      <c r="BQ88" s="105"/>
      <c r="BR88" s="105"/>
      <c r="BS88" s="105"/>
      <c r="BT88" s="105"/>
      <c r="BU88" s="105"/>
      <c r="BV88" s="105"/>
      <c r="BW88" s="105"/>
      <c r="BX88" s="105"/>
      <c r="BY88" s="105"/>
      <c r="BZ88" s="105"/>
      <c r="CA88" s="105"/>
      <c r="CB88" s="105"/>
      <c r="CC88" s="105"/>
      <c r="CD88" s="105"/>
      <c r="CE88" s="105"/>
      <c r="CF88" s="120"/>
      <c r="CG88" s="128"/>
      <c r="CH88" s="128"/>
      <c r="CI88" s="105"/>
      <c r="CJ88" s="105"/>
      <c r="CK88" s="105"/>
      <c r="CL88" s="105">
        <v>0.3</v>
      </c>
      <c r="CM88" s="105"/>
      <c r="CN88" s="105"/>
      <c r="CO88" s="105"/>
      <c r="CP88" s="105"/>
      <c r="CQ88" s="105"/>
      <c r="CR88" s="105"/>
      <c r="CS88" s="105"/>
      <c r="CT88" s="105"/>
      <c r="CU88" s="105"/>
      <c r="CV88" s="105"/>
      <c r="CW88" s="105"/>
      <c r="CX88" s="105"/>
      <c r="CY88" s="105"/>
      <c r="CZ88" s="105"/>
      <c r="DA88" s="105"/>
      <c r="DB88" s="105"/>
      <c r="DC88" s="105"/>
      <c r="DD88" s="125">
        <v>0.7</v>
      </c>
      <c r="DE88" s="125"/>
      <c r="DF88" s="105"/>
      <c r="DG88" s="105"/>
      <c r="DH88" s="105"/>
      <c r="DI88" s="105"/>
      <c r="DJ88" s="79">
        <f t="shared" si="460"/>
        <v>1</v>
      </c>
      <c r="DK88" s="108"/>
      <c r="DL88" s="108"/>
      <c r="DM88" s="108"/>
      <c r="DN88" s="108">
        <v>0.92</v>
      </c>
      <c r="DO88" s="108"/>
      <c r="DP88" s="108"/>
      <c r="DQ88" s="108"/>
      <c r="DR88" s="108"/>
      <c r="DS88" s="108"/>
      <c r="DT88" s="108"/>
      <c r="DU88" s="108"/>
      <c r="DV88" s="108"/>
      <c r="DW88" s="108"/>
      <c r="DX88" s="108"/>
      <c r="DY88" s="108"/>
      <c r="DZ88" s="108"/>
      <c r="EA88" s="108"/>
      <c r="EB88" s="108"/>
      <c r="EC88" s="108"/>
      <c r="ED88" s="108"/>
      <c r="EE88" s="108"/>
      <c r="EF88" s="108"/>
      <c r="EG88" s="108"/>
      <c r="EH88" s="129"/>
      <c r="EI88" s="129"/>
      <c r="EJ88" s="108"/>
      <c r="EK88" s="108"/>
      <c r="EL88" s="108"/>
      <c r="EM88" s="108"/>
      <c r="EN88" s="108"/>
      <c r="EO88" s="108"/>
      <c r="EP88" s="108"/>
      <c r="EQ88" s="108"/>
      <c r="ER88" s="108"/>
      <c r="ES88" s="106"/>
      <c r="ET88" s="106"/>
      <c r="EU88" s="106">
        <v>0.06</v>
      </c>
      <c r="EV88" s="106"/>
      <c r="EW88" s="106"/>
      <c r="EX88" s="106"/>
      <c r="EY88" s="106"/>
      <c r="EZ88" s="106"/>
      <c r="FA88" s="106"/>
      <c r="FB88" s="106"/>
      <c r="FC88" s="106"/>
      <c r="FD88" s="106"/>
      <c r="FE88" s="126"/>
      <c r="FF88" s="126"/>
      <c r="FG88" s="106"/>
      <c r="FH88" s="106"/>
      <c r="FI88" s="106"/>
      <c r="FJ88" s="106">
        <v>0.02</v>
      </c>
      <c r="FK88" s="17">
        <f t="shared" si="461"/>
        <v>1</v>
      </c>
      <c r="FL88" s="18"/>
      <c r="FM88" s="19">
        <f t="shared" si="298"/>
        <v>0</v>
      </c>
      <c r="FN88" s="19">
        <f t="shared" si="299"/>
        <v>0</v>
      </c>
      <c r="FO88" s="19">
        <f t="shared" si="300"/>
        <v>0</v>
      </c>
      <c r="FP88" s="19">
        <f t="shared" si="301"/>
        <v>1.3800000000000001</v>
      </c>
      <c r="FQ88" s="19">
        <f t="shared" si="302"/>
        <v>0</v>
      </c>
      <c r="FR88" s="19">
        <f t="shared" si="303"/>
        <v>0</v>
      </c>
      <c r="FS88" s="19">
        <f t="shared" si="304"/>
        <v>0</v>
      </c>
      <c r="FT88" s="19">
        <f t="shared" si="305"/>
        <v>0</v>
      </c>
      <c r="FU88" s="19">
        <f t="shared" si="306"/>
        <v>0</v>
      </c>
      <c r="FV88" s="19">
        <f t="shared" si="307"/>
        <v>0</v>
      </c>
      <c r="FW88" s="19">
        <f t="shared" si="308"/>
        <v>0</v>
      </c>
      <c r="FX88" s="19">
        <f t="shared" si="309"/>
        <v>0</v>
      </c>
      <c r="FY88" s="19">
        <f t="shared" si="310"/>
        <v>0</v>
      </c>
      <c r="FZ88" s="19">
        <f t="shared" si="311"/>
        <v>0</v>
      </c>
      <c r="GA88" s="19">
        <f t="shared" si="312"/>
        <v>0</v>
      </c>
      <c r="GB88" s="19">
        <f t="shared" si="313"/>
        <v>0</v>
      </c>
      <c r="GC88" s="19">
        <f t="shared" si="314"/>
        <v>0</v>
      </c>
      <c r="GD88" s="19">
        <f t="shared" si="315"/>
        <v>0</v>
      </c>
      <c r="GE88" s="19">
        <f t="shared" si="316"/>
        <v>0</v>
      </c>
      <c r="GF88" s="19">
        <f t="shared" si="317"/>
        <v>0</v>
      </c>
      <c r="GG88" s="19">
        <f t="shared" si="318"/>
        <v>0</v>
      </c>
      <c r="GH88" s="19">
        <f t="shared" si="319"/>
        <v>0</v>
      </c>
      <c r="GI88" s="19">
        <f t="shared" si="320"/>
        <v>0</v>
      </c>
      <c r="GJ88" s="19">
        <f t="shared" si="321"/>
        <v>0</v>
      </c>
      <c r="GK88" s="19">
        <f t="shared" si="322"/>
        <v>0</v>
      </c>
      <c r="GL88" s="19">
        <f t="shared" si="323"/>
        <v>0</v>
      </c>
      <c r="GM88" s="19">
        <f t="shared" si="324"/>
        <v>0</v>
      </c>
      <c r="GN88" s="19">
        <f t="shared" si="325"/>
        <v>0.44999999999999996</v>
      </c>
      <c r="GO88" s="19">
        <f t="shared" si="326"/>
        <v>0.6</v>
      </c>
      <c r="GP88" s="19">
        <f t="shared" si="327"/>
        <v>0</v>
      </c>
      <c r="GQ88" s="19">
        <f t="shared" si="328"/>
        <v>0</v>
      </c>
      <c r="GR88" s="19">
        <f t="shared" si="329"/>
        <v>0</v>
      </c>
      <c r="GS88" s="19">
        <f t="shared" si="330"/>
        <v>0</v>
      </c>
      <c r="GT88" s="19">
        <f t="shared" si="331"/>
        <v>0</v>
      </c>
      <c r="GU88" s="19">
        <f t="shared" si="332"/>
        <v>0</v>
      </c>
      <c r="GV88" s="19">
        <f t="shared" si="333"/>
        <v>0</v>
      </c>
      <c r="GW88" s="19">
        <f t="shared" si="334"/>
        <v>0.09</v>
      </c>
      <c r="GX88" s="19">
        <f t="shared" si="335"/>
        <v>0</v>
      </c>
      <c r="GY88" s="19">
        <f t="shared" si="336"/>
        <v>0</v>
      </c>
      <c r="GZ88" s="19">
        <f t="shared" si="337"/>
        <v>0</v>
      </c>
      <c r="HA88" s="19">
        <f t="shared" si="338"/>
        <v>0</v>
      </c>
      <c r="HB88" s="19">
        <f t="shared" si="339"/>
        <v>0</v>
      </c>
      <c r="HC88" s="19">
        <f t="shared" si="340"/>
        <v>0</v>
      </c>
      <c r="HD88" s="19">
        <f t="shared" si="341"/>
        <v>0</v>
      </c>
      <c r="HE88" s="19">
        <f t="shared" si="342"/>
        <v>0</v>
      </c>
      <c r="HF88" s="19">
        <f t="shared" si="343"/>
        <v>0</v>
      </c>
      <c r="HG88" s="19">
        <f t="shared" si="344"/>
        <v>2.4499999999999997</v>
      </c>
      <c r="HH88" s="19">
        <f t="shared" si="345"/>
        <v>0</v>
      </c>
      <c r="HI88" s="19">
        <f t="shared" si="346"/>
        <v>0</v>
      </c>
      <c r="HJ88" s="19">
        <f t="shared" si="347"/>
        <v>0</v>
      </c>
      <c r="HK88" s="19">
        <f t="shared" si="348"/>
        <v>0</v>
      </c>
      <c r="HL88" s="19">
        <f t="shared" si="349"/>
        <v>0.03</v>
      </c>
      <c r="HM88" s="20">
        <f t="shared" si="350"/>
        <v>5</v>
      </c>
      <c r="HN88" s="53">
        <v>256.5</v>
      </c>
      <c r="HO88" s="21">
        <f t="shared" si="351"/>
        <v>0</v>
      </c>
      <c r="HP88" s="21">
        <f t="shared" si="352"/>
        <v>0</v>
      </c>
      <c r="HQ88" s="21">
        <f t="shared" si="353"/>
        <v>0</v>
      </c>
      <c r="HR88" s="21">
        <f t="shared" si="354"/>
        <v>70.794000000000011</v>
      </c>
      <c r="HS88" s="21">
        <f t="shared" si="355"/>
        <v>0</v>
      </c>
      <c r="HT88" s="69">
        <f t="shared" si="356"/>
        <v>0</v>
      </c>
      <c r="HU88" s="21">
        <f t="shared" si="357"/>
        <v>0</v>
      </c>
      <c r="HV88" s="21">
        <f t="shared" si="358"/>
        <v>0</v>
      </c>
      <c r="HW88" s="21">
        <f t="shared" si="359"/>
        <v>0</v>
      </c>
      <c r="HX88" s="21">
        <f t="shared" si="360"/>
        <v>0</v>
      </c>
      <c r="HY88" s="21">
        <f t="shared" si="361"/>
        <v>0</v>
      </c>
      <c r="HZ88" s="21">
        <f t="shared" si="362"/>
        <v>0</v>
      </c>
      <c r="IA88" s="21">
        <f t="shared" si="363"/>
        <v>0</v>
      </c>
      <c r="IB88" s="21">
        <f t="shared" si="364"/>
        <v>0</v>
      </c>
      <c r="IC88" s="21">
        <f t="shared" si="365"/>
        <v>0</v>
      </c>
      <c r="ID88" s="21">
        <f t="shared" si="366"/>
        <v>0</v>
      </c>
      <c r="IE88" s="21">
        <f t="shared" si="367"/>
        <v>0</v>
      </c>
      <c r="IF88" s="69">
        <f t="shared" si="368"/>
        <v>0</v>
      </c>
      <c r="IG88" s="69">
        <f t="shared" si="369"/>
        <v>0</v>
      </c>
      <c r="IH88" s="69">
        <f t="shared" si="370"/>
        <v>0</v>
      </c>
      <c r="II88" s="21">
        <f t="shared" si="371"/>
        <v>0</v>
      </c>
      <c r="IJ88" s="21">
        <f t="shared" si="372"/>
        <v>0</v>
      </c>
      <c r="IK88" s="21">
        <f t="shared" si="373"/>
        <v>0</v>
      </c>
      <c r="IL88" s="21">
        <f t="shared" si="374"/>
        <v>0</v>
      </c>
      <c r="IM88" s="21">
        <f t="shared" si="375"/>
        <v>0</v>
      </c>
      <c r="IN88" s="21">
        <f t="shared" si="376"/>
        <v>0</v>
      </c>
      <c r="IO88" s="21">
        <f t="shared" si="377"/>
        <v>0</v>
      </c>
      <c r="IP88" s="21">
        <f t="shared" si="378"/>
        <v>23.084999999999997</v>
      </c>
      <c r="IQ88" s="21">
        <f t="shared" si="379"/>
        <v>30.78</v>
      </c>
      <c r="IR88" s="21">
        <f t="shared" si="380"/>
        <v>0</v>
      </c>
      <c r="IS88" s="21">
        <f t="shared" si="381"/>
        <v>0</v>
      </c>
      <c r="IT88" s="21">
        <f t="shared" si="382"/>
        <v>0</v>
      </c>
      <c r="IU88" s="21">
        <f t="shared" si="383"/>
        <v>0</v>
      </c>
      <c r="IV88" s="21">
        <f t="shared" si="384"/>
        <v>0</v>
      </c>
      <c r="IW88" s="21">
        <f t="shared" si="385"/>
        <v>0</v>
      </c>
      <c r="IX88" s="21">
        <f t="shared" si="386"/>
        <v>0</v>
      </c>
      <c r="IY88" s="21">
        <f t="shared" si="387"/>
        <v>4.617</v>
      </c>
      <c r="IZ88" s="21">
        <f t="shared" si="388"/>
        <v>0</v>
      </c>
      <c r="JA88" s="21">
        <f t="shared" si="389"/>
        <v>0</v>
      </c>
      <c r="JB88" s="21">
        <f t="shared" si="390"/>
        <v>0</v>
      </c>
      <c r="JC88" s="21">
        <f t="shared" si="391"/>
        <v>0</v>
      </c>
      <c r="JD88" s="21">
        <f t="shared" si="392"/>
        <v>0</v>
      </c>
      <c r="JE88" s="21">
        <f t="shared" si="393"/>
        <v>0</v>
      </c>
      <c r="JF88" s="21">
        <f t="shared" si="394"/>
        <v>0</v>
      </c>
      <c r="JG88" s="21">
        <f t="shared" si="395"/>
        <v>0</v>
      </c>
      <c r="JH88" s="21">
        <f t="shared" si="396"/>
        <v>0</v>
      </c>
      <c r="JI88" s="21">
        <f t="shared" si="397"/>
        <v>125.68499999999999</v>
      </c>
      <c r="JJ88" s="21">
        <f t="shared" si="398"/>
        <v>0</v>
      </c>
      <c r="JK88" s="21">
        <f t="shared" si="399"/>
        <v>0</v>
      </c>
      <c r="JL88" s="21">
        <f t="shared" si="400"/>
        <v>0</v>
      </c>
      <c r="JM88" s="21">
        <f t="shared" si="401"/>
        <v>0</v>
      </c>
      <c r="JN88" s="21">
        <f t="shared" si="402"/>
        <v>1.5389999999999999</v>
      </c>
      <c r="JO88" s="35">
        <f t="shared" si="403"/>
        <v>256.5</v>
      </c>
      <c r="JP88" s="38">
        <f t="shared" si="404"/>
        <v>0</v>
      </c>
      <c r="JQ88" s="43">
        <f t="shared" si="405"/>
        <v>0</v>
      </c>
      <c r="JR88" s="43">
        <f t="shared" si="406"/>
        <v>0</v>
      </c>
      <c r="JS88" s="43">
        <f t="shared" si="407"/>
        <v>0</v>
      </c>
      <c r="JT88" s="43">
        <f t="shared" si="408"/>
        <v>304.4793304800001</v>
      </c>
      <c r="JU88" s="43">
        <f t="shared" si="409"/>
        <v>0</v>
      </c>
      <c r="JV88" s="43">
        <f t="shared" si="410"/>
        <v>0</v>
      </c>
      <c r="JW88" s="43">
        <f t="shared" si="411"/>
        <v>0</v>
      </c>
      <c r="JX88" s="43">
        <f t="shared" si="412"/>
        <v>0</v>
      </c>
      <c r="JY88" s="43">
        <f t="shared" si="413"/>
        <v>0</v>
      </c>
      <c r="JZ88" s="43">
        <f t="shared" si="414"/>
        <v>0</v>
      </c>
      <c r="KA88" s="43">
        <f t="shared" si="415"/>
        <v>0</v>
      </c>
      <c r="KB88" s="43">
        <f t="shared" si="416"/>
        <v>0</v>
      </c>
      <c r="KC88" s="43">
        <f t="shared" si="417"/>
        <v>0</v>
      </c>
      <c r="KD88" s="43">
        <f t="shared" si="418"/>
        <v>0</v>
      </c>
      <c r="KE88" s="43">
        <f t="shared" si="419"/>
        <v>0</v>
      </c>
      <c r="KF88" s="43">
        <f t="shared" si="420"/>
        <v>0</v>
      </c>
      <c r="KG88" s="43">
        <f t="shared" si="421"/>
        <v>0</v>
      </c>
      <c r="KH88" s="43">
        <f t="shared" si="422"/>
        <v>0</v>
      </c>
      <c r="KI88" s="43">
        <f t="shared" si="423"/>
        <v>0</v>
      </c>
      <c r="KJ88" s="43">
        <f t="shared" si="424"/>
        <v>0</v>
      </c>
      <c r="KK88" s="43">
        <f t="shared" si="425"/>
        <v>0</v>
      </c>
      <c r="KL88" s="43">
        <f t="shared" si="426"/>
        <v>0</v>
      </c>
      <c r="KM88" s="43">
        <f t="shared" si="427"/>
        <v>0</v>
      </c>
      <c r="KN88" s="43">
        <f t="shared" si="428"/>
        <v>0</v>
      </c>
      <c r="KO88" s="43">
        <f t="shared" si="429"/>
        <v>0</v>
      </c>
      <c r="KP88" s="43">
        <f t="shared" si="430"/>
        <v>0</v>
      </c>
      <c r="KQ88" s="43">
        <f t="shared" si="431"/>
        <v>0</v>
      </c>
      <c r="KR88" s="43">
        <f t="shared" si="432"/>
        <v>89.108099999999993</v>
      </c>
      <c r="KS88" s="43">
        <f t="shared" si="433"/>
        <v>105.24700786909091</v>
      </c>
      <c r="KT88" s="43">
        <f t="shared" si="434"/>
        <v>0</v>
      </c>
      <c r="KU88" s="43">
        <f t="shared" si="435"/>
        <v>0</v>
      </c>
      <c r="KV88" s="43">
        <f t="shared" si="436"/>
        <v>0</v>
      </c>
      <c r="KW88" s="43">
        <f t="shared" si="437"/>
        <v>0</v>
      </c>
      <c r="KX88" s="43">
        <f t="shared" si="438"/>
        <v>0</v>
      </c>
      <c r="KY88" s="43">
        <f t="shared" si="439"/>
        <v>0</v>
      </c>
      <c r="KZ88" s="43">
        <f t="shared" si="440"/>
        <v>0</v>
      </c>
      <c r="LA88" s="43">
        <f t="shared" si="441"/>
        <v>18.499580279999996</v>
      </c>
      <c r="LB88" s="43">
        <f t="shared" si="442"/>
        <v>0</v>
      </c>
      <c r="LC88" s="43">
        <f t="shared" si="443"/>
        <v>0</v>
      </c>
      <c r="LD88" s="43">
        <f t="shared" si="444"/>
        <v>0</v>
      </c>
      <c r="LE88" s="43">
        <f t="shared" si="445"/>
        <v>0</v>
      </c>
      <c r="LF88" s="43">
        <f t="shared" si="446"/>
        <v>0</v>
      </c>
      <c r="LG88" s="43">
        <f t="shared" si="447"/>
        <v>0</v>
      </c>
      <c r="LH88" s="43">
        <f t="shared" si="448"/>
        <v>0</v>
      </c>
      <c r="LI88" s="43">
        <f t="shared" si="449"/>
        <v>0</v>
      </c>
      <c r="LJ88" s="43">
        <f t="shared" si="450"/>
        <v>0</v>
      </c>
      <c r="LK88" s="43">
        <f t="shared" si="451"/>
        <v>503.46268874999993</v>
      </c>
      <c r="LL88" s="43">
        <f t="shared" si="452"/>
        <v>0</v>
      </c>
      <c r="LM88" s="43">
        <f t="shared" si="453"/>
        <v>0</v>
      </c>
      <c r="LN88" s="43">
        <f t="shared" si="454"/>
        <v>0</v>
      </c>
      <c r="LO88" s="43">
        <f t="shared" si="455"/>
        <v>0</v>
      </c>
      <c r="LP88" s="43">
        <f t="shared" si="456"/>
        <v>13.004549999999998</v>
      </c>
      <c r="LQ88" s="28">
        <f t="shared" si="457"/>
        <v>1033.8012573790911</v>
      </c>
      <c r="LR88" s="65">
        <v>245</v>
      </c>
      <c r="LS88" s="32">
        <f t="shared" si="462"/>
        <v>4.2195969688942494</v>
      </c>
      <c r="LT88" s="26">
        <f t="shared" si="463"/>
        <v>1.1528953466924179</v>
      </c>
      <c r="LU88" s="31">
        <f t="shared" si="458"/>
        <v>11.5</v>
      </c>
      <c r="LW88" s="42"/>
      <c r="MA88" s="32">
        <f t="shared" si="459"/>
        <v>4.0304142587878795</v>
      </c>
      <c r="MB88" s="26">
        <f t="shared" si="464"/>
        <v>1.1012060816360325</v>
      </c>
    </row>
    <row r="89" spans="1:340" ht="15.75" thickBot="1">
      <c r="A89" t="b">
        <f t="shared" si="297"/>
        <v>1</v>
      </c>
      <c r="B89" s="123" t="s">
        <v>253</v>
      </c>
      <c r="C89" s="39" t="s">
        <v>254</v>
      </c>
      <c r="D89"/>
      <c r="E89" s="97">
        <v>46038</v>
      </c>
      <c r="F89" t="s">
        <v>43</v>
      </c>
      <c r="G89" t="s">
        <v>20</v>
      </c>
      <c r="H89" t="s">
        <v>27</v>
      </c>
      <c r="I89" s="77"/>
      <c r="J89" s="77"/>
      <c r="K89" s="77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24"/>
      <c r="AG89" s="124"/>
      <c r="AH89" s="104"/>
      <c r="AI89" s="104"/>
      <c r="AJ89" s="22">
        <v>0.3</v>
      </c>
      <c r="AK89" s="22"/>
      <c r="AL89" s="22"/>
      <c r="AM89" s="22"/>
      <c r="AN89" s="22"/>
      <c r="AO89" s="104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98"/>
      <c r="BB89" s="98"/>
      <c r="BC89" s="124">
        <v>0.7</v>
      </c>
      <c r="BD89" s="124"/>
      <c r="BE89" s="104"/>
      <c r="BF89" s="22"/>
      <c r="BG89" s="22"/>
      <c r="BH89" s="104"/>
      <c r="BI89" s="78">
        <f t="shared" si="296"/>
        <v>1</v>
      </c>
      <c r="BJ89" s="105"/>
      <c r="BK89" s="105"/>
      <c r="BL89" s="105"/>
      <c r="BM89" s="105"/>
      <c r="BN89" s="105"/>
      <c r="BO89" s="105"/>
      <c r="BP89" s="105"/>
      <c r="BQ89" s="105"/>
      <c r="BR89" s="105"/>
      <c r="BS89" s="105"/>
      <c r="BT89" s="105"/>
      <c r="BU89" s="105"/>
      <c r="BV89" s="105"/>
      <c r="BW89" s="105"/>
      <c r="BX89" s="105"/>
      <c r="BY89" s="105"/>
      <c r="BZ89" s="105"/>
      <c r="CA89" s="105"/>
      <c r="CB89" s="105"/>
      <c r="CC89" s="105"/>
      <c r="CD89" s="105"/>
      <c r="CE89" s="105"/>
      <c r="CF89" s="120"/>
      <c r="CG89" s="128"/>
      <c r="CH89" s="128"/>
      <c r="CI89" s="105"/>
      <c r="CJ89" s="105"/>
      <c r="CK89" s="105"/>
      <c r="CL89" s="105">
        <v>0.3</v>
      </c>
      <c r="CM89" s="105"/>
      <c r="CN89" s="105"/>
      <c r="CO89" s="105"/>
      <c r="CP89" s="105"/>
      <c r="CQ89" s="105"/>
      <c r="CR89" s="105"/>
      <c r="CS89" s="105"/>
      <c r="CT89" s="105"/>
      <c r="CU89" s="105"/>
      <c r="CV89" s="105"/>
      <c r="CW89" s="105"/>
      <c r="CX89" s="105"/>
      <c r="CY89" s="105"/>
      <c r="CZ89" s="105"/>
      <c r="DA89" s="105"/>
      <c r="DB89" s="105"/>
      <c r="DC89" s="105"/>
      <c r="DD89" s="125">
        <v>0.7</v>
      </c>
      <c r="DE89" s="125"/>
      <c r="DF89" s="105"/>
      <c r="DG89" s="105"/>
      <c r="DH89" s="105"/>
      <c r="DI89" s="105"/>
      <c r="DJ89" s="79">
        <f t="shared" si="460"/>
        <v>1</v>
      </c>
      <c r="DK89" s="108"/>
      <c r="DL89" s="108"/>
      <c r="DM89" s="108"/>
      <c r="DN89" s="108">
        <v>0.92</v>
      </c>
      <c r="DO89" s="108"/>
      <c r="DP89" s="108"/>
      <c r="DQ89" s="108"/>
      <c r="DR89" s="108"/>
      <c r="DS89" s="108"/>
      <c r="DT89" s="108"/>
      <c r="DU89" s="108"/>
      <c r="DV89" s="108"/>
      <c r="DW89" s="108"/>
      <c r="DX89" s="108"/>
      <c r="DY89" s="108"/>
      <c r="DZ89" s="108"/>
      <c r="EA89" s="108"/>
      <c r="EB89" s="108"/>
      <c r="EC89" s="108"/>
      <c r="ED89" s="108"/>
      <c r="EE89" s="108"/>
      <c r="EF89" s="108"/>
      <c r="EG89" s="108"/>
      <c r="EH89" s="129"/>
      <c r="EI89" s="129"/>
      <c r="EJ89" s="108"/>
      <c r="EK89" s="108"/>
      <c r="EL89" s="108"/>
      <c r="EM89" s="108"/>
      <c r="EN89" s="108"/>
      <c r="EO89" s="108"/>
      <c r="EP89" s="108"/>
      <c r="EQ89" s="108"/>
      <c r="ER89" s="108"/>
      <c r="ES89" s="106"/>
      <c r="ET89" s="106"/>
      <c r="EU89" s="106">
        <v>0.06</v>
      </c>
      <c r="EV89" s="106"/>
      <c r="EW89" s="106"/>
      <c r="EX89" s="106"/>
      <c r="EY89" s="106"/>
      <c r="EZ89" s="106"/>
      <c r="FA89" s="106"/>
      <c r="FB89" s="106"/>
      <c r="FC89" s="106"/>
      <c r="FD89" s="106"/>
      <c r="FE89" s="126"/>
      <c r="FF89" s="126"/>
      <c r="FG89" s="106"/>
      <c r="FH89" s="106"/>
      <c r="FI89" s="106"/>
      <c r="FJ89" s="106">
        <v>0.02</v>
      </c>
      <c r="FK89" s="17">
        <f t="shared" si="461"/>
        <v>1</v>
      </c>
      <c r="FL89" s="18"/>
      <c r="FM89" s="19">
        <f t="shared" si="298"/>
        <v>0</v>
      </c>
      <c r="FN89" s="19">
        <f t="shared" si="299"/>
        <v>0</v>
      </c>
      <c r="FO89" s="19">
        <f t="shared" si="300"/>
        <v>0</v>
      </c>
      <c r="FP89" s="19">
        <f t="shared" si="301"/>
        <v>1.3800000000000001</v>
      </c>
      <c r="FQ89" s="19">
        <f t="shared" si="302"/>
        <v>0</v>
      </c>
      <c r="FR89" s="19">
        <f t="shared" si="303"/>
        <v>0</v>
      </c>
      <c r="FS89" s="19">
        <f t="shared" si="304"/>
        <v>0</v>
      </c>
      <c r="FT89" s="19">
        <f t="shared" si="305"/>
        <v>0</v>
      </c>
      <c r="FU89" s="19">
        <f t="shared" si="306"/>
        <v>0</v>
      </c>
      <c r="FV89" s="19">
        <f t="shared" si="307"/>
        <v>0</v>
      </c>
      <c r="FW89" s="19">
        <f t="shared" si="308"/>
        <v>0</v>
      </c>
      <c r="FX89" s="19">
        <f t="shared" si="309"/>
        <v>0</v>
      </c>
      <c r="FY89" s="19">
        <f t="shared" si="310"/>
        <v>0</v>
      </c>
      <c r="FZ89" s="19">
        <f t="shared" si="311"/>
        <v>0</v>
      </c>
      <c r="GA89" s="19">
        <f t="shared" si="312"/>
        <v>0</v>
      </c>
      <c r="GB89" s="19">
        <f t="shared" si="313"/>
        <v>0</v>
      </c>
      <c r="GC89" s="19">
        <f t="shared" si="314"/>
        <v>0</v>
      </c>
      <c r="GD89" s="19">
        <f t="shared" si="315"/>
        <v>0</v>
      </c>
      <c r="GE89" s="19">
        <f t="shared" si="316"/>
        <v>0</v>
      </c>
      <c r="GF89" s="19">
        <f t="shared" si="317"/>
        <v>0</v>
      </c>
      <c r="GG89" s="19">
        <f t="shared" si="318"/>
        <v>0</v>
      </c>
      <c r="GH89" s="19">
        <f t="shared" si="319"/>
        <v>0</v>
      </c>
      <c r="GI89" s="19">
        <f t="shared" si="320"/>
        <v>0</v>
      </c>
      <c r="GJ89" s="19">
        <f t="shared" si="321"/>
        <v>0</v>
      </c>
      <c r="GK89" s="19">
        <f t="shared" si="322"/>
        <v>0</v>
      </c>
      <c r="GL89" s="19">
        <f t="shared" si="323"/>
        <v>0</v>
      </c>
      <c r="GM89" s="19">
        <f t="shared" si="324"/>
        <v>0</v>
      </c>
      <c r="GN89" s="19">
        <f t="shared" si="325"/>
        <v>0.44999999999999996</v>
      </c>
      <c r="GO89" s="19">
        <f t="shared" si="326"/>
        <v>0.6</v>
      </c>
      <c r="GP89" s="19">
        <f t="shared" si="327"/>
        <v>0</v>
      </c>
      <c r="GQ89" s="19">
        <f t="shared" si="328"/>
        <v>0</v>
      </c>
      <c r="GR89" s="19">
        <f t="shared" si="329"/>
        <v>0</v>
      </c>
      <c r="GS89" s="19">
        <f t="shared" si="330"/>
        <v>0</v>
      </c>
      <c r="GT89" s="19">
        <f t="shared" si="331"/>
        <v>0</v>
      </c>
      <c r="GU89" s="19">
        <f t="shared" si="332"/>
        <v>0</v>
      </c>
      <c r="GV89" s="19">
        <f t="shared" si="333"/>
        <v>0</v>
      </c>
      <c r="GW89" s="19">
        <f t="shared" si="334"/>
        <v>0.09</v>
      </c>
      <c r="GX89" s="19">
        <f t="shared" si="335"/>
        <v>0</v>
      </c>
      <c r="GY89" s="19">
        <f t="shared" si="336"/>
        <v>0</v>
      </c>
      <c r="GZ89" s="19">
        <f t="shared" si="337"/>
        <v>0</v>
      </c>
      <c r="HA89" s="19">
        <f t="shared" si="338"/>
        <v>0</v>
      </c>
      <c r="HB89" s="19">
        <f t="shared" si="339"/>
        <v>0</v>
      </c>
      <c r="HC89" s="19">
        <f t="shared" si="340"/>
        <v>0</v>
      </c>
      <c r="HD89" s="19">
        <f t="shared" si="341"/>
        <v>0</v>
      </c>
      <c r="HE89" s="19">
        <f t="shared" si="342"/>
        <v>0</v>
      </c>
      <c r="HF89" s="19">
        <f t="shared" si="343"/>
        <v>0</v>
      </c>
      <c r="HG89" s="19">
        <f t="shared" si="344"/>
        <v>2.4499999999999997</v>
      </c>
      <c r="HH89" s="19">
        <f t="shared" si="345"/>
        <v>0</v>
      </c>
      <c r="HI89" s="19">
        <f t="shared" si="346"/>
        <v>0</v>
      </c>
      <c r="HJ89" s="19">
        <f t="shared" si="347"/>
        <v>0</v>
      </c>
      <c r="HK89" s="19">
        <f t="shared" si="348"/>
        <v>0</v>
      </c>
      <c r="HL89" s="19">
        <f t="shared" si="349"/>
        <v>0.03</v>
      </c>
      <c r="HM89" s="20">
        <f t="shared" si="350"/>
        <v>5</v>
      </c>
      <c r="HN89" s="53">
        <v>256.5</v>
      </c>
      <c r="HO89" s="21">
        <f t="shared" si="351"/>
        <v>0</v>
      </c>
      <c r="HP89" s="21">
        <f t="shared" si="352"/>
        <v>0</v>
      </c>
      <c r="HQ89" s="21">
        <f t="shared" si="353"/>
        <v>0</v>
      </c>
      <c r="HR89" s="21">
        <f t="shared" si="354"/>
        <v>70.794000000000011</v>
      </c>
      <c r="HS89" s="21">
        <f t="shared" si="355"/>
        <v>0</v>
      </c>
      <c r="HT89" s="69">
        <f t="shared" si="356"/>
        <v>0</v>
      </c>
      <c r="HU89" s="21">
        <f t="shared" si="357"/>
        <v>0</v>
      </c>
      <c r="HV89" s="21">
        <f t="shared" si="358"/>
        <v>0</v>
      </c>
      <c r="HW89" s="21">
        <f t="shared" si="359"/>
        <v>0</v>
      </c>
      <c r="HX89" s="21">
        <f t="shared" si="360"/>
        <v>0</v>
      </c>
      <c r="HY89" s="21">
        <f t="shared" si="361"/>
        <v>0</v>
      </c>
      <c r="HZ89" s="21">
        <f t="shared" si="362"/>
        <v>0</v>
      </c>
      <c r="IA89" s="21">
        <f t="shared" si="363"/>
        <v>0</v>
      </c>
      <c r="IB89" s="21">
        <f t="shared" si="364"/>
        <v>0</v>
      </c>
      <c r="IC89" s="21">
        <f t="shared" si="365"/>
        <v>0</v>
      </c>
      <c r="ID89" s="21">
        <f t="shared" si="366"/>
        <v>0</v>
      </c>
      <c r="IE89" s="21">
        <f t="shared" si="367"/>
        <v>0</v>
      </c>
      <c r="IF89" s="69">
        <f t="shared" si="368"/>
        <v>0</v>
      </c>
      <c r="IG89" s="69">
        <f t="shared" si="369"/>
        <v>0</v>
      </c>
      <c r="IH89" s="69">
        <f t="shared" si="370"/>
        <v>0</v>
      </c>
      <c r="II89" s="21">
        <f t="shared" si="371"/>
        <v>0</v>
      </c>
      <c r="IJ89" s="21">
        <f t="shared" si="372"/>
        <v>0</v>
      </c>
      <c r="IK89" s="21">
        <f t="shared" si="373"/>
        <v>0</v>
      </c>
      <c r="IL89" s="21">
        <f t="shared" si="374"/>
        <v>0</v>
      </c>
      <c r="IM89" s="21">
        <f t="shared" si="375"/>
        <v>0</v>
      </c>
      <c r="IN89" s="21">
        <f t="shared" si="376"/>
        <v>0</v>
      </c>
      <c r="IO89" s="21">
        <f t="shared" si="377"/>
        <v>0</v>
      </c>
      <c r="IP89" s="21">
        <f t="shared" si="378"/>
        <v>23.084999999999997</v>
      </c>
      <c r="IQ89" s="21">
        <f t="shared" si="379"/>
        <v>30.78</v>
      </c>
      <c r="IR89" s="21">
        <f t="shared" si="380"/>
        <v>0</v>
      </c>
      <c r="IS89" s="21">
        <f t="shared" si="381"/>
        <v>0</v>
      </c>
      <c r="IT89" s="21">
        <f t="shared" si="382"/>
        <v>0</v>
      </c>
      <c r="IU89" s="21">
        <f t="shared" si="383"/>
        <v>0</v>
      </c>
      <c r="IV89" s="21">
        <f t="shared" si="384"/>
        <v>0</v>
      </c>
      <c r="IW89" s="21">
        <f t="shared" si="385"/>
        <v>0</v>
      </c>
      <c r="IX89" s="21">
        <f t="shared" si="386"/>
        <v>0</v>
      </c>
      <c r="IY89" s="21">
        <f t="shared" si="387"/>
        <v>4.617</v>
      </c>
      <c r="IZ89" s="21">
        <f t="shared" si="388"/>
        <v>0</v>
      </c>
      <c r="JA89" s="21">
        <f t="shared" si="389"/>
        <v>0</v>
      </c>
      <c r="JB89" s="21">
        <f t="shared" si="390"/>
        <v>0</v>
      </c>
      <c r="JC89" s="21">
        <f t="shared" si="391"/>
        <v>0</v>
      </c>
      <c r="JD89" s="21">
        <f t="shared" si="392"/>
        <v>0</v>
      </c>
      <c r="JE89" s="21">
        <f t="shared" si="393"/>
        <v>0</v>
      </c>
      <c r="JF89" s="21">
        <f t="shared" si="394"/>
        <v>0</v>
      </c>
      <c r="JG89" s="21">
        <f t="shared" si="395"/>
        <v>0</v>
      </c>
      <c r="JH89" s="21">
        <f t="shared" si="396"/>
        <v>0</v>
      </c>
      <c r="JI89" s="21">
        <f t="shared" si="397"/>
        <v>125.68499999999999</v>
      </c>
      <c r="JJ89" s="21">
        <f t="shared" si="398"/>
        <v>0</v>
      </c>
      <c r="JK89" s="21">
        <f t="shared" si="399"/>
        <v>0</v>
      </c>
      <c r="JL89" s="21">
        <f t="shared" si="400"/>
        <v>0</v>
      </c>
      <c r="JM89" s="21">
        <f t="shared" si="401"/>
        <v>0</v>
      </c>
      <c r="JN89" s="21">
        <f t="shared" si="402"/>
        <v>1.5389999999999999</v>
      </c>
      <c r="JO89" s="35">
        <f t="shared" si="403"/>
        <v>256.5</v>
      </c>
      <c r="JP89" s="38">
        <f t="shared" si="404"/>
        <v>0</v>
      </c>
      <c r="JQ89" s="43">
        <f t="shared" si="405"/>
        <v>0</v>
      </c>
      <c r="JR89" s="43">
        <f t="shared" si="406"/>
        <v>0</v>
      </c>
      <c r="JS89" s="43">
        <f t="shared" si="407"/>
        <v>0</v>
      </c>
      <c r="JT89" s="43">
        <f t="shared" si="408"/>
        <v>304.4793304800001</v>
      </c>
      <c r="JU89" s="43">
        <f t="shared" si="409"/>
        <v>0</v>
      </c>
      <c r="JV89" s="43">
        <f t="shared" si="410"/>
        <v>0</v>
      </c>
      <c r="JW89" s="43">
        <f t="shared" si="411"/>
        <v>0</v>
      </c>
      <c r="JX89" s="43">
        <f t="shared" si="412"/>
        <v>0</v>
      </c>
      <c r="JY89" s="43">
        <f t="shared" si="413"/>
        <v>0</v>
      </c>
      <c r="JZ89" s="43">
        <f t="shared" si="414"/>
        <v>0</v>
      </c>
      <c r="KA89" s="43">
        <f t="shared" si="415"/>
        <v>0</v>
      </c>
      <c r="KB89" s="43">
        <f t="shared" si="416"/>
        <v>0</v>
      </c>
      <c r="KC89" s="43">
        <f t="shared" si="417"/>
        <v>0</v>
      </c>
      <c r="KD89" s="43">
        <f t="shared" si="418"/>
        <v>0</v>
      </c>
      <c r="KE89" s="43">
        <f t="shared" si="419"/>
        <v>0</v>
      </c>
      <c r="KF89" s="43">
        <f t="shared" si="420"/>
        <v>0</v>
      </c>
      <c r="KG89" s="43">
        <f t="shared" si="421"/>
        <v>0</v>
      </c>
      <c r="KH89" s="43">
        <f t="shared" si="422"/>
        <v>0</v>
      </c>
      <c r="KI89" s="43">
        <f t="shared" si="423"/>
        <v>0</v>
      </c>
      <c r="KJ89" s="43">
        <f t="shared" si="424"/>
        <v>0</v>
      </c>
      <c r="KK89" s="43">
        <f t="shared" si="425"/>
        <v>0</v>
      </c>
      <c r="KL89" s="43">
        <f t="shared" si="426"/>
        <v>0</v>
      </c>
      <c r="KM89" s="43">
        <f t="shared" si="427"/>
        <v>0</v>
      </c>
      <c r="KN89" s="43">
        <f t="shared" si="428"/>
        <v>0</v>
      </c>
      <c r="KO89" s="43">
        <f t="shared" si="429"/>
        <v>0</v>
      </c>
      <c r="KP89" s="43">
        <f t="shared" si="430"/>
        <v>0</v>
      </c>
      <c r="KQ89" s="43">
        <f t="shared" si="431"/>
        <v>0</v>
      </c>
      <c r="KR89" s="43">
        <f t="shared" si="432"/>
        <v>89.108099999999993</v>
      </c>
      <c r="KS89" s="43">
        <f t="shared" si="433"/>
        <v>105.24700786909091</v>
      </c>
      <c r="KT89" s="43">
        <f t="shared" si="434"/>
        <v>0</v>
      </c>
      <c r="KU89" s="43">
        <f t="shared" si="435"/>
        <v>0</v>
      </c>
      <c r="KV89" s="43">
        <f t="shared" si="436"/>
        <v>0</v>
      </c>
      <c r="KW89" s="43">
        <f t="shared" si="437"/>
        <v>0</v>
      </c>
      <c r="KX89" s="43">
        <f t="shared" si="438"/>
        <v>0</v>
      </c>
      <c r="KY89" s="43">
        <f t="shared" si="439"/>
        <v>0</v>
      </c>
      <c r="KZ89" s="43">
        <f t="shared" si="440"/>
        <v>0</v>
      </c>
      <c r="LA89" s="43">
        <f t="shared" si="441"/>
        <v>18.499580279999996</v>
      </c>
      <c r="LB89" s="43">
        <f t="shared" si="442"/>
        <v>0</v>
      </c>
      <c r="LC89" s="43">
        <f t="shared" si="443"/>
        <v>0</v>
      </c>
      <c r="LD89" s="43">
        <f t="shared" si="444"/>
        <v>0</v>
      </c>
      <c r="LE89" s="43">
        <f t="shared" si="445"/>
        <v>0</v>
      </c>
      <c r="LF89" s="43">
        <f t="shared" si="446"/>
        <v>0</v>
      </c>
      <c r="LG89" s="43">
        <f t="shared" si="447"/>
        <v>0</v>
      </c>
      <c r="LH89" s="43">
        <f t="shared" si="448"/>
        <v>0</v>
      </c>
      <c r="LI89" s="43">
        <f t="shared" si="449"/>
        <v>0</v>
      </c>
      <c r="LJ89" s="43">
        <f t="shared" si="450"/>
        <v>0</v>
      </c>
      <c r="LK89" s="43">
        <f t="shared" si="451"/>
        <v>503.46268874999993</v>
      </c>
      <c r="LL89" s="43">
        <f t="shared" si="452"/>
        <v>0</v>
      </c>
      <c r="LM89" s="43">
        <f t="shared" si="453"/>
        <v>0</v>
      </c>
      <c r="LN89" s="43">
        <f t="shared" si="454"/>
        <v>0</v>
      </c>
      <c r="LO89" s="43">
        <f t="shared" si="455"/>
        <v>0</v>
      </c>
      <c r="LP89" s="43">
        <f t="shared" si="456"/>
        <v>13.004549999999998</v>
      </c>
      <c r="LQ89" s="28">
        <f t="shared" si="457"/>
        <v>1033.8012573790911</v>
      </c>
      <c r="LR89" s="65">
        <v>245</v>
      </c>
      <c r="LS89" s="32">
        <f t="shared" si="462"/>
        <v>4.2195969688942494</v>
      </c>
      <c r="LT89" s="26">
        <f t="shared" si="463"/>
        <v>1.1528953466924179</v>
      </c>
      <c r="LU89" s="31">
        <f t="shared" si="458"/>
        <v>11.5</v>
      </c>
      <c r="LW89" s="42"/>
      <c r="MA89" s="32">
        <f t="shared" si="459"/>
        <v>4.0304142587878795</v>
      </c>
      <c r="MB89" s="26">
        <f t="shared" si="464"/>
        <v>1.1012060816360325</v>
      </c>
    </row>
    <row r="90" spans="1:340" ht="15.75" thickBot="1">
      <c r="A90" t="b">
        <f t="shared" si="297"/>
        <v>1</v>
      </c>
      <c r="B90" s="123" t="s">
        <v>255</v>
      </c>
      <c r="C90" s="39" t="s">
        <v>256</v>
      </c>
      <c r="D90"/>
      <c r="E90" s="97">
        <v>46036</v>
      </c>
      <c r="F90" t="s">
        <v>43</v>
      </c>
      <c r="G90" t="s">
        <v>20</v>
      </c>
      <c r="H90" t="s">
        <v>27</v>
      </c>
      <c r="I90" s="77"/>
      <c r="J90" s="77"/>
      <c r="K90" s="77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24"/>
      <c r="AG90" s="124"/>
      <c r="AH90" s="104"/>
      <c r="AI90" s="104"/>
      <c r="AJ90" s="104">
        <v>0.4</v>
      </c>
      <c r="AK90" s="104"/>
      <c r="AL90" s="104"/>
      <c r="AM90" s="104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24">
        <v>0.6</v>
      </c>
      <c r="BD90" s="124"/>
      <c r="BE90" s="104"/>
      <c r="BF90" s="104"/>
      <c r="BG90" s="104"/>
      <c r="BH90" s="104"/>
      <c r="BI90" s="78">
        <f t="shared" si="296"/>
        <v>1</v>
      </c>
      <c r="BJ90" s="105"/>
      <c r="BK90" s="105"/>
      <c r="BL90" s="105"/>
      <c r="BM90" s="105"/>
      <c r="BN90" s="105"/>
      <c r="BO90" s="105"/>
      <c r="BP90" s="105"/>
      <c r="BQ90" s="105"/>
      <c r="BR90" s="105"/>
      <c r="BS90" s="105"/>
      <c r="BT90" s="105"/>
      <c r="BU90" s="105"/>
      <c r="BV90" s="105"/>
      <c r="BW90" s="105"/>
      <c r="BX90" s="105"/>
      <c r="BY90" s="105"/>
      <c r="BZ90" s="105"/>
      <c r="CA90" s="105"/>
      <c r="CB90" s="105"/>
      <c r="CC90" s="105"/>
      <c r="CD90" s="105"/>
      <c r="CE90" s="105"/>
      <c r="CF90" s="120"/>
      <c r="CG90" s="128"/>
      <c r="CH90" s="128"/>
      <c r="CI90" s="105"/>
      <c r="CJ90" s="105"/>
      <c r="CK90" s="105"/>
      <c r="CL90" s="105">
        <v>0.4</v>
      </c>
      <c r="CM90" s="105"/>
      <c r="CN90" s="105"/>
      <c r="CO90" s="105"/>
      <c r="CP90" s="105"/>
      <c r="CQ90" s="105"/>
      <c r="CR90" s="105"/>
      <c r="CS90" s="105"/>
      <c r="CT90" s="105"/>
      <c r="CU90" s="105"/>
      <c r="CV90" s="105"/>
      <c r="CW90" s="105"/>
      <c r="CX90" s="105"/>
      <c r="CY90" s="105"/>
      <c r="CZ90" s="105"/>
      <c r="DA90" s="105"/>
      <c r="DB90" s="105"/>
      <c r="DC90" s="105"/>
      <c r="DD90" s="125">
        <v>0.6</v>
      </c>
      <c r="DE90" s="125"/>
      <c r="DF90" s="105"/>
      <c r="DG90" s="105"/>
      <c r="DH90" s="105"/>
      <c r="DI90" s="105"/>
      <c r="DJ90" s="79">
        <f t="shared" si="460"/>
        <v>1</v>
      </c>
      <c r="DK90" s="108"/>
      <c r="DL90" s="108"/>
      <c r="DM90" s="108"/>
      <c r="DN90" s="108">
        <v>0.73</v>
      </c>
      <c r="DO90" s="108"/>
      <c r="DP90" s="108"/>
      <c r="DQ90" s="108"/>
      <c r="DR90" s="108"/>
      <c r="DS90" s="108"/>
      <c r="DT90" s="108"/>
      <c r="DU90" s="108"/>
      <c r="DV90" s="108"/>
      <c r="DW90" s="108"/>
      <c r="DX90" s="108"/>
      <c r="DY90" s="108"/>
      <c r="DZ90" s="108"/>
      <c r="EA90" s="108"/>
      <c r="EB90" s="108"/>
      <c r="EC90" s="108"/>
      <c r="ED90" s="108"/>
      <c r="EE90" s="108"/>
      <c r="EF90" s="108"/>
      <c r="EG90" s="108"/>
      <c r="EH90" s="129"/>
      <c r="EI90" s="129"/>
      <c r="EJ90" s="108"/>
      <c r="EK90" s="108"/>
      <c r="EL90" s="108"/>
      <c r="EM90" s="108">
        <v>0.15</v>
      </c>
      <c r="EN90" s="108"/>
      <c r="EO90" s="108"/>
      <c r="EP90" s="108"/>
      <c r="EQ90" s="108"/>
      <c r="ER90" s="108"/>
      <c r="ES90" s="106"/>
      <c r="ET90" s="106"/>
      <c r="EU90" s="106">
        <v>0.1</v>
      </c>
      <c r="EV90" s="106"/>
      <c r="EW90" s="106"/>
      <c r="EX90" s="106"/>
      <c r="EY90" s="106"/>
      <c r="EZ90" s="106"/>
      <c r="FA90" s="106"/>
      <c r="FB90" s="106"/>
      <c r="FC90" s="106"/>
      <c r="FD90" s="106"/>
      <c r="FE90" s="126"/>
      <c r="FF90" s="126"/>
      <c r="FG90" s="106"/>
      <c r="FH90" s="106"/>
      <c r="FI90" s="106"/>
      <c r="FJ90" s="106">
        <v>0.02</v>
      </c>
      <c r="FK90" s="17">
        <f t="shared" si="461"/>
        <v>1</v>
      </c>
      <c r="FL90" s="18"/>
      <c r="FM90" s="19">
        <f t="shared" si="298"/>
        <v>0</v>
      </c>
      <c r="FN90" s="19">
        <f t="shared" si="299"/>
        <v>0</v>
      </c>
      <c r="FO90" s="19">
        <f t="shared" si="300"/>
        <v>0</v>
      </c>
      <c r="FP90" s="19">
        <f t="shared" si="301"/>
        <v>1.095</v>
      </c>
      <c r="FQ90" s="19">
        <f t="shared" si="302"/>
        <v>0</v>
      </c>
      <c r="FR90" s="19">
        <f t="shared" si="303"/>
        <v>0</v>
      </c>
      <c r="FS90" s="19">
        <f t="shared" si="304"/>
        <v>0</v>
      </c>
      <c r="FT90" s="19">
        <f t="shared" si="305"/>
        <v>0</v>
      </c>
      <c r="FU90" s="19">
        <f t="shared" si="306"/>
        <v>0</v>
      </c>
      <c r="FV90" s="19">
        <f t="shared" si="307"/>
        <v>0</v>
      </c>
      <c r="FW90" s="19">
        <f t="shared" si="308"/>
        <v>0</v>
      </c>
      <c r="FX90" s="19">
        <f t="shared" si="309"/>
        <v>0</v>
      </c>
      <c r="FY90" s="19">
        <f t="shared" si="310"/>
        <v>0</v>
      </c>
      <c r="FZ90" s="19">
        <f t="shared" si="311"/>
        <v>0</v>
      </c>
      <c r="GA90" s="19">
        <f t="shared" si="312"/>
        <v>0</v>
      </c>
      <c r="GB90" s="19">
        <f t="shared" si="313"/>
        <v>0</v>
      </c>
      <c r="GC90" s="19">
        <f t="shared" si="314"/>
        <v>0</v>
      </c>
      <c r="GD90" s="19">
        <f t="shared" si="315"/>
        <v>0</v>
      </c>
      <c r="GE90" s="19">
        <f t="shared" si="316"/>
        <v>0</v>
      </c>
      <c r="GF90" s="19">
        <f t="shared" si="317"/>
        <v>0</v>
      </c>
      <c r="GG90" s="19">
        <f t="shared" si="318"/>
        <v>0</v>
      </c>
      <c r="GH90" s="19">
        <f t="shared" si="319"/>
        <v>0</v>
      </c>
      <c r="GI90" s="19">
        <f t="shared" si="320"/>
        <v>0</v>
      </c>
      <c r="GJ90" s="19">
        <f t="shared" si="321"/>
        <v>0</v>
      </c>
      <c r="GK90" s="19">
        <f t="shared" si="322"/>
        <v>0</v>
      </c>
      <c r="GL90" s="19">
        <f t="shared" si="323"/>
        <v>0</v>
      </c>
      <c r="GM90" s="19">
        <f t="shared" si="324"/>
        <v>0</v>
      </c>
      <c r="GN90" s="19">
        <f t="shared" si="325"/>
        <v>0.60000000000000009</v>
      </c>
      <c r="GO90" s="19">
        <f t="shared" si="326"/>
        <v>1.0249999999999999</v>
      </c>
      <c r="GP90" s="19">
        <f t="shared" si="327"/>
        <v>0</v>
      </c>
      <c r="GQ90" s="19">
        <f t="shared" si="328"/>
        <v>0</v>
      </c>
      <c r="GR90" s="19">
        <f t="shared" si="329"/>
        <v>0</v>
      </c>
      <c r="GS90" s="19">
        <f t="shared" si="330"/>
        <v>0</v>
      </c>
      <c r="GT90" s="19">
        <f t="shared" si="331"/>
        <v>0</v>
      </c>
      <c r="GU90" s="19">
        <f t="shared" si="332"/>
        <v>0</v>
      </c>
      <c r="GV90" s="19">
        <f t="shared" si="333"/>
        <v>0</v>
      </c>
      <c r="GW90" s="19">
        <f t="shared" si="334"/>
        <v>0.15000000000000002</v>
      </c>
      <c r="GX90" s="19">
        <f t="shared" si="335"/>
        <v>0</v>
      </c>
      <c r="GY90" s="19">
        <f t="shared" si="336"/>
        <v>0</v>
      </c>
      <c r="GZ90" s="19">
        <f t="shared" si="337"/>
        <v>0</v>
      </c>
      <c r="HA90" s="19">
        <f t="shared" si="338"/>
        <v>0</v>
      </c>
      <c r="HB90" s="19">
        <f t="shared" si="339"/>
        <v>0</v>
      </c>
      <c r="HC90" s="19">
        <f t="shared" si="340"/>
        <v>0</v>
      </c>
      <c r="HD90" s="19">
        <f t="shared" si="341"/>
        <v>0</v>
      </c>
      <c r="HE90" s="19">
        <f t="shared" si="342"/>
        <v>0</v>
      </c>
      <c r="HF90" s="19">
        <f t="shared" si="343"/>
        <v>0</v>
      </c>
      <c r="HG90" s="19">
        <f t="shared" si="344"/>
        <v>2.0999999999999996</v>
      </c>
      <c r="HH90" s="19">
        <f t="shared" si="345"/>
        <v>0</v>
      </c>
      <c r="HI90" s="19">
        <f t="shared" si="346"/>
        <v>0</v>
      </c>
      <c r="HJ90" s="19">
        <f t="shared" si="347"/>
        <v>0</v>
      </c>
      <c r="HK90" s="19">
        <f t="shared" si="348"/>
        <v>0</v>
      </c>
      <c r="HL90" s="19">
        <f t="shared" si="349"/>
        <v>0.03</v>
      </c>
      <c r="HM90" s="20">
        <f t="shared" si="350"/>
        <v>4.9999999999999991</v>
      </c>
      <c r="HN90" s="53">
        <v>923</v>
      </c>
      <c r="HO90" s="21">
        <f t="shared" si="351"/>
        <v>0</v>
      </c>
      <c r="HP90" s="21">
        <f t="shared" si="352"/>
        <v>0</v>
      </c>
      <c r="HQ90" s="21">
        <f t="shared" si="353"/>
        <v>0</v>
      </c>
      <c r="HR90" s="21">
        <f t="shared" si="354"/>
        <v>202.13700000000003</v>
      </c>
      <c r="HS90" s="21">
        <f t="shared" si="355"/>
        <v>0</v>
      </c>
      <c r="HT90" s="69">
        <f t="shared" si="356"/>
        <v>0</v>
      </c>
      <c r="HU90" s="21">
        <f t="shared" si="357"/>
        <v>0</v>
      </c>
      <c r="HV90" s="21">
        <f t="shared" si="358"/>
        <v>0</v>
      </c>
      <c r="HW90" s="21">
        <f t="shared" si="359"/>
        <v>0</v>
      </c>
      <c r="HX90" s="21">
        <f t="shared" si="360"/>
        <v>0</v>
      </c>
      <c r="HY90" s="21">
        <f t="shared" si="361"/>
        <v>0</v>
      </c>
      <c r="HZ90" s="21">
        <f t="shared" si="362"/>
        <v>0</v>
      </c>
      <c r="IA90" s="21">
        <f t="shared" si="363"/>
        <v>0</v>
      </c>
      <c r="IB90" s="21">
        <f t="shared" si="364"/>
        <v>0</v>
      </c>
      <c r="IC90" s="21">
        <f t="shared" si="365"/>
        <v>0</v>
      </c>
      <c r="ID90" s="21">
        <f t="shared" si="366"/>
        <v>0</v>
      </c>
      <c r="IE90" s="21">
        <f t="shared" si="367"/>
        <v>0</v>
      </c>
      <c r="IF90" s="69">
        <f t="shared" si="368"/>
        <v>0</v>
      </c>
      <c r="IG90" s="69">
        <f t="shared" si="369"/>
        <v>0</v>
      </c>
      <c r="IH90" s="69">
        <f t="shared" si="370"/>
        <v>0</v>
      </c>
      <c r="II90" s="21">
        <f t="shared" si="371"/>
        <v>0</v>
      </c>
      <c r="IJ90" s="21">
        <f t="shared" si="372"/>
        <v>0</v>
      </c>
      <c r="IK90" s="21">
        <f t="shared" si="373"/>
        <v>0</v>
      </c>
      <c r="IL90" s="21">
        <f t="shared" si="374"/>
        <v>0</v>
      </c>
      <c r="IM90" s="21">
        <f t="shared" si="375"/>
        <v>0</v>
      </c>
      <c r="IN90" s="21">
        <f t="shared" si="376"/>
        <v>0</v>
      </c>
      <c r="IO90" s="21">
        <f t="shared" si="377"/>
        <v>0</v>
      </c>
      <c r="IP90" s="21">
        <f t="shared" si="378"/>
        <v>110.76000000000003</v>
      </c>
      <c r="IQ90" s="21">
        <f t="shared" si="379"/>
        <v>189.21500000000003</v>
      </c>
      <c r="IR90" s="21">
        <f t="shared" si="380"/>
        <v>0</v>
      </c>
      <c r="IS90" s="21">
        <f t="shared" si="381"/>
        <v>0</v>
      </c>
      <c r="IT90" s="21">
        <f t="shared" si="382"/>
        <v>0</v>
      </c>
      <c r="IU90" s="21">
        <f t="shared" si="383"/>
        <v>0</v>
      </c>
      <c r="IV90" s="21">
        <f t="shared" si="384"/>
        <v>0</v>
      </c>
      <c r="IW90" s="21">
        <f t="shared" si="385"/>
        <v>0</v>
      </c>
      <c r="IX90" s="21">
        <f t="shared" si="386"/>
        <v>0</v>
      </c>
      <c r="IY90" s="21">
        <f t="shared" si="387"/>
        <v>27.690000000000008</v>
      </c>
      <c r="IZ90" s="21">
        <f t="shared" si="388"/>
        <v>0</v>
      </c>
      <c r="JA90" s="21">
        <f t="shared" si="389"/>
        <v>0</v>
      </c>
      <c r="JB90" s="21">
        <f t="shared" si="390"/>
        <v>0</v>
      </c>
      <c r="JC90" s="21">
        <f t="shared" si="391"/>
        <v>0</v>
      </c>
      <c r="JD90" s="21">
        <f t="shared" si="392"/>
        <v>0</v>
      </c>
      <c r="JE90" s="21">
        <f t="shared" si="393"/>
        <v>0</v>
      </c>
      <c r="JF90" s="21">
        <f t="shared" si="394"/>
        <v>0</v>
      </c>
      <c r="JG90" s="21">
        <f t="shared" si="395"/>
        <v>0</v>
      </c>
      <c r="JH90" s="21">
        <f t="shared" si="396"/>
        <v>0</v>
      </c>
      <c r="JI90" s="21">
        <f t="shared" si="397"/>
        <v>387.66</v>
      </c>
      <c r="JJ90" s="21">
        <f t="shared" si="398"/>
        <v>0</v>
      </c>
      <c r="JK90" s="21">
        <f t="shared" si="399"/>
        <v>0</v>
      </c>
      <c r="JL90" s="21">
        <f t="shared" si="400"/>
        <v>0</v>
      </c>
      <c r="JM90" s="21">
        <f t="shared" si="401"/>
        <v>0</v>
      </c>
      <c r="JN90" s="21">
        <f t="shared" si="402"/>
        <v>5.5380000000000003</v>
      </c>
      <c r="JO90" s="35">
        <f t="shared" si="403"/>
        <v>923.00000000000023</v>
      </c>
      <c r="JP90" s="38">
        <f t="shared" si="404"/>
        <v>0</v>
      </c>
      <c r="JQ90" s="43">
        <f t="shared" si="405"/>
        <v>0</v>
      </c>
      <c r="JR90" s="43">
        <f t="shared" si="406"/>
        <v>0</v>
      </c>
      <c r="JS90" s="43">
        <f t="shared" si="407"/>
        <v>0</v>
      </c>
      <c r="JT90" s="43">
        <f t="shared" si="408"/>
        <v>869.37506604000021</v>
      </c>
      <c r="JU90" s="43">
        <f t="shared" si="409"/>
        <v>0</v>
      </c>
      <c r="JV90" s="43">
        <f t="shared" si="410"/>
        <v>0</v>
      </c>
      <c r="JW90" s="43">
        <f t="shared" si="411"/>
        <v>0</v>
      </c>
      <c r="JX90" s="43">
        <f t="shared" si="412"/>
        <v>0</v>
      </c>
      <c r="JY90" s="43">
        <f t="shared" si="413"/>
        <v>0</v>
      </c>
      <c r="JZ90" s="43">
        <f t="shared" si="414"/>
        <v>0</v>
      </c>
      <c r="KA90" s="43">
        <f t="shared" si="415"/>
        <v>0</v>
      </c>
      <c r="KB90" s="43">
        <f t="shared" si="416"/>
        <v>0</v>
      </c>
      <c r="KC90" s="43">
        <f t="shared" si="417"/>
        <v>0</v>
      </c>
      <c r="KD90" s="43">
        <f t="shared" si="418"/>
        <v>0</v>
      </c>
      <c r="KE90" s="43">
        <f t="shared" si="419"/>
        <v>0</v>
      </c>
      <c r="KF90" s="43">
        <f t="shared" si="420"/>
        <v>0</v>
      </c>
      <c r="KG90" s="43">
        <f t="shared" si="421"/>
        <v>0</v>
      </c>
      <c r="KH90" s="43">
        <f t="shared" si="422"/>
        <v>0</v>
      </c>
      <c r="KI90" s="43">
        <f t="shared" si="423"/>
        <v>0</v>
      </c>
      <c r="KJ90" s="43">
        <f t="shared" si="424"/>
        <v>0</v>
      </c>
      <c r="KK90" s="43">
        <f t="shared" si="425"/>
        <v>0</v>
      </c>
      <c r="KL90" s="43">
        <f t="shared" si="426"/>
        <v>0</v>
      </c>
      <c r="KM90" s="43">
        <f t="shared" si="427"/>
        <v>0</v>
      </c>
      <c r="KN90" s="43">
        <f t="shared" si="428"/>
        <v>0</v>
      </c>
      <c r="KO90" s="43">
        <f t="shared" si="429"/>
        <v>0</v>
      </c>
      <c r="KP90" s="43">
        <f t="shared" si="430"/>
        <v>0</v>
      </c>
      <c r="KQ90" s="43">
        <f t="shared" si="431"/>
        <v>0</v>
      </c>
      <c r="KR90" s="43">
        <f t="shared" si="432"/>
        <v>427.53360000000009</v>
      </c>
      <c r="KS90" s="43">
        <f t="shared" si="433"/>
        <v>646.9887132537375</v>
      </c>
      <c r="KT90" s="43">
        <f t="shared" si="434"/>
        <v>0</v>
      </c>
      <c r="KU90" s="43">
        <f t="shared" si="435"/>
        <v>0</v>
      </c>
      <c r="KV90" s="43">
        <f t="shared" si="436"/>
        <v>0</v>
      </c>
      <c r="KW90" s="43">
        <f t="shared" si="437"/>
        <v>0</v>
      </c>
      <c r="KX90" s="43">
        <f t="shared" si="438"/>
        <v>0</v>
      </c>
      <c r="KY90" s="43">
        <f t="shared" si="439"/>
        <v>0</v>
      </c>
      <c r="KZ90" s="43">
        <f t="shared" si="440"/>
        <v>0</v>
      </c>
      <c r="LA90" s="43">
        <f t="shared" si="441"/>
        <v>110.94939960000002</v>
      </c>
      <c r="LB90" s="43">
        <f t="shared" si="442"/>
        <v>0</v>
      </c>
      <c r="LC90" s="43">
        <f t="shared" si="443"/>
        <v>0</v>
      </c>
      <c r="LD90" s="43">
        <f t="shared" si="444"/>
        <v>0</v>
      </c>
      <c r="LE90" s="43">
        <f t="shared" si="445"/>
        <v>0</v>
      </c>
      <c r="LF90" s="43">
        <f t="shared" si="446"/>
        <v>0</v>
      </c>
      <c r="LG90" s="43">
        <f t="shared" si="447"/>
        <v>0</v>
      </c>
      <c r="LH90" s="43">
        <f t="shared" si="448"/>
        <v>0</v>
      </c>
      <c r="LI90" s="43">
        <f t="shared" si="449"/>
        <v>0</v>
      </c>
      <c r="LJ90" s="43">
        <f t="shared" si="450"/>
        <v>0</v>
      </c>
      <c r="LK90" s="43">
        <f t="shared" si="451"/>
        <v>1552.8690450000001</v>
      </c>
      <c r="LL90" s="43">
        <f t="shared" si="452"/>
        <v>0</v>
      </c>
      <c r="LM90" s="43">
        <f t="shared" si="453"/>
        <v>0</v>
      </c>
      <c r="LN90" s="43">
        <f t="shared" si="454"/>
        <v>0</v>
      </c>
      <c r="LO90" s="43">
        <f t="shared" si="455"/>
        <v>0</v>
      </c>
      <c r="LP90" s="43">
        <f t="shared" si="456"/>
        <v>46.796099999999996</v>
      </c>
      <c r="LQ90" s="28">
        <f t="shared" si="457"/>
        <v>3654.5119238937382</v>
      </c>
      <c r="LR90" s="65">
        <v>901</v>
      </c>
      <c r="LS90" s="32">
        <f t="shared" si="462"/>
        <v>4.0560620686944926</v>
      </c>
      <c r="LT90" s="26">
        <f t="shared" si="463"/>
        <v>1.1082136799711728</v>
      </c>
      <c r="LU90" s="31">
        <f t="shared" si="458"/>
        <v>22</v>
      </c>
      <c r="LW90" s="42"/>
      <c r="MA90" s="32">
        <f t="shared" si="459"/>
        <v>3.9593845329292927</v>
      </c>
      <c r="MB90" s="26">
        <f t="shared" si="464"/>
        <v>1.0817990527129215</v>
      </c>
    </row>
    <row r="91" spans="1:340" ht="15.75" thickBot="1">
      <c r="A91" t="b">
        <f t="shared" si="297"/>
        <v>1</v>
      </c>
      <c r="B91" s="123" t="s">
        <v>257</v>
      </c>
      <c r="C91" s="39" t="s">
        <v>258</v>
      </c>
      <c r="D91"/>
      <c r="E91" s="97">
        <v>46035</v>
      </c>
      <c r="F91" t="s">
        <v>43</v>
      </c>
      <c r="G91" t="s">
        <v>19</v>
      </c>
      <c r="H91" t="s">
        <v>27</v>
      </c>
      <c r="I91" s="77"/>
      <c r="J91" s="77"/>
      <c r="K91" s="77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24"/>
      <c r="AG91" s="124"/>
      <c r="AH91" s="104"/>
      <c r="AI91" s="104"/>
      <c r="AJ91" s="22"/>
      <c r="AK91" s="22">
        <v>0.495</v>
      </c>
      <c r="AL91" s="22"/>
      <c r="AM91" s="22"/>
      <c r="AN91" s="22"/>
      <c r="AO91" s="104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104"/>
      <c r="BA91" s="104"/>
      <c r="BB91" s="104"/>
      <c r="BC91" s="124">
        <v>0.495</v>
      </c>
      <c r="BD91" s="124"/>
      <c r="BE91" s="104"/>
      <c r="BF91" s="104"/>
      <c r="BG91" s="104"/>
      <c r="BH91" s="104">
        <v>0.01</v>
      </c>
      <c r="BI91" s="78">
        <f t="shared" si="296"/>
        <v>1</v>
      </c>
      <c r="BJ91" s="105"/>
      <c r="BK91" s="105"/>
      <c r="BL91" s="105"/>
      <c r="BM91" s="105"/>
      <c r="BN91" s="105"/>
      <c r="BO91" s="105"/>
      <c r="BP91" s="105"/>
      <c r="BQ91" s="105"/>
      <c r="BR91" s="105"/>
      <c r="BS91" s="105"/>
      <c r="BT91" s="105"/>
      <c r="BU91" s="105"/>
      <c r="BV91" s="105"/>
      <c r="BW91" s="105"/>
      <c r="BX91" s="105"/>
      <c r="BY91" s="105"/>
      <c r="BZ91" s="105"/>
      <c r="CA91" s="105"/>
      <c r="CB91" s="105"/>
      <c r="CC91" s="105"/>
      <c r="CD91" s="105"/>
      <c r="CE91" s="105"/>
      <c r="CF91" s="120"/>
      <c r="CG91" s="128"/>
      <c r="CH91" s="128"/>
      <c r="CI91" s="105"/>
      <c r="CJ91" s="105"/>
      <c r="CK91" s="105"/>
      <c r="CL91" s="105"/>
      <c r="CM91" s="105"/>
      <c r="CN91" s="105"/>
      <c r="CO91" s="105"/>
      <c r="CP91" s="105"/>
      <c r="CQ91" s="105"/>
      <c r="CR91" s="105"/>
      <c r="CS91" s="105"/>
      <c r="CT91" s="105"/>
      <c r="CU91" s="105"/>
      <c r="CV91" s="105"/>
      <c r="CW91" s="105"/>
      <c r="CX91" s="105"/>
      <c r="CY91" s="105"/>
      <c r="CZ91" s="105"/>
      <c r="DA91" s="105"/>
      <c r="DB91" s="105"/>
      <c r="DC91" s="105"/>
      <c r="DD91" s="125"/>
      <c r="DE91" s="125"/>
      <c r="DF91" s="105"/>
      <c r="DG91" s="105"/>
      <c r="DH91" s="105"/>
      <c r="DI91" s="105"/>
      <c r="DJ91" s="79">
        <f t="shared" si="460"/>
        <v>0</v>
      </c>
      <c r="DK91" s="108"/>
      <c r="DL91" s="108"/>
      <c r="DM91" s="108"/>
      <c r="DN91" s="108"/>
      <c r="DO91" s="108"/>
      <c r="DP91" s="108"/>
      <c r="DQ91" s="108"/>
      <c r="DR91" s="108"/>
      <c r="DS91" s="108"/>
      <c r="DT91" s="108"/>
      <c r="DU91" s="108"/>
      <c r="DV91" s="108"/>
      <c r="DW91" s="108"/>
      <c r="DX91" s="108"/>
      <c r="DY91" s="108"/>
      <c r="DZ91" s="108"/>
      <c r="EA91" s="108"/>
      <c r="EB91" s="108"/>
      <c r="EC91" s="108"/>
      <c r="ED91" s="108"/>
      <c r="EE91" s="108"/>
      <c r="EF91" s="108"/>
      <c r="EG91" s="108"/>
      <c r="EH91" s="129"/>
      <c r="EI91" s="129"/>
      <c r="EJ91" s="108"/>
      <c r="EK91" s="108"/>
      <c r="EL91" s="108"/>
      <c r="EM91" s="108"/>
      <c r="EN91" s="108"/>
      <c r="EO91" s="108"/>
      <c r="EP91" s="108"/>
      <c r="EQ91" s="108"/>
      <c r="ER91" s="108"/>
      <c r="ES91" s="106"/>
      <c r="ET91" s="106"/>
      <c r="EU91" s="106"/>
      <c r="EV91" s="106"/>
      <c r="EW91" s="106"/>
      <c r="EX91" s="106"/>
      <c r="EY91" s="106"/>
      <c r="EZ91" s="106"/>
      <c r="FA91" s="106"/>
      <c r="FB91" s="106"/>
      <c r="FC91" s="106"/>
      <c r="FD91" s="106"/>
      <c r="FE91" s="126"/>
      <c r="FF91" s="126"/>
      <c r="FG91" s="106"/>
      <c r="FH91" s="106"/>
      <c r="FI91" s="106"/>
      <c r="FJ91" s="106"/>
      <c r="FK91" s="17">
        <f t="shared" si="461"/>
        <v>0</v>
      </c>
      <c r="FL91" s="18"/>
      <c r="FM91" s="19">
        <f t="shared" si="298"/>
        <v>0</v>
      </c>
      <c r="FN91" s="19">
        <f t="shared" si="299"/>
        <v>0</v>
      </c>
      <c r="FO91" s="19">
        <f t="shared" si="300"/>
        <v>0</v>
      </c>
      <c r="FP91" s="19">
        <f t="shared" si="301"/>
        <v>0</v>
      </c>
      <c r="FQ91" s="19">
        <f t="shared" si="302"/>
        <v>0</v>
      </c>
      <c r="FR91" s="19">
        <f t="shared" si="303"/>
        <v>0</v>
      </c>
      <c r="FS91" s="19">
        <f t="shared" si="304"/>
        <v>0</v>
      </c>
      <c r="FT91" s="19">
        <f t="shared" si="305"/>
        <v>0</v>
      </c>
      <c r="FU91" s="19">
        <f t="shared" si="306"/>
        <v>0</v>
      </c>
      <c r="FV91" s="19">
        <f t="shared" si="307"/>
        <v>0</v>
      </c>
      <c r="FW91" s="19">
        <f t="shared" si="308"/>
        <v>0</v>
      </c>
      <c r="FX91" s="19">
        <f t="shared" si="309"/>
        <v>0</v>
      </c>
      <c r="FY91" s="19">
        <f t="shared" si="310"/>
        <v>0</v>
      </c>
      <c r="FZ91" s="19">
        <f t="shared" si="311"/>
        <v>0</v>
      </c>
      <c r="GA91" s="19">
        <f t="shared" si="312"/>
        <v>0</v>
      </c>
      <c r="GB91" s="19">
        <f t="shared" si="313"/>
        <v>0</v>
      </c>
      <c r="GC91" s="19">
        <f t="shared" si="314"/>
        <v>0</v>
      </c>
      <c r="GD91" s="19">
        <f t="shared" si="315"/>
        <v>0</v>
      </c>
      <c r="GE91" s="19">
        <f t="shared" si="316"/>
        <v>0</v>
      </c>
      <c r="GF91" s="19">
        <f t="shared" si="317"/>
        <v>0</v>
      </c>
      <c r="GG91" s="19">
        <f t="shared" si="318"/>
        <v>0</v>
      </c>
      <c r="GH91" s="19">
        <f t="shared" si="319"/>
        <v>0</v>
      </c>
      <c r="GI91" s="19">
        <f t="shared" si="320"/>
        <v>0</v>
      </c>
      <c r="GJ91" s="19">
        <f t="shared" si="321"/>
        <v>0</v>
      </c>
      <c r="GK91" s="19">
        <f t="shared" si="322"/>
        <v>0</v>
      </c>
      <c r="GL91" s="19">
        <f t="shared" si="323"/>
        <v>0</v>
      </c>
      <c r="GM91" s="19">
        <f t="shared" si="324"/>
        <v>0</v>
      </c>
      <c r="GN91" s="19">
        <f t="shared" si="325"/>
        <v>0</v>
      </c>
      <c r="GO91" s="19">
        <f t="shared" si="326"/>
        <v>0.74249999999999994</v>
      </c>
      <c r="GP91" s="19">
        <f t="shared" si="327"/>
        <v>0</v>
      </c>
      <c r="GQ91" s="19">
        <f t="shared" si="328"/>
        <v>0</v>
      </c>
      <c r="GR91" s="19">
        <f t="shared" si="329"/>
        <v>0</v>
      </c>
      <c r="GS91" s="19">
        <f t="shared" si="330"/>
        <v>0</v>
      </c>
      <c r="GT91" s="19">
        <f t="shared" si="331"/>
        <v>0</v>
      </c>
      <c r="GU91" s="19">
        <f t="shared" si="332"/>
        <v>0</v>
      </c>
      <c r="GV91" s="19">
        <f t="shared" si="333"/>
        <v>0</v>
      </c>
      <c r="GW91" s="19">
        <f t="shared" si="334"/>
        <v>0</v>
      </c>
      <c r="GX91" s="19">
        <f t="shared" si="335"/>
        <v>0</v>
      </c>
      <c r="GY91" s="19">
        <f t="shared" si="336"/>
        <v>0</v>
      </c>
      <c r="GZ91" s="19">
        <f t="shared" si="337"/>
        <v>0</v>
      </c>
      <c r="HA91" s="19">
        <f t="shared" si="338"/>
        <v>0</v>
      </c>
      <c r="HB91" s="19">
        <f t="shared" si="339"/>
        <v>0</v>
      </c>
      <c r="HC91" s="19">
        <f t="shared" si="340"/>
        <v>0</v>
      </c>
      <c r="HD91" s="19">
        <f t="shared" si="341"/>
        <v>0</v>
      </c>
      <c r="HE91" s="19">
        <f t="shared" si="342"/>
        <v>0</v>
      </c>
      <c r="HF91" s="19">
        <f t="shared" si="343"/>
        <v>0</v>
      </c>
      <c r="HG91" s="19">
        <f t="shared" si="344"/>
        <v>0.74249999999999994</v>
      </c>
      <c r="HH91" s="19">
        <f t="shared" si="345"/>
        <v>0</v>
      </c>
      <c r="HI91" s="19">
        <f t="shared" si="346"/>
        <v>0</v>
      </c>
      <c r="HJ91" s="19">
        <f t="shared" si="347"/>
        <v>0</v>
      </c>
      <c r="HK91" s="19">
        <f t="shared" si="348"/>
        <v>0</v>
      </c>
      <c r="HL91" s="19">
        <f t="shared" si="349"/>
        <v>1.4999999999999999E-2</v>
      </c>
      <c r="HM91" s="20">
        <f t="shared" si="350"/>
        <v>1.4999999999999998</v>
      </c>
      <c r="HN91" s="53">
        <v>987</v>
      </c>
      <c r="HO91" s="21">
        <f t="shared" si="351"/>
        <v>0</v>
      </c>
      <c r="HP91" s="21">
        <f t="shared" si="352"/>
        <v>0</v>
      </c>
      <c r="HQ91" s="21">
        <f t="shared" si="353"/>
        <v>0</v>
      </c>
      <c r="HR91" s="21">
        <f t="shared" si="354"/>
        <v>0</v>
      </c>
      <c r="HS91" s="21">
        <f t="shared" si="355"/>
        <v>0</v>
      </c>
      <c r="HT91" s="69">
        <f t="shared" si="356"/>
        <v>0</v>
      </c>
      <c r="HU91" s="21">
        <f t="shared" si="357"/>
        <v>0</v>
      </c>
      <c r="HV91" s="21">
        <f t="shared" si="358"/>
        <v>0</v>
      </c>
      <c r="HW91" s="21">
        <f t="shared" si="359"/>
        <v>0</v>
      </c>
      <c r="HX91" s="21">
        <f t="shared" si="360"/>
        <v>0</v>
      </c>
      <c r="HY91" s="21">
        <f t="shared" si="361"/>
        <v>0</v>
      </c>
      <c r="HZ91" s="21">
        <f t="shared" si="362"/>
        <v>0</v>
      </c>
      <c r="IA91" s="21">
        <f t="shared" si="363"/>
        <v>0</v>
      </c>
      <c r="IB91" s="21">
        <f t="shared" si="364"/>
        <v>0</v>
      </c>
      <c r="IC91" s="21">
        <f t="shared" si="365"/>
        <v>0</v>
      </c>
      <c r="ID91" s="21">
        <f t="shared" si="366"/>
        <v>0</v>
      </c>
      <c r="IE91" s="21">
        <f t="shared" si="367"/>
        <v>0</v>
      </c>
      <c r="IF91" s="69">
        <f t="shared" si="368"/>
        <v>0</v>
      </c>
      <c r="IG91" s="69">
        <f t="shared" si="369"/>
        <v>0</v>
      </c>
      <c r="IH91" s="69">
        <f t="shared" si="370"/>
        <v>0</v>
      </c>
      <c r="II91" s="21">
        <f t="shared" si="371"/>
        <v>0</v>
      </c>
      <c r="IJ91" s="21">
        <f t="shared" si="372"/>
        <v>0</v>
      </c>
      <c r="IK91" s="21">
        <f t="shared" si="373"/>
        <v>0</v>
      </c>
      <c r="IL91" s="21">
        <f t="shared" si="374"/>
        <v>0</v>
      </c>
      <c r="IM91" s="21">
        <f t="shared" si="375"/>
        <v>0</v>
      </c>
      <c r="IN91" s="21">
        <f t="shared" si="376"/>
        <v>0</v>
      </c>
      <c r="IO91" s="21">
        <f t="shared" si="377"/>
        <v>0</v>
      </c>
      <c r="IP91" s="21">
        <f t="shared" si="378"/>
        <v>0</v>
      </c>
      <c r="IQ91" s="21">
        <f t="shared" si="379"/>
        <v>488.56500000000005</v>
      </c>
      <c r="IR91" s="21">
        <f t="shared" si="380"/>
        <v>0</v>
      </c>
      <c r="IS91" s="21">
        <f t="shared" si="381"/>
        <v>0</v>
      </c>
      <c r="IT91" s="21">
        <f t="shared" si="382"/>
        <v>0</v>
      </c>
      <c r="IU91" s="21">
        <f t="shared" si="383"/>
        <v>0</v>
      </c>
      <c r="IV91" s="21">
        <f t="shared" si="384"/>
        <v>0</v>
      </c>
      <c r="IW91" s="21">
        <f t="shared" si="385"/>
        <v>0</v>
      </c>
      <c r="IX91" s="21">
        <f t="shared" si="386"/>
        <v>0</v>
      </c>
      <c r="IY91" s="21">
        <f t="shared" si="387"/>
        <v>0</v>
      </c>
      <c r="IZ91" s="21">
        <f t="shared" si="388"/>
        <v>0</v>
      </c>
      <c r="JA91" s="21">
        <f t="shared" si="389"/>
        <v>0</v>
      </c>
      <c r="JB91" s="21">
        <f t="shared" si="390"/>
        <v>0</v>
      </c>
      <c r="JC91" s="21">
        <f t="shared" si="391"/>
        <v>0</v>
      </c>
      <c r="JD91" s="21">
        <f t="shared" si="392"/>
        <v>0</v>
      </c>
      <c r="JE91" s="21">
        <f t="shared" si="393"/>
        <v>0</v>
      </c>
      <c r="JF91" s="21">
        <f t="shared" si="394"/>
        <v>0</v>
      </c>
      <c r="JG91" s="21">
        <f t="shared" si="395"/>
        <v>0</v>
      </c>
      <c r="JH91" s="21">
        <f t="shared" si="396"/>
        <v>0</v>
      </c>
      <c r="JI91" s="21">
        <f t="shared" si="397"/>
        <v>488.56500000000005</v>
      </c>
      <c r="JJ91" s="21">
        <f t="shared" si="398"/>
        <v>0</v>
      </c>
      <c r="JK91" s="21">
        <f t="shared" si="399"/>
        <v>0</v>
      </c>
      <c r="JL91" s="21">
        <f t="shared" si="400"/>
        <v>0</v>
      </c>
      <c r="JM91" s="21">
        <f t="shared" si="401"/>
        <v>0</v>
      </c>
      <c r="JN91" s="21">
        <f t="shared" si="402"/>
        <v>9.870000000000001</v>
      </c>
      <c r="JO91" s="35">
        <f t="shared" si="403"/>
        <v>987.00000000000011</v>
      </c>
      <c r="JP91" s="38">
        <f t="shared" si="404"/>
        <v>0</v>
      </c>
      <c r="JQ91" s="43">
        <f t="shared" si="405"/>
        <v>0</v>
      </c>
      <c r="JR91" s="43">
        <f t="shared" si="406"/>
        <v>0</v>
      </c>
      <c r="JS91" s="43">
        <f t="shared" si="407"/>
        <v>0</v>
      </c>
      <c r="JT91" s="43">
        <f t="shared" si="408"/>
        <v>0</v>
      </c>
      <c r="JU91" s="43">
        <f t="shared" si="409"/>
        <v>0</v>
      </c>
      <c r="JV91" s="43">
        <f t="shared" si="410"/>
        <v>0</v>
      </c>
      <c r="JW91" s="43">
        <f t="shared" si="411"/>
        <v>0</v>
      </c>
      <c r="JX91" s="43">
        <f t="shared" si="412"/>
        <v>0</v>
      </c>
      <c r="JY91" s="43">
        <f t="shared" si="413"/>
        <v>0</v>
      </c>
      <c r="JZ91" s="43">
        <f t="shared" si="414"/>
        <v>0</v>
      </c>
      <c r="KA91" s="43">
        <f t="shared" si="415"/>
        <v>0</v>
      </c>
      <c r="KB91" s="43">
        <f t="shared" si="416"/>
        <v>0</v>
      </c>
      <c r="KC91" s="43">
        <f t="shared" si="417"/>
        <v>0</v>
      </c>
      <c r="KD91" s="43">
        <f t="shared" si="418"/>
        <v>0</v>
      </c>
      <c r="KE91" s="43">
        <f t="shared" si="419"/>
        <v>0</v>
      </c>
      <c r="KF91" s="43">
        <f t="shared" si="420"/>
        <v>0</v>
      </c>
      <c r="KG91" s="43">
        <f t="shared" si="421"/>
        <v>0</v>
      </c>
      <c r="KH91" s="43">
        <f t="shared" si="422"/>
        <v>0</v>
      </c>
      <c r="KI91" s="43">
        <f t="shared" si="423"/>
        <v>0</v>
      </c>
      <c r="KJ91" s="43">
        <f t="shared" si="424"/>
        <v>0</v>
      </c>
      <c r="KK91" s="43">
        <f t="shared" si="425"/>
        <v>0</v>
      </c>
      <c r="KL91" s="43">
        <f t="shared" si="426"/>
        <v>0</v>
      </c>
      <c r="KM91" s="43">
        <f t="shared" si="427"/>
        <v>0</v>
      </c>
      <c r="KN91" s="43">
        <f t="shared" si="428"/>
        <v>0</v>
      </c>
      <c r="KO91" s="43">
        <f t="shared" si="429"/>
        <v>0</v>
      </c>
      <c r="KP91" s="43">
        <f t="shared" si="430"/>
        <v>0</v>
      </c>
      <c r="KQ91" s="43">
        <f t="shared" si="431"/>
        <v>0</v>
      </c>
      <c r="KR91" s="43">
        <f t="shared" si="432"/>
        <v>0</v>
      </c>
      <c r="KS91" s="43">
        <f t="shared" si="433"/>
        <v>1670.5654450800002</v>
      </c>
      <c r="KT91" s="43">
        <f t="shared" si="434"/>
        <v>0</v>
      </c>
      <c r="KU91" s="43">
        <f t="shared" si="435"/>
        <v>0</v>
      </c>
      <c r="KV91" s="43">
        <f t="shared" si="436"/>
        <v>0</v>
      </c>
      <c r="KW91" s="43">
        <f t="shared" si="437"/>
        <v>0</v>
      </c>
      <c r="KX91" s="43">
        <f t="shared" si="438"/>
        <v>0</v>
      </c>
      <c r="KY91" s="43">
        <f t="shared" si="439"/>
        <v>0</v>
      </c>
      <c r="KZ91" s="43">
        <f t="shared" si="440"/>
        <v>0</v>
      </c>
      <c r="LA91" s="43">
        <f t="shared" si="441"/>
        <v>0</v>
      </c>
      <c r="LB91" s="43">
        <f t="shared" si="442"/>
        <v>0</v>
      </c>
      <c r="LC91" s="43">
        <f t="shared" si="443"/>
        <v>0</v>
      </c>
      <c r="LD91" s="43">
        <f t="shared" si="444"/>
        <v>0</v>
      </c>
      <c r="LE91" s="43">
        <f t="shared" si="445"/>
        <v>0</v>
      </c>
      <c r="LF91" s="43">
        <f t="shared" si="446"/>
        <v>0</v>
      </c>
      <c r="LG91" s="43">
        <f t="shared" si="447"/>
        <v>0</v>
      </c>
      <c r="LH91" s="43">
        <f t="shared" si="448"/>
        <v>0</v>
      </c>
      <c r="LI91" s="43">
        <f t="shared" si="449"/>
        <v>0</v>
      </c>
      <c r="LJ91" s="43">
        <f t="shared" si="450"/>
        <v>0</v>
      </c>
      <c r="LK91" s="43">
        <f t="shared" si="451"/>
        <v>1957.0692487500003</v>
      </c>
      <c r="LL91" s="43">
        <f t="shared" si="452"/>
        <v>0</v>
      </c>
      <c r="LM91" s="43">
        <f t="shared" si="453"/>
        <v>0</v>
      </c>
      <c r="LN91" s="43">
        <f t="shared" si="454"/>
        <v>0</v>
      </c>
      <c r="LO91" s="43">
        <f t="shared" si="455"/>
        <v>0</v>
      </c>
      <c r="LP91" s="43">
        <f t="shared" si="456"/>
        <v>83.401499999999999</v>
      </c>
      <c r="LQ91" s="28">
        <f t="shared" si="457"/>
        <v>3711.0361938300002</v>
      </c>
      <c r="LR91" s="65">
        <v>962</v>
      </c>
      <c r="LS91" s="32">
        <f t="shared" si="462"/>
        <v>3.8576259811122662</v>
      </c>
      <c r="LT91" s="26">
        <f t="shared" si="463"/>
        <v>1.0539961697028049</v>
      </c>
      <c r="LU91" s="31">
        <f t="shared" si="458"/>
        <v>25</v>
      </c>
      <c r="LW91" s="42"/>
      <c r="MA91" s="32">
        <f t="shared" si="459"/>
        <v>3.7599150899999998</v>
      </c>
      <c r="MB91" s="26">
        <f t="shared" si="464"/>
        <v>1.0272992049180327</v>
      </c>
    </row>
    <row r="92" spans="1:340" ht="15.75" thickBot="1">
      <c r="A92" t="b">
        <f t="shared" si="297"/>
        <v>1</v>
      </c>
      <c r="B92" s="123" t="s">
        <v>259</v>
      </c>
      <c r="C92" s="39" t="s">
        <v>260</v>
      </c>
      <c r="D92"/>
      <c r="E92" s="97">
        <v>46039</v>
      </c>
      <c r="F92" t="s">
        <v>43</v>
      </c>
      <c r="G92" t="s">
        <v>20</v>
      </c>
      <c r="H92" t="s">
        <v>26</v>
      </c>
      <c r="I92" s="77"/>
      <c r="J92" s="77"/>
      <c r="K92" s="77"/>
      <c r="L92" s="104">
        <v>0.77</v>
      </c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24"/>
      <c r="AG92" s="124"/>
      <c r="AH92" s="104"/>
      <c r="AI92" s="104"/>
      <c r="AJ92" s="22"/>
      <c r="AK92" s="22"/>
      <c r="AL92" s="22"/>
      <c r="AM92" s="22"/>
      <c r="AN92" s="22"/>
      <c r="AO92" s="104"/>
      <c r="AP92" s="22"/>
      <c r="AQ92" s="22"/>
      <c r="AR92" s="22">
        <v>7.0000000000000007E-2</v>
      </c>
      <c r="AS92" s="22"/>
      <c r="AT92" s="22"/>
      <c r="AU92" s="22"/>
      <c r="AV92" s="22"/>
      <c r="AW92" s="22"/>
      <c r="AX92" s="22"/>
      <c r="AY92" s="22"/>
      <c r="AZ92" s="104"/>
      <c r="BA92" s="104"/>
      <c r="BB92" s="104"/>
      <c r="BC92" s="124">
        <v>0.15</v>
      </c>
      <c r="BD92" s="124"/>
      <c r="BE92" s="104"/>
      <c r="BF92" s="104"/>
      <c r="BG92" s="104"/>
      <c r="BH92" s="104">
        <v>0.01</v>
      </c>
      <c r="BI92" s="78">
        <f t="shared" si="296"/>
        <v>1</v>
      </c>
      <c r="BJ92" s="105"/>
      <c r="BK92" s="105"/>
      <c r="BL92" s="105"/>
      <c r="BM92" s="105"/>
      <c r="BN92" s="105"/>
      <c r="BO92" s="105"/>
      <c r="BP92" s="105"/>
      <c r="BQ92" s="105"/>
      <c r="BR92" s="105"/>
      <c r="BS92" s="105"/>
      <c r="BT92" s="105"/>
      <c r="BU92" s="105"/>
      <c r="BV92" s="105"/>
      <c r="BW92" s="105"/>
      <c r="BX92" s="105">
        <v>0.1</v>
      </c>
      <c r="BY92" s="105"/>
      <c r="BZ92" s="105"/>
      <c r="CA92" s="105"/>
      <c r="CB92" s="105"/>
      <c r="CC92" s="105"/>
      <c r="CD92" s="105"/>
      <c r="CE92" s="105"/>
      <c r="CF92" s="120">
        <v>0.6</v>
      </c>
      <c r="CG92" s="128"/>
      <c r="CH92" s="128"/>
      <c r="CI92" s="105"/>
      <c r="CJ92" s="105"/>
      <c r="CK92" s="105"/>
      <c r="CL92" s="105"/>
      <c r="CM92" s="105"/>
      <c r="CN92" s="105">
        <v>0.12</v>
      </c>
      <c r="CO92" s="105"/>
      <c r="CP92" s="105"/>
      <c r="CQ92" s="105"/>
      <c r="CR92" s="105"/>
      <c r="CS92" s="105">
        <v>0.08</v>
      </c>
      <c r="CT92" s="105">
        <v>0.1</v>
      </c>
      <c r="CU92" s="105"/>
      <c r="CV92" s="105"/>
      <c r="CW92" s="105"/>
      <c r="CX92" s="105"/>
      <c r="CY92" s="105"/>
      <c r="CZ92" s="105"/>
      <c r="DA92" s="105"/>
      <c r="DB92" s="105"/>
      <c r="DC92" s="105"/>
      <c r="DD92" s="125"/>
      <c r="DE92" s="125"/>
      <c r="DF92" s="105"/>
      <c r="DG92" s="105"/>
      <c r="DH92" s="105"/>
      <c r="DI92" s="105"/>
      <c r="DJ92" s="79">
        <f t="shared" si="460"/>
        <v>0.99999999999999989</v>
      </c>
      <c r="DK92" s="108"/>
      <c r="DL92" s="108"/>
      <c r="DM92" s="108"/>
      <c r="DN92" s="108"/>
      <c r="DO92" s="108"/>
      <c r="DP92" s="108"/>
      <c r="DQ92" s="108"/>
      <c r="DR92" s="108"/>
      <c r="DS92" s="108"/>
      <c r="DT92" s="108"/>
      <c r="DU92" s="108"/>
      <c r="DV92" s="108"/>
      <c r="DW92" s="108"/>
      <c r="DX92" s="108">
        <v>0.85</v>
      </c>
      <c r="DY92" s="108"/>
      <c r="DZ92" s="108"/>
      <c r="EA92" s="108"/>
      <c r="EB92" s="108"/>
      <c r="EC92" s="108"/>
      <c r="ED92" s="108"/>
      <c r="EE92" s="108"/>
      <c r="EF92" s="108"/>
      <c r="EG92" s="108"/>
      <c r="EH92" s="129"/>
      <c r="EI92" s="129"/>
      <c r="EJ92" s="108"/>
      <c r="EK92" s="108"/>
      <c r="EL92" s="108"/>
      <c r="EM92" s="108"/>
      <c r="EN92" s="108"/>
      <c r="EO92" s="108"/>
      <c r="EP92" s="108"/>
      <c r="EQ92" s="108"/>
      <c r="ER92" s="108"/>
      <c r="ES92" s="106"/>
      <c r="ET92" s="106"/>
      <c r="EU92" s="106">
        <v>0.13</v>
      </c>
      <c r="EV92" s="106"/>
      <c r="EW92" s="106"/>
      <c r="EX92" s="106"/>
      <c r="EY92" s="106"/>
      <c r="EZ92" s="106"/>
      <c r="FA92" s="106"/>
      <c r="FB92" s="106"/>
      <c r="FC92" s="106"/>
      <c r="FD92" s="106"/>
      <c r="FE92" s="126"/>
      <c r="FF92" s="126"/>
      <c r="FG92" s="106"/>
      <c r="FH92" s="106"/>
      <c r="FI92" s="106"/>
      <c r="FJ92" s="106">
        <v>0.02</v>
      </c>
      <c r="FK92" s="17">
        <f t="shared" si="461"/>
        <v>1</v>
      </c>
      <c r="FL92" s="18"/>
      <c r="FM92" s="19">
        <f t="shared" si="298"/>
        <v>0</v>
      </c>
      <c r="FN92" s="19">
        <f t="shared" si="299"/>
        <v>0</v>
      </c>
      <c r="FO92" s="19">
        <f t="shared" si="300"/>
        <v>0</v>
      </c>
      <c r="FP92" s="19">
        <f t="shared" si="301"/>
        <v>1.155</v>
      </c>
      <c r="FQ92" s="19">
        <f t="shared" si="302"/>
        <v>0</v>
      </c>
      <c r="FR92" s="19">
        <f t="shared" si="303"/>
        <v>0</v>
      </c>
      <c r="FS92" s="19">
        <f t="shared" si="304"/>
        <v>0</v>
      </c>
      <c r="FT92" s="19">
        <f t="shared" si="305"/>
        <v>0</v>
      </c>
      <c r="FU92" s="19">
        <f t="shared" si="306"/>
        <v>0</v>
      </c>
      <c r="FV92" s="19">
        <f t="shared" si="307"/>
        <v>0</v>
      </c>
      <c r="FW92" s="19">
        <f t="shared" si="308"/>
        <v>0</v>
      </c>
      <c r="FX92" s="19">
        <f t="shared" si="309"/>
        <v>0</v>
      </c>
      <c r="FY92" s="19">
        <f t="shared" si="310"/>
        <v>0</v>
      </c>
      <c r="FZ92" s="19">
        <f t="shared" si="311"/>
        <v>1.2749999999999999</v>
      </c>
      <c r="GA92" s="19">
        <f t="shared" si="312"/>
        <v>0.2</v>
      </c>
      <c r="GB92" s="19">
        <f t="shared" si="313"/>
        <v>0</v>
      </c>
      <c r="GC92" s="19">
        <f t="shared" si="314"/>
        <v>0</v>
      </c>
      <c r="GD92" s="19">
        <f t="shared" si="315"/>
        <v>0</v>
      </c>
      <c r="GE92" s="19">
        <f t="shared" si="316"/>
        <v>0</v>
      </c>
      <c r="GF92" s="19">
        <f t="shared" si="317"/>
        <v>0</v>
      </c>
      <c r="GG92" s="19">
        <f t="shared" si="318"/>
        <v>0</v>
      </c>
      <c r="GH92" s="19">
        <f t="shared" si="319"/>
        <v>0</v>
      </c>
      <c r="GI92" s="19">
        <f t="shared" si="320"/>
        <v>1.2</v>
      </c>
      <c r="GJ92" s="19">
        <f t="shared" si="321"/>
        <v>0</v>
      </c>
      <c r="GK92" s="19">
        <f t="shared" si="322"/>
        <v>0</v>
      </c>
      <c r="GL92" s="19">
        <f t="shared" si="323"/>
        <v>0</v>
      </c>
      <c r="GM92" s="19">
        <f t="shared" si="324"/>
        <v>0</v>
      </c>
      <c r="GN92" s="19">
        <f t="shared" si="325"/>
        <v>0</v>
      </c>
      <c r="GO92" s="19">
        <f t="shared" si="326"/>
        <v>0</v>
      </c>
      <c r="GP92" s="19">
        <f t="shared" si="327"/>
        <v>0</v>
      </c>
      <c r="GQ92" s="19">
        <f t="shared" si="328"/>
        <v>0.24</v>
      </c>
      <c r="GR92" s="19">
        <f t="shared" si="329"/>
        <v>0</v>
      </c>
      <c r="GS92" s="19">
        <f t="shared" si="330"/>
        <v>0</v>
      </c>
      <c r="GT92" s="19">
        <f t="shared" si="331"/>
        <v>0</v>
      </c>
      <c r="GU92" s="19">
        <f t="shared" si="332"/>
        <v>0</v>
      </c>
      <c r="GV92" s="19">
        <f t="shared" si="333"/>
        <v>0.26500000000000001</v>
      </c>
      <c r="GW92" s="19">
        <f t="shared" si="334"/>
        <v>0.39500000000000002</v>
      </c>
      <c r="GX92" s="19">
        <f t="shared" si="335"/>
        <v>0</v>
      </c>
      <c r="GY92" s="19">
        <f t="shared" si="336"/>
        <v>0</v>
      </c>
      <c r="GZ92" s="19">
        <f t="shared" si="337"/>
        <v>0</v>
      </c>
      <c r="HA92" s="19">
        <f t="shared" si="338"/>
        <v>0</v>
      </c>
      <c r="HB92" s="19">
        <f t="shared" si="339"/>
        <v>0</v>
      </c>
      <c r="HC92" s="19">
        <f t="shared" si="340"/>
        <v>0</v>
      </c>
      <c r="HD92" s="19">
        <f t="shared" si="341"/>
        <v>0</v>
      </c>
      <c r="HE92" s="19">
        <f t="shared" si="342"/>
        <v>0</v>
      </c>
      <c r="HF92" s="19">
        <f t="shared" si="343"/>
        <v>0</v>
      </c>
      <c r="HG92" s="19">
        <f t="shared" si="344"/>
        <v>0.22499999999999998</v>
      </c>
      <c r="HH92" s="19">
        <f t="shared" si="345"/>
        <v>0</v>
      </c>
      <c r="HI92" s="19">
        <f t="shared" si="346"/>
        <v>0</v>
      </c>
      <c r="HJ92" s="19">
        <f t="shared" si="347"/>
        <v>0</v>
      </c>
      <c r="HK92" s="19">
        <f t="shared" si="348"/>
        <v>0</v>
      </c>
      <c r="HL92" s="19">
        <f t="shared" si="349"/>
        <v>4.4999999999999998E-2</v>
      </c>
      <c r="HM92" s="20">
        <f t="shared" si="350"/>
        <v>5</v>
      </c>
      <c r="HN92" s="53">
        <v>649</v>
      </c>
      <c r="HO92" s="21">
        <f t="shared" si="351"/>
        <v>0</v>
      </c>
      <c r="HP92" s="21">
        <f t="shared" si="352"/>
        <v>0</v>
      </c>
      <c r="HQ92" s="21">
        <f t="shared" si="353"/>
        <v>0</v>
      </c>
      <c r="HR92" s="21">
        <f t="shared" si="354"/>
        <v>149.91900000000001</v>
      </c>
      <c r="HS92" s="21">
        <f t="shared" si="355"/>
        <v>0</v>
      </c>
      <c r="HT92" s="69">
        <f t="shared" si="356"/>
        <v>0</v>
      </c>
      <c r="HU92" s="21">
        <f t="shared" si="357"/>
        <v>0</v>
      </c>
      <c r="HV92" s="21">
        <f t="shared" si="358"/>
        <v>0</v>
      </c>
      <c r="HW92" s="21">
        <f t="shared" si="359"/>
        <v>0</v>
      </c>
      <c r="HX92" s="21">
        <f t="shared" si="360"/>
        <v>0</v>
      </c>
      <c r="HY92" s="21">
        <f t="shared" si="361"/>
        <v>0</v>
      </c>
      <c r="HZ92" s="21">
        <f t="shared" si="362"/>
        <v>0</v>
      </c>
      <c r="IA92" s="21">
        <f t="shared" si="363"/>
        <v>0</v>
      </c>
      <c r="IB92" s="21">
        <f t="shared" si="364"/>
        <v>165.49499999999998</v>
      </c>
      <c r="IC92" s="21">
        <f t="shared" si="365"/>
        <v>25.96</v>
      </c>
      <c r="ID92" s="21">
        <f t="shared" si="366"/>
        <v>0</v>
      </c>
      <c r="IE92" s="21">
        <f t="shared" si="367"/>
        <v>0</v>
      </c>
      <c r="IF92" s="69">
        <f t="shared" si="368"/>
        <v>0</v>
      </c>
      <c r="IG92" s="69">
        <f t="shared" si="369"/>
        <v>0</v>
      </c>
      <c r="IH92" s="69">
        <f t="shared" si="370"/>
        <v>0</v>
      </c>
      <c r="II92" s="21">
        <f t="shared" si="371"/>
        <v>0</v>
      </c>
      <c r="IJ92" s="21">
        <f t="shared" si="372"/>
        <v>0</v>
      </c>
      <c r="IK92" s="21">
        <f t="shared" si="373"/>
        <v>155.76</v>
      </c>
      <c r="IL92" s="21">
        <f t="shared" si="374"/>
        <v>0</v>
      </c>
      <c r="IM92" s="21">
        <f t="shared" si="375"/>
        <v>0</v>
      </c>
      <c r="IN92" s="21">
        <f t="shared" si="376"/>
        <v>0</v>
      </c>
      <c r="IO92" s="21">
        <f t="shared" si="377"/>
        <v>0</v>
      </c>
      <c r="IP92" s="21">
        <f t="shared" si="378"/>
        <v>0</v>
      </c>
      <c r="IQ92" s="21">
        <f t="shared" si="379"/>
        <v>0</v>
      </c>
      <c r="IR92" s="21">
        <f t="shared" si="380"/>
        <v>0</v>
      </c>
      <c r="IS92" s="21">
        <f t="shared" si="381"/>
        <v>31.151999999999997</v>
      </c>
      <c r="IT92" s="21">
        <f t="shared" si="382"/>
        <v>0</v>
      </c>
      <c r="IU92" s="21">
        <f t="shared" si="383"/>
        <v>0</v>
      </c>
      <c r="IV92" s="21">
        <f t="shared" si="384"/>
        <v>0</v>
      </c>
      <c r="IW92" s="21">
        <f t="shared" si="385"/>
        <v>0</v>
      </c>
      <c r="IX92" s="21">
        <f t="shared" si="386"/>
        <v>34.397000000000006</v>
      </c>
      <c r="IY92" s="21">
        <f t="shared" si="387"/>
        <v>51.271000000000001</v>
      </c>
      <c r="IZ92" s="21">
        <f t="shared" si="388"/>
        <v>0</v>
      </c>
      <c r="JA92" s="21">
        <f t="shared" si="389"/>
        <v>0</v>
      </c>
      <c r="JB92" s="21">
        <f t="shared" si="390"/>
        <v>0</v>
      </c>
      <c r="JC92" s="21">
        <f t="shared" si="391"/>
        <v>0</v>
      </c>
      <c r="JD92" s="21">
        <f t="shared" si="392"/>
        <v>0</v>
      </c>
      <c r="JE92" s="21">
        <f t="shared" si="393"/>
        <v>0</v>
      </c>
      <c r="JF92" s="21">
        <f t="shared" si="394"/>
        <v>0</v>
      </c>
      <c r="JG92" s="21">
        <f t="shared" si="395"/>
        <v>0</v>
      </c>
      <c r="JH92" s="21">
        <f t="shared" si="396"/>
        <v>0</v>
      </c>
      <c r="JI92" s="21">
        <f t="shared" si="397"/>
        <v>29.204999999999995</v>
      </c>
      <c r="JJ92" s="21">
        <f t="shared" si="398"/>
        <v>0</v>
      </c>
      <c r="JK92" s="21">
        <f t="shared" si="399"/>
        <v>0</v>
      </c>
      <c r="JL92" s="21">
        <f t="shared" si="400"/>
        <v>0</v>
      </c>
      <c r="JM92" s="21">
        <f t="shared" si="401"/>
        <v>0</v>
      </c>
      <c r="JN92" s="21">
        <f t="shared" si="402"/>
        <v>5.8409999999999993</v>
      </c>
      <c r="JO92" s="35">
        <f t="shared" si="403"/>
        <v>649</v>
      </c>
      <c r="JP92" s="38">
        <f t="shared" si="404"/>
        <v>0</v>
      </c>
      <c r="JQ92" s="43">
        <f t="shared" si="405"/>
        <v>0</v>
      </c>
      <c r="JR92" s="43">
        <f t="shared" si="406"/>
        <v>0</v>
      </c>
      <c r="JS92" s="43">
        <f t="shared" si="407"/>
        <v>0</v>
      </c>
      <c r="JT92" s="43">
        <f t="shared" si="408"/>
        <v>644.78962548000015</v>
      </c>
      <c r="JU92" s="43">
        <f t="shared" si="409"/>
        <v>0</v>
      </c>
      <c r="JV92" s="43">
        <f t="shared" si="410"/>
        <v>0</v>
      </c>
      <c r="JW92" s="43">
        <f t="shared" si="411"/>
        <v>0</v>
      </c>
      <c r="JX92" s="43">
        <f t="shared" si="412"/>
        <v>0</v>
      </c>
      <c r="JY92" s="43">
        <f t="shared" si="413"/>
        <v>0</v>
      </c>
      <c r="JZ92" s="43">
        <f t="shared" si="414"/>
        <v>0</v>
      </c>
      <c r="KA92" s="43">
        <f t="shared" si="415"/>
        <v>0</v>
      </c>
      <c r="KB92" s="43">
        <f t="shared" si="416"/>
        <v>0</v>
      </c>
      <c r="KC92" s="43">
        <f t="shared" si="417"/>
        <v>0</v>
      </c>
      <c r="KD92" s="43">
        <f t="shared" si="418"/>
        <v>742.24507499999993</v>
      </c>
      <c r="KE92" s="43">
        <f t="shared" si="419"/>
        <v>105.82529073777778</v>
      </c>
      <c r="KF92" s="43">
        <f t="shared" si="420"/>
        <v>0</v>
      </c>
      <c r="KG92" s="43">
        <f t="shared" si="421"/>
        <v>0</v>
      </c>
      <c r="KH92" s="43">
        <f t="shared" si="422"/>
        <v>0</v>
      </c>
      <c r="KI92" s="43">
        <f t="shared" si="423"/>
        <v>0</v>
      </c>
      <c r="KJ92" s="43">
        <f t="shared" si="424"/>
        <v>0</v>
      </c>
      <c r="KK92" s="43">
        <f t="shared" si="425"/>
        <v>0</v>
      </c>
      <c r="KL92" s="43">
        <f t="shared" si="426"/>
        <v>0</v>
      </c>
      <c r="KM92" s="43">
        <f t="shared" si="427"/>
        <v>640.67203199999994</v>
      </c>
      <c r="KN92" s="43">
        <f t="shared" si="428"/>
        <v>0</v>
      </c>
      <c r="KO92" s="43">
        <f t="shared" si="429"/>
        <v>0</v>
      </c>
      <c r="KP92" s="43">
        <f t="shared" si="430"/>
        <v>0</v>
      </c>
      <c r="KQ92" s="43">
        <f t="shared" si="431"/>
        <v>0</v>
      </c>
      <c r="KR92" s="43">
        <f t="shared" si="432"/>
        <v>0</v>
      </c>
      <c r="KS92" s="43">
        <f t="shared" si="433"/>
        <v>0</v>
      </c>
      <c r="KT92" s="43">
        <f t="shared" si="434"/>
        <v>0</v>
      </c>
      <c r="KU92" s="43">
        <f t="shared" si="435"/>
        <v>129.27846391466667</v>
      </c>
      <c r="KV92" s="43">
        <f t="shared" si="436"/>
        <v>0</v>
      </c>
      <c r="KW92" s="43">
        <f t="shared" si="437"/>
        <v>0</v>
      </c>
      <c r="KX92" s="43">
        <f t="shared" si="438"/>
        <v>0</v>
      </c>
      <c r="KY92" s="43">
        <f t="shared" si="439"/>
        <v>0</v>
      </c>
      <c r="KZ92" s="43">
        <f t="shared" si="440"/>
        <v>297.53405000000004</v>
      </c>
      <c r="LA92" s="43">
        <f t="shared" si="441"/>
        <v>205.43469363999998</v>
      </c>
      <c r="LB92" s="43">
        <f t="shared" si="442"/>
        <v>0</v>
      </c>
      <c r="LC92" s="43">
        <f t="shared" si="443"/>
        <v>0</v>
      </c>
      <c r="LD92" s="43">
        <f t="shared" si="444"/>
        <v>0</v>
      </c>
      <c r="LE92" s="43">
        <f t="shared" si="445"/>
        <v>0</v>
      </c>
      <c r="LF92" s="43">
        <f t="shared" si="446"/>
        <v>0</v>
      </c>
      <c r="LG92" s="43">
        <f t="shared" si="447"/>
        <v>0</v>
      </c>
      <c r="LH92" s="43">
        <f t="shared" si="448"/>
        <v>0</v>
      </c>
      <c r="LI92" s="43">
        <f t="shared" si="449"/>
        <v>0</v>
      </c>
      <c r="LJ92" s="43">
        <f t="shared" si="450"/>
        <v>0</v>
      </c>
      <c r="LK92" s="43">
        <f t="shared" si="451"/>
        <v>116.98792874999998</v>
      </c>
      <c r="LL92" s="43">
        <f t="shared" si="452"/>
        <v>0</v>
      </c>
      <c r="LM92" s="43">
        <f t="shared" si="453"/>
        <v>0</v>
      </c>
      <c r="LN92" s="43">
        <f t="shared" si="454"/>
        <v>0</v>
      </c>
      <c r="LO92" s="43">
        <f t="shared" si="455"/>
        <v>0</v>
      </c>
      <c r="LP92" s="43">
        <f t="shared" si="456"/>
        <v>49.356449999999988</v>
      </c>
      <c r="LQ92" s="28">
        <f t="shared" si="457"/>
        <v>2932.1236095224444</v>
      </c>
      <c r="LR92" s="65">
        <v>600</v>
      </c>
      <c r="LS92" s="32">
        <f t="shared" si="462"/>
        <v>4.8868726825374074</v>
      </c>
      <c r="LT92" s="26">
        <f t="shared" si="463"/>
        <v>1.3352111154473789</v>
      </c>
      <c r="LU92" s="31">
        <f t="shared" si="458"/>
        <v>49</v>
      </c>
      <c r="LW92" s="42"/>
      <c r="MA92" s="32">
        <f t="shared" si="459"/>
        <v>4.5179100300808077</v>
      </c>
      <c r="MB92" s="26">
        <f t="shared" si="464"/>
        <v>1.2344016475630621</v>
      </c>
    </row>
    <row r="93" spans="1:340" ht="15.75" thickBot="1">
      <c r="A93" t="b">
        <f t="shared" si="297"/>
        <v>1</v>
      </c>
      <c r="B93" s="123" t="s">
        <v>261</v>
      </c>
      <c r="C93" s="39" t="s">
        <v>256</v>
      </c>
      <c r="D93"/>
      <c r="E93" s="97">
        <v>46036</v>
      </c>
      <c r="F93" t="s">
        <v>43</v>
      </c>
      <c r="G93" t="s">
        <v>20</v>
      </c>
      <c r="H93" t="s">
        <v>27</v>
      </c>
      <c r="I93" s="77"/>
      <c r="J93" s="77"/>
      <c r="K93" s="77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24"/>
      <c r="AG93" s="124"/>
      <c r="AH93" s="104"/>
      <c r="AI93" s="104"/>
      <c r="AJ93" s="104">
        <v>0.4</v>
      </c>
      <c r="AK93" s="104"/>
      <c r="AL93" s="104"/>
      <c r="AM93" s="104"/>
      <c r="AN93" s="104"/>
      <c r="AO93" s="104"/>
      <c r="AP93" s="104"/>
      <c r="AQ93" s="104"/>
      <c r="AR93" s="22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24">
        <v>0.6</v>
      </c>
      <c r="BD93" s="124"/>
      <c r="BE93" s="104"/>
      <c r="BF93" s="104"/>
      <c r="BG93" s="104"/>
      <c r="BH93" s="104"/>
      <c r="BI93" s="78">
        <f t="shared" si="296"/>
        <v>1</v>
      </c>
      <c r="BJ93" s="105"/>
      <c r="BK93" s="105"/>
      <c r="BL93" s="105"/>
      <c r="BM93" s="105"/>
      <c r="BN93" s="105"/>
      <c r="BO93" s="105"/>
      <c r="BP93" s="105"/>
      <c r="BQ93" s="105"/>
      <c r="BR93" s="105"/>
      <c r="BS93" s="105"/>
      <c r="BT93" s="105"/>
      <c r="BU93" s="105"/>
      <c r="BV93" s="105"/>
      <c r="BW93" s="105"/>
      <c r="BX93" s="105"/>
      <c r="BY93" s="105"/>
      <c r="BZ93" s="105"/>
      <c r="CA93" s="105"/>
      <c r="CB93" s="105"/>
      <c r="CC93" s="105"/>
      <c r="CD93" s="105"/>
      <c r="CE93" s="105"/>
      <c r="CF93" s="120"/>
      <c r="CG93" s="128"/>
      <c r="CH93" s="128"/>
      <c r="CI93" s="105"/>
      <c r="CJ93" s="105"/>
      <c r="CK93" s="105"/>
      <c r="CL93" s="105">
        <v>0.4</v>
      </c>
      <c r="CM93" s="105"/>
      <c r="CN93" s="105"/>
      <c r="CO93" s="105"/>
      <c r="CP93" s="105"/>
      <c r="CQ93" s="105"/>
      <c r="CR93" s="105"/>
      <c r="CS93" s="105"/>
      <c r="CT93" s="105"/>
      <c r="CU93" s="105"/>
      <c r="CV93" s="105"/>
      <c r="CW93" s="105"/>
      <c r="CX93" s="105"/>
      <c r="CY93" s="105"/>
      <c r="CZ93" s="105"/>
      <c r="DA93" s="105"/>
      <c r="DB93" s="105"/>
      <c r="DC93" s="105"/>
      <c r="DD93" s="125">
        <v>0.6</v>
      </c>
      <c r="DE93" s="125"/>
      <c r="DF93" s="105"/>
      <c r="DG93" s="105"/>
      <c r="DH93" s="105"/>
      <c r="DI93" s="105"/>
      <c r="DJ93" s="79">
        <f t="shared" si="460"/>
        <v>1</v>
      </c>
      <c r="DK93" s="108"/>
      <c r="DL93" s="108"/>
      <c r="DM93" s="108"/>
      <c r="DN93" s="108">
        <v>0.73</v>
      </c>
      <c r="DO93" s="108"/>
      <c r="DP93" s="108"/>
      <c r="DQ93" s="108"/>
      <c r="DR93" s="108"/>
      <c r="DS93" s="108"/>
      <c r="DT93" s="108"/>
      <c r="DU93" s="108"/>
      <c r="DV93" s="108"/>
      <c r="DW93" s="108"/>
      <c r="DX93" s="108"/>
      <c r="DY93" s="108"/>
      <c r="DZ93" s="108"/>
      <c r="EA93" s="108"/>
      <c r="EB93" s="108"/>
      <c r="EC93" s="108"/>
      <c r="ED93" s="108"/>
      <c r="EE93" s="108"/>
      <c r="EF93" s="108"/>
      <c r="EG93" s="108"/>
      <c r="EH93" s="129"/>
      <c r="EI93" s="129"/>
      <c r="EJ93" s="108"/>
      <c r="EK93" s="108"/>
      <c r="EL93" s="108"/>
      <c r="EM93" s="108">
        <v>0.15</v>
      </c>
      <c r="EN93" s="108"/>
      <c r="EO93" s="108"/>
      <c r="EP93" s="108"/>
      <c r="EQ93" s="108"/>
      <c r="ER93" s="108"/>
      <c r="ES93" s="106"/>
      <c r="ET93" s="106"/>
      <c r="EU93" s="106">
        <v>0.1</v>
      </c>
      <c r="EV93" s="106"/>
      <c r="EW93" s="106"/>
      <c r="EX93" s="106"/>
      <c r="EY93" s="106"/>
      <c r="EZ93" s="106"/>
      <c r="FA93" s="106"/>
      <c r="FB93" s="106"/>
      <c r="FC93" s="106"/>
      <c r="FD93" s="106"/>
      <c r="FE93" s="126"/>
      <c r="FF93" s="126"/>
      <c r="FG93" s="106"/>
      <c r="FH93" s="106"/>
      <c r="FI93" s="106"/>
      <c r="FJ93" s="106">
        <v>0.02</v>
      </c>
      <c r="FK93" s="17">
        <f t="shared" si="461"/>
        <v>1</v>
      </c>
      <c r="FL93" s="18"/>
      <c r="FM93" s="19">
        <f t="shared" si="298"/>
        <v>0</v>
      </c>
      <c r="FN93" s="19">
        <f t="shared" si="299"/>
        <v>0</v>
      </c>
      <c r="FO93" s="19">
        <f t="shared" si="300"/>
        <v>0</v>
      </c>
      <c r="FP93" s="19">
        <f t="shared" si="301"/>
        <v>1.095</v>
      </c>
      <c r="FQ93" s="19">
        <f t="shared" si="302"/>
        <v>0</v>
      </c>
      <c r="FR93" s="19">
        <f t="shared" si="303"/>
        <v>0</v>
      </c>
      <c r="FS93" s="19">
        <f t="shared" si="304"/>
        <v>0</v>
      </c>
      <c r="FT93" s="19">
        <f t="shared" si="305"/>
        <v>0</v>
      </c>
      <c r="FU93" s="19">
        <f t="shared" si="306"/>
        <v>0</v>
      </c>
      <c r="FV93" s="19">
        <f t="shared" si="307"/>
        <v>0</v>
      </c>
      <c r="FW93" s="19">
        <f t="shared" si="308"/>
        <v>0</v>
      </c>
      <c r="FX93" s="19">
        <f t="shared" si="309"/>
        <v>0</v>
      </c>
      <c r="FY93" s="19">
        <f t="shared" si="310"/>
        <v>0</v>
      </c>
      <c r="FZ93" s="19">
        <f t="shared" si="311"/>
        <v>0</v>
      </c>
      <c r="GA93" s="19">
        <f t="shared" si="312"/>
        <v>0</v>
      </c>
      <c r="GB93" s="19">
        <f t="shared" si="313"/>
        <v>0</v>
      </c>
      <c r="GC93" s="19">
        <f t="shared" si="314"/>
        <v>0</v>
      </c>
      <c r="GD93" s="19">
        <f t="shared" si="315"/>
        <v>0</v>
      </c>
      <c r="GE93" s="19">
        <f t="shared" si="316"/>
        <v>0</v>
      </c>
      <c r="GF93" s="19">
        <f t="shared" si="317"/>
        <v>0</v>
      </c>
      <c r="GG93" s="19">
        <f t="shared" si="318"/>
        <v>0</v>
      </c>
      <c r="GH93" s="19">
        <f t="shared" si="319"/>
        <v>0</v>
      </c>
      <c r="GI93" s="19">
        <f t="shared" si="320"/>
        <v>0</v>
      </c>
      <c r="GJ93" s="19">
        <f t="shared" si="321"/>
        <v>0</v>
      </c>
      <c r="GK93" s="19">
        <f t="shared" si="322"/>
        <v>0</v>
      </c>
      <c r="GL93" s="19">
        <f t="shared" si="323"/>
        <v>0</v>
      </c>
      <c r="GM93" s="19">
        <f t="shared" si="324"/>
        <v>0</v>
      </c>
      <c r="GN93" s="19">
        <f t="shared" si="325"/>
        <v>0.60000000000000009</v>
      </c>
      <c r="GO93" s="19">
        <f t="shared" si="326"/>
        <v>1.0249999999999999</v>
      </c>
      <c r="GP93" s="19">
        <f t="shared" si="327"/>
        <v>0</v>
      </c>
      <c r="GQ93" s="19">
        <f t="shared" si="328"/>
        <v>0</v>
      </c>
      <c r="GR93" s="19">
        <f t="shared" si="329"/>
        <v>0</v>
      </c>
      <c r="GS93" s="19">
        <f t="shared" si="330"/>
        <v>0</v>
      </c>
      <c r="GT93" s="19">
        <f t="shared" si="331"/>
        <v>0</v>
      </c>
      <c r="GU93" s="19">
        <f t="shared" si="332"/>
        <v>0</v>
      </c>
      <c r="GV93" s="19">
        <f t="shared" si="333"/>
        <v>0</v>
      </c>
      <c r="GW93" s="19">
        <f t="shared" si="334"/>
        <v>0.15000000000000002</v>
      </c>
      <c r="GX93" s="19">
        <f t="shared" si="335"/>
        <v>0</v>
      </c>
      <c r="GY93" s="19">
        <f t="shared" si="336"/>
        <v>0</v>
      </c>
      <c r="GZ93" s="19">
        <f t="shared" si="337"/>
        <v>0</v>
      </c>
      <c r="HA93" s="19">
        <f t="shared" si="338"/>
        <v>0</v>
      </c>
      <c r="HB93" s="19">
        <f t="shared" si="339"/>
        <v>0</v>
      </c>
      <c r="HC93" s="19">
        <f t="shared" si="340"/>
        <v>0</v>
      </c>
      <c r="HD93" s="19">
        <f t="shared" si="341"/>
        <v>0</v>
      </c>
      <c r="HE93" s="19">
        <f t="shared" si="342"/>
        <v>0</v>
      </c>
      <c r="HF93" s="19">
        <f t="shared" si="343"/>
        <v>0</v>
      </c>
      <c r="HG93" s="19">
        <f t="shared" si="344"/>
        <v>2.0999999999999996</v>
      </c>
      <c r="HH93" s="19">
        <f t="shared" si="345"/>
        <v>0</v>
      </c>
      <c r="HI93" s="19">
        <f t="shared" si="346"/>
        <v>0</v>
      </c>
      <c r="HJ93" s="19">
        <f t="shared" si="347"/>
        <v>0</v>
      </c>
      <c r="HK93" s="19">
        <f t="shared" si="348"/>
        <v>0</v>
      </c>
      <c r="HL93" s="19">
        <f t="shared" si="349"/>
        <v>0.03</v>
      </c>
      <c r="HM93" s="20">
        <f t="shared" si="350"/>
        <v>4.9999999999999991</v>
      </c>
      <c r="HN93" s="53">
        <v>907</v>
      </c>
      <c r="HO93" s="21">
        <f t="shared" si="351"/>
        <v>0</v>
      </c>
      <c r="HP93" s="21">
        <f t="shared" si="352"/>
        <v>0</v>
      </c>
      <c r="HQ93" s="21">
        <f t="shared" si="353"/>
        <v>0</v>
      </c>
      <c r="HR93" s="21">
        <f t="shared" si="354"/>
        <v>198.63300000000004</v>
      </c>
      <c r="HS93" s="21">
        <f t="shared" si="355"/>
        <v>0</v>
      </c>
      <c r="HT93" s="69">
        <f t="shared" si="356"/>
        <v>0</v>
      </c>
      <c r="HU93" s="21">
        <f t="shared" si="357"/>
        <v>0</v>
      </c>
      <c r="HV93" s="21">
        <f t="shared" si="358"/>
        <v>0</v>
      </c>
      <c r="HW93" s="21">
        <f t="shared" si="359"/>
        <v>0</v>
      </c>
      <c r="HX93" s="21">
        <f t="shared" si="360"/>
        <v>0</v>
      </c>
      <c r="HY93" s="21">
        <f t="shared" si="361"/>
        <v>0</v>
      </c>
      <c r="HZ93" s="21">
        <f t="shared" si="362"/>
        <v>0</v>
      </c>
      <c r="IA93" s="21">
        <f t="shared" si="363"/>
        <v>0</v>
      </c>
      <c r="IB93" s="21">
        <f t="shared" si="364"/>
        <v>0</v>
      </c>
      <c r="IC93" s="21">
        <f t="shared" si="365"/>
        <v>0</v>
      </c>
      <c r="ID93" s="21">
        <f t="shared" si="366"/>
        <v>0</v>
      </c>
      <c r="IE93" s="21">
        <f t="shared" si="367"/>
        <v>0</v>
      </c>
      <c r="IF93" s="69">
        <f t="shared" si="368"/>
        <v>0</v>
      </c>
      <c r="IG93" s="69">
        <f t="shared" si="369"/>
        <v>0</v>
      </c>
      <c r="IH93" s="69">
        <f t="shared" si="370"/>
        <v>0</v>
      </c>
      <c r="II93" s="21">
        <f t="shared" si="371"/>
        <v>0</v>
      </c>
      <c r="IJ93" s="21">
        <f t="shared" si="372"/>
        <v>0</v>
      </c>
      <c r="IK93" s="21">
        <f t="shared" si="373"/>
        <v>0</v>
      </c>
      <c r="IL93" s="21">
        <f t="shared" si="374"/>
        <v>0</v>
      </c>
      <c r="IM93" s="21">
        <f t="shared" si="375"/>
        <v>0</v>
      </c>
      <c r="IN93" s="21">
        <f t="shared" si="376"/>
        <v>0</v>
      </c>
      <c r="IO93" s="21">
        <f t="shared" si="377"/>
        <v>0</v>
      </c>
      <c r="IP93" s="21">
        <f t="shared" si="378"/>
        <v>108.84000000000003</v>
      </c>
      <c r="IQ93" s="21">
        <f t="shared" si="379"/>
        <v>185.93500000000003</v>
      </c>
      <c r="IR93" s="21">
        <f t="shared" si="380"/>
        <v>0</v>
      </c>
      <c r="IS93" s="21">
        <f t="shared" si="381"/>
        <v>0</v>
      </c>
      <c r="IT93" s="21">
        <f t="shared" si="382"/>
        <v>0</v>
      </c>
      <c r="IU93" s="21">
        <f t="shared" si="383"/>
        <v>0</v>
      </c>
      <c r="IV93" s="21">
        <f t="shared" si="384"/>
        <v>0</v>
      </c>
      <c r="IW93" s="21">
        <f t="shared" si="385"/>
        <v>0</v>
      </c>
      <c r="IX93" s="21">
        <f t="shared" si="386"/>
        <v>0</v>
      </c>
      <c r="IY93" s="21">
        <f t="shared" si="387"/>
        <v>27.210000000000008</v>
      </c>
      <c r="IZ93" s="21">
        <f t="shared" si="388"/>
        <v>0</v>
      </c>
      <c r="JA93" s="21">
        <f t="shared" si="389"/>
        <v>0</v>
      </c>
      <c r="JB93" s="21">
        <f t="shared" si="390"/>
        <v>0</v>
      </c>
      <c r="JC93" s="21">
        <f t="shared" si="391"/>
        <v>0</v>
      </c>
      <c r="JD93" s="21">
        <f t="shared" si="392"/>
        <v>0</v>
      </c>
      <c r="JE93" s="21">
        <f t="shared" si="393"/>
        <v>0</v>
      </c>
      <c r="JF93" s="21">
        <f t="shared" si="394"/>
        <v>0</v>
      </c>
      <c r="JG93" s="21">
        <f t="shared" si="395"/>
        <v>0</v>
      </c>
      <c r="JH93" s="21">
        <f t="shared" si="396"/>
        <v>0</v>
      </c>
      <c r="JI93" s="21">
        <f t="shared" si="397"/>
        <v>380.94</v>
      </c>
      <c r="JJ93" s="21">
        <f t="shared" si="398"/>
        <v>0</v>
      </c>
      <c r="JK93" s="21">
        <f t="shared" si="399"/>
        <v>0</v>
      </c>
      <c r="JL93" s="21">
        <f t="shared" si="400"/>
        <v>0</v>
      </c>
      <c r="JM93" s="21">
        <f t="shared" si="401"/>
        <v>0</v>
      </c>
      <c r="JN93" s="21">
        <f t="shared" si="402"/>
        <v>5.4420000000000002</v>
      </c>
      <c r="JO93" s="35">
        <f t="shared" si="403"/>
        <v>907.00000000000023</v>
      </c>
      <c r="JP93" s="38">
        <f t="shared" si="404"/>
        <v>0</v>
      </c>
      <c r="JQ93" s="43">
        <f t="shared" si="405"/>
        <v>0</v>
      </c>
      <c r="JR93" s="43">
        <f t="shared" si="406"/>
        <v>0</v>
      </c>
      <c r="JS93" s="43">
        <f t="shared" si="407"/>
        <v>0</v>
      </c>
      <c r="JT93" s="43">
        <f t="shared" si="408"/>
        <v>854.30464236000023</v>
      </c>
      <c r="JU93" s="43">
        <f t="shared" si="409"/>
        <v>0</v>
      </c>
      <c r="JV93" s="43">
        <f t="shared" si="410"/>
        <v>0</v>
      </c>
      <c r="JW93" s="43">
        <f t="shared" si="411"/>
        <v>0</v>
      </c>
      <c r="JX93" s="43">
        <f t="shared" si="412"/>
        <v>0</v>
      </c>
      <c r="JY93" s="43">
        <f t="shared" si="413"/>
        <v>0</v>
      </c>
      <c r="JZ93" s="43">
        <f t="shared" si="414"/>
        <v>0</v>
      </c>
      <c r="KA93" s="43">
        <f t="shared" si="415"/>
        <v>0</v>
      </c>
      <c r="KB93" s="43">
        <f t="shared" si="416"/>
        <v>0</v>
      </c>
      <c r="KC93" s="43">
        <f t="shared" si="417"/>
        <v>0</v>
      </c>
      <c r="KD93" s="43">
        <f t="shared" si="418"/>
        <v>0</v>
      </c>
      <c r="KE93" s="43">
        <f t="shared" si="419"/>
        <v>0</v>
      </c>
      <c r="KF93" s="43">
        <f t="shared" si="420"/>
        <v>0</v>
      </c>
      <c r="KG93" s="43">
        <f t="shared" si="421"/>
        <v>0</v>
      </c>
      <c r="KH93" s="43">
        <f t="shared" si="422"/>
        <v>0</v>
      </c>
      <c r="KI93" s="43">
        <f t="shared" si="423"/>
        <v>0</v>
      </c>
      <c r="KJ93" s="43">
        <f t="shared" si="424"/>
        <v>0</v>
      </c>
      <c r="KK93" s="43">
        <f t="shared" si="425"/>
        <v>0</v>
      </c>
      <c r="KL93" s="43">
        <f t="shared" si="426"/>
        <v>0</v>
      </c>
      <c r="KM93" s="43">
        <f t="shared" si="427"/>
        <v>0</v>
      </c>
      <c r="KN93" s="43">
        <f t="shared" si="428"/>
        <v>0</v>
      </c>
      <c r="KO93" s="43">
        <f t="shared" si="429"/>
        <v>0</v>
      </c>
      <c r="KP93" s="43">
        <f t="shared" si="430"/>
        <v>0</v>
      </c>
      <c r="KQ93" s="43">
        <f t="shared" si="431"/>
        <v>0</v>
      </c>
      <c r="KR93" s="43">
        <f t="shared" si="432"/>
        <v>420.12240000000008</v>
      </c>
      <c r="KS93" s="43">
        <f t="shared" si="433"/>
        <v>635.7733076068688</v>
      </c>
      <c r="KT93" s="43">
        <f t="shared" si="434"/>
        <v>0</v>
      </c>
      <c r="KU93" s="43">
        <f t="shared" si="435"/>
        <v>0</v>
      </c>
      <c r="KV93" s="43">
        <f t="shared" si="436"/>
        <v>0</v>
      </c>
      <c r="KW93" s="43">
        <f t="shared" si="437"/>
        <v>0</v>
      </c>
      <c r="KX93" s="43">
        <f t="shared" si="438"/>
        <v>0</v>
      </c>
      <c r="KY93" s="43">
        <f t="shared" si="439"/>
        <v>0</v>
      </c>
      <c r="KZ93" s="43">
        <f t="shared" si="440"/>
        <v>0</v>
      </c>
      <c r="LA93" s="43">
        <f t="shared" si="441"/>
        <v>109.02611640000002</v>
      </c>
      <c r="LB93" s="43">
        <f t="shared" si="442"/>
        <v>0</v>
      </c>
      <c r="LC93" s="43">
        <f t="shared" si="443"/>
        <v>0</v>
      </c>
      <c r="LD93" s="43">
        <f t="shared" si="444"/>
        <v>0</v>
      </c>
      <c r="LE93" s="43">
        <f t="shared" si="445"/>
        <v>0</v>
      </c>
      <c r="LF93" s="43">
        <f t="shared" si="446"/>
        <v>0</v>
      </c>
      <c r="LG93" s="43">
        <f t="shared" si="447"/>
        <v>0</v>
      </c>
      <c r="LH93" s="43">
        <f t="shared" si="448"/>
        <v>0</v>
      </c>
      <c r="LI93" s="43">
        <f t="shared" si="449"/>
        <v>0</v>
      </c>
      <c r="LJ93" s="43">
        <f t="shared" si="450"/>
        <v>0</v>
      </c>
      <c r="LK93" s="43">
        <f t="shared" si="451"/>
        <v>1525.950405</v>
      </c>
      <c r="LL93" s="43">
        <f t="shared" si="452"/>
        <v>0</v>
      </c>
      <c r="LM93" s="43">
        <f t="shared" si="453"/>
        <v>0</v>
      </c>
      <c r="LN93" s="43">
        <f t="shared" si="454"/>
        <v>0</v>
      </c>
      <c r="LO93" s="43">
        <f t="shared" si="455"/>
        <v>0</v>
      </c>
      <c r="LP93" s="43">
        <f t="shared" si="456"/>
        <v>45.984899999999996</v>
      </c>
      <c r="LQ93" s="28">
        <f t="shared" si="457"/>
        <v>3591.1617713668688</v>
      </c>
      <c r="LR93" s="65">
        <v>907</v>
      </c>
      <c r="LS93" s="32">
        <f t="shared" si="462"/>
        <v>3.9593845329292932</v>
      </c>
      <c r="LT93" s="26">
        <f t="shared" si="463"/>
        <v>1.0817990527129215</v>
      </c>
      <c r="LU93" s="31">
        <f t="shared" si="458"/>
        <v>0</v>
      </c>
      <c r="LW93" s="42"/>
      <c r="MA93" s="32">
        <f t="shared" si="459"/>
        <v>3.9593845329292923</v>
      </c>
      <c r="MB93" s="26">
        <f t="shared" si="464"/>
        <v>1.0817990527129213</v>
      </c>
    </row>
    <row r="94" spans="1:340" ht="15.75" thickBot="1">
      <c r="A94" t="b">
        <f t="shared" si="297"/>
        <v>1</v>
      </c>
      <c r="B94" s="123" t="s">
        <v>262</v>
      </c>
      <c r="C94" s="39" t="s">
        <v>263</v>
      </c>
      <c r="D94"/>
      <c r="E94" s="97">
        <v>46036</v>
      </c>
      <c r="F94" t="s">
        <v>43</v>
      </c>
      <c r="G94" t="s">
        <v>20</v>
      </c>
      <c r="H94" t="s">
        <v>27</v>
      </c>
      <c r="I94" s="77"/>
      <c r="J94" s="77"/>
      <c r="K94" s="77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>
        <v>0.1</v>
      </c>
      <c r="AA94" s="104"/>
      <c r="AB94" s="104"/>
      <c r="AC94" s="104"/>
      <c r="AD94" s="104"/>
      <c r="AE94" s="104"/>
      <c r="AF94" s="124"/>
      <c r="AG94" s="124"/>
      <c r="AH94" s="104"/>
      <c r="AI94" s="104"/>
      <c r="AJ94" s="22">
        <v>0.3</v>
      </c>
      <c r="AK94" s="22"/>
      <c r="AL94" s="22"/>
      <c r="AM94" s="22"/>
      <c r="AN94" s="22"/>
      <c r="AO94" s="104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104"/>
      <c r="BA94" s="104"/>
      <c r="BB94" s="104"/>
      <c r="BC94" s="124">
        <v>0.6</v>
      </c>
      <c r="BD94" s="124"/>
      <c r="BE94" s="104"/>
      <c r="BF94" s="104"/>
      <c r="BG94" s="104"/>
      <c r="BH94" s="104"/>
      <c r="BI94" s="78">
        <f t="shared" si="296"/>
        <v>1</v>
      </c>
      <c r="BJ94" s="105"/>
      <c r="BK94" s="105"/>
      <c r="BL94" s="105"/>
      <c r="BM94" s="105"/>
      <c r="BN94" s="105"/>
      <c r="BO94" s="105"/>
      <c r="BP94" s="105"/>
      <c r="BQ94" s="105"/>
      <c r="BR94" s="105"/>
      <c r="BS94" s="105"/>
      <c r="BT94" s="105"/>
      <c r="BU94" s="105"/>
      <c r="BV94" s="105"/>
      <c r="BW94" s="105"/>
      <c r="BX94" s="105"/>
      <c r="BY94" s="105"/>
      <c r="BZ94" s="105"/>
      <c r="CA94" s="105"/>
      <c r="CB94" s="105"/>
      <c r="CC94" s="105"/>
      <c r="CD94" s="105"/>
      <c r="CE94" s="105"/>
      <c r="CF94" s="120"/>
      <c r="CG94" s="128"/>
      <c r="CH94" s="128"/>
      <c r="CI94" s="105"/>
      <c r="CJ94" s="105"/>
      <c r="CK94" s="105"/>
      <c r="CL94" s="105">
        <v>0.5</v>
      </c>
      <c r="CM94" s="105"/>
      <c r="CN94" s="105"/>
      <c r="CO94" s="105"/>
      <c r="CP94" s="105"/>
      <c r="CQ94" s="105"/>
      <c r="CR94" s="105"/>
      <c r="CS94" s="105"/>
      <c r="CT94" s="105"/>
      <c r="CU94" s="105"/>
      <c r="CV94" s="105"/>
      <c r="CW94" s="105"/>
      <c r="CX94" s="105"/>
      <c r="CY94" s="105"/>
      <c r="CZ94" s="105"/>
      <c r="DA94" s="105"/>
      <c r="DB94" s="105"/>
      <c r="DC94" s="105">
        <v>0.5</v>
      </c>
      <c r="DD94" s="125"/>
      <c r="DE94" s="125"/>
      <c r="DF94" s="105"/>
      <c r="DG94" s="105"/>
      <c r="DH94" s="105"/>
      <c r="DI94" s="105"/>
      <c r="DJ94" s="79">
        <f t="shared" si="460"/>
        <v>1</v>
      </c>
      <c r="DK94" s="108"/>
      <c r="DL94" s="108"/>
      <c r="DM94" s="108"/>
      <c r="DN94" s="108">
        <v>0.89</v>
      </c>
      <c r="DO94" s="108"/>
      <c r="DP94" s="108"/>
      <c r="DQ94" s="108"/>
      <c r="DR94" s="108"/>
      <c r="DS94" s="108"/>
      <c r="DT94" s="108"/>
      <c r="DU94" s="108"/>
      <c r="DV94" s="108"/>
      <c r="DW94" s="108"/>
      <c r="DX94" s="108"/>
      <c r="DY94" s="108"/>
      <c r="DZ94" s="108"/>
      <c r="EA94" s="108"/>
      <c r="EB94" s="108"/>
      <c r="EC94" s="108"/>
      <c r="ED94" s="108"/>
      <c r="EE94" s="108"/>
      <c r="EF94" s="108"/>
      <c r="EG94" s="108"/>
      <c r="EH94" s="129"/>
      <c r="EI94" s="129"/>
      <c r="EJ94" s="108"/>
      <c r="EK94" s="108"/>
      <c r="EL94" s="108"/>
      <c r="EM94" s="108"/>
      <c r="EN94" s="108"/>
      <c r="EO94" s="108"/>
      <c r="EP94" s="108"/>
      <c r="EQ94" s="108"/>
      <c r="ER94" s="108"/>
      <c r="ES94" s="106"/>
      <c r="ET94" s="106"/>
      <c r="EU94" s="106">
        <v>0.09</v>
      </c>
      <c r="EV94" s="106"/>
      <c r="EW94" s="106"/>
      <c r="EX94" s="106"/>
      <c r="EY94" s="106"/>
      <c r="EZ94" s="106"/>
      <c r="FA94" s="106"/>
      <c r="FB94" s="106"/>
      <c r="FC94" s="106"/>
      <c r="FD94" s="106"/>
      <c r="FE94" s="126"/>
      <c r="FF94" s="126"/>
      <c r="FG94" s="106"/>
      <c r="FH94" s="106"/>
      <c r="FI94" s="106"/>
      <c r="FJ94" s="106">
        <v>0.02</v>
      </c>
      <c r="FK94" s="17">
        <f t="shared" si="461"/>
        <v>1</v>
      </c>
      <c r="FL94" s="18"/>
      <c r="FM94" s="19">
        <f t="shared" si="298"/>
        <v>0</v>
      </c>
      <c r="FN94" s="19">
        <f t="shared" si="299"/>
        <v>0</v>
      </c>
      <c r="FO94" s="19">
        <f t="shared" si="300"/>
        <v>0</v>
      </c>
      <c r="FP94" s="19">
        <f t="shared" si="301"/>
        <v>1.335</v>
      </c>
      <c r="FQ94" s="19">
        <f t="shared" si="302"/>
        <v>0</v>
      </c>
      <c r="FR94" s="19">
        <f t="shared" si="303"/>
        <v>0</v>
      </c>
      <c r="FS94" s="19">
        <f t="shared" si="304"/>
        <v>0</v>
      </c>
      <c r="FT94" s="19">
        <f t="shared" si="305"/>
        <v>0</v>
      </c>
      <c r="FU94" s="19">
        <f t="shared" si="306"/>
        <v>0</v>
      </c>
      <c r="FV94" s="19">
        <f t="shared" si="307"/>
        <v>0</v>
      </c>
      <c r="FW94" s="19">
        <f t="shared" si="308"/>
        <v>0</v>
      </c>
      <c r="FX94" s="19">
        <f t="shared" si="309"/>
        <v>0</v>
      </c>
      <c r="FY94" s="19">
        <f t="shared" si="310"/>
        <v>0</v>
      </c>
      <c r="FZ94" s="19">
        <f t="shared" si="311"/>
        <v>0</v>
      </c>
      <c r="GA94" s="19">
        <f t="shared" si="312"/>
        <v>0</v>
      </c>
      <c r="GB94" s="19">
        <f t="shared" si="313"/>
        <v>0</v>
      </c>
      <c r="GC94" s="19">
        <f t="shared" si="314"/>
        <v>0</v>
      </c>
      <c r="GD94" s="19">
        <f t="shared" si="315"/>
        <v>0.15000000000000002</v>
      </c>
      <c r="GE94" s="19">
        <f t="shared" si="316"/>
        <v>0</v>
      </c>
      <c r="GF94" s="19">
        <f t="shared" si="317"/>
        <v>0</v>
      </c>
      <c r="GG94" s="19">
        <f t="shared" si="318"/>
        <v>0</v>
      </c>
      <c r="GH94" s="19">
        <f t="shared" si="319"/>
        <v>0</v>
      </c>
      <c r="GI94" s="19">
        <f t="shared" si="320"/>
        <v>0</v>
      </c>
      <c r="GJ94" s="19">
        <f t="shared" si="321"/>
        <v>0</v>
      </c>
      <c r="GK94" s="19">
        <f t="shared" si="322"/>
        <v>0</v>
      </c>
      <c r="GL94" s="19">
        <f t="shared" si="323"/>
        <v>0</v>
      </c>
      <c r="GM94" s="19">
        <f t="shared" si="324"/>
        <v>0</v>
      </c>
      <c r="GN94" s="19">
        <f t="shared" si="325"/>
        <v>0.44999999999999996</v>
      </c>
      <c r="GO94" s="19">
        <f t="shared" si="326"/>
        <v>1</v>
      </c>
      <c r="GP94" s="19">
        <f t="shared" si="327"/>
        <v>0</v>
      </c>
      <c r="GQ94" s="19">
        <f t="shared" si="328"/>
        <v>0</v>
      </c>
      <c r="GR94" s="19">
        <f t="shared" si="329"/>
        <v>0</v>
      </c>
      <c r="GS94" s="19">
        <f t="shared" si="330"/>
        <v>0</v>
      </c>
      <c r="GT94" s="19">
        <f t="shared" si="331"/>
        <v>0</v>
      </c>
      <c r="GU94" s="19">
        <f t="shared" si="332"/>
        <v>0</v>
      </c>
      <c r="GV94" s="19">
        <f t="shared" si="333"/>
        <v>0</v>
      </c>
      <c r="GW94" s="19">
        <f t="shared" si="334"/>
        <v>0.13500000000000001</v>
      </c>
      <c r="GX94" s="19">
        <f t="shared" si="335"/>
        <v>0</v>
      </c>
      <c r="GY94" s="19">
        <f t="shared" si="336"/>
        <v>0</v>
      </c>
      <c r="GZ94" s="19">
        <f t="shared" si="337"/>
        <v>0</v>
      </c>
      <c r="HA94" s="19">
        <f t="shared" si="338"/>
        <v>0</v>
      </c>
      <c r="HB94" s="19">
        <f t="shared" si="339"/>
        <v>0</v>
      </c>
      <c r="HC94" s="19">
        <f t="shared" si="340"/>
        <v>0</v>
      </c>
      <c r="HD94" s="19">
        <f t="shared" si="341"/>
        <v>0</v>
      </c>
      <c r="HE94" s="19">
        <f t="shared" si="342"/>
        <v>0</v>
      </c>
      <c r="HF94" s="19">
        <f t="shared" si="343"/>
        <v>1</v>
      </c>
      <c r="HG94" s="19">
        <f t="shared" si="344"/>
        <v>0.89999999999999991</v>
      </c>
      <c r="HH94" s="19">
        <f t="shared" si="345"/>
        <v>0</v>
      </c>
      <c r="HI94" s="19">
        <f t="shared" si="346"/>
        <v>0</v>
      </c>
      <c r="HJ94" s="19">
        <f t="shared" si="347"/>
        <v>0</v>
      </c>
      <c r="HK94" s="19">
        <f t="shared" si="348"/>
        <v>0</v>
      </c>
      <c r="HL94" s="19">
        <f t="shared" si="349"/>
        <v>0.03</v>
      </c>
      <c r="HM94" s="20">
        <f t="shared" si="350"/>
        <v>4.9999999999999991</v>
      </c>
      <c r="HN94" s="53">
        <v>867</v>
      </c>
      <c r="HO94" s="21">
        <f t="shared" si="351"/>
        <v>0</v>
      </c>
      <c r="HP94" s="21">
        <f t="shared" si="352"/>
        <v>0</v>
      </c>
      <c r="HQ94" s="21">
        <f t="shared" si="353"/>
        <v>0</v>
      </c>
      <c r="HR94" s="21">
        <f t="shared" si="354"/>
        <v>231.48900000000003</v>
      </c>
      <c r="HS94" s="21">
        <f t="shared" si="355"/>
        <v>0</v>
      </c>
      <c r="HT94" s="69">
        <f t="shared" si="356"/>
        <v>0</v>
      </c>
      <c r="HU94" s="21">
        <f t="shared" si="357"/>
        <v>0</v>
      </c>
      <c r="HV94" s="21">
        <f t="shared" si="358"/>
        <v>0</v>
      </c>
      <c r="HW94" s="21">
        <f t="shared" si="359"/>
        <v>0</v>
      </c>
      <c r="HX94" s="21">
        <f t="shared" si="360"/>
        <v>0</v>
      </c>
      <c r="HY94" s="21">
        <f t="shared" si="361"/>
        <v>0</v>
      </c>
      <c r="HZ94" s="21">
        <f t="shared" si="362"/>
        <v>0</v>
      </c>
      <c r="IA94" s="21">
        <f t="shared" si="363"/>
        <v>0</v>
      </c>
      <c r="IB94" s="21">
        <f t="shared" si="364"/>
        <v>0</v>
      </c>
      <c r="IC94" s="21">
        <f t="shared" si="365"/>
        <v>0</v>
      </c>
      <c r="ID94" s="21">
        <f t="shared" si="366"/>
        <v>0</v>
      </c>
      <c r="IE94" s="21">
        <f t="shared" si="367"/>
        <v>0</v>
      </c>
      <c r="IF94" s="69">
        <f t="shared" si="368"/>
        <v>26.010000000000009</v>
      </c>
      <c r="IG94" s="69">
        <f t="shared" si="369"/>
        <v>0</v>
      </c>
      <c r="IH94" s="69">
        <f t="shared" si="370"/>
        <v>0</v>
      </c>
      <c r="II94" s="21">
        <f t="shared" si="371"/>
        <v>0</v>
      </c>
      <c r="IJ94" s="21">
        <f t="shared" si="372"/>
        <v>0</v>
      </c>
      <c r="IK94" s="21">
        <f t="shared" si="373"/>
        <v>0</v>
      </c>
      <c r="IL94" s="21">
        <f t="shared" si="374"/>
        <v>0</v>
      </c>
      <c r="IM94" s="21">
        <f t="shared" si="375"/>
        <v>0</v>
      </c>
      <c r="IN94" s="21">
        <f t="shared" si="376"/>
        <v>0</v>
      </c>
      <c r="IO94" s="21">
        <f t="shared" si="377"/>
        <v>0</v>
      </c>
      <c r="IP94" s="21">
        <f t="shared" si="378"/>
        <v>78.030000000000015</v>
      </c>
      <c r="IQ94" s="21">
        <f t="shared" si="379"/>
        <v>173.40000000000003</v>
      </c>
      <c r="IR94" s="21">
        <f t="shared" si="380"/>
        <v>0</v>
      </c>
      <c r="IS94" s="21">
        <f t="shared" si="381"/>
        <v>0</v>
      </c>
      <c r="IT94" s="21">
        <f t="shared" si="382"/>
        <v>0</v>
      </c>
      <c r="IU94" s="21">
        <f t="shared" si="383"/>
        <v>0</v>
      </c>
      <c r="IV94" s="21">
        <f t="shared" si="384"/>
        <v>0</v>
      </c>
      <c r="IW94" s="21">
        <f t="shared" si="385"/>
        <v>0</v>
      </c>
      <c r="IX94" s="21">
        <f t="shared" si="386"/>
        <v>0</v>
      </c>
      <c r="IY94" s="21">
        <f t="shared" si="387"/>
        <v>23.409000000000006</v>
      </c>
      <c r="IZ94" s="21">
        <f t="shared" si="388"/>
        <v>0</v>
      </c>
      <c r="JA94" s="21">
        <f t="shared" si="389"/>
        <v>0</v>
      </c>
      <c r="JB94" s="21">
        <f t="shared" si="390"/>
        <v>0</v>
      </c>
      <c r="JC94" s="21">
        <f t="shared" si="391"/>
        <v>0</v>
      </c>
      <c r="JD94" s="21">
        <f t="shared" si="392"/>
        <v>0</v>
      </c>
      <c r="JE94" s="21">
        <f t="shared" si="393"/>
        <v>0</v>
      </c>
      <c r="JF94" s="21">
        <f t="shared" si="394"/>
        <v>0</v>
      </c>
      <c r="JG94" s="21">
        <f t="shared" si="395"/>
        <v>0</v>
      </c>
      <c r="JH94" s="21">
        <f t="shared" si="396"/>
        <v>173.40000000000003</v>
      </c>
      <c r="JI94" s="21">
        <f t="shared" si="397"/>
        <v>156.06000000000003</v>
      </c>
      <c r="JJ94" s="21">
        <f t="shared" si="398"/>
        <v>0</v>
      </c>
      <c r="JK94" s="21">
        <f t="shared" si="399"/>
        <v>0</v>
      </c>
      <c r="JL94" s="21">
        <f t="shared" si="400"/>
        <v>0</v>
      </c>
      <c r="JM94" s="21">
        <f t="shared" si="401"/>
        <v>0</v>
      </c>
      <c r="JN94" s="21">
        <f t="shared" si="402"/>
        <v>5.2020000000000008</v>
      </c>
      <c r="JO94" s="35">
        <f t="shared" si="403"/>
        <v>867.00000000000011</v>
      </c>
      <c r="JP94" s="38">
        <f t="shared" si="404"/>
        <v>0</v>
      </c>
      <c r="JQ94" s="43">
        <f t="shared" si="405"/>
        <v>0</v>
      </c>
      <c r="JR94" s="43">
        <f t="shared" si="406"/>
        <v>0</v>
      </c>
      <c r="JS94" s="43">
        <f t="shared" si="407"/>
        <v>0</v>
      </c>
      <c r="JT94" s="43">
        <f t="shared" si="408"/>
        <v>995.61566988000027</v>
      </c>
      <c r="JU94" s="43">
        <f t="shared" si="409"/>
        <v>0</v>
      </c>
      <c r="JV94" s="43">
        <f t="shared" si="410"/>
        <v>0</v>
      </c>
      <c r="JW94" s="43">
        <f t="shared" si="411"/>
        <v>0</v>
      </c>
      <c r="JX94" s="43">
        <f t="shared" si="412"/>
        <v>0</v>
      </c>
      <c r="JY94" s="43">
        <f t="shared" si="413"/>
        <v>0</v>
      </c>
      <c r="JZ94" s="43">
        <f t="shared" si="414"/>
        <v>0</v>
      </c>
      <c r="KA94" s="43">
        <f t="shared" si="415"/>
        <v>0</v>
      </c>
      <c r="KB94" s="43">
        <f t="shared" si="416"/>
        <v>0</v>
      </c>
      <c r="KC94" s="43">
        <f t="shared" si="417"/>
        <v>0</v>
      </c>
      <c r="KD94" s="43">
        <f t="shared" si="418"/>
        <v>0</v>
      </c>
      <c r="KE94" s="43">
        <f t="shared" si="419"/>
        <v>0</v>
      </c>
      <c r="KF94" s="43">
        <f t="shared" si="420"/>
        <v>0</v>
      </c>
      <c r="KG94" s="43">
        <f t="shared" si="421"/>
        <v>0</v>
      </c>
      <c r="KH94" s="43">
        <f t="shared" si="422"/>
        <v>106.02911448727275</v>
      </c>
      <c r="KI94" s="43">
        <f t="shared" si="423"/>
        <v>0</v>
      </c>
      <c r="KJ94" s="43">
        <f t="shared" si="424"/>
        <v>0</v>
      </c>
      <c r="KK94" s="43">
        <f t="shared" si="425"/>
        <v>0</v>
      </c>
      <c r="KL94" s="43">
        <f t="shared" si="426"/>
        <v>0</v>
      </c>
      <c r="KM94" s="43">
        <f t="shared" si="427"/>
        <v>0</v>
      </c>
      <c r="KN94" s="43">
        <f t="shared" si="428"/>
        <v>0</v>
      </c>
      <c r="KO94" s="43">
        <f t="shared" si="429"/>
        <v>0</v>
      </c>
      <c r="KP94" s="43">
        <f t="shared" si="430"/>
        <v>0</v>
      </c>
      <c r="KQ94" s="43">
        <f t="shared" si="431"/>
        <v>0</v>
      </c>
      <c r="KR94" s="43">
        <f t="shared" si="432"/>
        <v>301.19580000000008</v>
      </c>
      <c r="KS94" s="43">
        <f t="shared" si="433"/>
        <v>592.91199364848501</v>
      </c>
      <c r="KT94" s="43">
        <f t="shared" si="434"/>
        <v>0</v>
      </c>
      <c r="KU94" s="43">
        <f t="shared" si="435"/>
        <v>0</v>
      </c>
      <c r="KV94" s="43">
        <f t="shared" si="436"/>
        <v>0</v>
      </c>
      <c r="KW94" s="43">
        <f t="shared" si="437"/>
        <v>0</v>
      </c>
      <c r="KX94" s="43">
        <f t="shared" si="438"/>
        <v>0</v>
      </c>
      <c r="KY94" s="43">
        <f t="shared" si="439"/>
        <v>0</v>
      </c>
      <c r="KZ94" s="43">
        <f t="shared" si="440"/>
        <v>0</v>
      </c>
      <c r="LA94" s="43">
        <f t="shared" si="441"/>
        <v>93.796117560000013</v>
      </c>
      <c r="LB94" s="43">
        <f t="shared" si="442"/>
        <v>0</v>
      </c>
      <c r="LC94" s="43">
        <f t="shared" si="443"/>
        <v>0</v>
      </c>
      <c r="LD94" s="43">
        <f t="shared" si="444"/>
        <v>0</v>
      </c>
      <c r="LE94" s="43">
        <f t="shared" si="445"/>
        <v>0</v>
      </c>
      <c r="LF94" s="43">
        <f t="shared" si="446"/>
        <v>0</v>
      </c>
      <c r="LG94" s="43">
        <f t="shared" si="447"/>
        <v>0</v>
      </c>
      <c r="LH94" s="43">
        <f t="shared" si="448"/>
        <v>0</v>
      </c>
      <c r="LI94" s="43">
        <f t="shared" si="449"/>
        <v>0</v>
      </c>
      <c r="LJ94" s="43">
        <f t="shared" si="450"/>
        <v>835.01810400000022</v>
      </c>
      <c r="LK94" s="43">
        <f t="shared" si="451"/>
        <v>625.1373450000001</v>
      </c>
      <c r="LL94" s="43">
        <f t="shared" si="452"/>
        <v>0</v>
      </c>
      <c r="LM94" s="43">
        <f t="shared" si="453"/>
        <v>0</v>
      </c>
      <c r="LN94" s="43">
        <f t="shared" si="454"/>
        <v>0</v>
      </c>
      <c r="LO94" s="43">
        <f t="shared" si="455"/>
        <v>0</v>
      </c>
      <c r="LP94" s="43">
        <f t="shared" si="456"/>
        <v>43.956900000000005</v>
      </c>
      <c r="LQ94" s="28">
        <f t="shared" si="457"/>
        <v>3593.6610445757583</v>
      </c>
      <c r="LR94" s="65">
        <v>840</v>
      </c>
      <c r="LS94" s="32">
        <f t="shared" si="462"/>
        <v>4.2781679102092358</v>
      </c>
      <c r="LT94" s="26">
        <f t="shared" si="463"/>
        <v>1.1688983361227421</v>
      </c>
      <c r="LU94" s="31">
        <f t="shared" si="458"/>
        <v>27</v>
      </c>
      <c r="LW94" s="42"/>
      <c r="MA94" s="32">
        <f t="shared" si="459"/>
        <v>4.144937767676768</v>
      </c>
      <c r="MB94" s="26">
        <f t="shared" si="464"/>
        <v>1.1324966578351825</v>
      </c>
    </row>
    <row r="95" spans="1:340" ht="15.75" thickBot="1">
      <c r="A95" t="b">
        <f t="shared" si="297"/>
        <v>1</v>
      </c>
      <c r="B95" s="123" t="s">
        <v>264</v>
      </c>
      <c r="C95" s="39" t="s">
        <v>61</v>
      </c>
      <c r="D95"/>
      <c r="E95" s="97">
        <v>46036</v>
      </c>
      <c r="F95" t="s">
        <v>43</v>
      </c>
      <c r="G95" t="s">
        <v>20</v>
      </c>
      <c r="H95" t="s">
        <v>27</v>
      </c>
      <c r="I95" s="77"/>
      <c r="J95" s="77"/>
      <c r="K95" s="77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24"/>
      <c r="AG95" s="124"/>
      <c r="AH95" s="104"/>
      <c r="AI95" s="104"/>
      <c r="AJ95" s="22">
        <v>0.4</v>
      </c>
      <c r="AK95" s="104"/>
      <c r="AL95" s="104"/>
      <c r="AM95" s="104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24">
        <v>0.6</v>
      </c>
      <c r="BD95" s="124"/>
      <c r="BE95" s="104"/>
      <c r="BF95" s="104"/>
      <c r="BG95" s="104"/>
      <c r="BH95" s="104"/>
      <c r="BI95" s="78">
        <f t="shared" si="296"/>
        <v>1</v>
      </c>
      <c r="BJ95" s="105"/>
      <c r="BK95" s="105"/>
      <c r="BL95" s="105"/>
      <c r="BM95" s="105"/>
      <c r="BN95" s="105"/>
      <c r="BO95" s="105"/>
      <c r="BP95" s="105"/>
      <c r="BQ95" s="105"/>
      <c r="BR95" s="105"/>
      <c r="BS95" s="105"/>
      <c r="BT95" s="105"/>
      <c r="BU95" s="105"/>
      <c r="BV95" s="105"/>
      <c r="BW95" s="105"/>
      <c r="BX95" s="105"/>
      <c r="BY95" s="105"/>
      <c r="BZ95" s="105"/>
      <c r="CA95" s="105"/>
      <c r="CB95" s="105"/>
      <c r="CC95" s="105"/>
      <c r="CD95" s="105"/>
      <c r="CE95" s="105"/>
      <c r="CF95" s="120"/>
      <c r="CG95" s="128"/>
      <c r="CH95" s="128"/>
      <c r="CI95" s="105"/>
      <c r="CJ95" s="105"/>
      <c r="CK95" s="105"/>
      <c r="CL95" s="105">
        <v>0.4</v>
      </c>
      <c r="CM95" s="105"/>
      <c r="CN95" s="105"/>
      <c r="CO95" s="105"/>
      <c r="CP95" s="105"/>
      <c r="CQ95" s="105"/>
      <c r="CR95" s="105"/>
      <c r="CS95" s="105"/>
      <c r="CT95" s="105"/>
      <c r="CU95" s="105"/>
      <c r="CV95" s="105"/>
      <c r="CW95" s="105"/>
      <c r="CX95" s="105"/>
      <c r="CY95" s="105"/>
      <c r="CZ95" s="105"/>
      <c r="DA95" s="105"/>
      <c r="DB95" s="105"/>
      <c r="DC95" s="105"/>
      <c r="DD95" s="125">
        <v>0.6</v>
      </c>
      <c r="DE95" s="125"/>
      <c r="DF95" s="105"/>
      <c r="DG95" s="105"/>
      <c r="DH95" s="105"/>
      <c r="DI95" s="105"/>
      <c r="DJ95" s="79">
        <f t="shared" si="460"/>
        <v>1</v>
      </c>
      <c r="DK95" s="108">
        <v>0.73</v>
      </c>
      <c r="DL95" s="108"/>
      <c r="DM95" s="108"/>
      <c r="DN95" s="108"/>
      <c r="DO95" s="108"/>
      <c r="DP95" s="108"/>
      <c r="DQ95" s="108"/>
      <c r="DR95" s="108"/>
      <c r="DS95" s="108"/>
      <c r="DT95" s="108"/>
      <c r="DU95" s="108"/>
      <c r="DV95" s="108"/>
      <c r="DW95" s="108"/>
      <c r="DX95" s="108"/>
      <c r="DY95" s="108"/>
      <c r="DZ95" s="108"/>
      <c r="EA95" s="108"/>
      <c r="EB95" s="108"/>
      <c r="EC95" s="108"/>
      <c r="ED95" s="108"/>
      <c r="EE95" s="108"/>
      <c r="EF95" s="108"/>
      <c r="EG95" s="108"/>
      <c r="EH95" s="129"/>
      <c r="EI95" s="129"/>
      <c r="EJ95" s="108"/>
      <c r="EK95" s="108"/>
      <c r="EL95" s="108"/>
      <c r="EM95" s="108">
        <v>0.15</v>
      </c>
      <c r="EN95" s="108"/>
      <c r="EO95" s="108"/>
      <c r="EP95" s="108"/>
      <c r="EQ95" s="108"/>
      <c r="ER95" s="108"/>
      <c r="ES95" s="106"/>
      <c r="ET95" s="106"/>
      <c r="EU95" s="106">
        <v>0.1</v>
      </c>
      <c r="EV95" s="106"/>
      <c r="EW95" s="106"/>
      <c r="EX95" s="106"/>
      <c r="EY95" s="106"/>
      <c r="EZ95" s="106"/>
      <c r="FA95" s="106"/>
      <c r="FB95" s="106"/>
      <c r="FC95" s="106"/>
      <c r="FD95" s="106"/>
      <c r="FE95" s="126"/>
      <c r="FF95" s="126"/>
      <c r="FG95" s="106"/>
      <c r="FH95" s="106"/>
      <c r="FI95" s="106"/>
      <c r="FJ95" s="106">
        <v>0.02</v>
      </c>
      <c r="FK95" s="17">
        <f t="shared" si="461"/>
        <v>1</v>
      </c>
      <c r="FL95" s="18"/>
      <c r="FM95" s="19">
        <f t="shared" si="298"/>
        <v>1.095</v>
      </c>
      <c r="FN95" s="19">
        <f t="shared" si="299"/>
        <v>0</v>
      </c>
      <c r="FO95" s="19">
        <f t="shared" si="300"/>
        <v>0</v>
      </c>
      <c r="FP95" s="19">
        <f t="shared" si="301"/>
        <v>0</v>
      </c>
      <c r="FQ95" s="19">
        <f t="shared" si="302"/>
        <v>0</v>
      </c>
      <c r="FR95" s="19">
        <f t="shared" si="303"/>
        <v>0</v>
      </c>
      <c r="FS95" s="19">
        <f t="shared" si="304"/>
        <v>0</v>
      </c>
      <c r="FT95" s="19">
        <f t="shared" si="305"/>
        <v>0</v>
      </c>
      <c r="FU95" s="19">
        <f t="shared" si="306"/>
        <v>0</v>
      </c>
      <c r="FV95" s="19">
        <f t="shared" si="307"/>
        <v>0</v>
      </c>
      <c r="FW95" s="19">
        <f t="shared" si="308"/>
        <v>0</v>
      </c>
      <c r="FX95" s="19">
        <f t="shared" si="309"/>
        <v>0</v>
      </c>
      <c r="FY95" s="19">
        <f t="shared" si="310"/>
        <v>0</v>
      </c>
      <c r="FZ95" s="19">
        <f t="shared" si="311"/>
        <v>0</v>
      </c>
      <c r="GA95" s="19">
        <f t="shared" si="312"/>
        <v>0</v>
      </c>
      <c r="GB95" s="19">
        <f t="shared" si="313"/>
        <v>0</v>
      </c>
      <c r="GC95" s="19">
        <f t="shared" si="314"/>
        <v>0</v>
      </c>
      <c r="GD95" s="19">
        <f t="shared" si="315"/>
        <v>0</v>
      </c>
      <c r="GE95" s="19">
        <f t="shared" si="316"/>
        <v>0</v>
      </c>
      <c r="GF95" s="19">
        <f t="shared" si="317"/>
        <v>0</v>
      </c>
      <c r="GG95" s="19">
        <f t="shared" si="318"/>
        <v>0</v>
      </c>
      <c r="GH95" s="19">
        <f t="shared" si="319"/>
        <v>0</v>
      </c>
      <c r="GI95" s="19">
        <f t="shared" si="320"/>
        <v>0</v>
      </c>
      <c r="GJ95" s="19">
        <f t="shared" si="321"/>
        <v>0</v>
      </c>
      <c r="GK95" s="19">
        <f t="shared" si="322"/>
        <v>0</v>
      </c>
      <c r="GL95" s="19">
        <f t="shared" si="323"/>
        <v>0</v>
      </c>
      <c r="GM95" s="19">
        <f t="shared" si="324"/>
        <v>0</v>
      </c>
      <c r="GN95" s="19">
        <f t="shared" si="325"/>
        <v>0.60000000000000009</v>
      </c>
      <c r="GO95" s="19">
        <f t="shared" si="326"/>
        <v>1.0249999999999999</v>
      </c>
      <c r="GP95" s="19">
        <f t="shared" si="327"/>
        <v>0</v>
      </c>
      <c r="GQ95" s="19">
        <f t="shared" si="328"/>
        <v>0</v>
      </c>
      <c r="GR95" s="19">
        <f t="shared" si="329"/>
        <v>0</v>
      </c>
      <c r="GS95" s="19">
        <f t="shared" si="330"/>
        <v>0</v>
      </c>
      <c r="GT95" s="19">
        <f t="shared" si="331"/>
        <v>0</v>
      </c>
      <c r="GU95" s="19">
        <f t="shared" si="332"/>
        <v>0</v>
      </c>
      <c r="GV95" s="19">
        <f t="shared" si="333"/>
        <v>0</v>
      </c>
      <c r="GW95" s="19">
        <f t="shared" si="334"/>
        <v>0.15000000000000002</v>
      </c>
      <c r="GX95" s="19">
        <f t="shared" si="335"/>
        <v>0</v>
      </c>
      <c r="GY95" s="19">
        <f t="shared" si="336"/>
        <v>0</v>
      </c>
      <c r="GZ95" s="19">
        <f t="shared" si="337"/>
        <v>0</v>
      </c>
      <c r="HA95" s="19">
        <f t="shared" si="338"/>
        <v>0</v>
      </c>
      <c r="HB95" s="19">
        <f t="shared" si="339"/>
        <v>0</v>
      </c>
      <c r="HC95" s="19">
        <f t="shared" si="340"/>
        <v>0</v>
      </c>
      <c r="HD95" s="19">
        <f t="shared" si="341"/>
        <v>0</v>
      </c>
      <c r="HE95" s="19">
        <f t="shared" si="342"/>
        <v>0</v>
      </c>
      <c r="HF95" s="19">
        <f t="shared" si="343"/>
        <v>0</v>
      </c>
      <c r="HG95" s="19">
        <f t="shared" si="344"/>
        <v>2.0999999999999996</v>
      </c>
      <c r="HH95" s="19">
        <f t="shared" si="345"/>
        <v>0</v>
      </c>
      <c r="HI95" s="19">
        <f t="shared" si="346"/>
        <v>0</v>
      </c>
      <c r="HJ95" s="19">
        <f t="shared" si="347"/>
        <v>0</v>
      </c>
      <c r="HK95" s="19">
        <f t="shared" si="348"/>
        <v>0</v>
      </c>
      <c r="HL95" s="19">
        <f t="shared" si="349"/>
        <v>0.03</v>
      </c>
      <c r="HM95" s="20">
        <f t="shared" si="350"/>
        <v>4.9999999999999991</v>
      </c>
      <c r="HN95" s="53">
        <v>954</v>
      </c>
      <c r="HO95" s="21">
        <f t="shared" si="351"/>
        <v>208.92600000000002</v>
      </c>
      <c r="HP95" s="21">
        <f t="shared" si="352"/>
        <v>0</v>
      </c>
      <c r="HQ95" s="21">
        <f t="shared" si="353"/>
        <v>0</v>
      </c>
      <c r="HR95" s="21">
        <f t="shared" si="354"/>
        <v>0</v>
      </c>
      <c r="HS95" s="21">
        <f t="shared" si="355"/>
        <v>0</v>
      </c>
      <c r="HT95" s="69">
        <f t="shared" si="356"/>
        <v>0</v>
      </c>
      <c r="HU95" s="21">
        <f t="shared" si="357"/>
        <v>0</v>
      </c>
      <c r="HV95" s="21">
        <f t="shared" si="358"/>
        <v>0</v>
      </c>
      <c r="HW95" s="21">
        <f t="shared" si="359"/>
        <v>0</v>
      </c>
      <c r="HX95" s="21">
        <f t="shared" si="360"/>
        <v>0</v>
      </c>
      <c r="HY95" s="21">
        <f t="shared" si="361"/>
        <v>0</v>
      </c>
      <c r="HZ95" s="21">
        <f t="shared" si="362"/>
        <v>0</v>
      </c>
      <c r="IA95" s="21">
        <f t="shared" si="363"/>
        <v>0</v>
      </c>
      <c r="IB95" s="21">
        <f t="shared" si="364"/>
        <v>0</v>
      </c>
      <c r="IC95" s="21">
        <f t="shared" si="365"/>
        <v>0</v>
      </c>
      <c r="ID95" s="21">
        <f t="shared" si="366"/>
        <v>0</v>
      </c>
      <c r="IE95" s="21">
        <f t="shared" si="367"/>
        <v>0</v>
      </c>
      <c r="IF95" s="69">
        <f t="shared" si="368"/>
        <v>0</v>
      </c>
      <c r="IG95" s="69">
        <f t="shared" si="369"/>
        <v>0</v>
      </c>
      <c r="IH95" s="69">
        <f t="shared" si="370"/>
        <v>0</v>
      </c>
      <c r="II95" s="21">
        <f t="shared" si="371"/>
        <v>0</v>
      </c>
      <c r="IJ95" s="21">
        <f t="shared" si="372"/>
        <v>0</v>
      </c>
      <c r="IK95" s="21">
        <f t="shared" si="373"/>
        <v>0</v>
      </c>
      <c r="IL95" s="21">
        <f t="shared" si="374"/>
        <v>0</v>
      </c>
      <c r="IM95" s="21">
        <f t="shared" si="375"/>
        <v>0</v>
      </c>
      <c r="IN95" s="21">
        <f t="shared" si="376"/>
        <v>0</v>
      </c>
      <c r="IO95" s="21">
        <f t="shared" si="377"/>
        <v>0</v>
      </c>
      <c r="IP95" s="21">
        <f t="shared" si="378"/>
        <v>114.48000000000003</v>
      </c>
      <c r="IQ95" s="21">
        <f t="shared" si="379"/>
        <v>195.57000000000002</v>
      </c>
      <c r="IR95" s="21">
        <f t="shared" si="380"/>
        <v>0</v>
      </c>
      <c r="IS95" s="21">
        <f t="shared" si="381"/>
        <v>0</v>
      </c>
      <c r="IT95" s="21">
        <f t="shared" si="382"/>
        <v>0</v>
      </c>
      <c r="IU95" s="21">
        <f t="shared" si="383"/>
        <v>0</v>
      </c>
      <c r="IV95" s="21">
        <f t="shared" si="384"/>
        <v>0</v>
      </c>
      <c r="IW95" s="21">
        <f t="shared" si="385"/>
        <v>0</v>
      </c>
      <c r="IX95" s="21">
        <f t="shared" si="386"/>
        <v>0</v>
      </c>
      <c r="IY95" s="21">
        <f t="shared" si="387"/>
        <v>28.620000000000008</v>
      </c>
      <c r="IZ95" s="21">
        <f t="shared" si="388"/>
        <v>0</v>
      </c>
      <c r="JA95" s="21">
        <f t="shared" si="389"/>
        <v>0</v>
      </c>
      <c r="JB95" s="21">
        <f t="shared" si="390"/>
        <v>0</v>
      </c>
      <c r="JC95" s="21">
        <f t="shared" si="391"/>
        <v>0</v>
      </c>
      <c r="JD95" s="21">
        <f t="shared" si="392"/>
        <v>0</v>
      </c>
      <c r="JE95" s="21">
        <f t="shared" si="393"/>
        <v>0</v>
      </c>
      <c r="JF95" s="21">
        <f t="shared" si="394"/>
        <v>0</v>
      </c>
      <c r="JG95" s="21">
        <f t="shared" si="395"/>
        <v>0</v>
      </c>
      <c r="JH95" s="21">
        <f t="shared" si="396"/>
        <v>0</v>
      </c>
      <c r="JI95" s="21">
        <f t="shared" si="397"/>
        <v>400.68</v>
      </c>
      <c r="JJ95" s="21">
        <f t="shared" si="398"/>
        <v>0</v>
      </c>
      <c r="JK95" s="21">
        <f t="shared" si="399"/>
        <v>0</v>
      </c>
      <c r="JL95" s="21">
        <f t="shared" si="400"/>
        <v>0</v>
      </c>
      <c r="JM95" s="21">
        <f t="shared" si="401"/>
        <v>0</v>
      </c>
      <c r="JN95" s="21">
        <f t="shared" si="402"/>
        <v>5.7240000000000002</v>
      </c>
      <c r="JO95" s="35">
        <f t="shared" si="403"/>
        <v>954.00000000000011</v>
      </c>
      <c r="JP95" s="38">
        <f t="shared" si="404"/>
        <v>0</v>
      </c>
      <c r="JQ95" s="43">
        <f t="shared" si="405"/>
        <v>844.58335500000021</v>
      </c>
      <c r="JR95" s="43">
        <f t="shared" si="406"/>
        <v>0</v>
      </c>
      <c r="JS95" s="43">
        <f t="shared" si="407"/>
        <v>0</v>
      </c>
      <c r="JT95" s="43">
        <f t="shared" si="408"/>
        <v>0</v>
      </c>
      <c r="JU95" s="43">
        <f t="shared" si="409"/>
        <v>0</v>
      </c>
      <c r="JV95" s="43">
        <f t="shared" si="410"/>
        <v>0</v>
      </c>
      <c r="JW95" s="43">
        <f t="shared" si="411"/>
        <v>0</v>
      </c>
      <c r="JX95" s="43">
        <f t="shared" si="412"/>
        <v>0</v>
      </c>
      <c r="JY95" s="43">
        <f t="shared" si="413"/>
        <v>0</v>
      </c>
      <c r="JZ95" s="43">
        <f t="shared" si="414"/>
        <v>0</v>
      </c>
      <c r="KA95" s="43">
        <f t="shared" si="415"/>
        <v>0</v>
      </c>
      <c r="KB95" s="43">
        <f t="shared" si="416"/>
        <v>0</v>
      </c>
      <c r="KC95" s="43">
        <f t="shared" si="417"/>
        <v>0</v>
      </c>
      <c r="KD95" s="43">
        <f t="shared" si="418"/>
        <v>0</v>
      </c>
      <c r="KE95" s="43">
        <f t="shared" si="419"/>
        <v>0</v>
      </c>
      <c r="KF95" s="43">
        <f t="shared" si="420"/>
        <v>0</v>
      </c>
      <c r="KG95" s="43">
        <f t="shared" si="421"/>
        <v>0</v>
      </c>
      <c r="KH95" s="43">
        <f t="shared" si="422"/>
        <v>0</v>
      </c>
      <c r="KI95" s="43">
        <f t="shared" si="423"/>
        <v>0</v>
      </c>
      <c r="KJ95" s="43">
        <f t="shared" si="424"/>
        <v>0</v>
      </c>
      <c r="KK95" s="43">
        <f t="shared" si="425"/>
        <v>0</v>
      </c>
      <c r="KL95" s="43">
        <f t="shared" si="426"/>
        <v>0</v>
      </c>
      <c r="KM95" s="43">
        <f t="shared" si="427"/>
        <v>0</v>
      </c>
      <c r="KN95" s="43">
        <f t="shared" si="428"/>
        <v>0</v>
      </c>
      <c r="KO95" s="43">
        <f t="shared" si="429"/>
        <v>0</v>
      </c>
      <c r="KP95" s="43">
        <f t="shared" si="430"/>
        <v>0</v>
      </c>
      <c r="KQ95" s="43">
        <f t="shared" si="431"/>
        <v>0</v>
      </c>
      <c r="KR95" s="43">
        <f t="shared" si="432"/>
        <v>441.89280000000014</v>
      </c>
      <c r="KS95" s="43">
        <f t="shared" si="433"/>
        <v>668.71856169454554</v>
      </c>
      <c r="KT95" s="43">
        <f t="shared" si="434"/>
        <v>0</v>
      </c>
      <c r="KU95" s="43">
        <f t="shared" si="435"/>
        <v>0</v>
      </c>
      <c r="KV95" s="43">
        <f t="shared" si="436"/>
        <v>0</v>
      </c>
      <c r="KW95" s="43">
        <f t="shared" si="437"/>
        <v>0</v>
      </c>
      <c r="KX95" s="43">
        <f t="shared" si="438"/>
        <v>0</v>
      </c>
      <c r="KY95" s="43">
        <f t="shared" si="439"/>
        <v>0</v>
      </c>
      <c r="KZ95" s="43">
        <f t="shared" si="440"/>
        <v>0</v>
      </c>
      <c r="LA95" s="43">
        <f t="shared" si="441"/>
        <v>114.67576080000002</v>
      </c>
      <c r="LB95" s="43">
        <f t="shared" si="442"/>
        <v>0</v>
      </c>
      <c r="LC95" s="43">
        <f t="shared" si="443"/>
        <v>0</v>
      </c>
      <c r="LD95" s="43">
        <f t="shared" si="444"/>
        <v>0</v>
      </c>
      <c r="LE95" s="43">
        <f t="shared" si="445"/>
        <v>0</v>
      </c>
      <c r="LF95" s="43">
        <f t="shared" si="446"/>
        <v>0</v>
      </c>
      <c r="LG95" s="43">
        <f t="shared" si="447"/>
        <v>0</v>
      </c>
      <c r="LH95" s="43">
        <f t="shared" si="448"/>
        <v>0</v>
      </c>
      <c r="LI95" s="43">
        <f t="shared" si="449"/>
        <v>0</v>
      </c>
      <c r="LJ95" s="43">
        <f t="shared" si="450"/>
        <v>0</v>
      </c>
      <c r="LK95" s="43">
        <f t="shared" si="451"/>
        <v>1605.0239099999999</v>
      </c>
      <c r="LL95" s="43">
        <f t="shared" si="452"/>
        <v>0</v>
      </c>
      <c r="LM95" s="43">
        <f t="shared" si="453"/>
        <v>0</v>
      </c>
      <c r="LN95" s="43">
        <f t="shared" si="454"/>
        <v>0</v>
      </c>
      <c r="LO95" s="43">
        <f t="shared" si="455"/>
        <v>0</v>
      </c>
      <c r="LP95" s="43">
        <f t="shared" si="456"/>
        <v>48.367799999999995</v>
      </c>
      <c r="LQ95" s="28">
        <f t="shared" si="457"/>
        <v>3723.2621874945457</v>
      </c>
      <c r="LR95" s="65">
        <v>914</v>
      </c>
      <c r="LS95" s="32">
        <f t="shared" si="462"/>
        <v>4.0735910147642729</v>
      </c>
      <c r="LT95" s="26">
        <f t="shared" si="463"/>
        <v>1.1130030094984351</v>
      </c>
      <c r="LU95" s="31">
        <f t="shared" si="458"/>
        <v>40</v>
      </c>
      <c r="LW95" s="42"/>
      <c r="MA95" s="32">
        <f t="shared" si="459"/>
        <v>3.9027905529292926</v>
      </c>
      <c r="MB95" s="26">
        <f t="shared" si="464"/>
        <v>1.0663362166473476</v>
      </c>
    </row>
    <row r="96" spans="1:340" ht="15.75" thickBot="1">
      <c r="A96" t="b">
        <f t="shared" si="297"/>
        <v>1</v>
      </c>
      <c r="B96" s="123" t="s">
        <v>265</v>
      </c>
      <c r="C96" s="39" t="s">
        <v>75</v>
      </c>
      <c r="D96"/>
      <c r="E96" s="97">
        <v>46036</v>
      </c>
      <c r="F96" t="s">
        <v>43</v>
      </c>
      <c r="G96" t="s">
        <v>19</v>
      </c>
      <c r="H96" t="s">
        <v>27</v>
      </c>
      <c r="I96" s="77"/>
      <c r="J96" s="77"/>
      <c r="K96" s="77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24"/>
      <c r="AG96" s="124"/>
      <c r="AH96" s="104"/>
      <c r="AI96" s="104"/>
      <c r="AJ96" s="104"/>
      <c r="AK96" s="104"/>
      <c r="AL96" s="104"/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>
        <v>0.01</v>
      </c>
      <c r="AZ96" s="104"/>
      <c r="BA96" s="104"/>
      <c r="BB96" s="104">
        <v>0.495</v>
      </c>
      <c r="BC96" s="124">
        <v>0.495</v>
      </c>
      <c r="BD96" s="124"/>
      <c r="BE96" s="104"/>
      <c r="BF96" s="104"/>
      <c r="BG96" s="104"/>
      <c r="BH96" s="104"/>
      <c r="BI96" s="78">
        <f t="shared" si="296"/>
        <v>1</v>
      </c>
      <c r="BJ96" s="105"/>
      <c r="BK96" s="105"/>
      <c r="BL96" s="105"/>
      <c r="BM96" s="105"/>
      <c r="BN96" s="105"/>
      <c r="BO96" s="105"/>
      <c r="BP96" s="105"/>
      <c r="BQ96" s="105"/>
      <c r="BR96" s="105"/>
      <c r="BS96" s="105"/>
      <c r="BT96" s="105"/>
      <c r="BU96" s="105"/>
      <c r="BV96" s="105"/>
      <c r="BW96" s="105"/>
      <c r="BX96" s="105"/>
      <c r="BY96" s="105"/>
      <c r="BZ96" s="105"/>
      <c r="CA96" s="105"/>
      <c r="CB96" s="105"/>
      <c r="CC96" s="105"/>
      <c r="CD96" s="105"/>
      <c r="CE96" s="105"/>
      <c r="CF96" s="120"/>
      <c r="CG96" s="128"/>
      <c r="CH96" s="128"/>
      <c r="CI96" s="105"/>
      <c r="CJ96" s="105"/>
      <c r="CK96" s="105"/>
      <c r="CL96" s="105"/>
      <c r="CM96" s="105"/>
      <c r="CN96" s="105"/>
      <c r="CO96" s="105"/>
      <c r="CP96" s="105"/>
      <c r="CQ96" s="105"/>
      <c r="CR96" s="105"/>
      <c r="CS96" s="105"/>
      <c r="CT96" s="105"/>
      <c r="CU96" s="105"/>
      <c r="CV96" s="105"/>
      <c r="CW96" s="105"/>
      <c r="CX96" s="105"/>
      <c r="CY96" s="105"/>
      <c r="CZ96" s="105"/>
      <c r="DA96" s="105"/>
      <c r="DB96" s="105"/>
      <c r="DC96" s="105"/>
      <c r="DD96" s="125"/>
      <c r="DE96" s="125"/>
      <c r="DF96" s="105"/>
      <c r="DG96" s="105"/>
      <c r="DH96" s="105"/>
      <c r="DI96" s="105"/>
      <c r="DJ96" s="79">
        <f t="shared" si="460"/>
        <v>0</v>
      </c>
      <c r="DK96" s="108"/>
      <c r="DL96" s="108"/>
      <c r="DM96" s="108"/>
      <c r="DN96" s="108"/>
      <c r="DO96" s="108"/>
      <c r="DP96" s="108"/>
      <c r="DQ96" s="108"/>
      <c r="DR96" s="108"/>
      <c r="DS96" s="108"/>
      <c r="DT96" s="108"/>
      <c r="DU96" s="108"/>
      <c r="DV96" s="108"/>
      <c r="DW96" s="108"/>
      <c r="DX96" s="108"/>
      <c r="DY96" s="108"/>
      <c r="DZ96" s="108"/>
      <c r="EA96" s="108"/>
      <c r="EB96" s="108"/>
      <c r="EC96" s="108"/>
      <c r="ED96" s="108"/>
      <c r="EE96" s="108"/>
      <c r="EF96" s="108"/>
      <c r="EG96" s="108"/>
      <c r="EH96" s="129"/>
      <c r="EI96" s="129"/>
      <c r="EJ96" s="108"/>
      <c r="EK96" s="108"/>
      <c r="EL96" s="108"/>
      <c r="EM96" s="108"/>
      <c r="EN96" s="108"/>
      <c r="EO96" s="108"/>
      <c r="EP96" s="108"/>
      <c r="EQ96" s="108"/>
      <c r="ER96" s="108"/>
      <c r="ES96" s="106"/>
      <c r="ET96" s="106"/>
      <c r="EU96" s="106"/>
      <c r="EV96" s="106"/>
      <c r="EW96" s="106"/>
      <c r="EX96" s="106"/>
      <c r="EY96" s="106"/>
      <c r="EZ96" s="106"/>
      <c r="FA96" s="106"/>
      <c r="FB96" s="106"/>
      <c r="FC96" s="106"/>
      <c r="FD96" s="106"/>
      <c r="FE96" s="126"/>
      <c r="FF96" s="126"/>
      <c r="FG96" s="106"/>
      <c r="FH96" s="106"/>
      <c r="FI96" s="106"/>
      <c r="FJ96" s="106"/>
      <c r="FK96" s="17">
        <f t="shared" si="461"/>
        <v>0</v>
      </c>
      <c r="FL96" s="18"/>
      <c r="FM96" s="19">
        <f t="shared" si="298"/>
        <v>0</v>
      </c>
      <c r="FN96" s="19">
        <f t="shared" si="299"/>
        <v>0</v>
      </c>
      <c r="FO96" s="19">
        <f t="shared" si="300"/>
        <v>0</v>
      </c>
      <c r="FP96" s="19">
        <f t="shared" si="301"/>
        <v>0</v>
      </c>
      <c r="FQ96" s="19">
        <f t="shared" si="302"/>
        <v>0</v>
      </c>
      <c r="FR96" s="19">
        <f t="shared" si="303"/>
        <v>0</v>
      </c>
      <c r="FS96" s="19">
        <f t="shared" si="304"/>
        <v>0</v>
      </c>
      <c r="FT96" s="19">
        <f t="shared" si="305"/>
        <v>0</v>
      </c>
      <c r="FU96" s="19">
        <f t="shared" si="306"/>
        <v>0</v>
      </c>
      <c r="FV96" s="19">
        <f t="shared" si="307"/>
        <v>0</v>
      </c>
      <c r="FW96" s="19">
        <f t="shared" si="308"/>
        <v>0</v>
      </c>
      <c r="FX96" s="19">
        <f t="shared" si="309"/>
        <v>0</v>
      </c>
      <c r="FY96" s="19">
        <f t="shared" si="310"/>
        <v>0</v>
      </c>
      <c r="FZ96" s="19">
        <f t="shared" si="311"/>
        <v>0</v>
      </c>
      <c r="GA96" s="19">
        <f t="shared" si="312"/>
        <v>0</v>
      </c>
      <c r="GB96" s="19">
        <f t="shared" si="313"/>
        <v>0</v>
      </c>
      <c r="GC96" s="19">
        <f t="shared" si="314"/>
        <v>0</v>
      </c>
      <c r="GD96" s="19">
        <f t="shared" si="315"/>
        <v>0</v>
      </c>
      <c r="GE96" s="19">
        <f t="shared" si="316"/>
        <v>0</v>
      </c>
      <c r="GF96" s="19">
        <f t="shared" si="317"/>
        <v>0</v>
      </c>
      <c r="GG96" s="19">
        <f t="shared" si="318"/>
        <v>0</v>
      </c>
      <c r="GH96" s="19">
        <f t="shared" si="319"/>
        <v>0</v>
      </c>
      <c r="GI96" s="19">
        <f t="shared" si="320"/>
        <v>0</v>
      </c>
      <c r="GJ96" s="19">
        <f t="shared" si="321"/>
        <v>0</v>
      </c>
      <c r="GK96" s="19">
        <f t="shared" si="322"/>
        <v>0</v>
      </c>
      <c r="GL96" s="19">
        <f t="shared" si="323"/>
        <v>0</v>
      </c>
      <c r="GM96" s="19">
        <f t="shared" si="324"/>
        <v>0</v>
      </c>
      <c r="GN96" s="19">
        <f t="shared" si="325"/>
        <v>0</v>
      </c>
      <c r="GO96" s="19">
        <f t="shared" si="326"/>
        <v>0</v>
      </c>
      <c r="GP96" s="19">
        <f t="shared" si="327"/>
        <v>0</v>
      </c>
      <c r="GQ96" s="19">
        <f t="shared" si="328"/>
        <v>0</v>
      </c>
      <c r="GR96" s="19">
        <f t="shared" si="329"/>
        <v>0</v>
      </c>
      <c r="GS96" s="19">
        <f t="shared" si="330"/>
        <v>0</v>
      </c>
      <c r="GT96" s="19">
        <f t="shared" si="331"/>
        <v>0</v>
      </c>
      <c r="GU96" s="19">
        <f t="shared" si="332"/>
        <v>0</v>
      </c>
      <c r="GV96" s="19">
        <f t="shared" si="333"/>
        <v>0</v>
      </c>
      <c r="GW96" s="19">
        <f t="shared" si="334"/>
        <v>0</v>
      </c>
      <c r="GX96" s="19">
        <f t="shared" si="335"/>
        <v>0</v>
      </c>
      <c r="GY96" s="19">
        <f t="shared" si="336"/>
        <v>0</v>
      </c>
      <c r="GZ96" s="19">
        <f t="shared" si="337"/>
        <v>0</v>
      </c>
      <c r="HA96" s="19">
        <f t="shared" si="338"/>
        <v>0</v>
      </c>
      <c r="HB96" s="19">
        <f t="shared" si="339"/>
        <v>0</v>
      </c>
      <c r="HC96" s="19">
        <f t="shared" si="340"/>
        <v>1.4999999999999999E-2</v>
      </c>
      <c r="HD96" s="19">
        <f t="shared" si="341"/>
        <v>0</v>
      </c>
      <c r="HE96" s="19">
        <f t="shared" si="342"/>
        <v>0</v>
      </c>
      <c r="HF96" s="19">
        <f t="shared" si="343"/>
        <v>0.74249999999999994</v>
      </c>
      <c r="HG96" s="19">
        <f t="shared" si="344"/>
        <v>0.74249999999999994</v>
      </c>
      <c r="HH96" s="19">
        <f t="shared" si="345"/>
        <v>0</v>
      </c>
      <c r="HI96" s="19">
        <f t="shared" si="346"/>
        <v>0</v>
      </c>
      <c r="HJ96" s="19">
        <f t="shared" si="347"/>
        <v>0</v>
      </c>
      <c r="HK96" s="19">
        <f t="shared" si="348"/>
        <v>0</v>
      </c>
      <c r="HL96" s="19">
        <f t="shared" si="349"/>
        <v>0</v>
      </c>
      <c r="HM96" s="20">
        <f t="shared" si="350"/>
        <v>1.5</v>
      </c>
      <c r="HN96" s="53">
        <v>658</v>
      </c>
      <c r="HO96" s="21">
        <f t="shared" si="351"/>
        <v>0</v>
      </c>
      <c r="HP96" s="21">
        <f t="shared" si="352"/>
        <v>0</v>
      </c>
      <c r="HQ96" s="21">
        <f t="shared" si="353"/>
        <v>0</v>
      </c>
      <c r="HR96" s="21">
        <f t="shared" si="354"/>
        <v>0</v>
      </c>
      <c r="HS96" s="21">
        <f t="shared" si="355"/>
        <v>0</v>
      </c>
      <c r="HT96" s="69">
        <f t="shared" si="356"/>
        <v>0</v>
      </c>
      <c r="HU96" s="21">
        <f t="shared" si="357"/>
        <v>0</v>
      </c>
      <c r="HV96" s="21">
        <f t="shared" si="358"/>
        <v>0</v>
      </c>
      <c r="HW96" s="21">
        <f t="shared" si="359"/>
        <v>0</v>
      </c>
      <c r="HX96" s="21">
        <f t="shared" si="360"/>
        <v>0</v>
      </c>
      <c r="HY96" s="21">
        <f t="shared" si="361"/>
        <v>0</v>
      </c>
      <c r="HZ96" s="21">
        <f t="shared" si="362"/>
        <v>0</v>
      </c>
      <c r="IA96" s="21">
        <f t="shared" si="363"/>
        <v>0</v>
      </c>
      <c r="IB96" s="21">
        <f t="shared" si="364"/>
        <v>0</v>
      </c>
      <c r="IC96" s="21">
        <f t="shared" si="365"/>
        <v>0</v>
      </c>
      <c r="ID96" s="21">
        <f t="shared" si="366"/>
        <v>0</v>
      </c>
      <c r="IE96" s="21">
        <f t="shared" si="367"/>
        <v>0</v>
      </c>
      <c r="IF96" s="69">
        <f t="shared" si="368"/>
        <v>0</v>
      </c>
      <c r="IG96" s="69">
        <f t="shared" si="369"/>
        <v>0</v>
      </c>
      <c r="IH96" s="69">
        <f t="shared" si="370"/>
        <v>0</v>
      </c>
      <c r="II96" s="21">
        <f t="shared" si="371"/>
        <v>0</v>
      </c>
      <c r="IJ96" s="21">
        <f t="shared" si="372"/>
        <v>0</v>
      </c>
      <c r="IK96" s="21">
        <f t="shared" si="373"/>
        <v>0</v>
      </c>
      <c r="IL96" s="21">
        <f t="shared" si="374"/>
        <v>0</v>
      </c>
      <c r="IM96" s="21">
        <f t="shared" si="375"/>
        <v>0</v>
      </c>
      <c r="IN96" s="21">
        <f t="shared" si="376"/>
        <v>0</v>
      </c>
      <c r="IO96" s="21">
        <f t="shared" si="377"/>
        <v>0</v>
      </c>
      <c r="IP96" s="21">
        <f t="shared" si="378"/>
        <v>0</v>
      </c>
      <c r="IQ96" s="21">
        <f t="shared" si="379"/>
        <v>0</v>
      </c>
      <c r="IR96" s="21">
        <f t="shared" si="380"/>
        <v>0</v>
      </c>
      <c r="IS96" s="21">
        <f t="shared" si="381"/>
        <v>0</v>
      </c>
      <c r="IT96" s="21">
        <f t="shared" si="382"/>
        <v>0</v>
      </c>
      <c r="IU96" s="21">
        <f t="shared" si="383"/>
        <v>0</v>
      </c>
      <c r="IV96" s="21">
        <f t="shared" si="384"/>
        <v>0</v>
      </c>
      <c r="IW96" s="21">
        <f t="shared" si="385"/>
        <v>0</v>
      </c>
      <c r="IX96" s="21">
        <f t="shared" si="386"/>
        <v>0</v>
      </c>
      <c r="IY96" s="21">
        <f t="shared" si="387"/>
        <v>0</v>
      </c>
      <c r="IZ96" s="21">
        <f t="shared" si="388"/>
        <v>0</v>
      </c>
      <c r="JA96" s="21">
        <f t="shared" si="389"/>
        <v>0</v>
      </c>
      <c r="JB96" s="21">
        <f t="shared" si="390"/>
        <v>0</v>
      </c>
      <c r="JC96" s="21">
        <f t="shared" si="391"/>
        <v>0</v>
      </c>
      <c r="JD96" s="21">
        <f t="shared" si="392"/>
        <v>0</v>
      </c>
      <c r="JE96" s="21">
        <f t="shared" si="393"/>
        <v>6.5799999999999992</v>
      </c>
      <c r="JF96" s="21">
        <f t="shared" si="394"/>
        <v>0</v>
      </c>
      <c r="JG96" s="21">
        <f t="shared" si="395"/>
        <v>0</v>
      </c>
      <c r="JH96" s="21">
        <f t="shared" si="396"/>
        <v>325.70999999999998</v>
      </c>
      <c r="JI96" s="21">
        <f t="shared" si="397"/>
        <v>325.70999999999998</v>
      </c>
      <c r="JJ96" s="21">
        <f t="shared" si="398"/>
        <v>0</v>
      </c>
      <c r="JK96" s="21">
        <f t="shared" si="399"/>
        <v>0</v>
      </c>
      <c r="JL96" s="21">
        <f t="shared" si="400"/>
        <v>0</v>
      </c>
      <c r="JM96" s="21">
        <f t="shared" si="401"/>
        <v>0</v>
      </c>
      <c r="JN96" s="21">
        <f t="shared" si="402"/>
        <v>0</v>
      </c>
      <c r="JO96" s="35">
        <f t="shared" si="403"/>
        <v>658</v>
      </c>
      <c r="JP96" s="38">
        <f t="shared" si="404"/>
        <v>0</v>
      </c>
      <c r="JQ96" s="43">
        <f t="shared" si="405"/>
        <v>0</v>
      </c>
      <c r="JR96" s="43">
        <f t="shared" si="406"/>
        <v>0</v>
      </c>
      <c r="JS96" s="43">
        <f t="shared" si="407"/>
        <v>0</v>
      </c>
      <c r="JT96" s="43">
        <f t="shared" si="408"/>
        <v>0</v>
      </c>
      <c r="JU96" s="43">
        <f t="shared" si="409"/>
        <v>0</v>
      </c>
      <c r="JV96" s="43">
        <f t="shared" si="410"/>
        <v>0</v>
      </c>
      <c r="JW96" s="43">
        <f t="shared" si="411"/>
        <v>0</v>
      </c>
      <c r="JX96" s="43">
        <f t="shared" si="412"/>
        <v>0</v>
      </c>
      <c r="JY96" s="43">
        <f t="shared" si="413"/>
        <v>0</v>
      </c>
      <c r="JZ96" s="43">
        <f t="shared" si="414"/>
        <v>0</v>
      </c>
      <c r="KA96" s="43">
        <f t="shared" si="415"/>
        <v>0</v>
      </c>
      <c r="KB96" s="43">
        <f t="shared" si="416"/>
        <v>0</v>
      </c>
      <c r="KC96" s="43">
        <f t="shared" si="417"/>
        <v>0</v>
      </c>
      <c r="KD96" s="43">
        <f t="shared" si="418"/>
        <v>0</v>
      </c>
      <c r="KE96" s="43">
        <f t="shared" si="419"/>
        <v>0</v>
      </c>
      <c r="KF96" s="43">
        <f t="shared" si="420"/>
        <v>0</v>
      </c>
      <c r="KG96" s="43">
        <f t="shared" si="421"/>
        <v>0</v>
      </c>
      <c r="KH96" s="43">
        <f t="shared" si="422"/>
        <v>0</v>
      </c>
      <c r="KI96" s="43">
        <f t="shared" si="423"/>
        <v>0</v>
      </c>
      <c r="KJ96" s="43">
        <f t="shared" si="424"/>
        <v>0</v>
      </c>
      <c r="KK96" s="43">
        <f t="shared" si="425"/>
        <v>0</v>
      </c>
      <c r="KL96" s="43">
        <f t="shared" si="426"/>
        <v>0</v>
      </c>
      <c r="KM96" s="43">
        <f t="shared" si="427"/>
        <v>0</v>
      </c>
      <c r="KN96" s="43">
        <f t="shared" si="428"/>
        <v>0</v>
      </c>
      <c r="KO96" s="43">
        <f t="shared" si="429"/>
        <v>0</v>
      </c>
      <c r="KP96" s="43">
        <f t="shared" si="430"/>
        <v>0</v>
      </c>
      <c r="KQ96" s="43">
        <f t="shared" si="431"/>
        <v>0</v>
      </c>
      <c r="KR96" s="43">
        <f t="shared" si="432"/>
        <v>0</v>
      </c>
      <c r="KS96" s="43">
        <f t="shared" si="433"/>
        <v>0</v>
      </c>
      <c r="KT96" s="43">
        <f t="shared" si="434"/>
        <v>0</v>
      </c>
      <c r="KU96" s="43">
        <f t="shared" si="435"/>
        <v>0</v>
      </c>
      <c r="KV96" s="43">
        <f t="shared" si="436"/>
        <v>0</v>
      </c>
      <c r="KW96" s="43">
        <f t="shared" si="437"/>
        <v>0</v>
      </c>
      <c r="KX96" s="43">
        <f t="shared" si="438"/>
        <v>0</v>
      </c>
      <c r="KY96" s="43">
        <f t="shared" si="439"/>
        <v>0</v>
      </c>
      <c r="KZ96" s="43">
        <f t="shared" si="440"/>
        <v>0</v>
      </c>
      <c r="LA96" s="43">
        <f t="shared" si="441"/>
        <v>0</v>
      </c>
      <c r="LB96" s="43">
        <f t="shared" si="442"/>
        <v>0</v>
      </c>
      <c r="LC96" s="43">
        <f t="shared" si="443"/>
        <v>0</v>
      </c>
      <c r="LD96" s="43">
        <f t="shared" si="444"/>
        <v>0</v>
      </c>
      <c r="LE96" s="43">
        <f t="shared" si="445"/>
        <v>0</v>
      </c>
      <c r="LF96" s="43">
        <f t="shared" si="446"/>
        <v>0</v>
      </c>
      <c r="LG96" s="43">
        <f t="shared" si="447"/>
        <v>67.905599999999993</v>
      </c>
      <c r="LH96" s="43">
        <f t="shared" si="448"/>
        <v>0</v>
      </c>
      <c r="LI96" s="43">
        <f t="shared" si="449"/>
        <v>0</v>
      </c>
      <c r="LJ96" s="43">
        <f t="shared" si="450"/>
        <v>1568.4760476000001</v>
      </c>
      <c r="LK96" s="43">
        <f t="shared" si="451"/>
        <v>1304.7128324999999</v>
      </c>
      <c r="LL96" s="43">
        <f t="shared" si="452"/>
        <v>0</v>
      </c>
      <c r="LM96" s="43">
        <f t="shared" si="453"/>
        <v>0</v>
      </c>
      <c r="LN96" s="43">
        <f t="shared" si="454"/>
        <v>0</v>
      </c>
      <c r="LO96" s="43">
        <f t="shared" si="455"/>
        <v>0</v>
      </c>
      <c r="LP96" s="43">
        <f t="shared" si="456"/>
        <v>0</v>
      </c>
      <c r="LQ96" s="28">
        <f t="shared" si="457"/>
        <v>2941.0944801000001</v>
      </c>
      <c r="LR96" s="65">
        <v>614</v>
      </c>
      <c r="LS96" s="32">
        <f t="shared" si="462"/>
        <v>4.790056156514658</v>
      </c>
      <c r="LT96" s="26">
        <f t="shared" si="463"/>
        <v>1.308758512708923</v>
      </c>
      <c r="LU96" s="31">
        <f t="shared" si="458"/>
        <v>44</v>
      </c>
      <c r="LW96" s="42"/>
      <c r="MA96" s="32">
        <f t="shared" si="459"/>
        <v>4.46974845</v>
      </c>
      <c r="MB96" s="26">
        <f t="shared" si="464"/>
        <v>1.2212427459016393</v>
      </c>
    </row>
    <row r="97" spans="1:340" ht="15.75" thickBot="1">
      <c r="A97" t="b">
        <f t="shared" si="297"/>
        <v>1</v>
      </c>
      <c r="B97" s="123" t="s">
        <v>266</v>
      </c>
      <c r="C97" s="39" t="s">
        <v>82</v>
      </c>
      <c r="D97"/>
      <c r="E97" s="97">
        <v>46036</v>
      </c>
      <c r="F97" t="s">
        <v>43</v>
      </c>
      <c r="G97" t="s">
        <v>19</v>
      </c>
      <c r="H97" t="s">
        <v>27</v>
      </c>
      <c r="I97" s="77"/>
      <c r="J97" s="77"/>
      <c r="K97" s="77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24"/>
      <c r="AG97" s="124"/>
      <c r="AH97" s="104"/>
      <c r="AI97" s="104"/>
      <c r="AJ97" s="104"/>
      <c r="AK97" s="104"/>
      <c r="AL97" s="104"/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>
        <v>0.01</v>
      </c>
      <c r="AZ97" s="104"/>
      <c r="BA97" s="104"/>
      <c r="BB97" s="104">
        <v>0.495</v>
      </c>
      <c r="BC97" s="124">
        <v>0.495</v>
      </c>
      <c r="BD97" s="124"/>
      <c r="BE97" s="104"/>
      <c r="BF97" s="104"/>
      <c r="BG97" s="104"/>
      <c r="BH97" s="104"/>
      <c r="BI97" s="78">
        <f t="shared" si="296"/>
        <v>1</v>
      </c>
      <c r="BJ97" s="105"/>
      <c r="BK97" s="105"/>
      <c r="BL97" s="105"/>
      <c r="BM97" s="105"/>
      <c r="BN97" s="105"/>
      <c r="BO97" s="105"/>
      <c r="BP97" s="105"/>
      <c r="BQ97" s="105"/>
      <c r="BR97" s="105"/>
      <c r="BS97" s="105"/>
      <c r="BT97" s="105"/>
      <c r="BU97" s="105"/>
      <c r="BV97" s="105"/>
      <c r="BW97" s="105"/>
      <c r="BX97" s="105"/>
      <c r="BY97" s="105"/>
      <c r="BZ97" s="105"/>
      <c r="CA97" s="105"/>
      <c r="CB97" s="105"/>
      <c r="CC97" s="105"/>
      <c r="CD97" s="105"/>
      <c r="CE97" s="105"/>
      <c r="CF97" s="120"/>
      <c r="CG97" s="128"/>
      <c r="CH97" s="128"/>
      <c r="CI97" s="105"/>
      <c r="CJ97" s="105"/>
      <c r="CK97" s="105"/>
      <c r="CL97" s="105"/>
      <c r="CM97" s="105"/>
      <c r="CN97" s="105"/>
      <c r="CO97" s="105"/>
      <c r="CP97" s="105"/>
      <c r="CQ97" s="105"/>
      <c r="CR97" s="105"/>
      <c r="CS97" s="105"/>
      <c r="CT97" s="105"/>
      <c r="CU97" s="105"/>
      <c r="CV97" s="105"/>
      <c r="CW97" s="105"/>
      <c r="CX97" s="105"/>
      <c r="CY97" s="105"/>
      <c r="CZ97" s="105"/>
      <c r="DA97" s="105"/>
      <c r="DB97" s="105"/>
      <c r="DC97" s="105"/>
      <c r="DD97" s="125"/>
      <c r="DE97" s="125"/>
      <c r="DF97" s="105"/>
      <c r="DG97" s="105"/>
      <c r="DH97" s="105"/>
      <c r="DI97" s="105"/>
      <c r="DJ97" s="79">
        <f t="shared" si="460"/>
        <v>0</v>
      </c>
      <c r="DK97" s="108"/>
      <c r="DL97" s="108"/>
      <c r="DM97" s="108"/>
      <c r="DN97" s="108"/>
      <c r="DO97" s="108"/>
      <c r="DP97" s="108"/>
      <c r="DQ97" s="108"/>
      <c r="DR97" s="108"/>
      <c r="DS97" s="108"/>
      <c r="DT97" s="108"/>
      <c r="DU97" s="108"/>
      <c r="DV97" s="108"/>
      <c r="DW97" s="108"/>
      <c r="DX97" s="108"/>
      <c r="DY97" s="108"/>
      <c r="DZ97" s="108"/>
      <c r="EA97" s="108"/>
      <c r="EB97" s="108"/>
      <c r="EC97" s="108"/>
      <c r="ED97" s="108"/>
      <c r="EE97" s="108"/>
      <c r="EF97" s="108"/>
      <c r="EG97" s="108"/>
      <c r="EH97" s="129"/>
      <c r="EI97" s="129"/>
      <c r="EJ97" s="108"/>
      <c r="EK97" s="108"/>
      <c r="EL97" s="108"/>
      <c r="EM97" s="108"/>
      <c r="EN97" s="108"/>
      <c r="EO97" s="108"/>
      <c r="EP97" s="108"/>
      <c r="EQ97" s="108"/>
      <c r="ER97" s="108"/>
      <c r="ES97" s="106"/>
      <c r="ET97" s="106"/>
      <c r="EU97" s="106"/>
      <c r="EV97" s="106"/>
      <c r="EW97" s="106"/>
      <c r="EX97" s="106"/>
      <c r="EY97" s="106"/>
      <c r="EZ97" s="106"/>
      <c r="FA97" s="106"/>
      <c r="FB97" s="106"/>
      <c r="FC97" s="106"/>
      <c r="FD97" s="106"/>
      <c r="FE97" s="126"/>
      <c r="FF97" s="126"/>
      <c r="FG97" s="106"/>
      <c r="FH97" s="106"/>
      <c r="FI97" s="106"/>
      <c r="FJ97" s="106"/>
      <c r="FK97" s="17">
        <f t="shared" si="461"/>
        <v>0</v>
      </c>
      <c r="FL97" s="18"/>
      <c r="FM97" s="19">
        <f t="shared" si="298"/>
        <v>0</v>
      </c>
      <c r="FN97" s="19">
        <f t="shared" si="299"/>
        <v>0</v>
      </c>
      <c r="FO97" s="19">
        <f t="shared" si="300"/>
        <v>0</v>
      </c>
      <c r="FP97" s="19">
        <f t="shared" si="301"/>
        <v>0</v>
      </c>
      <c r="FQ97" s="19">
        <f t="shared" si="302"/>
        <v>0</v>
      </c>
      <c r="FR97" s="19">
        <f t="shared" si="303"/>
        <v>0</v>
      </c>
      <c r="FS97" s="19">
        <f t="shared" si="304"/>
        <v>0</v>
      </c>
      <c r="FT97" s="19">
        <f t="shared" si="305"/>
        <v>0</v>
      </c>
      <c r="FU97" s="19">
        <f t="shared" si="306"/>
        <v>0</v>
      </c>
      <c r="FV97" s="19">
        <f t="shared" si="307"/>
        <v>0</v>
      </c>
      <c r="FW97" s="19">
        <f t="shared" si="308"/>
        <v>0</v>
      </c>
      <c r="FX97" s="19">
        <f t="shared" si="309"/>
        <v>0</v>
      </c>
      <c r="FY97" s="19">
        <f t="shared" si="310"/>
        <v>0</v>
      </c>
      <c r="FZ97" s="19">
        <f t="shared" si="311"/>
        <v>0</v>
      </c>
      <c r="GA97" s="19">
        <f t="shared" si="312"/>
        <v>0</v>
      </c>
      <c r="GB97" s="19">
        <f t="shared" si="313"/>
        <v>0</v>
      </c>
      <c r="GC97" s="19">
        <f t="shared" si="314"/>
        <v>0</v>
      </c>
      <c r="GD97" s="19">
        <f t="shared" si="315"/>
        <v>0</v>
      </c>
      <c r="GE97" s="19">
        <f t="shared" si="316"/>
        <v>0</v>
      </c>
      <c r="GF97" s="19">
        <f t="shared" si="317"/>
        <v>0</v>
      </c>
      <c r="GG97" s="19">
        <f t="shared" si="318"/>
        <v>0</v>
      </c>
      <c r="GH97" s="19">
        <f t="shared" si="319"/>
        <v>0</v>
      </c>
      <c r="GI97" s="19">
        <f t="shared" si="320"/>
        <v>0</v>
      </c>
      <c r="GJ97" s="19">
        <f t="shared" si="321"/>
        <v>0</v>
      </c>
      <c r="GK97" s="19">
        <f t="shared" si="322"/>
        <v>0</v>
      </c>
      <c r="GL97" s="19">
        <f t="shared" si="323"/>
        <v>0</v>
      </c>
      <c r="GM97" s="19">
        <f t="shared" si="324"/>
        <v>0</v>
      </c>
      <c r="GN97" s="19">
        <f t="shared" si="325"/>
        <v>0</v>
      </c>
      <c r="GO97" s="19">
        <f t="shared" si="326"/>
        <v>0</v>
      </c>
      <c r="GP97" s="19">
        <f t="shared" si="327"/>
        <v>0</v>
      </c>
      <c r="GQ97" s="19">
        <f t="shared" si="328"/>
        <v>0</v>
      </c>
      <c r="GR97" s="19">
        <f t="shared" si="329"/>
        <v>0</v>
      </c>
      <c r="GS97" s="19">
        <f t="shared" si="330"/>
        <v>0</v>
      </c>
      <c r="GT97" s="19">
        <f t="shared" si="331"/>
        <v>0</v>
      </c>
      <c r="GU97" s="19">
        <f t="shared" si="332"/>
        <v>0</v>
      </c>
      <c r="GV97" s="19">
        <f t="shared" si="333"/>
        <v>0</v>
      </c>
      <c r="GW97" s="19">
        <f t="shared" si="334"/>
        <v>0</v>
      </c>
      <c r="GX97" s="19">
        <f t="shared" si="335"/>
        <v>0</v>
      </c>
      <c r="GY97" s="19">
        <f t="shared" si="336"/>
        <v>0</v>
      </c>
      <c r="GZ97" s="19">
        <f t="shared" si="337"/>
        <v>0</v>
      </c>
      <c r="HA97" s="19">
        <f t="shared" si="338"/>
        <v>0</v>
      </c>
      <c r="HB97" s="19">
        <f t="shared" si="339"/>
        <v>0</v>
      </c>
      <c r="HC97" s="19">
        <f t="shared" si="340"/>
        <v>1.4999999999999999E-2</v>
      </c>
      <c r="HD97" s="19">
        <f t="shared" si="341"/>
        <v>0</v>
      </c>
      <c r="HE97" s="19">
        <f t="shared" si="342"/>
        <v>0</v>
      </c>
      <c r="HF97" s="19">
        <f t="shared" si="343"/>
        <v>0.74249999999999994</v>
      </c>
      <c r="HG97" s="19">
        <f t="shared" si="344"/>
        <v>0.74249999999999994</v>
      </c>
      <c r="HH97" s="19">
        <f t="shared" si="345"/>
        <v>0</v>
      </c>
      <c r="HI97" s="19">
        <f t="shared" si="346"/>
        <v>0</v>
      </c>
      <c r="HJ97" s="19">
        <f t="shared" si="347"/>
        <v>0</v>
      </c>
      <c r="HK97" s="19">
        <f t="shared" si="348"/>
        <v>0</v>
      </c>
      <c r="HL97" s="19">
        <f t="shared" si="349"/>
        <v>0</v>
      </c>
      <c r="HM97" s="20">
        <f t="shared" si="350"/>
        <v>1.5</v>
      </c>
      <c r="HN97" s="53">
        <v>664</v>
      </c>
      <c r="HO97" s="21">
        <f t="shared" si="351"/>
        <v>0</v>
      </c>
      <c r="HP97" s="21">
        <f t="shared" si="352"/>
        <v>0</v>
      </c>
      <c r="HQ97" s="21">
        <f t="shared" si="353"/>
        <v>0</v>
      </c>
      <c r="HR97" s="21">
        <f t="shared" si="354"/>
        <v>0</v>
      </c>
      <c r="HS97" s="21">
        <f t="shared" si="355"/>
        <v>0</v>
      </c>
      <c r="HT97" s="69">
        <f t="shared" si="356"/>
        <v>0</v>
      </c>
      <c r="HU97" s="21">
        <f t="shared" si="357"/>
        <v>0</v>
      </c>
      <c r="HV97" s="21">
        <f t="shared" si="358"/>
        <v>0</v>
      </c>
      <c r="HW97" s="21">
        <f t="shared" si="359"/>
        <v>0</v>
      </c>
      <c r="HX97" s="21">
        <f t="shared" si="360"/>
        <v>0</v>
      </c>
      <c r="HY97" s="21">
        <f t="shared" si="361"/>
        <v>0</v>
      </c>
      <c r="HZ97" s="21">
        <f t="shared" si="362"/>
        <v>0</v>
      </c>
      <c r="IA97" s="21">
        <f t="shared" si="363"/>
        <v>0</v>
      </c>
      <c r="IB97" s="21">
        <f t="shared" si="364"/>
        <v>0</v>
      </c>
      <c r="IC97" s="21">
        <f t="shared" si="365"/>
        <v>0</v>
      </c>
      <c r="ID97" s="21">
        <f t="shared" si="366"/>
        <v>0</v>
      </c>
      <c r="IE97" s="21">
        <f t="shared" si="367"/>
        <v>0</v>
      </c>
      <c r="IF97" s="69">
        <f t="shared" si="368"/>
        <v>0</v>
      </c>
      <c r="IG97" s="69">
        <f t="shared" si="369"/>
        <v>0</v>
      </c>
      <c r="IH97" s="69">
        <f t="shared" si="370"/>
        <v>0</v>
      </c>
      <c r="II97" s="21">
        <f t="shared" si="371"/>
        <v>0</v>
      </c>
      <c r="IJ97" s="21">
        <f t="shared" si="372"/>
        <v>0</v>
      </c>
      <c r="IK97" s="21">
        <f t="shared" si="373"/>
        <v>0</v>
      </c>
      <c r="IL97" s="21">
        <f t="shared" si="374"/>
        <v>0</v>
      </c>
      <c r="IM97" s="21">
        <f t="shared" si="375"/>
        <v>0</v>
      </c>
      <c r="IN97" s="21">
        <f t="shared" si="376"/>
        <v>0</v>
      </c>
      <c r="IO97" s="21">
        <f t="shared" si="377"/>
        <v>0</v>
      </c>
      <c r="IP97" s="21">
        <f t="shared" si="378"/>
        <v>0</v>
      </c>
      <c r="IQ97" s="21">
        <f t="shared" si="379"/>
        <v>0</v>
      </c>
      <c r="IR97" s="21">
        <f t="shared" si="380"/>
        <v>0</v>
      </c>
      <c r="IS97" s="21">
        <f t="shared" si="381"/>
        <v>0</v>
      </c>
      <c r="IT97" s="21">
        <f t="shared" si="382"/>
        <v>0</v>
      </c>
      <c r="IU97" s="21">
        <f t="shared" si="383"/>
        <v>0</v>
      </c>
      <c r="IV97" s="21">
        <f t="shared" si="384"/>
        <v>0</v>
      </c>
      <c r="IW97" s="21">
        <f t="shared" si="385"/>
        <v>0</v>
      </c>
      <c r="IX97" s="21">
        <f t="shared" si="386"/>
        <v>0</v>
      </c>
      <c r="IY97" s="21">
        <f t="shared" si="387"/>
        <v>0</v>
      </c>
      <c r="IZ97" s="21">
        <f t="shared" si="388"/>
        <v>0</v>
      </c>
      <c r="JA97" s="21">
        <f t="shared" si="389"/>
        <v>0</v>
      </c>
      <c r="JB97" s="21">
        <f t="shared" si="390"/>
        <v>0</v>
      </c>
      <c r="JC97" s="21">
        <f t="shared" si="391"/>
        <v>0</v>
      </c>
      <c r="JD97" s="21">
        <f t="shared" si="392"/>
        <v>0</v>
      </c>
      <c r="JE97" s="21">
        <f t="shared" si="393"/>
        <v>6.64</v>
      </c>
      <c r="JF97" s="21">
        <f t="shared" si="394"/>
        <v>0</v>
      </c>
      <c r="JG97" s="21">
        <f t="shared" si="395"/>
        <v>0</v>
      </c>
      <c r="JH97" s="21">
        <f t="shared" si="396"/>
        <v>328.68</v>
      </c>
      <c r="JI97" s="21">
        <f t="shared" si="397"/>
        <v>328.68</v>
      </c>
      <c r="JJ97" s="21">
        <f t="shared" si="398"/>
        <v>0</v>
      </c>
      <c r="JK97" s="21">
        <f t="shared" si="399"/>
        <v>0</v>
      </c>
      <c r="JL97" s="21">
        <f t="shared" si="400"/>
        <v>0</v>
      </c>
      <c r="JM97" s="21">
        <f t="shared" si="401"/>
        <v>0</v>
      </c>
      <c r="JN97" s="21">
        <f t="shared" si="402"/>
        <v>0</v>
      </c>
      <c r="JO97" s="35">
        <f t="shared" si="403"/>
        <v>664</v>
      </c>
      <c r="JP97" s="38">
        <f t="shared" si="404"/>
        <v>0</v>
      </c>
      <c r="JQ97" s="43">
        <f t="shared" si="405"/>
        <v>0</v>
      </c>
      <c r="JR97" s="43">
        <f t="shared" si="406"/>
        <v>0</v>
      </c>
      <c r="JS97" s="43">
        <f t="shared" si="407"/>
        <v>0</v>
      </c>
      <c r="JT97" s="43">
        <f t="shared" si="408"/>
        <v>0</v>
      </c>
      <c r="JU97" s="43">
        <f t="shared" si="409"/>
        <v>0</v>
      </c>
      <c r="JV97" s="43">
        <f t="shared" si="410"/>
        <v>0</v>
      </c>
      <c r="JW97" s="43">
        <f t="shared" si="411"/>
        <v>0</v>
      </c>
      <c r="JX97" s="43">
        <f t="shared" si="412"/>
        <v>0</v>
      </c>
      <c r="JY97" s="43">
        <f t="shared" si="413"/>
        <v>0</v>
      </c>
      <c r="JZ97" s="43">
        <f t="shared" si="414"/>
        <v>0</v>
      </c>
      <c r="KA97" s="43">
        <f t="shared" si="415"/>
        <v>0</v>
      </c>
      <c r="KB97" s="43">
        <f t="shared" si="416"/>
        <v>0</v>
      </c>
      <c r="KC97" s="43">
        <f t="shared" si="417"/>
        <v>0</v>
      </c>
      <c r="KD97" s="43">
        <f t="shared" si="418"/>
        <v>0</v>
      </c>
      <c r="KE97" s="43">
        <f t="shared" si="419"/>
        <v>0</v>
      </c>
      <c r="KF97" s="43">
        <f t="shared" si="420"/>
        <v>0</v>
      </c>
      <c r="KG97" s="43">
        <f t="shared" si="421"/>
        <v>0</v>
      </c>
      <c r="KH97" s="43">
        <f t="shared" si="422"/>
        <v>0</v>
      </c>
      <c r="KI97" s="43">
        <f t="shared" si="423"/>
        <v>0</v>
      </c>
      <c r="KJ97" s="43">
        <f t="shared" si="424"/>
        <v>0</v>
      </c>
      <c r="KK97" s="43">
        <f t="shared" si="425"/>
        <v>0</v>
      </c>
      <c r="KL97" s="43">
        <f t="shared" si="426"/>
        <v>0</v>
      </c>
      <c r="KM97" s="43">
        <f t="shared" si="427"/>
        <v>0</v>
      </c>
      <c r="KN97" s="43">
        <f t="shared" si="428"/>
        <v>0</v>
      </c>
      <c r="KO97" s="43">
        <f t="shared" si="429"/>
        <v>0</v>
      </c>
      <c r="KP97" s="43">
        <f t="shared" si="430"/>
        <v>0</v>
      </c>
      <c r="KQ97" s="43">
        <f t="shared" si="431"/>
        <v>0</v>
      </c>
      <c r="KR97" s="43">
        <f t="shared" si="432"/>
        <v>0</v>
      </c>
      <c r="KS97" s="43">
        <f t="shared" si="433"/>
        <v>0</v>
      </c>
      <c r="KT97" s="43">
        <f t="shared" si="434"/>
        <v>0</v>
      </c>
      <c r="KU97" s="43">
        <f t="shared" si="435"/>
        <v>0</v>
      </c>
      <c r="KV97" s="43">
        <f t="shared" si="436"/>
        <v>0</v>
      </c>
      <c r="KW97" s="43">
        <f t="shared" si="437"/>
        <v>0</v>
      </c>
      <c r="KX97" s="43">
        <f t="shared" si="438"/>
        <v>0</v>
      </c>
      <c r="KY97" s="43">
        <f t="shared" si="439"/>
        <v>0</v>
      </c>
      <c r="KZ97" s="43">
        <f t="shared" si="440"/>
        <v>0</v>
      </c>
      <c r="LA97" s="43">
        <f t="shared" si="441"/>
        <v>0</v>
      </c>
      <c r="LB97" s="43">
        <f t="shared" si="442"/>
        <v>0</v>
      </c>
      <c r="LC97" s="43">
        <f t="shared" si="443"/>
        <v>0</v>
      </c>
      <c r="LD97" s="43">
        <f t="shared" si="444"/>
        <v>0</v>
      </c>
      <c r="LE97" s="43">
        <f t="shared" si="445"/>
        <v>0</v>
      </c>
      <c r="LF97" s="43">
        <f t="shared" si="446"/>
        <v>0</v>
      </c>
      <c r="LG97" s="43">
        <f t="shared" si="447"/>
        <v>68.524799999999999</v>
      </c>
      <c r="LH97" s="43">
        <f t="shared" si="448"/>
        <v>0</v>
      </c>
      <c r="LI97" s="43">
        <f t="shared" si="449"/>
        <v>0</v>
      </c>
      <c r="LJ97" s="43">
        <f t="shared" si="450"/>
        <v>1582.7782608000002</v>
      </c>
      <c r="LK97" s="43">
        <f t="shared" si="451"/>
        <v>1316.6099099999999</v>
      </c>
      <c r="LL97" s="43">
        <f t="shared" si="452"/>
        <v>0</v>
      </c>
      <c r="LM97" s="43">
        <f t="shared" si="453"/>
        <v>0</v>
      </c>
      <c r="LN97" s="43">
        <f t="shared" si="454"/>
        <v>0</v>
      </c>
      <c r="LO97" s="43">
        <f t="shared" si="455"/>
        <v>0</v>
      </c>
      <c r="LP97" s="43">
        <f t="shared" si="456"/>
        <v>0</v>
      </c>
      <c r="LQ97" s="28">
        <f t="shared" si="457"/>
        <v>2967.9129708</v>
      </c>
      <c r="LR97" s="65">
        <v>632</v>
      </c>
      <c r="LS97" s="32">
        <f t="shared" si="462"/>
        <v>4.6960648272151904</v>
      </c>
      <c r="LT97" s="26">
        <f t="shared" si="463"/>
        <v>1.2830778216434946</v>
      </c>
      <c r="LU97" s="31">
        <f t="shared" si="458"/>
        <v>32</v>
      </c>
      <c r="LW97" s="42"/>
      <c r="MA97" s="32">
        <f t="shared" si="459"/>
        <v>4.46974845</v>
      </c>
      <c r="MB97" s="26">
        <f t="shared" si="464"/>
        <v>1.2212427459016393</v>
      </c>
    </row>
    <row r="98" spans="1:340" ht="15.75" thickBot="1">
      <c r="A98" t="b">
        <f t="shared" si="297"/>
        <v>1</v>
      </c>
      <c r="B98" s="123" t="s">
        <v>267</v>
      </c>
      <c r="C98" s="39" t="s">
        <v>82</v>
      </c>
      <c r="D98"/>
      <c r="E98" s="97">
        <v>46036</v>
      </c>
      <c r="F98" t="s">
        <v>43</v>
      </c>
      <c r="G98" t="s">
        <v>19</v>
      </c>
      <c r="H98" t="s">
        <v>27</v>
      </c>
      <c r="I98" s="77"/>
      <c r="J98" s="77"/>
      <c r="K98" s="77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24"/>
      <c r="AG98" s="124"/>
      <c r="AH98" s="104"/>
      <c r="AI98" s="104"/>
      <c r="AJ98" s="104"/>
      <c r="AK98" s="22"/>
      <c r="AL98" s="22"/>
      <c r="AM98" s="22"/>
      <c r="AN98" s="22"/>
      <c r="AO98" s="104"/>
      <c r="AP98" s="22"/>
      <c r="AQ98" s="22"/>
      <c r="AR98" s="22"/>
      <c r="AS98" s="22"/>
      <c r="AT98" s="22"/>
      <c r="AU98" s="22"/>
      <c r="AV98" s="22"/>
      <c r="AW98" s="22"/>
      <c r="AX98" s="22"/>
      <c r="AY98" s="104">
        <v>0.01</v>
      </c>
      <c r="AZ98" s="104"/>
      <c r="BA98" s="104"/>
      <c r="BB98" s="104">
        <v>0.495</v>
      </c>
      <c r="BC98" s="124">
        <v>0.495</v>
      </c>
      <c r="BD98" s="124"/>
      <c r="BE98" s="104"/>
      <c r="BF98" s="104"/>
      <c r="BG98" s="104"/>
      <c r="BH98" s="104"/>
      <c r="BI98" s="78">
        <f t="shared" si="296"/>
        <v>1</v>
      </c>
      <c r="BJ98" s="105"/>
      <c r="BK98" s="105"/>
      <c r="BL98" s="105"/>
      <c r="BM98" s="105"/>
      <c r="BN98" s="105"/>
      <c r="BO98" s="105"/>
      <c r="BP98" s="105"/>
      <c r="BQ98" s="105"/>
      <c r="BR98" s="105"/>
      <c r="BS98" s="105"/>
      <c r="BT98" s="105"/>
      <c r="BU98" s="105"/>
      <c r="BV98" s="105"/>
      <c r="BW98" s="105"/>
      <c r="BX98" s="105"/>
      <c r="BY98" s="105"/>
      <c r="BZ98" s="105"/>
      <c r="CA98" s="105"/>
      <c r="CB98" s="105"/>
      <c r="CC98" s="105"/>
      <c r="CD98" s="105"/>
      <c r="CE98" s="105"/>
      <c r="CF98" s="120"/>
      <c r="CG98" s="128"/>
      <c r="CH98" s="128"/>
      <c r="CI98" s="105"/>
      <c r="CJ98" s="105"/>
      <c r="CK98" s="105"/>
      <c r="CL98" s="105"/>
      <c r="CM98" s="105"/>
      <c r="CN98" s="105"/>
      <c r="CO98" s="105"/>
      <c r="CP98" s="105"/>
      <c r="CQ98" s="105"/>
      <c r="CR98" s="105"/>
      <c r="CS98" s="105"/>
      <c r="CT98" s="105"/>
      <c r="CU98" s="105"/>
      <c r="CV98" s="105"/>
      <c r="CW98" s="105"/>
      <c r="CX98" s="105"/>
      <c r="CY98" s="105"/>
      <c r="CZ98" s="105"/>
      <c r="DA98" s="105"/>
      <c r="DB98" s="105"/>
      <c r="DC98" s="105"/>
      <c r="DD98" s="125"/>
      <c r="DE98" s="125"/>
      <c r="DF98" s="105"/>
      <c r="DG98" s="105"/>
      <c r="DH98" s="105"/>
      <c r="DI98" s="105"/>
      <c r="DJ98" s="79">
        <f t="shared" si="460"/>
        <v>0</v>
      </c>
      <c r="DK98" s="108"/>
      <c r="DL98" s="108"/>
      <c r="DM98" s="108"/>
      <c r="DN98" s="108"/>
      <c r="DO98" s="108"/>
      <c r="DP98" s="108"/>
      <c r="DQ98" s="108"/>
      <c r="DR98" s="108"/>
      <c r="DS98" s="108"/>
      <c r="DT98" s="108"/>
      <c r="DU98" s="108"/>
      <c r="DV98" s="108"/>
      <c r="DW98" s="108"/>
      <c r="DX98" s="108"/>
      <c r="DY98" s="108"/>
      <c r="DZ98" s="108"/>
      <c r="EA98" s="108"/>
      <c r="EB98" s="108"/>
      <c r="EC98" s="108"/>
      <c r="ED98" s="108"/>
      <c r="EE98" s="108"/>
      <c r="EF98" s="108"/>
      <c r="EG98" s="108"/>
      <c r="EH98" s="129"/>
      <c r="EI98" s="129"/>
      <c r="EJ98" s="108"/>
      <c r="EK98" s="108"/>
      <c r="EL98" s="108"/>
      <c r="EM98" s="108"/>
      <c r="EN98" s="108"/>
      <c r="EO98" s="108"/>
      <c r="EP98" s="108"/>
      <c r="EQ98" s="108"/>
      <c r="ER98" s="108"/>
      <c r="ES98" s="106"/>
      <c r="ET98" s="106"/>
      <c r="EU98" s="106"/>
      <c r="EV98" s="106"/>
      <c r="EW98" s="106"/>
      <c r="EX98" s="106"/>
      <c r="EY98" s="106"/>
      <c r="EZ98" s="106"/>
      <c r="FA98" s="106"/>
      <c r="FB98" s="106"/>
      <c r="FC98" s="106"/>
      <c r="FD98" s="106"/>
      <c r="FE98" s="126"/>
      <c r="FF98" s="126"/>
      <c r="FG98" s="106"/>
      <c r="FH98" s="106"/>
      <c r="FI98" s="106"/>
      <c r="FJ98" s="106"/>
      <c r="FK98" s="17">
        <f t="shared" si="461"/>
        <v>0</v>
      </c>
      <c r="FL98" s="18"/>
      <c r="FM98" s="19">
        <f t="shared" si="298"/>
        <v>0</v>
      </c>
      <c r="FN98" s="19">
        <f t="shared" si="299"/>
        <v>0</v>
      </c>
      <c r="FO98" s="19">
        <f t="shared" si="300"/>
        <v>0</v>
      </c>
      <c r="FP98" s="19">
        <f t="shared" si="301"/>
        <v>0</v>
      </c>
      <c r="FQ98" s="19">
        <f t="shared" si="302"/>
        <v>0</v>
      </c>
      <c r="FR98" s="19">
        <f t="shared" si="303"/>
        <v>0</v>
      </c>
      <c r="FS98" s="19">
        <f t="shared" si="304"/>
        <v>0</v>
      </c>
      <c r="FT98" s="19">
        <f t="shared" si="305"/>
        <v>0</v>
      </c>
      <c r="FU98" s="19">
        <f t="shared" si="306"/>
        <v>0</v>
      </c>
      <c r="FV98" s="19">
        <f t="shared" si="307"/>
        <v>0</v>
      </c>
      <c r="FW98" s="19">
        <f t="shared" si="308"/>
        <v>0</v>
      </c>
      <c r="FX98" s="19">
        <f t="shared" si="309"/>
        <v>0</v>
      </c>
      <c r="FY98" s="19">
        <f t="shared" si="310"/>
        <v>0</v>
      </c>
      <c r="FZ98" s="19">
        <f t="shared" si="311"/>
        <v>0</v>
      </c>
      <c r="GA98" s="19">
        <f t="shared" si="312"/>
        <v>0</v>
      </c>
      <c r="GB98" s="19">
        <f t="shared" si="313"/>
        <v>0</v>
      </c>
      <c r="GC98" s="19">
        <f t="shared" si="314"/>
        <v>0</v>
      </c>
      <c r="GD98" s="19">
        <f t="shared" si="315"/>
        <v>0</v>
      </c>
      <c r="GE98" s="19">
        <f t="shared" si="316"/>
        <v>0</v>
      </c>
      <c r="GF98" s="19">
        <f t="shared" si="317"/>
        <v>0</v>
      </c>
      <c r="GG98" s="19">
        <f t="shared" si="318"/>
        <v>0</v>
      </c>
      <c r="GH98" s="19">
        <f t="shared" si="319"/>
        <v>0</v>
      </c>
      <c r="GI98" s="19">
        <f t="shared" si="320"/>
        <v>0</v>
      </c>
      <c r="GJ98" s="19">
        <f t="shared" si="321"/>
        <v>0</v>
      </c>
      <c r="GK98" s="19">
        <f t="shared" si="322"/>
        <v>0</v>
      </c>
      <c r="GL98" s="19">
        <f t="shared" si="323"/>
        <v>0</v>
      </c>
      <c r="GM98" s="19">
        <f t="shared" si="324"/>
        <v>0</v>
      </c>
      <c r="GN98" s="19">
        <f t="shared" si="325"/>
        <v>0</v>
      </c>
      <c r="GO98" s="19">
        <f t="shared" si="326"/>
        <v>0</v>
      </c>
      <c r="GP98" s="19">
        <f t="shared" si="327"/>
        <v>0</v>
      </c>
      <c r="GQ98" s="19">
        <f t="shared" si="328"/>
        <v>0</v>
      </c>
      <c r="GR98" s="19">
        <f t="shared" si="329"/>
        <v>0</v>
      </c>
      <c r="GS98" s="19">
        <f t="shared" si="330"/>
        <v>0</v>
      </c>
      <c r="GT98" s="19">
        <f t="shared" si="331"/>
        <v>0</v>
      </c>
      <c r="GU98" s="19">
        <f t="shared" si="332"/>
        <v>0</v>
      </c>
      <c r="GV98" s="19">
        <f t="shared" si="333"/>
        <v>0</v>
      </c>
      <c r="GW98" s="19">
        <f t="shared" si="334"/>
        <v>0</v>
      </c>
      <c r="GX98" s="19">
        <f t="shared" si="335"/>
        <v>0</v>
      </c>
      <c r="GY98" s="19">
        <f t="shared" si="336"/>
        <v>0</v>
      </c>
      <c r="GZ98" s="19">
        <f t="shared" si="337"/>
        <v>0</v>
      </c>
      <c r="HA98" s="19">
        <f t="shared" si="338"/>
        <v>0</v>
      </c>
      <c r="HB98" s="19">
        <f t="shared" si="339"/>
        <v>0</v>
      </c>
      <c r="HC98" s="19">
        <f t="shared" si="340"/>
        <v>1.4999999999999999E-2</v>
      </c>
      <c r="HD98" s="19">
        <f t="shared" si="341"/>
        <v>0</v>
      </c>
      <c r="HE98" s="19">
        <f t="shared" si="342"/>
        <v>0</v>
      </c>
      <c r="HF98" s="19">
        <f t="shared" si="343"/>
        <v>0.74249999999999994</v>
      </c>
      <c r="HG98" s="19">
        <f t="shared" si="344"/>
        <v>0.74249999999999994</v>
      </c>
      <c r="HH98" s="19">
        <f t="shared" si="345"/>
        <v>0</v>
      </c>
      <c r="HI98" s="19">
        <f t="shared" si="346"/>
        <v>0</v>
      </c>
      <c r="HJ98" s="19">
        <f t="shared" si="347"/>
        <v>0</v>
      </c>
      <c r="HK98" s="19">
        <f t="shared" si="348"/>
        <v>0</v>
      </c>
      <c r="HL98" s="19">
        <f t="shared" si="349"/>
        <v>0</v>
      </c>
      <c r="HM98" s="20">
        <f t="shared" si="350"/>
        <v>1.5</v>
      </c>
      <c r="HN98" s="53">
        <v>620</v>
      </c>
      <c r="HO98" s="21">
        <f t="shared" si="351"/>
        <v>0</v>
      </c>
      <c r="HP98" s="21">
        <f t="shared" si="352"/>
        <v>0</v>
      </c>
      <c r="HQ98" s="21">
        <f t="shared" si="353"/>
        <v>0</v>
      </c>
      <c r="HR98" s="21">
        <f t="shared" si="354"/>
        <v>0</v>
      </c>
      <c r="HS98" s="21">
        <f t="shared" si="355"/>
        <v>0</v>
      </c>
      <c r="HT98" s="69">
        <f t="shared" si="356"/>
        <v>0</v>
      </c>
      <c r="HU98" s="21">
        <f t="shared" si="357"/>
        <v>0</v>
      </c>
      <c r="HV98" s="21">
        <f t="shared" si="358"/>
        <v>0</v>
      </c>
      <c r="HW98" s="21">
        <f t="shared" si="359"/>
        <v>0</v>
      </c>
      <c r="HX98" s="21">
        <f t="shared" si="360"/>
        <v>0</v>
      </c>
      <c r="HY98" s="21">
        <f t="shared" si="361"/>
        <v>0</v>
      </c>
      <c r="HZ98" s="21">
        <f t="shared" si="362"/>
        <v>0</v>
      </c>
      <c r="IA98" s="21">
        <f t="shared" si="363"/>
        <v>0</v>
      </c>
      <c r="IB98" s="21">
        <f t="shared" si="364"/>
        <v>0</v>
      </c>
      <c r="IC98" s="21">
        <f t="shared" si="365"/>
        <v>0</v>
      </c>
      <c r="ID98" s="21">
        <f t="shared" si="366"/>
        <v>0</v>
      </c>
      <c r="IE98" s="21">
        <f t="shared" si="367"/>
        <v>0</v>
      </c>
      <c r="IF98" s="69">
        <f t="shared" si="368"/>
        <v>0</v>
      </c>
      <c r="IG98" s="69">
        <f t="shared" si="369"/>
        <v>0</v>
      </c>
      <c r="IH98" s="69">
        <f t="shared" si="370"/>
        <v>0</v>
      </c>
      <c r="II98" s="21">
        <f t="shared" si="371"/>
        <v>0</v>
      </c>
      <c r="IJ98" s="21">
        <f t="shared" si="372"/>
        <v>0</v>
      </c>
      <c r="IK98" s="21">
        <f t="shared" si="373"/>
        <v>0</v>
      </c>
      <c r="IL98" s="21">
        <f t="shared" si="374"/>
        <v>0</v>
      </c>
      <c r="IM98" s="21">
        <f t="shared" si="375"/>
        <v>0</v>
      </c>
      <c r="IN98" s="21">
        <f t="shared" si="376"/>
        <v>0</v>
      </c>
      <c r="IO98" s="21">
        <f t="shared" si="377"/>
        <v>0</v>
      </c>
      <c r="IP98" s="21">
        <f t="shared" si="378"/>
        <v>0</v>
      </c>
      <c r="IQ98" s="21">
        <f t="shared" si="379"/>
        <v>0</v>
      </c>
      <c r="IR98" s="21">
        <f t="shared" si="380"/>
        <v>0</v>
      </c>
      <c r="IS98" s="21">
        <f t="shared" si="381"/>
        <v>0</v>
      </c>
      <c r="IT98" s="21">
        <f t="shared" si="382"/>
        <v>0</v>
      </c>
      <c r="IU98" s="21">
        <f t="shared" si="383"/>
        <v>0</v>
      </c>
      <c r="IV98" s="21">
        <f t="shared" si="384"/>
        <v>0</v>
      </c>
      <c r="IW98" s="21">
        <f t="shared" si="385"/>
        <v>0</v>
      </c>
      <c r="IX98" s="21">
        <f t="shared" si="386"/>
        <v>0</v>
      </c>
      <c r="IY98" s="21">
        <f t="shared" si="387"/>
        <v>0</v>
      </c>
      <c r="IZ98" s="21">
        <f t="shared" si="388"/>
        <v>0</v>
      </c>
      <c r="JA98" s="21">
        <f t="shared" si="389"/>
        <v>0</v>
      </c>
      <c r="JB98" s="21">
        <f t="shared" si="390"/>
        <v>0</v>
      </c>
      <c r="JC98" s="21">
        <f t="shared" si="391"/>
        <v>0</v>
      </c>
      <c r="JD98" s="21">
        <f t="shared" si="392"/>
        <v>0</v>
      </c>
      <c r="JE98" s="21">
        <f t="shared" si="393"/>
        <v>6.1999999999999993</v>
      </c>
      <c r="JF98" s="21">
        <f t="shared" si="394"/>
        <v>0</v>
      </c>
      <c r="JG98" s="21">
        <f t="shared" si="395"/>
        <v>0</v>
      </c>
      <c r="JH98" s="21">
        <f t="shared" si="396"/>
        <v>306.89999999999998</v>
      </c>
      <c r="JI98" s="21">
        <f t="shared" si="397"/>
        <v>306.89999999999998</v>
      </c>
      <c r="JJ98" s="21">
        <f t="shared" si="398"/>
        <v>0</v>
      </c>
      <c r="JK98" s="21">
        <f t="shared" si="399"/>
        <v>0</v>
      </c>
      <c r="JL98" s="21">
        <f t="shared" si="400"/>
        <v>0</v>
      </c>
      <c r="JM98" s="21">
        <f t="shared" si="401"/>
        <v>0</v>
      </c>
      <c r="JN98" s="21">
        <f t="shared" si="402"/>
        <v>0</v>
      </c>
      <c r="JO98" s="35">
        <f t="shared" si="403"/>
        <v>620</v>
      </c>
      <c r="JP98" s="38">
        <f t="shared" si="404"/>
        <v>0</v>
      </c>
      <c r="JQ98" s="43">
        <f t="shared" si="405"/>
        <v>0</v>
      </c>
      <c r="JR98" s="43">
        <f t="shared" si="406"/>
        <v>0</v>
      </c>
      <c r="JS98" s="43">
        <f t="shared" si="407"/>
        <v>0</v>
      </c>
      <c r="JT98" s="43">
        <f t="shared" si="408"/>
        <v>0</v>
      </c>
      <c r="JU98" s="43">
        <f t="shared" si="409"/>
        <v>0</v>
      </c>
      <c r="JV98" s="43">
        <f t="shared" si="410"/>
        <v>0</v>
      </c>
      <c r="JW98" s="43">
        <f t="shared" si="411"/>
        <v>0</v>
      </c>
      <c r="JX98" s="43">
        <f t="shared" si="412"/>
        <v>0</v>
      </c>
      <c r="JY98" s="43">
        <f t="shared" si="413"/>
        <v>0</v>
      </c>
      <c r="JZ98" s="43">
        <f t="shared" si="414"/>
        <v>0</v>
      </c>
      <c r="KA98" s="43">
        <f t="shared" si="415"/>
        <v>0</v>
      </c>
      <c r="KB98" s="43">
        <f t="shared" si="416"/>
        <v>0</v>
      </c>
      <c r="KC98" s="43">
        <f t="shared" si="417"/>
        <v>0</v>
      </c>
      <c r="KD98" s="43">
        <f t="shared" si="418"/>
        <v>0</v>
      </c>
      <c r="KE98" s="43">
        <f t="shared" si="419"/>
        <v>0</v>
      </c>
      <c r="KF98" s="43">
        <f t="shared" si="420"/>
        <v>0</v>
      </c>
      <c r="KG98" s="43">
        <f t="shared" si="421"/>
        <v>0</v>
      </c>
      <c r="KH98" s="43">
        <f t="shared" si="422"/>
        <v>0</v>
      </c>
      <c r="KI98" s="43">
        <f t="shared" si="423"/>
        <v>0</v>
      </c>
      <c r="KJ98" s="43">
        <f t="shared" si="424"/>
        <v>0</v>
      </c>
      <c r="KK98" s="43">
        <f t="shared" si="425"/>
        <v>0</v>
      </c>
      <c r="KL98" s="43">
        <f t="shared" si="426"/>
        <v>0</v>
      </c>
      <c r="KM98" s="43">
        <f t="shared" si="427"/>
        <v>0</v>
      </c>
      <c r="KN98" s="43">
        <f t="shared" si="428"/>
        <v>0</v>
      </c>
      <c r="KO98" s="43">
        <f t="shared" si="429"/>
        <v>0</v>
      </c>
      <c r="KP98" s="43">
        <f t="shared" si="430"/>
        <v>0</v>
      </c>
      <c r="KQ98" s="43">
        <f t="shared" si="431"/>
        <v>0</v>
      </c>
      <c r="KR98" s="43">
        <f t="shared" si="432"/>
        <v>0</v>
      </c>
      <c r="KS98" s="43">
        <f t="shared" si="433"/>
        <v>0</v>
      </c>
      <c r="KT98" s="43">
        <f t="shared" si="434"/>
        <v>0</v>
      </c>
      <c r="KU98" s="43">
        <f t="shared" si="435"/>
        <v>0</v>
      </c>
      <c r="KV98" s="43">
        <f t="shared" si="436"/>
        <v>0</v>
      </c>
      <c r="KW98" s="43">
        <f t="shared" si="437"/>
        <v>0</v>
      </c>
      <c r="KX98" s="43">
        <f t="shared" si="438"/>
        <v>0</v>
      </c>
      <c r="KY98" s="43">
        <f t="shared" si="439"/>
        <v>0</v>
      </c>
      <c r="KZ98" s="43">
        <f t="shared" si="440"/>
        <v>0</v>
      </c>
      <c r="LA98" s="43">
        <f t="shared" si="441"/>
        <v>0</v>
      </c>
      <c r="LB98" s="43">
        <f t="shared" si="442"/>
        <v>0</v>
      </c>
      <c r="LC98" s="43">
        <f t="shared" si="443"/>
        <v>0</v>
      </c>
      <c r="LD98" s="43">
        <f t="shared" si="444"/>
        <v>0</v>
      </c>
      <c r="LE98" s="43">
        <f t="shared" si="445"/>
        <v>0</v>
      </c>
      <c r="LF98" s="43">
        <f t="shared" si="446"/>
        <v>0</v>
      </c>
      <c r="LG98" s="43">
        <f t="shared" si="447"/>
        <v>63.983999999999995</v>
      </c>
      <c r="LH98" s="43">
        <f t="shared" si="448"/>
        <v>0</v>
      </c>
      <c r="LI98" s="43">
        <f t="shared" si="449"/>
        <v>0</v>
      </c>
      <c r="LJ98" s="43">
        <f t="shared" si="450"/>
        <v>1477.895364</v>
      </c>
      <c r="LK98" s="43">
        <f t="shared" si="451"/>
        <v>1229.3646749999998</v>
      </c>
      <c r="LL98" s="43">
        <f t="shared" si="452"/>
        <v>0</v>
      </c>
      <c r="LM98" s="43">
        <f t="shared" si="453"/>
        <v>0</v>
      </c>
      <c r="LN98" s="43">
        <f t="shared" si="454"/>
        <v>0</v>
      </c>
      <c r="LO98" s="43">
        <f t="shared" si="455"/>
        <v>0</v>
      </c>
      <c r="LP98" s="43">
        <f t="shared" si="456"/>
        <v>0</v>
      </c>
      <c r="LQ98" s="28">
        <f t="shared" si="457"/>
        <v>2771.2440389999997</v>
      </c>
      <c r="LR98" s="65">
        <v>602</v>
      </c>
      <c r="LS98" s="32">
        <f t="shared" si="462"/>
        <v>4.6033954136212616</v>
      </c>
      <c r="LT98" s="26">
        <f t="shared" si="463"/>
        <v>1.2577583097325851</v>
      </c>
      <c r="LU98" s="31">
        <f t="shared" si="458"/>
        <v>18</v>
      </c>
      <c r="LW98" s="42"/>
      <c r="MA98" s="32">
        <f t="shared" si="459"/>
        <v>4.4697484499999991</v>
      </c>
      <c r="MB98" s="26">
        <f t="shared" si="464"/>
        <v>1.2212427459016391</v>
      </c>
    </row>
    <row r="99" spans="1:340" ht="15.75" thickBot="1">
      <c r="A99" t="b">
        <f t="shared" si="297"/>
        <v>1</v>
      </c>
      <c r="B99" s="123" t="s">
        <v>268</v>
      </c>
      <c r="C99" s="39" t="s">
        <v>65</v>
      </c>
      <c r="D99"/>
      <c r="E99" s="97">
        <v>46037</v>
      </c>
      <c r="F99" t="s">
        <v>43</v>
      </c>
      <c r="G99" t="s">
        <v>20</v>
      </c>
      <c r="H99" t="s">
        <v>27</v>
      </c>
      <c r="I99" s="77"/>
      <c r="J99" s="77"/>
      <c r="K99" s="77"/>
      <c r="L99" s="22"/>
      <c r="M99" s="22"/>
      <c r="N99" s="98"/>
      <c r="O99" s="22"/>
      <c r="P99" s="22"/>
      <c r="Q99" s="22"/>
      <c r="R99" s="22"/>
      <c r="S99" s="104"/>
      <c r="T99" s="22"/>
      <c r="U99" s="22"/>
      <c r="V99" s="104"/>
      <c r="W99" s="22"/>
      <c r="X99" s="22"/>
      <c r="Y99" s="22"/>
      <c r="Z99" s="104"/>
      <c r="AA99" s="104"/>
      <c r="AB99" s="104"/>
      <c r="AC99" s="22"/>
      <c r="AD99" s="22"/>
      <c r="AE99" s="22"/>
      <c r="AF99" s="124"/>
      <c r="AG99" s="124"/>
      <c r="AH99" s="22"/>
      <c r="AI99" s="104"/>
      <c r="AJ99" s="22">
        <v>0.4</v>
      </c>
      <c r="AK99" s="22"/>
      <c r="AL99" s="22"/>
      <c r="AM99" s="22"/>
      <c r="AN99" s="22"/>
      <c r="AO99" s="104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98"/>
      <c r="BB99" s="98"/>
      <c r="BC99" s="124">
        <v>0.6</v>
      </c>
      <c r="BD99" s="124"/>
      <c r="BE99" s="104"/>
      <c r="BF99" s="22"/>
      <c r="BG99" s="22"/>
      <c r="BH99" s="22"/>
      <c r="BI99" s="78">
        <f t="shared" ref="BI99:BI102" si="477">SUM(I99:BH99)</f>
        <v>1</v>
      </c>
      <c r="BJ99" s="23"/>
      <c r="BK99" s="23"/>
      <c r="BL99" s="23"/>
      <c r="BM99" s="23"/>
      <c r="BN99" s="23"/>
      <c r="BO99" s="99"/>
      <c r="BP99" s="23"/>
      <c r="BQ99" s="23"/>
      <c r="BR99" s="23"/>
      <c r="BS99" s="23"/>
      <c r="BT99" s="105"/>
      <c r="BU99" s="23"/>
      <c r="BV99" s="23"/>
      <c r="BW99" s="105"/>
      <c r="BX99" s="23"/>
      <c r="BY99" s="23"/>
      <c r="BZ99" s="23"/>
      <c r="CA99" s="105"/>
      <c r="CB99" s="105"/>
      <c r="CC99" s="105"/>
      <c r="CD99" s="23"/>
      <c r="CE99" s="23"/>
      <c r="CF99" s="71"/>
      <c r="CG99" s="128"/>
      <c r="CH99" s="128"/>
      <c r="CI99" s="23"/>
      <c r="CJ99" s="105"/>
      <c r="CK99" s="23"/>
      <c r="CL99" s="105">
        <v>0.4</v>
      </c>
      <c r="CM99" s="23"/>
      <c r="CN99" s="23"/>
      <c r="CO99" s="23"/>
      <c r="CP99" s="105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3"/>
      <c r="DB99" s="99"/>
      <c r="DC99" s="99"/>
      <c r="DD99" s="125">
        <v>0.6</v>
      </c>
      <c r="DE99" s="125"/>
      <c r="DF99" s="105"/>
      <c r="DG99" s="23"/>
      <c r="DH99" s="23"/>
      <c r="DI99" s="23"/>
      <c r="DJ99" s="79">
        <f t="shared" si="460"/>
        <v>1</v>
      </c>
      <c r="DK99" s="24"/>
      <c r="DL99" s="24"/>
      <c r="DM99" s="24"/>
      <c r="DN99" s="24">
        <v>0.93500000000000005</v>
      </c>
      <c r="DO99" s="24"/>
      <c r="DP99" s="103"/>
      <c r="DQ99" s="24"/>
      <c r="DR99" s="24"/>
      <c r="DS99" s="108"/>
      <c r="DT99" s="24"/>
      <c r="DU99" s="108"/>
      <c r="DV99" s="24"/>
      <c r="DW99" s="24"/>
      <c r="DX99" s="108"/>
      <c r="DY99" s="24"/>
      <c r="DZ99" s="24"/>
      <c r="EA99" s="108"/>
      <c r="EB99" s="108"/>
      <c r="EC99" s="108"/>
      <c r="ED99" s="108"/>
      <c r="EE99" s="24"/>
      <c r="EF99" s="24"/>
      <c r="EG99" s="24"/>
      <c r="EH99" s="129"/>
      <c r="EI99" s="129"/>
      <c r="EJ99" s="24"/>
      <c r="EK99" s="24"/>
      <c r="EL99" s="24"/>
      <c r="EM99" s="24"/>
      <c r="EN99" s="24"/>
      <c r="EO99" s="24"/>
      <c r="EP99" s="24"/>
      <c r="EQ99" s="108"/>
      <c r="ER99" s="24"/>
      <c r="ES99" s="25"/>
      <c r="ET99" s="25"/>
      <c r="EU99" s="25">
        <v>0.05</v>
      </c>
      <c r="EV99" s="25"/>
      <c r="EW99" s="25"/>
      <c r="EX99" s="25"/>
      <c r="EY99" s="25"/>
      <c r="EZ99" s="25"/>
      <c r="FA99" s="106"/>
      <c r="FB99" s="25"/>
      <c r="FC99" s="100"/>
      <c r="FD99" s="100"/>
      <c r="FE99" s="126"/>
      <c r="FF99" s="126"/>
      <c r="FG99" s="106"/>
      <c r="FH99" s="25"/>
      <c r="FI99" s="25"/>
      <c r="FJ99" s="106">
        <v>1.4999999999999999E-2</v>
      </c>
      <c r="FK99" s="17">
        <f t="shared" si="461"/>
        <v>1</v>
      </c>
      <c r="FL99" s="18"/>
      <c r="FM99" s="19">
        <f t="shared" si="298"/>
        <v>0</v>
      </c>
      <c r="FN99" s="19">
        <f t="shared" si="299"/>
        <v>0</v>
      </c>
      <c r="FO99" s="19">
        <f t="shared" si="300"/>
        <v>0</v>
      </c>
      <c r="FP99" s="19">
        <f t="shared" si="301"/>
        <v>1.4025000000000001</v>
      </c>
      <c r="FQ99" s="19">
        <f t="shared" si="302"/>
        <v>0</v>
      </c>
      <c r="FR99" s="19">
        <f t="shared" si="303"/>
        <v>0</v>
      </c>
      <c r="FS99" s="19">
        <f t="shared" si="304"/>
        <v>0</v>
      </c>
      <c r="FT99" s="19">
        <f t="shared" si="305"/>
        <v>0</v>
      </c>
      <c r="FU99" s="19">
        <f t="shared" si="306"/>
        <v>0</v>
      </c>
      <c r="FV99" s="19">
        <f t="shared" si="307"/>
        <v>0</v>
      </c>
      <c r="FW99" s="19">
        <f t="shared" si="308"/>
        <v>0</v>
      </c>
      <c r="FX99" s="19">
        <f t="shared" si="309"/>
        <v>0</v>
      </c>
      <c r="FY99" s="19">
        <f t="shared" si="310"/>
        <v>0</v>
      </c>
      <c r="FZ99" s="19">
        <f t="shared" si="311"/>
        <v>0</v>
      </c>
      <c r="GA99" s="19">
        <f t="shared" si="312"/>
        <v>0</v>
      </c>
      <c r="GB99" s="19">
        <f t="shared" si="313"/>
        <v>0</v>
      </c>
      <c r="GC99" s="19">
        <f t="shared" si="314"/>
        <v>0</v>
      </c>
      <c r="GD99" s="19">
        <f t="shared" si="315"/>
        <v>0</v>
      </c>
      <c r="GE99" s="19">
        <f t="shared" si="316"/>
        <v>0</v>
      </c>
      <c r="GF99" s="19">
        <f t="shared" si="317"/>
        <v>0</v>
      </c>
      <c r="GG99" s="19">
        <f t="shared" si="318"/>
        <v>0</v>
      </c>
      <c r="GH99" s="19">
        <f t="shared" si="319"/>
        <v>0</v>
      </c>
      <c r="GI99" s="19">
        <f t="shared" si="320"/>
        <v>0</v>
      </c>
      <c r="GJ99" s="19">
        <f t="shared" si="321"/>
        <v>0</v>
      </c>
      <c r="GK99" s="19">
        <f t="shared" si="322"/>
        <v>0</v>
      </c>
      <c r="GL99" s="19">
        <f t="shared" si="323"/>
        <v>0</v>
      </c>
      <c r="GM99" s="19">
        <f t="shared" si="324"/>
        <v>0</v>
      </c>
      <c r="GN99" s="19">
        <f t="shared" si="325"/>
        <v>0.60000000000000009</v>
      </c>
      <c r="GO99" s="19">
        <f t="shared" si="326"/>
        <v>0.8</v>
      </c>
      <c r="GP99" s="19">
        <f t="shared" si="327"/>
        <v>0</v>
      </c>
      <c r="GQ99" s="19">
        <f t="shared" si="328"/>
        <v>0</v>
      </c>
      <c r="GR99" s="19">
        <f t="shared" si="329"/>
        <v>0</v>
      </c>
      <c r="GS99" s="19">
        <f t="shared" si="330"/>
        <v>0</v>
      </c>
      <c r="GT99" s="19">
        <f t="shared" si="331"/>
        <v>0</v>
      </c>
      <c r="GU99" s="19">
        <f t="shared" si="332"/>
        <v>0</v>
      </c>
      <c r="GV99" s="19">
        <f t="shared" si="333"/>
        <v>0</v>
      </c>
      <c r="GW99" s="19">
        <f t="shared" si="334"/>
        <v>7.5000000000000011E-2</v>
      </c>
      <c r="GX99" s="19">
        <f t="shared" si="335"/>
        <v>0</v>
      </c>
      <c r="GY99" s="19">
        <f t="shared" si="336"/>
        <v>0</v>
      </c>
      <c r="GZ99" s="19">
        <f t="shared" si="337"/>
        <v>0</v>
      </c>
      <c r="HA99" s="19">
        <f t="shared" si="338"/>
        <v>0</v>
      </c>
      <c r="HB99" s="19">
        <f t="shared" si="339"/>
        <v>0</v>
      </c>
      <c r="HC99" s="19">
        <f t="shared" si="340"/>
        <v>0</v>
      </c>
      <c r="HD99" s="19">
        <f t="shared" si="341"/>
        <v>0</v>
      </c>
      <c r="HE99" s="19">
        <f t="shared" si="342"/>
        <v>0</v>
      </c>
      <c r="HF99" s="19">
        <f t="shared" si="343"/>
        <v>0</v>
      </c>
      <c r="HG99" s="19">
        <f t="shared" si="344"/>
        <v>2.0999999999999996</v>
      </c>
      <c r="HH99" s="19">
        <f t="shared" si="345"/>
        <v>0</v>
      </c>
      <c r="HI99" s="19">
        <f t="shared" si="346"/>
        <v>0</v>
      </c>
      <c r="HJ99" s="19">
        <f t="shared" si="347"/>
        <v>0</v>
      </c>
      <c r="HK99" s="19">
        <f t="shared" si="348"/>
        <v>0</v>
      </c>
      <c r="HL99" s="19">
        <f t="shared" si="349"/>
        <v>2.2499999999999999E-2</v>
      </c>
      <c r="HM99" s="20">
        <f t="shared" si="350"/>
        <v>5</v>
      </c>
      <c r="HN99" s="53">
        <v>610</v>
      </c>
      <c r="HO99" s="21">
        <f t="shared" si="351"/>
        <v>0</v>
      </c>
      <c r="HP99" s="21">
        <f t="shared" si="352"/>
        <v>0</v>
      </c>
      <c r="HQ99" s="21">
        <f t="shared" si="353"/>
        <v>0</v>
      </c>
      <c r="HR99" s="21">
        <f t="shared" si="354"/>
        <v>171.10500000000002</v>
      </c>
      <c r="HS99" s="21">
        <f t="shared" si="355"/>
        <v>0</v>
      </c>
      <c r="HT99" s="69">
        <f t="shared" si="356"/>
        <v>0</v>
      </c>
      <c r="HU99" s="21">
        <f t="shared" si="357"/>
        <v>0</v>
      </c>
      <c r="HV99" s="21">
        <f t="shared" si="358"/>
        <v>0</v>
      </c>
      <c r="HW99" s="21">
        <f t="shared" si="359"/>
        <v>0</v>
      </c>
      <c r="HX99" s="21">
        <f t="shared" si="360"/>
        <v>0</v>
      </c>
      <c r="HY99" s="21">
        <f t="shared" si="361"/>
        <v>0</v>
      </c>
      <c r="HZ99" s="21">
        <f t="shared" si="362"/>
        <v>0</v>
      </c>
      <c r="IA99" s="21">
        <f t="shared" si="363"/>
        <v>0</v>
      </c>
      <c r="IB99" s="21">
        <f t="shared" si="364"/>
        <v>0</v>
      </c>
      <c r="IC99" s="21">
        <f t="shared" si="365"/>
        <v>0</v>
      </c>
      <c r="ID99" s="21">
        <f t="shared" si="366"/>
        <v>0</v>
      </c>
      <c r="IE99" s="21">
        <f t="shared" si="367"/>
        <v>0</v>
      </c>
      <c r="IF99" s="69">
        <f t="shared" si="368"/>
        <v>0</v>
      </c>
      <c r="IG99" s="69">
        <f t="shared" si="369"/>
        <v>0</v>
      </c>
      <c r="IH99" s="69">
        <f t="shared" si="370"/>
        <v>0</v>
      </c>
      <c r="II99" s="21">
        <f t="shared" si="371"/>
        <v>0</v>
      </c>
      <c r="IJ99" s="21">
        <f t="shared" si="372"/>
        <v>0</v>
      </c>
      <c r="IK99" s="21">
        <f t="shared" si="373"/>
        <v>0</v>
      </c>
      <c r="IL99" s="21">
        <f t="shared" si="374"/>
        <v>0</v>
      </c>
      <c r="IM99" s="21">
        <f t="shared" si="375"/>
        <v>0</v>
      </c>
      <c r="IN99" s="21">
        <f t="shared" si="376"/>
        <v>0</v>
      </c>
      <c r="IO99" s="21">
        <f t="shared" si="377"/>
        <v>0</v>
      </c>
      <c r="IP99" s="21">
        <f t="shared" si="378"/>
        <v>73.200000000000017</v>
      </c>
      <c r="IQ99" s="21">
        <f t="shared" si="379"/>
        <v>97.6</v>
      </c>
      <c r="IR99" s="21">
        <f t="shared" si="380"/>
        <v>0</v>
      </c>
      <c r="IS99" s="21">
        <f t="shared" si="381"/>
        <v>0</v>
      </c>
      <c r="IT99" s="21">
        <f t="shared" si="382"/>
        <v>0</v>
      </c>
      <c r="IU99" s="21">
        <f t="shared" si="383"/>
        <v>0</v>
      </c>
      <c r="IV99" s="21">
        <f t="shared" si="384"/>
        <v>0</v>
      </c>
      <c r="IW99" s="21">
        <f t="shared" si="385"/>
        <v>0</v>
      </c>
      <c r="IX99" s="21">
        <f t="shared" si="386"/>
        <v>0</v>
      </c>
      <c r="IY99" s="21">
        <f t="shared" si="387"/>
        <v>9.1500000000000021</v>
      </c>
      <c r="IZ99" s="21">
        <f t="shared" si="388"/>
        <v>0</v>
      </c>
      <c r="JA99" s="21">
        <f t="shared" si="389"/>
        <v>0</v>
      </c>
      <c r="JB99" s="21">
        <f t="shared" si="390"/>
        <v>0</v>
      </c>
      <c r="JC99" s="21">
        <f t="shared" si="391"/>
        <v>0</v>
      </c>
      <c r="JD99" s="21">
        <f t="shared" si="392"/>
        <v>0</v>
      </c>
      <c r="JE99" s="21">
        <f t="shared" si="393"/>
        <v>0</v>
      </c>
      <c r="JF99" s="21">
        <f t="shared" si="394"/>
        <v>0</v>
      </c>
      <c r="JG99" s="21">
        <f t="shared" si="395"/>
        <v>0</v>
      </c>
      <c r="JH99" s="21">
        <f t="shared" si="396"/>
        <v>0</v>
      </c>
      <c r="JI99" s="21">
        <f t="shared" si="397"/>
        <v>256.19999999999993</v>
      </c>
      <c r="JJ99" s="21">
        <f t="shared" si="398"/>
        <v>0</v>
      </c>
      <c r="JK99" s="21">
        <f t="shared" si="399"/>
        <v>0</v>
      </c>
      <c r="JL99" s="21">
        <f t="shared" si="400"/>
        <v>0</v>
      </c>
      <c r="JM99" s="21">
        <f t="shared" si="401"/>
        <v>0</v>
      </c>
      <c r="JN99" s="21">
        <f t="shared" si="402"/>
        <v>2.7450000000000001</v>
      </c>
      <c r="JO99" s="35">
        <f t="shared" si="403"/>
        <v>609.99999999999989</v>
      </c>
      <c r="JP99" s="38">
        <f t="shared" si="404"/>
        <v>0</v>
      </c>
      <c r="JQ99" s="43">
        <f t="shared" si="405"/>
        <v>0</v>
      </c>
      <c r="JR99" s="43">
        <f t="shared" si="406"/>
        <v>0</v>
      </c>
      <c r="JS99" s="43">
        <f t="shared" si="407"/>
        <v>0</v>
      </c>
      <c r="JT99" s="43">
        <f t="shared" si="408"/>
        <v>735.90891660000011</v>
      </c>
      <c r="JU99" s="43">
        <f t="shared" si="409"/>
        <v>0</v>
      </c>
      <c r="JV99" s="43">
        <f t="shared" si="410"/>
        <v>0</v>
      </c>
      <c r="JW99" s="43">
        <f t="shared" si="411"/>
        <v>0</v>
      </c>
      <c r="JX99" s="43">
        <f t="shared" si="412"/>
        <v>0</v>
      </c>
      <c r="JY99" s="43">
        <f t="shared" si="413"/>
        <v>0</v>
      </c>
      <c r="JZ99" s="43">
        <f t="shared" si="414"/>
        <v>0</v>
      </c>
      <c r="KA99" s="43">
        <f t="shared" si="415"/>
        <v>0</v>
      </c>
      <c r="KB99" s="43">
        <f t="shared" si="416"/>
        <v>0</v>
      </c>
      <c r="KC99" s="43">
        <f t="shared" si="417"/>
        <v>0</v>
      </c>
      <c r="KD99" s="43">
        <f t="shared" si="418"/>
        <v>0</v>
      </c>
      <c r="KE99" s="43">
        <f t="shared" si="419"/>
        <v>0</v>
      </c>
      <c r="KF99" s="43">
        <f t="shared" si="420"/>
        <v>0</v>
      </c>
      <c r="KG99" s="43">
        <f t="shared" si="421"/>
        <v>0</v>
      </c>
      <c r="KH99" s="43">
        <f t="shared" si="422"/>
        <v>0</v>
      </c>
      <c r="KI99" s="43">
        <f t="shared" si="423"/>
        <v>0</v>
      </c>
      <c r="KJ99" s="43">
        <f t="shared" si="424"/>
        <v>0</v>
      </c>
      <c r="KK99" s="43">
        <f t="shared" si="425"/>
        <v>0</v>
      </c>
      <c r="KL99" s="43">
        <f t="shared" si="426"/>
        <v>0</v>
      </c>
      <c r="KM99" s="43">
        <f t="shared" si="427"/>
        <v>0</v>
      </c>
      <c r="KN99" s="43">
        <f t="shared" si="428"/>
        <v>0</v>
      </c>
      <c r="KO99" s="43">
        <f t="shared" si="429"/>
        <v>0</v>
      </c>
      <c r="KP99" s="43">
        <f t="shared" si="430"/>
        <v>0</v>
      </c>
      <c r="KQ99" s="43">
        <f t="shared" si="431"/>
        <v>0</v>
      </c>
      <c r="KR99" s="43">
        <f t="shared" si="432"/>
        <v>282.55200000000008</v>
      </c>
      <c r="KS99" s="43">
        <f t="shared" si="433"/>
        <v>333.7267046141414</v>
      </c>
      <c r="KT99" s="43">
        <f t="shared" si="434"/>
        <v>0</v>
      </c>
      <c r="KU99" s="43">
        <f t="shared" si="435"/>
        <v>0</v>
      </c>
      <c r="KV99" s="43">
        <f t="shared" si="436"/>
        <v>0</v>
      </c>
      <c r="KW99" s="43">
        <f t="shared" si="437"/>
        <v>0</v>
      </c>
      <c r="KX99" s="43">
        <f t="shared" si="438"/>
        <v>0</v>
      </c>
      <c r="KY99" s="43">
        <f t="shared" si="439"/>
        <v>0</v>
      </c>
      <c r="KZ99" s="43">
        <f t="shared" si="440"/>
        <v>0</v>
      </c>
      <c r="LA99" s="43">
        <f t="shared" si="441"/>
        <v>36.662586000000005</v>
      </c>
      <c r="LB99" s="43">
        <f t="shared" si="442"/>
        <v>0</v>
      </c>
      <c r="LC99" s="43">
        <f t="shared" si="443"/>
        <v>0</v>
      </c>
      <c r="LD99" s="43">
        <f t="shared" si="444"/>
        <v>0</v>
      </c>
      <c r="LE99" s="43">
        <f t="shared" si="445"/>
        <v>0</v>
      </c>
      <c r="LF99" s="43">
        <f t="shared" si="446"/>
        <v>0</v>
      </c>
      <c r="LG99" s="43">
        <f t="shared" si="447"/>
        <v>0</v>
      </c>
      <c r="LH99" s="43">
        <f t="shared" si="448"/>
        <v>0</v>
      </c>
      <c r="LI99" s="43">
        <f t="shared" si="449"/>
        <v>0</v>
      </c>
      <c r="LJ99" s="43">
        <f t="shared" si="450"/>
        <v>0</v>
      </c>
      <c r="LK99" s="43">
        <f t="shared" si="451"/>
        <v>1026.2731499999998</v>
      </c>
      <c r="LL99" s="43">
        <f t="shared" si="452"/>
        <v>0</v>
      </c>
      <c r="LM99" s="43">
        <f t="shared" si="453"/>
        <v>0</v>
      </c>
      <c r="LN99" s="43">
        <f t="shared" si="454"/>
        <v>0</v>
      </c>
      <c r="LO99" s="43">
        <f t="shared" si="455"/>
        <v>0</v>
      </c>
      <c r="LP99" s="43">
        <f t="shared" si="456"/>
        <v>23.195249999999998</v>
      </c>
      <c r="LQ99" s="28">
        <f t="shared" si="457"/>
        <v>2438.3186072141416</v>
      </c>
      <c r="LR99" s="65">
        <v>560</v>
      </c>
      <c r="LS99" s="32">
        <f t="shared" ref="LS99:LS100" si="478">LQ99/LR99</f>
        <v>4.3541403700252532</v>
      </c>
      <c r="LT99" s="26">
        <f t="shared" ref="LT99:LT100" si="479">LS99/3.66</f>
        <v>1.189655838804714</v>
      </c>
      <c r="LU99" s="31">
        <f t="shared" si="458"/>
        <v>50</v>
      </c>
      <c r="LW99" s="42"/>
      <c r="MA99" s="32">
        <f t="shared" si="459"/>
        <v>3.9972436183838393</v>
      </c>
      <c r="MB99" s="26">
        <f t="shared" ref="MB99:MB100" si="480">MA99/3.66</f>
        <v>1.0921430651321966</v>
      </c>
    </row>
    <row r="100" spans="1:340" ht="15.75" thickBot="1">
      <c r="A100" t="b">
        <f t="shared" si="297"/>
        <v>1</v>
      </c>
      <c r="B100" s="123" t="s">
        <v>269</v>
      </c>
      <c r="C100" s="39" t="s">
        <v>270</v>
      </c>
      <c r="D100"/>
      <c r="E100" s="97">
        <v>46044</v>
      </c>
      <c r="F100" t="s">
        <v>43</v>
      </c>
      <c r="G100" t="s">
        <v>20</v>
      </c>
      <c r="H100" t="s">
        <v>27</v>
      </c>
      <c r="I100" s="77"/>
      <c r="J100" s="77"/>
      <c r="K100" s="77"/>
      <c r="L100" s="22"/>
      <c r="M100" s="22"/>
      <c r="N100" s="98"/>
      <c r="O100" s="22"/>
      <c r="P100" s="22"/>
      <c r="Q100" s="22"/>
      <c r="R100" s="22"/>
      <c r="S100" s="104"/>
      <c r="T100" s="22"/>
      <c r="U100" s="22"/>
      <c r="V100" s="104"/>
      <c r="W100" s="22"/>
      <c r="X100" s="22"/>
      <c r="Y100" s="22"/>
      <c r="Z100" s="104"/>
      <c r="AA100" s="104"/>
      <c r="AB100" s="104"/>
      <c r="AC100" s="22"/>
      <c r="AD100" s="22"/>
      <c r="AE100" s="22"/>
      <c r="AF100" s="124"/>
      <c r="AG100" s="124"/>
      <c r="AH100" s="22"/>
      <c r="AI100" s="104"/>
      <c r="AJ100" s="22">
        <v>0.7</v>
      </c>
      <c r="AK100" s="22"/>
      <c r="AL100" s="22"/>
      <c r="AM100" s="22"/>
      <c r="AN100" s="22"/>
      <c r="AO100" s="104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98"/>
      <c r="BB100" s="98"/>
      <c r="BC100" s="124">
        <v>0.3</v>
      </c>
      <c r="BD100" s="124"/>
      <c r="BE100" s="104"/>
      <c r="BF100" s="22"/>
      <c r="BG100" s="22"/>
      <c r="BH100" s="22"/>
      <c r="BI100" s="78">
        <f t="shared" si="477"/>
        <v>1</v>
      </c>
      <c r="BJ100" s="23"/>
      <c r="BK100" s="23"/>
      <c r="BL100" s="23"/>
      <c r="BM100" s="23"/>
      <c r="BN100" s="23"/>
      <c r="BO100" s="99"/>
      <c r="BP100" s="23"/>
      <c r="BQ100" s="23"/>
      <c r="BR100" s="23"/>
      <c r="BS100" s="23"/>
      <c r="BT100" s="105"/>
      <c r="BU100" s="23"/>
      <c r="BV100" s="23"/>
      <c r="BW100" s="105"/>
      <c r="BX100" s="23">
        <v>0.1</v>
      </c>
      <c r="BY100" s="23"/>
      <c r="BZ100" s="23"/>
      <c r="CA100" s="105"/>
      <c r="CB100" s="105"/>
      <c r="CC100" s="105"/>
      <c r="CD100" s="23"/>
      <c r="CE100" s="23"/>
      <c r="CF100" s="71"/>
      <c r="CG100" s="128"/>
      <c r="CH100" s="128"/>
      <c r="CI100" s="23"/>
      <c r="CJ100" s="23"/>
      <c r="CK100" s="23"/>
      <c r="CL100" s="23">
        <v>0.7</v>
      </c>
      <c r="CM100" s="23"/>
      <c r="CN100" s="23"/>
      <c r="CO100" s="23"/>
      <c r="CP100" s="105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3"/>
      <c r="DB100" s="99"/>
      <c r="DC100" s="99"/>
      <c r="DD100" s="125">
        <v>0.2</v>
      </c>
      <c r="DE100" s="125"/>
      <c r="DF100" s="105"/>
      <c r="DG100" s="23"/>
      <c r="DH100" s="23"/>
      <c r="DI100" s="23"/>
      <c r="DJ100" s="79">
        <f t="shared" si="460"/>
        <v>1</v>
      </c>
      <c r="DK100" s="24"/>
      <c r="DL100" s="24"/>
      <c r="DM100" s="24"/>
      <c r="DN100" s="24">
        <v>0.71</v>
      </c>
      <c r="DO100" s="24"/>
      <c r="DP100" s="103"/>
      <c r="DQ100" s="24"/>
      <c r="DR100" s="24"/>
      <c r="DS100" s="24"/>
      <c r="DT100" s="24"/>
      <c r="DU100" s="108"/>
      <c r="DV100" s="24"/>
      <c r="DW100" s="24"/>
      <c r="DX100" s="108"/>
      <c r="DY100" s="24"/>
      <c r="DZ100" s="24"/>
      <c r="EA100" s="24"/>
      <c r="EB100" s="108"/>
      <c r="EC100" s="108"/>
      <c r="ED100" s="108"/>
      <c r="EE100" s="24"/>
      <c r="EF100" s="24"/>
      <c r="EG100" s="24"/>
      <c r="EH100" s="129"/>
      <c r="EI100" s="129"/>
      <c r="EJ100" s="24"/>
      <c r="EK100" s="24"/>
      <c r="EL100" s="24"/>
      <c r="EM100" s="24"/>
      <c r="EN100" s="24"/>
      <c r="EO100" s="24"/>
      <c r="EP100" s="24"/>
      <c r="EQ100" s="108"/>
      <c r="ER100" s="24"/>
      <c r="ES100" s="25"/>
      <c r="ET100" s="25"/>
      <c r="EU100" s="25">
        <v>0.27</v>
      </c>
      <c r="EV100" s="25"/>
      <c r="EW100" s="25"/>
      <c r="EX100" s="25"/>
      <c r="EY100" s="25"/>
      <c r="EZ100" s="25"/>
      <c r="FA100" s="106"/>
      <c r="FB100" s="25"/>
      <c r="FC100" s="100"/>
      <c r="FD100" s="100"/>
      <c r="FE100" s="126"/>
      <c r="FF100" s="126"/>
      <c r="FG100" s="106"/>
      <c r="FH100" s="25"/>
      <c r="FI100" s="25"/>
      <c r="FJ100" s="25">
        <v>0.02</v>
      </c>
      <c r="FK100" s="17">
        <f t="shared" ref="FK100" si="481">SUM(DK100:FJ100)</f>
        <v>1</v>
      </c>
      <c r="FL100" s="18"/>
      <c r="FM100" s="19">
        <f t="shared" si="298"/>
        <v>0</v>
      </c>
      <c r="FN100" s="19">
        <f t="shared" si="299"/>
        <v>0</v>
      </c>
      <c r="FO100" s="19">
        <f t="shared" si="300"/>
        <v>0</v>
      </c>
      <c r="FP100" s="19">
        <f t="shared" si="301"/>
        <v>1.0649999999999999</v>
      </c>
      <c r="FQ100" s="19">
        <f t="shared" si="302"/>
        <v>0</v>
      </c>
      <c r="FR100" s="19">
        <f t="shared" si="303"/>
        <v>0</v>
      </c>
      <c r="FS100" s="19">
        <f t="shared" si="304"/>
        <v>0</v>
      </c>
      <c r="FT100" s="19">
        <f t="shared" si="305"/>
        <v>0</v>
      </c>
      <c r="FU100" s="19">
        <f t="shared" si="306"/>
        <v>0</v>
      </c>
      <c r="FV100" s="19">
        <f t="shared" si="307"/>
        <v>0</v>
      </c>
      <c r="FW100" s="19">
        <f t="shared" si="308"/>
        <v>0</v>
      </c>
      <c r="FX100" s="19">
        <f t="shared" si="309"/>
        <v>0</v>
      </c>
      <c r="FY100" s="19">
        <f t="shared" si="310"/>
        <v>0</v>
      </c>
      <c r="FZ100" s="19">
        <f t="shared" si="311"/>
        <v>0</v>
      </c>
      <c r="GA100" s="19">
        <f t="shared" si="312"/>
        <v>0.2</v>
      </c>
      <c r="GB100" s="19">
        <f t="shared" si="313"/>
        <v>0</v>
      </c>
      <c r="GC100" s="19">
        <f t="shared" si="314"/>
        <v>0</v>
      </c>
      <c r="GD100" s="19">
        <f t="shared" si="315"/>
        <v>0</v>
      </c>
      <c r="GE100" s="19">
        <f t="shared" si="316"/>
        <v>0</v>
      </c>
      <c r="GF100" s="19">
        <f t="shared" si="317"/>
        <v>0</v>
      </c>
      <c r="GG100" s="19">
        <f t="shared" si="318"/>
        <v>0</v>
      </c>
      <c r="GH100" s="19">
        <f t="shared" si="319"/>
        <v>0</v>
      </c>
      <c r="GI100" s="19">
        <f t="shared" si="320"/>
        <v>0</v>
      </c>
      <c r="GJ100" s="19">
        <f t="shared" si="321"/>
        <v>0</v>
      </c>
      <c r="GK100" s="19">
        <f t="shared" si="322"/>
        <v>0</v>
      </c>
      <c r="GL100" s="19">
        <f t="shared" si="323"/>
        <v>0</v>
      </c>
      <c r="GM100" s="19">
        <f t="shared" si="324"/>
        <v>0</v>
      </c>
      <c r="GN100" s="19">
        <f t="shared" si="325"/>
        <v>1.0499999999999998</v>
      </c>
      <c r="GO100" s="19">
        <f t="shared" si="326"/>
        <v>1.4</v>
      </c>
      <c r="GP100" s="19">
        <f t="shared" si="327"/>
        <v>0</v>
      </c>
      <c r="GQ100" s="19">
        <f t="shared" si="328"/>
        <v>0</v>
      </c>
      <c r="GR100" s="19">
        <f t="shared" si="329"/>
        <v>0</v>
      </c>
      <c r="GS100" s="19">
        <f t="shared" si="330"/>
        <v>0</v>
      </c>
      <c r="GT100" s="19">
        <f t="shared" si="331"/>
        <v>0</v>
      </c>
      <c r="GU100" s="19">
        <f t="shared" si="332"/>
        <v>0</v>
      </c>
      <c r="GV100" s="19">
        <f t="shared" si="333"/>
        <v>0</v>
      </c>
      <c r="GW100" s="19">
        <f t="shared" si="334"/>
        <v>0.40500000000000003</v>
      </c>
      <c r="GX100" s="19">
        <f t="shared" si="335"/>
        <v>0</v>
      </c>
      <c r="GY100" s="19">
        <f t="shared" si="336"/>
        <v>0</v>
      </c>
      <c r="GZ100" s="19">
        <f t="shared" si="337"/>
        <v>0</v>
      </c>
      <c r="HA100" s="19">
        <f t="shared" si="338"/>
        <v>0</v>
      </c>
      <c r="HB100" s="19">
        <f t="shared" si="339"/>
        <v>0</v>
      </c>
      <c r="HC100" s="19">
        <f t="shared" si="340"/>
        <v>0</v>
      </c>
      <c r="HD100" s="19">
        <f t="shared" si="341"/>
        <v>0</v>
      </c>
      <c r="HE100" s="19">
        <f t="shared" si="342"/>
        <v>0</v>
      </c>
      <c r="HF100" s="19">
        <f t="shared" si="343"/>
        <v>0</v>
      </c>
      <c r="HG100" s="19">
        <f t="shared" si="344"/>
        <v>0.85</v>
      </c>
      <c r="HH100" s="19">
        <f t="shared" si="345"/>
        <v>0</v>
      </c>
      <c r="HI100" s="19">
        <f t="shared" si="346"/>
        <v>0</v>
      </c>
      <c r="HJ100" s="19">
        <f t="shared" si="347"/>
        <v>0</v>
      </c>
      <c r="HK100" s="19">
        <f t="shared" si="348"/>
        <v>0</v>
      </c>
      <c r="HL100" s="19">
        <f t="shared" si="349"/>
        <v>0.03</v>
      </c>
      <c r="HM100" s="20">
        <f t="shared" si="350"/>
        <v>4.9999999999999991</v>
      </c>
      <c r="HN100" s="53">
        <v>3831</v>
      </c>
      <c r="HO100" s="21">
        <f t="shared" si="351"/>
        <v>0</v>
      </c>
      <c r="HP100" s="21">
        <f t="shared" si="352"/>
        <v>0</v>
      </c>
      <c r="HQ100" s="21">
        <f t="shared" si="353"/>
        <v>0</v>
      </c>
      <c r="HR100" s="21">
        <f t="shared" si="354"/>
        <v>816.00300000000016</v>
      </c>
      <c r="HS100" s="21">
        <f t="shared" si="355"/>
        <v>0</v>
      </c>
      <c r="HT100" s="69">
        <f t="shared" si="356"/>
        <v>0</v>
      </c>
      <c r="HU100" s="21">
        <f t="shared" si="357"/>
        <v>0</v>
      </c>
      <c r="HV100" s="21">
        <f t="shared" si="358"/>
        <v>0</v>
      </c>
      <c r="HW100" s="21">
        <f t="shared" si="359"/>
        <v>0</v>
      </c>
      <c r="HX100" s="21">
        <f t="shared" si="360"/>
        <v>0</v>
      </c>
      <c r="HY100" s="21">
        <f t="shared" si="361"/>
        <v>0</v>
      </c>
      <c r="HZ100" s="21">
        <f t="shared" si="362"/>
        <v>0</v>
      </c>
      <c r="IA100" s="21">
        <f t="shared" si="363"/>
        <v>0</v>
      </c>
      <c r="IB100" s="21">
        <f t="shared" si="364"/>
        <v>0</v>
      </c>
      <c r="IC100" s="21">
        <f t="shared" si="365"/>
        <v>153.24000000000004</v>
      </c>
      <c r="ID100" s="21">
        <f t="shared" si="366"/>
        <v>0</v>
      </c>
      <c r="IE100" s="21">
        <f t="shared" si="367"/>
        <v>0</v>
      </c>
      <c r="IF100" s="69">
        <f t="shared" si="368"/>
        <v>0</v>
      </c>
      <c r="IG100" s="69">
        <f t="shared" si="369"/>
        <v>0</v>
      </c>
      <c r="IH100" s="69">
        <f t="shared" si="370"/>
        <v>0</v>
      </c>
      <c r="II100" s="21">
        <f t="shared" si="371"/>
        <v>0</v>
      </c>
      <c r="IJ100" s="21">
        <f t="shared" si="372"/>
        <v>0</v>
      </c>
      <c r="IK100" s="21">
        <f t="shared" si="373"/>
        <v>0</v>
      </c>
      <c r="IL100" s="21">
        <f t="shared" si="374"/>
        <v>0</v>
      </c>
      <c r="IM100" s="21">
        <f t="shared" si="375"/>
        <v>0</v>
      </c>
      <c r="IN100" s="21">
        <f t="shared" si="376"/>
        <v>0</v>
      </c>
      <c r="IO100" s="21">
        <f t="shared" si="377"/>
        <v>0</v>
      </c>
      <c r="IP100" s="21">
        <f t="shared" si="378"/>
        <v>804.51</v>
      </c>
      <c r="IQ100" s="21">
        <f t="shared" si="379"/>
        <v>1072.68</v>
      </c>
      <c r="IR100" s="21">
        <f t="shared" si="380"/>
        <v>0</v>
      </c>
      <c r="IS100" s="21">
        <f t="shared" si="381"/>
        <v>0</v>
      </c>
      <c r="IT100" s="21">
        <f t="shared" si="382"/>
        <v>0</v>
      </c>
      <c r="IU100" s="21">
        <f t="shared" si="383"/>
        <v>0</v>
      </c>
      <c r="IV100" s="21">
        <f t="shared" si="384"/>
        <v>0</v>
      </c>
      <c r="IW100" s="21">
        <f t="shared" si="385"/>
        <v>0</v>
      </c>
      <c r="IX100" s="21">
        <f t="shared" si="386"/>
        <v>0</v>
      </c>
      <c r="IY100" s="21">
        <f t="shared" si="387"/>
        <v>310.31100000000009</v>
      </c>
      <c r="IZ100" s="21">
        <f t="shared" si="388"/>
        <v>0</v>
      </c>
      <c r="JA100" s="21">
        <f t="shared" si="389"/>
        <v>0</v>
      </c>
      <c r="JB100" s="21">
        <f t="shared" si="390"/>
        <v>0</v>
      </c>
      <c r="JC100" s="21">
        <f t="shared" si="391"/>
        <v>0</v>
      </c>
      <c r="JD100" s="21">
        <f t="shared" si="392"/>
        <v>0</v>
      </c>
      <c r="JE100" s="21">
        <f t="shared" si="393"/>
        <v>0</v>
      </c>
      <c r="JF100" s="21">
        <f t="shared" si="394"/>
        <v>0</v>
      </c>
      <c r="JG100" s="21">
        <f t="shared" si="395"/>
        <v>0</v>
      </c>
      <c r="JH100" s="21">
        <f t="shared" si="396"/>
        <v>0</v>
      </c>
      <c r="JI100" s="21">
        <f t="shared" si="397"/>
        <v>651.2700000000001</v>
      </c>
      <c r="JJ100" s="21">
        <f t="shared" si="398"/>
        <v>0</v>
      </c>
      <c r="JK100" s="21">
        <f t="shared" si="399"/>
        <v>0</v>
      </c>
      <c r="JL100" s="21">
        <f t="shared" si="400"/>
        <v>0</v>
      </c>
      <c r="JM100" s="21">
        <f t="shared" si="401"/>
        <v>0</v>
      </c>
      <c r="JN100" s="21">
        <f t="shared" si="402"/>
        <v>22.986000000000004</v>
      </c>
      <c r="JO100" s="35">
        <f t="shared" si="403"/>
        <v>3831</v>
      </c>
      <c r="JP100" s="38">
        <f t="shared" si="404"/>
        <v>0</v>
      </c>
      <c r="JQ100" s="43">
        <f t="shared" si="405"/>
        <v>0</v>
      </c>
      <c r="JR100" s="43">
        <f t="shared" si="406"/>
        <v>0</v>
      </c>
      <c r="JS100" s="43">
        <f t="shared" si="407"/>
        <v>0</v>
      </c>
      <c r="JT100" s="43">
        <f t="shared" si="408"/>
        <v>3509.5636227600012</v>
      </c>
      <c r="JU100" s="43">
        <f t="shared" si="409"/>
        <v>0</v>
      </c>
      <c r="JV100" s="43">
        <f t="shared" si="410"/>
        <v>0</v>
      </c>
      <c r="JW100" s="43">
        <f t="shared" si="411"/>
        <v>0</v>
      </c>
      <c r="JX100" s="43">
        <f t="shared" si="412"/>
        <v>0</v>
      </c>
      <c r="JY100" s="43">
        <f t="shared" si="413"/>
        <v>0</v>
      </c>
      <c r="JZ100" s="43">
        <f t="shared" si="414"/>
        <v>0</v>
      </c>
      <c r="KA100" s="43">
        <f t="shared" si="415"/>
        <v>0</v>
      </c>
      <c r="KB100" s="43">
        <f t="shared" si="416"/>
        <v>0</v>
      </c>
      <c r="KC100" s="43">
        <f t="shared" si="417"/>
        <v>0</v>
      </c>
      <c r="KD100" s="43">
        <f t="shared" si="418"/>
        <v>0</v>
      </c>
      <c r="KE100" s="43">
        <f t="shared" si="419"/>
        <v>624.67902745212132</v>
      </c>
      <c r="KF100" s="43">
        <f t="shared" si="420"/>
        <v>0</v>
      </c>
      <c r="KG100" s="43">
        <f t="shared" si="421"/>
        <v>0</v>
      </c>
      <c r="KH100" s="43">
        <f t="shared" si="422"/>
        <v>0</v>
      </c>
      <c r="KI100" s="43">
        <f t="shared" si="423"/>
        <v>0</v>
      </c>
      <c r="KJ100" s="43">
        <f t="shared" si="424"/>
        <v>0</v>
      </c>
      <c r="KK100" s="43">
        <f t="shared" si="425"/>
        <v>0</v>
      </c>
      <c r="KL100" s="43">
        <f t="shared" si="426"/>
        <v>0</v>
      </c>
      <c r="KM100" s="43">
        <f t="shared" si="427"/>
        <v>0</v>
      </c>
      <c r="KN100" s="43">
        <f t="shared" si="428"/>
        <v>0</v>
      </c>
      <c r="KO100" s="43">
        <f t="shared" si="429"/>
        <v>0</v>
      </c>
      <c r="KP100" s="43">
        <f t="shared" si="430"/>
        <v>0</v>
      </c>
      <c r="KQ100" s="43">
        <f t="shared" si="431"/>
        <v>0</v>
      </c>
      <c r="KR100" s="43">
        <f t="shared" si="432"/>
        <v>3105.4085999999998</v>
      </c>
      <c r="KS100" s="43">
        <f t="shared" si="433"/>
        <v>3667.8479662448485</v>
      </c>
      <c r="KT100" s="43">
        <f t="shared" si="434"/>
        <v>0</v>
      </c>
      <c r="KU100" s="43">
        <f t="shared" si="435"/>
        <v>0</v>
      </c>
      <c r="KV100" s="43">
        <f t="shared" si="436"/>
        <v>0</v>
      </c>
      <c r="KW100" s="43">
        <f t="shared" si="437"/>
        <v>0</v>
      </c>
      <c r="KX100" s="43">
        <f t="shared" si="438"/>
        <v>0</v>
      </c>
      <c r="KY100" s="43">
        <f t="shared" si="439"/>
        <v>0</v>
      </c>
      <c r="KZ100" s="43">
        <f t="shared" si="440"/>
        <v>0</v>
      </c>
      <c r="LA100" s="43">
        <f t="shared" si="441"/>
        <v>1243.3665272400003</v>
      </c>
      <c r="LB100" s="43">
        <f t="shared" si="442"/>
        <v>0</v>
      </c>
      <c r="LC100" s="43">
        <f t="shared" si="443"/>
        <v>0</v>
      </c>
      <c r="LD100" s="43">
        <f t="shared" si="444"/>
        <v>0</v>
      </c>
      <c r="LE100" s="43">
        <f t="shared" si="445"/>
        <v>0</v>
      </c>
      <c r="LF100" s="43">
        <f t="shared" si="446"/>
        <v>0</v>
      </c>
      <c r="LG100" s="43">
        <f t="shared" si="447"/>
        <v>0</v>
      </c>
      <c r="LH100" s="43">
        <f t="shared" si="448"/>
        <v>0</v>
      </c>
      <c r="LI100" s="43">
        <f t="shared" si="449"/>
        <v>0</v>
      </c>
      <c r="LJ100" s="43">
        <f t="shared" si="450"/>
        <v>0</v>
      </c>
      <c r="LK100" s="43">
        <f t="shared" si="451"/>
        <v>2608.8248025000003</v>
      </c>
      <c r="LL100" s="43">
        <f t="shared" si="452"/>
        <v>0</v>
      </c>
      <c r="LM100" s="43">
        <f t="shared" si="453"/>
        <v>0</v>
      </c>
      <c r="LN100" s="43">
        <f t="shared" si="454"/>
        <v>0</v>
      </c>
      <c r="LO100" s="43">
        <f t="shared" si="455"/>
        <v>0</v>
      </c>
      <c r="LP100" s="43">
        <f t="shared" si="456"/>
        <v>194.23170000000002</v>
      </c>
      <c r="LQ100" s="28">
        <f t="shared" si="457"/>
        <v>14953.922246196969</v>
      </c>
      <c r="LR100" s="65">
        <v>3738</v>
      </c>
      <c r="LS100" s="32">
        <f t="shared" si="478"/>
        <v>4.0005142445684774</v>
      </c>
      <c r="LT100" s="26">
        <f t="shared" si="479"/>
        <v>1.0930366788438461</v>
      </c>
      <c r="LU100" s="31">
        <f t="shared" si="458"/>
        <v>93</v>
      </c>
      <c r="LW100" s="42"/>
      <c r="MA100" s="32">
        <f t="shared" si="459"/>
        <v>3.9033991767676768</v>
      </c>
      <c r="MB100" s="26">
        <f t="shared" si="480"/>
        <v>1.0665025073135728</v>
      </c>
    </row>
    <row r="101" spans="1:340" ht="15.75" thickBot="1">
      <c r="A101" t="b">
        <f t="shared" si="297"/>
        <v>1</v>
      </c>
      <c r="B101" s="123" t="s">
        <v>271</v>
      </c>
      <c r="C101" s="39" t="s">
        <v>69</v>
      </c>
      <c r="D101"/>
      <c r="E101" s="97">
        <v>46039</v>
      </c>
      <c r="F101" t="s">
        <v>43</v>
      </c>
      <c r="G101" t="s">
        <v>20</v>
      </c>
      <c r="H101" t="s">
        <v>26</v>
      </c>
      <c r="I101" s="77"/>
      <c r="J101" s="77"/>
      <c r="K101" s="77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24"/>
      <c r="AG101" s="124"/>
      <c r="AH101" s="104"/>
      <c r="AI101" s="104"/>
      <c r="AJ101" s="22">
        <v>0.3</v>
      </c>
      <c r="AK101" s="22"/>
      <c r="AL101" s="22"/>
      <c r="AM101" s="22"/>
      <c r="AN101" s="22"/>
      <c r="AO101" s="104"/>
      <c r="AP101" s="22"/>
      <c r="AQ101" s="22"/>
      <c r="AR101" s="22">
        <v>0.05</v>
      </c>
      <c r="AS101" s="22"/>
      <c r="AT101" s="22"/>
      <c r="AU101" s="22"/>
      <c r="AV101" s="22"/>
      <c r="AW101" s="22"/>
      <c r="AX101" s="22"/>
      <c r="AY101" s="22"/>
      <c r="AZ101" s="104">
        <v>0.65</v>
      </c>
      <c r="BA101" s="104"/>
      <c r="BB101" s="104"/>
      <c r="BC101" s="124"/>
      <c r="BD101" s="124"/>
      <c r="BE101" s="104"/>
      <c r="BF101" s="104"/>
      <c r="BG101" s="104"/>
      <c r="BH101" s="104"/>
      <c r="BI101" s="78">
        <f t="shared" si="477"/>
        <v>1</v>
      </c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  <c r="CF101" s="120"/>
      <c r="CG101" s="128"/>
      <c r="CH101" s="128"/>
      <c r="CI101" s="105"/>
      <c r="CJ101" s="105"/>
      <c r="CK101" s="105"/>
      <c r="CL101" s="105">
        <v>0.3</v>
      </c>
      <c r="CM101" s="105"/>
      <c r="CN101" s="105"/>
      <c r="CO101" s="105"/>
      <c r="CP101" s="105"/>
      <c r="CQ101" s="105"/>
      <c r="CR101" s="105"/>
      <c r="CS101" s="105">
        <v>0.08</v>
      </c>
      <c r="CT101" s="105"/>
      <c r="CU101" s="105"/>
      <c r="CV101" s="105"/>
      <c r="CW101" s="105"/>
      <c r="CX101" s="105"/>
      <c r="CY101" s="105"/>
      <c r="CZ101" s="105"/>
      <c r="DA101" s="105"/>
      <c r="DB101" s="105"/>
      <c r="DC101" s="105"/>
      <c r="DD101" s="125">
        <v>0.62</v>
      </c>
      <c r="DE101" s="125"/>
      <c r="DF101" s="105"/>
      <c r="DG101" s="105"/>
      <c r="DH101" s="105"/>
      <c r="DI101" s="105"/>
      <c r="DJ101" s="79">
        <f t="shared" si="460"/>
        <v>1</v>
      </c>
      <c r="DK101" s="108">
        <v>0.75</v>
      </c>
      <c r="DL101" s="108"/>
      <c r="DM101" s="108"/>
      <c r="DN101" s="108"/>
      <c r="DO101" s="108"/>
      <c r="DP101" s="108"/>
      <c r="DQ101" s="108"/>
      <c r="DR101" s="108"/>
      <c r="DS101" s="108"/>
      <c r="DT101" s="108"/>
      <c r="DU101" s="108"/>
      <c r="DV101" s="108"/>
      <c r="DW101" s="108"/>
      <c r="DX101" s="108"/>
      <c r="DY101" s="108"/>
      <c r="DZ101" s="108"/>
      <c r="EA101" s="108"/>
      <c r="EB101" s="108"/>
      <c r="EC101" s="108"/>
      <c r="ED101" s="108"/>
      <c r="EE101" s="108"/>
      <c r="EF101" s="108"/>
      <c r="EG101" s="108"/>
      <c r="EH101" s="129"/>
      <c r="EI101" s="129"/>
      <c r="EJ101" s="108"/>
      <c r="EK101" s="108"/>
      <c r="EL101" s="108"/>
      <c r="EM101" s="108">
        <v>0.15</v>
      </c>
      <c r="EN101" s="108"/>
      <c r="EO101" s="108"/>
      <c r="EP101" s="108"/>
      <c r="EQ101" s="108"/>
      <c r="ER101" s="108"/>
      <c r="ES101" s="106"/>
      <c r="ET101" s="106"/>
      <c r="EU101" s="106">
        <v>0.08</v>
      </c>
      <c r="EV101" s="106"/>
      <c r="EW101" s="106"/>
      <c r="EX101" s="106"/>
      <c r="EY101" s="106"/>
      <c r="EZ101" s="106"/>
      <c r="FA101" s="106"/>
      <c r="FB101" s="106"/>
      <c r="FC101" s="106"/>
      <c r="FD101" s="106"/>
      <c r="FE101" s="126"/>
      <c r="FF101" s="126"/>
      <c r="FG101" s="106"/>
      <c r="FH101" s="106"/>
      <c r="FI101" s="106"/>
      <c r="FJ101" s="106">
        <v>0.02</v>
      </c>
      <c r="FK101" s="17">
        <f t="shared" ref="FK101:FK120" si="482">SUM(DK101:FJ101)</f>
        <v>1</v>
      </c>
      <c r="FL101" s="18"/>
      <c r="FM101" s="19">
        <f t="shared" si="298"/>
        <v>1.125</v>
      </c>
      <c r="FN101" s="19">
        <f t="shared" si="299"/>
        <v>0</v>
      </c>
      <c r="FO101" s="19">
        <f t="shared" si="300"/>
        <v>0</v>
      </c>
      <c r="FP101" s="19">
        <f t="shared" si="301"/>
        <v>0</v>
      </c>
      <c r="FQ101" s="19">
        <f t="shared" si="302"/>
        <v>0</v>
      </c>
      <c r="FR101" s="19">
        <f t="shared" si="303"/>
        <v>0</v>
      </c>
      <c r="FS101" s="19">
        <f t="shared" si="304"/>
        <v>0</v>
      </c>
      <c r="FT101" s="19">
        <f t="shared" si="305"/>
        <v>0</v>
      </c>
      <c r="FU101" s="19">
        <f t="shared" si="306"/>
        <v>0</v>
      </c>
      <c r="FV101" s="19">
        <f t="shared" si="307"/>
        <v>0</v>
      </c>
      <c r="FW101" s="19">
        <f t="shared" si="308"/>
        <v>0</v>
      </c>
      <c r="FX101" s="19">
        <f t="shared" si="309"/>
        <v>0</v>
      </c>
      <c r="FY101" s="19">
        <f t="shared" si="310"/>
        <v>0</v>
      </c>
      <c r="FZ101" s="19">
        <f t="shared" si="311"/>
        <v>0</v>
      </c>
      <c r="GA101" s="19">
        <f t="shared" si="312"/>
        <v>0</v>
      </c>
      <c r="GB101" s="19">
        <f t="shared" si="313"/>
        <v>0</v>
      </c>
      <c r="GC101" s="19">
        <f t="shared" si="314"/>
        <v>0</v>
      </c>
      <c r="GD101" s="19">
        <f t="shared" si="315"/>
        <v>0</v>
      </c>
      <c r="GE101" s="19">
        <f t="shared" si="316"/>
        <v>0</v>
      </c>
      <c r="GF101" s="19">
        <f t="shared" si="317"/>
        <v>0</v>
      </c>
      <c r="GG101" s="19">
        <f t="shared" si="318"/>
        <v>0</v>
      </c>
      <c r="GH101" s="19">
        <f t="shared" si="319"/>
        <v>0</v>
      </c>
      <c r="GI101" s="19">
        <f t="shared" si="320"/>
        <v>0</v>
      </c>
      <c r="GJ101" s="19">
        <f t="shared" si="321"/>
        <v>0</v>
      </c>
      <c r="GK101" s="19">
        <f t="shared" si="322"/>
        <v>0</v>
      </c>
      <c r="GL101" s="19">
        <f t="shared" si="323"/>
        <v>0</v>
      </c>
      <c r="GM101" s="19">
        <f t="shared" si="324"/>
        <v>0</v>
      </c>
      <c r="GN101" s="19">
        <f t="shared" si="325"/>
        <v>0.44999999999999996</v>
      </c>
      <c r="GO101" s="19">
        <f t="shared" si="326"/>
        <v>0.82499999999999996</v>
      </c>
      <c r="GP101" s="19">
        <f t="shared" si="327"/>
        <v>0</v>
      </c>
      <c r="GQ101" s="19">
        <f t="shared" si="328"/>
        <v>0</v>
      </c>
      <c r="GR101" s="19">
        <f t="shared" si="329"/>
        <v>0</v>
      </c>
      <c r="GS101" s="19">
        <f t="shared" si="330"/>
        <v>0</v>
      </c>
      <c r="GT101" s="19">
        <f t="shared" si="331"/>
        <v>0</v>
      </c>
      <c r="GU101" s="19">
        <f t="shared" si="332"/>
        <v>0</v>
      </c>
      <c r="GV101" s="19">
        <f t="shared" si="333"/>
        <v>0.23500000000000001</v>
      </c>
      <c r="GW101" s="19">
        <f t="shared" si="334"/>
        <v>0.12</v>
      </c>
      <c r="GX101" s="19">
        <f t="shared" si="335"/>
        <v>0</v>
      </c>
      <c r="GY101" s="19">
        <f t="shared" si="336"/>
        <v>0</v>
      </c>
      <c r="GZ101" s="19">
        <f t="shared" si="337"/>
        <v>0</v>
      </c>
      <c r="HA101" s="19">
        <f t="shared" si="338"/>
        <v>0</v>
      </c>
      <c r="HB101" s="19">
        <f t="shared" si="339"/>
        <v>0</v>
      </c>
      <c r="HC101" s="19">
        <f t="shared" si="340"/>
        <v>0</v>
      </c>
      <c r="HD101" s="19">
        <f t="shared" si="341"/>
        <v>0.97500000000000009</v>
      </c>
      <c r="HE101" s="19">
        <f t="shared" si="342"/>
        <v>0</v>
      </c>
      <c r="HF101" s="19">
        <f t="shared" si="343"/>
        <v>0</v>
      </c>
      <c r="HG101" s="19">
        <f t="shared" si="344"/>
        <v>1.24</v>
      </c>
      <c r="HH101" s="19">
        <f t="shared" si="345"/>
        <v>0</v>
      </c>
      <c r="HI101" s="19">
        <f t="shared" si="346"/>
        <v>0</v>
      </c>
      <c r="HJ101" s="19">
        <f t="shared" si="347"/>
        <v>0</v>
      </c>
      <c r="HK101" s="19">
        <f t="shared" si="348"/>
        <v>0</v>
      </c>
      <c r="HL101" s="19">
        <f t="shared" si="349"/>
        <v>0.03</v>
      </c>
      <c r="HM101" s="20">
        <f t="shared" si="350"/>
        <v>5</v>
      </c>
      <c r="HN101" s="53">
        <v>764</v>
      </c>
      <c r="HO101" s="21">
        <f t="shared" si="351"/>
        <v>171.9</v>
      </c>
      <c r="HP101" s="21">
        <f t="shared" si="352"/>
        <v>0</v>
      </c>
      <c r="HQ101" s="21">
        <f t="shared" si="353"/>
        <v>0</v>
      </c>
      <c r="HR101" s="21">
        <f t="shared" si="354"/>
        <v>0</v>
      </c>
      <c r="HS101" s="21">
        <f t="shared" si="355"/>
        <v>0</v>
      </c>
      <c r="HT101" s="69">
        <f t="shared" si="356"/>
        <v>0</v>
      </c>
      <c r="HU101" s="21">
        <f t="shared" si="357"/>
        <v>0</v>
      </c>
      <c r="HV101" s="21">
        <f t="shared" si="358"/>
        <v>0</v>
      </c>
      <c r="HW101" s="21">
        <f t="shared" si="359"/>
        <v>0</v>
      </c>
      <c r="HX101" s="21">
        <f t="shared" si="360"/>
        <v>0</v>
      </c>
      <c r="HY101" s="21">
        <f t="shared" si="361"/>
        <v>0</v>
      </c>
      <c r="HZ101" s="21">
        <f t="shared" si="362"/>
        <v>0</v>
      </c>
      <c r="IA101" s="21">
        <f t="shared" si="363"/>
        <v>0</v>
      </c>
      <c r="IB101" s="21">
        <f t="shared" si="364"/>
        <v>0</v>
      </c>
      <c r="IC101" s="21">
        <f t="shared" si="365"/>
        <v>0</v>
      </c>
      <c r="ID101" s="21">
        <f t="shared" si="366"/>
        <v>0</v>
      </c>
      <c r="IE101" s="21">
        <f t="shared" si="367"/>
        <v>0</v>
      </c>
      <c r="IF101" s="69">
        <f t="shared" si="368"/>
        <v>0</v>
      </c>
      <c r="IG101" s="69">
        <f t="shared" si="369"/>
        <v>0</v>
      </c>
      <c r="IH101" s="69">
        <f t="shared" si="370"/>
        <v>0</v>
      </c>
      <c r="II101" s="21">
        <f t="shared" si="371"/>
        <v>0</v>
      </c>
      <c r="IJ101" s="21">
        <f t="shared" si="372"/>
        <v>0</v>
      </c>
      <c r="IK101" s="21">
        <f t="shared" si="373"/>
        <v>0</v>
      </c>
      <c r="IL101" s="21">
        <f t="shared" si="374"/>
        <v>0</v>
      </c>
      <c r="IM101" s="21">
        <f t="shared" si="375"/>
        <v>0</v>
      </c>
      <c r="IN101" s="21">
        <f t="shared" si="376"/>
        <v>0</v>
      </c>
      <c r="IO101" s="21">
        <f t="shared" si="377"/>
        <v>0</v>
      </c>
      <c r="IP101" s="21">
        <f t="shared" si="378"/>
        <v>68.759999999999991</v>
      </c>
      <c r="IQ101" s="21">
        <f t="shared" si="379"/>
        <v>126.05999999999999</v>
      </c>
      <c r="IR101" s="21">
        <f t="shared" si="380"/>
        <v>0</v>
      </c>
      <c r="IS101" s="21">
        <f t="shared" si="381"/>
        <v>0</v>
      </c>
      <c r="IT101" s="21">
        <f t="shared" si="382"/>
        <v>0</v>
      </c>
      <c r="IU101" s="21">
        <f t="shared" si="383"/>
        <v>0</v>
      </c>
      <c r="IV101" s="21">
        <f t="shared" si="384"/>
        <v>0</v>
      </c>
      <c r="IW101" s="21">
        <f t="shared" si="385"/>
        <v>0</v>
      </c>
      <c r="IX101" s="21">
        <f t="shared" si="386"/>
        <v>35.908000000000001</v>
      </c>
      <c r="IY101" s="21">
        <f t="shared" si="387"/>
        <v>18.335999999999999</v>
      </c>
      <c r="IZ101" s="21">
        <f t="shared" si="388"/>
        <v>0</v>
      </c>
      <c r="JA101" s="21">
        <f t="shared" si="389"/>
        <v>0</v>
      </c>
      <c r="JB101" s="21">
        <f t="shared" si="390"/>
        <v>0</v>
      </c>
      <c r="JC101" s="21">
        <f t="shared" si="391"/>
        <v>0</v>
      </c>
      <c r="JD101" s="21">
        <f t="shared" si="392"/>
        <v>0</v>
      </c>
      <c r="JE101" s="21">
        <f t="shared" si="393"/>
        <v>0</v>
      </c>
      <c r="JF101" s="21">
        <f t="shared" si="394"/>
        <v>148.98000000000002</v>
      </c>
      <c r="JG101" s="21">
        <f t="shared" si="395"/>
        <v>0</v>
      </c>
      <c r="JH101" s="21">
        <f t="shared" si="396"/>
        <v>0</v>
      </c>
      <c r="JI101" s="21">
        <f t="shared" si="397"/>
        <v>189.47200000000001</v>
      </c>
      <c r="JJ101" s="21">
        <f t="shared" si="398"/>
        <v>0</v>
      </c>
      <c r="JK101" s="21">
        <f t="shared" si="399"/>
        <v>0</v>
      </c>
      <c r="JL101" s="21">
        <f t="shared" si="400"/>
        <v>0</v>
      </c>
      <c r="JM101" s="21">
        <f t="shared" si="401"/>
        <v>0</v>
      </c>
      <c r="JN101" s="21">
        <f t="shared" si="402"/>
        <v>4.5839999999999996</v>
      </c>
      <c r="JO101" s="35">
        <f t="shared" si="403"/>
        <v>763.99999999999989</v>
      </c>
      <c r="JP101" s="38">
        <f t="shared" si="404"/>
        <v>0</v>
      </c>
      <c r="JQ101" s="43">
        <f t="shared" si="405"/>
        <v>694.90575000000013</v>
      </c>
      <c r="JR101" s="43">
        <f t="shared" si="406"/>
        <v>0</v>
      </c>
      <c r="JS101" s="43">
        <f t="shared" si="407"/>
        <v>0</v>
      </c>
      <c r="JT101" s="43">
        <f t="shared" si="408"/>
        <v>0</v>
      </c>
      <c r="JU101" s="43">
        <f t="shared" si="409"/>
        <v>0</v>
      </c>
      <c r="JV101" s="43">
        <f t="shared" si="410"/>
        <v>0</v>
      </c>
      <c r="JW101" s="43">
        <f t="shared" si="411"/>
        <v>0</v>
      </c>
      <c r="JX101" s="43">
        <f t="shared" si="412"/>
        <v>0</v>
      </c>
      <c r="JY101" s="43">
        <f t="shared" si="413"/>
        <v>0</v>
      </c>
      <c r="JZ101" s="43">
        <f t="shared" si="414"/>
        <v>0</v>
      </c>
      <c r="KA101" s="43">
        <f t="shared" si="415"/>
        <v>0</v>
      </c>
      <c r="KB101" s="43">
        <f t="shared" si="416"/>
        <v>0</v>
      </c>
      <c r="KC101" s="43">
        <f t="shared" si="417"/>
        <v>0</v>
      </c>
      <c r="KD101" s="43">
        <f t="shared" si="418"/>
        <v>0</v>
      </c>
      <c r="KE101" s="43">
        <f t="shared" si="419"/>
        <v>0</v>
      </c>
      <c r="KF101" s="43">
        <f t="shared" si="420"/>
        <v>0</v>
      </c>
      <c r="KG101" s="43">
        <f t="shared" si="421"/>
        <v>0</v>
      </c>
      <c r="KH101" s="43">
        <f t="shared" si="422"/>
        <v>0</v>
      </c>
      <c r="KI101" s="43">
        <f t="shared" si="423"/>
        <v>0</v>
      </c>
      <c r="KJ101" s="43">
        <f t="shared" si="424"/>
        <v>0</v>
      </c>
      <c r="KK101" s="43">
        <f t="shared" si="425"/>
        <v>0</v>
      </c>
      <c r="KL101" s="43">
        <f t="shared" si="426"/>
        <v>0</v>
      </c>
      <c r="KM101" s="43">
        <f t="shared" si="427"/>
        <v>0</v>
      </c>
      <c r="KN101" s="43">
        <f t="shared" si="428"/>
        <v>0</v>
      </c>
      <c r="KO101" s="43">
        <f t="shared" si="429"/>
        <v>0</v>
      </c>
      <c r="KP101" s="43">
        <f t="shared" si="430"/>
        <v>0</v>
      </c>
      <c r="KQ101" s="43">
        <f t="shared" si="431"/>
        <v>0</v>
      </c>
      <c r="KR101" s="43">
        <f t="shared" si="432"/>
        <v>265.41359999999997</v>
      </c>
      <c r="KS101" s="43">
        <f t="shared" si="433"/>
        <v>431.0408645866666</v>
      </c>
      <c r="KT101" s="43">
        <f t="shared" si="434"/>
        <v>0</v>
      </c>
      <c r="KU101" s="43">
        <f t="shared" si="435"/>
        <v>0</v>
      </c>
      <c r="KV101" s="43">
        <f t="shared" si="436"/>
        <v>0</v>
      </c>
      <c r="KW101" s="43">
        <f t="shared" si="437"/>
        <v>0</v>
      </c>
      <c r="KX101" s="43">
        <f t="shared" si="438"/>
        <v>0</v>
      </c>
      <c r="KY101" s="43">
        <f t="shared" si="439"/>
        <v>0</v>
      </c>
      <c r="KZ101" s="43">
        <f t="shared" si="440"/>
        <v>310.60420000000005</v>
      </c>
      <c r="LA101" s="43">
        <f t="shared" si="441"/>
        <v>73.469418239999982</v>
      </c>
      <c r="LB101" s="43">
        <f t="shared" si="442"/>
        <v>0</v>
      </c>
      <c r="LC101" s="43">
        <f t="shared" si="443"/>
        <v>0</v>
      </c>
      <c r="LD101" s="43">
        <f t="shared" si="444"/>
        <v>0</v>
      </c>
      <c r="LE101" s="43">
        <f t="shared" si="445"/>
        <v>0</v>
      </c>
      <c r="LF101" s="43">
        <f t="shared" si="446"/>
        <v>0</v>
      </c>
      <c r="LG101" s="43">
        <f t="shared" si="447"/>
        <v>0</v>
      </c>
      <c r="LH101" s="43">
        <f t="shared" si="448"/>
        <v>623.72712000969716</v>
      </c>
      <c r="LI101" s="43">
        <f t="shared" si="449"/>
        <v>0</v>
      </c>
      <c r="LJ101" s="43">
        <f t="shared" si="450"/>
        <v>0</v>
      </c>
      <c r="LK101" s="43">
        <f t="shared" si="451"/>
        <v>758.97746400000005</v>
      </c>
      <c r="LL101" s="43">
        <f t="shared" si="452"/>
        <v>0</v>
      </c>
      <c r="LM101" s="43">
        <f t="shared" si="453"/>
        <v>0</v>
      </c>
      <c r="LN101" s="43">
        <f t="shared" si="454"/>
        <v>0</v>
      </c>
      <c r="LO101" s="43">
        <f t="shared" si="455"/>
        <v>0</v>
      </c>
      <c r="LP101" s="43">
        <f t="shared" si="456"/>
        <v>38.734799999999993</v>
      </c>
      <c r="LQ101" s="28">
        <f t="shared" si="457"/>
        <v>3196.873216836364</v>
      </c>
      <c r="LR101" s="65">
        <v>700</v>
      </c>
      <c r="LS101" s="32">
        <f t="shared" si="462"/>
        <v>4.5669617383376631</v>
      </c>
      <c r="LT101" s="26">
        <f t="shared" si="463"/>
        <v>1.2478037536441702</v>
      </c>
      <c r="LU101" s="31">
        <f t="shared" si="458"/>
        <v>64</v>
      </c>
      <c r="LW101" s="42"/>
      <c r="MA101" s="32">
        <f t="shared" si="459"/>
        <v>4.1843890272727284</v>
      </c>
      <c r="MB101" s="26">
        <f t="shared" si="464"/>
        <v>1.1432756905116743</v>
      </c>
    </row>
    <row r="102" spans="1:340" ht="15.75" thickBot="1">
      <c r="A102" t="b">
        <f t="shared" si="297"/>
        <v>1</v>
      </c>
      <c r="B102" s="123" t="s">
        <v>272</v>
      </c>
      <c r="C102" s="39" t="s">
        <v>63</v>
      </c>
      <c r="D102"/>
      <c r="E102" s="97">
        <v>46037</v>
      </c>
      <c r="F102" t="s">
        <v>43</v>
      </c>
      <c r="G102" t="s">
        <v>20</v>
      </c>
      <c r="H102" t="s">
        <v>27</v>
      </c>
      <c r="I102" s="77"/>
      <c r="J102" s="77"/>
      <c r="K102" s="77"/>
      <c r="L102" s="22"/>
      <c r="M102" s="22"/>
      <c r="N102" s="98"/>
      <c r="O102" s="22"/>
      <c r="P102" s="22"/>
      <c r="Q102" s="22"/>
      <c r="R102" s="104"/>
      <c r="S102" s="104"/>
      <c r="T102" s="104"/>
      <c r="U102" s="22"/>
      <c r="V102" s="104"/>
      <c r="W102" s="22"/>
      <c r="X102" s="22"/>
      <c r="Y102" s="22"/>
      <c r="Z102" s="104"/>
      <c r="AA102" s="104"/>
      <c r="AB102" s="104"/>
      <c r="AC102" s="22"/>
      <c r="AD102" s="22"/>
      <c r="AE102" s="22"/>
      <c r="AF102" s="124"/>
      <c r="AG102" s="124"/>
      <c r="AH102" s="22"/>
      <c r="AI102" s="104"/>
      <c r="AJ102" s="22">
        <v>0.3</v>
      </c>
      <c r="AK102" s="22"/>
      <c r="AL102" s="22"/>
      <c r="AM102" s="22"/>
      <c r="AN102" s="22"/>
      <c r="AO102" s="104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98"/>
      <c r="BB102" s="98"/>
      <c r="BC102" s="124">
        <v>0.7</v>
      </c>
      <c r="BD102" s="124"/>
      <c r="BE102" s="104"/>
      <c r="BF102" s="22"/>
      <c r="BG102" s="22"/>
      <c r="BH102" s="104"/>
      <c r="BI102" s="78">
        <f t="shared" si="477"/>
        <v>1</v>
      </c>
      <c r="BJ102" s="23"/>
      <c r="BK102" s="23"/>
      <c r="BL102" s="23"/>
      <c r="BM102" s="23"/>
      <c r="BN102" s="23"/>
      <c r="BO102" s="99"/>
      <c r="BP102" s="23"/>
      <c r="BQ102" s="23"/>
      <c r="BR102" s="23"/>
      <c r="BS102" s="23"/>
      <c r="BT102" s="105"/>
      <c r="BU102" s="23"/>
      <c r="BV102" s="23"/>
      <c r="BW102" s="105"/>
      <c r="BX102" s="105"/>
      <c r="BY102" s="23"/>
      <c r="BZ102" s="23"/>
      <c r="CA102" s="105"/>
      <c r="CB102" s="105"/>
      <c r="CC102" s="105"/>
      <c r="CD102" s="23"/>
      <c r="CE102" s="23"/>
      <c r="CF102" s="71"/>
      <c r="CG102" s="128"/>
      <c r="CH102" s="128"/>
      <c r="CI102" s="23"/>
      <c r="CJ102" s="105"/>
      <c r="CK102" s="23"/>
      <c r="CL102" s="105">
        <v>0.7</v>
      </c>
      <c r="CM102" s="23"/>
      <c r="CN102" s="23"/>
      <c r="CO102" s="23"/>
      <c r="CP102" s="105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3"/>
      <c r="DB102" s="99"/>
      <c r="DC102" s="99"/>
      <c r="DD102" s="125">
        <v>0.3</v>
      </c>
      <c r="DE102" s="125"/>
      <c r="DF102" s="105"/>
      <c r="DG102" s="23"/>
      <c r="DH102" s="23"/>
      <c r="DI102" s="23"/>
      <c r="DJ102" s="79">
        <f t="shared" si="460"/>
        <v>1</v>
      </c>
      <c r="DK102" s="24"/>
      <c r="DL102" s="24"/>
      <c r="DM102" s="24"/>
      <c r="DN102" s="24">
        <v>0.8</v>
      </c>
      <c r="DO102" s="24"/>
      <c r="DP102" s="103"/>
      <c r="DQ102" s="24"/>
      <c r="DR102" s="24"/>
      <c r="DS102" s="108"/>
      <c r="DT102" s="24"/>
      <c r="DU102" s="108"/>
      <c r="DV102" s="24"/>
      <c r="DW102" s="24"/>
      <c r="DX102" s="108"/>
      <c r="DY102" s="24"/>
      <c r="DZ102" s="24"/>
      <c r="EA102" s="108"/>
      <c r="EB102" s="108"/>
      <c r="EC102" s="108"/>
      <c r="ED102" s="108"/>
      <c r="EE102" s="24"/>
      <c r="EF102" s="24"/>
      <c r="EG102" s="24"/>
      <c r="EH102" s="129"/>
      <c r="EI102" s="129"/>
      <c r="EJ102" s="24"/>
      <c r="EK102" s="24"/>
      <c r="EL102" s="24"/>
      <c r="EM102" s="24"/>
      <c r="EN102" s="24"/>
      <c r="EO102" s="24"/>
      <c r="EP102" s="24"/>
      <c r="EQ102" s="108"/>
      <c r="ER102" s="24"/>
      <c r="ES102" s="25"/>
      <c r="ET102" s="25"/>
      <c r="EU102" s="25">
        <v>0.18</v>
      </c>
      <c r="EV102" s="25"/>
      <c r="EW102" s="25"/>
      <c r="EX102" s="25"/>
      <c r="EY102" s="25"/>
      <c r="EZ102" s="25"/>
      <c r="FA102" s="106"/>
      <c r="FB102" s="25"/>
      <c r="FC102" s="100"/>
      <c r="FD102" s="100"/>
      <c r="FE102" s="126"/>
      <c r="FF102" s="126"/>
      <c r="FG102" s="106"/>
      <c r="FH102" s="25"/>
      <c r="FI102" s="25"/>
      <c r="FJ102" s="106">
        <v>0.02</v>
      </c>
      <c r="FK102" s="17">
        <f t="shared" si="482"/>
        <v>1</v>
      </c>
      <c r="FL102" s="18"/>
      <c r="FM102" s="19">
        <f t="shared" si="298"/>
        <v>0</v>
      </c>
      <c r="FN102" s="19">
        <f t="shared" si="299"/>
        <v>0</v>
      </c>
      <c r="FO102" s="19">
        <f t="shared" si="300"/>
        <v>0</v>
      </c>
      <c r="FP102" s="19">
        <f t="shared" si="301"/>
        <v>1.2000000000000002</v>
      </c>
      <c r="FQ102" s="19">
        <f t="shared" si="302"/>
        <v>0</v>
      </c>
      <c r="FR102" s="19">
        <f t="shared" si="303"/>
        <v>0</v>
      </c>
      <c r="FS102" s="19">
        <f t="shared" si="304"/>
        <v>0</v>
      </c>
      <c r="FT102" s="19">
        <f t="shared" si="305"/>
        <v>0</v>
      </c>
      <c r="FU102" s="19">
        <f t="shared" si="306"/>
        <v>0</v>
      </c>
      <c r="FV102" s="19">
        <f t="shared" si="307"/>
        <v>0</v>
      </c>
      <c r="FW102" s="19">
        <f t="shared" si="308"/>
        <v>0</v>
      </c>
      <c r="FX102" s="19">
        <f t="shared" si="309"/>
        <v>0</v>
      </c>
      <c r="FY102" s="19">
        <f t="shared" si="310"/>
        <v>0</v>
      </c>
      <c r="FZ102" s="19">
        <f t="shared" si="311"/>
        <v>0</v>
      </c>
      <c r="GA102" s="19">
        <f t="shared" si="312"/>
        <v>0</v>
      </c>
      <c r="GB102" s="19">
        <f t="shared" si="313"/>
        <v>0</v>
      </c>
      <c r="GC102" s="19">
        <f t="shared" si="314"/>
        <v>0</v>
      </c>
      <c r="GD102" s="19">
        <f t="shared" si="315"/>
        <v>0</v>
      </c>
      <c r="GE102" s="19">
        <f t="shared" si="316"/>
        <v>0</v>
      </c>
      <c r="GF102" s="19">
        <f t="shared" si="317"/>
        <v>0</v>
      </c>
      <c r="GG102" s="19">
        <f t="shared" si="318"/>
        <v>0</v>
      </c>
      <c r="GH102" s="19">
        <f t="shared" si="319"/>
        <v>0</v>
      </c>
      <c r="GI102" s="19">
        <f t="shared" si="320"/>
        <v>0</v>
      </c>
      <c r="GJ102" s="19">
        <f t="shared" si="321"/>
        <v>0</v>
      </c>
      <c r="GK102" s="19">
        <f t="shared" si="322"/>
        <v>0</v>
      </c>
      <c r="GL102" s="19">
        <f t="shared" si="323"/>
        <v>0</v>
      </c>
      <c r="GM102" s="19">
        <f t="shared" si="324"/>
        <v>0</v>
      </c>
      <c r="GN102" s="19">
        <f t="shared" si="325"/>
        <v>0.44999999999999996</v>
      </c>
      <c r="GO102" s="19">
        <f t="shared" si="326"/>
        <v>1.4</v>
      </c>
      <c r="GP102" s="19">
        <f t="shared" si="327"/>
        <v>0</v>
      </c>
      <c r="GQ102" s="19">
        <f t="shared" si="328"/>
        <v>0</v>
      </c>
      <c r="GR102" s="19">
        <f t="shared" si="329"/>
        <v>0</v>
      </c>
      <c r="GS102" s="19">
        <f t="shared" si="330"/>
        <v>0</v>
      </c>
      <c r="GT102" s="19">
        <f t="shared" si="331"/>
        <v>0</v>
      </c>
      <c r="GU102" s="19">
        <f t="shared" si="332"/>
        <v>0</v>
      </c>
      <c r="GV102" s="19">
        <f t="shared" si="333"/>
        <v>0</v>
      </c>
      <c r="GW102" s="19">
        <f t="shared" si="334"/>
        <v>0.27</v>
      </c>
      <c r="GX102" s="19">
        <f t="shared" si="335"/>
        <v>0</v>
      </c>
      <c r="GY102" s="19">
        <f t="shared" si="336"/>
        <v>0</v>
      </c>
      <c r="GZ102" s="19">
        <f t="shared" si="337"/>
        <v>0</v>
      </c>
      <c r="HA102" s="19">
        <f t="shared" si="338"/>
        <v>0</v>
      </c>
      <c r="HB102" s="19">
        <f t="shared" si="339"/>
        <v>0</v>
      </c>
      <c r="HC102" s="19">
        <f t="shared" si="340"/>
        <v>0</v>
      </c>
      <c r="HD102" s="19">
        <f t="shared" si="341"/>
        <v>0</v>
      </c>
      <c r="HE102" s="19">
        <f t="shared" si="342"/>
        <v>0</v>
      </c>
      <c r="HF102" s="19">
        <f t="shared" si="343"/>
        <v>0</v>
      </c>
      <c r="HG102" s="19">
        <f t="shared" si="344"/>
        <v>1.65</v>
      </c>
      <c r="HH102" s="19">
        <f t="shared" si="345"/>
        <v>0</v>
      </c>
      <c r="HI102" s="19">
        <f t="shared" si="346"/>
        <v>0</v>
      </c>
      <c r="HJ102" s="19">
        <f t="shared" si="347"/>
        <v>0</v>
      </c>
      <c r="HK102" s="19">
        <f t="shared" si="348"/>
        <v>0</v>
      </c>
      <c r="HL102" s="19">
        <f t="shared" si="349"/>
        <v>0.03</v>
      </c>
      <c r="HM102" s="20">
        <f t="shared" si="350"/>
        <v>5</v>
      </c>
      <c r="HN102" s="53">
        <v>1078</v>
      </c>
      <c r="HO102" s="21">
        <f t="shared" si="351"/>
        <v>0</v>
      </c>
      <c r="HP102" s="21">
        <f t="shared" si="352"/>
        <v>0</v>
      </c>
      <c r="HQ102" s="21">
        <f t="shared" si="353"/>
        <v>0</v>
      </c>
      <c r="HR102" s="21">
        <f t="shared" si="354"/>
        <v>258.72000000000003</v>
      </c>
      <c r="HS102" s="21">
        <f t="shared" si="355"/>
        <v>0</v>
      </c>
      <c r="HT102" s="69">
        <f t="shared" si="356"/>
        <v>0</v>
      </c>
      <c r="HU102" s="21">
        <f t="shared" si="357"/>
        <v>0</v>
      </c>
      <c r="HV102" s="21">
        <f t="shared" si="358"/>
        <v>0</v>
      </c>
      <c r="HW102" s="21">
        <f t="shared" si="359"/>
        <v>0</v>
      </c>
      <c r="HX102" s="21">
        <f t="shared" si="360"/>
        <v>0</v>
      </c>
      <c r="HY102" s="21">
        <f t="shared" si="361"/>
        <v>0</v>
      </c>
      <c r="HZ102" s="21">
        <f t="shared" si="362"/>
        <v>0</v>
      </c>
      <c r="IA102" s="21">
        <f t="shared" si="363"/>
        <v>0</v>
      </c>
      <c r="IB102" s="21">
        <f t="shared" si="364"/>
        <v>0</v>
      </c>
      <c r="IC102" s="21">
        <f t="shared" si="365"/>
        <v>0</v>
      </c>
      <c r="ID102" s="21">
        <f t="shared" si="366"/>
        <v>0</v>
      </c>
      <c r="IE102" s="21">
        <f t="shared" si="367"/>
        <v>0</v>
      </c>
      <c r="IF102" s="69">
        <f t="shared" si="368"/>
        <v>0</v>
      </c>
      <c r="IG102" s="69">
        <f t="shared" si="369"/>
        <v>0</v>
      </c>
      <c r="IH102" s="69">
        <f t="shared" si="370"/>
        <v>0</v>
      </c>
      <c r="II102" s="21">
        <f t="shared" si="371"/>
        <v>0</v>
      </c>
      <c r="IJ102" s="21">
        <f t="shared" si="372"/>
        <v>0</v>
      </c>
      <c r="IK102" s="21">
        <f t="shared" si="373"/>
        <v>0</v>
      </c>
      <c r="IL102" s="21">
        <f t="shared" si="374"/>
        <v>0</v>
      </c>
      <c r="IM102" s="21">
        <f t="shared" si="375"/>
        <v>0</v>
      </c>
      <c r="IN102" s="21">
        <f t="shared" si="376"/>
        <v>0</v>
      </c>
      <c r="IO102" s="21">
        <f t="shared" si="377"/>
        <v>0</v>
      </c>
      <c r="IP102" s="21">
        <f t="shared" si="378"/>
        <v>97.02</v>
      </c>
      <c r="IQ102" s="21">
        <f t="shared" si="379"/>
        <v>301.83999999999997</v>
      </c>
      <c r="IR102" s="21">
        <f t="shared" si="380"/>
        <v>0</v>
      </c>
      <c r="IS102" s="21">
        <f t="shared" si="381"/>
        <v>0</v>
      </c>
      <c r="IT102" s="21">
        <f t="shared" si="382"/>
        <v>0</v>
      </c>
      <c r="IU102" s="21">
        <f t="shared" si="383"/>
        <v>0</v>
      </c>
      <c r="IV102" s="21">
        <f t="shared" si="384"/>
        <v>0</v>
      </c>
      <c r="IW102" s="21">
        <f t="shared" si="385"/>
        <v>0</v>
      </c>
      <c r="IX102" s="21">
        <f t="shared" si="386"/>
        <v>0</v>
      </c>
      <c r="IY102" s="21">
        <f t="shared" si="387"/>
        <v>58.212000000000003</v>
      </c>
      <c r="IZ102" s="21">
        <f t="shared" si="388"/>
        <v>0</v>
      </c>
      <c r="JA102" s="21">
        <f t="shared" si="389"/>
        <v>0</v>
      </c>
      <c r="JB102" s="21">
        <f t="shared" si="390"/>
        <v>0</v>
      </c>
      <c r="JC102" s="21">
        <f t="shared" si="391"/>
        <v>0</v>
      </c>
      <c r="JD102" s="21">
        <f t="shared" si="392"/>
        <v>0</v>
      </c>
      <c r="JE102" s="21">
        <f t="shared" si="393"/>
        <v>0</v>
      </c>
      <c r="JF102" s="21">
        <f t="shared" si="394"/>
        <v>0</v>
      </c>
      <c r="JG102" s="21">
        <f t="shared" si="395"/>
        <v>0</v>
      </c>
      <c r="JH102" s="21">
        <f t="shared" si="396"/>
        <v>0</v>
      </c>
      <c r="JI102" s="21">
        <f t="shared" si="397"/>
        <v>355.73999999999995</v>
      </c>
      <c r="JJ102" s="21">
        <f t="shared" si="398"/>
        <v>0</v>
      </c>
      <c r="JK102" s="21">
        <f t="shared" si="399"/>
        <v>0</v>
      </c>
      <c r="JL102" s="21">
        <f t="shared" si="400"/>
        <v>0</v>
      </c>
      <c r="JM102" s="21">
        <f t="shared" si="401"/>
        <v>0</v>
      </c>
      <c r="JN102" s="21">
        <f t="shared" si="402"/>
        <v>6.4679999999999991</v>
      </c>
      <c r="JO102" s="35">
        <f t="shared" si="403"/>
        <v>1078</v>
      </c>
      <c r="JP102" s="38">
        <f t="shared" si="404"/>
        <v>0</v>
      </c>
      <c r="JQ102" s="43">
        <f t="shared" si="405"/>
        <v>0</v>
      </c>
      <c r="JR102" s="43">
        <f t="shared" si="406"/>
        <v>0</v>
      </c>
      <c r="JS102" s="43">
        <f t="shared" si="407"/>
        <v>0</v>
      </c>
      <c r="JT102" s="43">
        <f t="shared" si="408"/>
        <v>1112.7340224000002</v>
      </c>
      <c r="JU102" s="43">
        <f t="shared" si="409"/>
        <v>0</v>
      </c>
      <c r="JV102" s="43">
        <f t="shared" si="410"/>
        <v>0</v>
      </c>
      <c r="JW102" s="43">
        <f t="shared" si="411"/>
        <v>0</v>
      </c>
      <c r="JX102" s="43">
        <f t="shared" si="412"/>
        <v>0</v>
      </c>
      <c r="JY102" s="43">
        <f t="shared" si="413"/>
        <v>0</v>
      </c>
      <c r="JZ102" s="43">
        <f t="shared" si="414"/>
        <v>0</v>
      </c>
      <c r="KA102" s="43">
        <f t="shared" si="415"/>
        <v>0</v>
      </c>
      <c r="KB102" s="43">
        <f t="shared" si="416"/>
        <v>0</v>
      </c>
      <c r="KC102" s="43">
        <f t="shared" si="417"/>
        <v>0</v>
      </c>
      <c r="KD102" s="43">
        <f t="shared" si="418"/>
        <v>0</v>
      </c>
      <c r="KE102" s="43">
        <f t="shared" si="419"/>
        <v>0</v>
      </c>
      <c r="KF102" s="43">
        <f t="shared" si="420"/>
        <v>0</v>
      </c>
      <c r="KG102" s="43">
        <f t="shared" si="421"/>
        <v>0</v>
      </c>
      <c r="KH102" s="43">
        <f t="shared" si="422"/>
        <v>0</v>
      </c>
      <c r="KI102" s="43">
        <f t="shared" si="423"/>
        <v>0</v>
      </c>
      <c r="KJ102" s="43">
        <f t="shared" si="424"/>
        <v>0</v>
      </c>
      <c r="KK102" s="43">
        <f t="shared" si="425"/>
        <v>0</v>
      </c>
      <c r="KL102" s="43">
        <f t="shared" si="426"/>
        <v>0</v>
      </c>
      <c r="KM102" s="43">
        <f t="shared" si="427"/>
        <v>0</v>
      </c>
      <c r="KN102" s="43">
        <f t="shared" si="428"/>
        <v>0</v>
      </c>
      <c r="KO102" s="43">
        <f t="shared" si="429"/>
        <v>0</v>
      </c>
      <c r="KP102" s="43">
        <f t="shared" si="430"/>
        <v>0</v>
      </c>
      <c r="KQ102" s="43">
        <f t="shared" si="431"/>
        <v>0</v>
      </c>
      <c r="KR102" s="43">
        <f t="shared" si="432"/>
        <v>374.49719999999996</v>
      </c>
      <c r="KS102" s="43">
        <f t="shared" si="433"/>
        <v>1032.0908659911111</v>
      </c>
      <c r="KT102" s="43">
        <f t="shared" si="434"/>
        <v>0</v>
      </c>
      <c r="KU102" s="43">
        <f t="shared" si="435"/>
        <v>0</v>
      </c>
      <c r="KV102" s="43">
        <f t="shared" si="436"/>
        <v>0</v>
      </c>
      <c r="KW102" s="43">
        <f t="shared" si="437"/>
        <v>0</v>
      </c>
      <c r="KX102" s="43">
        <f t="shared" si="438"/>
        <v>0</v>
      </c>
      <c r="KY102" s="43">
        <f t="shared" si="439"/>
        <v>0</v>
      </c>
      <c r="KZ102" s="43">
        <f t="shared" si="440"/>
        <v>0</v>
      </c>
      <c r="LA102" s="43">
        <f t="shared" si="441"/>
        <v>233.24617007999998</v>
      </c>
      <c r="LB102" s="43">
        <f t="shared" si="442"/>
        <v>0</v>
      </c>
      <c r="LC102" s="43">
        <f t="shared" si="443"/>
        <v>0</v>
      </c>
      <c r="LD102" s="43">
        <f t="shared" si="444"/>
        <v>0</v>
      </c>
      <c r="LE102" s="43">
        <f t="shared" si="445"/>
        <v>0</v>
      </c>
      <c r="LF102" s="43">
        <f t="shared" si="446"/>
        <v>0</v>
      </c>
      <c r="LG102" s="43">
        <f t="shared" si="447"/>
        <v>0</v>
      </c>
      <c r="LH102" s="43">
        <f t="shared" si="448"/>
        <v>0</v>
      </c>
      <c r="LI102" s="43">
        <f t="shared" si="449"/>
        <v>0</v>
      </c>
      <c r="LJ102" s="43">
        <f t="shared" si="450"/>
        <v>0</v>
      </c>
      <c r="LK102" s="43">
        <f t="shared" si="451"/>
        <v>1425.0055049999999</v>
      </c>
      <c r="LL102" s="43">
        <f t="shared" si="452"/>
        <v>0</v>
      </c>
      <c r="LM102" s="43">
        <f t="shared" si="453"/>
        <v>0</v>
      </c>
      <c r="LN102" s="43">
        <f t="shared" si="454"/>
        <v>0</v>
      </c>
      <c r="LO102" s="43">
        <f t="shared" si="455"/>
        <v>0</v>
      </c>
      <c r="LP102" s="43">
        <f t="shared" si="456"/>
        <v>54.654599999999988</v>
      </c>
      <c r="LQ102" s="28">
        <f t="shared" si="457"/>
        <v>4232.2283634711112</v>
      </c>
      <c r="LR102" s="65">
        <v>1036</v>
      </c>
      <c r="LS102" s="32">
        <f t="shared" si="462"/>
        <v>4.0851625130030031</v>
      </c>
      <c r="LT102" s="26">
        <f t="shared" si="463"/>
        <v>1.1161646210390719</v>
      </c>
      <c r="LU102" s="31">
        <f t="shared" si="458"/>
        <v>42</v>
      </c>
      <c r="LW102" s="42"/>
      <c r="MA102" s="32">
        <f t="shared" si="459"/>
        <v>3.9260003371717174</v>
      </c>
      <c r="MB102" s="26">
        <f t="shared" si="464"/>
        <v>1.0726776877518354</v>
      </c>
    </row>
    <row r="103" spans="1:340" ht="15.75" thickBot="1">
      <c r="A103" t="b">
        <f t="shared" si="297"/>
        <v>1</v>
      </c>
      <c r="B103" s="123" t="s">
        <v>273</v>
      </c>
      <c r="C103" s="39" t="s">
        <v>274</v>
      </c>
      <c r="D103"/>
      <c r="E103" s="97">
        <v>46037</v>
      </c>
      <c r="F103" t="s">
        <v>43</v>
      </c>
      <c r="G103" t="s">
        <v>20</v>
      </c>
      <c r="H103" t="s">
        <v>27</v>
      </c>
      <c r="I103" s="77"/>
      <c r="J103" s="77"/>
      <c r="K103" s="77"/>
      <c r="L103" s="22"/>
      <c r="M103" s="22"/>
      <c r="N103" s="98"/>
      <c r="O103" s="22"/>
      <c r="P103" s="22"/>
      <c r="Q103" s="22"/>
      <c r="R103" s="22"/>
      <c r="S103" s="104"/>
      <c r="T103" s="104"/>
      <c r="U103" s="22"/>
      <c r="V103" s="104"/>
      <c r="W103" s="22"/>
      <c r="X103" s="22"/>
      <c r="Y103" s="22"/>
      <c r="Z103" s="104"/>
      <c r="AA103" s="104"/>
      <c r="AB103" s="104"/>
      <c r="AC103" s="22"/>
      <c r="AD103" s="22"/>
      <c r="AE103" s="22"/>
      <c r="AF103" s="124"/>
      <c r="AG103" s="124"/>
      <c r="AH103" s="22"/>
      <c r="AI103" s="104"/>
      <c r="AJ103" s="22">
        <v>0.3</v>
      </c>
      <c r="AK103" s="22"/>
      <c r="AL103" s="22"/>
      <c r="AM103" s="22"/>
      <c r="AN103" s="22"/>
      <c r="AO103" s="104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>
        <v>0.7</v>
      </c>
      <c r="BA103" s="98"/>
      <c r="BB103" s="98"/>
      <c r="BC103" s="124"/>
      <c r="BD103" s="124"/>
      <c r="BE103" s="104"/>
      <c r="BF103" s="22"/>
      <c r="BG103" s="22"/>
      <c r="BH103" s="22"/>
      <c r="BI103" s="78">
        <f t="shared" ref="BI103:BI141" si="483">SUM(I103:BH103)</f>
        <v>1</v>
      </c>
      <c r="BJ103" s="23"/>
      <c r="BK103" s="23"/>
      <c r="BL103" s="23"/>
      <c r="BM103" s="23"/>
      <c r="BN103" s="23"/>
      <c r="BO103" s="99"/>
      <c r="BP103" s="23"/>
      <c r="BQ103" s="23"/>
      <c r="BR103" s="23"/>
      <c r="BS103" s="23"/>
      <c r="BT103" s="105"/>
      <c r="BU103" s="23"/>
      <c r="BV103" s="23"/>
      <c r="BW103" s="105"/>
      <c r="BX103" s="23">
        <v>0.1</v>
      </c>
      <c r="BY103" s="23"/>
      <c r="BZ103" s="23"/>
      <c r="CA103" s="105"/>
      <c r="CB103" s="105"/>
      <c r="CC103" s="105"/>
      <c r="CD103" s="23"/>
      <c r="CE103" s="23"/>
      <c r="CF103" s="71"/>
      <c r="CG103" s="128"/>
      <c r="CH103" s="128"/>
      <c r="CI103" s="23"/>
      <c r="CJ103" s="105"/>
      <c r="CK103" s="23"/>
      <c r="CL103" s="105">
        <v>0.3</v>
      </c>
      <c r="CM103" s="23"/>
      <c r="CN103" s="23"/>
      <c r="CO103" s="23"/>
      <c r="CP103" s="105"/>
      <c r="CQ103" s="23"/>
      <c r="CR103" s="23"/>
      <c r="CS103" s="23"/>
      <c r="CT103" s="23"/>
      <c r="CU103" s="23"/>
      <c r="CV103" s="23"/>
      <c r="CW103" s="23"/>
      <c r="CX103" s="23"/>
      <c r="CY103" s="23"/>
      <c r="CZ103" s="23"/>
      <c r="DA103" s="23">
        <v>0.6</v>
      </c>
      <c r="DB103" s="99"/>
      <c r="DC103" s="99"/>
      <c r="DD103" s="125"/>
      <c r="DE103" s="125"/>
      <c r="DF103" s="105"/>
      <c r="DG103" s="23"/>
      <c r="DH103" s="23"/>
      <c r="DI103" s="23"/>
      <c r="DJ103" s="79">
        <f t="shared" si="460"/>
        <v>1</v>
      </c>
      <c r="DK103" s="24"/>
      <c r="DL103" s="24"/>
      <c r="DM103" s="24"/>
      <c r="DN103" s="24">
        <v>0.7</v>
      </c>
      <c r="DO103" s="24"/>
      <c r="DP103" s="103"/>
      <c r="DQ103" s="24"/>
      <c r="DR103" s="24"/>
      <c r="DS103" s="108"/>
      <c r="DT103" s="24"/>
      <c r="DU103" s="108"/>
      <c r="DV103" s="24"/>
      <c r="DW103" s="24"/>
      <c r="DX103" s="108"/>
      <c r="DY103" s="24"/>
      <c r="DZ103" s="24"/>
      <c r="EA103" s="108"/>
      <c r="EB103" s="108"/>
      <c r="EC103" s="108"/>
      <c r="ED103" s="108"/>
      <c r="EE103" s="24"/>
      <c r="EF103" s="24"/>
      <c r="EG103" s="24"/>
      <c r="EH103" s="129"/>
      <c r="EI103" s="129"/>
      <c r="EJ103" s="24"/>
      <c r="EK103" s="24"/>
      <c r="EL103" s="24"/>
      <c r="EM103" s="24"/>
      <c r="EN103" s="24"/>
      <c r="EO103" s="24"/>
      <c r="EP103" s="24"/>
      <c r="EQ103" s="108"/>
      <c r="ER103" s="24"/>
      <c r="ES103" s="25"/>
      <c r="ET103" s="25"/>
      <c r="EU103" s="25">
        <v>0.28000000000000003</v>
      </c>
      <c r="EV103" s="25"/>
      <c r="EW103" s="25"/>
      <c r="EX103" s="25"/>
      <c r="EY103" s="25"/>
      <c r="EZ103" s="25"/>
      <c r="FA103" s="106"/>
      <c r="FB103" s="25"/>
      <c r="FC103" s="100"/>
      <c r="FD103" s="100"/>
      <c r="FE103" s="126"/>
      <c r="FF103" s="126"/>
      <c r="FG103" s="106"/>
      <c r="FH103" s="25"/>
      <c r="FI103" s="25"/>
      <c r="FJ103" s="106">
        <v>0.02</v>
      </c>
      <c r="FK103" s="17">
        <f t="shared" si="482"/>
        <v>1</v>
      </c>
      <c r="FL103" s="18"/>
      <c r="FM103" s="19">
        <f t="shared" si="298"/>
        <v>0</v>
      </c>
      <c r="FN103" s="19">
        <f t="shared" si="299"/>
        <v>0</v>
      </c>
      <c r="FO103" s="19">
        <f t="shared" si="300"/>
        <v>0</v>
      </c>
      <c r="FP103" s="19">
        <f t="shared" si="301"/>
        <v>1.0499999999999998</v>
      </c>
      <c r="FQ103" s="19">
        <f t="shared" si="302"/>
        <v>0</v>
      </c>
      <c r="FR103" s="19">
        <f t="shared" si="303"/>
        <v>0</v>
      </c>
      <c r="FS103" s="19">
        <f t="shared" si="304"/>
        <v>0</v>
      </c>
      <c r="FT103" s="19">
        <f t="shared" si="305"/>
        <v>0</v>
      </c>
      <c r="FU103" s="19">
        <f t="shared" si="306"/>
        <v>0</v>
      </c>
      <c r="FV103" s="19">
        <f t="shared" si="307"/>
        <v>0</v>
      </c>
      <c r="FW103" s="19">
        <f t="shared" si="308"/>
        <v>0</v>
      </c>
      <c r="FX103" s="19">
        <f t="shared" si="309"/>
        <v>0</v>
      </c>
      <c r="FY103" s="19">
        <f t="shared" si="310"/>
        <v>0</v>
      </c>
      <c r="FZ103" s="19">
        <f t="shared" si="311"/>
        <v>0</v>
      </c>
      <c r="GA103" s="19">
        <f t="shared" si="312"/>
        <v>0.2</v>
      </c>
      <c r="GB103" s="19">
        <f t="shared" si="313"/>
        <v>0</v>
      </c>
      <c r="GC103" s="19">
        <f t="shared" si="314"/>
        <v>0</v>
      </c>
      <c r="GD103" s="19">
        <f t="shared" si="315"/>
        <v>0</v>
      </c>
      <c r="GE103" s="19">
        <f t="shared" si="316"/>
        <v>0</v>
      </c>
      <c r="GF103" s="19">
        <f t="shared" si="317"/>
        <v>0</v>
      </c>
      <c r="GG103" s="19">
        <f t="shared" si="318"/>
        <v>0</v>
      </c>
      <c r="GH103" s="19">
        <f t="shared" si="319"/>
        <v>0</v>
      </c>
      <c r="GI103" s="19">
        <f t="shared" si="320"/>
        <v>0</v>
      </c>
      <c r="GJ103" s="19">
        <f t="shared" si="321"/>
        <v>0</v>
      </c>
      <c r="GK103" s="19">
        <f t="shared" si="322"/>
        <v>0</v>
      </c>
      <c r="GL103" s="19">
        <f t="shared" si="323"/>
        <v>0</v>
      </c>
      <c r="GM103" s="19">
        <f t="shared" si="324"/>
        <v>0</v>
      </c>
      <c r="GN103" s="19">
        <f t="shared" si="325"/>
        <v>0.44999999999999996</v>
      </c>
      <c r="GO103" s="19">
        <f t="shared" si="326"/>
        <v>0.6</v>
      </c>
      <c r="GP103" s="19">
        <f t="shared" si="327"/>
        <v>0</v>
      </c>
      <c r="GQ103" s="19">
        <f t="shared" si="328"/>
        <v>0</v>
      </c>
      <c r="GR103" s="19">
        <f t="shared" si="329"/>
        <v>0</v>
      </c>
      <c r="GS103" s="19">
        <f t="shared" si="330"/>
        <v>0</v>
      </c>
      <c r="GT103" s="19">
        <f t="shared" si="331"/>
        <v>0</v>
      </c>
      <c r="GU103" s="19">
        <f t="shared" si="332"/>
        <v>0</v>
      </c>
      <c r="GV103" s="19">
        <f t="shared" si="333"/>
        <v>0</v>
      </c>
      <c r="GW103" s="19">
        <f t="shared" si="334"/>
        <v>0.42000000000000004</v>
      </c>
      <c r="GX103" s="19">
        <f t="shared" si="335"/>
        <v>0</v>
      </c>
      <c r="GY103" s="19">
        <f t="shared" si="336"/>
        <v>0</v>
      </c>
      <c r="GZ103" s="19">
        <f t="shared" si="337"/>
        <v>0</v>
      </c>
      <c r="HA103" s="19">
        <f t="shared" si="338"/>
        <v>0</v>
      </c>
      <c r="HB103" s="19">
        <f t="shared" si="339"/>
        <v>0</v>
      </c>
      <c r="HC103" s="19">
        <f t="shared" si="340"/>
        <v>0</v>
      </c>
      <c r="HD103" s="19">
        <f t="shared" si="341"/>
        <v>2.25</v>
      </c>
      <c r="HE103" s="19">
        <f t="shared" si="342"/>
        <v>0</v>
      </c>
      <c r="HF103" s="19">
        <f t="shared" si="343"/>
        <v>0</v>
      </c>
      <c r="HG103" s="19">
        <f t="shared" si="344"/>
        <v>0</v>
      </c>
      <c r="HH103" s="19">
        <f t="shared" si="345"/>
        <v>0</v>
      </c>
      <c r="HI103" s="19">
        <f t="shared" si="346"/>
        <v>0</v>
      </c>
      <c r="HJ103" s="19">
        <f t="shared" si="347"/>
        <v>0</v>
      </c>
      <c r="HK103" s="19">
        <f t="shared" si="348"/>
        <v>0</v>
      </c>
      <c r="HL103" s="19">
        <f t="shared" si="349"/>
        <v>0.03</v>
      </c>
      <c r="HM103" s="20">
        <f t="shared" si="350"/>
        <v>5</v>
      </c>
      <c r="HN103" s="53">
        <v>460</v>
      </c>
      <c r="HO103" s="21">
        <f t="shared" si="351"/>
        <v>0</v>
      </c>
      <c r="HP103" s="21">
        <f t="shared" si="352"/>
        <v>0</v>
      </c>
      <c r="HQ103" s="21">
        <f t="shared" si="353"/>
        <v>0</v>
      </c>
      <c r="HR103" s="21">
        <f t="shared" si="354"/>
        <v>96.6</v>
      </c>
      <c r="HS103" s="21">
        <f t="shared" si="355"/>
        <v>0</v>
      </c>
      <c r="HT103" s="69">
        <f t="shared" si="356"/>
        <v>0</v>
      </c>
      <c r="HU103" s="21">
        <f t="shared" si="357"/>
        <v>0</v>
      </c>
      <c r="HV103" s="21">
        <f t="shared" si="358"/>
        <v>0</v>
      </c>
      <c r="HW103" s="21">
        <f t="shared" si="359"/>
        <v>0</v>
      </c>
      <c r="HX103" s="21">
        <f t="shared" si="360"/>
        <v>0</v>
      </c>
      <c r="HY103" s="21">
        <f t="shared" si="361"/>
        <v>0</v>
      </c>
      <c r="HZ103" s="21">
        <f t="shared" si="362"/>
        <v>0</v>
      </c>
      <c r="IA103" s="21">
        <f t="shared" si="363"/>
        <v>0</v>
      </c>
      <c r="IB103" s="21">
        <f t="shared" si="364"/>
        <v>0</v>
      </c>
      <c r="IC103" s="21">
        <f t="shared" si="365"/>
        <v>18.399999999999999</v>
      </c>
      <c r="ID103" s="21">
        <f t="shared" si="366"/>
        <v>0</v>
      </c>
      <c r="IE103" s="21">
        <f t="shared" si="367"/>
        <v>0</v>
      </c>
      <c r="IF103" s="69">
        <f t="shared" si="368"/>
        <v>0</v>
      </c>
      <c r="IG103" s="69">
        <f t="shared" si="369"/>
        <v>0</v>
      </c>
      <c r="IH103" s="69">
        <f t="shared" si="370"/>
        <v>0</v>
      </c>
      <c r="II103" s="21">
        <f t="shared" si="371"/>
        <v>0</v>
      </c>
      <c r="IJ103" s="21">
        <f t="shared" si="372"/>
        <v>0</v>
      </c>
      <c r="IK103" s="21">
        <f t="shared" si="373"/>
        <v>0</v>
      </c>
      <c r="IL103" s="21">
        <f t="shared" si="374"/>
        <v>0</v>
      </c>
      <c r="IM103" s="21">
        <f t="shared" si="375"/>
        <v>0</v>
      </c>
      <c r="IN103" s="21">
        <f t="shared" si="376"/>
        <v>0</v>
      </c>
      <c r="IO103" s="21">
        <f t="shared" si="377"/>
        <v>0</v>
      </c>
      <c r="IP103" s="21">
        <f t="shared" si="378"/>
        <v>41.399999999999991</v>
      </c>
      <c r="IQ103" s="21">
        <f t="shared" si="379"/>
        <v>55.2</v>
      </c>
      <c r="IR103" s="21">
        <f t="shared" si="380"/>
        <v>0</v>
      </c>
      <c r="IS103" s="21">
        <f t="shared" si="381"/>
        <v>0</v>
      </c>
      <c r="IT103" s="21">
        <f t="shared" si="382"/>
        <v>0</v>
      </c>
      <c r="IU103" s="21">
        <f t="shared" si="383"/>
        <v>0</v>
      </c>
      <c r="IV103" s="21">
        <f t="shared" si="384"/>
        <v>0</v>
      </c>
      <c r="IW103" s="21">
        <f t="shared" si="385"/>
        <v>0</v>
      </c>
      <c r="IX103" s="21">
        <f t="shared" si="386"/>
        <v>0</v>
      </c>
      <c r="IY103" s="21">
        <f t="shared" si="387"/>
        <v>38.64</v>
      </c>
      <c r="IZ103" s="21">
        <f t="shared" si="388"/>
        <v>0</v>
      </c>
      <c r="JA103" s="21">
        <f t="shared" si="389"/>
        <v>0</v>
      </c>
      <c r="JB103" s="21">
        <f t="shared" si="390"/>
        <v>0</v>
      </c>
      <c r="JC103" s="21">
        <f t="shared" si="391"/>
        <v>0</v>
      </c>
      <c r="JD103" s="21">
        <f t="shared" si="392"/>
        <v>0</v>
      </c>
      <c r="JE103" s="21">
        <f t="shared" si="393"/>
        <v>0</v>
      </c>
      <c r="JF103" s="21">
        <f t="shared" si="394"/>
        <v>207</v>
      </c>
      <c r="JG103" s="21">
        <f t="shared" si="395"/>
        <v>0</v>
      </c>
      <c r="JH103" s="21">
        <f t="shared" si="396"/>
        <v>0</v>
      </c>
      <c r="JI103" s="21">
        <f t="shared" si="397"/>
        <v>0</v>
      </c>
      <c r="JJ103" s="21">
        <f t="shared" si="398"/>
        <v>0</v>
      </c>
      <c r="JK103" s="21">
        <f t="shared" si="399"/>
        <v>0</v>
      </c>
      <c r="JL103" s="21">
        <f t="shared" si="400"/>
        <v>0</v>
      </c>
      <c r="JM103" s="21">
        <f t="shared" si="401"/>
        <v>0</v>
      </c>
      <c r="JN103" s="21">
        <f t="shared" si="402"/>
        <v>2.76</v>
      </c>
      <c r="JO103" s="35">
        <f t="shared" si="403"/>
        <v>459.99999999999994</v>
      </c>
      <c r="JP103" s="38">
        <f t="shared" si="404"/>
        <v>0</v>
      </c>
      <c r="JQ103" s="43">
        <f t="shared" si="405"/>
        <v>0</v>
      </c>
      <c r="JR103" s="43">
        <f t="shared" si="406"/>
        <v>0</v>
      </c>
      <c r="JS103" s="43">
        <f t="shared" si="407"/>
        <v>0</v>
      </c>
      <c r="JT103" s="43">
        <f t="shared" si="408"/>
        <v>415.46887200000003</v>
      </c>
      <c r="JU103" s="43">
        <f t="shared" si="409"/>
        <v>0</v>
      </c>
      <c r="JV103" s="43">
        <f t="shared" si="410"/>
        <v>0</v>
      </c>
      <c r="JW103" s="43">
        <f t="shared" si="411"/>
        <v>0</v>
      </c>
      <c r="JX103" s="43">
        <f t="shared" si="412"/>
        <v>0</v>
      </c>
      <c r="JY103" s="43">
        <f t="shared" si="413"/>
        <v>0</v>
      </c>
      <c r="JZ103" s="43">
        <f t="shared" si="414"/>
        <v>0</v>
      </c>
      <c r="KA103" s="43">
        <f t="shared" si="415"/>
        <v>0</v>
      </c>
      <c r="KB103" s="43">
        <f t="shared" si="416"/>
        <v>0</v>
      </c>
      <c r="KC103" s="43">
        <f t="shared" si="417"/>
        <v>0</v>
      </c>
      <c r="KD103" s="43">
        <f t="shared" si="418"/>
        <v>0</v>
      </c>
      <c r="KE103" s="43">
        <f t="shared" si="419"/>
        <v>75.007139814141397</v>
      </c>
      <c r="KF103" s="43">
        <f t="shared" si="420"/>
        <v>0</v>
      </c>
      <c r="KG103" s="43">
        <f t="shared" si="421"/>
        <v>0</v>
      </c>
      <c r="KH103" s="43">
        <f t="shared" si="422"/>
        <v>0</v>
      </c>
      <c r="KI103" s="43">
        <f t="shared" si="423"/>
        <v>0</v>
      </c>
      <c r="KJ103" s="43">
        <f t="shared" si="424"/>
        <v>0</v>
      </c>
      <c r="KK103" s="43">
        <f t="shared" si="425"/>
        <v>0</v>
      </c>
      <c r="KL103" s="43">
        <f t="shared" si="426"/>
        <v>0</v>
      </c>
      <c r="KM103" s="43">
        <f t="shared" si="427"/>
        <v>0</v>
      </c>
      <c r="KN103" s="43">
        <f t="shared" si="428"/>
        <v>0</v>
      </c>
      <c r="KO103" s="43">
        <f t="shared" si="429"/>
        <v>0</v>
      </c>
      <c r="KP103" s="43">
        <f t="shared" si="430"/>
        <v>0</v>
      </c>
      <c r="KQ103" s="43">
        <f t="shared" si="431"/>
        <v>0</v>
      </c>
      <c r="KR103" s="43">
        <f t="shared" si="432"/>
        <v>159.80399999999997</v>
      </c>
      <c r="KS103" s="43">
        <f t="shared" si="433"/>
        <v>188.74707064242426</v>
      </c>
      <c r="KT103" s="43">
        <f t="shared" si="434"/>
        <v>0</v>
      </c>
      <c r="KU103" s="43">
        <f t="shared" si="435"/>
        <v>0</v>
      </c>
      <c r="KV103" s="43">
        <f t="shared" si="436"/>
        <v>0</v>
      </c>
      <c r="KW103" s="43">
        <f t="shared" si="437"/>
        <v>0</v>
      </c>
      <c r="KX103" s="43">
        <f t="shared" si="438"/>
        <v>0</v>
      </c>
      <c r="KY103" s="43">
        <f t="shared" si="439"/>
        <v>0</v>
      </c>
      <c r="KZ103" s="43">
        <f t="shared" si="440"/>
        <v>0</v>
      </c>
      <c r="LA103" s="43">
        <f t="shared" si="441"/>
        <v>154.82429759999999</v>
      </c>
      <c r="LB103" s="43">
        <f t="shared" si="442"/>
        <v>0</v>
      </c>
      <c r="LC103" s="43">
        <f t="shared" si="443"/>
        <v>0</v>
      </c>
      <c r="LD103" s="43">
        <f t="shared" si="444"/>
        <v>0</v>
      </c>
      <c r="LE103" s="43">
        <f t="shared" si="445"/>
        <v>0</v>
      </c>
      <c r="LF103" s="43">
        <f t="shared" si="446"/>
        <v>0</v>
      </c>
      <c r="LG103" s="43">
        <f t="shared" si="447"/>
        <v>0</v>
      </c>
      <c r="LH103" s="43">
        <f t="shared" si="448"/>
        <v>866.63655418181827</v>
      </c>
      <c r="LI103" s="43">
        <f t="shared" si="449"/>
        <v>0</v>
      </c>
      <c r="LJ103" s="43">
        <f t="shared" si="450"/>
        <v>0</v>
      </c>
      <c r="LK103" s="43">
        <f t="shared" si="451"/>
        <v>0</v>
      </c>
      <c r="LL103" s="43">
        <f t="shared" si="452"/>
        <v>0</v>
      </c>
      <c r="LM103" s="43">
        <f t="shared" si="453"/>
        <v>0</v>
      </c>
      <c r="LN103" s="43">
        <f t="shared" si="454"/>
        <v>0</v>
      </c>
      <c r="LO103" s="43">
        <f t="shared" si="455"/>
        <v>0</v>
      </c>
      <c r="LP103" s="43">
        <f t="shared" si="456"/>
        <v>23.321999999999996</v>
      </c>
      <c r="LQ103" s="28">
        <f t="shared" si="457"/>
        <v>1883.8099342383839</v>
      </c>
      <c r="LR103" s="65">
        <v>416</v>
      </c>
      <c r="LS103" s="32">
        <f t="shared" si="462"/>
        <v>4.5283892649961155</v>
      </c>
      <c r="LT103" s="26">
        <f t="shared" si="463"/>
        <v>1.2372648265016708</v>
      </c>
      <c r="LU103" s="31">
        <f t="shared" si="458"/>
        <v>44</v>
      </c>
      <c r="LW103" s="42"/>
      <c r="MA103" s="32">
        <f t="shared" si="459"/>
        <v>4.0952389874747483</v>
      </c>
      <c r="MB103" s="26">
        <f t="shared" si="464"/>
        <v>1.1189177561406416</v>
      </c>
    </row>
    <row r="104" spans="1:340" ht="15.75" thickBot="1">
      <c r="A104" t="b">
        <f t="shared" si="297"/>
        <v>1</v>
      </c>
      <c r="B104" s="123" t="s">
        <v>275</v>
      </c>
      <c r="C104" s="39" t="s">
        <v>86</v>
      </c>
      <c r="D104"/>
      <c r="E104" s="97">
        <v>46037</v>
      </c>
      <c r="F104" t="s">
        <v>43</v>
      </c>
      <c r="G104" t="s">
        <v>19</v>
      </c>
      <c r="H104" t="s">
        <v>27</v>
      </c>
      <c r="I104" s="77"/>
      <c r="J104" s="77"/>
      <c r="K104" s="77"/>
      <c r="L104" s="22"/>
      <c r="M104" s="22"/>
      <c r="N104" s="98"/>
      <c r="O104" s="22"/>
      <c r="P104" s="22"/>
      <c r="Q104" s="22"/>
      <c r="R104" s="22"/>
      <c r="S104" s="104"/>
      <c r="T104" s="104"/>
      <c r="U104" s="22"/>
      <c r="V104" s="104"/>
      <c r="W104" s="22"/>
      <c r="X104" s="22"/>
      <c r="Y104" s="22"/>
      <c r="Z104" s="104"/>
      <c r="AA104" s="104"/>
      <c r="AB104" s="104"/>
      <c r="AC104" s="22"/>
      <c r="AD104" s="22"/>
      <c r="AE104" s="22"/>
      <c r="AF104" s="124"/>
      <c r="AG104" s="124"/>
      <c r="AH104" s="22"/>
      <c r="AI104" s="104"/>
      <c r="AJ104" s="22"/>
      <c r="AK104" s="22"/>
      <c r="AL104" s="22"/>
      <c r="AM104" s="22"/>
      <c r="AN104" s="22"/>
      <c r="AO104" s="104"/>
      <c r="AP104" s="22"/>
      <c r="AQ104" s="22"/>
      <c r="AR104" s="22"/>
      <c r="AS104" s="22"/>
      <c r="AT104" s="22"/>
      <c r="AU104" s="22"/>
      <c r="AV104" s="22"/>
      <c r="AW104" s="22"/>
      <c r="AX104" s="22"/>
      <c r="AY104" s="104">
        <v>0.01</v>
      </c>
      <c r="AZ104" s="104"/>
      <c r="BA104" s="104"/>
      <c r="BB104" s="104">
        <v>0.495</v>
      </c>
      <c r="BC104" s="124">
        <v>0.495</v>
      </c>
      <c r="BD104" s="124"/>
      <c r="BE104" s="104"/>
      <c r="BF104" s="22"/>
      <c r="BG104" s="22"/>
      <c r="BH104" s="22"/>
      <c r="BI104" s="78">
        <f t="shared" si="483"/>
        <v>1</v>
      </c>
      <c r="BJ104" s="23"/>
      <c r="BK104" s="23"/>
      <c r="BL104" s="23"/>
      <c r="BM104" s="23"/>
      <c r="BN104" s="23"/>
      <c r="BO104" s="99"/>
      <c r="BP104" s="23"/>
      <c r="BQ104" s="23"/>
      <c r="BR104" s="23"/>
      <c r="BS104" s="23"/>
      <c r="BT104" s="105"/>
      <c r="BU104" s="23"/>
      <c r="BV104" s="23"/>
      <c r="BW104" s="105"/>
      <c r="BX104" s="23"/>
      <c r="BY104" s="23"/>
      <c r="BZ104" s="23"/>
      <c r="CA104" s="105"/>
      <c r="CB104" s="105"/>
      <c r="CC104" s="105"/>
      <c r="CD104" s="23"/>
      <c r="CE104" s="23"/>
      <c r="CF104" s="71"/>
      <c r="CG104" s="128"/>
      <c r="CH104" s="128"/>
      <c r="CI104" s="23"/>
      <c r="CJ104" s="105"/>
      <c r="CK104" s="23"/>
      <c r="CL104" s="105"/>
      <c r="CM104" s="23"/>
      <c r="CN104" s="23"/>
      <c r="CO104" s="23"/>
      <c r="CP104" s="105"/>
      <c r="CQ104" s="23"/>
      <c r="CR104" s="23"/>
      <c r="CS104" s="23"/>
      <c r="CT104" s="23"/>
      <c r="CU104" s="23"/>
      <c r="CV104" s="23"/>
      <c r="CW104" s="23"/>
      <c r="CX104" s="23"/>
      <c r="CY104" s="23"/>
      <c r="CZ104" s="23"/>
      <c r="DA104" s="23"/>
      <c r="DB104" s="99"/>
      <c r="DC104" s="99"/>
      <c r="DD104" s="125"/>
      <c r="DE104" s="125"/>
      <c r="DF104" s="105"/>
      <c r="DG104" s="23"/>
      <c r="DH104" s="23"/>
      <c r="DI104" s="23"/>
      <c r="DJ104" s="79">
        <f t="shared" si="460"/>
        <v>0</v>
      </c>
      <c r="DK104" s="24"/>
      <c r="DL104" s="24"/>
      <c r="DM104" s="24"/>
      <c r="DN104" s="24"/>
      <c r="DO104" s="24"/>
      <c r="DP104" s="103"/>
      <c r="DQ104" s="24"/>
      <c r="DR104" s="24"/>
      <c r="DS104" s="108"/>
      <c r="DT104" s="24"/>
      <c r="DU104" s="108"/>
      <c r="DV104" s="24"/>
      <c r="DW104" s="24"/>
      <c r="DX104" s="108"/>
      <c r="DY104" s="24"/>
      <c r="DZ104" s="24"/>
      <c r="EA104" s="108"/>
      <c r="EB104" s="108"/>
      <c r="EC104" s="108"/>
      <c r="ED104" s="108"/>
      <c r="EE104" s="24"/>
      <c r="EF104" s="24"/>
      <c r="EG104" s="24"/>
      <c r="EH104" s="129"/>
      <c r="EI104" s="129"/>
      <c r="EJ104" s="24"/>
      <c r="EK104" s="24"/>
      <c r="EL104" s="24"/>
      <c r="EM104" s="24"/>
      <c r="EN104" s="24"/>
      <c r="EO104" s="24"/>
      <c r="EP104" s="24"/>
      <c r="EQ104" s="108"/>
      <c r="ER104" s="24"/>
      <c r="ES104" s="25"/>
      <c r="ET104" s="25"/>
      <c r="EU104" s="25"/>
      <c r="EV104" s="25"/>
      <c r="EW104" s="25"/>
      <c r="EX104" s="25"/>
      <c r="EY104" s="25"/>
      <c r="EZ104" s="25"/>
      <c r="FA104" s="106"/>
      <c r="FB104" s="25"/>
      <c r="FC104" s="100"/>
      <c r="FD104" s="100"/>
      <c r="FE104" s="126"/>
      <c r="FF104" s="126"/>
      <c r="FG104" s="106"/>
      <c r="FH104" s="25"/>
      <c r="FI104" s="25"/>
      <c r="FJ104" s="106"/>
      <c r="FK104" s="17">
        <f t="shared" si="482"/>
        <v>0</v>
      </c>
      <c r="FL104" s="18"/>
      <c r="FM104" s="19">
        <f t="shared" si="298"/>
        <v>0</v>
      </c>
      <c r="FN104" s="19">
        <f t="shared" si="299"/>
        <v>0</v>
      </c>
      <c r="FO104" s="19">
        <f t="shared" si="300"/>
        <v>0</v>
      </c>
      <c r="FP104" s="19">
        <f t="shared" si="301"/>
        <v>0</v>
      </c>
      <c r="FQ104" s="19">
        <f t="shared" si="302"/>
        <v>0</v>
      </c>
      <c r="FR104" s="19">
        <f t="shared" si="303"/>
        <v>0</v>
      </c>
      <c r="FS104" s="19">
        <f t="shared" si="304"/>
        <v>0</v>
      </c>
      <c r="FT104" s="19">
        <f t="shared" si="305"/>
        <v>0</v>
      </c>
      <c r="FU104" s="19">
        <f t="shared" si="306"/>
        <v>0</v>
      </c>
      <c r="FV104" s="19">
        <f t="shared" si="307"/>
        <v>0</v>
      </c>
      <c r="FW104" s="19">
        <f t="shared" si="308"/>
        <v>0</v>
      </c>
      <c r="FX104" s="19">
        <f t="shared" si="309"/>
        <v>0</v>
      </c>
      <c r="FY104" s="19">
        <f t="shared" si="310"/>
        <v>0</v>
      </c>
      <c r="FZ104" s="19">
        <f t="shared" si="311"/>
        <v>0</v>
      </c>
      <c r="GA104" s="19">
        <f t="shared" si="312"/>
        <v>0</v>
      </c>
      <c r="GB104" s="19">
        <f t="shared" si="313"/>
        <v>0</v>
      </c>
      <c r="GC104" s="19">
        <f t="shared" si="314"/>
        <v>0</v>
      </c>
      <c r="GD104" s="19">
        <f t="shared" si="315"/>
        <v>0</v>
      </c>
      <c r="GE104" s="19">
        <f t="shared" si="316"/>
        <v>0</v>
      </c>
      <c r="GF104" s="19">
        <f t="shared" si="317"/>
        <v>0</v>
      </c>
      <c r="GG104" s="19">
        <f t="shared" si="318"/>
        <v>0</v>
      </c>
      <c r="GH104" s="19">
        <f t="shared" si="319"/>
        <v>0</v>
      </c>
      <c r="GI104" s="19">
        <f t="shared" si="320"/>
        <v>0</v>
      </c>
      <c r="GJ104" s="19">
        <f t="shared" si="321"/>
        <v>0</v>
      </c>
      <c r="GK104" s="19">
        <f t="shared" si="322"/>
        <v>0</v>
      </c>
      <c r="GL104" s="19">
        <f t="shared" si="323"/>
        <v>0</v>
      </c>
      <c r="GM104" s="19">
        <f t="shared" si="324"/>
        <v>0</v>
      </c>
      <c r="GN104" s="19">
        <f t="shared" si="325"/>
        <v>0</v>
      </c>
      <c r="GO104" s="19">
        <f t="shared" si="326"/>
        <v>0</v>
      </c>
      <c r="GP104" s="19">
        <f t="shared" si="327"/>
        <v>0</v>
      </c>
      <c r="GQ104" s="19">
        <f t="shared" si="328"/>
        <v>0</v>
      </c>
      <c r="GR104" s="19">
        <f t="shared" si="329"/>
        <v>0</v>
      </c>
      <c r="GS104" s="19">
        <f t="shared" si="330"/>
        <v>0</v>
      </c>
      <c r="GT104" s="19">
        <f t="shared" si="331"/>
        <v>0</v>
      </c>
      <c r="GU104" s="19">
        <f t="shared" si="332"/>
        <v>0</v>
      </c>
      <c r="GV104" s="19">
        <f t="shared" si="333"/>
        <v>0</v>
      </c>
      <c r="GW104" s="19">
        <f t="shared" si="334"/>
        <v>0</v>
      </c>
      <c r="GX104" s="19">
        <f t="shared" si="335"/>
        <v>0</v>
      </c>
      <c r="GY104" s="19">
        <f t="shared" si="336"/>
        <v>0</v>
      </c>
      <c r="GZ104" s="19">
        <f t="shared" si="337"/>
        <v>0</v>
      </c>
      <c r="HA104" s="19">
        <f t="shared" si="338"/>
        <v>0</v>
      </c>
      <c r="HB104" s="19">
        <f t="shared" si="339"/>
        <v>0</v>
      </c>
      <c r="HC104" s="19">
        <f t="shared" si="340"/>
        <v>1.4999999999999999E-2</v>
      </c>
      <c r="HD104" s="19">
        <f t="shared" si="341"/>
        <v>0</v>
      </c>
      <c r="HE104" s="19">
        <f t="shared" si="342"/>
        <v>0</v>
      </c>
      <c r="HF104" s="19">
        <f t="shared" si="343"/>
        <v>0.74249999999999994</v>
      </c>
      <c r="HG104" s="19">
        <f t="shared" si="344"/>
        <v>0.74249999999999994</v>
      </c>
      <c r="HH104" s="19">
        <f t="shared" si="345"/>
        <v>0</v>
      </c>
      <c r="HI104" s="19">
        <f t="shared" si="346"/>
        <v>0</v>
      </c>
      <c r="HJ104" s="19">
        <f t="shared" si="347"/>
        <v>0</v>
      </c>
      <c r="HK104" s="19">
        <f t="shared" si="348"/>
        <v>0</v>
      </c>
      <c r="HL104" s="19">
        <f t="shared" si="349"/>
        <v>0</v>
      </c>
      <c r="HM104" s="20">
        <f t="shared" si="350"/>
        <v>1.5</v>
      </c>
      <c r="HN104" s="53">
        <v>646</v>
      </c>
      <c r="HO104" s="21">
        <f t="shared" si="351"/>
        <v>0</v>
      </c>
      <c r="HP104" s="21">
        <f t="shared" si="352"/>
        <v>0</v>
      </c>
      <c r="HQ104" s="21">
        <f t="shared" si="353"/>
        <v>0</v>
      </c>
      <c r="HR104" s="21">
        <f t="shared" si="354"/>
        <v>0</v>
      </c>
      <c r="HS104" s="21">
        <f t="shared" si="355"/>
        <v>0</v>
      </c>
      <c r="HT104" s="69">
        <f t="shared" si="356"/>
        <v>0</v>
      </c>
      <c r="HU104" s="21">
        <f t="shared" si="357"/>
        <v>0</v>
      </c>
      <c r="HV104" s="21">
        <f t="shared" si="358"/>
        <v>0</v>
      </c>
      <c r="HW104" s="21">
        <f t="shared" si="359"/>
        <v>0</v>
      </c>
      <c r="HX104" s="21">
        <f t="shared" si="360"/>
        <v>0</v>
      </c>
      <c r="HY104" s="21">
        <f t="shared" si="361"/>
        <v>0</v>
      </c>
      <c r="HZ104" s="21">
        <f t="shared" si="362"/>
        <v>0</v>
      </c>
      <c r="IA104" s="21">
        <f t="shared" si="363"/>
        <v>0</v>
      </c>
      <c r="IB104" s="21">
        <f t="shared" si="364"/>
        <v>0</v>
      </c>
      <c r="IC104" s="21">
        <f t="shared" si="365"/>
        <v>0</v>
      </c>
      <c r="ID104" s="21">
        <f t="shared" si="366"/>
        <v>0</v>
      </c>
      <c r="IE104" s="21">
        <f t="shared" si="367"/>
        <v>0</v>
      </c>
      <c r="IF104" s="69">
        <f t="shared" si="368"/>
        <v>0</v>
      </c>
      <c r="IG104" s="69">
        <f t="shared" si="369"/>
        <v>0</v>
      </c>
      <c r="IH104" s="69">
        <f t="shared" si="370"/>
        <v>0</v>
      </c>
      <c r="II104" s="21">
        <f t="shared" si="371"/>
        <v>0</v>
      </c>
      <c r="IJ104" s="21">
        <f t="shared" si="372"/>
        <v>0</v>
      </c>
      <c r="IK104" s="21">
        <f t="shared" si="373"/>
        <v>0</v>
      </c>
      <c r="IL104" s="21">
        <f t="shared" si="374"/>
        <v>0</v>
      </c>
      <c r="IM104" s="21">
        <f t="shared" si="375"/>
        <v>0</v>
      </c>
      <c r="IN104" s="21">
        <f t="shared" si="376"/>
        <v>0</v>
      </c>
      <c r="IO104" s="21">
        <f t="shared" si="377"/>
        <v>0</v>
      </c>
      <c r="IP104" s="21">
        <f t="shared" si="378"/>
        <v>0</v>
      </c>
      <c r="IQ104" s="21">
        <f t="shared" si="379"/>
        <v>0</v>
      </c>
      <c r="IR104" s="21">
        <f t="shared" si="380"/>
        <v>0</v>
      </c>
      <c r="IS104" s="21">
        <f t="shared" si="381"/>
        <v>0</v>
      </c>
      <c r="IT104" s="21">
        <f t="shared" si="382"/>
        <v>0</v>
      </c>
      <c r="IU104" s="21">
        <f t="shared" si="383"/>
        <v>0</v>
      </c>
      <c r="IV104" s="21">
        <f t="shared" si="384"/>
        <v>0</v>
      </c>
      <c r="IW104" s="21">
        <f t="shared" si="385"/>
        <v>0</v>
      </c>
      <c r="IX104" s="21">
        <f t="shared" si="386"/>
        <v>0</v>
      </c>
      <c r="IY104" s="21">
        <f t="shared" si="387"/>
        <v>0</v>
      </c>
      <c r="IZ104" s="21">
        <f t="shared" si="388"/>
        <v>0</v>
      </c>
      <c r="JA104" s="21">
        <f t="shared" si="389"/>
        <v>0</v>
      </c>
      <c r="JB104" s="21">
        <f t="shared" si="390"/>
        <v>0</v>
      </c>
      <c r="JC104" s="21">
        <f t="shared" si="391"/>
        <v>0</v>
      </c>
      <c r="JD104" s="21">
        <f t="shared" si="392"/>
        <v>0</v>
      </c>
      <c r="JE104" s="21">
        <f t="shared" si="393"/>
        <v>6.46</v>
      </c>
      <c r="JF104" s="21">
        <f t="shared" si="394"/>
        <v>0</v>
      </c>
      <c r="JG104" s="21">
        <f t="shared" si="395"/>
        <v>0</v>
      </c>
      <c r="JH104" s="21">
        <f t="shared" si="396"/>
        <v>319.77</v>
      </c>
      <c r="JI104" s="21">
        <f t="shared" si="397"/>
        <v>319.77</v>
      </c>
      <c r="JJ104" s="21">
        <f t="shared" si="398"/>
        <v>0</v>
      </c>
      <c r="JK104" s="21">
        <f t="shared" si="399"/>
        <v>0</v>
      </c>
      <c r="JL104" s="21">
        <f t="shared" si="400"/>
        <v>0</v>
      </c>
      <c r="JM104" s="21">
        <f t="shared" si="401"/>
        <v>0</v>
      </c>
      <c r="JN104" s="21">
        <f t="shared" si="402"/>
        <v>0</v>
      </c>
      <c r="JO104" s="35">
        <f t="shared" si="403"/>
        <v>646</v>
      </c>
      <c r="JP104" s="38">
        <f t="shared" si="404"/>
        <v>0</v>
      </c>
      <c r="JQ104" s="43">
        <f t="shared" si="405"/>
        <v>0</v>
      </c>
      <c r="JR104" s="43">
        <f t="shared" si="406"/>
        <v>0</v>
      </c>
      <c r="JS104" s="43">
        <f t="shared" si="407"/>
        <v>0</v>
      </c>
      <c r="JT104" s="43">
        <f t="shared" si="408"/>
        <v>0</v>
      </c>
      <c r="JU104" s="43">
        <f t="shared" si="409"/>
        <v>0</v>
      </c>
      <c r="JV104" s="43">
        <f t="shared" si="410"/>
        <v>0</v>
      </c>
      <c r="JW104" s="43">
        <f t="shared" si="411"/>
        <v>0</v>
      </c>
      <c r="JX104" s="43">
        <f t="shared" si="412"/>
        <v>0</v>
      </c>
      <c r="JY104" s="43">
        <f t="shared" si="413"/>
        <v>0</v>
      </c>
      <c r="JZ104" s="43">
        <f t="shared" si="414"/>
        <v>0</v>
      </c>
      <c r="KA104" s="43">
        <f t="shared" si="415"/>
        <v>0</v>
      </c>
      <c r="KB104" s="43">
        <f t="shared" si="416"/>
        <v>0</v>
      </c>
      <c r="KC104" s="43">
        <f t="shared" si="417"/>
        <v>0</v>
      </c>
      <c r="KD104" s="43">
        <f t="shared" si="418"/>
        <v>0</v>
      </c>
      <c r="KE104" s="43">
        <f t="shared" si="419"/>
        <v>0</v>
      </c>
      <c r="KF104" s="43">
        <f t="shared" si="420"/>
        <v>0</v>
      </c>
      <c r="KG104" s="43">
        <f t="shared" si="421"/>
        <v>0</v>
      </c>
      <c r="KH104" s="43">
        <f t="shared" si="422"/>
        <v>0</v>
      </c>
      <c r="KI104" s="43">
        <f t="shared" si="423"/>
        <v>0</v>
      </c>
      <c r="KJ104" s="43">
        <f t="shared" si="424"/>
        <v>0</v>
      </c>
      <c r="KK104" s="43">
        <f t="shared" si="425"/>
        <v>0</v>
      </c>
      <c r="KL104" s="43">
        <f t="shared" si="426"/>
        <v>0</v>
      </c>
      <c r="KM104" s="43">
        <f t="shared" si="427"/>
        <v>0</v>
      </c>
      <c r="KN104" s="43">
        <f t="shared" si="428"/>
        <v>0</v>
      </c>
      <c r="KO104" s="43">
        <f t="shared" si="429"/>
        <v>0</v>
      </c>
      <c r="KP104" s="43">
        <f t="shared" si="430"/>
        <v>0</v>
      </c>
      <c r="KQ104" s="43">
        <f t="shared" si="431"/>
        <v>0</v>
      </c>
      <c r="KR104" s="43">
        <f t="shared" si="432"/>
        <v>0</v>
      </c>
      <c r="KS104" s="43">
        <f t="shared" si="433"/>
        <v>0</v>
      </c>
      <c r="KT104" s="43">
        <f t="shared" si="434"/>
        <v>0</v>
      </c>
      <c r="KU104" s="43">
        <f t="shared" si="435"/>
        <v>0</v>
      </c>
      <c r="KV104" s="43">
        <f t="shared" si="436"/>
        <v>0</v>
      </c>
      <c r="KW104" s="43">
        <f t="shared" si="437"/>
        <v>0</v>
      </c>
      <c r="KX104" s="43">
        <f t="shared" si="438"/>
        <v>0</v>
      </c>
      <c r="KY104" s="43">
        <f t="shared" si="439"/>
        <v>0</v>
      </c>
      <c r="KZ104" s="43">
        <f t="shared" si="440"/>
        <v>0</v>
      </c>
      <c r="LA104" s="43">
        <f t="shared" si="441"/>
        <v>0</v>
      </c>
      <c r="LB104" s="43">
        <f t="shared" si="442"/>
        <v>0</v>
      </c>
      <c r="LC104" s="43">
        <f t="shared" si="443"/>
        <v>0</v>
      </c>
      <c r="LD104" s="43">
        <f t="shared" si="444"/>
        <v>0</v>
      </c>
      <c r="LE104" s="43">
        <f t="shared" si="445"/>
        <v>0</v>
      </c>
      <c r="LF104" s="43">
        <f t="shared" si="446"/>
        <v>0</v>
      </c>
      <c r="LG104" s="43">
        <f t="shared" si="447"/>
        <v>66.667200000000008</v>
      </c>
      <c r="LH104" s="43">
        <f t="shared" si="448"/>
        <v>0</v>
      </c>
      <c r="LI104" s="43">
        <f t="shared" si="449"/>
        <v>0</v>
      </c>
      <c r="LJ104" s="43">
        <f t="shared" si="450"/>
        <v>1539.8716212000002</v>
      </c>
      <c r="LK104" s="43">
        <f t="shared" si="451"/>
        <v>1280.9186774999998</v>
      </c>
      <c r="LL104" s="43">
        <f t="shared" si="452"/>
        <v>0</v>
      </c>
      <c r="LM104" s="43">
        <f t="shared" si="453"/>
        <v>0</v>
      </c>
      <c r="LN104" s="43">
        <f t="shared" si="454"/>
        <v>0</v>
      </c>
      <c r="LO104" s="43">
        <f t="shared" si="455"/>
        <v>0</v>
      </c>
      <c r="LP104" s="43">
        <f t="shared" si="456"/>
        <v>0</v>
      </c>
      <c r="LQ104" s="28">
        <f t="shared" si="457"/>
        <v>2887.4574987000001</v>
      </c>
      <c r="LR104" s="65">
        <v>608</v>
      </c>
      <c r="LS104" s="32">
        <f t="shared" si="462"/>
        <v>4.7491077281249998</v>
      </c>
      <c r="LT104" s="26">
        <f t="shared" si="463"/>
        <v>1.2975704175204916</v>
      </c>
      <c r="LU104" s="31">
        <f t="shared" si="458"/>
        <v>38</v>
      </c>
      <c r="LW104" s="42"/>
      <c r="MA104" s="32">
        <f t="shared" si="459"/>
        <v>4.46974845</v>
      </c>
      <c r="MB104" s="26">
        <f t="shared" si="464"/>
        <v>1.2212427459016393</v>
      </c>
    </row>
    <row r="105" spans="1:340" ht="15.75" thickBot="1">
      <c r="A105" t="b">
        <f t="shared" si="297"/>
        <v>1</v>
      </c>
      <c r="B105" s="123" t="s">
        <v>276</v>
      </c>
      <c r="C105" s="39" t="s">
        <v>78</v>
      </c>
      <c r="D105"/>
      <c r="E105" s="97">
        <v>46037</v>
      </c>
      <c r="F105" t="s">
        <v>43</v>
      </c>
      <c r="G105" t="s">
        <v>19</v>
      </c>
      <c r="H105" t="s">
        <v>27</v>
      </c>
      <c r="I105" s="77"/>
      <c r="J105" s="77"/>
      <c r="K105" s="77"/>
      <c r="L105" s="22"/>
      <c r="M105" s="22"/>
      <c r="N105" s="98"/>
      <c r="O105" s="22"/>
      <c r="P105" s="22"/>
      <c r="Q105" s="22"/>
      <c r="R105" s="22"/>
      <c r="S105" s="104"/>
      <c r="T105" s="22"/>
      <c r="U105" s="22"/>
      <c r="V105" s="104"/>
      <c r="W105" s="22"/>
      <c r="X105" s="22"/>
      <c r="Y105" s="22"/>
      <c r="Z105" s="104"/>
      <c r="AA105" s="104"/>
      <c r="AB105" s="104"/>
      <c r="AC105" s="22"/>
      <c r="AD105" s="22"/>
      <c r="AE105" s="22"/>
      <c r="AF105" s="124"/>
      <c r="AG105" s="124"/>
      <c r="AH105" s="22"/>
      <c r="AI105" s="104"/>
      <c r="AJ105" s="22"/>
      <c r="AK105" s="22"/>
      <c r="AL105" s="22"/>
      <c r="AM105" s="22"/>
      <c r="AN105" s="22"/>
      <c r="AO105" s="104"/>
      <c r="AP105" s="22"/>
      <c r="AQ105" s="22"/>
      <c r="AR105" s="22"/>
      <c r="AS105" s="22"/>
      <c r="AT105" s="22"/>
      <c r="AU105" s="22"/>
      <c r="AV105" s="22"/>
      <c r="AW105" s="22"/>
      <c r="AX105" s="22"/>
      <c r="AY105" s="104">
        <v>0.01</v>
      </c>
      <c r="AZ105" s="104"/>
      <c r="BA105" s="104"/>
      <c r="BB105" s="104">
        <v>0.495</v>
      </c>
      <c r="BC105" s="124">
        <v>0.495</v>
      </c>
      <c r="BD105" s="124"/>
      <c r="BE105" s="104"/>
      <c r="BF105" s="22"/>
      <c r="BG105" s="22"/>
      <c r="BH105" s="22"/>
      <c r="BI105" s="78">
        <f t="shared" si="483"/>
        <v>1</v>
      </c>
      <c r="BJ105" s="23"/>
      <c r="BK105" s="23"/>
      <c r="BL105" s="23"/>
      <c r="BM105" s="23"/>
      <c r="BN105" s="23"/>
      <c r="BO105" s="99"/>
      <c r="BP105" s="23"/>
      <c r="BQ105" s="23"/>
      <c r="BR105" s="23"/>
      <c r="BS105" s="23"/>
      <c r="BT105" s="105"/>
      <c r="BU105" s="23"/>
      <c r="BV105" s="23"/>
      <c r="BW105" s="105"/>
      <c r="BX105" s="23"/>
      <c r="BY105" s="23"/>
      <c r="BZ105" s="23"/>
      <c r="CA105" s="105"/>
      <c r="CB105" s="105"/>
      <c r="CC105" s="105"/>
      <c r="CD105" s="23"/>
      <c r="CE105" s="23"/>
      <c r="CF105" s="71"/>
      <c r="CG105" s="128"/>
      <c r="CH105" s="128"/>
      <c r="CI105" s="23"/>
      <c r="CJ105" s="23"/>
      <c r="CK105" s="23"/>
      <c r="CL105" s="23"/>
      <c r="CM105" s="23"/>
      <c r="CN105" s="23"/>
      <c r="CO105" s="23"/>
      <c r="CP105" s="105"/>
      <c r="CQ105" s="23"/>
      <c r="CR105" s="23"/>
      <c r="CS105" s="23"/>
      <c r="CT105" s="23"/>
      <c r="CU105" s="23"/>
      <c r="CV105" s="23"/>
      <c r="CW105" s="23"/>
      <c r="CX105" s="23"/>
      <c r="CY105" s="23"/>
      <c r="CZ105" s="23"/>
      <c r="DA105" s="23"/>
      <c r="DB105" s="99"/>
      <c r="DC105" s="99"/>
      <c r="DD105" s="125"/>
      <c r="DE105" s="125"/>
      <c r="DF105" s="105"/>
      <c r="DG105" s="23"/>
      <c r="DH105" s="23"/>
      <c r="DI105" s="23"/>
      <c r="DJ105" s="79">
        <f t="shared" si="460"/>
        <v>0</v>
      </c>
      <c r="DK105" s="24"/>
      <c r="DL105" s="24"/>
      <c r="DM105" s="24"/>
      <c r="DN105" s="24"/>
      <c r="DO105" s="24"/>
      <c r="DP105" s="103"/>
      <c r="DQ105" s="24"/>
      <c r="DR105" s="24"/>
      <c r="DS105" s="24"/>
      <c r="DT105" s="24"/>
      <c r="DU105" s="108"/>
      <c r="DV105" s="24"/>
      <c r="DW105" s="24"/>
      <c r="DX105" s="108"/>
      <c r="DY105" s="24"/>
      <c r="DZ105" s="24"/>
      <c r="EA105" s="24"/>
      <c r="EB105" s="108"/>
      <c r="EC105" s="108"/>
      <c r="ED105" s="108"/>
      <c r="EE105" s="24"/>
      <c r="EF105" s="24"/>
      <c r="EG105" s="24"/>
      <c r="EH105" s="129"/>
      <c r="EI105" s="129"/>
      <c r="EJ105" s="24"/>
      <c r="EK105" s="24"/>
      <c r="EL105" s="24"/>
      <c r="EM105" s="24"/>
      <c r="EN105" s="24"/>
      <c r="EO105" s="24"/>
      <c r="EP105" s="24"/>
      <c r="EQ105" s="108"/>
      <c r="ER105" s="24"/>
      <c r="ES105" s="25"/>
      <c r="ET105" s="25"/>
      <c r="EU105" s="25"/>
      <c r="EV105" s="25"/>
      <c r="EW105" s="25"/>
      <c r="EX105" s="25"/>
      <c r="EY105" s="25"/>
      <c r="EZ105" s="25"/>
      <c r="FA105" s="25"/>
      <c r="FB105" s="25"/>
      <c r="FC105" s="100"/>
      <c r="FD105" s="100"/>
      <c r="FE105" s="126"/>
      <c r="FF105" s="126"/>
      <c r="FG105" s="106"/>
      <c r="FH105" s="25"/>
      <c r="FI105" s="25"/>
      <c r="FJ105" s="25"/>
      <c r="FK105" s="17">
        <f t="shared" si="482"/>
        <v>0</v>
      </c>
      <c r="FL105" s="18"/>
      <c r="FM105" s="19">
        <f t="shared" si="298"/>
        <v>0</v>
      </c>
      <c r="FN105" s="19">
        <f t="shared" si="299"/>
        <v>0</v>
      </c>
      <c r="FO105" s="19">
        <f t="shared" si="300"/>
        <v>0</v>
      </c>
      <c r="FP105" s="19">
        <f t="shared" si="301"/>
        <v>0</v>
      </c>
      <c r="FQ105" s="19">
        <f t="shared" si="302"/>
        <v>0</v>
      </c>
      <c r="FR105" s="19">
        <f t="shared" si="303"/>
        <v>0</v>
      </c>
      <c r="FS105" s="19">
        <f t="shared" si="304"/>
        <v>0</v>
      </c>
      <c r="FT105" s="19">
        <f t="shared" si="305"/>
        <v>0</v>
      </c>
      <c r="FU105" s="19">
        <f t="shared" si="306"/>
        <v>0</v>
      </c>
      <c r="FV105" s="19">
        <f t="shared" si="307"/>
        <v>0</v>
      </c>
      <c r="FW105" s="19">
        <f t="shared" si="308"/>
        <v>0</v>
      </c>
      <c r="FX105" s="19">
        <f t="shared" si="309"/>
        <v>0</v>
      </c>
      <c r="FY105" s="19">
        <f t="shared" si="310"/>
        <v>0</v>
      </c>
      <c r="FZ105" s="19">
        <f t="shared" si="311"/>
        <v>0</v>
      </c>
      <c r="GA105" s="19">
        <f t="shared" si="312"/>
        <v>0</v>
      </c>
      <c r="GB105" s="19">
        <f t="shared" si="313"/>
        <v>0</v>
      </c>
      <c r="GC105" s="19">
        <f t="shared" si="314"/>
        <v>0</v>
      </c>
      <c r="GD105" s="19">
        <f t="shared" si="315"/>
        <v>0</v>
      </c>
      <c r="GE105" s="19">
        <f t="shared" si="316"/>
        <v>0</v>
      </c>
      <c r="GF105" s="19">
        <f t="shared" si="317"/>
        <v>0</v>
      </c>
      <c r="GG105" s="19">
        <f t="shared" si="318"/>
        <v>0</v>
      </c>
      <c r="GH105" s="19">
        <f t="shared" si="319"/>
        <v>0</v>
      </c>
      <c r="GI105" s="19">
        <f t="shared" si="320"/>
        <v>0</v>
      </c>
      <c r="GJ105" s="19">
        <f t="shared" si="321"/>
        <v>0</v>
      </c>
      <c r="GK105" s="19">
        <f t="shared" si="322"/>
        <v>0</v>
      </c>
      <c r="GL105" s="19">
        <f t="shared" si="323"/>
        <v>0</v>
      </c>
      <c r="GM105" s="19">
        <f t="shared" si="324"/>
        <v>0</v>
      </c>
      <c r="GN105" s="19">
        <f t="shared" si="325"/>
        <v>0</v>
      </c>
      <c r="GO105" s="19">
        <f t="shared" si="326"/>
        <v>0</v>
      </c>
      <c r="GP105" s="19">
        <f t="shared" si="327"/>
        <v>0</v>
      </c>
      <c r="GQ105" s="19">
        <f t="shared" si="328"/>
        <v>0</v>
      </c>
      <c r="GR105" s="19">
        <f t="shared" si="329"/>
        <v>0</v>
      </c>
      <c r="GS105" s="19">
        <f t="shared" si="330"/>
        <v>0</v>
      </c>
      <c r="GT105" s="19">
        <f t="shared" si="331"/>
        <v>0</v>
      </c>
      <c r="GU105" s="19">
        <f t="shared" si="332"/>
        <v>0</v>
      </c>
      <c r="GV105" s="19">
        <f t="shared" si="333"/>
        <v>0</v>
      </c>
      <c r="GW105" s="19">
        <f t="shared" si="334"/>
        <v>0</v>
      </c>
      <c r="GX105" s="19">
        <f t="shared" si="335"/>
        <v>0</v>
      </c>
      <c r="GY105" s="19">
        <f t="shared" si="336"/>
        <v>0</v>
      </c>
      <c r="GZ105" s="19">
        <f t="shared" si="337"/>
        <v>0</v>
      </c>
      <c r="HA105" s="19">
        <f t="shared" si="338"/>
        <v>0</v>
      </c>
      <c r="HB105" s="19">
        <f t="shared" si="339"/>
        <v>0</v>
      </c>
      <c r="HC105" s="19">
        <f t="shared" si="340"/>
        <v>1.4999999999999999E-2</v>
      </c>
      <c r="HD105" s="19">
        <f t="shared" si="341"/>
        <v>0</v>
      </c>
      <c r="HE105" s="19">
        <f t="shared" si="342"/>
        <v>0</v>
      </c>
      <c r="HF105" s="19">
        <f t="shared" si="343"/>
        <v>0.74249999999999994</v>
      </c>
      <c r="HG105" s="19">
        <f t="shared" si="344"/>
        <v>0.74249999999999994</v>
      </c>
      <c r="HH105" s="19">
        <f t="shared" si="345"/>
        <v>0</v>
      </c>
      <c r="HI105" s="19">
        <f t="shared" si="346"/>
        <v>0</v>
      </c>
      <c r="HJ105" s="19">
        <f t="shared" si="347"/>
        <v>0</v>
      </c>
      <c r="HK105" s="19">
        <f t="shared" si="348"/>
        <v>0</v>
      </c>
      <c r="HL105" s="19">
        <f t="shared" si="349"/>
        <v>0</v>
      </c>
      <c r="HM105" s="20">
        <f t="shared" si="350"/>
        <v>1.5</v>
      </c>
      <c r="HN105" s="53">
        <v>1250</v>
      </c>
      <c r="HO105" s="21">
        <f t="shared" si="351"/>
        <v>0</v>
      </c>
      <c r="HP105" s="21">
        <f t="shared" si="352"/>
        <v>0</v>
      </c>
      <c r="HQ105" s="21">
        <f t="shared" si="353"/>
        <v>0</v>
      </c>
      <c r="HR105" s="21">
        <f t="shared" si="354"/>
        <v>0</v>
      </c>
      <c r="HS105" s="21">
        <f t="shared" si="355"/>
        <v>0</v>
      </c>
      <c r="HT105" s="69">
        <f t="shared" si="356"/>
        <v>0</v>
      </c>
      <c r="HU105" s="21">
        <f t="shared" si="357"/>
        <v>0</v>
      </c>
      <c r="HV105" s="21">
        <f t="shared" si="358"/>
        <v>0</v>
      </c>
      <c r="HW105" s="21">
        <f t="shared" si="359"/>
        <v>0</v>
      </c>
      <c r="HX105" s="21">
        <f t="shared" si="360"/>
        <v>0</v>
      </c>
      <c r="HY105" s="21">
        <f t="shared" si="361"/>
        <v>0</v>
      </c>
      <c r="HZ105" s="21">
        <f t="shared" si="362"/>
        <v>0</v>
      </c>
      <c r="IA105" s="21">
        <f t="shared" si="363"/>
        <v>0</v>
      </c>
      <c r="IB105" s="21">
        <f t="shared" si="364"/>
        <v>0</v>
      </c>
      <c r="IC105" s="21">
        <f t="shared" si="365"/>
        <v>0</v>
      </c>
      <c r="ID105" s="21">
        <f t="shared" si="366"/>
        <v>0</v>
      </c>
      <c r="IE105" s="21">
        <f t="shared" si="367"/>
        <v>0</v>
      </c>
      <c r="IF105" s="69">
        <f t="shared" si="368"/>
        <v>0</v>
      </c>
      <c r="IG105" s="69">
        <f t="shared" si="369"/>
        <v>0</v>
      </c>
      <c r="IH105" s="69">
        <f t="shared" si="370"/>
        <v>0</v>
      </c>
      <c r="II105" s="21">
        <f t="shared" si="371"/>
        <v>0</v>
      </c>
      <c r="IJ105" s="21">
        <f t="shared" si="372"/>
        <v>0</v>
      </c>
      <c r="IK105" s="21">
        <f t="shared" si="373"/>
        <v>0</v>
      </c>
      <c r="IL105" s="21">
        <f t="shared" si="374"/>
        <v>0</v>
      </c>
      <c r="IM105" s="21">
        <f t="shared" si="375"/>
        <v>0</v>
      </c>
      <c r="IN105" s="21">
        <f t="shared" si="376"/>
        <v>0</v>
      </c>
      <c r="IO105" s="21">
        <f t="shared" si="377"/>
        <v>0</v>
      </c>
      <c r="IP105" s="21">
        <f t="shared" si="378"/>
        <v>0</v>
      </c>
      <c r="IQ105" s="21">
        <f t="shared" si="379"/>
        <v>0</v>
      </c>
      <c r="IR105" s="21">
        <f t="shared" si="380"/>
        <v>0</v>
      </c>
      <c r="IS105" s="21">
        <f t="shared" si="381"/>
        <v>0</v>
      </c>
      <c r="IT105" s="21">
        <f t="shared" si="382"/>
        <v>0</v>
      </c>
      <c r="IU105" s="21">
        <f t="shared" si="383"/>
        <v>0</v>
      </c>
      <c r="IV105" s="21">
        <f t="shared" si="384"/>
        <v>0</v>
      </c>
      <c r="IW105" s="21">
        <f t="shared" si="385"/>
        <v>0</v>
      </c>
      <c r="IX105" s="21">
        <f t="shared" si="386"/>
        <v>0</v>
      </c>
      <c r="IY105" s="21">
        <f t="shared" si="387"/>
        <v>0</v>
      </c>
      <c r="IZ105" s="21">
        <f t="shared" si="388"/>
        <v>0</v>
      </c>
      <c r="JA105" s="21">
        <f t="shared" si="389"/>
        <v>0</v>
      </c>
      <c r="JB105" s="21">
        <f t="shared" si="390"/>
        <v>0</v>
      </c>
      <c r="JC105" s="21">
        <f t="shared" si="391"/>
        <v>0</v>
      </c>
      <c r="JD105" s="21">
        <f t="shared" si="392"/>
        <v>0</v>
      </c>
      <c r="JE105" s="21">
        <f t="shared" si="393"/>
        <v>12.5</v>
      </c>
      <c r="JF105" s="21">
        <f t="shared" si="394"/>
        <v>0</v>
      </c>
      <c r="JG105" s="21">
        <f t="shared" si="395"/>
        <v>0</v>
      </c>
      <c r="JH105" s="21">
        <f t="shared" si="396"/>
        <v>618.74999999999989</v>
      </c>
      <c r="JI105" s="21">
        <f t="shared" si="397"/>
        <v>618.74999999999989</v>
      </c>
      <c r="JJ105" s="21">
        <f t="shared" si="398"/>
        <v>0</v>
      </c>
      <c r="JK105" s="21">
        <f t="shared" si="399"/>
        <v>0</v>
      </c>
      <c r="JL105" s="21">
        <f t="shared" si="400"/>
        <v>0</v>
      </c>
      <c r="JM105" s="21">
        <f t="shared" si="401"/>
        <v>0</v>
      </c>
      <c r="JN105" s="21">
        <f t="shared" si="402"/>
        <v>0</v>
      </c>
      <c r="JO105" s="35">
        <f t="shared" si="403"/>
        <v>1249.9999999999998</v>
      </c>
      <c r="JP105" s="38">
        <f t="shared" si="404"/>
        <v>0</v>
      </c>
      <c r="JQ105" s="43">
        <f t="shared" si="405"/>
        <v>0</v>
      </c>
      <c r="JR105" s="43">
        <f t="shared" si="406"/>
        <v>0</v>
      </c>
      <c r="JS105" s="43">
        <f t="shared" si="407"/>
        <v>0</v>
      </c>
      <c r="JT105" s="43">
        <f t="shared" si="408"/>
        <v>0</v>
      </c>
      <c r="JU105" s="43">
        <f t="shared" si="409"/>
        <v>0</v>
      </c>
      <c r="JV105" s="43">
        <f t="shared" si="410"/>
        <v>0</v>
      </c>
      <c r="JW105" s="43">
        <f t="shared" si="411"/>
        <v>0</v>
      </c>
      <c r="JX105" s="43">
        <f t="shared" si="412"/>
        <v>0</v>
      </c>
      <c r="JY105" s="43">
        <f t="shared" si="413"/>
        <v>0</v>
      </c>
      <c r="JZ105" s="43">
        <f t="shared" si="414"/>
        <v>0</v>
      </c>
      <c r="KA105" s="43">
        <f t="shared" si="415"/>
        <v>0</v>
      </c>
      <c r="KB105" s="43">
        <f t="shared" si="416"/>
        <v>0</v>
      </c>
      <c r="KC105" s="43">
        <f t="shared" si="417"/>
        <v>0</v>
      </c>
      <c r="KD105" s="43">
        <f t="shared" si="418"/>
        <v>0</v>
      </c>
      <c r="KE105" s="43">
        <f t="shared" si="419"/>
        <v>0</v>
      </c>
      <c r="KF105" s="43">
        <f t="shared" si="420"/>
        <v>0</v>
      </c>
      <c r="KG105" s="43">
        <f t="shared" si="421"/>
        <v>0</v>
      </c>
      <c r="KH105" s="43">
        <f t="shared" si="422"/>
        <v>0</v>
      </c>
      <c r="KI105" s="43">
        <f t="shared" si="423"/>
        <v>0</v>
      </c>
      <c r="KJ105" s="43">
        <f t="shared" si="424"/>
        <v>0</v>
      </c>
      <c r="KK105" s="43">
        <f t="shared" si="425"/>
        <v>0</v>
      </c>
      <c r="KL105" s="43">
        <f t="shared" si="426"/>
        <v>0</v>
      </c>
      <c r="KM105" s="43">
        <f t="shared" si="427"/>
        <v>0</v>
      </c>
      <c r="KN105" s="43">
        <f t="shared" si="428"/>
        <v>0</v>
      </c>
      <c r="KO105" s="43">
        <f t="shared" si="429"/>
        <v>0</v>
      </c>
      <c r="KP105" s="43">
        <f t="shared" si="430"/>
        <v>0</v>
      </c>
      <c r="KQ105" s="43">
        <f t="shared" si="431"/>
        <v>0</v>
      </c>
      <c r="KR105" s="43">
        <f t="shared" si="432"/>
        <v>0</v>
      </c>
      <c r="KS105" s="43">
        <f t="shared" si="433"/>
        <v>0</v>
      </c>
      <c r="KT105" s="43">
        <f t="shared" si="434"/>
        <v>0</v>
      </c>
      <c r="KU105" s="43">
        <f t="shared" si="435"/>
        <v>0</v>
      </c>
      <c r="KV105" s="43">
        <f t="shared" si="436"/>
        <v>0</v>
      </c>
      <c r="KW105" s="43">
        <f t="shared" si="437"/>
        <v>0</v>
      </c>
      <c r="KX105" s="43">
        <f t="shared" si="438"/>
        <v>0</v>
      </c>
      <c r="KY105" s="43">
        <f t="shared" si="439"/>
        <v>0</v>
      </c>
      <c r="KZ105" s="43">
        <f t="shared" si="440"/>
        <v>0</v>
      </c>
      <c r="LA105" s="43">
        <f t="shared" si="441"/>
        <v>0</v>
      </c>
      <c r="LB105" s="43">
        <f t="shared" si="442"/>
        <v>0</v>
      </c>
      <c r="LC105" s="43">
        <f t="shared" si="443"/>
        <v>0</v>
      </c>
      <c r="LD105" s="43">
        <f t="shared" si="444"/>
        <v>0</v>
      </c>
      <c r="LE105" s="43">
        <f t="shared" si="445"/>
        <v>0</v>
      </c>
      <c r="LF105" s="43">
        <f t="shared" si="446"/>
        <v>0</v>
      </c>
      <c r="LG105" s="43">
        <f t="shared" si="447"/>
        <v>129</v>
      </c>
      <c r="LH105" s="43">
        <f t="shared" si="448"/>
        <v>0</v>
      </c>
      <c r="LI105" s="43">
        <f t="shared" si="449"/>
        <v>0</v>
      </c>
      <c r="LJ105" s="43">
        <f t="shared" si="450"/>
        <v>2979.6277499999997</v>
      </c>
      <c r="LK105" s="43">
        <f t="shared" si="451"/>
        <v>2478.5578124999993</v>
      </c>
      <c r="LL105" s="43">
        <f t="shared" si="452"/>
        <v>0</v>
      </c>
      <c r="LM105" s="43">
        <f t="shared" si="453"/>
        <v>0</v>
      </c>
      <c r="LN105" s="43">
        <f t="shared" si="454"/>
        <v>0</v>
      </c>
      <c r="LO105" s="43">
        <f t="shared" si="455"/>
        <v>0</v>
      </c>
      <c r="LP105" s="43">
        <f t="shared" si="456"/>
        <v>0</v>
      </c>
      <c r="LQ105" s="28">
        <f t="shared" si="457"/>
        <v>5587.1855624999989</v>
      </c>
      <c r="LR105" s="65">
        <v>1204</v>
      </c>
      <c r="LS105" s="32">
        <f t="shared" si="462"/>
        <v>4.6405195701827235</v>
      </c>
      <c r="LT105" s="26">
        <f t="shared" si="463"/>
        <v>1.267901521907848</v>
      </c>
      <c r="LU105" s="31">
        <f t="shared" si="458"/>
        <v>46</v>
      </c>
      <c r="LW105" s="42"/>
      <c r="MA105" s="32">
        <f t="shared" si="459"/>
        <v>4.46974845</v>
      </c>
      <c r="MB105" s="26">
        <f t="shared" si="464"/>
        <v>1.2212427459016393</v>
      </c>
    </row>
    <row r="106" spans="1:340" ht="15.75" thickBot="1">
      <c r="A106" t="b">
        <f t="shared" si="297"/>
        <v>1</v>
      </c>
      <c r="B106" s="123" t="s">
        <v>277</v>
      </c>
      <c r="C106" s="39" t="s">
        <v>78</v>
      </c>
      <c r="D106"/>
      <c r="E106" s="97">
        <v>46038</v>
      </c>
      <c r="F106" t="s">
        <v>43</v>
      </c>
      <c r="G106" t="s">
        <v>19</v>
      </c>
      <c r="H106" t="s">
        <v>27</v>
      </c>
      <c r="I106" s="77"/>
      <c r="J106" s="77"/>
      <c r="K106" s="77"/>
      <c r="L106" s="22"/>
      <c r="M106" s="22"/>
      <c r="N106" s="98"/>
      <c r="O106" s="22"/>
      <c r="P106" s="22"/>
      <c r="Q106" s="22"/>
      <c r="R106" s="22"/>
      <c r="S106" s="104"/>
      <c r="T106" s="22"/>
      <c r="U106" s="22"/>
      <c r="V106" s="104"/>
      <c r="W106" s="22"/>
      <c r="X106" s="22"/>
      <c r="Y106" s="22"/>
      <c r="Z106" s="104"/>
      <c r="AA106" s="104"/>
      <c r="AB106" s="104"/>
      <c r="AC106" s="22"/>
      <c r="AD106" s="22"/>
      <c r="AE106" s="22"/>
      <c r="AF106" s="124"/>
      <c r="AG106" s="124"/>
      <c r="AH106" s="22"/>
      <c r="AI106" s="104"/>
      <c r="AJ106" s="22"/>
      <c r="AK106" s="22"/>
      <c r="AL106" s="22"/>
      <c r="AM106" s="22"/>
      <c r="AN106" s="22"/>
      <c r="AO106" s="104"/>
      <c r="AP106" s="22"/>
      <c r="AQ106" s="22"/>
      <c r="AR106" s="22"/>
      <c r="AS106" s="22"/>
      <c r="AT106" s="22"/>
      <c r="AU106" s="22"/>
      <c r="AV106" s="22"/>
      <c r="AW106" s="22"/>
      <c r="AX106" s="22"/>
      <c r="AY106" s="104">
        <v>0.01</v>
      </c>
      <c r="AZ106" s="104"/>
      <c r="BA106" s="104"/>
      <c r="BB106" s="104">
        <v>0.495</v>
      </c>
      <c r="BC106" s="124">
        <v>0.495</v>
      </c>
      <c r="BD106" s="124"/>
      <c r="BE106" s="104"/>
      <c r="BF106" s="22"/>
      <c r="BG106" s="22"/>
      <c r="BH106" s="22"/>
      <c r="BI106" s="78">
        <f t="shared" si="483"/>
        <v>1</v>
      </c>
      <c r="BJ106" s="23"/>
      <c r="BK106" s="23"/>
      <c r="BL106" s="23"/>
      <c r="BM106" s="23"/>
      <c r="BN106" s="23"/>
      <c r="BO106" s="99"/>
      <c r="BP106" s="23"/>
      <c r="BQ106" s="23"/>
      <c r="BR106" s="23"/>
      <c r="BS106" s="23"/>
      <c r="BT106" s="105"/>
      <c r="BU106" s="23"/>
      <c r="BV106" s="23"/>
      <c r="BW106" s="105"/>
      <c r="BX106" s="23"/>
      <c r="BY106" s="23"/>
      <c r="BZ106" s="23"/>
      <c r="CA106" s="105"/>
      <c r="CB106" s="105"/>
      <c r="CC106" s="105"/>
      <c r="CD106" s="23"/>
      <c r="CE106" s="23"/>
      <c r="CF106" s="71"/>
      <c r="CG106" s="128"/>
      <c r="CH106" s="128"/>
      <c r="CI106" s="23"/>
      <c r="CJ106" s="23"/>
      <c r="CK106" s="23"/>
      <c r="CL106" s="23"/>
      <c r="CM106" s="23"/>
      <c r="CN106" s="23"/>
      <c r="CO106" s="23"/>
      <c r="CP106" s="105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3"/>
      <c r="DB106" s="99"/>
      <c r="DC106" s="99"/>
      <c r="DD106" s="125"/>
      <c r="DE106" s="125"/>
      <c r="DF106" s="105"/>
      <c r="DG106" s="23"/>
      <c r="DH106" s="23"/>
      <c r="DI106" s="23"/>
      <c r="DJ106" s="79">
        <f t="shared" si="460"/>
        <v>0</v>
      </c>
      <c r="DK106" s="24"/>
      <c r="DL106" s="24"/>
      <c r="DM106" s="24"/>
      <c r="DN106" s="24"/>
      <c r="DO106" s="24"/>
      <c r="DP106" s="103"/>
      <c r="DQ106" s="24"/>
      <c r="DR106" s="24"/>
      <c r="DS106" s="24"/>
      <c r="DT106" s="24"/>
      <c r="DU106" s="108"/>
      <c r="DV106" s="24"/>
      <c r="DW106" s="24"/>
      <c r="DX106" s="108"/>
      <c r="DY106" s="24"/>
      <c r="DZ106" s="24"/>
      <c r="EA106" s="24"/>
      <c r="EB106" s="108"/>
      <c r="EC106" s="108"/>
      <c r="ED106" s="108"/>
      <c r="EE106" s="24"/>
      <c r="EF106" s="24"/>
      <c r="EG106" s="24"/>
      <c r="EH106" s="129"/>
      <c r="EI106" s="129"/>
      <c r="EJ106" s="24"/>
      <c r="EK106" s="24"/>
      <c r="EL106" s="24"/>
      <c r="EM106" s="24"/>
      <c r="EN106" s="24"/>
      <c r="EO106" s="24"/>
      <c r="EP106" s="24"/>
      <c r="EQ106" s="108"/>
      <c r="ER106" s="24"/>
      <c r="ES106" s="25"/>
      <c r="ET106" s="25"/>
      <c r="EU106" s="25"/>
      <c r="EV106" s="25"/>
      <c r="EW106" s="25"/>
      <c r="EX106" s="25"/>
      <c r="EY106" s="25"/>
      <c r="EZ106" s="25"/>
      <c r="FA106" s="25"/>
      <c r="FB106" s="25"/>
      <c r="FC106" s="100"/>
      <c r="FD106" s="100"/>
      <c r="FE106" s="126"/>
      <c r="FF106" s="126"/>
      <c r="FG106" s="106"/>
      <c r="FH106" s="25"/>
      <c r="FI106" s="25"/>
      <c r="FJ106" s="25"/>
      <c r="FK106" s="17">
        <f t="shared" si="482"/>
        <v>0</v>
      </c>
      <c r="FL106" s="18"/>
      <c r="FM106" s="19">
        <f t="shared" si="298"/>
        <v>0</v>
      </c>
      <c r="FN106" s="19">
        <f t="shared" si="299"/>
        <v>0</v>
      </c>
      <c r="FO106" s="19">
        <f t="shared" si="300"/>
        <v>0</v>
      </c>
      <c r="FP106" s="19">
        <f t="shared" si="301"/>
        <v>0</v>
      </c>
      <c r="FQ106" s="19">
        <f t="shared" si="302"/>
        <v>0</v>
      </c>
      <c r="FR106" s="19">
        <f t="shared" si="303"/>
        <v>0</v>
      </c>
      <c r="FS106" s="19">
        <f t="shared" si="304"/>
        <v>0</v>
      </c>
      <c r="FT106" s="19">
        <f t="shared" si="305"/>
        <v>0</v>
      </c>
      <c r="FU106" s="19">
        <f t="shared" si="306"/>
        <v>0</v>
      </c>
      <c r="FV106" s="19">
        <f t="shared" si="307"/>
        <v>0</v>
      </c>
      <c r="FW106" s="19">
        <f t="shared" si="308"/>
        <v>0</v>
      </c>
      <c r="FX106" s="19">
        <f t="shared" si="309"/>
        <v>0</v>
      </c>
      <c r="FY106" s="19">
        <f t="shared" si="310"/>
        <v>0</v>
      </c>
      <c r="FZ106" s="19">
        <f t="shared" si="311"/>
        <v>0</v>
      </c>
      <c r="GA106" s="19">
        <f t="shared" si="312"/>
        <v>0</v>
      </c>
      <c r="GB106" s="19">
        <f t="shared" si="313"/>
        <v>0</v>
      </c>
      <c r="GC106" s="19">
        <f t="shared" si="314"/>
        <v>0</v>
      </c>
      <c r="GD106" s="19">
        <f t="shared" si="315"/>
        <v>0</v>
      </c>
      <c r="GE106" s="19">
        <f t="shared" si="316"/>
        <v>0</v>
      </c>
      <c r="GF106" s="19">
        <f t="shared" si="317"/>
        <v>0</v>
      </c>
      <c r="GG106" s="19">
        <f t="shared" si="318"/>
        <v>0</v>
      </c>
      <c r="GH106" s="19">
        <f t="shared" si="319"/>
        <v>0</v>
      </c>
      <c r="GI106" s="19">
        <f t="shared" si="320"/>
        <v>0</v>
      </c>
      <c r="GJ106" s="19">
        <f t="shared" si="321"/>
        <v>0</v>
      </c>
      <c r="GK106" s="19">
        <f t="shared" si="322"/>
        <v>0</v>
      </c>
      <c r="GL106" s="19">
        <f t="shared" si="323"/>
        <v>0</v>
      </c>
      <c r="GM106" s="19">
        <f t="shared" si="324"/>
        <v>0</v>
      </c>
      <c r="GN106" s="19">
        <f t="shared" si="325"/>
        <v>0</v>
      </c>
      <c r="GO106" s="19">
        <f t="shared" si="326"/>
        <v>0</v>
      </c>
      <c r="GP106" s="19">
        <f t="shared" si="327"/>
        <v>0</v>
      </c>
      <c r="GQ106" s="19">
        <f t="shared" si="328"/>
        <v>0</v>
      </c>
      <c r="GR106" s="19">
        <f t="shared" si="329"/>
        <v>0</v>
      </c>
      <c r="GS106" s="19">
        <f t="shared" si="330"/>
        <v>0</v>
      </c>
      <c r="GT106" s="19">
        <f t="shared" si="331"/>
        <v>0</v>
      </c>
      <c r="GU106" s="19">
        <f t="shared" si="332"/>
        <v>0</v>
      </c>
      <c r="GV106" s="19">
        <f t="shared" si="333"/>
        <v>0</v>
      </c>
      <c r="GW106" s="19">
        <f t="shared" si="334"/>
        <v>0</v>
      </c>
      <c r="GX106" s="19">
        <f t="shared" si="335"/>
        <v>0</v>
      </c>
      <c r="GY106" s="19">
        <f t="shared" si="336"/>
        <v>0</v>
      </c>
      <c r="GZ106" s="19">
        <f t="shared" si="337"/>
        <v>0</v>
      </c>
      <c r="HA106" s="19">
        <f t="shared" si="338"/>
        <v>0</v>
      </c>
      <c r="HB106" s="19">
        <f t="shared" si="339"/>
        <v>0</v>
      </c>
      <c r="HC106" s="19">
        <f t="shared" si="340"/>
        <v>1.4999999999999999E-2</v>
      </c>
      <c r="HD106" s="19">
        <f t="shared" si="341"/>
        <v>0</v>
      </c>
      <c r="HE106" s="19">
        <f t="shared" si="342"/>
        <v>0</v>
      </c>
      <c r="HF106" s="19">
        <f t="shared" si="343"/>
        <v>0.74249999999999994</v>
      </c>
      <c r="HG106" s="19">
        <f t="shared" si="344"/>
        <v>0.74249999999999994</v>
      </c>
      <c r="HH106" s="19">
        <f t="shared" si="345"/>
        <v>0</v>
      </c>
      <c r="HI106" s="19">
        <f t="shared" si="346"/>
        <v>0</v>
      </c>
      <c r="HJ106" s="19">
        <f t="shared" si="347"/>
        <v>0</v>
      </c>
      <c r="HK106" s="19">
        <f t="shared" si="348"/>
        <v>0</v>
      </c>
      <c r="HL106" s="19">
        <f t="shared" si="349"/>
        <v>0</v>
      </c>
      <c r="HM106" s="20">
        <f t="shared" si="350"/>
        <v>1.5</v>
      </c>
      <c r="HN106" s="53">
        <v>1843</v>
      </c>
      <c r="HO106" s="21">
        <f t="shared" si="351"/>
        <v>0</v>
      </c>
      <c r="HP106" s="21">
        <f t="shared" si="352"/>
        <v>0</v>
      </c>
      <c r="HQ106" s="21">
        <f t="shared" si="353"/>
        <v>0</v>
      </c>
      <c r="HR106" s="21">
        <f t="shared" si="354"/>
        <v>0</v>
      </c>
      <c r="HS106" s="21">
        <f t="shared" si="355"/>
        <v>0</v>
      </c>
      <c r="HT106" s="69">
        <f t="shared" si="356"/>
        <v>0</v>
      </c>
      <c r="HU106" s="21">
        <f t="shared" si="357"/>
        <v>0</v>
      </c>
      <c r="HV106" s="21">
        <f t="shared" si="358"/>
        <v>0</v>
      </c>
      <c r="HW106" s="21">
        <f t="shared" si="359"/>
        <v>0</v>
      </c>
      <c r="HX106" s="21">
        <f t="shared" si="360"/>
        <v>0</v>
      </c>
      <c r="HY106" s="21">
        <f t="shared" si="361"/>
        <v>0</v>
      </c>
      <c r="HZ106" s="21">
        <f t="shared" si="362"/>
        <v>0</v>
      </c>
      <c r="IA106" s="21">
        <f t="shared" si="363"/>
        <v>0</v>
      </c>
      <c r="IB106" s="21">
        <f t="shared" si="364"/>
        <v>0</v>
      </c>
      <c r="IC106" s="21">
        <f t="shared" si="365"/>
        <v>0</v>
      </c>
      <c r="ID106" s="21">
        <f t="shared" si="366"/>
        <v>0</v>
      </c>
      <c r="IE106" s="21">
        <f t="shared" si="367"/>
        <v>0</v>
      </c>
      <c r="IF106" s="69">
        <f t="shared" si="368"/>
        <v>0</v>
      </c>
      <c r="IG106" s="69">
        <f t="shared" si="369"/>
        <v>0</v>
      </c>
      <c r="IH106" s="69">
        <f t="shared" si="370"/>
        <v>0</v>
      </c>
      <c r="II106" s="21">
        <f t="shared" si="371"/>
        <v>0</v>
      </c>
      <c r="IJ106" s="21">
        <f t="shared" si="372"/>
        <v>0</v>
      </c>
      <c r="IK106" s="21">
        <f t="shared" si="373"/>
        <v>0</v>
      </c>
      <c r="IL106" s="21">
        <f t="shared" si="374"/>
        <v>0</v>
      </c>
      <c r="IM106" s="21">
        <f t="shared" si="375"/>
        <v>0</v>
      </c>
      <c r="IN106" s="21">
        <f t="shared" si="376"/>
        <v>0</v>
      </c>
      <c r="IO106" s="21">
        <f t="shared" si="377"/>
        <v>0</v>
      </c>
      <c r="IP106" s="21">
        <f t="shared" si="378"/>
        <v>0</v>
      </c>
      <c r="IQ106" s="21">
        <f t="shared" si="379"/>
        <v>0</v>
      </c>
      <c r="IR106" s="21">
        <f t="shared" si="380"/>
        <v>0</v>
      </c>
      <c r="IS106" s="21">
        <f t="shared" si="381"/>
        <v>0</v>
      </c>
      <c r="IT106" s="21">
        <f t="shared" si="382"/>
        <v>0</v>
      </c>
      <c r="IU106" s="21">
        <f t="shared" si="383"/>
        <v>0</v>
      </c>
      <c r="IV106" s="21">
        <f t="shared" si="384"/>
        <v>0</v>
      </c>
      <c r="IW106" s="21">
        <f t="shared" si="385"/>
        <v>0</v>
      </c>
      <c r="IX106" s="21">
        <f t="shared" si="386"/>
        <v>0</v>
      </c>
      <c r="IY106" s="21">
        <f t="shared" si="387"/>
        <v>0</v>
      </c>
      <c r="IZ106" s="21">
        <f t="shared" si="388"/>
        <v>0</v>
      </c>
      <c r="JA106" s="21">
        <f t="shared" si="389"/>
        <v>0</v>
      </c>
      <c r="JB106" s="21">
        <f t="shared" si="390"/>
        <v>0</v>
      </c>
      <c r="JC106" s="21">
        <f t="shared" si="391"/>
        <v>0</v>
      </c>
      <c r="JD106" s="21">
        <f t="shared" si="392"/>
        <v>0</v>
      </c>
      <c r="JE106" s="21">
        <f t="shared" si="393"/>
        <v>18.43</v>
      </c>
      <c r="JF106" s="21">
        <f t="shared" si="394"/>
        <v>0</v>
      </c>
      <c r="JG106" s="21">
        <f t="shared" si="395"/>
        <v>0</v>
      </c>
      <c r="JH106" s="21">
        <f t="shared" si="396"/>
        <v>912.28499999999985</v>
      </c>
      <c r="JI106" s="21">
        <f t="shared" si="397"/>
        <v>912.28499999999985</v>
      </c>
      <c r="JJ106" s="21">
        <f t="shared" si="398"/>
        <v>0</v>
      </c>
      <c r="JK106" s="21">
        <f t="shared" si="399"/>
        <v>0</v>
      </c>
      <c r="JL106" s="21">
        <f t="shared" si="400"/>
        <v>0</v>
      </c>
      <c r="JM106" s="21">
        <f t="shared" si="401"/>
        <v>0</v>
      </c>
      <c r="JN106" s="21">
        <f t="shared" si="402"/>
        <v>0</v>
      </c>
      <c r="JO106" s="35">
        <f t="shared" si="403"/>
        <v>1842.9999999999995</v>
      </c>
      <c r="JP106" s="38">
        <f t="shared" si="404"/>
        <v>0</v>
      </c>
      <c r="JQ106" s="43">
        <f t="shared" si="405"/>
        <v>0</v>
      </c>
      <c r="JR106" s="43">
        <f t="shared" si="406"/>
        <v>0</v>
      </c>
      <c r="JS106" s="43">
        <f t="shared" si="407"/>
        <v>0</v>
      </c>
      <c r="JT106" s="43">
        <f t="shared" si="408"/>
        <v>0</v>
      </c>
      <c r="JU106" s="43">
        <f t="shared" si="409"/>
        <v>0</v>
      </c>
      <c r="JV106" s="43">
        <f t="shared" si="410"/>
        <v>0</v>
      </c>
      <c r="JW106" s="43">
        <f t="shared" si="411"/>
        <v>0</v>
      </c>
      <c r="JX106" s="43">
        <f t="shared" si="412"/>
        <v>0</v>
      </c>
      <c r="JY106" s="43">
        <f t="shared" si="413"/>
        <v>0</v>
      </c>
      <c r="JZ106" s="43">
        <f t="shared" si="414"/>
        <v>0</v>
      </c>
      <c r="KA106" s="43">
        <f t="shared" si="415"/>
        <v>0</v>
      </c>
      <c r="KB106" s="43">
        <f t="shared" si="416"/>
        <v>0</v>
      </c>
      <c r="KC106" s="43">
        <f t="shared" si="417"/>
        <v>0</v>
      </c>
      <c r="KD106" s="43">
        <f t="shared" si="418"/>
        <v>0</v>
      </c>
      <c r="KE106" s="43">
        <f t="shared" si="419"/>
        <v>0</v>
      </c>
      <c r="KF106" s="43">
        <f t="shared" si="420"/>
        <v>0</v>
      </c>
      <c r="KG106" s="43">
        <f t="shared" si="421"/>
        <v>0</v>
      </c>
      <c r="KH106" s="43">
        <f t="shared" si="422"/>
        <v>0</v>
      </c>
      <c r="KI106" s="43">
        <f t="shared" si="423"/>
        <v>0</v>
      </c>
      <c r="KJ106" s="43">
        <f t="shared" si="424"/>
        <v>0</v>
      </c>
      <c r="KK106" s="43">
        <f t="shared" si="425"/>
        <v>0</v>
      </c>
      <c r="KL106" s="43">
        <f t="shared" si="426"/>
        <v>0</v>
      </c>
      <c r="KM106" s="43">
        <f t="shared" si="427"/>
        <v>0</v>
      </c>
      <c r="KN106" s="43">
        <f t="shared" si="428"/>
        <v>0</v>
      </c>
      <c r="KO106" s="43">
        <f t="shared" si="429"/>
        <v>0</v>
      </c>
      <c r="KP106" s="43">
        <f t="shared" si="430"/>
        <v>0</v>
      </c>
      <c r="KQ106" s="43">
        <f t="shared" si="431"/>
        <v>0</v>
      </c>
      <c r="KR106" s="43">
        <f t="shared" si="432"/>
        <v>0</v>
      </c>
      <c r="KS106" s="43">
        <f t="shared" si="433"/>
        <v>0</v>
      </c>
      <c r="KT106" s="43">
        <f t="shared" si="434"/>
        <v>0</v>
      </c>
      <c r="KU106" s="43">
        <f t="shared" si="435"/>
        <v>0</v>
      </c>
      <c r="KV106" s="43">
        <f t="shared" si="436"/>
        <v>0</v>
      </c>
      <c r="KW106" s="43">
        <f t="shared" si="437"/>
        <v>0</v>
      </c>
      <c r="KX106" s="43">
        <f t="shared" si="438"/>
        <v>0</v>
      </c>
      <c r="KY106" s="43">
        <f t="shared" si="439"/>
        <v>0</v>
      </c>
      <c r="KZ106" s="43">
        <f t="shared" si="440"/>
        <v>0</v>
      </c>
      <c r="LA106" s="43">
        <f t="shared" si="441"/>
        <v>0</v>
      </c>
      <c r="LB106" s="43">
        <f t="shared" si="442"/>
        <v>0</v>
      </c>
      <c r="LC106" s="43">
        <f t="shared" si="443"/>
        <v>0</v>
      </c>
      <c r="LD106" s="43">
        <f t="shared" si="444"/>
        <v>0</v>
      </c>
      <c r="LE106" s="43">
        <f t="shared" si="445"/>
        <v>0</v>
      </c>
      <c r="LF106" s="43">
        <f t="shared" si="446"/>
        <v>0</v>
      </c>
      <c r="LG106" s="43">
        <f t="shared" si="447"/>
        <v>190.19759999999999</v>
      </c>
      <c r="LH106" s="43">
        <f t="shared" si="448"/>
        <v>0</v>
      </c>
      <c r="LI106" s="43">
        <f t="shared" si="449"/>
        <v>0</v>
      </c>
      <c r="LJ106" s="43">
        <f t="shared" si="450"/>
        <v>4393.1631545999999</v>
      </c>
      <c r="LK106" s="43">
        <f t="shared" si="451"/>
        <v>3654.3856387499995</v>
      </c>
      <c r="LL106" s="43">
        <f t="shared" si="452"/>
        <v>0</v>
      </c>
      <c r="LM106" s="43">
        <f t="shared" si="453"/>
        <v>0</v>
      </c>
      <c r="LN106" s="43">
        <f t="shared" si="454"/>
        <v>0</v>
      </c>
      <c r="LO106" s="43">
        <f t="shared" si="455"/>
        <v>0</v>
      </c>
      <c r="LP106" s="43">
        <f t="shared" si="456"/>
        <v>0</v>
      </c>
      <c r="LQ106" s="28">
        <f t="shared" si="457"/>
        <v>8237.7463933500003</v>
      </c>
      <c r="LR106" s="65">
        <v>1794</v>
      </c>
      <c r="LS106" s="32">
        <f t="shared" si="462"/>
        <v>4.5918318803511706</v>
      </c>
      <c r="LT106" s="26">
        <f t="shared" si="463"/>
        <v>1.2545988744128882</v>
      </c>
      <c r="LU106" s="31">
        <f t="shared" si="458"/>
        <v>49</v>
      </c>
      <c r="LW106" s="42"/>
      <c r="MA106" s="32">
        <f t="shared" si="459"/>
        <v>4.4697484500000009</v>
      </c>
      <c r="MB106" s="26">
        <f t="shared" si="464"/>
        <v>1.2212427459016395</v>
      </c>
    </row>
    <row r="107" spans="1:340" ht="15.75" thickBot="1">
      <c r="A107" t="b">
        <f t="shared" si="297"/>
        <v>1</v>
      </c>
      <c r="B107" s="123" t="s">
        <v>278</v>
      </c>
      <c r="C107" s="39" t="s">
        <v>279</v>
      </c>
      <c r="D107"/>
      <c r="E107" s="97">
        <v>46042</v>
      </c>
      <c r="F107" t="s">
        <v>43</v>
      </c>
      <c r="G107" t="s">
        <v>20</v>
      </c>
      <c r="H107" t="s">
        <v>27</v>
      </c>
      <c r="I107" s="77"/>
      <c r="J107" s="77"/>
      <c r="K107" s="77"/>
      <c r="L107" s="22"/>
      <c r="M107" s="22"/>
      <c r="N107" s="98"/>
      <c r="O107" s="22"/>
      <c r="P107" s="22"/>
      <c r="Q107" s="22"/>
      <c r="R107" s="22"/>
      <c r="S107" s="104"/>
      <c r="T107" s="22"/>
      <c r="U107" s="22"/>
      <c r="V107" s="104"/>
      <c r="W107" s="22"/>
      <c r="X107" s="22"/>
      <c r="Y107" s="22"/>
      <c r="Z107" s="104"/>
      <c r="AA107" s="104"/>
      <c r="AB107" s="104"/>
      <c r="AC107" s="22"/>
      <c r="AD107" s="22"/>
      <c r="AE107" s="22"/>
      <c r="AF107" s="124"/>
      <c r="AG107" s="124"/>
      <c r="AH107" s="22"/>
      <c r="AI107" s="104"/>
      <c r="AJ107" s="22">
        <v>0.5</v>
      </c>
      <c r="AK107" s="22"/>
      <c r="AL107" s="22"/>
      <c r="AM107" s="22"/>
      <c r="AN107" s="22"/>
      <c r="AO107" s="104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104"/>
      <c r="BA107" s="104"/>
      <c r="BB107" s="104"/>
      <c r="BC107" s="124">
        <v>0.5</v>
      </c>
      <c r="BD107" s="124"/>
      <c r="BE107" s="104"/>
      <c r="BF107" s="22"/>
      <c r="BG107" s="22"/>
      <c r="BH107" s="22"/>
      <c r="BI107" s="78">
        <f t="shared" si="483"/>
        <v>1</v>
      </c>
      <c r="BJ107" s="23"/>
      <c r="BK107" s="23"/>
      <c r="BL107" s="23"/>
      <c r="BM107" s="23"/>
      <c r="BN107" s="23"/>
      <c r="BO107" s="99"/>
      <c r="BP107" s="23"/>
      <c r="BQ107" s="23"/>
      <c r="BR107" s="23"/>
      <c r="BS107" s="23"/>
      <c r="BT107" s="105"/>
      <c r="BU107" s="23"/>
      <c r="BV107" s="23"/>
      <c r="BW107" s="105"/>
      <c r="BX107" s="23"/>
      <c r="BY107" s="23"/>
      <c r="BZ107" s="23"/>
      <c r="CA107" s="105"/>
      <c r="CB107" s="105"/>
      <c r="CC107" s="105"/>
      <c r="CD107" s="23"/>
      <c r="CE107" s="23"/>
      <c r="CF107" s="71"/>
      <c r="CG107" s="128"/>
      <c r="CH107" s="128"/>
      <c r="CI107" s="23"/>
      <c r="CJ107" s="23"/>
      <c r="CK107" s="23"/>
      <c r="CL107" s="23">
        <v>0.4</v>
      </c>
      <c r="CM107" s="23"/>
      <c r="CN107" s="23"/>
      <c r="CO107" s="23"/>
      <c r="CP107" s="105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3"/>
      <c r="DB107" s="99"/>
      <c r="DC107" s="99"/>
      <c r="DD107" s="125">
        <v>0.6</v>
      </c>
      <c r="DE107" s="125"/>
      <c r="DF107" s="105"/>
      <c r="DG107" s="23"/>
      <c r="DH107" s="23"/>
      <c r="DI107" s="23"/>
      <c r="DJ107" s="79">
        <f t="shared" si="460"/>
        <v>1</v>
      </c>
      <c r="DK107" s="24"/>
      <c r="DL107" s="24"/>
      <c r="DM107" s="24"/>
      <c r="DN107" s="24">
        <v>0.84499999999999997</v>
      </c>
      <c r="DO107" s="24"/>
      <c r="DP107" s="103"/>
      <c r="DQ107" s="24"/>
      <c r="DR107" s="24"/>
      <c r="DS107" s="24"/>
      <c r="DT107" s="24"/>
      <c r="DU107" s="108"/>
      <c r="DV107" s="24"/>
      <c r="DW107" s="24"/>
      <c r="DX107" s="108"/>
      <c r="DY107" s="24"/>
      <c r="DZ107" s="24"/>
      <c r="EA107" s="24"/>
      <c r="EB107" s="108"/>
      <c r="EC107" s="108"/>
      <c r="ED107" s="108"/>
      <c r="EE107" s="24"/>
      <c r="EF107" s="24"/>
      <c r="EG107" s="24"/>
      <c r="EH107" s="129"/>
      <c r="EI107" s="129"/>
      <c r="EJ107" s="24"/>
      <c r="EK107" s="24"/>
      <c r="EL107" s="24"/>
      <c r="EM107" s="24"/>
      <c r="EN107" s="24"/>
      <c r="EO107" s="24"/>
      <c r="EP107" s="24"/>
      <c r="EQ107" s="108"/>
      <c r="ER107" s="24"/>
      <c r="ES107" s="25"/>
      <c r="ET107" s="25"/>
      <c r="EU107" s="25">
        <v>0.13</v>
      </c>
      <c r="EV107" s="25"/>
      <c r="EW107" s="25"/>
      <c r="EX107" s="25"/>
      <c r="EY107" s="25"/>
      <c r="EZ107" s="25"/>
      <c r="FA107" s="25">
        <v>5.0000000000000001E-3</v>
      </c>
      <c r="FB107" s="25"/>
      <c r="FC107" s="100"/>
      <c r="FD107" s="100"/>
      <c r="FE107" s="126"/>
      <c r="FF107" s="126"/>
      <c r="FG107" s="106"/>
      <c r="FH107" s="25"/>
      <c r="FI107" s="25"/>
      <c r="FJ107" s="25">
        <v>0.02</v>
      </c>
      <c r="FK107" s="17">
        <f t="shared" si="482"/>
        <v>1</v>
      </c>
      <c r="FL107" s="18"/>
      <c r="FM107" s="19">
        <f t="shared" si="298"/>
        <v>0</v>
      </c>
      <c r="FN107" s="19">
        <f t="shared" si="299"/>
        <v>0</v>
      </c>
      <c r="FO107" s="19">
        <f t="shared" si="300"/>
        <v>0</v>
      </c>
      <c r="FP107" s="19">
        <f t="shared" si="301"/>
        <v>1.2675000000000001</v>
      </c>
      <c r="FQ107" s="19">
        <f t="shared" si="302"/>
        <v>0</v>
      </c>
      <c r="FR107" s="19">
        <f t="shared" si="303"/>
        <v>0</v>
      </c>
      <c r="FS107" s="19">
        <f t="shared" si="304"/>
        <v>0</v>
      </c>
      <c r="FT107" s="19">
        <f t="shared" si="305"/>
        <v>0</v>
      </c>
      <c r="FU107" s="19">
        <f t="shared" si="306"/>
        <v>0</v>
      </c>
      <c r="FV107" s="19">
        <f t="shared" si="307"/>
        <v>0</v>
      </c>
      <c r="FW107" s="19">
        <f t="shared" si="308"/>
        <v>0</v>
      </c>
      <c r="FX107" s="19">
        <f t="shared" si="309"/>
        <v>0</v>
      </c>
      <c r="FY107" s="19">
        <f t="shared" si="310"/>
        <v>0</v>
      </c>
      <c r="FZ107" s="19">
        <f t="shared" si="311"/>
        <v>0</v>
      </c>
      <c r="GA107" s="19">
        <f t="shared" si="312"/>
        <v>0</v>
      </c>
      <c r="GB107" s="19">
        <f t="shared" si="313"/>
        <v>0</v>
      </c>
      <c r="GC107" s="19">
        <f t="shared" si="314"/>
        <v>0</v>
      </c>
      <c r="GD107" s="19">
        <f t="shared" si="315"/>
        <v>0</v>
      </c>
      <c r="GE107" s="19">
        <f t="shared" si="316"/>
        <v>0</v>
      </c>
      <c r="GF107" s="19">
        <f t="shared" si="317"/>
        <v>0</v>
      </c>
      <c r="GG107" s="19">
        <f t="shared" si="318"/>
        <v>0</v>
      </c>
      <c r="GH107" s="19">
        <f t="shared" si="319"/>
        <v>0</v>
      </c>
      <c r="GI107" s="19">
        <f t="shared" si="320"/>
        <v>0</v>
      </c>
      <c r="GJ107" s="19">
        <f t="shared" si="321"/>
        <v>0</v>
      </c>
      <c r="GK107" s="19">
        <f t="shared" si="322"/>
        <v>0</v>
      </c>
      <c r="GL107" s="19">
        <f t="shared" si="323"/>
        <v>0</v>
      </c>
      <c r="GM107" s="19">
        <f t="shared" si="324"/>
        <v>0</v>
      </c>
      <c r="GN107" s="19">
        <f t="shared" si="325"/>
        <v>0.75</v>
      </c>
      <c r="GO107" s="19">
        <f t="shared" si="326"/>
        <v>0.8</v>
      </c>
      <c r="GP107" s="19">
        <f t="shared" si="327"/>
        <v>0</v>
      </c>
      <c r="GQ107" s="19">
        <f t="shared" si="328"/>
        <v>0</v>
      </c>
      <c r="GR107" s="19">
        <f t="shared" si="329"/>
        <v>0</v>
      </c>
      <c r="GS107" s="19">
        <f t="shared" si="330"/>
        <v>0</v>
      </c>
      <c r="GT107" s="19">
        <f t="shared" si="331"/>
        <v>0</v>
      </c>
      <c r="GU107" s="19">
        <f t="shared" si="332"/>
        <v>0</v>
      </c>
      <c r="GV107" s="19">
        <f t="shared" si="333"/>
        <v>0</v>
      </c>
      <c r="GW107" s="19">
        <f t="shared" si="334"/>
        <v>0.19500000000000001</v>
      </c>
      <c r="GX107" s="19">
        <f t="shared" si="335"/>
        <v>0</v>
      </c>
      <c r="GY107" s="19">
        <f t="shared" si="336"/>
        <v>0</v>
      </c>
      <c r="GZ107" s="19">
        <f t="shared" si="337"/>
        <v>0</v>
      </c>
      <c r="HA107" s="19">
        <f t="shared" si="338"/>
        <v>0</v>
      </c>
      <c r="HB107" s="19">
        <f t="shared" si="339"/>
        <v>0</v>
      </c>
      <c r="HC107" s="19">
        <f t="shared" si="340"/>
        <v>7.4999999999999997E-3</v>
      </c>
      <c r="HD107" s="19">
        <f t="shared" si="341"/>
        <v>0</v>
      </c>
      <c r="HE107" s="19">
        <f t="shared" si="342"/>
        <v>0</v>
      </c>
      <c r="HF107" s="19">
        <f t="shared" si="343"/>
        <v>0</v>
      </c>
      <c r="HG107" s="19">
        <f t="shared" si="344"/>
        <v>1.95</v>
      </c>
      <c r="HH107" s="19">
        <f t="shared" si="345"/>
        <v>0</v>
      </c>
      <c r="HI107" s="19">
        <f t="shared" si="346"/>
        <v>0</v>
      </c>
      <c r="HJ107" s="19">
        <f t="shared" si="347"/>
        <v>0</v>
      </c>
      <c r="HK107" s="19">
        <f t="shared" si="348"/>
        <v>0</v>
      </c>
      <c r="HL107" s="19">
        <f t="shared" si="349"/>
        <v>0.03</v>
      </c>
      <c r="HM107" s="20">
        <f t="shared" si="350"/>
        <v>5</v>
      </c>
      <c r="HN107" s="53">
        <v>1017</v>
      </c>
      <c r="HO107" s="21">
        <f t="shared" si="351"/>
        <v>0</v>
      </c>
      <c r="HP107" s="21">
        <f t="shared" si="352"/>
        <v>0</v>
      </c>
      <c r="HQ107" s="21">
        <f t="shared" si="353"/>
        <v>0</v>
      </c>
      <c r="HR107" s="21">
        <f t="shared" si="354"/>
        <v>257.80950000000001</v>
      </c>
      <c r="HS107" s="21">
        <f t="shared" si="355"/>
        <v>0</v>
      </c>
      <c r="HT107" s="69">
        <f t="shared" si="356"/>
        <v>0</v>
      </c>
      <c r="HU107" s="21">
        <f t="shared" si="357"/>
        <v>0</v>
      </c>
      <c r="HV107" s="21">
        <f t="shared" si="358"/>
        <v>0</v>
      </c>
      <c r="HW107" s="21">
        <f t="shared" si="359"/>
        <v>0</v>
      </c>
      <c r="HX107" s="21">
        <f t="shared" si="360"/>
        <v>0</v>
      </c>
      <c r="HY107" s="21">
        <f t="shared" si="361"/>
        <v>0</v>
      </c>
      <c r="HZ107" s="21">
        <f t="shared" si="362"/>
        <v>0</v>
      </c>
      <c r="IA107" s="21">
        <f t="shared" si="363"/>
        <v>0</v>
      </c>
      <c r="IB107" s="21">
        <f t="shared" si="364"/>
        <v>0</v>
      </c>
      <c r="IC107" s="21">
        <f t="shared" si="365"/>
        <v>0</v>
      </c>
      <c r="ID107" s="21">
        <f t="shared" si="366"/>
        <v>0</v>
      </c>
      <c r="IE107" s="21">
        <f t="shared" si="367"/>
        <v>0</v>
      </c>
      <c r="IF107" s="69">
        <f t="shared" si="368"/>
        <v>0</v>
      </c>
      <c r="IG107" s="69">
        <f t="shared" si="369"/>
        <v>0</v>
      </c>
      <c r="IH107" s="69">
        <f t="shared" si="370"/>
        <v>0</v>
      </c>
      <c r="II107" s="21">
        <f t="shared" si="371"/>
        <v>0</v>
      </c>
      <c r="IJ107" s="21">
        <f t="shared" si="372"/>
        <v>0</v>
      </c>
      <c r="IK107" s="21">
        <f t="shared" si="373"/>
        <v>0</v>
      </c>
      <c r="IL107" s="21">
        <f t="shared" si="374"/>
        <v>0</v>
      </c>
      <c r="IM107" s="21">
        <f t="shared" si="375"/>
        <v>0</v>
      </c>
      <c r="IN107" s="21">
        <f t="shared" si="376"/>
        <v>0</v>
      </c>
      <c r="IO107" s="21">
        <f t="shared" si="377"/>
        <v>0</v>
      </c>
      <c r="IP107" s="21">
        <f t="shared" si="378"/>
        <v>152.55000000000001</v>
      </c>
      <c r="IQ107" s="21">
        <f t="shared" si="379"/>
        <v>162.72</v>
      </c>
      <c r="IR107" s="21">
        <f t="shared" si="380"/>
        <v>0</v>
      </c>
      <c r="IS107" s="21">
        <f t="shared" si="381"/>
        <v>0</v>
      </c>
      <c r="IT107" s="21">
        <f t="shared" si="382"/>
        <v>0</v>
      </c>
      <c r="IU107" s="21">
        <f t="shared" si="383"/>
        <v>0</v>
      </c>
      <c r="IV107" s="21">
        <f t="shared" si="384"/>
        <v>0</v>
      </c>
      <c r="IW107" s="21">
        <f t="shared" si="385"/>
        <v>0</v>
      </c>
      <c r="IX107" s="21">
        <f t="shared" si="386"/>
        <v>0</v>
      </c>
      <c r="IY107" s="21">
        <f t="shared" si="387"/>
        <v>39.662999999999997</v>
      </c>
      <c r="IZ107" s="21">
        <f t="shared" si="388"/>
        <v>0</v>
      </c>
      <c r="JA107" s="21">
        <f t="shared" si="389"/>
        <v>0</v>
      </c>
      <c r="JB107" s="21">
        <f t="shared" si="390"/>
        <v>0</v>
      </c>
      <c r="JC107" s="21">
        <f t="shared" si="391"/>
        <v>0</v>
      </c>
      <c r="JD107" s="21">
        <f t="shared" si="392"/>
        <v>0</v>
      </c>
      <c r="JE107" s="21">
        <f t="shared" si="393"/>
        <v>1.5254999999999999</v>
      </c>
      <c r="JF107" s="21">
        <f t="shared" si="394"/>
        <v>0</v>
      </c>
      <c r="JG107" s="21">
        <f t="shared" si="395"/>
        <v>0</v>
      </c>
      <c r="JH107" s="21">
        <f t="shared" si="396"/>
        <v>0</v>
      </c>
      <c r="JI107" s="21">
        <f t="shared" si="397"/>
        <v>396.63</v>
      </c>
      <c r="JJ107" s="21">
        <f t="shared" si="398"/>
        <v>0</v>
      </c>
      <c r="JK107" s="21">
        <f t="shared" si="399"/>
        <v>0</v>
      </c>
      <c r="JL107" s="21">
        <f t="shared" si="400"/>
        <v>0</v>
      </c>
      <c r="JM107" s="21">
        <f t="shared" si="401"/>
        <v>0</v>
      </c>
      <c r="JN107" s="21">
        <f t="shared" si="402"/>
        <v>6.1019999999999994</v>
      </c>
      <c r="JO107" s="35">
        <f t="shared" si="403"/>
        <v>1017</v>
      </c>
      <c r="JP107" s="38">
        <f t="shared" si="404"/>
        <v>0</v>
      </c>
      <c r="JQ107" s="43">
        <f t="shared" si="405"/>
        <v>0</v>
      </c>
      <c r="JR107" s="43">
        <f t="shared" si="406"/>
        <v>0</v>
      </c>
      <c r="JS107" s="43">
        <f t="shared" si="407"/>
        <v>0</v>
      </c>
      <c r="JT107" s="43">
        <f t="shared" si="408"/>
        <v>1108.8180347400003</v>
      </c>
      <c r="JU107" s="43">
        <f t="shared" si="409"/>
        <v>0</v>
      </c>
      <c r="JV107" s="43">
        <f t="shared" si="410"/>
        <v>0</v>
      </c>
      <c r="JW107" s="43">
        <f t="shared" si="411"/>
        <v>0</v>
      </c>
      <c r="JX107" s="43">
        <f t="shared" si="412"/>
        <v>0</v>
      </c>
      <c r="JY107" s="43">
        <f t="shared" si="413"/>
        <v>0</v>
      </c>
      <c r="JZ107" s="43">
        <f t="shared" si="414"/>
        <v>0</v>
      </c>
      <c r="KA107" s="43">
        <f t="shared" si="415"/>
        <v>0</v>
      </c>
      <c r="KB107" s="43">
        <f t="shared" si="416"/>
        <v>0</v>
      </c>
      <c r="KC107" s="43">
        <f t="shared" si="417"/>
        <v>0</v>
      </c>
      <c r="KD107" s="43">
        <f t="shared" si="418"/>
        <v>0</v>
      </c>
      <c r="KE107" s="43">
        <f t="shared" si="419"/>
        <v>0</v>
      </c>
      <c r="KF107" s="43">
        <f t="shared" si="420"/>
        <v>0</v>
      </c>
      <c r="KG107" s="43">
        <f t="shared" si="421"/>
        <v>0</v>
      </c>
      <c r="KH107" s="43">
        <f t="shared" si="422"/>
        <v>0</v>
      </c>
      <c r="KI107" s="43">
        <f t="shared" si="423"/>
        <v>0</v>
      </c>
      <c r="KJ107" s="43">
        <f t="shared" si="424"/>
        <v>0</v>
      </c>
      <c r="KK107" s="43">
        <f t="shared" si="425"/>
        <v>0</v>
      </c>
      <c r="KL107" s="43">
        <f t="shared" si="426"/>
        <v>0</v>
      </c>
      <c r="KM107" s="43">
        <f t="shared" si="427"/>
        <v>0</v>
      </c>
      <c r="KN107" s="43">
        <f t="shared" si="428"/>
        <v>0</v>
      </c>
      <c r="KO107" s="43">
        <f t="shared" si="429"/>
        <v>0</v>
      </c>
      <c r="KP107" s="43">
        <f t="shared" si="430"/>
        <v>0</v>
      </c>
      <c r="KQ107" s="43">
        <f t="shared" si="431"/>
        <v>0</v>
      </c>
      <c r="KR107" s="43">
        <f t="shared" si="432"/>
        <v>588.84300000000007</v>
      </c>
      <c r="KS107" s="43">
        <f t="shared" si="433"/>
        <v>556.39353867636362</v>
      </c>
      <c r="KT107" s="43">
        <f t="shared" si="434"/>
        <v>0</v>
      </c>
      <c r="KU107" s="43">
        <f t="shared" si="435"/>
        <v>0</v>
      </c>
      <c r="KV107" s="43">
        <f t="shared" si="436"/>
        <v>0</v>
      </c>
      <c r="KW107" s="43">
        <f t="shared" si="437"/>
        <v>0</v>
      </c>
      <c r="KX107" s="43">
        <f t="shared" si="438"/>
        <v>0</v>
      </c>
      <c r="KY107" s="43">
        <f t="shared" si="439"/>
        <v>0</v>
      </c>
      <c r="KZ107" s="43">
        <f t="shared" si="440"/>
        <v>0</v>
      </c>
      <c r="LA107" s="43">
        <f t="shared" si="441"/>
        <v>158.92329491999996</v>
      </c>
      <c r="LB107" s="43">
        <f t="shared" si="442"/>
        <v>0</v>
      </c>
      <c r="LC107" s="43">
        <f t="shared" si="443"/>
        <v>0</v>
      </c>
      <c r="LD107" s="43">
        <f t="shared" si="444"/>
        <v>0</v>
      </c>
      <c r="LE107" s="43">
        <f t="shared" si="445"/>
        <v>0</v>
      </c>
      <c r="LF107" s="43">
        <f t="shared" si="446"/>
        <v>0</v>
      </c>
      <c r="LG107" s="43">
        <f t="shared" si="447"/>
        <v>15.74316</v>
      </c>
      <c r="LH107" s="43">
        <f t="shared" si="448"/>
        <v>0</v>
      </c>
      <c r="LI107" s="43">
        <f t="shared" si="449"/>
        <v>0</v>
      </c>
      <c r="LJ107" s="43">
        <f t="shared" si="450"/>
        <v>0</v>
      </c>
      <c r="LK107" s="43">
        <f t="shared" si="451"/>
        <v>1588.8006224999999</v>
      </c>
      <c r="LL107" s="43">
        <f t="shared" si="452"/>
        <v>0</v>
      </c>
      <c r="LM107" s="43">
        <f t="shared" si="453"/>
        <v>0</v>
      </c>
      <c r="LN107" s="43">
        <f t="shared" si="454"/>
        <v>0</v>
      </c>
      <c r="LO107" s="43">
        <f t="shared" si="455"/>
        <v>0</v>
      </c>
      <c r="LP107" s="43">
        <f t="shared" si="456"/>
        <v>51.561899999999994</v>
      </c>
      <c r="LQ107" s="28">
        <f t="shared" si="457"/>
        <v>4069.0835508363639</v>
      </c>
      <c r="LR107" s="65">
        <v>956</v>
      </c>
      <c r="LS107" s="32">
        <f t="shared" si="462"/>
        <v>4.2563635468999621</v>
      </c>
      <c r="LT107" s="26">
        <f t="shared" si="463"/>
        <v>1.1629408598087327</v>
      </c>
      <c r="LU107" s="31">
        <f t="shared" si="458"/>
        <v>61</v>
      </c>
      <c r="LW107" s="42"/>
      <c r="MA107" s="32">
        <f t="shared" si="459"/>
        <v>4.0010654383838382</v>
      </c>
      <c r="MB107" s="26">
        <f t="shared" si="464"/>
        <v>1.0931872782469503</v>
      </c>
    </row>
    <row r="108" spans="1:340" ht="15.75" thickBot="1">
      <c r="A108" t="b">
        <f t="shared" ref="A108:A139" si="484">IF(G108="","",IF(G108="EC1",HM108=500%,HM108=150%))</f>
        <v>1</v>
      </c>
      <c r="B108" s="123" t="s">
        <v>280</v>
      </c>
      <c r="C108" s="39" t="s">
        <v>281</v>
      </c>
      <c r="D108"/>
      <c r="E108" s="97">
        <v>46043</v>
      </c>
      <c r="F108" t="s">
        <v>43</v>
      </c>
      <c r="G108" t="s">
        <v>20</v>
      </c>
      <c r="H108" t="s">
        <v>27</v>
      </c>
      <c r="I108" s="77"/>
      <c r="J108" s="77"/>
      <c r="K108" s="77"/>
      <c r="L108" s="22"/>
      <c r="M108" s="22"/>
      <c r="N108" s="98"/>
      <c r="O108" s="22"/>
      <c r="P108" s="22"/>
      <c r="Q108" s="22"/>
      <c r="R108" s="22"/>
      <c r="S108" s="104"/>
      <c r="T108" s="22"/>
      <c r="U108" s="22"/>
      <c r="V108" s="104"/>
      <c r="W108" s="22"/>
      <c r="X108" s="22"/>
      <c r="Y108" s="22"/>
      <c r="Z108" s="104"/>
      <c r="AA108" s="104"/>
      <c r="AB108" s="104"/>
      <c r="AC108" s="22"/>
      <c r="AD108" s="22"/>
      <c r="AE108" s="22"/>
      <c r="AF108" s="124"/>
      <c r="AG108" s="124"/>
      <c r="AH108" s="22"/>
      <c r="AI108" s="104"/>
      <c r="AJ108" s="22">
        <v>0.5</v>
      </c>
      <c r="AK108" s="22"/>
      <c r="AL108" s="22"/>
      <c r="AM108" s="22"/>
      <c r="AN108" s="22"/>
      <c r="AO108" s="104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104"/>
      <c r="BA108" s="104"/>
      <c r="BB108" s="104"/>
      <c r="BC108" s="124">
        <v>0.5</v>
      </c>
      <c r="BD108" s="124"/>
      <c r="BE108" s="104"/>
      <c r="BF108" s="22"/>
      <c r="BG108" s="22"/>
      <c r="BH108" s="22"/>
      <c r="BI108" s="78">
        <f t="shared" si="483"/>
        <v>1</v>
      </c>
      <c r="BJ108" s="23"/>
      <c r="BK108" s="23"/>
      <c r="BL108" s="23"/>
      <c r="BM108" s="23"/>
      <c r="BN108" s="23"/>
      <c r="BO108" s="99"/>
      <c r="BP108" s="23"/>
      <c r="BQ108" s="23"/>
      <c r="BR108" s="23"/>
      <c r="BS108" s="23"/>
      <c r="BT108" s="105"/>
      <c r="BU108" s="23"/>
      <c r="BV108" s="23"/>
      <c r="BW108" s="105"/>
      <c r="BX108" s="23"/>
      <c r="BY108" s="23"/>
      <c r="BZ108" s="23"/>
      <c r="CA108" s="105"/>
      <c r="CB108" s="105"/>
      <c r="CC108" s="105"/>
      <c r="CD108" s="23"/>
      <c r="CE108" s="23"/>
      <c r="CF108" s="71"/>
      <c r="CG108" s="128"/>
      <c r="CH108" s="128"/>
      <c r="CI108" s="23"/>
      <c r="CJ108" s="23"/>
      <c r="CK108" s="23"/>
      <c r="CL108" s="23">
        <v>0.4</v>
      </c>
      <c r="CM108" s="23"/>
      <c r="CN108" s="23"/>
      <c r="CO108" s="23"/>
      <c r="CP108" s="105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3"/>
      <c r="DB108" s="99"/>
      <c r="DC108" s="99"/>
      <c r="DD108" s="125">
        <v>0.6</v>
      </c>
      <c r="DE108" s="125"/>
      <c r="DF108" s="105"/>
      <c r="DG108" s="23"/>
      <c r="DH108" s="23"/>
      <c r="DI108" s="23"/>
      <c r="DJ108" s="79">
        <f t="shared" ref="DJ108:DJ139" si="485">SUM(BJ108:DI108)</f>
        <v>1</v>
      </c>
      <c r="DK108" s="24"/>
      <c r="DL108" s="24"/>
      <c r="DM108" s="24"/>
      <c r="DN108" s="24">
        <v>0.84499999999999997</v>
      </c>
      <c r="DO108" s="24"/>
      <c r="DP108" s="103"/>
      <c r="DQ108" s="24"/>
      <c r="DR108" s="24"/>
      <c r="DS108" s="24"/>
      <c r="DT108" s="24"/>
      <c r="DU108" s="108"/>
      <c r="DV108" s="24"/>
      <c r="DW108" s="24"/>
      <c r="DX108" s="108"/>
      <c r="DY108" s="24"/>
      <c r="DZ108" s="24"/>
      <c r="EA108" s="24"/>
      <c r="EB108" s="108"/>
      <c r="EC108" s="108"/>
      <c r="ED108" s="108"/>
      <c r="EE108" s="24"/>
      <c r="EF108" s="24"/>
      <c r="EG108" s="24"/>
      <c r="EH108" s="129"/>
      <c r="EI108" s="129"/>
      <c r="EJ108" s="24"/>
      <c r="EK108" s="24"/>
      <c r="EL108" s="24"/>
      <c r="EM108" s="24"/>
      <c r="EN108" s="24"/>
      <c r="EO108" s="24"/>
      <c r="EP108" s="24"/>
      <c r="EQ108" s="108"/>
      <c r="ER108" s="24"/>
      <c r="ES108" s="25"/>
      <c r="ET108" s="25"/>
      <c r="EU108" s="25">
        <v>0.13</v>
      </c>
      <c r="EV108" s="25"/>
      <c r="EW108" s="25"/>
      <c r="EX108" s="25"/>
      <c r="EY108" s="25"/>
      <c r="EZ108" s="25"/>
      <c r="FA108" s="25">
        <v>5.0000000000000001E-3</v>
      </c>
      <c r="FB108" s="25"/>
      <c r="FC108" s="100"/>
      <c r="FD108" s="100"/>
      <c r="FE108" s="126"/>
      <c r="FF108" s="126"/>
      <c r="FG108" s="106"/>
      <c r="FH108" s="25"/>
      <c r="FI108" s="25"/>
      <c r="FJ108" s="25">
        <v>0.02</v>
      </c>
      <c r="FK108" s="17">
        <f t="shared" si="482"/>
        <v>1</v>
      </c>
      <c r="FL108" s="18"/>
      <c r="FM108" s="19">
        <f t="shared" si="298"/>
        <v>0</v>
      </c>
      <c r="FN108" s="19">
        <f t="shared" si="299"/>
        <v>0</v>
      </c>
      <c r="FO108" s="19">
        <f t="shared" si="300"/>
        <v>0</v>
      </c>
      <c r="FP108" s="19">
        <f t="shared" si="301"/>
        <v>1.2675000000000001</v>
      </c>
      <c r="FQ108" s="19">
        <f t="shared" si="302"/>
        <v>0</v>
      </c>
      <c r="FR108" s="19">
        <f t="shared" si="303"/>
        <v>0</v>
      </c>
      <c r="FS108" s="19">
        <f t="shared" si="304"/>
        <v>0</v>
      </c>
      <c r="FT108" s="19">
        <f t="shared" si="305"/>
        <v>0</v>
      </c>
      <c r="FU108" s="19">
        <f t="shared" si="306"/>
        <v>0</v>
      </c>
      <c r="FV108" s="19">
        <f t="shared" si="307"/>
        <v>0</v>
      </c>
      <c r="FW108" s="19">
        <f t="shared" si="308"/>
        <v>0</v>
      </c>
      <c r="FX108" s="19">
        <f t="shared" si="309"/>
        <v>0</v>
      </c>
      <c r="FY108" s="19">
        <f t="shared" si="310"/>
        <v>0</v>
      </c>
      <c r="FZ108" s="19">
        <f t="shared" si="311"/>
        <v>0</v>
      </c>
      <c r="GA108" s="19">
        <f t="shared" si="312"/>
        <v>0</v>
      </c>
      <c r="GB108" s="19">
        <f t="shared" si="313"/>
        <v>0</v>
      </c>
      <c r="GC108" s="19">
        <f t="shared" si="314"/>
        <v>0</v>
      </c>
      <c r="GD108" s="19">
        <f t="shared" si="315"/>
        <v>0</v>
      </c>
      <c r="GE108" s="19">
        <f t="shared" si="316"/>
        <v>0</v>
      </c>
      <c r="GF108" s="19">
        <f t="shared" si="317"/>
        <v>0</v>
      </c>
      <c r="GG108" s="19">
        <f t="shared" si="318"/>
        <v>0</v>
      </c>
      <c r="GH108" s="19">
        <f t="shared" si="319"/>
        <v>0</v>
      </c>
      <c r="GI108" s="19">
        <f t="shared" si="320"/>
        <v>0</v>
      </c>
      <c r="GJ108" s="19">
        <f t="shared" si="321"/>
        <v>0</v>
      </c>
      <c r="GK108" s="19">
        <f t="shared" si="322"/>
        <v>0</v>
      </c>
      <c r="GL108" s="19">
        <f t="shared" si="323"/>
        <v>0</v>
      </c>
      <c r="GM108" s="19">
        <f t="shared" si="324"/>
        <v>0</v>
      </c>
      <c r="GN108" s="19">
        <f t="shared" si="325"/>
        <v>0.75</v>
      </c>
      <c r="GO108" s="19">
        <f t="shared" si="326"/>
        <v>0.8</v>
      </c>
      <c r="GP108" s="19">
        <f t="shared" si="327"/>
        <v>0</v>
      </c>
      <c r="GQ108" s="19">
        <f t="shared" si="328"/>
        <v>0</v>
      </c>
      <c r="GR108" s="19">
        <f t="shared" si="329"/>
        <v>0</v>
      </c>
      <c r="GS108" s="19">
        <f t="shared" si="330"/>
        <v>0</v>
      </c>
      <c r="GT108" s="19">
        <f t="shared" si="331"/>
        <v>0</v>
      </c>
      <c r="GU108" s="19">
        <f t="shared" si="332"/>
        <v>0</v>
      </c>
      <c r="GV108" s="19">
        <f t="shared" si="333"/>
        <v>0</v>
      </c>
      <c r="GW108" s="19">
        <f t="shared" si="334"/>
        <v>0.19500000000000001</v>
      </c>
      <c r="GX108" s="19">
        <f t="shared" si="335"/>
        <v>0</v>
      </c>
      <c r="GY108" s="19">
        <f t="shared" si="336"/>
        <v>0</v>
      </c>
      <c r="GZ108" s="19">
        <f t="shared" si="337"/>
        <v>0</v>
      </c>
      <c r="HA108" s="19">
        <f t="shared" si="338"/>
        <v>0</v>
      </c>
      <c r="HB108" s="19">
        <f t="shared" si="339"/>
        <v>0</v>
      </c>
      <c r="HC108" s="19">
        <f t="shared" si="340"/>
        <v>7.4999999999999997E-3</v>
      </c>
      <c r="HD108" s="19">
        <f t="shared" si="341"/>
        <v>0</v>
      </c>
      <c r="HE108" s="19">
        <f t="shared" si="342"/>
        <v>0</v>
      </c>
      <c r="HF108" s="19">
        <f t="shared" si="343"/>
        <v>0</v>
      </c>
      <c r="HG108" s="19">
        <f t="shared" si="344"/>
        <v>1.95</v>
      </c>
      <c r="HH108" s="19">
        <f t="shared" si="345"/>
        <v>0</v>
      </c>
      <c r="HI108" s="19">
        <f t="shared" si="346"/>
        <v>0</v>
      </c>
      <c r="HJ108" s="19">
        <f t="shared" si="347"/>
        <v>0</v>
      </c>
      <c r="HK108" s="19">
        <f t="shared" si="348"/>
        <v>0</v>
      </c>
      <c r="HL108" s="19">
        <f t="shared" si="349"/>
        <v>0.03</v>
      </c>
      <c r="HM108" s="20">
        <f t="shared" si="350"/>
        <v>5</v>
      </c>
      <c r="HN108" s="53">
        <v>488</v>
      </c>
      <c r="HO108" s="21">
        <f t="shared" si="351"/>
        <v>0</v>
      </c>
      <c r="HP108" s="21">
        <f t="shared" si="352"/>
        <v>0</v>
      </c>
      <c r="HQ108" s="21">
        <f t="shared" si="353"/>
        <v>0</v>
      </c>
      <c r="HR108" s="21">
        <f t="shared" si="354"/>
        <v>123.70800000000001</v>
      </c>
      <c r="HS108" s="21">
        <f t="shared" si="355"/>
        <v>0</v>
      </c>
      <c r="HT108" s="69">
        <f t="shared" si="356"/>
        <v>0</v>
      </c>
      <c r="HU108" s="21">
        <f t="shared" si="357"/>
        <v>0</v>
      </c>
      <c r="HV108" s="21">
        <f t="shared" si="358"/>
        <v>0</v>
      </c>
      <c r="HW108" s="21">
        <f t="shared" si="359"/>
        <v>0</v>
      </c>
      <c r="HX108" s="21">
        <f t="shared" si="360"/>
        <v>0</v>
      </c>
      <c r="HY108" s="21">
        <f t="shared" si="361"/>
        <v>0</v>
      </c>
      <c r="HZ108" s="21">
        <f t="shared" si="362"/>
        <v>0</v>
      </c>
      <c r="IA108" s="21">
        <f t="shared" si="363"/>
        <v>0</v>
      </c>
      <c r="IB108" s="21">
        <f t="shared" si="364"/>
        <v>0</v>
      </c>
      <c r="IC108" s="21">
        <f t="shared" si="365"/>
        <v>0</v>
      </c>
      <c r="ID108" s="21">
        <f t="shared" si="366"/>
        <v>0</v>
      </c>
      <c r="IE108" s="21">
        <f t="shared" si="367"/>
        <v>0</v>
      </c>
      <c r="IF108" s="69">
        <f t="shared" si="368"/>
        <v>0</v>
      </c>
      <c r="IG108" s="69">
        <f t="shared" si="369"/>
        <v>0</v>
      </c>
      <c r="IH108" s="69">
        <f t="shared" si="370"/>
        <v>0</v>
      </c>
      <c r="II108" s="21">
        <f t="shared" si="371"/>
        <v>0</v>
      </c>
      <c r="IJ108" s="21">
        <f t="shared" si="372"/>
        <v>0</v>
      </c>
      <c r="IK108" s="21">
        <f t="shared" si="373"/>
        <v>0</v>
      </c>
      <c r="IL108" s="21">
        <f t="shared" si="374"/>
        <v>0</v>
      </c>
      <c r="IM108" s="21">
        <f t="shared" si="375"/>
        <v>0</v>
      </c>
      <c r="IN108" s="21">
        <f t="shared" si="376"/>
        <v>0</v>
      </c>
      <c r="IO108" s="21">
        <f t="shared" si="377"/>
        <v>0</v>
      </c>
      <c r="IP108" s="21">
        <f t="shared" si="378"/>
        <v>73.2</v>
      </c>
      <c r="IQ108" s="21">
        <f t="shared" si="379"/>
        <v>78.080000000000013</v>
      </c>
      <c r="IR108" s="21">
        <f t="shared" si="380"/>
        <v>0</v>
      </c>
      <c r="IS108" s="21">
        <f t="shared" si="381"/>
        <v>0</v>
      </c>
      <c r="IT108" s="21">
        <f t="shared" si="382"/>
        <v>0</v>
      </c>
      <c r="IU108" s="21">
        <f t="shared" si="383"/>
        <v>0</v>
      </c>
      <c r="IV108" s="21">
        <f t="shared" si="384"/>
        <v>0</v>
      </c>
      <c r="IW108" s="21">
        <f t="shared" si="385"/>
        <v>0</v>
      </c>
      <c r="IX108" s="21">
        <f t="shared" si="386"/>
        <v>0</v>
      </c>
      <c r="IY108" s="21">
        <f t="shared" si="387"/>
        <v>19.032</v>
      </c>
      <c r="IZ108" s="21">
        <f t="shared" si="388"/>
        <v>0</v>
      </c>
      <c r="JA108" s="21">
        <f t="shared" si="389"/>
        <v>0</v>
      </c>
      <c r="JB108" s="21">
        <f t="shared" si="390"/>
        <v>0</v>
      </c>
      <c r="JC108" s="21">
        <f t="shared" si="391"/>
        <v>0</v>
      </c>
      <c r="JD108" s="21">
        <f t="shared" si="392"/>
        <v>0</v>
      </c>
      <c r="JE108" s="21">
        <f t="shared" si="393"/>
        <v>0.73199999999999998</v>
      </c>
      <c r="JF108" s="21">
        <f t="shared" si="394"/>
        <v>0</v>
      </c>
      <c r="JG108" s="21">
        <f t="shared" si="395"/>
        <v>0</v>
      </c>
      <c r="JH108" s="21">
        <f t="shared" si="396"/>
        <v>0</v>
      </c>
      <c r="JI108" s="21">
        <f t="shared" si="397"/>
        <v>190.32</v>
      </c>
      <c r="JJ108" s="21">
        <f t="shared" si="398"/>
        <v>0</v>
      </c>
      <c r="JK108" s="21">
        <f t="shared" si="399"/>
        <v>0</v>
      </c>
      <c r="JL108" s="21">
        <f t="shared" si="400"/>
        <v>0</v>
      </c>
      <c r="JM108" s="21">
        <f t="shared" si="401"/>
        <v>0</v>
      </c>
      <c r="JN108" s="21">
        <f t="shared" si="402"/>
        <v>2.9279999999999999</v>
      </c>
      <c r="JO108" s="35">
        <f t="shared" ref="JO108:JO139" si="486">SUM(HO108:JN108)</f>
        <v>488.00000000000006</v>
      </c>
      <c r="JP108" s="38">
        <f t="shared" ref="JP108:JP139" si="487">JO108-HN108</f>
        <v>0</v>
      </c>
      <c r="JQ108" s="43">
        <f t="shared" si="405"/>
        <v>0</v>
      </c>
      <c r="JR108" s="43">
        <f t="shared" si="406"/>
        <v>0</v>
      </c>
      <c r="JS108" s="43">
        <f t="shared" si="407"/>
        <v>0</v>
      </c>
      <c r="JT108" s="43">
        <f t="shared" si="408"/>
        <v>532.05821136000009</v>
      </c>
      <c r="JU108" s="43">
        <f t="shared" si="409"/>
        <v>0</v>
      </c>
      <c r="JV108" s="43">
        <f t="shared" si="410"/>
        <v>0</v>
      </c>
      <c r="JW108" s="43">
        <f t="shared" si="411"/>
        <v>0</v>
      </c>
      <c r="JX108" s="43">
        <f t="shared" si="412"/>
        <v>0</v>
      </c>
      <c r="JY108" s="43">
        <f t="shared" si="413"/>
        <v>0</v>
      </c>
      <c r="JZ108" s="43">
        <f t="shared" si="414"/>
        <v>0</v>
      </c>
      <c r="KA108" s="43">
        <f t="shared" si="415"/>
        <v>0</v>
      </c>
      <c r="KB108" s="43">
        <f t="shared" si="416"/>
        <v>0</v>
      </c>
      <c r="KC108" s="43">
        <f t="shared" si="417"/>
        <v>0</v>
      </c>
      <c r="KD108" s="43">
        <f t="shared" si="418"/>
        <v>0</v>
      </c>
      <c r="KE108" s="43">
        <f t="shared" si="419"/>
        <v>0</v>
      </c>
      <c r="KF108" s="43">
        <f t="shared" si="420"/>
        <v>0</v>
      </c>
      <c r="KG108" s="43">
        <f t="shared" si="421"/>
        <v>0</v>
      </c>
      <c r="KH108" s="43">
        <f t="shared" si="422"/>
        <v>0</v>
      </c>
      <c r="KI108" s="43">
        <f t="shared" si="423"/>
        <v>0</v>
      </c>
      <c r="KJ108" s="43">
        <f t="shared" si="424"/>
        <v>0</v>
      </c>
      <c r="KK108" s="43">
        <f t="shared" si="425"/>
        <v>0</v>
      </c>
      <c r="KL108" s="43">
        <f t="shared" si="426"/>
        <v>0</v>
      </c>
      <c r="KM108" s="43">
        <f t="shared" si="427"/>
        <v>0</v>
      </c>
      <c r="KN108" s="43">
        <f t="shared" si="428"/>
        <v>0</v>
      </c>
      <c r="KO108" s="43">
        <f t="shared" si="429"/>
        <v>0</v>
      </c>
      <c r="KP108" s="43">
        <f t="shared" si="430"/>
        <v>0</v>
      </c>
      <c r="KQ108" s="43">
        <f t="shared" si="431"/>
        <v>0</v>
      </c>
      <c r="KR108" s="43">
        <f t="shared" si="432"/>
        <v>282.55200000000002</v>
      </c>
      <c r="KS108" s="43">
        <f t="shared" si="433"/>
        <v>266.98136369131316</v>
      </c>
      <c r="KT108" s="43">
        <f t="shared" si="434"/>
        <v>0</v>
      </c>
      <c r="KU108" s="43">
        <f t="shared" si="435"/>
        <v>0</v>
      </c>
      <c r="KV108" s="43">
        <f t="shared" si="436"/>
        <v>0</v>
      </c>
      <c r="KW108" s="43">
        <f t="shared" si="437"/>
        <v>0</v>
      </c>
      <c r="KX108" s="43">
        <f t="shared" si="438"/>
        <v>0</v>
      </c>
      <c r="KY108" s="43">
        <f t="shared" si="439"/>
        <v>0</v>
      </c>
      <c r="KZ108" s="43">
        <f t="shared" si="440"/>
        <v>0</v>
      </c>
      <c r="LA108" s="43">
        <f t="shared" si="441"/>
        <v>76.258178879999988</v>
      </c>
      <c r="LB108" s="43">
        <f t="shared" si="442"/>
        <v>0</v>
      </c>
      <c r="LC108" s="43">
        <f t="shared" si="443"/>
        <v>0</v>
      </c>
      <c r="LD108" s="43">
        <f t="shared" si="444"/>
        <v>0</v>
      </c>
      <c r="LE108" s="43">
        <f t="shared" si="445"/>
        <v>0</v>
      </c>
      <c r="LF108" s="43">
        <f t="shared" si="446"/>
        <v>0</v>
      </c>
      <c r="LG108" s="43">
        <f t="shared" si="447"/>
        <v>7.5542400000000001</v>
      </c>
      <c r="LH108" s="43">
        <f t="shared" si="448"/>
        <v>0</v>
      </c>
      <c r="LI108" s="43">
        <f t="shared" si="449"/>
        <v>0</v>
      </c>
      <c r="LJ108" s="43">
        <f t="shared" si="450"/>
        <v>0</v>
      </c>
      <c r="LK108" s="43">
        <f t="shared" si="451"/>
        <v>762.37433999999996</v>
      </c>
      <c r="LL108" s="43">
        <f t="shared" si="452"/>
        <v>0</v>
      </c>
      <c r="LM108" s="43">
        <f t="shared" si="453"/>
        <v>0</v>
      </c>
      <c r="LN108" s="43">
        <f t="shared" si="454"/>
        <v>0</v>
      </c>
      <c r="LO108" s="43">
        <f t="shared" si="455"/>
        <v>0</v>
      </c>
      <c r="LP108" s="43">
        <f t="shared" si="456"/>
        <v>24.741599999999998</v>
      </c>
      <c r="LQ108" s="28">
        <f t="shared" ref="LQ108:LQ139" si="488">SUM(JQ108:LP108)</f>
        <v>1952.5199339313133</v>
      </c>
      <c r="LR108" s="65">
        <v>472</v>
      </c>
      <c r="LS108" s="32">
        <f t="shared" si="462"/>
        <v>4.1366947752782064</v>
      </c>
      <c r="LT108" s="26">
        <f t="shared" si="463"/>
        <v>1.1302444741197284</v>
      </c>
      <c r="LU108" s="31">
        <f t="shared" ref="LU108:LU139" si="489">HN108-LR108</f>
        <v>16</v>
      </c>
      <c r="LW108" s="42"/>
      <c r="MA108" s="32">
        <f t="shared" ref="MA108:MA139" si="490">LQ108/JO108</f>
        <v>4.0010654383838382</v>
      </c>
      <c r="MB108" s="26">
        <f t="shared" si="464"/>
        <v>1.0931872782469503</v>
      </c>
    </row>
    <row r="109" spans="1:340" ht="15.75" thickBot="1">
      <c r="A109" t="b">
        <f t="shared" si="484"/>
        <v>1</v>
      </c>
      <c r="B109" s="123" t="s">
        <v>282</v>
      </c>
      <c r="C109" s="39" t="s">
        <v>283</v>
      </c>
      <c r="D109"/>
      <c r="E109" s="97">
        <v>46042</v>
      </c>
      <c r="F109" t="s">
        <v>43</v>
      </c>
      <c r="G109" t="s">
        <v>20</v>
      </c>
      <c r="H109" t="s">
        <v>27</v>
      </c>
      <c r="I109" s="77"/>
      <c r="J109" s="77"/>
      <c r="K109" s="77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24"/>
      <c r="AG109" s="124"/>
      <c r="AH109" s="104"/>
      <c r="AI109" s="104"/>
      <c r="AJ109" s="22">
        <v>0.5</v>
      </c>
      <c r="AK109" s="22"/>
      <c r="AL109" s="22"/>
      <c r="AM109" s="22"/>
      <c r="AN109" s="22"/>
      <c r="AO109" s="104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104"/>
      <c r="BA109" s="104"/>
      <c r="BB109" s="104"/>
      <c r="BC109" s="124">
        <v>0.5</v>
      </c>
      <c r="BD109" s="124"/>
      <c r="BE109" s="104"/>
      <c r="BF109" s="104"/>
      <c r="BG109" s="104"/>
      <c r="BH109" s="104"/>
      <c r="BI109" s="78">
        <f t="shared" ref="BI109:BI110" si="491">SUM(I109:BH109)</f>
        <v>1</v>
      </c>
      <c r="BJ109" s="105"/>
      <c r="BK109" s="105"/>
      <c r="BL109" s="105"/>
      <c r="BM109" s="105"/>
      <c r="BN109" s="105"/>
      <c r="BO109" s="105"/>
      <c r="BP109" s="105"/>
      <c r="BQ109" s="105"/>
      <c r="BR109" s="105"/>
      <c r="BS109" s="105"/>
      <c r="BT109" s="105"/>
      <c r="BU109" s="105"/>
      <c r="BV109" s="105"/>
      <c r="BW109" s="105"/>
      <c r="BX109" s="105"/>
      <c r="BY109" s="105"/>
      <c r="BZ109" s="105"/>
      <c r="CA109" s="105"/>
      <c r="CB109" s="105"/>
      <c r="CC109" s="105"/>
      <c r="CD109" s="105"/>
      <c r="CE109" s="105"/>
      <c r="CF109" s="120"/>
      <c r="CG109" s="128"/>
      <c r="CH109" s="128"/>
      <c r="CI109" s="105"/>
      <c r="CJ109" s="105"/>
      <c r="CK109" s="105"/>
      <c r="CL109" s="105">
        <v>0.4</v>
      </c>
      <c r="CM109" s="105"/>
      <c r="CN109" s="105"/>
      <c r="CO109" s="105"/>
      <c r="CP109" s="105"/>
      <c r="CQ109" s="105"/>
      <c r="CR109" s="105"/>
      <c r="CS109" s="105"/>
      <c r="CT109" s="105"/>
      <c r="CU109" s="105"/>
      <c r="CV109" s="105"/>
      <c r="CW109" s="105"/>
      <c r="CX109" s="105"/>
      <c r="CY109" s="105"/>
      <c r="CZ109" s="105"/>
      <c r="DA109" s="105"/>
      <c r="DB109" s="105"/>
      <c r="DC109" s="105"/>
      <c r="DD109" s="125">
        <v>0.6</v>
      </c>
      <c r="DE109" s="125"/>
      <c r="DF109" s="105"/>
      <c r="DG109" s="105"/>
      <c r="DH109" s="105"/>
      <c r="DI109" s="105"/>
      <c r="DJ109" s="79">
        <f t="shared" si="485"/>
        <v>1</v>
      </c>
      <c r="DK109" s="108"/>
      <c r="DL109" s="108"/>
      <c r="DM109" s="108"/>
      <c r="DN109" s="108">
        <v>0.84499999999999997</v>
      </c>
      <c r="DO109" s="108"/>
      <c r="DP109" s="108"/>
      <c r="DQ109" s="108"/>
      <c r="DR109" s="108"/>
      <c r="DS109" s="108"/>
      <c r="DT109" s="108"/>
      <c r="DU109" s="108"/>
      <c r="DV109" s="108"/>
      <c r="DW109" s="108"/>
      <c r="DX109" s="108"/>
      <c r="DY109" s="108"/>
      <c r="DZ109" s="108"/>
      <c r="EA109" s="108"/>
      <c r="EB109" s="108"/>
      <c r="EC109" s="108"/>
      <c r="ED109" s="108"/>
      <c r="EE109" s="108"/>
      <c r="EF109" s="108"/>
      <c r="EG109" s="108"/>
      <c r="EH109" s="129"/>
      <c r="EI109" s="129"/>
      <c r="EJ109" s="108"/>
      <c r="EK109" s="108"/>
      <c r="EL109" s="108"/>
      <c r="EM109" s="108"/>
      <c r="EN109" s="108"/>
      <c r="EO109" s="108"/>
      <c r="EP109" s="108"/>
      <c r="EQ109" s="108"/>
      <c r="ER109" s="108"/>
      <c r="ES109" s="106"/>
      <c r="ET109" s="106"/>
      <c r="EU109" s="106">
        <v>0.13</v>
      </c>
      <c r="EV109" s="106"/>
      <c r="EW109" s="106"/>
      <c r="EX109" s="106"/>
      <c r="EY109" s="106"/>
      <c r="EZ109" s="106"/>
      <c r="FA109" s="106">
        <v>5.0000000000000001E-3</v>
      </c>
      <c r="FB109" s="106"/>
      <c r="FC109" s="106"/>
      <c r="FD109" s="106"/>
      <c r="FE109" s="126"/>
      <c r="FF109" s="126"/>
      <c r="FG109" s="106"/>
      <c r="FH109" s="106"/>
      <c r="FI109" s="106"/>
      <c r="FJ109" s="106">
        <v>0.02</v>
      </c>
      <c r="FK109" s="17">
        <f t="shared" si="482"/>
        <v>1</v>
      </c>
      <c r="FL109" s="18"/>
      <c r="FM109" s="19">
        <f t="shared" si="298"/>
        <v>0</v>
      </c>
      <c r="FN109" s="19">
        <f t="shared" si="299"/>
        <v>0</v>
      </c>
      <c r="FO109" s="19">
        <f t="shared" si="300"/>
        <v>0</v>
      </c>
      <c r="FP109" s="19">
        <f t="shared" si="301"/>
        <v>1.2675000000000001</v>
      </c>
      <c r="FQ109" s="19">
        <f t="shared" si="302"/>
        <v>0</v>
      </c>
      <c r="FR109" s="19">
        <f t="shared" si="303"/>
        <v>0</v>
      </c>
      <c r="FS109" s="19">
        <f t="shared" si="304"/>
        <v>0</v>
      </c>
      <c r="FT109" s="19">
        <f t="shared" si="305"/>
        <v>0</v>
      </c>
      <c r="FU109" s="19">
        <f t="shared" si="306"/>
        <v>0</v>
      </c>
      <c r="FV109" s="19">
        <f t="shared" si="307"/>
        <v>0</v>
      </c>
      <c r="FW109" s="19">
        <f t="shared" si="308"/>
        <v>0</v>
      </c>
      <c r="FX109" s="19">
        <f t="shared" si="309"/>
        <v>0</v>
      </c>
      <c r="FY109" s="19">
        <f t="shared" si="310"/>
        <v>0</v>
      </c>
      <c r="FZ109" s="19">
        <f t="shared" si="311"/>
        <v>0</v>
      </c>
      <c r="GA109" s="19">
        <f t="shared" si="312"/>
        <v>0</v>
      </c>
      <c r="GB109" s="19">
        <f t="shared" si="313"/>
        <v>0</v>
      </c>
      <c r="GC109" s="19">
        <f t="shared" si="314"/>
        <v>0</v>
      </c>
      <c r="GD109" s="19">
        <f t="shared" si="315"/>
        <v>0</v>
      </c>
      <c r="GE109" s="19">
        <f t="shared" si="316"/>
        <v>0</v>
      </c>
      <c r="GF109" s="19">
        <f t="shared" si="317"/>
        <v>0</v>
      </c>
      <c r="GG109" s="19">
        <f t="shared" si="318"/>
        <v>0</v>
      </c>
      <c r="GH109" s="19">
        <f t="shared" si="319"/>
        <v>0</v>
      </c>
      <c r="GI109" s="19">
        <f t="shared" si="320"/>
        <v>0</v>
      </c>
      <c r="GJ109" s="19">
        <f t="shared" si="321"/>
        <v>0</v>
      </c>
      <c r="GK109" s="19">
        <f t="shared" si="322"/>
        <v>0</v>
      </c>
      <c r="GL109" s="19">
        <f t="shared" si="323"/>
        <v>0</v>
      </c>
      <c r="GM109" s="19">
        <f t="shared" si="324"/>
        <v>0</v>
      </c>
      <c r="GN109" s="19">
        <f t="shared" si="325"/>
        <v>0.75</v>
      </c>
      <c r="GO109" s="19">
        <f t="shared" si="326"/>
        <v>0.8</v>
      </c>
      <c r="GP109" s="19">
        <f t="shared" si="327"/>
        <v>0</v>
      </c>
      <c r="GQ109" s="19">
        <f t="shared" si="328"/>
        <v>0</v>
      </c>
      <c r="GR109" s="19">
        <f t="shared" si="329"/>
        <v>0</v>
      </c>
      <c r="GS109" s="19">
        <f t="shared" si="330"/>
        <v>0</v>
      </c>
      <c r="GT109" s="19">
        <f t="shared" si="331"/>
        <v>0</v>
      </c>
      <c r="GU109" s="19">
        <f t="shared" si="332"/>
        <v>0</v>
      </c>
      <c r="GV109" s="19">
        <f t="shared" si="333"/>
        <v>0</v>
      </c>
      <c r="GW109" s="19">
        <f t="shared" si="334"/>
        <v>0.19500000000000001</v>
      </c>
      <c r="GX109" s="19">
        <f t="shared" si="335"/>
        <v>0</v>
      </c>
      <c r="GY109" s="19">
        <f t="shared" si="336"/>
        <v>0</v>
      </c>
      <c r="GZ109" s="19">
        <f t="shared" si="337"/>
        <v>0</v>
      </c>
      <c r="HA109" s="19">
        <f t="shared" si="338"/>
        <v>0</v>
      </c>
      <c r="HB109" s="19">
        <f t="shared" si="339"/>
        <v>0</v>
      </c>
      <c r="HC109" s="19">
        <f t="shared" si="340"/>
        <v>7.4999999999999997E-3</v>
      </c>
      <c r="HD109" s="19">
        <f t="shared" si="341"/>
        <v>0</v>
      </c>
      <c r="HE109" s="19">
        <f t="shared" si="342"/>
        <v>0</v>
      </c>
      <c r="HF109" s="19">
        <f t="shared" si="343"/>
        <v>0</v>
      </c>
      <c r="HG109" s="19">
        <f t="shared" si="344"/>
        <v>1.95</v>
      </c>
      <c r="HH109" s="19">
        <f t="shared" si="345"/>
        <v>0</v>
      </c>
      <c r="HI109" s="19">
        <f t="shared" si="346"/>
        <v>0</v>
      </c>
      <c r="HJ109" s="19">
        <f t="shared" si="347"/>
        <v>0</v>
      </c>
      <c r="HK109" s="19">
        <f t="shared" si="348"/>
        <v>0</v>
      </c>
      <c r="HL109" s="19">
        <f t="shared" si="349"/>
        <v>0.03</v>
      </c>
      <c r="HM109" s="20">
        <f t="shared" si="350"/>
        <v>5</v>
      </c>
      <c r="HN109" s="53">
        <v>1099</v>
      </c>
      <c r="HO109" s="21">
        <f t="shared" si="351"/>
        <v>0</v>
      </c>
      <c r="HP109" s="21">
        <f t="shared" si="352"/>
        <v>0</v>
      </c>
      <c r="HQ109" s="21">
        <f t="shared" si="353"/>
        <v>0</v>
      </c>
      <c r="HR109" s="21">
        <f t="shared" si="354"/>
        <v>278.59649999999999</v>
      </c>
      <c r="HS109" s="21">
        <f t="shared" si="355"/>
        <v>0</v>
      </c>
      <c r="HT109" s="69">
        <f t="shared" si="356"/>
        <v>0</v>
      </c>
      <c r="HU109" s="21">
        <f t="shared" si="357"/>
        <v>0</v>
      </c>
      <c r="HV109" s="21">
        <f t="shared" si="358"/>
        <v>0</v>
      </c>
      <c r="HW109" s="21">
        <f t="shared" si="359"/>
        <v>0</v>
      </c>
      <c r="HX109" s="21">
        <f t="shared" si="360"/>
        <v>0</v>
      </c>
      <c r="HY109" s="21">
        <f t="shared" si="361"/>
        <v>0</v>
      </c>
      <c r="HZ109" s="21">
        <f t="shared" si="362"/>
        <v>0</v>
      </c>
      <c r="IA109" s="21">
        <f t="shared" si="363"/>
        <v>0</v>
      </c>
      <c r="IB109" s="21">
        <f t="shared" si="364"/>
        <v>0</v>
      </c>
      <c r="IC109" s="21">
        <f t="shared" si="365"/>
        <v>0</v>
      </c>
      <c r="ID109" s="21">
        <f t="shared" si="366"/>
        <v>0</v>
      </c>
      <c r="IE109" s="21">
        <f t="shared" si="367"/>
        <v>0</v>
      </c>
      <c r="IF109" s="69">
        <f t="shared" si="368"/>
        <v>0</v>
      </c>
      <c r="IG109" s="69">
        <f t="shared" si="369"/>
        <v>0</v>
      </c>
      <c r="IH109" s="69">
        <f t="shared" si="370"/>
        <v>0</v>
      </c>
      <c r="II109" s="21">
        <f t="shared" si="371"/>
        <v>0</v>
      </c>
      <c r="IJ109" s="21">
        <f t="shared" si="372"/>
        <v>0</v>
      </c>
      <c r="IK109" s="21">
        <f t="shared" si="373"/>
        <v>0</v>
      </c>
      <c r="IL109" s="21">
        <f t="shared" si="374"/>
        <v>0</v>
      </c>
      <c r="IM109" s="21">
        <f t="shared" si="375"/>
        <v>0</v>
      </c>
      <c r="IN109" s="21">
        <f t="shared" si="376"/>
        <v>0</v>
      </c>
      <c r="IO109" s="21">
        <f t="shared" si="377"/>
        <v>0</v>
      </c>
      <c r="IP109" s="21">
        <f t="shared" si="378"/>
        <v>164.85</v>
      </c>
      <c r="IQ109" s="21">
        <f t="shared" si="379"/>
        <v>175.84</v>
      </c>
      <c r="IR109" s="21">
        <f t="shared" si="380"/>
        <v>0</v>
      </c>
      <c r="IS109" s="21">
        <f t="shared" si="381"/>
        <v>0</v>
      </c>
      <c r="IT109" s="21">
        <f t="shared" si="382"/>
        <v>0</v>
      </c>
      <c r="IU109" s="21">
        <f t="shared" si="383"/>
        <v>0</v>
      </c>
      <c r="IV109" s="21">
        <f t="shared" si="384"/>
        <v>0</v>
      </c>
      <c r="IW109" s="21">
        <f t="shared" si="385"/>
        <v>0</v>
      </c>
      <c r="IX109" s="21">
        <f t="shared" si="386"/>
        <v>0</v>
      </c>
      <c r="IY109" s="21">
        <f t="shared" si="387"/>
        <v>42.861000000000004</v>
      </c>
      <c r="IZ109" s="21">
        <f t="shared" si="388"/>
        <v>0</v>
      </c>
      <c r="JA109" s="21">
        <f t="shared" si="389"/>
        <v>0</v>
      </c>
      <c r="JB109" s="21">
        <f t="shared" si="390"/>
        <v>0</v>
      </c>
      <c r="JC109" s="21">
        <f t="shared" si="391"/>
        <v>0</v>
      </c>
      <c r="JD109" s="21">
        <f t="shared" si="392"/>
        <v>0</v>
      </c>
      <c r="JE109" s="21">
        <f t="shared" si="393"/>
        <v>1.6484999999999999</v>
      </c>
      <c r="JF109" s="21">
        <f t="shared" si="394"/>
        <v>0</v>
      </c>
      <c r="JG109" s="21">
        <f t="shared" si="395"/>
        <v>0</v>
      </c>
      <c r="JH109" s="21">
        <f t="shared" si="396"/>
        <v>0</v>
      </c>
      <c r="JI109" s="21">
        <f t="shared" si="397"/>
        <v>428.60999999999996</v>
      </c>
      <c r="JJ109" s="21">
        <f t="shared" si="398"/>
        <v>0</v>
      </c>
      <c r="JK109" s="21">
        <f t="shared" si="399"/>
        <v>0</v>
      </c>
      <c r="JL109" s="21">
        <f t="shared" si="400"/>
        <v>0</v>
      </c>
      <c r="JM109" s="21">
        <f t="shared" si="401"/>
        <v>0</v>
      </c>
      <c r="JN109" s="21">
        <f t="shared" si="402"/>
        <v>6.5939999999999994</v>
      </c>
      <c r="JO109" s="35">
        <f t="shared" si="486"/>
        <v>1099</v>
      </c>
      <c r="JP109" s="38">
        <f t="shared" si="487"/>
        <v>0</v>
      </c>
      <c r="JQ109" s="43">
        <f t="shared" si="405"/>
        <v>0</v>
      </c>
      <c r="JR109" s="43">
        <f t="shared" si="406"/>
        <v>0</v>
      </c>
      <c r="JS109" s="43">
        <f t="shared" si="407"/>
        <v>0</v>
      </c>
      <c r="JT109" s="43">
        <f t="shared" si="408"/>
        <v>1198.2212587800002</v>
      </c>
      <c r="JU109" s="43">
        <f t="shared" si="409"/>
        <v>0</v>
      </c>
      <c r="JV109" s="43">
        <f t="shared" si="410"/>
        <v>0</v>
      </c>
      <c r="JW109" s="43">
        <f t="shared" si="411"/>
        <v>0</v>
      </c>
      <c r="JX109" s="43">
        <f t="shared" si="412"/>
        <v>0</v>
      </c>
      <c r="JY109" s="43">
        <f t="shared" si="413"/>
        <v>0</v>
      </c>
      <c r="JZ109" s="43">
        <f t="shared" si="414"/>
        <v>0</v>
      </c>
      <c r="KA109" s="43">
        <f t="shared" si="415"/>
        <v>0</v>
      </c>
      <c r="KB109" s="43">
        <f t="shared" si="416"/>
        <v>0</v>
      </c>
      <c r="KC109" s="43">
        <f t="shared" si="417"/>
        <v>0</v>
      </c>
      <c r="KD109" s="43">
        <f t="shared" si="418"/>
        <v>0</v>
      </c>
      <c r="KE109" s="43">
        <f t="shared" si="419"/>
        <v>0</v>
      </c>
      <c r="KF109" s="43">
        <f t="shared" si="420"/>
        <v>0</v>
      </c>
      <c r="KG109" s="43">
        <f t="shared" si="421"/>
        <v>0</v>
      </c>
      <c r="KH109" s="43">
        <f t="shared" si="422"/>
        <v>0</v>
      </c>
      <c r="KI109" s="43">
        <f t="shared" si="423"/>
        <v>0</v>
      </c>
      <c r="KJ109" s="43">
        <f t="shared" si="424"/>
        <v>0</v>
      </c>
      <c r="KK109" s="43">
        <f t="shared" si="425"/>
        <v>0</v>
      </c>
      <c r="KL109" s="43">
        <f t="shared" si="426"/>
        <v>0</v>
      </c>
      <c r="KM109" s="43">
        <f t="shared" si="427"/>
        <v>0</v>
      </c>
      <c r="KN109" s="43">
        <f t="shared" si="428"/>
        <v>0</v>
      </c>
      <c r="KO109" s="43">
        <f t="shared" si="429"/>
        <v>0</v>
      </c>
      <c r="KP109" s="43">
        <f t="shared" si="430"/>
        <v>0</v>
      </c>
      <c r="KQ109" s="43">
        <f t="shared" si="431"/>
        <v>0</v>
      </c>
      <c r="KR109" s="43">
        <f t="shared" si="432"/>
        <v>636.32099999999991</v>
      </c>
      <c r="KS109" s="43">
        <f t="shared" si="433"/>
        <v>601.25516126383843</v>
      </c>
      <c r="KT109" s="43">
        <f t="shared" si="434"/>
        <v>0</v>
      </c>
      <c r="KU109" s="43">
        <f t="shared" si="435"/>
        <v>0</v>
      </c>
      <c r="KV109" s="43">
        <f t="shared" si="436"/>
        <v>0</v>
      </c>
      <c r="KW109" s="43">
        <f t="shared" si="437"/>
        <v>0</v>
      </c>
      <c r="KX109" s="43">
        <f t="shared" si="438"/>
        <v>0</v>
      </c>
      <c r="KY109" s="43">
        <f t="shared" si="439"/>
        <v>0</v>
      </c>
      <c r="KZ109" s="43">
        <f t="shared" si="440"/>
        <v>0</v>
      </c>
      <c r="LA109" s="43">
        <f t="shared" si="441"/>
        <v>171.73716923999999</v>
      </c>
      <c r="LB109" s="43">
        <f t="shared" si="442"/>
        <v>0</v>
      </c>
      <c r="LC109" s="43">
        <f t="shared" si="443"/>
        <v>0</v>
      </c>
      <c r="LD109" s="43">
        <f t="shared" si="444"/>
        <v>0</v>
      </c>
      <c r="LE109" s="43">
        <f t="shared" si="445"/>
        <v>0</v>
      </c>
      <c r="LF109" s="43">
        <f t="shared" si="446"/>
        <v>0</v>
      </c>
      <c r="LG109" s="43">
        <f t="shared" si="447"/>
        <v>17.012519999999999</v>
      </c>
      <c r="LH109" s="43">
        <f t="shared" si="448"/>
        <v>0</v>
      </c>
      <c r="LI109" s="43">
        <f t="shared" si="449"/>
        <v>0</v>
      </c>
      <c r="LJ109" s="43">
        <f t="shared" si="450"/>
        <v>0</v>
      </c>
      <c r="LK109" s="43">
        <f t="shared" si="451"/>
        <v>1716.9045074999997</v>
      </c>
      <c r="LL109" s="43">
        <f t="shared" si="452"/>
        <v>0</v>
      </c>
      <c r="LM109" s="43">
        <f t="shared" si="453"/>
        <v>0</v>
      </c>
      <c r="LN109" s="43">
        <f t="shared" si="454"/>
        <v>0</v>
      </c>
      <c r="LO109" s="43">
        <f t="shared" si="455"/>
        <v>0</v>
      </c>
      <c r="LP109" s="43">
        <f t="shared" si="456"/>
        <v>55.71929999999999</v>
      </c>
      <c r="LQ109" s="28">
        <f t="shared" si="488"/>
        <v>4397.170916783838</v>
      </c>
      <c r="LR109" s="65">
        <v>1058</v>
      </c>
      <c r="LS109" s="32">
        <f t="shared" si="462"/>
        <v>4.1561161784346297</v>
      </c>
      <c r="LT109" s="26">
        <f t="shared" si="463"/>
        <v>1.1355508684247622</v>
      </c>
      <c r="LU109" s="31">
        <f t="shared" si="489"/>
        <v>41</v>
      </c>
      <c r="LW109" s="42"/>
      <c r="MA109" s="32">
        <f t="shared" si="490"/>
        <v>4.0010654383838382</v>
      </c>
      <c r="MB109" s="26">
        <f t="shared" si="464"/>
        <v>1.0931872782469503</v>
      </c>
    </row>
    <row r="110" spans="1:340" ht="15.75" thickBot="1">
      <c r="A110" t="b">
        <f t="shared" si="484"/>
        <v>1</v>
      </c>
      <c r="B110" s="123" t="s">
        <v>284</v>
      </c>
      <c r="C110" s="39" t="s">
        <v>285</v>
      </c>
      <c r="D110"/>
      <c r="E110" s="97">
        <v>46043</v>
      </c>
      <c r="F110" t="s">
        <v>43</v>
      </c>
      <c r="G110" t="s">
        <v>20</v>
      </c>
      <c r="H110" t="s">
        <v>27</v>
      </c>
      <c r="I110" s="77"/>
      <c r="J110" s="77"/>
      <c r="K110" s="77"/>
      <c r="L110" s="22"/>
      <c r="M110" s="22"/>
      <c r="N110" s="98"/>
      <c r="O110" s="22"/>
      <c r="P110" s="22"/>
      <c r="Q110" s="22"/>
      <c r="R110" s="22"/>
      <c r="S110" s="104"/>
      <c r="T110" s="22"/>
      <c r="U110" s="22"/>
      <c r="V110" s="104"/>
      <c r="W110" s="22"/>
      <c r="X110" s="22"/>
      <c r="Y110" s="22"/>
      <c r="Z110" s="104"/>
      <c r="AA110" s="104"/>
      <c r="AB110" s="104"/>
      <c r="AC110" s="22"/>
      <c r="AD110" s="22"/>
      <c r="AE110" s="22"/>
      <c r="AF110" s="124"/>
      <c r="AG110" s="124"/>
      <c r="AH110" s="22"/>
      <c r="AI110" s="104"/>
      <c r="AJ110" s="22">
        <v>0.5</v>
      </c>
      <c r="AK110" s="22"/>
      <c r="AL110" s="22"/>
      <c r="AM110" s="22"/>
      <c r="AN110" s="22"/>
      <c r="AO110" s="104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98"/>
      <c r="BB110" s="98"/>
      <c r="BC110" s="124">
        <v>0.5</v>
      </c>
      <c r="BD110" s="124"/>
      <c r="BE110" s="104"/>
      <c r="BF110" s="22"/>
      <c r="BG110" s="22"/>
      <c r="BH110" s="22"/>
      <c r="BI110" s="78">
        <f t="shared" si="491"/>
        <v>1</v>
      </c>
      <c r="BJ110" s="23"/>
      <c r="BK110" s="23"/>
      <c r="BL110" s="23"/>
      <c r="BM110" s="23"/>
      <c r="BN110" s="23"/>
      <c r="BO110" s="99"/>
      <c r="BP110" s="23"/>
      <c r="BQ110" s="23"/>
      <c r="BR110" s="23"/>
      <c r="BS110" s="23"/>
      <c r="BT110" s="105"/>
      <c r="BU110" s="23"/>
      <c r="BV110" s="23"/>
      <c r="BW110" s="105"/>
      <c r="BX110" s="23"/>
      <c r="BY110" s="23"/>
      <c r="BZ110" s="23"/>
      <c r="CA110" s="105"/>
      <c r="CB110" s="105"/>
      <c r="CC110" s="105"/>
      <c r="CD110" s="23"/>
      <c r="CE110" s="23"/>
      <c r="CF110" s="71"/>
      <c r="CG110" s="128"/>
      <c r="CH110" s="128"/>
      <c r="CI110" s="23"/>
      <c r="CJ110" s="23"/>
      <c r="CK110" s="23"/>
      <c r="CL110" s="23">
        <v>0.4</v>
      </c>
      <c r="CM110" s="23"/>
      <c r="CN110" s="23"/>
      <c r="CO110" s="23"/>
      <c r="CP110" s="105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99"/>
      <c r="DC110" s="99"/>
      <c r="DD110" s="125">
        <v>0.6</v>
      </c>
      <c r="DE110" s="125"/>
      <c r="DF110" s="105"/>
      <c r="DG110" s="23"/>
      <c r="DH110" s="23"/>
      <c r="DI110" s="23"/>
      <c r="DJ110" s="79">
        <f t="shared" si="485"/>
        <v>1</v>
      </c>
      <c r="DK110" s="24"/>
      <c r="DL110" s="24"/>
      <c r="DM110" s="24"/>
      <c r="DN110" s="24">
        <v>0.84499999999999997</v>
      </c>
      <c r="DO110" s="24"/>
      <c r="DP110" s="103"/>
      <c r="DQ110" s="24"/>
      <c r="DR110" s="24"/>
      <c r="DS110" s="24"/>
      <c r="DT110" s="24"/>
      <c r="DU110" s="108"/>
      <c r="DV110" s="24"/>
      <c r="DW110" s="24"/>
      <c r="DX110" s="108"/>
      <c r="DY110" s="24"/>
      <c r="DZ110" s="24"/>
      <c r="EA110" s="24"/>
      <c r="EB110" s="108"/>
      <c r="EC110" s="108"/>
      <c r="ED110" s="108"/>
      <c r="EE110" s="24"/>
      <c r="EF110" s="24"/>
      <c r="EG110" s="24"/>
      <c r="EH110" s="129"/>
      <c r="EI110" s="129"/>
      <c r="EJ110" s="24"/>
      <c r="EK110" s="24"/>
      <c r="EL110" s="24"/>
      <c r="EM110" s="24"/>
      <c r="EN110" s="24"/>
      <c r="EO110" s="24"/>
      <c r="EP110" s="24"/>
      <c r="EQ110" s="108"/>
      <c r="ER110" s="24"/>
      <c r="ES110" s="25"/>
      <c r="ET110" s="25"/>
      <c r="EU110" s="25">
        <v>0.13</v>
      </c>
      <c r="EV110" s="25"/>
      <c r="EW110" s="25"/>
      <c r="EX110" s="25"/>
      <c r="EY110" s="25"/>
      <c r="EZ110" s="25"/>
      <c r="FA110" s="25">
        <v>5.0000000000000001E-3</v>
      </c>
      <c r="FB110" s="25"/>
      <c r="FC110" s="100"/>
      <c r="FD110" s="100"/>
      <c r="FE110" s="126"/>
      <c r="FF110" s="126"/>
      <c r="FG110" s="106"/>
      <c r="FH110" s="25"/>
      <c r="FI110" s="25"/>
      <c r="FJ110" s="106">
        <v>0.02</v>
      </c>
      <c r="FK110" s="17">
        <f t="shared" si="482"/>
        <v>1</v>
      </c>
      <c r="FL110" s="18"/>
      <c r="FM110" s="19">
        <f t="shared" si="298"/>
        <v>0</v>
      </c>
      <c r="FN110" s="19">
        <f t="shared" si="299"/>
        <v>0</v>
      </c>
      <c r="FO110" s="19">
        <f t="shared" si="300"/>
        <v>0</v>
      </c>
      <c r="FP110" s="19">
        <f t="shared" si="301"/>
        <v>1.2675000000000001</v>
      </c>
      <c r="FQ110" s="19">
        <f t="shared" si="302"/>
        <v>0</v>
      </c>
      <c r="FR110" s="19">
        <f t="shared" si="303"/>
        <v>0</v>
      </c>
      <c r="FS110" s="19">
        <f t="shared" si="304"/>
        <v>0</v>
      </c>
      <c r="FT110" s="19">
        <f t="shared" si="305"/>
        <v>0</v>
      </c>
      <c r="FU110" s="19">
        <f t="shared" si="306"/>
        <v>0</v>
      </c>
      <c r="FV110" s="19">
        <f t="shared" si="307"/>
        <v>0</v>
      </c>
      <c r="FW110" s="19">
        <f t="shared" si="308"/>
        <v>0</v>
      </c>
      <c r="FX110" s="19">
        <f t="shared" si="309"/>
        <v>0</v>
      </c>
      <c r="FY110" s="19">
        <f t="shared" si="310"/>
        <v>0</v>
      </c>
      <c r="FZ110" s="19">
        <f t="shared" si="311"/>
        <v>0</v>
      </c>
      <c r="GA110" s="19">
        <f t="shared" si="312"/>
        <v>0</v>
      </c>
      <c r="GB110" s="19">
        <f t="shared" si="313"/>
        <v>0</v>
      </c>
      <c r="GC110" s="19">
        <f t="shared" si="314"/>
        <v>0</v>
      </c>
      <c r="GD110" s="19">
        <f t="shared" si="315"/>
        <v>0</v>
      </c>
      <c r="GE110" s="19">
        <f t="shared" si="316"/>
        <v>0</v>
      </c>
      <c r="GF110" s="19">
        <f t="shared" si="317"/>
        <v>0</v>
      </c>
      <c r="GG110" s="19">
        <f t="shared" si="318"/>
        <v>0</v>
      </c>
      <c r="GH110" s="19">
        <f t="shared" si="319"/>
        <v>0</v>
      </c>
      <c r="GI110" s="19">
        <f t="shared" si="320"/>
        <v>0</v>
      </c>
      <c r="GJ110" s="19">
        <f t="shared" si="321"/>
        <v>0</v>
      </c>
      <c r="GK110" s="19">
        <f t="shared" si="322"/>
        <v>0</v>
      </c>
      <c r="GL110" s="19">
        <f t="shared" si="323"/>
        <v>0</v>
      </c>
      <c r="GM110" s="19">
        <f t="shared" si="324"/>
        <v>0</v>
      </c>
      <c r="GN110" s="19">
        <f t="shared" si="325"/>
        <v>0.75</v>
      </c>
      <c r="GO110" s="19">
        <f t="shared" si="326"/>
        <v>0.8</v>
      </c>
      <c r="GP110" s="19">
        <f t="shared" si="327"/>
        <v>0</v>
      </c>
      <c r="GQ110" s="19">
        <f t="shared" si="328"/>
        <v>0</v>
      </c>
      <c r="GR110" s="19">
        <f t="shared" si="329"/>
        <v>0</v>
      </c>
      <c r="GS110" s="19">
        <f t="shared" si="330"/>
        <v>0</v>
      </c>
      <c r="GT110" s="19">
        <f t="shared" si="331"/>
        <v>0</v>
      </c>
      <c r="GU110" s="19">
        <f t="shared" si="332"/>
        <v>0</v>
      </c>
      <c r="GV110" s="19">
        <f t="shared" si="333"/>
        <v>0</v>
      </c>
      <c r="GW110" s="19">
        <f t="shared" si="334"/>
        <v>0.19500000000000001</v>
      </c>
      <c r="GX110" s="19">
        <f t="shared" si="335"/>
        <v>0</v>
      </c>
      <c r="GY110" s="19">
        <f t="shared" si="336"/>
        <v>0</v>
      </c>
      <c r="GZ110" s="19">
        <f t="shared" si="337"/>
        <v>0</v>
      </c>
      <c r="HA110" s="19">
        <f t="shared" si="338"/>
        <v>0</v>
      </c>
      <c r="HB110" s="19">
        <f t="shared" si="339"/>
        <v>0</v>
      </c>
      <c r="HC110" s="19">
        <f t="shared" si="340"/>
        <v>7.4999999999999997E-3</v>
      </c>
      <c r="HD110" s="19">
        <f t="shared" si="341"/>
        <v>0</v>
      </c>
      <c r="HE110" s="19">
        <f t="shared" si="342"/>
        <v>0</v>
      </c>
      <c r="HF110" s="19">
        <f t="shared" si="343"/>
        <v>0</v>
      </c>
      <c r="HG110" s="19">
        <f t="shared" si="344"/>
        <v>1.95</v>
      </c>
      <c r="HH110" s="19">
        <f t="shared" si="345"/>
        <v>0</v>
      </c>
      <c r="HI110" s="19">
        <f t="shared" si="346"/>
        <v>0</v>
      </c>
      <c r="HJ110" s="19">
        <f t="shared" si="347"/>
        <v>0</v>
      </c>
      <c r="HK110" s="19">
        <f t="shared" si="348"/>
        <v>0</v>
      </c>
      <c r="HL110" s="19">
        <f t="shared" si="349"/>
        <v>0.03</v>
      </c>
      <c r="HM110" s="20">
        <f t="shared" si="350"/>
        <v>5</v>
      </c>
      <c r="HN110" s="53">
        <v>732</v>
      </c>
      <c r="HO110" s="21">
        <f t="shared" si="351"/>
        <v>0</v>
      </c>
      <c r="HP110" s="21">
        <f t="shared" si="352"/>
        <v>0</v>
      </c>
      <c r="HQ110" s="21">
        <f t="shared" si="353"/>
        <v>0</v>
      </c>
      <c r="HR110" s="21">
        <f t="shared" si="354"/>
        <v>185.56200000000001</v>
      </c>
      <c r="HS110" s="21">
        <f t="shared" si="355"/>
        <v>0</v>
      </c>
      <c r="HT110" s="69">
        <f t="shared" si="356"/>
        <v>0</v>
      </c>
      <c r="HU110" s="21">
        <f t="shared" si="357"/>
        <v>0</v>
      </c>
      <c r="HV110" s="21">
        <f t="shared" si="358"/>
        <v>0</v>
      </c>
      <c r="HW110" s="21">
        <f t="shared" si="359"/>
        <v>0</v>
      </c>
      <c r="HX110" s="21">
        <f t="shared" si="360"/>
        <v>0</v>
      </c>
      <c r="HY110" s="21">
        <f t="shared" si="361"/>
        <v>0</v>
      </c>
      <c r="HZ110" s="21">
        <f t="shared" si="362"/>
        <v>0</v>
      </c>
      <c r="IA110" s="21">
        <f t="shared" si="363"/>
        <v>0</v>
      </c>
      <c r="IB110" s="21">
        <f t="shared" si="364"/>
        <v>0</v>
      </c>
      <c r="IC110" s="21">
        <f t="shared" si="365"/>
        <v>0</v>
      </c>
      <c r="ID110" s="21">
        <f t="shared" si="366"/>
        <v>0</v>
      </c>
      <c r="IE110" s="21">
        <f t="shared" si="367"/>
        <v>0</v>
      </c>
      <c r="IF110" s="69">
        <f t="shared" si="368"/>
        <v>0</v>
      </c>
      <c r="IG110" s="69">
        <f t="shared" si="369"/>
        <v>0</v>
      </c>
      <c r="IH110" s="69">
        <f t="shared" si="370"/>
        <v>0</v>
      </c>
      <c r="II110" s="21">
        <f t="shared" si="371"/>
        <v>0</v>
      </c>
      <c r="IJ110" s="21">
        <f t="shared" si="372"/>
        <v>0</v>
      </c>
      <c r="IK110" s="21">
        <f t="shared" si="373"/>
        <v>0</v>
      </c>
      <c r="IL110" s="21">
        <f t="shared" si="374"/>
        <v>0</v>
      </c>
      <c r="IM110" s="21">
        <f t="shared" si="375"/>
        <v>0</v>
      </c>
      <c r="IN110" s="21">
        <f t="shared" si="376"/>
        <v>0</v>
      </c>
      <c r="IO110" s="21">
        <f t="shared" si="377"/>
        <v>0</v>
      </c>
      <c r="IP110" s="21">
        <f t="shared" si="378"/>
        <v>109.8</v>
      </c>
      <c r="IQ110" s="21">
        <f t="shared" si="379"/>
        <v>117.12</v>
      </c>
      <c r="IR110" s="21">
        <f t="shared" si="380"/>
        <v>0</v>
      </c>
      <c r="IS110" s="21">
        <f t="shared" si="381"/>
        <v>0</v>
      </c>
      <c r="IT110" s="21">
        <f t="shared" si="382"/>
        <v>0</v>
      </c>
      <c r="IU110" s="21">
        <f t="shared" si="383"/>
        <v>0</v>
      </c>
      <c r="IV110" s="21">
        <f t="shared" si="384"/>
        <v>0</v>
      </c>
      <c r="IW110" s="21">
        <f t="shared" si="385"/>
        <v>0</v>
      </c>
      <c r="IX110" s="21">
        <f t="shared" si="386"/>
        <v>0</v>
      </c>
      <c r="IY110" s="21">
        <f t="shared" si="387"/>
        <v>28.548000000000002</v>
      </c>
      <c r="IZ110" s="21">
        <f t="shared" si="388"/>
        <v>0</v>
      </c>
      <c r="JA110" s="21">
        <f t="shared" si="389"/>
        <v>0</v>
      </c>
      <c r="JB110" s="21">
        <f t="shared" si="390"/>
        <v>0</v>
      </c>
      <c r="JC110" s="21">
        <f t="shared" si="391"/>
        <v>0</v>
      </c>
      <c r="JD110" s="21">
        <f t="shared" si="392"/>
        <v>0</v>
      </c>
      <c r="JE110" s="21">
        <f t="shared" si="393"/>
        <v>1.0980000000000001</v>
      </c>
      <c r="JF110" s="21">
        <f t="shared" si="394"/>
        <v>0</v>
      </c>
      <c r="JG110" s="21">
        <f t="shared" si="395"/>
        <v>0</v>
      </c>
      <c r="JH110" s="21">
        <f t="shared" si="396"/>
        <v>0</v>
      </c>
      <c r="JI110" s="21">
        <f t="shared" si="397"/>
        <v>285.47999999999996</v>
      </c>
      <c r="JJ110" s="21">
        <f t="shared" si="398"/>
        <v>0</v>
      </c>
      <c r="JK110" s="21">
        <f t="shared" si="399"/>
        <v>0</v>
      </c>
      <c r="JL110" s="21">
        <f t="shared" si="400"/>
        <v>0</v>
      </c>
      <c r="JM110" s="21">
        <f t="shared" si="401"/>
        <v>0</v>
      </c>
      <c r="JN110" s="21">
        <f t="shared" si="402"/>
        <v>4.3920000000000003</v>
      </c>
      <c r="JO110" s="35">
        <f t="shared" si="486"/>
        <v>732</v>
      </c>
      <c r="JP110" s="38">
        <f t="shared" si="487"/>
        <v>0</v>
      </c>
      <c r="JQ110" s="43">
        <f t="shared" si="405"/>
        <v>0</v>
      </c>
      <c r="JR110" s="43">
        <f t="shared" si="406"/>
        <v>0</v>
      </c>
      <c r="JS110" s="43">
        <f t="shared" si="407"/>
        <v>0</v>
      </c>
      <c r="JT110" s="43">
        <f t="shared" si="408"/>
        <v>798.08731704000013</v>
      </c>
      <c r="JU110" s="43">
        <f t="shared" si="409"/>
        <v>0</v>
      </c>
      <c r="JV110" s="43">
        <f t="shared" si="410"/>
        <v>0</v>
      </c>
      <c r="JW110" s="43">
        <f t="shared" si="411"/>
        <v>0</v>
      </c>
      <c r="JX110" s="43">
        <f t="shared" si="412"/>
        <v>0</v>
      </c>
      <c r="JY110" s="43">
        <f t="shared" si="413"/>
        <v>0</v>
      </c>
      <c r="JZ110" s="43">
        <f t="shared" si="414"/>
        <v>0</v>
      </c>
      <c r="KA110" s="43">
        <f t="shared" si="415"/>
        <v>0</v>
      </c>
      <c r="KB110" s="43">
        <f t="shared" si="416"/>
        <v>0</v>
      </c>
      <c r="KC110" s="43">
        <f t="shared" si="417"/>
        <v>0</v>
      </c>
      <c r="KD110" s="43">
        <f t="shared" si="418"/>
        <v>0</v>
      </c>
      <c r="KE110" s="43">
        <f t="shared" si="419"/>
        <v>0</v>
      </c>
      <c r="KF110" s="43">
        <f t="shared" si="420"/>
        <v>0</v>
      </c>
      <c r="KG110" s="43">
        <f t="shared" si="421"/>
        <v>0</v>
      </c>
      <c r="KH110" s="43">
        <f t="shared" si="422"/>
        <v>0</v>
      </c>
      <c r="KI110" s="43">
        <f t="shared" si="423"/>
        <v>0</v>
      </c>
      <c r="KJ110" s="43">
        <f t="shared" si="424"/>
        <v>0</v>
      </c>
      <c r="KK110" s="43">
        <f t="shared" si="425"/>
        <v>0</v>
      </c>
      <c r="KL110" s="43">
        <f t="shared" si="426"/>
        <v>0</v>
      </c>
      <c r="KM110" s="43">
        <f t="shared" si="427"/>
        <v>0</v>
      </c>
      <c r="KN110" s="43">
        <f t="shared" si="428"/>
        <v>0</v>
      </c>
      <c r="KO110" s="43">
        <f t="shared" si="429"/>
        <v>0</v>
      </c>
      <c r="KP110" s="43">
        <f t="shared" si="430"/>
        <v>0</v>
      </c>
      <c r="KQ110" s="43">
        <f t="shared" si="431"/>
        <v>0</v>
      </c>
      <c r="KR110" s="43">
        <f t="shared" si="432"/>
        <v>423.82799999999997</v>
      </c>
      <c r="KS110" s="43">
        <f t="shared" si="433"/>
        <v>400.47204553696969</v>
      </c>
      <c r="KT110" s="43">
        <f t="shared" si="434"/>
        <v>0</v>
      </c>
      <c r="KU110" s="43">
        <f t="shared" si="435"/>
        <v>0</v>
      </c>
      <c r="KV110" s="43">
        <f t="shared" si="436"/>
        <v>0</v>
      </c>
      <c r="KW110" s="43">
        <f t="shared" si="437"/>
        <v>0</v>
      </c>
      <c r="KX110" s="43">
        <f t="shared" si="438"/>
        <v>0</v>
      </c>
      <c r="KY110" s="43">
        <f t="shared" si="439"/>
        <v>0</v>
      </c>
      <c r="KZ110" s="43">
        <f t="shared" si="440"/>
        <v>0</v>
      </c>
      <c r="LA110" s="43">
        <f t="shared" si="441"/>
        <v>114.38726831999999</v>
      </c>
      <c r="LB110" s="43">
        <f t="shared" si="442"/>
        <v>0</v>
      </c>
      <c r="LC110" s="43">
        <f t="shared" si="443"/>
        <v>0</v>
      </c>
      <c r="LD110" s="43">
        <f t="shared" si="444"/>
        <v>0</v>
      </c>
      <c r="LE110" s="43">
        <f t="shared" si="445"/>
        <v>0</v>
      </c>
      <c r="LF110" s="43">
        <f t="shared" si="446"/>
        <v>0</v>
      </c>
      <c r="LG110" s="43">
        <f t="shared" si="447"/>
        <v>11.331360000000002</v>
      </c>
      <c r="LH110" s="43">
        <f t="shared" si="448"/>
        <v>0</v>
      </c>
      <c r="LI110" s="43">
        <f t="shared" si="449"/>
        <v>0</v>
      </c>
      <c r="LJ110" s="43">
        <f t="shared" si="450"/>
        <v>0</v>
      </c>
      <c r="LK110" s="43">
        <f t="shared" si="451"/>
        <v>1143.5615099999998</v>
      </c>
      <c r="LL110" s="43">
        <f t="shared" si="452"/>
        <v>0</v>
      </c>
      <c r="LM110" s="43">
        <f t="shared" si="453"/>
        <v>0</v>
      </c>
      <c r="LN110" s="43">
        <f t="shared" si="454"/>
        <v>0</v>
      </c>
      <c r="LO110" s="43">
        <f t="shared" si="455"/>
        <v>0</v>
      </c>
      <c r="LP110" s="43">
        <f t="shared" si="456"/>
        <v>37.112400000000001</v>
      </c>
      <c r="LQ110" s="28">
        <f t="shared" si="488"/>
        <v>2928.7799008969696</v>
      </c>
      <c r="LR110" s="65">
        <v>704</v>
      </c>
      <c r="LS110" s="32">
        <f t="shared" si="462"/>
        <v>4.1601987228650135</v>
      </c>
      <c r="LT110" s="26">
        <f t="shared" si="463"/>
        <v>1.1366663177226812</v>
      </c>
      <c r="LU110" s="31">
        <f t="shared" si="489"/>
        <v>28</v>
      </c>
      <c r="LW110" s="42"/>
      <c r="MA110" s="32">
        <f t="shared" si="490"/>
        <v>4.0010654383838382</v>
      </c>
      <c r="MB110" s="26">
        <f t="shared" si="464"/>
        <v>1.0931872782469503</v>
      </c>
    </row>
    <row r="111" spans="1:340" ht="15.75" thickBot="1">
      <c r="A111" t="b">
        <f t="shared" si="484"/>
        <v>1</v>
      </c>
      <c r="B111" s="123" t="s">
        <v>286</v>
      </c>
      <c r="C111" s="39" t="s">
        <v>287</v>
      </c>
      <c r="D111"/>
      <c r="E111" s="97">
        <v>46043</v>
      </c>
      <c r="F111" t="s">
        <v>43</v>
      </c>
      <c r="G111" t="s">
        <v>20</v>
      </c>
      <c r="H111" t="s">
        <v>27</v>
      </c>
      <c r="I111" s="77"/>
      <c r="J111" s="77"/>
      <c r="K111" s="77"/>
      <c r="L111" s="22"/>
      <c r="M111" s="22"/>
      <c r="N111" s="98"/>
      <c r="O111" s="22"/>
      <c r="P111" s="22"/>
      <c r="Q111" s="22"/>
      <c r="R111" s="22"/>
      <c r="S111" s="104"/>
      <c r="T111" s="22"/>
      <c r="U111" s="22"/>
      <c r="V111" s="104"/>
      <c r="W111" s="22"/>
      <c r="X111" s="22"/>
      <c r="Y111" s="22"/>
      <c r="Z111" s="104"/>
      <c r="AA111" s="104"/>
      <c r="AB111" s="104"/>
      <c r="AC111" s="22"/>
      <c r="AD111" s="22"/>
      <c r="AE111" s="22"/>
      <c r="AF111" s="124"/>
      <c r="AG111" s="124"/>
      <c r="AH111" s="22"/>
      <c r="AI111" s="104"/>
      <c r="AJ111" s="22">
        <v>0.5</v>
      </c>
      <c r="AK111" s="22"/>
      <c r="AL111" s="22"/>
      <c r="AM111" s="22"/>
      <c r="AN111" s="22"/>
      <c r="AO111" s="104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98"/>
      <c r="BB111" s="98"/>
      <c r="BC111" s="124">
        <v>0.5</v>
      </c>
      <c r="BD111" s="124"/>
      <c r="BE111" s="104"/>
      <c r="BF111" s="22"/>
      <c r="BG111" s="22"/>
      <c r="BH111" s="22"/>
      <c r="BI111" s="78">
        <f>SUM(I111:BH111)</f>
        <v>1</v>
      </c>
      <c r="BJ111" s="23"/>
      <c r="BK111" s="23"/>
      <c r="BL111" s="23"/>
      <c r="BM111" s="23"/>
      <c r="BN111" s="23"/>
      <c r="BO111" s="99"/>
      <c r="BP111" s="23"/>
      <c r="BQ111" s="23"/>
      <c r="BR111" s="23"/>
      <c r="BS111" s="23"/>
      <c r="BT111" s="105"/>
      <c r="BU111" s="23"/>
      <c r="BV111" s="23"/>
      <c r="BW111" s="105"/>
      <c r="BX111" s="23"/>
      <c r="BY111" s="23"/>
      <c r="BZ111" s="23"/>
      <c r="CA111" s="105"/>
      <c r="CB111" s="105"/>
      <c r="CC111" s="105"/>
      <c r="CD111" s="23"/>
      <c r="CE111" s="23"/>
      <c r="CF111" s="71"/>
      <c r="CG111" s="128"/>
      <c r="CH111" s="128"/>
      <c r="CI111" s="23"/>
      <c r="CJ111" s="23"/>
      <c r="CK111" s="23"/>
      <c r="CL111" s="23">
        <v>0.4</v>
      </c>
      <c r="CM111" s="23"/>
      <c r="CN111" s="23"/>
      <c r="CO111" s="23"/>
      <c r="CP111" s="105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99"/>
      <c r="DC111" s="99"/>
      <c r="DD111" s="125">
        <v>0.6</v>
      </c>
      <c r="DE111" s="125"/>
      <c r="DF111" s="105"/>
      <c r="DG111" s="23"/>
      <c r="DH111" s="23"/>
      <c r="DI111" s="23"/>
      <c r="DJ111" s="79">
        <f t="shared" si="485"/>
        <v>1</v>
      </c>
      <c r="DK111" s="24"/>
      <c r="DL111" s="24"/>
      <c r="DM111" s="24"/>
      <c r="DN111" s="24">
        <v>0.84499999999999997</v>
      </c>
      <c r="DO111" s="24"/>
      <c r="DP111" s="103"/>
      <c r="DQ111" s="24"/>
      <c r="DR111" s="24"/>
      <c r="DS111" s="24"/>
      <c r="DT111" s="24"/>
      <c r="DU111" s="108"/>
      <c r="DV111" s="24"/>
      <c r="DW111" s="24"/>
      <c r="DX111" s="108"/>
      <c r="DY111" s="24"/>
      <c r="DZ111" s="24"/>
      <c r="EA111" s="24"/>
      <c r="EB111" s="108"/>
      <c r="EC111" s="108"/>
      <c r="ED111" s="108"/>
      <c r="EE111" s="24"/>
      <c r="EF111" s="24"/>
      <c r="EG111" s="24"/>
      <c r="EH111" s="129"/>
      <c r="EI111" s="129"/>
      <c r="EJ111" s="24"/>
      <c r="EK111" s="24"/>
      <c r="EL111" s="24"/>
      <c r="EM111" s="24"/>
      <c r="EN111" s="24"/>
      <c r="EO111" s="24"/>
      <c r="EP111" s="24"/>
      <c r="EQ111" s="108"/>
      <c r="ER111" s="24"/>
      <c r="ES111" s="25"/>
      <c r="ET111" s="25"/>
      <c r="EU111" s="25">
        <v>0.13</v>
      </c>
      <c r="EV111" s="25"/>
      <c r="EW111" s="25"/>
      <c r="EX111" s="25"/>
      <c r="EY111" s="25"/>
      <c r="EZ111" s="25"/>
      <c r="FA111" s="25">
        <v>5.0000000000000001E-3</v>
      </c>
      <c r="FB111" s="25"/>
      <c r="FC111" s="100"/>
      <c r="FD111" s="100"/>
      <c r="FE111" s="126"/>
      <c r="FF111" s="126"/>
      <c r="FG111" s="106"/>
      <c r="FH111" s="25"/>
      <c r="FI111" s="25"/>
      <c r="FJ111" s="106">
        <v>0.02</v>
      </c>
      <c r="FK111" s="17">
        <f t="shared" si="482"/>
        <v>1</v>
      </c>
      <c r="FL111" s="18"/>
      <c r="FM111" s="19">
        <f t="shared" si="298"/>
        <v>0</v>
      </c>
      <c r="FN111" s="19">
        <f t="shared" si="299"/>
        <v>0</v>
      </c>
      <c r="FO111" s="19">
        <f t="shared" si="300"/>
        <v>0</v>
      </c>
      <c r="FP111" s="19">
        <f t="shared" si="301"/>
        <v>1.2675000000000001</v>
      </c>
      <c r="FQ111" s="19">
        <f t="shared" si="302"/>
        <v>0</v>
      </c>
      <c r="FR111" s="19">
        <f t="shared" si="303"/>
        <v>0</v>
      </c>
      <c r="FS111" s="19">
        <f t="shared" si="304"/>
        <v>0</v>
      </c>
      <c r="FT111" s="19">
        <f t="shared" si="305"/>
        <v>0</v>
      </c>
      <c r="FU111" s="19">
        <f t="shared" si="306"/>
        <v>0</v>
      </c>
      <c r="FV111" s="19">
        <f t="shared" si="307"/>
        <v>0</v>
      </c>
      <c r="FW111" s="19">
        <f t="shared" si="308"/>
        <v>0</v>
      </c>
      <c r="FX111" s="19">
        <f t="shared" si="309"/>
        <v>0</v>
      </c>
      <c r="FY111" s="19">
        <f t="shared" si="310"/>
        <v>0</v>
      </c>
      <c r="FZ111" s="19">
        <f t="shared" si="311"/>
        <v>0</v>
      </c>
      <c r="GA111" s="19">
        <f t="shared" si="312"/>
        <v>0</v>
      </c>
      <c r="GB111" s="19">
        <f t="shared" si="313"/>
        <v>0</v>
      </c>
      <c r="GC111" s="19">
        <f t="shared" si="314"/>
        <v>0</v>
      </c>
      <c r="GD111" s="19">
        <f t="shared" si="315"/>
        <v>0</v>
      </c>
      <c r="GE111" s="19">
        <f t="shared" si="316"/>
        <v>0</v>
      </c>
      <c r="GF111" s="19">
        <f t="shared" si="317"/>
        <v>0</v>
      </c>
      <c r="GG111" s="19">
        <f t="shared" si="318"/>
        <v>0</v>
      </c>
      <c r="GH111" s="19">
        <f t="shared" si="319"/>
        <v>0</v>
      </c>
      <c r="GI111" s="19">
        <f t="shared" si="320"/>
        <v>0</v>
      </c>
      <c r="GJ111" s="19">
        <f t="shared" si="321"/>
        <v>0</v>
      </c>
      <c r="GK111" s="19">
        <f t="shared" si="322"/>
        <v>0</v>
      </c>
      <c r="GL111" s="19">
        <f t="shared" si="323"/>
        <v>0</v>
      </c>
      <c r="GM111" s="19">
        <f t="shared" si="324"/>
        <v>0</v>
      </c>
      <c r="GN111" s="19">
        <f t="shared" si="325"/>
        <v>0.75</v>
      </c>
      <c r="GO111" s="19">
        <f t="shared" si="326"/>
        <v>0.8</v>
      </c>
      <c r="GP111" s="19">
        <f t="shared" si="327"/>
        <v>0</v>
      </c>
      <c r="GQ111" s="19">
        <f t="shared" si="328"/>
        <v>0</v>
      </c>
      <c r="GR111" s="19">
        <f t="shared" si="329"/>
        <v>0</v>
      </c>
      <c r="GS111" s="19">
        <f t="shared" si="330"/>
        <v>0</v>
      </c>
      <c r="GT111" s="19">
        <f t="shared" si="331"/>
        <v>0</v>
      </c>
      <c r="GU111" s="19">
        <f t="shared" si="332"/>
        <v>0</v>
      </c>
      <c r="GV111" s="19">
        <f t="shared" si="333"/>
        <v>0</v>
      </c>
      <c r="GW111" s="19">
        <f t="shared" si="334"/>
        <v>0.19500000000000001</v>
      </c>
      <c r="GX111" s="19">
        <f t="shared" si="335"/>
        <v>0</v>
      </c>
      <c r="GY111" s="19">
        <f t="shared" si="336"/>
        <v>0</v>
      </c>
      <c r="GZ111" s="19">
        <f t="shared" si="337"/>
        <v>0</v>
      </c>
      <c r="HA111" s="19">
        <f t="shared" si="338"/>
        <v>0</v>
      </c>
      <c r="HB111" s="19">
        <f t="shared" si="339"/>
        <v>0</v>
      </c>
      <c r="HC111" s="19">
        <f t="shared" si="340"/>
        <v>7.4999999999999997E-3</v>
      </c>
      <c r="HD111" s="19">
        <f t="shared" si="341"/>
        <v>0</v>
      </c>
      <c r="HE111" s="19">
        <f t="shared" si="342"/>
        <v>0</v>
      </c>
      <c r="HF111" s="19">
        <f t="shared" si="343"/>
        <v>0</v>
      </c>
      <c r="HG111" s="19">
        <f t="shared" si="344"/>
        <v>1.95</v>
      </c>
      <c r="HH111" s="19">
        <f t="shared" si="345"/>
        <v>0</v>
      </c>
      <c r="HI111" s="19">
        <f t="shared" si="346"/>
        <v>0</v>
      </c>
      <c r="HJ111" s="19">
        <f t="shared" si="347"/>
        <v>0</v>
      </c>
      <c r="HK111" s="19">
        <f t="shared" si="348"/>
        <v>0</v>
      </c>
      <c r="HL111" s="19">
        <f t="shared" si="349"/>
        <v>0.03</v>
      </c>
      <c r="HM111" s="20">
        <f t="shared" si="350"/>
        <v>5</v>
      </c>
      <c r="HN111" s="53">
        <v>352</v>
      </c>
      <c r="HO111" s="21">
        <f t="shared" si="351"/>
        <v>0</v>
      </c>
      <c r="HP111" s="21">
        <f t="shared" si="352"/>
        <v>0</v>
      </c>
      <c r="HQ111" s="21">
        <f t="shared" si="353"/>
        <v>0</v>
      </c>
      <c r="HR111" s="21">
        <f t="shared" si="354"/>
        <v>89.231999999999999</v>
      </c>
      <c r="HS111" s="21">
        <f t="shared" si="355"/>
        <v>0</v>
      </c>
      <c r="HT111" s="69">
        <f t="shared" si="356"/>
        <v>0</v>
      </c>
      <c r="HU111" s="21">
        <f t="shared" si="357"/>
        <v>0</v>
      </c>
      <c r="HV111" s="21">
        <f t="shared" si="358"/>
        <v>0</v>
      </c>
      <c r="HW111" s="21">
        <f t="shared" si="359"/>
        <v>0</v>
      </c>
      <c r="HX111" s="21">
        <f t="shared" si="360"/>
        <v>0</v>
      </c>
      <c r="HY111" s="21">
        <f t="shared" si="361"/>
        <v>0</v>
      </c>
      <c r="HZ111" s="21">
        <f t="shared" si="362"/>
        <v>0</v>
      </c>
      <c r="IA111" s="21">
        <f t="shared" si="363"/>
        <v>0</v>
      </c>
      <c r="IB111" s="21">
        <f t="shared" si="364"/>
        <v>0</v>
      </c>
      <c r="IC111" s="21">
        <f t="shared" si="365"/>
        <v>0</v>
      </c>
      <c r="ID111" s="21">
        <f t="shared" si="366"/>
        <v>0</v>
      </c>
      <c r="IE111" s="21">
        <f t="shared" si="367"/>
        <v>0</v>
      </c>
      <c r="IF111" s="69">
        <f t="shared" si="368"/>
        <v>0</v>
      </c>
      <c r="IG111" s="69">
        <f t="shared" si="369"/>
        <v>0</v>
      </c>
      <c r="IH111" s="69">
        <f t="shared" si="370"/>
        <v>0</v>
      </c>
      <c r="II111" s="21">
        <f t="shared" si="371"/>
        <v>0</v>
      </c>
      <c r="IJ111" s="21">
        <f t="shared" si="372"/>
        <v>0</v>
      </c>
      <c r="IK111" s="21">
        <f t="shared" si="373"/>
        <v>0</v>
      </c>
      <c r="IL111" s="21">
        <f t="shared" si="374"/>
        <v>0</v>
      </c>
      <c r="IM111" s="21">
        <f t="shared" si="375"/>
        <v>0</v>
      </c>
      <c r="IN111" s="21">
        <f t="shared" si="376"/>
        <v>0</v>
      </c>
      <c r="IO111" s="21">
        <f t="shared" si="377"/>
        <v>0</v>
      </c>
      <c r="IP111" s="21">
        <f t="shared" si="378"/>
        <v>52.8</v>
      </c>
      <c r="IQ111" s="21">
        <f t="shared" si="379"/>
        <v>56.320000000000007</v>
      </c>
      <c r="IR111" s="21">
        <f t="shared" si="380"/>
        <v>0</v>
      </c>
      <c r="IS111" s="21">
        <f t="shared" si="381"/>
        <v>0</v>
      </c>
      <c r="IT111" s="21">
        <f t="shared" si="382"/>
        <v>0</v>
      </c>
      <c r="IU111" s="21">
        <f t="shared" si="383"/>
        <v>0</v>
      </c>
      <c r="IV111" s="21">
        <f t="shared" si="384"/>
        <v>0</v>
      </c>
      <c r="IW111" s="21">
        <f t="shared" si="385"/>
        <v>0</v>
      </c>
      <c r="IX111" s="21">
        <f t="shared" si="386"/>
        <v>0</v>
      </c>
      <c r="IY111" s="21">
        <f t="shared" si="387"/>
        <v>13.728</v>
      </c>
      <c r="IZ111" s="21">
        <f t="shared" si="388"/>
        <v>0</v>
      </c>
      <c r="JA111" s="21">
        <f t="shared" si="389"/>
        <v>0</v>
      </c>
      <c r="JB111" s="21">
        <f t="shared" si="390"/>
        <v>0</v>
      </c>
      <c r="JC111" s="21">
        <f t="shared" si="391"/>
        <v>0</v>
      </c>
      <c r="JD111" s="21">
        <f t="shared" si="392"/>
        <v>0</v>
      </c>
      <c r="JE111" s="21">
        <f t="shared" si="393"/>
        <v>0.52799999999999991</v>
      </c>
      <c r="JF111" s="21">
        <f t="shared" si="394"/>
        <v>0</v>
      </c>
      <c r="JG111" s="21">
        <f t="shared" si="395"/>
        <v>0</v>
      </c>
      <c r="JH111" s="21">
        <f t="shared" si="396"/>
        <v>0</v>
      </c>
      <c r="JI111" s="21">
        <f t="shared" si="397"/>
        <v>137.28</v>
      </c>
      <c r="JJ111" s="21">
        <f t="shared" si="398"/>
        <v>0</v>
      </c>
      <c r="JK111" s="21">
        <f t="shared" si="399"/>
        <v>0</v>
      </c>
      <c r="JL111" s="21">
        <f t="shared" si="400"/>
        <v>0</v>
      </c>
      <c r="JM111" s="21">
        <f t="shared" si="401"/>
        <v>0</v>
      </c>
      <c r="JN111" s="21">
        <f t="shared" si="402"/>
        <v>2.1119999999999997</v>
      </c>
      <c r="JO111" s="35">
        <f t="shared" si="486"/>
        <v>352</v>
      </c>
      <c r="JP111" s="38">
        <f t="shared" si="487"/>
        <v>0</v>
      </c>
      <c r="JQ111" s="43">
        <f t="shared" si="405"/>
        <v>0</v>
      </c>
      <c r="JR111" s="43">
        <f t="shared" si="406"/>
        <v>0</v>
      </c>
      <c r="JS111" s="43">
        <f t="shared" si="407"/>
        <v>0</v>
      </c>
      <c r="JT111" s="43">
        <f t="shared" si="408"/>
        <v>383.77969344000002</v>
      </c>
      <c r="JU111" s="43">
        <f t="shared" si="409"/>
        <v>0</v>
      </c>
      <c r="JV111" s="43">
        <f t="shared" si="410"/>
        <v>0</v>
      </c>
      <c r="JW111" s="43">
        <f t="shared" si="411"/>
        <v>0</v>
      </c>
      <c r="JX111" s="43">
        <f t="shared" si="412"/>
        <v>0</v>
      </c>
      <c r="JY111" s="43">
        <f t="shared" si="413"/>
        <v>0</v>
      </c>
      <c r="JZ111" s="43">
        <f t="shared" si="414"/>
        <v>0</v>
      </c>
      <c r="KA111" s="43">
        <f t="shared" si="415"/>
        <v>0</v>
      </c>
      <c r="KB111" s="43">
        <f t="shared" si="416"/>
        <v>0</v>
      </c>
      <c r="KC111" s="43">
        <f t="shared" si="417"/>
        <v>0</v>
      </c>
      <c r="KD111" s="43">
        <f t="shared" si="418"/>
        <v>0</v>
      </c>
      <c r="KE111" s="43">
        <f t="shared" si="419"/>
        <v>0</v>
      </c>
      <c r="KF111" s="43">
        <f t="shared" si="420"/>
        <v>0</v>
      </c>
      <c r="KG111" s="43">
        <f t="shared" si="421"/>
        <v>0</v>
      </c>
      <c r="KH111" s="43">
        <f t="shared" si="422"/>
        <v>0</v>
      </c>
      <c r="KI111" s="43">
        <f t="shared" si="423"/>
        <v>0</v>
      </c>
      <c r="KJ111" s="43">
        <f t="shared" si="424"/>
        <v>0</v>
      </c>
      <c r="KK111" s="43">
        <f t="shared" si="425"/>
        <v>0</v>
      </c>
      <c r="KL111" s="43">
        <f t="shared" si="426"/>
        <v>0</v>
      </c>
      <c r="KM111" s="43">
        <f t="shared" si="427"/>
        <v>0</v>
      </c>
      <c r="KN111" s="43">
        <f t="shared" si="428"/>
        <v>0</v>
      </c>
      <c r="KO111" s="43">
        <f t="shared" si="429"/>
        <v>0</v>
      </c>
      <c r="KP111" s="43">
        <f t="shared" si="430"/>
        <v>0</v>
      </c>
      <c r="KQ111" s="43">
        <f t="shared" si="431"/>
        <v>0</v>
      </c>
      <c r="KR111" s="43">
        <f t="shared" si="432"/>
        <v>203.80799999999999</v>
      </c>
      <c r="KS111" s="43">
        <f t="shared" si="433"/>
        <v>192.57672135111113</v>
      </c>
      <c r="KT111" s="43">
        <f t="shared" si="434"/>
        <v>0</v>
      </c>
      <c r="KU111" s="43">
        <f t="shared" si="435"/>
        <v>0</v>
      </c>
      <c r="KV111" s="43">
        <f t="shared" si="436"/>
        <v>0</v>
      </c>
      <c r="KW111" s="43">
        <f t="shared" si="437"/>
        <v>0</v>
      </c>
      <c r="KX111" s="43">
        <f t="shared" si="438"/>
        <v>0</v>
      </c>
      <c r="KY111" s="43">
        <f t="shared" si="439"/>
        <v>0</v>
      </c>
      <c r="KZ111" s="43">
        <f t="shared" si="440"/>
        <v>0</v>
      </c>
      <c r="LA111" s="43">
        <f t="shared" si="441"/>
        <v>55.005899519999993</v>
      </c>
      <c r="LB111" s="43">
        <f t="shared" si="442"/>
        <v>0</v>
      </c>
      <c r="LC111" s="43">
        <f t="shared" si="443"/>
        <v>0</v>
      </c>
      <c r="LD111" s="43">
        <f t="shared" si="444"/>
        <v>0</v>
      </c>
      <c r="LE111" s="43">
        <f t="shared" si="445"/>
        <v>0</v>
      </c>
      <c r="LF111" s="43">
        <f t="shared" si="446"/>
        <v>0</v>
      </c>
      <c r="LG111" s="43">
        <f t="shared" si="447"/>
        <v>5.4489599999999996</v>
      </c>
      <c r="LH111" s="43">
        <f t="shared" si="448"/>
        <v>0</v>
      </c>
      <c r="LI111" s="43">
        <f t="shared" si="449"/>
        <v>0</v>
      </c>
      <c r="LJ111" s="43">
        <f t="shared" si="450"/>
        <v>0</v>
      </c>
      <c r="LK111" s="43">
        <f t="shared" si="451"/>
        <v>549.90935999999999</v>
      </c>
      <c r="LL111" s="43">
        <f t="shared" si="452"/>
        <v>0</v>
      </c>
      <c r="LM111" s="43">
        <f t="shared" si="453"/>
        <v>0</v>
      </c>
      <c r="LN111" s="43">
        <f t="shared" si="454"/>
        <v>0</v>
      </c>
      <c r="LO111" s="43">
        <f t="shared" si="455"/>
        <v>0</v>
      </c>
      <c r="LP111" s="43">
        <f t="shared" si="456"/>
        <v>17.846399999999996</v>
      </c>
      <c r="LQ111" s="28">
        <f t="shared" si="488"/>
        <v>1408.375034311111</v>
      </c>
      <c r="LR111" s="65">
        <v>338</v>
      </c>
      <c r="LS111" s="32">
        <f t="shared" si="462"/>
        <v>4.1667900423405655</v>
      </c>
      <c r="LT111" s="26">
        <f t="shared" si="463"/>
        <v>1.1384672246832146</v>
      </c>
      <c r="LU111" s="31">
        <f t="shared" si="489"/>
        <v>14</v>
      </c>
      <c r="LW111" s="42"/>
      <c r="MA111" s="32">
        <f t="shared" si="490"/>
        <v>4.0010654383838382</v>
      </c>
      <c r="MB111" s="26">
        <f t="shared" si="464"/>
        <v>1.0931872782469503</v>
      </c>
    </row>
    <row r="112" spans="1:340" ht="15.75" thickBot="1">
      <c r="A112" t="b">
        <f t="shared" si="484"/>
        <v>1</v>
      </c>
      <c r="B112" s="123" t="s">
        <v>288</v>
      </c>
      <c r="C112" s="39" t="s">
        <v>126</v>
      </c>
      <c r="D112"/>
      <c r="E112" s="97">
        <v>46039</v>
      </c>
      <c r="F112" t="s">
        <v>43</v>
      </c>
      <c r="G112" t="s">
        <v>20</v>
      </c>
      <c r="H112" t="s">
        <v>26</v>
      </c>
      <c r="I112" s="77"/>
      <c r="J112" s="77"/>
      <c r="K112" s="77"/>
      <c r="L112" s="22"/>
      <c r="M112" s="22"/>
      <c r="N112" s="98"/>
      <c r="O112" s="22"/>
      <c r="P112" s="22"/>
      <c r="Q112" s="22"/>
      <c r="R112" s="22"/>
      <c r="S112" s="104"/>
      <c r="T112" s="22"/>
      <c r="U112" s="22"/>
      <c r="V112" s="104"/>
      <c r="W112" s="22"/>
      <c r="X112" s="22"/>
      <c r="Y112" s="22"/>
      <c r="Z112" s="104"/>
      <c r="AA112" s="104"/>
      <c r="AB112" s="104"/>
      <c r="AC112" s="22"/>
      <c r="AD112" s="22"/>
      <c r="AE112" s="22"/>
      <c r="AF112" s="124"/>
      <c r="AG112" s="124"/>
      <c r="AH112" s="22"/>
      <c r="AI112" s="22"/>
      <c r="AJ112" s="22">
        <v>0.3</v>
      </c>
      <c r="AK112" s="22"/>
      <c r="AL112" s="22"/>
      <c r="AM112" s="22"/>
      <c r="AN112" s="22"/>
      <c r="AO112" s="104"/>
      <c r="AP112" s="22"/>
      <c r="AQ112" s="22"/>
      <c r="AR112" s="22">
        <v>0.08</v>
      </c>
      <c r="AS112" s="22"/>
      <c r="AT112" s="22"/>
      <c r="AU112" s="22"/>
      <c r="AV112" s="22"/>
      <c r="AW112" s="22"/>
      <c r="AX112" s="22"/>
      <c r="AY112" s="22"/>
      <c r="AZ112" s="22"/>
      <c r="BA112" s="98"/>
      <c r="BB112" s="98"/>
      <c r="BC112" s="124">
        <v>0.62</v>
      </c>
      <c r="BD112" s="124"/>
      <c r="BE112" s="104"/>
      <c r="BF112" s="22"/>
      <c r="BG112" s="22"/>
      <c r="BH112" s="22"/>
      <c r="BI112" s="78">
        <f>SUM(I112:BH112)</f>
        <v>1</v>
      </c>
      <c r="BJ112" s="23"/>
      <c r="BK112" s="23"/>
      <c r="BL112" s="23"/>
      <c r="BM112" s="23"/>
      <c r="BN112" s="23"/>
      <c r="BO112" s="99"/>
      <c r="BP112" s="23"/>
      <c r="BQ112" s="23"/>
      <c r="BR112" s="23"/>
      <c r="BS112" s="23"/>
      <c r="BT112" s="105"/>
      <c r="BU112" s="23"/>
      <c r="BV112" s="23"/>
      <c r="BW112" s="105"/>
      <c r="BX112" s="23">
        <v>0.2</v>
      </c>
      <c r="BY112" s="23"/>
      <c r="BZ112" s="23"/>
      <c r="CA112" s="105"/>
      <c r="CB112" s="105"/>
      <c r="CC112" s="105"/>
      <c r="CD112" s="23"/>
      <c r="CE112" s="23"/>
      <c r="CF112" s="71"/>
      <c r="CG112" s="128"/>
      <c r="CH112" s="128"/>
      <c r="CI112" s="23"/>
      <c r="CJ112" s="23"/>
      <c r="CK112" s="23"/>
      <c r="CL112" s="23">
        <v>0.2</v>
      </c>
      <c r="CM112" s="23"/>
      <c r="CN112" s="23"/>
      <c r="CO112" s="23"/>
      <c r="CP112" s="105"/>
      <c r="CQ112" s="23"/>
      <c r="CR112" s="23"/>
      <c r="CS112" s="23">
        <v>0.1</v>
      </c>
      <c r="CT112" s="23"/>
      <c r="CU112" s="23"/>
      <c r="CV112" s="23"/>
      <c r="CW112" s="23"/>
      <c r="CX112" s="23"/>
      <c r="CY112" s="23"/>
      <c r="CZ112" s="23"/>
      <c r="DA112" s="23"/>
      <c r="DB112" s="99"/>
      <c r="DC112" s="99"/>
      <c r="DD112" s="125">
        <v>0.5</v>
      </c>
      <c r="DE112" s="125"/>
      <c r="DF112" s="105"/>
      <c r="DG112" s="23"/>
      <c r="DH112" s="23"/>
      <c r="DI112" s="23"/>
      <c r="DJ112" s="79">
        <f t="shared" si="485"/>
        <v>1</v>
      </c>
      <c r="DK112" s="24">
        <v>0.68</v>
      </c>
      <c r="DL112" s="24"/>
      <c r="DM112" s="24"/>
      <c r="DN112" s="24"/>
      <c r="DO112" s="24"/>
      <c r="DP112" s="103"/>
      <c r="DQ112" s="24"/>
      <c r="DR112" s="24"/>
      <c r="DS112" s="24"/>
      <c r="DT112" s="24"/>
      <c r="DU112" s="108"/>
      <c r="DV112" s="24"/>
      <c r="DW112" s="24"/>
      <c r="DX112" s="108"/>
      <c r="DY112" s="24"/>
      <c r="DZ112" s="24"/>
      <c r="EA112" s="24"/>
      <c r="EB112" s="108"/>
      <c r="EC112" s="108"/>
      <c r="ED112" s="108"/>
      <c r="EE112" s="24"/>
      <c r="EF112" s="24"/>
      <c r="EG112" s="24"/>
      <c r="EH112" s="129"/>
      <c r="EI112" s="129"/>
      <c r="EJ112" s="24"/>
      <c r="EK112" s="24"/>
      <c r="EL112" s="24"/>
      <c r="EM112" s="24"/>
      <c r="EN112" s="24"/>
      <c r="EO112" s="24"/>
      <c r="EP112" s="24"/>
      <c r="EQ112" s="108"/>
      <c r="ER112" s="24"/>
      <c r="ES112" s="25"/>
      <c r="ET112" s="25"/>
      <c r="EU112" s="25">
        <v>0.29499999999999998</v>
      </c>
      <c r="EV112" s="25"/>
      <c r="EW112" s="25"/>
      <c r="EX112" s="25"/>
      <c r="EY112" s="25"/>
      <c r="EZ112" s="25"/>
      <c r="FA112" s="25">
        <v>5.0000000000000001E-3</v>
      </c>
      <c r="FB112" s="25"/>
      <c r="FC112" s="100"/>
      <c r="FD112" s="100"/>
      <c r="FE112" s="126"/>
      <c r="FF112" s="126"/>
      <c r="FG112" s="106"/>
      <c r="FH112" s="25"/>
      <c r="FI112" s="25"/>
      <c r="FJ112" s="25">
        <v>0.02</v>
      </c>
      <c r="FK112" s="17">
        <f t="shared" si="482"/>
        <v>1</v>
      </c>
      <c r="FL112" s="18"/>
      <c r="FM112" s="19">
        <f t="shared" si="298"/>
        <v>1.02</v>
      </c>
      <c r="FN112" s="19">
        <f t="shared" si="299"/>
        <v>0</v>
      </c>
      <c r="FO112" s="19">
        <f t="shared" si="300"/>
        <v>0</v>
      </c>
      <c r="FP112" s="19">
        <f t="shared" si="301"/>
        <v>0</v>
      </c>
      <c r="FQ112" s="19">
        <f t="shared" si="302"/>
        <v>0</v>
      </c>
      <c r="FR112" s="19">
        <f t="shared" si="303"/>
        <v>0</v>
      </c>
      <c r="FS112" s="19">
        <f t="shared" si="304"/>
        <v>0</v>
      </c>
      <c r="FT112" s="19">
        <f t="shared" si="305"/>
        <v>0</v>
      </c>
      <c r="FU112" s="19">
        <f t="shared" si="306"/>
        <v>0</v>
      </c>
      <c r="FV112" s="19">
        <f t="shared" si="307"/>
        <v>0</v>
      </c>
      <c r="FW112" s="19">
        <f t="shared" si="308"/>
        <v>0</v>
      </c>
      <c r="FX112" s="19">
        <f t="shared" si="309"/>
        <v>0</v>
      </c>
      <c r="FY112" s="19">
        <f t="shared" si="310"/>
        <v>0</v>
      </c>
      <c r="FZ112" s="19">
        <f t="shared" si="311"/>
        <v>0</v>
      </c>
      <c r="GA112" s="19">
        <f t="shared" si="312"/>
        <v>0.4</v>
      </c>
      <c r="GB112" s="19">
        <f t="shared" si="313"/>
        <v>0</v>
      </c>
      <c r="GC112" s="19">
        <f t="shared" si="314"/>
        <v>0</v>
      </c>
      <c r="GD112" s="19">
        <f t="shared" si="315"/>
        <v>0</v>
      </c>
      <c r="GE112" s="19">
        <f t="shared" si="316"/>
        <v>0</v>
      </c>
      <c r="GF112" s="19">
        <f t="shared" si="317"/>
        <v>0</v>
      </c>
      <c r="GG112" s="19">
        <f t="shared" si="318"/>
        <v>0</v>
      </c>
      <c r="GH112" s="19">
        <f t="shared" si="319"/>
        <v>0</v>
      </c>
      <c r="GI112" s="19">
        <f t="shared" si="320"/>
        <v>0</v>
      </c>
      <c r="GJ112" s="19">
        <f t="shared" si="321"/>
        <v>0</v>
      </c>
      <c r="GK112" s="19">
        <f t="shared" si="322"/>
        <v>0</v>
      </c>
      <c r="GL112" s="19">
        <f t="shared" si="323"/>
        <v>0</v>
      </c>
      <c r="GM112" s="19">
        <f t="shared" si="324"/>
        <v>0</v>
      </c>
      <c r="GN112" s="19">
        <f t="shared" si="325"/>
        <v>0.44999999999999996</v>
      </c>
      <c r="GO112" s="19">
        <f t="shared" si="326"/>
        <v>0.4</v>
      </c>
      <c r="GP112" s="19">
        <f t="shared" si="327"/>
        <v>0</v>
      </c>
      <c r="GQ112" s="19">
        <f t="shared" si="328"/>
        <v>0</v>
      </c>
      <c r="GR112" s="19">
        <f t="shared" si="329"/>
        <v>0</v>
      </c>
      <c r="GS112" s="19">
        <f t="shared" si="330"/>
        <v>0</v>
      </c>
      <c r="GT112" s="19">
        <f t="shared" si="331"/>
        <v>0</v>
      </c>
      <c r="GU112" s="19">
        <f t="shared" si="332"/>
        <v>0</v>
      </c>
      <c r="GV112" s="19">
        <f t="shared" si="333"/>
        <v>0.32</v>
      </c>
      <c r="GW112" s="19">
        <f t="shared" si="334"/>
        <v>0.4425</v>
      </c>
      <c r="GX112" s="19">
        <f t="shared" si="335"/>
        <v>0</v>
      </c>
      <c r="GY112" s="19">
        <f t="shared" si="336"/>
        <v>0</v>
      </c>
      <c r="GZ112" s="19">
        <f t="shared" si="337"/>
        <v>0</v>
      </c>
      <c r="HA112" s="19">
        <f t="shared" si="338"/>
        <v>0</v>
      </c>
      <c r="HB112" s="19">
        <f t="shared" si="339"/>
        <v>0</v>
      </c>
      <c r="HC112" s="19">
        <f t="shared" si="340"/>
        <v>7.4999999999999997E-3</v>
      </c>
      <c r="HD112" s="19">
        <f t="shared" si="341"/>
        <v>0</v>
      </c>
      <c r="HE112" s="19">
        <f t="shared" si="342"/>
        <v>0</v>
      </c>
      <c r="HF112" s="19">
        <f t="shared" si="343"/>
        <v>0</v>
      </c>
      <c r="HG112" s="19">
        <f t="shared" si="344"/>
        <v>1.93</v>
      </c>
      <c r="HH112" s="19">
        <f t="shared" si="345"/>
        <v>0</v>
      </c>
      <c r="HI112" s="19">
        <f t="shared" si="346"/>
        <v>0</v>
      </c>
      <c r="HJ112" s="19">
        <f t="shared" si="347"/>
        <v>0</v>
      </c>
      <c r="HK112" s="19">
        <f t="shared" si="348"/>
        <v>0</v>
      </c>
      <c r="HL112" s="19">
        <f t="shared" si="349"/>
        <v>0.03</v>
      </c>
      <c r="HM112" s="20">
        <f t="shared" si="350"/>
        <v>5</v>
      </c>
      <c r="HN112" s="53">
        <v>519</v>
      </c>
      <c r="HO112" s="21">
        <f t="shared" si="351"/>
        <v>105.876</v>
      </c>
      <c r="HP112" s="21">
        <f t="shared" si="352"/>
        <v>0</v>
      </c>
      <c r="HQ112" s="21">
        <f t="shared" si="353"/>
        <v>0</v>
      </c>
      <c r="HR112" s="21">
        <f t="shared" si="354"/>
        <v>0</v>
      </c>
      <c r="HS112" s="21">
        <f t="shared" si="355"/>
        <v>0</v>
      </c>
      <c r="HT112" s="69">
        <f t="shared" si="356"/>
        <v>0</v>
      </c>
      <c r="HU112" s="21">
        <f t="shared" si="357"/>
        <v>0</v>
      </c>
      <c r="HV112" s="21">
        <f t="shared" si="358"/>
        <v>0</v>
      </c>
      <c r="HW112" s="21">
        <f t="shared" si="359"/>
        <v>0</v>
      </c>
      <c r="HX112" s="21">
        <f t="shared" si="360"/>
        <v>0</v>
      </c>
      <c r="HY112" s="21">
        <f t="shared" si="361"/>
        <v>0</v>
      </c>
      <c r="HZ112" s="21">
        <f t="shared" si="362"/>
        <v>0</v>
      </c>
      <c r="IA112" s="21">
        <f t="shared" si="363"/>
        <v>0</v>
      </c>
      <c r="IB112" s="21">
        <f t="shared" si="364"/>
        <v>0</v>
      </c>
      <c r="IC112" s="21">
        <f t="shared" si="365"/>
        <v>41.52</v>
      </c>
      <c r="ID112" s="21">
        <f t="shared" si="366"/>
        <v>0</v>
      </c>
      <c r="IE112" s="21">
        <f t="shared" si="367"/>
        <v>0</v>
      </c>
      <c r="IF112" s="69">
        <f t="shared" si="368"/>
        <v>0</v>
      </c>
      <c r="IG112" s="69">
        <f t="shared" si="369"/>
        <v>0</v>
      </c>
      <c r="IH112" s="69">
        <f t="shared" si="370"/>
        <v>0</v>
      </c>
      <c r="II112" s="21">
        <f t="shared" si="371"/>
        <v>0</v>
      </c>
      <c r="IJ112" s="21">
        <f t="shared" si="372"/>
        <v>0</v>
      </c>
      <c r="IK112" s="21">
        <f t="shared" si="373"/>
        <v>0</v>
      </c>
      <c r="IL112" s="21">
        <f t="shared" si="374"/>
        <v>0</v>
      </c>
      <c r="IM112" s="21">
        <f t="shared" si="375"/>
        <v>0</v>
      </c>
      <c r="IN112" s="21">
        <f t="shared" si="376"/>
        <v>0</v>
      </c>
      <c r="IO112" s="21">
        <f t="shared" si="377"/>
        <v>0</v>
      </c>
      <c r="IP112" s="21">
        <f t="shared" si="378"/>
        <v>46.709999999999994</v>
      </c>
      <c r="IQ112" s="21">
        <f t="shared" si="379"/>
        <v>41.52</v>
      </c>
      <c r="IR112" s="21">
        <f t="shared" si="380"/>
        <v>0</v>
      </c>
      <c r="IS112" s="21">
        <f t="shared" si="381"/>
        <v>0</v>
      </c>
      <c r="IT112" s="21">
        <f t="shared" si="382"/>
        <v>0</v>
      </c>
      <c r="IU112" s="21">
        <f t="shared" si="383"/>
        <v>0</v>
      </c>
      <c r="IV112" s="21">
        <f t="shared" si="384"/>
        <v>0</v>
      </c>
      <c r="IW112" s="21">
        <f t="shared" si="385"/>
        <v>0</v>
      </c>
      <c r="IX112" s="21">
        <f t="shared" si="386"/>
        <v>33.216000000000001</v>
      </c>
      <c r="IY112" s="21">
        <f t="shared" si="387"/>
        <v>45.9315</v>
      </c>
      <c r="IZ112" s="21">
        <f t="shared" si="388"/>
        <v>0</v>
      </c>
      <c r="JA112" s="21">
        <f t="shared" si="389"/>
        <v>0</v>
      </c>
      <c r="JB112" s="21">
        <f t="shared" si="390"/>
        <v>0</v>
      </c>
      <c r="JC112" s="21">
        <f t="shared" si="391"/>
        <v>0</v>
      </c>
      <c r="JD112" s="21">
        <f t="shared" si="392"/>
        <v>0</v>
      </c>
      <c r="JE112" s="21">
        <f t="shared" si="393"/>
        <v>0.77849999999999997</v>
      </c>
      <c r="JF112" s="21">
        <f t="shared" si="394"/>
        <v>0</v>
      </c>
      <c r="JG112" s="21">
        <f t="shared" si="395"/>
        <v>0</v>
      </c>
      <c r="JH112" s="21">
        <f t="shared" si="396"/>
        <v>0</v>
      </c>
      <c r="JI112" s="21">
        <f t="shared" si="397"/>
        <v>200.334</v>
      </c>
      <c r="JJ112" s="21">
        <f t="shared" si="398"/>
        <v>0</v>
      </c>
      <c r="JK112" s="21">
        <f t="shared" si="399"/>
        <v>0</v>
      </c>
      <c r="JL112" s="21">
        <f t="shared" si="400"/>
        <v>0</v>
      </c>
      <c r="JM112" s="21">
        <f t="shared" si="401"/>
        <v>0</v>
      </c>
      <c r="JN112" s="21">
        <f t="shared" si="402"/>
        <v>3.1139999999999999</v>
      </c>
      <c r="JO112" s="35">
        <f t="shared" si="486"/>
        <v>519</v>
      </c>
      <c r="JP112" s="38">
        <f t="shared" si="487"/>
        <v>0</v>
      </c>
      <c r="JQ112" s="43">
        <f t="shared" si="405"/>
        <v>428.00373000000008</v>
      </c>
      <c r="JR112" s="43">
        <f t="shared" si="406"/>
        <v>0</v>
      </c>
      <c r="JS112" s="43">
        <f t="shared" si="407"/>
        <v>0</v>
      </c>
      <c r="JT112" s="43">
        <f t="shared" si="408"/>
        <v>0</v>
      </c>
      <c r="JU112" s="43">
        <f t="shared" si="409"/>
        <v>0</v>
      </c>
      <c r="JV112" s="43">
        <f t="shared" si="410"/>
        <v>0</v>
      </c>
      <c r="JW112" s="43">
        <f t="shared" si="411"/>
        <v>0</v>
      </c>
      <c r="JX112" s="43">
        <f t="shared" si="412"/>
        <v>0</v>
      </c>
      <c r="JY112" s="43">
        <f t="shared" si="413"/>
        <v>0</v>
      </c>
      <c r="JZ112" s="43">
        <f t="shared" si="414"/>
        <v>0</v>
      </c>
      <c r="KA112" s="43">
        <f t="shared" si="415"/>
        <v>0</v>
      </c>
      <c r="KB112" s="43">
        <f t="shared" si="416"/>
        <v>0</v>
      </c>
      <c r="KC112" s="43">
        <f t="shared" si="417"/>
        <v>0</v>
      </c>
      <c r="KD112" s="43">
        <f t="shared" si="418"/>
        <v>0</v>
      </c>
      <c r="KE112" s="43">
        <f t="shared" si="419"/>
        <v>169.25524158060605</v>
      </c>
      <c r="KF112" s="43">
        <f t="shared" si="420"/>
        <v>0</v>
      </c>
      <c r="KG112" s="43">
        <f t="shared" si="421"/>
        <v>0</v>
      </c>
      <c r="KH112" s="43">
        <f t="shared" si="422"/>
        <v>0</v>
      </c>
      <c r="KI112" s="43">
        <f t="shared" si="423"/>
        <v>0</v>
      </c>
      <c r="KJ112" s="43">
        <f t="shared" si="424"/>
        <v>0</v>
      </c>
      <c r="KK112" s="43">
        <f t="shared" si="425"/>
        <v>0</v>
      </c>
      <c r="KL112" s="43">
        <f t="shared" si="426"/>
        <v>0</v>
      </c>
      <c r="KM112" s="43">
        <f t="shared" si="427"/>
        <v>0</v>
      </c>
      <c r="KN112" s="43">
        <f t="shared" si="428"/>
        <v>0</v>
      </c>
      <c r="KO112" s="43">
        <f t="shared" si="429"/>
        <v>0</v>
      </c>
      <c r="KP112" s="43">
        <f t="shared" si="430"/>
        <v>0</v>
      </c>
      <c r="KQ112" s="43">
        <f t="shared" si="431"/>
        <v>0</v>
      </c>
      <c r="KR112" s="43">
        <f t="shared" si="432"/>
        <v>180.30059999999997</v>
      </c>
      <c r="KS112" s="43">
        <f t="shared" si="433"/>
        <v>141.97062270060607</v>
      </c>
      <c r="KT112" s="43">
        <f t="shared" si="434"/>
        <v>0</v>
      </c>
      <c r="KU112" s="43">
        <f t="shared" si="435"/>
        <v>0</v>
      </c>
      <c r="KV112" s="43">
        <f t="shared" si="436"/>
        <v>0</v>
      </c>
      <c r="KW112" s="43">
        <f t="shared" si="437"/>
        <v>0</v>
      </c>
      <c r="KX112" s="43">
        <f t="shared" si="438"/>
        <v>0</v>
      </c>
      <c r="KY112" s="43">
        <f t="shared" si="439"/>
        <v>0</v>
      </c>
      <c r="KZ112" s="43">
        <f t="shared" si="440"/>
        <v>287.3184</v>
      </c>
      <c r="LA112" s="43">
        <f t="shared" si="441"/>
        <v>184.04017145999998</v>
      </c>
      <c r="LB112" s="43">
        <f t="shared" si="442"/>
        <v>0</v>
      </c>
      <c r="LC112" s="43">
        <f t="shared" si="443"/>
        <v>0</v>
      </c>
      <c r="LD112" s="43">
        <f t="shared" si="444"/>
        <v>0</v>
      </c>
      <c r="LE112" s="43">
        <f t="shared" si="445"/>
        <v>0</v>
      </c>
      <c r="LF112" s="43">
        <f t="shared" si="446"/>
        <v>0</v>
      </c>
      <c r="LG112" s="43">
        <f t="shared" si="447"/>
        <v>8.0341199999999997</v>
      </c>
      <c r="LH112" s="43">
        <f t="shared" si="448"/>
        <v>0</v>
      </c>
      <c r="LI112" s="43">
        <f t="shared" si="449"/>
        <v>0</v>
      </c>
      <c r="LJ112" s="43">
        <f t="shared" si="450"/>
        <v>0</v>
      </c>
      <c r="LK112" s="43">
        <f t="shared" si="451"/>
        <v>802.48792049999997</v>
      </c>
      <c r="LL112" s="43">
        <f t="shared" si="452"/>
        <v>0</v>
      </c>
      <c r="LM112" s="43">
        <f t="shared" si="453"/>
        <v>0</v>
      </c>
      <c r="LN112" s="43">
        <f t="shared" si="454"/>
        <v>0</v>
      </c>
      <c r="LO112" s="43">
        <f t="shared" si="455"/>
        <v>0</v>
      </c>
      <c r="LP112" s="43">
        <f t="shared" si="456"/>
        <v>26.313299999999998</v>
      </c>
      <c r="LQ112" s="28">
        <f t="shared" si="488"/>
        <v>2227.7241062412122</v>
      </c>
      <c r="LR112" s="65">
        <v>470</v>
      </c>
      <c r="LS112" s="32">
        <f t="shared" si="462"/>
        <v>4.7398385239174727</v>
      </c>
      <c r="LT112" s="26">
        <f t="shared" si="463"/>
        <v>1.2950378480648832</v>
      </c>
      <c r="LU112" s="31">
        <f t="shared" si="489"/>
        <v>49</v>
      </c>
      <c r="LW112" s="42"/>
      <c r="MA112" s="32">
        <f t="shared" si="490"/>
        <v>4.2923393183838385</v>
      </c>
      <c r="MB112" s="26">
        <f t="shared" si="464"/>
        <v>1.1727703055693548</v>
      </c>
    </row>
    <row r="113" spans="1:340" ht="15.75" thickBot="1">
      <c r="A113" t="b">
        <f t="shared" si="484"/>
        <v>1</v>
      </c>
      <c r="B113" s="123" t="s">
        <v>289</v>
      </c>
      <c r="C113" s="39" t="s">
        <v>122</v>
      </c>
      <c r="D113"/>
      <c r="E113" s="97">
        <v>46039</v>
      </c>
      <c r="F113" t="s">
        <v>43</v>
      </c>
      <c r="G113" t="s">
        <v>20</v>
      </c>
      <c r="H113" t="s">
        <v>26</v>
      </c>
      <c r="I113" s="77"/>
      <c r="J113" s="77"/>
      <c r="K113" s="77"/>
      <c r="L113" s="22"/>
      <c r="M113" s="22"/>
      <c r="N113" s="98"/>
      <c r="O113" s="22"/>
      <c r="P113" s="22"/>
      <c r="Q113" s="22"/>
      <c r="R113" s="22"/>
      <c r="S113" s="104"/>
      <c r="T113" s="22"/>
      <c r="U113" s="22"/>
      <c r="V113" s="104"/>
      <c r="W113" s="22"/>
      <c r="X113" s="22"/>
      <c r="Y113" s="22"/>
      <c r="Z113" s="104"/>
      <c r="AA113" s="104"/>
      <c r="AB113" s="104"/>
      <c r="AC113" s="22"/>
      <c r="AD113" s="22"/>
      <c r="AE113" s="22"/>
      <c r="AF113" s="124"/>
      <c r="AG113" s="124"/>
      <c r="AH113" s="22"/>
      <c r="AI113" s="22"/>
      <c r="AJ113" s="22">
        <v>0.3</v>
      </c>
      <c r="AK113" s="22"/>
      <c r="AL113" s="22"/>
      <c r="AM113" s="22"/>
      <c r="AN113" s="22"/>
      <c r="AO113" s="104"/>
      <c r="AP113" s="22"/>
      <c r="AQ113" s="22"/>
      <c r="AR113" s="22">
        <v>0.08</v>
      </c>
      <c r="AS113" s="22"/>
      <c r="AT113" s="22"/>
      <c r="AU113" s="22"/>
      <c r="AV113" s="22"/>
      <c r="AW113" s="22"/>
      <c r="AX113" s="22"/>
      <c r="AY113" s="22"/>
      <c r="AZ113" s="22"/>
      <c r="BA113" s="98"/>
      <c r="BB113" s="98"/>
      <c r="BC113" s="124">
        <v>0.62</v>
      </c>
      <c r="BD113" s="124"/>
      <c r="BE113" s="104"/>
      <c r="BF113" s="22"/>
      <c r="BG113" s="22"/>
      <c r="BH113" s="22"/>
      <c r="BI113" s="78">
        <f>SUM(I113:BH113)</f>
        <v>1</v>
      </c>
      <c r="BJ113" s="23"/>
      <c r="BK113" s="23"/>
      <c r="BL113" s="23"/>
      <c r="BM113" s="23"/>
      <c r="BN113" s="23"/>
      <c r="BO113" s="99"/>
      <c r="BP113" s="23"/>
      <c r="BQ113" s="23"/>
      <c r="BR113" s="23"/>
      <c r="BS113" s="23"/>
      <c r="BT113" s="105"/>
      <c r="BU113" s="23"/>
      <c r="BV113" s="23"/>
      <c r="BW113" s="105"/>
      <c r="BX113" s="23">
        <v>0.2</v>
      </c>
      <c r="BY113" s="23"/>
      <c r="BZ113" s="23"/>
      <c r="CA113" s="105"/>
      <c r="CB113" s="105"/>
      <c r="CC113" s="105"/>
      <c r="CD113" s="23"/>
      <c r="CE113" s="23"/>
      <c r="CF113" s="71"/>
      <c r="CG113" s="128"/>
      <c r="CH113" s="128"/>
      <c r="CI113" s="23"/>
      <c r="CJ113" s="23"/>
      <c r="CK113" s="23"/>
      <c r="CL113" s="23">
        <v>0.2</v>
      </c>
      <c r="CM113" s="23"/>
      <c r="CN113" s="23"/>
      <c r="CO113" s="23"/>
      <c r="CP113" s="105"/>
      <c r="CQ113" s="23"/>
      <c r="CR113" s="23"/>
      <c r="CS113" s="23">
        <v>0.1</v>
      </c>
      <c r="CT113" s="23"/>
      <c r="CU113" s="23"/>
      <c r="CV113" s="23"/>
      <c r="CW113" s="23"/>
      <c r="CX113" s="23"/>
      <c r="CY113" s="23"/>
      <c r="CZ113" s="23"/>
      <c r="DA113" s="23"/>
      <c r="DB113" s="99"/>
      <c r="DC113" s="99"/>
      <c r="DD113" s="125">
        <v>0.5</v>
      </c>
      <c r="DE113" s="125"/>
      <c r="DF113" s="105"/>
      <c r="DG113" s="23"/>
      <c r="DH113" s="23"/>
      <c r="DI113" s="23"/>
      <c r="DJ113" s="79">
        <f t="shared" si="485"/>
        <v>1</v>
      </c>
      <c r="DK113" s="24">
        <v>0.68</v>
      </c>
      <c r="DL113" s="24"/>
      <c r="DM113" s="24"/>
      <c r="DN113" s="24"/>
      <c r="DO113" s="24"/>
      <c r="DP113" s="103"/>
      <c r="DQ113" s="24"/>
      <c r="DR113" s="24"/>
      <c r="DS113" s="24"/>
      <c r="DT113" s="24"/>
      <c r="DU113" s="108"/>
      <c r="DV113" s="24"/>
      <c r="DW113" s="24"/>
      <c r="DX113" s="108"/>
      <c r="DY113" s="24"/>
      <c r="DZ113" s="24"/>
      <c r="EA113" s="24"/>
      <c r="EB113" s="108"/>
      <c r="EC113" s="108"/>
      <c r="ED113" s="108"/>
      <c r="EE113" s="24"/>
      <c r="EF113" s="24"/>
      <c r="EG113" s="24"/>
      <c r="EH113" s="129"/>
      <c r="EI113" s="129"/>
      <c r="EJ113" s="24"/>
      <c r="EK113" s="24"/>
      <c r="EL113" s="24"/>
      <c r="EM113" s="24"/>
      <c r="EN113" s="24"/>
      <c r="EO113" s="24"/>
      <c r="EP113" s="24"/>
      <c r="EQ113" s="108"/>
      <c r="ER113" s="24"/>
      <c r="ES113" s="25"/>
      <c r="ET113" s="25"/>
      <c r="EU113" s="25">
        <v>0.29499999999999998</v>
      </c>
      <c r="EV113" s="25"/>
      <c r="EW113" s="25"/>
      <c r="EX113" s="25"/>
      <c r="EY113" s="25"/>
      <c r="EZ113" s="25"/>
      <c r="FA113" s="25">
        <v>5.0000000000000001E-3</v>
      </c>
      <c r="FB113" s="25"/>
      <c r="FC113" s="100"/>
      <c r="FD113" s="100"/>
      <c r="FE113" s="126"/>
      <c r="FF113" s="126"/>
      <c r="FG113" s="106"/>
      <c r="FH113" s="25"/>
      <c r="FI113" s="25"/>
      <c r="FJ113" s="25">
        <v>0.02</v>
      </c>
      <c r="FK113" s="17">
        <f t="shared" si="482"/>
        <v>1</v>
      </c>
      <c r="FL113" s="18"/>
      <c r="FM113" s="19">
        <f t="shared" si="298"/>
        <v>1.02</v>
      </c>
      <c r="FN113" s="19">
        <f t="shared" si="299"/>
        <v>0</v>
      </c>
      <c r="FO113" s="19">
        <f t="shared" si="300"/>
        <v>0</v>
      </c>
      <c r="FP113" s="19">
        <f t="shared" si="301"/>
        <v>0</v>
      </c>
      <c r="FQ113" s="19">
        <f t="shared" si="302"/>
        <v>0</v>
      </c>
      <c r="FR113" s="19">
        <f t="shared" si="303"/>
        <v>0</v>
      </c>
      <c r="FS113" s="19">
        <f t="shared" si="304"/>
        <v>0</v>
      </c>
      <c r="FT113" s="19">
        <f t="shared" si="305"/>
        <v>0</v>
      </c>
      <c r="FU113" s="19">
        <f t="shared" si="306"/>
        <v>0</v>
      </c>
      <c r="FV113" s="19">
        <f t="shared" si="307"/>
        <v>0</v>
      </c>
      <c r="FW113" s="19">
        <f t="shared" si="308"/>
        <v>0</v>
      </c>
      <c r="FX113" s="19">
        <f t="shared" si="309"/>
        <v>0</v>
      </c>
      <c r="FY113" s="19">
        <f t="shared" si="310"/>
        <v>0</v>
      </c>
      <c r="FZ113" s="19">
        <f t="shared" si="311"/>
        <v>0</v>
      </c>
      <c r="GA113" s="19">
        <f t="shared" si="312"/>
        <v>0.4</v>
      </c>
      <c r="GB113" s="19">
        <f t="shared" si="313"/>
        <v>0</v>
      </c>
      <c r="GC113" s="19">
        <f t="shared" si="314"/>
        <v>0</v>
      </c>
      <c r="GD113" s="19">
        <f t="shared" si="315"/>
        <v>0</v>
      </c>
      <c r="GE113" s="19">
        <f t="shared" si="316"/>
        <v>0</v>
      </c>
      <c r="GF113" s="19">
        <f t="shared" si="317"/>
        <v>0</v>
      </c>
      <c r="GG113" s="19">
        <f t="shared" si="318"/>
        <v>0</v>
      </c>
      <c r="GH113" s="19">
        <f t="shared" si="319"/>
        <v>0</v>
      </c>
      <c r="GI113" s="19">
        <f t="shared" si="320"/>
        <v>0</v>
      </c>
      <c r="GJ113" s="19">
        <f t="shared" si="321"/>
        <v>0</v>
      </c>
      <c r="GK113" s="19">
        <f t="shared" si="322"/>
        <v>0</v>
      </c>
      <c r="GL113" s="19">
        <f t="shared" si="323"/>
        <v>0</v>
      </c>
      <c r="GM113" s="19">
        <f t="shared" si="324"/>
        <v>0</v>
      </c>
      <c r="GN113" s="19">
        <f t="shared" si="325"/>
        <v>0.44999999999999996</v>
      </c>
      <c r="GO113" s="19">
        <f t="shared" si="326"/>
        <v>0.4</v>
      </c>
      <c r="GP113" s="19">
        <f t="shared" si="327"/>
        <v>0</v>
      </c>
      <c r="GQ113" s="19">
        <f t="shared" si="328"/>
        <v>0</v>
      </c>
      <c r="GR113" s="19">
        <f t="shared" si="329"/>
        <v>0</v>
      </c>
      <c r="GS113" s="19">
        <f t="shared" si="330"/>
        <v>0</v>
      </c>
      <c r="GT113" s="19">
        <f t="shared" si="331"/>
        <v>0</v>
      </c>
      <c r="GU113" s="19">
        <f t="shared" si="332"/>
        <v>0</v>
      </c>
      <c r="GV113" s="19">
        <f t="shared" si="333"/>
        <v>0.32</v>
      </c>
      <c r="GW113" s="19">
        <f t="shared" si="334"/>
        <v>0.4425</v>
      </c>
      <c r="GX113" s="19">
        <f t="shared" si="335"/>
        <v>0</v>
      </c>
      <c r="GY113" s="19">
        <f t="shared" si="336"/>
        <v>0</v>
      </c>
      <c r="GZ113" s="19">
        <f t="shared" si="337"/>
        <v>0</v>
      </c>
      <c r="HA113" s="19">
        <f t="shared" si="338"/>
        <v>0</v>
      </c>
      <c r="HB113" s="19">
        <f t="shared" si="339"/>
        <v>0</v>
      </c>
      <c r="HC113" s="19">
        <f t="shared" si="340"/>
        <v>7.4999999999999997E-3</v>
      </c>
      <c r="HD113" s="19">
        <f t="shared" si="341"/>
        <v>0</v>
      </c>
      <c r="HE113" s="19">
        <f t="shared" si="342"/>
        <v>0</v>
      </c>
      <c r="HF113" s="19">
        <f t="shared" si="343"/>
        <v>0</v>
      </c>
      <c r="HG113" s="19">
        <f t="shared" si="344"/>
        <v>1.93</v>
      </c>
      <c r="HH113" s="19">
        <f t="shared" si="345"/>
        <v>0</v>
      </c>
      <c r="HI113" s="19">
        <f t="shared" si="346"/>
        <v>0</v>
      </c>
      <c r="HJ113" s="19">
        <f t="shared" si="347"/>
        <v>0</v>
      </c>
      <c r="HK113" s="19">
        <f t="shared" si="348"/>
        <v>0</v>
      </c>
      <c r="HL113" s="19">
        <f t="shared" si="349"/>
        <v>0.03</v>
      </c>
      <c r="HM113" s="20">
        <f t="shared" si="350"/>
        <v>5</v>
      </c>
      <c r="HN113" s="53">
        <v>911</v>
      </c>
      <c r="HO113" s="21">
        <f t="shared" si="351"/>
        <v>185.84399999999999</v>
      </c>
      <c r="HP113" s="21">
        <f t="shared" si="352"/>
        <v>0</v>
      </c>
      <c r="HQ113" s="21">
        <f t="shared" si="353"/>
        <v>0</v>
      </c>
      <c r="HR113" s="21">
        <f t="shared" si="354"/>
        <v>0</v>
      </c>
      <c r="HS113" s="21">
        <f t="shared" si="355"/>
        <v>0</v>
      </c>
      <c r="HT113" s="69">
        <f t="shared" si="356"/>
        <v>0</v>
      </c>
      <c r="HU113" s="21">
        <f t="shared" si="357"/>
        <v>0</v>
      </c>
      <c r="HV113" s="21">
        <f t="shared" si="358"/>
        <v>0</v>
      </c>
      <c r="HW113" s="21">
        <f t="shared" si="359"/>
        <v>0</v>
      </c>
      <c r="HX113" s="21">
        <f t="shared" si="360"/>
        <v>0</v>
      </c>
      <c r="HY113" s="21">
        <f t="shared" si="361"/>
        <v>0</v>
      </c>
      <c r="HZ113" s="21">
        <f t="shared" si="362"/>
        <v>0</v>
      </c>
      <c r="IA113" s="21">
        <f t="shared" si="363"/>
        <v>0</v>
      </c>
      <c r="IB113" s="21">
        <f t="shared" si="364"/>
        <v>0</v>
      </c>
      <c r="IC113" s="21">
        <f t="shared" si="365"/>
        <v>72.88000000000001</v>
      </c>
      <c r="ID113" s="21">
        <f t="shared" si="366"/>
        <v>0</v>
      </c>
      <c r="IE113" s="21">
        <f t="shared" si="367"/>
        <v>0</v>
      </c>
      <c r="IF113" s="69">
        <f t="shared" si="368"/>
        <v>0</v>
      </c>
      <c r="IG113" s="69">
        <f t="shared" si="369"/>
        <v>0</v>
      </c>
      <c r="IH113" s="69">
        <f t="shared" si="370"/>
        <v>0</v>
      </c>
      <c r="II113" s="21">
        <f t="shared" si="371"/>
        <v>0</v>
      </c>
      <c r="IJ113" s="21">
        <f t="shared" si="372"/>
        <v>0</v>
      </c>
      <c r="IK113" s="21">
        <f t="shared" si="373"/>
        <v>0</v>
      </c>
      <c r="IL113" s="21">
        <f t="shared" si="374"/>
        <v>0</v>
      </c>
      <c r="IM113" s="21">
        <f t="shared" si="375"/>
        <v>0</v>
      </c>
      <c r="IN113" s="21">
        <f t="shared" si="376"/>
        <v>0</v>
      </c>
      <c r="IO113" s="21">
        <f t="shared" si="377"/>
        <v>0</v>
      </c>
      <c r="IP113" s="21">
        <f t="shared" si="378"/>
        <v>81.989999999999981</v>
      </c>
      <c r="IQ113" s="21">
        <f t="shared" si="379"/>
        <v>72.88000000000001</v>
      </c>
      <c r="IR113" s="21">
        <f t="shared" si="380"/>
        <v>0</v>
      </c>
      <c r="IS113" s="21">
        <f t="shared" si="381"/>
        <v>0</v>
      </c>
      <c r="IT113" s="21">
        <f t="shared" si="382"/>
        <v>0</v>
      </c>
      <c r="IU113" s="21">
        <f t="shared" si="383"/>
        <v>0</v>
      </c>
      <c r="IV113" s="21">
        <f t="shared" si="384"/>
        <v>0</v>
      </c>
      <c r="IW113" s="21">
        <f t="shared" si="385"/>
        <v>0</v>
      </c>
      <c r="IX113" s="21">
        <f t="shared" si="386"/>
        <v>58.303999999999995</v>
      </c>
      <c r="IY113" s="21">
        <f t="shared" si="387"/>
        <v>80.623500000000007</v>
      </c>
      <c r="IZ113" s="21">
        <f t="shared" si="388"/>
        <v>0</v>
      </c>
      <c r="JA113" s="21">
        <f t="shared" si="389"/>
        <v>0</v>
      </c>
      <c r="JB113" s="21">
        <f t="shared" si="390"/>
        <v>0</v>
      </c>
      <c r="JC113" s="21">
        <f t="shared" si="391"/>
        <v>0</v>
      </c>
      <c r="JD113" s="21">
        <f t="shared" si="392"/>
        <v>0</v>
      </c>
      <c r="JE113" s="21">
        <f t="shared" si="393"/>
        <v>1.3664999999999998</v>
      </c>
      <c r="JF113" s="21">
        <f t="shared" si="394"/>
        <v>0</v>
      </c>
      <c r="JG113" s="21">
        <f t="shared" si="395"/>
        <v>0</v>
      </c>
      <c r="JH113" s="21">
        <f t="shared" si="396"/>
        <v>0</v>
      </c>
      <c r="JI113" s="21">
        <f t="shared" si="397"/>
        <v>351.64600000000002</v>
      </c>
      <c r="JJ113" s="21">
        <f t="shared" si="398"/>
        <v>0</v>
      </c>
      <c r="JK113" s="21">
        <f t="shared" si="399"/>
        <v>0</v>
      </c>
      <c r="JL113" s="21">
        <f t="shared" si="400"/>
        <v>0</v>
      </c>
      <c r="JM113" s="21">
        <f t="shared" si="401"/>
        <v>0</v>
      </c>
      <c r="JN113" s="21">
        <f t="shared" si="402"/>
        <v>5.4659999999999993</v>
      </c>
      <c r="JO113" s="35">
        <f t="shared" si="486"/>
        <v>910.99999999999989</v>
      </c>
      <c r="JP113" s="38">
        <f t="shared" si="487"/>
        <v>0</v>
      </c>
      <c r="JQ113" s="43">
        <f t="shared" si="405"/>
        <v>751.27437000000009</v>
      </c>
      <c r="JR113" s="43">
        <f t="shared" si="406"/>
        <v>0</v>
      </c>
      <c r="JS113" s="43">
        <f t="shared" si="407"/>
        <v>0</v>
      </c>
      <c r="JT113" s="43">
        <f t="shared" si="408"/>
        <v>0</v>
      </c>
      <c r="JU113" s="43">
        <f t="shared" si="409"/>
        <v>0</v>
      </c>
      <c r="JV113" s="43">
        <f t="shared" si="410"/>
        <v>0</v>
      </c>
      <c r="JW113" s="43">
        <f t="shared" si="411"/>
        <v>0</v>
      </c>
      <c r="JX113" s="43">
        <f t="shared" si="412"/>
        <v>0</v>
      </c>
      <c r="JY113" s="43">
        <f t="shared" si="413"/>
        <v>0</v>
      </c>
      <c r="JZ113" s="43">
        <f t="shared" si="414"/>
        <v>0</v>
      </c>
      <c r="KA113" s="43">
        <f t="shared" si="415"/>
        <v>0</v>
      </c>
      <c r="KB113" s="43">
        <f t="shared" si="416"/>
        <v>0</v>
      </c>
      <c r="KC113" s="43">
        <f t="shared" si="417"/>
        <v>0</v>
      </c>
      <c r="KD113" s="43">
        <f t="shared" si="418"/>
        <v>0</v>
      </c>
      <c r="KE113" s="43">
        <f t="shared" si="419"/>
        <v>297.0934972638384</v>
      </c>
      <c r="KF113" s="43">
        <f t="shared" si="420"/>
        <v>0</v>
      </c>
      <c r="KG113" s="43">
        <f t="shared" si="421"/>
        <v>0</v>
      </c>
      <c r="KH113" s="43">
        <f t="shared" si="422"/>
        <v>0</v>
      </c>
      <c r="KI113" s="43">
        <f t="shared" si="423"/>
        <v>0</v>
      </c>
      <c r="KJ113" s="43">
        <f t="shared" si="424"/>
        <v>0</v>
      </c>
      <c r="KK113" s="43">
        <f t="shared" si="425"/>
        <v>0</v>
      </c>
      <c r="KL113" s="43">
        <f t="shared" si="426"/>
        <v>0</v>
      </c>
      <c r="KM113" s="43">
        <f t="shared" si="427"/>
        <v>0</v>
      </c>
      <c r="KN113" s="43">
        <f t="shared" si="428"/>
        <v>0</v>
      </c>
      <c r="KO113" s="43">
        <f t="shared" si="429"/>
        <v>0</v>
      </c>
      <c r="KP113" s="43">
        <f t="shared" si="430"/>
        <v>0</v>
      </c>
      <c r="KQ113" s="43">
        <f t="shared" si="431"/>
        <v>0</v>
      </c>
      <c r="KR113" s="43">
        <f t="shared" si="432"/>
        <v>316.48139999999989</v>
      </c>
      <c r="KS113" s="43">
        <f t="shared" si="433"/>
        <v>249.20084254383841</v>
      </c>
      <c r="KT113" s="43">
        <f t="shared" si="434"/>
        <v>0</v>
      </c>
      <c r="KU113" s="43">
        <f t="shared" si="435"/>
        <v>0</v>
      </c>
      <c r="KV113" s="43">
        <f t="shared" si="436"/>
        <v>0</v>
      </c>
      <c r="KW113" s="43">
        <f t="shared" si="437"/>
        <v>0</v>
      </c>
      <c r="KX113" s="43">
        <f t="shared" si="438"/>
        <v>0</v>
      </c>
      <c r="KY113" s="43">
        <f t="shared" si="439"/>
        <v>0</v>
      </c>
      <c r="KZ113" s="43">
        <f t="shared" si="440"/>
        <v>504.32959999999997</v>
      </c>
      <c r="LA113" s="43">
        <f t="shared" si="441"/>
        <v>323.04546474</v>
      </c>
      <c r="LB113" s="43">
        <f t="shared" si="442"/>
        <v>0</v>
      </c>
      <c r="LC113" s="43">
        <f t="shared" si="443"/>
        <v>0</v>
      </c>
      <c r="LD113" s="43">
        <f t="shared" si="444"/>
        <v>0</v>
      </c>
      <c r="LE113" s="43">
        <f t="shared" si="445"/>
        <v>0</v>
      </c>
      <c r="LF113" s="43">
        <f t="shared" si="446"/>
        <v>0</v>
      </c>
      <c r="LG113" s="43">
        <f t="shared" si="447"/>
        <v>14.102279999999999</v>
      </c>
      <c r="LH113" s="43">
        <f t="shared" si="448"/>
        <v>0</v>
      </c>
      <c r="LI113" s="43">
        <f t="shared" si="449"/>
        <v>0</v>
      </c>
      <c r="LJ113" s="43">
        <f t="shared" si="450"/>
        <v>0</v>
      </c>
      <c r="LK113" s="43">
        <f t="shared" si="451"/>
        <v>1408.6059645</v>
      </c>
      <c r="LL113" s="43">
        <f t="shared" si="452"/>
        <v>0</v>
      </c>
      <c r="LM113" s="43">
        <f t="shared" si="453"/>
        <v>0</v>
      </c>
      <c r="LN113" s="43">
        <f t="shared" si="454"/>
        <v>0</v>
      </c>
      <c r="LO113" s="43">
        <f t="shared" si="455"/>
        <v>0</v>
      </c>
      <c r="LP113" s="43">
        <f t="shared" si="456"/>
        <v>46.187699999999992</v>
      </c>
      <c r="LQ113" s="28">
        <f t="shared" si="488"/>
        <v>3910.3211190476768</v>
      </c>
      <c r="LR113" s="65">
        <v>878</v>
      </c>
      <c r="LS113" s="32">
        <f t="shared" si="462"/>
        <v>4.4536687005098825</v>
      </c>
      <c r="LT113" s="26">
        <f t="shared" si="463"/>
        <v>1.2168493717240116</v>
      </c>
      <c r="LU113" s="31">
        <f t="shared" si="489"/>
        <v>33</v>
      </c>
      <c r="LW113" s="42"/>
      <c r="MA113" s="32">
        <f t="shared" si="490"/>
        <v>4.2923393183838385</v>
      </c>
      <c r="MB113" s="26">
        <f t="shared" si="464"/>
        <v>1.1727703055693548</v>
      </c>
    </row>
    <row r="114" spans="1:340" ht="15.75" thickBot="1">
      <c r="A114" t="b">
        <f t="shared" si="484"/>
        <v>1</v>
      </c>
      <c r="B114" s="123" t="s">
        <v>290</v>
      </c>
      <c r="C114" s="39" t="s">
        <v>86</v>
      </c>
      <c r="D114"/>
      <c r="E114" s="97">
        <v>46039</v>
      </c>
      <c r="F114" t="s">
        <v>43</v>
      </c>
      <c r="G114" t="s">
        <v>19</v>
      </c>
      <c r="H114" t="s">
        <v>27</v>
      </c>
      <c r="I114" s="77"/>
      <c r="J114" s="77"/>
      <c r="K114" s="77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24"/>
      <c r="AG114" s="124"/>
      <c r="AH114" s="104"/>
      <c r="AI114" s="104"/>
      <c r="AJ114" s="104"/>
      <c r="AK114" s="104"/>
      <c r="AL114" s="104"/>
      <c r="AM114" s="104"/>
      <c r="AN114" s="104"/>
      <c r="AO114" s="104"/>
      <c r="AP114" s="104"/>
      <c r="AQ114" s="104"/>
      <c r="AR114" s="104"/>
      <c r="AS114" s="104"/>
      <c r="AT114" s="104"/>
      <c r="AU114" s="104"/>
      <c r="AV114" s="104"/>
      <c r="AW114" s="104"/>
      <c r="AX114" s="104"/>
      <c r="AY114" s="104">
        <v>0.01</v>
      </c>
      <c r="AZ114" s="104"/>
      <c r="BA114" s="104"/>
      <c r="BB114" s="104">
        <v>0.495</v>
      </c>
      <c r="BC114" s="124">
        <v>0.495</v>
      </c>
      <c r="BD114" s="124"/>
      <c r="BE114" s="104"/>
      <c r="BF114" s="104"/>
      <c r="BG114" s="104"/>
      <c r="BH114" s="104"/>
      <c r="BI114" s="78">
        <f t="shared" ref="BI114:BI120" si="492">SUM(I114:BH114)</f>
        <v>1</v>
      </c>
      <c r="BJ114" s="105"/>
      <c r="BK114" s="105"/>
      <c r="BL114" s="105"/>
      <c r="BM114" s="105"/>
      <c r="BN114" s="105"/>
      <c r="BO114" s="105"/>
      <c r="BP114" s="105"/>
      <c r="BQ114" s="105"/>
      <c r="BR114" s="105"/>
      <c r="BS114" s="105"/>
      <c r="BT114" s="105"/>
      <c r="BU114" s="105"/>
      <c r="BV114" s="105"/>
      <c r="BW114" s="105"/>
      <c r="BX114" s="105"/>
      <c r="BY114" s="105"/>
      <c r="BZ114" s="105"/>
      <c r="CA114" s="105"/>
      <c r="CB114" s="105"/>
      <c r="CC114" s="105"/>
      <c r="CD114" s="105"/>
      <c r="CE114" s="105"/>
      <c r="CF114" s="120"/>
      <c r="CG114" s="128"/>
      <c r="CH114" s="128"/>
      <c r="CI114" s="105"/>
      <c r="CJ114" s="105"/>
      <c r="CK114" s="105"/>
      <c r="CL114" s="105"/>
      <c r="CM114" s="105"/>
      <c r="CN114" s="105"/>
      <c r="CO114" s="105"/>
      <c r="CP114" s="105"/>
      <c r="CQ114" s="105"/>
      <c r="CR114" s="105"/>
      <c r="CS114" s="105"/>
      <c r="CT114" s="105"/>
      <c r="CU114" s="105"/>
      <c r="CV114" s="105"/>
      <c r="CW114" s="105"/>
      <c r="CX114" s="105"/>
      <c r="CY114" s="105"/>
      <c r="CZ114" s="105"/>
      <c r="DA114" s="105"/>
      <c r="DB114" s="105"/>
      <c r="DC114" s="105"/>
      <c r="DD114" s="125"/>
      <c r="DE114" s="125"/>
      <c r="DF114" s="105"/>
      <c r="DG114" s="105"/>
      <c r="DH114" s="105"/>
      <c r="DI114" s="105"/>
      <c r="DJ114" s="79">
        <f t="shared" si="485"/>
        <v>0</v>
      </c>
      <c r="DK114" s="108"/>
      <c r="DL114" s="108"/>
      <c r="DM114" s="108"/>
      <c r="DN114" s="108"/>
      <c r="DO114" s="108"/>
      <c r="DP114" s="108"/>
      <c r="DQ114" s="108"/>
      <c r="DR114" s="108"/>
      <c r="DS114" s="108"/>
      <c r="DT114" s="108"/>
      <c r="DU114" s="108"/>
      <c r="DV114" s="108"/>
      <c r="DW114" s="108"/>
      <c r="DX114" s="108"/>
      <c r="DY114" s="108"/>
      <c r="DZ114" s="108"/>
      <c r="EA114" s="108"/>
      <c r="EB114" s="108"/>
      <c r="EC114" s="108"/>
      <c r="ED114" s="108"/>
      <c r="EE114" s="108"/>
      <c r="EF114" s="108"/>
      <c r="EG114" s="108"/>
      <c r="EH114" s="129"/>
      <c r="EI114" s="129"/>
      <c r="EJ114" s="108"/>
      <c r="EK114" s="108"/>
      <c r="EL114" s="108"/>
      <c r="EM114" s="108"/>
      <c r="EN114" s="108"/>
      <c r="EO114" s="108"/>
      <c r="EP114" s="108"/>
      <c r="EQ114" s="108"/>
      <c r="ER114" s="108"/>
      <c r="ES114" s="106"/>
      <c r="ET114" s="106"/>
      <c r="EU114" s="106"/>
      <c r="EV114" s="106"/>
      <c r="EW114" s="106"/>
      <c r="EX114" s="106"/>
      <c r="EY114" s="106"/>
      <c r="EZ114" s="106"/>
      <c r="FA114" s="106"/>
      <c r="FB114" s="106"/>
      <c r="FC114" s="106"/>
      <c r="FD114" s="106"/>
      <c r="FE114" s="126"/>
      <c r="FF114" s="126"/>
      <c r="FG114" s="106"/>
      <c r="FH114" s="106"/>
      <c r="FI114" s="106"/>
      <c r="FJ114" s="106"/>
      <c r="FK114" s="17">
        <f t="shared" si="482"/>
        <v>0</v>
      </c>
      <c r="FL114" s="18"/>
      <c r="FM114" s="19">
        <f t="shared" si="298"/>
        <v>0</v>
      </c>
      <c r="FN114" s="19">
        <f t="shared" si="299"/>
        <v>0</v>
      </c>
      <c r="FO114" s="19">
        <f t="shared" si="300"/>
        <v>0</v>
      </c>
      <c r="FP114" s="19">
        <f t="shared" si="301"/>
        <v>0</v>
      </c>
      <c r="FQ114" s="19">
        <f t="shared" si="302"/>
        <v>0</v>
      </c>
      <c r="FR114" s="19">
        <f t="shared" si="303"/>
        <v>0</v>
      </c>
      <c r="FS114" s="19">
        <f t="shared" si="304"/>
        <v>0</v>
      </c>
      <c r="FT114" s="19">
        <f t="shared" si="305"/>
        <v>0</v>
      </c>
      <c r="FU114" s="19">
        <f t="shared" si="306"/>
        <v>0</v>
      </c>
      <c r="FV114" s="19">
        <f t="shared" si="307"/>
        <v>0</v>
      </c>
      <c r="FW114" s="19">
        <f t="shared" si="308"/>
        <v>0</v>
      </c>
      <c r="FX114" s="19">
        <f t="shared" si="309"/>
        <v>0</v>
      </c>
      <c r="FY114" s="19">
        <f t="shared" si="310"/>
        <v>0</v>
      </c>
      <c r="FZ114" s="19">
        <f t="shared" si="311"/>
        <v>0</v>
      </c>
      <c r="GA114" s="19">
        <f t="shared" si="312"/>
        <v>0</v>
      </c>
      <c r="GB114" s="19">
        <f t="shared" si="313"/>
        <v>0</v>
      </c>
      <c r="GC114" s="19">
        <f t="shared" si="314"/>
        <v>0</v>
      </c>
      <c r="GD114" s="19">
        <f t="shared" si="315"/>
        <v>0</v>
      </c>
      <c r="GE114" s="19">
        <f t="shared" si="316"/>
        <v>0</v>
      </c>
      <c r="GF114" s="19">
        <f t="shared" si="317"/>
        <v>0</v>
      </c>
      <c r="GG114" s="19">
        <f t="shared" si="318"/>
        <v>0</v>
      </c>
      <c r="GH114" s="19">
        <f t="shared" si="319"/>
        <v>0</v>
      </c>
      <c r="GI114" s="19">
        <f t="shared" si="320"/>
        <v>0</v>
      </c>
      <c r="GJ114" s="19">
        <f t="shared" si="321"/>
        <v>0</v>
      </c>
      <c r="GK114" s="19">
        <f t="shared" si="322"/>
        <v>0</v>
      </c>
      <c r="GL114" s="19">
        <f t="shared" si="323"/>
        <v>0</v>
      </c>
      <c r="GM114" s="19">
        <f t="shared" si="324"/>
        <v>0</v>
      </c>
      <c r="GN114" s="19">
        <f t="shared" si="325"/>
        <v>0</v>
      </c>
      <c r="GO114" s="19">
        <f t="shared" si="326"/>
        <v>0</v>
      </c>
      <c r="GP114" s="19">
        <f t="shared" si="327"/>
        <v>0</v>
      </c>
      <c r="GQ114" s="19">
        <f t="shared" si="328"/>
        <v>0</v>
      </c>
      <c r="GR114" s="19">
        <f t="shared" si="329"/>
        <v>0</v>
      </c>
      <c r="GS114" s="19">
        <f t="shared" si="330"/>
        <v>0</v>
      </c>
      <c r="GT114" s="19">
        <f t="shared" si="331"/>
        <v>0</v>
      </c>
      <c r="GU114" s="19">
        <f t="shared" si="332"/>
        <v>0</v>
      </c>
      <c r="GV114" s="19">
        <f t="shared" si="333"/>
        <v>0</v>
      </c>
      <c r="GW114" s="19">
        <f t="shared" si="334"/>
        <v>0</v>
      </c>
      <c r="GX114" s="19">
        <f t="shared" si="335"/>
        <v>0</v>
      </c>
      <c r="GY114" s="19">
        <f t="shared" si="336"/>
        <v>0</v>
      </c>
      <c r="GZ114" s="19">
        <f t="shared" si="337"/>
        <v>0</v>
      </c>
      <c r="HA114" s="19">
        <f t="shared" si="338"/>
        <v>0</v>
      </c>
      <c r="HB114" s="19">
        <f t="shared" si="339"/>
        <v>0</v>
      </c>
      <c r="HC114" s="19">
        <f t="shared" si="340"/>
        <v>1.4999999999999999E-2</v>
      </c>
      <c r="HD114" s="19">
        <f t="shared" si="341"/>
        <v>0</v>
      </c>
      <c r="HE114" s="19">
        <f t="shared" si="342"/>
        <v>0</v>
      </c>
      <c r="HF114" s="19">
        <f t="shared" si="343"/>
        <v>0.74249999999999994</v>
      </c>
      <c r="HG114" s="19">
        <f t="shared" si="344"/>
        <v>0.74249999999999994</v>
      </c>
      <c r="HH114" s="19">
        <f t="shared" si="345"/>
        <v>0</v>
      </c>
      <c r="HI114" s="19">
        <f t="shared" si="346"/>
        <v>0</v>
      </c>
      <c r="HJ114" s="19">
        <f t="shared" si="347"/>
        <v>0</v>
      </c>
      <c r="HK114" s="19">
        <f t="shared" si="348"/>
        <v>0</v>
      </c>
      <c r="HL114" s="19">
        <f t="shared" si="349"/>
        <v>0</v>
      </c>
      <c r="HM114" s="20">
        <f t="shared" si="350"/>
        <v>1.5</v>
      </c>
      <c r="HN114" s="53">
        <v>658</v>
      </c>
      <c r="HO114" s="21">
        <f t="shared" si="351"/>
        <v>0</v>
      </c>
      <c r="HP114" s="21">
        <f t="shared" si="352"/>
        <v>0</v>
      </c>
      <c r="HQ114" s="21">
        <f t="shared" si="353"/>
        <v>0</v>
      </c>
      <c r="HR114" s="21">
        <f t="shared" si="354"/>
        <v>0</v>
      </c>
      <c r="HS114" s="21">
        <f t="shared" si="355"/>
        <v>0</v>
      </c>
      <c r="HT114" s="69">
        <f t="shared" si="356"/>
        <v>0</v>
      </c>
      <c r="HU114" s="21">
        <f t="shared" si="357"/>
        <v>0</v>
      </c>
      <c r="HV114" s="21">
        <f t="shared" si="358"/>
        <v>0</v>
      </c>
      <c r="HW114" s="21">
        <f t="shared" si="359"/>
        <v>0</v>
      </c>
      <c r="HX114" s="21">
        <f t="shared" si="360"/>
        <v>0</v>
      </c>
      <c r="HY114" s="21">
        <f t="shared" si="361"/>
        <v>0</v>
      </c>
      <c r="HZ114" s="21">
        <f t="shared" si="362"/>
        <v>0</v>
      </c>
      <c r="IA114" s="21">
        <f t="shared" si="363"/>
        <v>0</v>
      </c>
      <c r="IB114" s="21">
        <f t="shared" si="364"/>
        <v>0</v>
      </c>
      <c r="IC114" s="21">
        <f t="shared" si="365"/>
        <v>0</v>
      </c>
      <c r="ID114" s="21">
        <f t="shared" si="366"/>
        <v>0</v>
      </c>
      <c r="IE114" s="21">
        <f t="shared" si="367"/>
        <v>0</v>
      </c>
      <c r="IF114" s="69">
        <f t="shared" si="368"/>
        <v>0</v>
      </c>
      <c r="IG114" s="69">
        <f t="shared" si="369"/>
        <v>0</v>
      </c>
      <c r="IH114" s="69">
        <f t="shared" si="370"/>
        <v>0</v>
      </c>
      <c r="II114" s="21">
        <f t="shared" si="371"/>
        <v>0</v>
      </c>
      <c r="IJ114" s="21">
        <f t="shared" si="372"/>
        <v>0</v>
      </c>
      <c r="IK114" s="21">
        <f t="shared" si="373"/>
        <v>0</v>
      </c>
      <c r="IL114" s="21">
        <f t="shared" si="374"/>
        <v>0</v>
      </c>
      <c r="IM114" s="21">
        <f t="shared" si="375"/>
        <v>0</v>
      </c>
      <c r="IN114" s="21">
        <f t="shared" si="376"/>
        <v>0</v>
      </c>
      <c r="IO114" s="21">
        <f t="shared" si="377"/>
        <v>0</v>
      </c>
      <c r="IP114" s="21">
        <f t="shared" si="378"/>
        <v>0</v>
      </c>
      <c r="IQ114" s="21">
        <f t="shared" si="379"/>
        <v>0</v>
      </c>
      <c r="IR114" s="21">
        <f t="shared" si="380"/>
        <v>0</v>
      </c>
      <c r="IS114" s="21">
        <f t="shared" si="381"/>
        <v>0</v>
      </c>
      <c r="IT114" s="21">
        <f t="shared" si="382"/>
        <v>0</v>
      </c>
      <c r="IU114" s="21">
        <f t="shared" si="383"/>
        <v>0</v>
      </c>
      <c r="IV114" s="21">
        <f t="shared" si="384"/>
        <v>0</v>
      </c>
      <c r="IW114" s="21">
        <f t="shared" si="385"/>
        <v>0</v>
      </c>
      <c r="IX114" s="21">
        <f t="shared" si="386"/>
        <v>0</v>
      </c>
      <c r="IY114" s="21">
        <f t="shared" si="387"/>
        <v>0</v>
      </c>
      <c r="IZ114" s="21">
        <f t="shared" si="388"/>
        <v>0</v>
      </c>
      <c r="JA114" s="21">
        <f t="shared" si="389"/>
        <v>0</v>
      </c>
      <c r="JB114" s="21">
        <f t="shared" si="390"/>
        <v>0</v>
      </c>
      <c r="JC114" s="21">
        <f t="shared" si="391"/>
        <v>0</v>
      </c>
      <c r="JD114" s="21">
        <f t="shared" si="392"/>
        <v>0</v>
      </c>
      <c r="JE114" s="21">
        <f t="shared" si="393"/>
        <v>6.5799999999999992</v>
      </c>
      <c r="JF114" s="21">
        <f t="shared" si="394"/>
        <v>0</v>
      </c>
      <c r="JG114" s="21">
        <f t="shared" si="395"/>
        <v>0</v>
      </c>
      <c r="JH114" s="21">
        <f t="shared" si="396"/>
        <v>325.70999999999998</v>
      </c>
      <c r="JI114" s="21">
        <f t="shared" si="397"/>
        <v>325.70999999999998</v>
      </c>
      <c r="JJ114" s="21">
        <f t="shared" si="398"/>
        <v>0</v>
      </c>
      <c r="JK114" s="21">
        <f t="shared" si="399"/>
        <v>0</v>
      </c>
      <c r="JL114" s="21">
        <f t="shared" si="400"/>
        <v>0</v>
      </c>
      <c r="JM114" s="21">
        <f t="shared" si="401"/>
        <v>0</v>
      </c>
      <c r="JN114" s="21">
        <f t="shared" si="402"/>
        <v>0</v>
      </c>
      <c r="JO114" s="35">
        <f t="shared" si="486"/>
        <v>658</v>
      </c>
      <c r="JP114" s="38">
        <f t="shared" si="487"/>
        <v>0</v>
      </c>
      <c r="JQ114" s="43">
        <f t="shared" si="405"/>
        <v>0</v>
      </c>
      <c r="JR114" s="43">
        <f t="shared" si="406"/>
        <v>0</v>
      </c>
      <c r="JS114" s="43">
        <f t="shared" si="407"/>
        <v>0</v>
      </c>
      <c r="JT114" s="43">
        <f t="shared" si="408"/>
        <v>0</v>
      </c>
      <c r="JU114" s="43">
        <f t="shared" si="409"/>
        <v>0</v>
      </c>
      <c r="JV114" s="43">
        <f t="shared" si="410"/>
        <v>0</v>
      </c>
      <c r="JW114" s="43">
        <f t="shared" si="411"/>
        <v>0</v>
      </c>
      <c r="JX114" s="43">
        <f t="shared" si="412"/>
        <v>0</v>
      </c>
      <c r="JY114" s="43">
        <f t="shared" si="413"/>
        <v>0</v>
      </c>
      <c r="JZ114" s="43">
        <f t="shared" si="414"/>
        <v>0</v>
      </c>
      <c r="KA114" s="43">
        <f t="shared" si="415"/>
        <v>0</v>
      </c>
      <c r="KB114" s="43">
        <f t="shared" si="416"/>
        <v>0</v>
      </c>
      <c r="KC114" s="43">
        <f t="shared" si="417"/>
        <v>0</v>
      </c>
      <c r="KD114" s="43">
        <f t="shared" si="418"/>
        <v>0</v>
      </c>
      <c r="KE114" s="43">
        <f t="shared" si="419"/>
        <v>0</v>
      </c>
      <c r="KF114" s="43">
        <f t="shared" si="420"/>
        <v>0</v>
      </c>
      <c r="KG114" s="43">
        <f t="shared" si="421"/>
        <v>0</v>
      </c>
      <c r="KH114" s="43">
        <f t="shared" si="422"/>
        <v>0</v>
      </c>
      <c r="KI114" s="43">
        <f t="shared" si="423"/>
        <v>0</v>
      </c>
      <c r="KJ114" s="43">
        <f t="shared" si="424"/>
        <v>0</v>
      </c>
      <c r="KK114" s="43">
        <f t="shared" si="425"/>
        <v>0</v>
      </c>
      <c r="KL114" s="43">
        <f t="shared" si="426"/>
        <v>0</v>
      </c>
      <c r="KM114" s="43">
        <f t="shared" si="427"/>
        <v>0</v>
      </c>
      <c r="KN114" s="43">
        <f t="shared" si="428"/>
        <v>0</v>
      </c>
      <c r="KO114" s="43">
        <f t="shared" si="429"/>
        <v>0</v>
      </c>
      <c r="KP114" s="43">
        <f t="shared" si="430"/>
        <v>0</v>
      </c>
      <c r="KQ114" s="43">
        <f t="shared" si="431"/>
        <v>0</v>
      </c>
      <c r="KR114" s="43">
        <f t="shared" si="432"/>
        <v>0</v>
      </c>
      <c r="KS114" s="43">
        <f t="shared" si="433"/>
        <v>0</v>
      </c>
      <c r="KT114" s="43">
        <f t="shared" si="434"/>
        <v>0</v>
      </c>
      <c r="KU114" s="43">
        <f t="shared" si="435"/>
        <v>0</v>
      </c>
      <c r="KV114" s="43">
        <f t="shared" si="436"/>
        <v>0</v>
      </c>
      <c r="KW114" s="43">
        <f t="shared" si="437"/>
        <v>0</v>
      </c>
      <c r="KX114" s="43">
        <f t="shared" si="438"/>
        <v>0</v>
      </c>
      <c r="KY114" s="43">
        <f t="shared" si="439"/>
        <v>0</v>
      </c>
      <c r="KZ114" s="43">
        <f t="shared" si="440"/>
        <v>0</v>
      </c>
      <c r="LA114" s="43">
        <f t="shared" si="441"/>
        <v>0</v>
      </c>
      <c r="LB114" s="43">
        <f t="shared" si="442"/>
        <v>0</v>
      </c>
      <c r="LC114" s="43">
        <f t="shared" si="443"/>
        <v>0</v>
      </c>
      <c r="LD114" s="43">
        <f t="shared" si="444"/>
        <v>0</v>
      </c>
      <c r="LE114" s="43">
        <f t="shared" si="445"/>
        <v>0</v>
      </c>
      <c r="LF114" s="43">
        <f t="shared" si="446"/>
        <v>0</v>
      </c>
      <c r="LG114" s="43">
        <f t="shared" si="447"/>
        <v>67.905599999999993</v>
      </c>
      <c r="LH114" s="43">
        <f t="shared" si="448"/>
        <v>0</v>
      </c>
      <c r="LI114" s="43">
        <f t="shared" si="449"/>
        <v>0</v>
      </c>
      <c r="LJ114" s="43">
        <f t="shared" si="450"/>
        <v>1568.4760476000001</v>
      </c>
      <c r="LK114" s="43">
        <f t="shared" si="451"/>
        <v>1304.7128324999999</v>
      </c>
      <c r="LL114" s="43">
        <f t="shared" si="452"/>
        <v>0</v>
      </c>
      <c r="LM114" s="43">
        <f t="shared" si="453"/>
        <v>0</v>
      </c>
      <c r="LN114" s="43">
        <f t="shared" si="454"/>
        <v>0</v>
      </c>
      <c r="LO114" s="43">
        <f t="shared" si="455"/>
        <v>0</v>
      </c>
      <c r="LP114" s="43">
        <f t="shared" si="456"/>
        <v>0</v>
      </c>
      <c r="LQ114" s="28">
        <f t="shared" si="488"/>
        <v>2941.0944801000001</v>
      </c>
      <c r="LR114" s="65">
        <v>622</v>
      </c>
      <c r="LS114" s="32">
        <f t="shared" si="462"/>
        <v>4.7284477172025721</v>
      </c>
      <c r="LT114" s="26">
        <f t="shared" si="463"/>
        <v>1.2919256057930524</v>
      </c>
      <c r="LU114" s="31">
        <f t="shared" si="489"/>
        <v>36</v>
      </c>
      <c r="LW114" s="42"/>
      <c r="MA114" s="32">
        <f t="shared" si="490"/>
        <v>4.46974845</v>
      </c>
      <c r="MB114" s="26">
        <f t="shared" si="464"/>
        <v>1.2212427459016393</v>
      </c>
    </row>
    <row r="115" spans="1:340" ht="15.75" thickBot="1">
      <c r="A115" t="b">
        <f t="shared" si="484"/>
        <v>1</v>
      </c>
      <c r="B115" s="123" t="s">
        <v>291</v>
      </c>
      <c r="C115" s="39" t="s">
        <v>86</v>
      </c>
      <c r="D115"/>
      <c r="E115" s="97">
        <v>46040</v>
      </c>
      <c r="F115" t="s">
        <v>43</v>
      </c>
      <c r="G115" t="s">
        <v>19</v>
      </c>
      <c r="H115" t="s">
        <v>27</v>
      </c>
      <c r="I115" s="77"/>
      <c r="J115" s="77"/>
      <c r="K115" s="77"/>
      <c r="L115" s="22"/>
      <c r="M115" s="22"/>
      <c r="N115" s="98"/>
      <c r="O115" s="22"/>
      <c r="P115" s="22"/>
      <c r="Q115" s="22"/>
      <c r="R115" s="22"/>
      <c r="S115" s="104"/>
      <c r="T115" s="22"/>
      <c r="U115" s="22"/>
      <c r="V115" s="104"/>
      <c r="W115" s="22"/>
      <c r="X115" s="22"/>
      <c r="Y115" s="22"/>
      <c r="Z115" s="104"/>
      <c r="AA115" s="104"/>
      <c r="AB115" s="104"/>
      <c r="AC115" s="22"/>
      <c r="AD115" s="22"/>
      <c r="AE115" s="22"/>
      <c r="AF115" s="124"/>
      <c r="AG115" s="124"/>
      <c r="AH115" s="22"/>
      <c r="AI115" s="104"/>
      <c r="AJ115" s="22"/>
      <c r="AK115" s="22"/>
      <c r="AL115" s="22"/>
      <c r="AM115" s="104"/>
      <c r="AN115" s="22"/>
      <c r="AO115" s="104"/>
      <c r="AP115" s="22"/>
      <c r="AQ115" s="22"/>
      <c r="AR115" s="22"/>
      <c r="AS115" s="22"/>
      <c r="AT115" s="22"/>
      <c r="AU115" s="22"/>
      <c r="AV115" s="22"/>
      <c r="AW115" s="22"/>
      <c r="AX115" s="22"/>
      <c r="AY115" s="104">
        <v>0.01</v>
      </c>
      <c r="AZ115" s="104"/>
      <c r="BA115" s="104"/>
      <c r="BB115" s="104">
        <v>0.495</v>
      </c>
      <c r="BC115" s="124">
        <v>0.495</v>
      </c>
      <c r="BD115" s="124"/>
      <c r="BE115" s="104"/>
      <c r="BF115" s="22"/>
      <c r="BG115" s="22"/>
      <c r="BH115" s="22"/>
      <c r="BI115" s="78">
        <f t="shared" si="492"/>
        <v>1</v>
      </c>
      <c r="BJ115" s="23"/>
      <c r="BK115" s="23"/>
      <c r="BL115" s="23"/>
      <c r="BM115" s="23"/>
      <c r="BN115" s="23"/>
      <c r="BO115" s="99"/>
      <c r="BP115" s="23"/>
      <c r="BQ115" s="23"/>
      <c r="BR115" s="23"/>
      <c r="BS115" s="23"/>
      <c r="BT115" s="105"/>
      <c r="BU115" s="23"/>
      <c r="BV115" s="23"/>
      <c r="BW115" s="105"/>
      <c r="BX115" s="23"/>
      <c r="BY115" s="23"/>
      <c r="BZ115" s="23"/>
      <c r="CA115" s="105"/>
      <c r="CB115" s="105"/>
      <c r="CC115" s="105"/>
      <c r="CD115" s="23"/>
      <c r="CE115" s="23"/>
      <c r="CF115" s="71"/>
      <c r="CG115" s="128"/>
      <c r="CH115" s="128"/>
      <c r="CI115" s="23"/>
      <c r="CJ115" s="23"/>
      <c r="CK115" s="23"/>
      <c r="CL115" s="23"/>
      <c r="CM115" s="23"/>
      <c r="CN115" s="23"/>
      <c r="CO115" s="23"/>
      <c r="CP115" s="105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3"/>
      <c r="DB115" s="99"/>
      <c r="DC115" s="99"/>
      <c r="DD115" s="125"/>
      <c r="DE115" s="125"/>
      <c r="DF115" s="105"/>
      <c r="DG115" s="23"/>
      <c r="DH115" s="23"/>
      <c r="DI115" s="23"/>
      <c r="DJ115" s="79">
        <f t="shared" si="485"/>
        <v>0</v>
      </c>
      <c r="DK115" s="24"/>
      <c r="DL115" s="24"/>
      <c r="DM115" s="24"/>
      <c r="DN115" s="24"/>
      <c r="DO115" s="24"/>
      <c r="DP115" s="103"/>
      <c r="DQ115" s="24"/>
      <c r="DR115" s="24"/>
      <c r="DS115" s="24"/>
      <c r="DT115" s="24"/>
      <c r="DU115" s="108"/>
      <c r="DV115" s="24"/>
      <c r="DW115" s="24"/>
      <c r="DX115" s="108"/>
      <c r="DY115" s="24"/>
      <c r="DZ115" s="24"/>
      <c r="EA115" s="24"/>
      <c r="EB115" s="108"/>
      <c r="EC115" s="108"/>
      <c r="ED115" s="108"/>
      <c r="EE115" s="24"/>
      <c r="EF115" s="24"/>
      <c r="EG115" s="24"/>
      <c r="EH115" s="129"/>
      <c r="EI115" s="129"/>
      <c r="EJ115" s="24"/>
      <c r="EK115" s="24"/>
      <c r="EL115" s="24"/>
      <c r="EM115" s="24"/>
      <c r="EN115" s="24"/>
      <c r="EO115" s="24"/>
      <c r="EP115" s="24"/>
      <c r="EQ115" s="108"/>
      <c r="ER115" s="24"/>
      <c r="ES115" s="25"/>
      <c r="ET115" s="25"/>
      <c r="EU115" s="25"/>
      <c r="EV115" s="25"/>
      <c r="EW115" s="25"/>
      <c r="EX115" s="25"/>
      <c r="EY115" s="25"/>
      <c r="EZ115" s="25"/>
      <c r="FA115" s="25"/>
      <c r="FB115" s="25"/>
      <c r="FC115" s="100"/>
      <c r="FD115" s="100"/>
      <c r="FE115" s="126"/>
      <c r="FF115" s="126"/>
      <c r="FG115" s="106"/>
      <c r="FH115" s="25"/>
      <c r="FI115" s="25"/>
      <c r="FJ115" s="25"/>
      <c r="FK115" s="17">
        <f t="shared" si="482"/>
        <v>0</v>
      </c>
      <c r="FL115" s="18"/>
      <c r="FM115" s="19">
        <f t="shared" si="298"/>
        <v>0</v>
      </c>
      <c r="FN115" s="19">
        <f t="shared" si="299"/>
        <v>0</v>
      </c>
      <c r="FO115" s="19">
        <f t="shared" si="300"/>
        <v>0</v>
      </c>
      <c r="FP115" s="19">
        <f t="shared" si="301"/>
        <v>0</v>
      </c>
      <c r="FQ115" s="19">
        <f t="shared" si="302"/>
        <v>0</v>
      </c>
      <c r="FR115" s="19">
        <f t="shared" si="303"/>
        <v>0</v>
      </c>
      <c r="FS115" s="19">
        <f t="shared" si="304"/>
        <v>0</v>
      </c>
      <c r="FT115" s="19">
        <f t="shared" si="305"/>
        <v>0</v>
      </c>
      <c r="FU115" s="19">
        <f t="shared" si="306"/>
        <v>0</v>
      </c>
      <c r="FV115" s="19">
        <f t="shared" si="307"/>
        <v>0</v>
      </c>
      <c r="FW115" s="19">
        <f t="shared" si="308"/>
        <v>0</v>
      </c>
      <c r="FX115" s="19">
        <f t="shared" si="309"/>
        <v>0</v>
      </c>
      <c r="FY115" s="19">
        <f t="shared" si="310"/>
        <v>0</v>
      </c>
      <c r="FZ115" s="19">
        <f t="shared" si="311"/>
        <v>0</v>
      </c>
      <c r="GA115" s="19">
        <f t="shared" si="312"/>
        <v>0</v>
      </c>
      <c r="GB115" s="19">
        <f t="shared" si="313"/>
        <v>0</v>
      </c>
      <c r="GC115" s="19">
        <f t="shared" si="314"/>
        <v>0</v>
      </c>
      <c r="GD115" s="19">
        <f t="shared" si="315"/>
        <v>0</v>
      </c>
      <c r="GE115" s="19">
        <f t="shared" si="316"/>
        <v>0</v>
      </c>
      <c r="GF115" s="19">
        <f t="shared" si="317"/>
        <v>0</v>
      </c>
      <c r="GG115" s="19">
        <f t="shared" si="318"/>
        <v>0</v>
      </c>
      <c r="GH115" s="19">
        <f t="shared" si="319"/>
        <v>0</v>
      </c>
      <c r="GI115" s="19">
        <f t="shared" si="320"/>
        <v>0</v>
      </c>
      <c r="GJ115" s="19">
        <f t="shared" si="321"/>
        <v>0</v>
      </c>
      <c r="GK115" s="19">
        <f t="shared" si="322"/>
        <v>0</v>
      </c>
      <c r="GL115" s="19">
        <f t="shared" si="323"/>
        <v>0</v>
      </c>
      <c r="GM115" s="19">
        <f t="shared" si="324"/>
        <v>0</v>
      </c>
      <c r="GN115" s="19">
        <f t="shared" si="325"/>
        <v>0</v>
      </c>
      <c r="GO115" s="19">
        <f t="shared" si="326"/>
        <v>0</v>
      </c>
      <c r="GP115" s="19">
        <f t="shared" si="327"/>
        <v>0</v>
      </c>
      <c r="GQ115" s="19">
        <f t="shared" si="328"/>
        <v>0</v>
      </c>
      <c r="GR115" s="19">
        <f t="shared" si="329"/>
        <v>0</v>
      </c>
      <c r="GS115" s="19">
        <f t="shared" si="330"/>
        <v>0</v>
      </c>
      <c r="GT115" s="19">
        <f t="shared" si="331"/>
        <v>0</v>
      </c>
      <c r="GU115" s="19">
        <f t="shared" si="332"/>
        <v>0</v>
      </c>
      <c r="GV115" s="19">
        <f t="shared" si="333"/>
        <v>0</v>
      </c>
      <c r="GW115" s="19">
        <f t="shared" si="334"/>
        <v>0</v>
      </c>
      <c r="GX115" s="19">
        <f t="shared" si="335"/>
        <v>0</v>
      </c>
      <c r="GY115" s="19">
        <f t="shared" si="336"/>
        <v>0</v>
      </c>
      <c r="GZ115" s="19">
        <f t="shared" si="337"/>
        <v>0</v>
      </c>
      <c r="HA115" s="19">
        <f t="shared" si="338"/>
        <v>0</v>
      </c>
      <c r="HB115" s="19">
        <f t="shared" si="339"/>
        <v>0</v>
      </c>
      <c r="HC115" s="19">
        <f t="shared" si="340"/>
        <v>1.4999999999999999E-2</v>
      </c>
      <c r="HD115" s="19">
        <f t="shared" si="341"/>
        <v>0</v>
      </c>
      <c r="HE115" s="19">
        <f t="shared" si="342"/>
        <v>0</v>
      </c>
      <c r="HF115" s="19">
        <f t="shared" si="343"/>
        <v>0.74249999999999994</v>
      </c>
      <c r="HG115" s="19">
        <f t="shared" si="344"/>
        <v>0.74249999999999994</v>
      </c>
      <c r="HH115" s="19">
        <f t="shared" si="345"/>
        <v>0</v>
      </c>
      <c r="HI115" s="19">
        <f t="shared" si="346"/>
        <v>0</v>
      </c>
      <c r="HJ115" s="19">
        <f t="shared" si="347"/>
        <v>0</v>
      </c>
      <c r="HK115" s="19">
        <f t="shared" si="348"/>
        <v>0</v>
      </c>
      <c r="HL115" s="19">
        <f t="shared" si="349"/>
        <v>0</v>
      </c>
      <c r="HM115" s="20">
        <f t="shared" si="350"/>
        <v>1.5</v>
      </c>
      <c r="HN115" s="53">
        <v>618</v>
      </c>
      <c r="HO115" s="21">
        <f t="shared" si="351"/>
        <v>0</v>
      </c>
      <c r="HP115" s="21">
        <f t="shared" si="352"/>
        <v>0</v>
      </c>
      <c r="HQ115" s="21">
        <f t="shared" si="353"/>
        <v>0</v>
      </c>
      <c r="HR115" s="21">
        <f t="shared" si="354"/>
        <v>0</v>
      </c>
      <c r="HS115" s="21">
        <f t="shared" si="355"/>
        <v>0</v>
      </c>
      <c r="HT115" s="69">
        <f t="shared" si="356"/>
        <v>0</v>
      </c>
      <c r="HU115" s="21">
        <f t="shared" si="357"/>
        <v>0</v>
      </c>
      <c r="HV115" s="21">
        <f t="shared" si="358"/>
        <v>0</v>
      </c>
      <c r="HW115" s="21">
        <f t="shared" si="359"/>
        <v>0</v>
      </c>
      <c r="HX115" s="21">
        <f t="shared" si="360"/>
        <v>0</v>
      </c>
      <c r="HY115" s="21">
        <f t="shared" si="361"/>
        <v>0</v>
      </c>
      <c r="HZ115" s="21">
        <f t="shared" si="362"/>
        <v>0</v>
      </c>
      <c r="IA115" s="21">
        <f t="shared" si="363"/>
        <v>0</v>
      </c>
      <c r="IB115" s="21">
        <f t="shared" si="364"/>
        <v>0</v>
      </c>
      <c r="IC115" s="21">
        <f t="shared" si="365"/>
        <v>0</v>
      </c>
      <c r="ID115" s="21">
        <f t="shared" si="366"/>
        <v>0</v>
      </c>
      <c r="IE115" s="21">
        <f t="shared" si="367"/>
        <v>0</v>
      </c>
      <c r="IF115" s="69">
        <f t="shared" si="368"/>
        <v>0</v>
      </c>
      <c r="IG115" s="69">
        <f t="shared" si="369"/>
        <v>0</v>
      </c>
      <c r="IH115" s="69">
        <f t="shared" si="370"/>
        <v>0</v>
      </c>
      <c r="II115" s="21">
        <f t="shared" si="371"/>
        <v>0</v>
      </c>
      <c r="IJ115" s="21">
        <f t="shared" si="372"/>
        <v>0</v>
      </c>
      <c r="IK115" s="21">
        <f t="shared" si="373"/>
        <v>0</v>
      </c>
      <c r="IL115" s="21">
        <f t="shared" si="374"/>
        <v>0</v>
      </c>
      <c r="IM115" s="21">
        <f t="shared" si="375"/>
        <v>0</v>
      </c>
      <c r="IN115" s="21">
        <f t="shared" si="376"/>
        <v>0</v>
      </c>
      <c r="IO115" s="21">
        <f t="shared" si="377"/>
        <v>0</v>
      </c>
      <c r="IP115" s="21">
        <f t="shared" si="378"/>
        <v>0</v>
      </c>
      <c r="IQ115" s="21">
        <f t="shared" si="379"/>
        <v>0</v>
      </c>
      <c r="IR115" s="21">
        <f t="shared" si="380"/>
        <v>0</v>
      </c>
      <c r="IS115" s="21">
        <f t="shared" si="381"/>
        <v>0</v>
      </c>
      <c r="IT115" s="21">
        <f t="shared" si="382"/>
        <v>0</v>
      </c>
      <c r="IU115" s="21">
        <f t="shared" si="383"/>
        <v>0</v>
      </c>
      <c r="IV115" s="21">
        <f t="shared" si="384"/>
        <v>0</v>
      </c>
      <c r="IW115" s="21">
        <f t="shared" si="385"/>
        <v>0</v>
      </c>
      <c r="IX115" s="21">
        <f t="shared" si="386"/>
        <v>0</v>
      </c>
      <c r="IY115" s="21">
        <f t="shared" si="387"/>
        <v>0</v>
      </c>
      <c r="IZ115" s="21">
        <f t="shared" si="388"/>
        <v>0</v>
      </c>
      <c r="JA115" s="21">
        <f t="shared" si="389"/>
        <v>0</v>
      </c>
      <c r="JB115" s="21">
        <f t="shared" si="390"/>
        <v>0</v>
      </c>
      <c r="JC115" s="21">
        <f t="shared" si="391"/>
        <v>0</v>
      </c>
      <c r="JD115" s="21">
        <f t="shared" si="392"/>
        <v>0</v>
      </c>
      <c r="JE115" s="21">
        <f t="shared" si="393"/>
        <v>6.18</v>
      </c>
      <c r="JF115" s="21">
        <f t="shared" si="394"/>
        <v>0</v>
      </c>
      <c r="JG115" s="21">
        <f t="shared" si="395"/>
        <v>0</v>
      </c>
      <c r="JH115" s="21">
        <f t="shared" si="396"/>
        <v>305.90999999999997</v>
      </c>
      <c r="JI115" s="21">
        <f t="shared" si="397"/>
        <v>305.90999999999997</v>
      </c>
      <c r="JJ115" s="21">
        <f t="shared" si="398"/>
        <v>0</v>
      </c>
      <c r="JK115" s="21">
        <f t="shared" si="399"/>
        <v>0</v>
      </c>
      <c r="JL115" s="21">
        <f t="shared" si="400"/>
        <v>0</v>
      </c>
      <c r="JM115" s="21">
        <f t="shared" si="401"/>
        <v>0</v>
      </c>
      <c r="JN115" s="21">
        <f t="shared" si="402"/>
        <v>0</v>
      </c>
      <c r="JO115" s="35">
        <f t="shared" si="486"/>
        <v>618</v>
      </c>
      <c r="JP115" s="38">
        <f t="shared" si="487"/>
        <v>0</v>
      </c>
      <c r="JQ115" s="43">
        <f t="shared" si="405"/>
        <v>0</v>
      </c>
      <c r="JR115" s="43">
        <f t="shared" si="406"/>
        <v>0</v>
      </c>
      <c r="JS115" s="43">
        <f t="shared" si="407"/>
        <v>0</v>
      </c>
      <c r="JT115" s="43">
        <f t="shared" si="408"/>
        <v>0</v>
      </c>
      <c r="JU115" s="43">
        <f t="shared" si="409"/>
        <v>0</v>
      </c>
      <c r="JV115" s="43">
        <f t="shared" si="410"/>
        <v>0</v>
      </c>
      <c r="JW115" s="43">
        <f t="shared" si="411"/>
        <v>0</v>
      </c>
      <c r="JX115" s="43">
        <f t="shared" si="412"/>
        <v>0</v>
      </c>
      <c r="JY115" s="43">
        <f t="shared" si="413"/>
        <v>0</v>
      </c>
      <c r="JZ115" s="43">
        <f t="shared" si="414"/>
        <v>0</v>
      </c>
      <c r="KA115" s="43">
        <f t="shared" si="415"/>
        <v>0</v>
      </c>
      <c r="KB115" s="43">
        <f t="shared" si="416"/>
        <v>0</v>
      </c>
      <c r="KC115" s="43">
        <f t="shared" si="417"/>
        <v>0</v>
      </c>
      <c r="KD115" s="43">
        <f t="shared" si="418"/>
        <v>0</v>
      </c>
      <c r="KE115" s="43">
        <f t="shared" si="419"/>
        <v>0</v>
      </c>
      <c r="KF115" s="43">
        <f t="shared" si="420"/>
        <v>0</v>
      </c>
      <c r="KG115" s="43">
        <f t="shared" si="421"/>
        <v>0</v>
      </c>
      <c r="KH115" s="43">
        <f t="shared" si="422"/>
        <v>0</v>
      </c>
      <c r="KI115" s="43">
        <f t="shared" si="423"/>
        <v>0</v>
      </c>
      <c r="KJ115" s="43">
        <f t="shared" si="424"/>
        <v>0</v>
      </c>
      <c r="KK115" s="43">
        <f t="shared" si="425"/>
        <v>0</v>
      </c>
      <c r="KL115" s="43">
        <f t="shared" si="426"/>
        <v>0</v>
      </c>
      <c r="KM115" s="43">
        <f t="shared" si="427"/>
        <v>0</v>
      </c>
      <c r="KN115" s="43">
        <f t="shared" si="428"/>
        <v>0</v>
      </c>
      <c r="KO115" s="43">
        <f t="shared" si="429"/>
        <v>0</v>
      </c>
      <c r="KP115" s="43">
        <f t="shared" si="430"/>
        <v>0</v>
      </c>
      <c r="KQ115" s="43">
        <f t="shared" si="431"/>
        <v>0</v>
      </c>
      <c r="KR115" s="43">
        <f t="shared" si="432"/>
        <v>0</v>
      </c>
      <c r="KS115" s="43">
        <f t="shared" si="433"/>
        <v>0</v>
      </c>
      <c r="KT115" s="43">
        <f t="shared" si="434"/>
        <v>0</v>
      </c>
      <c r="KU115" s="43">
        <f t="shared" si="435"/>
        <v>0</v>
      </c>
      <c r="KV115" s="43">
        <f t="shared" si="436"/>
        <v>0</v>
      </c>
      <c r="KW115" s="43">
        <f t="shared" si="437"/>
        <v>0</v>
      </c>
      <c r="KX115" s="43">
        <f t="shared" si="438"/>
        <v>0</v>
      </c>
      <c r="KY115" s="43">
        <f t="shared" si="439"/>
        <v>0</v>
      </c>
      <c r="KZ115" s="43">
        <f t="shared" si="440"/>
        <v>0</v>
      </c>
      <c r="LA115" s="43">
        <f t="shared" si="441"/>
        <v>0</v>
      </c>
      <c r="LB115" s="43">
        <f t="shared" si="442"/>
        <v>0</v>
      </c>
      <c r="LC115" s="43">
        <f t="shared" si="443"/>
        <v>0</v>
      </c>
      <c r="LD115" s="43">
        <f t="shared" si="444"/>
        <v>0</v>
      </c>
      <c r="LE115" s="43">
        <f t="shared" si="445"/>
        <v>0</v>
      </c>
      <c r="LF115" s="43">
        <f t="shared" si="446"/>
        <v>0</v>
      </c>
      <c r="LG115" s="43">
        <f t="shared" si="447"/>
        <v>63.7776</v>
      </c>
      <c r="LH115" s="43">
        <f t="shared" si="448"/>
        <v>0</v>
      </c>
      <c r="LI115" s="43">
        <f t="shared" si="449"/>
        <v>0</v>
      </c>
      <c r="LJ115" s="43">
        <f t="shared" si="450"/>
        <v>1473.1279595999999</v>
      </c>
      <c r="LK115" s="43">
        <f t="shared" si="451"/>
        <v>1225.3989824999999</v>
      </c>
      <c r="LL115" s="43">
        <f t="shared" si="452"/>
        <v>0</v>
      </c>
      <c r="LM115" s="43">
        <f t="shared" si="453"/>
        <v>0</v>
      </c>
      <c r="LN115" s="43">
        <f t="shared" si="454"/>
        <v>0</v>
      </c>
      <c r="LO115" s="43">
        <f t="shared" si="455"/>
        <v>0</v>
      </c>
      <c r="LP115" s="43">
        <f t="shared" si="456"/>
        <v>0</v>
      </c>
      <c r="LQ115" s="28">
        <f t="shared" si="488"/>
        <v>2762.3045420999997</v>
      </c>
      <c r="LR115" s="65">
        <v>600</v>
      </c>
      <c r="LS115" s="32">
        <f t="shared" si="462"/>
        <v>4.6038409034999992</v>
      </c>
      <c r="LT115" s="26">
        <f t="shared" si="463"/>
        <v>1.2578800282786882</v>
      </c>
      <c r="LU115" s="31">
        <f t="shared" si="489"/>
        <v>18</v>
      </c>
      <c r="LW115" s="42"/>
      <c r="MA115" s="32">
        <f t="shared" si="490"/>
        <v>4.4697484499999991</v>
      </c>
      <c r="MB115" s="26">
        <f t="shared" si="464"/>
        <v>1.2212427459016391</v>
      </c>
    </row>
    <row r="116" spans="1:340" ht="15.75" thickBot="1">
      <c r="A116" t="b">
        <f t="shared" si="484"/>
        <v>1</v>
      </c>
      <c r="B116" s="123" t="s">
        <v>292</v>
      </c>
      <c r="C116" s="39" t="s">
        <v>96</v>
      </c>
      <c r="D116"/>
      <c r="E116" s="97">
        <v>46040</v>
      </c>
      <c r="F116" t="s">
        <v>43</v>
      </c>
      <c r="G116" t="s">
        <v>20</v>
      </c>
      <c r="H116" t="s">
        <v>26</v>
      </c>
      <c r="I116" s="77"/>
      <c r="J116" s="77"/>
      <c r="K116" s="77"/>
      <c r="L116" s="22"/>
      <c r="M116" s="22"/>
      <c r="N116" s="98"/>
      <c r="O116" s="22"/>
      <c r="P116" s="22"/>
      <c r="Q116" s="22"/>
      <c r="R116" s="22"/>
      <c r="S116" s="104"/>
      <c r="T116" s="22"/>
      <c r="U116" s="22"/>
      <c r="V116" s="104"/>
      <c r="W116" s="22"/>
      <c r="X116" s="22"/>
      <c r="Y116" s="22"/>
      <c r="Z116" s="104"/>
      <c r="AA116" s="104"/>
      <c r="AB116" s="104"/>
      <c r="AC116" s="22"/>
      <c r="AD116" s="22"/>
      <c r="AE116" s="22"/>
      <c r="AF116" s="124"/>
      <c r="AG116" s="124"/>
      <c r="AH116" s="22"/>
      <c r="AI116" s="104"/>
      <c r="AJ116" s="22">
        <v>0.3</v>
      </c>
      <c r="AK116" s="22"/>
      <c r="AL116" s="22"/>
      <c r="AM116" s="104"/>
      <c r="AN116" s="22"/>
      <c r="AO116" s="104"/>
      <c r="AP116" s="22"/>
      <c r="AQ116" s="22"/>
      <c r="AR116" s="22">
        <v>0.08</v>
      </c>
      <c r="AS116" s="22"/>
      <c r="AT116" s="22"/>
      <c r="AU116" s="22"/>
      <c r="AV116" s="22"/>
      <c r="AW116" s="22"/>
      <c r="AX116" s="22"/>
      <c r="AY116" s="22"/>
      <c r="AZ116" s="22"/>
      <c r="BA116" s="98"/>
      <c r="BB116" s="98"/>
      <c r="BC116" s="124">
        <v>0.62</v>
      </c>
      <c r="BD116" s="124"/>
      <c r="BE116" s="104"/>
      <c r="BF116" s="22"/>
      <c r="BG116" s="22"/>
      <c r="BH116" s="22"/>
      <c r="BI116" s="78">
        <f t="shared" si="492"/>
        <v>1</v>
      </c>
      <c r="BJ116" s="23"/>
      <c r="BK116" s="23"/>
      <c r="BL116" s="23"/>
      <c r="BM116" s="23"/>
      <c r="BN116" s="23"/>
      <c r="BO116" s="99"/>
      <c r="BP116" s="23"/>
      <c r="BQ116" s="23"/>
      <c r="BR116" s="23"/>
      <c r="BS116" s="23"/>
      <c r="BT116" s="105"/>
      <c r="BU116" s="23"/>
      <c r="BV116" s="23"/>
      <c r="BW116" s="105"/>
      <c r="BX116" s="23">
        <v>0.2</v>
      </c>
      <c r="BY116" s="23"/>
      <c r="BZ116" s="23"/>
      <c r="CA116" s="105"/>
      <c r="CB116" s="105"/>
      <c r="CC116" s="105"/>
      <c r="CD116" s="23"/>
      <c r="CE116" s="23"/>
      <c r="CF116" s="71"/>
      <c r="CG116" s="128"/>
      <c r="CH116" s="128"/>
      <c r="CI116" s="23"/>
      <c r="CJ116" s="23"/>
      <c r="CK116" s="23"/>
      <c r="CL116" s="23">
        <v>0.2</v>
      </c>
      <c r="CM116" s="23"/>
      <c r="CN116" s="23"/>
      <c r="CO116" s="23"/>
      <c r="CP116" s="105"/>
      <c r="CQ116" s="23"/>
      <c r="CR116" s="23"/>
      <c r="CS116" s="23">
        <v>0.1</v>
      </c>
      <c r="CT116" s="23"/>
      <c r="CU116" s="23"/>
      <c r="CV116" s="23"/>
      <c r="CW116" s="23"/>
      <c r="CX116" s="23"/>
      <c r="CY116" s="23"/>
      <c r="CZ116" s="23"/>
      <c r="DA116" s="23"/>
      <c r="DB116" s="99"/>
      <c r="DC116" s="99"/>
      <c r="DD116" s="125">
        <v>0.5</v>
      </c>
      <c r="DE116" s="125"/>
      <c r="DF116" s="105"/>
      <c r="DG116" s="23"/>
      <c r="DH116" s="23"/>
      <c r="DI116" s="23"/>
      <c r="DJ116" s="79">
        <f t="shared" si="485"/>
        <v>1</v>
      </c>
      <c r="DK116" s="24">
        <v>0.68</v>
      </c>
      <c r="DL116" s="24"/>
      <c r="DM116" s="24"/>
      <c r="DN116" s="24"/>
      <c r="DO116" s="24"/>
      <c r="DP116" s="103"/>
      <c r="DQ116" s="24"/>
      <c r="DR116" s="24"/>
      <c r="DS116" s="24"/>
      <c r="DT116" s="24"/>
      <c r="DU116" s="108"/>
      <c r="DV116" s="24"/>
      <c r="DW116" s="24"/>
      <c r="DX116" s="108"/>
      <c r="DY116" s="24"/>
      <c r="DZ116" s="24"/>
      <c r="EA116" s="24"/>
      <c r="EB116" s="108"/>
      <c r="EC116" s="108"/>
      <c r="ED116" s="108"/>
      <c r="EE116" s="24"/>
      <c r="EF116" s="24"/>
      <c r="EG116" s="24"/>
      <c r="EH116" s="129"/>
      <c r="EI116" s="129"/>
      <c r="EJ116" s="24"/>
      <c r="EK116" s="24"/>
      <c r="EL116" s="24"/>
      <c r="EM116" s="24"/>
      <c r="EN116" s="24"/>
      <c r="EO116" s="24"/>
      <c r="EP116" s="24"/>
      <c r="EQ116" s="108"/>
      <c r="ER116" s="24"/>
      <c r="ES116" s="25"/>
      <c r="ET116" s="25"/>
      <c r="EU116" s="25">
        <v>0.29499999999999998</v>
      </c>
      <c r="EV116" s="25"/>
      <c r="EW116" s="25"/>
      <c r="EX116" s="25"/>
      <c r="EY116" s="25"/>
      <c r="EZ116" s="25"/>
      <c r="FA116" s="25">
        <v>5.0000000000000001E-3</v>
      </c>
      <c r="FB116" s="25"/>
      <c r="FC116" s="100"/>
      <c r="FD116" s="100"/>
      <c r="FE116" s="126"/>
      <c r="FF116" s="126"/>
      <c r="FG116" s="106"/>
      <c r="FH116" s="25"/>
      <c r="FI116" s="25"/>
      <c r="FJ116" s="25">
        <v>0.02</v>
      </c>
      <c r="FK116" s="17">
        <f t="shared" si="482"/>
        <v>1</v>
      </c>
      <c r="FL116" s="18"/>
      <c r="FM116" s="19">
        <f t="shared" si="298"/>
        <v>1.02</v>
      </c>
      <c r="FN116" s="19">
        <f t="shared" si="299"/>
        <v>0</v>
      </c>
      <c r="FO116" s="19">
        <f t="shared" si="300"/>
        <v>0</v>
      </c>
      <c r="FP116" s="19">
        <f t="shared" si="301"/>
        <v>0</v>
      </c>
      <c r="FQ116" s="19">
        <f t="shared" si="302"/>
        <v>0</v>
      </c>
      <c r="FR116" s="19">
        <f t="shared" si="303"/>
        <v>0</v>
      </c>
      <c r="FS116" s="19">
        <f t="shared" si="304"/>
        <v>0</v>
      </c>
      <c r="FT116" s="19">
        <f t="shared" si="305"/>
        <v>0</v>
      </c>
      <c r="FU116" s="19">
        <f t="shared" si="306"/>
        <v>0</v>
      </c>
      <c r="FV116" s="19">
        <f t="shared" si="307"/>
        <v>0</v>
      </c>
      <c r="FW116" s="19">
        <f t="shared" si="308"/>
        <v>0</v>
      </c>
      <c r="FX116" s="19">
        <f t="shared" si="309"/>
        <v>0</v>
      </c>
      <c r="FY116" s="19">
        <f t="shared" si="310"/>
        <v>0</v>
      </c>
      <c r="FZ116" s="19">
        <f t="shared" si="311"/>
        <v>0</v>
      </c>
      <c r="GA116" s="19">
        <f t="shared" si="312"/>
        <v>0.4</v>
      </c>
      <c r="GB116" s="19">
        <f t="shared" si="313"/>
        <v>0</v>
      </c>
      <c r="GC116" s="19">
        <f t="shared" si="314"/>
        <v>0</v>
      </c>
      <c r="GD116" s="19">
        <f t="shared" si="315"/>
        <v>0</v>
      </c>
      <c r="GE116" s="19">
        <f t="shared" si="316"/>
        <v>0</v>
      </c>
      <c r="GF116" s="19">
        <f t="shared" si="317"/>
        <v>0</v>
      </c>
      <c r="GG116" s="19">
        <f t="shared" si="318"/>
        <v>0</v>
      </c>
      <c r="GH116" s="19">
        <f t="shared" si="319"/>
        <v>0</v>
      </c>
      <c r="GI116" s="19">
        <f t="shared" si="320"/>
        <v>0</v>
      </c>
      <c r="GJ116" s="19">
        <f t="shared" si="321"/>
        <v>0</v>
      </c>
      <c r="GK116" s="19">
        <f t="shared" si="322"/>
        <v>0</v>
      </c>
      <c r="GL116" s="19">
        <f t="shared" si="323"/>
        <v>0</v>
      </c>
      <c r="GM116" s="19">
        <f t="shared" si="324"/>
        <v>0</v>
      </c>
      <c r="GN116" s="19">
        <f t="shared" si="325"/>
        <v>0.44999999999999996</v>
      </c>
      <c r="GO116" s="19">
        <f t="shared" si="326"/>
        <v>0.4</v>
      </c>
      <c r="GP116" s="19">
        <f t="shared" si="327"/>
        <v>0</v>
      </c>
      <c r="GQ116" s="19">
        <f t="shared" si="328"/>
        <v>0</v>
      </c>
      <c r="GR116" s="19">
        <f t="shared" si="329"/>
        <v>0</v>
      </c>
      <c r="GS116" s="19">
        <f t="shared" si="330"/>
        <v>0</v>
      </c>
      <c r="GT116" s="19">
        <f t="shared" si="331"/>
        <v>0</v>
      </c>
      <c r="GU116" s="19">
        <f t="shared" si="332"/>
        <v>0</v>
      </c>
      <c r="GV116" s="19">
        <f t="shared" si="333"/>
        <v>0.32</v>
      </c>
      <c r="GW116" s="19">
        <f t="shared" si="334"/>
        <v>0.4425</v>
      </c>
      <c r="GX116" s="19">
        <f t="shared" si="335"/>
        <v>0</v>
      </c>
      <c r="GY116" s="19">
        <f t="shared" si="336"/>
        <v>0</v>
      </c>
      <c r="GZ116" s="19">
        <f t="shared" si="337"/>
        <v>0</v>
      </c>
      <c r="HA116" s="19">
        <f t="shared" si="338"/>
        <v>0</v>
      </c>
      <c r="HB116" s="19">
        <f t="shared" si="339"/>
        <v>0</v>
      </c>
      <c r="HC116" s="19">
        <f t="shared" si="340"/>
        <v>7.4999999999999997E-3</v>
      </c>
      <c r="HD116" s="19">
        <f t="shared" si="341"/>
        <v>0</v>
      </c>
      <c r="HE116" s="19">
        <f t="shared" si="342"/>
        <v>0</v>
      </c>
      <c r="HF116" s="19">
        <f t="shared" si="343"/>
        <v>0</v>
      </c>
      <c r="HG116" s="19">
        <f t="shared" si="344"/>
        <v>1.93</v>
      </c>
      <c r="HH116" s="19">
        <f t="shared" si="345"/>
        <v>0</v>
      </c>
      <c r="HI116" s="19">
        <f t="shared" si="346"/>
        <v>0</v>
      </c>
      <c r="HJ116" s="19">
        <f t="shared" si="347"/>
        <v>0</v>
      </c>
      <c r="HK116" s="19">
        <f t="shared" si="348"/>
        <v>0</v>
      </c>
      <c r="HL116" s="19">
        <f t="shared" si="349"/>
        <v>0.03</v>
      </c>
      <c r="HM116" s="20">
        <f t="shared" si="350"/>
        <v>5</v>
      </c>
      <c r="HN116" s="53">
        <v>504</v>
      </c>
      <c r="HO116" s="21">
        <f t="shared" si="351"/>
        <v>102.816</v>
      </c>
      <c r="HP116" s="21">
        <f t="shared" si="352"/>
        <v>0</v>
      </c>
      <c r="HQ116" s="21">
        <f t="shared" si="353"/>
        <v>0</v>
      </c>
      <c r="HR116" s="21">
        <f t="shared" si="354"/>
        <v>0</v>
      </c>
      <c r="HS116" s="21">
        <f t="shared" si="355"/>
        <v>0</v>
      </c>
      <c r="HT116" s="69">
        <f t="shared" si="356"/>
        <v>0</v>
      </c>
      <c r="HU116" s="21">
        <f t="shared" si="357"/>
        <v>0</v>
      </c>
      <c r="HV116" s="21">
        <f t="shared" si="358"/>
        <v>0</v>
      </c>
      <c r="HW116" s="21">
        <f t="shared" si="359"/>
        <v>0</v>
      </c>
      <c r="HX116" s="21">
        <f t="shared" si="360"/>
        <v>0</v>
      </c>
      <c r="HY116" s="21">
        <f t="shared" si="361"/>
        <v>0</v>
      </c>
      <c r="HZ116" s="21">
        <f t="shared" si="362"/>
        <v>0</v>
      </c>
      <c r="IA116" s="21">
        <f t="shared" si="363"/>
        <v>0</v>
      </c>
      <c r="IB116" s="21">
        <f t="shared" si="364"/>
        <v>0</v>
      </c>
      <c r="IC116" s="21">
        <f t="shared" si="365"/>
        <v>40.320000000000007</v>
      </c>
      <c r="ID116" s="21">
        <f t="shared" si="366"/>
        <v>0</v>
      </c>
      <c r="IE116" s="21">
        <f t="shared" si="367"/>
        <v>0</v>
      </c>
      <c r="IF116" s="69">
        <f t="shared" si="368"/>
        <v>0</v>
      </c>
      <c r="IG116" s="69">
        <f t="shared" si="369"/>
        <v>0</v>
      </c>
      <c r="IH116" s="69">
        <f t="shared" si="370"/>
        <v>0</v>
      </c>
      <c r="II116" s="21">
        <f t="shared" si="371"/>
        <v>0</v>
      </c>
      <c r="IJ116" s="21">
        <f t="shared" si="372"/>
        <v>0</v>
      </c>
      <c r="IK116" s="21">
        <f t="shared" si="373"/>
        <v>0</v>
      </c>
      <c r="IL116" s="21">
        <f t="shared" si="374"/>
        <v>0</v>
      </c>
      <c r="IM116" s="21">
        <f t="shared" si="375"/>
        <v>0</v>
      </c>
      <c r="IN116" s="21">
        <f t="shared" si="376"/>
        <v>0</v>
      </c>
      <c r="IO116" s="21">
        <f t="shared" si="377"/>
        <v>0</v>
      </c>
      <c r="IP116" s="21">
        <f t="shared" si="378"/>
        <v>45.36</v>
      </c>
      <c r="IQ116" s="21">
        <f t="shared" si="379"/>
        <v>40.320000000000007</v>
      </c>
      <c r="IR116" s="21">
        <f t="shared" si="380"/>
        <v>0</v>
      </c>
      <c r="IS116" s="21">
        <f t="shared" si="381"/>
        <v>0</v>
      </c>
      <c r="IT116" s="21">
        <f t="shared" si="382"/>
        <v>0</v>
      </c>
      <c r="IU116" s="21">
        <f t="shared" si="383"/>
        <v>0</v>
      </c>
      <c r="IV116" s="21">
        <f t="shared" si="384"/>
        <v>0</v>
      </c>
      <c r="IW116" s="21">
        <f t="shared" si="385"/>
        <v>0</v>
      </c>
      <c r="IX116" s="21">
        <f t="shared" si="386"/>
        <v>32.256</v>
      </c>
      <c r="IY116" s="21">
        <f t="shared" si="387"/>
        <v>44.603999999999999</v>
      </c>
      <c r="IZ116" s="21">
        <f t="shared" si="388"/>
        <v>0</v>
      </c>
      <c r="JA116" s="21">
        <f t="shared" si="389"/>
        <v>0</v>
      </c>
      <c r="JB116" s="21">
        <f t="shared" si="390"/>
        <v>0</v>
      </c>
      <c r="JC116" s="21">
        <f t="shared" si="391"/>
        <v>0</v>
      </c>
      <c r="JD116" s="21">
        <f t="shared" si="392"/>
        <v>0</v>
      </c>
      <c r="JE116" s="21">
        <f t="shared" si="393"/>
        <v>0.75600000000000001</v>
      </c>
      <c r="JF116" s="21">
        <f t="shared" si="394"/>
        <v>0</v>
      </c>
      <c r="JG116" s="21">
        <f t="shared" si="395"/>
        <v>0</v>
      </c>
      <c r="JH116" s="21">
        <f t="shared" si="396"/>
        <v>0</v>
      </c>
      <c r="JI116" s="21">
        <f t="shared" si="397"/>
        <v>194.54399999999998</v>
      </c>
      <c r="JJ116" s="21">
        <f t="shared" si="398"/>
        <v>0</v>
      </c>
      <c r="JK116" s="21">
        <f t="shared" si="399"/>
        <v>0</v>
      </c>
      <c r="JL116" s="21">
        <f t="shared" si="400"/>
        <v>0</v>
      </c>
      <c r="JM116" s="21">
        <f t="shared" si="401"/>
        <v>0</v>
      </c>
      <c r="JN116" s="21">
        <f t="shared" si="402"/>
        <v>3.024</v>
      </c>
      <c r="JO116" s="35">
        <f t="shared" si="486"/>
        <v>503.99999999999994</v>
      </c>
      <c r="JP116" s="38">
        <f t="shared" si="487"/>
        <v>0</v>
      </c>
      <c r="JQ116" s="43">
        <f t="shared" si="405"/>
        <v>415.63368000000003</v>
      </c>
      <c r="JR116" s="43">
        <f t="shared" si="406"/>
        <v>0</v>
      </c>
      <c r="JS116" s="43">
        <f t="shared" si="407"/>
        <v>0</v>
      </c>
      <c r="JT116" s="43">
        <f t="shared" si="408"/>
        <v>0</v>
      </c>
      <c r="JU116" s="43">
        <f t="shared" si="409"/>
        <v>0</v>
      </c>
      <c r="JV116" s="43">
        <f t="shared" si="410"/>
        <v>0</v>
      </c>
      <c r="JW116" s="43">
        <f t="shared" si="411"/>
        <v>0</v>
      </c>
      <c r="JX116" s="43">
        <f t="shared" si="412"/>
        <v>0</v>
      </c>
      <c r="JY116" s="43">
        <f t="shared" si="413"/>
        <v>0</v>
      </c>
      <c r="JZ116" s="43">
        <f t="shared" si="414"/>
        <v>0</v>
      </c>
      <c r="KA116" s="43">
        <f t="shared" si="415"/>
        <v>0</v>
      </c>
      <c r="KB116" s="43">
        <f t="shared" si="416"/>
        <v>0</v>
      </c>
      <c r="KC116" s="43">
        <f t="shared" si="417"/>
        <v>0</v>
      </c>
      <c r="KD116" s="43">
        <f t="shared" si="418"/>
        <v>0</v>
      </c>
      <c r="KE116" s="43">
        <f t="shared" si="419"/>
        <v>164.36347159272728</v>
      </c>
      <c r="KF116" s="43">
        <f t="shared" si="420"/>
        <v>0</v>
      </c>
      <c r="KG116" s="43">
        <f t="shared" si="421"/>
        <v>0</v>
      </c>
      <c r="KH116" s="43">
        <f t="shared" si="422"/>
        <v>0</v>
      </c>
      <c r="KI116" s="43">
        <f t="shared" si="423"/>
        <v>0</v>
      </c>
      <c r="KJ116" s="43">
        <f t="shared" si="424"/>
        <v>0</v>
      </c>
      <c r="KK116" s="43">
        <f t="shared" si="425"/>
        <v>0</v>
      </c>
      <c r="KL116" s="43">
        <f t="shared" si="426"/>
        <v>0</v>
      </c>
      <c r="KM116" s="43">
        <f t="shared" si="427"/>
        <v>0</v>
      </c>
      <c r="KN116" s="43">
        <f t="shared" si="428"/>
        <v>0</v>
      </c>
      <c r="KO116" s="43">
        <f t="shared" si="429"/>
        <v>0</v>
      </c>
      <c r="KP116" s="43">
        <f t="shared" si="430"/>
        <v>0</v>
      </c>
      <c r="KQ116" s="43">
        <f t="shared" si="431"/>
        <v>0</v>
      </c>
      <c r="KR116" s="43">
        <f t="shared" si="432"/>
        <v>175.08959999999999</v>
      </c>
      <c r="KS116" s="43">
        <f t="shared" si="433"/>
        <v>137.86742551272729</v>
      </c>
      <c r="KT116" s="43">
        <f t="shared" si="434"/>
        <v>0</v>
      </c>
      <c r="KU116" s="43">
        <f t="shared" si="435"/>
        <v>0</v>
      </c>
      <c r="KV116" s="43">
        <f t="shared" si="436"/>
        <v>0</v>
      </c>
      <c r="KW116" s="43">
        <f t="shared" si="437"/>
        <v>0</v>
      </c>
      <c r="KX116" s="43">
        <f t="shared" si="438"/>
        <v>0</v>
      </c>
      <c r="KY116" s="43">
        <f t="shared" si="439"/>
        <v>0</v>
      </c>
      <c r="KZ116" s="43">
        <f t="shared" si="440"/>
        <v>279.01440000000002</v>
      </c>
      <c r="LA116" s="43">
        <f t="shared" si="441"/>
        <v>178.72109135999997</v>
      </c>
      <c r="LB116" s="43">
        <f t="shared" si="442"/>
        <v>0</v>
      </c>
      <c r="LC116" s="43">
        <f t="shared" si="443"/>
        <v>0</v>
      </c>
      <c r="LD116" s="43">
        <f t="shared" si="444"/>
        <v>0</v>
      </c>
      <c r="LE116" s="43">
        <f t="shared" si="445"/>
        <v>0</v>
      </c>
      <c r="LF116" s="43">
        <f t="shared" si="446"/>
        <v>0</v>
      </c>
      <c r="LG116" s="43">
        <f t="shared" si="447"/>
        <v>7.80192</v>
      </c>
      <c r="LH116" s="43">
        <f t="shared" si="448"/>
        <v>0</v>
      </c>
      <c r="LI116" s="43">
        <f t="shared" si="449"/>
        <v>0</v>
      </c>
      <c r="LJ116" s="43">
        <f t="shared" si="450"/>
        <v>0</v>
      </c>
      <c r="LK116" s="43">
        <f t="shared" si="451"/>
        <v>779.29462799999988</v>
      </c>
      <c r="LL116" s="43">
        <f t="shared" si="452"/>
        <v>0</v>
      </c>
      <c r="LM116" s="43">
        <f t="shared" si="453"/>
        <v>0</v>
      </c>
      <c r="LN116" s="43">
        <f t="shared" si="454"/>
        <v>0</v>
      </c>
      <c r="LO116" s="43">
        <f t="shared" si="455"/>
        <v>0</v>
      </c>
      <c r="LP116" s="43">
        <f t="shared" si="456"/>
        <v>25.552799999999998</v>
      </c>
      <c r="LQ116" s="28">
        <f t="shared" si="488"/>
        <v>2163.3390164654543</v>
      </c>
      <c r="LR116" s="65">
        <v>456</v>
      </c>
      <c r="LS116" s="32">
        <f t="shared" si="462"/>
        <v>4.7441645097926628</v>
      </c>
      <c r="LT116" s="26">
        <f t="shared" si="463"/>
        <v>1.2962198114187602</v>
      </c>
      <c r="LU116" s="31">
        <f t="shared" si="489"/>
        <v>48</v>
      </c>
      <c r="LW116" s="42"/>
      <c r="MA116" s="32">
        <f t="shared" si="490"/>
        <v>4.2923393183838385</v>
      </c>
      <c r="MB116" s="26">
        <f t="shared" si="464"/>
        <v>1.1727703055693548</v>
      </c>
    </row>
    <row r="117" spans="1:340" ht="15.75" thickBot="1">
      <c r="A117" t="b">
        <f t="shared" si="484"/>
        <v>1</v>
      </c>
      <c r="B117" s="123" t="s">
        <v>293</v>
      </c>
      <c r="C117" s="39" t="s">
        <v>294</v>
      </c>
      <c r="D117"/>
      <c r="E117" s="97">
        <v>46040</v>
      </c>
      <c r="F117" t="s">
        <v>43</v>
      </c>
      <c r="G117" t="s">
        <v>20</v>
      </c>
      <c r="H117" t="s">
        <v>26</v>
      </c>
      <c r="I117" s="77"/>
      <c r="J117" s="77"/>
      <c r="K117" s="77"/>
      <c r="L117" s="22"/>
      <c r="M117" s="22"/>
      <c r="N117" s="98"/>
      <c r="O117" s="22"/>
      <c r="P117" s="22"/>
      <c r="Q117" s="22"/>
      <c r="R117" s="22"/>
      <c r="S117" s="104"/>
      <c r="T117" s="22"/>
      <c r="U117" s="22"/>
      <c r="V117" s="104"/>
      <c r="W117" s="22"/>
      <c r="X117" s="22"/>
      <c r="Y117" s="22"/>
      <c r="Z117" s="104"/>
      <c r="AA117" s="104"/>
      <c r="AB117" s="104"/>
      <c r="AC117" s="22"/>
      <c r="AD117" s="22"/>
      <c r="AE117" s="22"/>
      <c r="AF117" s="124"/>
      <c r="AG117" s="124"/>
      <c r="AH117" s="22"/>
      <c r="AI117" s="22"/>
      <c r="AJ117" s="22">
        <v>0.4</v>
      </c>
      <c r="AK117" s="22"/>
      <c r="AL117" s="22"/>
      <c r="AM117" s="22"/>
      <c r="AN117" s="22"/>
      <c r="AO117" s="104"/>
      <c r="AP117" s="22"/>
      <c r="AQ117" s="22"/>
      <c r="AR117" s="22">
        <v>0.05</v>
      </c>
      <c r="AS117" s="22"/>
      <c r="AT117" s="22"/>
      <c r="AU117" s="22"/>
      <c r="AV117" s="22"/>
      <c r="AW117" s="22"/>
      <c r="AX117" s="22"/>
      <c r="AY117" s="22"/>
      <c r="AZ117" s="22"/>
      <c r="BA117" s="98"/>
      <c r="BB117" s="98"/>
      <c r="BC117" s="124">
        <v>0.55000000000000004</v>
      </c>
      <c r="BD117" s="124"/>
      <c r="BE117" s="104"/>
      <c r="BF117" s="22"/>
      <c r="BG117" s="22"/>
      <c r="BH117" s="22"/>
      <c r="BI117" s="78">
        <f t="shared" si="492"/>
        <v>1</v>
      </c>
      <c r="BJ117" s="23"/>
      <c r="BK117" s="23"/>
      <c r="BL117" s="23"/>
      <c r="BM117" s="23"/>
      <c r="BN117" s="23"/>
      <c r="BO117" s="99"/>
      <c r="BP117" s="23"/>
      <c r="BQ117" s="23"/>
      <c r="BR117" s="23"/>
      <c r="BS117" s="23"/>
      <c r="BT117" s="105"/>
      <c r="BU117" s="23"/>
      <c r="BV117" s="23"/>
      <c r="BW117" s="105"/>
      <c r="BX117" s="23"/>
      <c r="BY117" s="23"/>
      <c r="BZ117" s="23"/>
      <c r="CA117" s="105"/>
      <c r="CB117" s="105"/>
      <c r="CC117" s="105"/>
      <c r="CD117" s="23"/>
      <c r="CE117" s="23"/>
      <c r="CF117" s="71"/>
      <c r="CG117" s="128"/>
      <c r="CH117" s="128"/>
      <c r="CI117" s="23"/>
      <c r="CJ117" s="105"/>
      <c r="CK117" s="105"/>
      <c r="CL117" s="23">
        <v>0.4</v>
      </c>
      <c r="CM117" s="23"/>
      <c r="CN117" s="23"/>
      <c r="CO117" s="23"/>
      <c r="CP117" s="105"/>
      <c r="CQ117" s="23"/>
      <c r="CR117" s="23"/>
      <c r="CS117" s="23">
        <v>0.05</v>
      </c>
      <c r="CT117" s="23"/>
      <c r="CU117" s="23"/>
      <c r="CV117" s="23"/>
      <c r="CW117" s="23"/>
      <c r="CX117" s="23"/>
      <c r="CY117" s="23"/>
      <c r="CZ117" s="23"/>
      <c r="DA117" s="23"/>
      <c r="DB117" s="99"/>
      <c r="DC117" s="99"/>
      <c r="DD117" s="125">
        <v>0.55000000000000004</v>
      </c>
      <c r="DE117" s="125"/>
      <c r="DF117" s="105"/>
      <c r="DG117" s="23"/>
      <c r="DH117" s="23"/>
      <c r="DI117" s="23"/>
      <c r="DJ117" s="79">
        <f t="shared" si="485"/>
        <v>1</v>
      </c>
      <c r="DK117" s="24">
        <v>0.3</v>
      </c>
      <c r="DL117" s="24"/>
      <c r="DM117" s="24"/>
      <c r="DN117" s="24"/>
      <c r="DO117" s="24"/>
      <c r="DP117" s="103"/>
      <c r="DQ117" s="24"/>
      <c r="DR117" s="24"/>
      <c r="DS117" s="24">
        <v>0.5</v>
      </c>
      <c r="DT117" s="24"/>
      <c r="DU117" s="108"/>
      <c r="DV117" s="24"/>
      <c r="DW117" s="24"/>
      <c r="DX117" s="108"/>
      <c r="DY117" s="24"/>
      <c r="DZ117" s="24"/>
      <c r="EA117" s="24"/>
      <c r="EB117" s="108"/>
      <c r="EC117" s="108"/>
      <c r="ED117" s="108"/>
      <c r="EE117" s="24"/>
      <c r="EF117" s="24"/>
      <c r="EG117" s="24"/>
      <c r="EH117" s="129"/>
      <c r="EI117" s="129"/>
      <c r="EJ117" s="24"/>
      <c r="EK117" s="24"/>
      <c r="EL117" s="24"/>
      <c r="EM117" s="24"/>
      <c r="EN117" s="24"/>
      <c r="EO117" s="24"/>
      <c r="EP117" s="24"/>
      <c r="EQ117" s="108"/>
      <c r="ER117" s="24"/>
      <c r="ES117" s="25"/>
      <c r="ET117" s="25"/>
      <c r="EU117" s="25">
        <v>0.18</v>
      </c>
      <c r="EV117" s="25"/>
      <c r="EW117" s="25"/>
      <c r="EX117" s="25"/>
      <c r="EY117" s="25"/>
      <c r="EZ117" s="25"/>
      <c r="FA117" s="25"/>
      <c r="FB117" s="25"/>
      <c r="FC117" s="100"/>
      <c r="FD117" s="100"/>
      <c r="FE117" s="126"/>
      <c r="FF117" s="126"/>
      <c r="FG117" s="106"/>
      <c r="FH117" s="25"/>
      <c r="FI117" s="25"/>
      <c r="FJ117" s="25">
        <v>0.02</v>
      </c>
      <c r="FK117" s="17">
        <f t="shared" si="482"/>
        <v>1</v>
      </c>
      <c r="FL117" s="18"/>
      <c r="FM117" s="19">
        <f t="shared" si="298"/>
        <v>0.44999999999999996</v>
      </c>
      <c r="FN117" s="19">
        <f t="shared" si="299"/>
        <v>0</v>
      </c>
      <c r="FO117" s="19">
        <f t="shared" si="300"/>
        <v>0</v>
      </c>
      <c r="FP117" s="19">
        <f t="shared" si="301"/>
        <v>0</v>
      </c>
      <c r="FQ117" s="19">
        <f t="shared" si="302"/>
        <v>0</v>
      </c>
      <c r="FR117" s="19">
        <f t="shared" si="303"/>
        <v>0</v>
      </c>
      <c r="FS117" s="19">
        <f t="shared" si="304"/>
        <v>0</v>
      </c>
      <c r="FT117" s="19">
        <f t="shared" si="305"/>
        <v>0</v>
      </c>
      <c r="FU117" s="19">
        <f t="shared" si="306"/>
        <v>0.75</v>
      </c>
      <c r="FV117" s="19">
        <f t="shared" si="307"/>
        <v>0</v>
      </c>
      <c r="FW117" s="19">
        <f t="shared" si="308"/>
        <v>0</v>
      </c>
      <c r="FX117" s="19">
        <f t="shared" si="309"/>
        <v>0</v>
      </c>
      <c r="FY117" s="19">
        <f t="shared" si="310"/>
        <v>0</v>
      </c>
      <c r="FZ117" s="19">
        <f t="shared" si="311"/>
        <v>0</v>
      </c>
      <c r="GA117" s="19">
        <f t="shared" si="312"/>
        <v>0</v>
      </c>
      <c r="GB117" s="19">
        <f t="shared" si="313"/>
        <v>0</v>
      </c>
      <c r="GC117" s="19">
        <f t="shared" si="314"/>
        <v>0</v>
      </c>
      <c r="GD117" s="19">
        <f t="shared" si="315"/>
        <v>0</v>
      </c>
      <c r="GE117" s="19">
        <f t="shared" si="316"/>
        <v>0</v>
      </c>
      <c r="GF117" s="19">
        <f t="shared" si="317"/>
        <v>0</v>
      </c>
      <c r="GG117" s="19">
        <f t="shared" si="318"/>
        <v>0</v>
      </c>
      <c r="GH117" s="19">
        <f t="shared" si="319"/>
        <v>0</v>
      </c>
      <c r="GI117" s="19">
        <f t="shared" si="320"/>
        <v>0</v>
      </c>
      <c r="GJ117" s="19">
        <f t="shared" si="321"/>
        <v>0</v>
      </c>
      <c r="GK117" s="19">
        <f t="shared" si="322"/>
        <v>0</v>
      </c>
      <c r="GL117" s="19">
        <f t="shared" si="323"/>
        <v>0</v>
      </c>
      <c r="GM117" s="19">
        <f t="shared" si="324"/>
        <v>0</v>
      </c>
      <c r="GN117" s="19">
        <f t="shared" si="325"/>
        <v>0.60000000000000009</v>
      </c>
      <c r="GO117" s="19">
        <f t="shared" si="326"/>
        <v>0.8</v>
      </c>
      <c r="GP117" s="19">
        <f t="shared" si="327"/>
        <v>0</v>
      </c>
      <c r="GQ117" s="19">
        <f t="shared" si="328"/>
        <v>0</v>
      </c>
      <c r="GR117" s="19">
        <f t="shared" si="329"/>
        <v>0</v>
      </c>
      <c r="GS117" s="19">
        <f t="shared" si="330"/>
        <v>0</v>
      </c>
      <c r="GT117" s="19">
        <f t="shared" si="331"/>
        <v>0</v>
      </c>
      <c r="GU117" s="19">
        <f t="shared" si="332"/>
        <v>0</v>
      </c>
      <c r="GV117" s="19">
        <f t="shared" si="333"/>
        <v>0.17500000000000002</v>
      </c>
      <c r="GW117" s="19">
        <f t="shared" si="334"/>
        <v>0.27</v>
      </c>
      <c r="GX117" s="19">
        <f t="shared" si="335"/>
        <v>0</v>
      </c>
      <c r="GY117" s="19">
        <f t="shared" si="336"/>
        <v>0</v>
      </c>
      <c r="GZ117" s="19">
        <f t="shared" si="337"/>
        <v>0</v>
      </c>
      <c r="HA117" s="19">
        <f t="shared" si="338"/>
        <v>0</v>
      </c>
      <c r="HB117" s="19">
        <f t="shared" si="339"/>
        <v>0</v>
      </c>
      <c r="HC117" s="19">
        <f t="shared" si="340"/>
        <v>0</v>
      </c>
      <c r="HD117" s="19">
        <f t="shared" si="341"/>
        <v>0</v>
      </c>
      <c r="HE117" s="19">
        <f t="shared" si="342"/>
        <v>0</v>
      </c>
      <c r="HF117" s="19">
        <f t="shared" si="343"/>
        <v>0</v>
      </c>
      <c r="HG117" s="19">
        <f t="shared" si="344"/>
        <v>1.9250000000000003</v>
      </c>
      <c r="HH117" s="19">
        <f t="shared" si="345"/>
        <v>0</v>
      </c>
      <c r="HI117" s="19">
        <f t="shared" si="346"/>
        <v>0</v>
      </c>
      <c r="HJ117" s="19">
        <f t="shared" si="347"/>
        <v>0</v>
      </c>
      <c r="HK117" s="19">
        <f t="shared" si="348"/>
        <v>0</v>
      </c>
      <c r="HL117" s="19">
        <f t="shared" si="349"/>
        <v>0.03</v>
      </c>
      <c r="HM117" s="20">
        <f t="shared" si="350"/>
        <v>5.0000000000000009</v>
      </c>
      <c r="HN117" s="53">
        <v>768</v>
      </c>
      <c r="HO117" s="21">
        <f t="shared" si="351"/>
        <v>69.119999999999976</v>
      </c>
      <c r="HP117" s="21">
        <f t="shared" si="352"/>
        <v>0</v>
      </c>
      <c r="HQ117" s="21">
        <f t="shared" si="353"/>
        <v>0</v>
      </c>
      <c r="HR117" s="21">
        <f t="shared" si="354"/>
        <v>0</v>
      </c>
      <c r="HS117" s="21">
        <f t="shared" si="355"/>
        <v>0</v>
      </c>
      <c r="HT117" s="69">
        <f t="shared" si="356"/>
        <v>0</v>
      </c>
      <c r="HU117" s="21">
        <f t="shared" si="357"/>
        <v>0</v>
      </c>
      <c r="HV117" s="21">
        <f t="shared" si="358"/>
        <v>0</v>
      </c>
      <c r="HW117" s="21">
        <f t="shared" si="359"/>
        <v>115.19999999999997</v>
      </c>
      <c r="HX117" s="21">
        <f t="shared" si="360"/>
        <v>0</v>
      </c>
      <c r="HY117" s="21">
        <f t="shared" si="361"/>
        <v>0</v>
      </c>
      <c r="HZ117" s="21">
        <f t="shared" si="362"/>
        <v>0</v>
      </c>
      <c r="IA117" s="21">
        <f t="shared" si="363"/>
        <v>0</v>
      </c>
      <c r="IB117" s="21">
        <f t="shared" si="364"/>
        <v>0</v>
      </c>
      <c r="IC117" s="21">
        <f t="shared" si="365"/>
        <v>0</v>
      </c>
      <c r="ID117" s="21">
        <f t="shared" si="366"/>
        <v>0</v>
      </c>
      <c r="IE117" s="21">
        <f t="shared" si="367"/>
        <v>0</v>
      </c>
      <c r="IF117" s="69">
        <f t="shared" si="368"/>
        <v>0</v>
      </c>
      <c r="IG117" s="69">
        <f t="shared" si="369"/>
        <v>0</v>
      </c>
      <c r="IH117" s="69">
        <f t="shared" si="370"/>
        <v>0</v>
      </c>
      <c r="II117" s="21">
        <f t="shared" si="371"/>
        <v>0</v>
      </c>
      <c r="IJ117" s="21">
        <f t="shared" si="372"/>
        <v>0</v>
      </c>
      <c r="IK117" s="21">
        <f t="shared" si="373"/>
        <v>0</v>
      </c>
      <c r="IL117" s="21">
        <f t="shared" si="374"/>
        <v>0</v>
      </c>
      <c r="IM117" s="21">
        <f t="shared" si="375"/>
        <v>0</v>
      </c>
      <c r="IN117" s="21">
        <f t="shared" si="376"/>
        <v>0</v>
      </c>
      <c r="IO117" s="21">
        <f t="shared" si="377"/>
        <v>0</v>
      </c>
      <c r="IP117" s="21">
        <f t="shared" si="378"/>
        <v>92.16</v>
      </c>
      <c r="IQ117" s="21">
        <f t="shared" si="379"/>
        <v>122.88</v>
      </c>
      <c r="IR117" s="21">
        <f t="shared" si="380"/>
        <v>0</v>
      </c>
      <c r="IS117" s="21">
        <f t="shared" si="381"/>
        <v>0</v>
      </c>
      <c r="IT117" s="21">
        <f t="shared" si="382"/>
        <v>0</v>
      </c>
      <c r="IU117" s="21">
        <f t="shared" si="383"/>
        <v>0</v>
      </c>
      <c r="IV117" s="21">
        <f t="shared" si="384"/>
        <v>0</v>
      </c>
      <c r="IW117" s="21">
        <f t="shared" si="385"/>
        <v>0</v>
      </c>
      <c r="IX117" s="21">
        <f t="shared" si="386"/>
        <v>26.879999999999995</v>
      </c>
      <c r="IY117" s="21">
        <f t="shared" si="387"/>
        <v>41.471999999999994</v>
      </c>
      <c r="IZ117" s="21">
        <f t="shared" si="388"/>
        <v>0</v>
      </c>
      <c r="JA117" s="21">
        <f t="shared" si="389"/>
        <v>0</v>
      </c>
      <c r="JB117" s="21">
        <f t="shared" si="390"/>
        <v>0</v>
      </c>
      <c r="JC117" s="21">
        <f t="shared" si="391"/>
        <v>0</v>
      </c>
      <c r="JD117" s="21">
        <f t="shared" si="392"/>
        <v>0</v>
      </c>
      <c r="JE117" s="21">
        <f t="shared" si="393"/>
        <v>0</v>
      </c>
      <c r="JF117" s="21">
        <f t="shared" si="394"/>
        <v>0</v>
      </c>
      <c r="JG117" s="21">
        <f t="shared" si="395"/>
        <v>0</v>
      </c>
      <c r="JH117" s="21">
        <f t="shared" si="396"/>
        <v>0</v>
      </c>
      <c r="JI117" s="21">
        <f t="shared" si="397"/>
        <v>295.67999999999995</v>
      </c>
      <c r="JJ117" s="21">
        <f t="shared" si="398"/>
        <v>0</v>
      </c>
      <c r="JK117" s="21">
        <f t="shared" si="399"/>
        <v>0</v>
      </c>
      <c r="JL117" s="21">
        <f t="shared" si="400"/>
        <v>0</v>
      </c>
      <c r="JM117" s="21">
        <f t="shared" si="401"/>
        <v>0</v>
      </c>
      <c r="JN117" s="21">
        <f t="shared" si="402"/>
        <v>4.6079999999999988</v>
      </c>
      <c r="JO117" s="35">
        <f t="shared" si="486"/>
        <v>767.99999999999977</v>
      </c>
      <c r="JP117" s="38">
        <f t="shared" si="487"/>
        <v>0</v>
      </c>
      <c r="JQ117" s="43">
        <f t="shared" si="405"/>
        <v>279.41759999999994</v>
      </c>
      <c r="JR117" s="43">
        <f t="shared" si="406"/>
        <v>0</v>
      </c>
      <c r="JS117" s="43">
        <f t="shared" si="407"/>
        <v>0</v>
      </c>
      <c r="JT117" s="43">
        <f t="shared" si="408"/>
        <v>0</v>
      </c>
      <c r="JU117" s="43">
        <f t="shared" si="409"/>
        <v>0</v>
      </c>
      <c r="JV117" s="43">
        <f t="shared" si="410"/>
        <v>0</v>
      </c>
      <c r="JW117" s="43">
        <f t="shared" si="411"/>
        <v>0</v>
      </c>
      <c r="JX117" s="43">
        <f t="shared" si="412"/>
        <v>0</v>
      </c>
      <c r="JY117" s="43">
        <f t="shared" si="413"/>
        <v>533.57875199999989</v>
      </c>
      <c r="JZ117" s="43">
        <f t="shared" si="414"/>
        <v>0</v>
      </c>
      <c r="KA117" s="43">
        <f t="shared" si="415"/>
        <v>0</v>
      </c>
      <c r="KB117" s="43">
        <f t="shared" si="416"/>
        <v>0</v>
      </c>
      <c r="KC117" s="43">
        <f t="shared" si="417"/>
        <v>0</v>
      </c>
      <c r="KD117" s="43">
        <f t="shared" si="418"/>
        <v>0</v>
      </c>
      <c r="KE117" s="43">
        <f t="shared" si="419"/>
        <v>0</v>
      </c>
      <c r="KF117" s="43">
        <f t="shared" si="420"/>
        <v>0</v>
      </c>
      <c r="KG117" s="43">
        <f t="shared" si="421"/>
        <v>0</v>
      </c>
      <c r="KH117" s="43">
        <f t="shared" si="422"/>
        <v>0</v>
      </c>
      <c r="KI117" s="43">
        <f t="shared" si="423"/>
        <v>0</v>
      </c>
      <c r="KJ117" s="43">
        <f t="shared" si="424"/>
        <v>0</v>
      </c>
      <c r="KK117" s="43">
        <f t="shared" si="425"/>
        <v>0</v>
      </c>
      <c r="KL117" s="43">
        <f t="shared" si="426"/>
        <v>0</v>
      </c>
      <c r="KM117" s="43">
        <f t="shared" si="427"/>
        <v>0</v>
      </c>
      <c r="KN117" s="43">
        <f t="shared" si="428"/>
        <v>0</v>
      </c>
      <c r="KO117" s="43">
        <f t="shared" si="429"/>
        <v>0</v>
      </c>
      <c r="KP117" s="43">
        <f t="shared" si="430"/>
        <v>0</v>
      </c>
      <c r="KQ117" s="43">
        <f t="shared" si="431"/>
        <v>0</v>
      </c>
      <c r="KR117" s="43">
        <f t="shared" si="432"/>
        <v>355.73759999999999</v>
      </c>
      <c r="KS117" s="43">
        <f t="shared" si="433"/>
        <v>420.16739203878785</v>
      </c>
      <c r="KT117" s="43">
        <f t="shared" si="434"/>
        <v>0</v>
      </c>
      <c r="KU117" s="43">
        <f t="shared" si="435"/>
        <v>0</v>
      </c>
      <c r="KV117" s="43">
        <f t="shared" si="436"/>
        <v>0</v>
      </c>
      <c r="KW117" s="43">
        <f t="shared" si="437"/>
        <v>0</v>
      </c>
      <c r="KX117" s="43">
        <f t="shared" si="438"/>
        <v>0</v>
      </c>
      <c r="KY117" s="43">
        <f t="shared" si="439"/>
        <v>0</v>
      </c>
      <c r="KZ117" s="43">
        <f t="shared" si="440"/>
        <v>232.51199999999997</v>
      </c>
      <c r="LA117" s="43">
        <f t="shared" si="441"/>
        <v>166.17166847999997</v>
      </c>
      <c r="LB117" s="43">
        <f t="shared" si="442"/>
        <v>0</v>
      </c>
      <c r="LC117" s="43">
        <f t="shared" si="443"/>
        <v>0</v>
      </c>
      <c r="LD117" s="43">
        <f t="shared" si="444"/>
        <v>0</v>
      </c>
      <c r="LE117" s="43">
        <f t="shared" si="445"/>
        <v>0</v>
      </c>
      <c r="LF117" s="43">
        <f t="shared" si="446"/>
        <v>0</v>
      </c>
      <c r="LG117" s="43">
        <f t="shared" si="447"/>
        <v>0</v>
      </c>
      <c r="LH117" s="43">
        <f t="shared" si="448"/>
        <v>0</v>
      </c>
      <c r="LI117" s="43">
        <f t="shared" si="449"/>
        <v>0</v>
      </c>
      <c r="LJ117" s="43">
        <f t="shared" si="450"/>
        <v>0</v>
      </c>
      <c r="LK117" s="43">
        <f t="shared" si="451"/>
        <v>1184.4201599999997</v>
      </c>
      <c r="LL117" s="43">
        <f t="shared" si="452"/>
        <v>0</v>
      </c>
      <c r="LM117" s="43">
        <f t="shared" si="453"/>
        <v>0</v>
      </c>
      <c r="LN117" s="43">
        <f t="shared" si="454"/>
        <v>0</v>
      </c>
      <c r="LO117" s="43">
        <f t="shared" si="455"/>
        <v>0</v>
      </c>
      <c r="LP117" s="43">
        <f t="shared" si="456"/>
        <v>38.937599999999989</v>
      </c>
      <c r="LQ117" s="28">
        <f t="shared" si="488"/>
        <v>3210.942772518787</v>
      </c>
      <c r="LR117" s="65">
        <v>708</v>
      </c>
      <c r="LS117" s="32">
        <f t="shared" si="462"/>
        <v>4.5352299046875526</v>
      </c>
      <c r="LT117" s="26">
        <f t="shared" si="463"/>
        <v>1.2391338537397685</v>
      </c>
      <c r="LU117" s="31">
        <f t="shared" si="489"/>
        <v>60</v>
      </c>
      <c r="LW117" s="42"/>
      <c r="MA117" s="32">
        <f t="shared" si="490"/>
        <v>4.1809150683838388</v>
      </c>
      <c r="MB117" s="26">
        <f t="shared" si="464"/>
        <v>1.1423265214163494</v>
      </c>
    </row>
    <row r="118" spans="1:340" ht="15.75" thickBot="1">
      <c r="A118" t="b">
        <f t="shared" si="484"/>
        <v>1</v>
      </c>
      <c r="B118" s="123" t="s">
        <v>295</v>
      </c>
      <c r="C118" s="39" t="s">
        <v>97</v>
      </c>
      <c r="D118"/>
      <c r="E118" s="97">
        <v>46040</v>
      </c>
      <c r="F118" t="s">
        <v>43</v>
      </c>
      <c r="G118" t="s">
        <v>19</v>
      </c>
      <c r="H118" t="s">
        <v>27</v>
      </c>
      <c r="I118" s="77"/>
      <c r="J118" s="77"/>
      <c r="K118" s="77"/>
      <c r="L118" s="22"/>
      <c r="M118" s="22"/>
      <c r="N118" s="98"/>
      <c r="O118" s="22"/>
      <c r="P118" s="22"/>
      <c r="Q118" s="22"/>
      <c r="R118" s="22"/>
      <c r="S118" s="104"/>
      <c r="T118" s="22"/>
      <c r="U118" s="22"/>
      <c r="V118" s="104"/>
      <c r="W118" s="22"/>
      <c r="X118" s="22"/>
      <c r="Y118" s="22"/>
      <c r="Z118" s="104"/>
      <c r="AA118" s="104"/>
      <c r="AB118" s="104"/>
      <c r="AC118" s="22"/>
      <c r="AD118" s="22"/>
      <c r="AE118" s="22"/>
      <c r="AF118" s="124"/>
      <c r="AG118" s="124"/>
      <c r="AH118" s="22"/>
      <c r="AI118" s="104"/>
      <c r="AJ118" s="22"/>
      <c r="AK118" s="22"/>
      <c r="AL118" s="22"/>
      <c r="AM118" s="22"/>
      <c r="AN118" s="22"/>
      <c r="AO118" s="104"/>
      <c r="AP118" s="22"/>
      <c r="AQ118" s="22"/>
      <c r="AR118" s="22"/>
      <c r="AS118" s="22"/>
      <c r="AT118" s="22"/>
      <c r="AU118" s="22"/>
      <c r="AV118" s="22"/>
      <c r="AW118" s="22"/>
      <c r="AX118" s="22"/>
      <c r="AY118" s="104">
        <v>0.01</v>
      </c>
      <c r="AZ118" s="104"/>
      <c r="BA118" s="104"/>
      <c r="BB118" s="104">
        <v>0.495</v>
      </c>
      <c r="BC118" s="124">
        <v>0.495</v>
      </c>
      <c r="BD118" s="124"/>
      <c r="BE118" s="104"/>
      <c r="BF118" s="22"/>
      <c r="BG118" s="22"/>
      <c r="BH118" s="22"/>
      <c r="BI118" s="78">
        <f t="shared" si="492"/>
        <v>1</v>
      </c>
      <c r="BJ118" s="23"/>
      <c r="BK118" s="23"/>
      <c r="BL118" s="23"/>
      <c r="BM118" s="23"/>
      <c r="BN118" s="23"/>
      <c r="BO118" s="99"/>
      <c r="BP118" s="23"/>
      <c r="BQ118" s="23"/>
      <c r="BR118" s="23"/>
      <c r="BS118" s="23"/>
      <c r="BT118" s="105"/>
      <c r="BU118" s="23"/>
      <c r="BV118" s="23"/>
      <c r="BW118" s="105"/>
      <c r="BX118" s="23"/>
      <c r="BY118" s="23"/>
      <c r="BZ118" s="23"/>
      <c r="CA118" s="105"/>
      <c r="CB118" s="105"/>
      <c r="CC118" s="105"/>
      <c r="CD118" s="23"/>
      <c r="CE118" s="23"/>
      <c r="CF118" s="71"/>
      <c r="CG118" s="128"/>
      <c r="CH118" s="128"/>
      <c r="CI118" s="23"/>
      <c r="CJ118" s="23"/>
      <c r="CK118" s="23"/>
      <c r="CL118" s="23"/>
      <c r="CM118" s="23"/>
      <c r="CN118" s="23"/>
      <c r="CO118" s="23"/>
      <c r="CP118" s="105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3"/>
      <c r="DB118" s="99"/>
      <c r="DC118" s="99"/>
      <c r="DD118" s="125"/>
      <c r="DE118" s="125"/>
      <c r="DF118" s="105"/>
      <c r="DG118" s="23"/>
      <c r="DH118" s="23"/>
      <c r="DI118" s="23"/>
      <c r="DJ118" s="79">
        <f t="shared" si="485"/>
        <v>0</v>
      </c>
      <c r="DK118" s="24"/>
      <c r="DL118" s="24"/>
      <c r="DM118" s="24"/>
      <c r="DN118" s="24"/>
      <c r="DO118" s="24"/>
      <c r="DP118" s="103"/>
      <c r="DQ118" s="24"/>
      <c r="DR118" s="24"/>
      <c r="DS118" s="24"/>
      <c r="DT118" s="24"/>
      <c r="DU118" s="108"/>
      <c r="DV118" s="24"/>
      <c r="DW118" s="24"/>
      <c r="DX118" s="108"/>
      <c r="DY118" s="24"/>
      <c r="DZ118" s="24"/>
      <c r="EA118" s="24"/>
      <c r="EB118" s="108"/>
      <c r="EC118" s="108"/>
      <c r="ED118" s="108"/>
      <c r="EE118" s="24"/>
      <c r="EF118" s="24"/>
      <c r="EG118" s="24"/>
      <c r="EH118" s="129"/>
      <c r="EI118" s="129"/>
      <c r="EJ118" s="24"/>
      <c r="EK118" s="24"/>
      <c r="EL118" s="24"/>
      <c r="EM118" s="24"/>
      <c r="EN118" s="24"/>
      <c r="EO118" s="24"/>
      <c r="EP118" s="24"/>
      <c r="EQ118" s="108"/>
      <c r="ER118" s="24"/>
      <c r="ES118" s="25"/>
      <c r="ET118" s="25"/>
      <c r="EU118" s="25"/>
      <c r="EV118" s="25"/>
      <c r="EW118" s="25"/>
      <c r="EX118" s="25"/>
      <c r="EY118" s="25"/>
      <c r="EZ118" s="25"/>
      <c r="FA118" s="25"/>
      <c r="FB118" s="25"/>
      <c r="FC118" s="100"/>
      <c r="FD118" s="100"/>
      <c r="FE118" s="126"/>
      <c r="FF118" s="126"/>
      <c r="FG118" s="106"/>
      <c r="FH118" s="25"/>
      <c r="FI118" s="25"/>
      <c r="FJ118" s="25"/>
      <c r="FK118" s="17">
        <f t="shared" si="482"/>
        <v>0</v>
      </c>
      <c r="FL118" s="18"/>
      <c r="FM118" s="19">
        <f t="shared" si="298"/>
        <v>0</v>
      </c>
      <c r="FN118" s="19">
        <f t="shared" si="299"/>
        <v>0</v>
      </c>
      <c r="FO118" s="19">
        <f t="shared" si="300"/>
        <v>0</v>
      </c>
      <c r="FP118" s="19">
        <f t="shared" si="301"/>
        <v>0</v>
      </c>
      <c r="FQ118" s="19">
        <f t="shared" si="302"/>
        <v>0</v>
      </c>
      <c r="FR118" s="19">
        <f t="shared" si="303"/>
        <v>0</v>
      </c>
      <c r="FS118" s="19">
        <f t="shared" si="304"/>
        <v>0</v>
      </c>
      <c r="FT118" s="19">
        <f t="shared" si="305"/>
        <v>0</v>
      </c>
      <c r="FU118" s="19">
        <f t="shared" si="306"/>
        <v>0</v>
      </c>
      <c r="FV118" s="19">
        <f t="shared" si="307"/>
        <v>0</v>
      </c>
      <c r="FW118" s="19">
        <f t="shared" si="308"/>
        <v>0</v>
      </c>
      <c r="FX118" s="19">
        <f t="shared" si="309"/>
        <v>0</v>
      </c>
      <c r="FY118" s="19">
        <f t="shared" si="310"/>
        <v>0</v>
      </c>
      <c r="FZ118" s="19">
        <f t="shared" si="311"/>
        <v>0</v>
      </c>
      <c r="GA118" s="19">
        <f t="shared" si="312"/>
        <v>0</v>
      </c>
      <c r="GB118" s="19">
        <f t="shared" si="313"/>
        <v>0</v>
      </c>
      <c r="GC118" s="19">
        <f t="shared" si="314"/>
        <v>0</v>
      </c>
      <c r="GD118" s="19">
        <f t="shared" si="315"/>
        <v>0</v>
      </c>
      <c r="GE118" s="19">
        <f t="shared" si="316"/>
        <v>0</v>
      </c>
      <c r="GF118" s="19">
        <f t="shared" si="317"/>
        <v>0</v>
      </c>
      <c r="GG118" s="19">
        <f t="shared" si="318"/>
        <v>0</v>
      </c>
      <c r="GH118" s="19">
        <f t="shared" si="319"/>
        <v>0</v>
      </c>
      <c r="GI118" s="19">
        <f t="shared" si="320"/>
        <v>0</v>
      </c>
      <c r="GJ118" s="19">
        <f t="shared" si="321"/>
        <v>0</v>
      </c>
      <c r="GK118" s="19">
        <f t="shared" si="322"/>
        <v>0</v>
      </c>
      <c r="GL118" s="19">
        <f t="shared" si="323"/>
        <v>0</v>
      </c>
      <c r="GM118" s="19">
        <f t="shared" si="324"/>
        <v>0</v>
      </c>
      <c r="GN118" s="19">
        <f t="shared" si="325"/>
        <v>0</v>
      </c>
      <c r="GO118" s="19">
        <f t="shared" si="326"/>
        <v>0</v>
      </c>
      <c r="GP118" s="19">
        <f t="shared" si="327"/>
        <v>0</v>
      </c>
      <c r="GQ118" s="19">
        <f t="shared" si="328"/>
        <v>0</v>
      </c>
      <c r="GR118" s="19">
        <f t="shared" si="329"/>
        <v>0</v>
      </c>
      <c r="GS118" s="19">
        <f t="shared" si="330"/>
        <v>0</v>
      </c>
      <c r="GT118" s="19">
        <f t="shared" si="331"/>
        <v>0</v>
      </c>
      <c r="GU118" s="19">
        <f t="shared" si="332"/>
        <v>0</v>
      </c>
      <c r="GV118" s="19">
        <f t="shared" si="333"/>
        <v>0</v>
      </c>
      <c r="GW118" s="19">
        <f t="shared" si="334"/>
        <v>0</v>
      </c>
      <c r="GX118" s="19">
        <f t="shared" si="335"/>
        <v>0</v>
      </c>
      <c r="GY118" s="19">
        <f t="shared" si="336"/>
        <v>0</v>
      </c>
      <c r="GZ118" s="19">
        <f t="shared" si="337"/>
        <v>0</v>
      </c>
      <c r="HA118" s="19">
        <f t="shared" si="338"/>
        <v>0</v>
      </c>
      <c r="HB118" s="19">
        <f t="shared" si="339"/>
        <v>0</v>
      </c>
      <c r="HC118" s="19">
        <f t="shared" si="340"/>
        <v>1.4999999999999999E-2</v>
      </c>
      <c r="HD118" s="19">
        <f t="shared" si="341"/>
        <v>0</v>
      </c>
      <c r="HE118" s="19">
        <f t="shared" si="342"/>
        <v>0</v>
      </c>
      <c r="HF118" s="19">
        <f t="shared" si="343"/>
        <v>0.74249999999999994</v>
      </c>
      <c r="HG118" s="19">
        <f t="shared" si="344"/>
        <v>0.74249999999999994</v>
      </c>
      <c r="HH118" s="19">
        <f t="shared" si="345"/>
        <v>0</v>
      </c>
      <c r="HI118" s="19">
        <f t="shared" si="346"/>
        <v>0</v>
      </c>
      <c r="HJ118" s="19">
        <f t="shared" si="347"/>
        <v>0</v>
      </c>
      <c r="HK118" s="19">
        <f t="shared" si="348"/>
        <v>0</v>
      </c>
      <c r="HL118" s="19">
        <f t="shared" si="349"/>
        <v>0</v>
      </c>
      <c r="HM118" s="20">
        <f t="shared" si="350"/>
        <v>1.5</v>
      </c>
      <c r="HN118" s="53">
        <v>621</v>
      </c>
      <c r="HO118" s="21">
        <f t="shared" si="351"/>
        <v>0</v>
      </c>
      <c r="HP118" s="21">
        <f t="shared" si="352"/>
        <v>0</v>
      </c>
      <c r="HQ118" s="21">
        <f t="shared" si="353"/>
        <v>0</v>
      </c>
      <c r="HR118" s="21">
        <f t="shared" si="354"/>
        <v>0</v>
      </c>
      <c r="HS118" s="21">
        <f t="shared" si="355"/>
        <v>0</v>
      </c>
      <c r="HT118" s="69">
        <f t="shared" si="356"/>
        <v>0</v>
      </c>
      <c r="HU118" s="21">
        <f t="shared" si="357"/>
        <v>0</v>
      </c>
      <c r="HV118" s="21">
        <f t="shared" si="358"/>
        <v>0</v>
      </c>
      <c r="HW118" s="21">
        <f t="shared" si="359"/>
        <v>0</v>
      </c>
      <c r="HX118" s="21">
        <f t="shared" si="360"/>
        <v>0</v>
      </c>
      <c r="HY118" s="21">
        <f t="shared" si="361"/>
        <v>0</v>
      </c>
      <c r="HZ118" s="21">
        <f t="shared" si="362"/>
        <v>0</v>
      </c>
      <c r="IA118" s="21">
        <f t="shared" si="363"/>
        <v>0</v>
      </c>
      <c r="IB118" s="21">
        <f t="shared" si="364"/>
        <v>0</v>
      </c>
      <c r="IC118" s="21">
        <f t="shared" si="365"/>
        <v>0</v>
      </c>
      <c r="ID118" s="21">
        <f t="shared" si="366"/>
        <v>0</v>
      </c>
      <c r="IE118" s="21">
        <f t="shared" si="367"/>
        <v>0</v>
      </c>
      <c r="IF118" s="69">
        <f t="shared" si="368"/>
        <v>0</v>
      </c>
      <c r="IG118" s="69">
        <f t="shared" si="369"/>
        <v>0</v>
      </c>
      <c r="IH118" s="69">
        <f t="shared" si="370"/>
        <v>0</v>
      </c>
      <c r="II118" s="21">
        <f t="shared" si="371"/>
        <v>0</v>
      </c>
      <c r="IJ118" s="21">
        <f t="shared" si="372"/>
        <v>0</v>
      </c>
      <c r="IK118" s="21">
        <f t="shared" si="373"/>
        <v>0</v>
      </c>
      <c r="IL118" s="21">
        <f t="shared" si="374"/>
        <v>0</v>
      </c>
      <c r="IM118" s="21">
        <f t="shared" si="375"/>
        <v>0</v>
      </c>
      <c r="IN118" s="21">
        <f t="shared" si="376"/>
        <v>0</v>
      </c>
      <c r="IO118" s="21">
        <f t="shared" si="377"/>
        <v>0</v>
      </c>
      <c r="IP118" s="21">
        <f t="shared" si="378"/>
        <v>0</v>
      </c>
      <c r="IQ118" s="21">
        <f t="shared" si="379"/>
        <v>0</v>
      </c>
      <c r="IR118" s="21">
        <f t="shared" si="380"/>
        <v>0</v>
      </c>
      <c r="IS118" s="21">
        <f t="shared" si="381"/>
        <v>0</v>
      </c>
      <c r="IT118" s="21">
        <f t="shared" si="382"/>
        <v>0</v>
      </c>
      <c r="IU118" s="21">
        <f t="shared" si="383"/>
        <v>0</v>
      </c>
      <c r="IV118" s="21">
        <f t="shared" si="384"/>
        <v>0</v>
      </c>
      <c r="IW118" s="21">
        <f t="shared" si="385"/>
        <v>0</v>
      </c>
      <c r="IX118" s="21">
        <f t="shared" si="386"/>
        <v>0</v>
      </c>
      <c r="IY118" s="21">
        <f t="shared" si="387"/>
        <v>0</v>
      </c>
      <c r="IZ118" s="21">
        <f t="shared" si="388"/>
        <v>0</v>
      </c>
      <c r="JA118" s="21">
        <f t="shared" si="389"/>
        <v>0</v>
      </c>
      <c r="JB118" s="21">
        <f t="shared" si="390"/>
        <v>0</v>
      </c>
      <c r="JC118" s="21">
        <f t="shared" si="391"/>
        <v>0</v>
      </c>
      <c r="JD118" s="21">
        <f t="shared" si="392"/>
        <v>0</v>
      </c>
      <c r="JE118" s="21">
        <f t="shared" si="393"/>
        <v>6.21</v>
      </c>
      <c r="JF118" s="21">
        <f t="shared" si="394"/>
        <v>0</v>
      </c>
      <c r="JG118" s="21">
        <f t="shared" si="395"/>
        <v>0</v>
      </c>
      <c r="JH118" s="21">
        <f t="shared" si="396"/>
        <v>307.39499999999998</v>
      </c>
      <c r="JI118" s="21">
        <f t="shared" si="397"/>
        <v>307.39499999999998</v>
      </c>
      <c r="JJ118" s="21">
        <f t="shared" si="398"/>
        <v>0</v>
      </c>
      <c r="JK118" s="21">
        <f t="shared" si="399"/>
        <v>0</v>
      </c>
      <c r="JL118" s="21">
        <f t="shared" si="400"/>
        <v>0</v>
      </c>
      <c r="JM118" s="21">
        <f t="shared" si="401"/>
        <v>0</v>
      </c>
      <c r="JN118" s="21">
        <f t="shared" si="402"/>
        <v>0</v>
      </c>
      <c r="JO118" s="35">
        <f t="shared" si="486"/>
        <v>621</v>
      </c>
      <c r="JP118" s="38">
        <f t="shared" si="487"/>
        <v>0</v>
      </c>
      <c r="JQ118" s="43">
        <f t="shared" si="405"/>
        <v>0</v>
      </c>
      <c r="JR118" s="43">
        <f t="shared" si="406"/>
        <v>0</v>
      </c>
      <c r="JS118" s="43">
        <f t="shared" si="407"/>
        <v>0</v>
      </c>
      <c r="JT118" s="43">
        <f t="shared" si="408"/>
        <v>0</v>
      </c>
      <c r="JU118" s="43">
        <f t="shared" si="409"/>
        <v>0</v>
      </c>
      <c r="JV118" s="43">
        <f t="shared" si="410"/>
        <v>0</v>
      </c>
      <c r="JW118" s="43">
        <f t="shared" si="411"/>
        <v>0</v>
      </c>
      <c r="JX118" s="43">
        <f t="shared" si="412"/>
        <v>0</v>
      </c>
      <c r="JY118" s="43">
        <f t="shared" si="413"/>
        <v>0</v>
      </c>
      <c r="JZ118" s="43">
        <f t="shared" si="414"/>
        <v>0</v>
      </c>
      <c r="KA118" s="43">
        <f t="shared" si="415"/>
        <v>0</v>
      </c>
      <c r="KB118" s="43">
        <f t="shared" si="416"/>
        <v>0</v>
      </c>
      <c r="KC118" s="43">
        <f t="shared" si="417"/>
        <v>0</v>
      </c>
      <c r="KD118" s="43">
        <f t="shared" si="418"/>
        <v>0</v>
      </c>
      <c r="KE118" s="43">
        <f t="shared" si="419"/>
        <v>0</v>
      </c>
      <c r="KF118" s="43">
        <f t="shared" si="420"/>
        <v>0</v>
      </c>
      <c r="KG118" s="43">
        <f t="shared" si="421"/>
        <v>0</v>
      </c>
      <c r="KH118" s="43">
        <f t="shared" si="422"/>
        <v>0</v>
      </c>
      <c r="KI118" s="43">
        <f t="shared" si="423"/>
        <v>0</v>
      </c>
      <c r="KJ118" s="43">
        <f t="shared" si="424"/>
        <v>0</v>
      </c>
      <c r="KK118" s="43">
        <f t="shared" si="425"/>
        <v>0</v>
      </c>
      <c r="KL118" s="43">
        <f t="shared" si="426"/>
        <v>0</v>
      </c>
      <c r="KM118" s="43">
        <f t="shared" si="427"/>
        <v>0</v>
      </c>
      <c r="KN118" s="43">
        <f t="shared" si="428"/>
        <v>0</v>
      </c>
      <c r="KO118" s="43">
        <f t="shared" si="429"/>
        <v>0</v>
      </c>
      <c r="KP118" s="43">
        <f t="shared" si="430"/>
        <v>0</v>
      </c>
      <c r="KQ118" s="43">
        <f t="shared" si="431"/>
        <v>0</v>
      </c>
      <c r="KR118" s="43">
        <f t="shared" si="432"/>
        <v>0</v>
      </c>
      <c r="KS118" s="43">
        <f t="shared" si="433"/>
        <v>0</v>
      </c>
      <c r="KT118" s="43">
        <f t="shared" si="434"/>
        <v>0</v>
      </c>
      <c r="KU118" s="43">
        <f t="shared" si="435"/>
        <v>0</v>
      </c>
      <c r="KV118" s="43">
        <f t="shared" si="436"/>
        <v>0</v>
      </c>
      <c r="KW118" s="43">
        <f t="shared" si="437"/>
        <v>0</v>
      </c>
      <c r="KX118" s="43">
        <f t="shared" si="438"/>
        <v>0</v>
      </c>
      <c r="KY118" s="43">
        <f t="shared" si="439"/>
        <v>0</v>
      </c>
      <c r="KZ118" s="43">
        <f t="shared" si="440"/>
        <v>0</v>
      </c>
      <c r="LA118" s="43">
        <f t="shared" si="441"/>
        <v>0</v>
      </c>
      <c r="LB118" s="43">
        <f t="shared" si="442"/>
        <v>0</v>
      </c>
      <c r="LC118" s="43">
        <f t="shared" si="443"/>
        <v>0</v>
      </c>
      <c r="LD118" s="43">
        <f t="shared" si="444"/>
        <v>0</v>
      </c>
      <c r="LE118" s="43">
        <f t="shared" si="445"/>
        <v>0</v>
      </c>
      <c r="LF118" s="43">
        <f t="shared" si="446"/>
        <v>0</v>
      </c>
      <c r="LG118" s="43">
        <f t="shared" si="447"/>
        <v>64.087199999999996</v>
      </c>
      <c r="LH118" s="43">
        <f t="shared" si="448"/>
        <v>0</v>
      </c>
      <c r="LI118" s="43">
        <f t="shared" si="449"/>
        <v>0</v>
      </c>
      <c r="LJ118" s="43">
        <f t="shared" si="450"/>
        <v>1480.2790662</v>
      </c>
      <c r="LK118" s="43">
        <f t="shared" si="451"/>
        <v>1231.34752125</v>
      </c>
      <c r="LL118" s="43">
        <f t="shared" si="452"/>
        <v>0</v>
      </c>
      <c r="LM118" s="43">
        <f t="shared" si="453"/>
        <v>0</v>
      </c>
      <c r="LN118" s="43">
        <f t="shared" si="454"/>
        <v>0</v>
      </c>
      <c r="LO118" s="43">
        <f t="shared" si="455"/>
        <v>0</v>
      </c>
      <c r="LP118" s="43">
        <f t="shared" si="456"/>
        <v>0</v>
      </c>
      <c r="LQ118" s="28">
        <f t="shared" si="488"/>
        <v>2775.7137874499999</v>
      </c>
      <c r="LR118" s="65">
        <v>602</v>
      </c>
      <c r="LS118" s="32">
        <f t="shared" si="462"/>
        <v>4.6108202449335547</v>
      </c>
      <c r="LT118" s="26">
        <f t="shared" si="463"/>
        <v>1.2597869521676379</v>
      </c>
      <c r="LU118" s="31">
        <f t="shared" si="489"/>
        <v>19</v>
      </c>
      <c r="LW118" s="42"/>
      <c r="MA118" s="32">
        <f t="shared" si="490"/>
        <v>4.46974845</v>
      </c>
      <c r="MB118" s="26">
        <f t="shared" si="464"/>
        <v>1.2212427459016393</v>
      </c>
    </row>
    <row r="119" spans="1:340" ht="15.75" thickBot="1">
      <c r="A119" t="b">
        <f t="shared" si="484"/>
        <v>1</v>
      </c>
      <c r="B119" s="123" t="s">
        <v>296</v>
      </c>
      <c r="C119" s="39" t="s">
        <v>72</v>
      </c>
      <c r="D119"/>
      <c r="E119" s="97">
        <v>46040</v>
      </c>
      <c r="F119" t="s">
        <v>43</v>
      </c>
      <c r="G119" t="s">
        <v>19</v>
      </c>
      <c r="H119" t="s">
        <v>27</v>
      </c>
      <c r="I119" s="77"/>
      <c r="J119" s="77"/>
      <c r="K119" s="77"/>
      <c r="L119" s="22"/>
      <c r="M119" s="22"/>
      <c r="N119" s="98"/>
      <c r="O119" s="22"/>
      <c r="P119" s="22"/>
      <c r="Q119" s="22"/>
      <c r="R119" s="22"/>
      <c r="S119" s="104"/>
      <c r="T119" s="22"/>
      <c r="U119" s="22"/>
      <c r="V119" s="104"/>
      <c r="W119" s="22"/>
      <c r="X119" s="22"/>
      <c r="Y119" s="22"/>
      <c r="Z119" s="104"/>
      <c r="AA119" s="104"/>
      <c r="AB119" s="104"/>
      <c r="AC119" s="22"/>
      <c r="AD119" s="22"/>
      <c r="AE119" s="22"/>
      <c r="AF119" s="124"/>
      <c r="AG119" s="124"/>
      <c r="AH119" s="22"/>
      <c r="AI119" s="22"/>
      <c r="AJ119" s="22"/>
      <c r="AK119" s="22"/>
      <c r="AL119" s="22"/>
      <c r="AM119" s="22"/>
      <c r="AN119" s="22"/>
      <c r="AO119" s="104"/>
      <c r="AP119" s="22"/>
      <c r="AQ119" s="22"/>
      <c r="AR119" s="22"/>
      <c r="AS119" s="22"/>
      <c r="AT119" s="22"/>
      <c r="AU119" s="22"/>
      <c r="AV119" s="22"/>
      <c r="AW119" s="22"/>
      <c r="AX119" s="22"/>
      <c r="AY119" s="104">
        <v>0.01</v>
      </c>
      <c r="AZ119" s="104"/>
      <c r="BA119" s="104"/>
      <c r="BB119" s="104">
        <v>0.495</v>
      </c>
      <c r="BC119" s="124">
        <v>0.495</v>
      </c>
      <c r="BD119" s="124"/>
      <c r="BE119" s="104"/>
      <c r="BF119" s="22"/>
      <c r="BG119" s="22"/>
      <c r="BH119" s="22"/>
      <c r="BI119" s="78">
        <f t="shared" si="492"/>
        <v>1</v>
      </c>
      <c r="BJ119" s="23"/>
      <c r="BK119" s="23"/>
      <c r="BL119" s="23"/>
      <c r="BM119" s="23"/>
      <c r="BN119" s="23"/>
      <c r="BO119" s="99"/>
      <c r="BP119" s="23"/>
      <c r="BQ119" s="23"/>
      <c r="BR119" s="23"/>
      <c r="BS119" s="23"/>
      <c r="BT119" s="105"/>
      <c r="BU119" s="23"/>
      <c r="BV119" s="23"/>
      <c r="BW119" s="105"/>
      <c r="BX119" s="23"/>
      <c r="BY119" s="23"/>
      <c r="BZ119" s="23"/>
      <c r="CA119" s="105"/>
      <c r="CB119" s="105"/>
      <c r="CC119" s="105"/>
      <c r="CD119" s="23"/>
      <c r="CE119" s="23"/>
      <c r="CF119" s="71"/>
      <c r="CG119" s="128"/>
      <c r="CH119" s="128"/>
      <c r="CI119" s="23"/>
      <c r="CJ119" s="105"/>
      <c r="CK119" s="105"/>
      <c r="CL119" s="23"/>
      <c r="CM119" s="23"/>
      <c r="CN119" s="23"/>
      <c r="CO119" s="23"/>
      <c r="CP119" s="105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3"/>
      <c r="DB119" s="99"/>
      <c r="DC119" s="99"/>
      <c r="DD119" s="125"/>
      <c r="DE119" s="125"/>
      <c r="DF119" s="105"/>
      <c r="DG119" s="23"/>
      <c r="DH119" s="23"/>
      <c r="DI119" s="23"/>
      <c r="DJ119" s="79">
        <f t="shared" si="485"/>
        <v>0</v>
      </c>
      <c r="DK119" s="24"/>
      <c r="DL119" s="24"/>
      <c r="DM119" s="24"/>
      <c r="DN119" s="24"/>
      <c r="DO119" s="24"/>
      <c r="DP119" s="103"/>
      <c r="DQ119" s="24"/>
      <c r="DR119" s="24"/>
      <c r="DS119" s="24"/>
      <c r="DT119" s="24"/>
      <c r="DU119" s="108"/>
      <c r="DV119" s="24"/>
      <c r="DW119" s="24"/>
      <c r="DX119" s="108"/>
      <c r="DY119" s="24"/>
      <c r="DZ119" s="24"/>
      <c r="EA119" s="24"/>
      <c r="EB119" s="108"/>
      <c r="EC119" s="108"/>
      <c r="ED119" s="108"/>
      <c r="EE119" s="24"/>
      <c r="EF119" s="24"/>
      <c r="EG119" s="24"/>
      <c r="EH119" s="129"/>
      <c r="EI119" s="129"/>
      <c r="EJ119" s="24"/>
      <c r="EK119" s="24"/>
      <c r="EL119" s="24"/>
      <c r="EM119" s="24"/>
      <c r="EN119" s="24"/>
      <c r="EO119" s="24"/>
      <c r="EP119" s="24"/>
      <c r="EQ119" s="108"/>
      <c r="ER119" s="24"/>
      <c r="ES119" s="25"/>
      <c r="ET119" s="25"/>
      <c r="EU119" s="25"/>
      <c r="EV119" s="25"/>
      <c r="EW119" s="25"/>
      <c r="EX119" s="25"/>
      <c r="EY119" s="25"/>
      <c r="EZ119" s="25"/>
      <c r="FA119" s="25"/>
      <c r="FB119" s="25"/>
      <c r="FC119" s="100"/>
      <c r="FD119" s="100"/>
      <c r="FE119" s="126"/>
      <c r="FF119" s="126"/>
      <c r="FG119" s="106"/>
      <c r="FH119" s="25"/>
      <c r="FI119" s="25"/>
      <c r="FJ119" s="25"/>
      <c r="FK119" s="17">
        <f t="shared" si="482"/>
        <v>0</v>
      </c>
      <c r="FL119" s="18"/>
      <c r="FM119" s="19">
        <f t="shared" si="298"/>
        <v>0</v>
      </c>
      <c r="FN119" s="19">
        <f t="shared" si="299"/>
        <v>0</v>
      </c>
      <c r="FO119" s="19">
        <f t="shared" si="300"/>
        <v>0</v>
      </c>
      <c r="FP119" s="19">
        <f t="shared" si="301"/>
        <v>0</v>
      </c>
      <c r="FQ119" s="19">
        <f t="shared" si="302"/>
        <v>0</v>
      </c>
      <c r="FR119" s="19">
        <f t="shared" si="303"/>
        <v>0</v>
      </c>
      <c r="FS119" s="19">
        <f t="shared" si="304"/>
        <v>0</v>
      </c>
      <c r="FT119" s="19">
        <f t="shared" si="305"/>
        <v>0</v>
      </c>
      <c r="FU119" s="19">
        <f t="shared" si="306"/>
        <v>0</v>
      </c>
      <c r="FV119" s="19">
        <f t="shared" si="307"/>
        <v>0</v>
      </c>
      <c r="FW119" s="19">
        <f t="shared" si="308"/>
        <v>0</v>
      </c>
      <c r="FX119" s="19">
        <f t="shared" si="309"/>
        <v>0</v>
      </c>
      <c r="FY119" s="19">
        <f t="shared" si="310"/>
        <v>0</v>
      </c>
      <c r="FZ119" s="19">
        <f t="shared" si="311"/>
        <v>0</v>
      </c>
      <c r="GA119" s="19">
        <f t="shared" si="312"/>
        <v>0</v>
      </c>
      <c r="GB119" s="19">
        <f t="shared" si="313"/>
        <v>0</v>
      </c>
      <c r="GC119" s="19">
        <f t="shared" si="314"/>
        <v>0</v>
      </c>
      <c r="GD119" s="19">
        <f t="shared" si="315"/>
        <v>0</v>
      </c>
      <c r="GE119" s="19">
        <f t="shared" si="316"/>
        <v>0</v>
      </c>
      <c r="GF119" s="19">
        <f t="shared" si="317"/>
        <v>0</v>
      </c>
      <c r="GG119" s="19">
        <f t="shared" si="318"/>
        <v>0</v>
      </c>
      <c r="GH119" s="19">
        <f t="shared" si="319"/>
        <v>0</v>
      </c>
      <c r="GI119" s="19">
        <f t="shared" si="320"/>
        <v>0</v>
      </c>
      <c r="GJ119" s="19">
        <f t="shared" si="321"/>
        <v>0</v>
      </c>
      <c r="GK119" s="19">
        <f t="shared" si="322"/>
        <v>0</v>
      </c>
      <c r="GL119" s="19">
        <f t="shared" si="323"/>
        <v>0</v>
      </c>
      <c r="GM119" s="19">
        <f t="shared" si="324"/>
        <v>0</v>
      </c>
      <c r="GN119" s="19">
        <f t="shared" si="325"/>
        <v>0</v>
      </c>
      <c r="GO119" s="19">
        <f t="shared" si="326"/>
        <v>0</v>
      </c>
      <c r="GP119" s="19">
        <f t="shared" si="327"/>
        <v>0</v>
      </c>
      <c r="GQ119" s="19">
        <f t="shared" si="328"/>
        <v>0</v>
      </c>
      <c r="GR119" s="19">
        <f t="shared" si="329"/>
        <v>0</v>
      </c>
      <c r="GS119" s="19">
        <f t="shared" si="330"/>
        <v>0</v>
      </c>
      <c r="GT119" s="19">
        <f t="shared" si="331"/>
        <v>0</v>
      </c>
      <c r="GU119" s="19">
        <f t="shared" si="332"/>
        <v>0</v>
      </c>
      <c r="GV119" s="19">
        <f t="shared" si="333"/>
        <v>0</v>
      </c>
      <c r="GW119" s="19">
        <f t="shared" si="334"/>
        <v>0</v>
      </c>
      <c r="GX119" s="19">
        <f t="shared" si="335"/>
        <v>0</v>
      </c>
      <c r="GY119" s="19">
        <f t="shared" si="336"/>
        <v>0</v>
      </c>
      <c r="GZ119" s="19">
        <f t="shared" si="337"/>
        <v>0</v>
      </c>
      <c r="HA119" s="19">
        <f t="shared" si="338"/>
        <v>0</v>
      </c>
      <c r="HB119" s="19">
        <f t="shared" si="339"/>
        <v>0</v>
      </c>
      <c r="HC119" s="19">
        <f t="shared" si="340"/>
        <v>1.4999999999999999E-2</v>
      </c>
      <c r="HD119" s="19">
        <f t="shared" si="341"/>
        <v>0</v>
      </c>
      <c r="HE119" s="19">
        <f t="shared" si="342"/>
        <v>0</v>
      </c>
      <c r="HF119" s="19">
        <f t="shared" si="343"/>
        <v>0.74249999999999994</v>
      </c>
      <c r="HG119" s="19">
        <f t="shared" si="344"/>
        <v>0.74249999999999994</v>
      </c>
      <c r="HH119" s="19">
        <f t="shared" si="345"/>
        <v>0</v>
      </c>
      <c r="HI119" s="19">
        <f t="shared" si="346"/>
        <v>0</v>
      </c>
      <c r="HJ119" s="19">
        <f t="shared" si="347"/>
        <v>0</v>
      </c>
      <c r="HK119" s="19">
        <f t="shared" si="348"/>
        <v>0</v>
      </c>
      <c r="HL119" s="19">
        <f t="shared" si="349"/>
        <v>0</v>
      </c>
      <c r="HM119" s="20">
        <f t="shared" si="350"/>
        <v>1.5</v>
      </c>
      <c r="HN119" s="53">
        <v>647</v>
      </c>
      <c r="HO119" s="21">
        <f t="shared" si="351"/>
        <v>0</v>
      </c>
      <c r="HP119" s="21">
        <f t="shared" si="352"/>
        <v>0</v>
      </c>
      <c r="HQ119" s="21">
        <f t="shared" si="353"/>
        <v>0</v>
      </c>
      <c r="HR119" s="21">
        <f t="shared" si="354"/>
        <v>0</v>
      </c>
      <c r="HS119" s="21">
        <f t="shared" si="355"/>
        <v>0</v>
      </c>
      <c r="HT119" s="69">
        <f t="shared" si="356"/>
        <v>0</v>
      </c>
      <c r="HU119" s="21">
        <f t="shared" si="357"/>
        <v>0</v>
      </c>
      <c r="HV119" s="21">
        <f t="shared" si="358"/>
        <v>0</v>
      </c>
      <c r="HW119" s="21">
        <f t="shared" si="359"/>
        <v>0</v>
      </c>
      <c r="HX119" s="21">
        <f t="shared" si="360"/>
        <v>0</v>
      </c>
      <c r="HY119" s="21">
        <f t="shared" si="361"/>
        <v>0</v>
      </c>
      <c r="HZ119" s="21">
        <f t="shared" si="362"/>
        <v>0</v>
      </c>
      <c r="IA119" s="21">
        <f t="shared" si="363"/>
        <v>0</v>
      </c>
      <c r="IB119" s="21">
        <f t="shared" si="364"/>
        <v>0</v>
      </c>
      <c r="IC119" s="21">
        <f t="shared" si="365"/>
        <v>0</v>
      </c>
      <c r="ID119" s="21">
        <f t="shared" si="366"/>
        <v>0</v>
      </c>
      <c r="IE119" s="21">
        <f t="shared" si="367"/>
        <v>0</v>
      </c>
      <c r="IF119" s="69">
        <f t="shared" si="368"/>
        <v>0</v>
      </c>
      <c r="IG119" s="69">
        <f t="shared" si="369"/>
        <v>0</v>
      </c>
      <c r="IH119" s="69">
        <f t="shared" si="370"/>
        <v>0</v>
      </c>
      <c r="II119" s="21">
        <f t="shared" si="371"/>
        <v>0</v>
      </c>
      <c r="IJ119" s="21">
        <f t="shared" si="372"/>
        <v>0</v>
      </c>
      <c r="IK119" s="21">
        <f t="shared" si="373"/>
        <v>0</v>
      </c>
      <c r="IL119" s="21">
        <f t="shared" si="374"/>
        <v>0</v>
      </c>
      <c r="IM119" s="21">
        <f t="shared" si="375"/>
        <v>0</v>
      </c>
      <c r="IN119" s="21">
        <f t="shared" si="376"/>
        <v>0</v>
      </c>
      <c r="IO119" s="21">
        <f t="shared" si="377"/>
        <v>0</v>
      </c>
      <c r="IP119" s="21">
        <f t="shared" si="378"/>
        <v>0</v>
      </c>
      <c r="IQ119" s="21">
        <f t="shared" si="379"/>
        <v>0</v>
      </c>
      <c r="IR119" s="21">
        <f t="shared" si="380"/>
        <v>0</v>
      </c>
      <c r="IS119" s="21">
        <f t="shared" si="381"/>
        <v>0</v>
      </c>
      <c r="IT119" s="21">
        <f t="shared" si="382"/>
        <v>0</v>
      </c>
      <c r="IU119" s="21">
        <f t="shared" si="383"/>
        <v>0</v>
      </c>
      <c r="IV119" s="21">
        <f t="shared" si="384"/>
        <v>0</v>
      </c>
      <c r="IW119" s="21">
        <f t="shared" si="385"/>
        <v>0</v>
      </c>
      <c r="IX119" s="21">
        <f t="shared" si="386"/>
        <v>0</v>
      </c>
      <c r="IY119" s="21">
        <f t="shared" si="387"/>
        <v>0</v>
      </c>
      <c r="IZ119" s="21">
        <f t="shared" si="388"/>
        <v>0</v>
      </c>
      <c r="JA119" s="21">
        <f t="shared" si="389"/>
        <v>0</v>
      </c>
      <c r="JB119" s="21">
        <f t="shared" si="390"/>
        <v>0</v>
      </c>
      <c r="JC119" s="21">
        <f t="shared" si="391"/>
        <v>0</v>
      </c>
      <c r="JD119" s="21">
        <f t="shared" si="392"/>
        <v>0</v>
      </c>
      <c r="JE119" s="21">
        <f t="shared" si="393"/>
        <v>6.47</v>
      </c>
      <c r="JF119" s="21">
        <f t="shared" si="394"/>
        <v>0</v>
      </c>
      <c r="JG119" s="21">
        <f t="shared" si="395"/>
        <v>0</v>
      </c>
      <c r="JH119" s="21">
        <f t="shared" si="396"/>
        <v>320.26499999999999</v>
      </c>
      <c r="JI119" s="21">
        <f t="shared" si="397"/>
        <v>320.26499999999999</v>
      </c>
      <c r="JJ119" s="21">
        <f t="shared" si="398"/>
        <v>0</v>
      </c>
      <c r="JK119" s="21">
        <f t="shared" si="399"/>
        <v>0</v>
      </c>
      <c r="JL119" s="21">
        <f t="shared" si="400"/>
        <v>0</v>
      </c>
      <c r="JM119" s="21">
        <f t="shared" si="401"/>
        <v>0</v>
      </c>
      <c r="JN119" s="21">
        <f t="shared" si="402"/>
        <v>0</v>
      </c>
      <c r="JO119" s="35">
        <f t="shared" si="486"/>
        <v>647</v>
      </c>
      <c r="JP119" s="38">
        <f t="shared" si="487"/>
        <v>0</v>
      </c>
      <c r="JQ119" s="43">
        <f t="shared" si="405"/>
        <v>0</v>
      </c>
      <c r="JR119" s="43">
        <f t="shared" si="406"/>
        <v>0</v>
      </c>
      <c r="JS119" s="43">
        <f t="shared" si="407"/>
        <v>0</v>
      </c>
      <c r="JT119" s="43">
        <f t="shared" si="408"/>
        <v>0</v>
      </c>
      <c r="JU119" s="43">
        <f t="shared" si="409"/>
        <v>0</v>
      </c>
      <c r="JV119" s="43">
        <f t="shared" si="410"/>
        <v>0</v>
      </c>
      <c r="JW119" s="43">
        <f t="shared" si="411"/>
        <v>0</v>
      </c>
      <c r="JX119" s="43">
        <f t="shared" si="412"/>
        <v>0</v>
      </c>
      <c r="JY119" s="43">
        <f t="shared" si="413"/>
        <v>0</v>
      </c>
      <c r="JZ119" s="43">
        <f t="shared" si="414"/>
        <v>0</v>
      </c>
      <c r="KA119" s="43">
        <f t="shared" si="415"/>
        <v>0</v>
      </c>
      <c r="KB119" s="43">
        <f t="shared" si="416"/>
        <v>0</v>
      </c>
      <c r="KC119" s="43">
        <f t="shared" si="417"/>
        <v>0</v>
      </c>
      <c r="KD119" s="43">
        <f t="shared" si="418"/>
        <v>0</v>
      </c>
      <c r="KE119" s="43">
        <f t="shared" si="419"/>
        <v>0</v>
      </c>
      <c r="KF119" s="43">
        <f t="shared" si="420"/>
        <v>0</v>
      </c>
      <c r="KG119" s="43">
        <f t="shared" si="421"/>
        <v>0</v>
      </c>
      <c r="KH119" s="43">
        <f t="shared" si="422"/>
        <v>0</v>
      </c>
      <c r="KI119" s="43">
        <f t="shared" si="423"/>
        <v>0</v>
      </c>
      <c r="KJ119" s="43">
        <f t="shared" si="424"/>
        <v>0</v>
      </c>
      <c r="KK119" s="43">
        <f t="shared" si="425"/>
        <v>0</v>
      </c>
      <c r="KL119" s="43">
        <f t="shared" si="426"/>
        <v>0</v>
      </c>
      <c r="KM119" s="43">
        <f t="shared" si="427"/>
        <v>0</v>
      </c>
      <c r="KN119" s="43">
        <f t="shared" si="428"/>
        <v>0</v>
      </c>
      <c r="KO119" s="43">
        <f t="shared" si="429"/>
        <v>0</v>
      </c>
      <c r="KP119" s="43">
        <f t="shared" si="430"/>
        <v>0</v>
      </c>
      <c r="KQ119" s="43">
        <f t="shared" si="431"/>
        <v>0</v>
      </c>
      <c r="KR119" s="43">
        <f t="shared" si="432"/>
        <v>0</v>
      </c>
      <c r="KS119" s="43">
        <f t="shared" si="433"/>
        <v>0</v>
      </c>
      <c r="KT119" s="43">
        <f t="shared" si="434"/>
        <v>0</v>
      </c>
      <c r="KU119" s="43">
        <f t="shared" si="435"/>
        <v>0</v>
      </c>
      <c r="KV119" s="43">
        <f t="shared" si="436"/>
        <v>0</v>
      </c>
      <c r="KW119" s="43">
        <f t="shared" si="437"/>
        <v>0</v>
      </c>
      <c r="KX119" s="43">
        <f t="shared" si="438"/>
        <v>0</v>
      </c>
      <c r="KY119" s="43">
        <f t="shared" si="439"/>
        <v>0</v>
      </c>
      <c r="KZ119" s="43">
        <f t="shared" si="440"/>
        <v>0</v>
      </c>
      <c r="LA119" s="43">
        <f t="shared" si="441"/>
        <v>0</v>
      </c>
      <c r="LB119" s="43">
        <f t="shared" si="442"/>
        <v>0</v>
      </c>
      <c r="LC119" s="43">
        <f t="shared" si="443"/>
        <v>0</v>
      </c>
      <c r="LD119" s="43">
        <f t="shared" si="444"/>
        <v>0</v>
      </c>
      <c r="LE119" s="43">
        <f t="shared" si="445"/>
        <v>0</v>
      </c>
      <c r="LF119" s="43">
        <f t="shared" si="446"/>
        <v>0</v>
      </c>
      <c r="LG119" s="43">
        <f t="shared" si="447"/>
        <v>66.770399999999995</v>
      </c>
      <c r="LH119" s="43">
        <f t="shared" si="448"/>
        <v>0</v>
      </c>
      <c r="LI119" s="43">
        <f t="shared" si="449"/>
        <v>0</v>
      </c>
      <c r="LJ119" s="43">
        <f t="shared" si="450"/>
        <v>1542.2553234000002</v>
      </c>
      <c r="LK119" s="43">
        <f t="shared" si="451"/>
        <v>1282.90152375</v>
      </c>
      <c r="LL119" s="43">
        <f t="shared" si="452"/>
        <v>0</v>
      </c>
      <c r="LM119" s="43">
        <f t="shared" si="453"/>
        <v>0</v>
      </c>
      <c r="LN119" s="43">
        <f t="shared" si="454"/>
        <v>0</v>
      </c>
      <c r="LO119" s="43">
        <f t="shared" si="455"/>
        <v>0</v>
      </c>
      <c r="LP119" s="43">
        <f t="shared" si="456"/>
        <v>0</v>
      </c>
      <c r="LQ119" s="28">
        <f t="shared" si="488"/>
        <v>2891.9272471499999</v>
      </c>
      <c r="LR119" s="65">
        <v>612</v>
      </c>
      <c r="LS119" s="32">
        <f t="shared" si="462"/>
        <v>4.7253713188725488</v>
      </c>
      <c r="LT119" s="26">
        <f t="shared" si="463"/>
        <v>1.2910850598012429</v>
      </c>
      <c r="LU119" s="31">
        <f t="shared" si="489"/>
        <v>35</v>
      </c>
      <c r="LW119" s="42"/>
      <c r="MA119" s="32">
        <f t="shared" si="490"/>
        <v>4.46974845</v>
      </c>
      <c r="MB119" s="26">
        <f t="shared" si="464"/>
        <v>1.2212427459016393</v>
      </c>
    </row>
    <row r="120" spans="1:340" ht="15.75" thickBot="1">
      <c r="A120" t="b">
        <f t="shared" si="484"/>
        <v>1</v>
      </c>
      <c r="B120" s="123" t="s">
        <v>297</v>
      </c>
      <c r="C120" s="39" t="s">
        <v>298</v>
      </c>
      <c r="D120"/>
      <c r="E120" s="97">
        <v>46041</v>
      </c>
      <c r="F120" t="s">
        <v>43</v>
      </c>
      <c r="G120" t="s">
        <v>20</v>
      </c>
      <c r="H120" t="s">
        <v>27</v>
      </c>
      <c r="I120" s="77"/>
      <c r="J120" s="77"/>
      <c r="K120" s="77"/>
      <c r="L120" s="22"/>
      <c r="M120" s="22"/>
      <c r="N120" s="98"/>
      <c r="O120" s="22"/>
      <c r="P120" s="22"/>
      <c r="Q120" s="22"/>
      <c r="R120" s="22"/>
      <c r="S120" s="104"/>
      <c r="T120" s="22"/>
      <c r="U120" s="22"/>
      <c r="V120" s="104"/>
      <c r="W120" s="22"/>
      <c r="X120" s="22"/>
      <c r="Y120" s="22"/>
      <c r="Z120" s="104"/>
      <c r="AA120" s="104"/>
      <c r="AB120" s="104"/>
      <c r="AC120" s="22"/>
      <c r="AD120" s="22"/>
      <c r="AE120" s="22"/>
      <c r="AF120" s="124"/>
      <c r="AG120" s="124"/>
      <c r="AH120" s="22"/>
      <c r="AI120" s="104"/>
      <c r="AJ120" s="22"/>
      <c r="AK120" s="22">
        <v>0.5</v>
      </c>
      <c r="AL120" s="22"/>
      <c r="AM120" s="22"/>
      <c r="AN120" s="22"/>
      <c r="AO120" s="104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98"/>
      <c r="BB120" s="98"/>
      <c r="BC120" s="124">
        <v>0.5</v>
      </c>
      <c r="BD120" s="124"/>
      <c r="BE120" s="104"/>
      <c r="BF120" s="22"/>
      <c r="BG120" s="22"/>
      <c r="BH120" s="22"/>
      <c r="BI120" s="78">
        <f t="shared" si="492"/>
        <v>1</v>
      </c>
      <c r="BJ120" s="23"/>
      <c r="BK120" s="23"/>
      <c r="BL120" s="23"/>
      <c r="BM120" s="23"/>
      <c r="BN120" s="23"/>
      <c r="BO120" s="99"/>
      <c r="BP120" s="23"/>
      <c r="BQ120" s="23"/>
      <c r="BR120" s="23"/>
      <c r="BS120" s="23"/>
      <c r="BT120" s="105"/>
      <c r="BU120" s="23"/>
      <c r="BV120" s="23"/>
      <c r="BW120" s="105"/>
      <c r="BX120" s="23"/>
      <c r="BY120" s="23"/>
      <c r="BZ120" s="23"/>
      <c r="CA120" s="105"/>
      <c r="CB120" s="105"/>
      <c r="CC120" s="105"/>
      <c r="CD120" s="23"/>
      <c r="CE120" s="23"/>
      <c r="CF120" s="71"/>
      <c r="CG120" s="128"/>
      <c r="CH120" s="128"/>
      <c r="CI120" s="23"/>
      <c r="CJ120" s="23"/>
      <c r="CK120" s="23"/>
      <c r="CL120" s="23">
        <v>0.3</v>
      </c>
      <c r="CM120" s="23"/>
      <c r="CN120" s="23"/>
      <c r="CO120" s="23"/>
      <c r="CP120" s="105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3"/>
      <c r="DB120" s="99"/>
      <c r="DC120" s="99"/>
      <c r="DD120" s="125">
        <v>0.7</v>
      </c>
      <c r="DE120" s="125"/>
      <c r="DF120" s="105"/>
      <c r="DG120" s="23"/>
      <c r="DH120" s="23"/>
      <c r="DI120" s="23"/>
      <c r="DJ120" s="79">
        <f t="shared" si="485"/>
        <v>1</v>
      </c>
      <c r="DK120" s="24"/>
      <c r="DL120" s="24"/>
      <c r="DM120" s="24"/>
      <c r="DN120" s="24"/>
      <c r="DO120" s="24"/>
      <c r="DP120" s="103"/>
      <c r="DQ120" s="24"/>
      <c r="DR120" s="24"/>
      <c r="DS120" s="24"/>
      <c r="DT120" s="24"/>
      <c r="DU120" s="108"/>
      <c r="DV120" s="24"/>
      <c r="DW120" s="24"/>
      <c r="DX120" s="108"/>
      <c r="DY120" s="24"/>
      <c r="DZ120" s="24"/>
      <c r="EA120" s="24"/>
      <c r="EB120" s="108"/>
      <c r="EC120" s="108"/>
      <c r="ED120" s="108"/>
      <c r="EE120" s="24"/>
      <c r="EF120" s="24"/>
      <c r="EG120" s="24"/>
      <c r="EH120" s="129"/>
      <c r="EI120" s="129"/>
      <c r="EJ120" s="24"/>
      <c r="EK120" s="24"/>
      <c r="EL120" s="24"/>
      <c r="EM120" s="24">
        <v>0.3</v>
      </c>
      <c r="EN120" s="24"/>
      <c r="EO120" s="24"/>
      <c r="EP120" s="24"/>
      <c r="EQ120" s="108"/>
      <c r="ER120" s="24"/>
      <c r="ES120" s="25"/>
      <c r="ET120" s="25"/>
      <c r="EU120" s="25"/>
      <c r="EV120" s="25"/>
      <c r="EW120" s="25"/>
      <c r="EX120" s="25"/>
      <c r="EY120" s="25"/>
      <c r="EZ120" s="25"/>
      <c r="FA120" s="25"/>
      <c r="FB120" s="25"/>
      <c r="FC120" s="100"/>
      <c r="FD120" s="100"/>
      <c r="FE120" s="126">
        <v>0.7</v>
      </c>
      <c r="FF120" s="126"/>
      <c r="FG120" s="106"/>
      <c r="FH120" s="25"/>
      <c r="FI120" s="25"/>
      <c r="FJ120" s="25"/>
      <c r="FK120" s="17">
        <f t="shared" si="482"/>
        <v>1</v>
      </c>
      <c r="FL120" s="18"/>
      <c r="FM120" s="19">
        <f t="shared" si="298"/>
        <v>0</v>
      </c>
      <c r="FN120" s="19">
        <f t="shared" si="299"/>
        <v>0</v>
      </c>
      <c r="FO120" s="19">
        <f t="shared" si="300"/>
        <v>0</v>
      </c>
      <c r="FP120" s="19">
        <f t="shared" si="301"/>
        <v>0</v>
      </c>
      <c r="FQ120" s="19">
        <f t="shared" si="302"/>
        <v>0</v>
      </c>
      <c r="FR120" s="19">
        <f t="shared" si="303"/>
        <v>0</v>
      </c>
      <c r="FS120" s="19">
        <f t="shared" si="304"/>
        <v>0</v>
      </c>
      <c r="FT120" s="19">
        <f t="shared" si="305"/>
        <v>0</v>
      </c>
      <c r="FU120" s="19">
        <f t="shared" si="306"/>
        <v>0</v>
      </c>
      <c r="FV120" s="19">
        <f t="shared" si="307"/>
        <v>0</v>
      </c>
      <c r="FW120" s="19">
        <f t="shared" si="308"/>
        <v>0</v>
      </c>
      <c r="FX120" s="19">
        <f t="shared" si="309"/>
        <v>0</v>
      </c>
      <c r="FY120" s="19">
        <f t="shared" si="310"/>
        <v>0</v>
      </c>
      <c r="FZ120" s="19">
        <f t="shared" si="311"/>
        <v>0</v>
      </c>
      <c r="GA120" s="19">
        <f t="shared" si="312"/>
        <v>0</v>
      </c>
      <c r="GB120" s="19">
        <f t="shared" si="313"/>
        <v>0</v>
      </c>
      <c r="GC120" s="19">
        <f t="shared" si="314"/>
        <v>0</v>
      </c>
      <c r="GD120" s="19">
        <f t="shared" si="315"/>
        <v>0</v>
      </c>
      <c r="GE120" s="19">
        <f t="shared" si="316"/>
        <v>0</v>
      </c>
      <c r="GF120" s="19">
        <f t="shared" si="317"/>
        <v>0</v>
      </c>
      <c r="GG120" s="19">
        <f t="shared" si="318"/>
        <v>0</v>
      </c>
      <c r="GH120" s="19">
        <f t="shared" si="319"/>
        <v>0</v>
      </c>
      <c r="GI120" s="19">
        <f t="shared" si="320"/>
        <v>0</v>
      </c>
      <c r="GJ120" s="19">
        <f t="shared" si="321"/>
        <v>0</v>
      </c>
      <c r="GK120" s="19">
        <f t="shared" si="322"/>
        <v>0</v>
      </c>
      <c r="GL120" s="19">
        <f t="shared" si="323"/>
        <v>0</v>
      </c>
      <c r="GM120" s="19">
        <f t="shared" si="324"/>
        <v>0</v>
      </c>
      <c r="GN120" s="19">
        <f t="shared" si="325"/>
        <v>0</v>
      </c>
      <c r="GO120" s="19">
        <f t="shared" si="326"/>
        <v>1.8</v>
      </c>
      <c r="GP120" s="19">
        <f t="shared" si="327"/>
        <v>0</v>
      </c>
      <c r="GQ120" s="19">
        <f t="shared" si="328"/>
        <v>0</v>
      </c>
      <c r="GR120" s="19">
        <f t="shared" si="329"/>
        <v>0</v>
      </c>
      <c r="GS120" s="19">
        <f t="shared" si="330"/>
        <v>0</v>
      </c>
      <c r="GT120" s="19">
        <f t="shared" si="331"/>
        <v>0</v>
      </c>
      <c r="GU120" s="19">
        <f t="shared" si="332"/>
        <v>0</v>
      </c>
      <c r="GV120" s="19">
        <f t="shared" si="333"/>
        <v>0</v>
      </c>
      <c r="GW120" s="19">
        <f t="shared" si="334"/>
        <v>0</v>
      </c>
      <c r="GX120" s="19">
        <f t="shared" si="335"/>
        <v>0</v>
      </c>
      <c r="GY120" s="19">
        <f t="shared" si="336"/>
        <v>0</v>
      </c>
      <c r="GZ120" s="19">
        <f t="shared" si="337"/>
        <v>0</v>
      </c>
      <c r="HA120" s="19">
        <f t="shared" si="338"/>
        <v>0</v>
      </c>
      <c r="HB120" s="19">
        <f t="shared" si="339"/>
        <v>0</v>
      </c>
      <c r="HC120" s="19">
        <f t="shared" si="340"/>
        <v>0</v>
      </c>
      <c r="HD120" s="19">
        <f t="shared" si="341"/>
        <v>0</v>
      </c>
      <c r="HE120" s="19">
        <f t="shared" si="342"/>
        <v>0</v>
      </c>
      <c r="HF120" s="19">
        <f t="shared" si="343"/>
        <v>0</v>
      </c>
      <c r="HG120" s="19">
        <f t="shared" si="344"/>
        <v>3.1999999999999997</v>
      </c>
      <c r="HH120" s="19">
        <f t="shared" si="345"/>
        <v>0</v>
      </c>
      <c r="HI120" s="19">
        <f t="shared" si="346"/>
        <v>0</v>
      </c>
      <c r="HJ120" s="19">
        <f t="shared" si="347"/>
        <v>0</v>
      </c>
      <c r="HK120" s="19">
        <f t="shared" si="348"/>
        <v>0</v>
      </c>
      <c r="HL120" s="19">
        <f t="shared" si="349"/>
        <v>0</v>
      </c>
      <c r="HM120" s="20">
        <f t="shared" si="350"/>
        <v>5</v>
      </c>
      <c r="HN120" s="53">
        <v>1286</v>
      </c>
      <c r="HO120" s="21">
        <f t="shared" si="351"/>
        <v>0</v>
      </c>
      <c r="HP120" s="21">
        <f t="shared" si="352"/>
        <v>0</v>
      </c>
      <c r="HQ120" s="21">
        <f t="shared" si="353"/>
        <v>0</v>
      </c>
      <c r="HR120" s="21">
        <f t="shared" si="354"/>
        <v>0</v>
      </c>
      <c r="HS120" s="21">
        <f t="shared" si="355"/>
        <v>0</v>
      </c>
      <c r="HT120" s="69">
        <f t="shared" si="356"/>
        <v>0</v>
      </c>
      <c r="HU120" s="21">
        <f t="shared" si="357"/>
        <v>0</v>
      </c>
      <c r="HV120" s="21">
        <f t="shared" si="358"/>
        <v>0</v>
      </c>
      <c r="HW120" s="21">
        <f t="shared" si="359"/>
        <v>0</v>
      </c>
      <c r="HX120" s="21">
        <f t="shared" si="360"/>
        <v>0</v>
      </c>
      <c r="HY120" s="21">
        <f t="shared" si="361"/>
        <v>0</v>
      </c>
      <c r="HZ120" s="21">
        <f t="shared" si="362"/>
        <v>0</v>
      </c>
      <c r="IA120" s="21">
        <f t="shared" si="363"/>
        <v>0</v>
      </c>
      <c r="IB120" s="21">
        <f t="shared" si="364"/>
        <v>0</v>
      </c>
      <c r="IC120" s="21">
        <f t="shared" si="365"/>
        <v>0</v>
      </c>
      <c r="ID120" s="21">
        <f t="shared" si="366"/>
        <v>0</v>
      </c>
      <c r="IE120" s="21">
        <f t="shared" si="367"/>
        <v>0</v>
      </c>
      <c r="IF120" s="69">
        <f t="shared" si="368"/>
        <v>0</v>
      </c>
      <c r="IG120" s="69">
        <f t="shared" si="369"/>
        <v>0</v>
      </c>
      <c r="IH120" s="69">
        <f t="shared" si="370"/>
        <v>0</v>
      </c>
      <c r="II120" s="21">
        <f t="shared" si="371"/>
        <v>0</v>
      </c>
      <c r="IJ120" s="21">
        <f t="shared" si="372"/>
        <v>0</v>
      </c>
      <c r="IK120" s="21">
        <f t="shared" si="373"/>
        <v>0</v>
      </c>
      <c r="IL120" s="21">
        <f t="shared" si="374"/>
        <v>0</v>
      </c>
      <c r="IM120" s="21">
        <f t="shared" si="375"/>
        <v>0</v>
      </c>
      <c r="IN120" s="21">
        <f t="shared" si="376"/>
        <v>0</v>
      </c>
      <c r="IO120" s="21">
        <f t="shared" si="377"/>
        <v>0</v>
      </c>
      <c r="IP120" s="21">
        <f t="shared" si="378"/>
        <v>0</v>
      </c>
      <c r="IQ120" s="21">
        <f t="shared" si="379"/>
        <v>462.96000000000004</v>
      </c>
      <c r="IR120" s="21">
        <f t="shared" si="380"/>
        <v>0</v>
      </c>
      <c r="IS120" s="21">
        <f t="shared" si="381"/>
        <v>0</v>
      </c>
      <c r="IT120" s="21">
        <f t="shared" si="382"/>
        <v>0</v>
      </c>
      <c r="IU120" s="21">
        <f t="shared" si="383"/>
        <v>0</v>
      </c>
      <c r="IV120" s="21">
        <f t="shared" si="384"/>
        <v>0</v>
      </c>
      <c r="IW120" s="21">
        <f t="shared" si="385"/>
        <v>0</v>
      </c>
      <c r="IX120" s="21">
        <f t="shared" si="386"/>
        <v>0</v>
      </c>
      <c r="IY120" s="21">
        <f t="shared" si="387"/>
        <v>0</v>
      </c>
      <c r="IZ120" s="21">
        <f t="shared" si="388"/>
        <v>0</v>
      </c>
      <c r="JA120" s="21">
        <f t="shared" si="389"/>
        <v>0</v>
      </c>
      <c r="JB120" s="21">
        <f t="shared" si="390"/>
        <v>0</v>
      </c>
      <c r="JC120" s="21">
        <f t="shared" si="391"/>
        <v>0</v>
      </c>
      <c r="JD120" s="21">
        <f t="shared" si="392"/>
        <v>0</v>
      </c>
      <c r="JE120" s="21">
        <f t="shared" si="393"/>
        <v>0</v>
      </c>
      <c r="JF120" s="21">
        <f t="shared" si="394"/>
        <v>0</v>
      </c>
      <c r="JG120" s="21">
        <f t="shared" si="395"/>
        <v>0</v>
      </c>
      <c r="JH120" s="21">
        <f t="shared" si="396"/>
        <v>0</v>
      </c>
      <c r="JI120" s="21">
        <f t="shared" si="397"/>
        <v>823.04</v>
      </c>
      <c r="JJ120" s="21">
        <f t="shared" si="398"/>
        <v>0</v>
      </c>
      <c r="JK120" s="21">
        <f t="shared" si="399"/>
        <v>0</v>
      </c>
      <c r="JL120" s="21">
        <f t="shared" si="400"/>
        <v>0</v>
      </c>
      <c r="JM120" s="21">
        <f t="shared" si="401"/>
        <v>0</v>
      </c>
      <c r="JN120" s="21">
        <f t="shared" si="402"/>
        <v>0</v>
      </c>
      <c r="JO120" s="35">
        <f t="shared" si="486"/>
        <v>1286</v>
      </c>
      <c r="JP120" s="38">
        <f t="shared" si="487"/>
        <v>0</v>
      </c>
      <c r="JQ120" s="43">
        <f t="shared" si="405"/>
        <v>0</v>
      </c>
      <c r="JR120" s="43">
        <f t="shared" si="406"/>
        <v>0</v>
      </c>
      <c r="JS120" s="43">
        <f t="shared" si="407"/>
        <v>0</v>
      </c>
      <c r="JT120" s="43">
        <f t="shared" si="408"/>
        <v>0</v>
      </c>
      <c r="JU120" s="43">
        <f t="shared" si="409"/>
        <v>0</v>
      </c>
      <c r="JV120" s="43">
        <f t="shared" si="410"/>
        <v>0</v>
      </c>
      <c r="JW120" s="43">
        <f t="shared" si="411"/>
        <v>0</v>
      </c>
      <c r="JX120" s="43">
        <f t="shared" si="412"/>
        <v>0</v>
      </c>
      <c r="JY120" s="43">
        <f t="shared" si="413"/>
        <v>0</v>
      </c>
      <c r="JZ120" s="43">
        <f t="shared" si="414"/>
        <v>0</v>
      </c>
      <c r="KA120" s="43">
        <f t="shared" si="415"/>
        <v>0</v>
      </c>
      <c r="KB120" s="43">
        <f t="shared" si="416"/>
        <v>0</v>
      </c>
      <c r="KC120" s="43">
        <f t="shared" si="417"/>
        <v>0</v>
      </c>
      <c r="KD120" s="43">
        <f t="shared" si="418"/>
        <v>0</v>
      </c>
      <c r="KE120" s="43">
        <f t="shared" si="419"/>
        <v>0</v>
      </c>
      <c r="KF120" s="43">
        <f t="shared" si="420"/>
        <v>0</v>
      </c>
      <c r="KG120" s="43">
        <f t="shared" si="421"/>
        <v>0</v>
      </c>
      <c r="KH120" s="43">
        <f t="shared" si="422"/>
        <v>0</v>
      </c>
      <c r="KI120" s="43">
        <f t="shared" si="423"/>
        <v>0</v>
      </c>
      <c r="KJ120" s="43">
        <f t="shared" si="424"/>
        <v>0</v>
      </c>
      <c r="KK120" s="43">
        <f t="shared" si="425"/>
        <v>0</v>
      </c>
      <c r="KL120" s="43">
        <f t="shared" si="426"/>
        <v>0</v>
      </c>
      <c r="KM120" s="43">
        <f t="shared" si="427"/>
        <v>0</v>
      </c>
      <c r="KN120" s="43">
        <f t="shared" si="428"/>
        <v>0</v>
      </c>
      <c r="KO120" s="43">
        <f t="shared" si="429"/>
        <v>0</v>
      </c>
      <c r="KP120" s="43">
        <f t="shared" si="430"/>
        <v>0</v>
      </c>
      <c r="KQ120" s="43">
        <f t="shared" si="431"/>
        <v>0</v>
      </c>
      <c r="KR120" s="43">
        <f t="shared" si="432"/>
        <v>0</v>
      </c>
      <c r="KS120" s="43">
        <f t="shared" si="433"/>
        <v>1583.0134750836364</v>
      </c>
      <c r="KT120" s="43">
        <f t="shared" si="434"/>
        <v>0</v>
      </c>
      <c r="KU120" s="43">
        <f t="shared" si="435"/>
        <v>0</v>
      </c>
      <c r="KV120" s="43">
        <f t="shared" si="436"/>
        <v>0</v>
      </c>
      <c r="KW120" s="43">
        <f t="shared" si="437"/>
        <v>0</v>
      </c>
      <c r="KX120" s="43">
        <f t="shared" si="438"/>
        <v>0</v>
      </c>
      <c r="KY120" s="43">
        <f t="shared" si="439"/>
        <v>0</v>
      </c>
      <c r="KZ120" s="43">
        <f t="shared" si="440"/>
        <v>0</v>
      </c>
      <c r="LA120" s="43">
        <f t="shared" si="441"/>
        <v>0</v>
      </c>
      <c r="LB120" s="43">
        <f t="shared" si="442"/>
        <v>0</v>
      </c>
      <c r="LC120" s="43">
        <f t="shared" si="443"/>
        <v>0</v>
      </c>
      <c r="LD120" s="43">
        <f t="shared" si="444"/>
        <v>0</v>
      </c>
      <c r="LE120" s="43">
        <f t="shared" si="445"/>
        <v>0</v>
      </c>
      <c r="LF120" s="43">
        <f t="shared" si="446"/>
        <v>0</v>
      </c>
      <c r="LG120" s="43">
        <f t="shared" si="447"/>
        <v>0</v>
      </c>
      <c r="LH120" s="43">
        <f t="shared" si="448"/>
        <v>0</v>
      </c>
      <c r="LI120" s="43">
        <f t="shared" si="449"/>
        <v>0</v>
      </c>
      <c r="LJ120" s="43">
        <f t="shared" si="450"/>
        <v>0</v>
      </c>
      <c r="LK120" s="43">
        <f t="shared" si="451"/>
        <v>3296.89248</v>
      </c>
      <c r="LL120" s="43">
        <f t="shared" si="452"/>
        <v>0</v>
      </c>
      <c r="LM120" s="43">
        <f t="shared" si="453"/>
        <v>0</v>
      </c>
      <c r="LN120" s="43">
        <f t="shared" si="454"/>
        <v>0</v>
      </c>
      <c r="LO120" s="43">
        <f t="shared" si="455"/>
        <v>0</v>
      </c>
      <c r="LP120" s="43">
        <f t="shared" si="456"/>
        <v>0</v>
      </c>
      <c r="LQ120" s="28">
        <f t="shared" si="488"/>
        <v>4879.9059550836364</v>
      </c>
      <c r="LR120" s="65">
        <v>1222</v>
      </c>
      <c r="LS120" s="32">
        <f t="shared" si="462"/>
        <v>3.9933763953221248</v>
      </c>
      <c r="LT120" s="26">
        <f t="shared" si="463"/>
        <v>1.0910864468093238</v>
      </c>
      <c r="LU120" s="31">
        <f t="shared" si="489"/>
        <v>64</v>
      </c>
      <c r="LW120" s="42"/>
      <c r="MA120" s="32">
        <f t="shared" si="490"/>
        <v>3.7946391563636364</v>
      </c>
      <c r="MB120" s="26">
        <f t="shared" si="464"/>
        <v>1.0367866547441629</v>
      </c>
    </row>
    <row r="121" spans="1:340" ht="15.75" thickBot="1">
      <c r="A121" t="b">
        <f t="shared" si="484"/>
        <v>1</v>
      </c>
      <c r="B121" s="123" t="s">
        <v>299</v>
      </c>
      <c r="C121" s="39" t="s">
        <v>300</v>
      </c>
      <c r="D121"/>
      <c r="E121" s="97">
        <v>46041</v>
      </c>
      <c r="F121" t="s">
        <v>43</v>
      </c>
      <c r="G121" t="s">
        <v>20</v>
      </c>
      <c r="H121" t="s">
        <v>27</v>
      </c>
      <c r="I121" s="77"/>
      <c r="J121" s="77"/>
      <c r="K121" s="77"/>
      <c r="L121" s="22"/>
      <c r="M121" s="22"/>
      <c r="N121" s="98"/>
      <c r="O121" s="22"/>
      <c r="P121" s="22"/>
      <c r="Q121" s="22"/>
      <c r="R121" s="22"/>
      <c r="S121" s="104"/>
      <c r="T121" s="22"/>
      <c r="U121" s="22"/>
      <c r="V121" s="104"/>
      <c r="W121" s="22"/>
      <c r="X121" s="22"/>
      <c r="Y121" s="22"/>
      <c r="Z121" s="104"/>
      <c r="AA121" s="104"/>
      <c r="AB121" s="104"/>
      <c r="AC121" s="22"/>
      <c r="AD121" s="22"/>
      <c r="AE121" s="22"/>
      <c r="AF121" s="124"/>
      <c r="AG121" s="124"/>
      <c r="AH121" s="22"/>
      <c r="AI121" s="104"/>
      <c r="AJ121" s="22"/>
      <c r="AK121" s="22">
        <v>0.5</v>
      </c>
      <c r="AL121" s="22"/>
      <c r="AM121" s="22"/>
      <c r="AN121" s="22"/>
      <c r="AO121" s="104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98"/>
      <c r="BB121" s="98"/>
      <c r="BC121" s="124">
        <v>0.5</v>
      </c>
      <c r="BD121" s="124"/>
      <c r="BE121" s="104"/>
      <c r="BF121" s="22"/>
      <c r="BG121" s="22"/>
      <c r="BH121" s="22"/>
      <c r="BI121" s="78">
        <f t="shared" ref="BI121:BI125" si="493">SUM(I121:BH121)</f>
        <v>1</v>
      </c>
      <c r="BJ121" s="23"/>
      <c r="BK121" s="23"/>
      <c r="BL121" s="23"/>
      <c r="BM121" s="23"/>
      <c r="BN121" s="23"/>
      <c r="BO121" s="99"/>
      <c r="BP121" s="23"/>
      <c r="BQ121" s="23"/>
      <c r="BR121" s="23"/>
      <c r="BS121" s="23"/>
      <c r="BT121" s="105"/>
      <c r="BU121" s="23"/>
      <c r="BV121" s="23"/>
      <c r="BW121" s="105"/>
      <c r="BX121" s="23"/>
      <c r="BY121" s="23"/>
      <c r="BZ121" s="23"/>
      <c r="CA121" s="105"/>
      <c r="CB121" s="105"/>
      <c r="CC121" s="105"/>
      <c r="CD121" s="23"/>
      <c r="CE121" s="23"/>
      <c r="CF121" s="71"/>
      <c r="CG121" s="128"/>
      <c r="CH121" s="128"/>
      <c r="CI121" s="23"/>
      <c r="CJ121" s="23"/>
      <c r="CK121" s="23"/>
      <c r="CL121" s="23">
        <v>0.3</v>
      </c>
      <c r="CM121" s="23"/>
      <c r="CN121" s="23"/>
      <c r="CO121" s="23"/>
      <c r="CP121" s="105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3"/>
      <c r="DB121" s="99"/>
      <c r="DC121" s="99"/>
      <c r="DD121" s="125">
        <v>0.7</v>
      </c>
      <c r="DE121" s="125"/>
      <c r="DF121" s="105"/>
      <c r="DG121" s="23"/>
      <c r="DH121" s="23"/>
      <c r="DI121" s="23"/>
      <c r="DJ121" s="79">
        <f t="shared" si="485"/>
        <v>1</v>
      </c>
      <c r="DK121" s="24"/>
      <c r="DL121" s="24"/>
      <c r="DM121" s="24"/>
      <c r="DN121" s="24"/>
      <c r="DO121" s="24"/>
      <c r="DP121" s="103"/>
      <c r="DQ121" s="24"/>
      <c r="DR121" s="24"/>
      <c r="DS121" s="24"/>
      <c r="DT121" s="24"/>
      <c r="DU121" s="108"/>
      <c r="DV121" s="24"/>
      <c r="DW121" s="24"/>
      <c r="DX121" s="108"/>
      <c r="DY121" s="24"/>
      <c r="DZ121" s="24"/>
      <c r="EA121" s="24"/>
      <c r="EB121" s="108"/>
      <c r="EC121" s="108"/>
      <c r="ED121" s="108"/>
      <c r="EE121" s="24"/>
      <c r="EF121" s="24"/>
      <c r="EG121" s="24"/>
      <c r="EH121" s="129"/>
      <c r="EI121" s="129"/>
      <c r="EJ121" s="24"/>
      <c r="EK121" s="24"/>
      <c r="EL121" s="24"/>
      <c r="EM121" s="24">
        <v>0.3</v>
      </c>
      <c r="EN121" s="24"/>
      <c r="EO121" s="24"/>
      <c r="EP121" s="24"/>
      <c r="EQ121" s="108"/>
      <c r="ER121" s="24"/>
      <c r="ES121" s="25"/>
      <c r="ET121" s="25"/>
      <c r="EU121" s="25"/>
      <c r="EV121" s="25"/>
      <c r="EW121" s="25"/>
      <c r="EX121" s="25"/>
      <c r="EY121" s="25"/>
      <c r="EZ121" s="25"/>
      <c r="FA121" s="25"/>
      <c r="FB121" s="25"/>
      <c r="FC121" s="100"/>
      <c r="FD121" s="100"/>
      <c r="FE121" s="126">
        <v>0.7</v>
      </c>
      <c r="FF121" s="126"/>
      <c r="FG121" s="106"/>
      <c r="FH121" s="25"/>
      <c r="FI121" s="25"/>
      <c r="FJ121" s="25"/>
      <c r="FK121" s="17">
        <f t="shared" ref="FK121:FK137" si="494">SUM(DK121:FJ121)</f>
        <v>1</v>
      </c>
      <c r="FL121" s="18"/>
      <c r="FM121" s="19">
        <f t="shared" si="298"/>
        <v>0</v>
      </c>
      <c r="FN121" s="19">
        <f t="shared" si="299"/>
        <v>0</v>
      </c>
      <c r="FO121" s="19">
        <f t="shared" si="300"/>
        <v>0</v>
      </c>
      <c r="FP121" s="19">
        <f t="shared" si="301"/>
        <v>0</v>
      </c>
      <c r="FQ121" s="19">
        <f t="shared" si="302"/>
        <v>0</v>
      </c>
      <c r="FR121" s="19">
        <f t="shared" si="303"/>
        <v>0</v>
      </c>
      <c r="FS121" s="19">
        <f t="shared" si="304"/>
        <v>0</v>
      </c>
      <c r="FT121" s="19">
        <f t="shared" si="305"/>
        <v>0</v>
      </c>
      <c r="FU121" s="19">
        <f t="shared" si="306"/>
        <v>0</v>
      </c>
      <c r="FV121" s="19">
        <f t="shared" si="307"/>
        <v>0</v>
      </c>
      <c r="FW121" s="19">
        <f t="shared" si="308"/>
        <v>0</v>
      </c>
      <c r="FX121" s="19">
        <f t="shared" si="309"/>
        <v>0</v>
      </c>
      <c r="FY121" s="19">
        <f t="shared" si="310"/>
        <v>0</v>
      </c>
      <c r="FZ121" s="19">
        <f t="shared" si="311"/>
        <v>0</v>
      </c>
      <c r="GA121" s="19">
        <f t="shared" si="312"/>
        <v>0</v>
      </c>
      <c r="GB121" s="19">
        <f t="shared" si="313"/>
        <v>0</v>
      </c>
      <c r="GC121" s="19">
        <f t="shared" si="314"/>
        <v>0</v>
      </c>
      <c r="GD121" s="19">
        <f t="shared" si="315"/>
        <v>0</v>
      </c>
      <c r="GE121" s="19">
        <f t="shared" si="316"/>
        <v>0</v>
      </c>
      <c r="GF121" s="19">
        <f t="shared" si="317"/>
        <v>0</v>
      </c>
      <c r="GG121" s="19">
        <f t="shared" si="318"/>
        <v>0</v>
      </c>
      <c r="GH121" s="19">
        <f t="shared" si="319"/>
        <v>0</v>
      </c>
      <c r="GI121" s="19">
        <f t="shared" si="320"/>
        <v>0</v>
      </c>
      <c r="GJ121" s="19">
        <f t="shared" si="321"/>
        <v>0</v>
      </c>
      <c r="GK121" s="19">
        <f t="shared" si="322"/>
        <v>0</v>
      </c>
      <c r="GL121" s="19">
        <f t="shared" si="323"/>
        <v>0</v>
      </c>
      <c r="GM121" s="19">
        <f t="shared" si="324"/>
        <v>0</v>
      </c>
      <c r="GN121" s="19">
        <f t="shared" si="325"/>
        <v>0</v>
      </c>
      <c r="GO121" s="19">
        <f t="shared" si="326"/>
        <v>1.8</v>
      </c>
      <c r="GP121" s="19">
        <f t="shared" si="327"/>
        <v>0</v>
      </c>
      <c r="GQ121" s="19">
        <f t="shared" si="328"/>
        <v>0</v>
      </c>
      <c r="GR121" s="19">
        <f t="shared" si="329"/>
        <v>0</v>
      </c>
      <c r="GS121" s="19">
        <f t="shared" si="330"/>
        <v>0</v>
      </c>
      <c r="GT121" s="19">
        <f t="shared" si="331"/>
        <v>0</v>
      </c>
      <c r="GU121" s="19">
        <f t="shared" si="332"/>
        <v>0</v>
      </c>
      <c r="GV121" s="19">
        <f t="shared" si="333"/>
        <v>0</v>
      </c>
      <c r="GW121" s="19">
        <f t="shared" si="334"/>
        <v>0</v>
      </c>
      <c r="GX121" s="19">
        <f t="shared" si="335"/>
        <v>0</v>
      </c>
      <c r="GY121" s="19">
        <f t="shared" si="336"/>
        <v>0</v>
      </c>
      <c r="GZ121" s="19">
        <f t="shared" si="337"/>
        <v>0</v>
      </c>
      <c r="HA121" s="19">
        <f t="shared" si="338"/>
        <v>0</v>
      </c>
      <c r="HB121" s="19">
        <f t="shared" si="339"/>
        <v>0</v>
      </c>
      <c r="HC121" s="19">
        <f t="shared" si="340"/>
        <v>0</v>
      </c>
      <c r="HD121" s="19">
        <f t="shared" si="341"/>
        <v>0</v>
      </c>
      <c r="HE121" s="19">
        <f t="shared" si="342"/>
        <v>0</v>
      </c>
      <c r="HF121" s="19">
        <f t="shared" si="343"/>
        <v>0</v>
      </c>
      <c r="HG121" s="19">
        <f t="shared" si="344"/>
        <v>3.1999999999999997</v>
      </c>
      <c r="HH121" s="19">
        <f t="shared" si="345"/>
        <v>0</v>
      </c>
      <c r="HI121" s="19">
        <f t="shared" si="346"/>
        <v>0</v>
      </c>
      <c r="HJ121" s="19">
        <f t="shared" si="347"/>
        <v>0</v>
      </c>
      <c r="HK121" s="19">
        <f t="shared" si="348"/>
        <v>0</v>
      </c>
      <c r="HL121" s="19">
        <f t="shared" si="349"/>
        <v>0</v>
      </c>
      <c r="HM121" s="20">
        <f t="shared" si="350"/>
        <v>5</v>
      </c>
      <c r="HN121" s="53">
        <v>1192</v>
      </c>
      <c r="HO121" s="21">
        <f t="shared" si="351"/>
        <v>0</v>
      </c>
      <c r="HP121" s="21">
        <f t="shared" si="352"/>
        <v>0</v>
      </c>
      <c r="HQ121" s="21">
        <f t="shared" si="353"/>
        <v>0</v>
      </c>
      <c r="HR121" s="21">
        <f t="shared" si="354"/>
        <v>0</v>
      </c>
      <c r="HS121" s="21">
        <f t="shared" si="355"/>
        <v>0</v>
      </c>
      <c r="HT121" s="69">
        <f t="shared" si="356"/>
        <v>0</v>
      </c>
      <c r="HU121" s="21">
        <f t="shared" si="357"/>
        <v>0</v>
      </c>
      <c r="HV121" s="21">
        <f t="shared" si="358"/>
        <v>0</v>
      </c>
      <c r="HW121" s="21">
        <f t="shared" si="359"/>
        <v>0</v>
      </c>
      <c r="HX121" s="21">
        <f t="shared" si="360"/>
        <v>0</v>
      </c>
      <c r="HY121" s="21">
        <f t="shared" si="361"/>
        <v>0</v>
      </c>
      <c r="HZ121" s="21">
        <f t="shared" si="362"/>
        <v>0</v>
      </c>
      <c r="IA121" s="21">
        <f t="shared" si="363"/>
        <v>0</v>
      </c>
      <c r="IB121" s="21">
        <f t="shared" si="364"/>
        <v>0</v>
      </c>
      <c r="IC121" s="21">
        <f t="shared" si="365"/>
        <v>0</v>
      </c>
      <c r="ID121" s="21">
        <f t="shared" si="366"/>
        <v>0</v>
      </c>
      <c r="IE121" s="21">
        <f t="shared" si="367"/>
        <v>0</v>
      </c>
      <c r="IF121" s="69">
        <f t="shared" si="368"/>
        <v>0</v>
      </c>
      <c r="IG121" s="69">
        <f t="shared" si="369"/>
        <v>0</v>
      </c>
      <c r="IH121" s="69">
        <f t="shared" si="370"/>
        <v>0</v>
      </c>
      <c r="II121" s="21">
        <f t="shared" si="371"/>
        <v>0</v>
      </c>
      <c r="IJ121" s="21">
        <f t="shared" si="372"/>
        <v>0</v>
      </c>
      <c r="IK121" s="21">
        <f t="shared" si="373"/>
        <v>0</v>
      </c>
      <c r="IL121" s="21">
        <f t="shared" si="374"/>
        <v>0</v>
      </c>
      <c r="IM121" s="21">
        <f t="shared" si="375"/>
        <v>0</v>
      </c>
      <c r="IN121" s="21">
        <f t="shared" si="376"/>
        <v>0</v>
      </c>
      <c r="IO121" s="21">
        <f t="shared" si="377"/>
        <v>0</v>
      </c>
      <c r="IP121" s="21">
        <f t="shared" si="378"/>
        <v>0</v>
      </c>
      <c r="IQ121" s="21">
        <f t="shared" si="379"/>
        <v>429.12</v>
      </c>
      <c r="IR121" s="21">
        <f t="shared" si="380"/>
        <v>0</v>
      </c>
      <c r="IS121" s="21">
        <f t="shared" si="381"/>
        <v>0</v>
      </c>
      <c r="IT121" s="21">
        <f t="shared" si="382"/>
        <v>0</v>
      </c>
      <c r="IU121" s="21">
        <f t="shared" si="383"/>
        <v>0</v>
      </c>
      <c r="IV121" s="21">
        <f t="shared" si="384"/>
        <v>0</v>
      </c>
      <c r="IW121" s="21">
        <f t="shared" si="385"/>
        <v>0</v>
      </c>
      <c r="IX121" s="21">
        <f t="shared" si="386"/>
        <v>0</v>
      </c>
      <c r="IY121" s="21">
        <f t="shared" si="387"/>
        <v>0</v>
      </c>
      <c r="IZ121" s="21">
        <f t="shared" si="388"/>
        <v>0</v>
      </c>
      <c r="JA121" s="21">
        <f t="shared" si="389"/>
        <v>0</v>
      </c>
      <c r="JB121" s="21">
        <f t="shared" si="390"/>
        <v>0</v>
      </c>
      <c r="JC121" s="21">
        <f t="shared" si="391"/>
        <v>0</v>
      </c>
      <c r="JD121" s="21">
        <f t="shared" si="392"/>
        <v>0</v>
      </c>
      <c r="JE121" s="21">
        <f t="shared" si="393"/>
        <v>0</v>
      </c>
      <c r="JF121" s="21">
        <f t="shared" si="394"/>
        <v>0</v>
      </c>
      <c r="JG121" s="21">
        <f t="shared" si="395"/>
        <v>0</v>
      </c>
      <c r="JH121" s="21">
        <f t="shared" si="396"/>
        <v>0</v>
      </c>
      <c r="JI121" s="21">
        <f t="shared" si="397"/>
        <v>762.87999999999988</v>
      </c>
      <c r="JJ121" s="21">
        <f t="shared" si="398"/>
        <v>0</v>
      </c>
      <c r="JK121" s="21">
        <f t="shared" si="399"/>
        <v>0</v>
      </c>
      <c r="JL121" s="21">
        <f t="shared" si="400"/>
        <v>0</v>
      </c>
      <c r="JM121" s="21">
        <f t="shared" si="401"/>
        <v>0</v>
      </c>
      <c r="JN121" s="21">
        <f t="shared" si="402"/>
        <v>0</v>
      </c>
      <c r="JO121" s="35">
        <f t="shared" si="486"/>
        <v>1192</v>
      </c>
      <c r="JP121" s="38">
        <f t="shared" si="487"/>
        <v>0</v>
      </c>
      <c r="JQ121" s="43">
        <f t="shared" si="405"/>
        <v>0</v>
      </c>
      <c r="JR121" s="43">
        <f t="shared" si="406"/>
        <v>0</v>
      </c>
      <c r="JS121" s="43">
        <f t="shared" si="407"/>
        <v>0</v>
      </c>
      <c r="JT121" s="43">
        <f t="shared" si="408"/>
        <v>0</v>
      </c>
      <c r="JU121" s="43">
        <f t="shared" si="409"/>
        <v>0</v>
      </c>
      <c r="JV121" s="43">
        <f t="shared" si="410"/>
        <v>0</v>
      </c>
      <c r="JW121" s="43">
        <f t="shared" si="411"/>
        <v>0</v>
      </c>
      <c r="JX121" s="43">
        <f t="shared" si="412"/>
        <v>0</v>
      </c>
      <c r="JY121" s="43">
        <f t="shared" si="413"/>
        <v>0</v>
      </c>
      <c r="JZ121" s="43">
        <f t="shared" si="414"/>
        <v>0</v>
      </c>
      <c r="KA121" s="43">
        <f t="shared" si="415"/>
        <v>0</v>
      </c>
      <c r="KB121" s="43">
        <f t="shared" si="416"/>
        <v>0</v>
      </c>
      <c r="KC121" s="43">
        <f t="shared" si="417"/>
        <v>0</v>
      </c>
      <c r="KD121" s="43">
        <f t="shared" si="418"/>
        <v>0</v>
      </c>
      <c r="KE121" s="43">
        <f t="shared" si="419"/>
        <v>0</v>
      </c>
      <c r="KF121" s="43">
        <f t="shared" si="420"/>
        <v>0</v>
      </c>
      <c r="KG121" s="43">
        <f t="shared" si="421"/>
        <v>0</v>
      </c>
      <c r="KH121" s="43">
        <f t="shared" si="422"/>
        <v>0</v>
      </c>
      <c r="KI121" s="43">
        <f t="shared" si="423"/>
        <v>0</v>
      </c>
      <c r="KJ121" s="43">
        <f t="shared" si="424"/>
        <v>0</v>
      </c>
      <c r="KK121" s="43">
        <f t="shared" si="425"/>
        <v>0</v>
      </c>
      <c r="KL121" s="43">
        <f t="shared" si="426"/>
        <v>0</v>
      </c>
      <c r="KM121" s="43">
        <f t="shared" si="427"/>
        <v>0</v>
      </c>
      <c r="KN121" s="43">
        <f t="shared" si="428"/>
        <v>0</v>
      </c>
      <c r="KO121" s="43">
        <f t="shared" si="429"/>
        <v>0</v>
      </c>
      <c r="KP121" s="43">
        <f t="shared" si="430"/>
        <v>0</v>
      </c>
      <c r="KQ121" s="43">
        <f t="shared" si="431"/>
        <v>0</v>
      </c>
      <c r="KR121" s="43">
        <f t="shared" si="432"/>
        <v>0</v>
      </c>
      <c r="KS121" s="43">
        <f t="shared" si="433"/>
        <v>1467.3033143854545</v>
      </c>
      <c r="KT121" s="43">
        <f t="shared" si="434"/>
        <v>0</v>
      </c>
      <c r="KU121" s="43">
        <f t="shared" si="435"/>
        <v>0</v>
      </c>
      <c r="KV121" s="43">
        <f t="shared" si="436"/>
        <v>0</v>
      </c>
      <c r="KW121" s="43">
        <f t="shared" si="437"/>
        <v>0</v>
      </c>
      <c r="KX121" s="43">
        <f t="shared" si="438"/>
        <v>0</v>
      </c>
      <c r="KY121" s="43">
        <f t="shared" si="439"/>
        <v>0</v>
      </c>
      <c r="KZ121" s="43">
        <f t="shared" si="440"/>
        <v>0</v>
      </c>
      <c r="LA121" s="43">
        <f t="shared" si="441"/>
        <v>0</v>
      </c>
      <c r="LB121" s="43">
        <f t="shared" si="442"/>
        <v>0</v>
      </c>
      <c r="LC121" s="43">
        <f t="shared" si="443"/>
        <v>0</v>
      </c>
      <c r="LD121" s="43">
        <f t="shared" si="444"/>
        <v>0</v>
      </c>
      <c r="LE121" s="43">
        <f t="shared" si="445"/>
        <v>0</v>
      </c>
      <c r="LF121" s="43">
        <f t="shared" si="446"/>
        <v>0</v>
      </c>
      <c r="LG121" s="43">
        <f t="shared" si="447"/>
        <v>0</v>
      </c>
      <c r="LH121" s="43">
        <f t="shared" si="448"/>
        <v>0</v>
      </c>
      <c r="LI121" s="43">
        <f t="shared" si="449"/>
        <v>0</v>
      </c>
      <c r="LJ121" s="43">
        <f t="shared" si="450"/>
        <v>0</v>
      </c>
      <c r="LK121" s="43">
        <f t="shared" si="451"/>
        <v>3055.9065599999994</v>
      </c>
      <c r="LL121" s="43">
        <f t="shared" si="452"/>
        <v>0</v>
      </c>
      <c r="LM121" s="43">
        <f t="shared" si="453"/>
        <v>0</v>
      </c>
      <c r="LN121" s="43">
        <f t="shared" si="454"/>
        <v>0</v>
      </c>
      <c r="LO121" s="43">
        <f t="shared" si="455"/>
        <v>0</v>
      </c>
      <c r="LP121" s="43">
        <f t="shared" si="456"/>
        <v>0</v>
      </c>
      <c r="LQ121" s="28">
        <f t="shared" si="488"/>
        <v>4523.209874385454</v>
      </c>
      <c r="LR121" s="65">
        <v>1174</v>
      </c>
      <c r="LS121" s="32">
        <f t="shared" ref="LS121:LS137" si="495">LQ121/LR121</f>
        <v>3.8528193137865876</v>
      </c>
      <c r="LT121" s="26">
        <f t="shared" ref="LT121:LT137" si="496">LS121/3.66</f>
        <v>1.0526828726192863</v>
      </c>
      <c r="LU121" s="31">
        <f t="shared" si="489"/>
        <v>18</v>
      </c>
      <c r="LW121" s="42"/>
      <c r="MA121" s="32">
        <f t="shared" si="490"/>
        <v>3.7946391563636359</v>
      </c>
      <c r="MB121" s="26">
        <f t="shared" ref="MB121:MB137" si="497">MA121/3.66</f>
        <v>1.0367866547441629</v>
      </c>
    </row>
    <row r="122" spans="1:340" ht="15.75" thickBot="1">
      <c r="A122" t="b">
        <f t="shared" si="484"/>
        <v>1</v>
      </c>
      <c r="B122" s="123" t="s">
        <v>301</v>
      </c>
      <c r="C122" s="39" t="s">
        <v>302</v>
      </c>
      <c r="D122"/>
      <c r="E122" s="97">
        <v>46041</v>
      </c>
      <c r="F122" t="s">
        <v>43</v>
      </c>
      <c r="G122" t="s">
        <v>20</v>
      </c>
      <c r="H122" t="s">
        <v>27</v>
      </c>
      <c r="I122" s="77"/>
      <c r="J122" s="77"/>
      <c r="K122" s="77"/>
      <c r="L122" s="22"/>
      <c r="M122" s="22"/>
      <c r="N122" s="98"/>
      <c r="O122" s="22"/>
      <c r="P122" s="22"/>
      <c r="Q122" s="22"/>
      <c r="R122" s="22"/>
      <c r="S122" s="104"/>
      <c r="T122" s="22"/>
      <c r="U122" s="22"/>
      <c r="V122" s="104"/>
      <c r="W122" s="22"/>
      <c r="X122" s="22"/>
      <c r="Y122" s="22"/>
      <c r="Z122" s="104"/>
      <c r="AA122" s="104"/>
      <c r="AB122" s="104"/>
      <c r="AC122" s="22"/>
      <c r="AD122" s="22"/>
      <c r="AE122" s="22"/>
      <c r="AF122" s="124"/>
      <c r="AG122" s="124"/>
      <c r="AH122" s="22"/>
      <c r="AI122" s="104"/>
      <c r="AJ122" s="22"/>
      <c r="AK122" s="22">
        <v>0.5</v>
      </c>
      <c r="AL122" s="22"/>
      <c r="AM122" s="22"/>
      <c r="AN122" s="22"/>
      <c r="AO122" s="104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98"/>
      <c r="BB122" s="98"/>
      <c r="BC122" s="124">
        <v>0.5</v>
      </c>
      <c r="BD122" s="124"/>
      <c r="BE122" s="104"/>
      <c r="BF122" s="22"/>
      <c r="BG122" s="22"/>
      <c r="BH122" s="22"/>
      <c r="BI122" s="78">
        <f t="shared" ref="BI122" si="498">SUM(I122:BH122)</f>
        <v>1</v>
      </c>
      <c r="BJ122" s="23"/>
      <c r="BK122" s="23"/>
      <c r="BL122" s="23"/>
      <c r="BM122" s="23"/>
      <c r="BN122" s="23"/>
      <c r="BO122" s="99"/>
      <c r="BP122" s="23"/>
      <c r="BQ122" s="23"/>
      <c r="BR122" s="23"/>
      <c r="BS122" s="23"/>
      <c r="BT122" s="105"/>
      <c r="BU122" s="23"/>
      <c r="BV122" s="23"/>
      <c r="BW122" s="105"/>
      <c r="BX122" s="23"/>
      <c r="BY122" s="23"/>
      <c r="BZ122" s="23"/>
      <c r="CA122" s="105"/>
      <c r="CB122" s="105"/>
      <c r="CC122" s="105"/>
      <c r="CD122" s="23"/>
      <c r="CE122" s="23"/>
      <c r="CF122" s="71"/>
      <c r="CG122" s="128"/>
      <c r="CH122" s="128"/>
      <c r="CI122" s="23"/>
      <c r="CJ122" s="23"/>
      <c r="CK122" s="23"/>
      <c r="CL122" s="23">
        <v>0.3</v>
      </c>
      <c r="CM122" s="23"/>
      <c r="CN122" s="23"/>
      <c r="CO122" s="23"/>
      <c r="CP122" s="105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3"/>
      <c r="DB122" s="99"/>
      <c r="DC122" s="99"/>
      <c r="DD122" s="125">
        <v>0.7</v>
      </c>
      <c r="DE122" s="125"/>
      <c r="DF122" s="105"/>
      <c r="DG122" s="23"/>
      <c r="DH122" s="23"/>
      <c r="DI122" s="23"/>
      <c r="DJ122" s="79">
        <f t="shared" si="485"/>
        <v>1</v>
      </c>
      <c r="DK122" s="24"/>
      <c r="DL122" s="24"/>
      <c r="DM122" s="24"/>
      <c r="DN122" s="24"/>
      <c r="DO122" s="24"/>
      <c r="DP122" s="103"/>
      <c r="DQ122" s="24"/>
      <c r="DR122" s="24"/>
      <c r="DS122" s="24"/>
      <c r="DT122" s="24"/>
      <c r="DU122" s="108"/>
      <c r="DV122" s="24"/>
      <c r="DW122" s="24"/>
      <c r="DX122" s="108"/>
      <c r="DY122" s="24"/>
      <c r="DZ122" s="24"/>
      <c r="EA122" s="24"/>
      <c r="EB122" s="108"/>
      <c r="EC122" s="108"/>
      <c r="ED122" s="108"/>
      <c r="EE122" s="24"/>
      <c r="EF122" s="24"/>
      <c r="EG122" s="24"/>
      <c r="EH122" s="129"/>
      <c r="EI122" s="129"/>
      <c r="EJ122" s="24"/>
      <c r="EK122" s="24"/>
      <c r="EL122" s="24"/>
      <c r="EM122" s="24">
        <v>0.3</v>
      </c>
      <c r="EN122" s="24"/>
      <c r="EO122" s="24"/>
      <c r="EP122" s="24"/>
      <c r="EQ122" s="108"/>
      <c r="ER122" s="24"/>
      <c r="ES122" s="25"/>
      <c r="ET122" s="25"/>
      <c r="EU122" s="25"/>
      <c r="EV122" s="25"/>
      <c r="EW122" s="25"/>
      <c r="EX122" s="25"/>
      <c r="EY122" s="25"/>
      <c r="EZ122" s="25"/>
      <c r="FA122" s="25"/>
      <c r="FB122" s="25"/>
      <c r="FC122" s="100"/>
      <c r="FD122" s="100"/>
      <c r="FE122" s="126">
        <v>0.7</v>
      </c>
      <c r="FF122" s="126"/>
      <c r="FG122" s="106"/>
      <c r="FH122" s="25"/>
      <c r="FI122" s="25"/>
      <c r="FJ122" s="25"/>
      <c r="FK122" s="17">
        <f t="shared" ref="FK122" si="499">SUM(DK122:FJ122)</f>
        <v>1</v>
      </c>
      <c r="FL122" s="18"/>
      <c r="FM122" s="19">
        <f t="shared" si="298"/>
        <v>0</v>
      </c>
      <c r="FN122" s="19">
        <f t="shared" si="299"/>
        <v>0</v>
      </c>
      <c r="FO122" s="19">
        <f t="shared" si="300"/>
        <v>0</v>
      </c>
      <c r="FP122" s="19">
        <f t="shared" si="301"/>
        <v>0</v>
      </c>
      <c r="FQ122" s="19">
        <f t="shared" si="302"/>
        <v>0</v>
      </c>
      <c r="FR122" s="19">
        <f t="shared" si="303"/>
        <v>0</v>
      </c>
      <c r="FS122" s="19">
        <f t="shared" si="304"/>
        <v>0</v>
      </c>
      <c r="FT122" s="19">
        <f t="shared" si="305"/>
        <v>0</v>
      </c>
      <c r="FU122" s="19">
        <f t="shared" si="306"/>
        <v>0</v>
      </c>
      <c r="FV122" s="19">
        <f t="shared" si="307"/>
        <v>0</v>
      </c>
      <c r="FW122" s="19">
        <f t="shared" si="308"/>
        <v>0</v>
      </c>
      <c r="FX122" s="19">
        <f t="shared" si="309"/>
        <v>0</v>
      </c>
      <c r="FY122" s="19">
        <f t="shared" si="310"/>
        <v>0</v>
      </c>
      <c r="FZ122" s="19">
        <f t="shared" si="311"/>
        <v>0</v>
      </c>
      <c r="GA122" s="19">
        <f t="shared" si="312"/>
        <v>0</v>
      </c>
      <c r="GB122" s="19">
        <f t="shared" si="313"/>
        <v>0</v>
      </c>
      <c r="GC122" s="19">
        <f t="shared" si="314"/>
        <v>0</v>
      </c>
      <c r="GD122" s="19">
        <f t="shared" si="315"/>
        <v>0</v>
      </c>
      <c r="GE122" s="19">
        <f t="shared" si="316"/>
        <v>0</v>
      </c>
      <c r="GF122" s="19">
        <f t="shared" si="317"/>
        <v>0</v>
      </c>
      <c r="GG122" s="19">
        <f t="shared" si="318"/>
        <v>0</v>
      </c>
      <c r="GH122" s="19">
        <f t="shared" si="319"/>
        <v>0</v>
      </c>
      <c r="GI122" s="19">
        <f t="shared" si="320"/>
        <v>0</v>
      </c>
      <c r="GJ122" s="19">
        <f t="shared" si="321"/>
        <v>0</v>
      </c>
      <c r="GK122" s="19">
        <f t="shared" si="322"/>
        <v>0</v>
      </c>
      <c r="GL122" s="19">
        <f t="shared" si="323"/>
        <v>0</v>
      </c>
      <c r="GM122" s="19">
        <f t="shared" si="324"/>
        <v>0</v>
      </c>
      <c r="GN122" s="19">
        <f t="shared" si="325"/>
        <v>0</v>
      </c>
      <c r="GO122" s="19">
        <f t="shared" si="326"/>
        <v>1.8</v>
      </c>
      <c r="GP122" s="19">
        <f t="shared" si="327"/>
        <v>0</v>
      </c>
      <c r="GQ122" s="19">
        <f t="shared" si="328"/>
        <v>0</v>
      </c>
      <c r="GR122" s="19">
        <f t="shared" si="329"/>
        <v>0</v>
      </c>
      <c r="GS122" s="19">
        <f t="shared" si="330"/>
        <v>0</v>
      </c>
      <c r="GT122" s="19">
        <f t="shared" si="331"/>
        <v>0</v>
      </c>
      <c r="GU122" s="19">
        <f t="shared" si="332"/>
        <v>0</v>
      </c>
      <c r="GV122" s="19">
        <f t="shared" si="333"/>
        <v>0</v>
      </c>
      <c r="GW122" s="19">
        <f t="shared" si="334"/>
        <v>0</v>
      </c>
      <c r="GX122" s="19">
        <f t="shared" si="335"/>
        <v>0</v>
      </c>
      <c r="GY122" s="19">
        <f t="shared" si="336"/>
        <v>0</v>
      </c>
      <c r="GZ122" s="19">
        <f t="shared" si="337"/>
        <v>0</v>
      </c>
      <c r="HA122" s="19">
        <f t="shared" si="338"/>
        <v>0</v>
      </c>
      <c r="HB122" s="19">
        <f t="shared" si="339"/>
        <v>0</v>
      </c>
      <c r="HC122" s="19">
        <f t="shared" si="340"/>
        <v>0</v>
      </c>
      <c r="HD122" s="19">
        <f t="shared" si="341"/>
        <v>0</v>
      </c>
      <c r="HE122" s="19">
        <f t="shared" si="342"/>
        <v>0</v>
      </c>
      <c r="HF122" s="19">
        <f t="shared" si="343"/>
        <v>0</v>
      </c>
      <c r="HG122" s="19">
        <f t="shared" si="344"/>
        <v>3.1999999999999997</v>
      </c>
      <c r="HH122" s="19">
        <f t="shared" si="345"/>
        <v>0</v>
      </c>
      <c r="HI122" s="19">
        <f t="shared" si="346"/>
        <v>0</v>
      </c>
      <c r="HJ122" s="19">
        <f t="shared" si="347"/>
        <v>0</v>
      </c>
      <c r="HK122" s="19">
        <f t="shared" si="348"/>
        <v>0</v>
      </c>
      <c r="HL122" s="19">
        <f t="shared" si="349"/>
        <v>0</v>
      </c>
      <c r="HM122" s="20">
        <f t="shared" si="350"/>
        <v>5</v>
      </c>
      <c r="HN122" s="53">
        <v>1175</v>
      </c>
      <c r="HO122" s="21">
        <f t="shared" si="351"/>
        <v>0</v>
      </c>
      <c r="HP122" s="21">
        <f t="shared" si="352"/>
        <v>0</v>
      </c>
      <c r="HQ122" s="21">
        <f t="shared" si="353"/>
        <v>0</v>
      </c>
      <c r="HR122" s="21">
        <f t="shared" si="354"/>
        <v>0</v>
      </c>
      <c r="HS122" s="21">
        <f t="shared" si="355"/>
        <v>0</v>
      </c>
      <c r="HT122" s="69">
        <f t="shared" si="356"/>
        <v>0</v>
      </c>
      <c r="HU122" s="21">
        <f t="shared" si="357"/>
        <v>0</v>
      </c>
      <c r="HV122" s="21">
        <f t="shared" si="358"/>
        <v>0</v>
      </c>
      <c r="HW122" s="21">
        <f t="shared" si="359"/>
        <v>0</v>
      </c>
      <c r="HX122" s="21">
        <f t="shared" si="360"/>
        <v>0</v>
      </c>
      <c r="HY122" s="21">
        <f t="shared" si="361"/>
        <v>0</v>
      </c>
      <c r="HZ122" s="21">
        <f t="shared" si="362"/>
        <v>0</v>
      </c>
      <c r="IA122" s="21">
        <f t="shared" si="363"/>
        <v>0</v>
      </c>
      <c r="IB122" s="21">
        <f t="shared" si="364"/>
        <v>0</v>
      </c>
      <c r="IC122" s="21">
        <f t="shared" si="365"/>
        <v>0</v>
      </c>
      <c r="ID122" s="21">
        <f t="shared" si="366"/>
        <v>0</v>
      </c>
      <c r="IE122" s="21">
        <f t="shared" si="367"/>
        <v>0</v>
      </c>
      <c r="IF122" s="69">
        <f t="shared" si="368"/>
        <v>0</v>
      </c>
      <c r="IG122" s="69">
        <f t="shared" si="369"/>
        <v>0</v>
      </c>
      <c r="IH122" s="69">
        <f t="shared" si="370"/>
        <v>0</v>
      </c>
      <c r="II122" s="21">
        <f t="shared" si="371"/>
        <v>0</v>
      </c>
      <c r="IJ122" s="21">
        <f t="shared" si="372"/>
        <v>0</v>
      </c>
      <c r="IK122" s="21">
        <f t="shared" si="373"/>
        <v>0</v>
      </c>
      <c r="IL122" s="21">
        <f t="shared" si="374"/>
        <v>0</v>
      </c>
      <c r="IM122" s="21">
        <f t="shared" si="375"/>
        <v>0</v>
      </c>
      <c r="IN122" s="21">
        <f t="shared" si="376"/>
        <v>0</v>
      </c>
      <c r="IO122" s="21">
        <f t="shared" si="377"/>
        <v>0</v>
      </c>
      <c r="IP122" s="21">
        <f t="shared" si="378"/>
        <v>0</v>
      </c>
      <c r="IQ122" s="21">
        <f t="shared" si="379"/>
        <v>423</v>
      </c>
      <c r="IR122" s="21">
        <f t="shared" si="380"/>
        <v>0</v>
      </c>
      <c r="IS122" s="21">
        <f t="shared" si="381"/>
        <v>0</v>
      </c>
      <c r="IT122" s="21">
        <f t="shared" si="382"/>
        <v>0</v>
      </c>
      <c r="IU122" s="21">
        <f t="shared" si="383"/>
        <v>0</v>
      </c>
      <c r="IV122" s="21">
        <f t="shared" si="384"/>
        <v>0</v>
      </c>
      <c r="IW122" s="21">
        <f t="shared" si="385"/>
        <v>0</v>
      </c>
      <c r="IX122" s="21">
        <f t="shared" si="386"/>
        <v>0</v>
      </c>
      <c r="IY122" s="21">
        <f t="shared" si="387"/>
        <v>0</v>
      </c>
      <c r="IZ122" s="21">
        <f t="shared" si="388"/>
        <v>0</v>
      </c>
      <c r="JA122" s="21">
        <f t="shared" si="389"/>
        <v>0</v>
      </c>
      <c r="JB122" s="21">
        <f t="shared" si="390"/>
        <v>0</v>
      </c>
      <c r="JC122" s="21">
        <f t="shared" si="391"/>
        <v>0</v>
      </c>
      <c r="JD122" s="21">
        <f t="shared" si="392"/>
        <v>0</v>
      </c>
      <c r="JE122" s="21">
        <f t="shared" si="393"/>
        <v>0</v>
      </c>
      <c r="JF122" s="21">
        <f t="shared" si="394"/>
        <v>0</v>
      </c>
      <c r="JG122" s="21">
        <f t="shared" si="395"/>
        <v>0</v>
      </c>
      <c r="JH122" s="21">
        <f t="shared" si="396"/>
        <v>0</v>
      </c>
      <c r="JI122" s="21">
        <f t="shared" si="397"/>
        <v>751.99999999999989</v>
      </c>
      <c r="JJ122" s="21">
        <f t="shared" si="398"/>
        <v>0</v>
      </c>
      <c r="JK122" s="21">
        <f t="shared" si="399"/>
        <v>0</v>
      </c>
      <c r="JL122" s="21">
        <f t="shared" si="400"/>
        <v>0</v>
      </c>
      <c r="JM122" s="21">
        <f t="shared" si="401"/>
        <v>0</v>
      </c>
      <c r="JN122" s="21">
        <f t="shared" si="402"/>
        <v>0</v>
      </c>
      <c r="JO122" s="35">
        <f t="shared" si="486"/>
        <v>1175</v>
      </c>
      <c r="JP122" s="38">
        <f t="shared" si="487"/>
        <v>0</v>
      </c>
      <c r="JQ122" s="43">
        <f t="shared" si="405"/>
        <v>0</v>
      </c>
      <c r="JR122" s="43">
        <f t="shared" si="406"/>
        <v>0</v>
      </c>
      <c r="JS122" s="43">
        <f t="shared" si="407"/>
        <v>0</v>
      </c>
      <c r="JT122" s="43">
        <f t="shared" si="408"/>
        <v>0</v>
      </c>
      <c r="JU122" s="43">
        <f t="shared" si="409"/>
        <v>0</v>
      </c>
      <c r="JV122" s="43">
        <f t="shared" si="410"/>
        <v>0</v>
      </c>
      <c r="JW122" s="43">
        <f t="shared" si="411"/>
        <v>0</v>
      </c>
      <c r="JX122" s="43">
        <f t="shared" si="412"/>
        <v>0</v>
      </c>
      <c r="JY122" s="43">
        <f t="shared" si="413"/>
        <v>0</v>
      </c>
      <c r="JZ122" s="43">
        <f t="shared" si="414"/>
        <v>0</v>
      </c>
      <c r="KA122" s="43">
        <f t="shared" si="415"/>
        <v>0</v>
      </c>
      <c r="KB122" s="43">
        <f t="shared" si="416"/>
        <v>0</v>
      </c>
      <c r="KC122" s="43">
        <f t="shared" si="417"/>
        <v>0</v>
      </c>
      <c r="KD122" s="43">
        <f t="shared" si="418"/>
        <v>0</v>
      </c>
      <c r="KE122" s="43">
        <f t="shared" si="419"/>
        <v>0</v>
      </c>
      <c r="KF122" s="43">
        <f t="shared" si="420"/>
        <v>0</v>
      </c>
      <c r="KG122" s="43">
        <f t="shared" si="421"/>
        <v>0</v>
      </c>
      <c r="KH122" s="43">
        <f t="shared" si="422"/>
        <v>0</v>
      </c>
      <c r="KI122" s="43">
        <f t="shared" si="423"/>
        <v>0</v>
      </c>
      <c r="KJ122" s="43">
        <f t="shared" si="424"/>
        <v>0</v>
      </c>
      <c r="KK122" s="43">
        <f t="shared" si="425"/>
        <v>0</v>
      </c>
      <c r="KL122" s="43">
        <f t="shared" si="426"/>
        <v>0</v>
      </c>
      <c r="KM122" s="43">
        <f t="shared" si="427"/>
        <v>0</v>
      </c>
      <c r="KN122" s="43">
        <f t="shared" si="428"/>
        <v>0</v>
      </c>
      <c r="KO122" s="43">
        <f t="shared" si="429"/>
        <v>0</v>
      </c>
      <c r="KP122" s="43">
        <f t="shared" si="430"/>
        <v>0</v>
      </c>
      <c r="KQ122" s="43">
        <f t="shared" si="431"/>
        <v>0</v>
      </c>
      <c r="KR122" s="43">
        <f t="shared" si="432"/>
        <v>0</v>
      </c>
      <c r="KS122" s="43">
        <f t="shared" si="433"/>
        <v>1446.3770087272728</v>
      </c>
      <c r="KT122" s="43">
        <f t="shared" si="434"/>
        <v>0</v>
      </c>
      <c r="KU122" s="43">
        <f t="shared" si="435"/>
        <v>0</v>
      </c>
      <c r="KV122" s="43">
        <f t="shared" si="436"/>
        <v>0</v>
      </c>
      <c r="KW122" s="43">
        <f t="shared" si="437"/>
        <v>0</v>
      </c>
      <c r="KX122" s="43">
        <f t="shared" si="438"/>
        <v>0</v>
      </c>
      <c r="KY122" s="43">
        <f t="shared" si="439"/>
        <v>0</v>
      </c>
      <c r="KZ122" s="43">
        <f t="shared" si="440"/>
        <v>0</v>
      </c>
      <c r="LA122" s="43">
        <f t="shared" si="441"/>
        <v>0</v>
      </c>
      <c r="LB122" s="43">
        <f t="shared" si="442"/>
        <v>0</v>
      </c>
      <c r="LC122" s="43">
        <f t="shared" si="443"/>
        <v>0</v>
      </c>
      <c r="LD122" s="43">
        <f t="shared" si="444"/>
        <v>0</v>
      </c>
      <c r="LE122" s="43">
        <f t="shared" si="445"/>
        <v>0</v>
      </c>
      <c r="LF122" s="43">
        <f t="shared" si="446"/>
        <v>0</v>
      </c>
      <c r="LG122" s="43">
        <f t="shared" si="447"/>
        <v>0</v>
      </c>
      <c r="LH122" s="43">
        <f t="shared" si="448"/>
        <v>0</v>
      </c>
      <c r="LI122" s="43">
        <f t="shared" si="449"/>
        <v>0</v>
      </c>
      <c r="LJ122" s="43">
        <f t="shared" si="450"/>
        <v>0</v>
      </c>
      <c r="LK122" s="43">
        <f t="shared" si="451"/>
        <v>3012.3239999999996</v>
      </c>
      <c r="LL122" s="43">
        <f t="shared" si="452"/>
        <v>0</v>
      </c>
      <c r="LM122" s="43">
        <f t="shared" si="453"/>
        <v>0</v>
      </c>
      <c r="LN122" s="43">
        <f t="shared" si="454"/>
        <v>0</v>
      </c>
      <c r="LO122" s="43">
        <f t="shared" si="455"/>
        <v>0</v>
      </c>
      <c r="LP122" s="43">
        <f t="shared" si="456"/>
        <v>0</v>
      </c>
      <c r="LQ122" s="28">
        <f t="shared" si="488"/>
        <v>4458.701008727272</v>
      </c>
      <c r="LR122" s="65">
        <v>1156</v>
      </c>
      <c r="LS122" s="32">
        <f t="shared" ref="LS122" si="500">LQ122/LR122</f>
        <v>3.8570077930166713</v>
      </c>
      <c r="LT122" s="26">
        <f t="shared" ref="LT122" si="501">LS122/3.66</f>
        <v>1.0538272658515495</v>
      </c>
      <c r="LU122" s="31">
        <f t="shared" si="489"/>
        <v>19</v>
      </c>
      <c r="LW122" s="42"/>
      <c r="MA122" s="32">
        <f t="shared" si="490"/>
        <v>3.7946391563636359</v>
      </c>
      <c r="MB122" s="26">
        <f t="shared" ref="MB122" si="502">MA122/3.66</f>
        <v>1.0367866547441629</v>
      </c>
    </row>
    <row r="123" spans="1:340" ht="15.75" thickBot="1">
      <c r="A123" t="b">
        <f t="shared" si="484"/>
        <v>1</v>
      </c>
      <c r="B123" s="123" t="s">
        <v>303</v>
      </c>
      <c r="C123" s="39" t="s">
        <v>304</v>
      </c>
      <c r="D123"/>
      <c r="E123" s="97">
        <v>46041</v>
      </c>
      <c r="F123" t="s">
        <v>43</v>
      </c>
      <c r="G123" t="s">
        <v>20</v>
      </c>
      <c r="H123" t="s">
        <v>27</v>
      </c>
      <c r="I123" s="77"/>
      <c r="J123" s="77"/>
      <c r="K123" s="77"/>
      <c r="L123" s="22"/>
      <c r="M123" s="22"/>
      <c r="N123" s="98"/>
      <c r="O123" s="22"/>
      <c r="P123" s="22"/>
      <c r="Q123" s="22"/>
      <c r="R123" s="22"/>
      <c r="S123" s="104"/>
      <c r="T123" s="22"/>
      <c r="U123" s="22"/>
      <c r="V123" s="104"/>
      <c r="W123" s="22"/>
      <c r="X123" s="22"/>
      <c r="Y123" s="22"/>
      <c r="Z123" s="104"/>
      <c r="AA123" s="104"/>
      <c r="AB123" s="104"/>
      <c r="AC123" s="22"/>
      <c r="AD123" s="22"/>
      <c r="AE123" s="22"/>
      <c r="AF123" s="124"/>
      <c r="AG123" s="124"/>
      <c r="AH123" s="22"/>
      <c r="AI123" s="22"/>
      <c r="AJ123" s="22"/>
      <c r="AK123" s="22">
        <v>0.5</v>
      </c>
      <c r="AL123" s="22"/>
      <c r="AM123" s="22"/>
      <c r="AN123" s="22"/>
      <c r="AO123" s="104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98"/>
      <c r="BB123" s="98"/>
      <c r="BC123" s="124">
        <v>0.5</v>
      </c>
      <c r="BD123" s="124"/>
      <c r="BE123" s="104"/>
      <c r="BF123" s="22"/>
      <c r="BG123" s="22"/>
      <c r="BH123" s="22"/>
      <c r="BI123" s="78">
        <f t="shared" si="493"/>
        <v>1</v>
      </c>
      <c r="BJ123" s="23"/>
      <c r="BK123" s="23"/>
      <c r="BL123" s="23"/>
      <c r="BM123" s="23"/>
      <c r="BN123" s="23"/>
      <c r="BO123" s="99"/>
      <c r="BP123" s="23"/>
      <c r="BQ123" s="23"/>
      <c r="BR123" s="23"/>
      <c r="BS123" s="23"/>
      <c r="BT123" s="105"/>
      <c r="BU123" s="23"/>
      <c r="BV123" s="23"/>
      <c r="BW123" s="105"/>
      <c r="BX123" s="23"/>
      <c r="BY123" s="23"/>
      <c r="BZ123" s="23"/>
      <c r="CA123" s="105"/>
      <c r="CB123" s="105"/>
      <c r="CC123" s="105"/>
      <c r="CD123" s="23"/>
      <c r="CE123" s="23"/>
      <c r="CF123" s="71"/>
      <c r="CG123" s="128"/>
      <c r="CH123" s="128"/>
      <c r="CI123" s="23"/>
      <c r="CJ123" s="23"/>
      <c r="CK123" s="23"/>
      <c r="CL123" s="23">
        <v>0.3</v>
      </c>
      <c r="CM123" s="23"/>
      <c r="CN123" s="23"/>
      <c r="CO123" s="23"/>
      <c r="CP123" s="105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B123" s="99"/>
      <c r="DC123" s="99"/>
      <c r="DD123" s="125">
        <v>0.7</v>
      </c>
      <c r="DE123" s="125"/>
      <c r="DF123" s="105"/>
      <c r="DG123" s="23"/>
      <c r="DH123" s="23"/>
      <c r="DI123" s="23"/>
      <c r="DJ123" s="79">
        <f t="shared" si="485"/>
        <v>1</v>
      </c>
      <c r="DK123" s="24"/>
      <c r="DL123" s="24"/>
      <c r="DM123" s="24"/>
      <c r="DN123" s="24"/>
      <c r="DO123" s="24"/>
      <c r="DP123" s="103"/>
      <c r="DQ123" s="24"/>
      <c r="DR123" s="24"/>
      <c r="DS123" s="24"/>
      <c r="DT123" s="24"/>
      <c r="DU123" s="108"/>
      <c r="DV123" s="24"/>
      <c r="DW123" s="24"/>
      <c r="DX123" s="108"/>
      <c r="DY123" s="24"/>
      <c r="DZ123" s="24"/>
      <c r="EA123" s="24"/>
      <c r="EB123" s="108"/>
      <c r="EC123" s="108"/>
      <c r="ED123" s="108"/>
      <c r="EE123" s="24"/>
      <c r="EF123" s="24"/>
      <c r="EG123" s="24"/>
      <c r="EH123" s="129"/>
      <c r="EI123" s="129"/>
      <c r="EJ123" s="24"/>
      <c r="EK123" s="24"/>
      <c r="EL123" s="24"/>
      <c r="EM123" s="24">
        <v>0.3</v>
      </c>
      <c r="EN123" s="24"/>
      <c r="EO123" s="24"/>
      <c r="EP123" s="24"/>
      <c r="EQ123" s="108"/>
      <c r="ER123" s="24"/>
      <c r="ES123" s="25"/>
      <c r="ET123" s="25"/>
      <c r="EU123" s="25"/>
      <c r="EV123" s="25"/>
      <c r="EW123" s="25"/>
      <c r="EX123" s="25"/>
      <c r="EY123" s="25"/>
      <c r="EZ123" s="25"/>
      <c r="FA123" s="25"/>
      <c r="FB123" s="25"/>
      <c r="FC123" s="100"/>
      <c r="FD123" s="100"/>
      <c r="FE123" s="126">
        <v>0.7</v>
      </c>
      <c r="FF123" s="126"/>
      <c r="FG123" s="106"/>
      <c r="FH123" s="25"/>
      <c r="FI123" s="25"/>
      <c r="FJ123" s="25"/>
      <c r="FK123" s="17">
        <f t="shared" si="494"/>
        <v>1</v>
      </c>
      <c r="FL123" s="18"/>
      <c r="FM123" s="19">
        <f t="shared" si="298"/>
        <v>0</v>
      </c>
      <c r="FN123" s="19">
        <f t="shared" si="299"/>
        <v>0</v>
      </c>
      <c r="FO123" s="19">
        <f t="shared" si="300"/>
        <v>0</v>
      </c>
      <c r="FP123" s="19">
        <f t="shared" si="301"/>
        <v>0</v>
      </c>
      <c r="FQ123" s="19">
        <f t="shared" si="302"/>
        <v>0</v>
      </c>
      <c r="FR123" s="19">
        <f t="shared" si="303"/>
        <v>0</v>
      </c>
      <c r="FS123" s="19">
        <f t="shared" si="304"/>
        <v>0</v>
      </c>
      <c r="FT123" s="19">
        <f t="shared" si="305"/>
        <v>0</v>
      </c>
      <c r="FU123" s="19">
        <f t="shared" si="306"/>
        <v>0</v>
      </c>
      <c r="FV123" s="19">
        <f t="shared" si="307"/>
        <v>0</v>
      </c>
      <c r="FW123" s="19">
        <f t="shared" si="308"/>
        <v>0</v>
      </c>
      <c r="FX123" s="19">
        <f t="shared" si="309"/>
        <v>0</v>
      </c>
      <c r="FY123" s="19">
        <f t="shared" si="310"/>
        <v>0</v>
      </c>
      <c r="FZ123" s="19">
        <f t="shared" si="311"/>
        <v>0</v>
      </c>
      <c r="GA123" s="19">
        <f t="shared" si="312"/>
        <v>0</v>
      </c>
      <c r="GB123" s="19">
        <f t="shared" si="313"/>
        <v>0</v>
      </c>
      <c r="GC123" s="19">
        <f t="shared" si="314"/>
        <v>0</v>
      </c>
      <c r="GD123" s="19">
        <f t="shared" si="315"/>
        <v>0</v>
      </c>
      <c r="GE123" s="19">
        <f t="shared" si="316"/>
        <v>0</v>
      </c>
      <c r="GF123" s="19">
        <f t="shared" si="317"/>
        <v>0</v>
      </c>
      <c r="GG123" s="19">
        <f t="shared" si="318"/>
        <v>0</v>
      </c>
      <c r="GH123" s="19">
        <f t="shared" si="319"/>
        <v>0</v>
      </c>
      <c r="GI123" s="19">
        <f t="shared" si="320"/>
        <v>0</v>
      </c>
      <c r="GJ123" s="19">
        <f t="shared" si="321"/>
        <v>0</v>
      </c>
      <c r="GK123" s="19">
        <f t="shared" si="322"/>
        <v>0</v>
      </c>
      <c r="GL123" s="19">
        <f t="shared" si="323"/>
        <v>0</v>
      </c>
      <c r="GM123" s="19">
        <f t="shared" si="324"/>
        <v>0</v>
      </c>
      <c r="GN123" s="19">
        <f t="shared" si="325"/>
        <v>0</v>
      </c>
      <c r="GO123" s="19">
        <f t="shared" si="326"/>
        <v>1.8</v>
      </c>
      <c r="GP123" s="19">
        <f t="shared" si="327"/>
        <v>0</v>
      </c>
      <c r="GQ123" s="19">
        <f t="shared" si="328"/>
        <v>0</v>
      </c>
      <c r="GR123" s="19">
        <f t="shared" si="329"/>
        <v>0</v>
      </c>
      <c r="GS123" s="19">
        <f t="shared" si="330"/>
        <v>0</v>
      </c>
      <c r="GT123" s="19">
        <f t="shared" si="331"/>
        <v>0</v>
      </c>
      <c r="GU123" s="19">
        <f t="shared" si="332"/>
        <v>0</v>
      </c>
      <c r="GV123" s="19">
        <f t="shared" si="333"/>
        <v>0</v>
      </c>
      <c r="GW123" s="19">
        <f t="shared" si="334"/>
        <v>0</v>
      </c>
      <c r="GX123" s="19">
        <f t="shared" si="335"/>
        <v>0</v>
      </c>
      <c r="GY123" s="19">
        <f t="shared" si="336"/>
        <v>0</v>
      </c>
      <c r="GZ123" s="19">
        <f t="shared" si="337"/>
        <v>0</v>
      </c>
      <c r="HA123" s="19">
        <f t="shared" si="338"/>
        <v>0</v>
      </c>
      <c r="HB123" s="19">
        <f t="shared" si="339"/>
        <v>0</v>
      </c>
      <c r="HC123" s="19">
        <f t="shared" si="340"/>
        <v>0</v>
      </c>
      <c r="HD123" s="19">
        <f t="shared" si="341"/>
        <v>0</v>
      </c>
      <c r="HE123" s="19">
        <f t="shared" si="342"/>
        <v>0</v>
      </c>
      <c r="HF123" s="19">
        <f t="shared" si="343"/>
        <v>0</v>
      </c>
      <c r="HG123" s="19">
        <f t="shared" si="344"/>
        <v>3.1999999999999997</v>
      </c>
      <c r="HH123" s="19">
        <f t="shared" si="345"/>
        <v>0</v>
      </c>
      <c r="HI123" s="19">
        <f t="shared" si="346"/>
        <v>0</v>
      </c>
      <c r="HJ123" s="19">
        <f t="shared" si="347"/>
        <v>0</v>
      </c>
      <c r="HK123" s="19">
        <f t="shared" si="348"/>
        <v>0</v>
      </c>
      <c r="HL123" s="19">
        <f t="shared" si="349"/>
        <v>0</v>
      </c>
      <c r="HM123" s="20">
        <f t="shared" si="350"/>
        <v>5</v>
      </c>
      <c r="HN123" s="53">
        <v>1415</v>
      </c>
      <c r="HO123" s="21">
        <f t="shared" si="351"/>
        <v>0</v>
      </c>
      <c r="HP123" s="21">
        <f t="shared" si="352"/>
        <v>0</v>
      </c>
      <c r="HQ123" s="21">
        <f t="shared" si="353"/>
        <v>0</v>
      </c>
      <c r="HR123" s="21">
        <f t="shared" si="354"/>
        <v>0</v>
      </c>
      <c r="HS123" s="21">
        <f t="shared" si="355"/>
        <v>0</v>
      </c>
      <c r="HT123" s="69">
        <f t="shared" si="356"/>
        <v>0</v>
      </c>
      <c r="HU123" s="21">
        <f t="shared" si="357"/>
        <v>0</v>
      </c>
      <c r="HV123" s="21">
        <f t="shared" si="358"/>
        <v>0</v>
      </c>
      <c r="HW123" s="21">
        <f t="shared" si="359"/>
        <v>0</v>
      </c>
      <c r="HX123" s="21">
        <f t="shared" si="360"/>
        <v>0</v>
      </c>
      <c r="HY123" s="21">
        <f t="shared" si="361"/>
        <v>0</v>
      </c>
      <c r="HZ123" s="21">
        <f t="shared" si="362"/>
        <v>0</v>
      </c>
      <c r="IA123" s="21">
        <f t="shared" si="363"/>
        <v>0</v>
      </c>
      <c r="IB123" s="21">
        <f t="shared" si="364"/>
        <v>0</v>
      </c>
      <c r="IC123" s="21">
        <f t="shared" si="365"/>
        <v>0</v>
      </c>
      <c r="ID123" s="21">
        <f t="shared" si="366"/>
        <v>0</v>
      </c>
      <c r="IE123" s="21">
        <f t="shared" si="367"/>
        <v>0</v>
      </c>
      <c r="IF123" s="69">
        <f t="shared" si="368"/>
        <v>0</v>
      </c>
      <c r="IG123" s="69">
        <f t="shared" si="369"/>
        <v>0</v>
      </c>
      <c r="IH123" s="69">
        <f t="shared" si="370"/>
        <v>0</v>
      </c>
      <c r="II123" s="21">
        <f t="shared" si="371"/>
        <v>0</v>
      </c>
      <c r="IJ123" s="21">
        <f t="shared" si="372"/>
        <v>0</v>
      </c>
      <c r="IK123" s="21">
        <f t="shared" si="373"/>
        <v>0</v>
      </c>
      <c r="IL123" s="21">
        <f t="shared" si="374"/>
        <v>0</v>
      </c>
      <c r="IM123" s="21">
        <f t="shared" si="375"/>
        <v>0</v>
      </c>
      <c r="IN123" s="21">
        <f t="shared" si="376"/>
        <v>0</v>
      </c>
      <c r="IO123" s="21">
        <f t="shared" si="377"/>
        <v>0</v>
      </c>
      <c r="IP123" s="21">
        <f t="shared" si="378"/>
        <v>0</v>
      </c>
      <c r="IQ123" s="21">
        <f t="shared" si="379"/>
        <v>509.4</v>
      </c>
      <c r="IR123" s="21">
        <f t="shared" si="380"/>
        <v>0</v>
      </c>
      <c r="IS123" s="21">
        <f t="shared" si="381"/>
        <v>0</v>
      </c>
      <c r="IT123" s="21">
        <f t="shared" si="382"/>
        <v>0</v>
      </c>
      <c r="IU123" s="21">
        <f t="shared" si="383"/>
        <v>0</v>
      </c>
      <c r="IV123" s="21">
        <f t="shared" si="384"/>
        <v>0</v>
      </c>
      <c r="IW123" s="21">
        <f t="shared" si="385"/>
        <v>0</v>
      </c>
      <c r="IX123" s="21">
        <f t="shared" si="386"/>
        <v>0</v>
      </c>
      <c r="IY123" s="21">
        <f t="shared" si="387"/>
        <v>0</v>
      </c>
      <c r="IZ123" s="21">
        <f t="shared" si="388"/>
        <v>0</v>
      </c>
      <c r="JA123" s="21">
        <f t="shared" si="389"/>
        <v>0</v>
      </c>
      <c r="JB123" s="21">
        <f t="shared" si="390"/>
        <v>0</v>
      </c>
      <c r="JC123" s="21">
        <f t="shared" si="391"/>
        <v>0</v>
      </c>
      <c r="JD123" s="21">
        <f t="shared" si="392"/>
        <v>0</v>
      </c>
      <c r="JE123" s="21">
        <f t="shared" si="393"/>
        <v>0</v>
      </c>
      <c r="JF123" s="21">
        <f t="shared" si="394"/>
        <v>0</v>
      </c>
      <c r="JG123" s="21">
        <f t="shared" si="395"/>
        <v>0</v>
      </c>
      <c r="JH123" s="21">
        <f t="shared" si="396"/>
        <v>0</v>
      </c>
      <c r="JI123" s="21">
        <f t="shared" si="397"/>
        <v>905.6</v>
      </c>
      <c r="JJ123" s="21">
        <f t="shared" si="398"/>
        <v>0</v>
      </c>
      <c r="JK123" s="21">
        <f t="shared" si="399"/>
        <v>0</v>
      </c>
      <c r="JL123" s="21">
        <f t="shared" si="400"/>
        <v>0</v>
      </c>
      <c r="JM123" s="21">
        <f t="shared" si="401"/>
        <v>0</v>
      </c>
      <c r="JN123" s="21">
        <f t="shared" si="402"/>
        <v>0</v>
      </c>
      <c r="JO123" s="35">
        <f t="shared" si="486"/>
        <v>1415</v>
      </c>
      <c r="JP123" s="38">
        <f t="shared" si="487"/>
        <v>0</v>
      </c>
      <c r="JQ123" s="43">
        <f t="shared" si="405"/>
        <v>0</v>
      </c>
      <c r="JR123" s="43">
        <f t="shared" si="406"/>
        <v>0</v>
      </c>
      <c r="JS123" s="43">
        <f t="shared" si="407"/>
        <v>0</v>
      </c>
      <c r="JT123" s="43">
        <f t="shared" si="408"/>
        <v>0</v>
      </c>
      <c r="JU123" s="43">
        <f t="shared" si="409"/>
        <v>0</v>
      </c>
      <c r="JV123" s="43">
        <f t="shared" si="410"/>
        <v>0</v>
      </c>
      <c r="JW123" s="43">
        <f t="shared" si="411"/>
        <v>0</v>
      </c>
      <c r="JX123" s="43">
        <f t="shared" si="412"/>
        <v>0</v>
      </c>
      <c r="JY123" s="43">
        <f t="shared" si="413"/>
        <v>0</v>
      </c>
      <c r="JZ123" s="43">
        <f t="shared" si="414"/>
        <v>0</v>
      </c>
      <c r="KA123" s="43">
        <f t="shared" si="415"/>
        <v>0</v>
      </c>
      <c r="KB123" s="43">
        <f t="shared" si="416"/>
        <v>0</v>
      </c>
      <c r="KC123" s="43">
        <f t="shared" si="417"/>
        <v>0</v>
      </c>
      <c r="KD123" s="43">
        <f t="shared" si="418"/>
        <v>0</v>
      </c>
      <c r="KE123" s="43">
        <f t="shared" si="419"/>
        <v>0</v>
      </c>
      <c r="KF123" s="43">
        <f t="shared" si="420"/>
        <v>0</v>
      </c>
      <c r="KG123" s="43">
        <f t="shared" si="421"/>
        <v>0</v>
      </c>
      <c r="KH123" s="43">
        <f t="shared" si="422"/>
        <v>0</v>
      </c>
      <c r="KI123" s="43">
        <f t="shared" si="423"/>
        <v>0</v>
      </c>
      <c r="KJ123" s="43">
        <f t="shared" si="424"/>
        <v>0</v>
      </c>
      <c r="KK123" s="43">
        <f t="shared" si="425"/>
        <v>0</v>
      </c>
      <c r="KL123" s="43">
        <f t="shared" si="426"/>
        <v>0</v>
      </c>
      <c r="KM123" s="43">
        <f t="shared" si="427"/>
        <v>0</v>
      </c>
      <c r="KN123" s="43">
        <f t="shared" si="428"/>
        <v>0</v>
      </c>
      <c r="KO123" s="43">
        <f t="shared" si="429"/>
        <v>0</v>
      </c>
      <c r="KP123" s="43">
        <f t="shared" si="430"/>
        <v>0</v>
      </c>
      <c r="KQ123" s="43">
        <f t="shared" si="431"/>
        <v>0</v>
      </c>
      <c r="KR123" s="43">
        <f t="shared" si="432"/>
        <v>0</v>
      </c>
      <c r="KS123" s="43">
        <f t="shared" si="433"/>
        <v>1741.8072062545455</v>
      </c>
      <c r="KT123" s="43">
        <f t="shared" si="434"/>
        <v>0</v>
      </c>
      <c r="KU123" s="43">
        <f t="shared" si="435"/>
        <v>0</v>
      </c>
      <c r="KV123" s="43">
        <f t="shared" si="436"/>
        <v>0</v>
      </c>
      <c r="KW123" s="43">
        <f t="shared" si="437"/>
        <v>0</v>
      </c>
      <c r="KX123" s="43">
        <f t="shared" si="438"/>
        <v>0</v>
      </c>
      <c r="KY123" s="43">
        <f t="shared" si="439"/>
        <v>0</v>
      </c>
      <c r="KZ123" s="43">
        <f t="shared" si="440"/>
        <v>0</v>
      </c>
      <c r="LA123" s="43">
        <f t="shared" si="441"/>
        <v>0</v>
      </c>
      <c r="LB123" s="43">
        <f t="shared" si="442"/>
        <v>0</v>
      </c>
      <c r="LC123" s="43">
        <f t="shared" si="443"/>
        <v>0</v>
      </c>
      <c r="LD123" s="43">
        <f t="shared" si="444"/>
        <v>0</v>
      </c>
      <c r="LE123" s="43">
        <f t="shared" si="445"/>
        <v>0</v>
      </c>
      <c r="LF123" s="43">
        <f t="shared" si="446"/>
        <v>0</v>
      </c>
      <c r="LG123" s="43">
        <f t="shared" si="447"/>
        <v>0</v>
      </c>
      <c r="LH123" s="43">
        <f t="shared" si="448"/>
        <v>0</v>
      </c>
      <c r="LI123" s="43">
        <f t="shared" si="449"/>
        <v>0</v>
      </c>
      <c r="LJ123" s="43">
        <f t="shared" si="450"/>
        <v>0</v>
      </c>
      <c r="LK123" s="43">
        <f t="shared" si="451"/>
        <v>3627.6071999999999</v>
      </c>
      <c r="LL123" s="43">
        <f t="shared" si="452"/>
        <v>0</v>
      </c>
      <c r="LM123" s="43">
        <f t="shared" si="453"/>
        <v>0</v>
      </c>
      <c r="LN123" s="43">
        <f t="shared" si="454"/>
        <v>0</v>
      </c>
      <c r="LO123" s="43">
        <f t="shared" si="455"/>
        <v>0</v>
      </c>
      <c r="LP123" s="43">
        <f t="shared" si="456"/>
        <v>0</v>
      </c>
      <c r="LQ123" s="28">
        <f t="shared" si="488"/>
        <v>5369.4144062545456</v>
      </c>
      <c r="LR123" s="65">
        <v>1392</v>
      </c>
      <c r="LS123" s="32">
        <f t="shared" si="495"/>
        <v>3.8573379355276907</v>
      </c>
      <c r="LT123" s="26">
        <f t="shared" si="496"/>
        <v>1.0539174687234127</v>
      </c>
      <c r="LU123" s="31">
        <f t="shared" si="489"/>
        <v>23</v>
      </c>
      <c r="LW123" s="42"/>
      <c r="MA123" s="32">
        <f t="shared" si="490"/>
        <v>3.7946391563636364</v>
      </c>
      <c r="MB123" s="26">
        <f t="shared" si="497"/>
        <v>1.0367866547441629</v>
      </c>
    </row>
    <row r="124" spans="1:340" ht="15.75" thickBot="1">
      <c r="A124" t="b">
        <f t="shared" si="484"/>
        <v>1</v>
      </c>
      <c r="B124" s="123" t="s">
        <v>305</v>
      </c>
      <c r="C124" s="39" t="s">
        <v>120</v>
      </c>
      <c r="D124"/>
      <c r="E124" s="97">
        <v>46041</v>
      </c>
      <c r="F124" t="s">
        <v>43</v>
      </c>
      <c r="G124" t="s">
        <v>19</v>
      </c>
      <c r="H124" t="s">
        <v>27</v>
      </c>
      <c r="I124" s="77"/>
      <c r="J124" s="77"/>
      <c r="K124" s="77"/>
      <c r="L124" s="22"/>
      <c r="M124" s="22"/>
      <c r="N124" s="98"/>
      <c r="O124" s="22"/>
      <c r="P124" s="22"/>
      <c r="Q124" s="22"/>
      <c r="R124" s="22"/>
      <c r="S124" s="104"/>
      <c r="T124" s="22"/>
      <c r="U124" s="22"/>
      <c r="V124" s="104"/>
      <c r="W124" s="22"/>
      <c r="X124" s="22"/>
      <c r="Y124" s="22"/>
      <c r="Z124" s="104"/>
      <c r="AA124" s="104"/>
      <c r="AB124" s="104"/>
      <c r="AC124" s="22"/>
      <c r="AD124" s="22"/>
      <c r="AE124" s="22"/>
      <c r="AF124" s="124"/>
      <c r="AG124" s="124"/>
      <c r="AH124" s="22"/>
      <c r="AI124" s="104"/>
      <c r="AJ124" s="22"/>
      <c r="AK124" s="22"/>
      <c r="AL124" s="22"/>
      <c r="AM124" s="22"/>
      <c r="AN124" s="22"/>
      <c r="AO124" s="104"/>
      <c r="AP124" s="22"/>
      <c r="AQ124" s="22"/>
      <c r="AR124" s="22"/>
      <c r="AS124" s="22"/>
      <c r="AT124" s="22"/>
      <c r="AU124" s="22"/>
      <c r="AV124" s="22"/>
      <c r="AW124" s="22"/>
      <c r="AX124" s="22"/>
      <c r="AY124" s="104">
        <v>0.01</v>
      </c>
      <c r="AZ124" s="104"/>
      <c r="BA124" s="104"/>
      <c r="BB124" s="104">
        <v>0.495</v>
      </c>
      <c r="BC124" s="124">
        <v>0.495</v>
      </c>
      <c r="BD124" s="124"/>
      <c r="BE124" s="104"/>
      <c r="BF124" s="22"/>
      <c r="BG124" s="22"/>
      <c r="BH124" s="22"/>
      <c r="BI124" s="78">
        <f t="shared" si="493"/>
        <v>1</v>
      </c>
      <c r="BJ124" s="23"/>
      <c r="BK124" s="23"/>
      <c r="BL124" s="23"/>
      <c r="BM124" s="23"/>
      <c r="BN124" s="23"/>
      <c r="BO124" s="99"/>
      <c r="BP124" s="23"/>
      <c r="BQ124" s="23"/>
      <c r="BR124" s="23"/>
      <c r="BS124" s="23"/>
      <c r="BT124" s="105"/>
      <c r="BU124" s="23"/>
      <c r="BV124" s="23"/>
      <c r="BW124" s="105"/>
      <c r="BX124" s="23"/>
      <c r="BY124" s="23"/>
      <c r="BZ124" s="23"/>
      <c r="CA124" s="105"/>
      <c r="CB124" s="105"/>
      <c r="CC124" s="105"/>
      <c r="CD124" s="23"/>
      <c r="CE124" s="23"/>
      <c r="CF124" s="71"/>
      <c r="CG124" s="128"/>
      <c r="CH124" s="128"/>
      <c r="CI124" s="23"/>
      <c r="CJ124" s="23"/>
      <c r="CK124" s="23"/>
      <c r="CL124" s="23"/>
      <c r="CM124" s="23"/>
      <c r="CN124" s="23"/>
      <c r="CO124" s="23"/>
      <c r="CP124" s="105"/>
      <c r="CQ124" s="23"/>
      <c r="CR124" s="23"/>
      <c r="CS124" s="23"/>
      <c r="CT124" s="23"/>
      <c r="CU124" s="23"/>
      <c r="CV124" s="23"/>
      <c r="CW124" s="23"/>
      <c r="CX124" s="23"/>
      <c r="CY124" s="23"/>
      <c r="CZ124" s="23"/>
      <c r="DA124" s="23"/>
      <c r="DB124" s="99"/>
      <c r="DC124" s="99"/>
      <c r="DD124" s="125"/>
      <c r="DE124" s="125"/>
      <c r="DF124" s="105"/>
      <c r="DG124" s="23"/>
      <c r="DH124" s="23"/>
      <c r="DI124" s="23"/>
      <c r="DJ124" s="79">
        <f t="shared" si="485"/>
        <v>0</v>
      </c>
      <c r="DK124" s="24"/>
      <c r="DL124" s="24"/>
      <c r="DM124" s="24"/>
      <c r="DN124" s="24"/>
      <c r="DO124" s="24"/>
      <c r="DP124" s="103"/>
      <c r="DQ124" s="24"/>
      <c r="DR124" s="24"/>
      <c r="DS124" s="24"/>
      <c r="DT124" s="24"/>
      <c r="DU124" s="108"/>
      <c r="DV124" s="24"/>
      <c r="DW124" s="24"/>
      <c r="DX124" s="108"/>
      <c r="DY124" s="24"/>
      <c r="DZ124" s="24"/>
      <c r="EA124" s="24"/>
      <c r="EB124" s="108"/>
      <c r="EC124" s="108"/>
      <c r="ED124" s="108"/>
      <c r="EE124" s="24"/>
      <c r="EF124" s="24"/>
      <c r="EG124" s="24"/>
      <c r="EH124" s="129"/>
      <c r="EI124" s="129"/>
      <c r="EJ124" s="24"/>
      <c r="EK124" s="24"/>
      <c r="EL124" s="24"/>
      <c r="EM124" s="24"/>
      <c r="EN124" s="24"/>
      <c r="EO124" s="24"/>
      <c r="EP124" s="24"/>
      <c r="EQ124" s="108"/>
      <c r="ER124" s="24"/>
      <c r="ES124" s="25"/>
      <c r="ET124" s="25"/>
      <c r="EU124" s="25"/>
      <c r="EV124" s="25"/>
      <c r="EW124" s="25"/>
      <c r="EX124" s="25"/>
      <c r="EY124" s="25"/>
      <c r="EZ124" s="25"/>
      <c r="FA124" s="25"/>
      <c r="FB124" s="25"/>
      <c r="FC124" s="100"/>
      <c r="FD124" s="100"/>
      <c r="FE124" s="126"/>
      <c r="FF124" s="126"/>
      <c r="FG124" s="106"/>
      <c r="FH124" s="25"/>
      <c r="FI124" s="25"/>
      <c r="FJ124" s="25"/>
      <c r="FK124" s="17">
        <f t="shared" si="494"/>
        <v>0</v>
      </c>
      <c r="FL124" s="18"/>
      <c r="FM124" s="19">
        <f t="shared" si="298"/>
        <v>0</v>
      </c>
      <c r="FN124" s="19">
        <f t="shared" si="299"/>
        <v>0</v>
      </c>
      <c r="FO124" s="19">
        <f t="shared" si="300"/>
        <v>0</v>
      </c>
      <c r="FP124" s="19">
        <f t="shared" si="301"/>
        <v>0</v>
      </c>
      <c r="FQ124" s="19">
        <f t="shared" si="302"/>
        <v>0</v>
      </c>
      <c r="FR124" s="19">
        <f t="shared" si="303"/>
        <v>0</v>
      </c>
      <c r="FS124" s="19">
        <f t="shared" si="304"/>
        <v>0</v>
      </c>
      <c r="FT124" s="19">
        <f t="shared" si="305"/>
        <v>0</v>
      </c>
      <c r="FU124" s="19">
        <f t="shared" si="306"/>
        <v>0</v>
      </c>
      <c r="FV124" s="19">
        <f t="shared" si="307"/>
        <v>0</v>
      </c>
      <c r="FW124" s="19">
        <f t="shared" si="308"/>
        <v>0</v>
      </c>
      <c r="FX124" s="19">
        <f t="shared" si="309"/>
        <v>0</v>
      </c>
      <c r="FY124" s="19">
        <f t="shared" si="310"/>
        <v>0</v>
      </c>
      <c r="FZ124" s="19">
        <f t="shared" si="311"/>
        <v>0</v>
      </c>
      <c r="GA124" s="19">
        <f t="shared" si="312"/>
        <v>0</v>
      </c>
      <c r="GB124" s="19">
        <f t="shared" si="313"/>
        <v>0</v>
      </c>
      <c r="GC124" s="19">
        <f t="shared" si="314"/>
        <v>0</v>
      </c>
      <c r="GD124" s="19">
        <f t="shared" si="315"/>
        <v>0</v>
      </c>
      <c r="GE124" s="19">
        <f t="shared" si="316"/>
        <v>0</v>
      </c>
      <c r="GF124" s="19">
        <f t="shared" si="317"/>
        <v>0</v>
      </c>
      <c r="GG124" s="19">
        <f t="shared" si="318"/>
        <v>0</v>
      </c>
      <c r="GH124" s="19">
        <f t="shared" si="319"/>
        <v>0</v>
      </c>
      <c r="GI124" s="19">
        <f t="shared" si="320"/>
        <v>0</v>
      </c>
      <c r="GJ124" s="19">
        <f t="shared" si="321"/>
        <v>0</v>
      </c>
      <c r="GK124" s="19">
        <f t="shared" si="322"/>
        <v>0</v>
      </c>
      <c r="GL124" s="19">
        <f t="shared" si="323"/>
        <v>0</v>
      </c>
      <c r="GM124" s="19">
        <f t="shared" si="324"/>
        <v>0</v>
      </c>
      <c r="GN124" s="19">
        <f t="shared" si="325"/>
        <v>0</v>
      </c>
      <c r="GO124" s="19">
        <f t="shared" si="326"/>
        <v>0</v>
      </c>
      <c r="GP124" s="19">
        <f t="shared" si="327"/>
        <v>0</v>
      </c>
      <c r="GQ124" s="19">
        <f t="shared" si="328"/>
        <v>0</v>
      </c>
      <c r="GR124" s="19">
        <f t="shared" si="329"/>
        <v>0</v>
      </c>
      <c r="GS124" s="19">
        <f t="shared" si="330"/>
        <v>0</v>
      </c>
      <c r="GT124" s="19">
        <f t="shared" si="331"/>
        <v>0</v>
      </c>
      <c r="GU124" s="19">
        <f t="shared" si="332"/>
        <v>0</v>
      </c>
      <c r="GV124" s="19">
        <f t="shared" si="333"/>
        <v>0</v>
      </c>
      <c r="GW124" s="19">
        <f t="shared" si="334"/>
        <v>0</v>
      </c>
      <c r="GX124" s="19">
        <f t="shared" si="335"/>
        <v>0</v>
      </c>
      <c r="GY124" s="19">
        <f t="shared" si="336"/>
        <v>0</v>
      </c>
      <c r="GZ124" s="19">
        <f t="shared" si="337"/>
        <v>0</v>
      </c>
      <c r="HA124" s="19">
        <f t="shared" si="338"/>
        <v>0</v>
      </c>
      <c r="HB124" s="19">
        <f t="shared" si="339"/>
        <v>0</v>
      </c>
      <c r="HC124" s="19">
        <f t="shared" si="340"/>
        <v>1.4999999999999999E-2</v>
      </c>
      <c r="HD124" s="19">
        <f t="shared" si="341"/>
        <v>0</v>
      </c>
      <c r="HE124" s="19">
        <f t="shared" si="342"/>
        <v>0</v>
      </c>
      <c r="HF124" s="19">
        <f t="shared" si="343"/>
        <v>0.74249999999999994</v>
      </c>
      <c r="HG124" s="19">
        <f t="shared" si="344"/>
        <v>0.74249999999999994</v>
      </c>
      <c r="HH124" s="19">
        <f t="shared" si="345"/>
        <v>0</v>
      </c>
      <c r="HI124" s="19">
        <f t="shared" si="346"/>
        <v>0</v>
      </c>
      <c r="HJ124" s="19">
        <f t="shared" si="347"/>
        <v>0</v>
      </c>
      <c r="HK124" s="19">
        <f t="shared" si="348"/>
        <v>0</v>
      </c>
      <c r="HL124" s="19">
        <f t="shared" si="349"/>
        <v>0</v>
      </c>
      <c r="HM124" s="20">
        <f t="shared" si="350"/>
        <v>1.5</v>
      </c>
      <c r="HN124" s="53">
        <v>1211</v>
      </c>
      <c r="HO124" s="21">
        <f t="shared" si="351"/>
        <v>0</v>
      </c>
      <c r="HP124" s="21">
        <f t="shared" si="352"/>
        <v>0</v>
      </c>
      <c r="HQ124" s="21">
        <f t="shared" si="353"/>
        <v>0</v>
      </c>
      <c r="HR124" s="21">
        <f t="shared" si="354"/>
        <v>0</v>
      </c>
      <c r="HS124" s="21">
        <f t="shared" si="355"/>
        <v>0</v>
      </c>
      <c r="HT124" s="69">
        <f t="shared" si="356"/>
        <v>0</v>
      </c>
      <c r="HU124" s="21">
        <f t="shared" si="357"/>
        <v>0</v>
      </c>
      <c r="HV124" s="21">
        <f t="shared" si="358"/>
        <v>0</v>
      </c>
      <c r="HW124" s="21">
        <f t="shared" si="359"/>
        <v>0</v>
      </c>
      <c r="HX124" s="21">
        <f t="shared" si="360"/>
        <v>0</v>
      </c>
      <c r="HY124" s="21">
        <f t="shared" si="361"/>
        <v>0</v>
      </c>
      <c r="HZ124" s="21">
        <f t="shared" si="362"/>
        <v>0</v>
      </c>
      <c r="IA124" s="21">
        <f t="shared" si="363"/>
        <v>0</v>
      </c>
      <c r="IB124" s="21">
        <f t="shared" si="364"/>
        <v>0</v>
      </c>
      <c r="IC124" s="21">
        <f t="shared" si="365"/>
        <v>0</v>
      </c>
      <c r="ID124" s="21">
        <f t="shared" si="366"/>
        <v>0</v>
      </c>
      <c r="IE124" s="21">
        <f t="shared" si="367"/>
        <v>0</v>
      </c>
      <c r="IF124" s="69">
        <f t="shared" si="368"/>
        <v>0</v>
      </c>
      <c r="IG124" s="69">
        <f t="shared" si="369"/>
        <v>0</v>
      </c>
      <c r="IH124" s="69">
        <f t="shared" si="370"/>
        <v>0</v>
      </c>
      <c r="II124" s="21">
        <f t="shared" si="371"/>
        <v>0</v>
      </c>
      <c r="IJ124" s="21">
        <f t="shared" si="372"/>
        <v>0</v>
      </c>
      <c r="IK124" s="21">
        <f t="shared" si="373"/>
        <v>0</v>
      </c>
      <c r="IL124" s="21">
        <f t="shared" si="374"/>
        <v>0</v>
      </c>
      <c r="IM124" s="21">
        <f t="shared" si="375"/>
        <v>0</v>
      </c>
      <c r="IN124" s="21">
        <f t="shared" si="376"/>
        <v>0</v>
      </c>
      <c r="IO124" s="21">
        <f t="shared" si="377"/>
        <v>0</v>
      </c>
      <c r="IP124" s="21">
        <f t="shared" si="378"/>
        <v>0</v>
      </c>
      <c r="IQ124" s="21">
        <f t="shared" si="379"/>
        <v>0</v>
      </c>
      <c r="IR124" s="21">
        <f t="shared" si="380"/>
        <v>0</v>
      </c>
      <c r="IS124" s="21">
        <f t="shared" si="381"/>
        <v>0</v>
      </c>
      <c r="IT124" s="21">
        <f t="shared" si="382"/>
        <v>0</v>
      </c>
      <c r="IU124" s="21">
        <f t="shared" si="383"/>
        <v>0</v>
      </c>
      <c r="IV124" s="21">
        <f t="shared" si="384"/>
        <v>0</v>
      </c>
      <c r="IW124" s="21">
        <f t="shared" si="385"/>
        <v>0</v>
      </c>
      <c r="IX124" s="21">
        <f t="shared" si="386"/>
        <v>0</v>
      </c>
      <c r="IY124" s="21">
        <f t="shared" si="387"/>
        <v>0</v>
      </c>
      <c r="IZ124" s="21">
        <f t="shared" si="388"/>
        <v>0</v>
      </c>
      <c r="JA124" s="21">
        <f t="shared" si="389"/>
        <v>0</v>
      </c>
      <c r="JB124" s="21">
        <f t="shared" si="390"/>
        <v>0</v>
      </c>
      <c r="JC124" s="21">
        <f t="shared" si="391"/>
        <v>0</v>
      </c>
      <c r="JD124" s="21">
        <f t="shared" si="392"/>
        <v>0</v>
      </c>
      <c r="JE124" s="21">
        <f t="shared" si="393"/>
        <v>12.11</v>
      </c>
      <c r="JF124" s="21">
        <f t="shared" si="394"/>
        <v>0</v>
      </c>
      <c r="JG124" s="21">
        <f t="shared" si="395"/>
        <v>0</v>
      </c>
      <c r="JH124" s="21">
        <f t="shared" si="396"/>
        <v>599.44499999999994</v>
      </c>
      <c r="JI124" s="21">
        <f t="shared" si="397"/>
        <v>599.44499999999994</v>
      </c>
      <c r="JJ124" s="21">
        <f t="shared" si="398"/>
        <v>0</v>
      </c>
      <c r="JK124" s="21">
        <f t="shared" si="399"/>
        <v>0</v>
      </c>
      <c r="JL124" s="21">
        <f t="shared" si="400"/>
        <v>0</v>
      </c>
      <c r="JM124" s="21">
        <f t="shared" si="401"/>
        <v>0</v>
      </c>
      <c r="JN124" s="21">
        <f t="shared" si="402"/>
        <v>0</v>
      </c>
      <c r="JO124" s="35">
        <f t="shared" si="486"/>
        <v>1211</v>
      </c>
      <c r="JP124" s="38">
        <f t="shared" si="487"/>
        <v>0</v>
      </c>
      <c r="JQ124" s="43">
        <f t="shared" si="405"/>
        <v>0</v>
      </c>
      <c r="JR124" s="43">
        <f t="shared" si="406"/>
        <v>0</v>
      </c>
      <c r="JS124" s="43">
        <f t="shared" si="407"/>
        <v>0</v>
      </c>
      <c r="JT124" s="43">
        <f t="shared" si="408"/>
        <v>0</v>
      </c>
      <c r="JU124" s="43">
        <f t="shared" si="409"/>
        <v>0</v>
      </c>
      <c r="JV124" s="43">
        <f t="shared" si="410"/>
        <v>0</v>
      </c>
      <c r="JW124" s="43">
        <f t="shared" si="411"/>
        <v>0</v>
      </c>
      <c r="JX124" s="43">
        <f t="shared" si="412"/>
        <v>0</v>
      </c>
      <c r="JY124" s="43">
        <f t="shared" si="413"/>
        <v>0</v>
      </c>
      <c r="JZ124" s="43">
        <f t="shared" si="414"/>
        <v>0</v>
      </c>
      <c r="KA124" s="43">
        <f t="shared" si="415"/>
        <v>0</v>
      </c>
      <c r="KB124" s="43">
        <f t="shared" si="416"/>
        <v>0</v>
      </c>
      <c r="KC124" s="43">
        <f t="shared" si="417"/>
        <v>0</v>
      </c>
      <c r="KD124" s="43">
        <f t="shared" si="418"/>
        <v>0</v>
      </c>
      <c r="KE124" s="43">
        <f t="shared" si="419"/>
        <v>0</v>
      </c>
      <c r="KF124" s="43">
        <f t="shared" si="420"/>
        <v>0</v>
      </c>
      <c r="KG124" s="43">
        <f t="shared" si="421"/>
        <v>0</v>
      </c>
      <c r="KH124" s="43">
        <f t="shared" si="422"/>
        <v>0</v>
      </c>
      <c r="KI124" s="43">
        <f t="shared" si="423"/>
        <v>0</v>
      </c>
      <c r="KJ124" s="43">
        <f t="shared" si="424"/>
        <v>0</v>
      </c>
      <c r="KK124" s="43">
        <f t="shared" si="425"/>
        <v>0</v>
      </c>
      <c r="KL124" s="43">
        <f t="shared" si="426"/>
        <v>0</v>
      </c>
      <c r="KM124" s="43">
        <f t="shared" si="427"/>
        <v>0</v>
      </c>
      <c r="KN124" s="43">
        <f t="shared" si="428"/>
        <v>0</v>
      </c>
      <c r="KO124" s="43">
        <f t="shared" si="429"/>
        <v>0</v>
      </c>
      <c r="KP124" s="43">
        <f t="shared" si="430"/>
        <v>0</v>
      </c>
      <c r="KQ124" s="43">
        <f t="shared" si="431"/>
        <v>0</v>
      </c>
      <c r="KR124" s="43">
        <f t="shared" si="432"/>
        <v>0</v>
      </c>
      <c r="KS124" s="43">
        <f t="shared" si="433"/>
        <v>0</v>
      </c>
      <c r="KT124" s="43">
        <f t="shared" si="434"/>
        <v>0</v>
      </c>
      <c r="KU124" s="43">
        <f t="shared" si="435"/>
        <v>0</v>
      </c>
      <c r="KV124" s="43">
        <f t="shared" si="436"/>
        <v>0</v>
      </c>
      <c r="KW124" s="43">
        <f t="shared" si="437"/>
        <v>0</v>
      </c>
      <c r="KX124" s="43">
        <f t="shared" si="438"/>
        <v>0</v>
      </c>
      <c r="KY124" s="43">
        <f t="shared" si="439"/>
        <v>0</v>
      </c>
      <c r="KZ124" s="43">
        <f t="shared" si="440"/>
        <v>0</v>
      </c>
      <c r="LA124" s="43">
        <f t="shared" si="441"/>
        <v>0</v>
      </c>
      <c r="LB124" s="43">
        <f t="shared" si="442"/>
        <v>0</v>
      </c>
      <c r="LC124" s="43">
        <f t="shared" si="443"/>
        <v>0</v>
      </c>
      <c r="LD124" s="43">
        <f t="shared" si="444"/>
        <v>0</v>
      </c>
      <c r="LE124" s="43">
        <f t="shared" si="445"/>
        <v>0</v>
      </c>
      <c r="LF124" s="43">
        <f t="shared" si="446"/>
        <v>0</v>
      </c>
      <c r="LG124" s="43">
        <f t="shared" si="447"/>
        <v>124.9752</v>
      </c>
      <c r="LH124" s="43">
        <f t="shared" si="448"/>
        <v>0</v>
      </c>
      <c r="LI124" s="43">
        <f t="shared" si="449"/>
        <v>0</v>
      </c>
      <c r="LJ124" s="43">
        <f t="shared" si="450"/>
        <v>2886.6633642000002</v>
      </c>
      <c r="LK124" s="43">
        <f t="shared" si="451"/>
        <v>2401.2268087499997</v>
      </c>
      <c r="LL124" s="43">
        <f t="shared" si="452"/>
        <v>0</v>
      </c>
      <c r="LM124" s="43">
        <f t="shared" si="453"/>
        <v>0</v>
      </c>
      <c r="LN124" s="43">
        <f t="shared" si="454"/>
        <v>0</v>
      </c>
      <c r="LO124" s="43">
        <f t="shared" si="455"/>
        <v>0</v>
      </c>
      <c r="LP124" s="43">
        <f t="shared" si="456"/>
        <v>0</v>
      </c>
      <c r="LQ124" s="28">
        <f t="shared" si="488"/>
        <v>5412.8653729500002</v>
      </c>
      <c r="LR124" s="65">
        <v>1172</v>
      </c>
      <c r="LS124" s="32">
        <f t="shared" si="495"/>
        <v>4.6184858130972701</v>
      </c>
      <c r="LT124" s="26">
        <f t="shared" si="496"/>
        <v>1.2618813696987077</v>
      </c>
      <c r="LU124" s="31">
        <f t="shared" si="489"/>
        <v>39</v>
      </c>
      <c r="LW124" s="42"/>
      <c r="MA124" s="32">
        <f t="shared" si="490"/>
        <v>4.46974845</v>
      </c>
      <c r="MB124" s="26">
        <f t="shared" si="497"/>
        <v>1.2212427459016393</v>
      </c>
    </row>
    <row r="125" spans="1:340" ht="15.75" thickBot="1">
      <c r="A125" t="b">
        <f t="shared" si="484"/>
        <v>1</v>
      </c>
      <c r="B125" s="123" t="s">
        <v>306</v>
      </c>
      <c r="C125" s="39" t="s">
        <v>307</v>
      </c>
      <c r="D125"/>
      <c r="E125" s="97">
        <v>46042</v>
      </c>
      <c r="F125" t="s">
        <v>43</v>
      </c>
      <c r="G125" t="s">
        <v>20</v>
      </c>
      <c r="H125" t="s">
        <v>27</v>
      </c>
      <c r="I125" s="77"/>
      <c r="J125" s="77"/>
      <c r="K125" s="77"/>
      <c r="L125" s="22"/>
      <c r="M125" s="22"/>
      <c r="N125" s="98"/>
      <c r="O125" s="22"/>
      <c r="P125" s="22"/>
      <c r="Q125" s="22"/>
      <c r="R125" s="22"/>
      <c r="S125" s="104"/>
      <c r="T125" s="22"/>
      <c r="U125" s="22"/>
      <c r="V125" s="104"/>
      <c r="W125" s="22"/>
      <c r="X125" s="22"/>
      <c r="Y125" s="22"/>
      <c r="Z125" s="104"/>
      <c r="AA125" s="104"/>
      <c r="AB125" s="104"/>
      <c r="AC125" s="22"/>
      <c r="AD125" s="22"/>
      <c r="AE125" s="22"/>
      <c r="AF125" s="124"/>
      <c r="AG125" s="124"/>
      <c r="AH125" s="22"/>
      <c r="AI125" s="22"/>
      <c r="AJ125" s="22"/>
      <c r="AK125" s="22">
        <v>0.5</v>
      </c>
      <c r="AL125" s="22"/>
      <c r="AM125" s="22"/>
      <c r="AN125" s="22"/>
      <c r="AO125" s="104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98"/>
      <c r="BB125" s="98"/>
      <c r="BC125" s="124">
        <v>0.5</v>
      </c>
      <c r="BD125" s="124"/>
      <c r="BE125" s="104"/>
      <c r="BF125" s="22"/>
      <c r="BG125" s="22"/>
      <c r="BH125" s="22"/>
      <c r="BI125" s="78">
        <f t="shared" si="493"/>
        <v>1</v>
      </c>
      <c r="BJ125" s="23"/>
      <c r="BK125" s="23"/>
      <c r="BL125" s="23"/>
      <c r="BM125" s="23"/>
      <c r="BN125" s="23"/>
      <c r="BO125" s="99"/>
      <c r="BP125" s="23"/>
      <c r="BQ125" s="23"/>
      <c r="BR125" s="23"/>
      <c r="BS125" s="23"/>
      <c r="BT125" s="105"/>
      <c r="BU125" s="23"/>
      <c r="BV125" s="23"/>
      <c r="BW125" s="105"/>
      <c r="BX125" s="23"/>
      <c r="BY125" s="23"/>
      <c r="BZ125" s="23"/>
      <c r="CA125" s="105"/>
      <c r="CB125" s="105"/>
      <c r="CC125" s="105"/>
      <c r="CD125" s="23"/>
      <c r="CE125" s="23"/>
      <c r="CF125" s="71"/>
      <c r="CG125" s="128"/>
      <c r="CH125" s="128"/>
      <c r="CI125" s="23"/>
      <c r="CJ125" s="23"/>
      <c r="CK125" s="23"/>
      <c r="CL125" s="23">
        <v>0.3</v>
      </c>
      <c r="CM125" s="23"/>
      <c r="CN125" s="23"/>
      <c r="CO125" s="23"/>
      <c r="CP125" s="105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99"/>
      <c r="DC125" s="99"/>
      <c r="DD125" s="125">
        <v>0.7</v>
      </c>
      <c r="DE125" s="125"/>
      <c r="DF125" s="105"/>
      <c r="DG125" s="23"/>
      <c r="DH125" s="23"/>
      <c r="DI125" s="23"/>
      <c r="DJ125" s="79">
        <f t="shared" si="485"/>
        <v>1</v>
      </c>
      <c r="DK125" s="24"/>
      <c r="DL125" s="24"/>
      <c r="DM125" s="24"/>
      <c r="DN125" s="24"/>
      <c r="DO125" s="24"/>
      <c r="DP125" s="103"/>
      <c r="DQ125" s="24"/>
      <c r="DR125" s="24"/>
      <c r="DS125" s="24"/>
      <c r="DT125" s="24"/>
      <c r="DU125" s="108"/>
      <c r="DV125" s="24"/>
      <c r="DW125" s="24"/>
      <c r="DX125" s="108"/>
      <c r="DY125" s="24"/>
      <c r="DZ125" s="24"/>
      <c r="EA125" s="24"/>
      <c r="EB125" s="108"/>
      <c r="EC125" s="108"/>
      <c r="ED125" s="108"/>
      <c r="EE125" s="24"/>
      <c r="EF125" s="24"/>
      <c r="EG125" s="24"/>
      <c r="EH125" s="129"/>
      <c r="EI125" s="129"/>
      <c r="EJ125" s="24"/>
      <c r="EK125" s="24"/>
      <c r="EL125" s="24"/>
      <c r="EM125" s="24">
        <v>0.3</v>
      </c>
      <c r="EN125" s="24"/>
      <c r="EO125" s="24"/>
      <c r="EP125" s="24"/>
      <c r="EQ125" s="108"/>
      <c r="ER125" s="24"/>
      <c r="ES125" s="25"/>
      <c r="ET125" s="25"/>
      <c r="EU125" s="25"/>
      <c r="EV125" s="25"/>
      <c r="EW125" s="25"/>
      <c r="EX125" s="25"/>
      <c r="EY125" s="25"/>
      <c r="EZ125" s="25"/>
      <c r="FA125" s="25"/>
      <c r="FB125" s="25"/>
      <c r="FC125" s="100"/>
      <c r="FD125" s="100"/>
      <c r="FE125" s="126">
        <v>0.7</v>
      </c>
      <c r="FF125" s="126"/>
      <c r="FG125" s="106"/>
      <c r="FH125" s="25"/>
      <c r="FI125" s="25"/>
      <c r="FJ125" s="25"/>
      <c r="FK125" s="17">
        <f t="shared" si="494"/>
        <v>1</v>
      </c>
      <c r="FL125" s="18"/>
      <c r="FM125" s="19">
        <f t="shared" si="298"/>
        <v>0</v>
      </c>
      <c r="FN125" s="19">
        <f t="shared" si="299"/>
        <v>0</v>
      </c>
      <c r="FO125" s="19">
        <f t="shared" si="300"/>
        <v>0</v>
      </c>
      <c r="FP125" s="19">
        <f t="shared" si="301"/>
        <v>0</v>
      </c>
      <c r="FQ125" s="19">
        <f t="shared" si="302"/>
        <v>0</v>
      </c>
      <c r="FR125" s="19">
        <f t="shared" si="303"/>
        <v>0</v>
      </c>
      <c r="FS125" s="19">
        <f t="shared" si="304"/>
        <v>0</v>
      </c>
      <c r="FT125" s="19">
        <f t="shared" si="305"/>
        <v>0</v>
      </c>
      <c r="FU125" s="19">
        <f t="shared" si="306"/>
        <v>0</v>
      </c>
      <c r="FV125" s="19">
        <f t="shared" si="307"/>
        <v>0</v>
      </c>
      <c r="FW125" s="19">
        <f t="shared" si="308"/>
        <v>0</v>
      </c>
      <c r="FX125" s="19">
        <f t="shared" si="309"/>
        <v>0</v>
      </c>
      <c r="FY125" s="19">
        <f t="shared" si="310"/>
        <v>0</v>
      </c>
      <c r="FZ125" s="19">
        <f t="shared" si="311"/>
        <v>0</v>
      </c>
      <c r="GA125" s="19">
        <f t="shared" si="312"/>
        <v>0</v>
      </c>
      <c r="GB125" s="19">
        <f t="shared" si="313"/>
        <v>0</v>
      </c>
      <c r="GC125" s="19">
        <f t="shared" si="314"/>
        <v>0</v>
      </c>
      <c r="GD125" s="19">
        <f t="shared" si="315"/>
        <v>0</v>
      </c>
      <c r="GE125" s="19">
        <f t="shared" si="316"/>
        <v>0</v>
      </c>
      <c r="GF125" s="19">
        <f t="shared" si="317"/>
        <v>0</v>
      </c>
      <c r="GG125" s="19">
        <f t="shared" si="318"/>
        <v>0</v>
      </c>
      <c r="GH125" s="19">
        <f t="shared" si="319"/>
        <v>0</v>
      </c>
      <c r="GI125" s="19">
        <f t="shared" si="320"/>
        <v>0</v>
      </c>
      <c r="GJ125" s="19">
        <f t="shared" si="321"/>
        <v>0</v>
      </c>
      <c r="GK125" s="19">
        <f t="shared" si="322"/>
        <v>0</v>
      </c>
      <c r="GL125" s="19">
        <f t="shared" si="323"/>
        <v>0</v>
      </c>
      <c r="GM125" s="19">
        <f t="shared" si="324"/>
        <v>0</v>
      </c>
      <c r="GN125" s="19">
        <f t="shared" si="325"/>
        <v>0</v>
      </c>
      <c r="GO125" s="19">
        <f t="shared" si="326"/>
        <v>1.8</v>
      </c>
      <c r="GP125" s="19">
        <f t="shared" si="327"/>
        <v>0</v>
      </c>
      <c r="GQ125" s="19">
        <f t="shared" si="328"/>
        <v>0</v>
      </c>
      <c r="GR125" s="19">
        <f t="shared" si="329"/>
        <v>0</v>
      </c>
      <c r="GS125" s="19">
        <f t="shared" si="330"/>
        <v>0</v>
      </c>
      <c r="GT125" s="19">
        <f t="shared" si="331"/>
        <v>0</v>
      </c>
      <c r="GU125" s="19">
        <f t="shared" si="332"/>
        <v>0</v>
      </c>
      <c r="GV125" s="19">
        <f t="shared" si="333"/>
        <v>0</v>
      </c>
      <c r="GW125" s="19">
        <f t="shared" si="334"/>
        <v>0</v>
      </c>
      <c r="GX125" s="19">
        <f t="shared" si="335"/>
        <v>0</v>
      </c>
      <c r="GY125" s="19">
        <f t="shared" si="336"/>
        <v>0</v>
      </c>
      <c r="GZ125" s="19">
        <f t="shared" si="337"/>
        <v>0</v>
      </c>
      <c r="HA125" s="19">
        <f t="shared" si="338"/>
        <v>0</v>
      </c>
      <c r="HB125" s="19">
        <f t="shared" si="339"/>
        <v>0</v>
      </c>
      <c r="HC125" s="19">
        <f t="shared" si="340"/>
        <v>0</v>
      </c>
      <c r="HD125" s="19">
        <f t="shared" si="341"/>
        <v>0</v>
      </c>
      <c r="HE125" s="19">
        <f t="shared" si="342"/>
        <v>0</v>
      </c>
      <c r="HF125" s="19">
        <f t="shared" si="343"/>
        <v>0</v>
      </c>
      <c r="HG125" s="19">
        <f t="shared" si="344"/>
        <v>3.1999999999999997</v>
      </c>
      <c r="HH125" s="19">
        <f t="shared" si="345"/>
        <v>0</v>
      </c>
      <c r="HI125" s="19">
        <f t="shared" si="346"/>
        <v>0</v>
      </c>
      <c r="HJ125" s="19">
        <f t="shared" si="347"/>
        <v>0</v>
      </c>
      <c r="HK125" s="19">
        <f t="shared" si="348"/>
        <v>0</v>
      </c>
      <c r="HL125" s="19">
        <f t="shared" si="349"/>
        <v>0</v>
      </c>
      <c r="HM125" s="20">
        <f t="shared" si="350"/>
        <v>5</v>
      </c>
      <c r="HN125" s="53">
        <v>986</v>
      </c>
      <c r="HO125" s="21">
        <f t="shared" si="351"/>
        <v>0</v>
      </c>
      <c r="HP125" s="21">
        <f t="shared" si="352"/>
        <v>0</v>
      </c>
      <c r="HQ125" s="21">
        <f t="shared" si="353"/>
        <v>0</v>
      </c>
      <c r="HR125" s="21">
        <f t="shared" si="354"/>
        <v>0</v>
      </c>
      <c r="HS125" s="21">
        <f t="shared" si="355"/>
        <v>0</v>
      </c>
      <c r="HT125" s="69">
        <f t="shared" si="356"/>
        <v>0</v>
      </c>
      <c r="HU125" s="21">
        <f t="shared" si="357"/>
        <v>0</v>
      </c>
      <c r="HV125" s="21">
        <f t="shared" si="358"/>
        <v>0</v>
      </c>
      <c r="HW125" s="21">
        <f t="shared" si="359"/>
        <v>0</v>
      </c>
      <c r="HX125" s="21">
        <f t="shared" si="360"/>
        <v>0</v>
      </c>
      <c r="HY125" s="21">
        <f t="shared" si="361"/>
        <v>0</v>
      </c>
      <c r="HZ125" s="21">
        <f t="shared" si="362"/>
        <v>0</v>
      </c>
      <c r="IA125" s="21">
        <f t="shared" si="363"/>
        <v>0</v>
      </c>
      <c r="IB125" s="21">
        <f t="shared" si="364"/>
        <v>0</v>
      </c>
      <c r="IC125" s="21">
        <f t="shared" si="365"/>
        <v>0</v>
      </c>
      <c r="ID125" s="21">
        <f t="shared" si="366"/>
        <v>0</v>
      </c>
      <c r="IE125" s="21">
        <f t="shared" si="367"/>
        <v>0</v>
      </c>
      <c r="IF125" s="69">
        <f t="shared" si="368"/>
        <v>0</v>
      </c>
      <c r="IG125" s="69">
        <f t="shared" si="369"/>
        <v>0</v>
      </c>
      <c r="IH125" s="69">
        <f t="shared" si="370"/>
        <v>0</v>
      </c>
      <c r="II125" s="21">
        <f t="shared" si="371"/>
        <v>0</v>
      </c>
      <c r="IJ125" s="21">
        <f t="shared" si="372"/>
        <v>0</v>
      </c>
      <c r="IK125" s="21">
        <f t="shared" si="373"/>
        <v>0</v>
      </c>
      <c r="IL125" s="21">
        <f t="shared" si="374"/>
        <v>0</v>
      </c>
      <c r="IM125" s="21">
        <f t="shared" si="375"/>
        <v>0</v>
      </c>
      <c r="IN125" s="21">
        <f t="shared" si="376"/>
        <v>0</v>
      </c>
      <c r="IO125" s="21">
        <f t="shared" si="377"/>
        <v>0</v>
      </c>
      <c r="IP125" s="21">
        <f t="shared" si="378"/>
        <v>0</v>
      </c>
      <c r="IQ125" s="21">
        <f t="shared" si="379"/>
        <v>354.96</v>
      </c>
      <c r="IR125" s="21">
        <f t="shared" si="380"/>
        <v>0</v>
      </c>
      <c r="IS125" s="21">
        <f t="shared" si="381"/>
        <v>0</v>
      </c>
      <c r="IT125" s="21">
        <f t="shared" si="382"/>
        <v>0</v>
      </c>
      <c r="IU125" s="21">
        <f t="shared" si="383"/>
        <v>0</v>
      </c>
      <c r="IV125" s="21">
        <f t="shared" si="384"/>
        <v>0</v>
      </c>
      <c r="IW125" s="21">
        <f t="shared" si="385"/>
        <v>0</v>
      </c>
      <c r="IX125" s="21">
        <f t="shared" si="386"/>
        <v>0</v>
      </c>
      <c r="IY125" s="21">
        <f t="shared" si="387"/>
        <v>0</v>
      </c>
      <c r="IZ125" s="21">
        <f t="shared" si="388"/>
        <v>0</v>
      </c>
      <c r="JA125" s="21">
        <f t="shared" si="389"/>
        <v>0</v>
      </c>
      <c r="JB125" s="21">
        <f t="shared" si="390"/>
        <v>0</v>
      </c>
      <c r="JC125" s="21">
        <f t="shared" si="391"/>
        <v>0</v>
      </c>
      <c r="JD125" s="21">
        <f t="shared" si="392"/>
        <v>0</v>
      </c>
      <c r="JE125" s="21">
        <f t="shared" si="393"/>
        <v>0</v>
      </c>
      <c r="JF125" s="21">
        <f t="shared" si="394"/>
        <v>0</v>
      </c>
      <c r="JG125" s="21">
        <f t="shared" si="395"/>
        <v>0</v>
      </c>
      <c r="JH125" s="21">
        <f t="shared" si="396"/>
        <v>0</v>
      </c>
      <c r="JI125" s="21">
        <f t="shared" si="397"/>
        <v>631.04</v>
      </c>
      <c r="JJ125" s="21">
        <f t="shared" si="398"/>
        <v>0</v>
      </c>
      <c r="JK125" s="21">
        <f t="shared" si="399"/>
        <v>0</v>
      </c>
      <c r="JL125" s="21">
        <f t="shared" si="400"/>
        <v>0</v>
      </c>
      <c r="JM125" s="21">
        <f t="shared" si="401"/>
        <v>0</v>
      </c>
      <c r="JN125" s="21">
        <f t="shared" si="402"/>
        <v>0</v>
      </c>
      <c r="JO125" s="35">
        <f t="shared" si="486"/>
        <v>986</v>
      </c>
      <c r="JP125" s="38">
        <f t="shared" si="487"/>
        <v>0</v>
      </c>
      <c r="JQ125" s="43">
        <f t="shared" si="405"/>
        <v>0</v>
      </c>
      <c r="JR125" s="43">
        <f t="shared" si="406"/>
        <v>0</v>
      </c>
      <c r="JS125" s="43">
        <f t="shared" si="407"/>
        <v>0</v>
      </c>
      <c r="JT125" s="43">
        <f t="shared" si="408"/>
        <v>0</v>
      </c>
      <c r="JU125" s="43">
        <f t="shared" si="409"/>
        <v>0</v>
      </c>
      <c r="JV125" s="43">
        <f t="shared" si="410"/>
        <v>0</v>
      </c>
      <c r="JW125" s="43">
        <f t="shared" si="411"/>
        <v>0</v>
      </c>
      <c r="JX125" s="43">
        <f t="shared" si="412"/>
        <v>0</v>
      </c>
      <c r="JY125" s="43">
        <f t="shared" si="413"/>
        <v>0</v>
      </c>
      <c r="JZ125" s="43">
        <f t="shared" si="414"/>
        <v>0</v>
      </c>
      <c r="KA125" s="43">
        <f t="shared" si="415"/>
        <v>0</v>
      </c>
      <c r="KB125" s="43">
        <f t="shared" si="416"/>
        <v>0</v>
      </c>
      <c r="KC125" s="43">
        <f t="shared" si="417"/>
        <v>0</v>
      </c>
      <c r="KD125" s="43">
        <f t="shared" si="418"/>
        <v>0</v>
      </c>
      <c r="KE125" s="43">
        <f t="shared" si="419"/>
        <v>0</v>
      </c>
      <c r="KF125" s="43">
        <f t="shared" si="420"/>
        <v>0</v>
      </c>
      <c r="KG125" s="43">
        <f t="shared" si="421"/>
        <v>0</v>
      </c>
      <c r="KH125" s="43">
        <f t="shared" si="422"/>
        <v>0</v>
      </c>
      <c r="KI125" s="43">
        <f t="shared" si="423"/>
        <v>0</v>
      </c>
      <c r="KJ125" s="43">
        <f t="shared" si="424"/>
        <v>0</v>
      </c>
      <c r="KK125" s="43">
        <f t="shared" si="425"/>
        <v>0</v>
      </c>
      <c r="KL125" s="43">
        <f t="shared" si="426"/>
        <v>0</v>
      </c>
      <c r="KM125" s="43">
        <f t="shared" si="427"/>
        <v>0</v>
      </c>
      <c r="KN125" s="43">
        <f t="shared" si="428"/>
        <v>0</v>
      </c>
      <c r="KO125" s="43">
        <f t="shared" si="429"/>
        <v>0</v>
      </c>
      <c r="KP125" s="43">
        <f t="shared" si="430"/>
        <v>0</v>
      </c>
      <c r="KQ125" s="43">
        <f t="shared" si="431"/>
        <v>0</v>
      </c>
      <c r="KR125" s="43">
        <f t="shared" si="432"/>
        <v>0</v>
      </c>
      <c r="KS125" s="43">
        <f t="shared" si="433"/>
        <v>1213.7257281745453</v>
      </c>
      <c r="KT125" s="43">
        <f t="shared" si="434"/>
        <v>0</v>
      </c>
      <c r="KU125" s="43">
        <f t="shared" si="435"/>
        <v>0</v>
      </c>
      <c r="KV125" s="43">
        <f t="shared" si="436"/>
        <v>0</v>
      </c>
      <c r="KW125" s="43">
        <f t="shared" si="437"/>
        <v>0</v>
      </c>
      <c r="KX125" s="43">
        <f t="shared" si="438"/>
        <v>0</v>
      </c>
      <c r="KY125" s="43">
        <f t="shared" si="439"/>
        <v>0</v>
      </c>
      <c r="KZ125" s="43">
        <f t="shared" si="440"/>
        <v>0</v>
      </c>
      <c r="LA125" s="43">
        <f t="shared" si="441"/>
        <v>0</v>
      </c>
      <c r="LB125" s="43">
        <f t="shared" si="442"/>
        <v>0</v>
      </c>
      <c r="LC125" s="43">
        <f t="shared" si="443"/>
        <v>0</v>
      </c>
      <c r="LD125" s="43">
        <f t="shared" si="444"/>
        <v>0</v>
      </c>
      <c r="LE125" s="43">
        <f t="shared" si="445"/>
        <v>0</v>
      </c>
      <c r="LF125" s="43">
        <f t="shared" si="446"/>
        <v>0</v>
      </c>
      <c r="LG125" s="43">
        <f t="shared" si="447"/>
        <v>0</v>
      </c>
      <c r="LH125" s="43">
        <f t="shared" si="448"/>
        <v>0</v>
      </c>
      <c r="LI125" s="43">
        <f t="shared" si="449"/>
        <v>0</v>
      </c>
      <c r="LJ125" s="43">
        <f t="shared" si="450"/>
        <v>0</v>
      </c>
      <c r="LK125" s="43">
        <f t="shared" si="451"/>
        <v>2527.7884799999997</v>
      </c>
      <c r="LL125" s="43">
        <f t="shared" si="452"/>
        <v>0</v>
      </c>
      <c r="LM125" s="43">
        <f t="shared" si="453"/>
        <v>0</v>
      </c>
      <c r="LN125" s="43">
        <f t="shared" si="454"/>
        <v>0</v>
      </c>
      <c r="LO125" s="43">
        <f t="shared" si="455"/>
        <v>0</v>
      </c>
      <c r="LP125" s="43">
        <f t="shared" si="456"/>
        <v>0</v>
      </c>
      <c r="LQ125" s="28">
        <f t="shared" si="488"/>
        <v>3741.5142081745453</v>
      </c>
      <c r="LR125" s="65">
        <v>968</v>
      </c>
      <c r="LS125" s="32">
        <f t="shared" si="495"/>
        <v>3.8652006282794891</v>
      </c>
      <c r="LT125" s="26">
        <f t="shared" si="496"/>
        <v>1.0560657454315543</v>
      </c>
      <c r="LU125" s="31">
        <f t="shared" si="489"/>
        <v>18</v>
      </c>
      <c r="LW125" s="42"/>
      <c r="MA125" s="32">
        <f t="shared" si="490"/>
        <v>3.7946391563636364</v>
      </c>
      <c r="MB125" s="26">
        <f t="shared" si="497"/>
        <v>1.0367866547441629</v>
      </c>
    </row>
    <row r="126" spans="1:340" ht="15.75" thickBot="1">
      <c r="A126" t="b">
        <f t="shared" si="484"/>
        <v>1</v>
      </c>
      <c r="B126" s="123" t="s">
        <v>308</v>
      </c>
      <c r="C126" s="39" t="s">
        <v>85</v>
      </c>
      <c r="D126"/>
      <c r="E126" s="97">
        <v>46042</v>
      </c>
      <c r="F126" t="s">
        <v>43</v>
      </c>
      <c r="G126" t="s">
        <v>19</v>
      </c>
      <c r="H126" t="s">
        <v>27</v>
      </c>
      <c r="I126" s="77"/>
      <c r="J126" s="77"/>
      <c r="K126" s="77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24"/>
      <c r="AG126" s="124"/>
      <c r="AH126" s="104"/>
      <c r="AI126" s="22"/>
      <c r="AJ126" s="22"/>
      <c r="AK126" s="22"/>
      <c r="AL126" s="22"/>
      <c r="AM126" s="22"/>
      <c r="AN126" s="22"/>
      <c r="AO126" s="104"/>
      <c r="AP126" s="22"/>
      <c r="AQ126" s="22"/>
      <c r="AR126" s="22"/>
      <c r="AS126" s="22"/>
      <c r="AT126" s="22"/>
      <c r="AU126" s="22"/>
      <c r="AV126" s="22"/>
      <c r="AW126" s="22"/>
      <c r="AX126" s="22"/>
      <c r="AY126" s="104">
        <v>0.01</v>
      </c>
      <c r="AZ126" s="104"/>
      <c r="BA126" s="104"/>
      <c r="BB126" s="104">
        <v>0.495</v>
      </c>
      <c r="BC126" s="124">
        <v>0.495</v>
      </c>
      <c r="BD126" s="124"/>
      <c r="BE126" s="104"/>
      <c r="BF126" s="104"/>
      <c r="BG126" s="104"/>
      <c r="BH126" s="104"/>
      <c r="BI126" s="78">
        <f t="shared" ref="BI126:BI127" si="503">SUM(I126:BH126)</f>
        <v>1</v>
      </c>
      <c r="BJ126" s="105"/>
      <c r="BK126" s="105"/>
      <c r="BL126" s="105"/>
      <c r="BM126" s="105"/>
      <c r="BN126" s="105"/>
      <c r="BO126" s="105"/>
      <c r="BP126" s="105"/>
      <c r="BQ126" s="105"/>
      <c r="BR126" s="105"/>
      <c r="BS126" s="105"/>
      <c r="BT126" s="105"/>
      <c r="BU126" s="105"/>
      <c r="BV126" s="105"/>
      <c r="BW126" s="105"/>
      <c r="BX126" s="105"/>
      <c r="BY126" s="105"/>
      <c r="BZ126" s="105"/>
      <c r="CA126" s="105"/>
      <c r="CB126" s="105"/>
      <c r="CC126" s="105"/>
      <c r="CD126" s="105"/>
      <c r="CE126" s="105"/>
      <c r="CF126" s="120"/>
      <c r="CG126" s="128"/>
      <c r="CH126" s="128"/>
      <c r="CI126" s="105"/>
      <c r="CJ126" s="23"/>
      <c r="CK126" s="23"/>
      <c r="CL126" s="23"/>
      <c r="CM126" s="105"/>
      <c r="CN126" s="105"/>
      <c r="CO126" s="105"/>
      <c r="CP126" s="105"/>
      <c r="CQ126" s="105"/>
      <c r="CR126" s="105"/>
      <c r="CS126" s="105"/>
      <c r="CT126" s="105"/>
      <c r="CU126" s="105"/>
      <c r="CV126" s="105"/>
      <c r="CW126" s="105"/>
      <c r="CX126" s="105"/>
      <c r="CY126" s="105"/>
      <c r="CZ126" s="105"/>
      <c r="DA126" s="105"/>
      <c r="DB126" s="105"/>
      <c r="DC126" s="105"/>
      <c r="DD126" s="125"/>
      <c r="DE126" s="125"/>
      <c r="DF126" s="105"/>
      <c r="DG126" s="105"/>
      <c r="DH126" s="105"/>
      <c r="DI126" s="105"/>
      <c r="DJ126" s="79">
        <f t="shared" si="485"/>
        <v>0</v>
      </c>
      <c r="DK126" s="108"/>
      <c r="DL126" s="108"/>
      <c r="DM126" s="108"/>
      <c r="DN126" s="108"/>
      <c r="DO126" s="108"/>
      <c r="DP126" s="108"/>
      <c r="DQ126" s="108"/>
      <c r="DR126" s="108"/>
      <c r="DS126" s="24"/>
      <c r="DT126" s="108"/>
      <c r="DU126" s="108"/>
      <c r="DV126" s="108"/>
      <c r="DW126" s="108"/>
      <c r="DX126" s="108"/>
      <c r="DY126" s="108"/>
      <c r="DZ126" s="108"/>
      <c r="EA126" s="24"/>
      <c r="EB126" s="108"/>
      <c r="EC126" s="108"/>
      <c r="ED126" s="108"/>
      <c r="EE126" s="108"/>
      <c r="EF126" s="108"/>
      <c r="EG126" s="108"/>
      <c r="EH126" s="129"/>
      <c r="EI126" s="129"/>
      <c r="EJ126" s="108"/>
      <c r="EK126" s="108"/>
      <c r="EL126" s="108"/>
      <c r="EM126" s="108"/>
      <c r="EN126" s="108"/>
      <c r="EO126" s="108"/>
      <c r="EP126" s="108"/>
      <c r="EQ126" s="108"/>
      <c r="ER126" s="108"/>
      <c r="ES126" s="106"/>
      <c r="ET126" s="106"/>
      <c r="EU126" s="25"/>
      <c r="EV126" s="25"/>
      <c r="EW126" s="106"/>
      <c r="EX126" s="106"/>
      <c r="EY126" s="106"/>
      <c r="EZ126" s="106"/>
      <c r="FA126" s="25"/>
      <c r="FB126" s="106"/>
      <c r="FC126" s="106"/>
      <c r="FD126" s="106"/>
      <c r="FE126" s="126"/>
      <c r="FF126" s="126"/>
      <c r="FG126" s="106"/>
      <c r="FH126" s="106"/>
      <c r="FI126" s="106"/>
      <c r="FJ126" s="25"/>
      <c r="FK126" s="17">
        <f t="shared" si="494"/>
        <v>0</v>
      </c>
      <c r="FL126" s="18"/>
      <c r="FM126" s="19">
        <f t="shared" si="298"/>
        <v>0</v>
      </c>
      <c r="FN126" s="19">
        <f t="shared" si="299"/>
        <v>0</v>
      </c>
      <c r="FO126" s="19">
        <f t="shared" si="300"/>
        <v>0</v>
      </c>
      <c r="FP126" s="19">
        <f t="shared" si="301"/>
        <v>0</v>
      </c>
      <c r="FQ126" s="19">
        <f t="shared" si="302"/>
        <v>0</v>
      </c>
      <c r="FR126" s="19">
        <f t="shared" si="303"/>
        <v>0</v>
      </c>
      <c r="FS126" s="19">
        <f t="shared" si="304"/>
        <v>0</v>
      </c>
      <c r="FT126" s="19">
        <f t="shared" si="305"/>
        <v>0</v>
      </c>
      <c r="FU126" s="19">
        <f t="shared" si="306"/>
        <v>0</v>
      </c>
      <c r="FV126" s="19">
        <f t="shared" si="307"/>
        <v>0</v>
      </c>
      <c r="FW126" s="19">
        <f t="shared" si="308"/>
        <v>0</v>
      </c>
      <c r="FX126" s="19">
        <f t="shared" si="309"/>
        <v>0</v>
      </c>
      <c r="FY126" s="19">
        <f t="shared" si="310"/>
        <v>0</v>
      </c>
      <c r="FZ126" s="19">
        <f t="shared" si="311"/>
        <v>0</v>
      </c>
      <c r="GA126" s="19">
        <f t="shared" si="312"/>
        <v>0</v>
      </c>
      <c r="GB126" s="19">
        <f t="shared" si="313"/>
        <v>0</v>
      </c>
      <c r="GC126" s="19">
        <f t="shared" si="314"/>
        <v>0</v>
      </c>
      <c r="GD126" s="19">
        <f t="shared" si="315"/>
        <v>0</v>
      </c>
      <c r="GE126" s="19">
        <f t="shared" si="316"/>
        <v>0</v>
      </c>
      <c r="GF126" s="19">
        <f t="shared" si="317"/>
        <v>0</v>
      </c>
      <c r="GG126" s="19">
        <f t="shared" si="318"/>
        <v>0</v>
      </c>
      <c r="GH126" s="19">
        <f t="shared" si="319"/>
        <v>0</v>
      </c>
      <c r="GI126" s="19">
        <f t="shared" si="320"/>
        <v>0</v>
      </c>
      <c r="GJ126" s="19">
        <f t="shared" si="321"/>
        <v>0</v>
      </c>
      <c r="GK126" s="19">
        <f t="shared" si="322"/>
        <v>0</v>
      </c>
      <c r="GL126" s="19">
        <f t="shared" si="323"/>
        <v>0</v>
      </c>
      <c r="GM126" s="19">
        <f t="shared" si="324"/>
        <v>0</v>
      </c>
      <c r="GN126" s="19">
        <f t="shared" si="325"/>
        <v>0</v>
      </c>
      <c r="GO126" s="19">
        <f t="shared" si="326"/>
        <v>0</v>
      </c>
      <c r="GP126" s="19">
        <f t="shared" si="327"/>
        <v>0</v>
      </c>
      <c r="GQ126" s="19">
        <f t="shared" si="328"/>
        <v>0</v>
      </c>
      <c r="GR126" s="19">
        <f t="shared" si="329"/>
        <v>0</v>
      </c>
      <c r="GS126" s="19">
        <f t="shared" si="330"/>
        <v>0</v>
      </c>
      <c r="GT126" s="19">
        <f t="shared" si="331"/>
        <v>0</v>
      </c>
      <c r="GU126" s="19">
        <f t="shared" si="332"/>
        <v>0</v>
      </c>
      <c r="GV126" s="19">
        <f t="shared" si="333"/>
        <v>0</v>
      </c>
      <c r="GW126" s="19">
        <f t="shared" si="334"/>
        <v>0</v>
      </c>
      <c r="GX126" s="19">
        <f t="shared" si="335"/>
        <v>0</v>
      </c>
      <c r="GY126" s="19">
        <f t="shared" si="336"/>
        <v>0</v>
      </c>
      <c r="GZ126" s="19">
        <f t="shared" si="337"/>
        <v>0</v>
      </c>
      <c r="HA126" s="19">
        <f t="shared" si="338"/>
        <v>0</v>
      </c>
      <c r="HB126" s="19">
        <f t="shared" si="339"/>
        <v>0</v>
      </c>
      <c r="HC126" s="19">
        <f t="shared" si="340"/>
        <v>1.4999999999999999E-2</v>
      </c>
      <c r="HD126" s="19">
        <f t="shared" si="341"/>
        <v>0</v>
      </c>
      <c r="HE126" s="19">
        <f t="shared" si="342"/>
        <v>0</v>
      </c>
      <c r="HF126" s="19">
        <f t="shared" si="343"/>
        <v>0.74249999999999994</v>
      </c>
      <c r="HG126" s="19">
        <f t="shared" si="344"/>
        <v>0.74249999999999994</v>
      </c>
      <c r="HH126" s="19">
        <f t="shared" si="345"/>
        <v>0</v>
      </c>
      <c r="HI126" s="19">
        <f t="shared" si="346"/>
        <v>0</v>
      </c>
      <c r="HJ126" s="19">
        <f t="shared" si="347"/>
        <v>0</v>
      </c>
      <c r="HK126" s="19">
        <f t="shared" si="348"/>
        <v>0</v>
      </c>
      <c r="HL126" s="19">
        <f t="shared" si="349"/>
        <v>0</v>
      </c>
      <c r="HM126" s="20">
        <f t="shared" si="350"/>
        <v>1.5</v>
      </c>
      <c r="HN126" s="53">
        <v>642</v>
      </c>
      <c r="HO126" s="21">
        <f t="shared" si="351"/>
        <v>0</v>
      </c>
      <c r="HP126" s="21">
        <f t="shared" si="352"/>
        <v>0</v>
      </c>
      <c r="HQ126" s="21">
        <f t="shared" si="353"/>
        <v>0</v>
      </c>
      <c r="HR126" s="21">
        <f t="shared" si="354"/>
        <v>0</v>
      </c>
      <c r="HS126" s="21">
        <f t="shared" si="355"/>
        <v>0</v>
      </c>
      <c r="HT126" s="69">
        <f t="shared" si="356"/>
        <v>0</v>
      </c>
      <c r="HU126" s="21">
        <f t="shared" si="357"/>
        <v>0</v>
      </c>
      <c r="HV126" s="21">
        <f t="shared" si="358"/>
        <v>0</v>
      </c>
      <c r="HW126" s="21">
        <f t="shared" si="359"/>
        <v>0</v>
      </c>
      <c r="HX126" s="21">
        <f t="shared" si="360"/>
        <v>0</v>
      </c>
      <c r="HY126" s="21">
        <f t="shared" si="361"/>
        <v>0</v>
      </c>
      <c r="HZ126" s="21">
        <f t="shared" si="362"/>
        <v>0</v>
      </c>
      <c r="IA126" s="21">
        <f t="shared" si="363"/>
        <v>0</v>
      </c>
      <c r="IB126" s="21">
        <f t="shared" si="364"/>
        <v>0</v>
      </c>
      <c r="IC126" s="21">
        <f t="shared" si="365"/>
        <v>0</v>
      </c>
      <c r="ID126" s="21">
        <f t="shared" si="366"/>
        <v>0</v>
      </c>
      <c r="IE126" s="21">
        <f t="shared" si="367"/>
        <v>0</v>
      </c>
      <c r="IF126" s="69">
        <f t="shared" si="368"/>
        <v>0</v>
      </c>
      <c r="IG126" s="69">
        <f t="shared" si="369"/>
        <v>0</v>
      </c>
      <c r="IH126" s="69">
        <f t="shared" si="370"/>
        <v>0</v>
      </c>
      <c r="II126" s="21">
        <f t="shared" si="371"/>
        <v>0</v>
      </c>
      <c r="IJ126" s="21">
        <f t="shared" si="372"/>
        <v>0</v>
      </c>
      <c r="IK126" s="21">
        <f t="shared" si="373"/>
        <v>0</v>
      </c>
      <c r="IL126" s="21">
        <f t="shared" si="374"/>
        <v>0</v>
      </c>
      <c r="IM126" s="21">
        <f t="shared" si="375"/>
        <v>0</v>
      </c>
      <c r="IN126" s="21">
        <f t="shared" si="376"/>
        <v>0</v>
      </c>
      <c r="IO126" s="21">
        <f t="shared" si="377"/>
        <v>0</v>
      </c>
      <c r="IP126" s="21">
        <f t="shared" si="378"/>
        <v>0</v>
      </c>
      <c r="IQ126" s="21">
        <f t="shared" si="379"/>
        <v>0</v>
      </c>
      <c r="IR126" s="21">
        <f t="shared" si="380"/>
        <v>0</v>
      </c>
      <c r="IS126" s="21">
        <f t="shared" si="381"/>
        <v>0</v>
      </c>
      <c r="IT126" s="21">
        <f t="shared" si="382"/>
        <v>0</v>
      </c>
      <c r="IU126" s="21">
        <f t="shared" si="383"/>
        <v>0</v>
      </c>
      <c r="IV126" s="21">
        <f t="shared" si="384"/>
        <v>0</v>
      </c>
      <c r="IW126" s="21">
        <f t="shared" si="385"/>
        <v>0</v>
      </c>
      <c r="IX126" s="21">
        <f t="shared" si="386"/>
        <v>0</v>
      </c>
      <c r="IY126" s="21">
        <f t="shared" si="387"/>
        <v>0</v>
      </c>
      <c r="IZ126" s="21">
        <f t="shared" si="388"/>
        <v>0</v>
      </c>
      <c r="JA126" s="21">
        <f t="shared" si="389"/>
        <v>0</v>
      </c>
      <c r="JB126" s="21">
        <f t="shared" si="390"/>
        <v>0</v>
      </c>
      <c r="JC126" s="21">
        <f t="shared" si="391"/>
        <v>0</v>
      </c>
      <c r="JD126" s="21">
        <f t="shared" si="392"/>
        <v>0</v>
      </c>
      <c r="JE126" s="21">
        <f t="shared" si="393"/>
        <v>6.419999999999999</v>
      </c>
      <c r="JF126" s="21">
        <f t="shared" si="394"/>
        <v>0</v>
      </c>
      <c r="JG126" s="21">
        <f t="shared" si="395"/>
        <v>0</v>
      </c>
      <c r="JH126" s="21">
        <f t="shared" si="396"/>
        <v>317.78999999999996</v>
      </c>
      <c r="JI126" s="21">
        <f t="shared" si="397"/>
        <v>317.78999999999996</v>
      </c>
      <c r="JJ126" s="21">
        <f t="shared" si="398"/>
        <v>0</v>
      </c>
      <c r="JK126" s="21">
        <f t="shared" si="399"/>
        <v>0</v>
      </c>
      <c r="JL126" s="21">
        <f t="shared" si="400"/>
        <v>0</v>
      </c>
      <c r="JM126" s="21">
        <f t="shared" si="401"/>
        <v>0</v>
      </c>
      <c r="JN126" s="21">
        <f t="shared" si="402"/>
        <v>0</v>
      </c>
      <c r="JO126" s="35">
        <f t="shared" si="486"/>
        <v>642</v>
      </c>
      <c r="JP126" s="38">
        <f t="shared" si="487"/>
        <v>0</v>
      </c>
      <c r="JQ126" s="43">
        <f t="shared" si="405"/>
        <v>0</v>
      </c>
      <c r="JR126" s="43">
        <f t="shared" si="406"/>
        <v>0</v>
      </c>
      <c r="JS126" s="43">
        <f t="shared" si="407"/>
        <v>0</v>
      </c>
      <c r="JT126" s="43">
        <f t="shared" si="408"/>
        <v>0</v>
      </c>
      <c r="JU126" s="43">
        <f t="shared" si="409"/>
        <v>0</v>
      </c>
      <c r="JV126" s="43">
        <f t="shared" si="410"/>
        <v>0</v>
      </c>
      <c r="JW126" s="43">
        <f t="shared" si="411"/>
        <v>0</v>
      </c>
      <c r="JX126" s="43">
        <f t="shared" si="412"/>
        <v>0</v>
      </c>
      <c r="JY126" s="43">
        <f t="shared" si="413"/>
        <v>0</v>
      </c>
      <c r="JZ126" s="43">
        <f t="shared" si="414"/>
        <v>0</v>
      </c>
      <c r="KA126" s="43">
        <f t="shared" si="415"/>
        <v>0</v>
      </c>
      <c r="KB126" s="43">
        <f t="shared" si="416"/>
        <v>0</v>
      </c>
      <c r="KC126" s="43">
        <f t="shared" si="417"/>
        <v>0</v>
      </c>
      <c r="KD126" s="43">
        <f t="shared" si="418"/>
        <v>0</v>
      </c>
      <c r="KE126" s="43">
        <f t="shared" si="419"/>
        <v>0</v>
      </c>
      <c r="KF126" s="43">
        <f t="shared" si="420"/>
        <v>0</v>
      </c>
      <c r="KG126" s="43">
        <f t="shared" si="421"/>
        <v>0</v>
      </c>
      <c r="KH126" s="43">
        <f t="shared" si="422"/>
        <v>0</v>
      </c>
      <c r="KI126" s="43">
        <f t="shared" si="423"/>
        <v>0</v>
      </c>
      <c r="KJ126" s="43">
        <f t="shared" si="424"/>
        <v>0</v>
      </c>
      <c r="KK126" s="43">
        <f t="shared" si="425"/>
        <v>0</v>
      </c>
      <c r="KL126" s="43">
        <f t="shared" si="426"/>
        <v>0</v>
      </c>
      <c r="KM126" s="43">
        <f t="shared" si="427"/>
        <v>0</v>
      </c>
      <c r="KN126" s="43">
        <f t="shared" si="428"/>
        <v>0</v>
      </c>
      <c r="KO126" s="43">
        <f t="shared" si="429"/>
        <v>0</v>
      </c>
      <c r="KP126" s="43">
        <f t="shared" si="430"/>
        <v>0</v>
      </c>
      <c r="KQ126" s="43">
        <f t="shared" si="431"/>
        <v>0</v>
      </c>
      <c r="KR126" s="43">
        <f t="shared" si="432"/>
        <v>0</v>
      </c>
      <c r="KS126" s="43">
        <f t="shared" si="433"/>
        <v>0</v>
      </c>
      <c r="KT126" s="43">
        <f t="shared" si="434"/>
        <v>0</v>
      </c>
      <c r="KU126" s="43">
        <f t="shared" si="435"/>
        <v>0</v>
      </c>
      <c r="KV126" s="43">
        <f t="shared" si="436"/>
        <v>0</v>
      </c>
      <c r="KW126" s="43">
        <f t="shared" si="437"/>
        <v>0</v>
      </c>
      <c r="KX126" s="43">
        <f t="shared" si="438"/>
        <v>0</v>
      </c>
      <c r="KY126" s="43">
        <f t="shared" si="439"/>
        <v>0</v>
      </c>
      <c r="KZ126" s="43">
        <f t="shared" si="440"/>
        <v>0</v>
      </c>
      <c r="LA126" s="43">
        <f t="shared" si="441"/>
        <v>0</v>
      </c>
      <c r="LB126" s="43">
        <f t="shared" si="442"/>
        <v>0</v>
      </c>
      <c r="LC126" s="43">
        <f t="shared" si="443"/>
        <v>0</v>
      </c>
      <c r="LD126" s="43">
        <f t="shared" si="444"/>
        <v>0</v>
      </c>
      <c r="LE126" s="43">
        <f t="shared" si="445"/>
        <v>0</v>
      </c>
      <c r="LF126" s="43">
        <f t="shared" si="446"/>
        <v>0</v>
      </c>
      <c r="LG126" s="43">
        <f t="shared" si="447"/>
        <v>66.25439999999999</v>
      </c>
      <c r="LH126" s="43">
        <f t="shared" si="448"/>
        <v>0</v>
      </c>
      <c r="LI126" s="43">
        <f t="shared" si="449"/>
        <v>0</v>
      </c>
      <c r="LJ126" s="43">
        <f t="shared" si="450"/>
        <v>1530.3368124000001</v>
      </c>
      <c r="LK126" s="43">
        <f t="shared" si="451"/>
        <v>1272.9872924999997</v>
      </c>
      <c r="LL126" s="43">
        <f t="shared" si="452"/>
        <v>0</v>
      </c>
      <c r="LM126" s="43">
        <f t="shared" si="453"/>
        <v>0</v>
      </c>
      <c r="LN126" s="43">
        <f t="shared" si="454"/>
        <v>0</v>
      </c>
      <c r="LO126" s="43">
        <f t="shared" si="455"/>
        <v>0</v>
      </c>
      <c r="LP126" s="43">
        <f t="shared" si="456"/>
        <v>0</v>
      </c>
      <c r="LQ126" s="28">
        <f t="shared" si="488"/>
        <v>2869.5785048999996</v>
      </c>
      <c r="LR126" s="65">
        <v>606</v>
      </c>
      <c r="LS126" s="32">
        <f t="shared" si="495"/>
        <v>4.7352780608910887</v>
      </c>
      <c r="LT126" s="26">
        <f t="shared" si="496"/>
        <v>1.293791819915598</v>
      </c>
      <c r="LU126" s="31">
        <f t="shared" si="489"/>
        <v>36</v>
      </c>
      <c r="LW126" s="42"/>
      <c r="MA126" s="32">
        <f t="shared" si="490"/>
        <v>4.4697484499999991</v>
      </c>
      <c r="MB126" s="26">
        <f t="shared" si="497"/>
        <v>1.2212427459016391</v>
      </c>
    </row>
    <row r="127" spans="1:340" ht="15.75" thickBot="1">
      <c r="A127" t="b">
        <f t="shared" si="484"/>
        <v>1</v>
      </c>
      <c r="B127" s="123" t="s">
        <v>309</v>
      </c>
      <c r="C127" s="39" t="s">
        <v>100</v>
      </c>
      <c r="D127"/>
      <c r="E127" s="97">
        <v>46042</v>
      </c>
      <c r="F127" t="s">
        <v>43</v>
      </c>
      <c r="G127" t="s">
        <v>19</v>
      </c>
      <c r="H127" t="s">
        <v>27</v>
      </c>
      <c r="I127" s="77"/>
      <c r="J127" s="77"/>
      <c r="K127" s="77"/>
      <c r="L127" s="22"/>
      <c r="M127" s="22"/>
      <c r="N127" s="98"/>
      <c r="O127" s="22"/>
      <c r="P127" s="22"/>
      <c r="Q127" s="22"/>
      <c r="R127" s="22"/>
      <c r="S127" s="104"/>
      <c r="T127" s="22"/>
      <c r="U127" s="22"/>
      <c r="V127" s="104"/>
      <c r="W127" s="22"/>
      <c r="X127" s="22"/>
      <c r="Y127" s="22"/>
      <c r="Z127" s="104"/>
      <c r="AA127" s="104"/>
      <c r="AB127" s="104"/>
      <c r="AC127" s="22"/>
      <c r="AD127" s="22"/>
      <c r="AE127" s="22"/>
      <c r="AF127" s="124"/>
      <c r="AG127" s="124"/>
      <c r="AH127" s="22"/>
      <c r="AI127" s="22"/>
      <c r="AJ127" s="22"/>
      <c r="AK127" s="22"/>
      <c r="AL127" s="22"/>
      <c r="AM127" s="22"/>
      <c r="AN127" s="22"/>
      <c r="AO127" s="104"/>
      <c r="AP127" s="22"/>
      <c r="AQ127" s="22"/>
      <c r="AR127" s="22"/>
      <c r="AS127" s="22"/>
      <c r="AT127" s="22"/>
      <c r="AU127" s="22"/>
      <c r="AV127" s="22"/>
      <c r="AW127" s="22"/>
      <c r="AX127" s="22"/>
      <c r="AY127" s="104">
        <v>0.01</v>
      </c>
      <c r="AZ127" s="104"/>
      <c r="BA127" s="104"/>
      <c r="BB127" s="104">
        <v>0.495</v>
      </c>
      <c r="BC127" s="124">
        <v>0.495</v>
      </c>
      <c r="BD127" s="124"/>
      <c r="BE127" s="104"/>
      <c r="BF127" s="22"/>
      <c r="BG127" s="22"/>
      <c r="BH127" s="22"/>
      <c r="BI127" s="78">
        <f t="shared" si="503"/>
        <v>1</v>
      </c>
      <c r="BJ127" s="23"/>
      <c r="BK127" s="23"/>
      <c r="BL127" s="23"/>
      <c r="BM127" s="23"/>
      <c r="BN127" s="23"/>
      <c r="BO127" s="99"/>
      <c r="BP127" s="23"/>
      <c r="BQ127" s="23"/>
      <c r="BR127" s="23"/>
      <c r="BS127" s="23"/>
      <c r="BT127" s="105"/>
      <c r="BU127" s="23"/>
      <c r="BV127" s="23"/>
      <c r="BW127" s="105"/>
      <c r="BX127" s="23"/>
      <c r="BY127" s="23"/>
      <c r="BZ127" s="23"/>
      <c r="CA127" s="105"/>
      <c r="CB127" s="105"/>
      <c r="CC127" s="105"/>
      <c r="CD127" s="23"/>
      <c r="CE127" s="23"/>
      <c r="CF127" s="71"/>
      <c r="CG127" s="128"/>
      <c r="CH127" s="128"/>
      <c r="CI127" s="23"/>
      <c r="CJ127" s="23"/>
      <c r="CK127" s="23"/>
      <c r="CL127" s="23"/>
      <c r="CM127" s="23"/>
      <c r="CN127" s="23"/>
      <c r="CO127" s="23"/>
      <c r="CP127" s="105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99"/>
      <c r="DC127" s="99"/>
      <c r="DD127" s="125"/>
      <c r="DE127" s="125"/>
      <c r="DF127" s="105"/>
      <c r="DG127" s="23"/>
      <c r="DH127" s="23"/>
      <c r="DI127" s="23"/>
      <c r="DJ127" s="79">
        <f t="shared" si="485"/>
        <v>0</v>
      </c>
      <c r="DK127" s="24"/>
      <c r="DL127" s="24"/>
      <c r="DM127" s="24"/>
      <c r="DN127" s="24"/>
      <c r="DO127" s="24"/>
      <c r="DP127" s="103"/>
      <c r="DQ127" s="24"/>
      <c r="DR127" s="24"/>
      <c r="DS127" s="24"/>
      <c r="DT127" s="24"/>
      <c r="DU127" s="108"/>
      <c r="DV127" s="24"/>
      <c r="DW127" s="24"/>
      <c r="DX127" s="108"/>
      <c r="DY127" s="24"/>
      <c r="DZ127" s="24"/>
      <c r="EA127" s="24"/>
      <c r="EB127" s="108"/>
      <c r="EC127" s="108"/>
      <c r="ED127" s="108"/>
      <c r="EE127" s="24"/>
      <c r="EF127" s="24"/>
      <c r="EG127" s="24"/>
      <c r="EH127" s="129"/>
      <c r="EI127" s="129"/>
      <c r="EJ127" s="24"/>
      <c r="EK127" s="24"/>
      <c r="EL127" s="24"/>
      <c r="EM127" s="24"/>
      <c r="EN127" s="24"/>
      <c r="EO127" s="24"/>
      <c r="EP127" s="24"/>
      <c r="EQ127" s="108"/>
      <c r="ER127" s="24"/>
      <c r="ES127" s="25"/>
      <c r="ET127" s="25"/>
      <c r="EU127" s="25"/>
      <c r="EV127" s="25"/>
      <c r="EW127" s="25"/>
      <c r="EX127" s="25"/>
      <c r="EY127" s="25"/>
      <c r="EZ127" s="25"/>
      <c r="FA127" s="25"/>
      <c r="FB127" s="25"/>
      <c r="FC127" s="100"/>
      <c r="FD127" s="100"/>
      <c r="FE127" s="126"/>
      <c r="FF127" s="126"/>
      <c r="FG127" s="106"/>
      <c r="FH127" s="25"/>
      <c r="FI127" s="25"/>
      <c r="FJ127" s="106"/>
      <c r="FK127" s="17">
        <f t="shared" si="494"/>
        <v>0</v>
      </c>
      <c r="FL127" s="18"/>
      <c r="FM127" s="19">
        <f t="shared" si="298"/>
        <v>0</v>
      </c>
      <c r="FN127" s="19">
        <f t="shared" si="299"/>
        <v>0</v>
      </c>
      <c r="FO127" s="19">
        <f t="shared" si="300"/>
        <v>0</v>
      </c>
      <c r="FP127" s="19">
        <f t="shared" si="301"/>
        <v>0</v>
      </c>
      <c r="FQ127" s="19">
        <f t="shared" si="302"/>
        <v>0</v>
      </c>
      <c r="FR127" s="19">
        <f t="shared" si="303"/>
        <v>0</v>
      </c>
      <c r="FS127" s="19">
        <f t="shared" si="304"/>
        <v>0</v>
      </c>
      <c r="FT127" s="19">
        <f t="shared" si="305"/>
        <v>0</v>
      </c>
      <c r="FU127" s="19">
        <f t="shared" si="306"/>
        <v>0</v>
      </c>
      <c r="FV127" s="19">
        <f t="shared" si="307"/>
        <v>0</v>
      </c>
      <c r="FW127" s="19">
        <f t="shared" si="308"/>
        <v>0</v>
      </c>
      <c r="FX127" s="19">
        <f t="shared" si="309"/>
        <v>0</v>
      </c>
      <c r="FY127" s="19">
        <f t="shared" si="310"/>
        <v>0</v>
      </c>
      <c r="FZ127" s="19">
        <f t="shared" si="311"/>
        <v>0</v>
      </c>
      <c r="GA127" s="19">
        <f t="shared" si="312"/>
        <v>0</v>
      </c>
      <c r="GB127" s="19">
        <f t="shared" si="313"/>
        <v>0</v>
      </c>
      <c r="GC127" s="19">
        <f t="shared" si="314"/>
        <v>0</v>
      </c>
      <c r="GD127" s="19">
        <f t="shared" si="315"/>
        <v>0</v>
      </c>
      <c r="GE127" s="19">
        <f t="shared" si="316"/>
        <v>0</v>
      </c>
      <c r="GF127" s="19">
        <f t="shared" si="317"/>
        <v>0</v>
      </c>
      <c r="GG127" s="19">
        <f t="shared" si="318"/>
        <v>0</v>
      </c>
      <c r="GH127" s="19">
        <f t="shared" si="319"/>
        <v>0</v>
      </c>
      <c r="GI127" s="19">
        <f t="shared" si="320"/>
        <v>0</v>
      </c>
      <c r="GJ127" s="19">
        <f t="shared" si="321"/>
        <v>0</v>
      </c>
      <c r="GK127" s="19">
        <f t="shared" si="322"/>
        <v>0</v>
      </c>
      <c r="GL127" s="19">
        <f t="shared" si="323"/>
        <v>0</v>
      </c>
      <c r="GM127" s="19">
        <f t="shared" si="324"/>
        <v>0</v>
      </c>
      <c r="GN127" s="19">
        <f t="shared" si="325"/>
        <v>0</v>
      </c>
      <c r="GO127" s="19">
        <f t="shared" si="326"/>
        <v>0</v>
      </c>
      <c r="GP127" s="19">
        <f t="shared" si="327"/>
        <v>0</v>
      </c>
      <c r="GQ127" s="19">
        <f t="shared" si="328"/>
        <v>0</v>
      </c>
      <c r="GR127" s="19">
        <f t="shared" si="329"/>
        <v>0</v>
      </c>
      <c r="GS127" s="19">
        <f t="shared" si="330"/>
        <v>0</v>
      </c>
      <c r="GT127" s="19">
        <f t="shared" si="331"/>
        <v>0</v>
      </c>
      <c r="GU127" s="19">
        <f t="shared" si="332"/>
        <v>0</v>
      </c>
      <c r="GV127" s="19">
        <f t="shared" si="333"/>
        <v>0</v>
      </c>
      <c r="GW127" s="19">
        <f t="shared" si="334"/>
        <v>0</v>
      </c>
      <c r="GX127" s="19">
        <f t="shared" si="335"/>
        <v>0</v>
      </c>
      <c r="GY127" s="19">
        <f t="shared" si="336"/>
        <v>0</v>
      </c>
      <c r="GZ127" s="19">
        <f t="shared" si="337"/>
        <v>0</v>
      </c>
      <c r="HA127" s="19">
        <f t="shared" si="338"/>
        <v>0</v>
      </c>
      <c r="HB127" s="19">
        <f t="shared" si="339"/>
        <v>0</v>
      </c>
      <c r="HC127" s="19">
        <f t="shared" si="340"/>
        <v>1.4999999999999999E-2</v>
      </c>
      <c r="HD127" s="19">
        <f t="shared" si="341"/>
        <v>0</v>
      </c>
      <c r="HE127" s="19">
        <f t="shared" si="342"/>
        <v>0</v>
      </c>
      <c r="HF127" s="19">
        <f t="shared" si="343"/>
        <v>0.74249999999999994</v>
      </c>
      <c r="HG127" s="19">
        <f t="shared" si="344"/>
        <v>0.74249999999999994</v>
      </c>
      <c r="HH127" s="19">
        <f t="shared" si="345"/>
        <v>0</v>
      </c>
      <c r="HI127" s="19">
        <f t="shared" si="346"/>
        <v>0</v>
      </c>
      <c r="HJ127" s="19">
        <f t="shared" si="347"/>
        <v>0</v>
      </c>
      <c r="HK127" s="19">
        <f t="shared" si="348"/>
        <v>0</v>
      </c>
      <c r="HL127" s="19">
        <f t="shared" si="349"/>
        <v>0</v>
      </c>
      <c r="HM127" s="20">
        <f t="shared" si="350"/>
        <v>1.5</v>
      </c>
      <c r="HN127" s="53">
        <v>775</v>
      </c>
      <c r="HO127" s="21">
        <f t="shared" si="351"/>
        <v>0</v>
      </c>
      <c r="HP127" s="21">
        <f t="shared" si="352"/>
        <v>0</v>
      </c>
      <c r="HQ127" s="21">
        <f t="shared" si="353"/>
        <v>0</v>
      </c>
      <c r="HR127" s="21">
        <f t="shared" si="354"/>
        <v>0</v>
      </c>
      <c r="HS127" s="21">
        <f t="shared" si="355"/>
        <v>0</v>
      </c>
      <c r="HT127" s="69">
        <f t="shared" si="356"/>
        <v>0</v>
      </c>
      <c r="HU127" s="21">
        <f t="shared" si="357"/>
        <v>0</v>
      </c>
      <c r="HV127" s="21">
        <f t="shared" si="358"/>
        <v>0</v>
      </c>
      <c r="HW127" s="21">
        <f t="shared" si="359"/>
        <v>0</v>
      </c>
      <c r="HX127" s="21">
        <f t="shared" si="360"/>
        <v>0</v>
      </c>
      <c r="HY127" s="21">
        <f t="shared" si="361"/>
        <v>0</v>
      </c>
      <c r="HZ127" s="21">
        <f t="shared" si="362"/>
        <v>0</v>
      </c>
      <c r="IA127" s="21">
        <f t="shared" si="363"/>
        <v>0</v>
      </c>
      <c r="IB127" s="21">
        <f t="shared" si="364"/>
        <v>0</v>
      </c>
      <c r="IC127" s="21">
        <f t="shared" si="365"/>
        <v>0</v>
      </c>
      <c r="ID127" s="21">
        <f t="shared" si="366"/>
        <v>0</v>
      </c>
      <c r="IE127" s="21">
        <f t="shared" si="367"/>
        <v>0</v>
      </c>
      <c r="IF127" s="69">
        <f t="shared" si="368"/>
        <v>0</v>
      </c>
      <c r="IG127" s="69">
        <f t="shared" si="369"/>
        <v>0</v>
      </c>
      <c r="IH127" s="69">
        <f t="shared" si="370"/>
        <v>0</v>
      </c>
      <c r="II127" s="21">
        <f t="shared" si="371"/>
        <v>0</v>
      </c>
      <c r="IJ127" s="21">
        <f t="shared" si="372"/>
        <v>0</v>
      </c>
      <c r="IK127" s="21">
        <f t="shared" si="373"/>
        <v>0</v>
      </c>
      <c r="IL127" s="21">
        <f t="shared" si="374"/>
        <v>0</v>
      </c>
      <c r="IM127" s="21">
        <f t="shared" si="375"/>
        <v>0</v>
      </c>
      <c r="IN127" s="21">
        <f t="shared" si="376"/>
        <v>0</v>
      </c>
      <c r="IO127" s="21">
        <f t="shared" si="377"/>
        <v>0</v>
      </c>
      <c r="IP127" s="21">
        <f t="shared" si="378"/>
        <v>0</v>
      </c>
      <c r="IQ127" s="21">
        <f t="shared" si="379"/>
        <v>0</v>
      </c>
      <c r="IR127" s="21">
        <f t="shared" si="380"/>
        <v>0</v>
      </c>
      <c r="IS127" s="21">
        <f t="shared" si="381"/>
        <v>0</v>
      </c>
      <c r="IT127" s="21">
        <f t="shared" si="382"/>
        <v>0</v>
      </c>
      <c r="IU127" s="21">
        <f t="shared" si="383"/>
        <v>0</v>
      </c>
      <c r="IV127" s="21">
        <f t="shared" si="384"/>
        <v>0</v>
      </c>
      <c r="IW127" s="21">
        <f t="shared" si="385"/>
        <v>0</v>
      </c>
      <c r="IX127" s="21">
        <f t="shared" si="386"/>
        <v>0</v>
      </c>
      <c r="IY127" s="21">
        <f t="shared" si="387"/>
        <v>0</v>
      </c>
      <c r="IZ127" s="21">
        <f t="shared" si="388"/>
        <v>0</v>
      </c>
      <c r="JA127" s="21">
        <f t="shared" si="389"/>
        <v>0</v>
      </c>
      <c r="JB127" s="21">
        <f t="shared" si="390"/>
        <v>0</v>
      </c>
      <c r="JC127" s="21">
        <f t="shared" si="391"/>
        <v>0</v>
      </c>
      <c r="JD127" s="21">
        <f t="shared" si="392"/>
        <v>0</v>
      </c>
      <c r="JE127" s="21">
        <f t="shared" si="393"/>
        <v>7.75</v>
      </c>
      <c r="JF127" s="21">
        <f t="shared" si="394"/>
        <v>0</v>
      </c>
      <c r="JG127" s="21">
        <f t="shared" si="395"/>
        <v>0</v>
      </c>
      <c r="JH127" s="21">
        <f t="shared" si="396"/>
        <v>383.625</v>
      </c>
      <c r="JI127" s="21">
        <f t="shared" si="397"/>
        <v>383.625</v>
      </c>
      <c r="JJ127" s="21">
        <f t="shared" si="398"/>
        <v>0</v>
      </c>
      <c r="JK127" s="21">
        <f t="shared" si="399"/>
        <v>0</v>
      </c>
      <c r="JL127" s="21">
        <f t="shared" si="400"/>
        <v>0</v>
      </c>
      <c r="JM127" s="21">
        <f t="shared" si="401"/>
        <v>0</v>
      </c>
      <c r="JN127" s="21">
        <f t="shared" si="402"/>
        <v>0</v>
      </c>
      <c r="JO127" s="35">
        <f t="shared" si="486"/>
        <v>775</v>
      </c>
      <c r="JP127" s="38">
        <f t="shared" si="487"/>
        <v>0</v>
      </c>
      <c r="JQ127" s="43">
        <f t="shared" si="405"/>
        <v>0</v>
      </c>
      <c r="JR127" s="43">
        <f t="shared" si="406"/>
        <v>0</v>
      </c>
      <c r="JS127" s="43">
        <f t="shared" si="407"/>
        <v>0</v>
      </c>
      <c r="JT127" s="43">
        <f t="shared" si="408"/>
        <v>0</v>
      </c>
      <c r="JU127" s="43">
        <f t="shared" si="409"/>
        <v>0</v>
      </c>
      <c r="JV127" s="43">
        <f t="shared" si="410"/>
        <v>0</v>
      </c>
      <c r="JW127" s="43">
        <f t="shared" si="411"/>
        <v>0</v>
      </c>
      <c r="JX127" s="43">
        <f t="shared" si="412"/>
        <v>0</v>
      </c>
      <c r="JY127" s="43">
        <f t="shared" si="413"/>
        <v>0</v>
      </c>
      <c r="JZ127" s="43">
        <f t="shared" si="414"/>
        <v>0</v>
      </c>
      <c r="KA127" s="43">
        <f t="shared" si="415"/>
        <v>0</v>
      </c>
      <c r="KB127" s="43">
        <f t="shared" si="416"/>
        <v>0</v>
      </c>
      <c r="KC127" s="43">
        <f t="shared" si="417"/>
        <v>0</v>
      </c>
      <c r="KD127" s="43">
        <f t="shared" si="418"/>
        <v>0</v>
      </c>
      <c r="KE127" s="43">
        <f t="shared" si="419"/>
        <v>0</v>
      </c>
      <c r="KF127" s="43">
        <f t="shared" si="420"/>
        <v>0</v>
      </c>
      <c r="KG127" s="43">
        <f t="shared" si="421"/>
        <v>0</v>
      </c>
      <c r="KH127" s="43">
        <f t="shared" si="422"/>
        <v>0</v>
      </c>
      <c r="KI127" s="43">
        <f t="shared" si="423"/>
        <v>0</v>
      </c>
      <c r="KJ127" s="43">
        <f t="shared" si="424"/>
        <v>0</v>
      </c>
      <c r="KK127" s="43">
        <f t="shared" si="425"/>
        <v>0</v>
      </c>
      <c r="KL127" s="43">
        <f t="shared" si="426"/>
        <v>0</v>
      </c>
      <c r="KM127" s="43">
        <f t="shared" si="427"/>
        <v>0</v>
      </c>
      <c r="KN127" s="43">
        <f t="shared" si="428"/>
        <v>0</v>
      </c>
      <c r="KO127" s="43">
        <f t="shared" si="429"/>
        <v>0</v>
      </c>
      <c r="KP127" s="43">
        <f t="shared" si="430"/>
        <v>0</v>
      </c>
      <c r="KQ127" s="43">
        <f t="shared" si="431"/>
        <v>0</v>
      </c>
      <c r="KR127" s="43">
        <f t="shared" si="432"/>
        <v>0</v>
      </c>
      <c r="KS127" s="43">
        <f t="shared" si="433"/>
        <v>0</v>
      </c>
      <c r="KT127" s="43">
        <f t="shared" si="434"/>
        <v>0</v>
      </c>
      <c r="KU127" s="43">
        <f t="shared" si="435"/>
        <v>0</v>
      </c>
      <c r="KV127" s="43">
        <f t="shared" si="436"/>
        <v>0</v>
      </c>
      <c r="KW127" s="43">
        <f t="shared" si="437"/>
        <v>0</v>
      </c>
      <c r="KX127" s="43">
        <f t="shared" si="438"/>
        <v>0</v>
      </c>
      <c r="KY127" s="43">
        <f t="shared" si="439"/>
        <v>0</v>
      </c>
      <c r="KZ127" s="43">
        <f t="shared" si="440"/>
        <v>0</v>
      </c>
      <c r="LA127" s="43">
        <f t="shared" si="441"/>
        <v>0</v>
      </c>
      <c r="LB127" s="43">
        <f t="shared" si="442"/>
        <v>0</v>
      </c>
      <c r="LC127" s="43">
        <f t="shared" si="443"/>
        <v>0</v>
      </c>
      <c r="LD127" s="43">
        <f t="shared" si="444"/>
        <v>0</v>
      </c>
      <c r="LE127" s="43">
        <f t="shared" si="445"/>
        <v>0</v>
      </c>
      <c r="LF127" s="43">
        <f t="shared" si="446"/>
        <v>0</v>
      </c>
      <c r="LG127" s="43">
        <f t="shared" si="447"/>
        <v>79.98</v>
      </c>
      <c r="LH127" s="43">
        <f t="shared" si="448"/>
        <v>0</v>
      </c>
      <c r="LI127" s="43">
        <f t="shared" si="449"/>
        <v>0</v>
      </c>
      <c r="LJ127" s="43">
        <f t="shared" si="450"/>
        <v>1847.3692050000002</v>
      </c>
      <c r="LK127" s="43">
        <f t="shared" si="451"/>
        <v>1536.70584375</v>
      </c>
      <c r="LL127" s="43">
        <f t="shared" si="452"/>
        <v>0</v>
      </c>
      <c r="LM127" s="43">
        <f t="shared" si="453"/>
        <v>0</v>
      </c>
      <c r="LN127" s="43">
        <f t="shared" si="454"/>
        <v>0</v>
      </c>
      <c r="LO127" s="43">
        <f t="shared" si="455"/>
        <v>0</v>
      </c>
      <c r="LP127" s="43">
        <f t="shared" si="456"/>
        <v>0</v>
      </c>
      <c r="LQ127" s="28">
        <f t="shared" si="488"/>
        <v>3464.0550487500004</v>
      </c>
      <c r="LR127" s="65">
        <v>742</v>
      </c>
      <c r="LS127" s="32">
        <f t="shared" si="495"/>
        <v>4.6685378015498662</v>
      </c>
      <c r="LT127" s="26">
        <f t="shared" si="496"/>
        <v>1.2755567763797448</v>
      </c>
      <c r="LU127" s="31">
        <f t="shared" si="489"/>
        <v>33</v>
      </c>
      <c r="LW127" s="42"/>
      <c r="MA127" s="32">
        <f t="shared" si="490"/>
        <v>4.4697484500000009</v>
      </c>
      <c r="MB127" s="26">
        <f t="shared" si="497"/>
        <v>1.2212427459016395</v>
      </c>
    </row>
    <row r="128" spans="1:340" ht="15.75" thickBot="1">
      <c r="A128" t="b">
        <f t="shared" si="484"/>
        <v>1</v>
      </c>
      <c r="B128" s="123" t="s">
        <v>310</v>
      </c>
      <c r="C128" s="39" t="s">
        <v>71</v>
      </c>
      <c r="D128"/>
      <c r="E128" s="97">
        <v>46044</v>
      </c>
      <c r="F128" t="s">
        <v>43</v>
      </c>
      <c r="G128" t="s">
        <v>20</v>
      </c>
      <c r="H128" t="s">
        <v>27</v>
      </c>
      <c r="I128" s="77"/>
      <c r="J128" s="77"/>
      <c r="K128" s="77"/>
      <c r="L128" s="22">
        <v>0.15</v>
      </c>
      <c r="M128" s="22"/>
      <c r="N128" s="98"/>
      <c r="O128" s="22"/>
      <c r="P128" s="22"/>
      <c r="Q128" s="22"/>
      <c r="R128" s="22"/>
      <c r="S128" s="104"/>
      <c r="T128" s="22"/>
      <c r="U128" s="22"/>
      <c r="V128" s="104"/>
      <c r="W128" s="22"/>
      <c r="X128" s="22"/>
      <c r="Y128" s="22"/>
      <c r="Z128" s="104"/>
      <c r="AA128" s="104"/>
      <c r="AB128" s="104"/>
      <c r="AC128" s="22"/>
      <c r="AD128" s="22"/>
      <c r="AE128" s="22"/>
      <c r="AF128" s="124"/>
      <c r="AG128" s="124"/>
      <c r="AH128" s="22"/>
      <c r="AI128" s="22"/>
      <c r="AJ128" s="22">
        <v>0.45</v>
      </c>
      <c r="AK128" s="22"/>
      <c r="AL128" s="22"/>
      <c r="AM128" s="22"/>
      <c r="AN128" s="22"/>
      <c r="AO128" s="104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98"/>
      <c r="BB128" s="98"/>
      <c r="BC128" s="124">
        <v>0.4</v>
      </c>
      <c r="BD128" s="124"/>
      <c r="BE128" s="104"/>
      <c r="BF128" s="22"/>
      <c r="BG128" s="22"/>
      <c r="BH128" s="22"/>
      <c r="BI128" s="78">
        <f>SUM(I128:BH128)</f>
        <v>1</v>
      </c>
      <c r="BJ128" s="23"/>
      <c r="BK128" s="23"/>
      <c r="BL128" s="23"/>
      <c r="BM128" s="23"/>
      <c r="BN128" s="23"/>
      <c r="BO128" s="99"/>
      <c r="BP128" s="23"/>
      <c r="BQ128" s="23"/>
      <c r="BR128" s="23"/>
      <c r="BS128" s="23"/>
      <c r="BT128" s="105"/>
      <c r="BU128" s="23"/>
      <c r="BV128" s="23"/>
      <c r="BW128" s="105"/>
      <c r="BX128" s="23">
        <v>0.1</v>
      </c>
      <c r="BY128" s="23"/>
      <c r="BZ128" s="23"/>
      <c r="CA128" s="105"/>
      <c r="CB128" s="105"/>
      <c r="CC128" s="105"/>
      <c r="CD128" s="23"/>
      <c r="CE128" s="23"/>
      <c r="CF128" s="71">
        <v>0.45</v>
      </c>
      <c r="CG128" s="128"/>
      <c r="CH128" s="128"/>
      <c r="CI128" s="23"/>
      <c r="CJ128" s="23"/>
      <c r="CK128" s="23"/>
      <c r="CL128" s="23">
        <v>0.45</v>
      </c>
      <c r="CM128" s="23"/>
      <c r="CN128" s="23"/>
      <c r="CO128" s="23"/>
      <c r="CP128" s="105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99"/>
      <c r="DC128" s="99"/>
      <c r="DD128" s="125"/>
      <c r="DE128" s="125"/>
      <c r="DF128" s="105"/>
      <c r="DG128" s="23"/>
      <c r="DH128" s="23"/>
      <c r="DI128" s="23"/>
      <c r="DJ128" s="79">
        <f t="shared" si="485"/>
        <v>1</v>
      </c>
      <c r="DK128" s="24"/>
      <c r="DL128" s="24"/>
      <c r="DM128" s="24"/>
      <c r="DN128" s="24">
        <v>0.65</v>
      </c>
      <c r="DO128" s="24"/>
      <c r="DP128" s="103"/>
      <c r="DQ128" s="24"/>
      <c r="DR128" s="24"/>
      <c r="DS128" s="24"/>
      <c r="DT128" s="24"/>
      <c r="DU128" s="108"/>
      <c r="DV128" s="24"/>
      <c r="DW128" s="24"/>
      <c r="DX128" s="108"/>
      <c r="DY128" s="24"/>
      <c r="DZ128" s="24"/>
      <c r="EA128" s="24"/>
      <c r="EB128" s="108"/>
      <c r="EC128" s="108"/>
      <c r="ED128" s="108"/>
      <c r="EE128" s="24"/>
      <c r="EF128" s="24"/>
      <c r="EG128" s="24"/>
      <c r="EH128" s="129"/>
      <c r="EI128" s="129"/>
      <c r="EJ128" s="24"/>
      <c r="EK128" s="24"/>
      <c r="EL128" s="24"/>
      <c r="EM128" s="24">
        <v>0.18</v>
      </c>
      <c r="EN128" s="24"/>
      <c r="EO128" s="24"/>
      <c r="EP128" s="24"/>
      <c r="EQ128" s="108"/>
      <c r="ER128" s="24"/>
      <c r="ES128" s="25"/>
      <c r="ET128" s="25"/>
      <c r="EU128" s="25">
        <v>0.15</v>
      </c>
      <c r="EV128" s="25"/>
      <c r="EW128" s="25"/>
      <c r="EX128" s="25"/>
      <c r="EY128" s="25"/>
      <c r="EZ128" s="25"/>
      <c r="FA128" s="25"/>
      <c r="FB128" s="25"/>
      <c r="FC128" s="100"/>
      <c r="FD128" s="100"/>
      <c r="FE128" s="126"/>
      <c r="FF128" s="126"/>
      <c r="FG128" s="106"/>
      <c r="FH128" s="25"/>
      <c r="FI128" s="25"/>
      <c r="FJ128" s="25">
        <v>0.02</v>
      </c>
      <c r="FK128" s="17">
        <f t="shared" si="494"/>
        <v>1</v>
      </c>
      <c r="FL128" s="18"/>
      <c r="FM128" s="19">
        <f t="shared" si="298"/>
        <v>0</v>
      </c>
      <c r="FN128" s="19">
        <f t="shared" si="299"/>
        <v>0</v>
      </c>
      <c r="FO128" s="19">
        <f t="shared" si="300"/>
        <v>0</v>
      </c>
      <c r="FP128" s="19">
        <f t="shared" si="301"/>
        <v>1.2000000000000002</v>
      </c>
      <c r="FQ128" s="19">
        <f t="shared" si="302"/>
        <v>0</v>
      </c>
      <c r="FR128" s="19">
        <f t="shared" si="303"/>
        <v>0</v>
      </c>
      <c r="FS128" s="19">
        <f t="shared" si="304"/>
        <v>0</v>
      </c>
      <c r="FT128" s="19">
        <f t="shared" si="305"/>
        <v>0</v>
      </c>
      <c r="FU128" s="19">
        <f t="shared" si="306"/>
        <v>0</v>
      </c>
      <c r="FV128" s="19">
        <f t="shared" si="307"/>
        <v>0</v>
      </c>
      <c r="FW128" s="19">
        <f t="shared" si="308"/>
        <v>0</v>
      </c>
      <c r="FX128" s="19">
        <f t="shared" si="309"/>
        <v>0</v>
      </c>
      <c r="FY128" s="19">
        <f t="shared" si="310"/>
        <v>0</v>
      </c>
      <c r="FZ128" s="19">
        <f t="shared" si="311"/>
        <v>0</v>
      </c>
      <c r="GA128" s="19">
        <f t="shared" si="312"/>
        <v>0.2</v>
      </c>
      <c r="GB128" s="19">
        <f t="shared" si="313"/>
        <v>0</v>
      </c>
      <c r="GC128" s="19">
        <f t="shared" si="314"/>
        <v>0</v>
      </c>
      <c r="GD128" s="19">
        <f t="shared" si="315"/>
        <v>0</v>
      </c>
      <c r="GE128" s="19">
        <f t="shared" si="316"/>
        <v>0</v>
      </c>
      <c r="GF128" s="19">
        <f t="shared" si="317"/>
        <v>0</v>
      </c>
      <c r="GG128" s="19">
        <f t="shared" si="318"/>
        <v>0</v>
      </c>
      <c r="GH128" s="19">
        <f t="shared" si="319"/>
        <v>0</v>
      </c>
      <c r="GI128" s="19">
        <f t="shared" si="320"/>
        <v>0.9</v>
      </c>
      <c r="GJ128" s="19">
        <f t="shared" si="321"/>
        <v>0</v>
      </c>
      <c r="GK128" s="19">
        <f t="shared" si="322"/>
        <v>0</v>
      </c>
      <c r="GL128" s="19">
        <f t="shared" si="323"/>
        <v>0</v>
      </c>
      <c r="GM128" s="19">
        <f t="shared" si="324"/>
        <v>0</v>
      </c>
      <c r="GN128" s="19">
        <f t="shared" si="325"/>
        <v>0.67500000000000004</v>
      </c>
      <c r="GO128" s="19">
        <f t="shared" si="326"/>
        <v>1.17</v>
      </c>
      <c r="GP128" s="19">
        <f t="shared" si="327"/>
        <v>0</v>
      </c>
      <c r="GQ128" s="19">
        <f t="shared" si="328"/>
        <v>0</v>
      </c>
      <c r="GR128" s="19">
        <f t="shared" si="329"/>
        <v>0</v>
      </c>
      <c r="GS128" s="19">
        <f t="shared" si="330"/>
        <v>0</v>
      </c>
      <c r="GT128" s="19">
        <f t="shared" si="331"/>
        <v>0</v>
      </c>
      <c r="GU128" s="19">
        <f t="shared" si="332"/>
        <v>0</v>
      </c>
      <c r="GV128" s="19">
        <f t="shared" si="333"/>
        <v>0</v>
      </c>
      <c r="GW128" s="19">
        <f t="shared" si="334"/>
        <v>0.22499999999999998</v>
      </c>
      <c r="GX128" s="19">
        <f t="shared" si="335"/>
        <v>0</v>
      </c>
      <c r="GY128" s="19">
        <f t="shared" si="336"/>
        <v>0</v>
      </c>
      <c r="GZ128" s="19">
        <f t="shared" si="337"/>
        <v>0</v>
      </c>
      <c r="HA128" s="19">
        <f t="shared" si="338"/>
        <v>0</v>
      </c>
      <c r="HB128" s="19">
        <f t="shared" si="339"/>
        <v>0</v>
      </c>
      <c r="HC128" s="19">
        <f t="shared" si="340"/>
        <v>0</v>
      </c>
      <c r="HD128" s="19">
        <f t="shared" si="341"/>
        <v>0</v>
      </c>
      <c r="HE128" s="19">
        <f t="shared" si="342"/>
        <v>0</v>
      </c>
      <c r="HF128" s="19">
        <f t="shared" si="343"/>
        <v>0</v>
      </c>
      <c r="HG128" s="19">
        <f t="shared" si="344"/>
        <v>0.60000000000000009</v>
      </c>
      <c r="HH128" s="19">
        <f t="shared" si="345"/>
        <v>0</v>
      </c>
      <c r="HI128" s="19">
        <f t="shared" si="346"/>
        <v>0</v>
      </c>
      <c r="HJ128" s="19">
        <f t="shared" si="347"/>
        <v>0</v>
      </c>
      <c r="HK128" s="19">
        <f t="shared" si="348"/>
        <v>0</v>
      </c>
      <c r="HL128" s="19">
        <f t="shared" si="349"/>
        <v>0.03</v>
      </c>
      <c r="HM128" s="20">
        <f t="shared" si="350"/>
        <v>5.0000000000000009</v>
      </c>
      <c r="HN128" s="53">
        <v>1897</v>
      </c>
      <c r="HO128" s="21">
        <f t="shared" si="351"/>
        <v>0</v>
      </c>
      <c r="HP128" s="21">
        <f t="shared" si="352"/>
        <v>0</v>
      </c>
      <c r="HQ128" s="21">
        <f t="shared" si="353"/>
        <v>0</v>
      </c>
      <c r="HR128" s="21">
        <f t="shared" si="354"/>
        <v>455.28000000000003</v>
      </c>
      <c r="HS128" s="21">
        <f t="shared" si="355"/>
        <v>0</v>
      </c>
      <c r="HT128" s="69">
        <f t="shared" si="356"/>
        <v>0</v>
      </c>
      <c r="HU128" s="21">
        <f t="shared" si="357"/>
        <v>0</v>
      </c>
      <c r="HV128" s="21">
        <f t="shared" si="358"/>
        <v>0</v>
      </c>
      <c r="HW128" s="21">
        <f t="shared" si="359"/>
        <v>0</v>
      </c>
      <c r="HX128" s="21">
        <f t="shared" si="360"/>
        <v>0</v>
      </c>
      <c r="HY128" s="21">
        <f t="shared" si="361"/>
        <v>0</v>
      </c>
      <c r="HZ128" s="21">
        <f t="shared" si="362"/>
        <v>0</v>
      </c>
      <c r="IA128" s="21">
        <f t="shared" si="363"/>
        <v>0</v>
      </c>
      <c r="IB128" s="21">
        <f t="shared" si="364"/>
        <v>0</v>
      </c>
      <c r="IC128" s="21">
        <f t="shared" si="365"/>
        <v>75.88</v>
      </c>
      <c r="ID128" s="21">
        <f t="shared" si="366"/>
        <v>0</v>
      </c>
      <c r="IE128" s="21">
        <f t="shared" si="367"/>
        <v>0</v>
      </c>
      <c r="IF128" s="69">
        <f t="shared" si="368"/>
        <v>0</v>
      </c>
      <c r="IG128" s="69">
        <f t="shared" si="369"/>
        <v>0</v>
      </c>
      <c r="IH128" s="69">
        <f t="shared" si="370"/>
        <v>0</v>
      </c>
      <c r="II128" s="21">
        <f t="shared" si="371"/>
        <v>0</v>
      </c>
      <c r="IJ128" s="21">
        <f t="shared" si="372"/>
        <v>0</v>
      </c>
      <c r="IK128" s="21">
        <f t="shared" si="373"/>
        <v>341.45999999999992</v>
      </c>
      <c r="IL128" s="21">
        <f t="shared" si="374"/>
        <v>0</v>
      </c>
      <c r="IM128" s="21">
        <f t="shared" si="375"/>
        <v>0</v>
      </c>
      <c r="IN128" s="21">
        <f t="shared" si="376"/>
        <v>0</v>
      </c>
      <c r="IO128" s="21">
        <f t="shared" si="377"/>
        <v>0</v>
      </c>
      <c r="IP128" s="21">
        <f t="shared" si="378"/>
        <v>256.09499999999997</v>
      </c>
      <c r="IQ128" s="21">
        <f t="shared" si="379"/>
        <v>443.89799999999985</v>
      </c>
      <c r="IR128" s="21">
        <f t="shared" si="380"/>
        <v>0</v>
      </c>
      <c r="IS128" s="21">
        <f t="shared" si="381"/>
        <v>0</v>
      </c>
      <c r="IT128" s="21">
        <f t="shared" si="382"/>
        <v>0</v>
      </c>
      <c r="IU128" s="21">
        <f t="shared" si="383"/>
        <v>0</v>
      </c>
      <c r="IV128" s="21">
        <f t="shared" si="384"/>
        <v>0</v>
      </c>
      <c r="IW128" s="21">
        <f t="shared" si="385"/>
        <v>0</v>
      </c>
      <c r="IX128" s="21">
        <f t="shared" si="386"/>
        <v>0</v>
      </c>
      <c r="IY128" s="21">
        <f t="shared" si="387"/>
        <v>85.364999999999966</v>
      </c>
      <c r="IZ128" s="21">
        <f t="shared" si="388"/>
        <v>0</v>
      </c>
      <c r="JA128" s="21">
        <f t="shared" si="389"/>
        <v>0</v>
      </c>
      <c r="JB128" s="21">
        <f t="shared" si="390"/>
        <v>0</v>
      </c>
      <c r="JC128" s="21">
        <f t="shared" si="391"/>
        <v>0</v>
      </c>
      <c r="JD128" s="21">
        <f t="shared" si="392"/>
        <v>0</v>
      </c>
      <c r="JE128" s="21">
        <f t="shared" si="393"/>
        <v>0</v>
      </c>
      <c r="JF128" s="21">
        <f t="shared" si="394"/>
        <v>0</v>
      </c>
      <c r="JG128" s="21">
        <f t="shared" si="395"/>
        <v>0</v>
      </c>
      <c r="JH128" s="21">
        <f t="shared" si="396"/>
        <v>0</v>
      </c>
      <c r="JI128" s="21">
        <f t="shared" si="397"/>
        <v>227.64000000000001</v>
      </c>
      <c r="JJ128" s="21">
        <f t="shared" si="398"/>
        <v>0</v>
      </c>
      <c r="JK128" s="21">
        <f t="shared" si="399"/>
        <v>0</v>
      </c>
      <c r="JL128" s="21">
        <f t="shared" si="400"/>
        <v>0</v>
      </c>
      <c r="JM128" s="21">
        <f t="shared" si="401"/>
        <v>0</v>
      </c>
      <c r="JN128" s="21">
        <f t="shared" si="402"/>
        <v>11.381999999999998</v>
      </c>
      <c r="JO128" s="35">
        <f t="shared" si="486"/>
        <v>1897</v>
      </c>
      <c r="JP128" s="38">
        <f t="shared" si="487"/>
        <v>0</v>
      </c>
      <c r="JQ128" s="43">
        <f t="shared" si="405"/>
        <v>0</v>
      </c>
      <c r="JR128" s="43">
        <f t="shared" si="406"/>
        <v>0</v>
      </c>
      <c r="JS128" s="43">
        <f t="shared" si="407"/>
        <v>0</v>
      </c>
      <c r="JT128" s="43">
        <f t="shared" si="408"/>
        <v>1958.1228576000003</v>
      </c>
      <c r="JU128" s="43">
        <f t="shared" si="409"/>
        <v>0</v>
      </c>
      <c r="JV128" s="43">
        <f t="shared" si="410"/>
        <v>0</v>
      </c>
      <c r="JW128" s="43">
        <f t="shared" si="411"/>
        <v>0</v>
      </c>
      <c r="JX128" s="43">
        <f t="shared" si="412"/>
        <v>0</v>
      </c>
      <c r="JY128" s="43">
        <f t="shared" si="413"/>
        <v>0</v>
      </c>
      <c r="JZ128" s="43">
        <f t="shared" si="414"/>
        <v>0</v>
      </c>
      <c r="KA128" s="43">
        <f t="shared" si="415"/>
        <v>0</v>
      </c>
      <c r="KB128" s="43">
        <f t="shared" si="416"/>
        <v>0</v>
      </c>
      <c r="KC128" s="43">
        <f t="shared" si="417"/>
        <v>0</v>
      </c>
      <c r="KD128" s="43">
        <f t="shared" si="418"/>
        <v>0</v>
      </c>
      <c r="KE128" s="43">
        <f t="shared" si="419"/>
        <v>309.32292223353534</v>
      </c>
      <c r="KF128" s="43">
        <f t="shared" si="420"/>
        <v>0</v>
      </c>
      <c r="KG128" s="43">
        <f t="shared" si="421"/>
        <v>0</v>
      </c>
      <c r="KH128" s="43">
        <f t="shared" si="422"/>
        <v>0</v>
      </c>
      <c r="KI128" s="43">
        <f t="shared" si="423"/>
        <v>0</v>
      </c>
      <c r="KJ128" s="43">
        <f t="shared" si="424"/>
        <v>0</v>
      </c>
      <c r="KK128" s="43">
        <f t="shared" si="425"/>
        <v>0</v>
      </c>
      <c r="KL128" s="43">
        <f t="shared" si="426"/>
        <v>0</v>
      </c>
      <c r="KM128" s="43">
        <f t="shared" si="427"/>
        <v>1404.4932719999997</v>
      </c>
      <c r="KN128" s="43">
        <f t="shared" si="428"/>
        <v>0</v>
      </c>
      <c r="KO128" s="43">
        <f t="shared" si="429"/>
        <v>0</v>
      </c>
      <c r="KP128" s="43">
        <f t="shared" si="430"/>
        <v>0</v>
      </c>
      <c r="KQ128" s="43">
        <f t="shared" si="431"/>
        <v>0</v>
      </c>
      <c r="KR128" s="43">
        <f t="shared" si="432"/>
        <v>988.52669999999989</v>
      </c>
      <c r="KS128" s="43">
        <f t="shared" si="433"/>
        <v>1517.8341877541814</v>
      </c>
      <c r="KT128" s="43">
        <f t="shared" si="434"/>
        <v>0</v>
      </c>
      <c r="KU128" s="43">
        <f t="shared" si="435"/>
        <v>0</v>
      </c>
      <c r="KV128" s="43">
        <f t="shared" si="436"/>
        <v>0</v>
      </c>
      <c r="KW128" s="43">
        <f t="shared" si="437"/>
        <v>0</v>
      </c>
      <c r="KX128" s="43">
        <f t="shared" si="438"/>
        <v>0</v>
      </c>
      <c r="KY128" s="43">
        <f t="shared" si="439"/>
        <v>0</v>
      </c>
      <c r="KZ128" s="43">
        <f t="shared" si="440"/>
        <v>0</v>
      </c>
      <c r="LA128" s="43">
        <f t="shared" si="441"/>
        <v>342.04389659999981</v>
      </c>
      <c r="LB128" s="43">
        <f t="shared" si="442"/>
        <v>0</v>
      </c>
      <c r="LC128" s="43">
        <f t="shared" si="443"/>
        <v>0</v>
      </c>
      <c r="LD128" s="43">
        <f t="shared" si="444"/>
        <v>0</v>
      </c>
      <c r="LE128" s="43">
        <f t="shared" si="445"/>
        <v>0</v>
      </c>
      <c r="LF128" s="43">
        <f t="shared" si="446"/>
        <v>0</v>
      </c>
      <c r="LG128" s="43">
        <f t="shared" si="447"/>
        <v>0</v>
      </c>
      <c r="LH128" s="43">
        <f t="shared" si="448"/>
        <v>0</v>
      </c>
      <c r="LI128" s="43">
        <f t="shared" si="449"/>
        <v>0</v>
      </c>
      <c r="LJ128" s="43">
        <f t="shared" si="450"/>
        <v>0</v>
      </c>
      <c r="LK128" s="43">
        <f t="shared" si="451"/>
        <v>911.86893000000009</v>
      </c>
      <c r="LL128" s="43">
        <f t="shared" si="452"/>
        <v>0</v>
      </c>
      <c r="LM128" s="43">
        <f t="shared" si="453"/>
        <v>0</v>
      </c>
      <c r="LN128" s="43">
        <f t="shared" si="454"/>
        <v>0</v>
      </c>
      <c r="LO128" s="43">
        <f t="shared" si="455"/>
        <v>0</v>
      </c>
      <c r="LP128" s="43">
        <f t="shared" si="456"/>
        <v>96.17789999999998</v>
      </c>
      <c r="LQ128" s="28">
        <f t="shared" si="488"/>
        <v>7528.3906661877163</v>
      </c>
      <c r="LR128" s="65">
        <v>1858</v>
      </c>
      <c r="LS128" s="32">
        <f t="shared" si="495"/>
        <v>4.051878722383055</v>
      </c>
      <c r="LT128" s="26">
        <f t="shared" si="496"/>
        <v>1.1070706891756981</v>
      </c>
      <c r="LU128" s="31">
        <f t="shared" si="489"/>
        <v>39</v>
      </c>
      <c r="LW128" s="42"/>
      <c r="MA128" s="32">
        <f t="shared" si="490"/>
        <v>3.9685770512323226</v>
      </c>
      <c r="MB128" s="26">
        <f t="shared" si="497"/>
        <v>1.0843106697356073</v>
      </c>
    </row>
    <row r="129" spans="1:340" ht="15.75" thickBot="1">
      <c r="A129" t="b">
        <f t="shared" si="484"/>
        <v>1</v>
      </c>
      <c r="B129" s="123" t="s">
        <v>311</v>
      </c>
      <c r="C129" s="39" t="s">
        <v>104</v>
      </c>
      <c r="D129"/>
      <c r="E129" s="97">
        <v>46050</v>
      </c>
      <c r="F129" t="s">
        <v>43</v>
      </c>
      <c r="G129" t="s">
        <v>20</v>
      </c>
      <c r="H129" t="s">
        <v>27</v>
      </c>
      <c r="I129" s="77"/>
      <c r="J129" s="77"/>
      <c r="K129" s="77"/>
      <c r="L129" s="22"/>
      <c r="M129" s="22"/>
      <c r="N129" s="98"/>
      <c r="O129" s="22"/>
      <c r="P129" s="22"/>
      <c r="Q129" s="22"/>
      <c r="R129" s="22"/>
      <c r="S129" s="104"/>
      <c r="T129" s="22"/>
      <c r="U129" s="22"/>
      <c r="V129" s="104"/>
      <c r="W129" s="22"/>
      <c r="X129" s="22"/>
      <c r="Y129" s="22"/>
      <c r="Z129" s="104"/>
      <c r="AA129" s="104"/>
      <c r="AB129" s="104"/>
      <c r="AC129" s="22"/>
      <c r="AD129" s="22"/>
      <c r="AE129" s="22"/>
      <c r="AF129" s="124"/>
      <c r="AG129" s="124"/>
      <c r="AH129" s="22"/>
      <c r="AI129" s="22"/>
      <c r="AJ129" s="22">
        <v>0.4</v>
      </c>
      <c r="AK129" s="22"/>
      <c r="AL129" s="22"/>
      <c r="AM129" s="22"/>
      <c r="AN129" s="22"/>
      <c r="AO129" s="104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98"/>
      <c r="BB129" s="98"/>
      <c r="BC129" s="124">
        <v>0.6</v>
      </c>
      <c r="BD129" s="124"/>
      <c r="BE129" s="104"/>
      <c r="BF129" s="22"/>
      <c r="BG129" s="22"/>
      <c r="BH129" s="22"/>
      <c r="BI129" s="78">
        <f>SUM(I129:BH129)</f>
        <v>1</v>
      </c>
      <c r="BJ129" s="23"/>
      <c r="BK129" s="23"/>
      <c r="BL129" s="23"/>
      <c r="BM129" s="23"/>
      <c r="BN129" s="23"/>
      <c r="BO129" s="99"/>
      <c r="BP129" s="23"/>
      <c r="BQ129" s="23"/>
      <c r="BR129" s="23"/>
      <c r="BS129" s="23"/>
      <c r="BT129" s="105"/>
      <c r="BU129" s="23"/>
      <c r="BV129" s="23"/>
      <c r="BW129" s="105"/>
      <c r="BX129" s="23"/>
      <c r="BY129" s="23"/>
      <c r="BZ129" s="23"/>
      <c r="CA129" s="105"/>
      <c r="CB129" s="105"/>
      <c r="CC129" s="105"/>
      <c r="CD129" s="23"/>
      <c r="CE129" s="23"/>
      <c r="CF129" s="71"/>
      <c r="CG129" s="128"/>
      <c r="CH129" s="128"/>
      <c r="CI129" s="23"/>
      <c r="CJ129" s="23"/>
      <c r="CK129" s="23"/>
      <c r="CL129" s="23">
        <v>0.4</v>
      </c>
      <c r="CM129" s="23"/>
      <c r="CN129" s="23"/>
      <c r="CO129" s="23"/>
      <c r="CP129" s="105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99"/>
      <c r="DC129" s="99"/>
      <c r="DD129" s="125">
        <v>0.6</v>
      </c>
      <c r="DE129" s="125"/>
      <c r="DF129" s="105"/>
      <c r="DG129" s="23"/>
      <c r="DH129" s="23"/>
      <c r="DI129" s="23"/>
      <c r="DJ129" s="79">
        <f t="shared" si="485"/>
        <v>1</v>
      </c>
      <c r="DK129" s="24"/>
      <c r="DL129" s="24"/>
      <c r="DM129" s="24"/>
      <c r="DN129" s="24">
        <v>0.3</v>
      </c>
      <c r="DO129" s="24"/>
      <c r="DP129" s="103"/>
      <c r="DQ129" s="24"/>
      <c r="DR129" s="24"/>
      <c r="DS129" s="24">
        <v>0.5</v>
      </c>
      <c r="DT129" s="24"/>
      <c r="DU129" s="108"/>
      <c r="DV129" s="24"/>
      <c r="DW129" s="24"/>
      <c r="DX129" s="108"/>
      <c r="DY129" s="24"/>
      <c r="DZ129" s="24"/>
      <c r="EA129" s="24"/>
      <c r="EB129" s="108"/>
      <c r="EC129" s="108"/>
      <c r="ED129" s="108"/>
      <c r="EE129" s="24"/>
      <c r="EF129" s="24"/>
      <c r="EG129" s="24"/>
      <c r="EH129" s="129"/>
      <c r="EI129" s="129"/>
      <c r="EJ129" s="24"/>
      <c r="EK129" s="24"/>
      <c r="EL129" s="24"/>
      <c r="EM129" s="24"/>
      <c r="EN129" s="24"/>
      <c r="EO129" s="24"/>
      <c r="EP129" s="24"/>
      <c r="EQ129" s="108"/>
      <c r="ER129" s="24"/>
      <c r="ES129" s="25"/>
      <c r="ET129" s="25"/>
      <c r="EU129" s="25">
        <v>0.18</v>
      </c>
      <c r="EV129" s="25"/>
      <c r="EW129" s="25"/>
      <c r="EX129" s="25"/>
      <c r="EY129" s="25"/>
      <c r="EZ129" s="25"/>
      <c r="FA129" s="25"/>
      <c r="FB129" s="25"/>
      <c r="FC129" s="100"/>
      <c r="FD129" s="100"/>
      <c r="FE129" s="126"/>
      <c r="FF129" s="126"/>
      <c r="FG129" s="106"/>
      <c r="FH129" s="25"/>
      <c r="FI129" s="25"/>
      <c r="FJ129" s="25">
        <v>0.02</v>
      </c>
      <c r="FK129" s="17">
        <f t="shared" si="494"/>
        <v>1</v>
      </c>
      <c r="FL129" s="18"/>
      <c r="FM129" s="19">
        <f t="shared" si="298"/>
        <v>0</v>
      </c>
      <c r="FN129" s="19">
        <f t="shared" si="299"/>
        <v>0</v>
      </c>
      <c r="FO129" s="19">
        <f t="shared" si="300"/>
        <v>0</v>
      </c>
      <c r="FP129" s="19">
        <f t="shared" si="301"/>
        <v>0.44999999999999996</v>
      </c>
      <c r="FQ129" s="19">
        <f t="shared" si="302"/>
        <v>0</v>
      </c>
      <c r="FR129" s="19">
        <f t="shared" si="303"/>
        <v>0</v>
      </c>
      <c r="FS129" s="19">
        <f t="shared" si="304"/>
        <v>0</v>
      </c>
      <c r="FT129" s="19">
        <f t="shared" si="305"/>
        <v>0</v>
      </c>
      <c r="FU129" s="19">
        <f t="shared" si="306"/>
        <v>0.75</v>
      </c>
      <c r="FV129" s="19">
        <f t="shared" si="307"/>
        <v>0</v>
      </c>
      <c r="FW129" s="19">
        <f t="shared" si="308"/>
        <v>0</v>
      </c>
      <c r="FX129" s="19">
        <f t="shared" si="309"/>
        <v>0</v>
      </c>
      <c r="FY129" s="19">
        <f t="shared" si="310"/>
        <v>0</v>
      </c>
      <c r="FZ129" s="19">
        <f t="shared" si="311"/>
        <v>0</v>
      </c>
      <c r="GA129" s="19">
        <f t="shared" si="312"/>
        <v>0</v>
      </c>
      <c r="GB129" s="19">
        <f t="shared" si="313"/>
        <v>0</v>
      </c>
      <c r="GC129" s="19">
        <f t="shared" si="314"/>
        <v>0</v>
      </c>
      <c r="GD129" s="19">
        <f t="shared" si="315"/>
        <v>0</v>
      </c>
      <c r="GE129" s="19">
        <f t="shared" si="316"/>
        <v>0</v>
      </c>
      <c r="GF129" s="19">
        <f t="shared" si="317"/>
        <v>0</v>
      </c>
      <c r="GG129" s="19">
        <f t="shared" si="318"/>
        <v>0</v>
      </c>
      <c r="GH129" s="19">
        <f t="shared" si="319"/>
        <v>0</v>
      </c>
      <c r="GI129" s="19">
        <f t="shared" si="320"/>
        <v>0</v>
      </c>
      <c r="GJ129" s="19">
        <f t="shared" si="321"/>
        <v>0</v>
      </c>
      <c r="GK129" s="19">
        <f t="shared" si="322"/>
        <v>0</v>
      </c>
      <c r="GL129" s="19">
        <f t="shared" si="323"/>
        <v>0</v>
      </c>
      <c r="GM129" s="19">
        <f t="shared" si="324"/>
        <v>0</v>
      </c>
      <c r="GN129" s="19">
        <f t="shared" si="325"/>
        <v>0.60000000000000009</v>
      </c>
      <c r="GO129" s="19">
        <f t="shared" si="326"/>
        <v>0.8</v>
      </c>
      <c r="GP129" s="19">
        <f t="shared" si="327"/>
        <v>0</v>
      </c>
      <c r="GQ129" s="19">
        <f t="shared" si="328"/>
        <v>0</v>
      </c>
      <c r="GR129" s="19">
        <f t="shared" si="329"/>
        <v>0</v>
      </c>
      <c r="GS129" s="19">
        <f t="shared" si="330"/>
        <v>0</v>
      </c>
      <c r="GT129" s="19">
        <f t="shared" si="331"/>
        <v>0</v>
      </c>
      <c r="GU129" s="19">
        <f t="shared" si="332"/>
        <v>0</v>
      </c>
      <c r="GV129" s="19">
        <f t="shared" si="333"/>
        <v>0</v>
      </c>
      <c r="GW129" s="19">
        <f t="shared" si="334"/>
        <v>0.27</v>
      </c>
      <c r="GX129" s="19">
        <f t="shared" si="335"/>
        <v>0</v>
      </c>
      <c r="GY129" s="19">
        <f t="shared" si="336"/>
        <v>0</v>
      </c>
      <c r="GZ129" s="19">
        <f t="shared" si="337"/>
        <v>0</v>
      </c>
      <c r="HA129" s="19">
        <f t="shared" si="338"/>
        <v>0</v>
      </c>
      <c r="HB129" s="19">
        <f t="shared" si="339"/>
        <v>0</v>
      </c>
      <c r="HC129" s="19">
        <f t="shared" si="340"/>
        <v>0</v>
      </c>
      <c r="HD129" s="19">
        <f t="shared" si="341"/>
        <v>0</v>
      </c>
      <c r="HE129" s="19">
        <f t="shared" si="342"/>
        <v>0</v>
      </c>
      <c r="HF129" s="19">
        <f t="shared" si="343"/>
        <v>0</v>
      </c>
      <c r="HG129" s="19">
        <f t="shared" si="344"/>
        <v>2.0999999999999996</v>
      </c>
      <c r="HH129" s="19">
        <f t="shared" si="345"/>
        <v>0</v>
      </c>
      <c r="HI129" s="19">
        <f t="shared" si="346"/>
        <v>0</v>
      </c>
      <c r="HJ129" s="19">
        <f t="shared" si="347"/>
        <v>0</v>
      </c>
      <c r="HK129" s="19">
        <f t="shared" si="348"/>
        <v>0</v>
      </c>
      <c r="HL129" s="19">
        <f t="shared" si="349"/>
        <v>0.03</v>
      </c>
      <c r="HM129" s="20">
        <f t="shared" si="350"/>
        <v>5</v>
      </c>
      <c r="HN129" s="53">
        <v>472</v>
      </c>
      <c r="HO129" s="21">
        <f t="shared" si="351"/>
        <v>0</v>
      </c>
      <c r="HP129" s="21">
        <f t="shared" si="352"/>
        <v>0</v>
      </c>
      <c r="HQ129" s="21">
        <f t="shared" si="353"/>
        <v>0</v>
      </c>
      <c r="HR129" s="21">
        <f t="shared" si="354"/>
        <v>42.48</v>
      </c>
      <c r="HS129" s="21">
        <f t="shared" si="355"/>
        <v>0</v>
      </c>
      <c r="HT129" s="69">
        <f t="shared" si="356"/>
        <v>0</v>
      </c>
      <c r="HU129" s="21">
        <f t="shared" si="357"/>
        <v>0</v>
      </c>
      <c r="HV129" s="21">
        <f t="shared" si="358"/>
        <v>0</v>
      </c>
      <c r="HW129" s="21">
        <f t="shared" si="359"/>
        <v>70.8</v>
      </c>
      <c r="HX129" s="21">
        <f t="shared" si="360"/>
        <v>0</v>
      </c>
      <c r="HY129" s="21">
        <f t="shared" si="361"/>
        <v>0</v>
      </c>
      <c r="HZ129" s="21">
        <f t="shared" si="362"/>
        <v>0</v>
      </c>
      <c r="IA129" s="21">
        <f t="shared" si="363"/>
        <v>0</v>
      </c>
      <c r="IB129" s="21">
        <f t="shared" si="364"/>
        <v>0</v>
      </c>
      <c r="IC129" s="21">
        <f t="shared" si="365"/>
        <v>0</v>
      </c>
      <c r="ID129" s="21">
        <f t="shared" si="366"/>
        <v>0</v>
      </c>
      <c r="IE129" s="21">
        <f t="shared" si="367"/>
        <v>0</v>
      </c>
      <c r="IF129" s="69">
        <f t="shared" si="368"/>
        <v>0</v>
      </c>
      <c r="IG129" s="69">
        <f t="shared" si="369"/>
        <v>0</v>
      </c>
      <c r="IH129" s="69">
        <f t="shared" si="370"/>
        <v>0</v>
      </c>
      <c r="II129" s="21">
        <f t="shared" si="371"/>
        <v>0</v>
      </c>
      <c r="IJ129" s="21">
        <f t="shared" si="372"/>
        <v>0</v>
      </c>
      <c r="IK129" s="21">
        <f t="shared" si="373"/>
        <v>0</v>
      </c>
      <c r="IL129" s="21">
        <f t="shared" si="374"/>
        <v>0</v>
      </c>
      <c r="IM129" s="21">
        <f t="shared" si="375"/>
        <v>0</v>
      </c>
      <c r="IN129" s="21">
        <f t="shared" si="376"/>
        <v>0</v>
      </c>
      <c r="IO129" s="21">
        <f t="shared" si="377"/>
        <v>0</v>
      </c>
      <c r="IP129" s="21">
        <f t="shared" si="378"/>
        <v>56.640000000000008</v>
      </c>
      <c r="IQ129" s="21">
        <f t="shared" si="379"/>
        <v>75.52000000000001</v>
      </c>
      <c r="IR129" s="21">
        <f t="shared" si="380"/>
        <v>0</v>
      </c>
      <c r="IS129" s="21">
        <f t="shared" si="381"/>
        <v>0</v>
      </c>
      <c r="IT129" s="21">
        <f t="shared" si="382"/>
        <v>0</v>
      </c>
      <c r="IU129" s="21">
        <f t="shared" si="383"/>
        <v>0</v>
      </c>
      <c r="IV129" s="21">
        <f t="shared" si="384"/>
        <v>0</v>
      </c>
      <c r="IW129" s="21">
        <f t="shared" si="385"/>
        <v>0</v>
      </c>
      <c r="IX129" s="21">
        <f t="shared" si="386"/>
        <v>0</v>
      </c>
      <c r="IY129" s="21">
        <f t="shared" si="387"/>
        <v>25.488000000000003</v>
      </c>
      <c r="IZ129" s="21">
        <f t="shared" si="388"/>
        <v>0</v>
      </c>
      <c r="JA129" s="21">
        <f t="shared" si="389"/>
        <v>0</v>
      </c>
      <c r="JB129" s="21">
        <f t="shared" si="390"/>
        <v>0</v>
      </c>
      <c r="JC129" s="21">
        <f t="shared" si="391"/>
        <v>0</v>
      </c>
      <c r="JD129" s="21">
        <f t="shared" si="392"/>
        <v>0</v>
      </c>
      <c r="JE129" s="21">
        <f t="shared" si="393"/>
        <v>0</v>
      </c>
      <c r="JF129" s="21">
        <f t="shared" si="394"/>
        <v>0</v>
      </c>
      <c r="JG129" s="21">
        <f t="shared" si="395"/>
        <v>0</v>
      </c>
      <c r="JH129" s="21">
        <f t="shared" si="396"/>
        <v>0</v>
      </c>
      <c r="JI129" s="21">
        <f t="shared" si="397"/>
        <v>198.23999999999995</v>
      </c>
      <c r="JJ129" s="21">
        <f t="shared" si="398"/>
        <v>0</v>
      </c>
      <c r="JK129" s="21">
        <f t="shared" si="399"/>
        <v>0</v>
      </c>
      <c r="JL129" s="21">
        <f t="shared" si="400"/>
        <v>0</v>
      </c>
      <c r="JM129" s="21">
        <f t="shared" si="401"/>
        <v>0</v>
      </c>
      <c r="JN129" s="21">
        <f t="shared" si="402"/>
        <v>2.8319999999999999</v>
      </c>
      <c r="JO129" s="35">
        <f t="shared" si="486"/>
        <v>472</v>
      </c>
      <c r="JP129" s="38">
        <f t="shared" si="487"/>
        <v>0</v>
      </c>
      <c r="JQ129" s="43">
        <f t="shared" si="405"/>
        <v>0</v>
      </c>
      <c r="JR129" s="43">
        <f t="shared" si="406"/>
        <v>0</v>
      </c>
      <c r="JS129" s="43">
        <f t="shared" si="407"/>
        <v>0</v>
      </c>
      <c r="JT129" s="43">
        <f t="shared" si="408"/>
        <v>182.70308160000002</v>
      </c>
      <c r="JU129" s="43">
        <f t="shared" si="409"/>
        <v>0</v>
      </c>
      <c r="JV129" s="43">
        <f t="shared" si="410"/>
        <v>0</v>
      </c>
      <c r="JW129" s="43">
        <f t="shared" si="411"/>
        <v>0</v>
      </c>
      <c r="JX129" s="43">
        <f t="shared" si="412"/>
        <v>0</v>
      </c>
      <c r="JY129" s="43">
        <f t="shared" si="413"/>
        <v>327.928608</v>
      </c>
      <c r="JZ129" s="43">
        <f t="shared" si="414"/>
        <v>0</v>
      </c>
      <c r="KA129" s="43">
        <f t="shared" si="415"/>
        <v>0</v>
      </c>
      <c r="KB129" s="43">
        <f t="shared" si="416"/>
        <v>0</v>
      </c>
      <c r="KC129" s="43">
        <f t="shared" si="417"/>
        <v>0</v>
      </c>
      <c r="KD129" s="43">
        <f t="shared" si="418"/>
        <v>0</v>
      </c>
      <c r="KE129" s="43">
        <f t="shared" si="419"/>
        <v>0</v>
      </c>
      <c r="KF129" s="43">
        <f t="shared" si="420"/>
        <v>0</v>
      </c>
      <c r="KG129" s="43">
        <f t="shared" si="421"/>
        <v>0</v>
      </c>
      <c r="KH129" s="43">
        <f t="shared" si="422"/>
        <v>0</v>
      </c>
      <c r="KI129" s="43">
        <f t="shared" si="423"/>
        <v>0</v>
      </c>
      <c r="KJ129" s="43">
        <f t="shared" si="424"/>
        <v>0</v>
      </c>
      <c r="KK129" s="43">
        <f t="shared" si="425"/>
        <v>0</v>
      </c>
      <c r="KL129" s="43">
        <f t="shared" si="426"/>
        <v>0</v>
      </c>
      <c r="KM129" s="43">
        <f t="shared" si="427"/>
        <v>0</v>
      </c>
      <c r="KN129" s="43">
        <f t="shared" si="428"/>
        <v>0</v>
      </c>
      <c r="KO129" s="43">
        <f t="shared" si="429"/>
        <v>0</v>
      </c>
      <c r="KP129" s="43">
        <f t="shared" si="430"/>
        <v>0</v>
      </c>
      <c r="KQ129" s="43">
        <f t="shared" si="431"/>
        <v>0</v>
      </c>
      <c r="KR129" s="43">
        <f t="shared" si="432"/>
        <v>218.63040000000001</v>
      </c>
      <c r="KS129" s="43">
        <f t="shared" si="433"/>
        <v>258.22787635717174</v>
      </c>
      <c r="KT129" s="43">
        <f t="shared" si="434"/>
        <v>0</v>
      </c>
      <c r="KU129" s="43">
        <f t="shared" si="435"/>
        <v>0</v>
      </c>
      <c r="KV129" s="43">
        <f t="shared" si="436"/>
        <v>0</v>
      </c>
      <c r="KW129" s="43">
        <f t="shared" si="437"/>
        <v>0</v>
      </c>
      <c r="KX129" s="43">
        <f t="shared" si="438"/>
        <v>0</v>
      </c>
      <c r="KY129" s="43">
        <f t="shared" si="439"/>
        <v>0</v>
      </c>
      <c r="KZ129" s="43">
        <f t="shared" si="440"/>
        <v>0</v>
      </c>
      <c r="LA129" s="43">
        <f t="shared" si="441"/>
        <v>102.12633792</v>
      </c>
      <c r="LB129" s="43">
        <f t="shared" si="442"/>
        <v>0</v>
      </c>
      <c r="LC129" s="43">
        <f t="shared" si="443"/>
        <v>0</v>
      </c>
      <c r="LD129" s="43">
        <f t="shared" si="444"/>
        <v>0</v>
      </c>
      <c r="LE129" s="43">
        <f t="shared" si="445"/>
        <v>0</v>
      </c>
      <c r="LF129" s="43">
        <f t="shared" si="446"/>
        <v>0</v>
      </c>
      <c r="LG129" s="43">
        <f t="shared" si="447"/>
        <v>0</v>
      </c>
      <c r="LH129" s="43">
        <f t="shared" si="448"/>
        <v>0</v>
      </c>
      <c r="LI129" s="43">
        <f t="shared" si="449"/>
        <v>0</v>
      </c>
      <c r="LJ129" s="43">
        <f t="shared" si="450"/>
        <v>0</v>
      </c>
      <c r="LK129" s="43">
        <f t="shared" si="451"/>
        <v>794.09987999999976</v>
      </c>
      <c r="LL129" s="43">
        <f t="shared" si="452"/>
        <v>0</v>
      </c>
      <c r="LM129" s="43">
        <f t="shared" si="453"/>
        <v>0</v>
      </c>
      <c r="LN129" s="43">
        <f t="shared" si="454"/>
        <v>0</v>
      </c>
      <c r="LO129" s="43">
        <f t="shared" si="455"/>
        <v>0</v>
      </c>
      <c r="LP129" s="43">
        <f t="shared" si="456"/>
        <v>23.930399999999995</v>
      </c>
      <c r="LQ129" s="28">
        <f t="shared" si="488"/>
        <v>1907.6465838771715</v>
      </c>
      <c r="LR129" s="65">
        <v>308</v>
      </c>
      <c r="LS129" s="32">
        <f t="shared" si="495"/>
        <v>6.1936577398609467</v>
      </c>
      <c r="LT129" s="26">
        <f t="shared" si="496"/>
        <v>1.6922562130767613</v>
      </c>
      <c r="LU129" s="31">
        <f t="shared" si="489"/>
        <v>164</v>
      </c>
      <c r="LW129" s="42"/>
      <c r="MA129" s="32">
        <f t="shared" si="490"/>
        <v>4.0416241183838375</v>
      </c>
      <c r="MB129" s="26">
        <f t="shared" si="497"/>
        <v>1.1042688848043272</v>
      </c>
    </row>
    <row r="130" spans="1:340" ht="15.75" thickBot="1">
      <c r="A130" t="b">
        <f t="shared" si="484"/>
        <v>1</v>
      </c>
      <c r="B130" s="123" t="s">
        <v>312</v>
      </c>
      <c r="C130" s="39" t="s">
        <v>110</v>
      </c>
      <c r="D130"/>
      <c r="E130" s="97">
        <v>46043</v>
      </c>
      <c r="F130" t="s">
        <v>43</v>
      </c>
      <c r="G130" t="s">
        <v>20</v>
      </c>
      <c r="H130" t="s">
        <v>27</v>
      </c>
      <c r="I130" s="77"/>
      <c r="J130" s="77"/>
      <c r="K130" s="77"/>
      <c r="L130" s="22"/>
      <c r="M130" s="22"/>
      <c r="N130" s="98"/>
      <c r="O130" s="22"/>
      <c r="P130" s="22"/>
      <c r="Q130" s="22"/>
      <c r="R130" s="22"/>
      <c r="S130" s="104"/>
      <c r="T130" s="22"/>
      <c r="U130" s="22"/>
      <c r="V130" s="104"/>
      <c r="W130" s="22"/>
      <c r="X130" s="22"/>
      <c r="Y130" s="22"/>
      <c r="Z130" s="104"/>
      <c r="AA130" s="104"/>
      <c r="AB130" s="104"/>
      <c r="AC130" s="22"/>
      <c r="AD130" s="22"/>
      <c r="AE130" s="22"/>
      <c r="AF130" s="124"/>
      <c r="AG130" s="124"/>
      <c r="AH130" s="22"/>
      <c r="AI130" s="22"/>
      <c r="AJ130" s="22">
        <v>0.3</v>
      </c>
      <c r="AK130" s="22"/>
      <c r="AL130" s="22"/>
      <c r="AM130" s="22"/>
      <c r="AN130" s="22"/>
      <c r="AO130" s="104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98"/>
      <c r="BB130" s="98"/>
      <c r="BC130" s="124">
        <v>0.7</v>
      </c>
      <c r="BD130" s="124"/>
      <c r="BE130" s="104"/>
      <c r="BF130" s="22"/>
      <c r="BG130" s="22"/>
      <c r="BH130" s="22"/>
      <c r="BI130" s="78">
        <f>SUM(I130:BH130)</f>
        <v>1</v>
      </c>
      <c r="BJ130" s="23"/>
      <c r="BK130" s="23"/>
      <c r="BL130" s="23"/>
      <c r="BM130" s="23"/>
      <c r="BN130" s="23"/>
      <c r="BO130" s="99"/>
      <c r="BP130" s="23"/>
      <c r="BQ130" s="23"/>
      <c r="BR130" s="23"/>
      <c r="BS130" s="23"/>
      <c r="BT130" s="105"/>
      <c r="BU130" s="23"/>
      <c r="BV130" s="23"/>
      <c r="BW130" s="105"/>
      <c r="BX130" s="23"/>
      <c r="BY130" s="23"/>
      <c r="BZ130" s="23"/>
      <c r="CA130" s="105"/>
      <c r="CB130" s="105"/>
      <c r="CC130" s="105"/>
      <c r="CD130" s="23"/>
      <c r="CE130" s="23"/>
      <c r="CF130" s="71"/>
      <c r="CG130" s="128"/>
      <c r="CH130" s="128"/>
      <c r="CI130" s="23"/>
      <c r="CJ130" s="23"/>
      <c r="CK130" s="23"/>
      <c r="CL130" s="23">
        <v>0.3</v>
      </c>
      <c r="CM130" s="23"/>
      <c r="CN130" s="23"/>
      <c r="CO130" s="23"/>
      <c r="CP130" s="105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99"/>
      <c r="DC130" s="99"/>
      <c r="DD130" s="125">
        <v>0.7</v>
      </c>
      <c r="DE130" s="125"/>
      <c r="DF130" s="105"/>
      <c r="DG130" s="23"/>
      <c r="DH130" s="23"/>
      <c r="DI130" s="23"/>
      <c r="DJ130" s="79">
        <f t="shared" si="485"/>
        <v>1</v>
      </c>
      <c r="DK130" s="24"/>
      <c r="DL130" s="24"/>
      <c r="DM130" s="24"/>
      <c r="DN130" s="24">
        <v>0.7</v>
      </c>
      <c r="DO130" s="24"/>
      <c r="DP130" s="103"/>
      <c r="DQ130" s="24"/>
      <c r="DR130" s="24"/>
      <c r="DS130" s="24"/>
      <c r="DT130" s="24"/>
      <c r="DU130" s="108"/>
      <c r="DV130" s="24"/>
      <c r="DW130" s="24"/>
      <c r="DX130" s="108"/>
      <c r="DY130" s="24"/>
      <c r="DZ130" s="24"/>
      <c r="EA130" s="24"/>
      <c r="EB130" s="108"/>
      <c r="EC130" s="108"/>
      <c r="ED130" s="108"/>
      <c r="EE130" s="24"/>
      <c r="EF130" s="24"/>
      <c r="EG130" s="24"/>
      <c r="EH130" s="129"/>
      <c r="EI130" s="129"/>
      <c r="EJ130" s="24"/>
      <c r="EK130" s="24"/>
      <c r="EL130" s="24"/>
      <c r="EM130" s="24">
        <v>0.2</v>
      </c>
      <c r="EN130" s="24"/>
      <c r="EO130" s="24"/>
      <c r="EP130" s="24"/>
      <c r="EQ130" s="108"/>
      <c r="ER130" s="24"/>
      <c r="ES130" s="25"/>
      <c r="ET130" s="25"/>
      <c r="EU130" s="25">
        <v>0.08</v>
      </c>
      <c r="EV130" s="25"/>
      <c r="EW130" s="25"/>
      <c r="EX130" s="25"/>
      <c r="EY130" s="25"/>
      <c r="EZ130" s="25"/>
      <c r="FA130" s="25"/>
      <c r="FB130" s="25"/>
      <c r="FC130" s="100"/>
      <c r="FD130" s="100"/>
      <c r="FE130" s="126"/>
      <c r="FF130" s="126"/>
      <c r="FG130" s="106"/>
      <c r="FH130" s="25"/>
      <c r="FI130" s="25"/>
      <c r="FJ130" s="25">
        <v>0.02</v>
      </c>
      <c r="FK130" s="17">
        <f t="shared" si="494"/>
        <v>0.99999999999999989</v>
      </c>
      <c r="FL130" s="18"/>
      <c r="FM130" s="19">
        <f t="shared" si="298"/>
        <v>0</v>
      </c>
      <c r="FN130" s="19">
        <f t="shared" si="299"/>
        <v>0</v>
      </c>
      <c r="FO130" s="19">
        <f t="shared" si="300"/>
        <v>0</v>
      </c>
      <c r="FP130" s="19">
        <f t="shared" si="301"/>
        <v>1.0499999999999998</v>
      </c>
      <c r="FQ130" s="19">
        <f t="shared" si="302"/>
        <v>0</v>
      </c>
      <c r="FR130" s="19">
        <f t="shared" si="303"/>
        <v>0</v>
      </c>
      <c r="FS130" s="19">
        <f t="shared" si="304"/>
        <v>0</v>
      </c>
      <c r="FT130" s="19">
        <f t="shared" si="305"/>
        <v>0</v>
      </c>
      <c r="FU130" s="19">
        <f t="shared" si="306"/>
        <v>0</v>
      </c>
      <c r="FV130" s="19">
        <f t="shared" si="307"/>
        <v>0</v>
      </c>
      <c r="FW130" s="19">
        <f t="shared" si="308"/>
        <v>0</v>
      </c>
      <c r="FX130" s="19">
        <f t="shared" si="309"/>
        <v>0</v>
      </c>
      <c r="FY130" s="19">
        <f t="shared" si="310"/>
        <v>0</v>
      </c>
      <c r="FZ130" s="19">
        <f t="shared" si="311"/>
        <v>0</v>
      </c>
      <c r="GA130" s="19">
        <f t="shared" si="312"/>
        <v>0</v>
      </c>
      <c r="GB130" s="19">
        <f t="shared" si="313"/>
        <v>0</v>
      </c>
      <c r="GC130" s="19">
        <f t="shared" si="314"/>
        <v>0</v>
      </c>
      <c r="GD130" s="19">
        <f t="shared" si="315"/>
        <v>0</v>
      </c>
      <c r="GE130" s="19">
        <f t="shared" si="316"/>
        <v>0</v>
      </c>
      <c r="GF130" s="19">
        <f t="shared" si="317"/>
        <v>0</v>
      </c>
      <c r="GG130" s="19">
        <f t="shared" si="318"/>
        <v>0</v>
      </c>
      <c r="GH130" s="19">
        <f t="shared" si="319"/>
        <v>0</v>
      </c>
      <c r="GI130" s="19">
        <f t="shared" si="320"/>
        <v>0</v>
      </c>
      <c r="GJ130" s="19">
        <f t="shared" si="321"/>
        <v>0</v>
      </c>
      <c r="GK130" s="19">
        <f t="shared" si="322"/>
        <v>0</v>
      </c>
      <c r="GL130" s="19">
        <f t="shared" si="323"/>
        <v>0</v>
      </c>
      <c r="GM130" s="19">
        <f t="shared" si="324"/>
        <v>0</v>
      </c>
      <c r="GN130" s="19">
        <f t="shared" si="325"/>
        <v>0.44999999999999996</v>
      </c>
      <c r="GO130" s="19">
        <f t="shared" si="326"/>
        <v>0.9</v>
      </c>
      <c r="GP130" s="19">
        <f t="shared" si="327"/>
        <v>0</v>
      </c>
      <c r="GQ130" s="19">
        <f t="shared" si="328"/>
        <v>0</v>
      </c>
      <c r="GR130" s="19">
        <f t="shared" si="329"/>
        <v>0</v>
      </c>
      <c r="GS130" s="19">
        <f t="shared" si="330"/>
        <v>0</v>
      </c>
      <c r="GT130" s="19">
        <f t="shared" si="331"/>
        <v>0</v>
      </c>
      <c r="GU130" s="19">
        <f t="shared" si="332"/>
        <v>0</v>
      </c>
      <c r="GV130" s="19">
        <f t="shared" si="333"/>
        <v>0</v>
      </c>
      <c r="GW130" s="19">
        <f t="shared" si="334"/>
        <v>0.12</v>
      </c>
      <c r="GX130" s="19">
        <f t="shared" si="335"/>
        <v>0</v>
      </c>
      <c r="GY130" s="19">
        <f t="shared" si="336"/>
        <v>0</v>
      </c>
      <c r="GZ130" s="19">
        <f t="shared" si="337"/>
        <v>0</v>
      </c>
      <c r="HA130" s="19">
        <f t="shared" si="338"/>
        <v>0</v>
      </c>
      <c r="HB130" s="19">
        <f t="shared" si="339"/>
        <v>0</v>
      </c>
      <c r="HC130" s="19">
        <f t="shared" si="340"/>
        <v>0</v>
      </c>
      <c r="HD130" s="19">
        <f t="shared" si="341"/>
        <v>0</v>
      </c>
      <c r="HE130" s="19">
        <f t="shared" si="342"/>
        <v>0</v>
      </c>
      <c r="HF130" s="19">
        <f t="shared" si="343"/>
        <v>0</v>
      </c>
      <c r="HG130" s="19">
        <f t="shared" si="344"/>
        <v>2.4499999999999997</v>
      </c>
      <c r="HH130" s="19">
        <f t="shared" si="345"/>
        <v>0</v>
      </c>
      <c r="HI130" s="19">
        <f t="shared" si="346"/>
        <v>0</v>
      </c>
      <c r="HJ130" s="19">
        <f t="shared" si="347"/>
        <v>0</v>
      </c>
      <c r="HK130" s="19">
        <f t="shared" si="348"/>
        <v>0</v>
      </c>
      <c r="HL130" s="19">
        <f t="shared" si="349"/>
        <v>0.03</v>
      </c>
      <c r="HM130" s="20">
        <f t="shared" si="350"/>
        <v>5</v>
      </c>
      <c r="HN130" s="53">
        <v>873</v>
      </c>
      <c r="HO130" s="21">
        <f t="shared" si="351"/>
        <v>0</v>
      </c>
      <c r="HP130" s="21">
        <f t="shared" si="352"/>
        <v>0</v>
      </c>
      <c r="HQ130" s="21">
        <f t="shared" si="353"/>
        <v>0</v>
      </c>
      <c r="HR130" s="21">
        <f t="shared" si="354"/>
        <v>183.32999999999998</v>
      </c>
      <c r="HS130" s="21">
        <f t="shared" si="355"/>
        <v>0</v>
      </c>
      <c r="HT130" s="69">
        <f t="shared" si="356"/>
        <v>0</v>
      </c>
      <c r="HU130" s="21">
        <f t="shared" si="357"/>
        <v>0</v>
      </c>
      <c r="HV130" s="21">
        <f t="shared" si="358"/>
        <v>0</v>
      </c>
      <c r="HW130" s="21">
        <f t="shared" si="359"/>
        <v>0</v>
      </c>
      <c r="HX130" s="21">
        <f t="shared" si="360"/>
        <v>0</v>
      </c>
      <c r="HY130" s="21">
        <f t="shared" si="361"/>
        <v>0</v>
      </c>
      <c r="HZ130" s="21">
        <f t="shared" si="362"/>
        <v>0</v>
      </c>
      <c r="IA130" s="21">
        <f t="shared" si="363"/>
        <v>0</v>
      </c>
      <c r="IB130" s="21">
        <f t="shared" si="364"/>
        <v>0</v>
      </c>
      <c r="IC130" s="21">
        <f t="shared" si="365"/>
        <v>0</v>
      </c>
      <c r="ID130" s="21">
        <f t="shared" si="366"/>
        <v>0</v>
      </c>
      <c r="IE130" s="21">
        <f t="shared" si="367"/>
        <v>0</v>
      </c>
      <c r="IF130" s="69">
        <f t="shared" si="368"/>
        <v>0</v>
      </c>
      <c r="IG130" s="69">
        <f t="shared" si="369"/>
        <v>0</v>
      </c>
      <c r="IH130" s="69">
        <f t="shared" si="370"/>
        <v>0</v>
      </c>
      <c r="II130" s="21">
        <f t="shared" si="371"/>
        <v>0</v>
      </c>
      <c r="IJ130" s="21">
        <f t="shared" si="372"/>
        <v>0</v>
      </c>
      <c r="IK130" s="21">
        <f t="shared" si="373"/>
        <v>0</v>
      </c>
      <c r="IL130" s="21">
        <f t="shared" si="374"/>
        <v>0</v>
      </c>
      <c r="IM130" s="21">
        <f t="shared" si="375"/>
        <v>0</v>
      </c>
      <c r="IN130" s="21">
        <f t="shared" si="376"/>
        <v>0</v>
      </c>
      <c r="IO130" s="21">
        <f t="shared" si="377"/>
        <v>0</v>
      </c>
      <c r="IP130" s="21">
        <f t="shared" si="378"/>
        <v>78.569999999999993</v>
      </c>
      <c r="IQ130" s="21">
        <f t="shared" si="379"/>
        <v>157.14000000000001</v>
      </c>
      <c r="IR130" s="21">
        <f t="shared" si="380"/>
        <v>0</v>
      </c>
      <c r="IS130" s="21">
        <f t="shared" si="381"/>
        <v>0</v>
      </c>
      <c r="IT130" s="21">
        <f t="shared" si="382"/>
        <v>0</v>
      </c>
      <c r="IU130" s="21">
        <f t="shared" si="383"/>
        <v>0</v>
      </c>
      <c r="IV130" s="21">
        <f t="shared" si="384"/>
        <v>0</v>
      </c>
      <c r="IW130" s="21">
        <f t="shared" si="385"/>
        <v>0</v>
      </c>
      <c r="IX130" s="21">
        <f t="shared" si="386"/>
        <v>0</v>
      </c>
      <c r="IY130" s="21">
        <f t="shared" si="387"/>
        <v>20.951999999999998</v>
      </c>
      <c r="IZ130" s="21">
        <f t="shared" si="388"/>
        <v>0</v>
      </c>
      <c r="JA130" s="21">
        <f t="shared" si="389"/>
        <v>0</v>
      </c>
      <c r="JB130" s="21">
        <f t="shared" si="390"/>
        <v>0</v>
      </c>
      <c r="JC130" s="21">
        <f t="shared" si="391"/>
        <v>0</v>
      </c>
      <c r="JD130" s="21">
        <f t="shared" si="392"/>
        <v>0</v>
      </c>
      <c r="JE130" s="21">
        <f t="shared" si="393"/>
        <v>0</v>
      </c>
      <c r="JF130" s="21">
        <f t="shared" si="394"/>
        <v>0</v>
      </c>
      <c r="JG130" s="21">
        <f t="shared" si="395"/>
        <v>0</v>
      </c>
      <c r="JH130" s="21">
        <f t="shared" si="396"/>
        <v>0</v>
      </c>
      <c r="JI130" s="21">
        <f t="shared" si="397"/>
        <v>427.77</v>
      </c>
      <c r="JJ130" s="21">
        <f t="shared" si="398"/>
        <v>0</v>
      </c>
      <c r="JK130" s="21">
        <f t="shared" si="399"/>
        <v>0</v>
      </c>
      <c r="JL130" s="21">
        <f t="shared" si="400"/>
        <v>0</v>
      </c>
      <c r="JM130" s="21">
        <f t="shared" si="401"/>
        <v>0</v>
      </c>
      <c r="JN130" s="21">
        <f t="shared" si="402"/>
        <v>5.2379999999999995</v>
      </c>
      <c r="JO130" s="35">
        <f t="shared" si="486"/>
        <v>873</v>
      </c>
      <c r="JP130" s="38">
        <f t="shared" si="487"/>
        <v>0</v>
      </c>
      <c r="JQ130" s="43">
        <f t="shared" si="405"/>
        <v>0</v>
      </c>
      <c r="JR130" s="43">
        <f t="shared" si="406"/>
        <v>0</v>
      </c>
      <c r="JS130" s="43">
        <f t="shared" si="407"/>
        <v>0</v>
      </c>
      <c r="JT130" s="43">
        <f t="shared" si="408"/>
        <v>788.48766360000002</v>
      </c>
      <c r="JU130" s="43">
        <f t="shared" si="409"/>
        <v>0</v>
      </c>
      <c r="JV130" s="43">
        <f t="shared" si="410"/>
        <v>0</v>
      </c>
      <c r="JW130" s="43">
        <f t="shared" si="411"/>
        <v>0</v>
      </c>
      <c r="JX130" s="43">
        <f t="shared" si="412"/>
        <v>0</v>
      </c>
      <c r="JY130" s="43">
        <f t="shared" si="413"/>
        <v>0</v>
      </c>
      <c r="JZ130" s="43">
        <f t="shared" si="414"/>
        <v>0</v>
      </c>
      <c r="KA130" s="43">
        <f t="shared" si="415"/>
        <v>0</v>
      </c>
      <c r="KB130" s="43">
        <f t="shared" si="416"/>
        <v>0</v>
      </c>
      <c r="KC130" s="43">
        <f t="shared" si="417"/>
        <v>0</v>
      </c>
      <c r="KD130" s="43">
        <f t="shared" si="418"/>
        <v>0</v>
      </c>
      <c r="KE130" s="43">
        <f t="shared" si="419"/>
        <v>0</v>
      </c>
      <c r="KF130" s="43">
        <f t="shared" si="420"/>
        <v>0</v>
      </c>
      <c r="KG130" s="43">
        <f t="shared" si="421"/>
        <v>0</v>
      </c>
      <c r="KH130" s="43">
        <f t="shared" si="422"/>
        <v>0</v>
      </c>
      <c r="KI130" s="43">
        <f t="shared" si="423"/>
        <v>0</v>
      </c>
      <c r="KJ130" s="43">
        <f t="shared" si="424"/>
        <v>0</v>
      </c>
      <c r="KK130" s="43">
        <f t="shared" si="425"/>
        <v>0</v>
      </c>
      <c r="KL130" s="43">
        <f t="shared" si="426"/>
        <v>0</v>
      </c>
      <c r="KM130" s="43">
        <f t="shared" si="427"/>
        <v>0</v>
      </c>
      <c r="KN130" s="43">
        <f t="shared" si="428"/>
        <v>0</v>
      </c>
      <c r="KO130" s="43">
        <f t="shared" si="429"/>
        <v>0</v>
      </c>
      <c r="KP130" s="43">
        <f t="shared" si="430"/>
        <v>0</v>
      </c>
      <c r="KQ130" s="43">
        <f t="shared" si="431"/>
        <v>0</v>
      </c>
      <c r="KR130" s="43">
        <f t="shared" si="432"/>
        <v>303.28019999999998</v>
      </c>
      <c r="KS130" s="43">
        <f t="shared" si="433"/>
        <v>537.31367175272737</v>
      </c>
      <c r="KT130" s="43">
        <f t="shared" si="434"/>
        <v>0</v>
      </c>
      <c r="KU130" s="43">
        <f t="shared" si="435"/>
        <v>0</v>
      </c>
      <c r="KV130" s="43">
        <f t="shared" si="436"/>
        <v>0</v>
      </c>
      <c r="KW130" s="43">
        <f t="shared" si="437"/>
        <v>0</v>
      </c>
      <c r="KX130" s="43">
        <f t="shared" si="438"/>
        <v>0</v>
      </c>
      <c r="KY130" s="43">
        <f t="shared" si="439"/>
        <v>0</v>
      </c>
      <c r="KZ130" s="43">
        <f t="shared" si="440"/>
        <v>0</v>
      </c>
      <c r="LA130" s="43">
        <f t="shared" si="441"/>
        <v>83.951311679999989</v>
      </c>
      <c r="LB130" s="43">
        <f t="shared" si="442"/>
        <v>0</v>
      </c>
      <c r="LC130" s="43">
        <f t="shared" si="443"/>
        <v>0</v>
      </c>
      <c r="LD130" s="43">
        <f t="shared" si="444"/>
        <v>0</v>
      </c>
      <c r="LE130" s="43">
        <f t="shared" si="445"/>
        <v>0</v>
      </c>
      <c r="LF130" s="43">
        <f t="shared" si="446"/>
        <v>0</v>
      </c>
      <c r="LG130" s="43">
        <f t="shared" si="447"/>
        <v>0</v>
      </c>
      <c r="LH130" s="43">
        <f t="shared" si="448"/>
        <v>0</v>
      </c>
      <c r="LI130" s="43">
        <f t="shared" si="449"/>
        <v>0</v>
      </c>
      <c r="LJ130" s="43">
        <f t="shared" si="450"/>
        <v>0</v>
      </c>
      <c r="LK130" s="43">
        <f t="shared" si="451"/>
        <v>1713.5396774999999</v>
      </c>
      <c r="LL130" s="43">
        <f t="shared" si="452"/>
        <v>0</v>
      </c>
      <c r="LM130" s="43">
        <f t="shared" si="453"/>
        <v>0</v>
      </c>
      <c r="LN130" s="43">
        <f t="shared" si="454"/>
        <v>0</v>
      </c>
      <c r="LO130" s="43">
        <f t="shared" si="455"/>
        <v>0</v>
      </c>
      <c r="LP130" s="43">
        <f t="shared" si="456"/>
        <v>44.261099999999992</v>
      </c>
      <c r="LQ130" s="28">
        <f t="shared" si="488"/>
        <v>3470.8336245327273</v>
      </c>
      <c r="LR130" s="65">
        <v>820</v>
      </c>
      <c r="LS130" s="32">
        <f t="shared" si="495"/>
        <v>4.2327239323569845</v>
      </c>
      <c r="LT130" s="26">
        <f t="shared" si="496"/>
        <v>1.1564819487314164</v>
      </c>
      <c r="LU130" s="31">
        <f t="shared" si="489"/>
        <v>53</v>
      </c>
      <c r="LW130" s="42"/>
      <c r="MA130" s="32">
        <f t="shared" si="490"/>
        <v>3.9757544381818182</v>
      </c>
      <c r="MB130" s="26">
        <f t="shared" si="497"/>
        <v>1.0862717044212618</v>
      </c>
    </row>
    <row r="131" spans="1:340" ht="15.75" thickBot="1">
      <c r="A131" t="b">
        <f t="shared" si="484"/>
        <v>1</v>
      </c>
      <c r="B131" s="123" t="s">
        <v>313</v>
      </c>
      <c r="C131" s="39" t="s">
        <v>119</v>
      </c>
      <c r="D131"/>
      <c r="E131" s="97">
        <v>46043</v>
      </c>
      <c r="F131" t="s">
        <v>43</v>
      </c>
      <c r="G131" t="s">
        <v>19</v>
      </c>
      <c r="H131" t="s">
        <v>27</v>
      </c>
      <c r="I131" s="77"/>
      <c r="J131" s="77"/>
      <c r="K131" s="77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24"/>
      <c r="AG131" s="124"/>
      <c r="AH131" s="104"/>
      <c r="AI131" s="104"/>
      <c r="AJ131" s="104"/>
      <c r="AK131" s="104"/>
      <c r="AL131" s="104"/>
      <c r="AM131" s="104"/>
      <c r="AN131" s="104"/>
      <c r="AO131" s="104"/>
      <c r="AP131" s="104"/>
      <c r="AQ131" s="104"/>
      <c r="AR131" s="104"/>
      <c r="AS131" s="104"/>
      <c r="AT131" s="104"/>
      <c r="AU131" s="104"/>
      <c r="AV131" s="104"/>
      <c r="AW131" s="104"/>
      <c r="AX131" s="104"/>
      <c r="AY131" s="104">
        <v>0.01</v>
      </c>
      <c r="AZ131" s="104"/>
      <c r="BA131" s="104"/>
      <c r="BB131" s="104">
        <v>0.495</v>
      </c>
      <c r="BC131" s="124">
        <v>0.495</v>
      </c>
      <c r="BD131" s="124"/>
      <c r="BE131" s="104"/>
      <c r="BF131" s="104"/>
      <c r="BG131" s="104"/>
      <c r="BH131" s="104"/>
      <c r="BI131" s="78">
        <f t="shared" ref="BI131:BI137" si="504">SUM(I131:BH131)</f>
        <v>1</v>
      </c>
      <c r="BJ131" s="105"/>
      <c r="BK131" s="105"/>
      <c r="BL131" s="105"/>
      <c r="BM131" s="105"/>
      <c r="BN131" s="105"/>
      <c r="BO131" s="105"/>
      <c r="BP131" s="105"/>
      <c r="BQ131" s="105"/>
      <c r="BR131" s="105"/>
      <c r="BS131" s="105"/>
      <c r="BT131" s="105"/>
      <c r="BU131" s="105"/>
      <c r="BV131" s="105"/>
      <c r="BW131" s="105"/>
      <c r="BX131" s="105"/>
      <c r="BY131" s="105"/>
      <c r="BZ131" s="105"/>
      <c r="CA131" s="105"/>
      <c r="CB131" s="105"/>
      <c r="CC131" s="105"/>
      <c r="CD131" s="105"/>
      <c r="CE131" s="105"/>
      <c r="CF131" s="120"/>
      <c r="CG131" s="128"/>
      <c r="CH131" s="128"/>
      <c r="CI131" s="105"/>
      <c r="CJ131" s="105"/>
      <c r="CK131" s="105"/>
      <c r="CL131" s="105"/>
      <c r="CM131" s="105"/>
      <c r="CN131" s="105"/>
      <c r="CO131" s="105"/>
      <c r="CP131" s="105"/>
      <c r="CQ131" s="105"/>
      <c r="CR131" s="105"/>
      <c r="CS131" s="105"/>
      <c r="CT131" s="105"/>
      <c r="CU131" s="105"/>
      <c r="CV131" s="105"/>
      <c r="CW131" s="105"/>
      <c r="CX131" s="105"/>
      <c r="CY131" s="105"/>
      <c r="CZ131" s="105"/>
      <c r="DA131" s="105"/>
      <c r="DB131" s="105"/>
      <c r="DC131" s="105"/>
      <c r="DD131" s="125"/>
      <c r="DE131" s="125"/>
      <c r="DF131" s="105"/>
      <c r="DG131" s="105"/>
      <c r="DH131" s="105"/>
      <c r="DI131" s="105"/>
      <c r="DJ131" s="79">
        <f t="shared" si="485"/>
        <v>0</v>
      </c>
      <c r="DK131" s="108"/>
      <c r="DL131" s="108"/>
      <c r="DM131" s="108"/>
      <c r="DN131" s="108"/>
      <c r="DO131" s="108"/>
      <c r="DP131" s="108"/>
      <c r="DQ131" s="108"/>
      <c r="DR131" s="108"/>
      <c r="DS131" s="108"/>
      <c r="DT131" s="108"/>
      <c r="DU131" s="108"/>
      <c r="DV131" s="108"/>
      <c r="DW131" s="108"/>
      <c r="DX131" s="108"/>
      <c r="DY131" s="108"/>
      <c r="DZ131" s="108"/>
      <c r="EA131" s="108"/>
      <c r="EB131" s="108"/>
      <c r="EC131" s="108"/>
      <c r="ED131" s="108"/>
      <c r="EE131" s="108"/>
      <c r="EF131" s="108"/>
      <c r="EG131" s="108"/>
      <c r="EH131" s="129"/>
      <c r="EI131" s="129"/>
      <c r="EJ131" s="108"/>
      <c r="EK131" s="108"/>
      <c r="EL131" s="108"/>
      <c r="EM131" s="108"/>
      <c r="EN131" s="108"/>
      <c r="EO131" s="108"/>
      <c r="EP131" s="108"/>
      <c r="EQ131" s="108"/>
      <c r="ER131" s="108"/>
      <c r="ES131" s="106"/>
      <c r="ET131" s="106"/>
      <c r="EU131" s="106"/>
      <c r="EV131" s="106"/>
      <c r="EW131" s="106"/>
      <c r="EX131" s="106"/>
      <c r="EY131" s="106"/>
      <c r="EZ131" s="106"/>
      <c r="FA131" s="106"/>
      <c r="FB131" s="106"/>
      <c r="FC131" s="106"/>
      <c r="FD131" s="106"/>
      <c r="FE131" s="126"/>
      <c r="FF131" s="126"/>
      <c r="FG131" s="106"/>
      <c r="FH131" s="106"/>
      <c r="FI131" s="106"/>
      <c r="FJ131" s="106"/>
      <c r="FK131" s="17">
        <f t="shared" si="494"/>
        <v>0</v>
      </c>
      <c r="FL131" s="18"/>
      <c r="FM131" s="19">
        <f t="shared" si="298"/>
        <v>0</v>
      </c>
      <c r="FN131" s="19">
        <f t="shared" si="299"/>
        <v>0</v>
      </c>
      <c r="FO131" s="19">
        <f t="shared" si="300"/>
        <v>0</v>
      </c>
      <c r="FP131" s="19">
        <f t="shared" si="301"/>
        <v>0</v>
      </c>
      <c r="FQ131" s="19">
        <f t="shared" si="302"/>
        <v>0</v>
      </c>
      <c r="FR131" s="19">
        <f t="shared" si="303"/>
        <v>0</v>
      </c>
      <c r="FS131" s="19">
        <f t="shared" si="304"/>
        <v>0</v>
      </c>
      <c r="FT131" s="19">
        <f t="shared" si="305"/>
        <v>0</v>
      </c>
      <c r="FU131" s="19">
        <f t="shared" si="306"/>
        <v>0</v>
      </c>
      <c r="FV131" s="19">
        <f t="shared" si="307"/>
        <v>0</v>
      </c>
      <c r="FW131" s="19">
        <f t="shared" si="308"/>
        <v>0</v>
      </c>
      <c r="FX131" s="19">
        <f t="shared" si="309"/>
        <v>0</v>
      </c>
      <c r="FY131" s="19">
        <f t="shared" si="310"/>
        <v>0</v>
      </c>
      <c r="FZ131" s="19">
        <f t="shared" si="311"/>
        <v>0</v>
      </c>
      <c r="GA131" s="19">
        <f t="shared" si="312"/>
        <v>0</v>
      </c>
      <c r="GB131" s="19">
        <f t="shared" si="313"/>
        <v>0</v>
      </c>
      <c r="GC131" s="19">
        <f t="shared" si="314"/>
        <v>0</v>
      </c>
      <c r="GD131" s="19">
        <f t="shared" si="315"/>
        <v>0</v>
      </c>
      <c r="GE131" s="19">
        <f t="shared" si="316"/>
        <v>0</v>
      </c>
      <c r="GF131" s="19">
        <f t="shared" si="317"/>
        <v>0</v>
      </c>
      <c r="GG131" s="19">
        <f t="shared" si="318"/>
        <v>0</v>
      </c>
      <c r="GH131" s="19">
        <f t="shared" si="319"/>
        <v>0</v>
      </c>
      <c r="GI131" s="19">
        <f t="shared" si="320"/>
        <v>0</v>
      </c>
      <c r="GJ131" s="19">
        <f t="shared" si="321"/>
        <v>0</v>
      </c>
      <c r="GK131" s="19">
        <f t="shared" si="322"/>
        <v>0</v>
      </c>
      <c r="GL131" s="19">
        <f t="shared" si="323"/>
        <v>0</v>
      </c>
      <c r="GM131" s="19">
        <f t="shared" si="324"/>
        <v>0</v>
      </c>
      <c r="GN131" s="19">
        <f t="shared" si="325"/>
        <v>0</v>
      </c>
      <c r="GO131" s="19">
        <f t="shared" si="326"/>
        <v>0</v>
      </c>
      <c r="GP131" s="19">
        <f t="shared" si="327"/>
        <v>0</v>
      </c>
      <c r="GQ131" s="19">
        <f t="shared" si="328"/>
        <v>0</v>
      </c>
      <c r="GR131" s="19">
        <f t="shared" si="329"/>
        <v>0</v>
      </c>
      <c r="GS131" s="19">
        <f t="shared" si="330"/>
        <v>0</v>
      </c>
      <c r="GT131" s="19">
        <f t="shared" si="331"/>
        <v>0</v>
      </c>
      <c r="GU131" s="19">
        <f t="shared" si="332"/>
        <v>0</v>
      </c>
      <c r="GV131" s="19">
        <f t="shared" si="333"/>
        <v>0</v>
      </c>
      <c r="GW131" s="19">
        <f t="shared" si="334"/>
        <v>0</v>
      </c>
      <c r="GX131" s="19">
        <f t="shared" si="335"/>
        <v>0</v>
      </c>
      <c r="GY131" s="19">
        <f t="shared" si="336"/>
        <v>0</v>
      </c>
      <c r="GZ131" s="19">
        <f t="shared" si="337"/>
        <v>0</v>
      </c>
      <c r="HA131" s="19">
        <f t="shared" si="338"/>
        <v>0</v>
      </c>
      <c r="HB131" s="19">
        <f t="shared" si="339"/>
        <v>0</v>
      </c>
      <c r="HC131" s="19">
        <f t="shared" si="340"/>
        <v>1.4999999999999999E-2</v>
      </c>
      <c r="HD131" s="19">
        <f t="shared" si="341"/>
        <v>0</v>
      </c>
      <c r="HE131" s="19">
        <f t="shared" si="342"/>
        <v>0</v>
      </c>
      <c r="HF131" s="19">
        <f t="shared" si="343"/>
        <v>0.74249999999999994</v>
      </c>
      <c r="HG131" s="19">
        <f t="shared" si="344"/>
        <v>0.74249999999999994</v>
      </c>
      <c r="HH131" s="19">
        <f t="shared" si="345"/>
        <v>0</v>
      </c>
      <c r="HI131" s="19">
        <f t="shared" si="346"/>
        <v>0</v>
      </c>
      <c r="HJ131" s="19">
        <f t="shared" si="347"/>
        <v>0</v>
      </c>
      <c r="HK131" s="19">
        <f t="shared" si="348"/>
        <v>0</v>
      </c>
      <c r="HL131" s="19">
        <f t="shared" si="349"/>
        <v>0</v>
      </c>
      <c r="HM131" s="20">
        <f t="shared" si="350"/>
        <v>1.5</v>
      </c>
      <c r="HN131" s="53">
        <v>644</v>
      </c>
      <c r="HO131" s="21">
        <f t="shared" si="351"/>
        <v>0</v>
      </c>
      <c r="HP131" s="21">
        <f t="shared" si="352"/>
        <v>0</v>
      </c>
      <c r="HQ131" s="21">
        <f t="shared" si="353"/>
        <v>0</v>
      </c>
      <c r="HR131" s="21">
        <f t="shared" si="354"/>
        <v>0</v>
      </c>
      <c r="HS131" s="21">
        <f t="shared" si="355"/>
        <v>0</v>
      </c>
      <c r="HT131" s="69">
        <f t="shared" si="356"/>
        <v>0</v>
      </c>
      <c r="HU131" s="21">
        <f t="shared" si="357"/>
        <v>0</v>
      </c>
      <c r="HV131" s="21">
        <f t="shared" si="358"/>
        <v>0</v>
      </c>
      <c r="HW131" s="21">
        <f t="shared" si="359"/>
        <v>0</v>
      </c>
      <c r="HX131" s="21">
        <f t="shared" si="360"/>
        <v>0</v>
      </c>
      <c r="HY131" s="21">
        <f t="shared" si="361"/>
        <v>0</v>
      </c>
      <c r="HZ131" s="21">
        <f t="shared" si="362"/>
        <v>0</v>
      </c>
      <c r="IA131" s="21">
        <f t="shared" si="363"/>
        <v>0</v>
      </c>
      <c r="IB131" s="21">
        <f t="shared" si="364"/>
        <v>0</v>
      </c>
      <c r="IC131" s="21">
        <f t="shared" si="365"/>
        <v>0</v>
      </c>
      <c r="ID131" s="21">
        <f t="shared" si="366"/>
        <v>0</v>
      </c>
      <c r="IE131" s="21">
        <f t="shared" si="367"/>
        <v>0</v>
      </c>
      <c r="IF131" s="69">
        <f t="shared" si="368"/>
        <v>0</v>
      </c>
      <c r="IG131" s="69">
        <f t="shared" si="369"/>
        <v>0</v>
      </c>
      <c r="IH131" s="69">
        <f t="shared" si="370"/>
        <v>0</v>
      </c>
      <c r="II131" s="21">
        <f t="shared" si="371"/>
        <v>0</v>
      </c>
      <c r="IJ131" s="21">
        <f t="shared" si="372"/>
        <v>0</v>
      </c>
      <c r="IK131" s="21">
        <f t="shared" si="373"/>
        <v>0</v>
      </c>
      <c r="IL131" s="21">
        <f t="shared" si="374"/>
        <v>0</v>
      </c>
      <c r="IM131" s="21">
        <f t="shared" si="375"/>
        <v>0</v>
      </c>
      <c r="IN131" s="21">
        <f t="shared" si="376"/>
        <v>0</v>
      </c>
      <c r="IO131" s="21">
        <f t="shared" si="377"/>
        <v>0</v>
      </c>
      <c r="IP131" s="21">
        <f t="shared" si="378"/>
        <v>0</v>
      </c>
      <c r="IQ131" s="21">
        <f t="shared" si="379"/>
        <v>0</v>
      </c>
      <c r="IR131" s="21">
        <f t="shared" si="380"/>
        <v>0</v>
      </c>
      <c r="IS131" s="21">
        <f t="shared" si="381"/>
        <v>0</v>
      </c>
      <c r="IT131" s="21">
        <f t="shared" si="382"/>
        <v>0</v>
      </c>
      <c r="IU131" s="21">
        <f t="shared" si="383"/>
        <v>0</v>
      </c>
      <c r="IV131" s="21">
        <f t="shared" si="384"/>
        <v>0</v>
      </c>
      <c r="IW131" s="21">
        <f t="shared" si="385"/>
        <v>0</v>
      </c>
      <c r="IX131" s="21">
        <f t="shared" si="386"/>
        <v>0</v>
      </c>
      <c r="IY131" s="21">
        <f t="shared" si="387"/>
        <v>0</v>
      </c>
      <c r="IZ131" s="21">
        <f t="shared" si="388"/>
        <v>0</v>
      </c>
      <c r="JA131" s="21">
        <f t="shared" si="389"/>
        <v>0</v>
      </c>
      <c r="JB131" s="21">
        <f t="shared" si="390"/>
        <v>0</v>
      </c>
      <c r="JC131" s="21">
        <f t="shared" si="391"/>
        <v>0</v>
      </c>
      <c r="JD131" s="21">
        <f t="shared" si="392"/>
        <v>0</v>
      </c>
      <c r="JE131" s="21">
        <f t="shared" si="393"/>
        <v>6.44</v>
      </c>
      <c r="JF131" s="21">
        <f t="shared" si="394"/>
        <v>0</v>
      </c>
      <c r="JG131" s="21">
        <f t="shared" si="395"/>
        <v>0</v>
      </c>
      <c r="JH131" s="21">
        <f t="shared" si="396"/>
        <v>318.77999999999997</v>
      </c>
      <c r="JI131" s="21">
        <f t="shared" si="397"/>
        <v>318.77999999999997</v>
      </c>
      <c r="JJ131" s="21">
        <f t="shared" si="398"/>
        <v>0</v>
      </c>
      <c r="JK131" s="21">
        <f t="shared" si="399"/>
        <v>0</v>
      </c>
      <c r="JL131" s="21">
        <f t="shared" si="400"/>
        <v>0</v>
      </c>
      <c r="JM131" s="21">
        <f t="shared" si="401"/>
        <v>0</v>
      </c>
      <c r="JN131" s="21">
        <f t="shared" si="402"/>
        <v>0</v>
      </c>
      <c r="JO131" s="35">
        <f t="shared" si="486"/>
        <v>644</v>
      </c>
      <c r="JP131" s="38">
        <f t="shared" si="487"/>
        <v>0</v>
      </c>
      <c r="JQ131" s="43">
        <f t="shared" si="405"/>
        <v>0</v>
      </c>
      <c r="JR131" s="43">
        <f t="shared" si="406"/>
        <v>0</v>
      </c>
      <c r="JS131" s="43">
        <f t="shared" si="407"/>
        <v>0</v>
      </c>
      <c r="JT131" s="43">
        <f t="shared" si="408"/>
        <v>0</v>
      </c>
      <c r="JU131" s="43">
        <f t="shared" si="409"/>
        <v>0</v>
      </c>
      <c r="JV131" s="43">
        <f t="shared" si="410"/>
        <v>0</v>
      </c>
      <c r="JW131" s="43">
        <f t="shared" si="411"/>
        <v>0</v>
      </c>
      <c r="JX131" s="43">
        <f t="shared" si="412"/>
        <v>0</v>
      </c>
      <c r="JY131" s="43">
        <f t="shared" si="413"/>
        <v>0</v>
      </c>
      <c r="JZ131" s="43">
        <f t="shared" si="414"/>
        <v>0</v>
      </c>
      <c r="KA131" s="43">
        <f t="shared" si="415"/>
        <v>0</v>
      </c>
      <c r="KB131" s="43">
        <f t="shared" si="416"/>
        <v>0</v>
      </c>
      <c r="KC131" s="43">
        <f t="shared" si="417"/>
        <v>0</v>
      </c>
      <c r="KD131" s="43">
        <f t="shared" si="418"/>
        <v>0</v>
      </c>
      <c r="KE131" s="43">
        <f t="shared" si="419"/>
        <v>0</v>
      </c>
      <c r="KF131" s="43">
        <f t="shared" si="420"/>
        <v>0</v>
      </c>
      <c r="KG131" s="43">
        <f t="shared" si="421"/>
        <v>0</v>
      </c>
      <c r="KH131" s="43">
        <f t="shared" si="422"/>
        <v>0</v>
      </c>
      <c r="KI131" s="43">
        <f t="shared" si="423"/>
        <v>0</v>
      </c>
      <c r="KJ131" s="43">
        <f t="shared" si="424"/>
        <v>0</v>
      </c>
      <c r="KK131" s="43">
        <f t="shared" si="425"/>
        <v>0</v>
      </c>
      <c r="KL131" s="43">
        <f t="shared" si="426"/>
        <v>0</v>
      </c>
      <c r="KM131" s="43">
        <f t="shared" si="427"/>
        <v>0</v>
      </c>
      <c r="KN131" s="43">
        <f t="shared" si="428"/>
        <v>0</v>
      </c>
      <c r="KO131" s="43">
        <f t="shared" si="429"/>
        <v>0</v>
      </c>
      <c r="KP131" s="43">
        <f t="shared" si="430"/>
        <v>0</v>
      </c>
      <c r="KQ131" s="43">
        <f t="shared" si="431"/>
        <v>0</v>
      </c>
      <c r="KR131" s="43">
        <f t="shared" si="432"/>
        <v>0</v>
      </c>
      <c r="KS131" s="43">
        <f t="shared" si="433"/>
        <v>0</v>
      </c>
      <c r="KT131" s="43">
        <f t="shared" si="434"/>
        <v>0</v>
      </c>
      <c r="KU131" s="43">
        <f t="shared" si="435"/>
        <v>0</v>
      </c>
      <c r="KV131" s="43">
        <f t="shared" si="436"/>
        <v>0</v>
      </c>
      <c r="KW131" s="43">
        <f t="shared" si="437"/>
        <v>0</v>
      </c>
      <c r="KX131" s="43">
        <f t="shared" si="438"/>
        <v>0</v>
      </c>
      <c r="KY131" s="43">
        <f t="shared" si="439"/>
        <v>0</v>
      </c>
      <c r="KZ131" s="43">
        <f t="shared" si="440"/>
        <v>0</v>
      </c>
      <c r="LA131" s="43">
        <f t="shared" si="441"/>
        <v>0</v>
      </c>
      <c r="LB131" s="43">
        <f t="shared" si="442"/>
        <v>0</v>
      </c>
      <c r="LC131" s="43">
        <f t="shared" si="443"/>
        <v>0</v>
      </c>
      <c r="LD131" s="43">
        <f t="shared" si="444"/>
        <v>0</v>
      </c>
      <c r="LE131" s="43">
        <f t="shared" si="445"/>
        <v>0</v>
      </c>
      <c r="LF131" s="43">
        <f t="shared" si="446"/>
        <v>0</v>
      </c>
      <c r="LG131" s="43">
        <f t="shared" si="447"/>
        <v>66.460800000000006</v>
      </c>
      <c r="LH131" s="43">
        <f t="shared" si="448"/>
        <v>0</v>
      </c>
      <c r="LI131" s="43">
        <f t="shared" si="449"/>
        <v>0</v>
      </c>
      <c r="LJ131" s="43">
        <f t="shared" si="450"/>
        <v>1535.1042168000001</v>
      </c>
      <c r="LK131" s="43">
        <f t="shared" si="451"/>
        <v>1276.9529849999999</v>
      </c>
      <c r="LL131" s="43">
        <f t="shared" si="452"/>
        <v>0</v>
      </c>
      <c r="LM131" s="43">
        <f t="shared" si="453"/>
        <v>0</v>
      </c>
      <c r="LN131" s="43">
        <f t="shared" si="454"/>
        <v>0</v>
      </c>
      <c r="LO131" s="43">
        <f t="shared" si="455"/>
        <v>0</v>
      </c>
      <c r="LP131" s="43">
        <f t="shared" si="456"/>
        <v>0</v>
      </c>
      <c r="LQ131" s="28">
        <f t="shared" si="488"/>
        <v>2878.5180018000001</v>
      </c>
      <c r="LR131" s="65">
        <v>608</v>
      </c>
      <c r="LS131" s="32">
        <f t="shared" si="495"/>
        <v>4.7344046082236844</v>
      </c>
      <c r="LT131" s="26">
        <f t="shared" si="496"/>
        <v>1.2935531716458153</v>
      </c>
      <c r="LU131" s="31">
        <f t="shared" si="489"/>
        <v>36</v>
      </c>
      <c r="LW131" s="42"/>
      <c r="MA131" s="32">
        <f t="shared" si="490"/>
        <v>4.46974845</v>
      </c>
      <c r="MB131" s="26">
        <f t="shared" si="497"/>
        <v>1.2212427459016393</v>
      </c>
    </row>
    <row r="132" spans="1:340" ht="15.75" thickBot="1">
      <c r="A132" t="b">
        <f t="shared" si="484"/>
        <v>1</v>
      </c>
      <c r="B132" s="123" t="s">
        <v>314</v>
      </c>
      <c r="C132" s="39" t="s">
        <v>57</v>
      </c>
      <c r="D132"/>
      <c r="E132" s="97">
        <v>46043</v>
      </c>
      <c r="F132" t="s">
        <v>43</v>
      </c>
      <c r="G132" t="s">
        <v>19</v>
      </c>
      <c r="H132" t="s">
        <v>26</v>
      </c>
      <c r="I132" s="77"/>
      <c r="J132" s="77"/>
      <c r="K132" s="77"/>
      <c r="L132" s="22"/>
      <c r="M132" s="22"/>
      <c r="N132" s="98"/>
      <c r="O132" s="22"/>
      <c r="P132" s="22"/>
      <c r="Q132" s="22"/>
      <c r="R132" s="22"/>
      <c r="S132" s="104"/>
      <c r="T132" s="22"/>
      <c r="U132" s="22"/>
      <c r="V132" s="104"/>
      <c r="W132" s="22">
        <v>0.45</v>
      </c>
      <c r="X132" s="22"/>
      <c r="Y132" s="22"/>
      <c r="Z132" s="104"/>
      <c r="AA132" s="104"/>
      <c r="AB132" s="104"/>
      <c r="AC132" s="22"/>
      <c r="AD132" s="22"/>
      <c r="AE132" s="22"/>
      <c r="AF132" s="124"/>
      <c r="AG132" s="124"/>
      <c r="AH132" s="22"/>
      <c r="AI132" s="104"/>
      <c r="AJ132" s="22">
        <v>0.15</v>
      </c>
      <c r="AK132" s="22"/>
      <c r="AL132" s="22"/>
      <c r="AM132" s="104"/>
      <c r="AN132" s="22"/>
      <c r="AO132" s="104"/>
      <c r="AP132" s="22"/>
      <c r="AQ132" s="22"/>
      <c r="AR132" s="22">
        <v>7.0000000000000007E-2</v>
      </c>
      <c r="AS132" s="22"/>
      <c r="AT132" s="22"/>
      <c r="AU132" s="22">
        <v>0.25</v>
      </c>
      <c r="AV132" s="22"/>
      <c r="AW132" s="22"/>
      <c r="AX132" s="22"/>
      <c r="AY132" s="22"/>
      <c r="AZ132" s="22"/>
      <c r="BA132" s="98"/>
      <c r="BB132" s="98"/>
      <c r="BC132" s="124">
        <v>0.08</v>
      </c>
      <c r="BD132" s="124"/>
      <c r="BE132" s="104"/>
      <c r="BF132" s="22"/>
      <c r="BG132" s="22"/>
      <c r="BH132" s="22"/>
      <c r="BI132" s="78">
        <f t="shared" si="504"/>
        <v>0.99999999999999989</v>
      </c>
      <c r="BJ132" s="23"/>
      <c r="BK132" s="23"/>
      <c r="BL132" s="23"/>
      <c r="BM132" s="23"/>
      <c r="BN132" s="23"/>
      <c r="BO132" s="99"/>
      <c r="BP132" s="23"/>
      <c r="BQ132" s="23"/>
      <c r="BR132" s="23"/>
      <c r="BS132" s="23"/>
      <c r="BT132" s="105"/>
      <c r="BU132" s="23"/>
      <c r="BV132" s="23"/>
      <c r="BW132" s="105"/>
      <c r="BX132" s="23"/>
      <c r="BY132" s="23"/>
      <c r="BZ132" s="23"/>
      <c r="CA132" s="105"/>
      <c r="CB132" s="105"/>
      <c r="CC132" s="105"/>
      <c r="CD132" s="23"/>
      <c r="CE132" s="23"/>
      <c r="CF132" s="71"/>
      <c r="CG132" s="128"/>
      <c r="CH132" s="128"/>
      <c r="CI132" s="23"/>
      <c r="CJ132" s="23"/>
      <c r="CK132" s="23"/>
      <c r="CL132" s="23"/>
      <c r="CM132" s="23"/>
      <c r="CN132" s="23"/>
      <c r="CO132" s="23"/>
      <c r="CP132" s="105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3"/>
      <c r="DB132" s="99"/>
      <c r="DC132" s="99"/>
      <c r="DD132" s="125"/>
      <c r="DE132" s="125"/>
      <c r="DF132" s="105"/>
      <c r="DG132" s="23"/>
      <c r="DH132" s="23"/>
      <c r="DI132" s="23"/>
      <c r="DJ132" s="79">
        <f t="shared" si="485"/>
        <v>0</v>
      </c>
      <c r="DK132" s="24"/>
      <c r="DL132" s="24"/>
      <c r="DM132" s="24"/>
      <c r="DN132" s="24"/>
      <c r="DO132" s="24"/>
      <c r="DP132" s="103"/>
      <c r="DQ132" s="24"/>
      <c r="DR132" s="24"/>
      <c r="DS132" s="24"/>
      <c r="DT132" s="24"/>
      <c r="DU132" s="108"/>
      <c r="DV132" s="24"/>
      <c r="DW132" s="24"/>
      <c r="DX132" s="108"/>
      <c r="DY132" s="24"/>
      <c r="DZ132" s="24"/>
      <c r="EA132" s="24"/>
      <c r="EB132" s="108"/>
      <c r="EC132" s="108"/>
      <c r="ED132" s="108"/>
      <c r="EE132" s="24"/>
      <c r="EF132" s="24"/>
      <c r="EG132" s="24"/>
      <c r="EH132" s="129"/>
      <c r="EI132" s="129"/>
      <c r="EJ132" s="24"/>
      <c r="EK132" s="24"/>
      <c r="EL132" s="24"/>
      <c r="EM132" s="24"/>
      <c r="EN132" s="24"/>
      <c r="EO132" s="24"/>
      <c r="EP132" s="24"/>
      <c r="EQ132" s="108"/>
      <c r="ER132" s="24"/>
      <c r="ES132" s="25"/>
      <c r="ET132" s="25"/>
      <c r="EU132" s="25"/>
      <c r="EV132" s="25"/>
      <c r="EW132" s="25"/>
      <c r="EX132" s="25"/>
      <c r="EY132" s="25"/>
      <c r="EZ132" s="25"/>
      <c r="FA132" s="25"/>
      <c r="FB132" s="25"/>
      <c r="FC132" s="100"/>
      <c r="FD132" s="100"/>
      <c r="FE132" s="126"/>
      <c r="FF132" s="126"/>
      <c r="FG132" s="106"/>
      <c r="FH132" s="25"/>
      <c r="FI132" s="25"/>
      <c r="FJ132" s="25"/>
      <c r="FK132" s="17">
        <f t="shared" si="494"/>
        <v>0</v>
      </c>
      <c r="FL132" s="18"/>
      <c r="FM132" s="19">
        <f t="shared" si="298"/>
        <v>0</v>
      </c>
      <c r="FN132" s="19">
        <f t="shared" si="299"/>
        <v>0</v>
      </c>
      <c r="FO132" s="19">
        <f t="shared" si="300"/>
        <v>0</v>
      </c>
      <c r="FP132" s="19">
        <f t="shared" si="301"/>
        <v>0</v>
      </c>
      <c r="FQ132" s="19">
        <f t="shared" si="302"/>
        <v>0</v>
      </c>
      <c r="FR132" s="19">
        <f t="shared" si="303"/>
        <v>0</v>
      </c>
      <c r="FS132" s="19">
        <f t="shared" si="304"/>
        <v>0</v>
      </c>
      <c r="FT132" s="19">
        <f t="shared" si="305"/>
        <v>0</v>
      </c>
      <c r="FU132" s="19">
        <f t="shared" si="306"/>
        <v>0</v>
      </c>
      <c r="FV132" s="19">
        <f t="shared" si="307"/>
        <v>0</v>
      </c>
      <c r="FW132" s="19">
        <f t="shared" si="308"/>
        <v>0</v>
      </c>
      <c r="FX132" s="19">
        <f t="shared" si="309"/>
        <v>0</v>
      </c>
      <c r="FY132" s="19">
        <f t="shared" si="310"/>
        <v>0</v>
      </c>
      <c r="FZ132" s="19">
        <f t="shared" si="311"/>
        <v>0</v>
      </c>
      <c r="GA132" s="19">
        <f t="shared" si="312"/>
        <v>0.67500000000000004</v>
      </c>
      <c r="GB132" s="19">
        <f t="shared" si="313"/>
        <v>0</v>
      </c>
      <c r="GC132" s="19">
        <f t="shared" si="314"/>
        <v>0</v>
      </c>
      <c r="GD132" s="19">
        <f t="shared" si="315"/>
        <v>0</v>
      </c>
      <c r="GE132" s="19">
        <f t="shared" si="316"/>
        <v>0</v>
      </c>
      <c r="GF132" s="19">
        <f t="shared" si="317"/>
        <v>0</v>
      </c>
      <c r="GG132" s="19">
        <f t="shared" si="318"/>
        <v>0</v>
      </c>
      <c r="GH132" s="19">
        <f t="shared" si="319"/>
        <v>0</v>
      </c>
      <c r="GI132" s="19">
        <f t="shared" si="320"/>
        <v>0</v>
      </c>
      <c r="GJ132" s="19">
        <f t="shared" si="321"/>
        <v>0</v>
      </c>
      <c r="GK132" s="19">
        <f t="shared" si="322"/>
        <v>0</v>
      </c>
      <c r="GL132" s="19">
        <f t="shared" si="323"/>
        <v>0</v>
      </c>
      <c r="GM132" s="19">
        <f t="shared" si="324"/>
        <v>0</v>
      </c>
      <c r="GN132" s="19">
        <f t="shared" si="325"/>
        <v>0.22499999999999998</v>
      </c>
      <c r="GO132" s="19">
        <f t="shared" si="326"/>
        <v>0</v>
      </c>
      <c r="GP132" s="19">
        <f t="shared" si="327"/>
        <v>0</v>
      </c>
      <c r="GQ132" s="19">
        <f t="shared" si="328"/>
        <v>0</v>
      </c>
      <c r="GR132" s="19">
        <f t="shared" si="329"/>
        <v>0</v>
      </c>
      <c r="GS132" s="19">
        <f t="shared" si="330"/>
        <v>0</v>
      </c>
      <c r="GT132" s="19">
        <f t="shared" si="331"/>
        <v>0</v>
      </c>
      <c r="GU132" s="19">
        <f t="shared" si="332"/>
        <v>0</v>
      </c>
      <c r="GV132" s="19">
        <f t="shared" si="333"/>
        <v>0.10500000000000001</v>
      </c>
      <c r="GW132" s="19">
        <f t="shared" si="334"/>
        <v>0</v>
      </c>
      <c r="GX132" s="19">
        <f t="shared" si="335"/>
        <v>0</v>
      </c>
      <c r="GY132" s="19">
        <f t="shared" si="336"/>
        <v>0.375</v>
      </c>
      <c r="GZ132" s="19">
        <f t="shared" si="337"/>
        <v>0</v>
      </c>
      <c r="HA132" s="19">
        <f t="shared" si="338"/>
        <v>0</v>
      </c>
      <c r="HB132" s="19">
        <f t="shared" si="339"/>
        <v>0</v>
      </c>
      <c r="HC132" s="19">
        <f t="shared" si="340"/>
        <v>0</v>
      </c>
      <c r="HD132" s="19">
        <f t="shared" si="341"/>
        <v>0</v>
      </c>
      <c r="HE132" s="19">
        <f t="shared" si="342"/>
        <v>0</v>
      </c>
      <c r="HF132" s="19">
        <f t="shared" si="343"/>
        <v>0</v>
      </c>
      <c r="HG132" s="19">
        <f t="shared" si="344"/>
        <v>0.12</v>
      </c>
      <c r="HH132" s="19">
        <f t="shared" si="345"/>
        <v>0</v>
      </c>
      <c r="HI132" s="19">
        <f t="shared" si="346"/>
        <v>0</v>
      </c>
      <c r="HJ132" s="19">
        <f t="shared" si="347"/>
        <v>0</v>
      </c>
      <c r="HK132" s="19">
        <f t="shared" si="348"/>
        <v>0</v>
      </c>
      <c r="HL132" s="19">
        <f t="shared" si="349"/>
        <v>0</v>
      </c>
      <c r="HM132" s="20">
        <f t="shared" si="350"/>
        <v>1.5</v>
      </c>
      <c r="HN132" s="53">
        <v>1195</v>
      </c>
      <c r="HO132" s="21">
        <f t="shared" si="351"/>
        <v>0</v>
      </c>
      <c r="HP132" s="21">
        <f t="shared" si="352"/>
        <v>0</v>
      </c>
      <c r="HQ132" s="21">
        <f t="shared" si="353"/>
        <v>0</v>
      </c>
      <c r="HR132" s="21">
        <f t="shared" si="354"/>
        <v>0</v>
      </c>
      <c r="HS132" s="21">
        <f t="shared" si="355"/>
        <v>0</v>
      </c>
      <c r="HT132" s="69">
        <f t="shared" si="356"/>
        <v>0</v>
      </c>
      <c r="HU132" s="21">
        <f t="shared" si="357"/>
        <v>0</v>
      </c>
      <c r="HV132" s="21">
        <f t="shared" si="358"/>
        <v>0</v>
      </c>
      <c r="HW132" s="21">
        <f t="shared" si="359"/>
        <v>0</v>
      </c>
      <c r="HX132" s="21">
        <f t="shared" si="360"/>
        <v>0</v>
      </c>
      <c r="HY132" s="21">
        <f t="shared" si="361"/>
        <v>0</v>
      </c>
      <c r="HZ132" s="21">
        <f t="shared" si="362"/>
        <v>0</v>
      </c>
      <c r="IA132" s="21">
        <f t="shared" si="363"/>
        <v>0</v>
      </c>
      <c r="IB132" s="21">
        <f t="shared" si="364"/>
        <v>0</v>
      </c>
      <c r="IC132" s="21">
        <f t="shared" si="365"/>
        <v>537.75</v>
      </c>
      <c r="ID132" s="21">
        <f t="shared" si="366"/>
        <v>0</v>
      </c>
      <c r="IE132" s="21">
        <f t="shared" si="367"/>
        <v>0</v>
      </c>
      <c r="IF132" s="69">
        <f t="shared" si="368"/>
        <v>0</v>
      </c>
      <c r="IG132" s="69">
        <f t="shared" si="369"/>
        <v>0</v>
      </c>
      <c r="IH132" s="69">
        <f t="shared" si="370"/>
        <v>0</v>
      </c>
      <c r="II132" s="21">
        <f t="shared" si="371"/>
        <v>0</v>
      </c>
      <c r="IJ132" s="21">
        <f t="shared" si="372"/>
        <v>0</v>
      </c>
      <c r="IK132" s="21">
        <f t="shared" si="373"/>
        <v>0</v>
      </c>
      <c r="IL132" s="21">
        <f t="shared" si="374"/>
        <v>0</v>
      </c>
      <c r="IM132" s="21">
        <f t="shared" si="375"/>
        <v>0</v>
      </c>
      <c r="IN132" s="21">
        <f t="shared" si="376"/>
        <v>0</v>
      </c>
      <c r="IO132" s="21">
        <f t="shared" si="377"/>
        <v>0</v>
      </c>
      <c r="IP132" s="21">
        <f t="shared" si="378"/>
        <v>179.25</v>
      </c>
      <c r="IQ132" s="21">
        <f t="shared" si="379"/>
        <v>0</v>
      </c>
      <c r="IR132" s="21">
        <f t="shared" si="380"/>
        <v>0</v>
      </c>
      <c r="IS132" s="21">
        <f t="shared" si="381"/>
        <v>0</v>
      </c>
      <c r="IT132" s="21">
        <f t="shared" si="382"/>
        <v>0</v>
      </c>
      <c r="IU132" s="21">
        <f t="shared" si="383"/>
        <v>0</v>
      </c>
      <c r="IV132" s="21">
        <f t="shared" si="384"/>
        <v>0</v>
      </c>
      <c r="IW132" s="21">
        <f t="shared" si="385"/>
        <v>0</v>
      </c>
      <c r="IX132" s="21">
        <f t="shared" si="386"/>
        <v>83.65</v>
      </c>
      <c r="IY132" s="21">
        <f t="shared" si="387"/>
        <v>0</v>
      </c>
      <c r="IZ132" s="21">
        <f t="shared" si="388"/>
        <v>0</v>
      </c>
      <c r="JA132" s="21">
        <f t="shared" si="389"/>
        <v>298.75</v>
      </c>
      <c r="JB132" s="21">
        <f t="shared" si="390"/>
        <v>0</v>
      </c>
      <c r="JC132" s="21">
        <f t="shared" si="391"/>
        <v>0</v>
      </c>
      <c r="JD132" s="21">
        <f t="shared" si="392"/>
        <v>0</v>
      </c>
      <c r="JE132" s="21">
        <f t="shared" si="393"/>
        <v>0</v>
      </c>
      <c r="JF132" s="21">
        <f t="shared" si="394"/>
        <v>0</v>
      </c>
      <c r="JG132" s="21">
        <f t="shared" si="395"/>
        <v>0</v>
      </c>
      <c r="JH132" s="21">
        <f t="shared" si="396"/>
        <v>0</v>
      </c>
      <c r="JI132" s="21">
        <f t="shared" si="397"/>
        <v>95.600000000000009</v>
      </c>
      <c r="JJ132" s="21">
        <f t="shared" si="398"/>
        <v>0</v>
      </c>
      <c r="JK132" s="21">
        <f t="shared" si="399"/>
        <v>0</v>
      </c>
      <c r="JL132" s="21">
        <f t="shared" si="400"/>
        <v>0</v>
      </c>
      <c r="JM132" s="21">
        <f t="shared" si="401"/>
        <v>0</v>
      </c>
      <c r="JN132" s="21">
        <f t="shared" si="402"/>
        <v>0</v>
      </c>
      <c r="JO132" s="35">
        <f t="shared" si="486"/>
        <v>1195</v>
      </c>
      <c r="JP132" s="38">
        <f t="shared" si="487"/>
        <v>0</v>
      </c>
      <c r="JQ132" s="43">
        <f t="shared" si="405"/>
        <v>0</v>
      </c>
      <c r="JR132" s="43">
        <f t="shared" si="406"/>
        <v>0</v>
      </c>
      <c r="JS132" s="43">
        <f t="shared" si="407"/>
        <v>0</v>
      </c>
      <c r="JT132" s="43">
        <f t="shared" si="408"/>
        <v>0</v>
      </c>
      <c r="JU132" s="43">
        <f t="shared" si="409"/>
        <v>0</v>
      </c>
      <c r="JV132" s="43">
        <f t="shared" si="410"/>
        <v>0</v>
      </c>
      <c r="JW132" s="43">
        <f t="shared" si="411"/>
        <v>0</v>
      </c>
      <c r="JX132" s="43">
        <f t="shared" si="412"/>
        <v>0</v>
      </c>
      <c r="JY132" s="43">
        <f t="shared" si="413"/>
        <v>0</v>
      </c>
      <c r="JZ132" s="43">
        <f t="shared" si="414"/>
        <v>0</v>
      </c>
      <c r="KA132" s="43">
        <f t="shared" si="415"/>
        <v>0</v>
      </c>
      <c r="KB132" s="43">
        <f t="shared" si="416"/>
        <v>0</v>
      </c>
      <c r="KC132" s="43">
        <f t="shared" si="417"/>
        <v>0</v>
      </c>
      <c r="KD132" s="43">
        <f t="shared" si="418"/>
        <v>0</v>
      </c>
      <c r="KE132" s="43">
        <f t="shared" si="419"/>
        <v>2192.1244258181819</v>
      </c>
      <c r="KF132" s="43">
        <f t="shared" si="420"/>
        <v>0</v>
      </c>
      <c r="KG132" s="43">
        <f t="shared" si="421"/>
        <v>0</v>
      </c>
      <c r="KH132" s="43">
        <f t="shared" si="422"/>
        <v>0</v>
      </c>
      <c r="KI132" s="43">
        <f t="shared" si="423"/>
        <v>0</v>
      </c>
      <c r="KJ132" s="43">
        <f t="shared" si="424"/>
        <v>0</v>
      </c>
      <c r="KK132" s="43">
        <f t="shared" si="425"/>
        <v>0</v>
      </c>
      <c r="KL132" s="43">
        <f t="shared" si="426"/>
        <v>0</v>
      </c>
      <c r="KM132" s="43">
        <f t="shared" si="427"/>
        <v>0</v>
      </c>
      <c r="KN132" s="43">
        <f t="shared" si="428"/>
        <v>0</v>
      </c>
      <c r="KO132" s="43">
        <f t="shared" si="429"/>
        <v>0</v>
      </c>
      <c r="KP132" s="43">
        <f t="shared" si="430"/>
        <v>0</v>
      </c>
      <c r="KQ132" s="43">
        <f t="shared" si="431"/>
        <v>0</v>
      </c>
      <c r="KR132" s="43">
        <f t="shared" si="432"/>
        <v>691.90499999999997</v>
      </c>
      <c r="KS132" s="43">
        <f t="shared" si="433"/>
        <v>0</v>
      </c>
      <c r="KT132" s="43">
        <f t="shared" si="434"/>
        <v>0</v>
      </c>
      <c r="KU132" s="43">
        <f t="shared" si="435"/>
        <v>0</v>
      </c>
      <c r="KV132" s="43">
        <f t="shared" si="436"/>
        <v>0</v>
      </c>
      <c r="KW132" s="43">
        <f t="shared" si="437"/>
        <v>0</v>
      </c>
      <c r="KX132" s="43">
        <f t="shared" si="438"/>
        <v>0</v>
      </c>
      <c r="KY132" s="43">
        <f t="shared" si="439"/>
        <v>0</v>
      </c>
      <c r="KZ132" s="43">
        <f t="shared" si="440"/>
        <v>723.5725000000001</v>
      </c>
      <c r="LA132" s="43">
        <f t="shared" si="441"/>
        <v>0</v>
      </c>
      <c r="LB132" s="43">
        <f t="shared" si="442"/>
        <v>0</v>
      </c>
      <c r="LC132" s="43">
        <f t="shared" si="443"/>
        <v>1075.5</v>
      </c>
      <c r="LD132" s="43">
        <f t="shared" si="444"/>
        <v>0</v>
      </c>
      <c r="LE132" s="43">
        <f t="shared" si="445"/>
        <v>0</v>
      </c>
      <c r="LF132" s="43">
        <f t="shared" si="446"/>
        <v>0</v>
      </c>
      <c r="LG132" s="43">
        <f t="shared" si="447"/>
        <v>0</v>
      </c>
      <c r="LH132" s="43">
        <f t="shared" si="448"/>
        <v>0</v>
      </c>
      <c r="LI132" s="43">
        <f t="shared" si="449"/>
        <v>0</v>
      </c>
      <c r="LJ132" s="43">
        <f t="shared" si="450"/>
        <v>0</v>
      </c>
      <c r="LK132" s="43">
        <f t="shared" si="451"/>
        <v>382.94970000000001</v>
      </c>
      <c r="LL132" s="43">
        <f t="shared" si="452"/>
        <v>0</v>
      </c>
      <c r="LM132" s="43">
        <f t="shared" si="453"/>
        <v>0</v>
      </c>
      <c r="LN132" s="43">
        <f t="shared" si="454"/>
        <v>0</v>
      </c>
      <c r="LO132" s="43">
        <f t="shared" si="455"/>
        <v>0</v>
      </c>
      <c r="LP132" s="43">
        <f t="shared" si="456"/>
        <v>0</v>
      </c>
      <c r="LQ132" s="28">
        <f t="shared" si="488"/>
        <v>5066.0516258181824</v>
      </c>
      <c r="LR132" s="65">
        <v>1088</v>
      </c>
      <c r="LS132" s="32">
        <f t="shared" si="495"/>
        <v>4.656297450200535</v>
      </c>
      <c r="LT132" s="26">
        <f t="shared" si="496"/>
        <v>1.2722124180875778</v>
      </c>
      <c r="LU132" s="31">
        <f t="shared" si="489"/>
        <v>107</v>
      </c>
      <c r="LW132" s="42"/>
      <c r="MA132" s="32">
        <f t="shared" si="490"/>
        <v>4.2393737454545457</v>
      </c>
      <c r="MB132" s="26">
        <f t="shared" si="497"/>
        <v>1.1582988375558867</v>
      </c>
    </row>
    <row r="133" spans="1:340" ht="15.75" thickBot="1">
      <c r="A133" t="b">
        <f t="shared" si="484"/>
        <v>1</v>
      </c>
      <c r="B133" s="123" t="s">
        <v>315</v>
      </c>
      <c r="C133" s="39" t="s">
        <v>57</v>
      </c>
      <c r="D133"/>
      <c r="E133" s="97">
        <v>46044</v>
      </c>
      <c r="F133" t="s">
        <v>43</v>
      </c>
      <c r="G133" t="s">
        <v>19</v>
      </c>
      <c r="H133" t="s">
        <v>26</v>
      </c>
      <c r="I133" s="77"/>
      <c r="J133" s="77"/>
      <c r="K133" s="77"/>
      <c r="L133" s="22"/>
      <c r="M133" s="22"/>
      <c r="N133" s="98"/>
      <c r="O133" s="22"/>
      <c r="P133" s="22"/>
      <c r="Q133" s="22"/>
      <c r="R133" s="22"/>
      <c r="S133" s="104"/>
      <c r="T133" s="22"/>
      <c r="U133" s="22"/>
      <c r="V133" s="104"/>
      <c r="W133" s="22">
        <v>0.45</v>
      </c>
      <c r="X133" s="22"/>
      <c r="Y133" s="22"/>
      <c r="Z133" s="104"/>
      <c r="AA133" s="104"/>
      <c r="AB133" s="104"/>
      <c r="AC133" s="22"/>
      <c r="AD133" s="22"/>
      <c r="AE133" s="22"/>
      <c r="AF133" s="124"/>
      <c r="AG133" s="124"/>
      <c r="AH133" s="22"/>
      <c r="AI133" s="104"/>
      <c r="AJ133" s="22">
        <v>0.15</v>
      </c>
      <c r="AK133" s="22"/>
      <c r="AL133" s="22"/>
      <c r="AM133" s="104"/>
      <c r="AN133" s="22"/>
      <c r="AO133" s="104"/>
      <c r="AP133" s="22"/>
      <c r="AQ133" s="22"/>
      <c r="AR133" s="22">
        <v>7.0000000000000007E-2</v>
      </c>
      <c r="AS133" s="22"/>
      <c r="AT133" s="22"/>
      <c r="AU133" s="22">
        <v>0.25</v>
      </c>
      <c r="AV133" s="22"/>
      <c r="AW133" s="22"/>
      <c r="AX133" s="22"/>
      <c r="AY133" s="22"/>
      <c r="AZ133" s="22"/>
      <c r="BA133" s="98"/>
      <c r="BB133" s="98"/>
      <c r="BC133" s="124">
        <v>0.08</v>
      </c>
      <c r="BD133" s="124"/>
      <c r="BE133" s="104"/>
      <c r="BF133" s="22"/>
      <c r="BG133" s="22"/>
      <c r="BH133" s="22"/>
      <c r="BI133" s="78">
        <f t="shared" si="504"/>
        <v>0.99999999999999989</v>
      </c>
      <c r="BJ133" s="23"/>
      <c r="BK133" s="23"/>
      <c r="BL133" s="23"/>
      <c r="BM133" s="23"/>
      <c r="BN133" s="23"/>
      <c r="BO133" s="99"/>
      <c r="BP133" s="23"/>
      <c r="BQ133" s="23"/>
      <c r="BR133" s="23"/>
      <c r="BS133" s="23"/>
      <c r="BT133" s="105"/>
      <c r="BU133" s="23"/>
      <c r="BV133" s="23"/>
      <c r="BW133" s="105"/>
      <c r="BX133" s="23"/>
      <c r="BY133" s="23"/>
      <c r="BZ133" s="23"/>
      <c r="CA133" s="105"/>
      <c r="CB133" s="105"/>
      <c r="CC133" s="105"/>
      <c r="CD133" s="23"/>
      <c r="CE133" s="23"/>
      <c r="CF133" s="71"/>
      <c r="CG133" s="128"/>
      <c r="CH133" s="128"/>
      <c r="CI133" s="23"/>
      <c r="CJ133" s="23"/>
      <c r="CK133" s="23"/>
      <c r="CL133" s="23"/>
      <c r="CM133" s="23"/>
      <c r="CN133" s="23"/>
      <c r="CO133" s="23"/>
      <c r="CP133" s="105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3"/>
      <c r="DB133" s="99"/>
      <c r="DC133" s="99"/>
      <c r="DD133" s="125"/>
      <c r="DE133" s="125"/>
      <c r="DF133" s="105"/>
      <c r="DG133" s="23"/>
      <c r="DH133" s="23"/>
      <c r="DI133" s="23"/>
      <c r="DJ133" s="79">
        <f t="shared" si="485"/>
        <v>0</v>
      </c>
      <c r="DK133" s="24"/>
      <c r="DL133" s="24"/>
      <c r="DM133" s="24"/>
      <c r="DN133" s="24"/>
      <c r="DO133" s="24"/>
      <c r="DP133" s="103"/>
      <c r="DQ133" s="24"/>
      <c r="DR133" s="24"/>
      <c r="DS133" s="24"/>
      <c r="DT133" s="24"/>
      <c r="DU133" s="108"/>
      <c r="DV133" s="24"/>
      <c r="DW133" s="24"/>
      <c r="DX133" s="108"/>
      <c r="DY133" s="24"/>
      <c r="DZ133" s="24"/>
      <c r="EA133" s="24"/>
      <c r="EB133" s="108"/>
      <c r="EC133" s="108"/>
      <c r="ED133" s="108"/>
      <c r="EE133" s="24"/>
      <c r="EF133" s="24"/>
      <c r="EG133" s="24"/>
      <c r="EH133" s="129"/>
      <c r="EI133" s="129"/>
      <c r="EJ133" s="24"/>
      <c r="EK133" s="24"/>
      <c r="EL133" s="24"/>
      <c r="EM133" s="24"/>
      <c r="EN133" s="24"/>
      <c r="EO133" s="24"/>
      <c r="EP133" s="24"/>
      <c r="EQ133" s="108"/>
      <c r="ER133" s="24"/>
      <c r="ES133" s="25"/>
      <c r="ET133" s="25"/>
      <c r="EU133" s="25"/>
      <c r="EV133" s="25"/>
      <c r="EW133" s="25"/>
      <c r="EX133" s="25"/>
      <c r="EY133" s="25"/>
      <c r="EZ133" s="25"/>
      <c r="FA133" s="25"/>
      <c r="FB133" s="25"/>
      <c r="FC133" s="100"/>
      <c r="FD133" s="100"/>
      <c r="FE133" s="126"/>
      <c r="FF133" s="126"/>
      <c r="FG133" s="106"/>
      <c r="FH133" s="25"/>
      <c r="FI133" s="25"/>
      <c r="FJ133" s="25"/>
      <c r="FK133" s="17">
        <f t="shared" si="494"/>
        <v>0</v>
      </c>
      <c r="FL133" s="18"/>
      <c r="FM133" s="19">
        <f t="shared" si="298"/>
        <v>0</v>
      </c>
      <c r="FN133" s="19">
        <f t="shared" si="299"/>
        <v>0</v>
      </c>
      <c r="FO133" s="19">
        <f t="shared" si="300"/>
        <v>0</v>
      </c>
      <c r="FP133" s="19">
        <f t="shared" si="301"/>
        <v>0</v>
      </c>
      <c r="FQ133" s="19">
        <f t="shared" si="302"/>
        <v>0</v>
      </c>
      <c r="FR133" s="19">
        <f t="shared" si="303"/>
        <v>0</v>
      </c>
      <c r="FS133" s="19">
        <f t="shared" si="304"/>
        <v>0</v>
      </c>
      <c r="FT133" s="19">
        <f t="shared" si="305"/>
        <v>0</v>
      </c>
      <c r="FU133" s="19">
        <f t="shared" si="306"/>
        <v>0</v>
      </c>
      <c r="FV133" s="19">
        <f t="shared" si="307"/>
        <v>0</v>
      </c>
      <c r="FW133" s="19">
        <f t="shared" si="308"/>
        <v>0</v>
      </c>
      <c r="FX133" s="19">
        <f t="shared" si="309"/>
        <v>0</v>
      </c>
      <c r="FY133" s="19">
        <f t="shared" si="310"/>
        <v>0</v>
      </c>
      <c r="FZ133" s="19">
        <f t="shared" si="311"/>
        <v>0</v>
      </c>
      <c r="GA133" s="19">
        <f t="shared" si="312"/>
        <v>0.67500000000000004</v>
      </c>
      <c r="GB133" s="19">
        <f t="shared" si="313"/>
        <v>0</v>
      </c>
      <c r="GC133" s="19">
        <f t="shared" si="314"/>
        <v>0</v>
      </c>
      <c r="GD133" s="19">
        <f t="shared" si="315"/>
        <v>0</v>
      </c>
      <c r="GE133" s="19">
        <f t="shared" si="316"/>
        <v>0</v>
      </c>
      <c r="GF133" s="19">
        <f t="shared" si="317"/>
        <v>0</v>
      </c>
      <c r="GG133" s="19">
        <f t="shared" si="318"/>
        <v>0</v>
      </c>
      <c r="GH133" s="19">
        <f t="shared" si="319"/>
        <v>0</v>
      </c>
      <c r="GI133" s="19">
        <f t="shared" si="320"/>
        <v>0</v>
      </c>
      <c r="GJ133" s="19">
        <f t="shared" si="321"/>
        <v>0</v>
      </c>
      <c r="GK133" s="19">
        <f t="shared" si="322"/>
        <v>0</v>
      </c>
      <c r="GL133" s="19">
        <f t="shared" si="323"/>
        <v>0</v>
      </c>
      <c r="GM133" s="19">
        <f t="shared" si="324"/>
        <v>0</v>
      </c>
      <c r="GN133" s="19">
        <f t="shared" si="325"/>
        <v>0.22499999999999998</v>
      </c>
      <c r="GO133" s="19">
        <f t="shared" si="326"/>
        <v>0</v>
      </c>
      <c r="GP133" s="19">
        <f t="shared" si="327"/>
        <v>0</v>
      </c>
      <c r="GQ133" s="19">
        <f t="shared" si="328"/>
        <v>0</v>
      </c>
      <c r="GR133" s="19">
        <f t="shared" si="329"/>
        <v>0</v>
      </c>
      <c r="GS133" s="19">
        <f t="shared" si="330"/>
        <v>0</v>
      </c>
      <c r="GT133" s="19">
        <f t="shared" si="331"/>
        <v>0</v>
      </c>
      <c r="GU133" s="19">
        <f t="shared" si="332"/>
        <v>0</v>
      </c>
      <c r="GV133" s="19">
        <f t="shared" si="333"/>
        <v>0.10500000000000001</v>
      </c>
      <c r="GW133" s="19">
        <f t="shared" si="334"/>
        <v>0</v>
      </c>
      <c r="GX133" s="19">
        <f t="shared" si="335"/>
        <v>0</v>
      </c>
      <c r="GY133" s="19">
        <f t="shared" si="336"/>
        <v>0.375</v>
      </c>
      <c r="GZ133" s="19">
        <f t="shared" si="337"/>
        <v>0</v>
      </c>
      <c r="HA133" s="19">
        <f t="shared" si="338"/>
        <v>0</v>
      </c>
      <c r="HB133" s="19">
        <f t="shared" si="339"/>
        <v>0</v>
      </c>
      <c r="HC133" s="19">
        <f t="shared" si="340"/>
        <v>0</v>
      </c>
      <c r="HD133" s="19">
        <f t="shared" si="341"/>
        <v>0</v>
      </c>
      <c r="HE133" s="19">
        <f t="shared" si="342"/>
        <v>0</v>
      </c>
      <c r="HF133" s="19">
        <f t="shared" si="343"/>
        <v>0</v>
      </c>
      <c r="HG133" s="19">
        <f t="shared" si="344"/>
        <v>0.12</v>
      </c>
      <c r="HH133" s="19">
        <f t="shared" si="345"/>
        <v>0</v>
      </c>
      <c r="HI133" s="19">
        <f t="shared" si="346"/>
        <v>0</v>
      </c>
      <c r="HJ133" s="19">
        <f t="shared" si="347"/>
        <v>0</v>
      </c>
      <c r="HK133" s="19">
        <f t="shared" si="348"/>
        <v>0</v>
      </c>
      <c r="HL133" s="19">
        <f t="shared" si="349"/>
        <v>0</v>
      </c>
      <c r="HM133" s="20">
        <f t="shared" si="350"/>
        <v>1.5</v>
      </c>
      <c r="HN133" s="53">
        <v>1894</v>
      </c>
      <c r="HO133" s="21">
        <f t="shared" si="351"/>
        <v>0</v>
      </c>
      <c r="HP133" s="21">
        <f t="shared" si="352"/>
        <v>0</v>
      </c>
      <c r="HQ133" s="21">
        <f t="shared" si="353"/>
        <v>0</v>
      </c>
      <c r="HR133" s="21">
        <f t="shared" si="354"/>
        <v>0</v>
      </c>
      <c r="HS133" s="21">
        <f t="shared" si="355"/>
        <v>0</v>
      </c>
      <c r="HT133" s="69">
        <f t="shared" si="356"/>
        <v>0</v>
      </c>
      <c r="HU133" s="21">
        <f t="shared" si="357"/>
        <v>0</v>
      </c>
      <c r="HV133" s="21">
        <f t="shared" si="358"/>
        <v>0</v>
      </c>
      <c r="HW133" s="21">
        <f t="shared" si="359"/>
        <v>0</v>
      </c>
      <c r="HX133" s="21">
        <f t="shared" si="360"/>
        <v>0</v>
      </c>
      <c r="HY133" s="21">
        <f t="shared" si="361"/>
        <v>0</v>
      </c>
      <c r="HZ133" s="21">
        <f t="shared" si="362"/>
        <v>0</v>
      </c>
      <c r="IA133" s="21">
        <f t="shared" si="363"/>
        <v>0</v>
      </c>
      <c r="IB133" s="21">
        <f t="shared" si="364"/>
        <v>0</v>
      </c>
      <c r="IC133" s="21">
        <f t="shared" si="365"/>
        <v>852.30000000000007</v>
      </c>
      <c r="ID133" s="21">
        <f t="shared" si="366"/>
        <v>0</v>
      </c>
      <c r="IE133" s="21">
        <f t="shared" si="367"/>
        <v>0</v>
      </c>
      <c r="IF133" s="69">
        <f t="shared" si="368"/>
        <v>0</v>
      </c>
      <c r="IG133" s="69">
        <f t="shared" si="369"/>
        <v>0</v>
      </c>
      <c r="IH133" s="69">
        <f t="shared" si="370"/>
        <v>0</v>
      </c>
      <c r="II133" s="21">
        <f t="shared" si="371"/>
        <v>0</v>
      </c>
      <c r="IJ133" s="21">
        <f t="shared" si="372"/>
        <v>0</v>
      </c>
      <c r="IK133" s="21">
        <f t="shared" si="373"/>
        <v>0</v>
      </c>
      <c r="IL133" s="21">
        <f t="shared" si="374"/>
        <v>0</v>
      </c>
      <c r="IM133" s="21">
        <f t="shared" si="375"/>
        <v>0</v>
      </c>
      <c r="IN133" s="21">
        <f t="shared" si="376"/>
        <v>0</v>
      </c>
      <c r="IO133" s="21">
        <f t="shared" si="377"/>
        <v>0</v>
      </c>
      <c r="IP133" s="21">
        <f t="shared" si="378"/>
        <v>284.09999999999997</v>
      </c>
      <c r="IQ133" s="21">
        <f t="shared" si="379"/>
        <v>0</v>
      </c>
      <c r="IR133" s="21">
        <f t="shared" si="380"/>
        <v>0</v>
      </c>
      <c r="IS133" s="21">
        <f t="shared" si="381"/>
        <v>0</v>
      </c>
      <c r="IT133" s="21">
        <f t="shared" si="382"/>
        <v>0</v>
      </c>
      <c r="IU133" s="21">
        <f t="shared" si="383"/>
        <v>0</v>
      </c>
      <c r="IV133" s="21">
        <f t="shared" si="384"/>
        <v>0</v>
      </c>
      <c r="IW133" s="21">
        <f t="shared" si="385"/>
        <v>0</v>
      </c>
      <c r="IX133" s="21">
        <f t="shared" si="386"/>
        <v>132.58000000000001</v>
      </c>
      <c r="IY133" s="21">
        <f t="shared" si="387"/>
        <v>0</v>
      </c>
      <c r="IZ133" s="21">
        <f t="shared" si="388"/>
        <v>0</v>
      </c>
      <c r="JA133" s="21">
        <f t="shared" si="389"/>
        <v>473.5</v>
      </c>
      <c r="JB133" s="21">
        <f t="shared" si="390"/>
        <v>0</v>
      </c>
      <c r="JC133" s="21">
        <f t="shared" si="391"/>
        <v>0</v>
      </c>
      <c r="JD133" s="21">
        <f t="shared" si="392"/>
        <v>0</v>
      </c>
      <c r="JE133" s="21">
        <f t="shared" si="393"/>
        <v>0</v>
      </c>
      <c r="JF133" s="21">
        <f t="shared" si="394"/>
        <v>0</v>
      </c>
      <c r="JG133" s="21">
        <f t="shared" si="395"/>
        <v>0</v>
      </c>
      <c r="JH133" s="21">
        <f t="shared" si="396"/>
        <v>0</v>
      </c>
      <c r="JI133" s="21">
        <f t="shared" si="397"/>
        <v>151.52000000000001</v>
      </c>
      <c r="JJ133" s="21">
        <f t="shared" si="398"/>
        <v>0</v>
      </c>
      <c r="JK133" s="21">
        <f t="shared" si="399"/>
        <v>0</v>
      </c>
      <c r="JL133" s="21">
        <f t="shared" si="400"/>
        <v>0</v>
      </c>
      <c r="JM133" s="21">
        <f t="shared" si="401"/>
        <v>0</v>
      </c>
      <c r="JN133" s="21">
        <f t="shared" si="402"/>
        <v>0</v>
      </c>
      <c r="JO133" s="35">
        <f t="shared" si="486"/>
        <v>1894</v>
      </c>
      <c r="JP133" s="38">
        <f t="shared" si="487"/>
        <v>0</v>
      </c>
      <c r="JQ133" s="43">
        <f t="shared" si="405"/>
        <v>0</v>
      </c>
      <c r="JR133" s="43">
        <f t="shared" si="406"/>
        <v>0</v>
      </c>
      <c r="JS133" s="43">
        <f t="shared" si="407"/>
        <v>0</v>
      </c>
      <c r="JT133" s="43">
        <f t="shared" si="408"/>
        <v>0</v>
      </c>
      <c r="JU133" s="43">
        <f t="shared" si="409"/>
        <v>0</v>
      </c>
      <c r="JV133" s="43">
        <f t="shared" si="410"/>
        <v>0</v>
      </c>
      <c r="JW133" s="43">
        <f t="shared" si="411"/>
        <v>0</v>
      </c>
      <c r="JX133" s="43">
        <f t="shared" si="412"/>
        <v>0</v>
      </c>
      <c r="JY133" s="43">
        <f t="shared" si="413"/>
        <v>0</v>
      </c>
      <c r="JZ133" s="43">
        <f t="shared" si="414"/>
        <v>0</v>
      </c>
      <c r="KA133" s="43">
        <f t="shared" si="415"/>
        <v>0</v>
      </c>
      <c r="KB133" s="43">
        <f t="shared" si="416"/>
        <v>0</v>
      </c>
      <c r="KC133" s="43">
        <f t="shared" si="417"/>
        <v>0</v>
      </c>
      <c r="KD133" s="43">
        <f t="shared" si="418"/>
        <v>0</v>
      </c>
      <c r="KE133" s="43">
        <f t="shared" si="419"/>
        <v>3474.3796338909092</v>
      </c>
      <c r="KF133" s="43">
        <f t="shared" si="420"/>
        <v>0</v>
      </c>
      <c r="KG133" s="43">
        <f t="shared" si="421"/>
        <v>0</v>
      </c>
      <c r="KH133" s="43">
        <f t="shared" si="422"/>
        <v>0</v>
      </c>
      <c r="KI133" s="43">
        <f t="shared" si="423"/>
        <v>0</v>
      </c>
      <c r="KJ133" s="43">
        <f t="shared" si="424"/>
        <v>0</v>
      </c>
      <c r="KK133" s="43">
        <f t="shared" si="425"/>
        <v>0</v>
      </c>
      <c r="KL133" s="43">
        <f t="shared" si="426"/>
        <v>0</v>
      </c>
      <c r="KM133" s="43">
        <f t="shared" si="427"/>
        <v>0</v>
      </c>
      <c r="KN133" s="43">
        <f t="shared" si="428"/>
        <v>0</v>
      </c>
      <c r="KO133" s="43">
        <f t="shared" si="429"/>
        <v>0</v>
      </c>
      <c r="KP133" s="43">
        <f t="shared" si="430"/>
        <v>0</v>
      </c>
      <c r="KQ133" s="43">
        <f t="shared" si="431"/>
        <v>0</v>
      </c>
      <c r="KR133" s="43">
        <f t="shared" si="432"/>
        <v>1096.6259999999997</v>
      </c>
      <c r="KS133" s="43">
        <f t="shared" si="433"/>
        <v>0</v>
      </c>
      <c r="KT133" s="43">
        <f t="shared" si="434"/>
        <v>0</v>
      </c>
      <c r="KU133" s="43">
        <f t="shared" si="435"/>
        <v>0</v>
      </c>
      <c r="KV133" s="43">
        <f t="shared" si="436"/>
        <v>0</v>
      </c>
      <c r="KW133" s="43">
        <f t="shared" si="437"/>
        <v>0</v>
      </c>
      <c r="KX133" s="43">
        <f t="shared" si="438"/>
        <v>0</v>
      </c>
      <c r="KY133" s="43">
        <f t="shared" si="439"/>
        <v>0</v>
      </c>
      <c r="KZ133" s="43">
        <f t="shared" si="440"/>
        <v>1146.8170000000002</v>
      </c>
      <c r="LA133" s="43">
        <f t="shared" si="441"/>
        <v>0</v>
      </c>
      <c r="LB133" s="43">
        <f t="shared" si="442"/>
        <v>0</v>
      </c>
      <c r="LC133" s="43">
        <f t="shared" si="443"/>
        <v>1704.6000000000001</v>
      </c>
      <c r="LD133" s="43">
        <f t="shared" si="444"/>
        <v>0</v>
      </c>
      <c r="LE133" s="43">
        <f t="shared" si="445"/>
        <v>0</v>
      </c>
      <c r="LF133" s="43">
        <f t="shared" si="446"/>
        <v>0</v>
      </c>
      <c r="LG133" s="43">
        <f t="shared" si="447"/>
        <v>0</v>
      </c>
      <c r="LH133" s="43">
        <f t="shared" si="448"/>
        <v>0</v>
      </c>
      <c r="LI133" s="43">
        <f t="shared" si="449"/>
        <v>0</v>
      </c>
      <c r="LJ133" s="43">
        <f t="shared" si="450"/>
        <v>0</v>
      </c>
      <c r="LK133" s="43">
        <f t="shared" si="451"/>
        <v>606.95123999999998</v>
      </c>
      <c r="LL133" s="43">
        <f t="shared" si="452"/>
        <v>0</v>
      </c>
      <c r="LM133" s="43">
        <f t="shared" si="453"/>
        <v>0</v>
      </c>
      <c r="LN133" s="43">
        <f t="shared" si="454"/>
        <v>0</v>
      </c>
      <c r="LO133" s="43">
        <f t="shared" si="455"/>
        <v>0</v>
      </c>
      <c r="LP133" s="43">
        <f t="shared" si="456"/>
        <v>0</v>
      </c>
      <c r="LQ133" s="28">
        <f t="shared" si="488"/>
        <v>8029.3738738909096</v>
      </c>
      <c r="LR133" s="65">
        <v>1779</v>
      </c>
      <c r="LS133" s="32">
        <f t="shared" si="495"/>
        <v>4.5134198279319335</v>
      </c>
      <c r="LT133" s="26">
        <f t="shared" si="496"/>
        <v>1.2331748163748453</v>
      </c>
      <c r="LU133" s="31">
        <f t="shared" si="489"/>
        <v>115</v>
      </c>
      <c r="LW133" s="42"/>
      <c r="MA133" s="32">
        <f t="shared" si="490"/>
        <v>4.2393737454545457</v>
      </c>
      <c r="MB133" s="26">
        <f t="shared" si="497"/>
        <v>1.1582988375558867</v>
      </c>
    </row>
    <row r="134" spans="1:340" ht="15.75" thickBot="1">
      <c r="A134" t="b">
        <f t="shared" si="484"/>
        <v>1</v>
      </c>
      <c r="B134" s="123" t="s">
        <v>316</v>
      </c>
      <c r="C134" s="39" t="s">
        <v>281</v>
      </c>
      <c r="D134"/>
      <c r="E134" s="97">
        <v>46047</v>
      </c>
      <c r="F134" t="s">
        <v>43</v>
      </c>
      <c r="G134" t="s">
        <v>20</v>
      </c>
      <c r="H134" t="s">
        <v>27</v>
      </c>
      <c r="I134" s="77"/>
      <c r="J134" s="77"/>
      <c r="K134" s="77"/>
      <c r="L134" s="22"/>
      <c r="M134" s="22"/>
      <c r="N134" s="98"/>
      <c r="O134" s="22"/>
      <c r="P134" s="22"/>
      <c r="Q134" s="22"/>
      <c r="R134" s="22"/>
      <c r="S134" s="104"/>
      <c r="T134" s="22"/>
      <c r="U134" s="22"/>
      <c r="V134" s="104"/>
      <c r="W134" s="22"/>
      <c r="X134" s="22"/>
      <c r="Y134" s="22"/>
      <c r="Z134" s="104"/>
      <c r="AA134" s="104"/>
      <c r="AB134" s="104"/>
      <c r="AC134" s="22"/>
      <c r="AD134" s="22"/>
      <c r="AE134" s="22"/>
      <c r="AF134" s="124"/>
      <c r="AG134" s="124"/>
      <c r="AH134" s="22"/>
      <c r="AI134" s="22"/>
      <c r="AJ134" s="22">
        <v>0.5</v>
      </c>
      <c r="AK134" s="22"/>
      <c r="AL134" s="22"/>
      <c r="AM134" s="22"/>
      <c r="AN134" s="22"/>
      <c r="AO134" s="104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98"/>
      <c r="BB134" s="98"/>
      <c r="BC134" s="124">
        <v>0.5</v>
      </c>
      <c r="BD134" s="124"/>
      <c r="BE134" s="104"/>
      <c r="BF134" s="22"/>
      <c r="BG134" s="22"/>
      <c r="BH134" s="22"/>
      <c r="BI134" s="78">
        <f t="shared" si="504"/>
        <v>1</v>
      </c>
      <c r="BJ134" s="23"/>
      <c r="BK134" s="23"/>
      <c r="BL134" s="23"/>
      <c r="BM134" s="23"/>
      <c r="BN134" s="23"/>
      <c r="BO134" s="99"/>
      <c r="BP134" s="23"/>
      <c r="BQ134" s="23"/>
      <c r="BR134" s="23"/>
      <c r="BS134" s="23"/>
      <c r="BT134" s="105"/>
      <c r="BU134" s="23"/>
      <c r="BV134" s="23"/>
      <c r="BW134" s="105"/>
      <c r="BX134" s="23"/>
      <c r="BY134" s="23"/>
      <c r="BZ134" s="23"/>
      <c r="CA134" s="105"/>
      <c r="CB134" s="105"/>
      <c r="CC134" s="105"/>
      <c r="CD134" s="23"/>
      <c r="CE134" s="23"/>
      <c r="CF134" s="71"/>
      <c r="CG134" s="128"/>
      <c r="CH134" s="128"/>
      <c r="CI134" s="23"/>
      <c r="CJ134" s="105"/>
      <c r="CK134" s="105"/>
      <c r="CL134" s="23">
        <v>0.4</v>
      </c>
      <c r="CM134" s="23"/>
      <c r="CN134" s="23"/>
      <c r="CO134" s="23"/>
      <c r="CP134" s="105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3"/>
      <c r="DB134" s="99"/>
      <c r="DC134" s="99"/>
      <c r="DD134" s="125">
        <v>0.6</v>
      </c>
      <c r="DE134" s="125"/>
      <c r="DF134" s="105"/>
      <c r="DG134" s="23"/>
      <c r="DH134" s="23"/>
      <c r="DI134" s="23"/>
      <c r="DJ134" s="79">
        <f t="shared" si="485"/>
        <v>1</v>
      </c>
      <c r="DK134" s="24"/>
      <c r="DL134" s="24"/>
      <c r="DM134" s="24"/>
      <c r="DN134" s="24">
        <v>0.84499999999999997</v>
      </c>
      <c r="DO134" s="24"/>
      <c r="DP134" s="103"/>
      <c r="DQ134" s="24"/>
      <c r="DR134" s="24"/>
      <c r="DS134" s="24"/>
      <c r="DT134" s="24"/>
      <c r="DU134" s="108"/>
      <c r="DV134" s="24"/>
      <c r="DW134" s="24"/>
      <c r="DX134" s="108"/>
      <c r="DY134" s="24"/>
      <c r="DZ134" s="24"/>
      <c r="EA134" s="24"/>
      <c r="EB134" s="108"/>
      <c r="EC134" s="108"/>
      <c r="ED134" s="108"/>
      <c r="EE134" s="24"/>
      <c r="EF134" s="24"/>
      <c r="EG134" s="24"/>
      <c r="EH134" s="129"/>
      <c r="EI134" s="129"/>
      <c r="EJ134" s="24"/>
      <c r="EK134" s="24"/>
      <c r="EL134" s="24"/>
      <c r="EM134" s="24"/>
      <c r="EN134" s="24"/>
      <c r="EO134" s="24"/>
      <c r="EP134" s="24"/>
      <c r="EQ134" s="108"/>
      <c r="ER134" s="24"/>
      <c r="ES134" s="25"/>
      <c r="ET134" s="25"/>
      <c r="EU134" s="25">
        <v>0.13</v>
      </c>
      <c r="EV134" s="25"/>
      <c r="EW134" s="25"/>
      <c r="EX134" s="25"/>
      <c r="EY134" s="25"/>
      <c r="EZ134" s="25"/>
      <c r="FA134" s="25">
        <v>5.0000000000000001E-3</v>
      </c>
      <c r="FB134" s="25"/>
      <c r="FC134" s="100"/>
      <c r="FD134" s="100"/>
      <c r="FE134" s="126"/>
      <c r="FF134" s="126"/>
      <c r="FG134" s="106"/>
      <c r="FH134" s="25"/>
      <c r="FI134" s="25"/>
      <c r="FJ134" s="25">
        <v>0.02</v>
      </c>
      <c r="FK134" s="17">
        <f t="shared" si="494"/>
        <v>1</v>
      </c>
      <c r="FL134" s="18"/>
      <c r="FM134" s="19">
        <f t="shared" si="298"/>
        <v>0</v>
      </c>
      <c r="FN134" s="19">
        <f t="shared" si="299"/>
        <v>0</v>
      </c>
      <c r="FO134" s="19">
        <f t="shared" si="300"/>
        <v>0</v>
      </c>
      <c r="FP134" s="19">
        <f t="shared" si="301"/>
        <v>1.2675000000000001</v>
      </c>
      <c r="FQ134" s="19">
        <f t="shared" si="302"/>
        <v>0</v>
      </c>
      <c r="FR134" s="19">
        <f t="shared" si="303"/>
        <v>0</v>
      </c>
      <c r="FS134" s="19">
        <f t="shared" si="304"/>
        <v>0</v>
      </c>
      <c r="FT134" s="19">
        <f t="shared" si="305"/>
        <v>0</v>
      </c>
      <c r="FU134" s="19">
        <f t="shared" si="306"/>
        <v>0</v>
      </c>
      <c r="FV134" s="19">
        <f t="shared" si="307"/>
        <v>0</v>
      </c>
      <c r="FW134" s="19">
        <f t="shared" si="308"/>
        <v>0</v>
      </c>
      <c r="FX134" s="19">
        <f t="shared" si="309"/>
        <v>0</v>
      </c>
      <c r="FY134" s="19">
        <f t="shared" si="310"/>
        <v>0</v>
      </c>
      <c r="FZ134" s="19">
        <f t="shared" si="311"/>
        <v>0</v>
      </c>
      <c r="GA134" s="19">
        <f t="shared" si="312"/>
        <v>0</v>
      </c>
      <c r="GB134" s="19">
        <f t="shared" si="313"/>
        <v>0</v>
      </c>
      <c r="GC134" s="19">
        <f t="shared" si="314"/>
        <v>0</v>
      </c>
      <c r="GD134" s="19">
        <f t="shared" si="315"/>
        <v>0</v>
      </c>
      <c r="GE134" s="19">
        <f t="shared" si="316"/>
        <v>0</v>
      </c>
      <c r="GF134" s="19">
        <f t="shared" si="317"/>
        <v>0</v>
      </c>
      <c r="GG134" s="19">
        <f t="shared" si="318"/>
        <v>0</v>
      </c>
      <c r="GH134" s="19">
        <f t="shared" si="319"/>
        <v>0</v>
      </c>
      <c r="GI134" s="19">
        <f t="shared" si="320"/>
        <v>0</v>
      </c>
      <c r="GJ134" s="19">
        <f t="shared" si="321"/>
        <v>0</v>
      </c>
      <c r="GK134" s="19">
        <f t="shared" si="322"/>
        <v>0</v>
      </c>
      <c r="GL134" s="19">
        <f t="shared" si="323"/>
        <v>0</v>
      </c>
      <c r="GM134" s="19">
        <f t="shared" si="324"/>
        <v>0</v>
      </c>
      <c r="GN134" s="19">
        <f t="shared" si="325"/>
        <v>0.75</v>
      </c>
      <c r="GO134" s="19">
        <f t="shared" si="326"/>
        <v>0.8</v>
      </c>
      <c r="GP134" s="19">
        <f t="shared" si="327"/>
        <v>0</v>
      </c>
      <c r="GQ134" s="19">
        <f t="shared" si="328"/>
        <v>0</v>
      </c>
      <c r="GR134" s="19">
        <f t="shared" si="329"/>
        <v>0</v>
      </c>
      <c r="GS134" s="19">
        <f t="shared" si="330"/>
        <v>0</v>
      </c>
      <c r="GT134" s="19">
        <f t="shared" si="331"/>
        <v>0</v>
      </c>
      <c r="GU134" s="19">
        <f t="shared" si="332"/>
        <v>0</v>
      </c>
      <c r="GV134" s="19">
        <f t="shared" si="333"/>
        <v>0</v>
      </c>
      <c r="GW134" s="19">
        <f t="shared" si="334"/>
        <v>0.19500000000000001</v>
      </c>
      <c r="GX134" s="19">
        <f t="shared" si="335"/>
        <v>0</v>
      </c>
      <c r="GY134" s="19">
        <f t="shared" si="336"/>
        <v>0</v>
      </c>
      <c r="GZ134" s="19">
        <f t="shared" si="337"/>
        <v>0</v>
      </c>
      <c r="HA134" s="19">
        <f t="shared" si="338"/>
        <v>0</v>
      </c>
      <c r="HB134" s="19">
        <f t="shared" si="339"/>
        <v>0</v>
      </c>
      <c r="HC134" s="19">
        <f t="shared" si="340"/>
        <v>7.4999999999999997E-3</v>
      </c>
      <c r="HD134" s="19">
        <f t="shared" si="341"/>
        <v>0</v>
      </c>
      <c r="HE134" s="19">
        <f t="shared" si="342"/>
        <v>0</v>
      </c>
      <c r="HF134" s="19">
        <f t="shared" si="343"/>
        <v>0</v>
      </c>
      <c r="HG134" s="19">
        <f t="shared" si="344"/>
        <v>1.95</v>
      </c>
      <c r="HH134" s="19">
        <f t="shared" si="345"/>
        <v>0</v>
      </c>
      <c r="HI134" s="19">
        <f t="shared" si="346"/>
        <v>0</v>
      </c>
      <c r="HJ134" s="19">
        <f t="shared" si="347"/>
        <v>0</v>
      </c>
      <c r="HK134" s="19">
        <f t="shared" si="348"/>
        <v>0</v>
      </c>
      <c r="HL134" s="19">
        <f t="shared" si="349"/>
        <v>0.03</v>
      </c>
      <c r="HM134" s="20">
        <f t="shared" si="350"/>
        <v>5</v>
      </c>
      <c r="HN134" s="53">
        <v>580</v>
      </c>
      <c r="HO134" s="21">
        <f t="shared" si="351"/>
        <v>0</v>
      </c>
      <c r="HP134" s="21">
        <f t="shared" si="352"/>
        <v>0</v>
      </c>
      <c r="HQ134" s="21">
        <f t="shared" si="353"/>
        <v>0</v>
      </c>
      <c r="HR134" s="21">
        <f t="shared" si="354"/>
        <v>147.03000000000003</v>
      </c>
      <c r="HS134" s="21">
        <f t="shared" si="355"/>
        <v>0</v>
      </c>
      <c r="HT134" s="69">
        <f t="shared" si="356"/>
        <v>0</v>
      </c>
      <c r="HU134" s="21">
        <f t="shared" si="357"/>
        <v>0</v>
      </c>
      <c r="HV134" s="21">
        <f t="shared" si="358"/>
        <v>0</v>
      </c>
      <c r="HW134" s="21">
        <f t="shared" si="359"/>
        <v>0</v>
      </c>
      <c r="HX134" s="21">
        <f t="shared" si="360"/>
        <v>0</v>
      </c>
      <c r="HY134" s="21">
        <f t="shared" si="361"/>
        <v>0</v>
      </c>
      <c r="HZ134" s="21">
        <f t="shared" si="362"/>
        <v>0</v>
      </c>
      <c r="IA134" s="21">
        <f t="shared" si="363"/>
        <v>0</v>
      </c>
      <c r="IB134" s="21">
        <f t="shared" si="364"/>
        <v>0</v>
      </c>
      <c r="IC134" s="21">
        <f t="shared" si="365"/>
        <v>0</v>
      </c>
      <c r="ID134" s="21">
        <f t="shared" si="366"/>
        <v>0</v>
      </c>
      <c r="IE134" s="21">
        <f t="shared" si="367"/>
        <v>0</v>
      </c>
      <c r="IF134" s="69">
        <f t="shared" si="368"/>
        <v>0</v>
      </c>
      <c r="IG134" s="69">
        <f t="shared" si="369"/>
        <v>0</v>
      </c>
      <c r="IH134" s="69">
        <f t="shared" si="370"/>
        <v>0</v>
      </c>
      <c r="II134" s="21">
        <f t="shared" si="371"/>
        <v>0</v>
      </c>
      <c r="IJ134" s="21">
        <f t="shared" si="372"/>
        <v>0</v>
      </c>
      <c r="IK134" s="21">
        <f t="shared" si="373"/>
        <v>0</v>
      </c>
      <c r="IL134" s="21">
        <f t="shared" si="374"/>
        <v>0</v>
      </c>
      <c r="IM134" s="21">
        <f t="shared" si="375"/>
        <v>0</v>
      </c>
      <c r="IN134" s="21">
        <f t="shared" si="376"/>
        <v>0</v>
      </c>
      <c r="IO134" s="21">
        <f t="shared" si="377"/>
        <v>0</v>
      </c>
      <c r="IP134" s="21">
        <f t="shared" si="378"/>
        <v>87</v>
      </c>
      <c r="IQ134" s="21">
        <f t="shared" si="379"/>
        <v>92.8</v>
      </c>
      <c r="IR134" s="21">
        <f t="shared" si="380"/>
        <v>0</v>
      </c>
      <c r="IS134" s="21">
        <f t="shared" si="381"/>
        <v>0</v>
      </c>
      <c r="IT134" s="21">
        <f t="shared" si="382"/>
        <v>0</v>
      </c>
      <c r="IU134" s="21">
        <f t="shared" si="383"/>
        <v>0</v>
      </c>
      <c r="IV134" s="21">
        <f t="shared" si="384"/>
        <v>0</v>
      </c>
      <c r="IW134" s="21">
        <f t="shared" si="385"/>
        <v>0</v>
      </c>
      <c r="IX134" s="21">
        <f t="shared" si="386"/>
        <v>0</v>
      </c>
      <c r="IY134" s="21">
        <f t="shared" si="387"/>
        <v>22.62</v>
      </c>
      <c r="IZ134" s="21">
        <f t="shared" si="388"/>
        <v>0</v>
      </c>
      <c r="JA134" s="21">
        <f t="shared" si="389"/>
        <v>0</v>
      </c>
      <c r="JB134" s="21">
        <f t="shared" si="390"/>
        <v>0</v>
      </c>
      <c r="JC134" s="21">
        <f t="shared" si="391"/>
        <v>0</v>
      </c>
      <c r="JD134" s="21">
        <f t="shared" si="392"/>
        <v>0</v>
      </c>
      <c r="JE134" s="21">
        <f t="shared" si="393"/>
        <v>0.86999999999999988</v>
      </c>
      <c r="JF134" s="21">
        <f t="shared" si="394"/>
        <v>0</v>
      </c>
      <c r="JG134" s="21">
        <f t="shared" si="395"/>
        <v>0</v>
      </c>
      <c r="JH134" s="21">
        <f t="shared" si="396"/>
        <v>0</v>
      </c>
      <c r="JI134" s="21">
        <f t="shared" si="397"/>
        <v>226.2</v>
      </c>
      <c r="JJ134" s="21">
        <f t="shared" si="398"/>
        <v>0</v>
      </c>
      <c r="JK134" s="21">
        <f t="shared" si="399"/>
        <v>0</v>
      </c>
      <c r="JL134" s="21">
        <f t="shared" si="400"/>
        <v>0</v>
      </c>
      <c r="JM134" s="21">
        <f t="shared" si="401"/>
        <v>0</v>
      </c>
      <c r="JN134" s="21">
        <f t="shared" si="402"/>
        <v>3.4799999999999995</v>
      </c>
      <c r="JO134" s="35">
        <f t="shared" si="486"/>
        <v>580</v>
      </c>
      <c r="JP134" s="38">
        <f t="shared" si="487"/>
        <v>0</v>
      </c>
      <c r="JQ134" s="43">
        <f t="shared" si="405"/>
        <v>0</v>
      </c>
      <c r="JR134" s="43">
        <f t="shared" si="406"/>
        <v>0</v>
      </c>
      <c r="JS134" s="43">
        <f t="shared" si="407"/>
        <v>0</v>
      </c>
      <c r="JT134" s="43">
        <f t="shared" si="408"/>
        <v>632.36426760000018</v>
      </c>
      <c r="JU134" s="43">
        <f t="shared" si="409"/>
        <v>0</v>
      </c>
      <c r="JV134" s="43">
        <f t="shared" si="410"/>
        <v>0</v>
      </c>
      <c r="JW134" s="43">
        <f t="shared" si="411"/>
        <v>0</v>
      </c>
      <c r="JX134" s="43">
        <f t="shared" si="412"/>
        <v>0</v>
      </c>
      <c r="JY134" s="43">
        <f t="shared" si="413"/>
        <v>0</v>
      </c>
      <c r="JZ134" s="43">
        <f t="shared" si="414"/>
        <v>0</v>
      </c>
      <c r="KA134" s="43">
        <f t="shared" si="415"/>
        <v>0</v>
      </c>
      <c r="KB134" s="43">
        <f t="shared" si="416"/>
        <v>0</v>
      </c>
      <c r="KC134" s="43">
        <f t="shared" si="417"/>
        <v>0</v>
      </c>
      <c r="KD134" s="43">
        <f t="shared" si="418"/>
        <v>0</v>
      </c>
      <c r="KE134" s="43">
        <f t="shared" si="419"/>
        <v>0</v>
      </c>
      <c r="KF134" s="43">
        <f t="shared" si="420"/>
        <v>0</v>
      </c>
      <c r="KG134" s="43">
        <f t="shared" si="421"/>
        <v>0</v>
      </c>
      <c r="KH134" s="43">
        <f t="shared" si="422"/>
        <v>0</v>
      </c>
      <c r="KI134" s="43">
        <f t="shared" si="423"/>
        <v>0</v>
      </c>
      <c r="KJ134" s="43">
        <f t="shared" si="424"/>
        <v>0</v>
      </c>
      <c r="KK134" s="43">
        <f t="shared" si="425"/>
        <v>0</v>
      </c>
      <c r="KL134" s="43">
        <f t="shared" si="426"/>
        <v>0</v>
      </c>
      <c r="KM134" s="43">
        <f t="shared" si="427"/>
        <v>0</v>
      </c>
      <c r="KN134" s="43">
        <f t="shared" si="428"/>
        <v>0</v>
      </c>
      <c r="KO134" s="43">
        <f t="shared" si="429"/>
        <v>0</v>
      </c>
      <c r="KP134" s="43">
        <f t="shared" si="430"/>
        <v>0</v>
      </c>
      <c r="KQ134" s="43">
        <f t="shared" si="431"/>
        <v>0</v>
      </c>
      <c r="KR134" s="43">
        <f t="shared" si="432"/>
        <v>335.82</v>
      </c>
      <c r="KS134" s="43">
        <f t="shared" si="433"/>
        <v>317.31391586262623</v>
      </c>
      <c r="KT134" s="43">
        <f t="shared" si="434"/>
        <v>0</v>
      </c>
      <c r="KU134" s="43">
        <f t="shared" si="435"/>
        <v>0</v>
      </c>
      <c r="KV134" s="43">
        <f t="shared" si="436"/>
        <v>0</v>
      </c>
      <c r="KW134" s="43">
        <f t="shared" si="437"/>
        <v>0</v>
      </c>
      <c r="KX134" s="43">
        <f t="shared" si="438"/>
        <v>0</v>
      </c>
      <c r="KY134" s="43">
        <f t="shared" si="439"/>
        <v>0</v>
      </c>
      <c r="KZ134" s="43">
        <f t="shared" si="440"/>
        <v>0</v>
      </c>
      <c r="LA134" s="43">
        <f t="shared" si="441"/>
        <v>90.634720799999997</v>
      </c>
      <c r="LB134" s="43">
        <f t="shared" si="442"/>
        <v>0</v>
      </c>
      <c r="LC134" s="43">
        <f t="shared" si="443"/>
        <v>0</v>
      </c>
      <c r="LD134" s="43">
        <f t="shared" si="444"/>
        <v>0</v>
      </c>
      <c r="LE134" s="43">
        <f t="shared" si="445"/>
        <v>0</v>
      </c>
      <c r="LF134" s="43">
        <f t="shared" si="446"/>
        <v>0</v>
      </c>
      <c r="LG134" s="43">
        <f t="shared" si="447"/>
        <v>8.9783999999999988</v>
      </c>
      <c r="LH134" s="43">
        <f t="shared" si="448"/>
        <v>0</v>
      </c>
      <c r="LI134" s="43">
        <f t="shared" si="449"/>
        <v>0</v>
      </c>
      <c r="LJ134" s="43">
        <f t="shared" si="450"/>
        <v>0</v>
      </c>
      <c r="LK134" s="43">
        <f t="shared" si="451"/>
        <v>906.10064999999997</v>
      </c>
      <c r="LL134" s="43">
        <f t="shared" si="452"/>
        <v>0</v>
      </c>
      <c r="LM134" s="43">
        <f t="shared" si="453"/>
        <v>0</v>
      </c>
      <c r="LN134" s="43">
        <f t="shared" si="454"/>
        <v>0</v>
      </c>
      <c r="LO134" s="43">
        <f t="shared" si="455"/>
        <v>0</v>
      </c>
      <c r="LP134" s="43">
        <f t="shared" si="456"/>
        <v>29.405999999999995</v>
      </c>
      <c r="LQ134" s="28">
        <f t="shared" si="488"/>
        <v>2320.6179542626264</v>
      </c>
      <c r="LR134" s="65">
        <v>530</v>
      </c>
      <c r="LS134" s="32">
        <f t="shared" si="495"/>
        <v>4.3785244420049558</v>
      </c>
      <c r="LT134" s="26">
        <f t="shared" si="496"/>
        <v>1.1963181535532665</v>
      </c>
      <c r="LU134" s="31">
        <f t="shared" si="489"/>
        <v>50</v>
      </c>
      <c r="LW134" s="42"/>
      <c r="MA134" s="32">
        <f t="shared" si="490"/>
        <v>4.0010654383838391</v>
      </c>
      <c r="MB134" s="26">
        <f t="shared" si="497"/>
        <v>1.0931872782469505</v>
      </c>
    </row>
    <row r="135" spans="1:340" ht="15.75" thickBot="1">
      <c r="A135" t="b">
        <f t="shared" si="484"/>
        <v>1</v>
      </c>
      <c r="B135" s="123" t="s">
        <v>317</v>
      </c>
      <c r="C135" s="39" t="s">
        <v>279</v>
      </c>
      <c r="D135"/>
      <c r="E135" s="97">
        <v>46047</v>
      </c>
      <c r="F135" t="s">
        <v>43</v>
      </c>
      <c r="G135" t="s">
        <v>20</v>
      </c>
      <c r="H135" t="s">
        <v>27</v>
      </c>
      <c r="I135" s="77"/>
      <c r="J135" s="77"/>
      <c r="K135" s="77"/>
      <c r="L135" s="22"/>
      <c r="M135" s="22"/>
      <c r="N135" s="98"/>
      <c r="O135" s="22"/>
      <c r="P135" s="22"/>
      <c r="Q135" s="22"/>
      <c r="R135" s="22"/>
      <c r="S135" s="104"/>
      <c r="T135" s="22"/>
      <c r="U135" s="22"/>
      <c r="V135" s="104"/>
      <c r="W135" s="22"/>
      <c r="X135" s="22"/>
      <c r="Y135" s="22"/>
      <c r="Z135" s="104"/>
      <c r="AA135" s="104"/>
      <c r="AB135" s="104"/>
      <c r="AC135" s="22"/>
      <c r="AD135" s="22"/>
      <c r="AE135" s="22"/>
      <c r="AF135" s="124"/>
      <c r="AG135" s="124"/>
      <c r="AH135" s="22"/>
      <c r="AI135" s="104"/>
      <c r="AJ135" s="22">
        <v>0.5</v>
      </c>
      <c r="AK135" s="22"/>
      <c r="AL135" s="22"/>
      <c r="AM135" s="22"/>
      <c r="AN135" s="22"/>
      <c r="AO135" s="104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98"/>
      <c r="BB135" s="98"/>
      <c r="BC135" s="124">
        <v>0.5</v>
      </c>
      <c r="BD135" s="124"/>
      <c r="BE135" s="104"/>
      <c r="BF135" s="22"/>
      <c r="BG135" s="22"/>
      <c r="BH135" s="22"/>
      <c r="BI135" s="78">
        <f t="shared" si="504"/>
        <v>1</v>
      </c>
      <c r="BJ135" s="23"/>
      <c r="BK135" s="23"/>
      <c r="BL135" s="23"/>
      <c r="BM135" s="23"/>
      <c r="BN135" s="23"/>
      <c r="BO135" s="99"/>
      <c r="BP135" s="23"/>
      <c r="BQ135" s="23"/>
      <c r="BR135" s="23"/>
      <c r="BS135" s="23"/>
      <c r="BT135" s="105"/>
      <c r="BU135" s="23"/>
      <c r="BV135" s="23"/>
      <c r="BW135" s="105"/>
      <c r="BX135" s="23"/>
      <c r="BY135" s="23"/>
      <c r="BZ135" s="23"/>
      <c r="CA135" s="105"/>
      <c r="CB135" s="105"/>
      <c r="CC135" s="105"/>
      <c r="CD135" s="23"/>
      <c r="CE135" s="23"/>
      <c r="CF135" s="71"/>
      <c r="CG135" s="128"/>
      <c r="CH135" s="128"/>
      <c r="CI135" s="23"/>
      <c r="CJ135" s="23"/>
      <c r="CK135" s="23"/>
      <c r="CL135" s="23">
        <v>0.4</v>
      </c>
      <c r="CM135" s="23"/>
      <c r="CN135" s="23"/>
      <c r="CO135" s="23"/>
      <c r="CP135" s="105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3"/>
      <c r="DB135" s="99"/>
      <c r="DC135" s="99"/>
      <c r="DD135" s="125">
        <v>0.6</v>
      </c>
      <c r="DE135" s="125"/>
      <c r="DF135" s="105"/>
      <c r="DG135" s="23"/>
      <c r="DH135" s="23"/>
      <c r="DI135" s="23"/>
      <c r="DJ135" s="79">
        <f t="shared" si="485"/>
        <v>1</v>
      </c>
      <c r="DK135" s="24"/>
      <c r="DL135" s="24"/>
      <c r="DM135" s="24"/>
      <c r="DN135" s="24">
        <v>0.84499999999999997</v>
      </c>
      <c r="DO135" s="24"/>
      <c r="DP135" s="103"/>
      <c r="DQ135" s="24"/>
      <c r="DR135" s="24"/>
      <c r="DS135" s="24"/>
      <c r="DT135" s="24"/>
      <c r="DU135" s="108"/>
      <c r="DV135" s="24"/>
      <c r="DW135" s="24"/>
      <c r="DX135" s="108"/>
      <c r="DY135" s="24"/>
      <c r="DZ135" s="24"/>
      <c r="EA135" s="24"/>
      <c r="EB135" s="108"/>
      <c r="EC135" s="108"/>
      <c r="ED135" s="108"/>
      <c r="EE135" s="24"/>
      <c r="EF135" s="24"/>
      <c r="EG135" s="24"/>
      <c r="EH135" s="129"/>
      <c r="EI135" s="129"/>
      <c r="EJ135" s="24"/>
      <c r="EK135" s="24"/>
      <c r="EL135" s="24"/>
      <c r="EM135" s="24"/>
      <c r="EN135" s="24"/>
      <c r="EO135" s="24"/>
      <c r="EP135" s="24"/>
      <c r="EQ135" s="108"/>
      <c r="ER135" s="24"/>
      <c r="ES135" s="25"/>
      <c r="ET135" s="25"/>
      <c r="EU135" s="25">
        <v>0.13</v>
      </c>
      <c r="EV135" s="25"/>
      <c r="EW135" s="25"/>
      <c r="EX135" s="25"/>
      <c r="EY135" s="25"/>
      <c r="EZ135" s="25"/>
      <c r="FA135" s="25">
        <v>5.0000000000000001E-3</v>
      </c>
      <c r="FB135" s="25"/>
      <c r="FC135" s="100"/>
      <c r="FD135" s="100"/>
      <c r="FE135" s="126"/>
      <c r="FF135" s="126"/>
      <c r="FG135" s="106"/>
      <c r="FH135" s="25"/>
      <c r="FI135" s="25"/>
      <c r="FJ135" s="25">
        <v>0.02</v>
      </c>
      <c r="FK135" s="17">
        <f t="shared" si="494"/>
        <v>1</v>
      </c>
      <c r="FL135" s="18"/>
      <c r="FM135" s="19">
        <f t="shared" si="298"/>
        <v>0</v>
      </c>
      <c r="FN135" s="19">
        <f t="shared" si="299"/>
        <v>0</v>
      </c>
      <c r="FO135" s="19">
        <f t="shared" si="300"/>
        <v>0</v>
      </c>
      <c r="FP135" s="19">
        <f t="shared" si="301"/>
        <v>1.2675000000000001</v>
      </c>
      <c r="FQ135" s="19">
        <f t="shared" si="302"/>
        <v>0</v>
      </c>
      <c r="FR135" s="19">
        <f t="shared" si="303"/>
        <v>0</v>
      </c>
      <c r="FS135" s="19">
        <f t="shared" si="304"/>
        <v>0</v>
      </c>
      <c r="FT135" s="19">
        <f t="shared" si="305"/>
        <v>0</v>
      </c>
      <c r="FU135" s="19">
        <f t="shared" si="306"/>
        <v>0</v>
      </c>
      <c r="FV135" s="19">
        <f t="shared" si="307"/>
        <v>0</v>
      </c>
      <c r="FW135" s="19">
        <f t="shared" si="308"/>
        <v>0</v>
      </c>
      <c r="FX135" s="19">
        <f t="shared" si="309"/>
        <v>0</v>
      </c>
      <c r="FY135" s="19">
        <f t="shared" si="310"/>
        <v>0</v>
      </c>
      <c r="FZ135" s="19">
        <f t="shared" si="311"/>
        <v>0</v>
      </c>
      <c r="GA135" s="19">
        <f t="shared" si="312"/>
        <v>0</v>
      </c>
      <c r="GB135" s="19">
        <f t="shared" si="313"/>
        <v>0</v>
      </c>
      <c r="GC135" s="19">
        <f t="shared" si="314"/>
        <v>0</v>
      </c>
      <c r="GD135" s="19">
        <f t="shared" si="315"/>
        <v>0</v>
      </c>
      <c r="GE135" s="19">
        <f t="shared" si="316"/>
        <v>0</v>
      </c>
      <c r="GF135" s="19">
        <f t="shared" si="317"/>
        <v>0</v>
      </c>
      <c r="GG135" s="19">
        <f t="shared" si="318"/>
        <v>0</v>
      </c>
      <c r="GH135" s="19">
        <f t="shared" si="319"/>
        <v>0</v>
      </c>
      <c r="GI135" s="19">
        <f t="shared" si="320"/>
        <v>0</v>
      </c>
      <c r="GJ135" s="19">
        <f t="shared" si="321"/>
        <v>0</v>
      </c>
      <c r="GK135" s="19">
        <f t="shared" si="322"/>
        <v>0</v>
      </c>
      <c r="GL135" s="19">
        <f t="shared" si="323"/>
        <v>0</v>
      </c>
      <c r="GM135" s="19">
        <f t="shared" si="324"/>
        <v>0</v>
      </c>
      <c r="GN135" s="19">
        <f t="shared" si="325"/>
        <v>0.75</v>
      </c>
      <c r="GO135" s="19">
        <f t="shared" si="326"/>
        <v>0.8</v>
      </c>
      <c r="GP135" s="19">
        <f t="shared" si="327"/>
        <v>0</v>
      </c>
      <c r="GQ135" s="19">
        <f t="shared" si="328"/>
        <v>0</v>
      </c>
      <c r="GR135" s="19">
        <f t="shared" si="329"/>
        <v>0</v>
      </c>
      <c r="GS135" s="19">
        <f t="shared" si="330"/>
        <v>0</v>
      </c>
      <c r="GT135" s="19">
        <f t="shared" si="331"/>
        <v>0</v>
      </c>
      <c r="GU135" s="19">
        <f t="shared" si="332"/>
        <v>0</v>
      </c>
      <c r="GV135" s="19">
        <f t="shared" si="333"/>
        <v>0</v>
      </c>
      <c r="GW135" s="19">
        <f t="shared" si="334"/>
        <v>0.19500000000000001</v>
      </c>
      <c r="GX135" s="19">
        <f t="shared" si="335"/>
        <v>0</v>
      </c>
      <c r="GY135" s="19">
        <f t="shared" si="336"/>
        <v>0</v>
      </c>
      <c r="GZ135" s="19">
        <f t="shared" si="337"/>
        <v>0</v>
      </c>
      <c r="HA135" s="19">
        <f t="shared" si="338"/>
        <v>0</v>
      </c>
      <c r="HB135" s="19">
        <f t="shared" si="339"/>
        <v>0</v>
      </c>
      <c r="HC135" s="19">
        <f t="shared" si="340"/>
        <v>7.4999999999999997E-3</v>
      </c>
      <c r="HD135" s="19">
        <f t="shared" si="341"/>
        <v>0</v>
      </c>
      <c r="HE135" s="19">
        <f t="shared" si="342"/>
        <v>0</v>
      </c>
      <c r="HF135" s="19">
        <f t="shared" si="343"/>
        <v>0</v>
      </c>
      <c r="HG135" s="19">
        <f t="shared" si="344"/>
        <v>1.95</v>
      </c>
      <c r="HH135" s="19">
        <f t="shared" si="345"/>
        <v>0</v>
      </c>
      <c r="HI135" s="19">
        <f t="shared" si="346"/>
        <v>0</v>
      </c>
      <c r="HJ135" s="19">
        <f t="shared" si="347"/>
        <v>0</v>
      </c>
      <c r="HK135" s="19">
        <f t="shared" si="348"/>
        <v>0</v>
      </c>
      <c r="HL135" s="19">
        <f t="shared" si="349"/>
        <v>0.03</v>
      </c>
      <c r="HM135" s="20">
        <f t="shared" si="350"/>
        <v>5</v>
      </c>
      <c r="HN135" s="53">
        <v>503</v>
      </c>
      <c r="HO135" s="21">
        <f t="shared" si="351"/>
        <v>0</v>
      </c>
      <c r="HP135" s="21">
        <f t="shared" si="352"/>
        <v>0</v>
      </c>
      <c r="HQ135" s="21">
        <f t="shared" si="353"/>
        <v>0</v>
      </c>
      <c r="HR135" s="21">
        <f t="shared" si="354"/>
        <v>127.51050000000001</v>
      </c>
      <c r="HS135" s="21">
        <f t="shared" si="355"/>
        <v>0</v>
      </c>
      <c r="HT135" s="69">
        <f t="shared" si="356"/>
        <v>0</v>
      </c>
      <c r="HU135" s="21">
        <f t="shared" si="357"/>
        <v>0</v>
      </c>
      <c r="HV135" s="21">
        <f t="shared" si="358"/>
        <v>0</v>
      </c>
      <c r="HW135" s="21">
        <f t="shared" si="359"/>
        <v>0</v>
      </c>
      <c r="HX135" s="21">
        <f t="shared" si="360"/>
        <v>0</v>
      </c>
      <c r="HY135" s="21">
        <f t="shared" si="361"/>
        <v>0</v>
      </c>
      <c r="HZ135" s="21">
        <f t="shared" si="362"/>
        <v>0</v>
      </c>
      <c r="IA135" s="21">
        <f t="shared" si="363"/>
        <v>0</v>
      </c>
      <c r="IB135" s="21">
        <f t="shared" si="364"/>
        <v>0</v>
      </c>
      <c r="IC135" s="21">
        <f t="shared" si="365"/>
        <v>0</v>
      </c>
      <c r="ID135" s="21">
        <f t="shared" si="366"/>
        <v>0</v>
      </c>
      <c r="IE135" s="21">
        <f t="shared" si="367"/>
        <v>0</v>
      </c>
      <c r="IF135" s="69">
        <f t="shared" si="368"/>
        <v>0</v>
      </c>
      <c r="IG135" s="69">
        <f t="shared" si="369"/>
        <v>0</v>
      </c>
      <c r="IH135" s="69">
        <f t="shared" si="370"/>
        <v>0</v>
      </c>
      <c r="II135" s="21">
        <f t="shared" si="371"/>
        <v>0</v>
      </c>
      <c r="IJ135" s="21">
        <f t="shared" si="372"/>
        <v>0</v>
      </c>
      <c r="IK135" s="21">
        <f t="shared" si="373"/>
        <v>0</v>
      </c>
      <c r="IL135" s="21">
        <f t="shared" si="374"/>
        <v>0</v>
      </c>
      <c r="IM135" s="21">
        <f t="shared" si="375"/>
        <v>0</v>
      </c>
      <c r="IN135" s="21">
        <f t="shared" si="376"/>
        <v>0</v>
      </c>
      <c r="IO135" s="21">
        <f t="shared" si="377"/>
        <v>0</v>
      </c>
      <c r="IP135" s="21">
        <f t="shared" si="378"/>
        <v>75.45</v>
      </c>
      <c r="IQ135" s="21">
        <f t="shared" si="379"/>
        <v>80.48</v>
      </c>
      <c r="IR135" s="21">
        <f t="shared" si="380"/>
        <v>0</v>
      </c>
      <c r="IS135" s="21">
        <f t="shared" si="381"/>
        <v>0</v>
      </c>
      <c r="IT135" s="21">
        <f t="shared" si="382"/>
        <v>0</v>
      </c>
      <c r="IU135" s="21">
        <f t="shared" si="383"/>
        <v>0</v>
      </c>
      <c r="IV135" s="21">
        <f t="shared" si="384"/>
        <v>0</v>
      </c>
      <c r="IW135" s="21">
        <f t="shared" si="385"/>
        <v>0</v>
      </c>
      <c r="IX135" s="21">
        <f t="shared" si="386"/>
        <v>0</v>
      </c>
      <c r="IY135" s="21">
        <f t="shared" si="387"/>
        <v>19.617000000000001</v>
      </c>
      <c r="IZ135" s="21">
        <f t="shared" si="388"/>
        <v>0</v>
      </c>
      <c r="JA135" s="21">
        <f t="shared" si="389"/>
        <v>0</v>
      </c>
      <c r="JB135" s="21">
        <f t="shared" si="390"/>
        <v>0</v>
      </c>
      <c r="JC135" s="21">
        <f t="shared" si="391"/>
        <v>0</v>
      </c>
      <c r="JD135" s="21">
        <f t="shared" si="392"/>
        <v>0</v>
      </c>
      <c r="JE135" s="21">
        <f t="shared" si="393"/>
        <v>0.75449999999999995</v>
      </c>
      <c r="JF135" s="21">
        <f t="shared" si="394"/>
        <v>0</v>
      </c>
      <c r="JG135" s="21">
        <f t="shared" si="395"/>
        <v>0</v>
      </c>
      <c r="JH135" s="21">
        <f t="shared" si="396"/>
        <v>0</v>
      </c>
      <c r="JI135" s="21">
        <f t="shared" si="397"/>
        <v>196.17000000000002</v>
      </c>
      <c r="JJ135" s="21">
        <f t="shared" si="398"/>
        <v>0</v>
      </c>
      <c r="JK135" s="21">
        <f t="shared" si="399"/>
        <v>0</v>
      </c>
      <c r="JL135" s="21">
        <f t="shared" si="400"/>
        <v>0</v>
      </c>
      <c r="JM135" s="21">
        <f t="shared" si="401"/>
        <v>0</v>
      </c>
      <c r="JN135" s="21">
        <f t="shared" si="402"/>
        <v>3.0179999999999998</v>
      </c>
      <c r="JO135" s="35">
        <f t="shared" si="486"/>
        <v>503.00000000000006</v>
      </c>
      <c r="JP135" s="38">
        <f t="shared" si="487"/>
        <v>0</v>
      </c>
      <c r="JQ135" s="43">
        <f t="shared" si="405"/>
        <v>0</v>
      </c>
      <c r="JR135" s="43">
        <f t="shared" si="406"/>
        <v>0</v>
      </c>
      <c r="JS135" s="43">
        <f t="shared" si="407"/>
        <v>0</v>
      </c>
      <c r="JT135" s="43">
        <f t="shared" si="408"/>
        <v>548.41245966000008</v>
      </c>
      <c r="JU135" s="43">
        <f t="shared" si="409"/>
        <v>0</v>
      </c>
      <c r="JV135" s="43">
        <f t="shared" si="410"/>
        <v>0</v>
      </c>
      <c r="JW135" s="43">
        <f t="shared" si="411"/>
        <v>0</v>
      </c>
      <c r="JX135" s="43">
        <f t="shared" si="412"/>
        <v>0</v>
      </c>
      <c r="JY135" s="43">
        <f t="shared" si="413"/>
        <v>0</v>
      </c>
      <c r="JZ135" s="43">
        <f t="shared" si="414"/>
        <v>0</v>
      </c>
      <c r="KA135" s="43">
        <f t="shared" si="415"/>
        <v>0</v>
      </c>
      <c r="KB135" s="43">
        <f t="shared" si="416"/>
        <v>0</v>
      </c>
      <c r="KC135" s="43">
        <f t="shared" si="417"/>
        <v>0</v>
      </c>
      <c r="KD135" s="43">
        <f t="shared" si="418"/>
        <v>0</v>
      </c>
      <c r="KE135" s="43">
        <f t="shared" si="419"/>
        <v>0</v>
      </c>
      <c r="KF135" s="43">
        <f t="shared" si="420"/>
        <v>0</v>
      </c>
      <c r="KG135" s="43">
        <f t="shared" si="421"/>
        <v>0</v>
      </c>
      <c r="KH135" s="43">
        <f t="shared" si="422"/>
        <v>0</v>
      </c>
      <c r="KI135" s="43">
        <f t="shared" si="423"/>
        <v>0</v>
      </c>
      <c r="KJ135" s="43">
        <f t="shared" si="424"/>
        <v>0</v>
      </c>
      <c r="KK135" s="43">
        <f t="shared" si="425"/>
        <v>0</v>
      </c>
      <c r="KL135" s="43">
        <f t="shared" si="426"/>
        <v>0</v>
      </c>
      <c r="KM135" s="43">
        <f t="shared" si="427"/>
        <v>0</v>
      </c>
      <c r="KN135" s="43">
        <f t="shared" si="428"/>
        <v>0</v>
      </c>
      <c r="KO135" s="43">
        <f t="shared" si="429"/>
        <v>0</v>
      </c>
      <c r="KP135" s="43">
        <f t="shared" si="430"/>
        <v>0</v>
      </c>
      <c r="KQ135" s="43">
        <f t="shared" si="431"/>
        <v>0</v>
      </c>
      <c r="KR135" s="43">
        <f t="shared" si="432"/>
        <v>291.23700000000002</v>
      </c>
      <c r="KS135" s="43">
        <f t="shared" si="433"/>
        <v>275.18775806707072</v>
      </c>
      <c r="KT135" s="43">
        <f t="shared" si="434"/>
        <v>0</v>
      </c>
      <c r="KU135" s="43">
        <f t="shared" si="435"/>
        <v>0</v>
      </c>
      <c r="KV135" s="43">
        <f t="shared" si="436"/>
        <v>0</v>
      </c>
      <c r="KW135" s="43">
        <f t="shared" si="437"/>
        <v>0</v>
      </c>
      <c r="KX135" s="43">
        <f t="shared" si="438"/>
        <v>0</v>
      </c>
      <c r="KY135" s="43">
        <f t="shared" si="439"/>
        <v>0</v>
      </c>
      <c r="KZ135" s="43">
        <f t="shared" si="440"/>
        <v>0</v>
      </c>
      <c r="LA135" s="43">
        <f t="shared" si="441"/>
        <v>78.602180279999999</v>
      </c>
      <c r="LB135" s="43">
        <f t="shared" si="442"/>
        <v>0</v>
      </c>
      <c r="LC135" s="43">
        <f t="shared" si="443"/>
        <v>0</v>
      </c>
      <c r="LD135" s="43">
        <f t="shared" si="444"/>
        <v>0</v>
      </c>
      <c r="LE135" s="43">
        <f t="shared" si="445"/>
        <v>0</v>
      </c>
      <c r="LF135" s="43">
        <f t="shared" si="446"/>
        <v>0</v>
      </c>
      <c r="LG135" s="43">
        <f t="shared" si="447"/>
        <v>7.7864399999999998</v>
      </c>
      <c r="LH135" s="43">
        <f t="shared" si="448"/>
        <v>0</v>
      </c>
      <c r="LI135" s="43">
        <f t="shared" si="449"/>
        <v>0</v>
      </c>
      <c r="LJ135" s="43">
        <f t="shared" si="450"/>
        <v>0</v>
      </c>
      <c r="LK135" s="43">
        <f t="shared" si="451"/>
        <v>785.80797749999999</v>
      </c>
      <c r="LL135" s="43">
        <f t="shared" si="452"/>
        <v>0</v>
      </c>
      <c r="LM135" s="43">
        <f t="shared" si="453"/>
        <v>0</v>
      </c>
      <c r="LN135" s="43">
        <f t="shared" si="454"/>
        <v>0</v>
      </c>
      <c r="LO135" s="43">
        <f t="shared" si="455"/>
        <v>0</v>
      </c>
      <c r="LP135" s="43">
        <f t="shared" si="456"/>
        <v>25.502099999999995</v>
      </c>
      <c r="LQ135" s="28">
        <f t="shared" si="488"/>
        <v>2012.5359155070707</v>
      </c>
      <c r="LR135" s="65">
        <v>488</v>
      </c>
      <c r="LS135" s="32">
        <f t="shared" si="495"/>
        <v>4.1240490071866205</v>
      </c>
      <c r="LT135" s="26">
        <f t="shared" si="496"/>
        <v>1.1267893462258525</v>
      </c>
      <c r="LU135" s="31">
        <f t="shared" si="489"/>
        <v>15</v>
      </c>
      <c r="LW135" s="42"/>
      <c r="MA135" s="32">
        <f t="shared" si="490"/>
        <v>4.0010654383838382</v>
      </c>
      <c r="MB135" s="26">
        <f t="shared" si="497"/>
        <v>1.0931872782469503</v>
      </c>
    </row>
    <row r="136" spans="1:340" ht="15.75" thickBot="1">
      <c r="A136" t="b">
        <f t="shared" si="484"/>
        <v>1</v>
      </c>
      <c r="B136" s="123" t="s">
        <v>318</v>
      </c>
      <c r="C136" s="39" t="s">
        <v>283</v>
      </c>
      <c r="D136"/>
      <c r="E136" s="97">
        <v>46047</v>
      </c>
      <c r="F136" t="s">
        <v>43</v>
      </c>
      <c r="G136" t="s">
        <v>20</v>
      </c>
      <c r="H136" t="s">
        <v>27</v>
      </c>
      <c r="I136" s="77"/>
      <c r="J136" s="77"/>
      <c r="K136" s="77"/>
      <c r="L136" s="22"/>
      <c r="M136" s="22"/>
      <c r="N136" s="98"/>
      <c r="O136" s="22"/>
      <c r="P136" s="22"/>
      <c r="Q136" s="22"/>
      <c r="R136" s="22"/>
      <c r="S136" s="104"/>
      <c r="T136" s="22"/>
      <c r="U136" s="22"/>
      <c r="V136" s="104"/>
      <c r="W136" s="22"/>
      <c r="X136" s="22"/>
      <c r="Y136" s="22"/>
      <c r="Z136" s="104"/>
      <c r="AA136" s="104"/>
      <c r="AB136" s="104"/>
      <c r="AC136" s="22"/>
      <c r="AD136" s="22"/>
      <c r="AE136" s="22"/>
      <c r="AF136" s="124"/>
      <c r="AG136" s="124"/>
      <c r="AH136" s="22"/>
      <c r="AI136" s="22"/>
      <c r="AJ136" s="22">
        <v>0.5</v>
      </c>
      <c r="AK136" s="22"/>
      <c r="AL136" s="22"/>
      <c r="AM136" s="22"/>
      <c r="AN136" s="22"/>
      <c r="AO136" s="104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98"/>
      <c r="BB136" s="98"/>
      <c r="BC136" s="124">
        <v>0.5</v>
      </c>
      <c r="BD136" s="124"/>
      <c r="BE136" s="104"/>
      <c r="BF136" s="22"/>
      <c r="BG136" s="22"/>
      <c r="BH136" s="22"/>
      <c r="BI136" s="78">
        <f t="shared" si="504"/>
        <v>1</v>
      </c>
      <c r="BJ136" s="23"/>
      <c r="BK136" s="23"/>
      <c r="BL136" s="23"/>
      <c r="BM136" s="23"/>
      <c r="BN136" s="23"/>
      <c r="BO136" s="99"/>
      <c r="BP136" s="23"/>
      <c r="BQ136" s="23"/>
      <c r="BR136" s="23"/>
      <c r="BS136" s="23"/>
      <c r="BT136" s="105"/>
      <c r="BU136" s="23"/>
      <c r="BV136" s="23"/>
      <c r="BW136" s="105"/>
      <c r="BX136" s="23"/>
      <c r="BY136" s="23"/>
      <c r="BZ136" s="23"/>
      <c r="CA136" s="105"/>
      <c r="CB136" s="105"/>
      <c r="CC136" s="105"/>
      <c r="CD136" s="23"/>
      <c r="CE136" s="23"/>
      <c r="CF136" s="71"/>
      <c r="CG136" s="128"/>
      <c r="CH136" s="128"/>
      <c r="CI136" s="23"/>
      <c r="CJ136" s="105"/>
      <c r="CK136" s="105"/>
      <c r="CL136" s="23">
        <v>0.4</v>
      </c>
      <c r="CM136" s="23"/>
      <c r="CN136" s="23"/>
      <c r="CO136" s="23"/>
      <c r="CP136" s="105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3"/>
      <c r="DB136" s="99"/>
      <c r="DC136" s="99"/>
      <c r="DD136" s="125">
        <v>0.6</v>
      </c>
      <c r="DE136" s="125"/>
      <c r="DF136" s="105"/>
      <c r="DG136" s="23"/>
      <c r="DH136" s="23"/>
      <c r="DI136" s="23"/>
      <c r="DJ136" s="79">
        <f t="shared" si="485"/>
        <v>1</v>
      </c>
      <c r="DK136" s="24"/>
      <c r="DL136" s="24"/>
      <c r="DM136" s="24"/>
      <c r="DN136" s="24">
        <v>0.84499999999999997</v>
      </c>
      <c r="DO136" s="24"/>
      <c r="DP136" s="103"/>
      <c r="DQ136" s="24"/>
      <c r="DR136" s="24"/>
      <c r="DS136" s="24"/>
      <c r="DT136" s="24"/>
      <c r="DU136" s="108"/>
      <c r="DV136" s="24"/>
      <c r="DW136" s="24"/>
      <c r="DX136" s="108"/>
      <c r="DY136" s="24"/>
      <c r="DZ136" s="24"/>
      <c r="EA136" s="24"/>
      <c r="EB136" s="108"/>
      <c r="EC136" s="108"/>
      <c r="ED136" s="108"/>
      <c r="EE136" s="24"/>
      <c r="EF136" s="24"/>
      <c r="EG136" s="24"/>
      <c r="EH136" s="129"/>
      <c r="EI136" s="129"/>
      <c r="EJ136" s="24"/>
      <c r="EK136" s="24"/>
      <c r="EL136" s="24"/>
      <c r="EM136" s="24"/>
      <c r="EN136" s="24"/>
      <c r="EO136" s="24"/>
      <c r="EP136" s="24"/>
      <c r="EQ136" s="108"/>
      <c r="ER136" s="24"/>
      <c r="ES136" s="25"/>
      <c r="ET136" s="25"/>
      <c r="EU136" s="25">
        <v>0.13</v>
      </c>
      <c r="EV136" s="25"/>
      <c r="EW136" s="25"/>
      <c r="EX136" s="25"/>
      <c r="EY136" s="25"/>
      <c r="EZ136" s="25"/>
      <c r="FA136" s="25">
        <v>5.0000000000000001E-3</v>
      </c>
      <c r="FB136" s="25"/>
      <c r="FC136" s="100"/>
      <c r="FD136" s="100"/>
      <c r="FE136" s="126"/>
      <c r="FF136" s="126"/>
      <c r="FG136" s="106"/>
      <c r="FH136" s="25"/>
      <c r="FI136" s="25"/>
      <c r="FJ136" s="25">
        <v>0.02</v>
      </c>
      <c r="FK136" s="17">
        <f t="shared" si="494"/>
        <v>1</v>
      </c>
      <c r="FL136" s="18"/>
      <c r="FM136" s="19">
        <f t="shared" si="298"/>
        <v>0</v>
      </c>
      <c r="FN136" s="19">
        <f t="shared" si="299"/>
        <v>0</v>
      </c>
      <c r="FO136" s="19">
        <f t="shared" si="300"/>
        <v>0</v>
      </c>
      <c r="FP136" s="19">
        <f t="shared" si="301"/>
        <v>1.2675000000000001</v>
      </c>
      <c r="FQ136" s="19">
        <f t="shared" si="302"/>
        <v>0</v>
      </c>
      <c r="FR136" s="19">
        <f t="shared" si="303"/>
        <v>0</v>
      </c>
      <c r="FS136" s="19">
        <f t="shared" si="304"/>
        <v>0</v>
      </c>
      <c r="FT136" s="19">
        <f t="shared" si="305"/>
        <v>0</v>
      </c>
      <c r="FU136" s="19">
        <f t="shared" si="306"/>
        <v>0</v>
      </c>
      <c r="FV136" s="19">
        <f t="shared" si="307"/>
        <v>0</v>
      </c>
      <c r="FW136" s="19">
        <f t="shared" si="308"/>
        <v>0</v>
      </c>
      <c r="FX136" s="19">
        <f t="shared" si="309"/>
        <v>0</v>
      </c>
      <c r="FY136" s="19">
        <f t="shared" si="310"/>
        <v>0</v>
      </c>
      <c r="FZ136" s="19">
        <f t="shared" si="311"/>
        <v>0</v>
      </c>
      <c r="GA136" s="19">
        <f t="shared" si="312"/>
        <v>0</v>
      </c>
      <c r="GB136" s="19">
        <f t="shared" si="313"/>
        <v>0</v>
      </c>
      <c r="GC136" s="19">
        <f t="shared" si="314"/>
        <v>0</v>
      </c>
      <c r="GD136" s="19">
        <f t="shared" si="315"/>
        <v>0</v>
      </c>
      <c r="GE136" s="19">
        <f t="shared" si="316"/>
        <v>0</v>
      </c>
      <c r="GF136" s="19">
        <f t="shared" si="317"/>
        <v>0</v>
      </c>
      <c r="GG136" s="19">
        <f t="shared" si="318"/>
        <v>0</v>
      </c>
      <c r="GH136" s="19">
        <f t="shared" si="319"/>
        <v>0</v>
      </c>
      <c r="GI136" s="19">
        <f t="shared" si="320"/>
        <v>0</v>
      </c>
      <c r="GJ136" s="19">
        <f t="shared" si="321"/>
        <v>0</v>
      </c>
      <c r="GK136" s="19">
        <f t="shared" si="322"/>
        <v>0</v>
      </c>
      <c r="GL136" s="19">
        <f t="shared" si="323"/>
        <v>0</v>
      </c>
      <c r="GM136" s="19">
        <f t="shared" si="324"/>
        <v>0</v>
      </c>
      <c r="GN136" s="19">
        <f t="shared" si="325"/>
        <v>0.75</v>
      </c>
      <c r="GO136" s="19">
        <f t="shared" si="326"/>
        <v>0.8</v>
      </c>
      <c r="GP136" s="19">
        <f t="shared" si="327"/>
        <v>0</v>
      </c>
      <c r="GQ136" s="19">
        <f t="shared" si="328"/>
        <v>0</v>
      </c>
      <c r="GR136" s="19">
        <f t="shared" si="329"/>
        <v>0</v>
      </c>
      <c r="GS136" s="19">
        <f t="shared" si="330"/>
        <v>0</v>
      </c>
      <c r="GT136" s="19">
        <f t="shared" si="331"/>
        <v>0</v>
      </c>
      <c r="GU136" s="19">
        <f t="shared" si="332"/>
        <v>0</v>
      </c>
      <c r="GV136" s="19">
        <f t="shared" si="333"/>
        <v>0</v>
      </c>
      <c r="GW136" s="19">
        <f t="shared" si="334"/>
        <v>0.19500000000000001</v>
      </c>
      <c r="GX136" s="19">
        <f t="shared" si="335"/>
        <v>0</v>
      </c>
      <c r="GY136" s="19">
        <f t="shared" si="336"/>
        <v>0</v>
      </c>
      <c r="GZ136" s="19">
        <f t="shared" si="337"/>
        <v>0</v>
      </c>
      <c r="HA136" s="19">
        <f t="shared" si="338"/>
        <v>0</v>
      </c>
      <c r="HB136" s="19">
        <f t="shared" si="339"/>
        <v>0</v>
      </c>
      <c r="HC136" s="19">
        <f t="shared" si="340"/>
        <v>7.4999999999999997E-3</v>
      </c>
      <c r="HD136" s="19">
        <f t="shared" si="341"/>
        <v>0</v>
      </c>
      <c r="HE136" s="19">
        <f t="shared" si="342"/>
        <v>0</v>
      </c>
      <c r="HF136" s="19">
        <f t="shared" si="343"/>
        <v>0</v>
      </c>
      <c r="HG136" s="19">
        <f t="shared" si="344"/>
        <v>1.95</v>
      </c>
      <c r="HH136" s="19">
        <f t="shared" si="345"/>
        <v>0</v>
      </c>
      <c r="HI136" s="19">
        <f t="shared" si="346"/>
        <v>0</v>
      </c>
      <c r="HJ136" s="19">
        <f t="shared" si="347"/>
        <v>0</v>
      </c>
      <c r="HK136" s="19">
        <f t="shared" si="348"/>
        <v>0</v>
      </c>
      <c r="HL136" s="19">
        <f t="shared" si="349"/>
        <v>0.03</v>
      </c>
      <c r="HM136" s="20">
        <f t="shared" si="350"/>
        <v>5</v>
      </c>
      <c r="HN136" s="53">
        <v>566</v>
      </c>
      <c r="HO136" s="21">
        <f t="shared" si="351"/>
        <v>0</v>
      </c>
      <c r="HP136" s="21">
        <f t="shared" si="352"/>
        <v>0</v>
      </c>
      <c r="HQ136" s="21">
        <f t="shared" si="353"/>
        <v>0</v>
      </c>
      <c r="HR136" s="21">
        <f t="shared" si="354"/>
        <v>143.48100000000002</v>
      </c>
      <c r="HS136" s="21">
        <f t="shared" si="355"/>
        <v>0</v>
      </c>
      <c r="HT136" s="69">
        <f t="shared" si="356"/>
        <v>0</v>
      </c>
      <c r="HU136" s="21">
        <f t="shared" si="357"/>
        <v>0</v>
      </c>
      <c r="HV136" s="21">
        <f t="shared" si="358"/>
        <v>0</v>
      </c>
      <c r="HW136" s="21">
        <f t="shared" si="359"/>
        <v>0</v>
      </c>
      <c r="HX136" s="21">
        <f t="shared" si="360"/>
        <v>0</v>
      </c>
      <c r="HY136" s="21">
        <f t="shared" si="361"/>
        <v>0</v>
      </c>
      <c r="HZ136" s="21">
        <f t="shared" si="362"/>
        <v>0</v>
      </c>
      <c r="IA136" s="21">
        <f t="shared" si="363"/>
        <v>0</v>
      </c>
      <c r="IB136" s="21">
        <f t="shared" si="364"/>
        <v>0</v>
      </c>
      <c r="IC136" s="21">
        <f t="shared" si="365"/>
        <v>0</v>
      </c>
      <c r="ID136" s="21">
        <f t="shared" si="366"/>
        <v>0</v>
      </c>
      <c r="IE136" s="21">
        <f t="shared" si="367"/>
        <v>0</v>
      </c>
      <c r="IF136" s="69">
        <f t="shared" si="368"/>
        <v>0</v>
      </c>
      <c r="IG136" s="69">
        <f t="shared" si="369"/>
        <v>0</v>
      </c>
      <c r="IH136" s="69">
        <f t="shared" si="370"/>
        <v>0</v>
      </c>
      <c r="II136" s="21">
        <f t="shared" si="371"/>
        <v>0</v>
      </c>
      <c r="IJ136" s="21">
        <f t="shared" si="372"/>
        <v>0</v>
      </c>
      <c r="IK136" s="21">
        <f t="shared" si="373"/>
        <v>0</v>
      </c>
      <c r="IL136" s="21">
        <f t="shared" si="374"/>
        <v>0</v>
      </c>
      <c r="IM136" s="21">
        <f t="shared" si="375"/>
        <v>0</v>
      </c>
      <c r="IN136" s="21">
        <f t="shared" si="376"/>
        <v>0</v>
      </c>
      <c r="IO136" s="21">
        <f t="shared" si="377"/>
        <v>0</v>
      </c>
      <c r="IP136" s="21">
        <f t="shared" si="378"/>
        <v>84.9</v>
      </c>
      <c r="IQ136" s="21">
        <f t="shared" si="379"/>
        <v>90.56</v>
      </c>
      <c r="IR136" s="21">
        <f t="shared" si="380"/>
        <v>0</v>
      </c>
      <c r="IS136" s="21">
        <f t="shared" si="381"/>
        <v>0</v>
      </c>
      <c r="IT136" s="21">
        <f t="shared" si="382"/>
        <v>0</v>
      </c>
      <c r="IU136" s="21">
        <f t="shared" si="383"/>
        <v>0</v>
      </c>
      <c r="IV136" s="21">
        <f t="shared" si="384"/>
        <v>0</v>
      </c>
      <c r="IW136" s="21">
        <f t="shared" si="385"/>
        <v>0</v>
      </c>
      <c r="IX136" s="21">
        <f t="shared" si="386"/>
        <v>0</v>
      </c>
      <c r="IY136" s="21">
        <f t="shared" si="387"/>
        <v>22.074000000000002</v>
      </c>
      <c r="IZ136" s="21">
        <f t="shared" si="388"/>
        <v>0</v>
      </c>
      <c r="JA136" s="21">
        <f t="shared" si="389"/>
        <v>0</v>
      </c>
      <c r="JB136" s="21">
        <f t="shared" si="390"/>
        <v>0</v>
      </c>
      <c r="JC136" s="21">
        <f t="shared" si="391"/>
        <v>0</v>
      </c>
      <c r="JD136" s="21">
        <f t="shared" si="392"/>
        <v>0</v>
      </c>
      <c r="JE136" s="21">
        <f t="shared" si="393"/>
        <v>0.84899999999999998</v>
      </c>
      <c r="JF136" s="21">
        <f t="shared" si="394"/>
        <v>0</v>
      </c>
      <c r="JG136" s="21">
        <f t="shared" si="395"/>
        <v>0</v>
      </c>
      <c r="JH136" s="21">
        <f t="shared" si="396"/>
        <v>0</v>
      </c>
      <c r="JI136" s="21">
        <f t="shared" si="397"/>
        <v>220.74</v>
      </c>
      <c r="JJ136" s="21">
        <f t="shared" si="398"/>
        <v>0</v>
      </c>
      <c r="JK136" s="21">
        <f t="shared" si="399"/>
        <v>0</v>
      </c>
      <c r="JL136" s="21">
        <f t="shared" si="400"/>
        <v>0</v>
      </c>
      <c r="JM136" s="21">
        <f t="shared" si="401"/>
        <v>0</v>
      </c>
      <c r="JN136" s="21">
        <f t="shared" si="402"/>
        <v>3.3959999999999999</v>
      </c>
      <c r="JO136" s="35">
        <f t="shared" si="486"/>
        <v>566</v>
      </c>
      <c r="JP136" s="38">
        <f t="shared" si="487"/>
        <v>0</v>
      </c>
      <c r="JQ136" s="43">
        <f t="shared" si="405"/>
        <v>0</v>
      </c>
      <c r="JR136" s="43">
        <f t="shared" si="406"/>
        <v>0</v>
      </c>
      <c r="JS136" s="43">
        <f t="shared" si="407"/>
        <v>0</v>
      </c>
      <c r="JT136" s="43">
        <f t="shared" si="408"/>
        <v>617.10030252000013</v>
      </c>
      <c r="JU136" s="43">
        <f t="shared" si="409"/>
        <v>0</v>
      </c>
      <c r="JV136" s="43">
        <f t="shared" si="410"/>
        <v>0</v>
      </c>
      <c r="JW136" s="43">
        <f t="shared" si="411"/>
        <v>0</v>
      </c>
      <c r="JX136" s="43">
        <f t="shared" si="412"/>
        <v>0</v>
      </c>
      <c r="JY136" s="43">
        <f t="shared" si="413"/>
        <v>0</v>
      </c>
      <c r="JZ136" s="43">
        <f t="shared" si="414"/>
        <v>0</v>
      </c>
      <c r="KA136" s="43">
        <f t="shared" si="415"/>
        <v>0</v>
      </c>
      <c r="KB136" s="43">
        <f t="shared" si="416"/>
        <v>0</v>
      </c>
      <c r="KC136" s="43">
        <f t="shared" si="417"/>
        <v>0</v>
      </c>
      <c r="KD136" s="43">
        <f t="shared" si="418"/>
        <v>0</v>
      </c>
      <c r="KE136" s="43">
        <f t="shared" si="419"/>
        <v>0</v>
      </c>
      <c r="KF136" s="43">
        <f t="shared" si="420"/>
        <v>0</v>
      </c>
      <c r="KG136" s="43">
        <f t="shared" si="421"/>
        <v>0</v>
      </c>
      <c r="KH136" s="43">
        <f t="shared" si="422"/>
        <v>0</v>
      </c>
      <c r="KI136" s="43">
        <f t="shared" si="423"/>
        <v>0</v>
      </c>
      <c r="KJ136" s="43">
        <f t="shared" si="424"/>
        <v>0</v>
      </c>
      <c r="KK136" s="43">
        <f t="shared" si="425"/>
        <v>0</v>
      </c>
      <c r="KL136" s="43">
        <f t="shared" si="426"/>
        <v>0</v>
      </c>
      <c r="KM136" s="43">
        <f t="shared" si="427"/>
        <v>0</v>
      </c>
      <c r="KN136" s="43">
        <f t="shared" si="428"/>
        <v>0</v>
      </c>
      <c r="KO136" s="43">
        <f t="shared" si="429"/>
        <v>0</v>
      </c>
      <c r="KP136" s="43">
        <f t="shared" si="430"/>
        <v>0</v>
      </c>
      <c r="KQ136" s="43">
        <f t="shared" si="431"/>
        <v>0</v>
      </c>
      <c r="KR136" s="43">
        <f t="shared" si="432"/>
        <v>327.714</v>
      </c>
      <c r="KS136" s="43">
        <f t="shared" si="433"/>
        <v>309.65461444525255</v>
      </c>
      <c r="KT136" s="43">
        <f t="shared" si="434"/>
        <v>0</v>
      </c>
      <c r="KU136" s="43">
        <f t="shared" si="435"/>
        <v>0</v>
      </c>
      <c r="KV136" s="43">
        <f t="shared" si="436"/>
        <v>0</v>
      </c>
      <c r="KW136" s="43">
        <f t="shared" si="437"/>
        <v>0</v>
      </c>
      <c r="KX136" s="43">
        <f t="shared" si="438"/>
        <v>0</v>
      </c>
      <c r="KY136" s="43">
        <f t="shared" si="439"/>
        <v>0</v>
      </c>
      <c r="KZ136" s="43">
        <f t="shared" si="440"/>
        <v>0</v>
      </c>
      <c r="LA136" s="43">
        <f t="shared" si="441"/>
        <v>88.446986159999994</v>
      </c>
      <c r="LB136" s="43">
        <f t="shared" si="442"/>
        <v>0</v>
      </c>
      <c r="LC136" s="43">
        <f t="shared" si="443"/>
        <v>0</v>
      </c>
      <c r="LD136" s="43">
        <f t="shared" si="444"/>
        <v>0</v>
      </c>
      <c r="LE136" s="43">
        <f t="shared" si="445"/>
        <v>0</v>
      </c>
      <c r="LF136" s="43">
        <f t="shared" si="446"/>
        <v>0</v>
      </c>
      <c r="LG136" s="43">
        <f t="shared" si="447"/>
        <v>8.7616800000000001</v>
      </c>
      <c r="LH136" s="43">
        <f t="shared" si="448"/>
        <v>0</v>
      </c>
      <c r="LI136" s="43">
        <f t="shared" si="449"/>
        <v>0</v>
      </c>
      <c r="LJ136" s="43">
        <f t="shared" si="450"/>
        <v>0</v>
      </c>
      <c r="LK136" s="43">
        <f t="shared" si="451"/>
        <v>884.22925499999997</v>
      </c>
      <c r="LL136" s="43">
        <f t="shared" si="452"/>
        <v>0</v>
      </c>
      <c r="LM136" s="43">
        <f t="shared" si="453"/>
        <v>0</v>
      </c>
      <c r="LN136" s="43">
        <f t="shared" si="454"/>
        <v>0</v>
      </c>
      <c r="LO136" s="43">
        <f t="shared" si="455"/>
        <v>0</v>
      </c>
      <c r="LP136" s="43">
        <f t="shared" si="456"/>
        <v>28.696199999999997</v>
      </c>
      <c r="LQ136" s="28">
        <f t="shared" si="488"/>
        <v>2264.6030381252526</v>
      </c>
      <c r="LR136" s="65">
        <v>546</v>
      </c>
      <c r="LS136" s="32">
        <f t="shared" si="495"/>
        <v>4.1476246119510121</v>
      </c>
      <c r="LT136" s="26">
        <f t="shared" si="496"/>
        <v>1.1332307682926261</v>
      </c>
      <c r="LU136" s="31">
        <f t="shared" si="489"/>
        <v>20</v>
      </c>
      <c r="LW136" s="42"/>
      <c r="MA136" s="32">
        <f t="shared" si="490"/>
        <v>4.0010654383838382</v>
      </c>
      <c r="MB136" s="26">
        <f t="shared" si="497"/>
        <v>1.0931872782469503</v>
      </c>
    </row>
    <row r="137" spans="1:340" ht="15.75" thickBot="1">
      <c r="A137" t="b">
        <f t="shared" si="484"/>
        <v>1</v>
      </c>
      <c r="B137" s="123" t="s">
        <v>319</v>
      </c>
      <c r="C137" s="39" t="s">
        <v>320</v>
      </c>
      <c r="D137"/>
      <c r="E137" s="97">
        <v>46045</v>
      </c>
      <c r="F137" t="s">
        <v>43</v>
      </c>
      <c r="G137" t="s">
        <v>20</v>
      </c>
      <c r="H137" t="s">
        <v>27</v>
      </c>
      <c r="I137" s="77"/>
      <c r="J137" s="77"/>
      <c r="K137" s="77"/>
      <c r="L137" s="22"/>
      <c r="M137" s="22"/>
      <c r="N137" s="98"/>
      <c r="O137" s="22"/>
      <c r="P137" s="22"/>
      <c r="Q137" s="22"/>
      <c r="R137" s="22"/>
      <c r="S137" s="104"/>
      <c r="T137" s="22"/>
      <c r="U137" s="22"/>
      <c r="V137" s="104"/>
      <c r="W137" s="22"/>
      <c r="X137" s="22"/>
      <c r="Y137" s="22"/>
      <c r="Z137" s="104"/>
      <c r="AA137" s="104"/>
      <c r="AB137" s="104"/>
      <c r="AC137" s="22"/>
      <c r="AD137" s="22"/>
      <c r="AE137" s="22"/>
      <c r="AF137" s="124"/>
      <c r="AG137" s="124"/>
      <c r="AH137" s="22"/>
      <c r="AI137" s="104"/>
      <c r="AJ137" s="22">
        <v>0.3</v>
      </c>
      <c r="AK137" s="22"/>
      <c r="AL137" s="22"/>
      <c r="AM137" s="22"/>
      <c r="AN137" s="22"/>
      <c r="AO137" s="104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98"/>
      <c r="BB137" s="98"/>
      <c r="BC137" s="124">
        <v>0.7</v>
      </c>
      <c r="BD137" s="124"/>
      <c r="BE137" s="104"/>
      <c r="BF137" s="22"/>
      <c r="BG137" s="22"/>
      <c r="BH137" s="22"/>
      <c r="BI137" s="78">
        <f t="shared" si="504"/>
        <v>1</v>
      </c>
      <c r="BJ137" s="23"/>
      <c r="BK137" s="23"/>
      <c r="BL137" s="23"/>
      <c r="BM137" s="23"/>
      <c r="BN137" s="23"/>
      <c r="BO137" s="99"/>
      <c r="BP137" s="23"/>
      <c r="BQ137" s="23"/>
      <c r="BR137" s="23"/>
      <c r="BS137" s="23"/>
      <c r="BT137" s="105"/>
      <c r="BU137" s="23"/>
      <c r="BV137" s="23"/>
      <c r="BW137" s="105"/>
      <c r="BX137" s="23"/>
      <c r="BY137" s="23"/>
      <c r="BZ137" s="23"/>
      <c r="CA137" s="105"/>
      <c r="CB137" s="105"/>
      <c r="CC137" s="105"/>
      <c r="CD137" s="23"/>
      <c r="CE137" s="23"/>
      <c r="CF137" s="71"/>
      <c r="CG137" s="128"/>
      <c r="CH137" s="128"/>
      <c r="CI137" s="23"/>
      <c r="CJ137" s="23"/>
      <c r="CK137" s="23"/>
      <c r="CL137" s="23">
        <v>0.3</v>
      </c>
      <c r="CM137" s="23"/>
      <c r="CN137" s="23"/>
      <c r="CO137" s="23"/>
      <c r="CP137" s="105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3"/>
      <c r="DB137" s="99"/>
      <c r="DC137" s="99"/>
      <c r="DD137" s="125">
        <v>0.7</v>
      </c>
      <c r="DE137" s="125"/>
      <c r="DF137" s="105"/>
      <c r="DG137" s="23"/>
      <c r="DH137" s="23"/>
      <c r="DI137" s="23"/>
      <c r="DJ137" s="79">
        <f t="shared" si="485"/>
        <v>1</v>
      </c>
      <c r="DK137" s="24"/>
      <c r="DL137" s="24"/>
      <c r="DM137" s="24"/>
      <c r="DN137" s="24">
        <v>0.7</v>
      </c>
      <c r="DO137" s="24"/>
      <c r="DP137" s="103"/>
      <c r="DQ137" s="24"/>
      <c r="DR137" s="24"/>
      <c r="DS137" s="24"/>
      <c r="DT137" s="24"/>
      <c r="DU137" s="108"/>
      <c r="DV137" s="24"/>
      <c r="DW137" s="24"/>
      <c r="DX137" s="108"/>
      <c r="DY137" s="24"/>
      <c r="DZ137" s="24"/>
      <c r="EA137" s="24"/>
      <c r="EB137" s="108"/>
      <c r="EC137" s="108"/>
      <c r="ED137" s="108"/>
      <c r="EE137" s="24"/>
      <c r="EF137" s="24"/>
      <c r="EG137" s="24"/>
      <c r="EH137" s="129"/>
      <c r="EI137" s="129"/>
      <c r="EJ137" s="24"/>
      <c r="EK137" s="24"/>
      <c r="EL137" s="24"/>
      <c r="EM137" s="24">
        <v>0.2</v>
      </c>
      <c r="EN137" s="24"/>
      <c r="EO137" s="24"/>
      <c r="EP137" s="24"/>
      <c r="EQ137" s="108"/>
      <c r="ER137" s="24"/>
      <c r="ES137" s="25"/>
      <c r="ET137" s="25"/>
      <c r="EU137" s="25">
        <v>0.08</v>
      </c>
      <c r="EV137" s="25"/>
      <c r="EW137" s="25"/>
      <c r="EX137" s="25"/>
      <c r="EY137" s="25"/>
      <c r="EZ137" s="25"/>
      <c r="FA137" s="25"/>
      <c r="FB137" s="25"/>
      <c r="FC137" s="100"/>
      <c r="FD137" s="100"/>
      <c r="FE137" s="126"/>
      <c r="FF137" s="126"/>
      <c r="FG137" s="106"/>
      <c r="FH137" s="25"/>
      <c r="FI137" s="25"/>
      <c r="FJ137" s="25">
        <v>0.02</v>
      </c>
      <c r="FK137" s="17">
        <f t="shared" si="494"/>
        <v>0.99999999999999989</v>
      </c>
      <c r="FL137" s="18"/>
      <c r="FM137" s="19">
        <f t="shared" si="298"/>
        <v>0</v>
      </c>
      <c r="FN137" s="19">
        <f t="shared" si="299"/>
        <v>0</v>
      </c>
      <c r="FO137" s="19">
        <f t="shared" si="300"/>
        <v>0</v>
      </c>
      <c r="FP137" s="19">
        <f t="shared" si="301"/>
        <v>1.0499999999999998</v>
      </c>
      <c r="FQ137" s="19">
        <f t="shared" si="302"/>
        <v>0</v>
      </c>
      <c r="FR137" s="19">
        <f t="shared" si="303"/>
        <v>0</v>
      </c>
      <c r="FS137" s="19">
        <f t="shared" si="304"/>
        <v>0</v>
      </c>
      <c r="FT137" s="19">
        <f t="shared" si="305"/>
        <v>0</v>
      </c>
      <c r="FU137" s="19">
        <f t="shared" si="306"/>
        <v>0</v>
      </c>
      <c r="FV137" s="19">
        <f t="shared" si="307"/>
        <v>0</v>
      </c>
      <c r="FW137" s="19">
        <f t="shared" si="308"/>
        <v>0</v>
      </c>
      <c r="FX137" s="19">
        <f t="shared" si="309"/>
        <v>0</v>
      </c>
      <c r="FY137" s="19">
        <f t="shared" si="310"/>
        <v>0</v>
      </c>
      <c r="FZ137" s="19">
        <f t="shared" si="311"/>
        <v>0</v>
      </c>
      <c r="GA137" s="19">
        <f t="shared" si="312"/>
        <v>0</v>
      </c>
      <c r="GB137" s="19">
        <f t="shared" si="313"/>
        <v>0</v>
      </c>
      <c r="GC137" s="19">
        <f t="shared" si="314"/>
        <v>0</v>
      </c>
      <c r="GD137" s="19">
        <f t="shared" si="315"/>
        <v>0</v>
      </c>
      <c r="GE137" s="19">
        <f t="shared" si="316"/>
        <v>0</v>
      </c>
      <c r="GF137" s="19">
        <f t="shared" si="317"/>
        <v>0</v>
      </c>
      <c r="GG137" s="19">
        <f t="shared" si="318"/>
        <v>0</v>
      </c>
      <c r="GH137" s="19">
        <f t="shared" si="319"/>
        <v>0</v>
      </c>
      <c r="GI137" s="19">
        <f t="shared" si="320"/>
        <v>0</v>
      </c>
      <c r="GJ137" s="19">
        <f t="shared" si="321"/>
        <v>0</v>
      </c>
      <c r="GK137" s="19">
        <f t="shared" si="322"/>
        <v>0</v>
      </c>
      <c r="GL137" s="19">
        <f t="shared" si="323"/>
        <v>0</v>
      </c>
      <c r="GM137" s="19">
        <f t="shared" si="324"/>
        <v>0</v>
      </c>
      <c r="GN137" s="19">
        <f t="shared" si="325"/>
        <v>0.44999999999999996</v>
      </c>
      <c r="GO137" s="19">
        <f t="shared" si="326"/>
        <v>0.9</v>
      </c>
      <c r="GP137" s="19">
        <f t="shared" si="327"/>
        <v>0</v>
      </c>
      <c r="GQ137" s="19">
        <f t="shared" si="328"/>
        <v>0</v>
      </c>
      <c r="GR137" s="19">
        <f t="shared" si="329"/>
        <v>0</v>
      </c>
      <c r="GS137" s="19">
        <f t="shared" si="330"/>
        <v>0</v>
      </c>
      <c r="GT137" s="19">
        <f t="shared" si="331"/>
        <v>0</v>
      </c>
      <c r="GU137" s="19">
        <f t="shared" si="332"/>
        <v>0</v>
      </c>
      <c r="GV137" s="19">
        <f t="shared" si="333"/>
        <v>0</v>
      </c>
      <c r="GW137" s="19">
        <f t="shared" si="334"/>
        <v>0.12</v>
      </c>
      <c r="GX137" s="19">
        <f t="shared" si="335"/>
        <v>0</v>
      </c>
      <c r="GY137" s="19">
        <f t="shared" si="336"/>
        <v>0</v>
      </c>
      <c r="GZ137" s="19">
        <f t="shared" si="337"/>
        <v>0</v>
      </c>
      <c r="HA137" s="19">
        <f t="shared" si="338"/>
        <v>0</v>
      </c>
      <c r="HB137" s="19">
        <f t="shared" si="339"/>
        <v>0</v>
      </c>
      <c r="HC137" s="19">
        <f t="shared" si="340"/>
        <v>0</v>
      </c>
      <c r="HD137" s="19">
        <f t="shared" si="341"/>
        <v>0</v>
      </c>
      <c r="HE137" s="19">
        <f t="shared" si="342"/>
        <v>0</v>
      </c>
      <c r="HF137" s="19">
        <f t="shared" si="343"/>
        <v>0</v>
      </c>
      <c r="HG137" s="19">
        <f t="shared" si="344"/>
        <v>2.4499999999999997</v>
      </c>
      <c r="HH137" s="19">
        <f t="shared" si="345"/>
        <v>0</v>
      </c>
      <c r="HI137" s="19">
        <f t="shared" si="346"/>
        <v>0</v>
      </c>
      <c r="HJ137" s="19">
        <f t="shared" si="347"/>
        <v>0</v>
      </c>
      <c r="HK137" s="19">
        <f t="shared" si="348"/>
        <v>0</v>
      </c>
      <c r="HL137" s="19">
        <f t="shared" si="349"/>
        <v>0.03</v>
      </c>
      <c r="HM137" s="20">
        <f t="shared" si="350"/>
        <v>5</v>
      </c>
      <c r="HN137" s="53">
        <v>842</v>
      </c>
      <c r="HO137" s="21">
        <f t="shared" si="351"/>
        <v>0</v>
      </c>
      <c r="HP137" s="21">
        <f t="shared" si="352"/>
        <v>0</v>
      </c>
      <c r="HQ137" s="21">
        <f t="shared" si="353"/>
        <v>0</v>
      </c>
      <c r="HR137" s="21">
        <f t="shared" si="354"/>
        <v>176.81999999999996</v>
      </c>
      <c r="HS137" s="21">
        <f t="shared" si="355"/>
        <v>0</v>
      </c>
      <c r="HT137" s="69">
        <f t="shared" si="356"/>
        <v>0</v>
      </c>
      <c r="HU137" s="21">
        <f t="shared" si="357"/>
        <v>0</v>
      </c>
      <c r="HV137" s="21">
        <f t="shared" si="358"/>
        <v>0</v>
      </c>
      <c r="HW137" s="21">
        <f t="shared" si="359"/>
        <v>0</v>
      </c>
      <c r="HX137" s="21">
        <f t="shared" si="360"/>
        <v>0</v>
      </c>
      <c r="HY137" s="21">
        <f t="shared" si="361"/>
        <v>0</v>
      </c>
      <c r="HZ137" s="21">
        <f t="shared" si="362"/>
        <v>0</v>
      </c>
      <c r="IA137" s="21">
        <f t="shared" si="363"/>
        <v>0</v>
      </c>
      <c r="IB137" s="21">
        <f t="shared" si="364"/>
        <v>0</v>
      </c>
      <c r="IC137" s="21">
        <f t="shared" si="365"/>
        <v>0</v>
      </c>
      <c r="ID137" s="21">
        <f t="shared" si="366"/>
        <v>0</v>
      </c>
      <c r="IE137" s="21">
        <f t="shared" si="367"/>
        <v>0</v>
      </c>
      <c r="IF137" s="69">
        <f t="shared" si="368"/>
        <v>0</v>
      </c>
      <c r="IG137" s="69">
        <f t="shared" si="369"/>
        <v>0</v>
      </c>
      <c r="IH137" s="69">
        <f t="shared" si="370"/>
        <v>0</v>
      </c>
      <c r="II137" s="21">
        <f t="shared" si="371"/>
        <v>0</v>
      </c>
      <c r="IJ137" s="21">
        <f t="shared" si="372"/>
        <v>0</v>
      </c>
      <c r="IK137" s="21">
        <f t="shared" si="373"/>
        <v>0</v>
      </c>
      <c r="IL137" s="21">
        <f t="shared" si="374"/>
        <v>0</v>
      </c>
      <c r="IM137" s="21">
        <f t="shared" si="375"/>
        <v>0</v>
      </c>
      <c r="IN137" s="21">
        <f t="shared" si="376"/>
        <v>0</v>
      </c>
      <c r="IO137" s="21">
        <f t="shared" si="377"/>
        <v>0</v>
      </c>
      <c r="IP137" s="21">
        <f t="shared" si="378"/>
        <v>75.78</v>
      </c>
      <c r="IQ137" s="21">
        <f t="shared" si="379"/>
        <v>151.56</v>
      </c>
      <c r="IR137" s="21">
        <f t="shared" si="380"/>
        <v>0</v>
      </c>
      <c r="IS137" s="21">
        <f t="shared" si="381"/>
        <v>0</v>
      </c>
      <c r="IT137" s="21">
        <f t="shared" si="382"/>
        <v>0</v>
      </c>
      <c r="IU137" s="21">
        <f t="shared" si="383"/>
        <v>0</v>
      </c>
      <c r="IV137" s="21">
        <f t="shared" si="384"/>
        <v>0</v>
      </c>
      <c r="IW137" s="21">
        <f t="shared" si="385"/>
        <v>0</v>
      </c>
      <c r="IX137" s="21">
        <f t="shared" si="386"/>
        <v>0</v>
      </c>
      <c r="IY137" s="21">
        <f t="shared" si="387"/>
        <v>20.207999999999998</v>
      </c>
      <c r="IZ137" s="21">
        <f t="shared" si="388"/>
        <v>0</v>
      </c>
      <c r="JA137" s="21">
        <f t="shared" si="389"/>
        <v>0</v>
      </c>
      <c r="JB137" s="21">
        <f t="shared" si="390"/>
        <v>0</v>
      </c>
      <c r="JC137" s="21">
        <f t="shared" si="391"/>
        <v>0</v>
      </c>
      <c r="JD137" s="21">
        <f t="shared" si="392"/>
        <v>0</v>
      </c>
      <c r="JE137" s="21">
        <f t="shared" si="393"/>
        <v>0</v>
      </c>
      <c r="JF137" s="21">
        <f t="shared" si="394"/>
        <v>0</v>
      </c>
      <c r="JG137" s="21">
        <f t="shared" si="395"/>
        <v>0</v>
      </c>
      <c r="JH137" s="21">
        <f t="shared" si="396"/>
        <v>0</v>
      </c>
      <c r="JI137" s="21">
        <f t="shared" si="397"/>
        <v>412.57999999999993</v>
      </c>
      <c r="JJ137" s="21">
        <f t="shared" si="398"/>
        <v>0</v>
      </c>
      <c r="JK137" s="21">
        <f t="shared" si="399"/>
        <v>0</v>
      </c>
      <c r="JL137" s="21">
        <f t="shared" si="400"/>
        <v>0</v>
      </c>
      <c r="JM137" s="21">
        <f t="shared" si="401"/>
        <v>0</v>
      </c>
      <c r="JN137" s="21">
        <f t="shared" si="402"/>
        <v>5.0519999999999996</v>
      </c>
      <c r="JO137" s="35">
        <f t="shared" si="486"/>
        <v>841.99999999999989</v>
      </c>
      <c r="JP137" s="38">
        <f t="shared" si="487"/>
        <v>0</v>
      </c>
      <c r="JQ137" s="43">
        <f t="shared" si="405"/>
        <v>0</v>
      </c>
      <c r="JR137" s="43">
        <f t="shared" si="406"/>
        <v>0</v>
      </c>
      <c r="JS137" s="43">
        <f t="shared" si="407"/>
        <v>0</v>
      </c>
      <c r="JT137" s="43">
        <f t="shared" si="408"/>
        <v>760.48867439999992</v>
      </c>
      <c r="JU137" s="43">
        <f t="shared" si="409"/>
        <v>0</v>
      </c>
      <c r="JV137" s="43">
        <f t="shared" si="410"/>
        <v>0</v>
      </c>
      <c r="JW137" s="43">
        <f t="shared" si="411"/>
        <v>0</v>
      </c>
      <c r="JX137" s="43">
        <f t="shared" si="412"/>
        <v>0</v>
      </c>
      <c r="JY137" s="43">
        <f t="shared" si="413"/>
        <v>0</v>
      </c>
      <c r="JZ137" s="43">
        <f t="shared" si="414"/>
        <v>0</v>
      </c>
      <c r="KA137" s="43">
        <f t="shared" si="415"/>
        <v>0</v>
      </c>
      <c r="KB137" s="43">
        <f t="shared" si="416"/>
        <v>0</v>
      </c>
      <c r="KC137" s="43">
        <f t="shared" si="417"/>
        <v>0</v>
      </c>
      <c r="KD137" s="43">
        <f t="shared" si="418"/>
        <v>0</v>
      </c>
      <c r="KE137" s="43">
        <f t="shared" si="419"/>
        <v>0</v>
      </c>
      <c r="KF137" s="43">
        <f t="shared" si="420"/>
        <v>0</v>
      </c>
      <c r="KG137" s="43">
        <f t="shared" si="421"/>
        <v>0</v>
      </c>
      <c r="KH137" s="43">
        <f t="shared" si="422"/>
        <v>0</v>
      </c>
      <c r="KI137" s="43">
        <f t="shared" si="423"/>
        <v>0</v>
      </c>
      <c r="KJ137" s="43">
        <f t="shared" si="424"/>
        <v>0</v>
      </c>
      <c r="KK137" s="43">
        <f t="shared" si="425"/>
        <v>0</v>
      </c>
      <c r="KL137" s="43">
        <f t="shared" si="426"/>
        <v>0</v>
      </c>
      <c r="KM137" s="43">
        <f t="shared" si="427"/>
        <v>0</v>
      </c>
      <c r="KN137" s="43">
        <f t="shared" si="428"/>
        <v>0</v>
      </c>
      <c r="KO137" s="43">
        <f t="shared" si="429"/>
        <v>0</v>
      </c>
      <c r="KP137" s="43">
        <f t="shared" si="430"/>
        <v>0</v>
      </c>
      <c r="KQ137" s="43">
        <f t="shared" si="431"/>
        <v>0</v>
      </c>
      <c r="KR137" s="43">
        <f t="shared" si="432"/>
        <v>292.51080000000002</v>
      </c>
      <c r="KS137" s="43">
        <f t="shared" si="433"/>
        <v>518.2338048290909</v>
      </c>
      <c r="KT137" s="43">
        <f t="shared" si="434"/>
        <v>0</v>
      </c>
      <c r="KU137" s="43">
        <f t="shared" si="435"/>
        <v>0</v>
      </c>
      <c r="KV137" s="43">
        <f t="shared" si="436"/>
        <v>0</v>
      </c>
      <c r="KW137" s="43">
        <f t="shared" si="437"/>
        <v>0</v>
      </c>
      <c r="KX137" s="43">
        <f t="shared" si="438"/>
        <v>0</v>
      </c>
      <c r="KY137" s="43">
        <f t="shared" si="439"/>
        <v>0</v>
      </c>
      <c r="KZ137" s="43">
        <f t="shared" si="440"/>
        <v>0</v>
      </c>
      <c r="LA137" s="43">
        <f t="shared" si="441"/>
        <v>80.970222719999981</v>
      </c>
      <c r="LB137" s="43">
        <f t="shared" si="442"/>
        <v>0</v>
      </c>
      <c r="LC137" s="43">
        <f t="shared" si="443"/>
        <v>0</v>
      </c>
      <c r="LD137" s="43">
        <f t="shared" si="444"/>
        <v>0</v>
      </c>
      <c r="LE137" s="43">
        <f t="shared" si="445"/>
        <v>0</v>
      </c>
      <c r="LF137" s="43">
        <f t="shared" si="446"/>
        <v>0</v>
      </c>
      <c r="LG137" s="43">
        <f t="shared" si="447"/>
        <v>0</v>
      </c>
      <c r="LH137" s="43">
        <f t="shared" si="448"/>
        <v>0</v>
      </c>
      <c r="LI137" s="43">
        <f t="shared" si="449"/>
        <v>0</v>
      </c>
      <c r="LJ137" s="43">
        <f t="shared" si="450"/>
        <v>0</v>
      </c>
      <c r="LK137" s="43">
        <f t="shared" si="451"/>
        <v>1652.6923349999997</v>
      </c>
      <c r="LL137" s="43">
        <f t="shared" si="452"/>
        <v>0</v>
      </c>
      <c r="LM137" s="43">
        <f t="shared" si="453"/>
        <v>0</v>
      </c>
      <c r="LN137" s="43">
        <f t="shared" si="454"/>
        <v>0</v>
      </c>
      <c r="LO137" s="43">
        <f t="shared" si="455"/>
        <v>0</v>
      </c>
      <c r="LP137" s="43">
        <f t="shared" si="456"/>
        <v>42.689399999999992</v>
      </c>
      <c r="LQ137" s="28">
        <f t="shared" si="488"/>
        <v>3347.5852369490908</v>
      </c>
      <c r="LR137" s="65">
        <v>808</v>
      </c>
      <c r="LS137" s="32">
        <f t="shared" si="495"/>
        <v>4.1430510358280825</v>
      </c>
      <c r="LT137" s="26">
        <f t="shared" si="496"/>
        <v>1.1319811573300771</v>
      </c>
      <c r="LU137" s="31">
        <f t="shared" si="489"/>
        <v>34</v>
      </c>
      <c r="LW137" s="42"/>
      <c r="MA137" s="32">
        <f t="shared" si="490"/>
        <v>3.9757544381818186</v>
      </c>
      <c r="MB137" s="26">
        <f t="shared" si="497"/>
        <v>1.086271704421262</v>
      </c>
    </row>
    <row r="138" spans="1:340" ht="15.75" thickBot="1">
      <c r="A138" t="b">
        <f t="shared" si="484"/>
        <v>1</v>
      </c>
      <c r="B138" s="123" t="s">
        <v>321</v>
      </c>
      <c r="C138" s="39" t="s">
        <v>322</v>
      </c>
      <c r="D138"/>
      <c r="E138" s="97">
        <v>46045</v>
      </c>
      <c r="F138" t="s">
        <v>43</v>
      </c>
      <c r="G138" t="s">
        <v>20</v>
      </c>
      <c r="H138" t="s">
        <v>27</v>
      </c>
      <c r="I138" s="77"/>
      <c r="J138" s="77"/>
      <c r="K138" s="77"/>
      <c r="L138" s="22"/>
      <c r="M138" s="22"/>
      <c r="N138" s="98"/>
      <c r="O138" s="22"/>
      <c r="P138" s="22"/>
      <c r="Q138" s="22"/>
      <c r="R138" s="22"/>
      <c r="S138" s="104"/>
      <c r="T138" s="22"/>
      <c r="U138" s="22"/>
      <c r="V138" s="104"/>
      <c r="W138" s="22"/>
      <c r="X138" s="22"/>
      <c r="Y138" s="22"/>
      <c r="Z138" s="104"/>
      <c r="AA138" s="104"/>
      <c r="AB138" s="104"/>
      <c r="AC138" s="22"/>
      <c r="AD138" s="22"/>
      <c r="AE138" s="22"/>
      <c r="AF138" s="124"/>
      <c r="AG138" s="124"/>
      <c r="AH138" s="22"/>
      <c r="AI138" s="22"/>
      <c r="AJ138" s="22">
        <v>0.3</v>
      </c>
      <c r="AK138" s="22"/>
      <c r="AL138" s="22"/>
      <c r="AM138" s="22"/>
      <c r="AN138" s="22"/>
      <c r="AO138" s="104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98"/>
      <c r="BB138" s="98"/>
      <c r="BC138" s="124">
        <v>0.7</v>
      </c>
      <c r="BD138" s="124"/>
      <c r="BE138" s="104"/>
      <c r="BF138" s="22"/>
      <c r="BG138" s="22"/>
      <c r="BH138" s="22"/>
      <c r="BI138" s="78">
        <f t="shared" si="483"/>
        <v>1</v>
      </c>
      <c r="BJ138" s="23"/>
      <c r="BK138" s="23"/>
      <c r="BL138" s="23"/>
      <c r="BM138" s="23"/>
      <c r="BN138" s="23"/>
      <c r="BO138" s="99"/>
      <c r="BP138" s="23"/>
      <c r="BQ138" s="23"/>
      <c r="BR138" s="23"/>
      <c r="BS138" s="23"/>
      <c r="BT138" s="105"/>
      <c r="BU138" s="23"/>
      <c r="BV138" s="23"/>
      <c r="BW138" s="105"/>
      <c r="BX138" s="23"/>
      <c r="BY138" s="23"/>
      <c r="BZ138" s="23"/>
      <c r="CA138" s="105"/>
      <c r="CB138" s="105"/>
      <c r="CC138" s="105"/>
      <c r="CD138" s="23"/>
      <c r="CE138" s="23"/>
      <c r="CF138" s="71"/>
      <c r="CG138" s="128"/>
      <c r="CH138" s="128"/>
      <c r="CI138" s="23"/>
      <c r="CJ138" s="23"/>
      <c r="CK138" s="23"/>
      <c r="CL138" s="23">
        <v>0.3</v>
      </c>
      <c r="CM138" s="23"/>
      <c r="CN138" s="23"/>
      <c r="CO138" s="23"/>
      <c r="CP138" s="105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3"/>
      <c r="DB138" s="99"/>
      <c r="DC138" s="99"/>
      <c r="DD138" s="125">
        <v>0.7</v>
      </c>
      <c r="DE138" s="125"/>
      <c r="DF138" s="105"/>
      <c r="DG138" s="23"/>
      <c r="DH138" s="23"/>
      <c r="DI138" s="23"/>
      <c r="DJ138" s="79">
        <f t="shared" si="485"/>
        <v>1</v>
      </c>
      <c r="DK138" s="24"/>
      <c r="DL138" s="24"/>
      <c r="DM138" s="24"/>
      <c r="DN138" s="24">
        <v>0.7</v>
      </c>
      <c r="DO138" s="24"/>
      <c r="DP138" s="103"/>
      <c r="DQ138" s="24"/>
      <c r="DR138" s="24"/>
      <c r="DS138" s="24"/>
      <c r="DT138" s="24"/>
      <c r="DU138" s="108"/>
      <c r="DV138" s="24"/>
      <c r="DW138" s="24"/>
      <c r="DX138" s="108"/>
      <c r="DY138" s="24"/>
      <c r="DZ138" s="24"/>
      <c r="EA138" s="24"/>
      <c r="EB138" s="108"/>
      <c r="EC138" s="108"/>
      <c r="ED138" s="108"/>
      <c r="EE138" s="24"/>
      <c r="EF138" s="24"/>
      <c r="EG138" s="24"/>
      <c r="EH138" s="129"/>
      <c r="EI138" s="129"/>
      <c r="EJ138" s="24"/>
      <c r="EK138" s="24"/>
      <c r="EL138" s="24"/>
      <c r="EM138" s="24">
        <v>0.2</v>
      </c>
      <c r="EN138" s="24"/>
      <c r="EO138" s="24"/>
      <c r="EP138" s="24"/>
      <c r="EQ138" s="108"/>
      <c r="ER138" s="24"/>
      <c r="ES138" s="25"/>
      <c r="ET138" s="25"/>
      <c r="EU138" s="25">
        <v>0.08</v>
      </c>
      <c r="EV138" s="25"/>
      <c r="EW138" s="25"/>
      <c r="EX138" s="25"/>
      <c r="EY138" s="25"/>
      <c r="EZ138" s="25"/>
      <c r="FA138" s="25"/>
      <c r="FB138" s="25"/>
      <c r="FC138" s="100"/>
      <c r="FD138" s="100"/>
      <c r="FE138" s="126"/>
      <c r="FF138" s="126"/>
      <c r="FG138" s="106"/>
      <c r="FH138" s="25"/>
      <c r="FI138" s="25"/>
      <c r="FJ138" s="25">
        <v>0.02</v>
      </c>
      <c r="FK138" s="17">
        <f>SUM(DK138:FJ138)</f>
        <v>0.99999999999999989</v>
      </c>
      <c r="FL138" s="18"/>
      <c r="FM138" s="19">
        <f t="shared" si="298"/>
        <v>0</v>
      </c>
      <c r="FN138" s="19">
        <f t="shared" si="299"/>
        <v>0</v>
      </c>
      <c r="FO138" s="19">
        <f t="shared" si="300"/>
        <v>0</v>
      </c>
      <c r="FP138" s="19">
        <f t="shared" si="301"/>
        <v>1.0499999999999998</v>
      </c>
      <c r="FQ138" s="19">
        <f t="shared" si="302"/>
        <v>0</v>
      </c>
      <c r="FR138" s="19">
        <f t="shared" si="303"/>
        <v>0</v>
      </c>
      <c r="FS138" s="19">
        <f t="shared" si="304"/>
        <v>0</v>
      </c>
      <c r="FT138" s="19">
        <f t="shared" si="305"/>
        <v>0</v>
      </c>
      <c r="FU138" s="19">
        <f t="shared" si="306"/>
        <v>0</v>
      </c>
      <c r="FV138" s="19">
        <f t="shared" si="307"/>
        <v>0</v>
      </c>
      <c r="FW138" s="19">
        <f t="shared" si="308"/>
        <v>0</v>
      </c>
      <c r="FX138" s="19">
        <f t="shared" si="309"/>
        <v>0</v>
      </c>
      <c r="FY138" s="19">
        <f t="shared" si="310"/>
        <v>0</v>
      </c>
      <c r="FZ138" s="19">
        <f t="shared" si="311"/>
        <v>0</v>
      </c>
      <c r="GA138" s="19">
        <f t="shared" si="312"/>
        <v>0</v>
      </c>
      <c r="GB138" s="19">
        <f t="shared" si="313"/>
        <v>0</v>
      </c>
      <c r="GC138" s="19">
        <f t="shared" si="314"/>
        <v>0</v>
      </c>
      <c r="GD138" s="19">
        <f t="shared" si="315"/>
        <v>0</v>
      </c>
      <c r="GE138" s="19">
        <f t="shared" si="316"/>
        <v>0</v>
      </c>
      <c r="GF138" s="19">
        <f t="shared" si="317"/>
        <v>0</v>
      </c>
      <c r="GG138" s="19">
        <f t="shared" si="318"/>
        <v>0</v>
      </c>
      <c r="GH138" s="19">
        <f t="shared" si="319"/>
        <v>0</v>
      </c>
      <c r="GI138" s="19">
        <f t="shared" si="320"/>
        <v>0</v>
      </c>
      <c r="GJ138" s="19">
        <f t="shared" si="321"/>
        <v>0</v>
      </c>
      <c r="GK138" s="19">
        <f t="shared" si="322"/>
        <v>0</v>
      </c>
      <c r="GL138" s="19">
        <f t="shared" si="323"/>
        <v>0</v>
      </c>
      <c r="GM138" s="19">
        <f t="shared" si="324"/>
        <v>0</v>
      </c>
      <c r="GN138" s="19">
        <f t="shared" si="325"/>
        <v>0.44999999999999996</v>
      </c>
      <c r="GO138" s="19">
        <f t="shared" si="326"/>
        <v>0.9</v>
      </c>
      <c r="GP138" s="19">
        <f t="shared" si="327"/>
        <v>0</v>
      </c>
      <c r="GQ138" s="19">
        <f t="shared" si="328"/>
        <v>0</v>
      </c>
      <c r="GR138" s="19">
        <f t="shared" si="329"/>
        <v>0</v>
      </c>
      <c r="GS138" s="19">
        <f t="shared" si="330"/>
        <v>0</v>
      </c>
      <c r="GT138" s="19">
        <f t="shared" si="331"/>
        <v>0</v>
      </c>
      <c r="GU138" s="19">
        <f t="shared" si="332"/>
        <v>0</v>
      </c>
      <c r="GV138" s="19">
        <f t="shared" si="333"/>
        <v>0</v>
      </c>
      <c r="GW138" s="19">
        <f t="shared" si="334"/>
        <v>0.12</v>
      </c>
      <c r="GX138" s="19">
        <f t="shared" si="335"/>
        <v>0</v>
      </c>
      <c r="GY138" s="19">
        <f t="shared" si="336"/>
        <v>0</v>
      </c>
      <c r="GZ138" s="19">
        <f t="shared" si="337"/>
        <v>0</v>
      </c>
      <c r="HA138" s="19">
        <f t="shared" si="338"/>
        <v>0</v>
      </c>
      <c r="HB138" s="19">
        <f t="shared" si="339"/>
        <v>0</v>
      </c>
      <c r="HC138" s="19">
        <f t="shared" si="340"/>
        <v>0</v>
      </c>
      <c r="HD138" s="19">
        <f t="shared" si="341"/>
        <v>0</v>
      </c>
      <c r="HE138" s="19">
        <f t="shared" si="342"/>
        <v>0</v>
      </c>
      <c r="HF138" s="19">
        <f t="shared" si="343"/>
        <v>0</v>
      </c>
      <c r="HG138" s="19">
        <f t="shared" si="344"/>
        <v>2.4499999999999997</v>
      </c>
      <c r="HH138" s="19">
        <f t="shared" si="345"/>
        <v>0</v>
      </c>
      <c r="HI138" s="19">
        <f t="shared" si="346"/>
        <v>0</v>
      </c>
      <c r="HJ138" s="19">
        <f t="shared" si="347"/>
        <v>0</v>
      </c>
      <c r="HK138" s="19">
        <f t="shared" si="348"/>
        <v>0</v>
      </c>
      <c r="HL138" s="19">
        <f t="shared" si="349"/>
        <v>0.03</v>
      </c>
      <c r="HM138" s="20">
        <f t="shared" si="350"/>
        <v>5</v>
      </c>
      <c r="HN138" s="53">
        <v>4735</v>
      </c>
      <c r="HO138" s="21">
        <f t="shared" si="351"/>
        <v>0</v>
      </c>
      <c r="HP138" s="21">
        <f t="shared" si="352"/>
        <v>0</v>
      </c>
      <c r="HQ138" s="21">
        <f t="shared" si="353"/>
        <v>0</v>
      </c>
      <c r="HR138" s="21">
        <f t="shared" si="354"/>
        <v>994.3499999999998</v>
      </c>
      <c r="HS138" s="21">
        <f t="shared" si="355"/>
        <v>0</v>
      </c>
      <c r="HT138" s="69">
        <f t="shared" si="356"/>
        <v>0</v>
      </c>
      <c r="HU138" s="21">
        <f t="shared" si="357"/>
        <v>0</v>
      </c>
      <c r="HV138" s="21">
        <f t="shared" si="358"/>
        <v>0</v>
      </c>
      <c r="HW138" s="21">
        <f t="shared" si="359"/>
        <v>0</v>
      </c>
      <c r="HX138" s="21">
        <f t="shared" si="360"/>
        <v>0</v>
      </c>
      <c r="HY138" s="21">
        <f t="shared" si="361"/>
        <v>0</v>
      </c>
      <c r="HZ138" s="21">
        <f t="shared" si="362"/>
        <v>0</v>
      </c>
      <c r="IA138" s="21">
        <f t="shared" si="363"/>
        <v>0</v>
      </c>
      <c r="IB138" s="21">
        <f t="shared" si="364"/>
        <v>0</v>
      </c>
      <c r="IC138" s="21">
        <f t="shared" si="365"/>
        <v>0</v>
      </c>
      <c r="ID138" s="21">
        <f t="shared" si="366"/>
        <v>0</v>
      </c>
      <c r="IE138" s="21">
        <f t="shared" si="367"/>
        <v>0</v>
      </c>
      <c r="IF138" s="69">
        <f t="shared" si="368"/>
        <v>0</v>
      </c>
      <c r="IG138" s="69">
        <f t="shared" si="369"/>
        <v>0</v>
      </c>
      <c r="IH138" s="69">
        <f t="shared" si="370"/>
        <v>0</v>
      </c>
      <c r="II138" s="21">
        <f t="shared" si="371"/>
        <v>0</v>
      </c>
      <c r="IJ138" s="21">
        <f t="shared" si="372"/>
        <v>0</v>
      </c>
      <c r="IK138" s="21">
        <f t="shared" si="373"/>
        <v>0</v>
      </c>
      <c r="IL138" s="21">
        <f t="shared" si="374"/>
        <v>0</v>
      </c>
      <c r="IM138" s="21">
        <f t="shared" si="375"/>
        <v>0</v>
      </c>
      <c r="IN138" s="21">
        <f t="shared" si="376"/>
        <v>0</v>
      </c>
      <c r="IO138" s="21">
        <f t="shared" si="377"/>
        <v>0</v>
      </c>
      <c r="IP138" s="21">
        <f t="shared" si="378"/>
        <v>426.15</v>
      </c>
      <c r="IQ138" s="21">
        <f t="shared" si="379"/>
        <v>852.3</v>
      </c>
      <c r="IR138" s="21">
        <f t="shared" si="380"/>
        <v>0</v>
      </c>
      <c r="IS138" s="21">
        <f t="shared" si="381"/>
        <v>0</v>
      </c>
      <c r="IT138" s="21">
        <f t="shared" si="382"/>
        <v>0</v>
      </c>
      <c r="IU138" s="21">
        <f t="shared" si="383"/>
        <v>0</v>
      </c>
      <c r="IV138" s="21">
        <f t="shared" si="384"/>
        <v>0</v>
      </c>
      <c r="IW138" s="21">
        <f t="shared" si="385"/>
        <v>0</v>
      </c>
      <c r="IX138" s="21">
        <f t="shared" si="386"/>
        <v>0</v>
      </c>
      <c r="IY138" s="21">
        <f t="shared" si="387"/>
        <v>113.63999999999999</v>
      </c>
      <c r="IZ138" s="21">
        <f t="shared" si="388"/>
        <v>0</v>
      </c>
      <c r="JA138" s="21">
        <f t="shared" si="389"/>
        <v>0</v>
      </c>
      <c r="JB138" s="21">
        <f t="shared" si="390"/>
        <v>0</v>
      </c>
      <c r="JC138" s="21">
        <f t="shared" si="391"/>
        <v>0</v>
      </c>
      <c r="JD138" s="21">
        <f t="shared" si="392"/>
        <v>0</v>
      </c>
      <c r="JE138" s="21">
        <f t="shared" si="393"/>
        <v>0</v>
      </c>
      <c r="JF138" s="21">
        <f t="shared" si="394"/>
        <v>0</v>
      </c>
      <c r="JG138" s="21">
        <f t="shared" si="395"/>
        <v>0</v>
      </c>
      <c r="JH138" s="21">
        <f t="shared" si="396"/>
        <v>0</v>
      </c>
      <c r="JI138" s="21">
        <f t="shared" si="397"/>
        <v>2320.1499999999996</v>
      </c>
      <c r="JJ138" s="21">
        <f t="shared" si="398"/>
        <v>0</v>
      </c>
      <c r="JK138" s="21">
        <f t="shared" si="399"/>
        <v>0</v>
      </c>
      <c r="JL138" s="21">
        <f t="shared" si="400"/>
        <v>0</v>
      </c>
      <c r="JM138" s="21">
        <f t="shared" si="401"/>
        <v>0</v>
      </c>
      <c r="JN138" s="21">
        <f t="shared" si="402"/>
        <v>28.409999999999997</v>
      </c>
      <c r="JO138" s="35">
        <f t="shared" si="486"/>
        <v>4734.9999999999991</v>
      </c>
      <c r="JP138" s="38">
        <f t="shared" si="487"/>
        <v>0</v>
      </c>
      <c r="JQ138" s="43">
        <f t="shared" si="405"/>
        <v>0</v>
      </c>
      <c r="JR138" s="43">
        <f t="shared" si="406"/>
        <v>0</v>
      </c>
      <c r="JS138" s="43">
        <f t="shared" si="407"/>
        <v>0</v>
      </c>
      <c r="JT138" s="43">
        <f t="shared" si="408"/>
        <v>4276.6198019999993</v>
      </c>
      <c r="JU138" s="43">
        <f t="shared" si="409"/>
        <v>0</v>
      </c>
      <c r="JV138" s="43">
        <f t="shared" si="410"/>
        <v>0</v>
      </c>
      <c r="JW138" s="43">
        <f t="shared" si="411"/>
        <v>0</v>
      </c>
      <c r="JX138" s="43">
        <f t="shared" si="412"/>
        <v>0</v>
      </c>
      <c r="JY138" s="43">
        <f t="shared" si="413"/>
        <v>0</v>
      </c>
      <c r="JZ138" s="43">
        <f t="shared" si="414"/>
        <v>0</v>
      </c>
      <c r="KA138" s="43">
        <f t="shared" si="415"/>
        <v>0</v>
      </c>
      <c r="KB138" s="43">
        <f t="shared" si="416"/>
        <v>0</v>
      </c>
      <c r="KC138" s="43">
        <f t="shared" si="417"/>
        <v>0</v>
      </c>
      <c r="KD138" s="43">
        <f t="shared" si="418"/>
        <v>0</v>
      </c>
      <c r="KE138" s="43">
        <f t="shared" si="419"/>
        <v>0</v>
      </c>
      <c r="KF138" s="43">
        <f t="shared" si="420"/>
        <v>0</v>
      </c>
      <c r="KG138" s="43">
        <f t="shared" si="421"/>
        <v>0</v>
      </c>
      <c r="KH138" s="43">
        <f t="shared" si="422"/>
        <v>0</v>
      </c>
      <c r="KI138" s="43">
        <f t="shared" si="423"/>
        <v>0</v>
      </c>
      <c r="KJ138" s="43">
        <f t="shared" si="424"/>
        <v>0</v>
      </c>
      <c r="KK138" s="43">
        <f t="shared" si="425"/>
        <v>0</v>
      </c>
      <c r="KL138" s="43">
        <f t="shared" si="426"/>
        <v>0</v>
      </c>
      <c r="KM138" s="43">
        <f t="shared" si="427"/>
        <v>0</v>
      </c>
      <c r="KN138" s="43">
        <f t="shared" si="428"/>
        <v>0</v>
      </c>
      <c r="KO138" s="43">
        <f t="shared" si="429"/>
        <v>0</v>
      </c>
      <c r="KP138" s="43">
        <f t="shared" si="430"/>
        <v>0</v>
      </c>
      <c r="KQ138" s="43">
        <f t="shared" si="431"/>
        <v>0</v>
      </c>
      <c r="KR138" s="43">
        <f t="shared" si="432"/>
        <v>1644.9389999999999</v>
      </c>
      <c r="KS138" s="43">
        <f t="shared" si="433"/>
        <v>2914.2958026909091</v>
      </c>
      <c r="KT138" s="43">
        <f t="shared" si="434"/>
        <v>0</v>
      </c>
      <c r="KU138" s="43">
        <f t="shared" si="435"/>
        <v>0</v>
      </c>
      <c r="KV138" s="43">
        <f t="shared" si="436"/>
        <v>0</v>
      </c>
      <c r="KW138" s="43">
        <f t="shared" si="437"/>
        <v>0</v>
      </c>
      <c r="KX138" s="43">
        <f t="shared" si="438"/>
        <v>0</v>
      </c>
      <c r="KY138" s="43">
        <f t="shared" si="439"/>
        <v>0</v>
      </c>
      <c r="KZ138" s="43">
        <f t="shared" si="440"/>
        <v>0</v>
      </c>
      <c r="LA138" s="43">
        <f t="shared" si="441"/>
        <v>455.33729759999989</v>
      </c>
      <c r="LB138" s="43">
        <f t="shared" si="442"/>
        <v>0</v>
      </c>
      <c r="LC138" s="43">
        <f t="shared" si="443"/>
        <v>0</v>
      </c>
      <c r="LD138" s="43">
        <f t="shared" si="444"/>
        <v>0</v>
      </c>
      <c r="LE138" s="43">
        <f t="shared" si="445"/>
        <v>0</v>
      </c>
      <c r="LF138" s="43">
        <f t="shared" si="446"/>
        <v>0</v>
      </c>
      <c r="LG138" s="43">
        <f t="shared" si="447"/>
        <v>0</v>
      </c>
      <c r="LH138" s="43">
        <f t="shared" si="448"/>
        <v>0</v>
      </c>
      <c r="LI138" s="43">
        <f t="shared" si="449"/>
        <v>0</v>
      </c>
      <c r="LJ138" s="43">
        <f t="shared" si="450"/>
        <v>0</v>
      </c>
      <c r="LK138" s="43">
        <f t="shared" si="451"/>
        <v>9293.9408624999978</v>
      </c>
      <c r="LL138" s="43">
        <f t="shared" si="452"/>
        <v>0</v>
      </c>
      <c r="LM138" s="43">
        <f t="shared" si="453"/>
        <v>0</v>
      </c>
      <c r="LN138" s="43">
        <f t="shared" si="454"/>
        <v>0</v>
      </c>
      <c r="LO138" s="43">
        <f t="shared" si="455"/>
        <v>0</v>
      </c>
      <c r="LP138" s="43">
        <f t="shared" si="456"/>
        <v>240.06449999999995</v>
      </c>
      <c r="LQ138" s="28">
        <f t="shared" si="488"/>
        <v>18825.197264790906</v>
      </c>
      <c r="LR138" s="65">
        <v>4586</v>
      </c>
      <c r="LS138" s="32">
        <f t="shared" si="462"/>
        <v>4.1049274454406683</v>
      </c>
      <c r="LT138" s="26">
        <f t="shared" si="463"/>
        <v>1.1215648758034613</v>
      </c>
      <c r="LU138" s="31">
        <f t="shared" si="489"/>
        <v>149</v>
      </c>
      <c r="LW138" s="42"/>
      <c r="MA138" s="32">
        <f t="shared" si="490"/>
        <v>3.9757544381818182</v>
      </c>
      <c r="MB138" s="26">
        <f t="shared" si="464"/>
        <v>1.0862717044212618</v>
      </c>
    </row>
    <row r="139" spans="1:340" ht="15.75" thickBot="1">
      <c r="A139" t="b">
        <f t="shared" si="484"/>
        <v>1</v>
      </c>
      <c r="B139" s="123" t="s">
        <v>323</v>
      </c>
      <c r="C139" s="39" t="s">
        <v>86</v>
      </c>
      <c r="D139"/>
      <c r="E139" s="97">
        <v>46045</v>
      </c>
      <c r="F139" t="s">
        <v>43</v>
      </c>
      <c r="G139" t="s">
        <v>19</v>
      </c>
      <c r="H139" t="s">
        <v>27</v>
      </c>
      <c r="I139" s="77"/>
      <c r="J139" s="77"/>
      <c r="K139" s="77"/>
      <c r="L139" s="22"/>
      <c r="M139" s="22"/>
      <c r="N139" s="98"/>
      <c r="O139" s="22"/>
      <c r="P139" s="22"/>
      <c r="Q139" s="22"/>
      <c r="R139" s="22"/>
      <c r="S139" s="104"/>
      <c r="T139" s="22"/>
      <c r="U139" s="22"/>
      <c r="V139" s="104"/>
      <c r="W139" s="22"/>
      <c r="X139" s="22"/>
      <c r="Y139" s="22"/>
      <c r="Z139" s="104"/>
      <c r="AA139" s="104"/>
      <c r="AB139" s="104"/>
      <c r="AC139" s="22"/>
      <c r="AD139" s="22"/>
      <c r="AE139" s="22"/>
      <c r="AF139" s="124"/>
      <c r="AG139" s="124"/>
      <c r="AH139" s="22"/>
      <c r="AI139" s="104"/>
      <c r="AJ139" s="22"/>
      <c r="AK139" s="22"/>
      <c r="AL139" s="22"/>
      <c r="AM139" s="22"/>
      <c r="AN139" s="22"/>
      <c r="AO139" s="104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>
        <v>0.01</v>
      </c>
      <c r="AZ139" s="22"/>
      <c r="BA139" s="98"/>
      <c r="BB139" s="98">
        <v>0.495</v>
      </c>
      <c r="BC139" s="124">
        <v>0.495</v>
      </c>
      <c r="BD139" s="124"/>
      <c r="BE139" s="104"/>
      <c r="BF139" s="22"/>
      <c r="BG139" s="22"/>
      <c r="BH139" s="22"/>
      <c r="BI139" s="78">
        <f t="shared" si="483"/>
        <v>1</v>
      </c>
      <c r="BJ139" s="23"/>
      <c r="BK139" s="23"/>
      <c r="BL139" s="23"/>
      <c r="BM139" s="23"/>
      <c r="BN139" s="23"/>
      <c r="BO139" s="99"/>
      <c r="BP139" s="23"/>
      <c r="BQ139" s="23"/>
      <c r="BR139" s="23"/>
      <c r="BS139" s="23"/>
      <c r="BT139" s="105"/>
      <c r="BU139" s="23"/>
      <c r="BV139" s="23"/>
      <c r="BW139" s="105"/>
      <c r="BX139" s="23"/>
      <c r="BY139" s="23"/>
      <c r="BZ139" s="23"/>
      <c r="CA139" s="105"/>
      <c r="CB139" s="105"/>
      <c r="CC139" s="105"/>
      <c r="CD139" s="23"/>
      <c r="CE139" s="23"/>
      <c r="CF139" s="71"/>
      <c r="CG139" s="128"/>
      <c r="CH139" s="128"/>
      <c r="CI139" s="23"/>
      <c r="CJ139" s="23"/>
      <c r="CK139" s="23"/>
      <c r="CL139" s="23"/>
      <c r="CM139" s="23"/>
      <c r="CN139" s="23"/>
      <c r="CO139" s="23"/>
      <c r="CP139" s="105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B139" s="99"/>
      <c r="DC139" s="99"/>
      <c r="DD139" s="125"/>
      <c r="DE139" s="125"/>
      <c r="DF139" s="105"/>
      <c r="DG139" s="23"/>
      <c r="DH139" s="23"/>
      <c r="DI139" s="23"/>
      <c r="DJ139" s="79">
        <f t="shared" si="485"/>
        <v>0</v>
      </c>
      <c r="DK139" s="24"/>
      <c r="DL139" s="24"/>
      <c r="DM139" s="24"/>
      <c r="DN139" s="24"/>
      <c r="DO139" s="24"/>
      <c r="DP139" s="103"/>
      <c r="DQ139" s="24"/>
      <c r="DR139" s="24"/>
      <c r="DS139" s="24"/>
      <c r="DT139" s="24"/>
      <c r="DU139" s="108"/>
      <c r="DV139" s="24"/>
      <c r="DW139" s="24"/>
      <c r="DX139" s="108"/>
      <c r="DY139" s="24"/>
      <c r="DZ139" s="24"/>
      <c r="EA139" s="24"/>
      <c r="EB139" s="108"/>
      <c r="EC139" s="108"/>
      <c r="ED139" s="108"/>
      <c r="EE139" s="24"/>
      <c r="EF139" s="24"/>
      <c r="EG139" s="24"/>
      <c r="EH139" s="129"/>
      <c r="EI139" s="129"/>
      <c r="EJ139" s="24"/>
      <c r="EK139" s="24"/>
      <c r="EL139" s="24"/>
      <c r="EM139" s="24"/>
      <c r="EN139" s="24"/>
      <c r="EO139" s="24"/>
      <c r="EP139" s="24"/>
      <c r="EQ139" s="108"/>
      <c r="ER139" s="24"/>
      <c r="ES139" s="25"/>
      <c r="ET139" s="25"/>
      <c r="EU139" s="25"/>
      <c r="EV139" s="25"/>
      <c r="EW139" s="25"/>
      <c r="EX139" s="25"/>
      <c r="EY139" s="25"/>
      <c r="EZ139" s="25"/>
      <c r="FA139" s="25"/>
      <c r="FB139" s="25"/>
      <c r="FC139" s="100"/>
      <c r="FD139" s="100"/>
      <c r="FE139" s="126"/>
      <c r="FF139" s="126"/>
      <c r="FG139" s="106"/>
      <c r="FH139" s="25"/>
      <c r="FI139" s="25"/>
      <c r="FJ139" s="25"/>
      <c r="FK139" s="17">
        <f>SUM(DK139:FJ139)</f>
        <v>0</v>
      </c>
      <c r="FL139" s="18"/>
      <c r="FM139" s="19">
        <f t="shared" ref="FM139:FM156" si="505">I139*1.5+BJ139*2+DK139*1.5</f>
        <v>0</v>
      </c>
      <c r="FN139" s="19">
        <f t="shared" ref="FN139:FN156" si="506">J139*1.5+BK139*2+DL139*1.5</f>
        <v>0</v>
      </c>
      <c r="FO139" s="19">
        <f t="shared" ref="FO139:FO156" si="507">K139*1.5+BL139*2+DM139*1.5</f>
        <v>0</v>
      </c>
      <c r="FP139" s="19">
        <f t="shared" ref="FP139:FP156" si="508">L139*1.5+BM139*2+DN139*1.5</f>
        <v>0</v>
      </c>
      <c r="FQ139" s="19">
        <f t="shared" ref="FQ139:FQ156" si="509">M139*1.5+BN139*2+DO139*1.5</f>
        <v>0</v>
      </c>
      <c r="FR139" s="19">
        <f t="shared" ref="FR139:FR156" si="510">N139*1.5+BO139*2+DP139*1.5</f>
        <v>0</v>
      </c>
      <c r="FS139" s="19">
        <f t="shared" ref="FS139:FS156" si="511">O139*1.5+BP139*2+DQ139*1.5</f>
        <v>0</v>
      </c>
      <c r="FT139" s="19">
        <f t="shared" ref="FT139:FT156" si="512">P139*1.5+BQ139*2+DR139*1.5</f>
        <v>0</v>
      </c>
      <c r="FU139" s="19">
        <f t="shared" ref="FU139:FU156" si="513">Q139*1.5+BR139*2+DS139*1.5</f>
        <v>0</v>
      </c>
      <c r="FV139" s="19">
        <f t="shared" ref="FV139:FV156" si="514">R139*1.5+BS139*2+DT139*1.5</f>
        <v>0</v>
      </c>
      <c r="FW139" s="19">
        <f t="shared" ref="FW139:FW156" si="515">S139*1.5+BT139*2+DU139*1.5</f>
        <v>0</v>
      </c>
      <c r="FX139" s="19">
        <f t="shared" ref="FX139:FX156" si="516">T139*1.5+BU139*2+DV139*1.5</f>
        <v>0</v>
      </c>
      <c r="FY139" s="19">
        <f t="shared" ref="FY139:FY156" si="517">U139*1.5+BV139*2+DW139*1.5</f>
        <v>0</v>
      </c>
      <c r="FZ139" s="19">
        <f t="shared" ref="FZ139:FZ156" si="518">V139*1.5+BW139*2+DX139*1.5</f>
        <v>0</v>
      </c>
      <c r="GA139" s="19">
        <f t="shared" ref="GA139:GA156" si="519">W139*1.5+BX139*2+DY139*1.5</f>
        <v>0</v>
      </c>
      <c r="GB139" s="19">
        <f t="shared" ref="GB139:GB156" si="520">X139*1.5+BY139*2+DZ139*1.5</f>
        <v>0</v>
      </c>
      <c r="GC139" s="19">
        <f t="shared" ref="GC139:GC156" si="521">Y139*1.5+BZ139*2+EA139*1.5</f>
        <v>0</v>
      </c>
      <c r="GD139" s="19">
        <f t="shared" ref="GD139:GD156" si="522">Z139*1.5+CA139*2+EB139*1.5</f>
        <v>0</v>
      </c>
      <c r="GE139" s="19">
        <f t="shared" ref="GE139:GE156" si="523">AA139*1.5+CB139*2+EC139*1.5</f>
        <v>0</v>
      </c>
      <c r="GF139" s="19">
        <f t="shared" ref="GF139:GF156" si="524">AB139*1.5+CC139*2+ED139*1.5</f>
        <v>0</v>
      </c>
      <c r="GG139" s="19">
        <f t="shared" ref="GG139:GG156" si="525">AC139*1.5+CD139*2+EE139*1.5</f>
        <v>0</v>
      </c>
      <c r="GH139" s="19">
        <f t="shared" ref="GH139:GH156" si="526">AD139*1.5+CE139*2+EF139*1.5</f>
        <v>0</v>
      </c>
      <c r="GI139" s="19">
        <f t="shared" ref="GI139:GI156" si="527">AE139*1.5+CF139*2+EG139*1.5</f>
        <v>0</v>
      </c>
      <c r="GJ139" s="19">
        <f t="shared" ref="GJ139:GJ156" si="528">AF139*1.5+CG139*2+EH139*1.5</f>
        <v>0</v>
      </c>
      <c r="GK139" s="19">
        <f t="shared" ref="GK139:GK156" si="529">AG139*1.5+CH139*2+EI139*1.5</f>
        <v>0</v>
      </c>
      <c r="GL139" s="19">
        <f t="shared" ref="GL139:GL156" si="530">AH139*1.5+CI139*2+EJ139*1.5</f>
        <v>0</v>
      </c>
      <c r="GM139" s="19">
        <f t="shared" ref="GM139:GM156" si="531">AI139*1.5+CJ139*2+EK139*1.5</f>
        <v>0</v>
      </c>
      <c r="GN139" s="19">
        <f t="shared" ref="GN139:GN156" si="532">AJ139*1.5+CK139*2+EL139*1.5</f>
        <v>0</v>
      </c>
      <c r="GO139" s="19">
        <f t="shared" ref="GO139:GO156" si="533">AK139*1.5+CL139*2+EM139*1.5</f>
        <v>0</v>
      </c>
      <c r="GP139" s="19">
        <f t="shared" ref="GP139:GP156" si="534">AL139*1.5+CM139*2+EN139*1.5</f>
        <v>0</v>
      </c>
      <c r="GQ139" s="19">
        <f t="shared" ref="GQ139:GQ156" si="535">AM139*1.5+CN139*2+EO139*1.5</f>
        <v>0</v>
      </c>
      <c r="GR139" s="19">
        <f t="shared" ref="GR139:GR156" si="536">AN139*1.5+CO139*2+EP139*1.5</f>
        <v>0</v>
      </c>
      <c r="GS139" s="19">
        <f t="shared" ref="GS139:GS156" si="537">AO139*1.5+CP139*2+EQ139*1.5</f>
        <v>0</v>
      </c>
      <c r="GT139" s="19">
        <f t="shared" ref="GT139:GT156" si="538">AP139*1.5+CQ139*2+ER139*1.5</f>
        <v>0</v>
      </c>
      <c r="GU139" s="19">
        <f t="shared" ref="GU139:GU156" si="539">AQ139*1.5+CR139*2+ES139*1.5</f>
        <v>0</v>
      </c>
      <c r="GV139" s="19">
        <f t="shared" ref="GV139:GV156" si="540">AR139*1.5+CS139*2+ET139*1.5</f>
        <v>0</v>
      </c>
      <c r="GW139" s="19">
        <f t="shared" ref="GW139:GW156" si="541">AS139*1.5+CT139*2+EU139*1.5</f>
        <v>0</v>
      </c>
      <c r="GX139" s="19">
        <f t="shared" ref="GX139:GX156" si="542">AT139*1.5+CU139*2+EV139*1.5</f>
        <v>0</v>
      </c>
      <c r="GY139" s="19">
        <f t="shared" ref="GY139:GY156" si="543">AU139*1.5+CV139*2+EW139*1.5</f>
        <v>0</v>
      </c>
      <c r="GZ139" s="19">
        <f t="shared" ref="GZ139:GZ156" si="544">AV139*1.5+CW139*2+EX139*1.5</f>
        <v>0</v>
      </c>
      <c r="HA139" s="19">
        <f t="shared" ref="HA139:HA156" si="545">AW139*1.5+CX139*2+EY139*1.5</f>
        <v>0</v>
      </c>
      <c r="HB139" s="19">
        <f t="shared" ref="HB139:HB156" si="546">AX139*1.5+CY139*2+EZ139*1.5</f>
        <v>0</v>
      </c>
      <c r="HC139" s="19">
        <f t="shared" ref="HC139:HC156" si="547">AY139*1.5+CZ139*2+FA139*1.5</f>
        <v>1.4999999999999999E-2</v>
      </c>
      <c r="HD139" s="19">
        <f t="shared" ref="HD139:HD156" si="548">AZ139*1.5+DA139*2+FB139*1.5</f>
        <v>0</v>
      </c>
      <c r="HE139" s="19">
        <f t="shared" ref="HE139:HE156" si="549">BA139*1.5+DB139*2+FC139*1.5</f>
        <v>0</v>
      </c>
      <c r="HF139" s="19">
        <f t="shared" ref="HF139:HF156" si="550">BB139*1.5+DC139*2+FD139*1.5</f>
        <v>0.74249999999999994</v>
      </c>
      <c r="HG139" s="19">
        <f t="shared" ref="HG139:HG156" si="551">BC139*1.5+DD139*2+FE139*1.5</f>
        <v>0.74249999999999994</v>
      </c>
      <c r="HH139" s="19">
        <f t="shared" ref="HH139:HH156" si="552">BD139*1.5+DE139*2+FF139*1.5</f>
        <v>0</v>
      </c>
      <c r="HI139" s="19">
        <f t="shared" ref="HI139:HI156" si="553">BE139*1.5+DF139*2+FG139*1.5</f>
        <v>0</v>
      </c>
      <c r="HJ139" s="19">
        <f t="shared" ref="HJ139:HJ156" si="554">BF139*1.5+DG139*2+FH139*1.5</f>
        <v>0</v>
      </c>
      <c r="HK139" s="19">
        <f t="shared" ref="HK139:HK156" si="555">BG139*1.5+DH139*2+FI139*1.5</f>
        <v>0</v>
      </c>
      <c r="HL139" s="19">
        <f t="shared" ref="HL139:HL156" si="556">BH139*1.5+DI139*2+FJ139*1.5</f>
        <v>0</v>
      </c>
      <c r="HM139" s="20">
        <f t="shared" ref="HM139:HM156" si="557">SUM(FM139:HL139)</f>
        <v>1.5</v>
      </c>
      <c r="HN139" s="53">
        <v>2009.5</v>
      </c>
      <c r="HO139" s="21">
        <f t="shared" ref="HO139:HO156" si="558">$HN139*FM139/$HM139</f>
        <v>0</v>
      </c>
      <c r="HP139" s="21">
        <f t="shared" ref="HP139:HP156" si="559">$HN139*FN139/$HM139</f>
        <v>0</v>
      </c>
      <c r="HQ139" s="21">
        <f t="shared" ref="HQ139:HQ156" si="560">$HN139*FO139/$HM139</f>
        <v>0</v>
      </c>
      <c r="HR139" s="21">
        <f t="shared" ref="HR139:HR156" si="561">$HN139*FP139/$HM139</f>
        <v>0</v>
      </c>
      <c r="HS139" s="21">
        <f t="shared" ref="HS139:HS156" si="562">$HN139*FQ139/$HM139</f>
        <v>0</v>
      </c>
      <c r="HT139" s="69">
        <f t="shared" ref="HT139:HT156" si="563">$HN139*FR139/$HM139</f>
        <v>0</v>
      </c>
      <c r="HU139" s="21">
        <f t="shared" ref="HU139:HU156" si="564">$HN139*FS139/$HM139</f>
        <v>0</v>
      </c>
      <c r="HV139" s="21">
        <f t="shared" ref="HV139:HV156" si="565">$HN139*FT139/$HM139</f>
        <v>0</v>
      </c>
      <c r="HW139" s="21">
        <f t="shared" ref="HW139:HW156" si="566">$HN139*FU139/$HM139</f>
        <v>0</v>
      </c>
      <c r="HX139" s="21">
        <f t="shared" ref="HX139:HX156" si="567">$HN139*FV139/$HM139</f>
        <v>0</v>
      </c>
      <c r="HY139" s="21">
        <f t="shared" ref="HY139:HY156" si="568">$HN139*FW139/$HM139</f>
        <v>0</v>
      </c>
      <c r="HZ139" s="21">
        <f t="shared" ref="HZ139:HZ156" si="569">$HN139*FX139/$HM139</f>
        <v>0</v>
      </c>
      <c r="IA139" s="21">
        <f t="shared" ref="IA139:IA156" si="570">$HN139*FY139/$HM139</f>
        <v>0</v>
      </c>
      <c r="IB139" s="21">
        <f t="shared" ref="IB139:IB156" si="571">$HN139*FZ139/$HM139</f>
        <v>0</v>
      </c>
      <c r="IC139" s="21">
        <f t="shared" ref="IC139:IC156" si="572">$HN139*GA139/$HM139</f>
        <v>0</v>
      </c>
      <c r="ID139" s="21">
        <f t="shared" ref="ID139:ID156" si="573">$HN139*GB139/$HM139</f>
        <v>0</v>
      </c>
      <c r="IE139" s="21">
        <f t="shared" ref="IE139:IE156" si="574">$HN139*GC139/$HM139</f>
        <v>0</v>
      </c>
      <c r="IF139" s="69">
        <f t="shared" ref="IF139:IF156" si="575">$HN139*GD139/$HM139</f>
        <v>0</v>
      </c>
      <c r="IG139" s="69">
        <f t="shared" ref="IG139:IG156" si="576">$HN139*GE139/$HM139</f>
        <v>0</v>
      </c>
      <c r="IH139" s="69">
        <f t="shared" ref="IH139:IH156" si="577">$HN139*GF139/$HM139</f>
        <v>0</v>
      </c>
      <c r="II139" s="21">
        <f t="shared" ref="II139:II156" si="578">$HN139*GG139/$HM139</f>
        <v>0</v>
      </c>
      <c r="IJ139" s="21">
        <f t="shared" ref="IJ139:IJ156" si="579">$HN139*GH139/$HM139</f>
        <v>0</v>
      </c>
      <c r="IK139" s="21">
        <f t="shared" ref="IK139:IK156" si="580">$HN139*GI139/$HM139</f>
        <v>0</v>
      </c>
      <c r="IL139" s="21">
        <f t="shared" ref="IL139:IL156" si="581">$HN139*GJ139/$HM139</f>
        <v>0</v>
      </c>
      <c r="IM139" s="21">
        <f t="shared" ref="IM139:IM156" si="582">$HN139*GK139/$HM139</f>
        <v>0</v>
      </c>
      <c r="IN139" s="21">
        <f t="shared" ref="IN139:IN156" si="583">$HN139*GL139/$HM139</f>
        <v>0</v>
      </c>
      <c r="IO139" s="21">
        <f t="shared" ref="IO139:IO156" si="584">$HN139*GM139/$HM139</f>
        <v>0</v>
      </c>
      <c r="IP139" s="21">
        <f t="shared" ref="IP139:IP156" si="585">$HN139*GN139/$HM139</f>
        <v>0</v>
      </c>
      <c r="IQ139" s="21">
        <f t="shared" ref="IQ139:IQ156" si="586">$HN139*GO139/$HM139</f>
        <v>0</v>
      </c>
      <c r="IR139" s="21">
        <f t="shared" ref="IR139:IR156" si="587">$HN139*GP139/$HM139</f>
        <v>0</v>
      </c>
      <c r="IS139" s="21">
        <f t="shared" ref="IS139:IS156" si="588">$HN139*GQ139/$HM139</f>
        <v>0</v>
      </c>
      <c r="IT139" s="21">
        <f t="shared" ref="IT139:IT156" si="589">$HN139*GR139/$HM139</f>
        <v>0</v>
      </c>
      <c r="IU139" s="21">
        <f t="shared" ref="IU139:IU156" si="590">$HN139*GS139/$HM139</f>
        <v>0</v>
      </c>
      <c r="IV139" s="21">
        <f t="shared" ref="IV139:IV156" si="591">$HN139*GT139/$HM139</f>
        <v>0</v>
      </c>
      <c r="IW139" s="21">
        <f t="shared" ref="IW139:IW156" si="592">$HN139*GU139/$HM139</f>
        <v>0</v>
      </c>
      <c r="IX139" s="21">
        <f t="shared" ref="IX139:IX156" si="593">$HN139*GV139/$HM139</f>
        <v>0</v>
      </c>
      <c r="IY139" s="21">
        <f t="shared" ref="IY139:IY156" si="594">$HN139*GW139/$HM139</f>
        <v>0</v>
      </c>
      <c r="IZ139" s="21">
        <f t="shared" ref="IZ139:IZ156" si="595">$HN139*GX139/$HM139</f>
        <v>0</v>
      </c>
      <c r="JA139" s="21">
        <f t="shared" ref="JA139:JA156" si="596">$HN139*GY139/$HM139</f>
        <v>0</v>
      </c>
      <c r="JB139" s="21">
        <f t="shared" ref="JB139:JB156" si="597">$HN139*GZ139/$HM139</f>
        <v>0</v>
      </c>
      <c r="JC139" s="21">
        <f t="shared" ref="JC139:JC156" si="598">$HN139*HA139/$HM139</f>
        <v>0</v>
      </c>
      <c r="JD139" s="21">
        <f t="shared" ref="JD139:JD156" si="599">$HN139*HB139/$HM139</f>
        <v>0</v>
      </c>
      <c r="JE139" s="21">
        <f t="shared" ref="JE139:JE156" si="600">$HN139*HC139/$HM139</f>
        <v>20.094999999999999</v>
      </c>
      <c r="JF139" s="21">
        <f t="shared" ref="JF139:JF156" si="601">$HN139*HD139/$HM139</f>
        <v>0</v>
      </c>
      <c r="JG139" s="21">
        <f t="shared" ref="JG139:JG156" si="602">$HN139*HE139/$HM139</f>
        <v>0</v>
      </c>
      <c r="JH139" s="21">
        <f t="shared" ref="JH139:JH156" si="603">$HN139*HF139/$HM139</f>
        <v>994.70249999999987</v>
      </c>
      <c r="JI139" s="21">
        <f t="shared" ref="JI139:JI156" si="604">$HN139*HG139/$HM139</f>
        <v>994.70249999999987</v>
      </c>
      <c r="JJ139" s="21">
        <f t="shared" ref="JJ139:JJ156" si="605">$HN139*HH139/$HM139</f>
        <v>0</v>
      </c>
      <c r="JK139" s="21">
        <f t="shared" ref="JK139:JK156" si="606">$HN139*HI139/$HM139</f>
        <v>0</v>
      </c>
      <c r="JL139" s="21">
        <f t="shared" ref="JL139:JL156" si="607">$HN139*HJ139/$HM139</f>
        <v>0</v>
      </c>
      <c r="JM139" s="21">
        <f t="shared" ref="JM139:JM156" si="608">$HN139*HK139/$HM139</f>
        <v>0</v>
      </c>
      <c r="JN139" s="21">
        <f t="shared" ref="JN139:JN156" si="609">$HN139*HL139/$HM139</f>
        <v>0</v>
      </c>
      <c r="JO139" s="35">
        <f t="shared" si="486"/>
        <v>2009.4999999999998</v>
      </c>
      <c r="JP139" s="38">
        <f t="shared" si="487"/>
        <v>0</v>
      </c>
      <c r="JQ139" s="43">
        <f t="shared" ref="JQ139:JQ156" si="610">HO139*JQ$6</f>
        <v>0</v>
      </c>
      <c r="JR139" s="43">
        <f t="shared" ref="JR139:JR156" si="611">HP139*JR$6</f>
        <v>0</v>
      </c>
      <c r="JS139" s="43">
        <f t="shared" ref="JS139:JS156" si="612">HQ139*JS$6</f>
        <v>0</v>
      </c>
      <c r="JT139" s="43">
        <f t="shared" ref="JT139:JT156" si="613">HR139*JT$6</f>
        <v>0</v>
      </c>
      <c r="JU139" s="43">
        <f t="shared" ref="JU139:JU156" si="614">HS139*JU$6</f>
        <v>0</v>
      </c>
      <c r="JV139" s="43">
        <f t="shared" ref="JV139:JV156" si="615">HT139*JV$6</f>
        <v>0</v>
      </c>
      <c r="JW139" s="43">
        <f t="shared" ref="JW139:JW156" si="616">HU139*JW$6</f>
        <v>0</v>
      </c>
      <c r="JX139" s="43">
        <f t="shared" ref="JX139:JX156" si="617">HV139*JX$6</f>
        <v>0</v>
      </c>
      <c r="JY139" s="43">
        <f t="shared" ref="JY139:JY156" si="618">HW139*JY$6</f>
        <v>0</v>
      </c>
      <c r="JZ139" s="43">
        <f t="shared" ref="JZ139:JZ156" si="619">HX139*JZ$6</f>
        <v>0</v>
      </c>
      <c r="KA139" s="43">
        <f t="shared" ref="KA139:KA156" si="620">HY139*KA$6</f>
        <v>0</v>
      </c>
      <c r="KB139" s="43">
        <f t="shared" ref="KB139:KB156" si="621">HZ139*KB$6</f>
        <v>0</v>
      </c>
      <c r="KC139" s="43">
        <f t="shared" ref="KC139:KC156" si="622">IA139*KC$6</f>
        <v>0</v>
      </c>
      <c r="KD139" s="43">
        <f t="shared" ref="KD139:KD156" si="623">IB139*KD$6</f>
        <v>0</v>
      </c>
      <c r="KE139" s="43">
        <f t="shared" ref="KE139:KE156" si="624">IC139*KE$6</f>
        <v>0</v>
      </c>
      <c r="KF139" s="43">
        <f t="shared" ref="KF139:KF156" si="625">ID139*KF$6</f>
        <v>0</v>
      </c>
      <c r="KG139" s="43">
        <f t="shared" ref="KG139:KG156" si="626">IE139*KG$6</f>
        <v>0</v>
      </c>
      <c r="KH139" s="43">
        <f t="shared" ref="KH139:KH156" si="627">IF139*KH$6</f>
        <v>0</v>
      </c>
      <c r="KI139" s="43">
        <f t="shared" ref="KI139:KI156" si="628">IG139*KI$6</f>
        <v>0</v>
      </c>
      <c r="KJ139" s="43">
        <f t="shared" ref="KJ139:KJ156" si="629">IH139*KJ$6</f>
        <v>0</v>
      </c>
      <c r="KK139" s="43">
        <f t="shared" ref="KK139:KK156" si="630">II139*KK$6</f>
        <v>0</v>
      </c>
      <c r="KL139" s="43">
        <f t="shared" ref="KL139:KL156" si="631">IJ139*KL$6</f>
        <v>0</v>
      </c>
      <c r="KM139" s="43">
        <f t="shared" ref="KM139:KM156" si="632">IK139*KM$6</f>
        <v>0</v>
      </c>
      <c r="KN139" s="43">
        <f t="shared" ref="KN139:KN156" si="633">IL139*KN$6</f>
        <v>0</v>
      </c>
      <c r="KO139" s="43">
        <f t="shared" ref="KO139:KO156" si="634">IM139*KO$6</f>
        <v>0</v>
      </c>
      <c r="KP139" s="43">
        <f t="shared" ref="KP139:KP156" si="635">IN139*KP$6</f>
        <v>0</v>
      </c>
      <c r="KQ139" s="43">
        <f t="shared" ref="KQ139:KQ156" si="636">IO139*KQ$6</f>
        <v>0</v>
      </c>
      <c r="KR139" s="43">
        <f t="shared" ref="KR139:KR156" si="637">IP139*KR$6</f>
        <v>0</v>
      </c>
      <c r="KS139" s="43">
        <f t="shared" ref="KS139:KS156" si="638">IQ139*KS$6</f>
        <v>0</v>
      </c>
      <c r="KT139" s="43">
        <f t="shared" ref="KT139:KT156" si="639">IR139*KT$6</f>
        <v>0</v>
      </c>
      <c r="KU139" s="43">
        <f t="shared" ref="KU139:KU156" si="640">IS139*KU$6</f>
        <v>0</v>
      </c>
      <c r="KV139" s="43">
        <f t="shared" ref="KV139:KV156" si="641">IT139*KV$6</f>
        <v>0</v>
      </c>
      <c r="KW139" s="43">
        <f t="shared" ref="KW139:KW156" si="642">IU139*KW$6</f>
        <v>0</v>
      </c>
      <c r="KX139" s="43">
        <f t="shared" ref="KX139:KX156" si="643">IV139*KX$6</f>
        <v>0</v>
      </c>
      <c r="KY139" s="43">
        <f t="shared" ref="KY139:KY156" si="644">IW139*KY$6</f>
        <v>0</v>
      </c>
      <c r="KZ139" s="43">
        <f t="shared" ref="KZ139:KZ156" si="645">IX139*KZ$6</f>
        <v>0</v>
      </c>
      <c r="LA139" s="43">
        <f t="shared" ref="LA139:LA156" si="646">IY139*LA$6</f>
        <v>0</v>
      </c>
      <c r="LB139" s="43">
        <f t="shared" ref="LB139:LB156" si="647">IZ139*LB$6</f>
        <v>0</v>
      </c>
      <c r="LC139" s="43">
        <f t="shared" ref="LC139:LC156" si="648">JA139*LC$6</f>
        <v>0</v>
      </c>
      <c r="LD139" s="43">
        <f t="shared" ref="LD139:LD156" si="649">JB139*LD$6</f>
        <v>0</v>
      </c>
      <c r="LE139" s="43">
        <f t="shared" ref="LE139:LE156" si="650">JC139*LE$6</f>
        <v>0</v>
      </c>
      <c r="LF139" s="43">
        <f t="shared" ref="LF139:LF156" si="651">JD139*LF$6</f>
        <v>0</v>
      </c>
      <c r="LG139" s="43">
        <f t="shared" ref="LG139:LG156" si="652">JE139*LG$6</f>
        <v>207.38039999999998</v>
      </c>
      <c r="LH139" s="43">
        <f t="shared" ref="LH139:LH156" si="653">JF139*LH$6</f>
        <v>0</v>
      </c>
      <c r="LI139" s="43">
        <f t="shared" ref="LI139:LI156" si="654">JG139*LI$6</f>
        <v>0</v>
      </c>
      <c r="LJ139" s="43">
        <f t="shared" ref="LJ139:LJ156" si="655">JH139*LJ$6</f>
        <v>4790.0495708999997</v>
      </c>
      <c r="LK139" s="43">
        <f t="shared" ref="LK139:LK156" si="656">JI139*LK$6</f>
        <v>3984.5295393749993</v>
      </c>
      <c r="LL139" s="43">
        <f t="shared" ref="LL139:LL156" si="657">JJ139*LL$6</f>
        <v>0</v>
      </c>
      <c r="LM139" s="43">
        <f t="shared" ref="LM139:LM156" si="658">JK139*LM$6</f>
        <v>0</v>
      </c>
      <c r="LN139" s="43">
        <f t="shared" ref="LN139:LN156" si="659">JL139*LN$6</f>
        <v>0</v>
      </c>
      <c r="LO139" s="43">
        <f t="shared" ref="LO139:LO156" si="660">JM139*LO$6</f>
        <v>0</v>
      </c>
      <c r="LP139" s="43">
        <f t="shared" ref="LP139:LP156" si="661">JN139*LP$6</f>
        <v>0</v>
      </c>
      <c r="LQ139" s="28">
        <f t="shared" si="488"/>
        <v>8981.959510274999</v>
      </c>
      <c r="LR139" s="65">
        <v>1934</v>
      </c>
      <c r="LS139" s="32">
        <f t="shared" si="462"/>
        <v>4.6442396640511889</v>
      </c>
      <c r="LT139" s="26">
        <f t="shared" si="463"/>
        <v>1.2689179409975926</v>
      </c>
      <c r="LU139" s="31">
        <f t="shared" si="489"/>
        <v>75.5</v>
      </c>
      <c r="LW139" s="42"/>
      <c r="MA139" s="32">
        <f t="shared" si="490"/>
        <v>4.46974845</v>
      </c>
      <c r="MB139" s="26">
        <f t="shared" si="464"/>
        <v>1.2212427459016393</v>
      </c>
    </row>
    <row r="140" spans="1:340" ht="15.75" thickBot="1">
      <c r="A140" t="b">
        <f t="shared" ref="A140:A156" si="662">IF(G140="","",IF(G140="EC1",HM140=500%,HM140=150%))</f>
        <v>1</v>
      </c>
      <c r="B140" s="123" t="s">
        <v>324</v>
      </c>
      <c r="C140" s="39" t="s">
        <v>86</v>
      </c>
      <c r="D140"/>
      <c r="E140" s="97">
        <v>46046</v>
      </c>
      <c r="F140" t="s">
        <v>43</v>
      </c>
      <c r="G140" t="s">
        <v>19</v>
      </c>
      <c r="H140" t="s">
        <v>27</v>
      </c>
      <c r="I140" s="77"/>
      <c r="J140" s="77"/>
      <c r="K140" s="77"/>
      <c r="L140" s="22"/>
      <c r="M140" s="22"/>
      <c r="N140" s="98"/>
      <c r="O140" s="22"/>
      <c r="P140" s="22"/>
      <c r="Q140" s="22"/>
      <c r="R140" s="22"/>
      <c r="S140" s="104"/>
      <c r="T140" s="22"/>
      <c r="U140" s="22"/>
      <c r="V140" s="104"/>
      <c r="W140" s="22"/>
      <c r="X140" s="22"/>
      <c r="Y140" s="22"/>
      <c r="Z140" s="104"/>
      <c r="AA140" s="104"/>
      <c r="AB140" s="104"/>
      <c r="AC140" s="22"/>
      <c r="AD140" s="22"/>
      <c r="AE140" s="22"/>
      <c r="AF140" s="124"/>
      <c r="AG140" s="124"/>
      <c r="AH140" s="22"/>
      <c r="AI140" s="22"/>
      <c r="AJ140" s="22"/>
      <c r="AK140" s="22"/>
      <c r="AL140" s="22"/>
      <c r="AM140" s="22"/>
      <c r="AN140" s="22"/>
      <c r="AO140" s="104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>
        <v>0.01</v>
      </c>
      <c r="AZ140" s="22"/>
      <c r="BA140" s="98"/>
      <c r="BB140" s="98">
        <v>0.495</v>
      </c>
      <c r="BC140" s="124">
        <v>0.495</v>
      </c>
      <c r="BD140" s="124"/>
      <c r="BE140" s="104"/>
      <c r="BF140" s="22"/>
      <c r="BG140" s="22"/>
      <c r="BH140" s="22"/>
      <c r="BI140" s="78">
        <f t="shared" si="483"/>
        <v>1</v>
      </c>
      <c r="BJ140" s="23"/>
      <c r="BK140" s="23"/>
      <c r="BL140" s="23"/>
      <c r="BM140" s="23"/>
      <c r="BN140" s="23"/>
      <c r="BO140" s="99"/>
      <c r="BP140" s="23"/>
      <c r="BQ140" s="23"/>
      <c r="BR140" s="23"/>
      <c r="BS140" s="23"/>
      <c r="BT140" s="105"/>
      <c r="BU140" s="23"/>
      <c r="BV140" s="23"/>
      <c r="BW140" s="105"/>
      <c r="BX140" s="23"/>
      <c r="BY140" s="23"/>
      <c r="BZ140" s="23"/>
      <c r="CA140" s="105"/>
      <c r="CB140" s="105"/>
      <c r="CC140" s="105"/>
      <c r="CD140" s="23"/>
      <c r="CE140" s="23"/>
      <c r="CF140" s="71"/>
      <c r="CG140" s="128"/>
      <c r="CH140" s="128"/>
      <c r="CI140" s="23"/>
      <c r="CJ140" s="23"/>
      <c r="CK140" s="23"/>
      <c r="CL140" s="23"/>
      <c r="CM140" s="23"/>
      <c r="CN140" s="23"/>
      <c r="CO140" s="23"/>
      <c r="CP140" s="105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3"/>
      <c r="DB140" s="99"/>
      <c r="DC140" s="99"/>
      <c r="DD140" s="125"/>
      <c r="DE140" s="125"/>
      <c r="DF140" s="105"/>
      <c r="DG140" s="23"/>
      <c r="DH140" s="23"/>
      <c r="DI140" s="23"/>
      <c r="DJ140" s="79">
        <f t="shared" ref="DJ140:DJ156" si="663">SUM(BJ140:DI140)</f>
        <v>0</v>
      </c>
      <c r="DK140" s="24"/>
      <c r="DL140" s="24"/>
      <c r="DM140" s="24"/>
      <c r="DN140" s="24"/>
      <c r="DO140" s="24"/>
      <c r="DP140" s="103"/>
      <c r="DQ140" s="24"/>
      <c r="DR140" s="24"/>
      <c r="DS140" s="24"/>
      <c r="DT140" s="24"/>
      <c r="DU140" s="108"/>
      <c r="DV140" s="24"/>
      <c r="DW140" s="24"/>
      <c r="DX140" s="108"/>
      <c r="DY140" s="24"/>
      <c r="DZ140" s="24"/>
      <c r="EA140" s="24"/>
      <c r="EB140" s="108"/>
      <c r="EC140" s="108"/>
      <c r="ED140" s="108"/>
      <c r="EE140" s="24"/>
      <c r="EF140" s="24"/>
      <c r="EG140" s="24"/>
      <c r="EH140" s="129"/>
      <c r="EI140" s="129"/>
      <c r="EJ140" s="24"/>
      <c r="EK140" s="24"/>
      <c r="EL140" s="24"/>
      <c r="EM140" s="24"/>
      <c r="EN140" s="24"/>
      <c r="EO140" s="24"/>
      <c r="EP140" s="24"/>
      <c r="EQ140" s="108"/>
      <c r="ER140" s="24"/>
      <c r="ES140" s="25"/>
      <c r="ET140" s="25"/>
      <c r="EU140" s="25"/>
      <c r="EV140" s="25"/>
      <c r="EW140" s="25"/>
      <c r="EX140" s="25"/>
      <c r="EY140" s="25"/>
      <c r="EZ140" s="25"/>
      <c r="FA140" s="25"/>
      <c r="FB140" s="25"/>
      <c r="FC140" s="100"/>
      <c r="FD140" s="100"/>
      <c r="FE140" s="126"/>
      <c r="FF140" s="126"/>
      <c r="FG140" s="106"/>
      <c r="FH140" s="25"/>
      <c r="FI140" s="25"/>
      <c r="FJ140" s="25"/>
      <c r="FK140" s="17">
        <f>SUM(DK140:FJ140)</f>
        <v>0</v>
      </c>
      <c r="FL140" s="18"/>
      <c r="FM140" s="19">
        <f t="shared" si="505"/>
        <v>0</v>
      </c>
      <c r="FN140" s="19">
        <f t="shared" si="506"/>
        <v>0</v>
      </c>
      <c r="FO140" s="19">
        <f t="shared" si="507"/>
        <v>0</v>
      </c>
      <c r="FP140" s="19">
        <f t="shared" si="508"/>
        <v>0</v>
      </c>
      <c r="FQ140" s="19">
        <f t="shared" si="509"/>
        <v>0</v>
      </c>
      <c r="FR140" s="19">
        <f t="shared" si="510"/>
        <v>0</v>
      </c>
      <c r="FS140" s="19">
        <f t="shared" si="511"/>
        <v>0</v>
      </c>
      <c r="FT140" s="19">
        <f t="shared" si="512"/>
        <v>0</v>
      </c>
      <c r="FU140" s="19">
        <f t="shared" si="513"/>
        <v>0</v>
      </c>
      <c r="FV140" s="19">
        <f t="shared" si="514"/>
        <v>0</v>
      </c>
      <c r="FW140" s="19">
        <f t="shared" si="515"/>
        <v>0</v>
      </c>
      <c r="FX140" s="19">
        <f t="shared" si="516"/>
        <v>0</v>
      </c>
      <c r="FY140" s="19">
        <f t="shared" si="517"/>
        <v>0</v>
      </c>
      <c r="FZ140" s="19">
        <f t="shared" si="518"/>
        <v>0</v>
      </c>
      <c r="GA140" s="19">
        <f t="shared" si="519"/>
        <v>0</v>
      </c>
      <c r="GB140" s="19">
        <f t="shared" si="520"/>
        <v>0</v>
      </c>
      <c r="GC140" s="19">
        <f t="shared" si="521"/>
        <v>0</v>
      </c>
      <c r="GD140" s="19">
        <f t="shared" si="522"/>
        <v>0</v>
      </c>
      <c r="GE140" s="19">
        <f t="shared" si="523"/>
        <v>0</v>
      </c>
      <c r="GF140" s="19">
        <f t="shared" si="524"/>
        <v>0</v>
      </c>
      <c r="GG140" s="19">
        <f t="shared" si="525"/>
        <v>0</v>
      </c>
      <c r="GH140" s="19">
        <f t="shared" si="526"/>
        <v>0</v>
      </c>
      <c r="GI140" s="19">
        <f t="shared" si="527"/>
        <v>0</v>
      </c>
      <c r="GJ140" s="19">
        <f t="shared" si="528"/>
        <v>0</v>
      </c>
      <c r="GK140" s="19">
        <f t="shared" si="529"/>
        <v>0</v>
      </c>
      <c r="GL140" s="19">
        <f t="shared" si="530"/>
        <v>0</v>
      </c>
      <c r="GM140" s="19">
        <f t="shared" si="531"/>
        <v>0</v>
      </c>
      <c r="GN140" s="19">
        <f t="shared" si="532"/>
        <v>0</v>
      </c>
      <c r="GO140" s="19">
        <f t="shared" si="533"/>
        <v>0</v>
      </c>
      <c r="GP140" s="19">
        <f t="shared" si="534"/>
        <v>0</v>
      </c>
      <c r="GQ140" s="19">
        <f t="shared" si="535"/>
        <v>0</v>
      </c>
      <c r="GR140" s="19">
        <f t="shared" si="536"/>
        <v>0</v>
      </c>
      <c r="GS140" s="19">
        <f t="shared" si="537"/>
        <v>0</v>
      </c>
      <c r="GT140" s="19">
        <f t="shared" si="538"/>
        <v>0</v>
      </c>
      <c r="GU140" s="19">
        <f t="shared" si="539"/>
        <v>0</v>
      </c>
      <c r="GV140" s="19">
        <f t="shared" si="540"/>
        <v>0</v>
      </c>
      <c r="GW140" s="19">
        <f t="shared" si="541"/>
        <v>0</v>
      </c>
      <c r="GX140" s="19">
        <f t="shared" si="542"/>
        <v>0</v>
      </c>
      <c r="GY140" s="19">
        <f t="shared" si="543"/>
        <v>0</v>
      </c>
      <c r="GZ140" s="19">
        <f t="shared" si="544"/>
        <v>0</v>
      </c>
      <c r="HA140" s="19">
        <f t="shared" si="545"/>
        <v>0</v>
      </c>
      <c r="HB140" s="19">
        <f t="shared" si="546"/>
        <v>0</v>
      </c>
      <c r="HC140" s="19">
        <f t="shared" si="547"/>
        <v>1.4999999999999999E-2</v>
      </c>
      <c r="HD140" s="19">
        <f t="shared" si="548"/>
        <v>0</v>
      </c>
      <c r="HE140" s="19">
        <f t="shared" si="549"/>
        <v>0</v>
      </c>
      <c r="HF140" s="19">
        <f t="shared" si="550"/>
        <v>0.74249999999999994</v>
      </c>
      <c r="HG140" s="19">
        <f t="shared" si="551"/>
        <v>0.74249999999999994</v>
      </c>
      <c r="HH140" s="19">
        <f t="shared" si="552"/>
        <v>0</v>
      </c>
      <c r="HI140" s="19">
        <f t="shared" si="553"/>
        <v>0</v>
      </c>
      <c r="HJ140" s="19">
        <f t="shared" si="554"/>
        <v>0</v>
      </c>
      <c r="HK140" s="19">
        <f t="shared" si="555"/>
        <v>0</v>
      </c>
      <c r="HL140" s="19">
        <f t="shared" si="556"/>
        <v>0</v>
      </c>
      <c r="HM140" s="20">
        <f t="shared" si="557"/>
        <v>1.5</v>
      </c>
      <c r="HN140" s="53">
        <v>378.5</v>
      </c>
      <c r="HO140" s="21">
        <f t="shared" si="558"/>
        <v>0</v>
      </c>
      <c r="HP140" s="21">
        <f t="shared" si="559"/>
        <v>0</v>
      </c>
      <c r="HQ140" s="21">
        <f t="shared" si="560"/>
        <v>0</v>
      </c>
      <c r="HR140" s="21">
        <f t="shared" si="561"/>
        <v>0</v>
      </c>
      <c r="HS140" s="21">
        <f t="shared" si="562"/>
        <v>0</v>
      </c>
      <c r="HT140" s="69">
        <f t="shared" si="563"/>
        <v>0</v>
      </c>
      <c r="HU140" s="21">
        <f t="shared" si="564"/>
        <v>0</v>
      </c>
      <c r="HV140" s="21">
        <f t="shared" si="565"/>
        <v>0</v>
      </c>
      <c r="HW140" s="21">
        <f t="shared" si="566"/>
        <v>0</v>
      </c>
      <c r="HX140" s="21">
        <f t="shared" si="567"/>
        <v>0</v>
      </c>
      <c r="HY140" s="21">
        <f t="shared" si="568"/>
        <v>0</v>
      </c>
      <c r="HZ140" s="21">
        <f t="shared" si="569"/>
        <v>0</v>
      </c>
      <c r="IA140" s="21">
        <f t="shared" si="570"/>
        <v>0</v>
      </c>
      <c r="IB140" s="21">
        <f t="shared" si="571"/>
        <v>0</v>
      </c>
      <c r="IC140" s="21">
        <f t="shared" si="572"/>
        <v>0</v>
      </c>
      <c r="ID140" s="21">
        <f t="shared" si="573"/>
        <v>0</v>
      </c>
      <c r="IE140" s="21">
        <f t="shared" si="574"/>
        <v>0</v>
      </c>
      <c r="IF140" s="69">
        <f t="shared" si="575"/>
        <v>0</v>
      </c>
      <c r="IG140" s="69">
        <f t="shared" si="576"/>
        <v>0</v>
      </c>
      <c r="IH140" s="69">
        <f t="shared" si="577"/>
        <v>0</v>
      </c>
      <c r="II140" s="21">
        <f t="shared" si="578"/>
        <v>0</v>
      </c>
      <c r="IJ140" s="21">
        <f t="shared" si="579"/>
        <v>0</v>
      </c>
      <c r="IK140" s="21">
        <f t="shared" si="580"/>
        <v>0</v>
      </c>
      <c r="IL140" s="21">
        <f t="shared" si="581"/>
        <v>0</v>
      </c>
      <c r="IM140" s="21">
        <f t="shared" si="582"/>
        <v>0</v>
      </c>
      <c r="IN140" s="21">
        <f t="shared" si="583"/>
        <v>0</v>
      </c>
      <c r="IO140" s="21">
        <f t="shared" si="584"/>
        <v>0</v>
      </c>
      <c r="IP140" s="21">
        <f t="shared" si="585"/>
        <v>0</v>
      </c>
      <c r="IQ140" s="21">
        <f t="shared" si="586"/>
        <v>0</v>
      </c>
      <c r="IR140" s="21">
        <f t="shared" si="587"/>
        <v>0</v>
      </c>
      <c r="IS140" s="21">
        <f t="shared" si="588"/>
        <v>0</v>
      </c>
      <c r="IT140" s="21">
        <f t="shared" si="589"/>
        <v>0</v>
      </c>
      <c r="IU140" s="21">
        <f t="shared" si="590"/>
        <v>0</v>
      </c>
      <c r="IV140" s="21">
        <f t="shared" si="591"/>
        <v>0</v>
      </c>
      <c r="IW140" s="21">
        <f t="shared" si="592"/>
        <v>0</v>
      </c>
      <c r="IX140" s="21">
        <f t="shared" si="593"/>
        <v>0</v>
      </c>
      <c r="IY140" s="21">
        <f t="shared" si="594"/>
        <v>0</v>
      </c>
      <c r="IZ140" s="21">
        <f t="shared" si="595"/>
        <v>0</v>
      </c>
      <c r="JA140" s="21">
        <f t="shared" si="596"/>
        <v>0</v>
      </c>
      <c r="JB140" s="21">
        <f t="shared" si="597"/>
        <v>0</v>
      </c>
      <c r="JC140" s="21">
        <f t="shared" si="598"/>
        <v>0</v>
      </c>
      <c r="JD140" s="21">
        <f t="shared" si="599"/>
        <v>0</v>
      </c>
      <c r="JE140" s="21">
        <f t="shared" si="600"/>
        <v>3.7850000000000001</v>
      </c>
      <c r="JF140" s="21">
        <f t="shared" si="601"/>
        <v>0</v>
      </c>
      <c r="JG140" s="21">
        <f t="shared" si="602"/>
        <v>0</v>
      </c>
      <c r="JH140" s="21">
        <f t="shared" si="603"/>
        <v>187.35749999999999</v>
      </c>
      <c r="JI140" s="21">
        <f t="shared" si="604"/>
        <v>187.35749999999999</v>
      </c>
      <c r="JJ140" s="21">
        <f t="shared" si="605"/>
        <v>0</v>
      </c>
      <c r="JK140" s="21">
        <f t="shared" si="606"/>
        <v>0</v>
      </c>
      <c r="JL140" s="21">
        <f t="shared" si="607"/>
        <v>0</v>
      </c>
      <c r="JM140" s="21">
        <f t="shared" si="608"/>
        <v>0</v>
      </c>
      <c r="JN140" s="21">
        <f t="shared" si="609"/>
        <v>0</v>
      </c>
      <c r="JO140" s="35">
        <f t="shared" ref="JO140:JO156" si="664">SUM(HO140:JN140)</f>
        <v>378.5</v>
      </c>
      <c r="JP140" s="38">
        <f t="shared" ref="JP140:JP156" si="665">JO140-HN140</f>
        <v>0</v>
      </c>
      <c r="JQ140" s="43">
        <f t="shared" si="610"/>
        <v>0</v>
      </c>
      <c r="JR140" s="43">
        <f t="shared" si="611"/>
        <v>0</v>
      </c>
      <c r="JS140" s="43">
        <f t="shared" si="612"/>
        <v>0</v>
      </c>
      <c r="JT140" s="43">
        <f t="shared" si="613"/>
        <v>0</v>
      </c>
      <c r="JU140" s="43">
        <f t="shared" si="614"/>
        <v>0</v>
      </c>
      <c r="JV140" s="43">
        <f t="shared" si="615"/>
        <v>0</v>
      </c>
      <c r="JW140" s="43">
        <f t="shared" si="616"/>
        <v>0</v>
      </c>
      <c r="JX140" s="43">
        <f t="shared" si="617"/>
        <v>0</v>
      </c>
      <c r="JY140" s="43">
        <f t="shared" si="618"/>
        <v>0</v>
      </c>
      <c r="JZ140" s="43">
        <f t="shared" si="619"/>
        <v>0</v>
      </c>
      <c r="KA140" s="43">
        <f t="shared" si="620"/>
        <v>0</v>
      </c>
      <c r="KB140" s="43">
        <f t="shared" si="621"/>
        <v>0</v>
      </c>
      <c r="KC140" s="43">
        <f t="shared" si="622"/>
        <v>0</v>
      </c>
      <c r="KD140" s="43">
        <f t="shared" si="623"/>
        <v>0</v>
      </c>
      <c r="KE140" s="43">
        <f t="shared" si="624"/>
        <v>0</v>
      </c>
      <c r="KF140" s="43">
        <f t="shared" si="625"/>
        <v>0</v>
      </c>
      <c r="KG140" s="43">
        <f t="shared" si="626"/>
        <v>0</v>
      </c>
      <c r="KH140" s="43">
        <f t="shared" si="627"/>
        <v>0</v>
      </c>
      <c r="KI140" s="43">
        <f t="shared" si="628"/>
        <v>0</v>
      </c>
      <c r="KJ140" s="43">
        <f t="shared" si="629"/>
        <v>0</v>
      </c>
      <c r="KK140" s="43">
        <f t="shared" si="630"/>
        <v>0</v>
      </c>
      <c r="KL140" s="43">
        <f t="shared" si="631"/>
        <v>0</v>
      </c>
      <c r="KM140" s="43">
        <f t="shared" si="632"/>
        <v>0</v>
      </c>
      <c r="KN140" s="43">
        <f t="shared" si="633"/>
        <v>0</v>
      </c>
      <c r="KO140" s="43">
        <f t="shared" si="634"/>
        <v>0</v>
      </c>
      <c r="KP140" s="43">
        <f t="shared" si="635"/>
        <v>0</v>
      </c>
      <c r="KQ140" s="43">
        <f t="shared" si="636"/>
        <v>0</v>
      </c>
      <c r="KR140" s="43">
        <f t="shared" si="637"/>
        <v>0</v>
      </c>
      <c r="KS140" s="43">
        <f t="shared" si="638"/>
        <v>0</v>
      </c>
      <c r="KT140" s="43">
        <f t="shared" si="639"/>
        <v>0</v>
      </c>
      <c r="KU140" s="43">
        <f t="shared" si="640"/>
        <v>0</v>
      </c>
      <c r="KV140" s="43">
        <f t="shared" si="641"/>
        <v>0</v>
      </c>
      <c r="KW140" s="43">
        <f t="shared" si="642"/>
        <v>0</v>
      </c>
      <c r="KX140" s="43">
        <f t="shared" si="643"/>
        <v>0</v>
      </c>
      <c r="KY140" s="43">
        <f t="shared" si="644"/>
        <v>0</v>
      </c>
      <c r="KZ140" s="43">
        <f t="shared" si="645"/>
        <v>0</v>
      </c>
      <c r="LA140" s="43">
        <f t="shared" si="646"/>
        <v>0</v>
      </c>
      <c r="LB140" s="43">
        <f t="shared" si="647"/>
        <v>0</v>
      </c>
      <c r="LC140" s="43">
        <f t="shared" si="648"/>
        <v>0</v>
      </c>
      <c r="LD140" s="43">
        <f t="shared" si="649"/>
        <v>0</v>
      </c>
      <c r="LE140" s="43">
        <f t="shared" si="650"/>
        <v>0</v>
      </c>
      <c r="LF140" s="43">
        <f t="shared" si="651"/>
        <v>0</v>
      </c>
      <c r="LG140" s="43">
        <f t="shared" si="652"/>
        <v>39.061199999999999</v>
      </c>
      <c r="LH140" s="43">
        <f t="shared" si="653"/>
        <v>0</v>
      </c>
      <c r="LI140" s="43">
        <f t="shared" si="654"/>
        <v>0</v>
      </c>
      <c r="LJ140" s="43">
        <f t="shared" si="655"/>
        <v>902.23128270000007</v>
      </c>
      <c r="LK140" s="43">
        <f t="shared" si="656"/>
        <v>750.50730562499996</v>
      </c>
      <c r="LL140" s="43">
        <f t="shared" si="657"/>
        <v>0</v>
      </c>
      <c r="LM140" s="43">
        <f t="shared" si="658"/>
        <v>0</v>
      </c>
      <c r="LN140" s="43">
        <f t="shared" si="659"/>
        <v>0</v>
      </c>
      <c r="LO140" s="43">
        <f t="shared" si="660"/>
        <v>0</v>
      </c>
      <c r="LP140" s="43">
        <f t="shared" si="661"/>
        <v>0</v>
      </c>
      <c r="LQ140" s="28">
        <f t="shared" ref="LQ140:LQ156" si="666">SUM(JQ140:LP140)</f>
        <v>1691.799788325</v>
      </c>
      <c r="LR140" s="65">
        <v>366</v>
      </c>
      <c r="LS140" s="32">
        <f t="shared" si="462"/>
        <v>4.6224037932377051</v>
      </c>
      <c r="LT140" s="26">
        <f t="shared" si="463"/>
        <v>1.2629518560758757</v>
      </c>
      <c r="LU140" s="31">
        <f t="shared" ref="LU140:LU156" si="667">HN140-LR140</f>
        <v>12.5</v>
      </c>
      <c r="LW140" s="42"/>
      <c r="MA140" s="32">
        <f t="shared" ref="MA140:MA156" si="668">LQ140/JO140</f>
        <v>4.46974845</v>
      </c>
      <c r="MB140" s="26">
        <f t="shared" si="464"/>
        <v>1.2212427459016393</v>
      </c>
    </row>
    <row r="141" spans="1:340" ht="15.75" thickBot="1">
      <c r="A141" t="b">
        <f t="shared" si="662"/>
        <v>1</v>
      </c>
      <c r="B141" s="123" t="s">
        <v>325</v>
      </c>
      <c r="C141" s="39" t="s">
        <v>86</v>
      </c>
      <c r="D141"/>
      <c r="E141" s="97">
        <v>46046</v>
      </c>
      <c r="F141" t="s">
        <v>43</v>
      </c>
      <c r="G141" t="s">
        <v>19</v>
      </c>
      <c r="H141" t="s">
        <v>27</v>
      </c>
      <c r="I141" s="77"/>
      <c r="J141" s="77"/>
      <c r="K141" s="77"/>
      <c r="L141" s="22"/>
      <c r="M141" s="22"/>
      <c r="N141" s="98"/>
      <c r="O141" s="22"/>
      <c r="P141" s="22"/>
      <c r="Q141" s="22"/>
      <c r="R141" s="22"/>
      <c r="S141" s="104"/>
      <c r="T141" s="22"/>
      <c r="U141" s="22"/>
      <c r="V141" s="104"/>
      <c r="W141" s="22"/>
      <c r="X141" s="22"/>
      <c r="Y141" s="22"/>
      <c r="Z141" s="104"/>
      <c r="AA141" s="104"/>
      <c r="AB141" s="104"/>
      <c r="AC141" s="22"/>
      <c r="AD141" s="22"/>
      <c r="AE141" s="22"/>
      <c r="AF141" s="124"/>
      <c r="AG141" s="124"/>
      <c r="AH141" s="22"/>
      <c r="AI141" s="22"/>
      <c r="AJ141" s="22"/>
      <c r="AK141" s="22"/>
      <c r="AL141" s="22"/>
      <c r="AM141" s="22"/>
      <c r="AN141" s="22"/>
      <c r="AO141" s="104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>
        <v>0.01</v>
      </c>
      <c r="AZ141" s="22"/>
      <c r="BA141" s="98"/>
      <c r="BB141" s="98">
        <v>0.495</v>
      </c>
      <c r="BC141" s="124">
        <v>0.495</v>
      </c>
      <c r="BD141" s="124"/>
      <c r="BE141" s="104"/>
      <c r="BF141" s="22"/>
      <c r="BG141" s="22"/>
      <c r="BH141" s="22"/>
      <c r="BI141" s="78">
        <f t="shared" si="483"/>
        <v>1</v>
      </c>
      <c r="BJ141" s="23"/>
      <c r="BK141" s="23"/>
      <c r="BL141" s="23"/>
      <c r="BM141" s="23"/>
      <c r="BN141" s="23"/>
      <c r="BO141" s="99"/>
      <c r="BP141" s="23"/>
      <c r="BQ141" s="23"/>
      <c r="BR141" s="23"/>
      <c r="BS141" s="23"/>
      <c r="BT141" s="105"/>
      <c r="BU141" s="23"/>
      <c r="BV141" s="23"/>
      <c r="BW141" s="105"/>
      <c r="BX141" s="23"/>
      <c r="BY141" s="23"/>
      <c r="BZ141" s="23"/>
      <c r="CA141" s="105"/>
      <c r="CB141" s="105"/>
      <c r="CC141" s="105"/>
      <c r="CD141" s="23"/>
      <c r="CE141" s="23"/>
      <c r="CF141" s="71"/>
      <c r="CG141" s="128"/>
      <c r="CH141" s="128"/>
      <c r="CI141" s="23"/>
      <c r="CJ141" s="23"/>
      <c r="CK141" s="23"/>
      <c r="CL141" s="23"/>
      <c r="CM141" s="23"/>
      <c r="CN141" s="23"/>
      <c r="CO141" s="23"/>
      <c r="CP141" s="105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B141" s="99"/>
      <c r="DC141" s="99"/>
      <c r="DD141" s="125"/>
      <c r="DE141" s="125"/>
      <c r="DF141" s="105"/>
      <c r="DG141" s="23"/>
      <c r="DH141" s="23"/>
      <c r="DI141" s="23"/>
      <c r="DJ141" s="79">
        <f t="shared" si="663"/>
        <v>0</v>
      </c>
      <c r="DK141" s="24"/>
      <c r="DL141" s="24"/>
      <c r="DM141" s="24"/>
      <c r="DN141" s="24"/>
      <c r="DO141" s="24"/>
      <c r="DP141" s="103"/>
      <c r="DQ141" s="24"/>
      <c r="DR141" s="24"/>
      <c r="DS141" s="24"/>
      <c r="DT141" s="24"/>
      <c r="DU141" s="108"/>
      <c r="DV141" s="24"/>
      <c r="DW141" s="24"/>
      <c r="DX141" s="108"/>
      <c r="DY141" s="24"/>
      <c r="DZ141" s="24"/>
      <c r="EA141" s="24"/>
      <c r="EB141" s="108"/>
      <c r="EC141" s="108"/>
      <c r="ED141" s="108"/>
      <c r="EE141" s="24"/>
      <c r="EF141" s="24"/>
      <c r="EG141" s="24"/>
      <c r="EH141" s="129"/>
      <c r="EI141" s="129"/>
      <c r="EJ141" s="24"/>
      <c r="EK141" s="24"/>
      <c r="EL141" s="24"/>
      <c r="EM141" s="24"/>
      <c r="EN141" s="24"/>
      <c r="EO141" s="24"/>
      <c r="EP141" s="24"/>
      <c r="EQ141" s="108"/>
      <c r="ER141" s="24"/>
      <c r="ES141" s="25"/>
      <c r="ET141" s="25"/>
      <c r="EU141" s="25"/>
      <c r="EV141" s="25"/>
      <c r="EW141" s="25"/>
      <c r="EX141" s="25"/>
      <c r="EY141" s="25"/>
      <c r="EZ141" s="25"/>
      <c r="FA141" s="25"/>
      <c r="FB141" s="25"/>
      <c r="FC141" s="100"/>
      <c r="FD141" s="100"/>
      <c r="FE141" s="126"/>
      <c r="FF141" s="126"/>
      <c r="FG141" s="106"/>
      <c r="FH141" s="25"/>
      <c r="FI141" s="25"/>
      <c r="FJ141" s="25"/>
      <c r="FK141" s="17">
        <f>SUM(DK141:FJ141)</f>
        <v>0</v>
      </c>
      <c r="FL141" s="18"/>
      <c r="FM141" s="19">
        <f t="shared" si="505"/>
        <v>0</v>
      </c>
      <c r="FN141" s="19">
        <f t="shared" si="506"/>
        <v>0</v>
      </c>
      <c r="FO141" s="19">
        <f t="shared" si="507"/>
        <v>0</v>
      </c>
      <c r="FP141" s="19">
        <f t="shared" si="508"/>
        <v>0</v>
      </c>
      <c r="FQ141" s="19">
        <f t="shared" si="509"/>
        <v>0</v>
      </c>
      <c r="FR141" s="19">
        <f t="shared" si="510"/>
        <v>0</v>
      </c>
      <c r="FS141" s="19">
        <f t="shared" si="511"/>
        <v>0</v>
      </c>
      <c r="FT141" s="19">
        <f t="shared" si="512"/>
        <v>0</v>
      </c>
      <c r="FU141" s="19">
        <f t="shared" si="513"/>
        <v>0</v>
      </c>
      <c r="FV141" s="19">
        <f t="shared" si="514"/>
        <v>0</v>
      </c>
      <c r="FW141" s="19">
        <f t="shared" si="515"/>
        <v>0</v>
      </c>
      <c r="FX141" s="19">
        <f t="shared" si="516"/>
        <v>0</v>
      </c>
      <c r="FY141" s="19">
        <f t="shared" si="517"/>
        <v>0</v>
      </c>
      <c r="FZ141" s="19">
        <f t="shared" si="518"/>
        <v>0</v>
      </c>
      <c r="GA141" s="19">
        <f t="shared" si="519"/>
        <v>0</v>
      </c>
      <c r="GB141" s="19">
        <f t="shared" si="520"/>
        <v>0</v>
      </c>
      <c r="GC141" s="19">
        <f t="shared" si="521"/>
        <v>0</v>
      </c>
      <c r="GD141" s="19">
        <f t="shared" si="522"/>
        <v>0</v>
      </c>
      <c r="GE141" s="19">
        <f t="shared" si="523"/>
        <v>0</v>
      </c>
      <c r="GF141" s="19">
        <f t="shared" si="524"/>
        <v>0</v>
      </c>
      <c r="GG141" s="19">
        <f t="shared" si="525"/>
        <v>0</v>
      </c>
      <c r="GH141" s="19">
        <f t="shared" si="526"/>
        <v>0</v>
      </c>
      <c r="GI141" s="19">
        <f t="shared" si="527"/>
        <v>0</v>
      </c>
      <c r="GJ141" s="19">
        <f t="shared" si="528"/>
        <v>0</v>
      </c>
      <c r="GK141" s="19">
        <f t="shared" si="529"/>
        <v>0</v>
      </c>
      <c r="GL141" s="19">
        <f t="shared" si="530"/>
        <v>0</v>
      </c>
      <c r="GM141" s="19">
        <f t="shared" si="531"/>
        <v>0</v>
      </c>
      <c r="GN141" s="19">
        <f t="shared" si="532"/>
        <v>0</v>
      </c>
      <c r="GO141" s="19">
        <f t="shared" si="533"/>
        <v>0</v>
      </c>
      <c r="GP141" s="19">
        <f t="shared" si="534"/>
        <v>0</v>
      </c>
      <c r="GQ141" s="19">
        <f t="shared" si="535"/>
        <v>0</v>
      </c>
      <c r="GR141" s="19">
        <f t="shared" si="536"/>
        <v>0</v>
      </c>
      <c r="GS141" s="19">
        <f t="shared" si="537"/>
        <v>0</v>
      </c>
      <c r="GT141" s="19">
        <f t="shared" si="538"/>
        <v>0</v>
      </c>
      <c r="GU141" s="19">
        <f t="shared" si="539"/>
        <v>0</v>
      </c>
      <c r="GV141" s="19">
        <f t="shared" si="540"/>
        <v>0</v>
      </c>
      <c r="GW141" s="19">
        <f t="shared" si="541"/>
        <v>0</v>
      </c>
      <c r="GX141" s="19">
        <f t="shared" si="542"/>
        <v>0</v>
      </c>
      <c r="GY141" s="19">
        <f t="shared" si="543"/>
        <v>0</v>
      </c>
      <c r="GZ141" s="19">
        <f t="shared" si="544"/>
        <v>0</v>
      </c>
      <c r="HA141" s="19">
        <f t="shared" si="545"/>
        <v>0</v>
      </c>
      <c r="HB141" s="19">
        <f t="shared" si="546"/>
        <v>0</v>
      </c>
      <c r="HC141" s="19">
        <f t="shared" si="547"/>
        <v>1.4999999999999999E-2</v>
      </c>
      <c r="HD141" s="19">
        <f t="shared" si="548"/>
        <v>0</v>
      </c>
      <c r="HE141" s="19">
        <f t="shared" si="549"/>
        <v>0</v>
      </c>
      <c r="HF141" s="19">
        <f t="shared" si="550"/>
        <v>0.74249999999999994</v>
      </c>
      <c r="HG141" s="19">
        <f t="shared" si="551"/>
        <v>0.74249999999999994</v>
      </c>
      <c r="HH141" s="19">
        <f t="shared" si="552"/>
        <v>0</v>
      </c>
      <c r="HI141" s="19">
        <f t="shared" si="553"/>
        <v>0</v>
      </c>
      <c r="HJ141" s="19">
        <f t="shared" si="554"/>
        <v>0</v>
      </c>
      <c r="HK141" s="19">
        <f t="shared" si="555"/>
        <v>0</v>
      </c>
      <c r="HL141" s="19">
        <f t="shared" si="556"/>
        <v>0</v>
      </c>
      <c r="HM141" s="20">
        <f t="shared" si="557"/>
        <v>1.5</v>
      </c>
      <c r="HN141" s="53">
        <v>612</v>
      </c>
      <c r="HO141" s="21">
        <f t="shared" si="558"/>
        <v>0</v>
      </c>
      <c r="HP141" s="21">
        <f t="shared" si="559"/>
        <v>0</v>
      </c>
      <c r="HQ141" s="21">
        <f t="shared" si="560"/>
        <v>0</v>
      </c>
      <c r="HR141" s="21">
        <f t="shared" si="561"/>
        <v>0</v>
      </c>
      <c r="HS141" s="21">
        <f t="shared" si="562"/>
        <v>0</v>
      </c>
      <c r="HT141" s="69">
        <f t="shared" si="563"/>
        <v>0</v>
      </c>
      <c r="HU141" s="21">
        <f t="shared" si="564"/>
        <v>0</v>
      </c>
      <c r="HV141" s="21">
        <f t="shared" si="565"/>
        <v>0</v>
      </c>
      <c r="HW141" s="21">
        <f t="shared" si="566"/>
        <v>0</v>
      </c>
      <c r="HX141" s="21">
        <f t="shared" si="567"/>
        <v>0</v>
      </c>
      <c r="HY141" s="21">
        <f t="shared" si="568"/>
        <v>0</v>
      </c>
      <c r="HZ141" s="21">
        <f t="shared" si="569"/>
        <v>0</v>
      </c>
      <c r="IA141" s="21">
        <f t="shared" si="570"/>
        <v>0</v>
      </c>
      <c r="IB141" s="21">
        <f t="shared" si="571"/>
        <v>0</v>
      </c>
      <c r="IC141" s="21">
        <f t="shared" si="572"/>
        <v>0</v>
      </c>
      <c r="ID141" s="21">
        <f t="shared" si="573"/>
        <v>0</v>
      </c>
      <c r="IE141" s="21">
        <f t="shared" si="574"/>
        <v>0</v>
      </c>
      <c r="IF141" s="69">
        <f t="shared" si="575"/>
        <v>0</v>
      </c>
      <c r="IG141" s="69">
        <f t="shared" si="576"/>
        <v>0</v>
      </c>
      <c r="IH141" s="69">
        <f t="shared" si="577"/>
        <v>0</v>
      </c>
      <c r="II141" s="21">
        <f t="shared" si="578"/>
        <v>0</v>
      </c>
      <c r="IJ141" s="21">
        <f t="shared" si="579"/>
        <v>0</v>
      </c>
      <c r="IK141" s="21">
        <f t="shared" si="580"/>
        <v>0</v>
      </c>
      <c r="IL141" s="21">
        <f t="shared" si="581"/>
        <v>0</v>
      </c>
      <c r="IM141" s="21">
        <f t="shared" si="582"/>
        <v>0</v>
      </c>
      <c r="IN141" s="21">
        <f t="shared" si="583"/>
        <v>0</v>
      </c>
      <c r="IO141" s="21">
        <f t="shared" si="584"/>
        <v>0</v>
      </c>
      <c r="IP141" s="21">
        <f t="shared" si="585"/>
        <v>0</v>
      </c>
      <c r="IQ141" s="21">
        <f t="shared" si="586"/>
        <v>0</v>
      </c>
      <c r="IR141" s="21">
        <f t="shared" si="587"/>
        <v>0</v>
      </c>
      <c r="IS141" s="21">
        <f t="shared" si="588"/>
        <v>0</v>
      </c>
      <c r="IT141" s="21">
        <f t="shared" si="589"/>
        <v>0</v>
      </c>
      <c r="IU141" s="21">
        <f t="shared" si="590"/>
        <v>0</v>
      </c>
      <c r="IV141" s="21">
        <f t="shared" si="591"/>
        <v>0</v>
      </c>
      <c r="IW141" s="21">
        <f t="shared" si="592"/>
        <v>0</v>
      </c>
      <c r="IX141" s="21">
        <f t="shared" si="593"/>
        <v>0</v>
      </c>
      <c r="IY141" s="21">
        <f t="shared" si="594"/>
        <v>0</v>
      </c>
      <c r="IZ141" s="21">
        <f t="shared" si="595"/>
        <v>0</v>
      </c>
      <c r="JA141" s="21">
        <f t="shared" si="596"/>
        <v>0</v>
      </c>
      <c r="JB141" s="21">
        <f t="shared" si="597"/>
        <v>0</v>
      </c>
      <c r="JC141" s="21">
        <f t="shared" si="598"/>
        <v>0</v>
      </c>
      <c r="JD141" s="21">
        <f t="shared" si="599"/>
        <v>0</v>
      </c>
      <c r="JE141" s="21">
        <f t="shared" si="600"/>
        <v>6.12</v>
      </c>
      <c r="JF141" s="21">
        <f t="shared" si="601"/>
        <v>0</v>
      </c>
      <c r="JG141" s="21">
        <f t="shared" si="602"/>
        <v>0</v>
      </c>
      <c r="JH141" s="21">
        <f t="shared" si="603"/>
        <v>302.94</v>
      </c>
      <c r="JI141" s="21">
        <f t="shared" si="604"/>
        <v>302.94</v>
      </c>
      <c r="JJ141" s="21">
        <f t="shared" si="605"/>
        <v>0</v>
      </c>
      <c r="JK141" s="21">
        <f t="shared" si="606"/>
        <v>0</v>
      </c>
      <c r="JL141" s="21">
        <f t="shared" si="607"/>
        <v>0</v>
      </c>
      <c r="JM141" s="21">
        <f t="shared" si="608"/>
        <v>0</v>
      </c>
      <c r="JN141" s="21">
        <f t="shared" si="609"/>
        <v>0</v>
      </c>
      <c r="JO141" s="35">
        <f t="shared" si="664"/>
        <v>612</v>
      </c>
      <c r="JP141" s="38">
        <f t="shared" si="665"/>
        <v>0</v>
      </c>
      <c r="JQ141" s="43">
        <f t="shared" si="610"/>
        <v>0</v>
      </c>
      <c r="JR141" s="43">
        <f t="shared" si="611"/>
        <v>0</v>
      </c>
      <c r="JS141" s="43">
        <f t="shared" si="612"/>
        <v>0</v>
      </c>
      <c r="JT141" s="43">
        <f t="shared" si="613"/>
        <v>0</v>
      </c>
      <c r="JU141" s="43">
        <f t="shared" si="614"/>
        <v>0</v>
      </c>
      <c r="JV141" s="43">
        <f t="shared" si="615"/>
        <v>0</v>
      </c>
      <c r="JW141" s="43">
        <f t="shared" si="616"/>
        <v>0</v>
      </c>
      <c r="JX141" s="43">
        <f t="shared" si="617"/>
        <v>0</v>
      </c>
      <c r="JY141" s="43">
        <f t="shared" si="618"/>
        <v>0</v>
      </c>
      <c r="JZ141" s="43">
        <f t="shared" si="619"/>
        <v>0</v>
      </c>
      <c r="KA141" s="43">
        <f t="shared" si="620"/>
        <v>0</v>
      </c>
      <c r="KB141" s="43">
        <f t="shared" si="621"/>
        <v>0</v>
      </c>
      <c r="KC141" s="43">
        <f t="shared" si="622"/>
        <v>0</v>
      </c>
      <c r="KD141" s="43">
        <f t="shared" si="623"/>
        <v>0</v>
      </c>
      <c r="KE141" s="43">
        <f t="shared" si="624"/>
        <v>0</v>
      </c>
      <c r="KF141" s="43">
        <f t="shared" si="625"/>
        <v>0</v>
      </c>
      <c r="KG141" s="43">
        <f t="shared" si="626"/>
        <v>0</v>
      </c>
      <c r="KH141" s="43">
        <f t="shared" si="627"/>
        <v>0</v>
      </c>
      <c r="KI141" s="43">
        <f t="shared" si="628"/>
        <v>0</v>
      </c>
      <c r="KJ141" s="43">
        <f t="shared" si="629"/>
        <v>0</v>
      </c>
      <c r="KK141" s="43">
        <f t="shared" si="630"/>
        <v>0</v>
      </c>
      <c r="KL141" s="43">
        <f t="shared" si="631"/>
        <v>0</v>
      </c>
      <c r="KM141" s="43">
        <f t="shared" si="632"/>
        <v>0</v>
      </c>
      <c r="KN141" s="43">
        <f t="shared" si="633"/>
        <v>0</v>
      </c>
      <c r="KO141" s="43">
        <f t="shared" si="634"/>
        <v>0</v>
      </c>
      <c r="KP141" s="43">
        <f t="shared" si="635"/>
        <v>0</v>
      </c>
      <c r="KQ141" s="43">
        <f t="shared" si="636"/>
        <v>0</v>
      </c>
      <c r="KR141" s="43">
        <f t="shared" si="637"/>
        <v>0</v>
      </c>
      <c r="KS141" s="43">
        <f t="shared" si="638"/>
        <v>0</v>
      </c>
      <c r="KT141" s="43">
        <f t="shared" si="639"/>
        <v>0</v>
      </c>
      <c r="KU141" s="43">
        <f t="shared" si="640"/>
        <v>0</v>
      </c>
      <c r="KV141" s="43">
        <f t="shared" si="641"/>
        <v>0</v>
      </c>
      <c r="KW141" s="43">
        <f t="shared" si="642"/>
        <v>0</v>
      </c>
      <c r="KX141" s="43">
        <f t="shared" si="643"/>
        <v>0</v>
      </c>
      <c r="KY141" s="43">
        <f t="shared" si="644"/>
        <v>0</v>
      </c>
      <c r="KZ141" s="43">
        <f t="shared" si="645"/>
        <v>0</v>
      </c>
      <c r="LA141" s="43">
        <f t="shared" si="646"/>
        <v>0</v>
      </c>
      <c r="LB141" s="43">
        <f t="shared" si="647"/>
        <v>0</v>
      </c>
      <c r="LC141" s="43">
        <f t="shared" si="648"/>
        <v>0</v>
      </c>
      <c r="LD141" s="43">
        <f t="shared" si="649"/>
        <v>0</v>
      </c>
      <c r="LE141" s="43">
        <f t="shared" si="650"/>
        <v>0</v>
      </c>
      <c r="LF141" s="43">
        <f t="shared" si="651"/>
        <v>0</v>
      </c>
      <c r="LG141" s="43">
        <f t="shared" si="652"/>
        <v>63.1584</v>
      </c>
      <c r="LH141" s="43">
        <f t="shared" si="653"/>
        <v>0</v>
      </c>
      <c r="LI141" s="43">
        <f t="shared" si="654"/>
        <v>0</v>
      </c>
      <c r="LJ141" s="43">
        <f t="shared" si="655"/>
        <v>1458.8257464000001</v>
      </c>
      <c r="LK141" s="43">
        <f t="shared" si="656"/>
        <v>1213.5019050000001</v>
      </c>
      <c r="LL141" s="43">
        <f t="shared" si="657"/>
        <v>0</v>
      </c>
      <c r="LM141" s="43">
        <f t="shared" si="658"/>
        <v>0</v>
      </c>
      <c r="LN141" s="43">
        <f t="shared" si="659"/>
        <v>0</v>
      </c>
      <c r="LO141" s="43">
        <f t="shared" si="660"/>
        <v>0</v>
      </c>
      <c r="LP141" s="43">
        <f t="shared" si="661"/>
        <v>0</v>
      </c>
      <c r="LQ141" s="28">
        <f t="shared" si="666"/>
        <v>2735.4860514000002</v>
      </c>
      <c r="LR141" s="65">
        <v>598</v>
      </c>
      <c r="LS141" s="32">
        <f t="shared" si="462"/>
        <v>4.5743913903010034</v>
      </c>
      <c r="LT141" s="26">
        <f t="shared" si="463"/>
        <v>1.2498337131969954</v>
      </c>
      <c r="LU141" s="31">
        <f t="shared" si="667"/>
        <v>14</v>
      </c>
      <c r="LW141" s="42"/>
      <c r="MA141" s="32">
        <f t="shared" si="668"/>
        <v>4.46974845</v>
      </c>
      <c r="MB141" s="26">
        <f t="shared" si="464"/>
        <v>1.2212427459016393</v>
      </c>
    </row>
    <row r="142" spans="1:340" ht="15.75" thickBot="1">
      <c r="A142" t="b">
        <f t="shared" si="662"/>
        <v>1</v>
      </c>
      <c r="B142" s="123" t="s">
        <v>326</v>
      </c>
      <c r="C142" s="39" t="s">
        <v>78</v>
      </c>
      <c r="D142"/>
      <c r="E142" s="97">
        <v>46046</v>
      </c>
      <c r="F142" t="s">
        <v>43</v>
      </c>
      <c r="G142" t="s">
        <v>19</v>
      </c>
      <c r="H142" t="s">
        <v>27</v>
      </c>
      <c r="I142" s="77"/>
      <c r="J142" s="77"/>
      <c r="K142" s="77"/>
      <c r="L142" s="104"/>
      <c r="M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24"/>
      <c r="AG142" s="124"/>
      <c r="AH142" s="104"/>
      <c r="AI142" s="104"/>
      <c r="AJ142" s="22"/>
      <c r="AK142" s="22"/>
      <c r="AL142" s="22"/>
      <c r="AM142" s="22"/>
      <c r="AN142" s="22"/>
      <c r="AO142" s="104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>
        <v>0.01</v>
      </c>
      <c r="AZ142" s="22"/>
      <c r="BA142" s="98"/>
      <c r="BB142" s="98">
        <v>0.495</v>
      </c>
      <c r="BC142" s="124">
        <v>0.495</v>
      </c>
      <c r="BD142" s="124"/>
      <c r="BE142" s="104"/>
      <c r="BF142" s="104"/>
      <c r="BG142" s="104"/>
      <c r="BH142" s="104"/>
      <c r="BI142" s="78">
        <f t="shared" ref="BI142:BI143" si="669">SUM(I142:BH142)</f>
        <v>1</v>
      </c>
      <c r="BJ142" s="105"/>
      <c r="BK142" s="105"/>
      <c r="BL142" s="105"/>
      <c r="BM142" s="105"/>
      <c r="BN142" s="105"/>
      <c r="BO142" s="105"/>
      <c r="BP142" s="105"/>
      <c r="BQ142" s="105"/>
      <c r="BR142" s="105"/>
      <c r="BS142" s="105"/>
      <c r="BT142" s="105"/>
      <c r="BU142" s="105"/>
      <c r="BV142" s="105"/>
      <c r="BW142" s="105"/>
      <c r="BX142" s="105"/>
      <c r="BY142" s="105"/>
      <c r="BZ142" s="105"/>
      <c r="CA142" s="105"/>
      <c r="CB142" s="105"/>
      <c r="CC142" s="105"/>
      <c r="CD142" s="105"/>
      <c r="CE142" s="105"/>
      <c r="CF142" s="120"/>
      <c r="CG142" s="128"/>
      <c r="CH142" s="128"/>
      <c r="CI142" s="105"/>
      <c r="CJ142" s="105"/>
      <c r="CK142" s="105"/>
      <c r="CL142" s="105"/>
      <c r="CM142" s="105"/>
      <c r="CN142" s="105"/>
      <c r="CO142" s="105"/>
      <c r="CP142" s="105"/>
      <c r="CQ142" s="105"/>
      <c r="CR142" s="105"/>
      <c r="CS142" s="105"/>
      <c r="CT142" s="105"/>
      <c r="CU142" s="105"/>
      <c r="CV142" s="105"/>
      <c r="CW142" s="105"/>
      <c r="CX142" s="105"/>
      <c r="CY142" s="105"/>
      <c r="CZ142" s="105"/>
      <c r="DA142" s="105"/>
      <c r="DB142" s="105"/>
      <c r="DC142" s="105"/>
      <c r="DD142" s="125"/>
      <c r="DE142" s="125"/>
      <c r="DF142" s="105"/>
      <c r="DG142" s="105"/>
      <c r="DH142" s="105"/>
      <c r="DI142" s="105"/>
      <c r="DJ142" s="79">
        <f t="shared" si="663"/>
        <v>0</v>
      </c>
      <c r="DK142" s="108"/>
      <c r="DL142" s="108"/>
      <c r="DM142" s="108"/>
      <c r="DN142" s="108"/>
      <c r="DO142" s="108"/>
      <c r="DP142" s="108"/>
      <c r="DQ142" s="108"/>
      <c r="DR142" s="108"/>
      <c r="DS142" s="108"/>
      <c r="DT142" s="108"/>
      <c r="DU142" s="108"/>
      <c r="DV142" s="108"/>
      <c r="DW142" s="108"/>
      <c r="DX142" s="108"/>
      <c r="DY142" s="108"/>
      <c r="DZ142" s="108"/>
      <c r="EA142" s="108"/>
      <c r="EB142" s="108"/>
      <c r="EC142" s="108"/>
      <c r="ED142" s="108"/>
      <c r="EE142" s="108"/>
      <c r="EF142" s="108"/>
      <c r="EG142" s="108"/>
      <c r="EH142" s="129"/>
      <c r="EI142" s="129"/>
      <c r="EJ142" s="108"/>
      <c r="EK142" s="108"/>
      <c r="EL142" s="108"/>
      <c r="EM142" s="108"/>
      <c r="EN142" s="108"/>
      <c r="EO142" s="108"/>
      <c r="EP142" s="108"/>
      <c r="EQ142" s="108"/>
      <c r="ER142" s="108"/>
      <c r="ES142" s="106"/>
      <c r="ET142" s="106"/>
      <c r="EU142" s="106"/>
      <c r="EV142" s="106"/>
      <c r="EW142" s="106"/>
      <c r="EX142" s="106"/>
      <c r="EY142" s="106"/>
      <c r="EZ142" s="106"/>
      <c r="FA142" s="106"/>
      <c r="FB142" s="106"/>
      <c r="FC142" s="106"/>
      <c r="FD142" s="106"/>
      <c r="FE142" s="126"/>
      <c r="FF142" s="126"/>
      <c r="FG142" s="106"/>
      <c r="FH142" s="106"/>
      <c r="FI142" s="106"/>
      <c r="FJ142" s="106"/>
      <c r="FK142" s="17">
        <f>SUM(DK142:FJ142)</f>
        <v>0</v>
      </c>
      <c r="FL142" s="18"/>
      <c r="FM142" s="19">
        <f t="shared" si="505"/>
        <v>0</v>
      </c>
      <c r="FN142" s="19">
        <f t="shared" si="506"/>
        <v>0</v>
      </c>
      <c r="FO142" s="19">
        <f t="shared" si="507"/>
        <v>0</v>
      </c>
      <c r="FP142" s="19">
        <f t="shared" si="508"/>
        <v>0</v>
      </c>
      <c r="FQ142" s="19">
        <f t="shared" si="509"/>
        <v>0</v>
      </c>
      <c r="FR142" s="19">
        <f t="shared" si="510"/>
        <v>0</v>
      </c>
      <c r="FS142" s="19">
        <f t="shared" si="511"/>
        <v>0</v>
      </c>
      <c r="FT142" s="19">
        <f t="shared" si="512"/>
        <v>0</v>
      </c>
      <c r="FU142" s="19">
        <f t="shared" si="513"/>
        <v>0</v>
      </c>
      <c r="FV142" s="19">
        <f t="shared" si="514"/>
        <v>0</v>
      </c>
      <c r="FW142" s="19">
        <f t="shared" si="515"/>
        <v>0</v>
      </c>
      <c r="FX142" s="19">
        <f t="shared" si="516"/>
        <v>0</v>
      </c>
      <c r="FY142" s="19">
        <f t="shared" si="517"/>
        <v>0</v>
      </c>
      <c r="FZ142" s="19">
        <f t="shared" si="518"/>
        <v>0</v>
      </c>
      <c r="GA142" s="19">
        <f t="shared" si="519"/>
        <v>0</v>
      </c>
      <c r="GB142" s="19">
        <f t="shared" si="520"/>
        <v>0</v>
      </c>
      <c r="GC142" s="19">
        <f t="shared" si="521"/>
        <v>0</v>
      </c>
      <c r="GD142" s="19">
        <f t="shared" si="522"/>
        <v>0</v>
      </c>
      <c r="GE142" s="19">
        <f t="shared" si="523"/>
        <v>0</v>
      </c>
      <c r="GF142" s="19">
        <f t="shared" si="524"/>
        <v>0</v>
      </c>
      <c r="GG142" s="19">
        <f t="shared" si="525"/>
        <v>0</v>
      </c>
      <c r="GH142" s="19">
        <f t="shared" si="526"/>
        <v>0</v>
      </c>
      <c r="GI142" s="19">
        <f t="shared" si="527"/>
        <v>0</v>
      </c>
      <c r="GJ142" s="19">
        <f t="shared" si="528"/>
        <v>0</v>
      </c>
      <c r="GK142" s="19">
        <f t="shared" si="529"/>
        <v>0</v>
      </c>
      <c r="GL142" s="19">
        <f t="shared" si="530"/>
        <v>0</v>
      </c>
      <c r="GM142" s="19">
        <f t="shared" si="531"/>
        <v>0</v>
      </c>
      <c r="GN142" s="19">
        <f t="shared" si="532"/>
        <v>0</v>
      </c>
      <c r="GO142" s="19">
        <f t="shared" si="533"/>
        <v>0</v>
      </c>
      <c r="GP142" s="19">
        <f t="shared" si="534"/>
        <v>0</v>
      </c>
      <c r="GQ142" s="19">
        <f t="shared" si="535"/>
        <v>0</v>
      </c>
      <c r="GR142" s="19">
        <f t="shared" si="536"/>
        <v>0</v>
      </c>
      <c r="GS142" s="19">
        <f t="shared" si="537"/>
        <v>0</v>
      </c>
      <c r="GT142" s="19">
        <f t="shared" si="538"/>
        <v>0</v>
      </c>
      <c r="GU142" s="19">
        <f t="shared" si="539"/>
        <v>0</v>
      </c>
      <c r="GV142" s="19">
        <f t="shared" si="540"/>
        <v>0</v>
      </c>
      <c r="GW142" s="19">
        <f t="shared" si="541"/>
        <v>0</v>
      </c>
      <c r="GX142" s="19">
        <f t="shared" si="542"/>
        <v>0</v>
      </c>
      <c r="GY142" s="19">
        <f t="shared" si="543"/>
        <v>0</v>
      </c>
      <c r="GZ142" s="19">
        <f t="shared" si="544"/>
        <v>0</v>
      </c>
      <c r="HA142" s="19">
        <f t="shared" si="545"/>
        <v>0</v>
      </c>
      <c r="HB142" s="19">
        <f t="shared" si="546"/>
        <v>0</v>
      </c>
      <c r="HC142" s="19">
        <f t="shared" si="547"/>
        <v>1.4999999999999999E-2</v>
      </c>
      <c r="HD142" s="19">
        <f t="shared" si="548"/>
        <v>0</v>
      </c>
      <c r="HE142" s="19">
        <f t="shared" si="549"/>
        <v>0</v>
      </c>
      <c r="HF142" s="19">
        <f t="shared" si="550"/>
        <v>0.74249999999999994</v>
      </c>
      <c r="HG142" s="19">
        <f t="shared" si="551"/>
        <v>0.74249999999999994</v>
      </c>
      <c r="HH142" s="19">
        <f t="shared" si="552"/>
        <v>0</v>
      </c>
      <c r="HI142" s="19">
        <f t="shared" si="553"/>
        <v>0</v>
      </c>
      <c r="HJ142" s="19">
        <f t="shared" si="554"/>
        <v>0</v>
      </c>
      <c r="HK142" s="19">
        <f t="shared" si="555"/>
        <v>0</v>
      </c>
      <c r="HL142" s="19">
        <f t="shared" si="556"/>
        <v>0</v>
      </c>
      <c r="HM142" s="20">
        <f t="shared" si="557"/>
        <v>1.5</v>
      </c>
      <c r="HN142" s="53">
        <v>1240</v>
      </c>
      <c r="HO142" s="21">
        <f t="shared" si="558"/>
        <v>0</v>
      </c>
      <c r="HP142" s="21">
        <f t="shared" si="559"/>
        <v>0</v>
      </c>
      <c r="HQ142" s="21">
        <f t="shared" si="560"/>
        <v>0</v>
      </c>
      <c r="HR142" s="21">
        <f t="shared" si="561"/>
        <v>0</v>
      </c>
      <c r="HS142" s="21">
        <f t="shared" si="562"/>
        <v>0</v>
      </c>
      <c r="HT142" s="69">
        <f t="shared" si="563"/>
        <v>0</v>
      </c>
      <c r="HU142" s="21">
        <f t="shared" si="564"/>
        <v>0</v>
      </c>
      <c r="HV142" s="21">
        <f t="shared" si="565"/>
        <v>0</v>
      </c>
      <c r="HW142" s="21">
        <f t="shared" si="566"/>
        <v>0</v>
      </c>
      <c r="HX142" s="21">
        <f t="shared" si="567"/>
        <v>0</v>
      </c>
      <c r="HY142" s="21">
        <f t="shared" si="568"/>
        <v>0</v>
      </c>
      <c r="HZ142" s="21">
        <f t="shared" si="569"/>
        <v>0</v>
      </c>
      <c r="IA142" s="21">
        <f t="shared" si="570"/>
        <v>0</v>
      </c>
      <c r="IB142" s="21">
        <f t="shared" si="571"/>
        <v>0</v>
      </c>
      <c r="IC142" s="21">
        <f t="shared" si="572"/>
        <v>0</v>
      </c>
      <c r="ID142" s="21">
        <f t="shared" si="573"/>
        <v>0</v>
      </c>
      <c r="IE142" s="21">
        <f t="shared" si="574"/>
        <v>0</v>
      </c>
      <c r="IF142" s="69">
        <f t="shared" si="575"/>
        <v>0</v>
      </c>
      <c r="IG142" s="69">
        <f t="shared" si="576"/>
        <v>0</v>
      </c>
      <c r="IH142" s="69">
        <f t="shared" si="577"/>
        <v>0</v>
      </c>
      <c r="II142" s="21">
        <f t="shared" si="578"/>
        <v>0</v>
      </c>
      <c r="IJ142" s="21">
        <f t="shared" si="579"/>
        <v>0</v>
      </c>
      <c r="IK142" s="21">
        <f t="shared" si="580"/>
        <v>0</v>
      </c>
      <c r="IL142" s="21">
        <f t="shared" si="581"/>
        <v>0</v>
      </c>
      <c r="IM142" s="21">
        <f t="shared" si="582"/>
        <v>0</v>
      </c>
      <c r="IN142" s="21">
        <f t="shared" si="583"/>
        <v>0</v>
      </c>
      <c r="IO142" s="21">
        <f t="shared" si="584"/>
        <v>0</v>
      </c>
      <c r="IP142" s="21">
        <f t="shared" si="585"/>
        <v>0</v>
      </c>
      <c r="IQ142" s="21">
        <f t="shared" si="586"/>
        <v>0</v>
      </c>
      <c r="IR142" s="21">
        <f t="shared" si="587"/>
        <v>0</v>
      </c>
      <c r="IS142" s="21">
        <f t="shared" si="588"/>
        <v>0</v>
      </c>
      <c r="IT142" s="21">
        <f t="shared" si="589"/>
        <v>0</v>
      </c>
      <c r="IU142" s="21">
        <f t="shared" si="590"/>
        <v>0</v>
      </c>
      <c r="IV142" s="21">
        <f t="shared" si="591"/>
        <v>0</v>
      </c>
      <c r="IW142" s="21">
        <f t="shared" si="592"/>
        <v>0</v>
      </c>
      <c r="IX142" s="21">
        <f t="shared" si="593"/>
        <v>0</v>
      </c>
      <c r="IY142" s="21">
        <f t="shared" si="594"/>
        <v>0</v>
      </c>
      <c r="IZ142" s="21">
        <f t="shared" si="595"/>
        <v>0</v>
      </c>
      <c r="JA142" s="21">
        <f t="shared" si="596"/>
        <v>0</v>
      </c>
      <c r="JB142" s="21">
        <f t="shared" si="597"/>
        <v>0</v>
      </c>
      <c r="JC142" s="21">
        <f t="shared" si="598"/>
        <v>0</v>
      </c>
      <c r="JD142" s="21">
        <f t="shared" si="599"/>
        <v>0</v>
      </c>
      <c r="JE142" s="21">
        <f t="shared" si="600"/>
        <v>12.399999999999999</v>
      </c>
      <c r="JF142" s="21">
        <f t="shared" si="601"/>
        <v>0</v>
      </c>
      <c r="JG142" s="21">
        <f t="shared" si="602"/>
        <v>0</v>
      </c>
      <c r="JH142" s="21">
        <f t="shared" si="603"/>
        <v>613.79999999999995</v>
      </c>
      <c r="JI142" s="21">
        <f t="shared" si="604"/>
        <v>613.79999999999995</v>
      </c>
      <c r="JJ142" s="21">
        <f t="shared" si="605"/>
        <v>0</v>
      </c>
      <c r="JK142" s="21">
        <f t="shared" si="606"/>
        <v>0</v>
      </c>
      <c r="JL142" s="21">
        <f t="shared" si="607"/>
        <v>0</v>
      </c>
      <c r="JM142" s="21">
        <f t="shared" si="608"/>
        <v>0</v>
      </c>
      <c r="JN142" s="21">
        <f t="shared" si="609"/>
        <v>0</v>
      </c>
      <c r="JO142" s="35">
        <f t="shared" si="664"/>
        <v>1240</v>
      </c>
      <c r="JP142" s="38">
        <f t="shared" si="665"/>
        <v>0</v>
      </c>
      <c r="JQ142" s="43">
        <f t="shared" si="610"/>
        <v>0</v>
      </c>
      <c r="JR142" s="43">
        <f t="shared" si="611"/>
        <v>0</v>
      </c>
      <c r="JS142" s="43">
        <f t="shared" si="612"/>
        <v>0</v>
      </c>
      <c r="JT142" s="43">
        <f t="shared" si="613"/>
        <v>0</v>
      </c>
      <c r="JU142" s="43">
        <f t="shared" si="614"/>
        <v>0</v>
      </c>
      <c r="JV142" s="43">
        <f t="shared" si="615"/>
        <v>0</v>
      </c>
      <c r="JW142" s="43">
        <f t="shared" si="616"/>
        <v>0</v>
      </c>
      <c r="JX142" s="43">
        <f t="shared" si="617"/>
        <v>0</v>
      </c>
      <c r="JY142" s="43">
        <f t="shared" si="618"/>
        <v>0</v>
      </c>
      <c r="JZ142" s="43">
        <f t="shared" si="619"/>
        <v>0</v>
      </c>
      <c r="KA142" s="43">
        <f t="shared" si="620"/>
        <v>0</v>
      </c>
      <c r="KB142" s="43">
        <f t="shared" si="621"/>
        <v>0</v>
      </c>
      <c r="KC142" s="43">
        <f t="shared" si="622"/>
        <v>0</v>
      </c>
      <c r="KD142" s="43">
        <f t="shared" si="623"/>
        <v>0</v>
      </c>
      <c r="KE142" s="43">
        <f t="shared" si="624"/>
        <v>0</v>
      </c>
      <c r="KF142" s="43">
        <f t="shared" si="625"/>
        <v>0</v>
      </c>
      <c r="KG142" s="43">
        <f t="shared" si="626"/>
        <v>0</v>
      </c>
      <c r="KH142" s="43">
        <f t="shared" si="627"/>
        <v>0</v>
      </c>
      <c r="KI142" s="43">
        <f t="shared" si="628"/>
        <v>0</v>
      </c>
      <c r="KJ142" s="43">
        <f t="shared" si="629"/>
        <v>0</v>
      </c>
      <c r="KK142" s="43">
        <f t="shared" si="630"/>
        <v>0</v>
      </c>
      <c r="KL142" s="43">
        <f t="shared" si="631"/>
        <v>0</v>
      </c>
      <c r="KM142" s="43">
        <f t="shared" si="632"/>
        <v>0</v>
      </c>
      <c r="KN142" s="43">
        <f t="shared" si="633"/>
        <v>0</v>
      </c>
      <c r="KO142" s="43">
        <f t="shared" si="634"/>
        <v>0</v>
      </c>
      <c r="KP142" s="43">
        <f t="shared" si="635"/>
        <v>0</v>
      </c>
      <c r="KQ142" s="43">
        <f t="shared" si="636"/>
        <v>0</v>
      </c>
      <c r="KR142" s="43">
        <f t="shared" si="637"/>
        <v>0</v>
      </c>
      <c r="KS142" s="43">
        <f t="shared" si="638"/>
        <v>0</v>
      </c>
      <c r="KT142" s="43">
        <f t="shared" si="639"/>
        <v>0</v>
      </c>
      <c r="KU142" s="43">
        <f t="shared" si="640"/>
        <v>0</v>
      </c>
      <c r="KV142" s="43">
        <f t="shared" si="641"/>
        <v>0</v>
      </c>
      <c r="KW142" s="43">
        <f t="shared" si="642"/>
        <v>0</v>
      </c>
      <c r="KX142" s="43">
        <f t="shared" si="643"/>
        <v>0</v>
      </c>
      <c r="KY142" s="43">
        <f t="shared" si="644"/>
        <v>0</v>
      </c>
      <c r="KZ142" s="43">
        <f t="shared" si="645"/>
        <v>0</v>
      </c>
      <c r="LA142" s="43">
        <f t="shared" si="646"/>
        <v>0</v>
      </c>
      <c r="LB142" s="43">
        <f t="shared" si="647"/>
        <v>0</v>
      </c>
      <c r="LC142" s="43">
        <f t="shared" si="648"/>
        <v>0</v>
      </c>
      <c r="LD142" s="43">
        <f t="shared" si="649"/>
        <v>0</v>
      </c>
      <c r="LE142" s="43">
        <f t="shared" si="650"/>
        <v>0</v>
      </c>
      <c r="LF142" s="43">
        <f t="shared" si="651"/>
        <v>0</v>
      </c>
      <c r="LG142" s="43">
        <f t="shared" si="652"/>
        <v>127.96799999999999</v>
      </c>
      <c r="LH142" s="43">
        <f t="shared" si="653"/>
        <v>0</v>
      </c>
      <c r="LI142" s="43">
        <f t="shared" si="654"/>
        <v>0</v>
      </c>
      <c r="LJ142" s="43">
        <f t="shared" si="655"/>
        <v>2955.7907279999999</v>
      </c>
      <c r="LK142" s="43">
        <f t="shared" si="656"/>
        <v>2458.7293499999996</v>
      </c>
      <c r="LL142" s="43">
        <f t="shared" si="657"/>
        <v>0</v>
      </c>
      <c r="LM142" s="43">
        <f t="shared" si="658"/>
        <v>0</v>
      </c>
      <c r="LN142" s="43">
        <f t="shared" si="659"/>
        <v>0</v>
      </c>
      <c r="LO142" s="43">
        <f t="shared" si="660"/>
        <v>0</v>
      </c>
      <c r="LP142" s="43">
        <f t="shared" si="661"/>
        <v>0</v>
      </c>
      <c r="LQ142" s="28">
        <f t="shared" si="666"/>
        <v>5542.4880779999994</v>
      </c>
      <c r="LR142" s="65">
        <v>1188</v>
      </c>
      <c r="LS142" s="32">
        <f t="shared" si="462"/>
        <v>4.6653940050505049</v>
      </c>
      <c r="LT142" s="26">
        <f t="shared" si="463"/>
        <v>1.2746978155875697</v>
      </c>
      <c r="LU142" s="31">
        <f t="shared" si="667"/>
        <v>52</v>
      </c>
      <c r="LW142" s="42"/>
      <c r="MA142" s="32">
        <f t="shared" si="668"/>
        <v>4.4697484499999991</v>
      </c>
      <c r="MB142" s="26">
        <f t="shared" si="464"/>
        <v>1.2212427459016391</v>
      </c>
    </row>
    <row r="143" spans="1:340" ht="15.75" thickBot="1">
      <c r="A143" t="b">
        <f t="shared" si="662"/>
        <v>1</v>
      </c>
      <c r="B143" s="123" t="s">
        <v>327</v>
      </c>
      <c r="C143" s="39" t="s">
        <v>328</v>
      </c>
      <c r="D143"/>
      <c r="E143" s="97">
        <v>46051</v>
      </c>
      <c r="F143" t="s">
        <v>43</v>
      </c>
      <c r="G143" t="s">
        <v>20</v>
      </c>
      <c r="H143" t="s">
        <v>27</v>
      </c>
      <c r="I143" s="77"/>
      <c r="J143" s="77"/>
      <c r="K143" s="77"/>
      <c r="L143" s="22"/>
      <c r="M143" s="22"/>
      <c r="N143" s="98"/>
      <c r="O143" s="22"/>
      <c r="P143" s="22"/>
      <c r="Q143" s="22"/>
      <c r="R143" s="22"/>
      <c r="S143" s="104"/>
      <c r="T143" s="22"/>
      <c r="U143" s="22"/>
      <c r="V143" s="104"/>
      <c r="W143" s="22"/>
      <c r="X143" s="22"/>
      <c r="Y143" s="22"/>
      <c r="Z143" s="104"/>
      <c r="AA143" s="104"/>
      <c r="AB143" s="104"/>
      <c r="AC143" s="22"/>
      <c r="AD143" s="22"/>
      <c r="AE143" s="22"/>
      <c r="AF143" s="124"/>
      <c r="AG143" s="124"/>
      <c r="AH143" s="22"/>
      <c r="AI143" s="104"/>
      <c r="AJ143" s="22">
        <v>0.3</v>
      </c>
      <c r="AK143" s="22"/>
      <c r="AL143" s="22"/>
      <c r="AM143" s="22"/>
      <c r="AN143" s="22"/>
      <c r="AO143" s="104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98"/>
      <c r="BB143" s="98"/>
      <c r="BC143" s="124">
        <v>0.7</v>
      </c>
      <c r="BD143" s="124"/>
      <c r="BE143" s="104"/>
      <c r="BF143" s="22"/>
      <c r="BG143" s="22"/>
      <c r="BH143" s="22"/>
      <c r="BI143" s="78">
        <f t="shared" si="669"/>
        <v>1</v>
      </c>
      <c r="BJ143" s="23"/>
      <c r="BK143" s="23"/>
      <c r="BL143" s="23"/>
      <c r="BM143" s="23"/>
      <c r="BN143" s="23"/>
      <c r="BO143" s="99"/>
      <c r="BP143" s="23"/>
      <c r="BQ143" s="23"/>
      <c r="BR143" s="23"/>
      <c r="BS143" s="23"/>
      <c r="BT143" s="105"/>
      <c r="BU143" s="23"/>
      <c r="BV143" s="23"/>
      <c r="BW143" s="105"/>
      <c r="BX143" s="23"/>
      <c r="BY143" s="23"/>
      <c r="BZ143" s="23"/>
      <c r="CA143" s="105"/>
      <c r="CB143" s="105"/>
      <c r="CC143" s="105"/>
      <c r="CD143" s="23"/>
      <c r="CE143" s="23"/>
      <c r="CF143" s="71"/>
      <c r="CG143" s="128"/>
      <c r="CH143" s="128"/>
      <c r="CI143" s="23"/>
      <c r="CJ143" s="23"/>
      <c r="CK143" s="23"/>
      <c r="CL143" s="23">
        <v>0.3</v>
      </c>
      <c r="CM143" s="23"/>
      <c r="CN143" s="23"/>
      <c r="CO143" s="23"/>
      <c r="CP143" s="105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B143" s="99"/>
      <c r="DC143" s="99"/>
      <c r="DD143" s="125">
        <v>0.7</v>
      </c>
      <c r="DE143" s="125"/>
      <c r="DF143" s="105"/>
      <c r="DG143" s="23"/>
      <c r="DH143" s="23"/>
      <c r="DI143" s="23"/>
      <c r="DJ143" s="79">
        <f t="shared" si="663"/>
        <v>1</v>
      </c>
      <c r="DK143" s="24"/>
      <c r="DL143" s="24"/>
      <c r="DM143" s="24"/>
      <c r="DN143" s="24">
        <v>0.92</v>
      </c>
      <c r="DO143" s="24"/>
      <c r="DP143" s="103"/>
      <c r="DQ143" s="24"/>
      <c r="DR143" s="24"/>
      <c r="DS143" s="24"/>
      <c r="DT143" s="24"/>
      <c r="DU143" s="108"/>
      <c r="DV143" s="24"/>
      <c r="DW143" s="24"/>
      <c r="DX143" s="108"/>
      <c r="DY143" s="24"/>
      <c r="DZ143" s="24"/>
      <c r="EA143" s="24"/>
      <c r="EB143" s="108"/>
      <c r="EC143" s="108"/>
      <c r="ED143" s="108"/>
      <c r="EE143" s="24"/>
      <c r="EF143" s="24"/>
      <c r="EG143" s="24"/>
      <c r="EH143" s="129"/>
      <c r="EI143" s="129"/>
      <c r="EJ143" s="24"/>
      <c r="EK143" s="24"/>
      <c r="EL143" s="24"/>
      <c r="EM143" s="24"/>
      <c r="EN143" s="24"/>
      <c r="EO143" s="24"/>
      <c r="EP143" s="24"/>
      <c r="EQ143" s="108"/>
      <c r="ER143" s="24"/>
      <c r="ES143" s="25"/>
      <c r="ET143" s="25"/>
      <c r="EU143" s="25">
        <v>0.06</v>
      </c>
      <c r="EV143" s="25"/>
      <c r="EW143" s="25"/>
      <c r="EX143" s="25"/>
      <c r="EY143" s="25"/>
      <c r="EZ143" s="25"/>
      <c r="FA143" s="25"/>
      <c r="FB143" s="25"/>
      <c r="FC143" s="100"/>
      <c r="FD143" s="100"/>
      <c r="FE143" s="126"/>
      <c r="FF143" s="126"/>
      <c r="FG143" s="106"/>
      <c r="FH143" s="25"/>
      <c r="FI143" s="25"/>
      <c r="FJ143" s="106">
        <v>0.02</v>
      </c>
      <c r="FK143" s="17">
        <f t="shared" ref="FK143" si="670">SUM(DK143:FJ143)</f>
        <v>1</v>
      </c>
      <c r="FL143" s="18"/>
      <c r="FM143" s="19">
        <f t="shared" si="505"/>
        <v>0</v>
      </c>
      <c r="FN143" s="19">
        <f t="shared" si="506"/>
        <v>0</v>
      </c>
      <c r="FO143" s="19">
        <f t="shared" si="507"/>
        <v>0</v>
      </c>
      <c r="FP143" s="19">
        <f t="shared" si="508"/>
        <v>1.3800000000000001</v>
      </c>
      <c r="FQ143" s="19">
        <f t="shared" si="509"/>
        <v>0</v>
      </c>
      <c r="FR143" s="19">
        <f t="shared" si="510"/>
        <v>0</v>
      </c>
      <c r="FS143" s="19">
        <f t="shared" si="511"/>
        <v>0</v>
      </c>
      <c r="FT143" s="19">
        <f t="shared" si="512"/>
        <v>0</v>
      </c>
      <c r="FU143" s="19">
        <f t="shared" si="513"/>
        <v>0</v>
      </c>
      <c r="FV143" s="19">
        <f t="shared" si="514"/>
        <v>0</v>
      </c>
      <c r="FW143" s="19">
        <f t="shared" si="515"/>
        <v>0</v>
      </c>
      <c r="FX143" s="19">
        <f t="shared" si="516"/>
        <v>0</v>
      </c>
      <c r="FY143" s="19">
        <f t="shared" si="517"/>
        <v>0</v>
      </c>
      <c r="FZ143" s="19">
        <f t="shared" si="518"/>
        <v>0</v>
      </c>
      <c r="GA143" s="19">
        <f t="shared" si="519"/>
        <v>0</v>
      </c>
      <c r="GB143" s="19">
        <f t="shared" si="520"/>
        <v>0</v>
      </c>
      <c r="GC143" s="19">
        <f t="shared" si="521"/>
        <v>0</v>
      </c>
      <c r="GD143" s="19">
        <f t="shared" si="522"/>
        <v>0</v>
      </c>
      <c r="GE143" s="19">
        <f t="shared" si="523"/>
        <v>0</v>
      </c>
      <c r="GF143" s="19">
        <f t="shared" si="524"/>
        <v>0</v>
      </c>
      <c r="GG143" s="19">
        <f t="shared" si="525"/>
        <v>0</v>
      </c>
      <c r="GH143" s="19">
        <f t="shared" si="526"/>
        <v>0</v>
      </c>
      <c r="GI143" s="19">
        <f t="shared" si="527"/>
        <v>0</v>
      </c>
      <c r="GJ143" s="19">
        <f t="shared" si="528"/>
        <v>0</v>
      </c>
      <c r="GK143" s="19">
        <f t="shared" si="529"/>
        <v>0</v>
      </c>
      <c r="GL143" s="19">
        <f t="shared" si="530"/>
        <v>0</v>
      </c>
      <c r="GM143" s="19">
        <f t="shared" si="531"/>
        <v>0</v>
      </c>
      <c r="GN143" s="19">
        <f t="shared" si="532"/>
        <v>0.44999999999999996</v>
      </c>
      <c r="GO143" s="19">
        <f t="shared" si="533"/>
        <v>0.6</v>
      </c>
      <c r="GP143" s="19">
        <f t="shared" si="534"/>
        <v>0</v>
      </c>
      <c r="GQ143" s="19">
        <f t="shared" si="535"/>
        <v>0</v>
      </c>
      <c r="GR143" s="19">
        <f t="shared" si="536"/>
        <v>0</v>
      </c>
      <c r="GS143" s="19">
        <f t="shared" si="537"/>
        <v>0</v>
      </c>
      <c r="GT143" s="19">
        <f t="shared" si="538"/>
        <v>0</v>
      </c>
      <c r="GU143" s="19">
        <f t="shared" si="539"/>
        <v>0</v>
      </c>
      <c r="GV143" s="19">
        <f t="shared" si="540"/>
        <v>0</v>
      </c>
      <c r="GW143" s="19">
        <f t="shared" si="541"/>
        <v>0.09</v>
      </c>
      <c r="GX143" s="19">
        <f t="shared" si="542"/>
        <v>0</v>
      </c>
      <c r="GY143" s="19">
        <f t="shared" si="543"/>
        <v>0</v>
      </c>
      <c r="GZ143" s="19">
        <f t="shared" si="544"/>
        <v>0</v>
      </c>
      <c r="HA143" s="19">
        <f t="shared" si="545"/>
        <v>0</v>
      </c>
      <c r="HB143" s="19">
        <f t="shared" si="546"/>
        <v>0</v>
      </c>
      <c r="HC143" s="19">
        <f t="shared" si="547"/>
        <v>0</v>
      </c>
      <c r="HD143" s="19">
        <f t="shared" si="548"/>
        <v>0</v>
      </c>
      <c r="HE143" s="19">
        <f t="shared" si="549"/>
        <v>0</v>
      </c>
      <c r="HF143" s="19">
        <f t="shared" si="550"/>
        <v>0</v>
      </c>
      <c r="HG143" s="19">
        <f t="shared" si="551"/>
        <v>2.4499999999999997</v>
      </c>
      <c r="HH143" s="19">
        <f t="shared" si="552"/>
        <v>0</v>
      </c>
      <c r="HI143" s="19">
        <f t="shared" si="553"/>
        <v>0</v>
      </c>
      <c r="HJ143" s="19">
        <f t="shared" si="554"/>
        <v>0</v>
      </c>
      <c r="HK143" s="19">
        <f t="shared" si="555"/>
        <v>0</v>
      </c>
      <c r="HL143" s="19">
        <f t="shared" si="556"/>
        <v>0.03</v>
      </c>
      <c r="HM143" s="20">
        <f t="shared" si="557"/>
        <v>5</v>
      </c>
      <c r="HN143" s="53">
        <v>1467</v>
      </c>
      <c r="HO143" s="21">
        <f t="shared" si="558"/>
        <v>0</v>
      </c>
      <c r="HP143" s="21">
        <f t="shared" si="559"/>
        <v>0</v>
      </c>
      <c r="HQ143" s="21">
        <f t="shared" si="560"/>
        <v>0</v>
      </c>
      <c r="HR143" s="21">
        <f t="shared" si="561"/>
        <v>404.89200000000005</v>
      </c>
      <c r="HS143" s="21">
        <f t="shared" si="562"/>
        <v>0</v>
      </c>
      <c r="HT143" s="69">
        <f t="shared" si="563"/>
        <v>0</v>
      </c>
      <c r="HU143" s="21">
        <f t="shared" si="564"/>
        <v>0</v>
      </c>
      <c r="HV143" s="21">
        <f t="shared" si="565"/>
        <v>0</v>
      </c>
      <c r="HW143" s="21">
        <f t="shared" si="566"/>
        <v>0</v>
      </c>
      <c r="HX143" s="21">
        <f t="shared" si="567"/>
        <v>0</v>
      </c>
      <c r="HY143" s="21">
        <f t="shared" si="568"/>
        <v>0</v>
      </c>
      <c r="HZ143" s="21">
        <f t="shared" si="569"/>
        <v>0</v>
      </c>
      <c r="IA143" s="21">
        <f t="shared" si="570"/>
        <v>0</v>
      </c>
      <c r="IB143" s="21">
        <f t="shared" si="571"/>
        <v>0</v>
      </c>
      <c r="IC143" s="21">
        <f t="shared" si="572"/>
        <v>0</v>
      </c>
      <c r="ID143" s="21">
        <f t="shared" si="573"/>
        <v>0</v>
      </c>
      <c r="IE143" s="21">
        <f t="shared" si="574"/>
        <v>0</v>
      </c>
      <c r="IF143" s="69">
        <f t="shared" si="575"/>
        <v>0</v>
      </c>
      <c r="IG143" s="69">
        <f t="shared" si="576"/>
        <v>0</v>
      </c>
      <c r="IH143" s="69">
        <f t="shared" si="577"/>
        <v>0</v>
      </c>
      <c r="II143" s="21">
        <f t="shared" si="578"/>
        <v>0</v>
      </c>
      <c r="IJ143" s="21">
        <f t="shared" si="579"/>
        <v>0</v>
      </c>
      <c r="IK143" s="21">
        <f t="shared" si="580"/>
        <v>0</v>
      </c>
      <c r="IL143" s="21">
        <f t="shared" si="581"/>
        <v>0</v>
      </c>
      <c r="IM143" s="21">
        <f t="shared" si="582"/>
        <v>0</v>
      </c>
      <c r="IN143" s="21">
        <f t="shared" si="583"/>
        <v>0</v>
      </c>
      <c r="IO143" s="21">
        <f t="shared" si="584"/>
        <v>0</v>
      </c>
      <c r="IP143" s="21">
        <f t="shared" si="585"/>
        <v>132.03</v>
      </c>
      <c r="IQ143" s="21">
        <f t="shared" si="586"/>
        <v>176.04</v>
      </c>
      <c r="IR143" s="21">
        <f t="shared" si="587"/>
        <v>0</v>
      </c>
      <c r="IS143" s="21">
        <f t="shared" si="588"/>
        <v>0</v>
      </c>
      <c r="IT143" s="21">
        <f t="shared" si="589"/>
        <v>0</v>
      </c>
      <c r="IU143" s="21">
        <f t="shared" si="590"/>
        <v>0</v>
      </c>
      <c r="IV143" s="21">
        <f t="shared" si="591"/>
        <v>0</v>
      </c>
      <c r="IW143" s="21">
        <f t="shared" si="592"/>
        <v>0</v>
      </c>
      <c r="IX143" s="21">
        <f t="shared" si="593"/>
        <v>0</v>
      </c>
      <c r="IY143" s="21">
        <f t="shared" si="594"/>
        <v>26.405999999999999</v>
      </c>
      <c r="IZ143" s="21">
        <f t="shared" si="595"/>
        <v>0</v>
      </c>
      <c r="JA143" s="21">
        <f t="shared" si="596"/>
        <v>0</v>
      </c>
      <c r="JB143" s="21">
        <f t="shared" si="597"/>
        <v>0</v>
      </c>
      <c r="JC143" s="21">
        <f t="shared" si="598"/>
        <v>0</v>
      </c>
      <c r="JD143" s="21">
        <f t="shared" si="599"/>
        <v>0</v>
      </c>
      <c r="JE143" s="21">
        <f t="shared" si="600"/>
        <v>0</v>
      </c>
      <c r="JF143" s="21">
        <f t="shared" si="601"/>
        <v>0</v>
      </c>
      <c r="JG143" s="21">
        <f t="shared" si="602"/>
        <v>0</v>
      </c>
      <c r="JH143" s="21">
        <f t="shared" si="603"/>
        <v>0</v>
      </c>
      <c r="JI143" s="21">
        <f t="shared" si="604"/>
        <v>718.82999999999993</v>
      </c>
      <c r="JJ143" s="21">
        <f t="shared" si="605"/>
        <v>0</v>
      </c>
      <c r="JK143" s="21">
        <f t="shared" si="606"/>
        <v>0</v>
      </c>
      <c r="JL143" s="21">
        <f t="shared" si="607"/>
        <v>0</v>
      </c>
      <c r="JM143" s="21">
        <f t="shared" si="608"/>
        <v>0</v>
      </c>
      <c r="JN143" s="21">
        <f t="shared" si="609"/>
        <v>8.8019999999999996</v>
      </c>
      <c r="JO143" s="35">
        <f t="shared" si="664"/>
        <v>1466.9999999999998</v>
      </c>
      <c r="JP143" s="38">
        <f t="shared" si="665"/>
        <v>0</v>
      </c>
      <c r="JQ143" s="43">
        <f t="shared" si="610"/>
        <v>0</v>
      </c>
      <c r="JR143" s="43">
        <f t="shared" si="611"/>
        <v>0</v>
      </c>
      <c r="JS143" s="43">
        <f t="shared" si="612"/>
        <v>0</v>
      </c>
      <c r="JT143" s="43">
        <f t="shared" si="613"/>
        <v>1741.4081006400004</v>
      </c>
      <c r="JU143" s="43">
        <f t="shared" si="614"/>
        <v>0</v>
      </c>
      <c r="JV143" s="43">
        <f t="shared" si="615"/>
        <v>0</v>
      </c>
      <c r="JW143" s="43">
        <f t="shared" si="616"/>
        <v>0</v>
      </c>
      <c r="JX143" s="43">
        <f t="shared" si="617"/>
        <v>0</v>
      </c>
      <c r="JY143" s="43">
        <f t="shared" si="618"/>
        <v>0</v>
      </c>
      <c r="JZ143" s="43">
        <f t="shared" si="619"/>
        <v>0</v>
      </c>
      <c r="KA143" s="43">
        <f t="shared" si="620"/>
        <v>0</v>
      </c>
      <c r="KB143" s="43">
        <f t="shared" si="621"/>
        <v>0</v>
      </c>
      <c r="KC143" s="43">
        <f t="shared" si="622"/>
        <v>0</v>
      </c>
      <c r="KD143" s="43">
        <f t="shared" si="623"/>
        <v>0</v>
      </c>
      <c r="KE143" s="43">
        <f t="shared" si="624"/>
        <v>0</v>
      </c>
      <c r="KF143" s="43">
        <f t="shared" si="625"/>
        <v>0</v>
      </c>
      <c r="KG143" s="43">
        <f t="shared" si="626"/>
        <v>0</v>
      </c>
      <c r="KH143" s="43">
        <f t="shared" si="627"/>
        <v>0</v>
      </c>
      <c r="KI143" s="43">
        <f t="shared" si="628"/>
        <v>0</v>
      </c>
      <c r="KJ143" s="43">
        <f t="shared" si="629"/>
        <v>0</v>
      </c>
      <c r="KK143" s="43">
        <f t="shared" si="630"/>
        <v>0</v>
      </c>
      <c r="KL143" s="43">
        <f t="shared" si="631"/>
        <v>0</v>
      </c>
      <c r="KM143" s="43">
        <f t="shared" si="632"/>
        <v>0</v>
      </c>
      <c r="KN143" s="43">
        <f t="shared" si="633"/>
        <v>0</v>
      </c>
      <c r="KO143" s="43">
        <f t="shared" si="634"/>
        <v>0</v>
      </c>
      <c r="KP143" s="43">
        <f t="shared" si="635"/>
        <v>0</v>
      </c>
      <c r="KQ143" s="43">
        <f t="shared" si="636"/>
        <v>0</v>
      </c>
      <c r="KR143" s="43">
        <f t="shared" si="637"/>
        <v>509.63579999999996</v>
      </c>
      <c r="KS143" s="43">
        <f t="shared" si="638"/>
        <v>601.93902746181811</v>
      </c>
      <c r="KT143" s="43">
        <f t="shared" si="639"/>
        <v>0</v>
      </c>
      <c r="KU143" s="43">
        <f t="shared" si="640"/>
        <v>0</v>
      </c>
      <c r="KV143" s="43">
        <f t="shared" si="641"/>
        <v>0</v>
      </c>
      <c r="KW143" s="43">
        <f t="shared" si="642"/>
        <v>0</v>
      </c>
      <c r="KX143" s="43">
        <f t="shared" si="643"/>
        <v>0</v>
      </c>
      <c r="KY143" s="43">
        <f t="shared" si="644"/>
        <v>0</v>
      </c>
      <c r="KZ143" s="43">
        <f t="shared" si="645"/>
        <v>0</v>
      </c>
      <c r="LA143" s="43">
        <f t="shared" si="646"/>
        <v>105.80461703999998</v>
      </c>
      <c r="LB143" s="43">
        <f t="shared" si="647"/>
        <v>0</v>
      </c>
      <c r="LC143" s="43">
        <f t="shared" si="648"/>
        <v>0</v>
      </c>
      <c r="LD143" s="43">
        <f t="shared" si="649"/>
        <v>0</v>
      </c>
      <c r="LE143" s="43">
        <f t="shared" si="650"/>
        <v>0</v>
      </c>
      <c r="LF143" s="43">
        <f t="shared" si="651"/>
        <v>0</v>
      </c>
      <c r="LG143" s="43">
        <f t="shared" si="652"/>
        <v>0</v>
      </c>
      <c r="LH143" s="43">
        <f t="shared" si="653"/>
        <v>0</v>
      </c>
      <c r="LI143" s="43">
        <f t="shared" si="654"/>
        <v>0</v>
      </c>
      <c r="LJ143" s="43">
        <f t="shared" si="655"/>
        <v>0</v>
      </c>
      <c r="LK143" s="43">
        <f t="shared" si="656"/>
        <v>2879.4532724999995</v>
      </c>
      <c r="LL143" s="43">
        <f t="shared" si="657"/>
        <v>0</v>
      </c>
      <c r="LM143" s="43">
        <f t="shared" si="658"/>
        <v>0</v>
      </c>
      <c r="LN143" s="43">
        <f t="shared" si="659"/>
        <v>0</v>
      </c>
      <c r="LO143" s="43">
        <f t="shared" si="660"/>
        <v>0</v>
      </c>
      <c r="LP143" s="43">
        <f t="shared" si="661"/>
        <v>74.376899999999992</v>
      </c>
      <c r="LQ143" s="28">
        <f t="shared" si="666"/>
        <v>5912.6177176418178</v>
      </c>
      <c r="LR143" s="65">
        <v>1414</v>
      </c>
      <c r="LS143" s="32">
        <f t="shared" ref="LS143" si="671">LQ143/LR143</f>
        <v>4.1814835344001544</v>
      </c>
      <c r="LT143" s="26">
        <f t="shared" ref="LT143" si="672">LS143/3.66</f>
        <v>1.142481840000042</v>
      </c>
      <c r="LU143" s="31">
        <f t="shared" si="667"/>
        <v>53</v>
      </c>
      <c r="LW143" s="42"/>
      <c r="MA143" s="32">
        <f t="shared" si="668"/>
        <v>4.0304142587878795</v>
      </c>
      <c r="MB143" s="26">
        <f t="shared" ref="MB143" si="673">MA143/3.66</f>
        <v>1.1012060816360325</v>
      </c>
    </row>
    <row r="144" spans="1:340" ht="15.75" thickBot="1">
      <c r="A144" t="b">
        <f t="shared" si="662"/>
        <v>1</v>
      </c>
      <c r="B144" s="123" t="s">
        <v>329</v>
      </c>
      <c r="C144" s="39" t="s">
        <v>68</v>
      </c>
      <c r="D144"/>
      <c r="E144" s="97">
        <v>46050</v>
      </c>
      <c r="F144" t="s">
        <v>43</v>
      </c>
      <c r="G144" t="s">
        <v>20</v>
      </c>
      <c r="H144" t="s">
        <v>27</v>
      </c>
      <c r="I144" s="77"/>
      <c r="J144" s="77"/>
      <c r="K144" s="77"/>
      <c r="L144" s="22"/>
      <c r="M144" s="22"/>
      <c r="N144" s="98"/>
      <c r="O144" s="22"/>
      <c r="P144" s="22"/>
      <c r="Q144" s="22"/>
      <c r="R144" s="22"/>
      <c r="S144" s="104"/>
      <c r="T144" s="22"/>
      <c r="U144" s="22"/>
      <c r="V144" s="104"/>
      <c r="W144" s="22"/>
      <c r="X144" s="22"/>
      <c r="Y144" s="22"/>
      <c r="Z144" s="104"/>
      <c r="AA144" s="104"/>
      <c r="AB144" s="104"/>
      <c r="AC144" s="22"/>
      <c r="AD144" s="22"/>
      <c r="AE144" s="22"/>
      <c r="AF144" s="124"/>
      <c r="AG144" s="124"/>
      <c r="AH144" s="22"/>
      <c r="AI144" s="104"/>
      <c r="AJ144" s="22">
        <v>0.4</v>
      </c>
      <c r="AK144" s="22"/>
      <c r="AL144" s="22"/>
      <c r="AM144" s="22"/>
      <c r="AN144" s="22"/>
      <c r="AO144" s="104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98"/>
      <c r="BB144" s="98"/>
      <c r="BC144" s="124">
        <v>0.6</v>
      </c>
      <c r="BD144" s="124"/>
      <c r="BE144" s="104"/>
      <c r="BF144" s="22"/>
      <c r="BG144" s="22"/>
      <c r="BH144" s="22"/>
      <c r="BI144" s="78">
        <f>SUM(I144:BH144)</f>
        <v>1</v>
      </c>
      <c r="BJ144" s="23"/>
      <c r="BK144" s="23"/>
      <c r="BL144" s="23"/>
      <c r="BM144" s="23"/>
      <c r="BN144" s="23"/>
      <c r="BO144" s="99"/>
      <c r="BP144" s="23"/>
      <c r="BQ144" s="23"/>
      <c r="BR144" s="23"/>
      <c r="BS144" s="23"/>
      <c r="BT144" s="105"/>
      <c r="BU144" s="23"/>
      <c r="BV144" s="23"/>
      <c r="BW144" s="105"/>
      <c r="BX144" s="23"/>
      <c r="BY144" s="23"/>
      <c r="BZ144" s="23"/>
      <c r="CA144" s="105"/>
      <c r="CB144" s="105"/>
      <c r="CC144" s="105"/>
      <c r="CD144" s="23"/>
      <c r="CE144" s="23"/>
      <c r="CF144" s="71"/>
      <c r="CG144" s="128"/>
      <c r="CH144" s="128"/>
      <c r="CI144" s="23"/>
      <c r="CJ144" s="23"/>
      <c r="CK144" s="23"/>
      <c r="CL144" s="23">
        <v>0.4</v>
      </c>
      <c r="CM144" s="23"/>
      <c r="CN144" s="23"/>
      <c r="CO144" s="23"/>
      <c r="CP144" s="105"/>
      <c r="CQ144" s="23"/>
      <c r="CR144" s="23"/>
      <c r="CS144" s="23"/>
      <c r="CT144" s="23"/>
      <c r="CU144" s="23"/>
      <c r="CV144" s="23"/>
      <c r="CW144" s="23"/>
      <c r="CX144" s="23"/>
      <c r="CY144" s="23"/>
      <c r="CZ144" s="23"/>
      <c r="DA144" s="23"/>
      <c r="DB144" s="99"/>
      <c r="DC144" s="99"/>
      <c r="DD144" s="125">
        <v>0.6</v>
      </c>
      <c r="DE144" s="125"/>
      <c r="DF144" s="105"/>
      <c r="DG144" s="23"/>
      <c r="DH144" s="23"/>
      <c r="DI144" s="23"/>
      <c r="DJ144" s="79">
        <f t="shared" si="663"/>
        <v>1</v>
      </c>
      <c r="DK144" s="24"/>
      <c r="DL144" s="24"/>
      <c r="DM144" s="24"/>
      <c r="DN144" s="24">
        <v>0.73</v>
      </c>
      <c r="DO144" s="24"/>
      <c r="DP144" s="103"/>
      <c r="DQ144" s="24"/>
      <c r="DR144" s="24"/>
      <c r="DS144" s="24"/>
      <c r="DT144" s="24"/>
      <c r="DU144" s="108"/>
      <c r="DV144" s="24"/>
      <c r="DW144" s="24"/>
      <c r="DX144" s="108"/>
      <c r="DY144" s="24"/>
      <c r="DZ144" s="24"/>
      <c r="EA144" s="24"/>
      <c r="EB144" s="108"/>
      <c r="EC144" s="108"/>
      <c r="ED144" s="108"/>
      <c r="EE144" s="24"/>
      <c r="EF144" s="24"/>
      <c r="EG144" s="24"/>
      <c r="EH144" s="129"/>
      <c r="EI144" s="129"/>
      <c r="EJ144" s="24"/>
      <c r="EK144" s="24"/>
      <c r="EL144" s="24"/>
      <c r="EM144" s="24">
        <v>0.15</v>
      </c>
      <c r="EN144" s="24"/>
      <c r="EO144" s="24"/>
      <c r="EP144" s="24"/>
      <c r="EQ144" s="108"/>
      <c r="ER144" s="24"/>
      <c r="ES144" s="25"/>
      <c r="ET144" s="25"/>
      <c r="EU144" s="25">
        <v>0.1</v>
      </c>
      <c r="EV144" s="25"/>
      <c r="EW144" s="25"/>
      <c r="EX144" s="25"/>
      <c r="EY144" s="25"/>
      <c r="EZ144" s="25"/>
      <c r="FA144" s="25"/>
      <c r="FB144" s="25"/>
      <c r="FC144" s="100"/>
      <c r="FD144" s="100"/>
      <c r="FE144" s="126"/>
      <c r="FF144" s="126"/>
      <c r="FG144" s="106"/>
      <c r="FH144" s="25"/>
      <c r="FI144" s="25"/>
      <c r="FJ144" s="25">
        <v>0.02</v>
      </c>
      <c r="FK144" s="17">
        <f>SUM(DK144:FJ144)</f>
        <v>1</v>
      </c>
      <c r="FL144" s="18"/>
      <c r="FM144" s="19">
        <f t="shared" si="505"/>
        <v>0</v>
      </c>
      <c r="FN144" s="19">
        <f t="shared" si="506"/>
        <v>0</v>
      </c>
      <c r="FO144" s="19">
        <f t="shared" si="507"/>
        <v>0</v>
      </c>
      <c r="FP144" s="19">
        <f t="shared" si="508"/>
        <v>1.095</v>
      </c>
      <c r="FQ144" s="19">
        <f t="shared" si="509"/>
        <v>0</v>
      </c>
      <c r="FR144" s="19">
        <f t="shared" si="510"/>
        <v>0</v>
      </c>
      <c r="FS144" s="19">
        <f t="shared" si="511"/>
        <v>0</v>
      </c>
      <c r="FT144" s="19">
        <f t="shared" si="512"/>
        <v>0</v>
      </c>
      <c r="FU144" s="19">
        <f t="shared" si="513"/>
        <v>0</v>
      </c>
      <c r="FV144" s="19">
        <f t="shared" si="514"/>
        <v>0</v>
      </c>
      <c r="FW144" s="19">
        <f t="shared" si="515"/>
        <v>0</v>
      </c>
      <c r="FX144" s="19">
        <f t="shared" si="516"/>
        <v>0</v>
      </c>
      <c r="FY144" s="19">
        <f t="shared" si="517"/>
        <v>0</v>
      </c>
      <c r="FZ144" s="19">
        <f t="shared" si="518"/>
        <v>0</v>
      </c>
      <c r="GA144" s="19">
        <f t="shared" si="519"/>
        <v>0</v>
      </c>
      <c r="GB144" s="19">
        <f t="shared" si="520"/>
        <v>0</v>
      </c>
      <c r="GC144" s="19">
        <f t="shared" si="521"/>
        <v>0</v>
      </c>
      <c r="GD144" s="19">
        <f t="shared" si="522"/>
        <v>0</v>
      </c>
      <c r="GE144" s="19">
        <f t="shared" si="523"/>
        <v>0</v>
      </c>
      <c r="GF144" s="19">
        <f t="shared" si="524"/>
        <v>0</v>
      </c>
      <c r="GG144" s="19">
        <f t="shared" si="525"/>
        <v>0</v>
      </c>
      <c r="GH144" s="19">
        <f t="shared" si="526"/>
        <v>0</v>
      </c>
      <c r="GI144" s="19">
        <f t="shared" si="527"/>
        <v>0</v>
      </c>
      <c r="GJ144" s="19">
        <f t="shared" si="528"/>
        <v>0</v>
      </c>
      <c r="GK144" s="19">
        <f t="shared" si="529"/>
        <v>0</v>
      </c>
      <c r="GL144" s="19">
        <f t="shared" si="530"/>
        <v>0</v>
      </c>
      <c r="GM144" s="19">
        <f t="shared" si="531"/>
        <v>0</v>
      </c>
      <c r="GN144" s="19">
        <f t="shared" si="532"/>
        <v>0.60000000000000009</v>
      </c>
      <c r="GO144" s="19">
        <f t="shared" si="533"/>
        <v>1.0249999999999999</v>
      </c>
      <c r="GP144" s="19">
        <f t="shared" si="534"/>
        <v>0</v>
      </c>
      <c r="GQ144" s="19">
        <f t="shared" si="535"/>
        <v>0</v>
      </c>
      <c r="GR144" s="19">
        <f t="shared" si="536"/>
        <v>0</v>
      </c>
      <c r="GS144" s="19">
        <f t="shared" si="537"/>
        <v>0</v>
      </c>
      <c r="GT144" s="19">
        <f t="shared" si="538"/>
        <v>0</v>
      </c>
      <c r="GU144" s="19">
        <f t="shared" si="539"/>
        <v>0</v>
      </c>
      <c r="GV144" s="19">
        <f t="shared" si="540"/>
        <v>0</v>
      </c>
      <c r="GW144" s="19">
        <f t="shared" si="541"/>
        <v>0.15000000000000002</v>
      </c>
      <c r="GX144" s="19">
        <f t="shared" si="542"/>
        <v>0</v>
      </c>
      <c r="GY144" s="19">
        <f t="shared" si="543"/>
        <v>0</v>
      </c>
      <c r="GZ144" s="19">
        <f t="shared" si="544"/>
        <v>0</v>
      </c>
      <c r="HA144" s="19">
        <f t="shared" si="545"/>
        <v>0</v>
      </c>
      <c r="HB144" s="19">
        <f t="shared" si="546"/>
        <v>0</v>
      </c>
      <c r="HC144" s="19">
        <f t="shared" si="547"/>
        <v>0</v>
      </c>
      <c r="HD144" s="19">
        <f t="shared" si="548"/>
        <v>0</v>
      </c>
      <c r="HE144" s="19">
        <f t="shared" si="549"/>
        <v>0</v>
      </c>
      <c r="HF144" s="19">
        <f t="shared" si="550"/>
        <v>0</v>
      </c>
      <c r="HG144" s="19">
        <f t="shared" si="551"/>
        <v>2.0999999999999996</v>
      </c>
      <c r="HH144" s="19">
        <f t="shared" si="552"/>
        <v>0</v>
      </c>
      <c r="HI144" s="19">
        <f t="shared" si="553"/>
        <v>0</v>
      </c>
      <c r="HJ144" s="19">
        <f t="shared" si="554"/>
        <v>0</v>
      </c>
      <c r="HK144" s="19">
        <f t="shared" si="555"/>
        <v>0</v>
      </c>
      <c r="HL144" s="19">
        <f t="shared" si="556"/>
        <v>0.03</v>
      </c>
      <c r="HM144" s="20">
        <f t="shared" si="557"/>
        <v>4.9999999999999991</v>
      </c>
      <c r="HN144" s="53">
        <v>1145</v>
      </c>
      <c r="HO144" s="21">
        <f t="shared" si="558"/>
        <v>0</v>
      </c>
      <c r="HP144" s="21">
        <f t="shared" si="559"/>
        <v>0</v>
      </c>
      <c r="HQ144" s="21">
        <f t="shared" si="560"/>
        <v>0</v>
      </c>
      <c r="HR144" s="21">
        <f t="shared" si="561"/>
        <v>250.75500000000002</v>
      </c>
      <c r="HS144" s="21">
        <f t="shared" si="562"/>
        <v>0</v>
      </c>
      <c r="HT144" s="69">
        <f t="shared" si="563"/>
        <v>0</v>
      </c>
      <c r="HU144" s="21">
        <f t="shared" si="564"/>
        <v>0</v>
      </c>
      <c r="HV144" s="21">
        <f t="shared" si="565"/>
        <v>0</v>
      </c>
      <c r="HW144" s="21">
        <f t="shared" si="566"/>
        <v>0</v>
      </c>
      <c r="HX144" s="21">
        <f t="shared" si="567"/>
        <v>0</v>
      </c>
      <c r="HY144" s="21">
        <f t="shared" si="568"/>
        <v>0</v>
      </c>
      <c r="HZ144" s="21">
        <f t="shared" si="569"/>
        <v>0</v>
      </c>
      <c r="IA144" s="21">
        <f t="shared" si="570"/>
        <v>0</v>
      </c>
      <c r="IB144" s="21">
        <f t="shared" si="571"/>
        <v>0</v>
      </c>
      <c r="IC144" s="21">
        <f t="shared" si="572"/>
        <v>0</v>
      </c>
      <c r="ID144" s="21">
        <f t="shared" si="573"/>
        <v>0</v>
      </c>
      <c r="IE144" s="21">
        <f t="shared" si="574"/>
        <v>0</v>
      </c>
      <c r="IF144" s="69">
        <f t="shared" si="575"/>
        <v>0</v>
      </c>
      <c r="IG144" s="69">
        <f t="shared" si="576"/>
        <v>0</v>
      </c>
      <c r="IH144" s="69">
        <f t="shared" si="577"/>
        <v>0</v>
      </c>
      <c r="II144" s="21">
        <f t="shared" si="578"/>
        <v>0</v>
      </c>
      <c r="IJ144" s="21">
        <f t="shared" si="579"/>
        <v>0</v>
      </c>
      <c r="IK144" s="21">
        <f t="shared" si="580"/>
        <v>0</v>
      </c>
      <c r="IL144" s="21">
        <f t="shared" si="581"/>
        <v>0</v>
      </c>
      <c r="IM144" s="21">
        <f t="shared" si="582"/>
        <v>0</v>
      </c>
      <c r="IN144" s="21">
        <f t="shared" si="583"/>
        <v>0</v>
      </c>
      <c r="IO144" s="21">
        <f t="shared" si="584"/>
        <v>0</v>
      </c>
      <c r="IP144" s="21">
        <f t="shared" si="585"/>
        <v>137.40000000000003</v>
      </c>
      <c r="IQ144" s="21">
        <f t="shared" si="586"/>
        <v>234.72500000000005</v>
      </c>
      <c r="IR144" s="21">
        <f t="shared" si="587"/>
        <v>0</v>
      </c>
      <c r="IS144" s="21">
        <f t="shared" si="588"/>
        <v>0</v>
      </c>
      <c r="IT144" s="21">
        <f t="shared" si="589"/>
        <v>0</v>
      </c>
      <c r="IU144" s="21">
        <f t="shared" si="590"/>
        <v>0</v>
      </c>
      <c r="IV144" s="21">
        <f t="shared" si="591"/>
        <v>0</v>
      </c>
      <c r="IW144" s="21">
        <f t="shared" si="592"/>
        <v>0</v>
      </c>
      <c r="IX144" s="21">
        <f t="shared" si="593"/>
        <v>0</v>
      </c>
      <c r="IY144" s="21">
        <f t="shared" si="594"/>
        <v>34.350000000000009</v>
      </c>
      <c r="IZ144" s="21">
        <f t="shared" si="595"/>
        <v>0</v>
      </c>
      <c r="JA144" s="21">
        <f t="shared" si="596"/>
        <v>0</v>
      </c>
      <c r="JB144" s="21">
        <f t="shared" si="597"/>
        <v>0</v>
      </c>
      <c r="JC144" s="21">
        <f t="shared" si="598"/>
        <v>0</v>
      </c>
      <c r="JD144" s="21">
        <f t="shared" si="599"/>
        <v>0</v>
      </c>
      <c r="JE144" s="21">
        <f t="shared" si="600"/>
        <v>0</v>
      </c>
      <c r="JF144" s="21">
        <f t="shared" si="601"/>
        <v>0</v>
      </c>
      <c r="JG144" s="21">
        <f t="shared" si="602"/>
        <v>0</v>
      </c>
      <c r="JH144" s="21">
        <f t="shared" si="603"/>
        <v>0</v>
      </c>
      <c r="JI144" s="21">
        <f t="shared" si="604"/>
        <v>480.9</v>
      </c>
      <c r="JJ144" s="21">
        <f t="shared" si="605"/>
        <v>0</v>
      </c>
      <c r="JK144" s="21">
        <f t="shared" si="606"/>
        <v>0</v>
      </c>
      <c r="JL144" s="21">
        <f t="shared" si="607"/>
        <v>0</v>
      </c>
      <c r="JM144" s="21">
        <f t="shared" si="608"/>
        <v>0</v>
      </c>
      <c r="JN144" s="21">
        <f t="shared" si="609"/>
        <v>6.8700000000000019</v>
      </c>
      <c r="JO144" s="35">
        <f t="shared" si="664"/>
        <v>1145</v>
      </c>
      <c r="JP144" s="38">
        <f t="shared" si="665"/>
        <v>0</v>
      </c>
      <c r="JQ144" s="43">
        <f t="shared" si="610"/>
        <v>0</v>
      </c>
      <c r="JR144" s="43">
        <f t="shared" si="611"/>
        <v>0</v>
      </c>
      <c r="JS144" s="43">
        <f t="shared" si="612"/>
        <v>0</v>
      </c>
      <c r="JT144" s="43">
        <f t="shared" si="613"/>
        <v>1078.4771946000003</v>
      </c>
      <c r="JU144" s="43">
        <f t="shared" si="614"/>
        <v>0</v>
      </c>
      <c r="JV144" s="43">
        <f t="shared" si="615"/>
        <v>0</v>
      </c>
      <c r="JW144" s="43">
        <f t="shared" si="616"/>
        <v>0</v>
      </c>
      <c r="JX144" s="43">
        <f t="shared" si="617"/>
        <v>0</v>
      </c>
      <c r="JY144" s="43">
        <f t="shared" si="618"/>
        <v>0</v>
      </c>
      <c r="JZ144" s="43">
        <f t="shared" si="619"/>
        <v>0</v>
      </c>
      <c r="KA144" s="43">
        <f t="shared" si="620"/>
        <v>0</v>
      </c>
      <c r="KB144" s="43">
        <f t="shared" si="621"/>
        <v>0</v>
      </c>
      <c r="KC144" s="43">
        <f t="shared" si="622"/>
        <v>0</v>
      </c>
      <c r="KD144" s="43">
        <f t="shared" si="623"/>
        <v>0</v>
      </c>
      <c r="KE144" s="43">
        <f t="shared" si="624"/>
        <v>0</v>
      </c>
      <c r="KF144" s="43">
        <f t="shared" si="625"/>
        <v>0</v>
      </c>
      <c r="KG144" s="43">
        <f t="shared" si="626"/>
        <v>0</v>
      </c>
      <c r="KH144" s="43">
        <f t="shared" si="627"/>
        <v>0</v>
      </c>
      <c r="KI144" s="43">
        <f t="shared" si="628"/>
        <v>0</v>
      </c>
      <c r="KJ144" s="43">
        <f t="shared" si="629"/>
        <v>0</v>
      </c>
      <c r="KK144" s="43">
        <f t="shared" si="630"/>
        <v>0</v>
      </c>
      <c r="KL144" s="43">
        <f t="shared" si="631"/>
        <v>0</v>
      </c>
      <c r="KM144" s="43">
        <f t="shared" si="632"/>
        <v>0</v>
      </c>
      <c r="KN144" s="43">
        <f t="shared" si="633"/>
        <v>0</v>
      </c>
      <c r="KO144" s="43">
        <f t="shared" si="634"/>
        <v>0</v>
      </c>
      <c r="KP144" s="43">
        <f t="shared" si="635"/>
        <v>0</v>
      </c>
      <c r="KQ144" s="43">
        <f t="shared" si="636"/>
        <v>0</v>
      </c>
      <c r="KR144" s="43">
        <f t="shared" si="637"/>
        <v>530.36400000000015</v>
      </c>
      <c r="KS144" s="43">
        <f t="shared" si="638"/>
        <v>802.60246660404061</v>
      </c>
      <c r="KT144" s="43">
        <f t="shared" si="639"/>
        <v>0</v>
      </c>
      <c r="KU144" s="43">
        <f t="shared" si="640"/>
        <v>0</v>
      </c>
      <c r="KV144" s="43">
        <f t="shared" si="641"/>
        <v>0</v>
      </c>
      <c r="KW144" s="43">
        <f t="shared" si="642"/>
        <v>0</v>
      </c>
      <c r="KX144" s="43">
        <f t="shared" si="643"/>
        <v>0</v>
      </c>
      <c r="KY144" s="43">
        <f t="shared" si="644"/>
        <v>0</v>
      </c>
      <c r="KZ144" s="43">
        <f t="shared" si="645"/>
        <v>0</v>
      </c>
      <c r="LA144" s="43">
        <f t="shared" si="646"/>
        <v>137.63495400000002</v>
      </c>
      <c r="LB144" s="43">
        <f t="shared" si="647"/>
        <v>0</v>
      </c>
      <c r="LC144" s="43">
        <f t="shared" si="648"/>
        <v>0</v>
      </c>
      <c r="LD144" s="43">
        <f t="shared" si="649"/>
        <v>0</v>
      </c>
      <c r="LE144" s="43">
        <f t="shared" si="650"/>
        <v>0</v>
      </c>
      <c r="LF144" s="43">
        <f t="shared" si="651"/>
        <v>0</v>
      </c>
      <c r="LG144" s="43">
        <f t="shared" si="652"/>
        <v>0</v>
      </c>
      <c r="LH144" s="43">
        <f t="shared" si="653"/>
        <v>0</v>
      </c>
      <c r="LI144" s="43">
        <f t="shared" si="654"/>
        <v>0</v>
      </c>
      <c r="LJ144" s="43">
        <f t="shared" si="655"/>
        <v>0</v>
      </c>
      <c r="LK144" s="43">
        <f t="shared" si="656"/>
        <v>1926.3651749999999</v>
      </c>
      <c r="LL144" s="43">
        <f t="shared" si="657"/>
        <v>0</v>
      </c>
      <c r="LM144" s="43">
        <f t="shared" si="658"/>
        <v>0</v>
      </c>
      <c r="LN144" s="43">
        <f t="shared" si="659"/>
        <v>0</v>
      </c>
      <c r="LO144" s="43">
        <f t="shared" si="660"/>
        <v>0</v>
      </c>
      <c r="LP144" s="43">
        <f t="shared" si="661"/>
        <v>58.051500000000011</v>
      </c>
      <c r="LQ144" s="28">
        <f t="shared" si="666"/>
        <v>4533.4952902040404</v>
      </c>
      <c r="LR144" s="65">
        <v>1122</v>
      </c>
      <c r="LS144" s="32">
        <f t="shared" si="462"/>
        <v>4.040548386991123</v>
      </c>
      <c r="LT144" s="26">
        <f t="shared" si="463"/>
        <v>1.1039749691232577</v>
      </c>
      <c r="LU144" s="31">
        <f t="shared" si="667"/>
        <v>23</v>
      </c>
      <c r="LW144" s="42"/>
      <c r="MA144" s="32">
        <f t="shared" si="668"/>
        <v>3.9593845329292932</v>
      </c>
      <c r="MB144" s="26">
        <f t="shared" si="464"/>
        <v>1.0817990527129215</v>
      </c>
    </row>
    <row r="145" spans="1:340" ht="15.75" thickBot="1">
      <c r="A145" t="b">
        <f t="shared" si="662"/>
        <v>1</v>
      </c>
      <c r="B145" s="123" t="s">
        <v>330</v>
      </c>
      <c r="C145" s="39" t="s">
        <v>92</v>
      </c>
      <c r="D145"/>
      <c r="E145" s="97">
        <v>46051</v>
      </c>
      <c r="F145" t="s">
        <v>43</v>
      </c>
      <c r="G145" t="s">
        <v>20</v>
      </c>
      <c r="H145" t="s">
        <v>27</v>
      </c>
      <c r="I145" s="77"/>
      <c r="J145" s="77"/>
      <c r="K145" s="77"/>
      <c r="L145" s="22"/>
      <c r="M145" s="22"/>
      <c r="N145" s="98"/>
      <c r="O145" s="22"/>
      <c r="P145" s="22"/>
      <c r="Q145" s="22"/>
      <c r="R145" s="22"/>
      <c r="S145" s="104"/>
      <c r="T145" s="22"/>
      <c r="U145" s="22"/>
      <c r="V145" s="104"/>
      <c r="W145" s="22">
        <v>0.1</v>
      </c>
      <c r="X145" s="22"/>
      <c r="Y145" s="22"/>
      <c r="Z145" s="104"/>
      <c r="AA145" s="104"/>
      <c r="AB145" s="104"/>
      <c r="AC145" s="22"/>
      <c r="AD145" s="22"/>
      <c r="AE145" s="22"/>
      <c r="AF145" s="124"/>
      <c r="AG145" s="124"/>
      <c r="AH145" s="22"/>
      <c r="AI145" s="22"/>
      <c r="AJ145" s="22">
        <v>0.28000000000000003</v>
      </c>
      <c r="AK145" s="22"/>
      <c r="AL145" s="22"/>
      <c r="AM145" s="22"/>
      <c r="AN145" s="22"/>
      <c r="AO145" s="104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98"/>
      <c r="BB145" s="98"/>
      <c r="BC145" s="124">
        <v>0.62</v>
      </c>
      <c r="BD145" s="124"/>
      <c r="BE145" s="104"/>
      <c r="BF145" s="22"/>
      <c r="BG145" s="22"/>
      <c r="BH145" s="22"/>
      <c r="BI145" s="78">
        <f>SUM(I145:BH145)</f>
        <v>1</v>
      </c>
      <c r="BJ145" s="23"/>
      <c r="BK145" s="23"/>
      <c r="BL145" s="23"/>
      <c r="BM145" s="23"/>
      <c r="BN145" s="23"/>
      <c r="BO145" s="99"/>
      <c r="BP145" s="23"/>
      <c r="BQ145" s="23"/>
      <c r="BR145" s="23"/>
      <c r="BS145" s="23"/>
      <c r="BT145" s="105"/>
      <c r="BU145" s="23"/>
      <c r="BV145" s="23"/>
      <c r="BW145" s="105"/>
      <c r="BX145" s="23">
        <v>0.25</v>
      </c>
      <c r="BY145" s="23"/>
      <c r="BZ145" s="23"/>
      <c r="CA145" s="105"/>
      <c r="CB145" s="105"/>
      <c r="CC145" s="105"/>
      <c r="CD145" s="23"/>
      <c r="CE145" s="23"/>
      <c r="CF145" s="71"/>
      <c r="CG145" s="128"/>
      <c r="CH145" s="128"/>
      <c r="CI145" s="23"/>
      <c r="CJ145" s="23"/>
      <c r="CK145" s="23"/>
      <c r="CL145" s="23">
        <v>0.25</v>
      </c>
      <c r="CM145" s="23"/>
      <c r="CN145" s="23"/>
      <c r="CO145" s="23"/>
      <c r="CP145" s="105"/>
      <c r="CQ145" s="23"/>
      <c r="CR145" s="23"/>
      <c r="CS145" s="23"/>
      <c r="CT145" s="23"/>
      <c r="CU145" s="23"/>
      <c r="CV145" s="23"/>
      <c r="CW145" s="23"/>
      <c r="CX145" s="23"/>
      <c r="CY145" s="23"/>
      <c r="CZ145" s="23"/>
      <c r="DA145" s="23"/>
      <c r="DB145" s="99"/>
      <c r="DC145" s="99"/>
      <c r="DD145" s="125">
        <v>0.5</v>
      </c>
      <c r="DE145" s="125"/>
      <c r="DF145" s="105"/>
      <c r="DG145" s="23"/>
      <c r="DH145" s="23"/>
      <c r="DI145" s="23"/>
      <c r="DJ145" s="79">
        <f t="shared" si="663"/>
        <v>1</v>
      </c>
      <c r="DK145" s="24"/>
      <c r="DL145" s="24"/>
      <c r="DM145" s="24"/>
      <c r="DN145" s="24">
        <v>0.69</v>
      </c>
      <c r="DO145" s="24"/>
      <c r="DP145" s="103"/>
      <c r="DQ145" s="24"/>
      <c r="DR145" s="24"/>
      <c r="DS145" s="24"/>
      <c r="DT145" s="24"/>
      <c r="DU145" s="108"/>
      <c r="DV145" s="24"/>
      <c r="DW145" s="24"/>
      <c r="DX145" s="108"/>
      <c r="DY145" s="24"/>
      <c r="DZ145" s="24"/>
      <c r="EA145" s="24"/>
      <c r="EB145" s="108"/>
      <c r="EC145" s="108"/>
      <c r="ED145" s="108"/>
      <c r="EE145" s="24"/>
      <c r="EF145" s="24"/>
      <c r="EG145" s="24"/>
      <c r="EH145" s="129"/>
      <c r="EI145" s="129"/>
      <c r="EJ145" s="24"/>
      <c r="EK145" s="24"/>
      <c r="EL145" s="24"/>
      <c r="EM145" s="24"/>
      <c r="EN145" s="24"/>
      <c r="EO145" s="24"/>
      <c r="EP145" s="24"/>
      <c r="EQ145" s="108"/>
      <c r="ER145" s="24"/>
      <c r="ES145" s="25"/>
      <c r="ET145" s="25"/>
      <c r="EU145" s="25">
        <v>0.28999999999999998</v>
      </c>
      <c r="EV145" s="25"/>
      <c r="EW145" s="25"/>
      <c r="EX145" s="25"/>
      <c r="EY145" s="25"/>
      <c r="EZ145" s="25"/>
      <c r="FA145" s="25"/>
      <c r="FB145" s="25"/>
      <c r="FC145" s="100"/>
      <c r="FD145" s="100"/>
      <c r="FE145" s="126"/>
      <c r="FF145" s="126"/>
      <c r="FG145" s="106"/>
      <c r="FH145" s="25"/>
      <c r="FI145" s="25"/>
      <c r="FJ145" s="25">
        <v>0.02</v>
      </c>
      <c r="FK145" s="17">
        <f t="shared" ref="FK145" si="674">SUM(DK145:FJ145)</f>
        <v>1</v>
      </c>
      <c r="FL145" s="18"/>
      <c r="FM145" s="19">
        <f t="shared" si="505"/>
        <v>0</v>
      </c>
      <c r="FN145" s="19">
        <f t="shared" si="506"/>
        <v>0</v>
      </c>
      <c r="FO145" s="19">
        <f t="shared" si="507"/>
        <v>0</v>
      </c>
      <c r="FP145" s="19">
        <f t="shared" si="508"/>
        <v>1.0349999999999999</v>
      </c>
      <c r="FQ145" s="19">
        <f t="shared" si="509"/>
        <v>0</v>
      </c>
      <c r="FR145" s="19">
        <f t="shared" si="510"/>
        <v>0</v>
      </c>
      <c r="FS145" s="19">
        <f t="shared" si="511"/>
        <v>0</v>
      </c>
      <c r="FT145" s="19">
        <f t="shared" si="512"/>
        <v>0</v>
      </c>
      <c r="FU145" s="19">
        <f t="shared" si="513"/>
        <v>0</v>
      </c>
      <c r="FV145" s="19">
        <f t="shared" si="514"/>
        <v>0</v>
      </c>
      <c r="FW145" s="19">
        <f t="shared" si="515"/>
        <v>0</v>
      </c>
      <c r="FX145" s="19">
        <f t="shared" si="516"/>
        <v>0</v>
      </c>
      <c r="FY145" s="19">
        <f t="shared" si="517"/>
        <v>0</v>
      </c>
      <c r="FZ145" s="19">
        <f t="shared" si="518"/>
        <v>0</v>
      </c>
      <c r="GA145" s="19">
        <f t="shared" si="519"/>
        <v>0.65</v>
      </c>
      <c r="GB145" s="19">
        <f t="shared" si="520"/>
        <v>0</v>
      </c>
      <c r="GC145" s="19">
        <f t="shared" si="521"/>
        <v>0</v>
      </c>
      <c r="GD145" s="19">
        <f t="shared" si="522"/>
        <v>0</v>
      </c>
      <c r="GE145" s="19">
        <f t="shared" si="523"/>
        <v>0</v>
      </c>
      <c r="GF145" s="19">
        <f t="shared" si="524"/>
        <v>0</v>
      </c>
      <c r="GG145" s="19">
        <f t="shared" si="525"/>
        <v>0</v>
      </c>
      <c r="GH145" s="19">
        <f t="shared" si="526"/>
        <v>0</v>
      </c>
      <c r="GI145" s="19">
        <f t="shared" si="527"/>
        <v>0</v>
      </c>
      <c r="GJ145" s="19">
        <f t="shared" si="528"/>
        <v>0</v>
      </c>
      <c r="GK145" s="19">
        <f t="shared" si="529"/>
        <v>0</v>
      </c>
      <c r="GL145" s="19">
        <f t="shared" si="530"/>
        <v>0</v>
      </c>
      <c r="GM145" s="19">
        <f t="shared" si="531"/>
        <v>0</v>
      </c>
      <c r="GN145" s="19">
        <f t="shared" si="532"/>
        <v>0.42000000000000004</v>
      </c>
      <c r="GO145" s="19">
        <f t="shared" si="533"/>
        <v>0.5</v>
      </c>
      <c r="GP145" s="19">
        <f t="shared" si="534"/>
        <v>0</v>
      </c>
      <c r="GQ145" s="19">
        <f t="shared" si="535"/>
        <v>0</v>
      </c>
      <c r="GR145" s="19">
        <f t="shared" si="536"/>
        <v>0</v>
      </c>
      <c r="GS145" s="19">
        <f t="shared" si="537"/>
        <v>0</v>
      </c>
      <c r="GT145" s="19">
        <f t="shared" si="538"/>
        <v>0</v>
      </c>
      <c r="GU145" s="19">
        <f t="shared" si="539"/>
        <v>0</v>
      </c>
      <c r="GV145" s="19">
        <f t="shared" si="540"/>
        <v>0</v>
      </c>
      <c r="GW145" s="19">
        <f t="shared" si="541"/>
        <v>0.43499999999999994</v>
      </c>
      <c r="GX145" s="19">
        <f t="shared" si="542"/>
        <v>0</v>
      </c>
      <c r="GY145" s="19">
        <f t="shared" si="543"/>
        <v>0</v>
      </c>
      <c r="GZ145" s="19">
        <f t="shared" si="544"/>
        <v>0</v>
      </c>
      <c r="HA145" s="19">
        <f t="shared" si="545"/>
        <v>0</v>
      </c>
      <c r="HB145" s="19">
        <f t="shared" si="546"/>
        <v>0</v>
      </c>
      <c r="HC145" s="19">
        <f t="shared" si="547"/>
        <v>0</v>
      </c>
      <c r="HD145" s="19">
        <f t="shared" si="548"/>
        <v>0</v>
      </c>
      <c r="HE145" s="19">
        <f t="shared" si="549"/>
        <v>0</v>
      </c>
      <c r="HF145" s="19">
        <f t="shared" si="550"/>
        <v>0</v>
      </c>
      <c r="HG145" s="19">
        <f t="shared" si="551"/>
        <v>1.93</v>
      </c>
      <c r="HH145" s="19">
        <f t="shared" si="552"/>
        <v>0</v>
      </c>
      <c r="HI145" s="19">
        <f t="shared" si="553"/>
        <v>0</v>
      </c>
      <c r="HJ145" s="19">
        <f t="shared" si="554"/>
        <v>0</v>
      </c>
      <c r="HK145" s="19">
        <f t="shared" si="555"/>
        <v>0</v>
      </c>
      <c r="HL145" s="19">
        <f t="shared" si="556"/>
        <v>0.03</v>
      </c>
      <c r="HM145" s="20">
        <f t="shared" si="557"/>
        <v>5</v>
      </c>
      <c r="HN145" s="53">
        <v>1209</v>
      </c>
      <c r="HO145" s="21">
        <f t="shared" si="558"/>
        <v>0</v>
      </c>
      <c r="HP145" s="21">
        <f t="shared" si="559"/>
        <v>0</v>
      </c>
      <c r="HQ145" s="21">
        <f t="shared" si="560"/>
        <v>0</v>
      </c>
      <c r="HR145" s="21">
        <f t="shared" si="561"/>
        <v>250.26299999999998</v>
      </c>
      <c r="HS145" s="21">
        <f t="shared" si="562"/>
        <v>0</v>
      </c>
      <c r="HT145" s="69">
        <f t="shared" si="563"/>
        <v>0</v>
      </c>
      <c r="HU145" s="21">
        <f t="shared" si="564"/>
        <v>0</v>
      </c>
      <c r="HV145" s="21">
        <f t="shared" si="565"/>
        <v>0</v>
      </c>
      <c r="HW145" s="21">
        <f t="shared" si="566"/>
        <v>0</v>
      </c>
      <c r="HX145" s="21">
        <f t="shared" si="567"/>
        <v>0</v>
      </c>
      <c r="HY145" s="21">
        <f t="shared" si="568"/>
        <v>0</v>
      </c>
      <c r="HZ145" s="21">
        <f t="shared" si="569"/>
        <v>0</v>
      </c>
      <c r="IA145" s="21">
        <f t="shared" si="570"/>
        <v>0</v>
      </c>
      <c r="IB145" s="21">
        <f t="shared" si="571"/>
        <v>0</v>
      </c>
      <c r="IC145" s="21">
        <f t="shared" si="572"/>
        <v>157.17000000000002</v>
      </c>
      <c r="ID145" s="21">
        <f t="shared" si="573"/>
        <v>0</v>
      </c>
      <c r="IE145" s="21">
        <f t="shared" si="574"/>
        <v>0</v>
      </c>
      <c r="IF145" s="69">
        <f t="shared" si="575"/>
        <v>0</v>
      </c>
      <c r="IG145" s="69">
        <f t="shared" si="576"/>
        <v>0</v>
      </c>
      <c r="IH145" s="69">
        <f t="shared" si="577"/>
        <v>0</v>
      </c>
      <c r="II145" s="21">
        <f t="shared" si="578"/>
        <v>0</v>
      </c>
      <c r="IJ145" s="21">
        <f t="shared" si="579"/>
        <v>0</v>
      </c>
      <c r="IK145" s="21">
        <f t="shared" si="580"/>
        <v>0</v>
      </c>
      <c r="IL145" s="21">
        <f t="shared" si="581"/>
        <v>0</v>
      </c>
      <c r="IM145" s="21">
        <f t="shared" si="582"/>
        <v>0</v>
      </c>
      <c r="IN145" s="21">
        <f t="shared" si="583"/>
        <v>0</v>
      </c>
      <c r="IO145" s="21">
        <f t="shared" si="584"/>
        <v>0</v>
      </c>
      <c r="IP145" s="21">
        <f t="shared" si="585"/>
        <v>101.55600000000001</v>
      </c>
      <c r="IQ145" s="21">
        <f t="shared" si="586"/>
        <v>120.9</v>
      </c>
      <c r="IR145" s="21">
        <f t="shared" si="587"/>
        <v>0</v>
      </c>
      <c r="IS145" s="21">
        <f t="shared" si="588"/>
        <v>0</v>
      </c>
      <c r="IT145" s="21">
        <f t="shared" si="589"/>
        <v>0</v>
      </c>
      <c r="IU145" s="21">
        <f t="shared" si="590"/>
        <v>0</v>
      </c>
      <c r="IV145" s="21">
        <f t="shared" si="591"/>
        <v>0</v>
      </c>
      <c r="IW145" s="21">
        <f t="shared" si="592"/>
        <v>0</v>
      </c>
      <c r="IX145" s="21">
        <f t="shared" si="593"/>
        <v>0</v>
      </c>
      <c r="IY145" s="21">
        <f t="shared" si="594"/>
        <v>105.18299999999999</v>
      </c>
      <c r="IZ145" s="21">
        <f t="shared" si="595"/>
        <v>0</v>
      </c>
      <c r="JA145" s="21">
        <f t="shared" si="596"/>
        <v>0</v>
      </c>
      <c r="JB145" s="21">
        <f t="shared" si="597"/>
        <v>0</v>
      </c>
      <c r="JC145" s="21">
        <f t="shared" si="598"/>
        <v>0</v>
      </c>
      <c r="JD145" s="21">
        <f t="shared" si="599"/>
        <v>0</v>
      </c>
      <c r="JE145" s="21">
        <f t="shared" si="600"/>
        <v>0</v>
      </c>
      <c r="JF145" s="21">
        <f t="shared" si="601"/>
        <v>0</v>
      </c>
      <c r="JG145" s="21">
        <f t="shared" si="602"/>
        <v>0</v>
      </c>
      <c r="JH145" s="21">
        <f t="shared" si="603"/>
        <v>0</v>
      </c>
      <c r="JI145" s="21">
        <f t="shared" si="604"/>
        <v>466.67399999999998</v>
      </c>
      <c r="JJ145" s="21">
        <f t="shared" si="605"/>
        <v>0</v>
      </c>
      <c r="JK145" s="21">
        <f t="shared" si="606"/>
        <v>0</v>
      </c>
      <c r="JL145" s="21">
        <f t="shared" si="607"/>
        <v>0</v>
      </c>
      <c r="JM145" s="21">
        <f t="shared" si="608"/>
        <v>0</v>
      </c>
      <c r="JN145" s="21">
        <f t="shared" si="609"/>
        <v>7.2539999999999996</v>
      </c>
      <c r="JO145" s="35">
        <f t="shared" si="664"/>
        <v>1209</v>
      </c>
      <c r="JP145" s="38">
        <f t="shared" si="665"/>
        <v>0</v>
      </c>
      <c r="JQ145" s="43">
        <f t="shared" si="610"/>
        <v>0</v>
      </c>
      <c r="JR145" s="43">
        <f t="shared" si="611"/>
        <v>0</v>
      </c>
      <c r="JS145" s="43">
        <f t="shared" si="612"/>
        <v>0</v>
      </c>
      <c r="JT145" s="43">
        <f t="shared" si="613"/>
        <v>1076.3611419599999</v>
      </c>
      <c r="JU145" s="43">
        <f t="shared" si="614"/>
        <v>0</v>
      </c>
      <c r="JV145" s="43">
        <f t="shared" si="615"/>
        <v>0</v>
      </c>
      <c r="JW145" s="43">
        <f t="shared" si="616"/>
        <v>0</v>
      </c>
      <c r="JX145" s="43">
        <f t="shared" si="617"/>
        <v>0</v>
      </c>
      <c r="JY145" s="43">
        <f t="shared" si="618"/>
        <v>0</v>
      </c>
      <c r="JZ145" s="43">
        <f t="shared" si="619"/>
        <v>0</v>
      </c>
      <c r="KA145" s="43">
        <f t="shared" si="620"/>
        <v>0</v>
      </c>
      <c r="KB145" s="43">
        <f t="shared" si="621"/>
        <v>0</v>
      </c>
      <c r="KC145" s="43">
        <f t="shared" si="622"/>
        <v>0</v>
      </c>
      <c r="KD145" s="43">
        <f t="shared" si="623"/>
        <v>0</v>
      </c>
      <c r="KE145" s="43">
        <f t="shared" si="624"/>
        <v>640.69957416242426</v>
      </c>
      <c r="KF145" s="43">
        <f t="shared" si="625"/>
        <v>0</v>
      </c>
      <c r="KG145" s="43">
        <f t="shared" si="626"/>
        <v>0</v>
      </c>
      <c r="KH145" s="43">
        <f t="shared" si="627"/>
        <v>0</v>
      </c>
      <c r="KI145" s="43">
        <f t="shared" si="628"/>
        <v>0</v>
      </c>
      <c r="KJ145" s="43">
        <f t="shared" si="629"/>
        <v>0</v>
      </c>
      <c r="KK145" s="43">
        <f t="shared" si="630"/>
        <v>0</v>
      </c>
      <c r="KL145" s="43">
        <f t="shared" si="631"/>
        <v>0</v>
      </c>
      <c r="KM145" s="43">
        <f t="shared" si="632"/>
        <v>0</v>
      </c>
      <c r="KN145" s="43">
        <f t="shared" si="633"/>
        <v>0</v>
      </c>
      <c r="KO145" s="43">
        <f t="shared" si="634"/>
        <v>0</v>
      </c>
      <c r="KP145" s="43">
        <f t="shared" si="635"/>
        <v>0</v>
      </c>
      <c r="KQ145" s="43">
        <f t="shared" si="636"/>
        <v>0</v>
      </c>
      <c r="KR145" s="43">
        <f t="shared" si="637"/>
        <v>392.00616000000002</v>
      </c>
      <c r="KS145" s="43">
        <f t="shared" si="638"/>
        <v>413.39711667878788</v>
      </c>
      <c r="KT145" s="43">
        <f t="shared" si="639"/>
        <v>0</v>
      </c>
      <c r="KU145" s="43">
        <f t="shared" si="640"/>
        <v>0</v>
      </c>
      <c r="KV145" s="43">
        <f t="shared" si="641"/>
        <v>0</v>
      </c>
      <c r="KW145" s="43">
        <f t="shared" si="642"/>
        <v>0</v>
      </c>
      <c r="KX145" s="43">
        <f t="shared" si="643"/>
        <v>0</v>
      </c>
      <c r="KY145" s="43">
        <f t="shared" si="644"/>
        <v>0</v>
      </c>
      <c r="KZ145" s="43">
        <f t="shared" si="645"/>
        <v>0</v>
      </c>
      <c r="LA145" s="43">
        <f t="shared" si="646"/>
        <v>421.45145171999991</v>
      </c>
      <c r="LB145" s="43">
        <f t="shared" si="647"/>
        <v>0</v>
      </c>
      <c r="LC145" s="43">
        <f t="shared" si="648"/>
        <v>0</v>
      </c>
      <c r="LD145" s="43">
        <f t="shared" si="649"/>
        <v>0</v>
      </c>
      <c r="LE145" s="43">
        <f t="shared" si="650"/>
        <v>0</v>
      </c>
      <c r="LF145" s="43">
        <f t="shared" si="651"/>
        <v>0</v>
      </c>
      <c r="LG145" s="43">
        <f t="shared" si="652"/>
        <v>0</v>
      </c>
      <c r="LH145" s="43">
        <f t="shared" si="653"/>
        <v>0</v>
      </c>
      <c r="LI145" s="43">
        <f t="shared" si="654"/>
        <v>0</v>
      </c>
      <c r="LJ145" s="43">
        <f t="shared" si="655"/>
        <v>0</v>
      </c>
      <c r="LK145" s="43">
        <f t="shared" si="656"/>
        <v>1869.3793754999999</v>
      </c>
      <c r="LL145" s="43">
        <f t="shared" si="657"/>
        <v>0</v>
      </c>
      <c r="LM145" s="43">
        <f t="shared" si="658"/>
        <v>0</v>
      </c>
      <c r="LN145" s="43">
        <f t="shared" si="659"/>
        <v>0</v>
      </c>
      <c r="LO145" s="43">
        <f t="shared" si="660"/>
        <v>0</v>
      </c>
      <c r="LP145" s="43">
        <f t="shared" si="661"/>
        <v>61.296299999999988</v>
      </c>
      <c r="LQ145" s="28">
        <f t="shared" si="666"/>
        <v>4874.5911200212122</v>
      </c>
      <c r="LR145" s="65">
        <v>1156</v>
      </c>
      <c r="LS145" s="32">
        <f t="shared" ref="LS145" si="675">LQ145/LR145</f>
        <v>4.2167743252778651</v>
      </c>
      <c r="LT145" s="26">
        <f t="shared" ref="LT145" si="676">LS145/3.66</f>
        <v>1.1521241325895806</v>
      </c>
      <c r="LU145" s="31">
        <f t="shared" si="667"/>
        <v>53</v>
      </c>
      <c r="LW145" s="42"/>
      <c r="MA145" s="32">
        <f t="shared" si="668"/>
        <v>4.031919867676768</v>
      </c>
      <c r="MB145" s="26">
        <f t="shared" ref="MB145" si="677">MA145/3.66</f>
        <v>1.1016174501849092</v>
      </c>
    </row>
    <row r="146" spans="1:340" ht="15.75" thickBot="1">
      <c r="A146" t="b">
        <f t="shared" si="662"/>
        <v>1</v>
      </c>
      <c r="B146" s="123" t="s">
        <v>331</v>
      </c>
      <c r="C146" s="39" t="s">
        <v>332</v>
      </c>
      <c r="D146"/>
      <c r="E146" s="97">
        <v>46047</v>
      </c>
      <c r="F146" t="s">
        <v>43</v>
      </c>
      <c r="G146" t="s">
        <v>20</v>
      </c>
      <c r="H146" t="s">
        <v>27</v>
      </c>
      <c r="I146" s="77"/>
      <c r="J146" s="77"/>
      <c r="K146" s="77"/>
      <c r="L146" s="22"/>
      <c r="M146" s="22"/>
      <c r="N146" s="98"/>
      <c r="O146" s="22"/>
      <c r="P146" s="22"/>
      <c r="Q146" s="22"/>
      <c r="R146" s="22"/>
      <c r="S146" s="104"/>
      <c r="T146" s="22"/>
      <c r="U146" s="22"/>
      <c r="V146" s="104"/>
      <c r="W146" s="22"/>
      <c r="X146" s="22"/>
      <c r="Y146" s="22"/>
      <c r="Z146" s="104"/>
      <c r="AA146" s="104"/>
      <c r="AB146" s="104"/>
      <c r="AC146" s="22"/>
      <c r="AD146" s="22"/>
      <c r="AE146" s="22"/>
      <c r="AF146" s="124"/>
      <c r="AG146" s="124"/>
      <c r="AH146" s="22"/>
      <c r="AI146" s="22"/>
      <c r="AJ146" s="22">
        <v>0.3</v>
      </c>
      <c r="AK146" s="22"/>
      <c r="AL146" s="22"/>
      <c r="AM146" s="22"/>
      <c r="AN146" s="22"/>
      <c r="AO146" s="104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98"/>
      <c r="BB146" s="98"/>
      <c r="BC146" s="124">
        <v>0.7</v>
      </c>
      <c r="BD146" s="124"/>
      <c r="BE146" s="104"/>
      <c r="BF146" s="22"/>
      <c r="BG146" s="22"/>
      <c r="BH146" s="22"/>
      <c r="BI146" s="78">
        <f>SUM(I146:BH146)</f>
        <v>1</v>
      </c>
      <c r="BJ146" s="23"/>
      <c r="BK146" s="23"/>
      <c r="BL146" s="23"/>
      <c r="BM146" s="23"/>
      <c r="BN146" s="23"/>
      <c r="BO146" s="99"/>
      <c r="BP146" s="23"/>
      <c r="BQ146" s="23"/>
      <c r="BR146" s="23"/>
      <c r="BS146" s="23"/>
      <c r="BT146" s="105"/>
      <c r="BU146" s="23"/>
      <c r="BV146" s="23"/>
      <c r="BW146" s="105"/>
      <c r="BX146" s="23"/>
      <c r="BY146" s="23"/>
      <c r="BZ146" s="23"/>
      <c r="CA146" s="105"/>
      <c r="CB146" s="105"/>
      <c r="CC146" s="105"/>
      <c r="CD146" s="23"/>
      <c r="CE146" s="23"/>
      <c r="CF146" s="71"/>
      <c r="CG146" s="128"/>
      <c r="CH146" s="128"/>
      <c r="CI146" s="23"/>
      <c r="CJ146" s="23"/>
      <c r="CK146" s="23"/>
      <c r="CL146" s="23">
        <v>0.3</v>
      </c>
      <c r="CM146" s="23"/>
      <c r="CN146" s="23"/>
      <c r="CO146" s="23"/>
      <c r="CP146" s="105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3"/>
      <c r="DB146" s="99"/>
      <c r="DC146" s="99"/>
      <c r="DD146" s="125">
        <v>0.7</v>
      </c>
      <c r="DE146" s="125"/>
      <c r="DF146" s="105"/>
      <c r="DG146" s="23"/>
      <c r="DH146" s="23"/>
      <c r="DI146" s="23"/>
      <c r="DJ146" s="79">
        <f t="shared" si="663"/>
        <v>1</v>
      </c>
      <c r="DK146" s="24"/>
      <c r="DL146" s="24"/>
      <c r="DM146" s="24"/>
      <c r="DN146" s="24">
        <v>0.7</v>
      </c>
      <c r="DO146" s="24"/>
      <c r="DP146" s="103"/>
      <c r="DQ146" s="24"/>
      <c r="DR146" s="24"/>
      <c r="DS146" s="24"/>
      <c r="DT146" s="24"/>
      <c r="DU146" s="108"/>
      <c r="DV146" s="24"/>
      <c r="DW146" s="24"/>
      <c r="DX146" s="108"/>
      <c r="DY146" s="24"/>
      <c r="DZ146" s="24"/>
      <c r="EA146" s="24"/>
      <c r="EB146" s="108"/>
      <c r="EC146" s="108"/>
      <c r="ED146" s="108"/>
      <c r="EE146" s="24"/>
      <c r="EF146" s="24"/>
      <c r="EG146" s="24"/>
      <c r="EH146" s="129"/>
      <c r="EI146" s="129"/>
      <c r="EJ146" s="24"/>
      <c r="EK146" s="24"/>
      <c r="EL146" s="24"/>
      <c r="EM146" s="24">
        <v>0.2</v>
      </c>
      <c r="EN146" s="24"/>
      <c r="EO146" s="24"/>
      <c r="EP146" s="24"/>
      <c r="EQ146" s="108"/>
      <c r="ER146" s="24"/>
      <c r="ES146" s="25"/>
      <c r="ET146" s="25"/>
      <c r="EU146" s="25">
        <v>0.08</v>
      </c>
      <c r="EV146" s="25"/>
      <c r="EW146" s="25"/>
      <c r="EX146" s="25"/>
      <c r="EY146" s="25"/>
      <c r="EZ146" s="25"/>
      <c r="FA146" s="25"/>
      <c r="FB146" s="25"/>
      <c r="FC146" s="100"/>
      <c r="FD146" s="100"/>
      <c r="FE146" s="126"/>
      <c r="FF146" s="126"/>
      <c r="FG146" s="106"/>
      <c r="FH146" s="25"/>
      <c r="FI146" s="25"/>
      <c r="FJ146" s="25">
        <v>0.02</v>
      </c>
      <c r="FK146" s="17">
        <f>SUM(DK146:FJ146)</f>
        <v>0.99999999999999989</v>
      </c>
      <c r="FL146" s="18"/>
      <c r="FM146" s="19">
        <f t="shared" si="505"/>
        <v>0</v>
      </c>
      <c r="FN146" s="19">
        <f t="shared" si="506"/>
        <v>0</v>
      </c>
      <c r="FO146" s="19">
        <f t="shared" si="507"/>
        <v>0</v>
      </c>
      <c r="FP146" s="19">
        <f t="shared" si="508"/>
        <v>1.0499999999999998</v>
      </c>
      <c r="FQ146" s="19">
        <f t="shared" si="509"/>
        <v>0</v>
      </c>
      <c r="FR146" s="19">
        <f t="shared" si="510"/>
        <v>0</v>
      </c>
      <c r="FS146" s="19">
        <f t="shared" si="511"/>
        <v>0</v>
      </c>
      <c r="FT146" s="19">
        <f t="shared" si="512"/>
        <v>0</v>
      </c>
      <c r="FU146" s="19">
        <f t="shared" si="513"/>
        <v>0</v>
      </c>
      <c r="FV146" s="19">
        <f t="shared" si="514"/>
        <v>0</v>
      </c>
      <c r="FW146" s="19">
        <f t="shared" si="515"/>
        <v>0</v>
      </c>
      <c r="FX146" s="19">
        <f t="shared" si="516"/>
        <v>0</v>
      </c>
      <c r="FY146" s="19">
        <f t="shared" si="517"/>
        <v>0</v>
      </c>
      <c r="FZ146" s="19">
        <f t="shared" si="518"/>
        <v>0</v>
      </c>
      <c r="GA146" s="19">
        <f t="shared" si="519"/>
        <v>0</v>
      </c>
      <c r="GB146" s="19">
        <f t="shared" si="520"/>
        <v>0</v>
      </c>
      <c r="GC146" s="19">
        <f t="shared" si="521"/>
        <v>0</v>
      </c>
      <c r="GD146" s="19">
        <f t="shared" si="522"/>
        <v>0</v>
      </c>
      <c r="GE146" s="19">
        <f t="shared" si="523"/>
        <v>0</v>
      </c>
      <c r="GF146" s="19">
        <f t="shared" si="524"/>
        <v>0</v>
      </c>
      <c r="GG146" s="19">
        <f t="shared" si="525"/>
        <v>0</v>
      </c>
      <c r="GH146" s="19">
        <f t="shared" si="526"/>
        <v>0</v>
      </c>
      <c r="GI146" s="19">
        <f t="shared" si="527"/>
        <v>0</v>
      </c>
      <c r="GJ146" s="19">
        <f t="shared" si="528"/>
        <v>0</v>
      </c>
      <c r="GK146" s="19">
        <f t="shared" si="529"/>
        <v>0</v>
      </c>
      <c r="GL146" s="19">
        <f t="shared" si="530"/>
        <v>0</v>
      </c>
      <c r="GM146" s="19">
        <f t="shared" si="531"/>
        <v>0</v>
      </c>
      <c r="GN146" s="19">
        <f t="shared" si="532"/>
        <v>0.44999999999999996</v>
      </c>
      <c r="GO146" s="19">
        <f t="shared" si="533"/>
        <v>0.9</v>
      </c>
      <c r="GP146" s="19">
        <f t="shared" si="534"/>
        <v>0</v>
      </c>
      <c r="GQ146" s="19">
        <f t="shared" si="535"/>
        <v>0</v>
      </c>
      <c r="GR146" s="19">
        <f t="shared" si="536"/>
        <v>0</v>
      </c>
      <c r="GS146" s="19">
        <f t="shared" si="537"/>
        <v>0</v>
      </c>
      <c r="GT146" s="19">
        <f t="shared" si="538"/>
        <v>0</v>
      </c>
      <c r="GU146" s="19">
        <f t="shared" si="539"/>
        <v>0</v>
      </c>
      <c r="GV146" s="19">
        <f t="shared" si="540"/>
        <v>0</v>
      </c>
      <c r="GW146" s="19">
        <f t="shared" si="541"/>
        <v>0.12</v>
      </c>
      <c r="GX146" s="19">
        <f t="shared" si="542"/>
        <v>0</v>
      </c>
      <c r="GY146" s="19">
        <f t="shared" si="543"/>
        <v>0</v>
      </c>
      <c r="GZ146" s="19">
        <f t="shared" si="544"/>
        <v>0</v>
      </c>
      <c r="HA146" s="19">
        <f t="shared" si="545"/>
        <v>0</v>
      </c>
      <c r="HB146" s="19">
        <f t="shared" si="546"/>
        <v>0</v>
      </c>
      <c r="HC146" s="19">
        <f t="shared" si="547"/>
        <v>0</v>
      </c>
      <c r="HD146" s="19">
        <f t="shared" si="548"/>
        <v>0</v>
      </c>
      <c r="HE146" s="19">
        <f t="shared" si="549"/>
        <v>0</v>
      </c>
      <c r="HF146" s="19">
        <f t="shared" si="550"/>
        <v>0</v>
      </c>
      <c r="HG146" s="19">
        <f t="shared" si="551"/>
        <v>2.4499999999999997</v>
      </c>
      <c r="HH146" s="19">
        <f t="shared" si="552"/>
        <v>0</v>
      </c>
      <c r="HI146" s="19">
        <f t="shared" si="553"/>
        <v>0</v>
      </c>
      <c r="HJ146" s="19">
        <f t="shared" si="554"/>
        <v>0</v>
      </c>
      <c r="HK146" s="19">
        <f t="shared" si="555"/>
        <v>0</v>
      </c>
      <c r="HL146" s="19">
        <f t="shared" si="556"/>
        <v>0.03</v>
      </c>
      <c r="HM146" s="20">
        <f t="shared" si="557"/>
        <v>5</v>
      </c>
      <c r="HN146" s="53">
        <v>872</v>
      </c>
      <c r="HO146" s="21">
        <f t="shared" si="558"/>
        <v>0</v>
      </c>
      <c r="HP146" s="21">
        <f t="shared" si="559"/>
        <v>0</v>
      </c>
      <c r="HQ146" s="21">
        <f t="shared" si="560"/>
        <v>0</v>
      </c>
      <c r="HR146" s="21">
        <f t="shared" si="561"/>
        <v>183.11999999999995</v>
      </c>
      <c r="HS146" s="21">
        <f t="shared" si="562"/>
        <v>0</v>
      </c>
      <c r="HT146" s="69">
        <f t="shared" si="563"/>
        <v>0</v>
      </c>
      <c r="HU146" s="21">
        <f t="shared" si="564"/>
        <v>0</v>
      </c>
      <c r="HV146" s="21">
        <f t="shared" si="565"/>
        <v>0</v>
      </c>
      <c r="HW146" s="21">
        <f t="shared" si="566"/>
        <v>0</v>
      </c>
      <c r="HX146" s="21">
        <f t="shared" si="567"/>
        <v>0</v>
      </c>
      <c r="HY146" s="21">
        <f t="shared" si="568"/>
        <v>0</v>
      </c>
      <c r="HZ146" s="21">
        <f t="shared" si="569"/>
        <v>0</v>
      </c>
      <c r="IA146" s="21">
        <f t="shared" si="570"/>
        <v>0</v>
      </c>
      <c r="IB146" s="21">
        <f t="shared" si="571"/>
        <v>0</v>
      </c>
      <c r="IC146" s="21">
        <f t="shared" si="572"/>
        <v>0</v>
      </c>
      <c r="ID146" s="21">
        <f t="shared" si="573"/>
        <v>0</v>
      </c>
      <c r="IE146" s="21">
        <f t="shared" si="574"/>
        <v>0</v>
      </c>
      <c r="IF146" s="69">
        <f t="shared" si="575"/>
        <v>0</v>
      </c>
      <c r="IG146" s="69">
        <f t="shared" si="576"/>
        <v>0</v>
      </c>
      <c r="IH146" s="69">
        <f t="shared" si="577"/>
        <v>0</v>
      </c>
      <c r="II146" s="21">
        <f t="shared" si="578"/>
        <v>0</v>
      </c>
      <c r="IJ146" s="21">
        <f t="shared" si="579"/>
        <v>0</v>
      </c>
      <c r="IK146" s="21">
        <f t="shared" si="580"/>
        <v>0</v>
      </c>
      <c r="IL146" s="21">
        <f t="shared" si="581"/>
        <v>0</v>
      </c>
      <c r="IM146" s="21">
        <f t="shared" si="582"/>
        <v>0</v>
      </c>
      <c r="IN146" s="21">
        <f t="shared" si="583"/>
        <v>0</v>
      </c>
      <c r="IO146" s="21">
        <f t="shared" si="584"/>
        <v>0</v>
      </c>
      <c r="IP146" s="21">
        <f t="shared" si="585"/>
        <v>78.47999999999999</v>
      </c>
      <c r="IQ146" s="21">
        <f t="shared" si="586"/>
        <v>156.96</v>
      </c>
      <c r="IR146" s="21">
        <f t="shared" si="587"/>
        <v>0</v>
      </c>
      <c r="IS146" s="21">
        <f t="shared" si="588"/>
        <v>0</v>
      </c>
      <c r="IT146" s="21">
        <f t="shared" si="589"/>
        <v>0</v>
      </c>
      <c r="IU146" s="21">
        <f t="shared" si="590"/>
        <v>0</v>
      </c>
      <c r="IV146" s="21">
        <f t="shared" si="591"/>
        <v>0</v>
      </c>
      <c r="IW146" s="21">
        <f t="shared" si="592"/>
        <v>0</v>
      </c>
      <c r="IX146" s="21">
        <f t="shared" si="593"/>
        <v>0</v>
      </c>
      <c r="IY146" s="21">
        <f t="shared" si="594"/>
        <v>20.928000000000001</v>
      </c>
      <c r="IZ146" s="21">
        <f t="shared" si="595"/>
        <v>0</v>
      </c>
      <c r="JA146" s="21">
        <f t="shared" si="596"/>
        <v>0</v>
      </c>
      <c r="JB146" s="21">
        <f t="shared" si="597"/>
        <v>0</v>
      </c>
      <c r="JC146" s="21">
        <f t="shared" si="598"/>
        <v>0</v>
      </c>
      <c r="JD146" s="21">
        <f t="shared" si="599"/>
        <v>0</v>
      </c>
      <c r="JE146" s="21">
        <f t="shared" si="600"/>
        <v>0</v>
      </c>
      <c r="JF146" s="21">
        <f t="shared" si="601"/>
        <v>0</v>
      </c>
      <c r="JG146" s="21">
        <f t="shared" si="602"/>
        <v>0</v>
      </c>
      <c r="JH146" s="21">
        <f t="shared" si="603"/>
        <v>0</v>
      </c>
      <c r="JI146" s="21">
        <f t="shared" si="604"/>
        <v>427.27999999999992</v>
      </c>
      <c r="JJ146" s="21">
        <f t="shared" si="605"/>
        <v>0</v>
      </c>
      <c r="JK146" s="21">
        <f t="shared" si="606"/>
        <v>0</v>
      </c>
      <c r="JL146" s="21">
        <f t="shared" si="607"/>
        <v>0</v>
      </c>
      <c r="JM146" s="21">
        <f t="shared" si="608"/>
        <v>0</v>
      </c>
      <c r="JN146" s="21">
        <f t="shared" si="609"/>
        <v>5.2320000000000002</v>
      </c>
      <c r="JO146" s="35">
        <f t="shared" si="664"/>
        <v>871.99999999999977</v>
      </c>
      <c r="JP146" s="38">
        <f t="shared" si="665"/>
        <v>0</v>
      </c>
      <c r="JQ146" s="43">
        <f t="shared" si="610"/>
        <v>0</v>
      </c>
      <c r="JR146" s="43">
        <f t="shared" si="611"/>
        <v>0</v>
      </c>
      <c r="JS146" s="43">
        <f t="shared" si="612"/>
        <v>0</v>
      </c>
      <c r="JT146" s="43">
        <f t="shared" si="613"/>
        <v>787.58447039999987</v>
      </c>
      <c r="JU146" s="43">
        <f t="shared" si="614"/>
        <v>0</v>
      </c>
      <c r="JV146" s="43">
        <f t="shared" si="615"/>
        <v>0</v>
      </c>
      <c r="JW146" s="43">
        <f t="shared" si="616"/>
        <v>0</v>
      </c>
      <c r="JX146" s="43">
        <f t="shared" si="617"/>
        <v>0</v>
      </c>
      <c r="JY146" s="43">
        <f t="shared" si="618"/>
        <v>0</v>
      </c>
      <c r="JZ146" s="43">
        <f t="shared" si="619"/>
        <v>0</v>
      </c>
      <c r="KA146" s="43">
        <f t="shared" si="620"/>
        <v>0</v>
      </c>
      <c r="KB146" s="43">
        <f t="shared" si="621"/>
        <v>0</v>
      </c>
      <c r="KC146" s="43">
        <f t="shared" si="622"/>
        <v>0</v>
      </c>
      <c r="KD146" s="43">
        <f t="shared" si="623"/>
        <v>0</v>
      </c>
      <c r="KE146" s="43">
        <f t="shared" si="624"/>
        <v>0</v>
      </c>
      <c r="KF146" s="43">
        <f t="shared" si="625"/>
        <v>0</v>
      </c>
      <c r="KG146" s="43">
        <f t="shared" si="626"/>
        <v>0</v>
      </c>
      <c r="KH146" s="43">
        <f t="shared" si="627"/>
        <v>0</v>
      </c>
      <c r="KI146" s="43">
        <f t="shared" si="628"/>
        <v>0</v>
      </c>
      <c r="KJ146" s="43">
        <f t="shared" si="629"/>
        <v>0</v>
      </c>
      <c r="KK146" s="43">
        <f t="shared" si="630"/>
        <v>0</v>
      </c>
      <c r="KL146" s="43">
        <f t="shared" si="631"/>
        <v>0</v>
      </c>
      <c r="KM146" s="43">
        <f t="shared" si="632"/>
        <v>0</v>
      </c>
      <c r="KN146" s="43">
        <f t="shared" si="633"/>
        <v>0</v>
      </c>
      <c r="KO146" s="43">
        <f t="shared" si="634"/>
        <v>0</v>
      </c>
      <c r="KP146" s="43">
        <f t="shared" si="635"/>
        <v>0</v>
      </c>
      <c r="KQ146" s="43">
        <f t="shared" si="636"/>
        <v>0</v>
      </c>
      <c r="KR146" s="43">
        <f t="shared" si="637"/>
        <v>302.93279999999993</v>
      </c>
      <c r="KS146" s="43">
        <f t="shared" si="638"/>
        <v>536.69819217454551</v>
      </c>
      <c r="KT146" s="43">
        <f t="shared" si="639"/>
        <v>0</v>
      </c>
      <c r="KU146" s="43">
        <f t="shared" si="640"/>
        <v>0</v>
      </c>
      <c r="KV146" s="43">
        <f t="shared" si="641"/>
        <v>0</v>
      </c>
      <c r="KW146" s="43">
        <f t="shared" si="642"/>
        <v>0</v>
      </c>
      <c r="KX146" s="43">
        <f t="shared" si="643"/>
        <v>0</v>
      </c>
      <c r="KY146" s="43">
        <f t="shared" si="644"/>
        <v>0</v>
      </c>
      <c r="KZ146" s="43">
        <f t="shared" si="645"/>
        <v>0</v>
      </c>
      <c r="LA146" s="43">
        <f t="shared" si="646"/>
        <v>83.855147519999989</v>
      </c>
      <c r="LB146" s="43">
        <f t="shared" si="647"/>
        <v>0</v>
      </c>
      <c r="LC146" s="43">
        <f t="shared" si="648"/>
        <v>0</v>
      </c>
      <c r="LD146" s="43">
        <f t="shared" si="649"/>
        <v>0</v>
      </c>
      <c r="LE146" s="43">
        <f t="shared" si="650"/>
        <v>0</v>
      </c>
      <c r="LF146" s="43">
        <f t="shared" si="651"/>
        <v>0</v>
      </c>
      <c r="LG146" s="43">
        <f t="shared" si="652"/>
        <v>0</v>
      </c>
      <c r="LH146" s="43">
        <f t="shared" si="653"/>
        <v>0</v>
      </c>
      <c r="LI146" s="43">
        <f t="shared" si="654"/>
        <v>0</v>
      </c>
      <c r="LJ146" s="43">
        <f t="shared" si="655"/>
        <v>0</v>
      </c>
      <c r="LK146" s="43">
        <f t="shared" si="656"/>
        <v>1711.5768599999997</v>
      </c>
      <c r="LL146" s="43">
        <f t="shared" si="657"/>
        <v>0</v>
      </c>
      <c r="LM146" s="43">
        <f t="shared" si="658"/>
        <v>0</v>
      </c>
      <c r="LN146" s="43">
        <f t="shared" si="659"/>
        <v>0</v>
      </c>
      <c r="LO146" s="43">
        <f t="shared" si="660"/>
        <v>0</v>
      </c>
      <c r="LP146" s="43">
        <f t="shared" si="661"/>
        <v>44.2104</v>
      </c>
      <c r="LQ146" s="28">
        <f t="shared" si="666"/>
        <v>3466.8578700945445</v>
      </c>
      <c r="LR146" s="65">
        <v>820</v>
      </c>
      <c r="LS146" s="32">
        <f t="shared" si="462"/>
        <v>4.2278754513348105</v>
      </c>
      <c r="LT146" s="26">
        <f t="shared" si="463"/>
        <v>1.1551572271406585</v>
      </c>
      <c r="LU146" s="31">
        <f t="shared" si="667"/>
        <v>52</v>
      </c>
      <c r="LW146" s="42"/>
      <c r="MA146" s="32">
        <f t="shared" si="668"/>
        <v>3.9757544381818182</v>
      </c>
      <c r="MB146" s="26">
        <f t="shared" si="464"/>
        <v>1.0862717044212618</v>
      </c>
    </row>
    <row r="147" spans="1:340" ht="15.75" thickBot="1">
      <c r="A147" t="b">
        <f t="shared" si="662"/>
        <v>1</v>
      </c>
      <c r="B147" s="123" t="s">
        <v>333</v>
      </c>
      <c r="C147" s="39" t="s">
        <v>334</v>
      </c>
      <c r="D147"/>
      <c r="E147" s="97">
        <v>46047</v>
      </c>
      <c r="F147" t="s">
        <v>21</v>
      </c>
      <c r="G147" t="s">
        <v>20</v>
      </c>
      <c r="H147" t="s">
        <v>27</v>
      </c>
      <c r="I147" s="77"/>
      <c r="J147" s="77"/>
      <c r="K147" s="77"/>
      <c r="L147" s="104"/>
      <c r="M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24"/>
      <c r="AG147" s="124"/>
      <c r="AH147" s="104"/>
      <c r="AI147" s="104"/>
      <c r="AJ147" s="104">
        <v>0.5</v>
      </c>
      <c r="AK147" s="104"/>
      <c r="AL147" s="104"/>
      <c r="AM147" s="104"/>
      <c r="AN147" s="104"/>
      <c r="AO147" s="104"/>
      <c r="AP147" s="104"/>
      <c r="AQ147" s="104"/>
      <c r="AR147" s="104"/>
      <c r="AS147" s="104"/>
      <c r="AT147" s="104"/>
      <c r="AU147" s="104"/>
      <c r="AV147" s="104"/>
      <c r="AW147" s="104"/>
      <c r="AX147" s="104"/>
      <c r="AY147" s="104"/>
      <c r="AZ147" s="104"/>
      <c r="BA147" s="104"/>
      <c r="BB147" s="104"/>
      <c r="BC147" s="124">
        <v>0.49</v>
      </c>
      <c r="BD147" s="124"/>
      <c r="BE147" s="104"/>
      <c r="BF147" s="104"/>
      <c r="BG147" s="104"/>
      <c r="BH147" s="104">
        <v>0.01</v>
      </c>
      <c r="BI147" s="78">
        <f t="shared" ref="BI147:BI150" si="678">SUM(I147:BH147)</f>
        <v>1</v>
      </c>
      <c r="BJ147" s="105"/>
      <c r="BK147" s="105"/>
      <c r="BL147" s="105"/>
      <c r="BM147" s="105"/>
      <c r="BN147" s="105"/>
      <c r="BO147" s="105"/>
      <c r="BP147" s="105"/>
      <c r="BQ147" s="105"/>
      <c r="BR147" s="105"/>
      <c r="BS147" s="105"/>
      <c r="BT147" s="105"/>
      <c r="BU147" s="105"/>
      <c r="BV147" s="105"/>
      <c r="BW147" s="105"/>
      <c r="BX147" s="105">
        <v>0.1</v>
      </c>
      <c r="BY147" s="105"/>
      <c r="BZ147" s="105"/>
      <c r="CA147" s="105"/>
      <c r="CB147" s="105"/>
      <c r="CC147" s="105"/>
      <c r="CD147" s="105"/>
      <c r="CE147" s="105"/>
      <c r="CF147" s="120"/>
      <c r="CG147" s="128"/>
      <c r="CH147" s="128"/>
      <c r="CI147" s="105"/>
      <c r="CJ147" s="105"/>
      <c r="CK147" s="105"/>
      <c r="CL147" s="105">
        <v>0.4</v>
      </c>
      <c r="CM147" s="105"/>
      <c r="CN147" s="105"/>
      <c r="CO147" s="105"/>
      <c r="CP147" s="105"/>
      <c r="CQ147" s="105"/>
      <c r="CR147" s="105"/>
      <c r="CS147" s="105"/>
      <c r="CT147" s="105"/>
      <c r="CU147" s="105"/>
      <c r="CV147" s="105"/>
      <c r="CW147" s="105"/>
      <c r="CX147" s="105"/>
      <c r="CY147" s="105"/>
      <c r="CZ147" s="105"/>
      <c r="DA147" s="105"/>
      <c r="DB147" s="105"/>
      <c r="DC147" s="105"/>
      <c r="DD147" s="125">
        <v>0.5</v>
      </c>
      <c r="DE147" s="125"/>
      <c r="DF147" s="105"/>
      <c r="DG147" s="105"/>
      <c r="DH147" s="105"/>
      <c r="DI147" s="105"/>
      <c r="DJ147" s="79">
        <f t="shared" si="663"/>
        <v>1</v>
      </c>
      <c r="DK147" s="108"/>
      <c r="DL147" s="108"/>
      <c r="DM147" s="108"/>
      <c r="DN147" s="108">
        <v>0.78</v>
      </c>
      <c r="DO147" s="108"/>
      <c r="DP147" s="108"/>
      <c r="DQ147" s="108"/>
      <c r="DR147" s="108"/>
      <c r="DS147" s="108"/>
      <c r="DT147" s="108"/>
      <c r="DU147" s="108"/>
      <c r="DV147" s="108"/>
      <c r="DW147" s="108"/>
      <c r="DX147" s="108"/>
      <c r="DY147" s="108"/>
      <c r="DZ147" s="108"/>
      <c r="EA147" s="108"/>
      <c r="EB147" s="108"/>
      <c r="EC147" s="108"/>
      <c r="ED147" s="108"/>
      <c r="EE147" s="108"/>
      <c r="EF147" s="108"/>
      <c r="EG147" s="108"/>
      <c r="EH147" s="129"/>
      <c r="EI147" s="129"/>
      <c r="EJ147" s="108"/>
      <c r="EK147" s="108"/>
      <c r="EL147" s="108"/>
      <c r="EM147" s="108"/>
      <c r="EN147" s="108"/>
      <c r="EO147" s="108"/>
      <c r="EP147" s="108"/>
      <c r="EQ147" s="108"/>
      <c r="ER147" s="108"/>
      <c r="ES147" s="106"/>
      <c r="ET147" s="106"/>
      <c r="EU147" s="106">
        <v>0.2</v>
      </c>
      <c r="EV147" s="106"/>
      <c r="EW147" s="106"/>
      <c r="EX147" s="106"/>
      <c r="EY147" s="106"/>
      <c r="EZ147" s="106"/>
      <c r="FA147" s="106"/>
      <c r="FB147" s="106"/>
      <c r="FC147" s="106"/>
      <c r="FD147" s="106"/>
      <c r="FE147" s="126"/>
      <c r="FF147" s="126"/>
      <c r="FG147" s="106"/>
      <c r="FH147" s="106"/>
      <c r="FI147" s="106"/>
      <c r="FJ147" s="106">
        <v>0.02</v>
      </c>
      <c r="FK147" s="17">
        <f>SUM(DK147:FJ147)</f>
        <v>1</v>
      </c>
      <c r="FL147" s="18"/>
      <c r="FM147" s="19">
        <f t="shared" si="505"/>
        <v>0</v>
      </c>
      <c r="FN147" s="19">
        <f t="shared" si="506"/>
        <v>0</v>
      </c>
      <c r="FO147" s="19">
        <f t="shared" si="507"/>
        <v>0</v>
      </c>
      <c r="FP147" s="19">
        <f t="shared" si="508"/>
        <v>1.17</v>
      </c>
      <c r="FQ147" s="19">
        <f t="shared" si="509"/>
        <v>0</v>
      </c>
      <c r="FR147" s="19">
        <f t="shared" si="510"/>
        <v>0</v>
      </c>
      <c r="FS147" s="19">
        <f t="shared" si="511"/>
        <v>0</v>
      </c>
      <c r="FT147" s="19">
        <f t="shared" si="512"/>
        <v>0</v>
      </c>
      <c r="FU147" s="19">
        <f t="shared" si="513"/>
        <v>0</v>
      </c>
      <c r="FV147" s="19">
        <f t="shared" si="514"/>
        <v>0</v>
      </c>
      <c r="FW147" s="19">
        <f t="shared" si="515"/>
        <v>0</v>
      </c>
      <c r="FX147" s="19">
        <f t="shared" si="516"/>
        <v>0</v>
      </c>
      <c r="FY147" s="19">
        <f t="shared" si="517"/>
        <v>0</v>
      </c>
      <c r="FZ147" s="19">
        <f t="shared" si="518"/>
        <v>0</v>
      </c>
      <c r="GA147" s="19">
        <f t="shared" si="519"/>
        <v>0.2</v>
      </c>
      <c r="GB147" s="19">
        <f t="shared" si="520"/>
        <v>0</v>
      </c>
      <c r="GC147" s="19">
        <f t="shared" si="521"/>
        <v>0</v>
      </c>
      <c r="GD147" s="19">
        <f t="shared" si="522"/>
        <v>0</v>
      </c>
      <c r="GE147" s="19">
        <f t="shared" si="523"/>
        <v>0</v>
      </c>
      <c r="GF147" s="19">
        <f t="shared" si="524"/>
        <v>0</v>
      </c>
      <c r="GG147" s="19">
        <f t="shared" si="525"/>
        <v>0</v>
      </c>
      <c r="GH147" s="19">
        <f t="shared" si="526"/>
        <v>0</v>
      </c>
      <c r="GI147" s="19">
        <f t="shared" si="527"/>
        <v>0</v>
      </c>
      <c r="GJ147" s="19">
        <f t="shared" si="528"/>
        <v>0</v>
      </c>
      <c r="GK147" s="19">
        <f t="shared" si="529"/>
        <v>0</v>
      </c>
      <c r="GL147" s="19">
        <f t="shared" si="530"/>
        <v>0</v>
      </c>
      <c r="GM147" s="19">
        <f t="shared" si="531"/>
        <v>0</v>
      </c>
      <c r="GN147" s="19">
        <f t="shared" si="532"/>
        <v>0.75</v>
      </c>
      <c r="GO147" s="19">
        <f t="shared" si="533"/>
        <v>0.8</v>
      </c>
      <c r="GP147" s="19">
        <f t="shared" si="534"/>
        <v>0</v>
      </c>
      <c r="GQ147" s="19">
        <f t="shared" si="535"/>
        <v>0</v>
      </c>
      <c r="GR147" s="19">
        <f t="shared" si="536"/>
        <v>0</v>
      </c>
      <c r="GS147" s="19">
        <f t="shared" si="537"/>
        <v>0</v>
      </c>
      <c r="GT147" s="19">
        <f t="shared" si="538"/>
        <v>0</v>
      </c>
      <c r="GU147" s="19">
        <f t="shared" si="539"/>
        <v>0</v>
      </c>
      <c r="GV147" s="19">
        <f t="shared" si="540"/>
        <v>0</v>
      </c>
      <c r="GW147" s="19">
        <f t="shared" si="541"/>
        <v>0.30000000000000004</v>
      </c>
      <c r="GX147" s="19">
        <f t="shared" si="542"/>
        <v>0</v>
      </c>
      <c r="GY147" s="19">
        <f t="shared" si="543"/>
        <v>0</v>
      </c>
      <c r="GZ147" s="19">
        <f t="shared" si="544"/>
        <v>0</v>
      </c>
      <c r="HA147" s="19">
        <f t="shared" si="545"/>
        <v>0</v>
      </c>
      <c r="HB147" s="19">
        <f t="shared" si="546"/>
        <v>0</v>
      </c>
      <c r="HC147" s="19">
        <f t="shared" si="547"/>
        <v>0</v>
      </c>
      <c r="HD147" s="19">
        <f t="shared" si="548"/>
        <v>0</v>
      </c>
      <c r="HE147" s="19">
        <f t="shared" si="549"/>
        <v>0</v>
      </c>
      <c r="HF147" s="19">
        <f t="shared" si="550"/>
        <v>0</v>
      </c>
      <c r="HG147" s="19">
        <f t="shared" si="551"/>
        <v>1.7349999999999999</v>
      </c>
      <c r="HH147" s="19">
        <f t="shared" si="552"/>
        <v>0</v>
      </c>
      <c r="HI147" s="19">
        <f t="shared" si="553"/>
        <v>0</v>
      </c>
      <c r="HJ147" s="19">
        <f t="shared" si="554"/>
        <v>0</v>
      </c>
      <c r="HK147" s="19">
        <f t="shared" si="555"/>
        <v>0</v>
      </c>
      <c r="HL147" s="19">
        <f t="shared" si="556"/>
        <v>4.4999999999999998E-2</v>
      </c>
      <c r="HM147" s="20">
        <f t="shared" si="557"/>
        <v>5</v>
      </c>
      <c r="HN147" s="53">
        <v>139</v>
      </c>
      <c r="HO147" s="21">
        <f t="shared" si="558"/>
        <v>0</v>
      </c>
      <c r="HP147" s="21">
        <f t="shared" si="559"/>
        <v>0</v>
      </c>
      <c r="HQ147" s="21">
        <f t="shared" si="560"/>
        <v>0</v>
      </c>
      <c r="HR147" s="21">
        <f t="shared" si="561"/>
        <v>32.525999999999996</v>
      </c>
      <c r="HS147" s="21">
        <f t="shared" si="562"/>
        <v>0</v>
      </c>
      <c r="HT147" s="69">
        <f t="shared" si="563"/>
        <v>0</v>
      </c>
      <c r="HU147" s="21">
        <f t="shared" si="564"/>
        <v>0</v>
      </c>
      <c r="HV147" s="21">
        <f t="shared" si="565"/>
        <v>0</v>
      </c>
      <c r="HW147" s="21">
        <f t="shared" si="566"/>
        <v>0</v>
      </c>
      <c r="HX147" s="21">
        <f t="shared" si="567"/>
        <v>0</v>
      </c>
      <c r="HY147" s="21">
        <f t="shared" si="568"/>
        <v>0</v>
      </c>
      <c r="HZ147" s="21">
        <f t="shared" si="569"/>
        <v>0</v>
      </c>
      <c r="IA147" s="21">
        <f t="shared" si="570"/>
        <v>0</v>
      </c>
      <c r="IB147" s="21">
        <f t="shared" si="571"/>
        <v>0</v>
      </c>
      <c r="IC147" s="21">
        <f t="shared" si="572"/>
        <v>5.5600000000000005</v>
      </c>
      <c r="ID147" s="21">
        <f t="shared" si="573"/>
        <v>0</v>
      </c>
      <c r="IE147" s="21">
        <f t="shared" si="574"/>
        <v>0</v>
      </c>
      <c r="IF147" s="69">
        <f t="shared" si="575"/>
        <v>0</v>
      </c>
      <c r="IG147" s="69">
        <f t="shared" si="576"/>
        <v>0</v>
      </c>
      <c r="IH147" s="69">
        <f t="shared" si="577"/>
        <v>0</v>
      </c>
      <c r="II147" s="21">
        <f t="shared" si="578"/>
        <v>0</v>
      </c>
      <c r="IJ147" s="21">
        <f t="shared" si="579"/>
        <v>0</v>
      </c>
      <c r="IK147" s="21">
        <f t="shared" si="580"/>
        <v>0</v>
      </c>
      <c r="IL147" s="21">
        <f t="shared" si="581"/>
        <v>0</v>
      </c>
      <c r="IM147" s="21">
        <f t="shared" si="582"/>
        <v>0</v>
      </c>
      <c r="IN147" s="21">
        <f t="shared" si="583"/>
        <v>0</v>
      </c>
      <c r="IO147" s="21">
        <f t="shared" si="584"/>
        <v>0</v>
      </c>
      <c r="IP147" s="21">
        <f t="shared" si="585"/>
        <v>20.85</v>
      </c>
      <c r="IQ147" s="21">
        <f t="shared" si="586"/>
        <v>22.240000000000002</v>
      </c>
      <c r="IR147" s="21">
        <f t="shared" si="587"/>
        <v>0</v>
      </c>
      <c r="IS147" s="21">
        <f t="shared" si="588"/>
        <v>0</v>
      </c>
      <c r="IT147" s="21">
        <f t="shared" si="589"/>
        <v>0</v>
      </c>
      <c r="IU147" s="21">
        <f t="shared" si="590"/>
        <v>0</v>
      </c>
      <c r="IV147" s="21">
        <f t="shared" si="591"/>
        <v>0</v>
      </c>
      <c r="IW147" s="21">
        <f t="shared" si="592"/>
        <v>0</v>
      </c>
      <c r="IX147" s="21">
        <f t="shared" si="593"/>
        <v>0</v>
      </c>
      <c r="IY147" s="21">
        <f t="shared" si="594"/>
        <v>8.34</v>
      </c>
      <c r="IZ147" s="21">
        <f t="shared" si="595"/>
        <v>0</v>
      </c>
      <c r="JA147" s="21">
        <f t="shared" si="596"/>
        <v>0</v>
      </c>
      <c r="JB147" s="21">
        <f t="shared" si="597"/>
        <v>0</v>
      </c>
      <c r="JC147" s="21">
        <f t="shared" si="598"/>
        <v>0</v>
      </c>
      <c r="JD147" s="21">
        <f t="shared" si="599"/>
        <v>0</v>
      </c>
      <c r="JE147" s="21">
        <f t="shared" si="600"/>
        <v>0</v>
      </c>
      <c r="JF147" s="21">
        <f t="shared" si="601"/>
        <v>0</v>
      </c>
      <c r="JG147" s="21">
        <f t="shared" si="602"/>
        <v>0</v>
      </c>
      <c r="JH147" s="21">
        <f t="shared" si="603"/>
        <v>0</v>
      </c>
      <c r="JI147" s="21">
        <f t="shared" si="604"/>
        <v>48.232999999999997</v>
      </c>
      <c r="JJ147" s="21">
        <f t="shared" si="605"/>
        <v>0</v>
      </c>
      <c r="JK147" s="21">
        <f t="shared" si="606"/>
        <v>0</v>
      </c>
      <c r="JL147" s="21">
        <f t="shared" si="607"/>
        <v>0</v>
      </c>
      <c r="JM147" s="21">
        <f t="shared" si="608"/>
        <v>0</v>
      </c>
      <c r="JN147" s="21">
        <f t="shared" si="609"/>
        <v>1.2509999999999999</v>
      </c>
      <c r="JO147" s="35">
        <f t="shared" si="664"/>
        <v>139</v>
      </c>
      <c r="JP147" s="38">
        <f t="shared" si="665"/>
        <v>0</v>
      </c>
      <c r="JQ147" s="43">
        <f t="shared" si="610"/>
        <v>0</v>
      </c>
      <c r="JR147" s="43">
        <f t="shared" si="611"/>
        <v>0</v>
      </c>
      <c r="JS147" s="43">
        <f t="shared" si="612"/>
        <v>0</v>
      </c>
      <c r="JT147" s="43">
        <f t="shared" si="613"/>
        <v>139.89172392</v>
      </c>
      <c r="JU147" s="43">
        <f t="shared" si="614"/>
        <v>0</v>
      </c>
      <c r="JV147" s="43">
        <f t="shared" si="615"/>
        <v>0</v>
      </c>
      <c r="JW147" s="43">
        <f t="shared" si="616"/>
        <v>0</v>
      </c>
      <c r="JX147" s="43">
        <f t="shared" si="617"/>
        <v>0</v>
      </c>
      <c r="JY147" s="43">
        <f t="shared" si="618"/>
        <v>0</v>
      </c>
      <c r="JZ147" s="43">
        <f t="shared" si="619"/>
        <v>0</v>
      </c>
      <c r="KA147" s="43">
        <f t="shared" si="620"/>
        <v>0</v>
      </c>
      <c r="KB147" s="43">
        <f t="shared" si="621"/>
        <v>0</v>
      </c>
      <c r="KC147" s="43">
        <f t="shared" si="622"/>
        <v>0</v>
      </c>
      <c r="KD147" s="43">
        <f t="shared" si="623"/>
        <v>0</v>
      </c>
      <c r="KE147" s="43">
        <f t="shared" si="624"/>
        <v>22.665200943838386</v>
      </c>
      <c r="KF147" s="43">
        <f t="shared" si="625"/>
        <v>0</v>
      </c>
      <c r="KG147" s="43">
        <f t="shared" si="626"/>
        <v>0</v>
      </c>
      <c r="KH147" s="43">
        <f t="shared" si="627"/>
        <v>0</v>
      </c>
      <c r="KI147" s="43">
        <f t="shared" si="628"/>
        <v>0</v>
      </c>
      <c r="KJ147" s="43">
        <f t="shared" si="629"/>
        <v>0</v>
      </c>
      <c r="KK147" s="43">
        <f t="shared" si="630"/>
        <v>0</v>
      </c>
      <c r="KL147" s="43">
        <f t="shared" si="631"/>
        <v>0</v>
      </c>
      <c r="KM147" s="43">
        <f t="shared" si="632"/>
        <v>0</v>
      </c>
      <c r="KN147" s="43">
        <f t="shared" si="633"/>
        <v>0</v>
      </c>
      <c r="KO147" s="43">
        <f t="shared" si="634"/>
        <v>0</v>
      </c>
      <c r="KP147" s="43">
        <f t="shared" si="635"/>
        <v>0</v>
      </c>
      <c r="KQ147" s="43">
        <f t="shared" si="636"/>
        <v>0</v>
      </c>
      <c r="KR147" s="43">
        <f t="shared" si="637"/>
        <v>80.481000000000009</v>
      </c>
      <c r="KS147" s="43">
        <f t="shared" si="638"/>
        <v>76.045921215353545</v>
      </c>
      <c r="KT147" s="43">
        <f t="shared" si="639"/>
        <v>0</v>
      </c>
      <c r="KU147" s="43">
        <f t="shared" si="640"/>
        <v>0</v>
      </c>
      <c r="KV147" s="43">
        <f t="shared" si="641"/>
        <v>0</v>
      </c>
      <c r="KW147" s="43">
        <f t="shared" si="642"/>
        <v>0</v>
      </c>
      <c r="KX147" s="43">
        <f t="shared" si="643"/>
        <v>0</v>
      </c>
      <c r="KY147" s="43">
        <f t="shared" si="644"/>
        <v>0</v>
      </c>
      <c r="KZ147" s="43">
        <f t="shared" si="645"/>
        <v>0</v>
      </c>
      <c r="LA147" s="43">
        <f t="shared" si="646"/>
        <v>33.417045599999994</v>
      </c>
      <c r="LB147" s="43">
        <f t="shared" si="647"/>
        <v>0</v>
      </c>
      <c r="LC147" s="43">
        <f t="shared" si="648"/>
        <v>0</v>
      </c>
      <c r="LD147" s="43">
        <f t="shared" si="649"/>
        <v>0</v>
      </c>
      <c r="LE147" s="43">
        <f t="shared" si="650"/>
        <v>0</v>
      </c>
      <c r="LF147" s="43">
        <f t="shared" si="651"/>
        <v>0</v>
      </c>
      <c r="LG147" s="43">
        <f t="shared" si="652"/>
        <v>0</v>
      </c>
      <c r="LH147" s="43">
        <f t="shared" si="653"/>
        <v>0</v>
      </c>
      <c r="LI147" s="43">
        <f t="shared" si="654"/>
        <v>0</v>
      </c>
      <c r="LJ147" s="43">
        <f t="shared" si="655"/>
        <v>0</v>
      </c>
      <c r="LK147" s="43">
        <f t="shared" si="656"/>
        <v>193.20933975</v>
      </c>
      <c r="LL147" s="43">
        <f t="shared" si="657"/>
        <v>0</v>
      </c>
      <c r="LM147" s="43">
        <f t="shared" si="658"/>
        <v>0</v>
      </c>
      <c r="LN147" s="43">
        <f t="shared" si="659"/>
        <v>0</v>
      </c>
      <c r="LO147" s="43">
        <f t="shared" si="660"/>
        <v>0</v>
      </c>
      <c r="LP147" s="43">
        <f t="shared" si="661"/>
        <v>10.570949999999998</v>
      </c>
      <c r="LQ147" s="28">
        <f t="shared" si="666"/>
        <v>556.28118142919197</v>
      </c>
      <c r="LR147" s="65">
        <v>100</v>
      </c>
      <c r="LS147" s="32">
        <f t="shared" si="462"/>
        <v>5.5628118142919201</v>
      </c>
      <c r="LT147" s="26">
        <f t="shared" si="463"/>
        <v>1.5198939383311256</v>
      </c>
      <c r="LU147" s="31">
        <f t="shared" si="667"/>
        <v>39</v>
      </c>
      <c r="LW147" s="42"/>
      <c r="MA147" s="32">
        <f t="shared" si="668"/>
        <v>4.0020228879797983</v>
      </c>
      <c r="MB147" s="26">
        <f t="shared" si="464"/>
        <v>1.0934488764972126</v>
      </c>
    </row>
    <row r="148" spans="1:340" ht="15.75" thickBot="1">
      <c r="A148" t="b">
        <f t="shared" si="662"/>
        <v>1</v>
      </c>
      <c r="B148" s="123" t="s">
        <v>335</v>
      </c>
      <c r="C148" s="39" t="s">
        <v>72</v>
      </c>
      <c r="D148"/>
      <c r="E148" s="97">
        <v>46047</v>
      </c>
      <c r="F148" t="s">
        <v>43</v>
      </c>
      <c r="G148" t="s">
        <v>19</v>
      </c>
      <c r="H148" t="s">
        <v>27</v>
      </c>
      <c r="I148" s="77"/>
      <c r="J148" s="77"/>
      <c r="K148" s="77"/>
      <c r="L148" s="22"/>
      <c r="M148" s="22"/>
      <c r="N148" s="98"/>
      <c r="O148" s="22"/>
      <c r="P148" s="22"/>
      <c r="Q148" s="22"/>
      <c r="R148" s="22"/>
      <c r="S148" s="104"/>
      <c r="T148" s="22"/>
      <c r="U148" s="22"/>
      <c r="V148" s="104"/>
      <c r="W148" s="22"/>
      <c r="X148" s="22"/>
      <c r="Y148" s="22"/>
      <c r="Z148" s="104"/>
      <c r="AA148" s="104"/>
      <c r="AB148" s="104"/>
      <c r="AC148" s="22"/>
      <c r="AD148" s="22"/>
      <c r="AE148" s="22"/>
      <c r="AF148" s="124"/>
      <c r="AG148" s="124"/>
      <c r="AH148" s="22"/>
      <c r="AI148" s="104"/>
      <c r="AJ148" s="22"/>
      <c r="AK148" s="22"/>
      <c r="AL148" s="22"/>
      <c r="AM148" s="104"/>
      <c r="AN148" s="22"/>
      <c r="AO148" s="104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>
        <v>0.01</v>
      </c>
      <c r="AZ148" s="22"/>
      <c r="BA148" s="98"/>
      <c r="BB148" s="98">
        <v>0.495</v>
      </c>
      <c r="BC148" s="124">
        <v>0.495</v>
      </c>
      <c r="BD148" s="124"/>
      <c r="BE148" s="104"/>
      <c r="BF148" s="22"/>
      <c r="BG148" s="22"/>
      <c r="BH148" s="22"/>
      <c r="BI148" s="78">
        <f t="shared" si="678"/>
        <v>1</v>
      </c>
      <c r="BJ148" s="23"/>
      <c r="BK148" s="23"/>
      <c r="BL148" s="23"/>
      <c r="BM148" s="23"/>
      <c r="BN148" s="23"/>
      <c r="BO148" s="99"/>
      <c r="BP148" s="23"/>
      <c r="BQ148" s="23"/>
      <c r="BR148" s="23"/>
      <c r="BS148" s="23"/>
      <c r="BT148" s="105"/>
      <c r="BU148" s="23"/>
      <c r="BV148" s="23"/>
      <c r="BW148" s="105"/>
      <c r="BX148" s="23"/>
      <c r="BY148" s="23"/>
      <c r="BZ148" s="23"/>
      <c r="CA148" s="105"/>
      <c r="CB148" s="105"/>
      <c r="CC148" s="105"/>
      <c r="CD148" s="23"/>
      <c r="CE148" s="23"/>
      <c r="CF148" s="71"/>
      <c r="CG148" s="128"/>
      <c r="CH148" s="128"/>
      <c r="CI148" s="23"/>
      <c r="CJ148" s="23"/>
      <c r="CK148" s="23"/>
      <c r="CL148" s="23"/>
      <c r="CM148" s="23"/>
      <c r="CN148" s="23"/>
      <c r="CO148" s="23"/>
      <c r="CP148" s="105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3"/>
      <c r="DB148" s="99"/>
      <c r="DC148" s="99"/>
      <c r="DD148" s="125"/>
      <c r="DE148" s="125"/>
      <c r="DF148" s="105"/>
      <c r="DG148" s="23"/>
      <c r="DH148" s="23"/>
      <c r="DI148" s="23"/>
      <c r="DJ148" s="79">
        <f t="shared" si="663"/>
        <v>0</v>
      </c>
      <c r="DK148" s="24"/>
      <c r="DL148" s="24"/>
      <c r="DM148" s="24"/>
      <c r="DN148" s="24"/>
      <c r="DO148" s="24"/>
      <c r="DP148" s="103"/>
      <c r="DQ148" s="24"/>
      <c r="DR148" s="24"/>
      <c r="DS148" s="24"/>
      <c r="DT148" s="24"/>
      <c r="DU148" s="108"/>
      <c r="DV148" s="24"/>
      <c r="DW148" s="24"/>
      <c r="DX148" s="108"/>
      <c r="DY148" s="24"/>
      <c r="DZ148" s="24"/>
      <c r="EA148" s="24"/>
      <c r="EB148" s="108"/>
      <c r="EC148" s="108"/>
      <c r="ED148" s="108"/>
      <c r="EE148" s="24"/>
      <c r="EF148" s="24"/>
      <c r="EG148" s="24"/>
      <c r="EH148" s="129"/>
      <c r="EI148" s="129"/>
      <c r="EJ148" s="24"/>
      <c r="EK148" s="24"/>
      <c r="EL148" s="24"/>
      <c r="EM148" s="24"/>
      <c r="EN148" s="24"/>
      <c r="EO148" s="24"/>
      <c r="EP148" s="24"/>
      <c r="EQ148" s="108"/>
      <c r="ER148" s="24"/>
      <c r="ES148" s="25"/>
      <c r="ET148" s="25"/>
      <c r="EU148" s="25"/>
      <c r="EV148" s="25"/>
      <c r="EW148" s="25"/>
      <c r="EX148" s="25"/>
      <c r="EY148" s="25"/>
      <c r="EZ148" s="25"/>
      <c r="FA148" s="25"/>
      <c r="FB148" s="25"/>
      <c r="FC148" s="100"/>
      <c r="FD148" s="100"/>
      <c r="FE148" s="126"/>
      <c r="FF148" s="126"/>
      <c r="FG148" s="106"/>
      <c r="FH148" s="25"/>
      <c r="FI148" s="25"/>
      <c r="FJ148" s="25"/>
      <c r="FK148" s="17">
        <f>SUM(DK148:FJ148)</f>
        <v>0</v>
      </c>
      <c r="FL148" s="18"/>
      <c r="FM148" s="19">
        <f t="shared" si="505"/>
        <v>0</v>
      </c>
      <c r="FN148" s="19">
        <f t="shared" si="506"/>
        <v>0</v>
      </c>
      <c r="FO148" s="19">
        <f t="shared" si="507"/>
        <v>0</v>
      </c>
      <c r="FP148" s="19">
        <f t="shared" si="508"/>
        <v>0</v>
      </c>
      <c r="FQ148" s="19">
        <f t="shared" si="509"/>
        <v>0</v>
      </c>
      <c r="FR148" s="19">
        <f t="shared" si="510"/>
        <v>0</v>
      </c>
      <c r="FS148" s="19">
        <f t="shared" si="511"/>
        <v>0</v>
      </c>
      <c r="FT148" s="19">
        <f t="shared" si="512"/>
        <v>0</v>
      </c>
      <c r="FU148" s="19">
        <f t="shared" si="513"/>
        <v>0</v>
      </c>
      <c r="FV148" s="19">
        <f t="shared" si="514"/>
        <v>0</v>
      </c>
      <c r="FW148" s="19">
        <f t="shared" si="515"/>
        <v>0</v>
      </c>
      <c r="FX148" s="19">
        <f t="shared" si="516"/>
        <v>0</v>
      </c>
      <c r="FY148" s="19">
        <f t="shared" si="517"/>
        <v>0</v>
      </c>
      <c r="FZ148" s="19">
        <f t="shared" si="518"/>
        <v>0</v>
      </c>
      <c r="GA148" s="19">
        <f t="shared" si="519"/>
        <v>0</v>
      </c>
      <c r="GB148" s="19">
        <f t="shared" si="520"/>
        <v>0</v>
      </c>
      <c r="GC148" s="19">
        <f t="shared" si="521"/>
        <v>0</v>
      </c>
      <c r="GD148" s="19">
        <f t="shared" si="522"/>
        <v>0</v>
      </c>
      <c r="GE148" s="19">
        <f t="shared" si="523"/>
        <v>0</v>
      </c>
      <c r="GF148" s="19">
        <f t="shared" si="524"/>
        <v>0</v>
      </c>
      <c r="GG148" s="19">
        <f t="shared" si="525"/>
        <v>0</v>
      </c>
      <c r="GH148" s="19">
        <f t="shared" si="526"/>
        <v>0</v>
      </c>
      <c r="GI148" s="19">
        <f t="shared" si="527"/>
        <v>0</v>
      </c>
      <c r="GJ148" s="19">
        <f t="shared" si="528"/>
        <v>0</v>
      </c>
      <c r="GK148" s="19">
        <f t="shared" si="529"/>
        <v>0</v>
      </c>
      <c r="GL148" s="19">
        <f t="shared" si="530"/>
        <v>0</v>
      </c>
      <c r="GM148" s="19">
        <f t="shared" si="531"/>
        <v>0</v>
      </c>
      <c r="GN148" s="19">
        <f t="shared" si="532"/>
        <v>0</v>
      </c>
      <c r="GO148" s="19">
        <f t="shared" si="533"/>
        <v>0</v>
      </c>
      <c r="GP148" s="19">
        <f t="shared" si="534"/>
        <v>0</v>
      </c>
      <c r="GQ148" s="19">
        <f t="shared" si="535"/>
        <v>0</v>
      </c>
      <c r="GR148" s="19">
        <f t="shared" si="536"/>
        <v>0</v>
      </c>
      <c r="GS148" s="19">
        <f t="shared" si="537"/>
        <v>0</v>
      </c>
      <c r="GT148" s="19">
        <f t="shared" si="538"/>
        <v>0</v>
      </c>
      <c r="GU148" s="19">
        <f t="shared" si="539"/>
        <v>0</v>
      </c>
      <c r="GV148" s="19">
        <f t="shared" si="540"/>
        <v>0</v>
      </c>
      <c r="GW148" s="19">
        <f t="shared" si="541"/>
        <v>0</v>
      </c>
      <c r="GX148" s="19">
        <f t="shared" si="542"/>
        <v>0</v>
      </c>
      <c r="GY148" s="19">
        <f t="shared" si="543"/>
        <v>0</v>
      </c>
      <c r="GZ148" s="19">
        <f t="shared" si="544"/>
        <v>0</v>
      </c>
      <c r="HA148" s="19">
        <f t="shared" si="545"/>
        <v>0</v>
      </c>
      <c r="HB148" s="19">
        <f t="shared" si="546"/>
        <v>0</v>
      </c>
      <c r="HC148" s="19">
        <f t="shared" si="547"/>
        <v>1.4999999999999999E-2</v>
      </c>
      <c r="HD148" s="19">
        <f t="shared" si="548"/>
        <v>0</v>
      </c>
      <c r="HE148" s="19">
        <f t="shared" si="549"/>
        <v>0</v>
      </c>
      <c r="HF148" s="19">
        <f t="shared" si="550"/>
        <v>0.74249999999999994</v>
      </c>
      <c r="HG148" s="19">
        <f t="shared" si="551"/>
        <v>0.74249999999999994</v>
      </c>
      <c r="HH148" s="19">
        <f t="shared" si="552"/>
        <v>0</v>
      </c>
      <c r="HI148" s="19">
        <f t="shared" si="553"/>
        <v>0</v>
      </c>
      <c r="HJ148" s="19">
        <f t="shared" si="554"/>
        <v>0</v>
      </c>
      <c r="HK148" s="19">
        <f t="shared" si="555"/>
        <v>0</v>
      </c>
      <c r="HL148" s="19">
        <f t="shared" si="556"/>
        <v>0</v>
      </c>
      <c r="HM148" s="20">
        <f t="shared" si="557"/>
        <v>1.5</v>
      </c>
      <c r="HN148" s="53">
        <v>644</v>
      </c>
      <c r="HO148" s="21">
        <f t="shared" si="558"/>
        <v>0</v>
      </c>
      <c r="HP148" s="21">
        <f t="shared" si="559"/>
        <v>0</v>
      </c>
      <c r="HQ148" s="21">
        <f t="shared" si="560"/>
        <v>0</v>
      </c>
      <c r="HR148" s="21">
        <f t="shared" si="561"/>
        <v>0</v>
      </c>
      <c r="HS148" s="21">
        <f t="shared" si="562"/>
        <v>0</v>
      </c>
      <c r="HT148" s="69">
        <f t="shared" si="563"/>
        <v>0</v>
      </c>
      <c r="HU148" s="21">
        <f t="shared" si="564"/>
        <v>0</v>
      </c>
      <c r="HV148" s="21">
        <f t="shared" si="565"/>
        <v>0</v>
      </c>
      <c r="HW148" s="21">
        <f t="shared" si="566"/>
        <v>0</v>
      </c>
      <c r="HX148" s="21">
        <f t="shared" si="567"/>
        <v>0</v>
      </c>
      <c r="HY148" s="21">
        <f t="shared" si="568"/>
        <v>0</v>
      </c>
      <c r="HZ148" s="21">
        <f t="shared" si="569"/>
        <v>0</v>
      </c>
      <c r="IA148" s="21">
        <f t="shared" si="570"/>
        <v>0</v>
      </c>
      <c r="IB148" s="21">
        <f t="shared" si="571"/>
        <v>0</v>
      </c>
      <c r="IC148" s="21">
        <f t="shared" si="572"/>
        <v>0</v>
      </c>
      <c r="ID148" s="21">
        <f t="shared" si="573"/>
        <v>0</v>
      </c>
      <c r="IE148" s="21">
        <f t="shared" si="574"/>
        <v>0</v>
      </c>
      <c r="IF148" s="69">
        <f t="shared" si="575"/>
        <v>0</v>
      </c>
      <c r="IG148" s="69">
        <f t="shared" si="576"/>
        <v>0</v>
      </c>
      <c r="IH148" s="69">
        <f t="shared" si="577"/>
        <v>0</v>
      </c>
      <c r="II148" s="21">
        <f t="shared" si="578"/>
        <v>0</v>
      </c>
      <c r="IJ148" s="21">
        <f t="shared" si="579"/>
        <v>0</v>
      </c>
      <c r="IK148" s="21">
        <f t="shared" si="580"/>
        <v>0</v>
      </c>
      <c r="IL148" s="21">
        <f t="shared" si="581"/>
        <v>0</v>
      </c>
      <c r="IM148" s="21">
        <f t="shared" si="582"/>
        <v>0</v>
      </c>
      <c r="IN148" s="21">
        <f t="shared" si="583"/>
        <v>0</v>
      </c>
      <c r="IO148" s="21">
        <f t="shared" si="584"/>
        <v>0</v>
      </c>
      <c r="IP148" s="21">
        <f t="shared" si="585"/>
        <v>0</v>
      </c>
      <c r="IQ148" s="21">
        <f t="shared" si="586"/>
        <v>0</v>
      </c>
      <c r="IR148" s="21">
        <f t="shared" si="587"/>
        <v>0</v>
      </c>
      <c r="IS148" s="21">
        <f t="shared" si="588"/>
        <v>0</v>
      </c>
      <c r="IT148" s="21">
        <f t="shared" si="589"/>
        <v>0</v>
      </c>
      <c r="IU148" s="21">
        <f t="shared" si="590"/>
        <v>0</v>
      </c>
      <c r="IV148" s="21">
        <f t="shared" si="591"/>
        <v>0</v>
      </c>
      <c r="IW148" s="21">
        <f t="shared" si="592"/>
        <v>0</v>
      </c>
      <c r="IX148" s="21">
        <f t="shared" si="593"/>
        <v>0</v>
      </c>
      <c r="IY148" s="21">
        <f t="shared" si="594"/>
        <v>0</v>
      </c>
      <c r="IZ148" s="21">
        <f t="shared" si="595"/>
        <v>0</v>
      </c>
      <c r="JA148" s="21">
        <f t="shared" si="596"/>
        <v>0</v>
      </c>
      <c r="JB148" s="21">
        <f t="shared" si="597"/>
        <v>0</v>
      </c>
      <c r="JC148" s="21">
        <f t="shared" si="598"/>
        <v>0</v>
      </c>
      <c r="JD148" s="21">
        <f t="shared" si="599"/>
        <v>0</v>
      </c>
      <c r="JE148" s="21">
        <f t="shared" si="600"/>
        <v>6.44</v>
      </c>
      <c r="JF148" s="21">
        <f t="shared" si="601"/>
        <v>0</v>
      </c>
      <c r="JG148" s="21">
        <f t="shared" si="602"/>
        <v>0</v>
      </c>
      <c r="JH148" s="21">
        <f t="shared" si="603"/>
        <v>318.77999999999997</v>
      </c>
      <c r="JI148" s="21">
        <f t="shared" si="604"/>
        <v>318.77999999999997</v>
      </c>
      <c r="JJ148" s="21">
        <f t="shared" si="605"/>
        <v>0</v>
      </c>
      <c r="JK148" s="21">
        <f t="shared" si="606"/>
        <v>0</v>
      </c>
      <c r="JL148" s="21">
        <f t="shared" si="607"/>
        <v>0</v>
      </c>
      <c r="JM148" s="21">
        <f t="shared" si="608"/>
        <v>0</v>
      </c>
      <c r="JN148" s="21">
        <f t="shared" si="609"/>
        <v>0</v>
      </c>
      <c r="JO148" s="35">
        <f t="shared" si="664"/>
        <v>644</v>
      </c>
      <c r="JP148" s="38">
        <f t="shared" si="665"/>
        <v>0</v>
      </c>
      <c r="JQ148" s="43">
        <f t="shared" si="610"/>
        <v>0</v>
      </c>
      <c r="JR148" s="43">
        <f t="shared" si="611"/>
        <v>0</v>
      </c>
      <c r="JS148" s="43">
        <f t="shared" si="612"/>
        <v>0</v>
      </c>
      <c r="JT148" s="43">
        <f t="shared" si="613"/>
        <v>0</v>
      </c>
      <c r="JU148" s="43">
        <f t="shared" si="614"/>
        <v>0</v>
      </c>
      <c r="JV148" s="43">
        <f t="shared" si="615"/>
        <v>0</v>
      </c>
      <c r="JW148" s="43">
        <f t="shared" si="616"/>
        <v>0</v>
      </c>
      <c r="JX148" s="43">
        <f t="shared" si="617"/>
        <v>0</v>
      </c>
      <c r="JY148" s="43">
        <f t="shared" si="618"/>
        <v>0</v>
      </c>
      <c r="JZ148" s="43">
        <f t="shared" si="619"/>
        <v>0</v>
      </c>
      <c r="KA148" s="43">
        <f t="shared" si="620"/>
        <v>0</v>
      </c>
      <c r="KB148" s="43">
        <f t="shared" si="621"/>
        <v>0</v>
      </c>
      <c r="KC148" s="43">
        <f t="shared" si="622"/>
        <v>0</v>
      </c>
      <c r="KD148" s="43">
        <f t="shared" si="623"/>
        <v>0</v>
      </c>
      <c r="KE148" s="43">
        <f t="shared" si="624"/>
        <v>0</v>
      </c>
      <c r="KF148" s="43">
        <f t="shared" si="625"/>
        <v>0</v>
      </c>
      <c r="KG148" s="43">
        <f t="shared" si="626"/>
        <v>0</v>
      </c>
      <c r="KH148" s="43">
        <f t="shared" si="627"/>
        <v>0</v>
      </c>
      <c r="KI148" s="43">
        <f t="shared" si="628"/>
        <v>0</v>
      </c>
      <c r="KJ148" s="43">
        <f t="shared" si="629"/>
        <v>0</v>
      </c>
      <c r="KK148" s="43">
        <f t="shared" si="630"/>
        <v>0</v>
      </c>
      <c r="KL148" s="43">
        <f t="shared" si="631"/>
        <v>0</v>
      </c>
      <c r="KM148" s="43">
        <f t="shared" si="632"/>
        <v>0</v>
      </c>
      <c r="KN148" s="43">
        <f t="shared" si="633"/>
        <v>0</v>
      </c>
      <c r="KO148" s="43">
        <f t="shared" si="634"/>
        <v>0</v>
      </c>
      <c r="KP148" s="43">
        <f t="shared" si="635"/>
        <v>0</v>
      </c>
      <c r="KQ148" s="43">
        <f t="shared" si="636"/>
        <v>0</v>
      </c>
      <c r="KR148" s="43">
        <f t="shared" si="637"/>
        <v>0</v>
      </c>
      <c r="KS148" s="43">
        <f t="shared" si="638"/>
        <v>0</v>
      </c>
      <c r="KT148" s="43">
        <f t="shared" si="639"/>
        <v>0</v>
      </c>
      <c r="KU148" s="43">
        <f t="shared" si="640"/>
        <v>0</v>
      </c>
      <c r="KV148" s="43">
        <f t="shared" si="641"/>
        <v>0</v>
      </c>
      <c r="KW148" s="43">
        <f t="shared" si="642"/>
        <v>0</v>
      </c>
      <c r="KX148" s="43">
        <f t="shared" si="643"/>
        <v>0</v>
      </c>
      <c r="KY148" s="43">
        <f t="shared" si="644"/>
        <v>0</v>
      </c>
      <c r="KZ148" s="43">
        <f t="shared" si="645"/>
        <v>0</v>
      </c>
      <c r="LA148" s="43">
        <f t="shared" si="646"/>
        <v>0</v>
      </c>
      <c r="LB148" s="43">
        <f t="shared" si="647"/>
        <v>0</v>
      </c>
      <c r="LC148" s="43">
        <f t="shared" si="648"/>
        <v>0</v>
      </c>
      <c r="LD148" s="43">
        <f t="shared" si="649"/>
        <v>0</v>
      </c>
      <c r="LE148" s="43">
        <f t="shared" si="650"/>
        <v>0</v>
      </c>
      <c r="LF148" s="43">
        <f t="shared" si="651"/>
        <v>0</v>
      </c>
      <c r="LG148" s="43">
        <f t="shared" si="652"/>
        <v>66.460800000000006</v>
      </c>
      <c r="LH148" s="43">
        <f t="shared" si="653"/>
        <v>0</v>
      </c>
      <c r="LI148" s="43">
        <f t="shared" si="654"/>
        <v>0</v>
      </c>
      <c r="LJ148" s="43">
        <f t="shared" si="655"/>
        <v>1535.1042168000001</v>
      </c>
      <c r="LK148" s="43">
        <f t="shared" si="656"/>
        <v>1276.9529849999999</v>
      </c>
      <c r="LL148" s="43">
        <f t="shared" si="657"/>
        <v>0</v>
      </c>
      <c r="LM148" s="43">
        <f t="shared" si="658"/>
        <v>0</v>
      </c>
      <c r="LN148" s="43">
        <f t="shared" si="659"/>
        <v>0</v>
      </c>
      <c r="LO148" s="43">
        <f t="shared" si="660"/>
        <v>0</v>
      </c>
      <c r="LP148" s="43">
        <f t="shared" si="661"/>
        <v>0</v>
      </c>
      <c r="LQ148" s="28">
        <f t="shared" si="666"/>
        <v>2878.5180018000001</v>
      </c>
      <c r="LR148" s="65">
        <v>606</v>
      </c>
      <c r="LS148" s="32">
        <f t="shared" si="462"/>
        <v>4.7500297059405945</v>
      </c>
      <c r="LT148" s="26">
        <f t="shared" si="463"/>
        <v>1.2978223240274849</v>
      </c>
      <c r="LU148" s="31">
        <f t="shared" si="667"/>
        <v>38</v>
      </c>
      <c r="LW148" s="42"/>
      <c r="MA148" s="32">
        <f t="shared" si="668"/>
        <v>4.46974845</v>
      </c>
      <c r="MB148" s="26">
        <f t="shared" si="464"/>
        <v>1.2212427459016393</v>
      </c>
    </row>
    <row r="149" spans="1:340" ht="15.75" thickBot="1">
      <c r="A149" t="b">
        <f t="shared" si="662"/>
        <v>1</v>
      </c>
      <c r="B149" s="123" t="s">
        <v>336</v>
      </c>
      <c r="C149" s="39" t="s">
        <v>93</v>
      </c>
      <c r="D149"/>
      <c r="E149" s="97">
        <v>46051</v>
      </c>
      <c r="F149" t="s">
        <v>43</v>
      </c>
      <c r="G149" t="s">
        <v>20</v>
      </c>
      <c r="H149" t="s">
        <v>27</v>
      </c>
      <c r="I149" s="77"/>
      <c r="J149" s="77"/>
      <c r="K149" s="77"/>
      <c r="L149" s="22"/>
      <c r="M149" s="22"/>
      <c r="N149" s="98"/>
      <c r="O149" s="22"/>
      <c r="P149" s="22"/>
      <c r="Q149" s="22"/>
      <c r="R149" s="22"/>
      <c r="S149" s="104"/>
      <c r="T149" s="22"/>
      <c r="U149" s="22"/>
      <c r="V149" s="104"/>
      <c r="W149" s="22">
        <v>0.1</v>
      </c>
      <c r="X149" s="22"/>
      <c r="Y149" s="22"/>
      <c r="Z149" s="104"/>
      <c r="AA149" s="104"/>
      <c r="AB149" s="104"/>
      <c r="AC149" s="22"/>
      <c r="AD149" s="22"/>
      <c r="AE149" s="22"/>
      <c r="AF149" s="124"/>
      <c r="AG149" s="124"/>
      <c r="AH149" s="22"/>
      <c r="AI149" s="104"/>
      <c r="AJ149" s="22">
        <v>0.28000000000000003</v>
      </c>
      <c r="AK149" s="22"/>
      <c r="AL149" s="22"/>
      <c r="AM149" s="104"/>
      <c r="AN149" s="22"/>
      <c r="AO149" s="104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98"/>
      <c r="BB149" s="98"/>
      <c r="BC149" s="124">
        <v>0.62</v>
      </c>
      <c r="BD149" s="124"/>
      <c r="BE149" s="104"/>
      <c r="BF149" s="22"/>
      <c r="BG149" s="22"/>
      <c r="BH149" s="22"/>
      <c r="BI149" s="78">
        <f t="shared" si="678"/>
        <v>1</v>
      </c>
      <c r="BJ149" s="23"/>
      <c r="BK149" s="23"/>
      <c r="BL149" s="23"/>
      <c r="BM149" s="23"/>
      <c r="BN149" s="23"/>
      <c r="BO149" s="99"/>
      <c r="BP149" s="23"/>
      <c r="BQ149" s="23"/>
      <c r="BR149" s="23"/>
      <c r="BS149" s="23"/>
      <c r="BT149" s="105"/>
      <c r="BU149" s="23"/>
      <c r="BV149" s="23"/>
      <c r="BW149" s="105"/>
      <c r="BX149" s="23">
        <v>0.25</v>
      </c>
      <c r="BY149" s="23"/>
      <c r="BZ149" s="23"/>
      <c r="CA149" s="105"/>
      <c r="CB149" s="105"/>
      <c r="CC149" s="105"/>
      <c r="CD149" s="23"/>
      <c r="CE149" s="23"/>
      <c r="CF149" s="71"/>
      <c r="CG149" s="128"/>
      <c r="CH149" s="128"/>
      <c r="CI149" s="23"/>
      <c r="CJ149" s="23"/>
      <c r="CK149" s="23"/>
      <c r="CL149" s="23">
        <v>0.25</v>
      </c>
      <c r="CM149" s="23"/>
      <c r="CN149" s="23"/>
      <c r="CO149" s="23"/>
      <c r="CP149" s="105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B149" s="99"/>
      <c r="DC149" s="99"/>
      <c r="DD149" s="125">
        <v>0.5</v>
      </c>
      <c r="DE149" s="125"/>
      <c r="DF149" s="105"/>
      <c r="DG149" s="23"/>
      <c r="DH149" s="23"/>
      <c r="DI149" s="23"/>
      <c r="DJ149" s="79">
        <f t="shared" si="663"/>
        <v>1</v>
      </c>
      <c r="DK149" s="24"/>
      <c r="DL149" s="24"/>
      <c r="DM149" s="24"/>
      <c r="DN149" s="24">
        <v>0.69</v>
      </c>
      <c r="DO149" s="24"/>
      <c r="DP149" s="103"/>
      <c r="DQ149" s="24"/>
      <c r="DR149" s="24"/>
      <c r="DS149" s="24"/>
      <c r="DT149" s="24"/>
      <c r="DU149" s="108"/>
      <c r="DV149" s="24"/>
      <c r="DW149" s="24"/>
      <c r="DX149" s="108"/>
      <c r="DY149" s="24"/>
      <c r="DZ149" s="24"/>
      <c r="EA149" s="24"/>
      <c r="EB149" s="108"/>
      <c r="EC149" s="108"/>
      <c r="ED149" s="108"/>
      <c r="EE149" s="24"/>
      <c r="EF149" s="24"/>
      <c r="EG149" s="24"/>
      <c r="EH149" s="129"/>
      <c r="EI149" s="129"/>
      <c r="EJ149" s="24"/>
      <c r="EK149" s="24"/>
      <c r="EL149" s="24"/>
      <c r="EM149" s="24"/>
      <c r="EN149" s="24"/>
      <c r="EO149" s="24"/>
      <c r="EP149" s="24"/>
      <c r="EQ149" s="108"/>
      <c r="ER149" s="24"/>
      <c r="ES149" s="25"/>
      <c r="ET149" s="25"/>
      <c r="EU149" s="25">
        <v>0.28999999999999998</v>
      </c>
      <c r="EV149" s="25"/>
      <c r="EW149" s="25"/>
      <c r="EX149" s="25"/>
      <c r="EY149" s="25"/>
      <c r="EZ149" s="25"/>
      <c r="FA149" s="25"/>
      <c r="FB149" s="25"/>
      <c r="FC149" s="100"/>
      <c r="FD149" s="100"/>
      <c r="FE149" s="126"/>
      <c r="FF149" s="126"/>
      <c r="FG149" s="106"/>
      <c r="FH149" s="25"/>
      <c r="FI149" s="25"/>
      <c r="FJ149" s="25">
        <v>0.02</v>
      </c>
      <c r="FK149" s="17">
        <f>SUM(DK149:FJ149)</f>
        <v>1</v>
      </c>
      <c r="FL149" s="18"/>
      <c r="FM149" s="19">
        <f t="shared" si="505"/>
        <v>0</v>
      </c>
      <c r="FN149" s="19">
        <f t="shared" si="506"/>
        <v>0</v>
      </c>
      <c r="FO149" s="19">
        <f t="shared" si="507"/>
        <v>0</v>
      </c>
      <c r="FP149" s="19">
        <f t="shared" si="508"/>
        <v>1.0349999999999999</v>
      </c>
      <c r="FQ149" s="19">
        <f t="shared" si="509"/>
        <v>0</v>
      </c>
      <c r="FR149" s="19">
        <f t="shared" si="510"/>
        <v>0</v>
      </c>
      <c r="FS149" s="19">
        <f t="shared" si="511"/>
        <v>0</v>
      </c>
      <c r="FT149" s="19">
        <f t="shared" si="512"/>
        <v>0</v>
      </c>
      <c r="FU149" s="19">
        <f t="shared" si="513"/>
        <v>0</v>
      </c>
      <c r="FV149" s="19">
        <f t="shared" si="514"/>
        <v>0</v>
      </c>
      <c r="FW149" s="19">
        <f t="shared" si="515"/>
        <v>0</v>
      </c>
      <c r="FX149" s="19">
        <f t="shared" si="516"/>
        <v>0</v>
      </c>
      <c r="FY149" s="19">
        <f t="shared" si="517"/>
        <v>0</v>
      </c>
      <c r="FZ149" s="19">
        <f t="shared" si="518"/>
        <v>0</v>
      </c>
      <c r="GA149" s="19">
        <f t="shared" si="519"/>
        <v>0.65</v>
      </c>
      <c r="GB149" s="19">
        <f t="shared" si="520"/>
        <v>0</v>
      </c>
      <c r="GC149" s="19">
        <f t="shared" si="521"/>
        <v>0</v>
      </c>
      <c r="GD149" s="19">
        <f t="shared" si="522"/>
        <v>0</v>
      </c>
      <c r="GE149" s="19">
        <f t="shared" si="523"/>
        <v>0</v>
      </c>
      <c r="GF149" s="19">
        <f t="shared" si="524"/>
        <v>0</v>
      </c>
      <c r="GG149" s="19">
        <f t="shared" si="525"/>
        <v>0</v>
      </c>
      <c r="GH149" s="19">
        <f t="shared" si="526"/>
        <v>0</v>
      </c>
      <c r="GI149" s="19">
        <f t="shared" si="527"/>
        <v>0</v>
      </c>
      <c r="GJ149" s="19">
        <f t="shared" si="528"/>
        <v>0</v>
      </c>
      <c r="GK149" s="19">
        <f t="shared" si="529"/>
        <v>0</v>
      </c>
      <c r="GL149" s="19">
        <f t="shared" si="530"/>
        <v>0</v>
      </c>
      <c r="GM149" s="19">
        <f t="shared" si="531"/>
        <v>0</v>
      </c>
      <c r="GN149" s="19">
        <f t="shared" si="532"/>
        <v>0.42000000000000004</v>
      </c>
      <c r="GO149" s="19">
        <f t="shared" si="533"/>
        <v>0.5</v>
      </c>
      <c r="GP149" s="19">
        <f t="shared" si="534"/>
        <v>0</v>
      </c>
      <c r="GQ149" s="19">
        <f t="shared" si="535"/>
        <v>0</v>
      </c>
      <c r="GR149" s="19">
        <f t="shared" si="536"/>
        <v>0</v>
      </c>
      <c r="GS149" s="19">
        <f t="shared" si="537"/>
        <v>0</v>
      </c>
      <c r="GT149" s="19">
        <f t="shared" si="538"/>
        <v>0</v>
      </c>
      <c r="GU149" s="19">
        <f t="shared" si="539"/>
        <v>0</v>
      </c>
      <c r="GV149" s="19">
        <f t="shared" si="540"/>
        <v>0</v>
      </c>
      <c r="GW149" s="19">
        <f t="shared" si="541"/>
        <v>0.43499999999999994</v>
      </c>
      <c r="GX149" s="19">
        <f t="shared" si="542"/>
        <v>0</v>
      </c>
      <c r="GY149" s="19">
        <f t="shared" si="543"/>
        <v>0</v>
      </c>
      <c r="GZ149" s="19">
        <f t="shared" si="544"/>
        <v>0</v>
      </c>
      <c r="HA149" s="19">
        <f t="shared" si="545"/>
        <v>0</v>
      </c>
      <c r="HB149" s="19">
        <f t="shared" si="546"/>
        <v>0</v>
      </c>
      <c r="HC149" s="19">
        <f t="shared" si="547"/>
        <v>0</v>
      </c>
      <c r="HD149" s="19">
        <f t="shared" si="548"/>
        <v>0</v>
      </c>
      <c r="HE149" s="19">
        <f t="shared" si="549"/>
        <v>0</v>
      </c>
      <c r="HF149" s="19">
        <f t="shared" si="550"/>
        <v>0</v>
      </c>
      <c r="HG149" s="19">
        <f t="shared" si="551"/>
        <v>1.93</v>
      </c>
      <c r="HH149" s="19">
        <f t="shared" si="552"/>
        <v>0</v>
      </c>
      <c r="HI149" s="19">
        <f t="shared" si="553"/>
        <v>0</v>
      </c>
      <c r="HJ149" s="19">
        <f t="shared" si="554"/>
        <v>0</v>
      </c>
      <c r="HK149" s="19">
        <f t="shared" si="555"/>
        <v>0</v>
      </c>
      <c r="HL149" s="19">
        <f t="shared" si="556"/>
        <v>0.03</v>
      </c>
      <c r="HM149" s="20">
        <f t="shared" si="557"/>
        <v>5</v>
      </c>
      <c r="HN149" s="53">
        <v>1670</v>
      </c>
      <c r="HO149" s="21">
        <f t="shared" si="558"/>
        <v>0</v>
      </c>
      <c r="HP149" s="21">
        <f t="shared" si="559"/>
        <v>0</v>
      </c>
      <c r="HQ149" s="21">
        <f t="shared" si="560"/>
        <v>0</v>
      </c>
      <c r="HR149" s="21">
        <f t="shared" si="561"/>
        <v>345.68999999999994</v>
      </c>
      <c r="HS149" s="21">
        <f t="shared" si="562"/>
        <v>0</v>
      </c>
      <c r="HT149" s="69">
        <f t="shared" si="563"/>
        <v>0</v>
      </c>
      <c r="HU149" s="21">
        <f t="shared" si="564"/>
        <v>0</v>
      </c>
      <c r="HV149" s="21">
        <f t="shared" si="565"/>
        <v>0</v>
      </c>
      <c r="HW149" s="21">
        <f t="shared" si="566"/>
        <v>0</v>
      </c>
      <c r="HX149" s="21">
        <f t="shared" si="567"/>
        <v>0</v>
      </c>
      <c r="HY149" s="21">
        <f t="shared" si="568"/>
        <v>0</v>
      </c>
      <c r="HZ149" s="21">
        <f t="shared" si="569"/>
        <v>0</v>
      </c>
      <c r="IA149" s="21">
        <f t="shared" si="570"/>
        <v>0</v>
      </c>
      <c r="IB149" s="21">
        <f t="shared" si="571"/>
        <v>0</v>
      </c>
      <c r="IC149" s="21">
        <f t="shared" si="572"/>
        <v>217.1</v>
      </c>
      <c r="ID149" s="21">
        <f t="shared" si="573"/>
        <v>0</v>
      </c>
      <c r="IE149" s="21">
        <f t="shared" si="574"/>
        <v>0</v>
      </c>
      <c r="IF149" s="69">
        <f t="shared" si="575"/>
        <v>0</v>
      </c>
      <c r="IG149" s="69">
        <f t="shared" si="576"/>
        <v>0</v>
      </c>
      <c r="IH149" s="69">
        <f t="shared" si="577"/>
        <v>0</v>
      </c>
      <c r="II149" s="21">
        <f t="shared" si="578"/>
        <v>0</v>
      </c>
      <c r="IJ149" s="21">
        <f t="shared" si="579"/>
        <v>0</v>
      </c>
      <c r="IK149" s="21">
        <f t="shared" si="580"/>
        <v>0</v>
      </c>
      <c r="IL149" s="21">
        <f t="shared" si="581"/>
        <v>0</v>
      </c>
      <c r="IM149" s="21">
        <f t="shared" si="582"/>
        <v>0</v>
      </c>
      <c r="IN149" s="21">
        <f t="shared" si="583"/>
        <v>0</v>
      </c>
      <c r="IO149" s="21">
        <f t="shared" si="584"/>
        <v>0</v>
      </c>
      <c r="IP149" s="21">
        <f t="shared" si="585"/>
        <v>140.28000000000003</v>
      </c>
      <c r="IQ149" s="21">
        <f t="shared" si="586"/>
        <v>167</v>
      </c>
      <c r="IR149" s="21">
        <f t="shared" si="587"/>
        <v>0</v>
      </c>
      <c r="IS149" s="21">
        <f t="shared" si="588"/>
        <v>0</v>
      </c>
      <c r="IT149" s="21">
        <f t="shared" si="589"/>
        <v>0</v>
      </c>
      <c r="IU149" s="21">
        <f t="shared" si="590"/>
        <v>0</v>
      </c>
      <c r="IV149" s="21">
        <f t="shared" si="591"/>
        <v>0</v>
      </c>
      <c r="IW149" s="21">
        <f t="shared" si="592"/>
        <v>0</v>
      </c>
      <c r="IX149" s="21">
        <f t="shared" si="593"/>
        <v>0</v>
      </c>
      <c r="IY149" s="21">
        <f t="shared" si="594"/>
        <v>145.29</v>
      </c>
      <c r="IZ149" s="21">
        <f t="shared" si="595"/>
        <v>0</v>
      </c>
      <c r="JA149" s="21">
        <f t="shared" si="596"/>
        <v>0</v>
      </c>
      <c r="JB149" s="21">
        <f t="shared" si="597"/>
        <v>0</v>
      </c>
      <c r="JC149" s="21">
        <f t="shared" si="598"/>
        <v>0</v>
      </c>
      <c r="JD149" s="21">
        <f t="shared" si="599"/>
        <v>0</v>
      </c>
      <c r="JE149" s="21">
        <f t="shared" si="600"/>
        <v>0</v>
      </c>
      <c r="JF149" s="21">
        <f t="shared" si="601"/>
        <v>0</v>
      </c>
      <c r="JG149" s="21">
        <f t="shared" si="602"/>
        <v>0</v>
      </c>
      <c r="JH149" s="21">
        <f t="shared" si="603"/>
        <v>0</v>
      </c>
      <c r="JI149" s="21">
        <f t="shared" si="604"/>
        <v>644.62</v>
      </c>
      <c r="JJ149" s="21">
        <f t="shared" si="605"/>
        <v>0</v>
      </c>
      <c r="JK149" s="21">
        <f t="shared" si="606"/>
        <v>0</v>
      </c>
      <c r="JL149" s="21">
        <f t="shared" si="607"/>
        <v>0</v>
      </c>
      <c r="JM149" s="21">
        <f t="shared" si="608"/>
        <v>0</v>
      </c>
      <c r="JN149" s="21">
        <f t="shared" si="609"/>
        <v>10.02</v>
      </c>
      <c r="JO149" s="35">
        <f t="shared" si="664"/>
        <v>1670</v>
      </c>
      <c r="JP149" s="38">
        <f t="shared" si="665"/>
        <v>0</v>
      </c>
      <c r="JQ149" s="43">
        <f t="shared" si="610"/>
        <v>0</v>
      </c>
      <c r="JR149" s="43">
        <f t="shared" si="611"/>
        <v>0</v>
      </c>
      <c r="JS149" s="43">
        <f t="shared" si="612"/>
        <v>0</v>
      </c>
      <c r="JT149" s="43">
        <f t="shared" si="613"/>
        <v>1486.7850347999999</v>
      </c>
      <c r="JU149" s="43">
        <f t="shared" si="614"/>
        <v>0</v>
      </c>
      <c r="JV149" s="43">
        <f t="shared" si="615"/>
        <v>0</v>
      </c>
      <c r="JW149" s="43">
        <f t="shared" si="616"/>
        <v>0</v>
      </c>
      <c r="JX149" s="43">
        <f t="shared" si="617"/>
        <v>0</v>
      </c>
      <c r="JY149" s="43">
        <f t="shared" si="618"/>
        <v>0</v>
      </c>
      <c r="JZ149" s="43">
        <f t="shared" si="619"/>
        <v>0</v>
      </c>
      <c r="KA149" s="43">
        <f t="shared" si="620"/>
        <v>0</v>
      </c>
      <c r="KB149" s="43">
        <f t="shared" si="621"/>
        <v>0</v>
      </c>
      <c r="KC149" s="43">
        <f t="shared" si="622"/>
        <v>0</v>
      </c>
      <c r="KD149" s="43">
        <f t="shared" si="623"/>
        <v>0</v>
      </c>
      <c r="KE149" s="43">
        <f t="shared" si="624"/>
        <v>885.0027203070706</v>
      </c>
      <c r="KF149" s="43">
        <f t="shared" si="625"/>
        <v>0</v>
      </c>
      <c r="KG149" s="43">
        <f t="shared" si="626"/>
        <v>0</v>
      </c>
      <c r="KH149" s="43">
        <f t="shared" si="627"/>
        <v>0</v>
      </c>
      <c r="KI149" s="43">
        <f t="shared" si="628"/>
        <v>0</v>
      </c>
      <c r="KJ149" s="43">
        <f t="shared" si="629"/>
        <v>0</v>
      </c>
      <c r="KK149" s="43">
        <f t="shared" si="630"/>
        <v>0</v>
      </c>
      <c r="KL149" s="43">
        <f t="shared" si="631"/>
        <v>0</v>
      </c>
      <c r="KM149" s="43">
        <f t="shared" si="632"/>
        <v>0</v>
      </c>
      <c r="KN149" s="43">
        <f t="shared" si="633"/>
        <v>0</v>
      </c>
      <c r="KO149" s="43">
        <f t="shared" si="634"/>
        <v>0</v>
      </c>
      <c r="KP149" s="43">
        <f t="shared" si="635"/>
        <v>0</v>
      </c>
      <c r="KQ149" s="43">
        <f t="shared" si="636"/>
        <v>0</v>
      </c>
      <c r="KR149" s="43">
        <f t="shared" si="637"/>
        <v>541.48080000000004</v>
      </c>
      <c r="KS149" s="43">
        <f t="shared" si="638"/>
        <v>571.0282753131313</v>
      </c>
      <c r="KT149" s="43">
        <f t="shared" si="639"/>
        <v>0</v>
      </c>
      <c r="KU149" s="43">
        <f t="shared" si="640"/>
        <v>0</v>
      </c>
      <c r="KV149" s="43">
        <f t="shared" si="641"/>
        <v>0</v>
      </c>
      <c r="KW149" s="43">
        <f t="shared" si="642"/>
        <v>0</v>
      </c>
      <c r="KX149" s="43">
        <f t="shared" si="643"/>
        <v>0</v>
      </c>
      <c r="KY149" s="43">
        <f t="shared" si="644"/>
        <v>0</v>
      </c>
      <c r="KZ149" s="43">
        <f t="shared" si="645"/>
        <v>0</v>
      </c>
      <c r="LA149" s="43">
        <f t="shared" si="646"/>
        <v>582.15378359999988</v>
      </c>
      <c r="LB149" s="43">
        <f t="shared" si="647"/>
        <v>0</v>
      </c>
      <c r="LC149" s="43">
        <f t="shared" si="648"/>
        <v>0</v>
      </c>
      <c r="LD149" s="43">
        <f t="shared" si="649"/>
        <v>0</v>
      </c>
      <c r="LE149" s="43">
        <f t="shared" si="650"/>
        <v>0</v>
      </c>
      <c r="LF149" s="43">
        <f t="shared" si="651"/>
        <v>0</v>
      </c>
      <c r="LG149" s="43">
        <f t="shared" si="652"/>
        <v>0</v>
      </c>
      <c r="LH149" s="43">
        <f t="shared" si="653"/>
        <v>0</v>
      </c>
      <c r="LI149" s="43">
        <f t="shared" si="654"/>
        <v>0</v>
      </c>
      <c r="LJ149" s="43">
        <f t="shared" si="655"/>
        <v>0</v>
      </c>
      <c r="LK149" s="43">
        <f t="shared" si="656"/>
        <v>2582.186565</v>
      </c>
      <c r="LL149" s="43">
        <f t="shared" si="657"/>
        <v>0</v>
      </c>
      <c r="LM149" s="43">
        <f t="shared" si="658"/>
        <v>0</v>
      </c>
      <c r="LN149" s="43">
        <f t="shared" si="659"/>
        <v>0</v>
      </c>
      <c r="LO149" s="43">
        <f t="shared" si="660"/>
        <v>0</v>
      </c>
      <c r="LP149" s="43">
        <f t="shared" si="661"/>
        <v>84.668999999999983</v>
      </c>
      <c r="LQ149" s="28">
        <f t="shared" si="666"/>
        <v>6733.3061790202019</v>
      </c>
      <c r="LR149" s="65">
        <v>1642</v>
      </c>
      <c r="LS149" s="32">
        <f t="shared" si="462"/>
        <v>4.1006736778442159</v>
      </c>
      <c r="LT149" s="26">
        <f t="shared" si="463"/>
        <v>1.120402644219731</v>
      </c>
      <c r="LU149" s="31">
        <f t="shared" si="667"/>
        <v>28</v>
      </c>
      <c r="LW149" s="42"/>
      <c r="MA149" s="32">
        <f t="shared" si="668"/>
        <v>4.0319198676767671</v>
      </c>
      <c r="MB149" s="26">
        <f t="shared" si="464"/>
        <v>1.101617450184909</v>
      </c>
    </row>
    <row r="150" spans="1:340" ht="15.75" thickBot="1">
      <c r="A150" t="b">
        <f t="shared" si="662"/>
        <v>1</v>
      </c>
      <c r="B150" s="123" t="s">
        <v>337</v>
      </c>
      <c r="C150" s="39" t="s">
        <v>113</v>
      </c>
      <c r="D150"/>
      <c r="E150" s="97">
        <v>46050</v>
      </c>
      <c r="F150" t="s">
        <v>43</v>
      </c>
      <c r="G150" t="s">
        <v>20</v>
      </c>
      <c r="H150" t="s">
        <v>27</v>
      </c>
      <c r="I150" s="77"/>
      <c r="J150" s="77"/>
      <c r="K150" s="77"/>
      <c r="L150" s="22"/>
      <c r="M150" s="22"/>
      <c r="N150" s="98"/>
      <c r="O150" s="22"/>
      <c r="P150" s="22"/>
      <c r="Q150" s="22"/>
      <c r="R150" s="22"/>
      <c r="S150" s="104"/>
      <c r="T150" s="22"/>
      <c r="U150" s="22"/>
      <c r="V150" s="104"/>
      <c r="W150" s="22">
        <v>0.1</v>
      </c>
      <c r="X150" s="22"/>
      <c r="Y150" s="22"/>
      <c r="Z150" s="104"/>
      <c r="AA150" s="104"/>
      <c r="AB150" s="104"/>
      <c r="AC150" s="22"/>
      <c r="AD150" s="22"/>
      <c r="AE150" s="22"/>
      <c r="AF150" s="124"/>
      <c r="AG150" s="124"/>
      <c r="AH150" s="22"/>
      <c r="AI150" s="104"/>
      <c r="AJ150" s="22">
        <v>0.28000000000000003</v>
      </c>
      <c r="AK150" s="22"/>
      <c r="AL150" s="22"/>
      <c r="AM150" s="22"/>
      <c r="AN150" s="22"/>
      <c r="AO150" s="104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98"/>
      <c r="BB150" s="98"/>
      <c r="BC150" s="124">
        <v>0.62</v>
      </c>
      <c r="BD150" s="124"/>
      <c r="BE150" s="104"/>
      <c r="BF150" s="22"/>
      <c r="BG150" s="22"/>
      <c r="BH150" s="22"/>
      <c r="BI150" s="78">
        <f t="shared" si="678"/>
        <v>1</v>
      </c>
      <c r="BJ150" s="23"/>
      <c r="BK150" s="23"/>
      <c r="BL150" s="23"/>
      <c r="BM150" s="23"/>
      <c r="BN150" s="23"/>
      <c r="BO150" s="99"/>
      <c r="BP150" s="23"/>
      <c r="BQ150" s="23"/>
      <c r="BR150" s="23"/>
      <c r="BS150" s="23"/>
      <c r="BT150" s="105"/>
      <c r="BU150" s="23"/>
      <c r="BV150" s="23"/>
      <c r="BW150" s="105"/>
      <c r="BX150" s="23">
        <v>0.25</v>
      </c>
      <c r="BY150" s="23"/>
      <c r="BZ150" s="23"/>
      <c r="CA150" s="105"/>
      <c r="CB150" s="105"/>
      <c r="CC150" s="105"/>
      <c r="CD150" s="23"/>
      <c r="CE150" s="23"/>
      <c r="CF150" s="71"/>
      <c r="CG150" s="128"/>
      <c r="CH150" s="128"/>
      <c r="CI150" s="23"/>
      <c r="CJ150" s="23"/>
      <c r="CK150" s="105"/>
      <c r="CL150" s="23">
        <v>0.25</v>
      </c>
      <c r="CM150" s="23"/>
      <c r="CN150" s="23"/>
      <c r="CO150" s="23"/>
      <c r="CP150" s="105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B150" s="99"/>
      <c r="DC150" s="99"/>
      <c r="DD150" s="125">
        <v>0.5</v>
      </c>
      <c r="DE150" s="125"/>
      <c r="DF150" s="105"/>
      <c r="DG150" s="23"/>
      <c r="DH150" s="23"/>
      <c r="DI150" s="23"/>
      <c r="DJ150" s="79">
        <f t="shared" si="663"/>
        <v>1</v>
      </c>
      <c r="DK150" s="24"/>
      <c r="DL150" s="24"/>
      <c r="DM150" s="24"/>
      <c r="DN150" s="24">
        <v>0.69</v>
      </c>
      <c r="DO150" s="24"/>
      <c r="DP150" s="103"/>
      <c r="DQ150" s="24"/>
      <c r="DR150" s="24"/>
      <c r="DS150" s="24"/>
      <c r="DT150" s="24"/>
      <c r="DU150" s="108"/>
      <c r="DV150" s="24"/>
      <c r="DW150" s="24"/>
      <c r="DX150" s="108"/>
      <c r="DY150" s="24"/>
      <c r="DZ150" s="24"/>
      <c r="EA150" s="24"/>
      <c r="EB150" s="108"/>
      <c r="EC150" s="108"/>
      <c r="ED150" s="108"/>
      <c r="EE150" s="24"/>
      <c r="EF150" s="24"/>
      <c r="EG150" s="24"/>
      <c r="EH150" s="129"/>
      <c r="EI150" s="129"/>
      <c r="EJ150" s="24"/>
      <c r="EK150" s="24"/>
      <c r="EL150" s="24"/>
      <c r="EM150" s="24"/>
      <c r="EN150" s="24"/>
      <c r="EO150" s="24"/>
      <c r="EP150" s="24"/>
      <c r="EQ150" s="108"/>
      <c r="ER150" s="24"/>
      <c r="ES150" s="25"/>
      <c r="ET150" s="25"/>
      <c r="EU150" s="25">
        <v>0.28999999999999998</v>
      </c>
      <c r="EV150" s="25"/>
      <c r="EW150" s="25"/>
      <c r="EX150" s="25"/>
      <c r="EY150" s="25"/>
      <c r="EZ150" s="25"/>
      <c r="FA150" s="25"/>
      <c r="FB150" s="25"/>
      <c r="FC150" s="100"/>
      <c r="FD150" s="100"/>
      <c r="FE150" s="126"/>
      <c r="FF150" s="126"/>
      <c r="FG150" s="106"/>
      <c r="FH150" s="25"/>
      <c r="FI150" s="25"/>
      <c r="FJ150" s="25">
        <v>0.02</v>
      </c>
      <c r="FK150" s="17">
        <f>SUM(DK150:FJ150)</f>
        <v>1</v>
      </c>
      <c r="FL150" s="18"/>
      <c r="FM150" s="19">
        <f t="shared" si="505"/>
        <v>0</v>
      </c>
      <c r="FN150" s="19">
        <f t="shared" si="506"/>
        <v>0</v>
      </c>
      <c r="FO150" s="19">
        <f t="shared" si="507"/>
        <v>0</v>
      </c>
      <c r="FP150" s="19">
        <f t="shared" si="508"/>
        <v>1.0349999999999999</v>
      </c>
      <c r="FQ150" s="19">
        <f t="shared" si="509"/>
        <v>0</v>
      </c>
      <c r="FR150" s="19">
        <f t="shared" si="510"/>
        <v>0</v>
      </c>
      <c r="FS150" s="19">
        <f t="shared" si="511"/>
        <v>0</v>
      </c>
      <c r="FT150" s="19">
        <f t="shared" si="512"/>
        <v>0</v>
      </c>
      <c r="FU150" s="19">
        <f t="shared" si="513"/>
        <v>0</v>
      </c>
      <c r="FV150" s="19">
        <f t="shared" si="514"/>
        <v>0</v>
      </c>
      <c r="FW150" s="19">
        <f t="shared" si="515"/>
        <v>0</v>
      </c>
      <c r="FX150" s="19">
        <f t="shared" si="516"/>
        <v>0</v>
      </c>
      <c r="FY150" s="19">
        <f t="shared" si="517"/>
        <v>0</v>
      </c>
      <c r="FZ150" s="19">
        <f t="shared" si="518"/>
        <v>0</v>
      </c>
      <c r="GA150" s="19">
        <f t="shared" si="519"/>
        <v>0.65</v>
      </c>
      <c r="GB150" s="19">
        <f t="shared" si="520"/>
        <v>0</v>
      </c>
      <c r="GC150" s="19">
        <f t="shared" si="521"/>
        <v>0</v>
      </c>
      <c r="GD150" s="19">
        <f t="shared" si="522"/>
        <v>0</v>
      </c>
      <c r="GE150" s="19">
        <f t="shared" si="523"/>
        <v>0</v>
      </c>
      <c r="GF150" s="19">
        <f t="shared" si="524"/>
        <v>0</v>
      </c>
      <c r="GG150" s="19">
        <f t="shared" si="525"/>
        <v>0</v>
      </c>
      <c r="GH150" s="19">
        <f t="shared" si="526"/>
        <v>0</v>
      </c>
      <c r="GI150" s="19">
        <f t="shared" si="527"/>
        <v>0</v>
      </c>
      <c r="GJ150" s="19">
        <f t="shared" si="528"/>
        <v>0</v>
      </c>
      <c r="GK150" s="19">
        <f t="shared" si="529"/>
        <v>0</v>
      </c>
      <c r="GL150" s="19">
        <f t="shared" si="530"/>
        <v>0</v>
      </c>
      <c r="GM150" s="19">
        <f t="shared" si="531"/>
        <v>0</v>
      </c>
      <c r="GN150" s="19">
        <f t="shared" si="532"/>
        <v>0.42000000000000004</v>
      </c>
      <c r="GO150" s="19">
        <f t="shared" si="533"/>
        <v>0.5</v>
      </c>
      <c r="GP150" s="19">
        <f t="shared" si="534"/>
        <v>0</v>
      </c>
      <c r="GQ150" s="19">
        <f t="shared" si="535"/>
        <v>0</v>
      </c>
      <c r="GR150" s="19">
        <f t="shared" si="536"/>
        <v>0</v>
      </c>
      <c r="GS150" s="19">
        <f t="shared" si="537"/>
        <v>0</v>
      </c>
      <c r="GT150" s="19">
        <f t="shared" si="538"/>
        <v>0</v>
      </c>
      <c r="GU150" s="19">
        <f t="shared" si="539"/>
        <v>0</v>
      </c>
      <c r="GV150" s="19">
        <f t="shared" si="540"/>
        <v>0</v>
      </c>
      <c r="GW150" s="19">
        <f t="shared" si="541"/>
        <v>0.43499999999999994</v>
      </c>
      <c r="GX150" s="19">
        <f t="shared" si="542"/>
        <v>0</v>
      </c>
      <c r="GY150" s="19">
        <f t="shared" si="543"/>
        <v>0</v>
      </c>
      <c r="GZ150" s="19">
        <f t="shared" si="544"/>
        <v>0</v>
      </c>
      <c r="HA150" s="19">
        <f t="shared" si="545"/>
        <v>0</v>
      </c>
      <c r="HB150" s="19">
        <f t="shared" si="546"/>
        <v>0</v>
      </c>
      <c r="HC150" s="19">
        <f t="shared" si="547"/>
        <v>0</v>
      </c>
      <c r="HD150" s="19">
        <f t="shared" si="548"/>
        <v>0</v>
      </c>
      <c r="HE150" s="19">
        <f t="shared" si="549"/>
        <v>0</v>
      </c>
      <c r="HF150" s="19">
        <f t="shared" si="550"/>
        <v>0</v>
      </c>
      <c r="HG150" s="19">
        <f t="shared" si="551"/>
        <v>1.93</v>
      </c>
      <c r="HH150" s="19">
        <f t="shared" si="552"/>
        <v>0</v>
      </c>
      <c r="HI150" s="19">
        <f t="shared" si="553"/>
        <v>0</v>
      </c>
      <c r="HJ150" s="19">
        <f t="shared" si="554"/>
        <v>0</v>
      </c>
      <c r="HK150" s="19">
        <f t="shared" si="555"/>
        <v>0</v>
      </c>
      <c r="HL150" s="19">
        <f t="shared" si="556"/>
        <v>0.03</v>
      </c>
      <c r="HM150" s="20">
        <f t="shared" si="557"/>
        <v>5</v>
      </c>
      <c r="HN150" s="53">
        <v>752</v>
      </c>
      <c r="HO150" s="21">
        <f t="shared" si="558"/>
        <v>0</v>
      </c>
      <c r="HP150" s="21">
        <f t="shared" si="559"/>
        <v>0</v>
      </c>
      <c r="HQ150" s="21">
        <f t="shared" si="560"/>
        <v>0</v>
      </c>
      <c r="HR150" s="21">
        <f t="shared" si="561"/>
        <v>155.66399999999999</v>
      </c>
      <c r="HS150" s="21">
        <f t="shared" si="562"/>
        <v>0</v>
      </c>
      <c r="HT150" s="69">
        <f t="shared" si="563"/>
        <v>0</v>
      </c>
      <c r="HU150" s="21">
        <f t="shared" si="564"/>
        <v>0</v>
      </c>
      <c r="HV150" s="21">
        <f t="shared" si="565"/>
        <v>0</v>
      </c>
      <c r="HW150" s="21">
        <f t="shared" si="566"/>
        <v>0</v>
      </c>
      <c r="HX150" s="21">
        <f t="shared" si="567"/>
        <v>0</v>
      </c>
      <c r="HY150" s="21">
        <f t="shared" si="568"/>
        <v>0</v>
      </c>
      <c r="HZ150" s="21">
        <f t="shared" si="569"/>
        <v>0</v>
      </c>
      <c r="IA150" s="21">
        <f t="shared" si="570"/>
        <v>0</v>
      </c>
      <c r="IB150" s="21">
        <f t="shared" si="571"/>
        <v>0</v>
      </c>
      <c r="IC150" s="21">
        <f t="shared" si="572"/>
        <v>97.76</v>
      </c>
      <c r="ID150" s="21">
        <f t="shared" si="573"/>
        <v>0</v>
      </c>
      <c r="IE150" s="21">
        <f t="shared" si="574"/>
        <v>0</v>
      </c>
      <c r="IF150" s="69">
        <f t="shared" si="575"/>
        <v>0</v>
      </c>
      <c r="IG150" s="69">
        <f t="shared" si="576"/>
        <v>0</v>
      </c>
      <c r="IH150" s="69">
        <f t="shared" si="577"/>
        <v>0</v>
      </c>
      <c r="II150" s="21">
        <f t="shared" si="578"/>
        <v>0</v>
      </c>
      <c r="IJ150" s="21">
        <f t="shared" si="579"/>
        <v>0</v>
      </c>
      <c r="IK150" s="21">
        <f t="shared" si="580"/>
        <v>0</v>
      </c>
      <c r="IL150" s="21">
        <f t="shared" si="581"/>
        <v>0</v>
      </c>
      <c r="IM150" s="21">
        <f t="shared" si="582"/>
        <v>0</v>
      </c>
      <c r="IN150" s="21">
        <f t="shared" si="583"/>
        <v>0</v>
      </c>
      <c r="IO150" s="21">
        <f t="shared" si="584"/>
        <v>0</v>
      </c>
      <c r="IP150" s="21">
        <f t="shared" si="585"/>
        <v>63.168000000000006</v>
      </c>
      <c r="IQ150" s="21">
        <f t="shared" si="586"/>
        <v>75.2</v>
      </c>
      <c r="IR150" s="21">
        <f t="shared" si="587"/>
        <v>0</v>
      </c>
      <c r="IS150" s="21">
        <f t="shared" si="588"/>
        <v>0</v>
      </c>
      <c r="IT150" s="21">
        <f t="shared" si="589"/>
        <v>0</v>
      </c>
      <c r="IU150" s="21">
        <f t="shared" si="590"/>
        <v>0</v>
      </c>
      <c r="IV150" s="21">
        <f t="shared" si="591"/>
        <v>0</v>
      </c>
      <c r="IW150" s="21">
        <f t="shared" si="592"/>
        <v>0</v>
      </c>
      <c r="IX150" s="21">
        <f t="shared" si="593"/>
        <v>0</v>
      </c>
      <c r="IY150" s="21">
        <f t="shared" si="594"/>
        <v>65.423999999999992</v>
      </c>
      <c r="IZ150" s="21">
        <f t="shared" si="595"/>
        <v>0</v>
      </c>
      <c r="JA150" s="21">
        <f t="shared" si="596"/>
        <v>0</v>
      </c>
      <c r="JB150" s="21">
        <f t="shared" si="597"/>
        <v>0</v>
      </c>
      <c r="JC150" s="21">
        <f t="shared" si="598"/>
        <v>0</v>
      </c>
      <c r="JD150" s="21">
        <f t="shared" si="599"/>
        <v>0</v>
      </c>
      <c r="JE150" s="21">
        <f t="shared" si="600"/>
        <v>0</v>
      </c>
      <c r="JF150" s="21">
        <f t="shared" si="601"/>
        <v>0</v>
      </c>
      <c r="JG150" s="21">
        <f t="shared" si="602"/>
        <v>0</v>
      </c>
      <c r="JH150" s="21">
        <f t="shared" si="603"/>
        <v>0</v>
      </c>
      <c r="JI150" s="21">
        <f t="shared" si="604"/>
        <v>290.27199999999999</v>
      </c>
      <c r="JJ150" s="21">
        <f t="shared" si="605"/>
        <v>0</v>
      </c>
      <c r="JK150" s="21">
        <f t="shared" si="606"/>
        <v>0</v>
      </c>
      <c r="JL150" s="21">
        <f t="shared" si="607"/>
        <v>0</v>
      </c>
      <c r="JM150" s="21">
        <f t="shared" si="608"/>
        <v>0</v>
      </c>
      <c r="JN150" s="21">
        <f t="shared" si="609"/>
        <v>4.5119999999999996</v>
      </c>
      <c r="JO150" s="35">
        <f t="shared" si="664"/>
        <v>751.99999999999989</v>
      </c>
      <c r="JP150" s="38">
        <f t="shared" si="665"/>
        <v>0</v>
      </c>
      <c r="JQ150" s="43">
        <f t="shared" si="610"/>
        <v>0</v>
      </c>
      <c r="JR150" s="43">
        <f t="shared" si="611"/>
        <v>0</v>
      </c>
      <c r="JS150" s="43">
        <f t="shared" si="612"/>
        <v>0</v>
      </c>
      <c r="JT150" s="43">
        <f t="shared" si="613"/>
        <v>669.49841088000005</v>
      </c>
      <c r="JU150" s="43">
        <f t="shared" si="614"/>
        <v>0</v>
      </c>
      <c r="JV150" s="43">
        <f t="shared" si="615"/>
        <v>0</v>
      </c>
      <c r="JW150" s="43">
        <f t="shared" si="616"/>
        <v>0</v>
      </c>
      <c r="JX150" s="43">
        <f t="shared" si="617"/>
        <v>0</v>
      </c>
      <c r="JY150" s="43">
        <f t="shared" si="618"/>
        <v>0</v>
      </c>
      <c r="JZ150" s="43">
        <f t="shared" si="619"/>
        <v>0</v>
      </c>
      <c r="KA150" s="43">
        <f t="shared" si="620"/>
        <v>0</v>
      </c>
      <c r="KB150" s="43">
        <f t="shared" si="621"/>
        <v>0</v>
      </c>
      <c r="KC150" s="43">
        <f t="shared" si="622"/>
        <v>0</v>
      </c>
      <c r="KD150" s="43">
        <f t="shared" si="623"/>
        <v>0</v>
      </c>
      <c r="KE150" s="43">
        <f t="shared" si="624"/>
        <v>398.51619501252526</v>
      </c>
      <c r="KF150" s="43">
        <f t="shared" si="625"/>
        <v>0</v>
      </c>
      <c r="KG150" s="43">
        <f t="shared" si="626"/>
        <v>0</v>
      </c>
      <c r="KH150" s="43">
        <f t="shared" si="627"/>
        <v>0</v>
      </c>
      <c r="KI150" s="43">
        <f t="shared" si="628"/>
        <v>0</v>
      </c>
      <c r="KJ150" s="43">
        <f t="shared" si="629"/>
        <v>0</v>
      </c>
      <c r="KK150" s="43">
        <f t="shared" si="630"/>
        <v>0</v>
      </c>
      <c r="KL150" s="43">
        <f t="shared" si="631"/>
        <v>0</v>
      </c>
      <c r="KM150" s="43">
        <f t="shared" si="632"/>
        <v>0</v>
      </c>
      <c r="KN150" s="43">
        <f t="shared" si="633"/>
        <v>0</v>
      </c>
      <c r="KO150" s="43">
        <f t="shared" si="634"/>
        <v>0</v>
      </c>
      <c r="KP150" s="43">
        <f t="shared" si="635"/>
        <v>0</v>
      </c>
      <c r="KQ150" s="43">
        <f t="shared" si="636"/>
        <v>0</v>
      </c>
      <c r="KR150" s="43">
        <f t="shared" si="637"/>
        <v>243.82848000000001</v>
      </c>
      <c r="KS150" s="43">
        <f t="shared" si="638"/>
        <v>257.13369044040405</v>
      </c>
      <c r="KT150" s="43">
        <f t="shared" si="639"/>
        <v>0</v>
      </c>
      <c r="KU150" s="43">
        <f t="shared" si="640"/>
        <v>0</v>
      </c>
      <c r="KV150" s="43">
        <f t="shared" si="641"/>
        <v>0</v>
      </c>
      <c r="KW150" s="43">
        <f t="shared" si="642"/>
        <v>0</v>
      </c>
      <c r="KX150" s="43">
        <f t="shared" si="643"/>
        <v>0</v>
      </c>
      <c r="KY150" s="43">
        <f t="shared" si="644"/>
        <v>0</v>
      </c>
      <c r="KZ150" s="43">
        <f t="shared" si="645"/>
        <v>0</v>
      </c>
      <c r="LA150" s="43">
        <f t="shared" si="646"/>
        <v>262.14350015999992</v>
      </c>
      <c r="LB150" s="43">
        <f t="shared" si="647"/>
        <v>0</v>
      </c>
      <c r="LC150" s="43">
        <f t="shared" si="648"/>
        <v>0</v>
      </c>
      <c r="LD150" s="43">
        <f t="shared" si="649"/>
        <v>0</v>
      </c>
      <c r="LE150" s="43">
        <f t="shared" si="650"/>
        <v>0</v>
      </c>
      <c r="LF150" s="43">
        <f t="shared" si="651"/>
        <v>0</v>
      </c>
      <c r="LG150" s="43">
        <f t="shared" si="652"/>
        <v>0</v>
      </c>
      <c r="LH150" s="43">
        <f t="shared" si="653"/>
        <v>0</v>
      </c>
      <c r="LI150" s="43">
        <f t="shared" si="654"/>
        <v>0</v>
      </c>
      <c r="LJ150" s="43">
        <f t="shared" si="655"/>
        <v>0</v>
      </c>
      <c r="LK150" s="43">
        <f t="shared" si="656"/>
        <v>1162.7570639999999</v>
      </c>
      <c r="LL150" s="43">
        <f t="shared" si="657"/>
        <v>0</v>
      </c>
      <c r="LM150" s="43">
        <f t="shared" si="658"/>
        <v>0</v>
      </c>
      <c r="LN150" s="43">
        <f t="shared" si="659"/>
        <v>0</v>
      </c>
      <c r="LO150" s="43">
        <f t="shared" si="660"/>
        <v>0</v>
      </c>
      <c r="LP150" s="43">
        <f t="shared" si="661"/>
        <v>38.12639999999999</v>
      </c>
      <c r="LQ150" s="28">
        <f t="shared" si="666"/>
        <v>3032.0037404929294</v>
      </c>
      <c r="LR150" s="65">
        <v>706</v>
      </c>
      <c r="LS150" s="32">
        <f t="shared" ref="LS150:LS156" si="679">LQ150/LR150</f>
        <v>4.2946228618880022</v>
      </c>
      <c r="LT150" s="26">
        <f t="shared" ref="LT150:LT156" si="680">LS150/3.66</f>
        <v>1.1733942245595634</v>
      </c>
      <c r="LU150" s="31">
        <f t="shared" si="667"/>
        <v>46</v>
      </c>
      <c r="LW150" s="42"/>
      <c r="MA150" s="32">
        <f t="shared" si="668"/>
        <v>4.031919867676768</v>
      </c>
      <c r="MB150" s="26">
        <f t="shared" ref="MB150:MB156" si="681">MA150/3.66</f>
        <v>1.1016174501849092</v>
      </c>
    </row>
    <row r="151" spans="1:340" ht="15.75" thickBot="1">
      <c r="A151" t="b">
        <f t="shared" si="662"/>
        <v>1</v>
      </c>
      <c r="B151" s="123" t="s">
        <v>338</v>
      </c>
      <c r="C151" s="39" t="s">
        <v>339</v>
      </c>
      <c r="D151"/>
      <c r="E151" s="97">
        <v>46048</v>
      </c>
      <c r="F151" t="s">
        <v>43</v>
      </c>
      <c r="G151" t="s">
        <v>20</v>
      </c>
      <c r="H151" t="s">
        <v>27</v>
      </c>
      <c r="I151" s="77"/>
      <c r="J151" s="77"/>
      <c r="K151" s="77"/>
      <c r="L151" s="22"/>
      <c r="M151" s="22"/>
      <c r="N151" s="98"/>
      <c r="O151" s="22"/>
      <c r="P151" s="22"/>
      <c r="Q151" s="22"/>
      <c r="R151" s="22"/>
      <c r="S151" s="104"/>
      <c r="T151" s="22"/>
      <c r="U151" s="22"/>
      <c r="V151" s="104"/>
      <c r="W151" s="22"/>
      <c r="X151" s="22"/>
      <c r="Y151" s="22"/>
      <c r="Z151" s="104"/>
      <c r="AA151" s="104"/>
      <c r="AB151" s="104"/>
      <c r="AC151" s="22"/>
      <c r="AD151" s="22"/>
      <c r="AE151" s="22"/>
      <c r="AF151" s="124"/>
      <c r="AG151" s="124"/>
      <c r="AH151" s="22"/>
      <c r="AI151" s="104"/>
      <c r="AJ151" s="22"/>
      <c r="AK151" s="22">
        <v>0.5</v>
      </c>
      <c r="AL151" s="22"/>
      <c r="AM151" s="22"/>
      <c r="AN151" s="22"/>
      <c r="AO151" s="104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98"/>
      <c r="BB151" s="98"/>
      <c r="BC151" s="124">
        <v>0.5</v>
      </c>
      <c r="BD151" s="124"/>
      <c r="BE151" s="104"/>
      <c r="BF151" s="22"/>
      <c r="BG151" s="22"/>
      <c r="BH151" s="22"/>
      <c r="BI151" s="78">
        <f t="shared" ref="BI151:BI156" si="682">SUM(I151:BH151)</f>
        <v>1</v>
      </c>
      <c r="BJ151" s="23"/>
      <c r="BK151" s="23"/>
      <c r="BL151" s="23"/>
      <c r="BM151" s="23"/>
      <c r="BN151" s="23"/>
      <c r="BO151" s="99"/>
      <c r="BP151" s="23"/>
      <c r="BQ151" s="23"/>
      <c r="BR151" s="23"/>
      <c r="BS151" s="23"/>
      <c r="BT151" s="105"/>
      <c r="BU151" s="23"/>
      <c r="BV151" s="23"/>
      <c r="BW151" s="105"/>
      <c r="BX151" s="23"/>
      <c r="BY151" s="23"/>
      <c r="BZ151" s="23"/>
      <c r="CA151" s="105"/>
      <c r="CB151" s="105"/>
      <c r="CC151" s="105"/>
      <c r="CD151" s="23"/>
      <c r="CE151" s="23"/>
      <c r="CF151" s="71"/>
      <c r="CG151" s="128"/>
      <c r="CH151" s="128"/>
      <c r="CI151" s="23"/>
      <c r="CJ151" s="23"/>
      <c r="CK151" s="23"/>
      <c r="CL151" s="23">
        <v>0.3</v>
      </c>
      <c r="CM151" s="23"/>
      <c r="CN151" s="23"/>
      <c r="CO151" s="23"/>
      <c r="CP151" s="105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B151" s="99"/>
      <c r="DC151" s="99"/>
      <c r="DD151" s="125">
        <v>0.7</v>
      </c>
      <c r="DE151" s="125"/>
      <c r="DF151" s="105"/>
      <c r="DG151" s="23"/>
      <c r="DH151" s="23"/>
      <c r="DI151" s="23"/>
      <c r="DJ151" s="79">
        <f t="shared" si="663"/>
        <v>1</v>
      </c>
      <c r="DK151" s="24"/>
      <c r="DL151" s="24"/>
      <c r="DM151" s="24"/>
      <c r="DN151" s="24"/>
      <c r="DO151" s="24"/>
      <c r="DP151" s="103"/>
      <c r="DQ151" s="24"/>
      <c r="DR151" s="24"/>
      <c r="DS151" s="24"/>
      <c r="DT151" s="24"/>
      <c r="DU151" s="108"/>
      <c r="DV151" s="24"/>
      <c r="DW151" s="24"/>
      <c r="DX151" s="108"/>
      <c r="DY151" s="24"/>
      <c r="DZ151" s="24"/>
      <c r="EA151" s="24"/>
      <c r="EB151" s="108"/>
      <c r="EC151" s="108"/>
      <c r="ED151" s="108"/>
      <c r="EE151" s="24"/>
      <c r="EF151" s="24"/>
      <c r="EG151" s="24"/>
      <c r="EH151" s="129"/>
      <c r="EI151" s="129"/>
      <c r="EJ151" s="24"/>
      <c r="EK151" s="24"/>
      <c r="EL151" s="24"/>
      <c r="EM151" s="24">
        <v>0.3</v>
      </c>
      <c r="EN151" s="24"/>
      <c r="EO151" s="24"/>
      <c r="EP151" s="24"/>
      <c r="EQ151" s="108"/>
      <c r="ER151" s="24"/>
      <c r="ES151" s="25"/>
      <c r="ET151" s="25"/>
      <c r="EU151" s="25"/>
      <c r="EV151" s="25"/>
      <c r="EW151" s="25"/>
      <c r="EX151" s="25"/>
      <c r="EY151" s="25"/>
      <c r="EZ151" s="25"/>
      <c r="FA151" s="25"/>
      <c r="FB151" s="25"/>
      <c r="FC151" s="100"/>
      <c r="FD151" s="100"/>
      <c r="FE151" s="126">
        <v>0.7</v>
      </c>
      <c r="FF151" s="126"/>
      <c r="FG151" s="106"/>
      <c r="FH151" s="25"/>
      <c r="FI151" s="25"/>
      <c r="FJ151" s="25"/>
      <c r="FK151" s="17">
        <f t="shared" ref="FK151:FK156" si="683">SUM(DK151:FJ151)</f>
        <v>1</v>
      </c>
      <c r="FL151" s="18"/>
      <c r="FM151" s="19">
        <f t="shared" si="505"/>
        <v>0</v>
      </c>
      <c r="FN151" s="19">
        <f t="shared" si="506"/>
        <v>0</v>
      </c>
      <c r="FO151" s="19">
        <f t="shared" si="507"/>
        <v>0</v>
      </c>
      <c r="FP151" s="19">
        <f t="shared" si="508"/>
        <v>0</v>
      </c>
      <c r="FQ151" s="19">
        <f t="shared" si="509"/>
        <v>0</v>
      </c>
      <c r="FR151" s="19">
        <f t="shared" si="510"/>
        <v>0</v>
      </c>
      <c r="FS151" s="19">
        <f t="shared" si="511"/>
        <v>0</v>
      </c>
      <c r="FT151" s="19">
        <f t="shared" si="512"/>
        <v>0</v>
      </c>
      <c r="FU151" s="19">
        <f t="shared" si="513"/>
        <v>0</v>
      </c>
      <c r="FV151" s="19">
        <f t="shared" si="514"/>
        <v>0</v>
      </c>
      <c r="FW151" s="19">
        <f t="shared" si="515"/>
        <v>0</v>
      </c>
      <c r="FX151" s="19">
        <f t="shared" si="516"/>
        <v>0</v>
      </c>
      <c r="FY151" s="19">
        <f t="shared" si="517"/>
        <v>0</v>
      </c>
      <c r="FZ151" s="19">
        <f t="shared" si="518"/>
        <v>0</v>
      </c>
      <c r="GA151" s="19">
        <f t="shared" si="519"/>
        <v>0</v>
      </c>
      <c r="GB151" s="19">
        <f t="shared" si="520"/>
        <v>0</v>
      </c>
      <c r="GC151" s="19">
        <f t="shared" si="521"/>
        <v>0</v>
      </c>
      <c r="GD151" s="19">
        <f t="shared" si="522"/>
        <v>0</v>
      </c>
      <c r="GE151" s="19">
        <f t="shared" si="523"/>
        <v>0</v>
      </c>
      <c r="GF151" s="19">
        <f t="shared" si="524"/>
        <v>0</v>
      </c>
      <c r="GG151" s="19">
        <f t="shared" si="525"/>
        <v>0</v>
      </c>
      <c r="GH151" s="19">
        <f t="shared" si="526"/>
        <v>0</v>
      </c>
      <c r="GI151" s="19">
        <f t="shared" si="527"/>
        <v>0</v>
      </c>
      <c r="GJ151" s="19">
        <f t="shared" si="528"/>
        <v>0</v>
      </c>
      <c r="GK151" s="19">
        <f t="shared" si="529"/>
        <v>0</v>
      </c>
      <c r="GL151" s="19">
        <f t="shared" si="530"/>
        <v>0</v>
      </c>
      <c r="GM151" s="19">
        <f t="shared" si="531"/>
        <v>0</v>
      </c>
      <c r="GN151" s="19">
        <f t="shared" si="532"/>
        <v>0</v>
      </c>
      <c r="GO151" s="19">
        <f t="shared" si="533"/>
        <v>1.8</v>
      </c>
      <c r="GP151" s="19">
        <f t="shared" si="534"/>
        <v>0</v>
      </c>
      <c r="GQ151" s="19">
        <f t="shared" si="535"/>
        <v>0</v>
      </c>
      <c r="GR151" s="19">
        <f t="shared" si="536"/>
        <v>0</v>
      </c>
      <c r="GS151" s="19">
        <f t="shared" si="537"/>
        <v>0</v>
      </c>
      <c r="GT151" s="19">
        <f t="shared" si="538"/>
        <v>0</v>
      </c>
      <c r="GU151" s="19">
        <f t="shared" si="539"/>
        <v>0</v>
      </c>
      <c r="GV151" s="19">
        <f t="shared" si="540"/>
        <v>0</v>
      </c>
      <c r="GW151" s="19">
        <f t="shared" si="541"/>
        <v>0</v>
      </c>
      <c r="GX151" s="19">
        <f t="shared" si="542"/>
        <v>0</v>
      </c>
      <c r="GY151" s="19">
        <f t="shared" si="543"/>
        <v>0</v>
      </c>
      <c r="GZ151" s="19">
        <f t="shared" si="544"/>
        <v>0</v>
      </c>
      <c r="HA151" s="19">
        <f t="shared" si="545"/>
        <v>0</v>
      </c>
      <c r="HB151" s="19">
        <f t="shared" si="546"/>
        <v>0</v>
      </c>
      <c r="HC151" s="19">
        <f t="shared" si="547"/>
        <v>0</v>
      </c>
      <c r="HD151" s="19">
        <f t="shared" si="548"/>
        <v>0</v>
      </c>
      <c r="HE151" s="19">
        <f t="shared" si="549"/>
        <v>0</v>
      </c>
      <c r="HF151" s="19">
        <f t="shared" si="550"/>
        <v>0</v>
      </c>
      <c r="HG151" s="19">
        <f t="shared" si="551"/>
        <v>3.1999999999999997</v>
      </c>
      <c r="HH151" s="19">
        <f t="shared" si="552"/>
        <v>0</v>
      </c>
      <c r="HI151" s="19">
        <f t="shared" si="553"/>
        <v>0</v>
      </c>
      <c r="HJ151" s="19">
        <f t="shared" si="554"/>
        <v>0</v>
      </c>
      <c r="HK151" s="19">
        <f t="shared" si="555"/>
        <v>0</v>
      </c>
      <c r="HL151" s="19">
        <f t="shared" si="556"/>
        <v>0</v>
      </c>
      <c r="HM151" s="20">
        <f t="shared" si="557"/>
        <v>5</v>
      </c>
      <c r="HN151" s="53">
        <v>8995</v>
      </c>
      <c r="HO151" s="21">
        <f t="shared" si="558"/>
        <v>0</v>
      </c>
      <c r="HP151" s="21">
        <f t="shared" si="559"/>
        <v>0</v>
      </c>
      <c r="HQ151" s="21">
        <f t="shared" si="560"/>
        <v>0</v>
      </c>
      <c r="HR151" s="21">
        <f t="shared" si="561"/>
        <v>0</v>
      </c>
      <c r="HS151" s="21">
        <f t="shared" si="562"/>
        <v>0</v>
      </c>
      <c r="HT151" s="69">
        <f t="shared" si="563"/>
        <v>0</v>
      </c>
      <c r="HU151" s="21">
        <f t="shared" si="564"/>
        <v>0</v>
      </c>
      <c r="HV151" s="21">
        <f t="shared" si="565"/>
        <v>0</v>
      </c>
      <c r="HW151" s="21">
        <f t="shared" si="566"/>
        <v>0</v>
      </c>
      <c r="HX151" s="21">
        <f t="shared" si="567"/>
        <v>0</v>
      </c>
      <c r="HY151" s="21">
        <f t="shared" si="568"/>
        <v>0</v>
      </c>
      <c r="HZ151" s="21">
        <f t="shared" si="569"/>
        <v>0</v>
      </c>
      <c r="IA151" s="21">
        <f t="shared" si="570"/>
        <v>0</v>
      </c>
      <c r="IB151" s="21">
        <f t="shared" si="571"/>
        <v>0</v>
      </c>
      <c r="IC151" s="21">
        <f t="shared" si="572"/>
        <v>0</v>
      </c>
      <c r="ID151" s="21">
        <f t="shared" si="573"/>
        <v>0</v>
      </c>
      <c r="IE151" s="21">
        <f t="shared" si="574"/>
        <v>0</v>
      </c>
      <c r="IF151" s="69">
        <f t="shared" si="575"/>
        <v>0</v>
      </c>
      <c r="IG151" s="69">
        <f t="shared" si="576"/>
        <v>0</v>
      </c>
      <c r="IH151" s="69">
        <f t="shared" si="577"/>
        <v>0</v>
      </c>
      <c r="II151" s="21">
        <f t="shared" si="578"/>
        <v>0</v>
      </c>
      <c r="IJ151" s="21">
        <f t="shared" si="579"/>
        <v>0</v>
      </c>
      <c r="IK151" s="21">
        <f t="shared" si="580"/>
        <v>0</v>
      </c>
      <c r="IL151" s="21">
        <f t="shared" si="581"/>
        <v>0</v>
      </c>
      <c r="IM151" s="21">
        <f t="shared" si="582"/>
        <v>0</v>
      </c>
      <c r="IN151" s="21">
        <f t="shared" si="583"/>
        <v>0</v>
      </c>
      <c r="IO151" s="21">
        <f t="shared" si="584"/>
        <v>0</v>
      </c>
      <c r="IP151" s="21">
        <f t="shared" si="585"/>
        <v>0</v>
      </c>
      <c r="IQ151" s="21">
        <f t="shared" si="586"/>
        <v>3238.2</v>
      </c>
      <c r="IR151" s="21">
        <f t="shared" si="587"/>
        <v>0</v>
      </c>
      <c r="IS151" s="21">
        <f t="shared" si="588"/>
        <v>0</v>
      </c>
      <c r="IT151" s="21">
        <f t="shared" si="589"/>
        <v>0</v>
      </c>
      <c r="IU151" s="21">
        <f t="shared" si="590"/>
        <v>0</v>
      </c>
      <c r="IV151" s="21">
        <f t="shared" si="591"/>
        <v>0</v>
      </c>
      <c r="IW151" s="21">
        <f t="shared" si="592"/>
        <v>0</v>
      </c>
      <c r="IX151" s="21">
        <f t="shared" si="593"/>
        <v>0</v>
      </c>
      <c r="IY151" s="21">
        <f t="shared" si="594"/>
        <v>0</v>
      </c>
      <c r="IZ151" s="21">
        <f t="shared" si="595"/>
        <v>0</v>
      </c>
      <c r="JA151" s="21">
        <f t="shared" si="596"/>
        <v>0</v>
      </c>
      <c r="JB151" s="21">
        <f t="shared" si="597"/>
        <v>0</v>
      </c>
      <c r="JC151" s="21">
        <f t="shared" si="598"/>
        <v>0</v>
      </c>
      <c r="JD151" s="21">
        <f t="shared" si="599"/>
        <v>0</v>
      </c>
      <c r="JE151" s="21">
        <f t="shared" si="600"/>
        <v>0</v>
      </c>
      <c r="JF151" s="21">
        <f t="shared" si="601"/>
        <v>0</v>
      </c>
      <c r="JG151" s="21">
        <f t="shared" si="602"/>
        <v>0</v>
      </c>
      <c r="JH151" s="21">
        <f t="shared" si="603"/>
        <v>0</v>
      </c>
      <c r="JI151" s="21">
        <f t="shared" si="604"/>
        <v>5756.7999999999993</v>
      </c>
      <c r="JJ151" s="21">
        <f t="shared" si="605"/>
        <v>0</v>
      </c>
      <c r="JK151" s="21">
        <f t="shared" si="606"/>
        <v>0</v>
      </c>
      <c r="JL151" s="21">
        <f t="shared" si="607"/>
        <v>0</v>
      </c>
      <c r="JM151" s="21">
        <f t="shared" si="608"/>
        <v>0</v>
      </c>
      <c r="JN151" s="21">
        <f t="shared" si="609"/>
        <v>0</v>
      </c>
      <c r="JO151" s="35">
        <f t="shared" si="664"/>
        <v>8995</v>
      </c>
      <c r="JP151" s="38">
        <f t="shared" si="665"/>
        <v>0</v>
      </c>
      <c r="JQ151" s="43">
        <f t="shared" si="610"/>
        <v>0</v>
      </c>
      <c r="JR151" s="43">
        <f t="shared" si="611"/>
        <v>0</v>
      </c>
      <c r="JS151" s="43">
        <f t="shared" si="612"/>
        <v>0</v>
      </c>
      <c r="JT151" s="43">
        <f t="shared" si="613"/>
        <v>0</v>
      </c>
      <c r="JU151" s="43">
        <f t="shared" si="614"/>
        <v>0</v>
      </c>
      <c r="JV151" s="43">
        <f t="shared" si="615"/>
        <v>0</v>
      </c>
      <c r="JW151" s="43">
        <f t="shared" si="616"/>
        <v>0</v>
      </c>
      <c r="JX151" s="43">
        <f t="shared" si="617"/>
        <v>0</v>
      </c>
      <c r="JY151" s="43">
        <f t="shared" si="618"/>
        <v>0</v>
      </c>
      <c r="JZ151" s="43">
        <f t="shared" si="619"/>
        <v>0</v>
      </c>
      <c r="KA151" s="43">
        <f t="shared" si="620"/>
        <v>0</v>
      </c>
      <c r="KB151" s="43">
        <f t="shared" si="621"/>
        <v>0</v>
      </c>
      <c r="KC151" s="43">
        <f t="shared" si="622"/>
        <v>0</v>
      </c>
      <c r="KD151" s="43">
        <f t="shared" si="623"/>
        <v>0</v>
      </c>
      <c r="KE151" s="43">
        <f t="shared" si="624"/>
        <v>0</v>
      </c>
      <c r="KF151" s="43">
        <f t="shared" si="625"/>
        <v>0</v>
      </c>
      <c r="KG151" s="43">
        <f t="shared" si="626"/>
        <v>0</v>
      </c>
      <c r="KH151" s="43">
        <f t="shared" si="627"/>
        <v>0</v>
      </c>
      <c r="KI151" s="43">
        <f t="shared" si="628"/>
        <v>0</v>
      </c>
      <c r="KJ151" s="43">
        <f t="shared" si="629"/>
        <v>0</v>
      </c>
      <c r="KK151" s="43">
        <f t="shared" si="630"/>
        <v>0</v>
      </c>
      <c r="KL151" s="43">
        <f t="shared" si="631"/>
        <v>0</v>
      </c>
      <c r="KM151" s="43">
        <f t="shared" si="632"/>
        <v>0</v>
      </c>
      <c r="KN151" s="43">
        <f t="shared" si="633"/>
        <v>0</v>
      </c>
      <c r="KO151" s="43">
        <f t="shared" si="634"/>
        <v>0</v>
      </c>
      <c r="KP151" s="43">
        <f t="shared" si="635"/>
        <v>0</v>
      </c>
      <c r="KQ151" s="43">
        <f t="shared" si="636"/>
        <v>0</v>
      </c>
      <c r="KR151" s="43">
        <f t="shared" si="637"/>
        <v>0</v>
      </c>
      <c r="KS151" s="43">
        <f t="shared" si="638"/>
        <v>11072.477611490909</v>
      </c>
      <c r="KT151" s="43">
        <f t="shared" si="639"/>
        <v>0</v>
      </c>
      <c r="KU151" s="43">
        <f t="shared" si="640"/>
        <v>0</v>
      </c>
      <c r="KV151" s="43">
        <f t="shared" si="641"/>
        <v>0</v>
      </c>
      <c r="KW151" s="43">
        <f t="shared" si="642"/>
        <v>0</v>
      </c>
      <c r="KX151" s="43">
        <f t="shared" si="643"/>
        <v>0</v>
      </c>
      <c r="KY151" s="43">
        <f t="shared" si="644"/>
        <v>0</v>
      </c>
      <c r="KZ151" s="43">
        <f t="shared" si="645"/>
        <v>0</v>
      </c>
      <c r="LA151" s="43">
        <f t="shared" si="646"/>
        <v>0</v>
      </c>
      <c r="LB151" s="43">
        <f t="shared" si="647"/>
        <v>0</v>
      </c>
      <c r="LC151" s="43">
        <f t="shared" si="648"/>
        <v>0</v>
      </c>
      <c r="LD151" s="43">
        <f t="shared" si="649"/>
        <v>0</v>
      </c>
      <c r="LE151" s="43">
        <f t="shared" si="650"/>
        <v>0</v>
      </c>
      <c r="LF151" s="43">
        <f t="shared" si="651"/>
        <v>0</v>
      </c>
      <c r="LG151" s="43">
        <f t="shared" si="652"/>
        <v>0</v>
      </c>
      <c r="LH151" s="43">
        <f t="shared" si="653"/>
        <v>0</v>
      </c>
      <c r="LI151" s="43">
        <f t="shared" si="654"/>
        <v>0</v>
      </c>
      <c r="LJ151" s="43">
        <f t="shared" si="655"/>
        <v>0</v>
      </c>
      <c r="LK151" s="43">
        <f t="shared" si="656"/>
        <v>23060.301599999995</v>
      </c>
      <c r="LL151" s="43">
        <f t="shared" si="657"/>
        <v>0</v>
      </c>
      <c r="LM151" s="43">
        <f t="shared" si="658"/>
        <v>0</v>
      </c>
      <c r="LN151" s="43">
        <f t="shared" si="659"/>
        <v>0</v>
      </c>
      <c r="LO151" s="43">
        <f t="shared" si="660"/>
        <v>0</v>
      </c>
      <c r="LP151" s="43">
        <f t="shared" si="661"/>
        <v>0</v>
      </c>
      <c r="LQ151" s="28">
        <f t="shared" si="666"/>
        <v>34132.779211490903</v>
      </c>
      <c r="LR151" s="65">
        <v>8820</v>
      </c>
      <c r="LS151" s="32">
        <f t="shared" si="679"/>
        <v>3.8699296158152952</v>
      </c>
      <c r="LT151" s="26">
        <f t="shared" si="680"/>
        <v>1.0573578185287691</v>
      </c>
      <c r="LU151" s="31">
        <f t="shared" si="667"/>
        <v>175</v>
      </c>
      <c r="LW151" s="42"/>
      <c r="MA151" s="32">
        <f t="shared" si="668"/>
        <v>3.7946391563636355</v>
      </c>
      <c r="MB151" s="26">
        <f t="shared" si="681"/>
        <v>1.0367866547441627</v>
      </c>
    </row>
    <row r="152" spans="1:340" ht="15.75" thickBot="1">
      <c r="A152" t="b">
        <f t="shared" si="662"/>
        <v>1</v>
      </c>
      <c r="B152" s="123" t="s">
        <v>340</v>
      </c>
      <c r="C152" s="39" t="s">
        <v>100</v>
      </c>
      <c r="D152"/>
      <c r="E152" s="97">
        <v>46048</v>
      </c>
      <c r="F152" t="s">
        <v>43</v>
      </c>
      <c r="G152" t="s">
        <v>19</v>
      </c>
      <c r="H152" t="s">
        <v>27</v>
      </c>
      <c r="I152" s="77"/>
      <c r="J152" s="77"/>
      <c r="K152" s="77"/>
      <c r="L152" s="22"/>
      <c r="M152" s="22"/>
      <c r="N152" s="98"/>
      <c r="O152" s="22"/>
      <c r="P152" s="22"/>
      <c r="Q152" s="22"/>
      <c r="R152" s="22"/>
      <c r="S152" s="104"/>
      <c r="T152" s="22"/>
      <c r="U152" s="22"/>
      <c r="V152" s="104"/>
      <c r="W152" s="22"/>
      <c r="X152" s="22"/>
      <c r="Y152" s="22"/>
      <c r="Z152" s="104"/>
      <c r="AA152" s="104"/>
      <c r="AB152" s="104"/>
      <c r="AC152" s="22"/>
      <c r="AD152" s="22"/>
      <c r="AE152" s="22"/>
      <c r="AF152" s="124"/>
      <c r="AG152" s="124"/>
      <c r="AH152" s="22"/>
      <c r="AI152" s="104"/>
      <c r="AJ152" s="22"/>
      <c r="AK152" s="22"/>
      <c r="AL152" s="22"/>
      <c r="AM152" s="22"/>
      <c r="AN152" s="22"/>
      <c r="AO152" s="104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>
        <v>0.01</v>
      </c>
      <c r="AZ152" s="22"/>
      <c r="BA152" s="98"/>
      <c r="BB152" s="98">
        <v>0.495</v>
      </c>
      <c r="BC152" s="124">
        <v>0.495</v>
      </c>
      <c r="BD152" s="124"/>
      <c r="BE152" s="104"/>
      <c r="BF152" s="22"/>
      <c r="BG152" s="22"/>
      <c r="BH152" s="22"/>
      <c r="BI152" s="78">
        <f t="shared" si="682"/>
        <v>1</v>
      </c>
      <c r="BJ152" s="23"/>
      <c r="BK152" s="23"/>
      <c r="BL152" s="23"/>
      <c r="BM152" s="23"/>
      <c r="BN152" s="23"/>
      <c r="BO152" s="99"/>
      <c r="BP152" s="23"/>
      <c r="BQ152" s="23"/>
      <c r="BR152" s="23"/>
      <c r="BS152" s="23"/>
      <c r="BT152" s="105"/>
      <c r="BU152" s="23"/>
      <c r="BV152" s="23"/>
      <c r="BW152" s="105"/>
      <c r="BX152" s="23"/>
      <c r="BY152" s="23"/>
      <c r="BZ152" s="23"/>
      <c r="CA152" s="105"/>
      <c r="CB152" s="105"/>
      <c r="CC152" s="105"/>
      <c r="CD152" s="23"/>
      <c r="CE152" s="23"/>
      <c r="CF152" s="71"/>
      <c r="CG152" s="128"/>
      <c r="CH152" s="128"/>
      <c r="CI152" s="23"/>
      <c r="CJ152" s="23"/>
      <c r="CK152" s="23"/>
      <c r="CL152" s="23"/>
      <c r="CM152" s="23"/>
      <c r="CN152" s="23"/>
      <c r="CO152" s="23"/>
      <c r="CP152" s="105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3"/>
      <c r="DB152" s="99"/>
      <c r="DC152" s="99"/>
      <c r="DD152" s="125"/>
      <c r="DE152" s="125"/>
      <c r="DF152" s="105"/>
      <c r="DG152" s="23"/>
      <c r="DH152" s="23"/>
      <c r="DI152" s="23"/>
      <c r="DJ152" s="79">
        <f t="shared" si="663"/>
        <v>0</v>
      </c>
      <c r="DK152" s="24"/>
      <c r="DL152" s="24"/>
      <c r="DM152" s="24"/>
      <c r="DN152" s="24"/>
      <c r="DO152" s="24"/>
      <c r="DP152" s="103"/>
      <c r="DQ152" s="24"/>
      <c r="DR152" s="24"/>
      <c r="DS152" s="24"/>
      <c r="DT152" s="24"/>
      <c r="DU152" s="108"/>
      <c r="DV152" s="24"/>
      <c r="DW152" s="24"/>
      <c r="DX152" s="108"/>
      <c r="DY152" s="24"/>
      <c r="DZ152" s="24"/>
      <c r="EA152" s="24"/>
      <c r="EB152" s="108"/>
      <c r="EC152" s="108"/>
      <c r="ED152" s="108"/>
      <c r="EE152" s="24"/>
      <c r="EF152" s="24"/>
      <c r="EG152" s="24"/>
      <c r="EH152" s="129"/>
      <c r="EI152" s="129"/>
      <c r="EJ152" s="24"/>
      <c r="EK152" s="24"/>
      <c r="EL152" s="24"/>
      <c r="EM152" s="24"/>
      <c r="EN152" s="24"/>
      <c r="EO152" s="24"/>
      <c r="EP152" s="24"/>
      <c r="EQ152" s="108"/>
      <c r="ER152" s="24"/>
      <c r="ES152" s="25"/>
      <c r="ET152" s="25"/>
      <c r="EU152" s="25"/>
      <c r="EV152" s="25"/>
      <c r="EW152" s="25"/>
      <c r="EX152" s="25"/>
      <c r="EY152" s="25"/>
      <c r="EZ152" s="25"/>
      <c r="FA152" s="25"/>
      <c r="FB152" s="25"/>
      <c r="FC152" s="100"/>
      <c r="FD152" s="100"/>
      <c r="FE152" s="126"/>
      <c r="FF152" s="126"/>
      <c r="FG152" s="106"/>
      <c r="FH152" s="25"/>
      <c r="FI152" s="25"/>
      <c r="FJ152" s="25"/>
      <c r="FK152" s="17">
        <f t="shared" si="683"/>
        <v>0</v>
      </c>
      <c r="FL152" s="18"/>
      <c r="FM152" s="19">
        <f t="shared" si="505"/>
        <v>0</v>
      </c>
      <c r="FN152" s="19">
        <f t="shared" si="506"/>
        <v>0</v>
      </c>
      <c r="FO152" s="19">
        <f t="shared" si="507"/>
        <v>0</v>
      </c>
      <c r="FP152" s="19">
        <f t="shared" si="508"/>
        <v>0</v>
      </c>
      <c r="FQ152" s="19">
        <f t="shared" si="509"/>
        <v>0</v>
      </c>
      <c r="FR152" s="19">
        <f t="shared" si="510"/>
        <v>0</v>
      </c>
      <c r="FS152" s="19">
        <f t="shared" si="511"/>
        <v>0</v>
      </c>
      <c r="FT152" s="19">
        <f t="shared" si="512"/>
        <v>0</v>
      </c>
      <c r="FU152" s="19">
        <f t="shared" si="513"/>
        <v>0</v>
      </c>
      <c r="FV152" s="19">
        <f t="shared" si="514"/>
        <v>0</v>
      </c>
      <c r="FW152" s="19">
        <f t="shared" si="515"/>
        <v>0</v>
      </c>
      <c r="FX152" s="19">
        <f t="shared" si="516"/>
        <v>0</v>
      </c>
      <c r="FY152" s="19">
        <f t="shared" si="517"/>
        <v>0</v>
      </c>
      <c r="FZ152" s="19">
        <f t="shared" si="518"/>
        <v>0</v>
      </c>
      <c r="GA152" s="19">
        <f t="shared" si="519"/>
        <v>0</v>
      </c>
      <c r="GB152" s="19">
        <f t="shared" si="520"/>
        <v>0</v>
      </c>
      <c r="GC152" s="19">
        <f t="shared" si="521"/>
        <v>0</v>
      </c>
      <c r="GD152" s="19">
        <f t="shared" si="522"/>
        <v>0</v>
      </c>
      <c r="GE152" s="19">
        <f t="shared" si="523"/>
        <v>0</v>
      </c>
      <c r="GF152" s="19">
        <f t="shared" si="524"/>
        <v>0</v>
      </c>
      <c r="GG152" s="19">
        <f t="shared" si="525"/>
        <v>0</v>
      </c>
      <c r="GH152" s="19">
        <f t="shared" si="526"/>
        <v>0</v>
      </c>
      <c r="GI152" s="19">
        <f t="shared" si="527"/>
        <v>0</v>
      </c>
      <c r="GJ152" s="19">
        <f t="shared" si="528"/>
        <v>0</v>
      </c>
      <c r="GK152" s="19">
        <f t="shared" si="529"/>
        <v>0</v>
      </c>
      <c r="GL152" s="19">
        <f t="shared" si="530"/>
        <v>0</v>
      </c>
      <c r="GM152" s="19">
        <f t="shared" si="531"/>
        <v>0</v>
      </c>
      <c r="GN152" s="19">
        <f t="shared" si="532"/>
        <v>0</v>
      </c>
      <c r="GO152" s="19">
        <f t="shared" si="533"/>
        <v>0</v>
      </c>
      <c r="GP152" s="19">
        <f t="shared" si="534"/>
        <v>0</v>
      </c>
      <c r="GQ152" s="19">
        <f t="shared" si="535"/>
        <v>0</v>
      </c>
      <c r="GR152" s="19">
        <f t="shared" si="536"/>
        <v>0</v>
      </c>
      <c r="GS152" s="19">
        <f t="shared" si="537"/>
        <v>0</v>
      </c>
      <c r="GT152" s="19">
        <f t="shared" si="538"/>
        <v>0</v>
      </c>
      <c r="GU152" s="19">
        <f t="shared" si="539"/>
        <v>0</v>
      </c>
      <c r="GV152" s="19">
        <f t="shared" si="540"/>
        <v>0</v>
      </c>
      <c r="GW152" s="19">
        <f t="shared" si="541"/>
        <v>0</v>
      </c>
      <c r="GX152" s="19">
        <f t="shared" si="542"/>
        <v>0</v>
      </c>
      <c r="GY152" s="19">
        <f t="shared" si="543"/>
        <v>0</v>
      </c>
      <c r="GZ152" s="19">
        <f t="shared" si="544"/>
        <v>0</v>
      </c>
      <c r="HA152" s="19">
        <f t="shared" si="545"/>
        <v>0</v>
      </c>
      <c r="HB152" s="19">
        <f t="shared" si="546"/>
        <v>0</v>
      </c>
      <c r="HC152" s="19">
        <f t="shared" si="547"/>
        <v>1.4999999999999999E-2</v>
      </c>
      <c r="HD152" s="19">
        <f t="shared" si="548"/>
        <v>0</v>
      </c>
      <c r="HE152" s="19">
        <f t="shared" si="549"/>
        <v>0</v>
      </c>
      <c r="HF152" s="19">
        <f t="shared" si="550"/>
        <v>0.74249999999999994</v>
      </c>
      <c r="HG152" s="19">
        <f t="shared" si="551"/>
        <v>0.74249999999999994</v>
      </c>
      <c r="HH152" s="19">
        <f t="shared" si="552"/>
        <v>0</v>
      </c>
      <c r="HI152" s="19">
        <f t="shared" si="553"/>
        <v>0</v>
      </c>
      <c r="HJ152" s="19">
        <f t="shared" si="554"/>
        <v>0</v>
      </c>
      <c r="HK152" s="19">
        <f t="shared" si="555"/>
        <v>0</v>
      </c>
      <c r="HL152" s="19">
        <f t="shared" si="556"/>
        <v>0</v>
      </c>
      <c r="HM152" s="20">
        <f t="shared" si="557"/>
        <v>1.5</v>
      </c>
      <c r="HN152" s="53">
        <v>1248</v>
      </c>
      <c r="HO152" s="21">
        <f t="shared" si="558"/>
        <v>0</v>
      </c>
      <c r="HP152" s="21">
        <f t="shared" si="559"/>
        <v>0</v>
      </c>
      <c r="HQ152" s="21">
        <f t="shared" si="560"/>
        <v>0</v>
      </c>
      <c r="HR152" s="21">
        <f t="shared" si="561"/>
        <v>0</v>
      </c>
      <c r="HS152" s="21">
        <f t="shared" si="562"/>
        <v>0</v>
      </c>
      <c r="HT152" s="69">
        <f t="shared" si="563"/>
        <v>0</v>
      </c>
      <c r="HU152" s="21">
        <f t="shared" si="564"/>
        <v>0</v>
      </c>
      <c r="HV152" s="21">
        <f t="shared" si="565"/>
        <v>0</v>
      </c>
      <c r="HW152" s="21">
        <f t="shared" si="566"/>
        <v>0</v>
      </c>
      <c r="HX152" s="21">
        <f t="shared" si="567"/>
        <v>0</v>
      </c>
      <c r="HY152" s="21">
        <f t="shared" si="568"/>
        <v>0</v>
      </c>
      <c r="HZ152" s="21">
        <f t="shared" si="569"/>
        <v>0</v>
      </c>
      <c r="IA152" s="21">
        <f t="shared" si="570"/>
        <v>0</v>
      </c>
      <c r="IB152" s="21">
        <f t="shared" si="571"/>
        <v>0</v>
      </c>
      <c r="IC152" s="21">
        <f t="shared" si="572"/>
        <v>0</v>
      </c>
      <c r="ID152" s="21">
        <f t="shared" si="573"/>
        <v>0</v>
      </c>
      <c r="IE152" s="21">
        <f t="shared" si="574"/>
        <v>0</v>
      </c>
      <c r="IF152" s="69">
        <f t="shared" si="575"/>
        <v>0</v>
      </c>
      <c r="IG152" s="69">
        <f t="shared" si="576"/>
        <v>0</v>
      </c>
      <c r="IH152" s="69">
        <f t="shared" si="577"/>
        <v>0</v>
      </c>
      <c r="II152" s="21">
        <f t="shared" si="578"/>
        <v>0</v>
      </c>
      <c r="IJ152" s="21">
        <f t="shared" si="579"/>
        <v>0</v>
      </c>
      <c r="IK152" s="21">
        <f t="shared" si="580"/>
        <v>0</v>
      </c>
      <c r="IL152" s="21">
        <f t="shared" si="581"/>
        <v>0</v>
      </c>
      <c r="IM152" s="21">
        <f t="shared" si="582"/>
        <v>0</v>
      </c>
      <c r="IN152" s="21">
        <f t="shared" si="583"/>
        <v>0</v>
      </c>
      <c r="IO152" s="21">
        <f t="shared" si="584"/>
        <v>0</v>
      </c>
      <c r="IP152" s="21">
        <f t="shared" si="585"/>
        <v>0</v>
      </c>
      <c r="IQ152" s="21">
        <f t="shared" si="586"/>
        <v>0</v>
      </c>
      <c r="IR152" s="21">
        <f t="shared" si="587"/>
        <v>0</v>
      </c>
      <c r="IS152" s="21">
        <f t="shared" si="588"/>
        <v>0</v>
      </c>
      <c r="IT152" s="21">
        <f t="shared" si="589"/>
        <v>0</v>
      </c>
      <c r="IU152" s="21">
        <f t="shared" si="590"/>
        <v>0</v>
      </c>
      <c r="IV152" s="21">
        <f t="shared" si="591"/>
        <v>0</v>
      </c>
      <c r="IW152" s="21">
        <f t="shared" si="592"/>
        <v>0</v>
      </c>
      <c r="IX152" s="21">
        <f t="shared" si="593"/>
        <v>0</v>
      </c>
      <c r="IY152" s="21">
        <f t="shared" si="594"/>
        <v>0</v>
      </c>
      <c r="IZ152" s="21">
        <f t="shared" si="595"/>
        <v>0</v>
      </c>
      <c r="JA152" s="21">
        <f t="shared" si="596"/>
        <v>0</v>
      </c>
      <c r="JB152" s="21">
        <f t="shared" si="597"/>
        <v>0</v>
      </c>
      <c r="JC152" s="21">
        <f t="shared" si="598"/>
        <v>0</v>
      </c>
      <c r="JD152" s="21">
        <f t="shared" si="599"/>
        <v>0</v>
      </c>
      <c r="JE152" s="21">
        <f t="shared" si="600"/>
        <v>12.479999999999999</v>
      </c>
      <c r="JF152" s="21">
        <f t="shared" si="601"/>
        <v>0</v>
      </c>
      <c r="JG152" s="21">
        <f t="shared" si="602"/>
        <v>0</v>
      </c>
      <c r="JH152" s="21">
        <f t="shared" si="603"/>
        <v>617.75999999999988</v>
      </c>
      <c r="JI152" s="21">
        <f t="shared" si="604"/>
        <v>617.75999999999988</v>
      </c>
      <c r="JJ152" s="21">
        <f t="shared" si="605"/>
        <v>0</v>
      </c>
      <c r="JK152" s="21">
        <f t="shared" si="606"/>
        <v>0</v>
      </c>
      <c r="JL152" s="21">
        <f t="shared" si="607"/>
        <v>0</v>
      </c>
      <c r="JM152" s="21">
        <f t="shared" si="608"/>
        <v>0</v>
      </c>
      <c r="JN152" s="21">
        <f t="shared" si="609"/>
        <v>0</v>
      </c>
      <c r="JO152" s="35">
        <f t="shared" si="664"/>
        <v>1247.9999999999998</v>
      </c>
      <c r="JP152" s="38">
        <f t="shared" si="665"/>
        <v>0</v>
      </c>
      <c r="JQ152" s="43">
        <f t="shared" si="610"/>
        <v>0</v>
      </c>
      <c r="JR152" s="43">
        <f t="shared" si="611"/>
        <v>0</v>
      </c>
      <c r="JS152" s="43">
        <f t="shared" si="612"/>
        <v>0</v>
      </c>
      <c r="JT152" s="43">
        <f t="shared" si="613"/>
        <v>0</v>
      </c>
      <c r="JU152" s="43">
        <f t="shared" si="614"/>
        <v>0</v>
      </c>
      <c r="JV152" s="43">
        <f t="shared" si="615"/>
        <v>0</v>
      </c>
      <c r="JW152" s="43">
        <f t="shared" si="616"/>
        <v>0</v>
      </c>
      <c r="JX152" s="43">
        <f t="shared" si="617"/>
        <v>0</v>
      </c>
      <c r="JY152" s="43">
        <f t="shared" si="618"/>
        <v>0</v>
      </c>
      <c r="JZ152" s="43">
        <f t="shared" si="619"/>
        <v>0</v>
      </c>
      <c r="KA152" s="43">
        <f t="shared" si="620"/>
        <v>0</v>
      </c>
      <c r="KB152" s="43">
        <f t="shared" si="621"/>
        <v>0</v>
      </c>
      <c r="KC152" s="43">
        <f t="shared" si="622"/>
        <v>0</v>
      </c>
      <c r="KD152" s="43">
        <f t="shared" si="623"/>
        <v>0</v>
      </c>
      <c r="KE152" s="43">
        <f t="shared" si="624"/>
        <v>0</v>
      </c>
      <c r="KF152" s="43">
        <f t="shared" si="625"/>
        <v>0</v>
      </c>
      <c r="KG152" s="43">
        <f t="shared" si="626"/>
        <v>0</v>
      </c>
      <c r="KH152" s="43">
        <f t="shared" si="627"/>
        <v>0</v>
      </c>
      <c r="KI152" s="43">
        <f t="shared" si="628"/>
        <v>0</v>
      </c>
      <c r="KJ152" s="43">
        <f t="shared" si="629"/>
        <v>0</v>
      </c>
      <c r="KK152" s="43">
        <f t="shared" si="630"/>
        <v>0</v>
      </c>
      <c r="KL152" s="43">
        <f t="shared" si="631"/>
        <v>0</v>
      </c>
      <c r="KM152" s="43">
        <f t="shared" si="632"/>
        <v>0</v>
      </c>
      <c r="KN152" s="43">
        <f t="shared" si="633"/>
        <v>0</v>
      </c>
      <c r="KO152" s="43">
        <f t="shared" si="634"/>
        <v>0</v>
      </c>
      <c r="KP152" s="43">
        <f t="shared" si="635"/>
        <v>0</v>
      </c>
      <c r="KQ152" s="43">
        <f t="shared" si="636"/>
        <v>0</v>
      </c>
      <c r="KR152" s="43">
        <f t="shared" si="637"/>
        <v>0</v>
      </c>
      <c r="KS152" s="43">
        <f t="shared" si="638"/>
        <v>0</v>
      </c>
      <c r="KT152" s="43">
        <f t="shared" si="639"/>
        <v>0</v>
      </c>
      <c r="KU152" s="43">
        <f t="shared" si="640"/>
        <v>0</v>
      </c>
      <c r="KV152" s="43">
        <f t="shared" si="641"/>
        <v>0</v>
      </c>
      <c r="KW152" s="43">
        <f t="shared" si="642"/>
        <v>0</v>
      </c>
      <c r="KX152" s="43">
        <f t="shared" si="643"/>
        <v>0</v>
      </c>
      <c r="KY152" s="43">
        <f t="shared" si="644"/>
        <v>0</v>
      </c>
      <c r="KZ152" s="43">
        <f t="shared" si="645"/>
        <v>0</v>
      </c>
      <c r="LA152" s="43">
        <f t="shared" si="646"/>
        <v>0</v>
      </c>
      <c r="LB152" s="43">
        <f t="shared" si="647"/>
        <v>0</v>
      </c>
      <c r="LC152" s="43">
        <f t="shared" si="648"/>
        <v>0</v>
      </c>
      <c r="LD152" s="43">
        <f t="shared" si="649"/>
        <v>0</v>
      </c>
      <c r="LE152" s="43">
        <f t="shared" si="650"/>
        <v>0</v>
      </c>
      <c r="LF152" s="43">
        <f t="shared" si="651"/>
        <v>0</v>
      </c>
      <c r="LG152" s="43">
        <f t="shared" si="652"/>
        <v>128.7936</v>
      </c>
      <c r="LH152" s="43">
        <f t="shared" si="653"/>
        <v>0</v>
      </c>
      <c r="LI152" s="43">
        <f t="shared" si="654"/>
        <v>0</v>
      </c>
      <c r="LJ152" s="43">
        <f t="shared" si="655"/>
        <v>2974.8603455999996</v>
      </c>
      <c r="LK152" s="43">
        <f t="shared" si="656"/>
        <v>2474.5921199999993</v>
      </c>
      <c r="LL152" s="43">
        <f t="shared" si="657"/>
        <v>0</v>
      </c>
      <c r="LM152" s="43">
        <f t="shared" si="658"/>
        <v>0</v>
      </c>
      <c r="LN152" s="43">
        <f t="shared" si="659"/>
        <v>0</v>
      </c>
      <c r="LO152" s="43">
        <f t="shared" si="660"/>
        <v>0</v>
      </c>
      <c r="LP152" s="43">
        <f t="shared" si="661"/>
        <v>0</v>
      </c>
      <c r="LQ152" s="28">
        <f t="shared" si="666"/>
        <v>5578.2460655999985</v>
      </c>
      <c r="LR152" s="65">
        <v>1185</v>
      </c>
      <c r="LS152" s="32">
        <f t="shared" si="679"/>
        <v>4.707380646075948</v>
      </c>
      <c r="LT152" s="26">
        <f t="shared" si="680"/>
        <v>1.2861695754305869</v>
      </c>
      <c r="LU152" s="31">
        <f t="shared" si="667"/>
        <v>63</v>
      </c>
      <c r="LW152" s="42"/>
      <c r="MA152" s="32">
        <f t="shared" si="668"/>
        <v>4.46974845</v>
      </c>
      <c r="MB152" s="26">
        <f t="shared" si="681"/>
        <v>1.2212427459016393</v>
      </c>
    </row>
    <row r="153" spans="1:340" ht="15.75" thickBot="1">
      <c r="A153" t="b">
        <f t="shared" si="662"/>
        <v>1</v>
      </c>
      <c r="B153" s="123" t="s">
        <v>341</v>
      </c>
      <c r="C153" s="39" t="s">
        <v>118</v>
      </c>
      <c r="D153"/>
      <c r="E153" s="97">
        <v>46048</v>
      </c>
      <c r="F153" t="s">
        <v>43</v>
      </c>
      <c r="G153" t="s">
        <v>19</v>
      </c>
      <c r="H153" t="s">
        <v>27</v>
      </c>
      <c r="I153" s="77"/>
      <c r="J153" s="77"/>
      <c r="K153" s="77"/>
      <c r="L153" s="22"/>
      <c r="M153" s="22"/>
      <c r="N153" s="98"/>
      <c r="O153" s="22"/>
      <c r="P153" s="22"/>
      <c r="Q153" s="22"/>
      <c r="R153" s="22"/>
      <c r="S153" s="104"/>
      <c r="T153" s="22"/>
      <c r="U153" s="22"/>
      <c r="V153" s="104"/>
      <c r="W153" s="22"/>
      <c r="X153" s="22"/>
      <c r="Y153" s="22"/>
      <c r="Z153" s="104"/>
      <c r="AA153" s="104"/>
      <c r="AB153" s="104"/>
      <c r="AC153" s="22"/>
      <c r="AD153" s="22"/>
      <c r="AE153" s="22"/>
      <c r="AF153" s="124"/>
      <c r="AG153" s="124"/>
      <c r="AH153" s="22"/>
      <c r="AI153" s="104"/>
      <c r="AJ153" s="22"/>
      <c r="AK153" s="22"/>
      <c r="AL153" s="22"/>
      <c r="AM153" s="22"/>
      <c r="AN153" s="22"/>
      <c r="AO153" s="104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>
        <v>0.01</v>
      </c>
      <c r="AZ153" s="22"/>
      <c r="BA153" s="98"/>
      <c r="BB153" s="98">
        <v>0.495</v>
      </c>
      <c r="BC153" s="124">
        <v>0.495</v>
      </c>
      <c r="BD153" s="124"/>
      <c r="BE153" s="104"/>
      <c r="BF153" s="22"/>
      <c r="BG153" s="22"/>
      <c r="BH153" s="22"/>
      <c r="BI153" s="78">
        <f t="shared" si="682"/>
        <v>1</v>
      </c>
      <c r="BJ153" s="23"/>
      <c r="BK153" s="23"/>
      <c r="BL153" s="23"/>
      <c r="BM153" s="23"/>
      <c r="BN153" s="23"/>
      <c r="BO153" s="99"/>
      <c r="BP153" s="23"/>
      <c r="BQ153" s="23"/>
      <c r="BR153" s="23"/>
      <c r="BS153" s="23"/>
      <c r="BT153" s="105"/>
      <c r="BU153" s="23"/>
      <c r="BV153" s="23"/>
      <c r="BW153" s="105"/>
      <c r="BX153" s="23"/>
      <c r="BY153" s="23"/>
      <c r="BZ153" s="23"/>
      <c r="CA153" s="105"/>
      <c r="CB153" s="105"/>
      <c r="CC153" s="105"/>
      <c r="CD153" s="23"/>
      <c r="CE153" s="23"/>
      <c r="CF153" s="71"/>
      <c r="CG153" s="128"/>
      <c r="CH153" s="128"/>
      <c r="CI153" s="23"/>
      <c r="CJ153" s="23"/>
      <c r="CK153" s="23"/>
      <c r="CL153" s="23"/>
      <c r="CM153" s="23"/>
      <c r="CN153" s="23"/>
      <c r="CO153" s="23"/>
      <c r="CP153" s="105"/>
      <c r="CQ153" s="23"/>
      <c r="CR153" s="23"/>
      <c r="CS153" s="23"/>
      <c r="CT153" s="23"/>
      <c r="CU153" s="23"/>
      <c r="CV153" s="23"/>
      <c r="CW153" s="23"/>
      <c r="CX153" s="23"/>
      <c r="CY153" s="23"/>
      <c r="CZ153" s="23"/>
      <c r="DA153" s="23"/>
      <c r="DB153" s="99"/>
      <c r="DC153" s="99"/>
      <c r="DD153" s="125"/>
      <c r="DE153" s="125"/>
      <c r="DF153" s="105"/>
      <c r="DG153" s="23"/>
      <c r="DH153" s="23"/>
      <c r="DI153" s="23"/>
      <c r="DJ153" s="79">
        <f t="shared" si="663"/>
        <v>0</v>
      </c>
      <c r="DK153" s="24"/>
      <c r="DL153" s="24"/>
      <c r="DM153" s="24"/>
      <c r="DN153" s="24"/>
      <c r="DO153" s="24"/>
      <c r="DP153" s="103"/>
      <c r="DQ153" s="24"/>
      <c r="DR153" s="24"/>
      <c r="DS153" s="24"/>
      <c r="DT153" s="24"/>
      <c r="DU153" s="108"/>
      <c r="DV153" s="24"/>
      <c r="DW153" s="24"/>
      <c r="DX153" s="108"/>
      <c r="DY153" s="24"/>
      <c r="DZ153" s="24"/>
      <c r="EA153" s="24"/>
      <c r="EB153" s="108"/>
      <c r="EC153" s="108"/>
      <c r="ED153" s="108"/>
      <c r="EE153" s="24"/>
      <c r="EF153" s="24"/>
      <c r="EG153" s="24"/>
      <c r="EH153" s="129"/>
      <c r="EI153" s="129"/>
      <c r="EJ153" s="24"/>
      <c r="EK153" s="24"/>
      <c r="EL153" s="24"/>
      <c r="EM153" s="24"/>
      <c r="EN153" s="24"/>
      <c r="EO153" s="24"/>
      <c r="EP153" s="24"/>
      <c r="EQ153" s="108"/>
      <c r="ER153" s="24"/>
      <c r="ES153" s="25"/>
      <c r="ET153" s="25"/>
      <c r="EU153" s="25"/>
      <c r="EV153" s="25"/>
      <c r="EW153" s="25"/>
      <c r="EX153" s="25"/>
      <c r="EY153" s="25"/>
      <c r="EZ153" s="25"/>
      <c r="FA153" s="25"/>
      <c r="FB153" s="25"/>
      <c r="FC153" s="100"/>
      <c r="FD153" s="100"/>
      <c r="FE153" s="126"/>
      <c r="FF153" s="126"/>
      <c r="FG153" s="106"/>
      <c r="FH153" s="25"/>
      <c r="FI153" s="25"/>
      <c r="FJ153" s="25"/>
      <c r="FK153" s="17">
        <f t="shared" si="683"/>
        <v>0</v>
      </c>
      <c r="FL153" s="18"/>
      <c r="FM153" s="19">
        <f t="shared" si="505"/>
        <v>0</v>
      </c>
      <c r="FN153" s="19">
        <f t="shared" si="506"/>
        <v>0</v>
      </c>
      <c r="FO153" s="19">
        <f t="shared" si="507"/>
        <v>0</v>
      </c>
      <c r="FP153" s="19">
        <f t="shared" si="508"/>
        <v>0</v>
      </c>
      <c r="FQ153" s="19">
        <f t="shared" si="509"/>
        <v>0</v>
      </c>
      <c r="FR153" s="19">
        <f t="shared" si="510"/>
        <v>0</v>
      </c>
      <c r="FS153" s="19">
        <f t="shared" si="511"/>
        <v>0</v>
      </c>
      <c r="FT153" s="19">
        <f t="shared" si="512"/>
        <v>0</v>
      </c>
      <c r="FU153" s="19">
        <f t="shared" si="513"/>
        <v>0</v>
      </c>
      <c r="FV153" s="19">
        <f t="shared" si="514"/>
        <v>0</v>
      </c>
      <c r="FW153" s="19">
        <f t="shared" si="515"/>
        <v>0</v>
      </c>
      <c r="FX153" s="19">
        <f t="shared" si="516"/>
        <v>0</v>
      </c>
      <c r="FY153" s="19">
        <f t="shared" si="517"/>
        <v>0</v>
      </c>
      <c r="FZ153" s="19">
        <f t="shared" si="518"/>
        <v>0</v>
      </c>
      <c r="GA153" s="19">
        <f t="shared" si="519"/>
        <v>0</v>
      </c>
      <c r="GB153" s="19">
        <f t="shared" si="520"/>
        <v>0</v>
      </c>
      <c r="GC153" s="19">
        <f t="shared" si="521"/>
        <v>0</v>
      </c>
      <c r="GD153" s="19">
        <f t="shared" si="522"/>
        <v>0</v>
      </c>
      <c r="GE153" s="19">
        <f t="shared" si="523"/>
        <v>0</v>
      </c>
      <c r="GF153" s="19">
        <f t="shared" si="524"/>
        <v>0</v>
      </c>
      <c r="GG153" s="19">
        <f t="shared" si="525"/>
        <v>0</v>
      </c>
      <c r="GH153" s="19">
        <f t="shared" si="526"/>
        <v>0</v>
      </c>
      <c r="GI153" s="19">
        <f t="shared" si="527"/>
        <v>0</v>
      </c>
      <c r="GJ153" s="19">
        <f t="shared" si="528"/>
        <v>0</v>
      </c>
      <c r="GK153" s="19">
        <f t="shared" si="529"/>
        <v>0</v>
      </c>
      <c r="GL153" s="19">
        <f t="shared" si="530"/>
        <v>0</v>
      </c>
      <c r="GM153" s="19">
        <f t="shared" si="531"/>
        <v>0</v>
      </c>
      <c r="GN153" s="19">
        <f t="shared" si="532"/>
        <v>0</v>
      </c>
      <c r="GO153" s="19">
        <f t="shared" si="533"/>
        <v>0</v>
      </c>
      <c r="GP153" s="19">
        <f t="shared" si="534"/>
        <v>0</v>
      </c>
      <c r="GQ153" s="19">
        <f t="shared" si="535"/>
        <v>0</v>
      </c>
      <c r="GR153" s="19">
        <f t="shared" si="536"/>
        <v>0</v>
      </c>
      <c r="GS153" s="19">
        <f t="shared" si="537"/>
        <v>0</v>
      </c>
      <c r="GT153" s="19">
        <f t="shared" si="538"/>
        <v>0</v>
      </c>
      <c r="GU153" s="19">
        <f t="shared" si="539"/>
        <v>0</v>
      </c>
      <c r="GV153" s="19">
        <f t="shared" si="540"/>
        <v>0</v>
      </c>
      <c r="GW153" s="19">
        <f t="shared" si="541"/>
        <v>0</v>
      </c>
      <c r="GX153" s="19">
        <f t="shared" si="542"/>
        <v>0</v>
      </c>
      <c r="GY153" s="19">
        <f t="shared" si="543"/>
        <v>0</v>
      </c>
      <c r="GZ153" s="19">
        <f t="shared" si="544"/>
        <v>0</v>
      </c>
      <c r="HA153" s="19">
        <f t="shared" si="545"/>
        <v>0</v>
      </c>
      <c r="HB153" s="19">
        <f t="shared" si="546"/>
        <v>0</v>
      </c>
      <c r="HC153" s="19">
        <f t="shared" si="547"/>
        <v>1.4999999999999999E-2</v>
      </c>
      <c r="HD153" s="19">
        <f t="shared" si="548"/>
        <v>0</v>
      </c>
      <c r="HE153" s="19">
        <f t="shared" si="549"/>
        <v>0</v>
      </c>
      <c r="HF153" s="19">
        <f t="shared" si="550"/>
        <v>0.74249999999999994</v>
      </c>
      <c r="HG153" s="19">
        <f t="shared" si="551"/>
        <v>0.74249999999999994</v>
      </c>
      <c r="HH153" s="19">
        <f t="shared" si="552"/>
        <v>0</v>
      </c>
      <c r="HI153" s="19">
        <f t="shared" si="553"/>
        <v>0</v>
      </c>
      <c r="HJ153" s="19">
        <f t="shared" si="554"/>
        <v>0</v>
      </c>
      <c r="HK153" s="19">
        <f t="shared" si="555"/>
        <v>0</v>
      </c>
      <c r="HL153" s="19">
        <f t="shared" si="556"/>
        <v>0</v>
      </c>
      <c r="HM153" s="20">
        <f t="shared" si="557"/>
        <v>1.5</v>
      </c>
      <c r="HN153" s="53">
        <v>643</v>
      </c>
      <c r="HO153" s="21">
        <f t="shared" si="558"/>
        <v>0</v>
      </c>
      <c r="HP153" s="21">
        <f t="shared" si="559"/>
        <v>0</v>
      </c>
      <c r="HQ153" s="21">
        <f t="shared" si="560"/>
        <v>0</v>
      </c>
      <c r="HR153" s="21">
        <f t="shared" si="561"/>
        <v>0</v>
      </c>
      <c r="HS153" s="21">
        <f t="shared" si="562"/>
        <v>0</v>
      </c>
      <c r="HT153" s="69">
        <f t="shared" si="563"/>
        <v>0</v>
      </c>
      <c r="HU153" s="21">
        <f t="shared" si="564"/>
        <v>0</v>
      </c>
      <c r="HV153" s="21">
        <f t="shared" si="565"/>
        <v>0</v>
      </c>
      <c r="HW153" s="21">
        <f t="shared" si="566"/>
        <v>0</v>
      </c>
      <c r="HX153" s="21">
        <f t="shared" si="567"/>
        <v>0</v>
      </c>
      <c r="HY153" s="21">
        <f t="shared" si="568"/>
        <v>0</v>
      </c>
      <c r="HZ153" s="21">
        <f t="shared" si="569"/>
        <v>0</v>
      </c>
      <c r="IA153" s="21">
        <f t="shared" si="570"/>
        <v>0</v>
      </c>
      <c r="IB153" s="21">
        <f t="shared" si="571"/>
        <v>0</v>
      </c>
      <c r="IC153" s="21">
        <f t="shared" si="572"/>
        <v>0</v>
      </c>
      <c r="ID153" s="21">
        <f t="shared" si="573"/>
        <v>0</v>
      </c>
      <c r="IE153" s="21">
        <f t="shared" si="574"/>
        <v>0</v>
      </c>
      <c r="IF153" s="69">
        <f t="shared" si="575"/>
        <v>0</v>
      </c>
      <c r="IG153" s="69">
        <f t="shared" si="576"/>
        <v>0</v>
      </c>
      <c r="IH153" s="69">
        <f t="shared" si="577"/>
        <v>0</v>
      </c>
      <c r="II153" s="21">
        <f t="shared" si="578"/>
        <v>0</v>
      </c>
      <c r="IJ153" s="21">
        <f t="shared" si="579"/>
        <v>0</v>
      </c>
      <c r="IK153" s="21">
        <f t="shared" si="580"/>
        <v>0</v>
      </c>
      <c r="IL153" s="21">
        <f t="shared" si="581"/>
        <v>0</v>
      </c>
      <c r="IM153" s="21">
        <f t="shared" si="582"/>
        <v>0</v>
      </c>
      <c r="IN153" s="21">
        <f t="shared" si="583"/>
        <v>0</v>
      </c>
      <c r="IO153" s="21">
        <f t="shared" si="584"/>
        <v>0</v>
      </c>
      <c r="IP153" s="21">
        <f t="shared" si="585"/>
        <v>0</v>
      </c>
      <c r="IQ153" s="21">
        <f t="shared" si="586"/>
        <v>0</v>
      </c>
      <c r="IR153" s="21">
        <f t="shared" si="587"/>
        <v>0</v>
      </c>
      <c r="IS153" s="21">
        <f t="shared" si="588"/>
        <v>0</v>
      </c>
      <c r="IT153" s="21">
        <f t="shared" si="589"/>
        <v>0</v>
      </c>
      <c r="IU153" s="21">
        <f t="shared" si="590"/>
        <v>0</v>
      </c>
      <c r="IV153" s="21">
        <f t="shared" si="591"/>
        <v>0</v>
      </c>
      <c r="IW153" s="21">
        <f t="shared" si="592"/>
        <v>0</v>
      </c>
      <c r="IX153" s="21">
        <f t="shared" si="593"/>
        <v>0</v>
      </c>
      <c r="IY153" s="21">
        <f t="shared" si="594"/>
        <v>0</v>
      </c>
      <c r="IZ153" s="21">
        <f t="shared" si="595"/>
        <v>0</v>
      </c>
      <c r="JA153" s="21">
        <f t="shared" si="596"/>
        <v>0</v>
      </c>
      <c r="JB153" s="21">
        <f t="shared" si="597"/>
        <v>0</v>
      </c>
      <c r="JC153" s="21">
        <f t="shared" si="598"/>
        <v>0</v>
      </c>
      <c r="JD153" s="21">
        <f t="shared" si="599"/>
        <v>0</v>
      </c>
      <c r="JE153" s="21">
        <f t="shared" si="600"/>
        <v>6.43</v>
      </c>
      <c r="JF153" s="21">
        <f t="shared" si="601"/>
        <v>0</v>
      </c>
      <c r="JG153" s="21">
        <f t="shared" si="602"/>
        <v>0</v>
      </c>
      <c r="JH153" s="21">
        <f t="shared" si="603"/>
        <v>318.28499999999997</v>
      </c>
      <c r="JI153" s="21">
        <f t="shared" si="604"/>
        <v>318.28499999999997</v>
      </c>
      <c r="JJ153" s="21">
        <f t="shared" si="605"/>
        <v>0</v>
      </c>
      <c r="JK153" s="21">
        <f t="shared" si="606"/>
        <v>0</v>
      </c>
      <c r="JL153" s="21">
        <f t="shared" si="607"/>
        <v>0</v>
      </c>
      <c r="JM153" s="21">
        <f t="shared" si="608"/>
        <v>0</v>
      </c>
      <c r="JN153" s="21">
        <f t="shared" si="609"/>
        <v>0</v>
      </c>
      <c r="JO153" s="35">
        <f t="shared" si="664"/>
        <v>643</v>
      </c>
      <c r="JP153" s="38">
        <f t="shared" si="665"/>
        <v>0</v>
      </c>
      <c r="JQ153" s="43">
        <f t="shared" si="610"/>
        <v>0</v>
      </c>
      <c r="JR153" s="43">
        <f t="shared" si="611"/>
        <v>0</v>
      </c>
      <c r="JS153" s="43">
        <f t="shared" si="612"/>
        <v>0</v>
      </c>
      <c r="JT153" s="43">
        <f t="shared" si="613"/>
        <v>0</v>
      </c>
      <c r="JU153" s="43">
        <f t="shared" si="614"/>
        <v>0</v>
      </c>
      <c r="JV153" s="43">
        <f t="shared" si="615"/>
        <v>0</v>
      </c>
      <c r="JW153" s="43">
        <f t="shared" si="616"/>
        <v>0</v>
      </c>
      <c r="JX153" s="43">
        <f t="shared" si="617"/>
        <v>0</v>
      </c>
      <c r="JY153" s="43">
        <f t="shared" si="618"/>
        <v>0</v>
      </c>
      <c r="JZ153" s="43">
        <f t="shared" si="619"/>
        <v>0</v>
      </c>
      <c r="KA153" s="43">
        <f t="shared" si="620"/>
        <v>0</v>
      </c>
      <c r="KB153" s="43">
        <f t="shared" si="621"/>
        <v>0</v>
      </c>
      <c r="KC153" s="43">
        <f t="shared" si="622"/>
        <v>0</v>
      </c>
      <c r="KD153" s="43">
        <f t="shared" si="623"/>
        <v>0</v>
      </c>
      <c r="KE153" s="43">
        <f t="shared" si="624"/>
        <v>0</v>
      </c>
      <c r="KF153" s="43">
        <f t="shared" si="625"/>
        <v>0</v>
      </c>
      <c r="KG153" s="43">
        <f t="shared" si="626"/>
        <v>0</v>
      </c>
      <c r="KH153" s="43">
        <f t="shared" si="627"/>
        <v>0</v>
      </c>
      <c r="KI153" s="43">
        <f t="shared" si="628"/>
        <v>0</v>
      </c>
      <c r="KJ153" s="43">
        <f t="shared" si="629"/>
        <v>0</v>
      </c>
      <c r="KK153" s="43">
        <f t="shared" si="630"/>
        <v>0</v>
      </c>
      <c r="KL153" s="43">
        <f t="shared" si="631"/>
        <v>0</v>
      </c>
      <c r="KM153" s="43">
        <f t="shared" si="632"/>
        <v>0</v>
      </c>
      <c r="KN153" s="43">
        <f t="shared" si="633"/>
        <v>0</v>
      </c>
      <c r="KO153" s="43">
        <f t="shared" si="634"/>
        <v>0</v>
      </c>
      <c r="KP153" s="43">
        <f t="shared" si="635"/>
        <v>0</v>
      </c>
      <c r="KQ153" s="43">
        <f t="shared" si="636"/>
        <v>0</v>
      </c>
      <c r="KR153" s="43">
        <f t="shared" si="637"/>
        <v>0</v>
      </c>
      <c r="KS153" s="43">
        <f t="shared" si="638"/>
        <v>0</v>
      </c>
      <c r="KT153" s="43">
        <f t="shared" si="639"/>
        <v>0</v>
      </c>
      <c r="KU153" s="43">
        <f t="shared" si="640"/>
        <v>0</v>
      </c>
      <c r="KV153" s="43">
        <f t="shared" si="641"/>
        <v>0</v>
      </c>
      <c r="KW153" s="43">
        <f t="shared" si="642"/>
        <v>0</v>
      </c>
      <c r="KX153" s="43">
        <f t="shared" si="643"/>
        <v>0</v>
      </c>
      <c r="KY153" s="43">
        <f t="shared" si="644"/>
        <v>0</v>
      </c>
      <c r="KZ153" s="43">
        <f t="shared" si="645"/>
        <v>0</v>
      </c>
      <c r="LA153" s="43">
        <f t="shared" si="646"/>
        <v>0</v>
      </c>
      <c r="LB153" s="43">
        <f t="shared" si="647"/>
        <v>0</v>
      </c>
      <c r="LC153" s="43">
        <f t="shared" si="648"/>
        <v>0</v>
      </c>
      <c r="LD153" s="43">
        <f t="shared" si="649"/>
        <v>0</v>
      </c>
      <c r="LE153" s="43">
        <f t="shared" si="650"/>
        <v>0</v>
      </c>
      <c r="LF153" s="43">
        <f t="shared" si="651"/>
        <v>0</v>
      </c>
      <c r="LG153" s="43">
        <f t="shared" si="652"/>
        <v>66.357600000000005</v>
      </c>
      <c r="LH153" s="43">
        <f t="shared" si="653"/>
        <v>0</v>
      </c>
      <c r="LI153" s="43">
        <f t="shared" si="654"/>
        <v>0</v>
      </c>
      <c r="LJ153" s="43">
        <f t="shared" si="655"/>
        <v>1532.7205146000001</v>
      </c>
      <c r="LK153" s="43">
        <f t="shared" si="656"/>
        <v>1274.9701387499999</v>
      </c>
      <c r="LL153" s="43">
        <f t="shared" si="657"/>
        <v>0</v>
      </c>
      <c r="LM153" s="43">
        <f t="shared" si="658"/>
        <v>0</v>
      </c>
      <c r="LN153" s="43">
        <f t="shared" si="659"/>
        <v>0</v>
      </c>
      <c r="LO153" s="43">
        <f t="shared" si="660"/>
        <v>0</v>
      </c>
      <c r="LP153" s="43">
        <f t="shared" si="661"/>
        <v>0</v>
      </c>
      <c r="LQ153" s="28">
        <f t="shared" si="666"/>
        <v>2874.0482533499999</v>
      </c>
      <c r="LR153" s="65">
        <v>618</v>
      </c>
      <c r="LS153" s="32">
        <f t="shared" si="679"/>
        <v>4.6505635167475727</v>
      </c>
      <c r="LT153" s="26">
        <f t="shared" si="680"/>
        <v>1.2706457696031619</v>
      </c>
      <c r="LU153" s="31">
        <f t="shared" si="667"/>
        <v>25</v>
      </c>
      <c r="LW153" s="42"/>
      <c r="MA153" s="32">
        <f t="shared" si="668"/>
        <v>4.46974845</v>
      </c>
      <c r="MB153" s="26">
        <f t="shared" si="681"/>
        <v>1.2212427459016393</v>
      </c>
    </row>
    <row r="154" spans="1:340" ht="15.75" thickBot="1">
      <c r="A154" t="b">
        <f t="shared" si="662"/>
        <v>1</v>
      </c>
      <c r="B154" s="123" t="s">
        <v>342</v>
      </c>
      <c r="C154" s="39" t="s">
        <v>343</v>
      </c>
      <c r="D154"/>
      <c r="E154" s="97">
        <v>46052</v>
      </c>
      <c r="F154" t="s">
        <v>43</v>
      </c>
      <c r="G154" t="s">
        <v>20</v>
      </c>
      <c r="H154" t="s">
        <v>26</v>
      </c>
      <c r="I154" s="77"/>
      <c r="J154" s="77"/>
      <c r="K154" s="77"/>
      <c r="L154" s="22"/>
      <c r="M154" s="22"/>
      <c r="N154" s="98"/>
      <c r="O154" s="22"/>
      <c r="P154" s="22"/>
      <c r="Q154" s="22"/>
      <c r="R154" s="22"/>
      <c r="S154" s="104"/>
      <c r="T154" s="22"/>
      <c r="U154" s="22"/>
      <c r="V154" s="104"/>
      <c r="W154" s="22"/>
      <c r="X154" s="22"/>
      <c r="Y154" s="22"/>
      <c r="Z154" s="104"/>
      <c r="AA154" s="104"/>
      <c r="AB154" s="104"/>
      <c r="AC154" s="22"/>
      <c r="AD154" s="22"/>
      <c r="AE154" s="22"/>
      <c r="AF154" s="124"/>
      <c r="AG154" s="124"/>
      <c r="AH154" s="22"/>
      <c r="AI154" s="104"/>
      <c r="AJ154" s="22">
        <v>0.35</v>
      </c>
      <c r="AK154" s="22"/>
      <c r="AL154" s="22"/>
      <c r="AM154" s="22"/>
      <c r="AN154" s="22"/>
      <c r="AO154" s="104"/>
      <c r="AP154" s="22"/>
      <c r="AQ154" s="22"/>
      <c r="AR154" s="22">
        <v>0.05</v>
      </c>
      <c r="AS154" s="22"/>
      <c r="AT154" s="22"/>
      <c r="AU154" s="22"/>
      <c r="AV154" s="22"/>
      <c r="AW154" s="22"/>
      <c r="AX154" s="22"/>
      <c r="AY154" s="22"/>
      <c r="AZ154" s="22">
        <v>0.6</v>
      </c>
      <c r="BA154" s="98"/>
      <c r="BB154" s="98"/>
      <c r="BC154" s="124"/>
      <c r="BD154" s="124"/>
      <c r="BE154" s="104"/>
      <c r="BF154" s="22"/>
      <c r="BG154" s="22"/>
      <c r="BH154" s="22"/>
      <c r="BI154" s="78">
        <f t="shared" si="682"/>
        <v>1</v>
      </c>
      <c r="BJ154" s="23"/>
      <c r="BK154" s="23"/>
      <c r="BL154" s="23"/>
      <c r="BM154" s="23"/>
      <c r="BN154" s="23"/>
      <c r="BO154" s="99"/>
      <c r="BP154" s="23"/>
      <c r="BQ154" s="23"/>
      <c r="BR154" s="23"/>
      <c r="BS154" s="23"/>
      <c r="BT154" s="105"/>
      <c r="BU154" s="23"/>
      <c r="BV154" s="23"/>
      <c r="BW154" s="105"/>
      <c r="BX154" s="23"/>
      <c r="BY154" s="23"/>
      <c r="BZ154" s="23"/>
      <c r="CA154" s="105"/>
      <c r="CB154" s="105"/>
      <c r="CC154" s="105"/>
      <c r="CD154" s="23"/>
      <c r="CE154" s="23"/>
      <c r="CF154" s="71"/>
      <c r="CG154" s="128"/>
      <c r="CH154" s="128"/>
      <c r="CI154" s="23"/>
      <c r="CJ154" s="23"/>
      <c r="CK154" s="23"/>
      <c r="CL154" s="23">
        <v>0.35</v>
      </c>
      <c r="CM154" s="23"/>
      <c r="CN154" s="23"/>
      <c r="CO154" s="23"/>
      <c r="CP154" s="105"/>
      <c r="CQ154" s="23"/>
      <c r="CR154" s="23"/>
      <c r="CS154" s="23">
        <v>0.05</v>
      </c>
      <c r="CT154" s="23"/>
      <c r="CU154" s="23"/>
      <c r="CV154" s="23"/>
      <c r="CW154" s="23"/>
      <c r="CX154" s="23"/>
      <c r="CY154" s="23"/>
      <c r="CZ154" s="23"/>
      <c r="DA154" s="23">
        <v>0.6</v>
      </c>
      <c r="DB154" s="99"/>
      <c r="DC154" s="99"/>
      <c r="DD154" s="125"/>
      <c r="DE154" s="125"/>
      <c r="DF154" s="105"/>
      <c r="DG154" s="23"/>
      <c r="DH154" s="23"/>
      <c r="DI154" s="23"/>
      <c r="DJ154" s="79">
        <f t="shared" si="663"/>
        <v>1</v>
      </c>
      <c r="DK154" s="24"/>
      <c r="DL154" s="24"/>
      <c r="DM154" s="24"/>
      <c r="DN154" s="24">
        <v>0.6</v>
      </c>
      <c r="DO154" s="24"/>
      <c r="DP154" s="103"/>
      <c r="DQ154" s="24"/>
      <c r="DR154" s="24"/>
      <c r="DS154" s="24">
        <v>0.2</v>
      </c>
      <c r="DT154" s="24"/>
      <c r="DU154" s="108"/>
      <c r="DV154" s="24"/>
      <c r="DW154" s="24"/>
      <c r="DX154" s="108"/>
      <c r="DY154" s="24"/>
      <c r="DZ154" s="24"/>
      <c r="EA154" s="24"/>
      <c r="EB154" s="108"/>
      <c r="EC154" s="108"/>
      <c r="ED154" s="108"/>
      <c r="EE154" s="24"/>
      <c r="EF154" s="24"/>
      <c r="EG154" s="24"/>
      <c r="EH154" s="129"/>
      <c r="EI154" s="129"/>
      <c r="EJ154" s="24"/>
      <c r="EK154" s="24"/>
      <c r="EL154" s="24"/>
      <c r="EM154" s="24"/>
      <c r="EN154" s="24"/>
      <c r="EO154" s="24"/>
      <c r="EP154" s="24"/>
      <c r="EQ154" s="108"/>
      <c r="ER154" s="24"/>
      <c r="ES154" s="25"/>
      <c r="ET154" s="25"/>
      <c r="EU154" s="25">
        <v>0.18</v>
      </c>
      <c r="EV154" s="25"/>
      <c r="EW154" s="25"/>
      <c r="EX154" s="25"/>
      <c r="EY154" s="25"/>
      <c r="EZ154" s="25"/>
      <c r="FA154" s="25"/>
      <c r="FB154" s="25"/>
      <c r="FC154" s="100"/>
      <c r="FD154" s="100"/>
      <c r="FE154" s="126"/>
      <c r="FF154" s="126"/>
      <c r="FG154" s="106"/>
      <c r="FH154" s="25"/>
      <c r="FI154" s="25"/>
      <c r="FJ154" s="25">
        <v>0.02</v>
      </c>
      <c r="FK154" s="17">
        <f t="shared" si="683"/>
        <v>1</v>
      </c>
      <c r="FL154" s="18"/>
      <c r="FM154" s="19">
        <f t="shared" si="505"/>
        <v>0</v>
      </c>
      <c r="FN154" s="19">
        <f t="shared" si="506"/>
        <v>0</v>
      </c>
      <c r="FO154" s="19">
        <f t="shared" si="507"/>
        <v>0</v>
      </c>
      <c r="FP154" s="19">
        <f t="shared" si="508"/>
        <v>0.89999999999999991</v>
      </c>
      <c r="FQ154" s="19">
        <f t="shared" si="509"/>
        <v>0</v>
      </c>
      <c r="FR154" s="19">
        <f t="shared" si="510"/>
        <v>0</v>
      </c>
      <c r="FS154" s="19">
        <f t="shared" si="511"/>
        <v>0</v>
      </c>
      <c r="FT154" s="19">
        <f t="shared" si="512"/>
        <v>0</v>
      </c>
      <c r="FU154" s="19">
        <f t="shared" si="513"/>
        <v>0.30000000000000004</v>
      </c>
      <c r="FV154" s="19">
        <f t="shared" si="514"/>
        <v>0</v>
      </c>
      <c r="FW154" s="19">
        <f t="shared" si="515"/>
        <v>0</v>
      </c>
      <c r="FX154" s="19">
        <f t="shared" si="516"/>
        <v>0</v>
      </c>
      <c r="FY154" s="19">
        <f t="shared" si="517"/>
        <v>0</v>
      </c>
      <c r="FZ154" s="19">
        <f t="shared" si="518"/>
        <v>0</v>
      </c>
      <c r="GA154" s="19">
        <f t="shared" si="519"/>
        <v>0</v>
      </c>
      <c r="GB154" s="19">
        <f t="shared" si="520"/>
        <v>0</v>
      </c>
      <c r="GC154" s="19">
        <f t="shared" si="521"/>
        <v>0</v>
      </c>
      <c r="GD154" s="19">
        <f t="shared" si="522"/>
        <v>0</v>
      </c>
      <c r="GE154" s="19">
        <f t="shared" si="523"/>
        <v>0</v>
      </c>
      <c r="GF154" s="19">
        <f t="shared" si="524"/>
        <v>0</v>
      </c>
      <c r="GG154" s="19">
        <f t="shared" si="525"/>
        <v>0</v>
      </c>
      <c r="GH154" s="19">
        <f t="shared" si="526"/>
        <v>0</v>
      </c>
      <c r="GI154" s="19">
        <f t="shared" si="527"/>
        <v>0</v>
      </c>
      <c r="GJ154" s="19">
        <f t="shared" si="528"/>
        <v>0</v>
      </c>
      <c r="GK154" s="19">
        <f t="shared" si="529"/>
        <v>0</v>
      </c>
      <c r="GL154" s="19">
        <f t="shared" si="530"/>
        <v>0</v>
      </c>
      <c r="GM154" s="19">
        <f t="shared" si="531"/>
        <v>0</v>
      </c>
      <c r="GN154" s="19">
        <f t="shared" si="532"/>
        <v>0.52499999999999991</v>
      </c>
      <c r="GO154" s="19">
        <f t="shared" si="533"/>
        <v>0.7</v>
      </c>
      <c r="GP154" s="19">
        <f t="shared" si="534"/>
        <v>0</v>
      </c>
      <c r="GQ154" s="19">
        <f t="shared" si="535"/>
        <v>0</v>
      </c>
      <c r="GR154" s="19">
        <f t="shared" si="536"/>
        <v>0</v>
      </c>
      <c r="GS154" s="19">
        <f t="shared" si="537"/>
        <v>0</v>
      </c>
      <c r="GT154" s="19">
        <f t="shared" si="538"/>
        <v>0</v>
      </c>
      <c r="GU154" s="19">
        <f t="shared" si="539"/>
        <v>0</v>
      </c>
      <c r="GV154" s="19">
        <f t="shared" si="540"/>
        <v>0.17500000000000002</v>
      </c>
      <c r="GW154" s="19">
        <f t="shared" si="541"/>
        <v>0.27</v>
      </c>
      <c r="GX154" s="19">
        <f t="shared" si="542"/>
        <v>0</v>
      </c>
      <c r="GY154" s="19">
        <f t="shared" si="543"/>
        <v>0</v>
      </c>
      <c r="GZ154" s="19">
        <f t="shared" si="544"/>
        <v>0</v>
      </c>
      <c r="HA154" s="19">
        <f t="shared" si="545"/>
        <v>0</v>
      </c>
      <c r="HB154" s="19">
        <f t="shared" si="546"/>
        <v>0</v>
      </c>
      <c r="HC154" s="19">
        <f t="shared" si="547"/>
        <v>0</v>
      </c>
      <c r="HD154" s="19">
        <f t="shared" si="548"/>
        <v>2.0999999999999996</v>
      </c>
      <c r="HE154" s="19">
        <f t="shared" si="549"/>
        <v>0</v>
      </c>
      <c r="HF154" s="19">
        <f t="shared" si="550"/>
        <v>0</v>
      </c>
      <c r="HG154" s="19">
        <f t="shared" si="551"/>
        <v>0</v>
      </c>
      <c r="HH154" s="19">
        <f t="shared" si="552"/>
        <v>0</v>
      </c>
      <c r="HI154" s="19">
        <f t="shared" si="553"/>
        <v>0</v>
      </c>
      <c r="HJ154" s="19">
        <f t="shared" si="554"/>
        <v>0</v>
      </c>
      <c r="HK154" s="19">
        <f t="shared" si="555"/>
        <v>0</v>
      </c>
      <c r="HL154" s="19">
        <f t="shared" si="556"/>
        <v>0.03</v>
      </c>
      <c r="HM154" s="20">
        <f t="shared" si="557"/>
        <v>4.9999999999999991</v>
      </c>
      <c r="HN154" s="53">
        <v>3618</v>
      </c>
      <c r="HO154" s="21">
        <f t="shared" si="558"/>
        <v>0</v>
      </c>
      <c r="HP154" s="21">
        <f t="shared" si="559"/>
        <v>0</v>
      </c>
      <c r="HQ154" s="21">
        <f t="shared" si="560"/>
        <v>0</v>
      </c>
      <c r="HR154" s="21">
        <f t="shared" si="561"/>
        <v>651.24000000000012</v>
      </c>
      <c r="HS154" s="21">
        <f t="shared" si="562"/>
        <v>0</v>
      </c>
      <c r="HT154" s="69">
        <f t="shared" si="563"/>
        <v>0</v>
      </c>
      <c r="HU154" s="21">
        <f t="shared" si="564"/>
        <v>0</v>
      </c>
      <c r="HV154" s="21">
        <f t="shared" si="565"/>
        <v>0</v>
      </c>
      <c r="HW154" s="21">
        <f t="shared" si="566"/>
        <v>217.08000000000007</v>
      </c>
      <c r="HX154" s="21">
        <f t="shared" si="567"/>
        <v>0</v>
      </c>
      <c r="HY154" s="21">
        <f t="shared" si="568"/>
        <v>0</v>
      </c>
      <c r="HZ154" s="21">
        <f t="shared" si="569"/>
        <v>0</v>
      </c>
      <c r="IA154" s="21">
        <f t="shared" si="570"/>
        <v>0</v>
      </c>
      <c r="IB154" s="21">
        <f t="shared" si="571"/>
        <v>0</v>
      </c>
      <c r="IC154" s="21">
        <f t="shared" si="572"/>
        <v>0</v>
      </c>
      <c r="ID154" s="21">
        <f t="shared" si="573"/>
        <v>0</v>
      </c>
      <c r="IE154" s="21">
        <f t="shared" si="574"/>
        <v>0</v>
      </c>
      <c r="IF154" s="69">
        <f t="shared" si="575"/>
        <v>0</v>
      </c>
      <c r="IG154" s="69">
        <f t="shared" si="576"/>
        <v>0</v>
      </c>
      <c r="IH154" s="69">
        <f t="shared" si="577"/>
        <v>0</v>
      </c>
      <c r="II154" s="21">
        <f t="shared" si="578"/>
        <v>0</v>
      </c>
      <c r="IJ154" s="21">
        <f t="shared" si="579"/>
        <v>0</v>
      </c>
      <c r="IK154" s="21">
        <f t="shared" si="580"/>
        <v>0</v>
      </c>
      <c r="IL154" s="21">
        <f t="shared" si="581"/>
        <v>0</v>
      </c>
      <c r="IM154" s="21">
        <f t="shared" si="582"/>
        <v>0</v>
      </c>
      <c r="IN154" s="21">
        <f t="shared" si="583"/>
        <v>0</v>
      </c>
      <c r="IO154" s="21">
        <f t="shared" si="584"/>
        <v>0</v>
      </c>
      <c r="IP154" s="21">
        <f t="shared" si="585"/>
        <v>379.89</v>
      </c>
      <c r="IQ154" s="21">
        <f t="shared" si="586"/>
        <v>506.5200000000001</v>
      </c>
      <c r="IR154" s="21">
        <f t="shared" si="587"/>
        <v>0</v>
      </c>
      <c r="IS154" s="21">
        <f t="shared" si="588"/>
        <v>0</v>
      </c>
      <c r="IT154" s="21">
        <f t="shared" si="589"/>
        <v>0</v>
      </c>
      <c r="IU154" s="21">
        <f t="shared" si="590"/>
        <v>0</v>
      </c>
      <c r="IV154" s="21">
        <f t="shared" si="591"/>
        <v>0</v>
      </c>
      <c r="IW154" s="21">
        <f t="shared" si="592"/>
        <v>0</v>
      </c>
      <c r="IX154" s="21">
        <f t="shared" si="593"/>
        <v>126.63000000000004</v>
      </c>
      <c r="IY154" s="21">
        <f t="shared" si="594"/>
        <v>195.37200000000004</v>
      </c>
      <c r="IZ154" s="21">
        <f t="shared" si="595"/>
        <v>0</v>
      </c>
      <c r="JA154" s="21">
        <f t="shared" si="596"/>
        <v>0</v>
      </c>
      <c r="JB154" s="21">
        <f t="shared" si="597"/>
        <v>0</v>
      </c>
      <c r="JC154" s="21">
        <f t="shared" si="598"/>
        <v>0</v>
      </c>
      <c r="JD154" s="21">
        <f t="shared" si="599"/>
        <v>0</v>
      </c>
      <c r="JE154" s="21">
        <f t="shared" si="600"/>
        <v>0</v>
      </c>
      <c r="JF154" s="21">
        <f t="shared" si="601"/>
        <v>1519.56</v>
      </c>
      <c r="JG154" s="21">
        <f t="shared" si="602"/>
        <v>0</v>
      </c>
      <c r="JH154" s="21">
        <f t="shared" si="603"/>
        <v>0</v>
      </c>
      <c r="JI154" s="21">
        <f t="shared" si="604"/>
        <v>0</v>
      </c>
      <c r="JJ154" s="21">
        <f t="shared" si="605"/>
        <v>0</v>
      </c>
      <c r="JK154" s="21">
        <f t="shared" si="606"/>
        <v>0</v>
      </c>
      <c r="JL154" s="21">
        <f t="shared" si="607"/>
        <v>0</v>
      </c>
      <c r="JM154" s="21">
        <f t="shared" si="608"/>
        <v>0</v>
      </c>
      <c r="JN154" s="21">
        <f t="shared" si="609"/>
        <v>21.708000000000002</v>
      </c>
      <c r="JO154" s="35">
        <f t="shared" si="664"/>
        <v>3618</v>
      </c>
      <c r="JP154" s="38">
        <f t="shared" si="665"/>
        <v>0</v>
      </c>
      <c r="JQ154" s="43">
        <f t="shared" si="610"/>
        <v>0</v>
      </c>
      <c r="JR154" s="43">
        <f t="shared" si="611"/>
        <v>0</v>
      </c>
      <c r="JS154" s="43">
        <f t="shared" si="612"/>
        <v>0</v>
      </c>
      <c r="JT154" s="43">
        <f t="shared" si="613"/>
        <v>2800.9311408000008</v>
      </c>
      <c r="JU154" s="43">
        <f t="shared" si="614"/>
        <v>0</v>
      </c>
      <c r="JV154" s="43">
        <f t="shared" si="615"/>
        <v>0</v>
      </c>
      <c r="JW154" s="43">
        <f t="shared" si="616"/>
        <v>0</v>
      </c>
      <c r="JX154" s="43">
        <f t="shared" si="617"/>
        <v>0</v>
      </c>
      <c r="JY154" s="43">
        <f t="shared" si="618"/>
        <v>1005.4624608000003</v>
      </c>
      <c r="JZ154" s="43">
        <f t="shared" si="619"/>
        <v>0</v>
      </c>
      <c r="KA154" s="43">
        <f t="shared" si="620"/>
        <v>0</v>
      </c>
      <c r="KB154" s="43">
        <f t="shared" si="621"/>
        <v>0</v>
      </c>
      <c r="KC154" s="43">
        <f t="shared" si="622"/>
        <v>0</v>
      </c>
      <c r="KD154" s="43">
        <f t="shared" si="623"/>
        <v>0</v>
      </c>
      <c r="KE154" s="43">
        <f t="shared" si="624"/>
        <v>0</v>
      </c>
      <c r="KF154" s="43">
        <f t="shared" si="625"/>
        <v>0</v>
      </c>
      <c r="KG154" s="43">
        <f t="shared" si="626"/>
        <v>0</v>
      </c>
      <c r="KH154" s="43">
        <f t="shared" si="627"/>
        <v>0</v>
      </c>
      <c r="KI154" s="43">
        <f t="shared" si="628"/>
        <v>0</v>
      </c>
      <c r="KJ154" s="43">
        <f t="shared" si="629"/>
        <v>0</v>
      </c>
      <c r="KK154" s="43">
        <f t="shared" si="630"/>
        <v>0</v>
      </c>
      <c r="KL154" s="43">
        <f t="shared" si="631"/>
        <v>0</v>
      </c>
      <c r="KM154" s="43">
        <f t="shared" si="632"/>
        <v>0</v>
      </c>
      <c r="KN154" s="43">
        <f t="shared" si="633"/>
        <v>0</v>
      </c>
      <c r="KO154" s="43">
        <f t="shared" si="634"/>
        <v>0</v>
      </c>
      <c r="KP154" s="43">
        <f t="shared" si="635"/>
        <v>0</v>
      </c>
      <c r="KQ154" s="43">
        <f t="shared" si="636"/>
        <v>0</v>
      </c>
      <c r="KR154" s="43">
        <f t="shared" si="637"/>
        <v>1466.3753999999999</v>
      </c>
      <c r="KS154" s="43">
        <f t="shared" si="638"/>
        <v>1731.9595330036366</v>
      </c>
      <c r="KT154" s="43">
        <f t="shared" si="639"/>
        <v>0</v>
      </c>
      <c r="KU154" s="43">
        <f t="shared" si="640"/>
        <v>0</v>
      </c>
      <c r="KV154" s="43">
        <f t="shared" si="641"/>
        <v>0</v>
      </c>
      <c r="KW154" s="43">
        <f t="shared" si="642"/>
        <v>0</v>
      </c>
      <c r="KX154" s="43">
        <f t="shared" si="643"/>
        <v>0</v>
      </c>
      <c r="KY154" s="43">
        <f t="shared" si="644"/>
        <v>0</v>
      </c>
      <c r="KZ154" s="43">
        <f t="shared" si="645"/>
        <v>1095.3495000000003</v>
      </c>
      <c r="LA154" s="43">
        <f t="shared" si="646"/>
        <v>782.82434448000004</v>
      </c>
      <c r="LB154" s="43">
        <f t="shared" si="647"/>
        <v>0</v>
      </c>
      <c r="LC154" s="43">
        <f t="shared" si="648"/>
        <v>0</v>
      </c>
      <c r="LD154" s="43">
        <f t="shared" si="649"/>
        <v>0</v>
      </c>
      <c r="LE154" s="43">
        <f t="shared" si="650"/>
        <v>0</v>
      </c>
      <c r="LF154" s="43">
        <f t="shared" si="651"/>
        <v>0</v>
      </c>
      <c r="LG154" s="43">
        <f t="shared" si="652"/>
        <v>0</v>
      </c>
      <c r="LH154" s="43">
        <f t="shared" si="653"/>
        <v>6361.865904698182</v>
      </c>
      <c r="LI154" s="43">
        <f t="shared" si="654"/>
        <v>0</v>
      </c>
      <c r="LJ154" s="43">
        <f t="shared" si="655"/>
        <v>0</v>
      </c>
      <c r="LK154" s="43">
        <f t="shared" si="656"/>
        <v>0</v>
      </c>
      <c r="LL154" s="43">
        <f t="shared" si="657"/>
        <v>0</v>
      </c>
      <c r="LM154" s="43">
        <f t="shared" si="658"/>
        <v>0</v>
      </c>
      <c r="LN154" s="43">
        <f t="shared" si="659"/>
        <v>0</v>
      </c>
      <c r="LO154" s="43">
        <f t="shared" si="660"/>
        <v>0</v>
      </c>
      <c r="LP154" s="43">
        <f t="shared" si="661"/>
        <v>183.43260000000001</v>
      </c>
      <c r="LQ154" s="28">
        <f t="shared" si="666"/>
        <v>15428.200883781821</v>
      </c>
      <c r="LR154" s="65">
        <v>3458</v>
      </c>
      <c r="LS154" s="32">
        <f t="shared" si="679"/>
        <v>4.4615965540144078</v>
      </c>
      <c r="LT154" s="26">
        <f t="shared" si="680"/>
        <v>1.2190154519165048</v>
      </c>
      <c r="LU154" s="31">
        <f t="shared" si="667"/>
        <v>160</v>
      </c>
      <c r="LW154" s="42"/>
      <c r="MA154" s="32">
        <f t="shared" si="668"/>
        <v>4.2642899070707081</v>
      </c>
      <c r="MB154" s="26">
        <f t="shared" si="681"/>
        <v>1.1651065319865321</v>
      </c>
    </row>
    <row r="155" spans="1:340" ht="15.75" thickBot="1">
      <c r="A155" t="b">
        <f t="shared" si="662"/>
        <v>1</v>
      </c>
      <c r="B155" s="123" t="s">
        <v>344</v>
      </c>
      <c r="C155" s="39" t="s">
        <v>345</v>
      </c>
      <c r="D155"/>
      <c r="E155" s="97">
        <v>46052</v>
      </c>
      <c r="F155" t="s">
        <v>43</v>
      </c>
      <c r="G155" t="s">
        <v>20</v>
      </c>
      <c r="H155" t="s">
        <v>27</v>
      </c>
      <c r="I155" s="77"/>
      <c r="J155" s="77"/>
      <c r="K155" s="77"/>
      <c r="L155" s="22">
        <v>0.15</v>
      </c>
      <c r="M155" s="22"/>
      <c r="N155" s="98"/>
      <c r="O155" s="22"/>
      <c r="P155" s="22"/>
      <c r="Q155" s="22"/>
      <c r="R155" s="22"/>
      <c r="S155" s="104"/>
      <c r="T155" s="22"/>
      <c r="U155" s="22"/>
      <c r="V155" s="104"/>
      <c r="W155" s="22"/>
      <c r="X155" s="22"/>
      <c r="Y155" s="22"/>
      <c r="Z155" s="104"/>
      <c r="AA155" s="104"/>
      <c r="AB155" s="104"/>
      <c r="AC155" s="22"/>
      <c r="AD155" s="22"/>
      <c r="AE155" s="22"/>
      <c r="AF155" s="124"/>
      <c r="AG155" s="124"/>
      <c r="AH155" s="22"/>
      <c r="AI155" s="104"/>
      <c r="AJ155" s="22">
        <v>0.45</v>
      </c>
      <c r="AK155" s="22"/>
      <c r="AL155" s="22"/>
      <c r="AM155" s="22"/>
      <c r="AN155" s="22"/>
      <c r="AO155" s="104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98"/>
      <c r="BB155" s="98"/>
      <c r="BC155" s="124">
        <v>0.4</v>
      </c>
      <c r="BD155" s="124"/>
      <c r="BE155" s="104"/>
      <c r="BF155" s="22"/>
      <c r="BG155" s="22"/>
      <c r="BH155" s="22"/>
      <c r="BI155" s="78">
        <f t="shared" si="682"/>
        <v>1</v>
      </c>
      <c r="BJ155" s="23"/>
      <c r="BK155" s="23"/>
      <c r="BL155" s="23"/>
      <c r="BM155" s="23"/>
      <c r="BN155" s="23"/>
      <c r="BO155" s="99"/>
      <c r="BP155" s="23"/>
      <c r="BQ155" s="23"/>
      <c r="BR155" s="23"/>
      <c r="BS155" s="23"/>
      <c r="BT155" s="105"/>
      <c r="BU155" s="23"/>
      <c r="BV155" s="23"/>
      <c r="BW155" s="105"/>
      <c r="BX155" s="23">
        <v>0.1</v>
      </c>
      <c r="BY155" s="23"/>
      <c r="BZ155" s="23"/>
      <c r="CA155" s="105"/>
      <c r="CB155" s="105"/>
      <c r="CC155" s="105"/>
      <c r="CD155" s="23"/>
      <c r="CE155" s="23"/>
      <c r="CF155" s="71">
        <v>0.45</v>
      </c>
      <c r="CG155" s="128"/>
      <c r="CH155" s="128"/>
      <c r="CI155" s="23"/>
      <c r="CJ155" s="23"/>
      <c r="CK155" s="23"/>
      <c r="CL155" s="23">
        <v>0.45</v>
      </c>
      <c r="CM155" s="23"/>
      <c r="CN155" s="23"/>
      <c r="CO155" s="23"/>
      <c r="CP155" s="105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B155" s="99"/>
      <c r="DC155" s="99"/>
      <c r="DD155" s="125"/>
      <c r="DE155" s="125"/>
      <c r="DF155" s="105"/>
      <c r="DG155" s="23"/>
      <c r="DH155" s="23"/>
      <c r="DI155" s="23"/>
      <c r="DJ155" s="79">
        <f t="shared" si="663"/>
        <v>1</v>
      </c>
      <c r="DK155" s="24"/>
      <c r="DL155" s="24"/>
      <c r="DM155" s="24"/>
      <c r="DN155" s="24">
        <v>0.65</v>
      </c>
      <c r="DO155" s="24"/>
      <c r="DP155" s="103"/>
      <c r="DQ155" s="24"/>
      <c r="DR155" s="24"/>
      <c r="DS155" s="24"/>
      <c r="DT155" s="24"/>
      <c r="DU155" s="108"/>
      <c r="DV155" s="24"/>
      <c r="DW155" s="24"/>
      <c r="DX155" s="108"/>
      <c r="DY155" s="24"/>
      <c r="DZ155" s="24"/>
      <c r="EA155" s="24"/>
      <c r="EB155" s="108"/>
      <c r="EC155" s="108"/>
      <c r="ED155" s="108"/>
      <c r="EE155" s="24"/>
      <c r="EF155" s="24"/>
      <c r="EG155" s="24"/>
      <c r="EH155" s="129"/>
      <c r="EI155" s="129"/>
      <c r="EJ155" s="24"/>
      <c r="EK155" s="24"/>
      <c r="EL155" s="24"/>
      <c r="EM155" s="24">
        <v>0.18</v>
      </c>
      <c r="EN155" s="24"/>
      <c r="EO155" s="24"/>
      <c r="EP155" s="24"/>
      <c r="EQ155" s="108"/>
      <c r="ER155" s="24"/>
      <c r="ES155" s="25"/>
      <c r="ET155" s="25"/>
      <c r="EU155" s="25">
        <v>0.15</v>
      </c>
      <c r="EV155" s="25"/>
      <c r="EW155" s="25"/>
      <c r="EX155" s="25"/>
      <c r="EY155" s="25"/>
      <c r="EZ155" s="25"/>
      <c r="FA155" s="25"/>
      <c r="FB155" s="25"/>
      <c r="FC155" s="100"/>
      <c r="FD155" s="100"/>
      <c r="FE155" s="126"/>
      <c r="FF155" s="126"/>
      <c r="FG155" s="106"/>
      <c r="FH155" s="25"/>
      <c r="FI155" s="25"/>
      <c r="FJ155" s="25">
        <v>0.02</v>
      </c>
      <c r="FK155" s="17">
        <f t="shared" si="683"/>
        <v>1</v>
      </c>
      <c r="FL155" s="18"/>
      <c r="FM155" s="19">
        <f t="shared" si="505"/>
        <v>0</v>
      </c>
      <c r="FN155" s="19">
        <f t="shared" si="506"/>
        <v>0</v>
      </c>
      <c r="FO155" s="19">
        <f t="shared" si="507"/>
        <v>0</v>
      </c>
      <c r="FP155" s="19">
        <f t="shared" si="508"/>
        <v>1.2000000000000002</v>
      </c>
      <c r="FQ155" s="19">
        <f t="shared" si="509"/>
        <v>0</v>
      </c>
      <c r="FR155" s="19">
        <f t="shared" si="510"/>
        <v>0</v>
      </c>
      <c r="FS155" s="19">
        <f t="shared" si="511"/>
        <v>0</v>
      </c>
      <c r="FT155" s="19">
        <f t="shared" si="512"/>
        <v>0</v>
      </c>
      <c r="FU155" s="19">
        <f t="shared" si="513"/>
        <v>0</v>
      </c>
      <c r="FV155" s="19">
        <f t="shared" si="514"/>
        <v>0</v>
      </c>
      <c r="FW155" s="19">
        <f t="shared" si="515"/>
        <v>0</v>
      </c>
      <c r="FX155" s="19">
        <f t="shared" si="516"/>
        <v>0</v>
      </c>
      <c r="FY155" s="19">
        <f t="shared" si="517"/>
        <v>0</v>
      </c>
      <c r="FZ155" s="19">
        <f t="shared" si="518"/>
        <v>0</v>
      </c>
      <c r="GA155" s="19">
        <f t="shared" si="519"/>
        <v>0.2</v>
      </c>
      <c r="GB155" s="19">
        <f t="shared" si="520"/>
        <v>0</v>
      </c>
      <c r="GC155" s="19">
        <f t="shared" si="521"/>
        <v>0</v>
      </c>
      <c r="GD155" s="19">
        <f t="shared" si="522"/>
        <v>0</v>
      </c>
      <c r="GE155" s="19">
        <f t="shared" si="523"/>
        <v>0</v>
      </c>
      <c r="GF155" s="19">
        <f t="shared" si="524"/>
        <v>0</v>
      </c>
      <c r="GG155" s="19">
        <f t="shared" si="525"/>
        <v>0</v>
      </c>
      <c r="GH155" s="19">
        <f t="shared" si="526"/>
        <v>0</v>
      </c>
      <c r="GI155" s="19">
        <f t="shared" si="527"/>
        <v>0.9</v>
      </c>
      <c r="GJ155" s="19">
        <f t="shared" si="528"/>
        <v>0</v>
      </c>
      <c r="GK155" s="19">
        <f t="shared" si="529"/>
        <v>0</v>
      </c>
      <c r="GL155" s="19">
        <f t="shared" si="530"/>
        <v>0</v>
      </c>
      <c r="GM155" s="19">
        <f t="shared" si="531"/>
        <v>0</v>
      </c>
      <c r="GN155" s="19">
        <f t="shared" si="532"/>
        <v>0.67500000000000004</v>
      </c>
      <c r="GO155" s="19">
        <f t="shared" si="533"/>
        <v>1.17</v>
      </c>
      <c r="GP155" s="19">
        <f t="shared" si="534"/>
        <v>0</v>
      </c>
      <c r="GQ155" s="19">
        <f t="shared" si="535"/>
        <v>0</v>
      </c>
      <c r="GR155" s="19">
        <f t="shared" si="536"/>
        <v>0</v>
      </c>
      <c r="GS155" s="19">
        <f t="shared" si="537"/>
        <v>0</v>
      </c>
      <c r="GT155" s="19">
        <f t="shared" si="538"/>
        <v>0</v>
      </c>
      <c r="GU155" s="19">
        <f t="shared" si="539"/>
        <v>0</v>
      </c>
      <c r="GV155" s="19">
        <f t="shared" si="540"/>
        <v>0</v>
      </c>
      <c r="GW155" s="19">
        <f t="shared" si="541"/>
        <v>0.22499999999999998</v>
      </c>
      <c r="GX155" s="19">
        <f t="shared" si="542"/>
        <v>0</v>
      </c>
      <c r="GY155" s="19">
        <f t="shared" si="543"/>
        <v>0</v>
      </c>
      <c r="GZ155" s="19">
        <f t="shared" si="544"/>
        <v>0</v>
      </c>
      <c r="HA155" s="19">
        <f t="shared" si="545"/>
        <v>0</v>
      </c>
      <c r="HB155" s="19">
        <f t="shared" si="546"/>
        <v>0</v>
      </c>
      <c r="HC155" s="19">
        <f t="shared" si="547"/>
        <v>0</v>
      </c>
      <c r="HD155" s="19">
        <f t="shared" si="548"/>
        <v>0</v>
      </c>
      <c r="HE155" s="19">
        <f t="shared" si="549"/>
        <v>0</v>
      </c>
      <c r="HF155" s="19">
        <f t="shared" si="550"/>
        <v>0</v>
      </c>
      <c r="HG155" s="19">
        <f t="shared" si="551"/>
        <v>0.60000000000000009</v>
      </c>
      <c r="HH155" s="19">
        <f t="shared" si="552"/>
        <v>0</v>
      </c>
      <c r="HI155" s="19">
        <f t="shared" si="553"/>
        <v>0</v>
      </c>
      <c r="HJ155" s="19">
        <f t="shared" si="554"/>
        <v>0</v>
      </c>
      <c r="HK155" s="19">
        <f t="shared" si="555"/>
        <v>0</v>
      </c>
      <c r="HL155" s="19">
        <f t="shared" si="556"/>
        <v>0.03</v>
      </c>
      <c r="HM155" s="20">
        <f t="shared" si="557"/>
        <v>5.0000000000000009</v>
      </c>
      <c r="HN155" s="53">
        <v>1935</v>
      </c>
      <c r="HO155" s="21">
        <f t="shared" si="558"/>
        <v>0</v>
      </c>
      <c r="HP155" s="21">
        <f t="shared" si="559"/>
        <v>0</v>
      </c>
      <c r="HQ155" s="21">
        <f t="shared" si="560"/>
        <v>0</v>
      </c>
      <c r="HR155" s="21">
        <f t="shared" si="561"/>
        <v>464.40000000000003</v>
      </c>
      <c r="HS155" s="21">
        <f t="shared" si="562"/>
        <v>0</v>
      </c>
      <c r="HT155" s="69">
        <f t="shared" si="563"/>
        <v>0</v>
      </c>
      <c r="HU155" s="21">
        <f t="shared" si="564"/>
        <v>0</v>
      </c>
      <c r="HV155" s="21">
        <f t="shared" si="565"/>
        <v>0</v>
      </c>
      <c r="HW155" s="21">
        <f t="shared" si="566"/>
        <v>0</v>
      </c>
      <c r="HX155" s="21">
        <f t="shared" si="567"/>
        <v>0</v>
      </c>
      <c r="HY155" s="21">
        <f t="shared" si="568"/>
        <v>0</v>
      </c>
      <c r="HZ155" s="21">
        <f t="shared" si="569"/>
        <v>0</v>
      </c>
      <c r="IA155" s="21">
        <f t="shared" si="570"/>
        <v>0</v>
      </c>
      <c r="IB155" s="21">
        <f t="shared" si="571"/>
        <v>0</v>
      </c>
      <c r="IC155" s="21">
        <f t="shared" si="572"/>
        <v>77.399999999999991</v>
      </c>
      <c r="ID155" s="21">
        <f t="shared" si="573"/>
        <v>0</v>
      </c>
      <c r="IE155" s="21">
        <f t="shared" si="574"/>
        <v>0</v>
      </c>
      <c r="IF155" s="69">
        <f t="shared" si="575"/>
        <v>0</v>
      </c>
      <c r="IG155" s="69">
        <f t="shared" si="576"/>
        <v>0</v>
      </c>
      <c r="IH155" s="69">
        <f t="shared" si="577"/>
        <v>0</v>
      </c>
      <c r="II155" s="21">
        <f t="shared" si="578"/>
        <v>0</v>
      </c>
      <c r="IJ155" s="21">
        <f t="shared" si="579"/>
        <v>0</v>
      </c>
      <c r="IK155" s="21">
        <f t="shared" si="580"/>
        <v>348.29999999999995</v>
      </c>
      <c r="IL155" s="21">
        <f t="shared" si="581"/>
        <v>0</v>
      </c>
      <c r="IM155" s="21">
        <f t="shared" si="582"/>
        <v>0</v>
      </c>
      <c r="IN155" s="21">
        <f t="shared" si="583"/>
        <v>0</v>
      </c>
      <c r="IO155" s="21">
        <f t="shared" si="584"/>
        <v>0</v>
      </c>
      <c r="IP155" s="21">
        <f t="shared" si="585"/>
        <v>261.22499999999997</v>
      </c>
      <c r="IQ155" s="21">
        <f t="shared" si="586"/>
        <v>452.78999999999991</v>
      </c>
      <c r="IR155" s="21">
        <f t="shared" si="587"/>
        <v>0</v>
      </c>
      <c r="IS155" s="21">
        <f t="shared" si="588"/>
        <v>0</v>
      </c>
      <c r="IT155" s="21">
        <f t="shared" si="589"/>
        <v>0</v>
      </c>
      <c r="IU155" s="21">
        <f t="shared" si="590"/>
        <v>0</v>
      </c>
      <c r="IV155" s="21">
        <f t="shared" si="591"/>
        <v>0</v>
      </c>
      <c r="IW155" s="21">
        <f t="shared" si="592"/>
        <v>0</v>
      </c>
      <c r="IX155" s="21">
        <f t="shared" si="593"/>
        <v>0</v>
      </c>
      <c r="IY155" s="21">
        <f t="shared" si="594"/>
        <v>87.074999999999974</v>
      </c>
      <c r="IZ155" s="21">
        <f t="shared" si="595"/>
        <v>0</v>
      </c>
      <c r="JA155" s="21">
        <f t="shared" si="596"/>
        <v>0</v>
      </c>
      <c r="JB155" s="21">
        <f t="shared" si="597"/>
        <v>0</v>
      </c>
      <c r="JC155" s="21">
        <f t="shared" si="598"/>
        <v>0</v>
      </c>
      <c r="JD155" s="21">
        <f t="shared" si="599"/>
        <v>0</v>
      </c>
      <c r="JE155" s="21">
        <f t="shared" si="600"/>
        <v>0</v>
      </c>
      <c r="JF155" s="21">
        <f t="shared" si="601"/>
        <v>0</v>
      </c>
      <c r="JG155" s="21">
        <f t="shared" si="602"/>
        <v>0</v>
      </c>
      <c r="JH155" s="21">
        <f t="shared" si="603"/>
        <v>0</v>
      </c>
      <c r="JI155" s="21">
        <f t="shared" si="604"/>
        <v>232.20000000000002</v>
      </c>
      <c r="JJ155" s="21">
        <f t="shared" si="605"/>
        <v>0</v>
      </c>
      <c r="JK155" s="21">
        <f t="shared" si="606"/>
        <v>0</v>
      </c>
      <c r="JL155" s="21">
        <f t="shared" si="607"/>
        <v>0</v>
      </c>
      <c r="JM155" s="21">
        <f t="shared" si="608"/>
        <v>0</v>
      </c>
      <c r="JN155" s="21">
        <f t="shared" si="609"/>
        <v>11.609999999999998</v>
      </c>
      <c r="JO155" s="35">
        <f t="shared" si="664"/>
        <v>1935</v>
      </c>
      <c r="JP155" s="38">
        <f t="shared" si="665"/>
        <v>0</v>
      </c>
      <c r="JQ155" s="43">
        <f t="shared" si="610"/>
        <v>0</v>
      </c>
      <c r="JR155" s="43">
        <f t="shared" si="611"/>
        <v>0</v>
      </c>
      <c r="JS155" s="43">
        <f t="shared" si="612"/>
        <v>0</v>
      </c>
      <c r="JT155" s="43">
        <f t="shared" si="613"/>
        <v>1997.3472480000005</v>
      </c>
      <c r="JU155" s="43">
        <f t="shared" si="614"/>
        <v>0</v>
      </c>
      <c r="JV155" s="43">
        <f t="shared" si="615"/>
        <v>0</v>
      </c>
      <c r="JW155" s="43">
        <f t="shared" si="616"/>
        <v>0</v>
      </c>
      <c r="JX155" s="43">
        <f t="shared" si="617"/>
        <v>0</v>
      </c>
      <c r="JY155" s="43">
        <f t="shared" si="618"/>
        <v>0</v>
      </c>
      <c r="JZ155" s="43">
        <f t="shared" si="619"/>
        <v>0</v>
      </c>
      <c r="KA155" s="43">
        <f t="shared" si="620"/>
        <v>0</v>
      </c>
      <c r="KB155" s="43">
        <f t="shared" si="621"/>
        <v>0</v>
      </c>
      <c r="KC155" s="43">
        <f t="shared" si="622"/>
        <v>0</v>
      </c>
      <c r="KD155" s="43">
        <f t="shared" si="623"/>
        <v>0</v>
      </c>
      <c r="KE155" s="43">
        <f t="shared" si="624"/>
        <v>315.51916421818174</v>
      </c>
      <c r="KF155" s="43">
        <f t="shared" si="625"/>
        <v>0</v>
      </c>
      <c r="KG155" s="43">
        <f t="shared" si="626"/>
        <v>0</v>
      </c>
      <c r="KH155" s="43">
        <f t="shared" si="627"/>
        <v>0</v>
      </c>
      <c r="KI155" s="43">
        <f t="shared" si="628"/>
        <v>0</v>
      </c>
      <c r="KJ155" s="43">
        <f t="shared" si="629"/>
        <v>0</v>
      </c>
      <c r="KK155" s="43">
        <f t="shared" si="630"/>
        <v>0</v>
      </c>
      <c r="KL155" s="43">
        <f t="shared" si="631"/>
        <v>0</v>
      </c>
      <c r="KM155" s="43">
        <f t="shared" si="632"/>
        <v>1432.6275599999999</v>
      </c>
      <c r="KN155" s="43">
        <f t="shared" si="633"/>
        <v>0</v>
      </c>
      <c r="KO155" s="43">
        <f t="shared" si="634"/>
        <v>0</v>
      </c>
      <c r="KP155" s="43">
        <f t="shared" si="635"/>
        <v>0</v>
      </c>
      <c r="KQ155" s="43">
        <f t="shared" si="636"/>
        <v>0</v>
      </c>
      <c r="KR155" s="43">
        <f t="shared" si="637"/>
        <v>1008.3284999999998</v>
      </c>
      <c r="KS155" s="43">
        <f t="shared" si="638"/>
        <v>1548.2388789163633</v>
      </c>
      <c r="KT155" s="43">
        <f t="shared" si="639"/>
        <v>0</v>
      </c>
      <c r="KU155" s="43">
        <f t="shared" si="640"/>
        <v>0</v>
      </c>
      <c r="KV155" s="43">
        <f t="shared" si="641"/>
        <v>0</v>
      </c>
      <c r="KW155" s="43">
        <f t="shared" si="642"/>
        <v>0</v>
      </c>
      <c r="KX155" s="43">
        <f t="shared" si="643"/>
        <v>0</v>
      </c>
      <c r="KY155" s="43">
        <f t="shared" si="644"/>
        <v>0</v>
      </c>
      <c r="KZ155" s="43">
        <f t="shared" si="645"/>
        <v>0</v>
      </c>
      <c r="LA155" s="43">
        <f t="shared" si="646"/>
        <v>348.89559299999985</v>
      </c>
      <c r="LB155" s="43">
        <f t="shared" si="647"/>
        <v>0</v>
      </c>
      <c r="LC155" s="43">
        <f t="shared" si="648"/>
        <v>0</v>
      </c>
      <c r="LD155" s="43">
        <f t="shared" si="649"/>
        <v>0</v>
      </c>
      <c r="LE155" s="43">
        <f t="shared" si="650"/>
        <v>0</v>
      </c>
      <c r="LF155" s="43">
        <f t="shared" si="651"/>
        <v>0</v>
      </c>
      <c r="LG155" s="43">
        <f t="shared" si="652"/>
        <v>0</v>
      </c>
      <c r="LH155" s="43">
        <f t="shared" si="653"/>
        <v>0</v>
      </c>
      <c r="LI155" s="43">
        <f t="shared" si="654"/>
        <v>0</v>
      </c>
      <c r="LJ155" s="43">
        <f t="shared" si="655"/>
        <v>0</v>
      </c>
      <c r="LK155" s="43">
        <f t="shared" si="656"/>
        <v>930.13515000000007</v>
      </c>
      <c r="LL155" s="43">
        <f t="shared" si="657"/>
        <v>0</v>
      </c>
      <c r="LM155" s="43">
        <f t="shared" si="658"/>
        <v>0</v>
      </c>
      <c r="LN155" s="43">
        <f t="shared" si="659"/>
        <v>0</v>
      </c>
      <c r="LO155" s="43">
        <f t="shared" si="660"/>
        <v>0</v>
      </c>
      <c r="LP155" s="43">
        <f t="shared" si="661"/>
        <v>98.104499999999973</v>
      </c>
      <c r="LQ155" s="28">
        <f t="shared" si="666"/>
        <v>7679.1965941345461</v>
      </c>
      <c r="LR155" s="65">
        <v>1858</v>
      </c>
      <c r="LS155" s="32">
        <f t="shared" si="679"/>
        <v>4.1330444532478721</v>
      </c>
      <c r="LT155" s="26">
        <f t="shared" si="680"/>
        <v>1.1292471183737356</v>
      </c>
      <c r="LU155" s="31">
        <f t="shared" si="667"/>
        <v>77</v>
      </c>
      <c r="LW155" s="42"/>
      <c r="MA155" s="32">
        <f t="shared" si="668"/>
        <v>3.9685770512323235</v>
      </c>
      <c r="MB155" s="26">
        <f t="shared" si="681"/>
        <v>1.0843106697356075</v>
      </c>
    </row>
    <row r="156" spans="1:340" ht="15.75" thickBot="1">
      <c r="A156" t="b">
        <f t="shared" si="662"/>
        <v>1</v>
      </c>
      <c r="B156" s="123" t="s">
        <v>346</v>
      </c>
      <c r="C156" s="39" t="s">
        <v>88</v>
      </c>
      <c r="D156"/>
      <c r="E156" s="97">
        <v>46053</v>
      </c>
      <c r="F156" t="s">
        <v>43</v>
      </c>
      <c r="G156" t="s">
        <v>20</v>
      </c>
      <c r="H156" t="s">
        <v>26</v>
      </c>
      <c r="I156" s="77"/>
      <c r="J156" s="77"/>
      <c r="K156" s="77"/>
      <c r="L156" s="22"/>
      <c r="M156" s="22"/>
      <c r="N156" s="98"/>
      <c r="O156" s="22"/>
      <c r="P156" s="22"/>
      <c r="Q156" s="22"/>
      <c r="R156" s="22"/>
      <c r="S156" s="104"/>
      <c r="T156" s="22"/>
      <c r="U156" s="22"/>
      <c r="V156" s="104"/>
      <c r="W156" s="22"/>
      <c r="X156" s="22"/>
      <c r="Y156" s="22"/>
      <c r="Z156" s="104"/>
      <c r="AA156" s="104"/>
      <c r="AB156" s="104"/>
      <c r="AC156" s="22"/>
      <c r="AD156" s="22"/>
      <c r="AE156" s="22"/>
      <c r="AF156" s="124"/>
      <c r="AG156" s="124"/>
      <c r="AH156" s="22"/>
      <c r="AI156" s="104"/>
      <c r="AJ156" s="22"/>
      <c r="AK156" s="22">
        <v>0.49</v>
      </c>
      <c r="AL156" s="22"/>
      <c r="AM156" s="22"/>
      <c r="AN156" s="22"/>
      <c r="AO156" s="104"/>
      <c r="AP156" s="22"/>
      <c r="AQ156" s="22"/>
      <c r="AR156" s="22">
        <v>0.05</v>
      </c>
      <c r="AS156" s="22"/>
      <c r="AT156" s="22"/>
      <c r="AU156" s="22"/>
      <c r="AV156" s="22"/>
      <c r="AW156" s="22"/>
      <c r="AX156" s="22"/>
      <c r="AY156" s="22"/>
      <c r="AZ156" s="22"/>
      <c r="BA156" s="98"/>
      <c r="BB156" s="98"/>
      <c r="BC156" s="124">
        <v>0.45</v>
      </c>
      <c r="BD156" s="124"/>
      <c r="BE156" s="104"/>
      <c r="BF156" s="22"/>
      <c r="BG156" s="22"/>
      <c r="BH156" s="22">
        <v>0.01</v>
      </c>
      <c r="BI156" s="78">
        <f t="shared" si="682"/>
        <v>1</v>
      </c>
      <c r="BJ156" s="23"/>
      <c r="BK156" s="23"/>
      <c r="BL156" s="23"/>
      <c r="BM156" s="23"/>
      <c r="BN156" s="23"/>
      <c r="BO156" s="99"/>
      <c r="BP156" s="23"/>
      <c r="BQ156" s="23"/>
      <c r="BR156" s="23"/>
      <c r="BS156" s="23"/>
      <c r="BT156" s="105"/>
      <c r="BU156" s="23"/>
      <c r="BV156" s="23"/>
      <c r="BW156" s="105"/>
      <c r="BX156" s="23"/>
      <c r="BY156" s="23"/>
      <c r="BZ156" s="23"/>
      <c r="CA156" s="105"/>
      <c r="CB156" s="105"/>
      <c r="CC156" s="105"/>
      <c r="CD156" s="23"/>
      <c r="CE156" s="23"/>
      <c r="CF156" s="71"/>
      <c r="CG156" s="128"/>
      <c r="CH156" s="128"/>
      <c r="CI156" s="23"/>
      <c r="CJ156" s="23"/>
      <c r="CK156" s="23"/>
      <c r="CL156" s="23">
        <v>0.5</v>
      </c>
      <c r="CM156" s="23"/>
      <c r="CN156" s="23"/>
      <c r="CO156" s="23"/>
      <c r="CP156" s="105"/>
      <c r="CQ156" s="23"/>
      <c r="CR156" s="23"/>
      <c r="CS156" s="23">
        <v>0.05</v>
      </c>
      <c r="CT156" s="23"/>
      <c r="CU156" s="23"/>
      <c r="CV156" s="23"/>
      <c r="CW156" s="23"/>
      <c r="CX156" s="23"/>
      <c r="CY156" s="23"/>
      <c r="CZ156" s="23"/>
      <c r="DA156" s="23"/>
      <c r="DB156" s="99"/>
      <c r="DC156" s="99"/>
      <c r="DD156" s="125">
        <v>0.45</v>
      </c>
      <c r="DE156" s="125"/>
      <c r="DF156" s="105"/>
      <c r="DG156" s="23"/>
      <c r="DH156" s="23"/>
      <c r="DI156" s="23"/>
      <c r="DJ156" s="79">
        <f t="shared" si="663"/>
        <v>1</v>
      </c>
      <c r="DK156" s="24"/>
      <c r="DL156" s="24"/>
      <c r="DM156" s="24"/>
      <c r="DN156" s="24"/>
      <c r="DO156" s="24"/>
      <c r="DP156" s="103"/>
      <c r="DQ156" s="24"/>
      <c r="DR156" s="24"/>
      <c r="DS156" s="24"/>
      <c r="DT156" s="24"/>
      <c r="DU156" s="108"/>
      <c r="DV156" s="24"/>
      <c r="DW156" s="24"/>
      <c r="DX156" s="108"/>
      <c r="DY156" s="24"/>
      <c r="DZ156" s="24"/>
      <c r="EA156" s="24"/>
      <c r="EB156" s="108"/>
      <c r="EC156" s="108"/>
      <c r="ED156" s="108"/>
      <c r="EE156" s="24"/>
      <c r="EF156" s="24"/>
      <c r="EG156" s="24"/>
      <c r="EH156" s="129"/>
      <c r="EI156" s="129"/>
      <c r="EJ156" s="24"/>
      <c r="EK156" s="24"/>
      <c r="EL156" s="24"/>
      <c r="EM156" s="24">
        <v>0.5</v>
      </c>
      <c r="EN156" s="24"/>
      <c r="EO156" s="24"/>
      <c r="EP156" s="24"/>
      <c r="EQ156" s="108"/>
      <c r="ER156" s="24"/>
      <c r="ES156" s="25"/>
      <c r="ET156" s="25"/>
      <c r="EU156" s="25"/>
      <c r="EV156" s="25"/>
      <c r="EW156" s="25"/>
      <c r="EX156" s="25"/>
      <c r="EY156" s="25"/>
      <c r="EZ156" s="25"/>
      <c r="FA156" s="25"/>
      <c r="FB156" s="25"/>
      <c r="FC156" s="100"/>
      <c r="FD156" s="100"/>
      <c r="FE156" s="126">
        <v>0.49</v>
      </c>
      <c r="FF156" s="126"/>
      <c r="FG156" s="106"/>
      <c r="FH156" s="25"/>
      <c r="FI156" s="25"/>
      <c r="FJ156" s="25">
        <v>0.01</v>
      </c>
      <c r="FK156" s="17">
        <f t="shared" si="683"/>
        <v>1</v>
      </c>
      <c r="FL156" s="18"/>
      <c r="FM156" s="19">
        <f t="shared" si="505"/>
        <v>0</v>
      </c>
      <c r="FN156" s="19">
        <f t="shared" si="506"/>
        <v>0</v>
      </c>
      <c r="FO156" s="19">
        <f t="shared" si="507"/>
        <v>0</v>
      </c>
      <c r="FP156" s="19">
        <f t="shared" si="508"/>
        <v>0</v>
      </c>
      <c r="FQ156" s="19">
        <f t="shared" si="509"/>
        <v>0</v>
      </c>
      <c r="FR156" s="19">
        <f t="shared" si="510"/>
        <v>0</v>
      </c>
      <c r="FS156" s="19">
        <f t="shared" si="511"/>
        <v>0</v>
      </c>
      <c r="FT156" s="19">
        <f t="shared" si="512"/>
        <v>0</v>
      </c>
      <c r="FU156" s="19">
        <f t="shared" si="513"/>
        <v>0</v>
      </c>
      <c r="FV156" s="19">
        <f t="shared" si="514"/>
        <v>0</v>
      </c>
      <c r="FW156" s="19">
        <f t="shared" si="515"/>
        <v>0</v>
      </c>
      <c r="FX156" s="19">
        <f t="shared" si="516"/>
        <v>0</v>
      </c>
      <c r="FY156" s="19">
        <f t="shared" si="517"/>
        <v>0</v>
      </c>
      <c r="FZ156" s="19">
        <f t="shared" si="518"/>
        <v>0</v>
      </c>
      <c r="GA156" s="19">
        <f t="shared" si="519"/>
        <v>0</v>
      </c>
      <c r="GB156" s="19">
        <f t="shared" si="520"/>
        <v>0</v>
      </c>
      <c r="GC156" s="19">
        <f t="shared" si="521"/>
        <v>0</v>
      </c>
      <c r="GD156" s="19">
        <f t="shared" si="522"/>
        <v>0</v>
      </c>
      <c r="GE156" s="19">
        <f t="shared" si="523"/>
        <v>0</v>
      </c>
      <c r="GF156" s="19">
        <f t="shared" si="524"/>
        <v>0</v>
      </c>
      <c r="GG156" s="19">
        <f t="shared" si="525"/>
        <v>0</v>
      </c>
      <c r="GH156" s="19">
        <f t="shared" si="526"/>
        <v>0</v>
      </c>
      <c r="GI156" s="19">
        <f t="shared" si="527"/>
        <v>0</v>
      </c>
      <c r="GJ156" s="19">
        <f t="shared" si="528"/>
        <v>0</v>
      </c>
      <c r="GK156" s="19">
        <f t="shared" si="529"/>
        <v>0</v>
      </c>
      <c r="GL156" s="19">
        <f t="shared" si="530"/>
        <v>0</v>
      </c>
      <c r="GM156" s="19">
        <f t="shared" si="531"/>
        <v>0</v>
      </c>
      <c r="GN156" s="19">
        <f t="shared" si="532"/>
        <v>0</v>
      </c>
      <c r="GO156" s="19">
        <f t="shared" si="533"/>
        <v>2.4849999999999999</v>
      </c>
      <c r="GP156" s="19">
        <f t="shared" si="534"/>
        <v>0</v>
      </c>
      <c r="GQ156" s="19">
        <f t="shared" si="535"/>
        <v>0</v>
      </c>
      <c r="GR156" s="19">
        <f t="shared" si="536"/>
        <v>0</v>
      </c>
      <c r="GS156" s="19">
        <f t="shared" si="537"/>
        <v>0</v>
      </c>
      <c r="GT156" s="19">
        <f t="shared" si="538"/>
        <v>0</v>
      </c>
      <c r="GU156" s="19">
        <f t="shared" si="539"/>
        <v>0</v>
      </c>
      <c r="GV156" s="19">
        <f t="shared" si="540"/>
        <v>0.17500000000000002</v>
      </c>
      <c r="GW156" s="19">
        <f t="shared" si="541"/>
        <v>0</v>
      </c>
      <c r="GX156" s="19">
        <f t="shared" si="542"/>
        <v>0</v>
      </c>
      <c r="GY156" s="19">
        <f t="shared" si="543"/>
        <v>0</v>
      </c>
      <c r="GZ156" s="19">
        <f t="shared" si="544"/>
        <v>0</v>
      </c>
      <c r="HA156" s="19">
        <f t="shared" si="545"/>
        <v>0</v>
      </c>
      <c r="HB156" s="19">
        <f t="shared" si="546"/>
        <v>0</v>
      </c>
      <c r="HC156" s="19">
        <f t="shared" si="547"/>
        <v>0</v>
      </c>
      <c r="HD156" s="19">
        <f t="shared" si="548"/>
        <v>0</v>
      </c>
      <c r="HE156" s="19">
        <f t="shared" si="549"/>
        <v>0</v>
      </c>
      <c r="HF156" s="19">
        <f t="shared" si="550"/>
        <v>0</v>
      </c>
      <c r="HG156" s="19">
        <f t="shared" si="551"/>
        <v>2.31</v>
      </c>
      <c r="HH156" s="19">
        <f t="shared" si="552"/>
        <v>0</v>
      </c>
      <c r="HI156" s="19">
        <f t="shared" si="553"/>
        <v>0</v>
      </c>
      <c r="HJ156" s="19">
        <f t="shared" si="554"/>
        <v>0</v>
      </c>
      <c r="HK156" s="19">
        <f t="shared" si="555"/>
        <v>0</v>
      </c>
      <c r="HL156" s="19">
        <f t="shared" si="556"/>
        <v>0.03</v>
      </c>
      <c r="HM156" s="20">
        <f t="shared" si="557"/>
        <v>5</v>
      </c>
      <c r="HN156" s="53">
        <v>1185</v>
      </c>
      <c r="HO156" s="21">
        <f t="shared" si="558"/>
        <v>0</v>
      </c>
      <c r="HP156" s="21">
        <f t="shared" si="559"/>
        <v>0</v>
      </c>
      <c r="HQ156" s="21">
        <f t="shared" si="560"/>
        <v>0</v>
      </c>
      <c r="HR156" s="21">
        <f t="shared" si="561"/>
        <v>0</v>
      </c>
      <c r="HS156" s="21">
        <f t="shared" si="562"/>
        <v>0</v>
      </c>
      <c r="HT156" s="69">
        <f t="shared" si="563"/>
        <v>0</v>
      </c>
      <c r="HU156" s="21">
        <f t="shared" si="564"/>
        <v>0</v>
      </c>
      <c r="HV156" s="21">
        <f t="shared" si="565"/>
        <v>0</v>
      </c>
      <c r="HW156" s="21">
        <f t="shared" si="566"/>
        <v>0</v>
      </c>
      <c r="HX156" s="21">
        <f t="shared" si="567"/>
        <v>0</v>
      </c>
      <c r="HY156" s="21">
        <f t="shared" si="568"/>
        <v>0</v>
      </c>
      <c r="HZ156" s="21">
        <f t="shared" si="569"/>
        <v>0</v>
      </c>
      <c r="IA156" s="21">
        <f t="shared" si="570"/>
        <v>0</v>
      </c>
      <c r="IB156" s="21">
        <f t="shared" si="571"/>
        <v>0</v>
      </c>
      <c r="IC156" s="21">
        <f t="shared" si="572"/>
        <v>0</v>
      </c>
      <c r="ID156" s="21">
        <f t="shared" si="573"/>
        <v>0</v>
      </c>
      <c r="IE156" s="21">
        <f t="shared" si="574"/>
        <v>0</v>
      </c>
      <c r="IF156" s="69">
        <f t="shared" si="575"/>
        <v>0</v>
      </c>
      <c r="IG156" s="69">
        <f t="shared" si="576"/>
        <v>0</v>
      </c>
      <c r="IH156" s="69">
        <f t="shared" si="577"/>
        <v>0</v>
      </c>
      <c r="II156" s="21">
        <f t="shared" si="578"/>
        <v>0</v>
      </c>
      <c r="IJ156" s="21">
        <f t="shared" si="579"/>
        <v>0</v>
      </c>
      <c r="IK156" s="21">
        <f t="shared" si="580"/>
        <v>0</v>
      </c>
      <c r="IL156" s="21">
        <f t="shared" si="581"/>
        <v>0</v>
      </c>
      <c r="IM156" s="21">
        <f t="shared" si="582"/>
        <v>0</v>
      </c>
      <c r="IN156" s="21">
        <f t="shared" si="583"/>
        <v>0</v>
      </c>
      <c r="IO156" s="21">
        <f t="shared" si="584"/>
        <v>0</v>
      </c>
      <c r="IP156" s="21">
        <f t="shared" si="585"/>
        <v>0</v>
      </c>
      <c r="IQ156" s="21">
        <f t="shared" si="586"/>
        <v>588.94499999999994</v>
      </c>
      <c r="IR156" s="21">
        <f t="shared" si="587"/>
        <v>0</v>
      </c>
      <c r="IS156" s="21">
        <f t="shared" si="588"/>
        <v>0</v>
      </c>
      <c r="IT156" s="21">
        <f t="shared" si="589"/>
        <v>0</v>
      </c>
      <c r="IU156" s="21">
        <f t="shared" si="590"/>
        <v>0</v>
      </c>
      <c r="IV156" s="21">
        <f t="shared" si="591"/>
        <v>0</v>
      </c>
      <c r="IW156" s="21">
        <f t="shared" si="592"/>
        <v>0</v>
      </c>
      <c r="IX156" s="21">
        <f t="shared" si="593"/>
        <v>41.475000000000009</v>
      </c>
      <c r="IY156" s="21">
        <f t="shared" si="594"/>
        <v>0</v>
      </c>
      <c r="IZ156" s="21">
        <f t="shared" si="595"/>
        <v>0</v>
      </c>
      <c r="JA156" s="21">
        <f t="shared" si="596"/>
        <v>0</v>
      </c>
      <c r="JB156" s="21">
        <f t="shared" si="597"/>
        <v>0</v>
      </c>
      <c r="JC156" s="21">
        <f t="shared" si="598"/>
        <v>0</v>
      </c>
      <c r="JD156" s="21">
        <f t="shared" si="599"/>
        <v>0</v>
      </c>
      <c r="JE156" s="21">
        <f t="shared" si="600"/>
        <v>0</v>
      </c>
      <c r="JF156" s="21">
        <f t="shared" si="601"/>
        <v>0</v>
      </c>
      <c r="JG156" s="21">
        <f t="shared" si="602"/>
        <v>0</v>
      </c>
      <c r="JH156" s="21">
        <f t="shared" si="603"/>
        <v>0</v>
      </c>
      <c r="JI156" s="21">
        <f t="shared" si="604"/>
        <v>547.47</v>
      </c>
      <c r="JJ156" s="21">
        <f t="shared" si="605"/>
        <v>0</v>
      </c>
      <c r="JK156" s="21">
        <f t="shared" si="606"/>
        <v>0</v>
      </c>
      <c r="JL156" s="21">
        <f t="shared" si="607"/>
        <v>0</v>
      </c>
      <c r="JM156" s="21">
        <f t="shared" si="608"/>
        <v>0</v>
      </c>
      <c r="JN156" s="21">
        <f t="shared" si="609"/>
        <v>7.1099999999999994</v>
      </c>
      <c r="JO156" s="35">
        <f t="shared" si="664"/>
        <v>1184.9999999999998</v>
      </c>
      <c r="JP156" s="38">
        <f t="shared" si="665"/>
        <v>0</v>
      </c>
      <c r="JQ156" s="43">
        <f t="shared" si="610"/>
        <v>0</v>
      </c>
      <c r="JR156" s="43">
        <f t="shared" si="611"/>
        <v>0</v>
      </c>
      <c r="JS156" s="43">
        <f t="shared" si="612"/>
        <v>0</v>
      </c>
      <c r="JT156" s="43">
        <f t="shared" si="613"/>
        <v>0</v>
      </c>
      <c r="JU156" s="43">
        <f t="shared" si="614"/>
        <v>0</v>
      </c>
      <c r="JV156" s="43">
        <f t="shared" si="615"/>
        <v>0</v>
      </c>
      <c r="JW156" s="43">
        <f t="shared" si="616"/>
        <v>0</v>
      </c>
      <c r="JX156" s="43">
        <f t="shared" si="617"/>
        <v>0</v>
      </c>
      <c r="JY156" s="43">
        <f t="shared" si="618"/>
        <v>0</v>
      </c>
      <c r="JZ156" s="43">
        <f t="shared" si="619"/>
        <v>0</v>
      </c>
      <c r="KA156" s="43">
        <f t="shared" si="620"/>
        <v>0</v>
      </c>
      <c r="KB156" s="43">
        <f t="shared" si="621"/>
        <v>0</v>
      </c>
      <c r="KC156" s="43">
        <f t="shared" si="622"/>
        <v>0</v>
      </c>
      <c r="KD156" s="43">
        <f t="shared" si="623"/>
        <v>0</v>
      </c>
      <c r="KE156" s="43">
        <f t="shared" si="624"/>
        <v>0</v>
      </c>
      <c r="KF156" s="43">
        <f t="shared" si="625"/>
        <v>0</v>
      </c>
      <c r="KG156" s="43">
        <f t="shared" si="626"/>
        <v>0</v>
      </c>
      <c r="KH156" s="43">
        <f t="shared" si="627"/>
        <v>0</v>
      </c>
      <c r="KI156" s="43">
        <f t="shared" si="628"/>
        <v>0</v>
      </c>
      <c r="KJ156" s="43">
        <f t="shared" si="629"/>
        <v>0</v>
      </c>
      <c r="KK156" s="43">
        <f t="shared" si="630"/>
        <v>0</v>
      </c>
      <c r="KL156" s="43">
        <f t="shared" si="631"/>
        <v>0</v>
      </c>
      <c r="KM156" s="43">
        <f t="shared" si="632"/>
        <v>0</v>
      </c>
      <c r="KN156" s="43">
        <f t="shared" si="633"/>
        <v>0</v>
      </c>
      <c r="KO156" s="43">
        <f t="shared" si="634"/>
        <v>0</v>
      </c>
      <c r="KP156" s="43">
        <f t="shared" si="635"/>
        <v>0</v>
      </c>
      <c r="KQ156" s="43">
        <f t="shared" si="636"/>
        <v>0</v>
      </c>
      <c r="KR156" s="43">
        <f t="shared" si="637"/>
        <v>0</v>
      </c>
      <c r="KS156" s="43">
        <f t="shared" si="638"/>
        <v>2013.7978898460603</v>
      </c>
      <c r="KT156" s="43">
        <f t="shared" si="639"/>
        <v>0</v>
      </c>
      <c r="KU156" s="43">
        <f t="shared" si="640"/>
        <v>0</v>
      </c>
      <c r="KV156" s="43">
        <f t="shared" si="641"/>
        <v>0</v>
      </c>
      <c r="KW156" s="43">
        <f t="shared" si="642"/>
        <v>0</v>
      </c>
      <c r="KX156" s="43">
        <f t="shared" si="643"/>
        <v>0</v>
      </c>
      <c r="KY156" s="43">
        <f t="shared" si="644"/>
        <v>0</v>
      </c>
      <c r="KZ156" s="43">
        <f t="shared" si="645"/>
        <v>358.75875000000008</v>
      </c>
      <c r="LA156" s="43">
        <f t="shared" si="646"/>
        <v>0</v>
      </c>
      <c r="LB156" s="43">
        <f t="shared" si="647"/>
        <v>0</v>
      </c>
      <c r="LC156" s="43">
        <f t="shared" si="648"/>
        <v>0</v>
      </c>
      <c r="LD156" s="43">
        <f t="shared" si="649"/>
        <v>0</v>
      </c>
      <c r="LE156" s="43">
        <f t="shared" si="650"/>
        <v>0</v>
      </c>
      <c r="LF156" s="43">
        <f t="shared" si="651"/>
        <v>0</v>
      </c>
      <c r="LG156" s="43">
        <f t="shared" si="652"/>
        <v>0</v>
      </c>
      <c r="LH156" s="43">
        <f t="shared" si="653"/>
        <v>0</v>
      </c>
      <c r="LI156" s="43">
        <f t="shared" si="654"/>
        <v>0</v>
      </c>
      <c r="LJ156" s="43">
        <f t="shared" si="655"/>
        <v>0</v>
      </c>
      <c r="LK156" s="43">
        <f t="shared" si="656"/>
        <v>2193.0279525000001</v>
      </c>
      <c r="LL156" s="43">
        <f t="shared" si="657"/>
        <v>0</v>
      </c>
      <c r="LM156" s="43">
        <f t="shared" si="658"/>
        <v>0</v>
      </c>
      <c r="LN156" s="43">
        <f t="shared" si="659"/>
        <v>0</v>
      </c>
      <c r="LO156" s="43">
        <f t="shared" si="660"/>
        <v>0</v>
      </c>
      <c r="LP156" s="43">
        <f t="shared" si="661"/>
        <v>60.079499999999989</v>
      </c>
      <c r="LQ156" s="28">
        <f t="shared" si="666"/>
        <v>4625.66409234606</v>
      </c>
      <c r="LR156" s="65">
        <v>1130</v>
      </c>
      <c r="LS156" s="32">
        <f t="shared" si="679"/>
        <v>4.0935080463239473</v>
      </c>
      <c r="LT156" s="26">
        <f t="shared" si="680"/>
        <v>1.1184448213999856</v>
      </c>
      <c r="LU156" s="31">
        <f t="shared" si="667"/>
        <v>55</v>
      </c>
      <c r="LW156" s="42"/>
      <c r="MA156" s="32">
        <f t="shared" si="668"/>
        <v>3.903514001979798</v>
      </c>
      <c r="MB156" s="26">
        <f t="shared" si="681"/>
        <v>1.0665338803223492</v>
      </c>
    </row>
    <row r="157" spans="1:340">
      <c r="B157" s="123"/>
      <c r="C157" s="39"/>
    </row>
    <row r="158" spans="1:340">
      <c r="B158" s="123"/>
      <c r="C158" s="39"/>
    </row>
    <row r="159" spans="1:340">
      <c r="B159" s="123"/>
      <c r="C159" s="39"/>
    </row>
    <row r="160" spans="1:340">
      <c r="B160" s="123"/>
      <c r="C160" s="39"/>
    </row>
    <row r="161" spans="2:3">
      <c r="B161" s="123"/>
      <c r="C161" s="39"/>
    </row>
    <row r="162" spans="2:3">
      <c r="B162" s="123"/>
      <c r="C162" s="39"/>
    </row>
    <row r="163" spans="2:3">
      <c r="B163" s="123"/>
      <c r="C163" s="39"/>
    </row>
    <row r="164" spans="2:3">
      <c r="B164" s="123"/>
      <c r="C164" s="39"/>
    </row>
    <row r="165" spans="2:3">
      <c r="B165" s="123"/>
      <c r="C165" s="39"/>
    </row>
    <row r="166" spans="2:3">
      <c r="B166" s="123"/>
      <c r="C166" s="39"/>
    </row>
    <row r="167" spans="2:3">
      <c r="B167" s="123"/>
      <c r="C167" s="39"/>
    </row>
    <row r="168" spans="2:3">
      <c r="B168" s="123"/>
      <c r="C168" s="39"/>
    </row>
    <row r="169" spans="2:3">
      <c r="B169" s="123"/>
      <c r="C169" s="39"/>
    </row>
    <row r="170" spans="2:3">
      <c r="B170" s="123"/>
      <c r="C170" s="39"/>
    </row>
    <row r="171" spans="2:3">
      <c r="B171" s="123"/>
      <c r="C171" s="39"/>
    </row>
    <row r="172" spans="2:3">
      <c r="B172" s="123"/>
      <c r="C172" s="39"/>
    </row>
    <row r="173" spans="2:3">
      <c r="B173" s="123"/>
      <c r="C173" s="39"/>
    </row>
    <row r="174" spans="2:3">
      <c r="B174" s="123"/>
      <c r="C174" s="39"/>
    </row>
    <row r="175" spans="2:3">
      <c r="B175" s="123"/>
      <c r="C175" s="39"/>
    </row>
    <row r="176" spans="2:3">
      <c r="B176" s="123"/>
      <c r="C176" s="39"/>
    </row>
    <row r="177" spans="2:3">
      <c r="B177" s="123"/>
      <c r="C177" s="39"/>
    </row>
    <row r="178" spans="2:3">
      <c r="B178" s="123"/>
      <c r="C178" s="39"/>
    </row>
    <row r="179" spans="2:3">
      <c r="B179" s="123"/>
      <c r="C179" s="39"/>
    </row>
    <row r="180" spans="2:3">
      <c r="B180" s="123"/>
      <c r="C180" s="39"/>
    </row>
    <row r="181" spans="2:3">
      <c r="B181" s="123"/>
      <c r="C181" s="39"/>
    </row>
    <row r="182" spans="2:3">
      <c r="B182" s="123"/>
      <c r="C182" s="39"/>
    </row>
    <row r="183" spans="2:3">
      <c r="B183" s="123"/>
      <c r="C183" s="39"/>
    </row>
    <row r="184" spans="2:3">
      <c r="B184" s="123"/>
      <c r="C184" s="39"/>
    </row>
    <row r="185" spans="2:3">
      <c r="B185" s="123"/>
      <c r="C185" s="39"/>
    </row>
    <row r="186" spans="2:3">
      <c r="B186" s="123"/>
      <c r="C186" s="39"/>
    </row>
    <row r="187" spans="2:3">
      <c r="B187" s="123"/>
      <c r="C187" s="39"/>
    </row>
    <row r="188" spans="2:3">
      <c r="B188" s="123"/>
      <c r="C188" s="39"/>
    </row>
  </sheetData>
  <autoFilter ref="A9:MB156" xr:uid="{9CF123B8-6187-49FA-B93C-8AC6BACAF976}"/>
  <mergeCells count="9">
    <mergeCell ref="MA5:MB5"/>
    <mergeCell ref="BJ7:DJ7"/>
    <mergeCell ref="HN7:HN8"/>
    <mergeCell ref="HO7:JO7"/>
    <mergeCell ref="LR7:LR8"/>
    <mergeCell ref="LS7:LS8"/>
    <mergeCell ref="LT7:LT8"/>
    <mergeCell ref="MA7:MA8"/>
    <mergeCell ref="MB7:MB8"/>
  </mergeCells>
  <conditionalFormatting sqref="A10:A156">
    <cfRule type="cellIs" dxfId="5" priority="10" operator="equal">
      <formula>FALSE</formula>
    </cfRule>
  </conditionalFormatting>
  <conditionalFormatting sqref="B3:B9">
    <cfRule type="duplicateValues" dxfId="4" priority="9772"/>
  </conditionalFormatting>
  <conditionalFormatting sqref="B4:B9">
    <cfRule type="duplicateValues" dxfId="3" priority="13"/>
  </conditionalFormatting>
  <conditionalFormatting sqref="B9">
    <cfRule type="duplicateValues" dxfId="2" priority="14"/>
  </conditionalFormatting>
  <conditionalFormatting sqref="F4:F7">
    <cfRule type="cellIs" dxfId="1" priority="12" operator="equal">
      <formula>"SAMPLE"</formula>
    </cfRule>
  </conditionalFormatting>
  <conditionalFormatting sqref="G9">
    <cfRule type="cellIs" dxfId="0" priority="11" operator="equal">
      <formula>"SAMPLE"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Granules_January2025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cost executive2</dc:creator>
  <cp:lastModifiedBy>Tharaka W</cp:lastModifiedBy>
  <cp:lastPrinted>2022-12-06T12:31:02Z</cp:lastPrinted>
  <dcterms:created xsi:type="dcterms:W3CDTF">2015-04-29T13:37:13Z</dcterms:created>
  <dcterms:modified xsi:type="dcterms:W3CDTF">2026-05-06T13:23:25Z</dcterms:modified>
</cp:coreProperties>
</file>