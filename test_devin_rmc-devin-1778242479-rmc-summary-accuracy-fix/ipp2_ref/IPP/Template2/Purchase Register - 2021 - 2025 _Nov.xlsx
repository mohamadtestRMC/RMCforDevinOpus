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jo\Desktop\For Automation\To Send Nov\"/>
    </mc:Choice>
  </mc:AlternateContent>
  <xr:revisionPtr revIDLastSave="0" documentId="13_ncr:1_{88629A64-B562-43D7-AA72-E7A0452C5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Register." sheetId="2" r:id="rId1"/>
  </sheets>
  <definedNames>
    <definedName name="_xlnm._FilterDatabase" localSheetId="0" hidden="1">'Purchase Register.'!$A$3:$X$2184</definedName>
    <definedName name="CR_2" localSheetId="0">'Purchase Register.'!$E$2</definedName>
  </definedNames>
  <calcPr calcId="191029" iterate="1" iterateCount="327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39" i="2" l="1"/>
  <c r="U2139" i="2"/>
  <c r="V2139" i="2"/>
  <c r="X2139" i="2"/>
  <c r="T2140" i="2"/>
  <c r="U2140" i="2"/>
  <c r="V2140" i="2"/>
  <c r="X2140" i="2"/>
  <c r="T2141" i="2"/>
  <c r="U2141" i="2"/>
  <c r="V2141" i="2"/>
  <c r="X2141" i="2"/>
  <c r="T2142" i="2"/>
  <c r="U2142" i="2"/>
  <c r="V2142" i="2"/>
  <c r="X2142" i="2"/>
  <c r="T2143" i="2"/>
  <c r="U2143" i="2"/>
  <c r="V2143" i="2"/>
  <c r="X2143" i="2"/>
  <c r="T2144" i="2"/>
  <c r="U2144" i="2"/>
  <c r="V2144" i="2"/>
  <c r="X2144" i="2"/>
  <c r="T2145" i="2"/>
  <c r="U2145" i="2"/>
  <c r="V2145" i="2"/>
  <c r="X2145" i="2"/>
  <c r="T2146" i="2"/>
  <c r="U2146" i="2"/>
  <c r="V2146" i="2"/>
  <c r="X2146" i="2"/>
  <c r="T2147" i="2"/>
  <c r="U2147" i="2"/>
  <c r="V2147" i="2"/>
  <c r="X2147" i="2"/>
  <c r="T2148" i="2"/>
  <c r="U2148" i="2"/>
  <c r="V2148" i="2"/>
  <c r="X2148" i="2"/>
  <c r="T2149" i="2"/>
  <c r="U2149" i="2"/>
  <c r="V2149" i="2"/>
  <c r="X2149" i="2"/>
  <c r="T2150" i="2"/>
  <c r="U2150" i="2"/>
  <c r="V2150" i="2"/>
  <c r="X2150" i="2"/>
  <c r="T2151" i="2"/>
  <c r="U2151" i="2"/>
  <c r="V2151" i="2"/>
  <c r="X2151" i="2"/>
  <c r="T2152" i="2"/>
  <c r="U2152" i="2"/>
  <c r="V2152" i="2"/>
  <c r="X2152" i="2"/>
  <c r="T2153" i="2"/>
  <c r="U2153" i="2"/>
  <c r="V2153" i="2"/>
  <c r="X2153" i="2"/>
  <c r="T2154" i="2"/>
  <c r="U2154" i="2"/>
  <c r="V2154" i="2"/>
  <c r="X2154" i="2"/>
  <c r="T2155" i="2"/>
  <c r="U2155" i="2"/>
  <c r="V2155" i="2"/>
  <c r="X2155" i="2"/>
  <c r="T2156" i="2"/>
  <c r="U2156" i="2"/>
  <c r="V2156" i="2"/>
  <c r="X2156" i="2"/>
  <c r="T2157" i="2"/>
  <c r="U2157" i="2"/>
  <c r="V2157" i="2"/>
  <c r="X2157" i="2"/>
  <c r="T2158" i="2"/>
  <c r="U2158" i="2"/>
  <c r="V2158" i="2"/>
  <c r="X2158" i="2"/>
  <c r="T2159" i="2"/>
  <c r="U2159" i="2"/>
  <c r="V2159" i="2"/>
  <c r="X2159" i="2"/>
  <c r="T2160" i="2"/>
  <c r="U2160" i="2"/>
  <c r="V2160" i="2"/>
  <c r="X2160" i="2"/>
  <c r="T2161" i="2"/>
  <c r="U2161" i="2"/>
  <c r="V2161" i="2"/>
  <c r="X2161" i="2"/>
  <c r="T2162" i="2"/>
  <c r="U2162" i="2"/>
  <c r="V2162" i="2"/>
  <c r="X2162" i="2"/>
  <c r="T2163" i="2"/>
  <c r="U2163" i="2"/>
  <c r="V2163" i="2"/>
  <c r="X2163" i="2"/>
  <c r="T2164" i="2"/>
  <c r="U2164" i="2"/>
  <c r="V2164" i="2"/>
  <c r="X2164" i="2"/>
  <c r="T2165" i="2"/>
  <c r="U2165" i="2"/>
  <c r="V2165" i="2"/>
  <c r="X2165" i="2"/>
  <c r="T2166" i="2"/>
  <c r="U2166" i="2"/>
  <c r="V2166" i="2"/>
  <c r="X2166" i="2"/>
  <c r="T2167" i="2"/>
  <c r="U2167" i="2"/>
  <c r="V2167" i="2"/>
  <c r="X2167" i="2"/>
  <c r="T2168" i="2"/>
  <c r="U2168" i="2"/>
  <c r="V2168" i="2"/>
  <c r="X2168" i="2"/>
  <c r="T2169" i="2"/>
  <c r="U2169" i="2"/>
  <c r="V2169" i="2"/>
  <c r="X2169" i="2"/>
  <c r="T2170" i="2"/>
  <c r="U2170" i="2"/>
  <c r="V2170" i="2"/>
  <c r="X2170" i="2"/>
  <c r="T2171" i="2"/>
  <c r="U2171" i="2"/>
  <c r="V2171" i="2"/>
  <c r="X2171" i="2"/>
  <c r="T2172" i="2"/>
  <c r="U2172" i="2"/>
  <c r="V2172" i="2"/>
  <c r="X2172" i="2"/>
  <c r="T2173" i="2"/>
  <c r="U2173" i="2"/>
  <c r="V2173" i="2"/>
  <c r="X2173" i="2"/>
  <c r="T2174" i="2"/>
  <c r="U2174" i="2"/>
  <c r="V2174" i="2"/>
  <c r="X2174" i="2"/>
  <c r="T2175" i="2"/>
  <c r="U2175" i="2"/>
  <c r="V2175" i="2"/>
  <c r="X2175" i="2"/>
  <c r="T2176" i="2"/>
  <c r="U2176" i="2"/>
  <c r="V2176" i="2"/>
  <c r="X2176" i="2"/>
  <c r="T2177" i="2"/>
  <c r="U2177" i="2"/>
  <c r="V2177" i="2"/>
  <c r="X2177" i="2"/>
  <c r="T2178" i="2"/>
  <c r="U2178" i="2"/>
  <c r="V2178" i="2"/>
  <c r="X2178" i="2"/>
  <c r="T2179" i="2"/>
  <c r="U2179" i="2"/>
  <c r="V2179" i="2"/>
  <c r="X2179" i="2"/>
  <c r="T2180" i="2"/>
  <c r="U2180" i="2"/>
  <c r="V2180" i="2"/>
  <c r="X2180" i="2"/>
  <c r="T2181" i="2"/>
  <c r="U2181" i="2"/>
  <c r="V2181" i="2"/>
  <c r="X2181" i="2"/>
  <c r="T2182" i="2"/>
  <c r="U2182" i="2"/>
  <c r="V2182" i="2"/>
  <c r="X2182" i="2"/>
  <c r="T2183" i="2"/>
  <c r="U2183" i="2"/>
  <c r="V2183" i="2"/>
  <c r="X2183" i="2"/>
  <c r="T2184" i="2"/>
  <c r="U2184" i="2"/>
  <c r="V2184" i="2"/>
  <c r="X2184" i="2"/>
  <c r="T2069" i="2" l="1"/>
  <c r="U2069" i="2"/>
  <c r="V2069" i="2"/>
  <c r="X2069" i="2"/>
  <c r="T2070" i="2"/>
  <c r="U2070" i="2"/>
  <c r="V2070" i="2"/>
  <c r="X2070" i="2"/>
  <c r="T2071" i="2"/>
  <c r="U2071" i="2"/>
  <c r="V2071" i="2"/>
  <c r="X2071" i="2"/>
  <c r="T2072" i="2"/>
  <c r="U2072" i="2"/>
  <c r="V2072" i="2"/>
  <c r="X2072" i="2"/>
  <c r="T2073" i="2"/>
  <c r="U2073" i="2"/>
  <c r="V2073" i="2"/>
  <c r="X2073" i="2"/>
  <c r="T2074" i="2"/>
  <c r="U2074" i="2"/>
  <c r="V2074" i="2"/>
  <c r="X2074" i="2"/>
  <c r="T2075" i="2"/>
  <c r="U2075" i="2"/>
  <c r="V2075" i="2"/>
  <c r="X2075" i="2"/>
  <c r="T2076" i="2"/>
  <c r="U2076" i="2"/>
  <c r="V2076" i="2"/>
  <c r="X2076" i="2"/>
  <c r="T2077" i="2"/>
  <c r="U2077" i="2"/>
  <c r="V2077" i="2"/>
  <c r="X2077" i="2"/>
  <c r="T2078" i="2"/>
  <c r="U2078" i="2"/>
  <c r="V2078" i="2"/>
  <c r="X2078" i="2"/>
  <c r="T2079" i="2"/>
  <c r="U2079" i="2"/>
  <c r="V2079" i="2"/>
  <c r="X2079" i="2"/>
  <c r="T2080" i="2"/>
  <c r="U2080" i="2"/>
  <c r="V2080" i="2"/>
  <c r="X2080" i="2"/>
  <c r="T2081" i="2"/>
  <c r="U2081" i="2"/>
  <c r="V2081" i="2"/>
  <c r="X2081" i="2"/>
  <c r="T2082" i="2"/>
  <c r="U2082" i="2"/>
  <c r="V2082" i="2"/>
  <c r="X2082" i="2"/>
  <c r="T2083" i="2"/>
  <c r="U2083" i="2"/>
  <c r="V2083" i="2"/>
  <c r="X2083" i="2"/>
  <c r="T2084" i="2"/>
  <c r="U2084" i="2"/>
  <c r="V2084" i="2"/>
  <c r="X2084" i="2"/>
  <c r="T2085" i="2"/>
  <c r="U2085" i="2"/>
  <c r="V2085" i="2"/>
  <c r="X2085" i="2"/>
  <c r="T2086" i="2"/>
  <c r="U2086" i="2"/>
  <c r="V2086" i="2"/>
  <c r="X2086" i="2"/>
  <c r="T2087" i="2"/>
  <c r="U2087" i="2"/>
  <c r="V2087" i="2"/>
  <c r="X2087" i="2"/>
  <c r="T2088" i="2"/>
  <c r="U2088" i="2"/>
  <c r="V2088" i="2"/>
  <c r="X2088" i="2"/>
  <c r="T2089" i="2"/>
  <c r="U2089" i="2"/>
  <c r="V2089" i="2"/>
  <c r="X2089" i="2"/>
  <c r="T2090" i="2"/>
  <c r="U2090" i="2"/>
  <c r="V2090" i="2"/>
  <c r="X2090" i="2"/>
  <c r="T2091" i="2"/>
  <c r="U2091" i="2"/>
  <c r="V2091" i="2"/>
  <c r="X2091" i="2"/>
  <c r="T2092" i="2"/>
  <c r="U2092" i="2"/>
  <c r="V2092" i="2"/>
  <c r="X2092" i="2"/>
  <c r="T2093" i="2"/>
  <c r="U2093" i="2"/>
  <c r="V2093" i="2"/>
  <c r="X2093" i="2"/>
  <c r="T2094" i="2"/>
  <c r="U2094" i="2"/>
  <c r="V2094" i="2"/>
  <c r="X2094" i="2"/>
  <c r="T2095" i="2"/>
  <c r="U2095" i="2"/>
  <c r="V2095" i="2"/>
  <c r="X2095" i="2"/>
  <c r="T2096" i="2"/>
  <c r="U2096" i="2"/>
  <c r="V2096" i="2"/>
  <c r="X2096" i="2"/>
  <c r="T2097" i="2"/>
  <c r="U2097" i="2"/>
  <c r="V2097" i="2"/>
  <c r="X2097" i="2"/>
  <c r="T2098" i="2"/>
  <c r="U2098" i="2"/>
  <c r="V2098" i="2"/>
  <c r="X2098" i="2"/>
  <c r="T2099" i="2"/>
  <c r="U2099" i="2"/>
  <c r="V2099" i="2"/>
  <c r="X2099" i="2"/>
  <c r="T2100" i="2"/>
  <c r="U2100" i="2"/>
  <c r="V2100" i="2"/>
  <c r="X2100" i="2"/>
  <c r="T2101" i="2"/>
  <c r="U2101" i="2"/>
  <c r="V2101" i="2"/>
  <c r="X2101" i="2"/>
  <c r="T2102" i="2"/>
  <c r="U2102" i="2"/>
  <c r="V2102" i="2"/>
  <c r="X2102" i="2"/>
  <c r="T2103" i="2"/>
  <c r="U2103" i="2"/>
  <c r="V2103" i="2"/>
  <c r="X2103" i="2"/>
  <c r="T2104" i="2"/>
  <c r="U2104" i="2"/>
  <c r="V2104" i="2"/>
  <c r="X2104" i="2"/>
  <c r="T2105" i="2"/>
  <c r="U2105" i="2"/>
  <c r="V2105" i="2"/>
  <c r="X2105" i="2"/>
  <c r="T2106" i="2"/>
  <c r="U2106" i="2"/>
  <c r="V2106" i="2"/>
  <c r="X2106" i="2"/>
  <c r="T2107" i="2"/>
  <c r="U2107" i="2"/>
  <c r="V2107" i="2"/>
  <c r="X2107" i="2"/>
  <c r="T2108" i="2"/>
  <c r="U2108" i="2"/>
  <c r="V2108" i="2"/>
  <c r="X2108" i="2"/>
  <c r="T2109" i="2"/>
  <c r="U2109" i="2"/>
  <c r="V2109" i="2"/>
  <c r="X2109" i="2"/>
  <c r="T2110" i="2"/>
  <c r="U2110" i="2"/>
  <c r="V2110" i="2"/>
  <c r="X2110" i="2"/>
  <c r="T2111" i="2"/>
  <c r="U2111" i="2"/>
  <c r="V2111" i="2"/>
  <c r="X2111" i="2"/>
  <c r="T2112" i="2"/>
  <c r="U2112" i="2"/>
  <c r="V2112" i="2"/>
  <c r="X2112" i="2"/>
  <c r="T2113" i="2"/>
  <c r="U2113" i="2"/>
  <c r="V2113" i="2"/>
  <c r="X2113" i="2"/>
  <c r="T2114" i="2"/>
  <c r="U2114" i="2"/>
  <c r="V2114" i="2"/>
  <c r="X2114" i="2"/>
  <c r="T2115" i="2"/>
  <c r="U2115" i="2"/>
  <c r="V2115" i="2"/>
  <c r="X2115" i="2"/>
  <c r="T2116" i="2"/>
  <c r="U2116" i="2"/>
  <c r="V2116" i="2"/>
  <c r="X2116" i="2"/>
  <c r="T2117" i="2"/>
  <c r="U2117" i="2"/>
  <c r="V2117" i="2"/>
  <c r="X2117" i="2"/>
  <c r="T2118" i="2"/>
  <c r="U2118" i="2"/>
  <c r="V2118" i="2"/>
  <c r="X2118" i="2"/>
  <c r="T2119" i="2"/>
  <c r="U2119" i="2"/>
  <c r="V2119" i="2"/>
  <c r="X2119" i="2"/>
  <c r="T2120" i="2"/>
  <c r="U2120" i="2"/>
  <c r="V2120" i="2"/>
  <c r="X2120" i="2"/>
  <c r="T2121" i="2"/>
  <c r="U2121" i="2"/>
  <c r="V2121" i="2"/>
  <c r="X2121" i="2"/>
  <c r="T2122" i="2"/>
  <c r="U2122" i="2"/>
  <c r="V2122" i="2"/>
  <c r="X2122" i="2"/>
  <c r="T2123" i="2"/>
  <c r="U2123" i="2"/>
  <c r="V2123" i="2"/>
  <c r="X2123" i="2"/>
  <c r="T2124" i="2"/>
  <c r="U2124" i="2"/>
  <c r="V2124" i="2"/>
  <c r="X2124" i="2"/>
  <c r="T2125" i="2"/>
  <c r="U2125" i="2"/>
  <c r="V2125" i="2"/>
  <c r="X2125" i="2"/>
  <c r="T2126" i="2"/>
  <c r="U2126" i="2"/>
  <c r="V2126" i="2"/>
  <c r="X2126" i="2"/>
  <c r="T2127" i="2"/>
  <c r="U2127" i="2"/>
  <c r="V2127" i="2"/>
  <c r="X2127" i="2"/>
  <c r="T2128" i="2"/>
  <c r="U2128" i="2"/>
  <c r="V2128" i="2"/>
  <c r="X2128" i="2"/>
  <c r="T2129" i="2"/>
  <c r="U2129" i="2"/>
  <c r="V2129" i="2"/>
  <c r="X2129" i="2"/>
  <c r="T2130" i="2"/>
  <c r="U2130" i="2"/>
  <c r="V2130" i="2"/>
  <c r="X2130" i="2"/>
  <c r="T2131" i="2"/>
  <c r="U2131" i="2"/>
  <c r="V2131" i="2"/>
  <c r="X2131" i="2"/>
  <c r="T2132" i="2"/>
  <c r="U2132" i="2"/>
  <c r="V2132" i="2"/>
  <c r="X2132" i="2"/>
  <c r="T2133" i="2"/>
  <c r="U2133" i="2"/>
  <c r="V2133" i="2"/>
  <c r="X2133" i="2"/>
  <c r="T2134" i="2"/>
  <c r="U2134" i="2"/>
  <c r="V2134" i="2"/>
  <c r="X2134" i="2"/>
  <c r="T2135" i="2"/>
  <c r="U2135" i="2"/>
  <c r="V2135" i="2"/>
  <c r="X2135" i="2"/>
  <c r="T2136" i="2"/>
  <c r="U2136" i="2"/>
  <c r="V2136" i="2"/>
  <c r="X2136" i="2"/>
  <c r="T2137" i="2"/>
  <c r="U2137" i="2"/>
  <c r="V2137" i="2"/>
  <c r="X2137" i="2"/>
  <c r="T2138" i="2"/>
  <c r="U2138" i="2"/>
  <c r="V2138" i="2"/>
  <c r="X2138" i="2"/>
  <c r="X2068" i="2" l="1"/>
  <c r="V2068" i="2"/>
  <c r="U2068" i="2"/>
  <c r="T2068" i="2"/>
  <c r="X2067" i="2"/>
  <c r="V2067" i="2"/>
  <c r="U2067" i="2"/>
  <c r="T2067" i="2"/>
  <c r="X2066" i="2"/>
  <c r="V2066" i="2"/>
  <c r="U2066" i="2"/>
  <c r="T2066" i="2"/>
  <c r="X2065" i="2"/>
  <c r="V2065" i="2"/>
  <c r="U2065" i="2"/>
  <c r="T2065" i="2"/>
  <c r="X2064" i="2"/>
  <c r="V2064" i="2"/>
  <c r="U2064" i="2"/>
  <c r="T2064" i="2"/>
  <c r="X2063" i="2"/>
  <c r="V2063" i="2"/>
  <c r="U2063" i="2"/>
  <c r="T2063" i="2"/>
  <c r="X2062" i="2"/>
  <c r="V2062" i="2"/>
  <c r="U2062" i="2"/>
  <c r="T2062" i="2"/>
  <c r="X2061" i="2"/>
  <c r="V2061" i="2"/>
  <c r="U2061" i="2"/>
  <c r="T2061" i="2"/>
  <c r="X2060" i="2"/>
  <c r="V2060" i="2"/>
  <c r="U2060" i="2"/>
  <c r="T2060" i="2"/>
  <c r="X2059" i="2"/>
  <c r="V2059" i="2"/>
  <c r="U2059" i="2"/>
  <c r="T2059" i="2"/>
  <c r="X2058" i="2"/>
  <c r="V2058" i="2"/>
  <c r="U2058" i="2"/>
  <c r="T2058" i="2"/>
  <c r="X2057" i="2"/>
  <c r="V2057" i="2"/>
  <c r="U2057" i="2"/>
  <c r="T2057" i="2"/>
  <c r="X2056" i="2"/>
  <c r="V2056" i="2"/>
  <c r="U2056" i="2"/>
  <c r="T2056" i="2"/>
  <c r="X2055" i="2"/>
  <c r="V2055" i="2"/>
  <c r="U2055" i="2"/>
  <c r="T2055" i="2"/>
  <c r="X2054" i="2"/>
  <c r="V2054" i="2"/>
  <c r="U2054" i="2"/>
  <c r="T2054" i="2"/>
  <c r="X2053" i="2"/>
  <c r="V2053" i="2"/>
  <c r="U2053" i="2"/>
  <c r="T2053" i="2"/>
  <c r="X2052" i="2"/>
  <c r="V2052" i="2"/>
  <c r="U2052" i="2"/>
  <c r="T2052" i="2"/>
  <c r="X2051" i="2"/>
  <c r="V2051" i="2"/>
  <c r="U2051" i="2"/>
  <c r="T2051" i="2"/>
  <c r="X2050" i="2"/>
  <c r="V2050" i="2"/>
  <c r="U2050" i="2"/>
  <c r="T2050" i="2"/>
  <c r="X2049" i="2"/>
  <c r="V2049" i="2"/>
  <c r="U2049" i="2"/>
  <c r="T2049" i="2"/>
  <c r="X2048" i="2"/>
  <c r="V2048" i="2"/>
  <c r="U2048" i="2"/>
  <c r="T2048" i="2"/>
  <c r="X2047" i="2"/>
  <c r="V2047" i="2"/>
  <c r="U2047" i="2"/>
  <c r="T2047" i="2"/>
  <c r="X2046" i="2"/>
  <c r="V2046" i="2"/>
  <c r="U2046" i="2"/>
  <c r="T2046" i="2"/>
  <c r="X2045" i="2"/>
  <c r="V2045" i="2"/>
  <c r="U2045" i="2"/>
  <c r="T2045" i="2"/>
  <c r="X2044" i="2"/>
  <c r="V2044" i="2"/>
  <c r="U2044" i="2"/>
  <c r="T2044" i="2"/>
  <c r="X2043" i="2"/>
  <c r="V2043" i="2"/>
  <c r="U2043" i="2"/>
  <c r="T2043" i="2"/>
  <c r="X2042" i="2"/>
  <c r="V2042" i="2"/>
  <c r="U2042" i="2"/>
  <c r="T2042" i="2"/>
  <c r="X2041" i="2"/>
  <c r="V2041" i="2"/>
  <c r="U2041" i="2"/>
  <c r="T2041" i="2"/>
  <c r="X2040" i="2"/>
  <c r="V2040" i="2"/>
  <c r="U2040" i="2"/>
  <c r="T2040" i="2"/>
  <c r="X2039" i="2"/>
  <c r="V2039" i="2"/>
  <c r="U2039" i="2"/>
  <c r="T2039" i="2"/>
  <c r="X2038" i="2"/>
  <c r="V2038" i="2"/>
  <c r="U2038" i="2"/>
  <c r="T2038" i="2"/>
  <c r="X2037" i="2"/>
  <c r="V2037" i="2"/>
  <c r="U2037" i="2"/>
  <c r="T2037" i="2"/>
  <c r="X2036" i="2"/>
  <c r="V2036" i="2"/>
  <c r="U2036" i="2"/>
  <c r="T2036" i="2"/>
  <c r="X2035" i="2"/>
  <c r="V2035" i="2"/>
  <c r="U2035" i="2"/>
  <c r="T2035" i="2"/>
  <c r="X2034" i="2"/>
  <c r="V2034" i="2"/>
  <c r="U2034" i="2"/>
  <c r="T2034" i="2"/>
  <c r="X2033" i="2"/>
  <c r="V2033" i="2"/>
  <c r="U2033" i="2"/>
  <c r="T2033" i="2"/>
  <c r="X2032" i="2"/>
  <c r="V2032" i="2"/>
  <c r="U2032" i="2"/>
  <c r="T2032" i="2"/>
  <c r="X2031" i="2"/>
  <c r="V2031" i="2"/>
  <c r="U2031" i="2"/>
  <c r="T2031" i="2"/>
  <c r="X2030" i="2"/>
  <c r="V2030" i="2"/>
  <c r="U2030" i="2"/>
  <c r="T2030" i="2"/>
  <c r="X2029" i="2"/>
  <c r="V2029" i="2"/>
  <c r="U2029" i="2"/>
  <c r="T2029" i="2"/>
  <c r="X2028" i="2"/>
  <c r="V2028" i="2"/>
  <c r="U2028" i="2"/>
  <c r="T2028" i="2"/>
  <c r="X2027" i="2"/>
  <c r="V2027" i="2"/>
  <c r="U2027" i="2"/>
  <c r="T2027" i="2"/>
  <c r="X2026" i="2"/>
  <c r="V2026" i="2"/>
  <c r="U2026" i="2"/>
  <c r="T2026" i="2"/>
  <c r="X2025" i="2"/>
  <c r="V2025" i="2"/>
  <c r="U2025" i="2"/>
  <c r="T2025" i="2"/>
  <c r="X2024" i="2"/>
  <c r="V2024" i="2"/>
  <c r="U2024" i="2"/>
  <c r="T2024" i="2"/>
  <c r="X2023" i="2"/>
  <c r="V2023" i="2"/>
  <c r="U2023" i="2"/>
  <c r="T2023" i="2"/>
  <c r="X2022" i="2"/>
  <c r="V2022" i="2"/>
  <c r="U2022" i="2"/>
  <c r="T2022" i="2"/>
  <c r="X2021" i="2"/>
  <c r="V2021" i="2"/>
  <c r="U2021" i="2"/>
  <c r="T2021" i="2"/>
  <c r="X2020" i="2"/>
  <c r="V2020" i="2"/>
  <c r="U2020" i="2"/>
  <c r="T2020" i="2"/>
  <c r="X2019" i="2"/>
  <c r="V2019" i="2"/>
  <c r="U2019" i="2"/>
  <c r="T2019" i="2"/>
  <c r="X2018" i="2"/>
  <c r="V2018" i="2"/>
  <c r="U2018" i="2"/>
  <c r="T2018" i="2"/>
  <c r="X2017" i="2"/>
  <c r="V2017" i="2"/>
  <c r="U2017" i="2"/>
  <c r="T2017" i="2"/>
  <c r="X2016" i="2"/>
  <c r="V2016" i="2"/>
  <c r="U2016" i="2"/>
  <c r="T2016" i="2"/>
  <c r="X2015" i="2"/>
  <c r="V2015" i="2"/>
  <c r="U2015" i="2"/>
  <c r="T2015" i="2"/>
  <c r="X2014" i="2"/>
  <c r="V2014" i="2"/>
  <c r="U2014" i="2"/>
  <c r="T2014" i="2"/>
  <c r="X2013" i="2"/>
  <c r="V2013" i="2"/>
  <c r="U2013" i="2"/>
  <c r="T2013" i="2"/>
  <c r="X2012" i="2"/>
  <c r="V2012" i="2"/>
  <c r="U2012" i="2"/>
  <c r="T2012" i="2"/>
  <c r="X2011" i="2"/>
  <c r="V2011" i="2"/>
  <c r="U2011" i="2"/>
  <c r="T2011" i="2"/>
  <c r="X2010" i="2"/>
  <c r="V2010" i="2"/>
  <c r="U2010" i="2"/>
  <c r="T2010" i="2"/>
  <c r="X2009" i="2"/>
  <c r="V2009" i="2"/>
  <c r="U2009" i="2"/>
  <c r="T2009" i="2"/>
  <c r="X2008" i="2"/>
  <c r="V2008" i="2"/>
  <c r="U2008" i="2"/>
  <c r="T2008" i="2"/>
  <c r="X2007" i="2"/>
  <c r="V2007" i="2"/>
  <c r="U2007" i="2"/>
  <c r="T2007" i="2"/>
  <c r="X2006" i="2"/>
  <c r="V2006" i="2"/>
  <c r="U2006" i="2"/>
  <c r="T2006" i="2"/>
  <c r="X2005" i="2"/>
  <c r="V2005" i="2"/>
  <c r="U2005" i="2"/>
  <c r="T2005" i="2"/>
  <c r="X2004" i="2"/>
  <c r="V2004" i="2"/>
  <c r="U2004" i="2"/>
  <c r="T2004" i="2"/>
  <c r="X2003" i="2"/>
  <c r="V2003" i="2"/>
  <c r="U2003" i="2"/>
  <c r="T2003" i="2"/>
  <c r="X2002" i="2"/>
  <c r="V2002" i="2"/>
  <c r="U2002" i="2"/>
  <c r="T2002" i="2"/>
  <c r="X2001" i="2"/>
  <c r="V2001" i="2"/>
  <c r="U2001" i="2"/>
  <c r="T2001" i="2"/>
  <c r="X2000" i="2"/>
  <c r="V2000" i="2"/>
  <c r="U2000" i="2"/>
  <c r="T2000" i="2"/>
  <c r="X1999" i="2"/>
  <c r="V1999" i="2"/>
  <c r="U1999" i="2"/>
  <c r="T1999" i="2"/>
  <c r="X1998" i="2"/>
  <c r="V1998" i="2"/>
  <c r="U1998" i="2"/>
  <c r="T1998" i="2"/>
  <c r="X1997" i="2"/>
  <c r="V1997" i="2"/>
  <c r="U1997" i="2"/>
  <c r="T1997" i="2"/>
  <c r="X1996" i="2"/>
  <c r="V1996" i="2"/>
  <c r="U1996" i="2"/>
  <c r="T1996" i="2"/>
  <c r="X1995" i="2"/>
  <c r="V1995" i="2"/>
  <c r="U1995" i="2"/>
  <c r="T1995" i="2"/>
  <c r="X1994" i="2"/>
  <c r="V1994" i="2"/>
  <c r="U1994" i="2"/>
  <c r="T1994" i="2"/>
  <c r="X1993" i="2"/>
  <c r="V1993" i="2"/>
  <c r="U1993" i="2"/>
  <c r="T1993" i="2"/>
  <c r="X1992" i="2"/>
  <c r="V1992" i="2"/>
  <c r="U1992" i="2"/>
  <c r="T1992" i="2"/>
  <c r="X1991" i="2"/>
  <c r="V1991" i="2"/>
  <c r="U1991" i="2"/>
  <c r="T1991" i="2"/>
  <c r="X1990" i="2"/>
  <c r="V1990" i="2"/>
  <c r="U1990" i="2"/>
  <c r="T1990" i="2"/>
  <c r="X1989" i="2"/>
  <c r="V1989" i="2"/>
  <c r="U1989" i="2"/>
  <c r="T1989" i="2"/>
  <c r="X1988" i="2"/>
  <c r="V1988" i="2"/>
  <c r="U1988" i="2"/>
  <c r="T1988" i="2"/>
  <c r="X1987" i="2"/>
  <c r="V1987" i="2"/>
  <c r="U1987" i="2"/>
  <c r="T1987" i="2"/>
  <c r="X1986" i="2"/>
  <c r="V1986" i="2"/>
  <c r="U1986" i="2"/>
  <c r="T1986" i="2"/>
  <c r="X1985" i="2"/>
  <c r="V1985" i="2"/>
  <c r="U1985" i="2"/>
  <c r="T1985" i="2"/>
  <c r="X1984" i="2"/>
  <c r="V1984" i="2"/>
  <c r="U1984" i="2"/>
  <c r="T1984" i="2"/>
  <c r="X1983" i="2"/>
  <c r="V1983" i="2"/>
  <c r="U1983" i="2"/>
  <c r="T1983" i="2"/>
  <c r="X1982" i="2"/>
  <c r="V1982" i="2"/>
  <c r="U1982" i="2"/>
  <c r="T1982" i="2"/>
  <c r="X1981" i="2"/>
  <c r="V1981" i="2"/>
  <c r="U1981" i="2"/>
  <c r="T1981" i="2"/>
  <c r="X1980" i="2"/>
  <c r="V1980" i="2"/>
  <c r="U1980" i="2"/>
  <c r="T1980" i="2"/>
  <c r="X1979" i="2"/>
  <c r="V1979" i="2"/>
  <c r="U1979" i="2"/>
  <c r="T1979" i="2"/>
  <c r="X1978" i="2"/>
  <c r="V1978" i="2"/>
  <c r="U1978" i="2"/>
  <c r="T1978" i="2"/>
  <c r="X1977" i="2"/>
  <c r="V1977" i="2"/>
  <c r="U1977" i="2"/>
  <c r="T1977" i="2"/>
  <c r="X1976" i="2"/>
  <c r="V1976" i="2"/>
  <c r="U1976" i="2"/>
  <c r="T1976" i="2"/>
  <c r="X1975" i="2"/>
  <c r="V1975" i="2"/>
  <c r="U1975" i="2"/>
  <c r="T1975" i="2"/>
  <c r="X1974" i="2"/>
  <c r="V1974" i="2"/>
  <c r="U1974" i="2"/>
  <c r="T1974" i="2"/>
  <c r="X1973" i="2"/>
  <c r="V1973" i="2"/>
  <c r="U1973" i="2"/>
  <c r="T1973" i="2"/>
  <c r="X1972" i="2"/>
  <c r="V1972" i="2"/>
  <c r="U1972" i="2"/>
  <c r="T1972" i="2"/>
  <c r="X1971" i="2"/>
  <c r="V1971" i="2"/>
  <c r="U1971" i="2"/>
  <c r="T1971" i="2"/>
  <c r="X1970" i="2"/>
  <c r="V1970" i="2"/>
  <c r="U1970" i="2"/>
  <c r="T1970" i="2"/>
  <c r="X1969" i="2"/>
  <c r="V1969" i="2"/>
  <c r="U1969" i="2"/>
  <c r="T1969" i="2"/>
  <c r="X1968" i="2"/>
  <c r="V1968" i="2"/>
  <c r="U1968" i="2"/>
  <c r="T1968" i="2"/>
  <c r="X1967" i="2"/>
  <c r="V1967" i="2"/>
  <c r="U1967" i="2"/>
  <c r="T1967" i="2"/>
  <c r="X1966" i="2"/>
  <c r="V1966" i="2"/>
  <c r="U1966" i="2"/>
  <c r="T1966" i="2"/>
  <c r="X1965" i="2"/>
  <c r="V1965" i="2"/>
  <c r="U1965" i="2"/>
  <c r="T1965" i="2"/>
  <c r="X1964" i="2"/>
  <c r="V1964" i="2"/>
  <c r="U1964" i="2"/>
  <c r="T1964" i="2"/>
  <c r="X1963" i="2"/>
  <c r="V1963" i="2"/>
  <c r="U1963" i="2"/>
  <c r="T1963" i="2"/>
  <c r="X1962" i="2"/>
  <c r="V1962" i="2"/>
  <c r="U1962" i="2"/>
  <c r="T1962" i="2"/>
  <c r="X1961" i="2"/>
  <c r="V1961" i="2"/>
  <c r="U1961" i="2"/>
  <c r="T1961" i="2"/>
  <c r="X1960" i="2"/>
  <c r="V1960" i="2"/>
  <c r="U1960" i="2"/>
  <c r="T1960" i="2"/>
  <c r="X1959" i="2"/>
  <c r="V1959" i="2"/>
  <c r="U1959" i="2"/>
  <c r="T1959" i="2"/>
  <c r="X1958" i="2"/>
  <c r="V1958" i="2"/>
  <c r="U1958" i="2"/>
  <c r="T1958" i="2"/>
  <c r="X1957" i="2"/>
  <c r="V1957" i="2"/>
  <c r="U1957" i="2"/>
  <c r="T1957" i="2"/>
  <c r="X1956" i="2"/>
  <c r="V1956" i="2"/>
  <c r="U1956" i="2"/>
  <c r="T1956" i="2"/>
  <c r="X1955" i="2"/>
  <c r="V1955" i="2"/>
  <c r="U1955" i="2"/>
  <c r="T1955" i="2"/>
  <c r="X1954" i="2"/>
  <c r="V1954" i="2"/>
  <c r="U1954" i="2"/>
  <c r="T1954" i="2"/>
  <c r="X1953" i="2"/>
  <c r="V1953" i="2"/>
  <c r="U1953" i="2"/>
  <c r="T1953" i="2"/>
  <c r="X1952" i="2"/>
  <c r="V1952" i="2"/>
  <c r="U1952" i="2"/>
  <c r="T1952" i="2"/>
  <c r="X1951" i="2"/>
  <c r="V1951" i="2"/>
  <c r="U1951" i="2"/>
  <c r="T1951" i="2"/>
  <c r="X1950" i="2"/>
  <c r="V1950" i="2"/>
  <c r="U1950" i="2"/>
  <c r="T1950" i="2"/>
  <c r="X1949" i="2"/>
  <c r="V1949" i="2"/>
  <c r="U1949" i="2"/>
  <c r="T1949" i="2"/>
  <c r="X1948" i="2"/>
  <c r="V1948" i="2"/>
  <c r="U1948" i="2"/>
  <c r="T1948" i="2"/>
  <c r="X1947" i="2"/>
  <c r="V1947" i="2"/>
  <c r="U1947" i="2"/>
  <c r="T1947" i="2"/>
  <c r="X1946" i="2"/>
  <c r="V1946" i="2"/>
  <c r="U1946" i="2"/>
  <c r="T1946" i="2"/>
  <c r="Y1945" i="2"/>
  <c r="X1945" i="2"/>
  <c r="V1945" i="2"/>
  <c r="U1945" i="2"/>
  <c r="T1945" i="2"/>
  <c r="Y1944" i="2"/>
  <c r="X1944" i="2"/>
  <c r="V1944" i="2"/>
  <c r="U1944" i="2"/>
  <c r="T1944" i="2"/>
  <c r="Y1943" i="2"/>
  <c r="X1943" i="2"/>
  <c r="V1943" i="2"/>
  <c r="U1943" i="2"/>
  <c r="T1943" i="2"/>
  <c r="Y1942" i="2"/>
  <c r="X1942" i="2"/>
  <c r="V1942" i="2"/>
  <c r="U1942" i="2"/>
  <c r="T1942" i="2"/>
  <c r="Y1941" i="2"/>
  <c r="X1941" i="2"/>
  <c r="V1941" i="2"/>
  <c r="U1941" i="2"/>
  <c r="T1941" i="2"/>
  <c r="Y1940" i="2"/>
  <c r="X1940" i="2"/>
  <c r="V1940" i="2"/>
  <c r="U1940" i="2"/>
  <c r="T1940" i="2"/>
  <c r="Y1939" i="2"/>
  <c r="X1939" i="2"/>
  <c r="V1939" i="2"/>
  <c r="U1939" i="2"/>
  <c r="T1939" i="2"/>
  <c r="X1938" i="2"/>
  <c r="V1938" i="2"/>
  <c r="U1938" i="2"/>
  <c r="T1938" i="2"/>
  <c r="X1937" i="2"/>
  <c r="V1937" i="2"/>
  <c r="U1937" i="2"/>
  <c r="T1937" i="2"/>
  <c r="X1936" i="2"/>
  <c r="V1936" i="2"/>
  <c r="U1936" i="2"/>
  <c r="T1936" i="2"/>
  <c r="X1935" i="2"/>
  <c r="V1935" i="2"/>
  <c r="U1935" i="2"/>
  <c r="T1935" i="2"/>
  <c r="X1934" i="2"/>
  <c r="V1934" i="2"/>
  <c r="U1934" i="2"/>
  <c r="T1934" i="2"/>
  <c r="X1933" i="2"/>
  <c r="V1933" i="2"/>
  <c r="U1933" i="2"/>
  <c r="T1933" i="2"/>
  <c r="X1932" i="2"/>
  <c r="V1932" i="2"/>
  <c r="U1932" i="2"/>
  <c r="T1932" i="2"/>
  <c r="X1931" i="2"/>
  <c r="V1931" i="2"/>
  <c r="U1931" i="2"/>
  <c r="T1931" i="2"/>
  <c r="X1930" i="2"/>
  <c r="V1930" i="2"/>
  <c r="U1930" i="2"/>
  <c r="T1930" i="2"/>
  <c r="X1929" i="2"/>
  <c r="V1929" i="2"/>
  <c r="U1929" i="2"/>
  <c r="T1929" i="2"/>
  <c r="X1928" i="2"/>
  <c r="V1928" i="2"/>
  <c r="U1928" i="2"/>
  <c r="T1928" i="2"/>
  <c r="X1927" i="2"/>
  <c r="V1927" i="2"/>
  <c r="U1927" i="2"/>
  <c r="T1927" i="2"/>
  <c r="X1926" i="2"/>
  <c r="V1926" i="2"/>
  <c r="U1926" i="2"/>
  <c r="T1926" i="2"/>
  <c r="X1925" i="2"/>
  <c r="V1925" i="2"/>
  <c r="U1925" i="2"/>
  <c r="T1925" i="2"/>
  <c r="X1924" i="2"/>
  <c r="V1924" i="2"/>
  <c r="U1924" i="2"/>
  <c r="T1924" i="2"/>
  <c r="X1923" i="2"/>
  <c r="V1923" i="2"/>
  <c r="U1923" i="2"/>
  <c r="T1923" i="2"/>
  <c r="X1922" i="2"/>
  <c r="V1922" i="2"/>
  <c r="U1922" i="2"/>
  <c r="T1922" i="2"/>
  <c r="X1921" i="2"/>
  <c r="V1921" i="2"/>
  <c r="U1921" i="2"/>
  <c r="T1921" i="2"/>
  <c r="X1920" i="2"/>
  <c r="V1920" i="2"/>
  <c r="U1920" i="2"/>
  <c r="T1920" i="2"/>
  <c r="X1919" i="2"/>
  <c r="V1919" i="2"/>
  <c r="U1919" i="2"/>
  <c r="T1919" i="2"/>
  <c r="X1918" i="2"/>
  <c r="V1918" i="2"/>
  <c r="U1918" i="2"/>
  <c r="T1918" i="2"/>
  <c r="X1917" i="2"/>
  <c r="V1917" i="2"/>
  <c r="U1917" i="2"/>
  <c r="T1917" i="2"/>
  <c r="X1916" i="2"/>
  <c r="V1916" i="2"/>
  <c r="U1916" i="2"/>
  <c r="T1916" i="2"/>
  <c r="X1915" i="2"/>
  <c r="V1915" i="2"/>
  <c r="U1915" i="2"/>
  <c r="T1915" i="2"/>
  <c r="X1914" i="2"/>
  <c r="V1914" i="2"/>
  <c r="U1914" i="2"/>
  <c r="T1914" i="2"/>
  <c r="X1913" i="2"/>
  <c r="V1913" i="2"/>
  <c r="U1913" i="2"/>
  <c r="T1913" i="2"/>
  <c r="X1912" i="2"/>
  <c r="V1912" i="2"/>
  <c r="U1912" i="2"/>
  <c r="T1912" i="2"/>
  <c r="X1911" i="2"/>
  <c r="V1911" i="2"/>
  <c r="U1911" i="2"/>
  <c r="T1911" i="2"/>
  <c r="X1910" i="2"/>
  <c r="V1910" i="2"/>
  <c r="U1910" i="2"/>
  <c r="T1910" i="2"/>
  <c r="X1909" i="2"/>
  <c r="V1909" i="2"/>
  <c r="U1909" i="2"/>
  <c r="T1909" i="2"/>
  <c r="X1908" i="2"/>
  <c r="V1908" i="2"/>
  <c r="U1908" i="2"/>
  <c r="T1908" i="2"/>
  <c r="X1907" i="2"/>
  <c r="V1907" i="2"/>
  <c r="U1907" i="2"/>
  <c r="T1907" i="2"/>
  <c r="X1906" i="2"/>
  <c r="V1906" i="2"/>
  <c r="U1906" i="2"/>
  <c r="T1906" i="2"/>
  <c r="X1905" i="2"/>
  <c r="V1905" i="2"/>
  <c r="U1905" i="2"/>
  <c r="T1905" i="2"/>
  <c r="X1904" i="2"/>
  <c r="V1904" i="2"/>
  <c r="U1904" i="2"/>
  <c r="T1904" i="2"/>
  <c r="X1903" i="2"/>
  <c r="V1903" i="2"/>
  <c r="U1903" i="2"/>
  <c r="T1903" i="2"/>
  <c r="X1902" i="2"/>
  <c r="V1902" i="2"/>
  <c r="U1902" i="2"/>
  <c r="T1902" i="2"/>
  <c r="X1901" i="2"/>
  <c r="V1901" i="2"/>
  <c r="U1901" i="2"/>
  <c r="T1901" i="2"/>
  <c r="X1900" i="2"/>
  <c r="V1900" i="2"/>
  <c r="U1900" i="2"/>
  <c r="T1900" i="2"/>
  <c r="X1899" i="2"/>
  <c r="V1899" i="2"/>
  <c r="U1899" i="2"/>
  <c r="T1899" i="2"/>
  <c r="X1898" i="2"/>
  <c r="V1898" i="2"/>
  <c r="U1898" i="2"/>
  <c r="T1898" i="2"/>
  <c r="X1897" i="2"/>
  <c r="V1897" i="2"/>
  <c r="U1897" i="2"/>
  <c r="T1897" i="2"/>
  <c r="X1896" i="2"/>
  <c r="V1896" i="2"/>
  <c r="U1896" i="2"/>
  <c r="T1896" i="2"/>
  <c r="X1895" i="2"/>
  <c r="V1895" i="2"/>
  <c r="U1895" i="2"/>
  <c r="T1895" i="2"/>
  <c r="X1894" i="2"/>
  <c r="V1894" i="2"/>
  <c r="U1894" i="2"/>
  <c r="T1894" i="2"/>
  <c r="X1893" i="2"/>
  <c r="V1893" i="2"/>
  <c r="U1893" i="2"/>
  <c r="T1893" i="2"/>
  <c r="X1892" i="2"/>
  <c r="V1892" i="2"/>
  <c r="U1892" i="2"/>
  <c r="T1892" i="2"/>
  <c r="X1891" i="2"/>
  <c r="V1891" i="2"/>
  <c r="U1891" i="2"/>
  <c r="T1891" i="2"/>
  <c r="X1890" i="2"/>
  <c r="V1890" i="2"/>
  <c r="U1890" i="2"/>
  <c r="T1890" i="2"/>
  <c r="X1889" i="2"/>
  <c r="V1889" i="2"/>
  <c r="U1889" i="2"/>
  <c r="T1889" i="2"/>
  <c r="X1888" i="2"/>
  <c r="V1888" i="2"/>
  <c r="U1888" i="2"/>
  <c r="T1888" i="2"/>
  <c r="X1887" i="2"/>
  <c r="V1887" i="2"/>
  <c r="U1887" i="2"/>
  <c r="T1887" i="2"/>
  <c r="X1886" i="2"/>
  <c r="V1886" i="2"/>
  <c r="U1886" i="2"/>
  <c r="T1886" i="2"/>
  <c r="X1885" i="2"/>
  <c r="V1885" i="2"/>
  <c r="U1885" i="2"/>
  <c r="T1885" i="2"/>
  <c r="X1884" i="2"/>
  <c r="V1884" i="2"/>
  <c r="U1884" i="2"/>
  <c r="T1884" i="2"/>
  <c r="X1883" i="2"/>
  <c r="V1883" i="2"/>
  <c r="U1883" i="2"/>
  <c r="T1883" i="2"/>
  <c r="X1882" i="2"/>
  <c r="V1882" i="2"/>
  <c r="U1882" i="2"/>
  <c r="T1882" i="2"/>
  <c r="X1881" i="2"/>
  <c r="V1881" i="2"/>
  <c r="U1881" i="2"/>
  <c r="T1881" i="2"/>
  <c r="X1880" i="2"/>
  <c r="V1880" i="2"/>
  <c r="U1880" i="2"/>
  <c r="T1880" i="2"/>
  <c r="X1879" i="2"/>
  <c r="V1879" i="2"/>
  <c r="U1879" i="2"/>
  <c r="T1879" i="2"/>
  <c r="X1878" i="2"/>
  <c r="V1878" i="2"/>
  <c r="U1878" i="2"/>
  <c r="T1878" i="2"/>
  <c r="X1877" i="2"/>
  <c r="V1877" i="2"/>
  <c r="U1877" i="2"/>
  <c r="T1877" i="2"/>
  <c r="X1876" i="2"/>
  <c r="V1876" i="2"/>
  <c r="U1876" i="2"/>
  <c r="T1876" i="2"/>
  <c r="X1875" i="2"/>
  <c r="V1875" i="2"/>
  <c r="U1875" i="2"/>
  <c r="T1875" i="2"/>
  <c r="X1874" i="2"/>
  <c r="V1874" i="2"/>
  <c r="U1874" i="2"/>
  <c r="T1874" i="2"/>
  <c r="X1873" i="2"/>
  <c r="V1873" i="2"/>
  <c r="U1873" i="2"/>
  <c r="T1873" i="2"/>
  <c r="X1872" i="2"/>
  <c r="V1872" i="2"/>
  <c r="U1872" i="2"/>
  <c r="T1872" i="2"/>
  <c r="X1871" i="2"/>
  <c r="V1871" i="2"/>
  <c r="U1871" i="2"/>
  <c r="T1871" i="2"/>
  <c r="X1870" i="2"/>
  <c r="V1870" i="2"/>
  <c r="U1870" i="2"/>
  <c r="T1870" i="2"/>
  <c r="X1869" i="2"/>
  <c r="V1869" i="2"/>
  <c r="U1869" i="2"/>
  <c r="T1869" i="2"/>
  <c r="X1868" i="2"/>
  <c r="V1868" i="2"/>
  <c r="U1868" i="2"/>
  <c r="T1868" i="2"/>
  <c r="X1867" i="2"/>
  <c r="V1867" i="2"/>
  <c r="U1867" i="2"/>
  <c r="T1867" i="2"/>
  <c r="X1866" i="2"/>
  <c r="V1866" i="2"/>
  <c r="U1866" i="2"/>
  <c r="T1866" i="2"/>
  <c r="X1865" i="2"/>
  <c r="V1865" i="2"/>
  <c r="U1865" i="2"/>
  <c r="T1865" i="2"/>
  <c r="X1864" i="2"/>
  <c r="V1864" i="2"/>
  <c r="U1864" i="2"/>
  <c r="T1864" i="2"/>
  <c r="X1863" i="2"/>
  <c r="V1863" i="2"/>
  <c r="U1863" i="2"/>
  <c r="T1863" i="2"/>
  <c r="X1862" i="2"/>
  <c r="V1862" i="2"/>
  <c r="U1862" i="2"/>
  <c r="T1862" i="2"/>
  <c r="X1861" i="2"/>
  <c r="V1861" i="2"/>
  <c r="U1861" i="2"/>
  <c r="T1861" i="2"/>
  <c r="X1860" i="2"/>
  <c r="V1860" i="2"/>
  <c r="U1860" i="2"/>
  <c r="T1860" i="2"/>
  <c r="X1859" i="2"/>
  <c r="V1859" i="2"/>
  <c r="U1859" i="2"/>
  <c r="T1859" i="2"/>
  <c r="X1858" i="2"/>
  <c r="V1858" i="2"/>
  <c r="U1858" i="2"/>
  <c r="T1858" i="2"/>
  <c r="X1857" i="2"/>
  <c r="V1857" i="2"/>
  <c r="U1857" i="2"/>
  <c r="T1857" i="2"/>
  <c r="X1856" i="2"/>
  <c r="V1856" i="2"/>
  <c r="U1856" i="2"/>
  <c r="T1856" i="2"/>
  <c r="X1855" i="2"/>
  <c r="V1855" i="2"/>
  <c r="U1855" i="2"/>
  <c r="T1855" i="2"/>
  <c r="X1854" i="2"/>
  <c r="V1854" i="2"/>
  <c r="U1854" i="2"/>
  <c r="T1854" i="2"/>
  <c r="X1853" i="2"/>
  <c r="V1853" i="2"/>
  <c r="U1853" i="2"/>
  <c r="T1853" i="2"/>
  <c r="X1852" i="2"/>
  <c r="V1852" i="2"/>
  <c r="U1852" i="2"/>
  <c r="T1852" i="2"/>
  <c r="X1851" i="2"/>
  <c r="V1851" i="2"/>
  <c r="U1851" i="2"/>
  <c r="T1851" i="2"/>
  <c r="X1850" i="2"/>
  <c r="V1850" i="2"/>
  <c r="U1850" i="2"/>
  <c r="T1850" i="2"/>
  <c r="X1849" i="2"/>
  <c r="V1849" i="2"/>
  <c r="U1849" i="2"/>
  <c r="T1849" i="2"/>
  <c r="X1848" i="2"/>
  <c r="V1848" i="2"/>
  <c r="U1848" i="2"/>
  <c r="T1848" i="2"/>
  <c r="X1847" i="2"/>
  <c r="V1847" i="2"/>
  <c r="U1847" i="2"/>
  <c r="T1847" i="2"/>
  <c r="X1846" i="2"/>
  <c r="V1846" i="2"/>
  <c r="U1846" i="2"/>
  <c r="T1846" i="2"/>
  <c r="X1845" i="2"/>
  <c r="V1845" i="2"/>
  <c r="U1845" i="2"/>
  <c r="T1845" i="2"/>
  <c r="X1844" i="2"/>
  <c r="V1844" i="2"/>
  <c r="U1844" i="2"/>
  <c r="T1844" i="2"/>
  <c r="X1843" i="2"/>
  <c r="V1843" i="2"/>
  <c r="U1843" i="2"/>
  <c r="T1843" i="2"/>
  <c r="X1842" i="2"/>
  <c r="V1842" i="2"/>
  <c r="U1842" i="2"/>
  <c r="T1842" i="2"/>
  <c r="X1841" i="2"/>
  <c r="V1841" i="2"/>
  <c r="U1841" i="2"/>
  <c r="T1841" i="2"/>
  <c r="X1840" i="2"/>
  <c r="V1840" i="2"/>
  <c r="U1840" i="2"/>
  <c r="T1840" i="2"/>
  <c r="X1839" i="2"/>
  <c r="V1839" i="2"/>
  <c r="U1839" i="2"/>
  <c r="T1839" i="2"/>
  <c r="X1838" i="2"/>
  <c r="V1838" i="2"/>
  <c r="U1838" i="2"/>
  <c r="T1838" i="2"/>
  <c r="X1837" i="2"/>
  <c r="V1837" i="2"/>
  <c r="U1837" i="2"/>
  <c r="T1837" i="2"/>
  <c r="X1836" i="2"/>
  <c r="V1836" i="2"/>
  <c r="U1836" i="2"/>
  <c r="T1836" i="2"/>
  <c r="X1835" i="2"/>
  <c r="V1835" i="2"/>
  <c r="U1835" i="2"/>
  <c r="T1835" i="2"/>
  <c r="X1834" i="2"/>
  <c r="V1834" i="2"/>
  <c r="U1834" i="2"/>
  <c r="T1834" i="2"/>
  <c r="X1833" i="2"/>
  <c r="V1833" i="2"/>
  <c r="U1833" i="2"/>
  <c r="T1833" i="2"/>
  <c r="X1832" i="2"/>
  <c r="V1832" i="2"/>
  <c r="U1832" i="2"/>
  <c r="T1832" i="2"/>
  <c r="X1831" i="2"/>
  <c r="V1831" i="2"/>
  <c r="U1831" i="2"/>
  <c r="T1831" i="2"/>
  <c r="X1830" i="2"/>
  <c r="V1830" i="2"/>
  <c r="U1830" i="2"/>
  <c r="T1830" i="2"/>
  <c r="X1829" i="2"/>
  <c r="V1829" i="2"/>
  <c r="U1829" i="2"/>
  <c r="T1829" i="2"/>
  <c r="X1828" i="2"/>
  <c r="V1828" i="2"/>
  <c r="U1828" i="2"/>
  <c r="T1828" i="2"/>
  <c r="X1827" i="2"/>
  <c r="V1827" i="2"/>
  <c r="U1827" i="2"/>
  <c r="T1827" i="2"/>
  <c r="X1826" i="2"/>
  <c r="V1826" i="2"/>
  <c r="U1826" i="2"/>
  <c r="T1826" i="2"/>
  <c r="X1825" i="2"/>
  <c r="V1825" i="2"/>
  <c r="U1825" i="2"/>
  <c r="T1825" i="2"/>
  <c r="X1824" i="2"/>
  <c r="V1824" i="2"/>
  <c r="U1824" i="2"/>
  <c r="T1824" i="2"/>
  <c r="X1823" i="2"/>
  <c r="V1823" i="2"/>
  <c r="U1823" i="2"/>
  <c r="T1823" i="2"/>
  <c r="X1822" i="2"/>
  <c r="V1822" i="2"/>
  <c r="U1822" i="2"/>
  <c r="T1822" i="2"/>
  <c r="X1821" i="2"/>
  <c r="V1821" i="2"/>
  <c r="U1821" i="2"/>
  <c r="T1821" i="2"/>
  <c r="X1820" i="2"/>
  <c r="V1820" i="2"/>
  <c r="U1820" i="2"/>
  <c r="T1820" i="2"/>
  <c r="X1819" i="2"/>
  <c r="V1819" i="2"/>
  <c r="U1819" i="2"/>
  <c r="T1819" i="2"/>
  <c r="X1818" i="2"/>
  <c r="V1818" i="2"/>
  <c r="U1818" i="2"/>
  <c r="T1818" i="2"/>
  <c r="X1817" i="2"/>
  <c r="V1817" i="2"/>
  <c r="U1817" i="2"/>
  <c r="T1817" i="2"/>
  <c r="X1816" i="2"/>
  <c r="V1816" i="2"/>
  <c r="U1816" i="2"/>
  <c r="T1816" i="2"/>
  <c r="X1815" i="2"/>
  <c r="V1815" i="2"/>
  <c r="U1815" i="2"/>
  <c r="T1815" i="2"/>
  <c r="X1814" i="2"/>
  <c r="V1814" i="2"/>
  <c r="U1814" i="2"/>
  <c r="T1814" i="2"/>
  <c r="X1813" i="2"/>
  <c r="V1813" i="2"/>
  <c r="U1813" i="2"/>
  <c r="T1813" i="2"/>
  <c r="X1812" i="2"/>
  <c r="V1812" i="2"/>
  <c r="U1812" i="2"/>
  <c r="T1812" i="2"/>
  <c r="X1811" i="2"/>
  <c r="V1811" i="2"/>
  <c r="U1811" i="2"/>
  <c r="T1811" i="2"/>
  <c r="X1810" i="2"/>
  <c r="V1810" i="2"/>
  <c r="U1810" i="2"/>
  <c r="T1810" i="2"/>
  <c r="X1809" i="2"/>
  <c r="V1809" i="2"/>
  <c r="U1809" i="2"/>
  <c r="T1809" i="2"/>
  <c r="X1808" i="2"/>
  <c r="V1808" i="2"/>
  <c r="U1808" i="2"/>
  <c r="T1808" i="2"/>
  <c r="X1807" i="2"/>
  <c r="V1807" i="2"/>
  <c r="U1807" i="2"/>
  <c r="T1807" i="2"/>
  <c r="X1806" i="2"/>
  <c r="V1806" i="2"/>
  <c r="U1806" i="2"/>
  <c r="T1806" i="2"/>
  <c r="X1805" i="2"/>
  <c r="V1805" i="2"/>
  <c r="U1805" i="2"/>
  <c r="T1805" i="2"/>
  <c r="X1804" i="2"/>
  <c r="V1804" i="2"/>
  <c r="U1804" i="2"/>
  <c r="T1804" i="2"/>
  <c r="X1803" i="2"/>
  <c r="V1803" i="2"/>
  <c r="U1803" i="2"/>
  <c r="T1803" i="2"/>
  <c r="X1802" i="2"/>
  <c r="V1802" i="2"/>
  <c r="U1802" i="2"/>
  <c r="T1802" i="2"/>
  <c r="X1801" i="2"/>
  <c r="V1801" i="2"/>
  <c r="U1801" i="2"/>
  <c r="T1801" i="2"/>
  <c r="X1800" i="2"/>
  <c r="V1800" i="2"/>
  <c r="U1800" i="2"/>
  <c r="T1800" i="2"/>
  <c r="X1799" i="2"/>
  <c r="V1799" i="2"/>
  <c r="U1799" i="2"/>
  <c r="T1799" i="2"/>
  <c r="X1798" i="2"/>
  <c r="V1798" i="2"/>
  <c r="U1798" i="2"/>
  <c r="T1798" i="2"/>
  <c r="X1797" i="2"/>
  <c r="V1797" i="2"/>
  <c r="U1797" i="2"/>
  <c r="T1797" i="2"/>
  <c r="X1796" i="2"/>
  <c r="V1796" i="2"/>
  <c r="U1796" i="2"/>
  <c r="T1796" i="2"/>
  <c r="X1795" i="2"/>
  <c r="V1795" i="2"/>
  <c r="U1795" i="2"/>
  <c r="T1795" i="2"/>
  <c r="X1794" i="2"/>
  <c r="V1794" i="2"/>
  <c r="U1794" i="2"/>
  <c r="T1794" i="2"/>
  <c r="X1793" i="2"/>
  <c r="V1793" i="2"/>
  <c r="U1793" i="2"/>
  <c r="T1793" i="2"/>
  <c r="X1792" i="2"/>
  <c r="V1792" i="2"/>
  <c r="U1792" i="2"/>
  <c r="T1792" i="2"/>
  <c r="X1791" i="2"/>
  <c r="V1791" i="2"/>
  <c r="U1791" i="2"/>
  <c r="T1791" i="2"/>
  <c r="X1790" i="2"/>
  <c r="V1790" i="2"/>
  <c r="U1790" i="2"/>
  <c r="T1790" i="2"/>
  <c r="X1789" i="2"/>
  <c r="V1789" i="2"/>
  <c r="U1789" i="2"/>
  <c r="T1789" i="2"/>
  <c r="X1788" i="2"/>
  <c r="V1788" i="2"/>
  <c r="U1788" i="2"/>
  <c r="T1788" i="2"/>
  <c r="X1787" i="2"/>
  <c r="V1787" i="2"/>
  <c r="U1787" i="2"/>
  <c r="T1787" i="2"/>
  <c r="X1786" i="2"/>
  <c r="V1786" i="2"/>
  <c r="U1786" i="2"/>
  <c r="T1786" i="2"/>
  <c r="X1785" i="2"/>
  <c r="V1785" i="2"/>
  <c r="U1785" i="2"/>
  <c r="T1785" i="2"/>
  <c r="X1784" i="2"/>
  <c r="V1784" i="2"/>
  <c r="U1784" i="2"/>
  <c r="T1784" i="2"/>
  <c r="X1783" i="2"/>
  <c r="V1783" i="2"/>
  <c r="U1783" i="2"/>
  <c r="T1783" i="2"/>
  <c r="X1782" i="2"/>
  <c r="V1782" i="2"/>
  <c r="U1782" i="2"/>
  <c r="T1782" i="2"/>
  <c r="X1781" i="2"/>
  <c r="V1781" i="2"/>
  <c r="U1781" i="2"/>
  <c r="T1781" i="2"/>
  <c r="X1780" i="2"/>
  <c r="V1780" i="2"/>
  <c r="U1780" i="2"/>
  <c r="T1780" i="2"/>
  <c r="X1779" i="2"/>
  <c r="V1779" i="2"/>
  <c r="U1779" i="2"/>
  <c r="T1779" i="2"/>
  <c r="X1778" i="2"/>
  <c r="V1778" i="2"/>
  <c r="U1778" i="2"/>
  <c r="T1778" i="2"/>
  <c r="X1777" i="2"/>
  <c r="V1777" i="2"/>
  <c r="U1777" i="2"/>
  <c r="T1777" i="2"/>
  <c r="X1776" i="2"/>
  <c r="V1776" i="2"/>
  <c r="U1776" i="2"/>
  <c r="T1776" i="2"/>
  <c r="X1775" i="2"/>
  <c r="V1775" i="2"/>
  <c r="U1775" i="2"/>
  <c r="T1775" i="2"/>
  <c r="X1774" i="2"/>
  <c r="V1774" i="2"/>
  <c r="U1774" i="2"/>
  <c r="T1774" i="2"/>
  <c r="X1773" i="2"/>
  <c r="V1773" i="2"/>
  <c r="U1773" i="2"/>
  <c r="T1773" i="2"/>
  <c r="X1772" i="2"/>
  <c r="V1772" i="2"/>
  <c r="U1772" i="2"/>
  <c r="T1772" i="2"/>
  <c r="X1771" i="2"/>
  <c r="V1771" i="2"/>
  <c r="U1771" i="2"/>
  <c r="T1771" i="2"/>
  <c r="X1770" i="2"/>
  <c r="V1770" i="2"/>
  <c r="U1770" i="2"/>
  <c r="T1770" i="2"/>
  <c r="X1769" i="2"/>
  <c r="V1769" i="2"/>
  <c r="U1769" i="2"/>
  <c r="T1769" i="2"/>
  <c r="X1768" i="2"/>
  <c r="V1768" i="2"/>
  <c r="U1768" i="2"/>
  <c r="T1768" i="2"/>
  <c r="X1767" i="2"/>
  <c r="V1767" i="2"/>
  <c r="U1767" i="2"/>
  <c r="T1767" i="2"/>
  <c r="X1766" i="2"/>
  <c r="V1766" i="2"/>
  <c r="U1766" i="2"/>
  <c r="T1766" i="2"/>
  <c r="X1765" i="2"/>
  <c r="V1765" i="2"/>
  <c r="U1765" i="2"/>
  <c r="T1765" i="2"/>
  <c r="X1764" i="2"/>
  <c r="V1764" i="2"/>
  <c r="U1764" i="2"/>
  <c r="T1764" i="2"/>
  <c r="X1763" i="2"/>
  <c r="V1763" i="2"/>
  <c r="U1763" i="2"/>
  <c r="T1763" i="2"/>
  <c r="X1762" i="2"/>
  <c r="V1762" i="2"/>
  <c r="U1762" i="2"/>
  <c r="T1762" i="2"/>
  <c r="X1761" i="2"/>
  <c r="V1761" i="2"/>
  <c r="U1761" i="2"/>
  <c r="T1761" i="2"/>
  <c r="X1760" i="2"/>
  <c r="V1760" i="2"/>
  <c r="U1760" i="2"/>
  <c r="T1760" i="2"/>
  <c r="X1759" i="2"/>
  <c r="V1759" i="2"/>
  <c r="U1759" i="2"/>
  <c r="T1759" i="2"/>
  <c r="X1758" i="2"/>
  <c r="V1758" i="2"/>
  <c r="U1758" i="2"/>
  <c r="T1758" i="2"/>
  <c r="X1757" i="2"/>
  <c r="V1757" i="2"/>
  <c r="U1757" i="2"/>
  <c r="T1757" i="2"/>
  <c r="X1756" i="2"/>
  <c r="V1756" i="2"/>
  <c r="U1756" i="2"/>
  <c r="T1756" i="2"/>
  <c r="X1755" i="2"/>
  <c r="V1755" i="2"/>
  <c r="U1755" i="2"/>
  <c r="T1755" i="2"/>
  <c r="X1754" i="2"/>
  <c r="V1754" i="2"/>
  <c r="U1754" i="2"/>
  <c r="T1754" i="2"/>
  <c r="X1753" i="2"/>
  <c r="V1753" i="2"/>
  <c r="U1753" i="2"/>
  <c r="T1753" i="2"/>
  <c r="X1752" i="2"/>
  <c r="V1752" i="2"/>
  <c r="U1752" i="2"/>
  <c r="T1752" i="2"/>
  <c r="X1751" i="2"/>
  <c r="V1751" i="2"/>
  <c r="U1751" i="2"/>
  <c r="T1751" i="2"/>
  <c r="X1750" i="2"/>
  <c r="V1750" i="2"/>
  <c r="U1750" i="2"/>
  <c r="T1750" i="2"/>
  <c r="X1749" i="2"/>
  <c r="V1749" i="2"/>
  <c r="U1749" i="2"/>
  <c r="T1749" i="2"/>
  <c r="X1748" i="2"/>
  <c r="V1748" i="2"/>
  <c r="U1748" i="2"/>
  <c r="T1748" i="2"/>
  <c r="X1747" i="2"/>
  <c r="V1747" i="2"/>
  <c r="U1747" i="2"/>
  <c r="T1747" i="2"/>
  <c r="X1746" i="2"/>
  <c r="V1746" i="2"/>
  <c r="U1746" i="2"/>
  <c r="T1746" i="2"/>
  <c r="X1745" i="2"/>
  <c r="V1745" i="2"/>
  <c r="U1745" i="2"/>
  <c r="T1745" i="2"/>
  <c r="X1744" i="2"/>
  <c r="V1744" i="2"/>
  <c r="U1744" i="2"/>
  <c r="T1744" i="2"/>
  <c r="X1743" i="2"/>
  <c r="V1743" i="2"/>
  <c r="U1743" i="2"/>
  <c r="T1743" i="2"/>
  <c r="X1742" i="2"/>
  <c r="V1742" i="2"/>
  <c r="U1742" i="2"/>
  <c r="T1742" i="2"/>
  <c r="X1741" i="2"/>
  <c r="V1741" i="2"/>
  <c r="U1741" i="2"/>
  <c r="T1741" i="2"/>
  <c r="X1740" i="2"/>
  <c r="V1740" i="2"/>
  <c r="U1740" i="2"/>
  <c r="T1740" i="2"/>
  <c r="X1739" i="2"/>
  <c r="V1739" i="2"/>
  <c r="U1739" i="2"/>
  <c r="T1739" i="2"/>
  <c r="X1738" i="2"/>
  <c r="V1738" i="2"/>
  <c r="U1738" i="2"/>
  <c r="T1738" i="2"/>
  <c r="X1737" i="2"/>
  <c r="V1737" i="2"/>
  <c r="U1737" i="2"/>
  <c r="T1737" i="2"/>
  <c r="X1736" i="2"/>
  <c r="V1736" i="2"/>
  <c r="U1736" i="2"/>
  <c r="T1736" i="2"/>
  <c r="X1735" i="2"/>
  <c r="V1735" i="2"/>
  <c r="U1735" i="2"/>
  <c r="T1735" i="2"/>
  <c r="X1734" i="2"/>
  <c r="V1734" i="2"/>
  <c r="U1734" i="2"/>
  <c r="T1734" i="2"/>
  <c r="X1733" i="2"/>
  <c r="V1733" i="2"/>
  <c r="U1733" i="2"/>
  <c r="T1733" i="2"/>
  <c r="X1732" i="2"/>
  <c r="V1732" i="2"/>
  <c r="U1732" i="2"/>
  <c r="T1732" i="2"/>
  <c r="X1731" i="2"/>
  <c r="V1731" i="2"/>
  <c r="U1731" i="2"/>
  <c r="T1731" i="2"/>
  <c r="X1730" i="2"/>
  <c r="V1730" i="2"/>
  <c r="U1730" i="2"/>
  <c r="T1730" i="2"/>
  <c r="X1729" i="2"/>
  <c r="V1729" i="2"/>
  <c r="U1729" i="2"/>
  <c r="T1729" i="2"/>
  <c r="X1728" i="2"/>
  <c r="V1728" i="2"/>
  <c r="U1728" i="2"/>
  <c r="T1728" i="2"/>
  <c r="X1727" i="2"/>
  <c r="V1727" i="2"/>
  <c r="U1727" i="2"/>
  <c r="T1727" i="2"/>
  <c r="X1726" i="2"/>
  <c r="V1726" i="2"/>
  <c r="U1726" i="2"/>
  <c r="T1726" i="2"/>
  <c r="X1725" i="2"/>
  <c r="V1725" i="2"/>
  <c r="U1725" i="2"/>
  <c r="T1725" i="2"/>
  <c r="X1724" i="2"/>
  <c r="V1724" i="2"/>
  <c r="U1724" i="2"/>
  <c r="T1724" i="2"/>
  <c r="X1723" i="2"/>
  <c r="V1723" i="2"/>
  <c r="U1723" i="2"/>
  <c r="T1723" i="2"/>
  <c r="O1723" i="2"/>
  <c r="X1722" i="2"/>
  <c r="V1722" i="2"/>
  <c r="U1722" i="2"/>
  <c r="T1722" i="2"/>
  <c r="O1722" i="2"/>
  <c r="X1721" i="2"/>
  <c r="V1721" i="2"/>
  <c r="U1721" i="2"/>
  <c r="T1721" i="2"/>
  <c r="O1721" i="2"/>
  <c r="X1720" i="2"/>
  <c r="V1720" i="2"/>
  <c r="U1720" i="2"/>
  <c r="T1720" i="2"/>
  <c r="O1720" i="2"/>
  <c r="X1719" i="2"/>
  <c r="V1719" i="2"/>
  <c r="U1719" i="2"/>
  <c r="T1719" i="2"/>
  <c r="O1719" i="2"/>
  <c r="X1718" i="2"/>
  <c r="V1718" i="2"/>
  <c r="U1718" i="2"/>
  <c r="T1718" i="2"/>
  <c r="O1718" i="2"/>
  <c r="X1717" i="2"/>
  <c r="V1717" i="2"/>
  <c r="U1717" i="2"/>
  <c r="T1717" i="2"/>
  <c r="O1717" i="2"/>
  <c r="X1716" i="2"/>
  <c r="V1716" i="2"/>
  <c r="U1716" i="2"/>
  <c r="T1716" i="2"/>
  <c r="O1716" i="2"/>
  <c r="X1715" i="2"/>
  <c r="V1715" i="2"/>
  <c r="U1715" i="2"/>
  <c r="T1715" i="2"/>
  <c r="O1715" i="2"/>
  <c r="X1714" i="2"/>
  <c r="V1714" i="2"/>
  <c r="U1714" i="2"/>
  <c r="T1714" i="2"/>
  <c r="O1714" i="2"/>
  <c r="X1713" i="2"/>
  <c r="V1713" i="2"/>
  <c r="U1713" i="2"/>
  <c r="T1713" i="2"/>
  <c r="O1713" i="2"/>
  <c r="X1712" i="2"/>
  <c r="V1712" i="2"/>
  <c r="U1712" i="2"/>
  <c r="T1712" i="2"/>
  <c r="O1712" i="2"/>
  <c r="X1711" i="2"/>
  <c r="V1711" i="2"/>
  <c r="U1711" i="2"/>
  <c r="T1711" i="2"/>
  <c r="O1711" i="2"/>
  <c r="X1710" i="2"/>
  <c r="V1710" i="2"/>
  <c r="U1710" i="2"/>
  <c r="T1710" i="2"/>
  <c r="O1710" i="2"/>
  <c r="X1709" i="2"/>
  <c r="V1709" i="2"/>
  <c r="U1709" i="2"/>
  <c r="T1709" i="2"/>
  <c r="O1709" i="2"/>
  <c r="X1708" i="2"/>
  <c r="V1708" i="2"/>
  <c r="U1708" i="2"/>
  <c r="T1708" i="2"/>
  <c r="O1708" i="2"/>
  <c r="X1707" i="2"/>
  <c r="V1707" i="2"/>
  <c r="U1707" i="2"/>
  <c r="T1707" i="2"/>
  <c r="O1707" i="2"/>
  <c r="X1706" i="2"/>
  <c r="V1706" i="2"/>
  <c r="U1706" i="2"/>
  <c r="T1706" i="2"/>
  <c r="O1706" i="2"/>
  <c r="X1705" i="2"/>
  <c r="V1705" i="2"/>
  <c r="U1705" i="2"/>
  <c r="T1705" i="2"/>
  <c r="O1705" i="2"/>
  <c r="X1704" i="2"/>
  <c r="V1704" i="2"/>
  <c r="U1704" i="2"/>
  <c r="T1704" i="2"/>
  <c r="O1704" i="2"/>
  <c r="X1703" i="2"/>
  <c r="V1703" i="2"/>
  <c r="U1703" i="2"/>
  <c r="T1703" i="2"/>
  <c r="O1703" i="2"/>
  <c r="X1702" i="2"/>
  <c r="V1702" i="2"/>
  <c r="U1702" i="2"/>
  <c r="T1702" i="2"/>
  <c r="O1702" i="2"/>
  <c r="X1701" i="2"/>
  <c r="V1701" i="2"/>
  <c r="U1701" i="2"/>
  <c r="T1701" i="2"/>
  <c r="O1701" i="2"/>
  <c r="X1700" i="2"/>
  <c r="V1700" i="2"/>
  <c r="U1700" i="2"/>
  <c r="T1700" i="2"/>
  <c r="O1700" i="2"/>
  <c r="X1699" i="2"/>
  <c r="V1699" i="2"/>
  <c r="U1699" i="2"/>
  <c r="T1699" i="2"/>
  <c r="O1699" i="2"/>
  <c r="X1698" i="2"/>
  <c r="V1698" i="2"/>
  <c r="U1698" i="2"/>
  <c r="T1698" i="2"/>
  <c r="O1698" i="2"/>
  <c r="X1697" i="2"/>
  <c r="V1697" i="2"/>
  <c r="U1697" i="2"/>
  <c r="T1697" i="2"/>
  <c r="O1697" i="2"/>
  <c r="X1696" i="2"/>
  <c r="V1696" i="2"/>
  <c r="U1696" i="2"/>
  <c r="T1696" i="2"/>
  <c r="O1696" i="2"/>
  <c r="X1695" i="2"/>
  <c r="V1695" i="2"/>
  <c r="U1695" i="2"/>
  <c r="T1695" i="2"/>
  <c r="O1695" i="2"/>
  <c r="X1694" i="2"/>
  <c r="V1694" i="2"/>
  <c r="U1694" i="2"/>
  <c r="T1694" i="2"/>
  <c r="O1694" i="2"/>
  <c r="X1693" i="2"/>
  <c r="V1693" i="2"/>
  <c r="U1693" i="2"/>
  <c r="T1693" i="2"/>
  <c r="O1693" i="2"/>
  <c r="X1692" i="2"/>
  <c r="V1692" i="2"/>
  <c r="U1692" i="2"/>
  <c r="T1692" i="2"/>
  <c r="O1692" i="2"/>
  <c r="X1691" i="2"/>
  <c r="V1691" i="2"/>
  <c r="U1691" i="2"/>
  <c r="T1691" i="2"/>
  <c r="O1691" i="2"/>
  <c r="X1690" i="2"/>
  <c r="V1690" i="2"/>
  <c r="U1690" i="2"/>
  <c r="T1690" i="2"/>
  <c r="O1690" i="2"/>
  <c r="X1689" i="2"/>
  <c r="V1689" i="2"/>
  <c r="U1689" i="2"/>
  <c r="T1689" i="2"/>
  <c r="O1689" i="2"/>
  <c r="X1688" i="2"/>
  <c r="V1688" i="2"/>
  <c r="U1688" i="2"/>
  <c r="T1688" i="2"/>
  <c r="O1688" i="2"/>
  <c r="X1687" i="2"/>
  <c r="V1687" i="2"/>
  <c r="U1687" i="2"/>
  <c r="T1687" i="2"/>
  <c r="O1687" i="2"/>
  <c r="X1686" i="2"/>
  <c r="V1686" i="2"/>
  <c r="U1686" i="2"/>
  <c r="T1686" i="2"/>
  <c r="O1686" i="2"/>
  <c r="X1685" i="2"/>
  <c r="V1685" i="2"/>
  <c r="U1685" i="2"/>
  <c r="T1685" i="2"/>
  <c r="O1685" i="2"/>
  <c r="X1684" i="2"/>
  <c r="V1684" i="2"/>
  <c r="U1684" i="2"/>
  <c r="T1684" i="2"/>
  <c r="O1684" i="2"/>
  <c r="X1683" i="2"/>
  <c r="V1683" i="2"/>
  <c r="U1683" i="2"/>
  <c r="T1683" i="2"/>
  <c r="O1683" i="2"/>
  <c r="X1682" i="2"/>
  <c r="V1682" i="2"/>
  <c r="U1682" i="2"/>
  <c r="T1682" i="2"/>
  <c r="O1682" i="2"/>
  <c r="X1681" i="2"/>
  <c r="V1681" i="2"/>
  <c r="U1681" i="2"/>
  <c r="T1681" i="2"/>
  <c r="O1681" i="2"/>
  <c r="X1680" i="2"/>
  <c r="V1680" i="2"/>
  <c r="U1680" i="2"/>
  <c r="T1680" i="2"/>
  <c r="O1680" i="2"/>
  <c r="X1679" i="2"/>
  <c r="V1679" i="2"/>
  <c r="U1679" i="2"/>
  <c r="T1679" i="2"/>
  <c r="O1679" i="2"/>
  <c r="X1678" i="2"/>
  <c r="V1678" i="2"/>
  <c r="U1678" i="2"/>
  <c r="T1678" i="2"/>
  <c r="O1678" i="2"/>
  <c r="X1677" i="2"/>
  <c r="V1677" i="2"/>
  <c r="U1677" i="2"/>
  <c r="T1677" i="2"/>
  <c r="O1677" i="2"/>
  <c r="X1676" i="2"/>
  <c r="V1676" i="2"/>
  <c r="U1676" i="2"/>
  <c r="T1676" i="2"/>
  <c r="O1676" i="2"/>
  <c r="X1675" i="2"/>
  <c r="V1675" i="2"/>
  <c r="U1675" i="2"/>
  <c r="T1675" i="2"/>
  <c r="O1675" i="2"/>
  <c r="X1674" i="2"/>
  <c r="V1674" i="2"/>
  <c r="U1674" i="2"/>
  <c r="T1674" i="2"/>
  <c r="O1674" i="2"/>
  <c r="X1673" i="2"/>
  <c r="V1673" i="2"/>
  <c r="U1673" i="2"/>
  <c r="T1673" i="2"/>
  <c r="O1673" i="2"/>
  <c r="X1672" i="2"/>
  <c r="V1672" i="2"/>
  <c r="U1672" i="2"/>
  <c r="T1672" i="2"/>
  <c r="O1672" i="2"/>
  <c r="X1671" i="2"/>
  <c r="V1671" i="2"/>
  <c r="U1671" i="2"/>
  <c r="T1671" i="2"/>
  <c r="O1671" i="2"/>
  <c r="X1670" i="2"/>
  <c r="V1670" i="2"/>
  <c r="U1670" i="2"/>
  <c r="T1670" i="2"/>
  <c r="O1670" i="2"/>
  <c r="X1669" i="2"/>
  <c r="V1669" i="2"/>
  <c r="U1669" i="2"/>
  <c r="T1669" i="2"/>
  <c r="O1669" i="2"/>
  <c r="X1668" i="2"/>
  <c r="V1668" i="2"/>
  <c r="U1668" i="2"/>
  <c r="T1668" i="2"/>
  <c r="O1668" i="2"/>
  <c r="X1667" i="2"/>
  <c r="V1667" i="2"/>
  <c r="U1667" i="2"/>
  <c r="T1667" i="2"/>
  <c r="O1667" i="2"/>
  <c r="X1666" i="2"/>
  <c r="V1666" i="2"/>
  <c r="U1666" i="2"/>
  <c r="T1666" i="2"/>
  <c r="O1666" i="2"/>
  <c r="X1665" i="2"/>
  <c r="V1665" i="2"/>
  <c r="U1665" i="2"/>
  <c r="T1665" i="2"/>
  <c r="O1665" i="2"/>
  <c r="X1664" i="2"/>
  <c r="V1664" i="2"/>
  <c r="U1664" i="2"/>
  <c r="T1664" i="2"/>
  <c r="O1664" i="2"/>
  <c r="X1663" i="2"/>
  <c r="V1663" i="2"/>
  <c r="U1663" i="2"/>
  <c r="T1663" i="2"/>
  <c r="O1663" i="2"/>
  <c r="X1662" i="2"/>
  <c r="V1662" i="2"/>
  <c r="U1662" i="2"/>
  <c r="T1662" i="2"/>
  <c r="O1662" i="2"/>
  <c r="X1661" i="2"/>
  <c r="V1661" i="2"/>
  <c r="U1661" i="2"/>
  <c r="T1661" i="2"/>
  <c r="O1661" i="2"/>
  <c r="X1660" i="2"/>
  <c r="V1660" i="2"/>
  <c r="U1660" i="2"/>
  <c r="T1660" i="2"/>
  <c r="O1660" i="2"/>
  <c r="X1659" i="2"/>
  <c r="V1659" i="2"/>
  <c r="U1659" i="2"/>
  <c r="T1659" i="2"/>
  <c r="O1659" i="2"/>
  <c r="X1658" i="2"/>
  <c r="V1658" i="2"/>
  <c r="U1658" i="2"/>
  <c r="T1658" i="2"/>
  <c r="O1658" i="2"/>
  <c r="X1657" i="2"/>
  <c r="V1657" i="2"/>
  <c r="U1657" i="2"/>
  <c r="T1657" i="2"/>
  <c r="O1657" i="2"/>
  <c r="X1656" i="2"/>
  <c r="V1656" i="2"/>
  <c r="U1656" i="2"/>
  <c r="T1656" i="2"/>
  <c r="O1656" i="2"/>
  <c r="X1655" i="2"/>
  <c r="V1655" i="2"/>
  <c r="U1655" i="2"/>
  <c r="T1655" i="2"/>
  <c r="O1655" i="2"/>
  <c r="X1654" i="2"/>
  <c r="V1654" i="2"/>
  <c r="U1654" i="2"/>
  <c r="T1654" i="2"/>
  <c r="O1654" i="2"/>
  <c r="X1653" i="2"/>
  <c r="V1653" i="2"/>
  <c r="U1653" i="2"/>
  <c r="T1653" i="2"/>
  <c r="O1653" i="2"/>
  <c r="X1652" i="2"/>
  <c r="V1652" i="2"/>
  <c r="U1652" i="2"/>
  <c r="T1652" i="2"/>
  <c r="O1652" i="2"/>
  <c r="X1651" i="2"/>
  <c r="V1651" i="2"/>
  <c r="U1651" i="2"/>
  <c r="T1651" i="2"/>
  <c r="O1651" i="2"/>
  <c r="X1650" i="2"/>
  <c r="V1650" i="2"/>
  <c r="U1650" i="2"/>
  <c r="T1650" i="2"/>
  <c r="O1650" i="2"/>
  <c r="X1649" i="2"/>
  <c r="V1649" i="2"/>
  <c r="U1649" i="2"/>
  <c r="T1649" i="2"/>
  <c r="O1649" i="2"/>
  <c r="X1648" i="2"/>
  <c r="V1648" i="2"/>
  <c r="U1648" i="2"/>
  <c r="T1648" i="2"/>
  <c r="O1648" i="2"/>
  <c r="X1647" i="2"/>
  <c r="V1647" i="2"/>
  <c r="U1647" i="2"/>
  <c r="T1647" i="2"/>
  <c r="O1647" i="2"/>
  <c r="X1646" i="2"/>
  <c r="V1646" i="2"/>
  <c r="U1646" i="2"/>
  <c r="T1646" i="2"/>
  <c r="O1646" i="2"/>
  <c r="X1645" i="2"/>
  <c r="V1645" i="2"/>
  <c r="U1645" i="2"/>
  <c r="T1645" i="2"/>
  <c r="O1645" i="2"/>
  <c r="X1644" i="2"/>
  <c r="V1644" i="2"/>
  <c r="U1644" i="2"/>
  <c r="T1644" i="2"/>
  <c r="O1644" i="2"/>
  <c r="X1643" i="2"/>
  <c r="V1643" i="2"/>
  <c r="U1643" i="2"/>
  <c r="T1643" i="2"/>
  <c r="O1643" i="2"/>
  <c r="X1642" i="2"/>
  <c r="V1642" i="2"/>
  <c r="U1642" i="2"/>
  <c r="T1642" i="2"/>
  <c r="O1642" i="2"/>
  <c r="X1641" i="2"/>
  <c r="V1641" i="2"/>
  <c r="U1641" i="2"/>
  <c r="T1641" i="2"/>
  <c r="O1641" i="2"/>
  <c r="X1640" i="2"/>
  <c r="V1640" i="2"/>
  <c r="U1640" i="2"/>
  <c r="T1640" i="2"/>
  <c r="O1640" i="2"/>
  <c r="X1639" i="2"/>
  <c r="V1639" i="2"/>
  <c r="U1639" i="2"/>
  <c r="T1639" i="2"/>
  <c r="O1639" i="2"/>
  <c r="X1638" i="2"/>
  <c r="V1638" i="2"/>
  <c r="U1638" i="2"/>
  <c r="T1638" i="2"/>
  <c r="O1638" i="2"/>
  <c r="X1637" i="2"/>
  <c r="V1637" i="2"/>
  <c r="U1637" i="2"/>
  <c r="T1637" i="2"/>
  <c r="O1637" i="2"/>
  <c r="X1636" i="2"/>
  <c r="V1636" i="2"/>
  <c r="U1636" i="2"/>
  <c r="T1636" i="2"/>
  <c r="O1636" i="2"/>
  <c r="X1635" i="2"/>
  <c r="V1635" i="2"/>
  <c r="U1635" i="2"/>
  <c r="T1635" i="2"/>
  <c r="O1635" i="2"/>
  <c r="X1634" i="2"/>
  <c r="V1634" i="2"/>
  <c r="U1634" i="2"/>
  <c r="T1634" i="2"/>
  <c r="O1634" i="2"/>
  <c r="X1633" i="2"/>
  <c r="V1633" i="2"/>
  <c r="U1633" i="2"/>
  <c r="T1633" i="2"/>
  <c r="O1633" i="2"/>
  <c r="X1632" i="2"/>
  <c r="V1632" i="2"/>
  <c r="U1632" i="2"/>
  <c r="T1632" i="2"/>
  <c r="O1632" i="2"/>
  <c r="X1631" i="2"/>
  <c r="V1631" i="2"/>
  <c r="U1631" i="2"/>
  <c r="T1631" i="2"/>
  <c r="O1631" i="2"/>
  <c r="X1630" i="2"/>
  <c r="V1630" i="2"/>
  <c r="U1630" i="2"/>
  <c r="T1630" i="2"/>
  <c r="O1630" i="2"/>
  <c r="X1629" i="2"/>
  <c r="V1629" i="2"/>
  <c r="U1629" i="2"/>
  <c r="T1629" i="2"/>
  <c r="O1629" i="2"/>
  <c r="X1628" i="2"/>
  <c r="V1628" i="2"/>
  <c r="U1628" i="2"/>
  <c r="T1628" i="2"/>
  <c r="O1628" i="2"/>
  <c r="X1627" i="2"/>
  <c r="V1627" i="2"/>
  <c r="U1627" i="2"/>
  <c r="T1627" i="2"/>
  <c r="O1627" i="2"/>
  <c r="X1626" i="2"/>
  <c r="V1626" i="2"/>
  <c r="U1626" i="2"/>
  <c r="T1626" i="2"/>
  <c r="O1626" i="2"/>
  <c r="X1625" i="2"/>
  <c r="V1625" i="2"/>
  <c r="U1625" i="2"/>
  <c r="T1625" i="2"/>
  <c r="O1625" i="2"/>
  <c r="X1624" i="2"/>
  <c r="V1624" i="2"/>
  <c r="U1624" i="2"/>
  <c r="T1624" i="2"/>
  <c r="O1624" i="2"/>
  <c r="X1623" i="2"/>
  <c r="V1623" i="2"/>
  <c r="U1623" i="2"/>
  <c r="T1623" i="2"/>
  <c r="O1623" i="2"/>
  <c r="X1622" i="2"/>
  <c r="V1622" i="2"/>
  <c r="U1622" i="2"/>
  <c r="T1622" i="2"/>
  <c r="O1622" i="2"/>
  <c r="X1621" i="2"/>
  <c r="V1621" i="2"/>
  <c r="U1621" i="2"/>
  <c r="T1621" i="2"/>
  <c r="O1621" i="2"/>
  <c r="X1620" i="2"/>
  <c r="V1620" i="2"/>
  <c r="U1620" i="2"/>
  <c r="T1620" i="2"/>
  <c r="O1620" i="2"/>
  <c r="X1619" i="2"/>
  <c r="V1619" i="2"/>
  <c r="U1619" i="2"/>
  <c r="T1619" i="2"/>
  <c r="O1619" i="2"/>
  <c r="X1618" i="2"/>
  <c r="V1618" i="2"/>
  <c r="U1618" i="2"/>
  <c r="T1618" i="2"/>
  <c r="O1618" i="2"/>
  <c r="X1617" i="2"/>
  <c r="V1617" i="2"/>
  <c r="U1617" i="2"/>
  <c r="T1617" i="2"/>
  <c r="O1617" i="2"/>
  <c r="X1616" i="2"/>
  <c r="V1616" i="2"/>
  <c r="U1616" i="2"/>
  <c r="T1616" i="2"/>
  <c r="O1616" i="2"/>
  <c r="X1615" i="2"/>
  <c r="V1615" i="2"/>
  <c r="U1615" i="2"/>
  <c r="T1615" i="2"/>
  <c r="O1615" i="2"/>
  <c r="X1614" i="2"/>
  <c r="V1614" i="2"/>
  <c r="U1614" i="2"/>
  <c r="T1614" i="2"/>
  <c r="O1614" i="2"/>
  <c r="X1613" i="2"/>
  <c r="V1613" i="2"/>
  <c r="U1613" i="2"/>
  <c r="T1613" i="2"/>
  <c r="O1613" i="2"/>
  <c r="X1612" i="2"/>
  <c r="V1612" i="2"/>
  <c r="U1612" i="2"/>
  <c r="T1612" i="2"/>
  <c r="O1612" i="2"/>
  <c r="X1611" i="2"/>
  <c r="V1611" i="2"/>
  <c r="U1611" i="2"/>
  <c r="T1611" i="2"/>
  <c r="O1611" i="2"/>
  <c r="X1610" i="2"/>
  <c r="V1610" i="2"/>
  <c r="U1610" i="2"/>
  <c r="T1610" i="2"/>
  <c r="O1610" i="2"/>
  <c r="X1609" i="2"/>
  <c r="V1609" i="2"/>
  <c r="U1609" i="2"/>
  <c r="T1609" i="2"/>
  <c r="O1609" i="2"/>
  <c r="X1608" i="2"/>
  <c r="V1608" i="2"/>
  <c r="U1608" i="2"/>
  <c r="T1608" i="2"/>
  <c r="O1608" i="2"/>
  <c r="X1607" i="2"/>
  <c r="V1607" i="2"/>
  <c r="U1607" i="2"/>
  <c r="T1607" i="2"/>
  <c r="O1607" i="2"/>
  <c r="X1606" i="2"/>
  <c r="V1606" i="2"/>
  <c r="U1606" i="2"/>
  <c r="T1606" i="2"/>
  <c r="O1606" i="2"/>
  <c r="X1605" i="2"/>
  <c r="V1605" i="2"/>
  <c r="U1605" i="2"/>
  <c r="T1605" i="2"/>
  <c r="O1605" i="2"/>
  <c r="X1604" i="2"/>
  <c r="V1604" i="2"/>
  <c r="U1604" i="2"/>
  <c r="T1604" i="2"/>
  <c r="O1604" i="2"/>
  <c r="X1603" i="2"/>
  <c r="V1603" i="2"/>
  <c r="U1603" i="2"/>
  <c r="T1603" i="2"/>
  <c r="O1603" i="2"/>
  <c r="X1602" i="2"/>
  <c r="V1602" i="2"/>
  <c r="U1602" i="2"/>
  <c r="T1602" i="2"/>
  <c r="O1602" i="2"/>
  <c r="X1601" i="2"/>
  <c r="V1601" i="2"/>
  <c r="U1601" i="2"/>
  <c r="T1601" i="2"/>
  <c r="O1601" i="2"/>
  <c r="X1600" i="2"/>
  <c r="V1600" i="2"/>
  <c r="U1600" i="2"/>
  <c r="T1600" i="2"/>
  <c r="O1600" i="2"/>
  <c r="X1599" i="2"/>
  <c r="V1599" i="2"/>
  <c r="U1599" i="2"/>
  <c r="T1599" i="2"/>
  <c r="O1599" i="2"/>
  <c r="X1598" i="2"/>
  <c r="V1598" i="2"/>
  <c r="U1598" i="2"/>
  <c r="T1598" i="2"/>
  <c r="O1598" i="2"/>
  <c r="X1597" i="2"/>
  <c r="V1597" i="2"/>
  <c r="U1597" i="2"/>
  <c r="T1597" i="2"/>
  <c r="O1597" i="2"/>
  <c r="X1596" i="2"/>
  <c r="V1596" i="2"/>
  <c r="U1596" i="2"/>
  <c r="T1596" i="2"/>
  <c r="O1596" i="2"/>
  <c r="X1595" i="2"/>
  <c r="V1595" i="2"/>
  <c r="U1595" i="2"/>
  <c r="T1595" i="2"/>
  <c r="O1595" i="2"/>
  <c r="X1594" i="2"/>
  <c r="V1594" i="2"/>
  <c r="U1594" i="2"/>
  <c r="T1594" i="2"/>
  <c r="O1594" i="2"/>
  <c r="X1593" i="2"/>
  <c r="V1593" i="2"/>
  <c r="U1593" i="2"/>
  <c r="T1593" i="2"/>
  <c r="O1593" i="2"/>
  <c r="X1592" i="2"/>
  <c r="V1592" i="2"/>
  <c r="U1592" i="2"/>
  <c r="T1592" i="2"/>
  <c r="O1592" i="2"/>
  <c r="X1591" i="2"/>
  <c r="V1591" i="2"/>
  <c r="U1591" i="2"/>
  <c r="T1591" i="2"/>
  <c r="O1591" i="2"/>
  <c r="X1590" i="2"/>
  <c r="V1590" i="2"/>
  <c r="U1590" i="2"/>
  <c r="T1590" i="2"/>
  <c r="O1590" i="2"/>
  <c r="X1589" i="2"/>
  <c r="V1589" i="2"/>
  <c r="U1589" i="2"/>
  <c r="T1589" i="2"/>
  <c r="O1589" i="2"/>
  <c r="X1588" i="2"/>
  <c r="V1588" i="2"/>
  <c r="U1588" i="2"/>
  <c r="T1588" i="2"/>
  <c r="O1588" i="2"/>
  <c r="X1587" i="2"/>
  <c r="V1587" i="2"/>
  <c r="U1587" i="2"/>
  <c r="T1587" i="2"/>
  <c r="O1587" i="2"/>
  <c r="X1586" i="2"/>
  <c r="V1586" i="2"/>
  <c r="U1586" i="2"/>
  <c r="T1586" i="2"/>
  <c r="O1586" i="2"/>
  <c r="X1585" i="2"/>
  <c r="V1585" i="2"/>
  <c r="U1585" i="2"/>
  <c r="T1585" i="2"/>
  <c r="O1585" i="2"/>
  <c r="X1584" i="2"/>
  <c r="V1584" i="2"/>
  <c r="U1584" i="2"/>
  <c r="T1584" i="2"/>
  <c r="O1584" i="2"/>
  <c r="X1583" i="2"/>
  <c r="V1583" i="2"/>
  <c r="U1583" i="2"/>
  <c r="T1583" i="2"/>
  <c r="O1583" i="2"/>
  <c r="X1582" i="2"/>
  <c r="V1582" i="2"/>
  <c r="U1582" i="2"/>
  <c r="T1582" i="2"/>
  <c r="O1582" i="2"/>
  <c r="X1581" i="2"/>
  <c r="V1581" i="2"/>
  <c r="U1581" i="2"/>
  <c r="T1581" i="2"/>
  <c r="O1581" i="2"/>
  <c r="X1580" i="2"/>
  <c r="V1580" i="2"/>
  <c r="U1580" i="2"/>
  <c r="T1580" i="2"/>
  <c r="O1580" i="2"/>
  <c r="X1579" i="2"/>
  <c r="V1579" i="2"/>
  <c r="U1579" i="2"/>
  <c r="T1579" i="2"/>
  <c r="O1579" i="2"/>
  <c r="X1578" i="2"/>
  <c r="V1578" i="2"/>
  <c r="U1578" i="2"/>
  <c r="T1578" i="2"/>
  <c r="O1578" i="2"/>
  <c r="X1577" i="2"/>
  <c r="V1577" i="2"/>
  <c r="U1577" i="2"/>
  <c r="T1577" i="2"/>
  <c r="O1577" i="2"/>
  <c r="X1576" i="2"/>
  <c r="V1576" i="2"/>
  <c r="U1576" i="2"/>
  <c r="T1576" i="2"/>
  <c r="O1576" i="2"/>
  <c r="X1575" i="2"/>
  <c r="V1575" i="2"/>
  <c r="U1575" i="2"/>
  <c r="T1575" i="2"/>
  <c r="O1575" i="2"/>
  <c r="X1574" i="2"/>
  <c r="V1574" i="2"/>
  <c r="U1574" i="2"/>
  <c r="T1574" i="2"/>
  <c r="O1574" i="2"/>
  <c r="X1573" i="2"/>
  <c r="V1573" i="2"/>
  <c r="U1573" i="2"/>
  <c r="T1573" i="2"/>
  <c r="O1573" i="2"/>
  <c r="X1572" i="2"/>
  <c r="V1572" i="2"/>
  <c r="U1572" i="2"/>
  <c r="T1572" i="2"/>
  <c r="O1572" i="2"/>
  <c r="X1571" i="2"/>
  <c r="V1571" i="2"/>
  <c r="U1571" i="2"/>
  <c r="T1571" i="2"/>
  <c r="O1571" i="2"/>
  <c r="X1570" i="2"/>
  <c r="V1570" i="2"/>
  <c r="U1570" i="2"/>
  <c r="T1570" i="2"/>
  <c r="O1570" i="2"/>
  <c r="X1569" i="2"/>
  <c r="V1569" i="2"/>
  <c r="U1569" i="2"/>
  <c r="T1569" i="2"/>
  <c r="O1569" i="2"/>
  <c r="X1568" i="2"/>
  <c r="V1568" i="2"/>
  <c r="U1568" i="2"/>
  <c r="T1568" i="2"/>
  <c r="O1568" i="2"/>
  <c r="X1567" i="2"/>
  <c r="V1567" i="2"/>
  <c r="U1567" i="2"/>
  <c r="T1567" i="2"/>
  <c r="O1567" i="2"/>
  <c r="X1566" i="2"/>
  <c r="V1566" i="2"/>
  <c r="U1566" i="2"/>
  <c r="T1566" i="2"/>
  <c r="O1566" i="2"/>
  <c r="X1565" i="2"/>
  <c r="V1565" i="2"/>
  <c r="U1565" i="2"/>
  <c r="T1565" i="2"/>
  <c r="O1565" i="2"/>
  <c r="X1564" i="2"/>
  <c r="V1564" i="2"/>
  <c r="U1564" i="2"/>
  <c r="T1564" i="2"/>
  <c r="O1564" i="2"/>
  <c r="X1563" i="2"/>
  <c r="V1563" i="2"/>
  <c r="U1563" i="2"/>
  <c r="T1563" i="2"/>
  <c r="O1563" i="2"/>
  <c r="X1562" i="2"/>
  <c r="V1562" i="2"/>
  <c r="U1562" i="2"/>
  <c r="T1562" i="2"/>
  <c r="O1562" i="2"/>
  <c r="X1561" i="2"/>
  <c r="V1561" i="2"/>
  <c r="U1561" i="2"/>
  <c r="T1561" i="2"/>
  <c r="O1561" i="2"/>
  <c r="X1560" i="2"/>
  <c r="V1560" i="2"/>
  <c r="U1560" i="2"/>
  <c r="T1560" i="2"/>
  <c r="O1560" i="2"/>
  <c r="X1559" i="2"/>
  <c r="V1559" i="2"/>
  <c r="U1559" i="2"/>
  <c r="T1559" i="2"/>
  <c r="O1559" i="2"/>
  <c r="X1558" i="2"/>
  <c r="V1558" i="2"/>
  <c r="U1558" i="2"/>
  <c r="T1558" i="2"/>
  <c r="O1558" i="2"/>
  <c r="X1557" i="2"/>
  <c r="V1557" i="2"/>
  <c r="U1557" i="2"/>
  <c r="T1557" i="2"/>
  <c r="O1557" i="2"/>
  <c r="X1556" i="2"/>
  <c r="V1556" i="2"/>
  <c r="U1556" i="2"/>
  <c r="T1556" i="2"/>
  <c r="O1556" i="2"/>
  <c r="X1555" i="2"/>
  <c r="V1555" i="2"/>
  <c r="U1555" i="2"/>
  <c r="T1555" i="2"/>
  <c r="O1555" i="2"/>
  <c r="X1554" i="2"/>
  <c r="V1554" i="2"/>
  <c r="U1554" i="2"/>
  <c r="T1554" i="2"/>
  <c r="O1554" i="2"/>
  <c r="X1553" i="2"/>
  <c r="V1553" i="2"/>
  <c r="U1553" i="2"/>
  <c r="T1553" i="2"/>
  <c r="O1553" i="2"/>
  <c r="X1552" i="2"/>
  <c r="V1552" i="2"/>
  <c r="U1552" i="2"/>
  <c r="T1552" i="2"/>
  <c r="O1552" i="2"/>
  <c r="X1551" i="2"/>
  <c r="V1551" i="2"/>
  <c r="U1551" i="2"/>
  <c r="T1551" i="2"/>
  <c r="O1551" i="2"/>
  <c r="X1550" i="2"/>
  <c r="V1550" i="2"/>
  <c r="U1550" i="2"/>
  <c r="T1550" i="2"/>
  <c r="O1550" i="2"/>
  <c r="X1549" i="2"/>
  <c r="V1549" i="2"/>
  <c r="U1549" i="2"/>
  <c r="T1549" i="2"/>
  <c r="O1549" i="2"/>
  <c r="X1548" i="2"/>
  <c r="V1548" i="2"/>
  <c r="U1548" i="2"/>
  <c r="T1548" i="2"/>
  <c r="O1548" i="2"/>
  <c r="X1547" i="2"/>
  <c r="V1547" i="2"/>
  <c r="U1547" i="2"/>
  <c r="T1547" i="2"/>
  <c r="O1547" i="2"/>
  <c r="X1546" i="2"/>
  <c r="V1546" i="2"/>
  <c r="U1546" i="2"/>
  <c r="T1546" i="2"/>
  <c r="O1546" i="2"/>
  <c r="X1545" i="2"/>
  <c r="V1545" i="2"/>
  <c r="U1545" i="2"/>
  <c r="T1545" i="2"/>
  <c r="O1545" i="2"/>
  <c r="X1544" i="2"/>
  <c r="V1544" i="2"/>
  <c r="U1544" i="2"/>
  <c r="T1544" i="2"/>
  <c r="O1544" i="2"/>
  <c r="X1543" i="2"/>
  <c r="V1543" i="2"/>
  <c r="U1543" i="2"/>
  <c r="T1543" i="2"/>
  <c r="O1543" i="2"/>
  <c r="X1542" i="2"/>
  <c r="V1542" i="2"/>
  <c r="U1542" i="2"/>
  <c r="T1542" i="2"/>
  <c r="O1542" i="2"/>
  <c r="X1541" i="2"/>
  <c r="V1541" i="2"/>
  <c r="U1541" i="2"/>
  <c r="T1541" i="2"/>
  <c r="O1541" i="2"/>
  <c r="X1540" i="2"/>
  <c r="V1540" i="2"/>
  <c r="U1540" i="2"/>
  <c r="T1540" i="2"/>
  <c r="O1540" i="2"/>
  <c r="X1539" i="2"/>
  <c r="V1539" i="2"/>
  <c r="U1539" i="2"/>
  <c r="T1539" i="2"/>
  <c r="O1539" i="2"/>
  <c r="X1538" i="2"/>
  <c r="V1538" i="2"/>
  <c r="U1538" i="2"/>
  <c r="T1538" i="2"/>
  <c r="O1538" i="2"/>
  <c r="X1537" i="2"/>
  <c r="V1537" i="2"/>
  <c r="U1537" i="2"/>
  <c r="T1537" i="2"/>
  <c r="O1537" i="2"/>
  <c r="X1536" i="2"/>
  <c r="V1536" i="2"/>
  <c r="U1536" i="2"/>
  <c r="T1536" i="2"/>
  <c r="O1536" i="2"/>
  <c r="X1535" i="2"/>
  <c r="V1535" i="2"/>
  <c r="U1535" i="2"/>
  <c r="T1535" i="2"/>
  <c r="O1535" i="2"/>
  <c r="X1534" i="2"/>
  <c r="V1534" i="2"/>
  <c r="U1534" i="2"/>
  <c r="T1534" i="2"/>
  <c r="O1534" i="2"/>
  <c r="X1533" i="2"/>
  <c r="V1533" i="2"/>
  <c r="U1533" i="2"/>
  <c r="T1533" i="2"/>
  <c r="O1533" i="2"/>
  <c r="X1532" i="2"/>
  <c r="V1532" i="2"/>
  <c r="U1532" i="2"/>
  <c r="T1532" i="2"/>
  <c r="O1532" i="2"/>
  <c r="X1531" i="2"/>
  <c r="V1531" i="2"/>
  <c r="U1531" i="2"/>
  <c r="T1531" i="2"/>
  <c r="O1531" i="2"/>
  <c r="X1530" i="2"/>
  <c r="V1530" i="2"/>
  <c r="U1530" i="2"/>
  <c r="T1530" i="2"/>
  <c r="O1530" i="2"/>
  <c r="X1529" i="2"/>
  <c r="V1529" i="2"/>
  <c r="U1529" i="2"/>
  <c r="T1529" i="2"/>
  <c r="O1529" i="2"/>
  <c r="X1528" i="2"/>
  <c r="V1528" i="2"/>
  <c r="U1528" i="2"/>
  <c r="T1528" i="2"/>
  <c r="O1528" i="2"/>
  <c r="X1527" i="2"/>
  <c r="V1527" i="2"/>
  <c r="U1527" i="2"/>
  <c r="T1527" i="2"/>
  <c r="O1527" i="2"/>
  <c r="X1526" i="2"/>
  <c r="V1526" i="2"/>
  <c r="U1526" i="2"/>
  <c r="T1526" i="2"/>
  <c r="O1526" i="2"/>
  <c r="X1525" i="2"/>
  <c r="V1525" i="2"/>
  <c r="U1525" i="2"/>
  <c r="T1525" i="2"/>
  <c r="O1525" i="2"/>
  <c r="X1524" i="2"/>
  <c r="V1524" i="2"/>
  <c r="U1524" i="2"/>
  <c r="T1524" i="2"/>
  <c r="O1524" i="2"/>
  <c r="X1523" i="2"/>
  <c r="V1523" i="2"/>
  <c r="U1523" i="2"/>
  <c r="T1523" i="2"/>
  <c r="O1523" i="2"/>
  <c r="X1522" i="2"/>
  <c r="V1522" i="2"/>
  <c r="U1522" i="2"/>
  <c r="T1522" i="2"/>
  <c r="O1522" i="2"/>
  <c r="X1521" i="2"/>
  <c r="V1521" i="2"/>
  <c r="U1521" i="2"/>
  <c r="T1521" i="2"/>
  <c r="O1521" i="2"/>
  <c r="X1520" i="2"/>
  <c r="V1520" i="2"/>
  <c r="U1520" i="2"/>
  <c r="T1520" i="2"/>
  <c r="O1520" i="2"/>
  <c r="X1519" i="2"/>
  <c r="V1519" i="2"/>
  <c r="U1519" i="2"/>
  <c r="T1519" i="2"/>
  <c r="O1519" i="2"/>
  <c r="X1518" i="2"/>
  <c r="V1518" i="2"/>
  <c r="U1518" i="2"/>
  <c r="T1518" i="2"/>
  <c r="O1518" i="2"/>
  <c r="X1517" i="2"/>
  <c r="V1517" i="2"/>
  <c r="U1517" i="2"/>
  <c r="T1517" i="2"/>
  <c r="O1517" i="2"/>
  <c r="X1516" i="2"/>
  <c r="V1516" i="2"/>
  <c r="U1516" i="2"/>
  <c r="T1516" i="2"/>
  <c r="O1516" i="2"/>
  <c r="X1515" i="2"/>
  <c r="V1515" i="2"/>
  <c r="U1515" i="2"/>
  <c r="T1515" i="2"/>
  <c r="O1515" i="2"/>
  <c r="X1514" i="2"/>
  <c r="V1514" i="2"/>
  <c r="U1514" i="2"/>
  <c r="T1514" i="2"/>
  <c r="O1514" i="2"/>
  <c r="X1513" i="2"/>
  <c r="V1513" i="2"/>
  <c r="U1513" i="2"/>
  <c r="T1513" i="2"/>
  <c r="O1513" i="2"/>
  <c r="X1512" i="2"/>
  <c r="V1512" i="2"/>
  <c r="U1512" i="2"/>
  <c r="T1512" i="2"/>
  <c r="O1512" i="2"/>
  <c r="X1511" i="2"/>
  <c r="V1511" i="2"/>
  <c r="U1511" i="2"/>
  <c r="T1511" i="2"/>
  <c r="O1511" i="2"/>
  <c r="X1510" i="2"/>
  <c r="V1510" i="2"/>
  <c r="U1510" i="2"/>
  <c r="T1510" i="2"/>
  <c r="O1510" i="2"/>
  <c r="X1509" i="2"/>
  <c r="V1509" i="2"/>
  <c r="U1509" i="2"/>
  <c r="T1509" i="2"/>
  <c r="O1509" i="2"/>
  <c r="X1508" i="2"/>
  <c r="V1508" i="2"/>
  <c r="U1508" i="2"/>
  <c r="T1508" i="2"/>
  <c r="O1508" i="2"/>
  <c r="X1507" i="2"/>
  <c r="V1507" i="2"/>
  <c r="U1507" i="2"/>
  <c r="T1507" i="2"/>
  <c r="O1507" i="2"/>
  <c r="X1506" i="2"/>
  <c r="V1506" i="2"/>
  <c r="U1506" i="2"/>
  <c r="T1506" i="2"/>
  <c r="O1506" i="2"/>
  <c r="X1505" i="2"/>
  <c r="V1505" i="2"/>
  <c r="U1505" i="2"/>
  <c r="T1505" i="2"/>
  <c r="O1505" i="2"/>
  <c r="X1504" i="2"/>
  <c r="V1504" i="2"/>
  <c r="U1504" i="2"/>
  <c r="T1504" i="2"/>
  <c r="O1504" i="2"/>
  <c r="X1503" i="2"/>
  <c r="V1503" i="2"/>
  <c r="U1503" i="2"/>
  <c r="T1503" i="2"/>
  <c r="O1503" i="2"/>
  <c r="X1502" i="2"/>
  <c r="V1502" i="2"/>
  <c r="U1502" i="2"/>
  <c r="T1502" i="2"/>
  <c r="O1502" i="2"/>
  <c r="X1501" i="2"/>
  <c r="V1501" i="2"/>
  <c r="U1501" i="2"/>
  <c r="T1501" i="2"/>
  <c r="O1501" i="2"/>
  <c r="X1500" i="2"/>
  <c r="V1500" i="2"/>
  <c r="U1500" i="2"/>
  <c r="T1500" i="2"/>
  <c r="O1500" i="2"/>
  <c r="X1499" i="2"/>
  <c r="V1499" i="2"/>
  <c r="U1499" i="2"/>
  <c r="T1499" i="2"/>
  <c r="O1499" i="2"/>
  <c r="X1498" i="2"/>
  <c r="V1498" i="2"/>
  <c r="U1498" i="2"/>
  <c r="T1498" i="2"/>
  <c r="O1498" i="2"/>
  <c r="X1497" i="2"/>
  <c r="V1497" i="2"/>
  <c r="U1497" i="2"/>
  <c r="T1497" i="2"/>
  <c r="O1497" i="2"/>
  <c r="X1496" i="2"/>
  <c r="V1496" i="2"/>
  <c r="U1496" i="2"/>
  <c r="T1496" i="2"/>
  <c r="O1496" i="2"/>
  <c r="X1495" i="2"/>
  <c r="V1495" i="2"/>
  <c r="U1495" i="2"/>
  <c r="T1495" i="2"/>
  <c r="O1495" i="2"/>
  <c r="X1494" i="2"/>
  <c r="V1494" i="2"/>
  <c r="U1494" i="2"/>
  <c r="T1494" i="2"/>
  <c r="O1494" i="2"/>
  <c r="X1493" i="2"/>
  <c r="V1493" i="2"/>
  <c r="U1493" i="2"/>
  <c r="T1493" i="2"/>
  <c r="O1493" i="2"/>
  <c r="X1492" i="2"/>
  <c r="V1492" i="2"/>
  <c r="U1492" i="2"/>
  <c r="T1492" i="2"/>
  <c r="O1492" i="2"/>
  <c r="X1491" i="2"/>
  <c r="V1491" i="2"/>
  <c r="U1491" i="2"/>
  <c r="T1491" i="2"/>
  <c r="O1491" i="2"/>
  <c r="X1490" i="2"/>
  <c r="V1490" i="2"/>
  <c r="U1490" i="2"/>
  <c r="T1490" i="2"/>
  <c r="O1490" i="2"/>
  <c r="X1489" i="2"/>
  <c r="V1489" i="2"/>
  <c r="U1489" i="2"/>
  <c r="T1489" i="2"/>
  <c r="O1489" i="2"/>
  <c r="X1488" i="2"/>
  <c r="V1488" i="2"/>
  <c r="U1488" i="2"/>
  <c r="T1488" i="2"/>
  <c r="O1488" i="2"/>
  <c r="X1487" i="2"/>
  <c r="V1487" i="2"/>
  <c r="U1487" i="2"/>
  <c r="T1487" i="2"/>
  <c r="O1487" i="2"/>
  <c r="X1486" i="2"/>
  <c r="V1486" i="2"/>
  <c r="U1486" i="2"/>
  <c r="T1486" i="2"/>
  <c r="O1486" i="2"/>
  <c r="X1485" i="2"/>
  <c r="V1485" i="2"/>
  <c r="U1485" i="2"/>
  <c r="T1485" i="2"/>
  <c r="O1485" i="2"/>
  <c r="X1484" i="2"/>
  <c r="V1484" i="2"/>
  <c r="U1484" i="2"/>
  <c r="T1484" i="2"/>
  <c r="O1484" i="2"/>
  <c r="X1483" i="2"/>
  <c r="V1483" i="2"/>
  <c r="U1483" i="2"/>
  <c r="T1483" i="2"/>
  <c r="O1483" i="2"/>
  <c r="X1482" i="2"/>
  <c r="V1482" i="2"/>
  <c r="U1482" i="2"/>
  <c r="T1482" i="2"/>
  <c r="O1482" i="2"/>
  <c r="X1481" i="2"/>
  <c r="V1481" i="2"/>
  <c r="U1481" i="2"/>
  <c r="T1481" i="2"/>
  <c r="O1481" i="2"/>
  <c r="X1480" i="2"/>
  <c r="V1480" i="2"/>
  <c r="U1480" i="2"/>
  <c r="T1480" i="2"/>
  <c r="O1480" i="2"/>
  <c r="X1479" i="2"/>
  <c r="V1479" i="2"/>
  <c r="U1479" i="2"/>
  <c r="T1479" i="2"/>
  <c r="O1479" i="2"/>
  <c r="X1478" i="2"/>
  <c r="V1478" i="2"/>
  <c r="U1478" i="2"/>
  <c r="T1478" i="2"/>
  <c r="O1478" i="2"/>
  <c r="X1477" i="2"/>
  <c r="V1477" i="2"/>
  <c r="U1477" i="2"/>
  <c r="T1477" i="2"/>
  <c r="O1477" i="2"/>
  <c r="X1476" i="2"/>
  <c r="V1476" i="2"/>
  <c r="U1476" i="2"/>
  <c r="T1476" i="2"/>
  <c r="O1476" i="2"/>
  <c r="X1475" i="2"/>
  <c r="V1475" i="2"/>
  <c r="U1475" i="2"/>
  <c r="T1475" i="2"/>
  <c r="O1475" i="2"/>
  <c r="X1474" i="2"/>
  <c r="V1474" i="2"/>
  <c r="U1474" i="2"/>
  <c r="T1474" i="2"/>
  <c r="O1474" i="2"/>
  <c r="X1473" i="2"/>
  <c r="V1473" i="2"/>
  <c r="U1473" i="2"/>
  <c r="T1473" i="2"/>
  <c r="O1473" i="2"/>
  <c r="X1472" i="2"/>
  <c r="V1472" i="2"/>
  <c r="U1472" i="2"/>
  <c r="T1472" i="2"/>
  <c r="O1472" i="2"/>
  <c r="X1471" i="2"/>
  <c r="V1471" i="2"/>
  <c r="U1471" i="2"/>
  <c r="T1471" i="2"/>
  <c r="O1471" i="2"/>
  <c r="X1470" i="2"/>
  <c r="V1470" i="2"/>
  <c r="U1470" i="2"/>
  <c r="T1470" i="2"/>
  <c r="O1470" i="2"/>
  <c r="X1469" i="2"/>
  <c r="V1469" i="2"/>
  <c r="U1469" i="2"/>
  <c r="T1469" i="2"/>
  <c r="O1469" i="2"/>
  <c r="X1468" i="2"/>
  <c r="V1468" i="2"/>
  <c r="U1468" i="2"/>
  <c r="T1468" i="2"/>
  <c r="O1468" i="2"/>
  <c r="X1467" i="2"/>
  <c r="V1467" i="2"/>
  <c r="U1467" i="2"/>
  <c r="T1467" i="2"/>
  <c r="O1467" i="2"/>
  <c r="X1466" i="2"/>
  <c r="V1466" i="2"/>
  <c r="U1466" i="2"/>
  <c r="T1466" i="2"/>
  <c r="O1466" i="2"/>
  <c r="X1465" i="2"/>
  <c r="V1465" i="2"/>
  <c r="U1465" i="2"/>
  <c r="T1465" i="2"/>
  <c r="O1465" i="2"/>
  <c r="X1464" i="2"/>
  <c r="V1464" i="2"/>
  <c r="U1464" i="2"/>
  <c r="T1464" i="2"/>
  <c r="O1464" i="2"/>
  <c r="X1463" i="2"/>
  <c r="V1463" i="2"/>
  <c r="U1463" i="2"/>
  <c r="T1463" i="2"/>
  <c r="O1463" i="2"/>
  <c r="X1462" i="2"/>
  <c r="V1462" i="2"/>
  <c r="U1462" i="2"/>
  <c r="T1462" i="2"/>
  <c r="O1462" i="2"/>
  <c r="X1461" i="2"/>
  <c r="V1461" i="2"/>
  <c r="U1461" i="2"/>
  <c r="T1461" i="2"/>
  <c r="O1461" i="2"/>
  <c r="X1460" i="2"/>
  <c r="V1460" i="2"/>
  <c r="U1460" i="2"/>
  <c r="T1460" i="2"/>
  <c r="O1460" i="2"/>
  <c r="X1459" i="2"/>
  <c r="V1459" i="2"/>
  <c r="U1459" i="2"/>
  <c r="T1459" i="2"/>
  <c r="O1459" i="2"/>
  <c r="X1458" i="2"/>
  <c r="V1458" i="2"/>
  <c r="U1458" i="2"/>
  <c r="T1458" i="2"/>
  <c r="O1458" i="2"/>
  <c r="X1457" i="2"/>
  <c r="V1457" i="2"/>
  <c r="U1457" i="2"/>
  <c r="T1457" i="2"/>
  <c r="O1457" i="2"/>
  <c r="X1456" i="2"/>
  <c r="V1456" i="2"/>
  <c r="U1456" i="2"/>
  <c r="T1456" i="2"/>
  <c r="O1456" i="2"/>
  <c r="X1455" i="2"/>
  <c r="V1455" i="2"/>
  <c r="U1455" i="2"/>
  <c r="T1455" i="2"/>
  <c r="O1455" i="2"/>
  <c r="X1454" i="2"/>
  <c r="V1454" i="2"/>
  <c r="U1454" i="2"/>
  <c r="T1454" i="2"/>
  <c r="O1454" i="2"/>
  <c r="X1453" i="2"/>
  <c r="V1453" i="2"/>
  <c r="U1453" i="2"/>
  <c r="T1453" i="2"/>
  <c r="O1453" i="2"/>
  <c r="X1452" i="2"/>
  <c r="V1452" i="2"/>
  <c r="U1452" i="2"/>
  <c r="T1452" i="2"/>
  <c r="O1452" i="2"/>
  <c r="X1451" i="2"/>
  <c r="V1451" i="2"/>
  <c r="U1451" i="2"/>
  <c r="T1451" i="2"/>
  <c r="O1451" i="2"/>
  <c r="X1450" i="2"/>
  <c r="V1450" i="2"/>
  <c r="U1450" i="2"/>
  <c r="T1450" i="2"/>
  <c r="O1450" i="2"/>
  <c r="X1449" i="2"/>
  <c r="V1449" i="2"/>
  <c r="U1449" i="2"/>
  <c r="T1449" i="2"/>
  <c r="O1449" i="2"/>
  <c r="X1448" i="2"/>
  <c r="V1448" i="2"/>
  <c r="U1448" i="2"/>
  <c r="T1448" i="2"/>
  <c r="O1448" i="2"/>
  <c r="X1447" i="2"/>
  <c r="V1447" i="2"/>
  <c r="U1447" i="2"/>
  <c r="T1447" i="2"/>
  <c r="O1447" i="2"/>
  <c r="X1446" i="2"/>
  <c r="V1446" i="2"/>
  <c r="U1446" i="2"/>
  <c r="T1446" i="2"/>
  <c r="O1446" i="2"/>
  <c r="X1445" i="2"/>
  <c r="V1445" i="2"/>
  <c r="U1445" i="2"/>
  <c r="T1445" i="2"/>
  <c r="O1445" i="2"/>
  <c r="X1444" i="2"/>
  <c r="V1444" i="2"/>
  <c r="U1444" i="2"/>
  <c r="T1444" i="2"/>
  <c r="O1444" i="2"/>
  <c r="X1443" i="2"/>
  <c r="V1443" i="2"/>
  <c r="U1443" i="2"/>
  <c r="T1443" i="2"/>
  <c r="O1443" i="2"/>
  <c r="X1442" i="2"/>
  <c r="V1442" i="2"/>
  <c r="U1442" i="2"/>
  <c r="T1442" i="2"/>
  <c r="O1442" i="2"/>
  <c r="X1441" i="2"/>
  <c r="V1441" i="2"/>
  <c r="U1441" i="2"/>
  <c r="T1441" i="2"/>
  <c r="O1441" i="2"/>
  <c r="X1440" i="2"/>
  <c r="V1440" i="2"/>
  <c r="U1440" i="2"/>
  <c r="T1440" i="2"/>
  <c r="O1440" i="2"/>
  <c r="X1439" i="2"/>
  <c r="V1439" i="2"/>
  <c r="U1439" i="2"/>
  <c r="T1439" i="2"/>
  <c r="O1439" i="2"/>
  <c r="X1438" i="2"/>
  <c r="V1438" i="2"/>
  <c r="U1438" i="2"/>
  <c r="T1438" i="2"/>
  <c r="O1438" i="2"/>
  <c r="X1437" i="2"/>
  <c r="V1437" i="2"/>
  <c r="U1437" i="2"/>
  <c r="T1437" i="2"/>
  <c r="O1437" i="2"/>
  <c r="X1436" i="2"/>
  <c r="V1436" i="2"/>
  <c r="U1436" i="2"/>
  <c r="T1436" i="2"/>
  <c r="O1436" i="2"/>
  <c r="X1435" i="2"/>
  <c r="V1435" i="2"/>
  <c r="U1435" i="2"/>
  <c r="T1435" i="2"/>
  <c r="O1435" i="2"/>
  <c r="X1434" i="2"/>
  <c r="V1434" i="2"/>
  <c r="U1434" i="2"/>
  <c r="T1434" i="2"/>
  <c r="O1434" i="2"/>
  <c r="X1433" i="2"/>
  <c r="V1433" i="2"/>
  <c r="U1433" i="2"/>
  <c r="T1433" i="2"/>
  <c r="O1433" i="2"/>
  <c r="X1432" i="2"/>
  <c r="V1432" i="2"/>
  <c r="U1432" i="2"/>
  <c r="T1432" i="2"/>
  <c r="O1432" i="2"/>
  <c r="X1431" i="2"/>
  <c r="V1431" i="2"/>
  <c r="U1431" i="2"/>
  <c r="T1431" i="2"/>
  <c r="O1431" i="2"/>
  <c r="X1430" i="2"/>
  <c r="V1430" i="2"/>
  <c r="U1430" i="2"/>
  <c r="T1430" i="2"/>
  <c r="O1430" i="2"/>
  <c r="X1429" i="2"/>
  <c r="V1429" i="2"/>
  <c r="U1429" i="2"/>
  <c r="T1429" i="2"/>
  <c r="O1429" i="2"/>
  <c r="X1428" i="2"/>
  <c r="V1428" i="2"/>
  <c r="U1428" i="2"/>
  <c r="T1428" i="2"/>
  <c r="O1428" i="2"/>
  <c r="X1427" i="2"/>
  <c r="V1427" i="2"/>
  <c r="U1427" i="2"/>
  <c r="T1427" i="2"/>
  <c r="O1427" i="2"/>
  <c r="X1426" i="2"/>
  <c r="V1426" i="2"/>
  <c r="U1426" i="2"/>
  <c r="T1426" i="2"/>
  <c r="O1426" i="2"/>
  <c r="X1425" i="2"/>
  <c r="V1425" i="2"/>
  <c r="U1425" i="2"/>
  <c r="T1425" i="2"/>
  <c r="O1425" i="2"/>
  <c r="X1424" i="2"/>
  <c r="V1424" i="2"/>
  <c r="U1424" i="2"/>
  <c r="T1424" i="2"/>
  <c r="O1424" i="2"/>
  <c r="X1423" i="2"/>
  <c r="V1423" i="2"/>
  <c r="U1423" i="2"/>
  <c r="T1423" i="2"/>
  <c r="O1423" i="2"/>
  <c r="X1422" i="2"/>
  <c r="V1422" i="2"/>
  <c r="U1422" i="2"/>
  <c r="T1422" i="2"/>
  <c r="O1422" i="2"/>
  <c r="X1421" i="2"/>
  <c r="V1421" i="2"/>
  <c r="U1421" i="2"/>
  <c r="T1421" i="2"/>
  <c r="O1421" i="2"/>
  <c r="X1420" i="2"/>
  <c r="V1420" i="2"/>
  <c r="U1420" i="2"/>
  <c r="T1420" i="2"/>
  <c r="O1420" i="2"/>
  <c r="X1419" i="2"/>
  <c r="V1419" i="2"/>
  <c r="U1419" i="2"/>
  <c r="T1419" i="2"/>
  <c r="O1419" i="2"/>
  <c r="X1418" i="2"/>
  <c r="V1418" i="2"/>
  <c r="U1418" i="2"/>
  <c r="T1418" i="2"/>
  <c r="O1418" i="2"/>
  <c r="X1417" i="2"/>
  <c r="V1417" i="2"/>
  <c r="U1417" i="2"/>
  <c r="T1417" i="2"/>
  <c r="O1417" i="2"/>
  <c r="X1416" i="2"/>
  <c r="V1416" i="2"/>
  <c r="U1416" i="2"/>
  <c r="T1416" i="2"/>
  <c r="O1416" i="2"/>
  <c r="X1415" i="2"/>
  <c r="V1415" i="2"/>
  <c r="U1415" i="2"/>
  <c r="T1415" i="2"/>
  <c r="O1415" i="2"/>
  <c r="X1414" i="2"/>
  <c r="V1414" i="2"/>
  <c r="U1414" i="2"/>
  <c r="T1414" i="2"/>
  <c r="O1414" i="2"/>
  <c r="X1413" i="2"/>
  <c r="V1413" i="2"/>
  <c r="U1413" i="2"/>
  <c r="T1413" i="2"/>
  <c r="O1413" i="2"/>
  <c r="X1412" i="2"/>
  <c r="V1412" i="2"/>
  <c r="U1412" i="2"/>
  <c r="T1412" i="2"/>
  <c r="O1412" i="2"/>
  <c r="X1411" i="2"/>
  <c r="V1411" i="2"/>
  <c r="U1411" i="2"/>
  <c r="T1411" i="2"/>
  <c r="O1411" i="2"/>
  <c r="X1410" i="2"/>
  <c r="V1410" i="2"/>
  <c r="U1410" i="2"/>
  <c r="T1410" i="2"/>
  <c r="O1410" i="2"/>
  <c r="X1409" i="2"/>
  <c r="V1409" i="2"/>
  <c r="U1409" i="2"/>
  <c r="T1409" i="2"/>
  <c r="O1409" i="2"/>
  <c r="X1408" i="2"/>
  <c r="V1408" i="2"/>
  <c r="U1408" i="2"/>
  <c r="T1408" i="2"/>
  <c r="O1408" i="2"/>
  <c r="X1407" i="2"/>
  <c r="V1407" i="2"/>
  <c r="U1407" i="2"/>
  <c r="T1407" i="2"/>
  <c r="O1407" i="2"/>
  <c r="X1406" i="2"/>
  <c r="V1406" i="2"/>
  <c r="U1406" i="2"/>
  <c r="T1406" i="2"/>
  <c r="O1406" i="2"/>
  <c r="X1405" i="2"/>
  <c r="V1405" i="2"/>
  <c r="U1405" i="2"/>
  <c r="T1405" i="2"/>
  <c r="O1405" i="2"/>
  <c r="X1404" i="2"/>
  <c r="V1404" i="2"/>
  <c r="U1404" i="2"/>
  <c r="T1404" i="2"/>
  <c r="O1404" i="2"/>
  <c r="X1403" i="2"/>
  <c r="V1403" i="2"/>
  <c r="U1403" i="2"/>
  <c r="T1403" i="2"/>
  <c r="O1403" i="2"/>
  <c r="X1402" i="2"/>
  <c r="V1402" i="2"/>
  <c r="U1402" i="2"/>
  <c r="T1402" i="2"/>
  <c r="O1402" i="2"/>
  <c r="X1401" i="2"/>
  <c r="V1401" i="2"/>
  <c r="U1401" i="2"/>
  <c r="T1401" i="2"/>
  <c r="O1401" i="2"/>
  <c r="X1400" i="2"/>
  <c r="V1400" i="2"/>
  <c r="U1400" i="2"/>
  <c r="T1400" i="2"/>
  <c r="O1400" i="2"/>
  <c r="X1399" i="2"/>
  <c r="V1399" i="2"/>
  <c r="U1399" i="2"/>
  <c r="T1399" i="2"/>
  <c r="O1399" i="2"/>
  <c r="X1398" i="2"/>
  <c r="V1398" i="2"/>
  <c r="U1398" i="2"/>
  <c r="T1398" i="2"/>
  <c r="O1398" i="2"/>
  <c r="X1397" i="2"/>
  <c r="V1397" i="2"/>
  <c r="U1397" i="2"/>
  <c r="T1397" i="2"/>
  <c r="O1397" i="2"/>
  <c r="X1396" i="2"/>
  <c r="V1396" i="2"/>
  <c r="U1396" i="2"/>
  <c r="T1396" i="2"/>
  <c r="O1396" i="2"/>
  <c r="X1395" i="2"/>
  <c r="V1395" i="2"/>
  <c r="U1395" i="2"/>
  <c r="T1395" i="2"/>
  <c r="O1395" i="2"/>
  <c r="X1394" i="2"/>
  <c r="V1394" i="2"/>
  <c r="U1394" i="2"/>
  <c r="T1394" i="2"/>
  <c r="O1394" i="2"/>
  <c r="X1393" i="2"/>
  <c r="V1393" i="2"/>
  <c r="U1393" i="2"/>
  <c r="T1393" i="2"/>
  <c r="O1393" i="2"/>
  <c r="X1392" i="2"/>
  <c r="V1392" i="2"/>
  <c r="U1392" i="2"/>
  <c r="T1392" i="2"/>
  <c r="O1392" i="2"/>
  <c r="X1391" i="2"/>
  <c r="V1391" i="2"/>
  <c r="U1391" i="2"/>
  <c r="T1391" i="2"/>
  <c r="O1391" i="2"/>
  <c r="X1390" i="2"/>
  <c r="V1390" i="2"/>
  <c r="U1390" i="2"/>
  <c r="T1390" i="2"/>
  <c r="O1390" i="2"/>
  <c r="X1389" i="2"/>
  <c r="V1389" i="2"/>
  <c r="U1389" i="2"/>
  <c r="T1389" i="2"/>
  <c r="O1389" i="2"/>
  <c r="X1388" i="2"/>
  <c r="V1388" i="2"/>
  <c r="U1388" i="2"/>
  <c r="T1388" i="2"/>
  <c r="O1388" i="2"/>
  <c r="X1387" i="2"/>
  <c r="V1387" i="2"/>
  <c r="U1387" i="2"/>
  <c r="T1387" i="2"/>
  <c r="O1387" i="2"/>
  <c r="X1386" i="2"/>
  <c r="V1386" i="2"/>
  <c r="U1386" i="2"/>
  <c r="T1386" i="2"/>
  <c r="O1386" i="2"/>
  <c r="X1385" i="2"/>
  <c r="V1385" i="2"/>
  <c r="U1385" i="2"/>
  <c r="T1385" i="2"/>
  <c r="O1385" i="2"/>
  <c r="X1384" i="2"/>
  <c r="V1384" i="2"/>
  <c r="U1384" i="2"/>
  <c r="T1384" i="2"/>
  <c r="O1384" i="2"/>
  <c r="X1383" i="2"/>
  <c r="V1383" i="2"/>
  <c r="U1383" i="2"/>
  <c r="T1383" i="2"/>
  <c r="O1383" i="2"/>
  <c r="X1382" i="2"/>
  <c r="V1382" i="2"/>
  <c r="U1382" i="2"/>
  <c r="T1382" i="2"/>
  <c r="O1382" i="2"/>
  <c r="X1381" i="2"/>
  <c r="V1381" i="2"/>
  <c r="U1381" i="2"/>
  <c r="T1381" i="2"/>
  <c r="O1381" i="2"/>
  <c r="X1380" i="2"/>
  <c r="V1380" i="2"/>
  <c r="U1380" i="2"/>
  <c r="T1380" i="2"/>
  <c r="O1380" i="2"/>
  <c r="X1379" i="2"/>
  <c r="V1379" i="2"/>
  <c r="U1379" i="2"/>
  <c r="T1379" i="2"/>
  <c r="O1379" i="2"/>
  <c r="X1378" i="2"/>
  <c r="V1378" i="2"/>
  <c r="U1378" i="2"/>
  <c r="T1378" i="2"/>
  <c r="O1378" i="2"/>
  <c r="X1377" i="2"/>
  <c r="V1377" i="2"/>
  <c r="U1377" i="2"/>
  <c r="T1377" i="2"/>
  <c r="O1377" i="2"/>
  <c r="X1376" i="2"/>
  <c r="V1376" i="2"/>
  <c r="U1376" i="2"/>
  <c r="T1376" i="2"/>
  <c r="O1376" i="2"/>
  <c r="X1375" i="2"/>
  <c r="V1375" i="2"/>
  <c r="U1375" i="2"/>
  <c r="T1375" i="2"/>
  <c r="O1375" i="2"/>
  <c r="X1374" i="2"/>
  <c r="V1374" i="2"/>
  <c r="U1374" i="2"/>
  <c r="T1374" i="2"/>
  <c r="O1374" i="2"/>
  <c r="X1373" i="2"/>
  <c r="V1373" i="2"/>
  <c r="U1373" i="2"/>
  <c r="T1373" i="2"/>
  <c r="O1373" i="2"/>
  <c r="X1372" i="2"/>
  <c r="V1372" i="2"/>
  <c r="U1372" i="2"/>
  <c r="T1372" i="2"/>
  <c r="O1372" i="2"/>
  <c r="X1371" i="2"/>
  <c r="V1371" i="2"/>
  <c r="U1371" i="2"/>
  <c r="T1371" i="2"/>
  <c r="O1371" i="2"/>
  <c r="X1370" i="2"/>
  <c r="V1370" i="2"/>
  <c r="U1370" i="2"/>
  <c r="T1370" i="2"/>
  <c r="O1370" i="2"/>
  <c r="X1369" i="2"/>
  <c r="V1369" i="2"/>
  <c r="U1369" i="2"/>
  <c r="T1369" i="2"/>
  <c r="O1369" i="2"/>
  <c r="X1368" i="2"/>
  <c r="V1368" i="2"/>
  <c r="U1368" i="2"/>
  <c r="T1368" i="2"/>
  <c r="O1368" i="2"/>
  <c r="X1367" i="2"/>
  <c r="V1367" i="2"/>
  <c r="U1367" i="2"/>
  <c r="T1367" i="2"/>
  <c r="O1367" i="2"/>
  <c r="X1366" i="2"/>
  <c r="V1366" i="2"/>
  <c r="U1366" i="2"/>
  <c r="T1366" i="2"/>
  <c r="O1366" i="2"/>
  <c r="X1365" i="2"/>
  <c r="V1365" i="2"/>
  <c r="U1365" i="2"/>
  <c r="T1365" i="2"/>
  <c r="O1365" i="2"/>
  <c r="X1364" i="2"/>
  <c r="V1364" i="2"/>
  <c r="U1364" i="2"/>
  <c r="T1364" i="2"/>
  <c r="O1364" i="2"/>
  <c r="X1363" i="2"/>
  <c r="V1363" i="2"/>
  <c r="U1363" i="2"/>
  <c r="T1363" i="2"/>
  <c r="O1363" i="2"/>
  <c r="X1362" i="2"/>
  <c r="V1362" i="2"/>
  <c r="U1362" i="2"/>
  <c r="T1362" i="2"/>
  <c r="O1362" i="2"/>
  <c r="X1361" i="2"/>
  <c r="V1361" i="2"/>
  <c r="U1361" i="2"/>
  <c r="T1361" i="2"/>
  <c r="O1361" i="2"/>
  <c r="X1360" i="2"/>
  <c r="V1360" i="2"/>
  <c r="U1360" i="2"/>
  <c r="T1360" i="2"/>
  <c r="O1360" i="2"/>
  <c r="X1359" i="2"/>
  <c r="V1359" i="2"/>
  <c r="U1359" i="2"/>
  <c r="T1359" i="2"/>
  <c r="O1359" i="2"/>
  <c r="X1358" i="2"/>
  <c r="V1358" i="2"/>
  <c r="U1358" i="2"/>
  <c r="T1358" i="2"/>
  <c r="O1358" i="2"/>
  <c r="X1357" i="2"/>
  <c r="V1357" i="2"/>
  <c r="U1357" i="2"/>
  <c r="T1357" i="2"/>
  <c r="O1357" i="2"/>
  <c r="X1356" i="2"/>
  <c r="V1356" i="2"/>
  <c r="U1356" i="2"/>
  <c r="T1356" i="2"/>
  <c r="O1356" i="2"/>
  <c r="X1355" i="2"/>
  <c r="V1355" i="2"/>
  <c r="U1355" i="2"/>
  <c r="T1355" i="2"/>
  <c r="O1355" i="2"/>
  <c r="X1354" i="2"/>
  <c r="V1354" i="2"/>
  <c r="U1354" i="2"/>
  <c r="T1354" i="2"/>
  <c r="O1354" i="2"/>
  <c r="X1353" i="2"/>
  <c r="V1353" i="2"/>
  <c r="U1353" i="2"/>
  <c r="T1353" i="2"/>
  <c r="O1353" i="2"/>
  <c r="X1352" i="2"/>
  <c r="V1352" i="2"/>
  <c r="U1352" i="2"/>
  <c r="T1352" i="2"/>
  <c r="O1352" i="2"/>
  <c r="X1351" i="2"/>
  <c r="V1351" i="2"/>
  <c r="U1351" i="2"/>
  <c r="T1351" i="2"/>
  <c r="O1351" i="2"/>
  <c r="X1350" i="2"/>
  <c r="V1350" i="2"/>
  <c r="U1350" i="2"/>
  <c r="T1350" i="2"/>
  <c r="O1350" i="2"/>
  <c r="X1349" i="2"/>
  <c r="V1349" i="2"/>
  <c r="U1349" i="2"/>
  <c r="T1349" i="2"/>
  <c r="O1349" i="2"/>
  <c r="X1348" i="2"/>
  <c r="V1348" i="2"/>
  <c r="U1348" i="2"/>
  <c r="T1348" i="2"/>
  <c r="O1348" i="2"/>
  <c r="X1347" i="2"/>
  <c r="V1347" i="2"/>
  <c r="U1347" i="2"/>
  <c r="T1347" i="2"/>
  <c r="O1347" i="2"/>
  <c r="X1346" i="2"/>
  <c r="V1346" i="2"/>
  <c r="U1346" i="2"/>
  <c r="T1346" i="2"/>
  <c r="O1346" i="2"/>
  <c r="X1345" i="2"/>
  <c r="V1345" i="2"/>
  <c r="U1345" i="2"/>
  <c r="T1345" i="2"/>
  <c r="O1345" i="2"/>
  <c r="X1344" i="2"/>
  <c r="V1344" i="2"/>
  <c r="U1344" i="2"/>
  <c r="T1344" i="2"/>
  <c r="O1344" i="2"/>
  <c r="X1343" i="2"/>
  <c r="V1343" i="2"/>
  <c r="U1343" i="2"/>
  <c r="T1343" i="2"/>
  <c r="O1343" i="2"/>
  <c r="X1342" i="2"/>
  <c r="V1342" i="2"/>
  <c r="U1342" i="2"/>
  <c r="T1342" i="2"/>
  <c r="O1342" i="2"/>
  <c r="X1341" i="2"/>
  <c r="V1341" i="2"/>
  <c r="U1341" i="2"/>
  <c r="T1341" i="2"/>
  <c r="O1341" i="2"/>
  <c r="X1340" i="2"/>
  <c r="V1340" i="2"/>
  <c r="U1340" i="2"/>
  <c r="T1340" i="2"/>
  <c r="O1340" i="2"/>
  <c r="X1339" i="2"/>
  <c r="V1339" i="2"/>
  <c r="U1339" i="2"/>
  <c r="T1339" i="2"/>
  <c r="O1339" i="2"/>
  <c r="X1338" i="2"/>
  <c r="V1338" i="2"/>
  <c r="U1338" i="2"/>
  <c r="T1338" i="2"/>
  <c r="O1338" i="2"/>
  <c r="X1337" i="2"/>
  <c r="V1337" i="2"/>
  <c r="U1337" i="2"/>
  <c r="T1337" i="2"/>
  <c r="O1337" i="2"/>
  <c r="X1336" i="2"/>
  <c r="V1336" i="2"/>
  <c r="U1336" i="2"/>
  <c r="T1336" i="2"/>
  <c r="O1336" i="2"/>
  <c r="X1335" i="2"/>
  <c r="V1335" i="2"/>
  <c r="U1335" i="2"/>
  <c r="T1335" i="2"/>
  <c r="O1335" i="2"/>
  <c r="X1334" i="2"/>
  <c r="V1334" i="2"/>
  <c r="U1334" i="2"/>
  <c r="T1334" i="2"/>
  <c r="O1334" i="2"/>
  <c r="X1333" i="2"/>
  <c r="V1333" i="2"/>
  <c r="U1333" i="2"/>
  <c r="T1333" i="2"/>
  <c r="O1333" i="2"/>
  <c r="X1332" i="2"/>
  <c r="V1332" i="2"/>
  <c r="U1332" i="2"/>
  <c r="T1332" i="2"/>
  <c r="O1332" i="2"/>
  <c r="X1331" i="2"/>
  <c r="V1331" i="2"/>
  <c r="U1331" i="2"/>
  <c r="T1331" i="2"/>
  <c r="O1331" i="2"/>
  <c r="X1330" i="2"/>
  <c r="V1330" i="2"/>
  <c r="U1330" i="2"/>
  <c r="T1330" i="2"/>
  <c r="O1330" i="2"/>
  <c r="X1329" i="2"/>
  <c r="V1329" i="2"/>
  <c r="U1329" i="2"/>
  <c r="T1329" i="2"/>
  <c r="O1329" i="2"/>
  <c r="X1328" i="2"/>
  <c r="V1328" i="2"/>
  <c r="U1328" i="2"/>
  <c r="T1328" i="2"/>
  <c r="O1328" i="2"/>
  <c r="X1327" i="2"/>
  <c r="V1327" i="2"/>
  <c r="U1327" i="2"/>
  <c r="T1327" i="2"/>
  <c r="O1327" i="2"/>
  <c r="X1326" i="2"/>
  <c r="V1326" i="2"/>
  <c r="U1326" i="2"/>
  <c r="T1326" i="2"/>
  <c r="O1326" i="2"/>
  <c r="X1325" i="2"/>
  <c r="V1325" i="2"/>
  <c r="U1325" i="2"/>
  <c r="T1325" i="2"/>
  <c r="O1325" i="2"/>
  <c r="X1324" i="2"/>
  <c r="V1324" i="2"/>
  <c r="U1324" i="2"/>
  <c r="T1324" i="2"/>
  <c r="O1324" i="2"/>
  <c r="X1323" i="2"/>
  <c r="V1323" i="2"/>
  <c r="U1323" i="2"/>
  <c r="T1323" i="2"/>
  <c r="O1323" i="2"/>
  <c r="X1322" i="2"/>
  <c r="V1322" i="2"/>
  <c r="U1322" i="2"/>
  <c r="T1322" i="2"/>
  <c r="O1322" i="2"/>
  <c r="X1321" i="2"/>
  <c r="V1321" i="2"/>
  <c r="U1321" i="2"/>
  <c r="T1321" i="2"/>
  <c r="O1321" i="2"/>
  <c r="X1320" i="2"/>
  <c r="V1320" i="2"/>
  <c r="U1320" i="2"/>
  <c r="T1320" i="2"/>
  <c r="O1320" i="2"/>
  <c r="X1319" i="2"/>
  <c r="V1319" i="2"/>
  <c r="U1319" i="2"/>
  <c r="T1319" i="2"/>
  <c r="O1319" i="2"/>
  <c r="X1318" i="2"/>
  <c r="V1318" i="2"/>
  <c r="U1318" i="2"/>
  <c r="T1318" i="2"/>
  <c r="O1318" i="2"/>
  <c r="X1317" i="2"/>
  <c r="V1317" i="2"/>
  <c r="U1317" i="2"/>
  <c r="T1317" i="2"/>
  <c r="O1317" i="2"/>
  <c r="X1316" i="2"/>
  <c r="V1316" i="2"/>
  <c r="U1316" i="2"/>
  <c r="T1316" i="2"/>
  <c r="O1316" i="2"/>
  <c r="X1315" i="2"/>
  <c r="V1315" i="2"/>
  <c r="U1315" i="2"/>
  <c r="T1315" i="2"/>
  <c r="O1315" i="2"/>
  <c r="X1314" i="2"/>
  <c r="V1314" i="2"/>
  <c r="U1314" i="2"/>
  <c r="T1314" i="2"/>
  <c r="O1314" i="2"/>
  <c r="X1313" i="2"/>
  <c r="V1313" i="2"/>
  <c r="U1313" i="2"/>
  <c r="T1313" i="2"/>
  <c r="O1313" i="2"/>
  <c r="X1312" i="2"/>
  <c r="V1312" i="2"/>
  <c r="U1312" i="2"/>
  <c r="T1312" i="2"/>
  <c r="O1312" i="2"/>
  <c r="X1311" i="2"/>
  <c r="V1311" i="2"/>
  <c r="U1311" i="2"/>
  <c r="T1311" i="2"/>
  <c r="O1311" i="2"/>
  <c r="X1310" i="2"/>
  <c r="V1310" i="2"/>
  <c r="U1310" i="2"/>
  <c r="T1310" i="2"/>
  <c r="O1310" i="2"/>
  <c r="X1309" i="2"/>
  <c r="V1309" i="2"/>
  <c r="U1309" i="2"/>
  <c r="T1309" i="2"/>
  <c r="O1309" i="2"/>
  <c r="X1308" i="2"/>
  <c r="V1308" i="2"/>
  <c r="U1308" i="2"/>
  <c r="T1308" i="2"/>
  <c r="O1308" i="2"/>
  <c r="X1307" i="2"/>
  <c r="V1307" i="2"/>
  <c r="U1307" i="2"/>
  <c r="T1307" i="2"/>
  <c r="O1307" i="2"/>
  <c r="X1306" i="2"/>
  <c r="V1306" i="2"/>
  <c r="U1306" i="2"/>
  <c r="T1306" i="2"/>
  <c r="O1306" i="2"/>
  <c r="X1305" i="2"/>
  <c r="V1305" i="2"/>
  <c r="U1305" i="2"/>
  <c r="T1305" i="2"/>
  <c r="O1305" i="2"/>
  <c r="X1304" i="2"/>
  <c r="V1304" i="2"/>
  <c r="U1304" i="2"/>
  <c r="T1304" i="2"/>
  <c r="O1304" i="2"/>
  <c r="X1303" i="2"/>
  <c r="V1303" i="2"/>
  <c r="U1303" i="2"/>
  <c r="T1303" i="2"/>
  <c r="O1303" i="2"/>
  <c r="X1302" i="2"/>
  <c r="V1302" i="2"/>
  <c r="U1302" i="2"/>
  <c r="T1302" i="2"/>
  <c r="O1302" i="2"/>
  <c r="X1301" i="2"/>
  <c r="V1301" i="2"/>
  <c r="U1301" i="2"/>
  <c r="T1301" i="2"/>
  <c r="O1301" i="2"/>
  <c r="X1300" i="2"/>
  <c r="V1300" i="2"/>
  <c r="U1300" i="2"/>
  <c r="T1300" i="2"/>
  <c r="O1300" i="2"/>
  <c r="X1299" i="2"/>
  <c r="V1299" i="2"/>
  <c r="U1299" i="2"/>
  <c r="T1299" i="2"/>
  <c r="O1299" i="2"/>
  <c r="X1298" i="2"/>
  <c r="V1298" i="2"/>
  <c r="U1298" i="2"/>
  <c r="T1298" i="2"/>
  <c r="O1298" i="2"/>
  <c r="X1297" i="2"/>
  <c r="V1297" i="2"/>
  <c r="U1297" i="2"/>
  <c r="T1297" i="2"/>
  <c r="O1297" i="2"/>
  <c r="X1296" i="2"/>
  <c r="V1296" i="2"/>
  <c r="U1296" i="2"/>
  <c r="T1296" i="2"/>
  <c r="O1296" i="2"/>
  <c r="X1295" i="2"/>
  <c r="V1295" i="2"/>
  <c r="U1295" i="2"/>
  <c r="T1295" i="2"/>
  <c r="O1295" i="2"/>
  <c r="X1294" i="2"/>
  <c r="V1294" i="2"/>
  <c r="U1294" i="2"/>
  <c r="T1294" i="2"/>
  <c r="O1294" i="2"/>
  <c r="X1293" i="2"/>
  <c r="V1293" i="2"/>
  <c r="U1293" i="2"/>
  <c r="T1293" i="2"/>
  <c r="O1293" i="2"/>
  <c r="X1292" i="2"/>
  <c r="V1292" i="2"/>
  <c r="U1292" i="2"/>
  <c r="T1292" i="2"/>
  <c r="O1292" i="2"/>
  <c r="X1291" i="2"/>
  <c r="V1291" i="2"/>
  <c r="U1291" i="2"/>
  <c r="T1291" i="2"/>
  <c r="O1291" i="2"/>
  <c r="X1290" i="2"/>
  <c r="V1290" i="2"/>
  <c r="U1290" i="2"/>
  <c r="T1290" i="2"/>
  <c r="O1290" i="2"/>
  <c r="X1289" i="2"/>
  <c r="V1289" i="2"/>
  <c r="U1289" i="2"/>
  <c r="T1289" i="2"/>
  <c r="O1289" i="2"/>
  <c r="X1288" i="2"/>
  <c r="V1288" i="2"/>
  <c r="U1288" i="2"/>
  <c r="T1288" i="2"/>
  <c r="O1288" i="2"/>
  <c r="X1287" i="2"/>
  <c r="V1287" i="2"/>
  <c r="U1287" i="2"/>
  <c r="T1287" i="2"/>
  <c r="O1287" i="2"/>
  <c r="X1286" i="2"/>
  <c r="V1286" i="2"/>
  <c r="U1286" i="2"/>
  <c r="T1286" i="2"/>
  <c r="O1286" i="2"/>
  <c r="X1285" i="2"/>
  <c r="V1285" i="2"/>
  <c r="U1285" i="2"/>
  <c r="T1285" i="2"/>
  <c r="O1285" i="2"/>
  <c r="X1284" i="2"/>
  <c r="V1284" i="2"/>
  <c r="U1284" i="2"/>
  <c r="T1284" i="2"/>
  <c r="O1284" i="2"/>
  <c r="X1283" i="2"/>
  <c r="V1283" i="2"/>
  <c r="U1283" i="2"/>
  <c r="T1283" i="2"/>
  <c r="O1283" i="2"/>
  <c r="X1282" i="2"/>
  <c r="V1282" i="2"/>
  <c r="U1282" i="2"/>
  <c r="T1282" i="2"/>
  <c r="O1282" i="2"/>
  <c r="X1281" i="2"/>
  <c r="V1281" i="2"/>
  <c r="U1281" i="2"/>
  <c r="T1281" i="2"/>
  <c r="O1281" i="2"/>
  <c r="X1280" i="2"/>
  <c r="V1280" i="2"/>
  <c r="U1280" i="2"/>
  <c r="T1280" i="2"/>
  <c r="O1280" i="2"/>
  <c r="X1279" i="2"/>
  <c r="V1279" i="2"/>
  <c r="U1279" i="2"/>
  <c r="T1279" i="2"/>
  <c r="O1279" i="2"/>
  <c r="X1278" i="2"/>
  <c r="V1278" i="2"/>
  <c r="U1278" i="2"/>
  <c r="T1278" i="2"/>
  <c r="O1278" i="2"/>
  <c r="X1277" i="2"/>
  <c r="V1277" i="2"/>
  <c r="U1277" i="2"/>
  <c r="T1277" i="2"/>
  <c r="O1277" i="2"/>
  <c r="X1276" i="2"/>
  <c r="V1276" i="2"/>
  <c r="U1276" i="2"/>
  <c r="T1276" i="2"/>
  <c r="O1276" i="2"/>
  <c r="X1275" i="2"/>
  <c r="V1275" i="2"/>
  <c r="U1275" i="2"/>
  <c r="T1275" i="2"/>
  <c r="O1275" i="2"/>
  <c r="X1274" i="2"/>
  <c r="V1274" i="2"/>
  <c r="U1274" i="2"/>
  <c r="T1274" i="2"/>
  <c r="O1274" i="2"/>
  <c r="X1273" i="2"/>
  <c r="V1273" i="2"/>
  <c r="U1273" i="2"/>
  <c r="T1273" i="2"/>
  <c r="O1273" i="2"/>
  <c r="X1272" i="2"/>
  <c r="V1272" i="2"/>
  <c r="U1272" i="2"/>
  <c r="T1272" i="2"/>
  <c r="O1272" i="2"/>
  <c r="X1271" i="2"/>
  <c r="V1271" i="2"/>
  <c r="U1271" i="2"/>
  <c r="T1271" i="2"/>
  <c r="O1271" i="2"/>
  <c r="X1270" i="2"/>
  <c r="V1270" i="2"/>
  <c r="U1270" i="2"/>
  <c r="T1270" i="2"/>
  <c r="O1270" i="2"/>
  <c r="X1269" i="2"/>
  <c r="V1269" i="2"/>
  <c r="U1269" i="2"/>
  <c r="T1269" i="2"/>
  <c r="O1269" i="2"/>
  <c r="X1268" i="2"/>
  <c r="V1268" i="2"/>
  <c r="U1268" i="2"/>
  <c r="T1268" i="2"/>
  <c r="O1268" i="2"/>
  <c r="X1267" i="2"/>
  <c r="V1267" i="2"/>
  <c r="U1267" i="2"/>
  <c r="T1267" i="2"/>
  <c r="O1267" i="2"/>
  <c r="X1266" i="2"/>
  <c r="V1266" i="2"/>
  <c r="U1266" i="2"/>
  <c r="T1266" i="2"/>
  <c r="O1266" i="2"/>
  <c r="X1265" i="2"/>
  <c r="V1265" i="2"/>
  <c r="U1265" i="2"/>
  <c r="T1265" i="2"/>
  <c r="O1265" i="2"/>
  <c r="X1264" i="2"/>
  <c r="V1264" i="2"/>
  <c r="U1264" i="2"/>
  <c r="T1264" i="2"/>
  <c r="O1264" i="2"/>
  <c r="X1263" i="2"/>
  <c r="V1263" i="2"/>
  <c r="U1263" i="2"/>
  <c r="T1263" i="2"/>
  <c r="O1263" i="2"/>
  <c r="X1262" i="2"/>
  <c r="V1262" i="2"/>
  <c r="U1262" i="2"/>
  <c r="T1262" i="2"/>
  <c r="O1262" i="2"/>
  <c r="X1261" i="2"/>
  <c r="V1261" i="2"/>
  <c r="U1261" i="2"/>
  <c r="T1261" i="2"/>
  <c r="O1261" i="2"/>
  <c r="X1260" i="2"/>
  <c r="V1260" i="2"/>
  <c r="U1260" i="2"/>
  <c r="T1260" i="2"/>
  <c r="O1260" i="2"/>
  <c r="X1259" i="2"/>
  <c r="V1259" i="2"/>
  <c r="U1259" i="2"/>
  <c r="T1259" i="2"/>
  <c r="O1259" i="2"/>
  <c r="X1258" i="2"/>
  <c r="V1258" i="2"/>
  <c r="U1258" i="2"/>
  <c r="T1258" i="2"/>
  <c r="O1258" i="2"/>
  <c r="X1257" i="2"/>
  <c r="V1257" i="2"/>
  <c r="U1257" i="2"/>
  <c r="T1257" i="2"/>
  <c r="O1257" i="2"/>
  <c r="X1256" i="2"/>
  <c r="V1256" i="2"/>
  <c r="U1256" i="2"/>
  <c r="T1256" i="2"/>
  <c r="O1256" i="2"/>
  <c r="X1255" i="2"/>
  <c r="V1255" i="2"/>
  <c r="U1255" i="2"/>
  <c r="T1255" i="2"/>
  <c r="O1255" i="2"/>
  <c r="X1254" i="2"/>
  <c r="V1254" i="2"/>
  <c r="U1254" i="2"/>
  <c r="T1254" i="2"/>
  <c r="O1254" i="2"/>
  <c r="X1253" i="2"/>
  <c r="V1253" i="2"/>
  <c r="U1253" i="2"/>
  <c r="T1253" i="2"/>
  <c r="O1253" i="2"/>
  <c r="X1252" i="2"/>
  <c r="V1252" i="2"/>
  <c r="U1252" i="2"/>
  <c r="T1252" i="2"/>
  <c r="O1252" i="2"/>
  <c r="X1251" i="2"/>
  <c r="V1251" i="2"/>
  <c r="U1251" i="2"/>
  <c r="T1251" i="2"/>
  <c r="O1251" i="2"/>
  <c r="X1250" i="2"/>
  <c r="V1250" i="2"/>
  <c r="U1250" i="2"/>
  <c r="T1250" i="2"/>
  <c r="O1250" i="2"/>
  <c r="X1249" i="2"/>
  <c r="V1249" i="2"/>
  <c r="U1249" i="2"/>
  <c r="T1249" i="2"/>
  <c r="O1249" i="2"/>
  <c r="X1248" i="2"/>
  <c r="V1248" i="2"/>
  <c r="U1248" i="2"/>
  <c r="T1248" i="2"/>
  <c r="O1248" i="2"/>
  <c r="X1247" i="2"/>
  <c r="V1247" i="2"/>
  <c r="U1247" i="2"/>
  <c r="T1247" i="2"/>
  <c r="O1247" i="2"/>
  <c r="X1246" i="2"/>
  <c r="V1246" i="2"/>
  <c r="U1246" i="2"/>
  <c r="T1246" i="2"/>
  <c r="O1246" i="2"/>
  <c r="X1245" i="2"/>
  <c r="V1245" i="2"/>
  <c r="U1245" i="2"/>
  <c r="T1245" i="2"/>
  <c r="O1245" i="2"/>
  <c r="X1244" i="2"/>
  <c r="V1244" i="2"/>
  <c r="U1244" i="2"/>
  <c r="T1244" i="2"/>
  <c r="O1244" i="2"/>
  <c r="X1243" i="2"/>
  <c r="V1243" i="2"/>
  <c r="U1243" i="2"/>
  <c r="T1243" i="2"/>
  <c r="O1243" i="2"/>
  <c r="X1242" i="2"/>
  <c r="V1242" i="2"/>
  <c r="U1242" i="2"/>
  <c r="T1242" i="2"/>
  <c r="O1242" i="2"/>
  <c r="X1241" i="2"/>
  <c r="V1241" i="2"/>
  <c r="U1241" i="2"/>
  <c r="T1241" i="2"/>
  <c r="O1241" i="2"/>
  <c r="X1240" i="2"/>
  <c r="V1240" i="2"/>
  <c r="U1240" i="2"/>
  <c r="T1240" i="2"/>
  <c r="O1240" i="2"/>
  <c r="X1239" i="2"/>
  <c r="V1239" i="2"/>
  <c r="U1239" i="2"/>
  <c r="T1239" i="2"/>
  <c r="O1239" i="2"/>
  <c r="X1238" i="2"/>
  <c r="V1238" i="2"/>
  <c r="U1238" i="2"/>
  <c r="T1238" i="2"/>
  <c r="O1238" i="2"/>
  <c r="X1237" i="2"/>
  <c r="V1237" i="2"/>
  <c r="U1237" i="2"/>
  <c r="T1237" i="2"/>
  <c r="O1237" i="2"/>
  <c r="X1236" i="2"/>
  <c r="V1236" i="2"/>
  <c r="U1236" i="2"/>
  <c r="T1236" i="2"/>
  <c r="O1236" i="2"/>
  <c r="X1235" i="2"/>
  <c r="V1235" i="2"/>
  <c r="U1235" i="2"/>
  <c r="T1235" i="2"/>
  <c r="O1235" i="2"/>
  <c r="X1234" i="2"/>
  <c r="V1234" i="2"/>
  <c r="U1234" i="2"/>
  <c r="T1234" i="2"/>
  <c r="O1234" i="2"/>
  <c r="X1233" i="2"/>
  <c r="V1233" i="2"/>
  <c r="U1233" i="2"/>
  <c r="T1233" i="2"/>
  <c r="O1233" i="2"/>
  <c r="X1232" i="2"/>
  <c r="V1232" i="2"/>
  <c r="U1232" i="2"/>
  <c r="T1232" i="2"/>
  <c r="O1232" i="2"/>
  <c r="X1231" i="2"/>
  <c r="V1231" i="2"/>
  <c r="U1231" i="2"/>
  <c r="T1231" i="2"/>
  <c r="O1231" i="2"/>
  <c r="X1230" i="2"/>
  <c r="V1230" i="2"/>
  <c r="U1230" i="2"/>
  <c r="T1230" i="2"/>
  <c r="O1230" i="2"/>
  <c r="X1229" i="2"/>
  <c r="V1229" i="2"/>
  <c r="U1229" i="2"/>
  <c r="T1229" i="2"/>
  <c r="O1229" i="2"/>
  <c r="X1228" i="2"/>
  <c r="V1228" i="2"/>
  <c r="U1228" i="2"/>
  <c r="T1228" i="2"/>
  <c r="O1228" i="2"/>
  <c r="X1227" i="2"/>
  <c r="V1227" i="2"/>
  <c r="U1227" i="2"/>
  <c r="T1227" i="2"/>
  <c r="O1227" i="2"/>
  <c r="X1226" i="2"/>
  <c r="V1226" i="2"/>
  <c r="U1226" i="2"/>
  <c r="T1226" i="2"/>
  <c r="O1226" i="2"/>
  <c r="X1225" i="2"/>
  <c r="V1225" i="2"/>
  <c r="U1225" i="2"/>
  <c r="T1225" i="2"/>
  <c r="O1225" i="2"/>
  <c r="X1224" i="2"/>
  <c r="V1224" i="2"/>
  <c r="U1224" i="2"/>
  <c r="T1224" i="2"/>
  <c r="O1224" i="2"/>
  <c r="X1223" i="2"/>
  <c r="V1223" i="2"/>
  <c r="U1223" i="2"/>
  <c r="T1223" i="2"/>
  <c r="O1223" i="2"/>
  <c r="X1222" i="2"/>
  <c r="V1222" i="2"/>
  <c r="U1222" i="2"/>
  <c r="T1222" i="2"/>
  <c r="O1222" i="2"/>
  <c r="X1221" i="2"/>
  <c r="V1221" i="2"/>
  <c r="U1221" i="2"/>
  <c r="T1221" i="2"/>
  <c r="O1221" i="2"/>
  <c r="X1220" i="2"/>
  <c r="V1220" i="2"/>
  <c r="U1220" i="2"/>
  <c r="T1220" i="2"/>
  <c r="O1220" i="2"/>
  <c r="X1219" i="2"/>
  <c r="V1219" i="2"/>
  <c r="U1219" i="2"/>
  <c r="T1219" i="2"/>
  <c r="O1219" i="2"/>
  <c r="X1218" i="2"/>
  <c r="V1218" i="2"/>
  <c r="U1218" i="2"/>
  <c r="T1218" i="2"/>
  <c r="O1218" i="2"/>
  <c r="X1217" i="2"/>
  <c r="V1217" i="2"/>
  <c r="U1217" i="2"/>
  <c r="T1217" i="2"/>
  <c r="O1217" i="2"/>
  <c r="X1216" i="2"/>
  <c r="V1216" i="2"/>
  <c r="U1216" i="2"/>
  <c r="T1216" i="2"/>
  <c r="O1216" i="2"/>
  <c r="X1215" i="2"/>
  <c r="V1215" i="2"/>
  <c r="U1215" i="2"/>
  <c r="T1215" i="2"/>
  <c r="O1215" i="2"/>
  <c r="X1214" i="2"/>
  <c r="V1214" i="2"/>
  <c r="U1214" i="2"/>
  <c r="T1214" i="2"/>
  <c r="O1214" i="2"/>
  <c r="X1213" i="2"/>
  <c r="V1213" i="2"/>
  <c r="U1213" i="2"/>
  <c r="T1213" i="2"/>
  <c r="O1213" i="2"/>
  <c r="X1212" i="2"/>
  <c r="V1212" i="2"/>
  <c r="U1212" i="2"/>
  <c r="T1212" i="2"/>
  <c r="O1212" i="2"/>
  <c r="X1211" i="2"/>
  <c r="V1211" i="2"/>
  <c r="U1211" i="2"/>
  <c r="T1211" i="2"/>
  <c r="O1211" i="2"/>
  <c r="X1210" i="2"/>
  <c r="V1210" i="2"/>
  <c r="U1210" i="2"/>
  <c r="T1210" i="2"/>
  <c r="O1210" i="2"/>
  <c r="X1209" i="2"/>
  <c r="V1209" i="2"/>
  <c r="U1209" i="2"/>
  <c r="T1209" i="2"/>
  <c r="O1209" i="2"/>
  <c r="X1208" i="2"/>
  <c r="V1208" i="2"/>
  <c r="U1208" i="2"/>
  <c r="T1208" i="2"/>
  <c r="O1208" i="2"/>
  <c r="X1207" i="2"/>
  <c r="V1207" i="2"/>
  <c r="U1207" i="2"/>
  <c r="T1207" i="2"/>
  <c r="O1207" i="2"/>
  <c r="X1206" i="2"/>
  <c r="V1206" i="2"/>
  <c r="U1206" i="2"/>
  <c r="T1206" i="2"/>
  <c r="O1206" i="2"/>
  <c r="X1205" i="2"/>
  <c r="V1205" i="2"/>
  <c r="U1205" i="2"/>
  <c r="T1205" i="2"/>
  <c r="O1205" i="2"/>
  <c r="X1204" i="2"/>
  <c r="V1204" i="2"/>
  <c r="U1204" i="2"/>
  <c r="T1204" i="2"/>
  <c r="O1204" i="2"/>
  <c r="X1203" i="2"/>
  <c r="V1203" i="2"/>
  <c r="U1203" i="2"/>
  <c r="T1203" i="2"/>
  <c r="O1203" i="2"/>
  <c r="X1202" i="2"/>
  <c r="V1202" i="2"/>
  <c r="U1202" i="2"/>
  <c r="T1202" i="2"/>
  <c r="O1202" i="2"/>
  <c r="X1201" i="2"/>
  <c r="V1201" i="2"/>
  <c r="U1201" i="2"/>
  <c r="T1201" i="2"/>
  <c r="O1201" i="2"/>
  <c r="X1200" i="2"/>
  <c r="V1200" i="2"/>
  <c r="U1200" i="2"/>
  <c r="T1200" i="2"/>
  <c r="O1200" i="2"/>
  <c r="X1199" i="2"/>
  <c r="V1199" i="2"/>
  <c r="U1199" i="2"/>
  <c r="T1199" i="2"/>
  <c r="O1199" i="2"/>
  <c r="X1198" i="2"/>
  <c r="V1198" i="2"/>
  <c r="U1198" i="2"/>
  <c r="T1198" i="2"/>
  <c r="O1198" i="2"/>
  <c r="X1197" i="2"/>
  <c r="V1197" i="2"/>
  <c r="U1197" i="2"/>
  <c r="T1197" i="2"/>
  <c r="O1197" i="2"/>
  <c r="X1196" i="2"/>
  <c r="V1196" i="2"/>
  <c r="U1196" i="2"/>
  <c r="T1196" i="2"/>
  <c r="O1196" i="2"/>
  <c r="X1195" i="2"/>
  <c r="V1195" i="2"/>
  <c r="U1195" i="2"/>
  <c r="T1195" i="2"/>
  <c r="O1195" i="2"/>
  <c r="X1194" i="2"/>
  <c r="V1194" i="2"/>
  <c r="U1194" i="2"/>
  <c r="T1194" i="2"/>
  <c r="O1194" i="2"/>
  <c r="X1193" i="2"/>
  <c r="V1193" i="2"/>
  <c r="U1193" i="2"/>
  <c r="T1193" i="2"/>
  <c r="O1193" i="2"/>
  <c r="X1192" i="2"/>
  <c r="V1192" i="2"/>
  <c r="U1192" i="2"/>
  <c r="T1192" i="2"/>
  <c r="O1192" i="2"/>
  <c r="X1191" i="2"/>
  <c r="V1191" i="2"/>
  <c r="U1191" i="2"/>
  <c r="T1191" i="2"/>
  <c r="O1191" i="2"/>
  <c r="X1190" i="2"/>
  <c r="V1190" i="2"/>
  <c r="U1190" i="2"/>
  <c r="T1190" i="2"/>
  <c r="O1190" i="2"/>
  <c r="X1189" i="2"/>
  <c r="V1189" i="2"/>
  <c r="U1189" i="2"/>
  <c r="T1189" i="2"/>
  <c r="O1189" i="2"/>
  <c r="X1188" i="2"/>
  <c r="V1188" i="2"/>
  <c r="U1188" i="2"/>
  <c r="T1188" i="2"/>
  <c r="O1188" i="2"/>
  <c r="X1187" i="2"/>
  <c r="V1187" i="2"/>
  <c r="U1187" i="2"/>
  <c r="T1187" i="2"/>
  <c r="O1187" i="2"/>
  <c r="X1186" i="2"/>
  <c r="V1186" i="2"/>
  <c r="U1186" i="2"/>
  <c r="T1186" i="2"/>
  <c r="O1186" i="2"/>
  <c r="X1185" i="2"/>
  <c r="V1185" i="2"/>
  <c r="U1185" i="2"/>
  <c r="T1185" i="2"/>
  <c r="O1185" i="2"/>
  <c r="X1184" i="2"/>
  <c r="V1184" i="2"/>
  <c r="U1184" i="2"/>
  <c r="T1184" i="2"/>
  <c r="O1184" i="2"/>
  <c r="X1183" i="2"/>
  <c r="V1183" i="2"/>
  <c r="U1183" i="2"/>
  <c r="T1183" i="2"/>
  <c r="O1183" i="2"/>
  <c r="X1182" i="2"/>
  <c r="V1182" i="2"/>
  <c r="U1182" i="2"/>
  <c r="T1182" i="2"/>
  <c r="O1182" i="2"/>
  <c r="X1181" i="2"/>
  <c r="V1181" i="2"/>
  <c r="U1181" i="2"/>
  <c r="T1181" i="2"/>
  <c r="O1181" i="2"/>
  <c r="X1180" i="2"/>
  <c r="V1180" i="2"/>
  <c r="U1180" i="2"/>
  <c r="T1180" i="2"/>
  <c r="O1180" i="2"/>
  <c r="X1179" i="2"/>
  <c r="V1179" i="2"/>
  <c r="U1179" i="2"/>
  <c r="T1179" i="2"/>
  <c r="O1179" i="2"/>
  <c r="X1178" i="2"/>
  <c r="V1178" i="2"/>
  <c r="U1178" i="2"/>
  <c r="T1178" i="2"/>
  <c r="O1178" i="2"/>
  <c r="X1177" i="2"/>
  <c r="V1177" i="2"/>
  <c r="U1177" i="2"/>
  <c r="T1177" i="2"/>
  <c r="O1177" i="2"/>
  <c r="X1176" i="2"/>
  <c r="V1176" i="2"/>
  <c r="U1176" i="2"/>
  <c r="T1176" i="2"/>
  <c r="O1176" i="2"/>
  <c r="X1175" i="2"/>
  <c r="V1175" i="2"/>
  <c r="U1175" i="2"/>
  <c r="T1175" i="2"/>
  <c r="O1175" i="2"/>
  <c r="X1174" i="2"/>
  <c r="V1174" i="2"/>
  <c r="U1174" i="2"/>
  <c r="T1174" i="2"/>
  <c r="O1174" i="2"/>
  <c r="X1173" i="2"/>
  <c r="V1173" i="2"/>
  <c r="U1173" i="2"/>
  <c r="T1173" i="2"/>
  <c r="O1173" i="2"/>
  <c r="X1172" i="2"/>
  <c r="V1172" i="2"/>
  <c r="U1172" i="2"/>
  <c r="T1172" i="2"/>
  <c r="O1172" i="2"/>
  <c r="X1171" i="2"/>
  <c r="V1171" i="2"/>
  <c r="U1171" i="2"/>
  <c r="T1171" i="2"/>
  <c r="O1171" i="2"/>
  <c r="X1170" i="2"/>
  <c r="V1170" i="2"/>
  <c r="U1170" i="2"/>
  <c r="T1170" i="2"/>
  <c r="O1170" i="2"/>
  <c r="X1169" i="2"/>
  <c r="V1169" i="2"/>
  <c r="U1169" i="2"/>
  <c r="T1169" i="2"/>
  <c r="O1169" i="2"/>
  <c r="X1168" i="2"/>
  <c r="V1168" i="2"/>
  <c r="U1168" i="2"/>
  <c r="T1168" i="2"/>
  <c r="O1168" i="2"/>
  <c r="X1167" i="2"/>
  <c r="V1167" i="2"/>
  <c r="U1167" i="2"/>
  <c r="T1167" i="2"/>
  <c r="O1167" i="2"/>
  <c r="X1166" i="2"/>
  <c r="V1166" i="2"/>
  <c r="U1166" i="2"/>
  <c r="T1166" i="2"/>
  <c r="O1166" i="2"/>
  <c r="X1165" i="2"/>
  <c r="V1165" i="2"/>
  <c r="U1165" i="2"/>
  <c r="T1165" i="2"/>
  <c r="O1165" i="2"/>
  <c r="X1164" i="2"/>
  <c r="V1164" i="2"/>
  <c r="U1164" i="2"/>
  <c r="T1164" i="2"/>
  <c r="O1164" i="2"/>
  <c r="X1163" i="2"/>
  <c r="V1163" i="2"/>
  <c r="U1163" i="2"/>
  <c r="T1163" i="2"/>
  <c r="O1163" i="2"/>
  <c r="X1162" i="2"/>
  <c r="V1162" i="2"/>
  <c r="U1162" i="2"/>
  <c r="T1162" i="2"/>
  <c r="O1162" i="2"/>
  <c r="X1161" i="2"/>
  <c r="V1161" i="2"/>
  <c r="U1161" i="2"/>
  <c r="T1161" i="2"/>
  <c r="O1161" i="2"/>
  <c r="X1160" i="2"/>
  <c r="V1160" i="2"/>
  <c r="U1160" i="2"/>
  <c r="T1160" i="2"/>
  <c r="O1160" i="2"/>
  <c r="X1159" i="2"/>
  <c r="V1159" i="2"/>
  <c r="U1159" i="2"/>
  <c r="T1159" i="2"/>
  <c r="O1159" i="2"/>
  <c r="X1158" i="2"/>
  <c r="V1158" i="2"/>
  <c r="U1158" i="2"/>
  <c r="T1158" i="2"/>
  <c r="O1158" i="2"/>
  <c r="X1157" i="2"/>
  <c r="V1157" i="2"/>
  <c r="U1157" i="2"/>
  <c r="T1157" i="2"/>
  <c r="O1157" i="2"/>
  <c r="X1156" i="2"/>
  <c r="V1156" i="2"/>
  <c r="U1156" i="2"/>
  <c r="T1156" i="2"/>
  <c r="O1156" i="2"/>
  <c r="X1155" i="2"/>
  <c r="V1155" i="2"/>
  <c r="U1155" i="2"/>
  <c r="T1155" i="2"/>
  <c r="O1155" i="2"/>
  <c r="X1154" i="2"/>
  <c r="V1154" i="2"/>
  <c r="U1154" i="2"/>
  <c r="T1154" i="2"/>
  <c r="O1154" i="2"/>
  <c r="X1153" i="2"/>
  <c r="V1153" i="2"/>
  <c r="U1153" i="2"/>
  <c r="T1153" i="2"/>
  <c r="O1153" i="2"/>
  <c r="X1152" i="2"/>
  <c r="V1152" i="2"/>
  <c r="U1152" i="2"/>
  <c r="T1152" i="2"/>
  <c r="O1152" i="2"/>
  <c r="X1151" i="2"/>
  <c r="V1151" i="2"/>
  <c r="U1151" i="2"/>
  <c r="T1151" i="2"/>
  <c r="O1151" i="2"/>
  <c r="X1150" i="2"/>
  <c r="V1150" i="2"/>
  <c r="U1150" i="2"/>
  <c r="T1150" i="2"/>
  <c r="O1150" i="2"/>
  <c r="X1149" i="2"/>
  <c r="V1149" i="2"/>
  <c r="U1149" i="2"/>
  <c r="T1149" i="2"/>
  <c r="O1149" i="2"/>
  <c r="X1148" i="2"/>
  <c r="V1148" i="2"/>
  <c r="U1148" i="2"/>
  <c r="T1148" i="2"/>
  <c r="O1148" i="2"/>
  <c r="X1147" i="2"/>
  <c r="V1147" i="2"/>
  <c r="U1147" i="2"/>
  <c r="T1147" i="2"/>
  <c r="O1147" i="2"/>
  <c r="X1146" i="2"/>
  <c r="V1146" i="2"/>
  <c r="U1146" i="2"/>
  <c r="T1146" i="2"/>
  <c r="O1146" i="2"/>
  <c r="X1145" i="2"/>
  <c r="V1145" i="2"/>
  <c r="U1145" i="2"/>
  <c r="T1145" i="2"/>
  <c r="O1145" i="2"/>
  <c r="X1144" i="2"/>
  <c r="V1144" i="2"/>
  <c r="U1144" i="2"/>
  <c r="T1144" i="2"/>
  <c r="O1144" i="2"/>
  <c r="X1143" i="2"/>
  <c r="V1143" i="2"/>
  <c r="U1143" i="2"/>
  <c r="T1143" i="2"/>
  <c r="O1143" i="2"/>
  <c r="X1142" i="2"/>
  <c r="V1142" i="2"/>
  <c r="U1142" i="2"/>
  <c r="T1142" i="2"/>
  <c r="O1142" i="2"/>
  <c r="X1141" i="2"/>
  <c r="V1141" i="2"/>
  <c r="U1141" i="2"/>
  <c r="T1141" i="2"/>
  <c r="O1141" i="2"/>
  <c r="X1140" i="2"/>
  <c r="V1140" i="2"/>
  <c r="U1140" i="2"/>
  <c r="T1140" i="2"/>
  <c r="O1140" i="2"/>
  <c r="X1139" i="2"/>
  <c r="V1139" i="2"/>
  <c r="U1139" i="2"/>
  <c r="T1139" i="2"/>
  <c r="O1139" i="2"/>
  <c r="X1138" i="2"/>
  <c r="V1138" i="2"/>
  <c r="U1138" i="2"/>
  <c r="T1138" i="2"/>
  <c r="O1138" i="2"/>
  <c r="X1137" i="2"/>
  <c r="V1137" i="2"/>
  <c r="U1137" i="2"/>
  <c r="T1137" i="2"/>
  <c r="O1137" i="2"/>
  <c r="X1136" i="2"/>
  <c r="V1136" i="2"/>
  <c r="U1136" i="2"/>
  <c r="T1136" i="2"/>
  <c r="O1136" i="2"/>
  <c r="X1135" i="2"/>
  <c r="V1135" i="2"/>
  <c r="U1135" i="2"/>
  <c r="T1135" i="2"/>
  <c r="O1135" i="2"/>
  <c r="X1134" i="2"/>
  <c r="V1134" i="2"/>
  <c r="U1134" i="2"/>
  <c r="T1134" i="2"/>
  <c r="O1134" i="2"/>
  <c r="X1133" i="2"/>
  <c r="V1133" i="2"/>
  <c r="U1133" i="2"/>
  <c r="T1133" i="2"/>
  <c r="O1133" i="2"/>
  <c r="X1132" i="2"/>
  <c r="V1132" i="2"/>
  <c r="U1132" i="2"/>
  <c r="T1132" i="2"/>
  <c r="O1132" i="2"/>
  <c r="X1131" i="2"/>
  <c r="V1131" i="2"/>
  <c r="U1131" i="2"/>
  <c r="T1131" i="2"/>
  <c r="O1131" i="2"/>
  <c r="X1130" i="2"/>
  <c r="V1130" i="2"/>
  <c r="U1130" i="2"/>
  <c r="T1130" i="2"/>
  <c r="O1130" i="2"/>
  <c r="X1129" i="2"/>
  <c r="V1129" i="2"/>
  <c r="U1129" i="2"/>
  <c r="T1129" i="2"/>
  <c r="O1129" i="2"/>
  <c r="X1128" i="2"/>
  <c r="V1128" i="2"/>
  <c r="U1128" i="2"/>
  <c r="T1128" i="2"/>
  <c r="O1128" i="2"/>
  <c r="X1127" i="2"/>
  <c r="V1127" i="2"/>
  <c r="U1127" i="2"/>
  <c r="T1127" i="2"/>
  <c r="O1127" i="2"/>
  <c r="X1126" i="2"/>
  <c r="V1126" i="2"/>
  <c r="U1126" i="2"/>
  <c r="T1126" i="2"/>
  <c r="O1126" i="2"/>
  <c r="X1125" i="2"/>
  <c r="V1125" i="2"/>
  <c r="U1125" i="2"/>
  <c r="T1125" i="2"/>
  <c r="O1125" i="2"/>
  <c r="X1124" i="2"/>
  <c r="V1124" i="2"/>
  <c r="U1124" i="2"/>
  <c r="T1124" i="2"/>
  <c r="O1124" i="2"/>
  <c r="X1123" i="2"/>
  <c r="V1123" i="2"/>
  <c r="U1123" i="2"/>
  <c r="T1123" i="2"/>
  <c r="O1123" i="2"/>
  <c r="X1122" i="2"/>
  <c r="V1122" i="2"/>
  <c r="U1122" i="2"/>
  <c r="T1122" i="2"/>
  <c r="O1122" i="2"/>
  <c r="X1121" i="2"/>
  <c r="V1121" i="2"/>
  <c r="U1121" i="2"/>
  <c r="T1121" i="2"/>
  <c r="O1121" i="2"/>
  <c r="X1120" i="2"/>
  <c r="V1120" i="2"/>
  <c r="U1120" i="2"/>
  <c r="T1120" i="2"/>
  <c r="O1120" i="2"/>
  <c r="X1119" i="2"/>
  <c r="V1119" i="2"/>
  <c r="U1119" i="2"/>
  <c r="T1119" i="2"/>
  <c r="O1119" i="2"/>
  <c r="X1118" i="2"/>
  <c r="V1118" i="2"/>
  <c r="U1118" i="2"/>
  <c r="T1118" i="2"/>
  <c r="O1118" i="2"/>
  <c r="X1117" i="2"/>
  <c r="V1117" i="2"/>
  <c r="U1117" i="2"/>
  <c r="T1117" i="2"/>
  <c r="O1117" i="2"/>
  <c r="X1116" i="2"/>
  <c r="V1116" i="2"/>
  <c r="U1116" i="2"/>
  <c r="T1116" i="2"/>
  <c r="O1116" i="2"/>
  <c r="X1115" i="2"/>
  <c r="V1115" i="2"/>
  <c r="U1115" i="2"/>
  <c r="T1115" i="2"/>
  <c r="O1115" i="2"/>
  <c r="X1114" i="2"/>
  <c r="V1114" i="2"/>
  <c r="U1114" i="2"/>
  <c r="T1114" i="2"/>
  <c r="O1114" i="2"/>
  <c r="X1113" i="2"/>
  <c r="V1113" i="2"/>
  <c r="U1113" i="2"/>
  <c r="T1113" i="2"/>
  <c r="O1113" i="2"/>
  <c r="X1112" i="2"/>
  <c r="V1112" i="2"/>
  <c r="U1112" i="2"/>
  <c r="T1112" i="2"/>
  <c r="O1112" i="2"/>
  <c r="X1111" i="2"/>
  <c r="V1111" i="2"/>
  <c r="U1111" i="2"/>
  <c r="T1111" i="2"/>
  <c r="O1111" i="2"/>
  <c r="X1110" i="2"/>
  <c r="V1110" i="2"/>
  <c r="U1110" i="2"/>
  <c r="T1110" i="2"/>
  <c r="O1110" i="2"/>
  <c r="X1109" i="2"/>
  <c r="V1109" i="2"/>
  <c r="U1109" i="2"/>
  <c r="T1109" i="2"/>
  <c r="O1109" i="2"/>
  <c r="X1108" i="2"/>
  <c r="V1108" i="2"/>
  <c r="U1108" i="2"/>
  <c r="T1108" i="2"/>
  <c r="O1108" i="2"/>
  <c r="X1107" i="2"/>
  <c r="V1107" i="2"/>
  <c r="U1107" i="2"/>
  <c r="T1107" i="2"/>
  <c r="O1107" i="2"/>
  <c r="X1106" i="2"/>
  <c r="V1106" i="2"/>
  <c r="U1106" i="2"/>
  <c r="T1106" i="2"/>
  <c r="O1106" i="2"/>
  <c r="X1105" i="2"/>
  <c r="V1105" i="2"/>
  <c r="U1105" i="2"/>
  <c r="T1105" i="2"/>
  <c r="O1105" i="2"/>
  <c r="X1104" i="2"/>
  <c r="V1104" i="2"/>
  <c r="U1104" i="2"/>
  <c r="T1104" i="2"/>
  <c r="O1104" i="2"/>
  <c r="X1103" i="2"/>
  <c r="V1103" i="2"/>
  <c r="U1103" i="2"/>
  <c r="T1103" i="2"/>
  <c r="O1103" i="2"/>
  <c r="X1102" i="2"/>
  <c r="V1102" i="2"/>
  <c r="U1102" i="2"/>
  <c r="T1102" i="2"/>
  <c r="O1102" i="2"/>
  <c r="X1101" i="2"/>
  <c r="V1101" i="2"/>
  <c r="U1101" i="2"/>
  <c r="T1101" i="2"/>
  <c r="O1101" i="2"/>
  <c r="X1100" i="2"/>
  <c r="V1100" i="2"/>
  <c r="U1100" i="2"/>
  <c r="T1100" i="2"/>
  <c r="O1100" i="2"/>
  <c r="X1099" i="2"/>
  <c r="V1099" i="2"/>
  <c r="U1099" i="2"/>
  <c r="T1099" i="2"/>
  <c r="O1099" i="2"/>
  <c r="X1098" i="2"/>
  <c r="V1098" i="2"/>
  <c r="U1098" i="2"/>
  <c r="T1098" i="2"/>
  <c r="O1098" i="2"/>
  <c r="X1097" i="2"/>
  <c r="V1097" i="2"/>
  <c r="U1097" i="2"/>
  <c r="T1097" i="2"/>
  <c r="O1097" i="2"/>
  <c r="X1096" i="2"/>
  <c r="V1096" i="2"/>
  <c r="U1096" i="2"/>
  <c r="T1096" i="2"/>
  <c r="O1096" i="2"/>
  <c r="X1095" i="2"/>
  <c r="V1095" i="2"/>
  <c r="U1095" i="2"/>
  <c r="T1095" i="2"/>
  <c r="O1095" i="2"/>
  <c r="X1094" i="2"/>
  <c r="V1094" i="2"/>
  <c r="U1094" i="2"/>
  <c r="T1094" i="2"/>
  <c r="O1094" i="2"/>
  <c r="X1093" i="2"/>
  <c r="V1093" i="2"/>
  <c r="U1093" i="2"/>
  <c r="T1093" i="2"/>
  <c r="O1093" i="2"/>
  <c r="X1092" i="2"/>
  <c r="V1092" i="2"/>
  <c r="U1092" i="2"/>
  <c r="T1092" i="2"/>
  <c r="O1092" i="2"/>
  <c r="X1091" i="2"/>
  <c r="V1091" i="2"/>
  <c r="U1091" i="2"/>
  <c r="T1091" i="2"/>
  <c r="O1091" i="2"/>
  <c r="X1090" i="2"/>
  <c r="V1090" i="2"/>
  <c r="U1090" i="2"/>
  <c r="T1090" i="2"/>
  <c r="O1090" i="2"/>
  <c r="X1089" i="2"/>
  <c r="V1089" i="2"/>
  <c r="U1089" i="2"/>
  <c r="T1089" i="2"/>
  <c r="O1089" i="2"/>
  <c r="X1088" i="2"/>
  <c r="V1088" i="2"/>
  <c r="U1088" i="2"/>
  <c r="T1088" i="2"/>
  <c r="O1088" i="2"/>
  <c r="X1087" i="2"/>
  <c r="V1087" i="2"/>
  <c r="U1087" i="2"/>
  <c r="T1087" i="2"/>
  <c r="O1087" i="2"/>
  <c r="X1086" i="2"/>
  <c r="V1086" i="2"/>
  <c r="U1086" i="2"/>
  <c r="T1086" i="2"/>
  <c r="O1086" i="2"/>
  <c r="X1085" i="2"/>
  <c r="V1085" i="2"/>
  <c r="U1085" i="2"/>
  <c r="T1085" i="2"/>
  <c r="O1085" i="2"/>
  <c r="X1084" i="2"/>
  <c r="V1084" i="2"/>
  <c r="U1084" i="2"/>
  <c r="T1084" i="2"/>
  <c r="O1084" i="2"/>
  <c r="X1083" i="2"/>
  <c r="V1083" i="2"/>
  <c r="U1083" i="2"/>
  <c r="T1083" i="2"/>
  <c r="O1083" i="2"/>
  <c r="X1082" i="2"/>
  <c r="V1082" i="2"/>
  <c r="U1082" i="2"/>
  <c r="T1082" i="2"/>
  <c r="O1082" i="2"/>
  <c r="X1081" i="2"/>
  <c r="V1081" i="2"/>
  <c r="U1081" i="2"/>
  <c r="T1081" i="2"/>
  <c r="O1081" i="2"/>
  <c r="X1080" i="2"/>
  <c r="V1080" i="2"/>
  <c r="U1080" i="2"/>
  <c r="T1080" i="2"/>
  <c r="O1080" i="2"/>
  <c r="X1079" i="2"/>
  <c r="V1079" i="2"/>
  <c r="U1079" i="2"/>
  <c r="T1079" i="2"/>
  <c r="O1079" i="2"/>
  <c r="X1078" i="2"/>
  <c r="V1078" i="2"/>
  <c r="U1078" i="2"/>
  <c r="T1078" i="2"/>
  <c r="O1078" i="2"/>
  <c r="X1077" i="2"/>
  <c r="V1077" i="2"/>
  <c r="U1077" i="2"/>
  <c r="T1077" i="2"/>
  <c r="O1077" i="2"/>
  <c r="X1076" i="2"/>
  <c r="V1076" i="2"/>
  <c r="U1076" i="2"/>
  <c r="T1076" i="2"/>
  <c r="O1076" i="2"/>
  <c r="X1075" i="2"/>
  <c r="V1075" i="2"/>
  <c r="U1075" i="2"/>
  <c r="T1075" i="2"/>
  <c r="O1075" i="2"/>
  <c r="X1074" i="2"/>
  <c r="V1074" i="2"/>
  <c r="U1074" i="2"/>
  <c r="T1074" i="2"/>
  <c r="O1074" i="2"/>
  <c r="X1073" i="2"/>
  <c r="V1073" i="2"/>
  <c r="U1073" i="2"/>
  <c r="T1073" i="2"/>
  <c r="O1073" i="2"/>
  <c r="X1072" i="2"/>
  <c r="V1072" i="2"/>
  <c r="U1072" i="2"/>
  <c r="T1072" i="2"/>
  <c r="O1072" i="2"/>
  <c r="X1071" i="2"/>
  <c r="V1071" i="2"/>
  <c r="U1071" i="2"/>
  <c r="T1071" i="2"/>
  <c r="O1071" i="2"/>
  <c r="X1070" i="2"/>
  <c r="V1070" i="2"/>
  <c r="U1070" i="2"/>
  <c r="T1070" i="2"/>
  <c r="O1070" i="2"/>
  <c r="X1069" i="2"/>
  <c r="V1069" i="2"/>
  <c r="U1069" i="2"/>
  <c r="T1069" i="2"/>
  <c r="O1069" i="2"/>
  <c r="X1068" i="2"/>
  <c r="V1068" i="2"/>
  <c r="U1068" i="2"/>
  <c r="T1068" i="2"/>
  <c r="O1068" i="2"/>
  <c r="X1067" i="2"/>
  <c r="V1067" i="2"/>
  <c r="U1067" i="2"/>
  <c r="T1067" i="2"/>
  <c r="O1067" i="2"/>
  <c r="X1066" i="2"/>
  <c r="V1066" i="2"/>
  <c r="U1066" i="2"/>
  <c r="T1066" i="2"/>
  <c r="O1066" i="2"/>
  <c r="X1065" i="2"/>
  <c r="V1065" i="2"/>
  <c r="U1065" i="2"/>
  <c r="T1065" i="2"/>
  <c r="O1065" i="2"/>
  <c r="X1064" i="2"/>
  <c r="V1064" i="2"/>
  <c r="U1064" i="2"/>
  <c r="T1064" i="2"/>
  <c r="O1064" i="2"/>
  <c r="X1063" i="2"/>
  <c r="V1063" i="2"/>
  <c r="U1063" i="2"/>
  <c r="T1063" i="2"/>
  <c r="O1063" i="2"/>
  <c r="X1062" i="2"/>
  <c r="V1062" i="2"/>
  <c r="U1062" i="2"/>
  <c r="T1062" i="2"/>
  <c r="O1062" i="2"/>
  <c r="X1061" i="2"/>
  <c r="V1061" i="2"/>
  <c r="U1061" i="2"/>
  <c r="T1061" i="2"/>
  <c r="O1061" i="2"/>
  <c r="X1060" i="2"/>
  <c r="V1060" i="2"/>
  <c r="U1060" i="2"/>
  <c r="T1060" i="2"/>
  <c r="O1060" i="2"/>
  <c r="X1059" i="2"/>
  <c r="V1059" i="2"/>
  <c r="U1059" i="2"/>
  <c r="T1059" i="2"/>
  <c r="O1059" i="2"/>
  <c r="X1058" i="2"/>
  <c r="V1058" i="2"/>
  <c r="U1058" i="2"/>
  <c r="T1058" i="2"/>
  <c r="O1058" i="2"/>
  <c r="X1057" i="2"/>
  <c r="V1057" i="2"/>
  <c r="U1057" i="2"/>
  <c r="T1057" i="2"/>
  <c r="O1057" i="2"/>
  <c r="X1056" i="2"/>
  <c r="V1056" i="2"/>
  <c r="U1056" i="2"/>
  <c r="T1056" i="2"/>
  <c r="O1056" i="2"/>
  <c r="X1055" i="2"/>
  <c r="V1055" i="2"/>
  <c r="U1055" i="2"/>
  <c r="T1055" i="2"/>
  <c r="O1055" i="2"/>
  <c r="X1054" i="2"/>
  <c r="V1054" i="2"/>
  <c r="U1054" i="2"/>
  <c r="T1054" i="2"/>
  <c r="O1054" i="2"/>
  <c r="X1053" i="2"/>
  <c r="V1053" i="2"/>
  <c r="U1053" i="2"/>
  <c r="T1053" i="2"/>
  <c r="O1053" i="2"/>
  <c r="X1052" i="2"/>
  <c r="V1052" i="2"/>
  <c r="U1052" i="2"/>
  <c r="T1052" i="2"/>
  <c r="O1052" i="2"/>
  <c r="X1051" i="2"/>
  <c r="V1051" i="2"/>
  <c r="U1051" i="2"/>
  <c r="T1051" i="2"/>
  <c r="O1051" i="2"/>
  <c r="X1050" i="2"/>
  <c r="V1050" i="2"/>
  <c r="U1050" i="2"/>
  <c r="T1050" i="2"/>
  <c r="O1050" i="2"/>
  <c r="X1049" i="2"/>
  <c r="V1049" i="2"/>
  <c r="U1049" i="2"/>
  <c r="T1049" i="2"/>
  <c r="O1049" i="2"/>
  <c r="X1048" i="2"/>
  <c r="V1048" i="2"/>
  <c r="U1048" i="2"/>
  <c r="T1048" i="2"/>
  <c r="O1048" i="2"/>
  <c r="X1047" i="2"/>
  <c r="V1047" i="2"/>
  <c r="U1047" i="2"/>
  <c r="T1047" i="2"/>
  <c r="O1047" i="2"/>
  <c r="X1046" i="2"/>
  <c r="V1046" i="2"/>
  <c r="U1046" i="2"/>
  <c r="T1046" i="2"/>
  <c r="O1046" i="2"/>
  <c r="X1045" i="2"/>
  <c r="V1045" i="2"/>
  <c r="U1045" i="2"/>
  <c r="T1045" i="2"/>
  <c r="O1045" i="2"/>
  <c r="X1044" i="2"/>
  <c r="V1044" i="2"/>
  <c r="U1044" i="2"/>
  <c r="T1044" i="2"/>
  <c r="O1044" i="2"/>
  <c r="X1043" i="2"/>
  <c r="V1043" i="2"/>
  <c r="U1043" i="2"/>
  <c r="T1043" i="2"/>
  <c r="O1043" i="2"/>
  <c r="X1042" i="2"/>
  <c r="V1042" i="2"/>
  <c r="U1042" i="2"/>
  <c r="T1042" i="2"/>
  <c r="O1042" i="2"/>
  <c r="X1041" i="2"/>
  <c r="V1041" i="2"/>
  <c r="U1041" i="2"/>
  <c r="T1041" i="2"/>
  <c r="O1041" i="2"/>
  <c r="X1040" i="2"/>
  <c r="V1040" i="2"/>
  <c r="U1040" i="2"/>
  <c r="T1040" i="2"/>
  <c r="O1040" i="2"/>
  <c r="X1039" i="2"/>
  <c r="V1039" i="2"/>
  <c r="U1039" i="2"/>
  <c r="T1039" i="2"/>
  <c r="O1039" i="2"/>
  <c r="X1038" i="2"/>
  <c r="V1038" i="2"/>
  <c r="U1038" i="2"/>
  <c r="T1038" i="2"/>
  <c r="O1038" i="2"/>
  <c r="X1037" i="2"/>
  <c r="V1037" i="2"/>
  <c r="U1037" i="2"/>
  <c r="T1037" i="2"/>
  <c r="O1037" i="2"/>
  <c r="X1036" i="2"/>
  <c r="V1036" i="2"/>
  <c r="U1036" i="2"/>
  <c r="T1036" i="2"/>
  <c r="O1036" i="2"/>
  <c r="X1035" i="2"/>
  <c r="V1035" i="2"/>
  <c r="U1035" i="2"/>
  <c r="T1035" i="2"/>
  <c r="O1035" i="2"/>
  <c r="X1034" i="2"/>
  <c r="V1034" i="2"/>
  <c r="U1034" i="2"/>
  <c r="T1034" i="2"/>
  <c r="O1034" i="2"/>
  <c r="X1033" i="2"/>
  <c r="V1033" i="2"/>
  <c r="U1033" i="2"/>
  <c r="T1033" i="2"/>
  <c r="O1033" i="2"/>
  <c r="X1032" i="2"/>
  <c r="V1032" i="2"/>
  <c r="U1032" i="2"/>
  <c r="T1032" i="2"/>
  <c r="O1032" i="2"/>
  <c r="X1031" i="2"/>
  <c r="V1031" i="2"/>
  <c r="U1031" i="2"/>
  <c r="T1031" i="2"/>
  <c r="O1031" i="2"/>
  <c r="X1030" i="2"/>
  <c r="V1030" i="2"/>
  <c r="U1030" i="2"/>
  <c r="T1030" i="2"/>
  <c r="O1030" i="2"/>
  <c r="X1029" i="2"/>
  <c r="V1029" i="2"/>
  <c r="U1029" i="2"/>
  <c r="T1029" i="2"/>
  <c r="O1029" i="2"/>
  <c r="X1028" i="2"/>
  <c r="V1028" i="2"/>
  <c r="U1028" i="2"/>
  <c r="T1028" i="2"/>
  <c r="O1028" i="2"/>
  <c r="X1027" i="2"/>
  <c r="V1027" i="2"/>
  <c r="U1027" i="2"/>
  <c r="T1027" i="2"/>
  <c r="O1027" i="2"/>
  <c r="X1026" i="2"/>
  <c r="V1026" i="2"/>
  <c r="U1026" i="2"/>
  <c r="T1026" i="2"/>
  <c r="O1026" i="2"/>
  <c r="X1025" i="2"/>
  <c r="V1025" i="2"/>
  <c r="U1025" i="2"/>
  <c r="T1025" i="2"/>
  <c r="O1025" i="2"/>
  <c r="X1024" i="2"/>
  <c r="V1024" i="2"/>
  <c r="U1024" i="2"/>
  <c r="T1024" i="2"/>
  <c r="O1024" i="2"/>
  <c r="X1023" i="2"/>
  <c r="V1023" i="2"/>
  <c r="U1023" i="2"/>
  <c r="T1023" i="2"/>
  <c r="O1023" i="2"/>
  <c r="X1022" i="2"/>
  <c r="V1022" i="2"/>
  <c r="U1022" i="2"/>
  <c r="T1022" i="2"/>
  <c r="O1022" i="2"/>
  <c r="X1021" i="2"/>
  <c r="V1021" i="2"/>
  <c r="U1021" i="2"/>
  <c r="T1021" i="2"/>
  <c r="O1021" i="2"/>
  <c r="X1020" i="2"/>
  <c r="V1020" i="2"/>
  <c r="U1020" i="2"/>
  <c r="T1020" i="2"/>
  <c r="O1020" i="2"/>
  <c r="X1019" i="2"/>
  <c r="V1019" i="2"/>
  <c r="U1019" i="2"/>
  <c r="T1019" i="2"/>
  <c r="O1019" i="2"/>
  <c r="X1018" i="2"/>
  <c r="V1018" i="2"/>
  <c r="U1018" i="2"/>
  <c r="T1018" i="2"/>
  <c r="O1018" i="2"/>
  <c r="X1017" i="2"/>
  <c r="V1017" i="2"/>
  <c r="U1017" i="2"/>
  <c r="T1017" i="2"/>
  <c r="O1017" i="2"/>
  <c r="X1016" i="2"/>
  <c r="V1016" i="2"/>
  <c r="U1016" i="2"/>
  <c r="T1016" i="2"/>
  <c r="O1016" i="2"/>
  <c r="X1015" i="2"/>
  <c r="V1015" i="2"/>
  <c r="U1015" i="2"/>
  <c r="T1015" i="2"/>
  <c r="O1015" i="2"/>
  <c r="X1014" i="2"/>
  <c r="V1014" i="2"/>
  <c r="U1014" i="2"/>
  <c r="T1014" i="2"/>
  <c r="O1014" i="2"/>
  <c r="X1013" i="2"/>
  <c r="V1013" i="2"/>
  <c r="U1013" i="2"/>
  <c r="T1013" i="2"/>
  <c r="O1013" i="2"/>
  <c r="X1012" i="2"/>
  <c r="V1012" i="2"/>
  <c r="U1012" i="2"/>
  <c r="T1012" i="2"/>
  <c r="O1012" i="2"/>
  <c r="X1011" i="2"/>
  <c r="V1011" i="2"/>
  <c r="U1011" i="2"/>
  <c r="T1011" i="2"/>
  <c r="O1011" i="2"/>
  <c r="X1010" i="2"/>
  <c r="V1010" i="2"/>
  <c r="U1010" i="2"/>
  <c r="T1010" i="2"/>
  <c r="O1010" i="2"/>
  <c r="X1009" i="2"/>
  <c r="V1009" i="2"/>
  <c r="U1009" i="2"/>
  <c r="T1009" i="2"/>
  <c r="O1009" i="2"/>
  <c r="X1008" i="2"/>
  <c r="V1008" i="2"/>
  <c r="U1008" i="2"/>
  <c r="T1008" i="2"/>
  <c r="O1008" i="2"/>
  <c r="X1007" i="2"/>
  <c r="V1007" i="2"/>
  <c r="U1007" i="2"/>
  <c r="T1007" i="2"/>
  <c r="O1007" i="2"/>
  <c r="X1006" i="2"/>
  <c r="V1006" i="2"/>
  <c r="U1006" i="2"/>
  <c r="T1006" i="2"/>
  <c r="O1006" i="2"/>
  <c r="X1005" i="2"/>
  <c r="V1005" i="2"/>
  <c r="U1005" i="2"/>
  <c r="T1005" i="2"/>
  <c r="O1005" i="2"/>
  <c r="X1004" i="2"/>
  <c r="V1004" i="2"/>
  <c r="U1004" i="2"/>
  <c r="T1004" i="2"/>
  <c r="O1004" i="2"/>
  <c r="X1003" i="2"/>
  <c r="V1003" i="2"/>
  <c r="U1003" i="2"/>
  <c r="T1003" i="2"/>
  <c r="O1003" i="2"/>
  <c r="X1002" i="2"/>
  <c r="V1002" i="2"/>
  <c r="U1002" i="2"/>
  <c r="T1002" i="2"/>
  <c r="O1002" i="2"/>
  <c r="X1001" i="2"/>
  <c r="V1001" i="2"/>
  <c r="U1001" i="2"/>
  <c r="T1001" i="2"/>
  <c r="O1001" i="2"/>
  <c r="X1000" i="2"/>
  <c r="V1000" i="2"/>
  <c r="U1000" i="2"/>
  <c r="T1000" i="2"/>
  <c r="O1000" i="2"/>
  <c r="X999" i="2"/>
  <c r="V999" i="2"/>
  <c r="U999" i="2"/>
  <c r="T999" i="2"/>
  <c r="O999" i="2"/>
  <c r="X998" i="2"/>
  <c r="V998" i="2"/>
  <c r="U998" i="2"/>
  <c r="T998" i="2"/>
  <c r="O998" i="2"/>
  <c r="X997" i="2"/>
  <c r="V997" i="2"/>
  <c r="U997" i="2"/>
  <c r="T997" i="2"/>
  <c r="O997" i="2"/>
  <c r="X996" i="2"/>
  <c r="V996" i="2"/>
  <c r="U996" i="2"/>
  <c r="T996" i="2"/>
  <c r="O996" i="2"/>
  <c r="X995" i="2"/>
  <c r="V995" i="2"/>
  <c r="U995" i="2"/>
  <c r="T995" i="2"/>
  <c r="O995" i="2"/>
  <c r="X994" i="2"/>
  <c r="V994" i="2"/>
  <c r="U994" i="2"/>
  <c r="T994" i="2"/>
  <c r="O994" i="2"/>
  <c r="X993" i="2"/>
  <c r="V993" i="2"/>
  <c r="U993" i="2"/>
  <c r="T993" i="2"/>
  <c r="O993" i="2"/>
  <c r="X992" i="2"/>
  <c r="V992" i="2"/>
  <c r="U992" i="2"/>
  <c r="T992" i="2"/>
  <c r="O992" i="2"/>
  <c r="X991" i="2"/>
  <c r="V991" i="2"/>
  <c r="U991" i="2"/>
  <c r="T991" i="2"/>
  <c r="O991" i="2"/>
  <c r="X990" i="2"/>
  <c r="V990" i="2"/>
  <c r="U990" i="2"/>
  <c r="T990" i="2"/>
  <c r="O990" i="2"/>
  <c r="X989" i="2"/>
  <c r="V989" i="2"/>
  <c r="U989" i="2"/>
  <c r="T989" i="2"/>
  <c r="O989" i="2"/>
  <c r="X988" i="2"/>
  <c r="V988" i="2"/>
  <c r="U988" i="2"/>
  <c r="T988" i="2"/>
  <c r="O988" i="2"/>
  <c r="X987" i="2"/>
  <c r="V987" i="2"/>
  <c r="U987" i="2"/>
  <c r="T987" i="2"/>
  <c r="O987" i="2"/>
  <c r="X986" i="2"/>
  <c r="V986" i="2"/>
  <c r="U986" i="2"/>
  <c r="T986" i="2"/>
  <c r="O986" i="2"/>
  <c r="X985" i="2"/>
  <c r="V985" i="2"/>
  <c r="U985" i="2"/>
  <c r="T985" i="2"/>
  <c r="O985" i="2"/>
  <c r="X984" i="2"/>
  <c r="V984" i="2"/>
  <c r="U984" i="2"/>
  <c r="T984" i="2"/>
  <c r="O984" i="2"/>
  <c r="X983" i="2"/>
  <c r="V983" i="2"/>
  <c r="U983" i="2"/>
  <c r="T983" i="2"/>
  <c r="O983" i="2"/>
  <c r="X982" i="2"/>
  <c r="V982" i="2"/>
  <c r="U982" i="2"/>
  <c r="T982" i="2"/>
  <c r="O982" i="2"/>
  <c r="X981" i="2"/>
  <c r="V981" i="2"/>
  <c r="U981" i="2"/>
  <c r="T981" i="2"/>
  <c r="O981" i="2"/>
  <c r="X980" i="2"/>
  <c r="V980" i="2"/>
  <c r="U980" i="2"/>
  <c r="T980" i="2"/>
  <c r="O980" i="2"/>
  <c r="X979" i="2"/>
  <c r="V979" i="2"/>
  <c r="U979" i="2"/>
  <c r="T979" i="2"/>
  <c r="O979" i="2"/>
  <c r="X978" i="2"/>
  <c r="V978" i="2"/>
  <c r="U978" i="2"/>
  <c r="T978" i="2"/>
  <c r="O978" i="2"/>
  <c r="X977" i="2"/>
  <c r="V977" i="2"/>
  <c r="U977" i="2"/>
  <c r="T977" i="2"/>
  <c r="O977" i="2"/>
  <c r="X976" i="2"/>
  <c r="V976" i="2"/>
  <c r="U976" i="2"/>
  <c r="T976" i="2"/>
  <c r="O976" i="2"/>
  <c r="X975" i="2"/>
  <c r="V975" i="2"/>
  <c r="U975" i="2"/>
  <c r="T975" i="2"/>
  <c r="O975" i="2"/>
  <c r="X974" i="2"/>
  <c r="V974" i="2"/>
  <c r="U974" i="2"/>
  <c r="T974" i="2"/>
  <c r="O974" i="2"/>
  <c r="X973" i="2"/>
  <c r="V973" i="2"/>
  <c r="U973" i="2"/>
  <c r="T973" i="2"/>
  <c r="O973" i="2"/>
  <c r="X972" i="2"/>
  <c r="V972" i="2"/>
  <c r="U972" i="2"/>
  <c r="T972" i="2"/>
  <c r="O972" i="2"/>
  <c r="X971" i="2"/>
  <c r="V971" i="2"/>
  <c r="U971" i="2"/>
  <c r="T971" i="2"/>
  <c r="O971" i="2"/>
  <c r="X970" i="2"/>
  <c r="V970" i="2"/>
  <c r="U970" i="2"/>
  <c r="T970" i="2"/>
  <c r="O970" i="2"/>
  <c r="X969" i="2"/>
  <c r="V969" i="2"/>
  <c r="U969" i="2"/>
  <c r="T969" i="2"/>
  <c r="O969" i="2"/>
  <c r="X968" i="2"/>
  <c r="V968" i="2"/>
  <c r="U968" i="2"/>
  <c r="T968" i="2"/>
  <c r="O968" i="2"/>
  <c r="X967" i="2"/>
  <c r="V967" i="2"/>
  <c r="U967" i="2"/>
  <c r="T967" i="2"/>
  <c r="O967" i="2"/>
  <c r="X966" i="2"/>
  <c r="V966" i="2"/>
  <c r="U966" i="2"/>
  <c r="T966" i="2"/>
  <c r="O966" i="2"/>
  <c r="X965" i="2"/>
  <c r="V965" i="2"/>
  <c r="U965" i="2"/>
  <c r="T965" i="2"/>
  <c r="O965" i="2"/>
  <c r="X964" i="2"/>
  <c r="V964" i="2"/>
  <c r="U964" i="2"/>
  <c r="T964" i="2"/>
  <c r="O964" i="2"/>
  <c r="X963" i="2"/>
  <c r="V963" i="2"/>
  <c r="U963" i="2"/>
  <c r="T963" i="2"/>
  <c r="O963" i="2"/>
  <c r="X962" i="2"/>
  <c r="V962" i="2"/>
  <c r="U962" i="2"/>
  <c r="T962" i="2"/>
  <c r="O962" i="2"/>
  <c r="X961" i="2"/>
  <c r="V961" i="2"/>
  <c r="U961" i="2"/>
  <c r="T961" i="2"/>
  <c r="O961" i="2"/>
  <c r="X960" i="2"/>
  <c r="V960" i="2"/>
  <c r="U960" i="2"/>
  <c r="T960" i="2"/>
  <c r="O960" i="2"/>
  <c r="X959" i="2"/>
  <c r="V959" i="2"/>
  <c r="U959" i="2"/>
  <c r="T959" i="2"/>
  <c r="O959" i="2"/>
  <c r="X958" i="2"/>
  <c r="V958" i="2"/>
  <c r="U958" i="2"/>
  <c r="T958" i="2"/>
  <c r="O958" i="2"/>
  <c r="X957" i="2"/>
  <c r="V957" i="2"/>
  <c r="U957" i="2"/>
  <c r="T957" i="2"/>
  <c r="O957" i="2"/>
  <c r="X956" i="2"/>
  <c r="V956" i="2"/>
  <c r="U956" i="2"/>
  <c r="T956" i="2"/>
  <c r="O956" i="2"/>
  <c r="X955" i="2"/>
  <c r="V955" i="2"/>
  <c r="U955" i="2"/>
  <c r="T955" i="2"/>
  <c r="O955" i="2"/>
  <c r="X954" i="2"/>
  <c r="V954" i="2"/>
  <c r="U954" i="2"/>
  <c r="T954" i="2"/>
  <c r="O954" i="2"/>
  <c r="X953" i="2"/>
  <c r="V953" i="2"/>
  <c r="U953" i="2"/>
  <c r="T953" i="2"/>
  <c r="O953" i="2"/>
  <c r="X952" i="2"/>
  <c r="V952" i="2"/>
  <c r="U952" i="2"/>
  <c r="T952" i="2"/>
  <c r="O952" i="2"/>
  <c r="X951" i="2"/>
  <c r="V951" i="2"/>
  <c r="U951" i="2"/>
  <c r="T951" i="2"/>
  <c r="O951" i="2"/>
  <c r="X950" i="2"/>
  <c r="V950" i="2"/>
  <c r="U950" i="2"/>
  <c r="T950" i="2"/>
  <c r="O950" i="2"/>
  <c r="X949" i="2"/>
  <c r="V949" i="2"/>
  <c r="U949" i="2"/>
  <c r="T949" i="2"/>
  <c r="O949" i="2"/>
  <c r="X948" i="2"/>
  <c r="V948" i="2"/>
  <c r="U948" i="2"/>
  <c r="T948" i="2"/>
  <c r="O948" i="2"/>
  <c r="X947" i="2"/>
  <c r="V947" i="2"/>
  <c r="U947" i="2"/>
  <c r="T947" i="2"/>
  <c r="O947" i="2"/>
  <c r="X946" i="2"/>
  <c r="V946" i="2"/>
  <c r="U946" i="2"/>
  <c r="T946" i="2"/>
  <c r="O946" i="2"/>
  <c r="X945" i="2"/>
  <c r="V945" i="2"/>
  <c r="U945" i="2"/>
  <c r="T945" i="2"/>
  <c r="O945" i="2"/>
  <c r="X944" i="2"/>
  <c r="V944" i="2"/>
  <c r="U944" i="2"/>
  <c r="T944" i="2"/>
  <c r="O944" i="2"/>
  <c r="X943" i="2"/>
  <c r="V943" i="2"/>
  <c r="U943" i="2"/>
  <c r="T943" i="2"/>
  <c r="O943" i="2"/>
  <c r="X942" i="2"/>
  <c r="V942" i="2"/>
  <c r="U942" i="2"/>
  <c r="T942" i="2"/>
  <c r="O942" i="2"/>
  <c r="X941" i="2"/>
  <c r="V941" i="2"/>
  <c r="U941" i="2"/>
  <c r="T941" i="2"/>
  <c r="O941" i="2"/>
  <c r="X940" i="2"/>
  <c r="V940" i="2"/>
  <c r="U940" i="2"/>
  <c r="T940" i="2"/>
  <c r="O940" i="2"/>
  <c r="X939" i="2"/>
  <c r="V939" i="2"/>
  <c r="U939" i="2"/>
  <c r="T939" i="2"/>
  <c r="O939" i="2"/>
  <c r="X938" i="2"/>
  <c r="V938" i="2"/>
  <c r="U938" i="2"/>
  <c r="T938" i="2"/>
  <c r="O938" i="2"/>
  <c r="X937" i="2"/>
  <c r="V937" i="2"/>
  <c r="U937" i="2"/>
  <c r="T937" i="2"/>
  <c r="O937" i="2"/>
  <c r="X936" i="2"/>
  <c r="V936" i="2"/>
  <c r="U936" i="2"/>
  <c r="T936" i="2"/>
  <c r="O936" i="2"/>
  <c r="X935" i="2"/>
  <c r="V935" i="2"/>
  <c r="U935" i="2"/>
  <c r="T935" i="2"/>
  <c r="O935" i="2"/>
  <c r="X934" i="2"/>
  <c r="V934" i="2"/>
  <c r="U934" i="2"/>
  <c r="T934" i="2"/>
  <c r="O934" i="2"/>
  <c r="X933" i="2"/>
  <c r="V933" i="2"/>
  <c r="U933" i="2"/>
  <c r="T933" i="2"/>
  <c r="O933" i="2"/>
  <c r="X932" i="2"/>
  <c r="V932" i="2"/>
  <c r="U932" i="2"/>
  <c r="T932" i="2"/>
  <c r="O932" i="2"/>
  <c r="X931" i="2"/>
  <c r="V931" i="2"/>
  <c r="U931" i="2"/>
  <c r="T931" i="2"/>
  <c r="O931" i="2"/>
  <c r="X930" i="2"/>
  <c r="V930" i="2"/>
  <c r="U930" i="2"/>
  <c r="T930" i="2"/>
  <c r="O930" i="2"/>
  <c r="X929" i="2"/>
  <c r="V929" i="2"/>
  <c r="U929" i="2"/>
  <c r="T929" i="2"/>
  <c r="O929" i="2"/>
  <c r="X928" i="2"/>
  <c r="V928" i="2"/>
  <c r="U928" i="2"/>
  <c r="T928" i="2"/>
  <c r="O928" i="2"/>
  <c r="X927" i="2"/>
  <c r="V927" i="2"/>
  <c r="U927" i="2"/>
  <c r="T927" i="2"/>
  <c r="O927" i="2"/>
  <c r="X926" i="2"/>
  <c r="V926" i="2"/>
  <c r="U926" i="2"/>
  <c r="T926" i="2"/>
  <c r="O926" i="2"/>
  <c r="X925" i="2"/>
  <c r="V925" i="2"/>
  <c r="U925" i="2"/>
  <c r="T925" i="2"/>
  <c r="O925" i="2"/>
  <c r="X924" i="2"/>
  <c r="V924" i="2"/>
  <c r="U924" i="2"/>
  <c r="T924" i="2"/>
  <c r="O924" i="2"/>
  <c r="X923" i="2"/>
  <c r="V923" i="2"/>
  <c r="U923" i="2"/>
  <c r="T923" i="2"/>
  <c r="O923" i="2"/>
  <c r="X922" i="2"/>
  <c r="V922" i="2"/>
  <c r="U922" i="2"/>
  <c r="T922" i="2"/>
  <c r="O922" i="2"/>
  <c r="X921" i="2"/>
  <c r="V921" i="2"/>
  <c r="U921" i="2"/>
  <c r="T921" i="2"/>
  <c r="O921" i="2"/>
  <c r="X920" i="2"/>
  <c r="V920" i="2"/>
  <c r="U920" i="2"/>
  <c r="T920" i="2"/>
  <c r="O920" i="2"/>
  <c r="X919" i="2"/>
  <c r="V919" i="2"/>
  <c r="U919" i="2"/>
  <c r="T919" i="2"/>
  <c r="O919" i="2"/>
  <c r="X918" i="2"/>
  <c r="V918" i="2"/>
  <c r="U918" i="2"/>
  <c r="T918" i="2"/>
  <c r="O918" i="2"/>
  <c r="X917" i="2"/>
  <c r="V917" i="2"/>
  <c r="U917" i="2"/>
  <c r="T917" i="2"/>
  <c r="O917" i="2"/>
  <c r="X916" i="2"/>
  <c r="V916" i="2"/>
  <c r="U916" i="2"/>
  <c r="T916" i="2"/>
  <c r="O916" i="2"/>
  <c r="X915" i="2"/>
  <c r="V915" i="2"/>
  <c r="U915" i="2"/>
  <c r="T915" i="2"/>
  <c r="O915" i="2"/>
  <c r="X914" i="2"/>
  <c r="V914" i="2"/>
  <c r="U914" i="2"/>
  <c r="T914" i="2"/>
  <c r="O914" i="2"/>
  <c r="X913" i="2"/>
  <c r="V913" i="2"/>
  <c r="U913" i="2"/>
  <c r="T913" i="2"/>
  <c r="O913" i="2"/>
  <c r="X912" i="2"/>
  <c r="V912" i="2"/>
  <c r="U912" i="2"/>
  <c r="T912" i="2"/>
  <c r="O912" i="2"/>
  <c r="X911" i="2"/>
  <c r="V911" i="2"/>
  <c r="U911" i="2"/>
  <c r="T911" i="2"/>
  <c r="O911" i="2"/>
  <c r="X910" i="2"/>
  <c r="V910" i="2"/>
  <c r="U910" i="2"/>
  <c r="T910" i="2"/>
  <c r="O910" i="2"/>
  <c r="X909" i="2"/>
  <c r="V909" i="2"/>
  <c r="U909" i="2"/>
  <c r="T909" i="2"/>
  <c r="O909" i="2"/>
  <c r="X908" i="2"/>
  <c r="V908" i="2"/>
  <c r="U908" i="2"/>
  <c r="T908" i="2"/>
  <c r="O908" i="2"/>
  <c r="X907" i="2"/>
  <c r="V907" i="2"/>
  <c r="U907" i="2"/>
  <c r="T907" i="2"/>
  <c r="O907" i="2"/>
  <c r="X906" i="2"/>
  <c r="V906" i="2"/>
  <c r="U906" i="2"/>
  <c r="T906" i="2"/>
  <c r="O906" i="2"/>
  <c r="X905" i="2"/>
  <c r="V905" i="2"/>
  <c r="U905" i="2"/>
  <c r="T905" i="2"/>
  <c r="O905" i="2"/>
  <c r="X904" i="2"/>
  <c r="V904" i="2"/>
  <c r="U904" i="2"/>
  <c r="T904" i="2"/>
  <c r="O904" i="2"/>
  <c r="X903" i="2"/>
  <c r="V903" i="2"/>
  <c r="U903" i="2"/>
  <c r="T903" i="2"/>
  <c r="O903" i="2"/>
  <c r="X902" i="2"/>
  <c r="V902" i="2"/>
  <c r="U902" i="2"/>
  <c r="T902" i="2"/>
  <c r="O902" i="2"/>
  <c r="X901" i="2"/>
  <c r="V901" i="2"/>
  <c r="U901" i="2"/>
  <c r="T901" i="2"/>
  <c r="O901" i="2"/>
  <c r="X900" i="2"/>
  <c r="V900" i="2"/>
  <c r="U900" i="2"/>
  <c r="T900" i="2"/>
  <c r="O900" i="2"/>
  <c r="X899" i="2"/>
  <c r="V899" i="2"/>
  <c r="U899" i="2"/>
  <c r="T899" i="2"/>
  <c r="O899" i="2"/>
  <c r="X898" i="2"/>
  <c r="V898" i="2"/>
  <c r="U898" i="2"/>
  <c r="T898" i="2"/>
  <c r="O898" i="2"/>
  <c r="X897" i="2"/>
  <c r="V897" i="2"/>
  <c r="U897" i="2"/>
  <c r="T897" i="2"/>
  <c r="O897" i="2"/>
  <c r="X896" i="2"/>
  <c r="V896" i="2"/>
  <c r="U896" i="2"/>
  <c r="T896" i="2"/>
  <c r="O896" i="2"/>
  <c r="X895" i="2"/>
  <c r="V895" i="2"/>
  <c r="U895" i="2"/>
  <c r="T895" i="2"/>
  <c r="O895" i="2"/>
  <c r="X894" i="2"/>
  <c r="V894" i="2"/>
  <c r="U894" i="2"/>
  <c r="T894" i="2"/>
  <c r="O894" i="2"/>
  <c r="X893" i="2"/>
  <c r="V893" i="2"/>
  <c r="U893" i="2"/>
  <c r="T893" i="2"/>
  <c r="O893" i="2"/>
  <c r="X892" i="2"/>
  <c r="V892" i="2"/>
  <c r="U892" i="2"/>
  <c r="T892" i="2"/>
  <c r="O892" i="2"/>
  <c r="X891" i="2"/>
  <c r="V891" i="2"/>
  <c r="U891" i="2"/>
  <c r="T891" i="2"/>
  <c r="O891" i="2"/>
  <c r="X890" i="2"/>
  <c r="V890" i="2"/>
  <c r="U890" i="2"/>
  <c r="T890" i="2"/>
  <c r="O890" i="2"/>
  <c r="X889" i="2"/>
  <c r="V889" i="2"/>
  <c r="U889" i="2"/>
  <c r="T889" i="2"/>
  <c r="O889" i="2"/>
  <c r="X888" i="2"/>
  <c r="V888" i="2"/>
  <c r="U888" i="2"/>
  <c r="T888" i="2"/>
  <c r="O888" i="2"/>
  <c r="X887" i="2"/>
  <c r="V887" i="2"/>
  <c r="U887" i="2"/>
  <c r="T887" i="2"/>
  <c r="O887" i="2"/>
  <c r="X886" i="2"/>
  <c r="V886" i="2"/>
  <c r="U886" i="2"/>
  <c r="T886" i="2"/>
  <c r="O886" i="2"/>
  <c r="X885" i="2"/>
  <c r="V885" i="2"/>
  <c r="U885" i="2"/>
  <c r="T885" i="2"/>
  <c r="O885" i="2"/>
  <c r="X884" i="2"/>
  <c r="V884" i="2"/>
  <c r="U884" i="2"/>
  <c r="T884" i="2"/>
  <c r="O884" i="2"/>
  <c r="X883" i="2"/>
  <c r="V883" i="2"/>
  <c r="U883" i="2"/>
  <c r="T883" i="2"/>
  <c r="O883" i="2"/>
  <c r="X882" i="2"/>
  <c r="V882" i="2"/>
  <c r="U882" i="2"/>
  <c r="T882" i="2"/>
  <c r="O882" i="2"/>
  <c r="X881" i="2"/>
  <c r="V881" i="2"/>
  <c r="U881" i="2"/>
  <c r="T881" i="2"/>
  <c r="O881" i="2"/>
  <c r="X880" i="2"/>
  <c r="V880" i="2"/>
  <c r="U880" i="2"/>
  <c r="T880" i="2"/>
  <c r="O880" i="2"/>
  <c r="X879" i="2"/>
  <c r="V879" i="2"/>
  <c r="U879" i="2"/>
  <c r="T879" i="2"/>
  <c r="O879" i="2"/>
  <c r="X878" i="2"/>
  <c r="V878" i="2"/>
  <c r="U878" i="2"/>
  <c r="T878" i="2"/>
  <c r="O878" i="2"/>
  <c r="X877" i="2"/>
  <c r="V877" i="2"/>
  <c r="U877" i="2"/>
  <c r="T877" i="2"/>
  <c r="O877" i="2"/>
  <c r="X876" i="2"/>
  <c r="V876" i="2"/>
  <c r="U876" i="2"/>
  <c r="T876" i="2"/>
  <c r="O876" i="2"/>
  <c r="X875" i="2"/>
  <c r="V875" i="2"/>
  <c r="U875" i="2"/>
  <c r="T875" i="2"/>
  <c r="O875" i="2"/>
  <c r="X874" i="2"/>
  <c r="V874" i="2"/>
  <c r="U874" i="2"/>
  <c r="T874" i="2"/>
  <c r="O874" i="2"/>
  <c r="X873" i="2"/>
  <c r="V873" i="2"/>
  <c r="U873" i="2"/>
  <c r="T873" i="2"/>
  <c r="O873" i="2"/>
  <c r="X872" i="2"/>
  <c r="V872" i="2"/>
  <c r="U872" i="2"/>
  <c r="T872" i="2"/>
  <c r="O872" i="2"/>
  <c r="X871" i="2"/>
  <c r="V871" i="2"/>
  <c r="U871" i="2"/>
  <c r="T871" i="2"/>
  <c r="O871" i="2"/>
  <c r="X870" i="2"/>
  <c r="V870" i="2"/>
  <c r="U870" i="2"/>
  <c r="T870" i="2"/>
  <c r="O870" i="2"/>
  <c r="X869" i="2"/>
  <c r="V869" i="2"/>
  <c r="U869" i="2"/>
  <c r="T869" i="2"/>
  <c r="O869" i="2"/>
  <c r="X868" i="2"/>
  <c r="V868" i="2"/>
  <c r="U868" i="2"/>
  <c r="T868" i="2"/>
  <c r="O868" i="2"/>
  <c r="X867" i="2"/>
  <c r="V867" i="2"/>
  <c r="U867" i="2"/>
  <c r="T867" i="2"/>
  <c r="O867" i="2"/>
  <c r="X866" i="2"/>
  <c r="V866" i="2"/>
  <c r="U866" i="2"/>
  <c r="T866" i="2"/>
  <c r="O866" i="2"/>
  <c r="X865" i="2"/>
  <c r="V865" i="2"/>
  <c r="U865" i="2"/>
  <c r="T865" i="2"/>
  <c r="O865" i="2"/>
  <c r="X864" i="2"/>
  <c r="V864" i="2"/>
  <c r="U864" i="2"/>
  <c r="T864" i="2"/>
  <c r="O864" i="2"/>
  <c r="X863" i="2"/>
  <c r="V863" i="2"/>
  <c r="U863" i="2"/>
  <c r="T863" i="2"/>
  <c r="O863" i="2"/>
  <c r="X862" i="2"/>
  <c r="V862" i="2"/>
  <c r="U862" i="2"/>
  <c r="T862" i="2"/>
  <c r="O862" i="2"/>
  <c r="X861" i="2"/>
  <c r="V861" i="2"/>
  <c r="U861" i="2"/>
  <c r="T861" i="2"/>
  <c r="O861" i="2"/>
  <c r="X860" i="2"/>
  <c r="V860" i="2"/>
  <c r="U860" i="2"/>
  <c r="T860" i="2"/>
  <c r="O860" i="2"/>
  <c r="X859" i="2"/>
  <c r="V859" i="2"/>
  <c r="U859" i="2"/>
  <c r="T859" i="2"/>
  <c r="O859" i="2"/>
  <c r="X858" i="2"/>
  <c r="V858" i="2"/>
  <c r="U858" i="2"/>
  <c r="T858" i="2"/>
  <c r="O858" i="2"/>
  <c r="X857" i="2"/>
  <c r="V857" i="2"/>
  <c r="U857" i="2"/>
  <c r="T857" i="2"/>
  <c r="O857" i="2"/>
  <c r="X856" i="2"/>
  <c r="V856" i="2"/>
  <c r="U856" i="2"/>
  <c r="T856" i="2"/>
  <c r="O856" i="2"/>
  <c r="X855" i="2"/>
  <c r="V855" i="2"/>
  <c r="U855" i="2"/>
  <c r="T855" i="2"/>
  <c r="O855" i="2"/>
  <c r="X854" i="2"/>
  <c r="V854" i="2"/>
  <c r="U854" i="2"/>
  <c r="T854" i="2"/>
  <c r="O854" i="2"/>
  <c r="X853" i="2"/>
  <c r="V853" i="2"/>
  <c r="U853" i="2"/>
  <c r="T853" i="2"/>
  <c r="O853" i="2"/>
  <c r="X852" i="2"/>
  <c r="V852" i="2"/>
  <c r="U852" i="2"/>
  <c r="T852" i="2"/>
  <c r="O852" i="2"/>
  <c r="X851" i="2"/>
  <c r="V851" i="2"/>
  <c r="U851" i="2"/>
  <c r="T851" i="2"/>
  <c r="O851" i="2"/>
  <c r="X850" i="2"/>
  <c r="V850" i="2"/>
  <c r="U850" i="2"/>
  <c r="T850" i="2"/>
  <c r="O850" i="2"/>
  <c r="X849" i="2"/>
  <c r="V849" i="2"/>
  <c r="U849" i="2"/>
  <c r="T849" i="2"/>
  <c r="O849" i="2"/>
  <c r="X848" i="2"/>
  <c r="V848" i="2"/>
  <c r="U848" i="2"/>
  <c r="T848" i="2"/>
  <c r="O848" i="2"/>
  <c r="X847" i="2"/>
  <c r="V847" i="2"/>
  <c r="U847" i="2"/>
  <c r="T847" i="2"/>
  <c r="O847" i="2"/>
  <c r="X846" i="2"/>
  <c r="V846" i="2"/>
  <c r="U846" i="2"/>
  <c r="T846" i="2"/>
  <c r="O846" i="2"/>
  <c r="X845" i="2"/>
  <c r="V845" i="2"/>
  <c r="U845" i="2"/>
  <c r="T845" i="2"/>
  <c r="O845" i="2"/>
  <c r="X844" i="2"/>
  <c r="V844" i="2"/>
  <c r="U844" i="2"/>
  <c r="T844" i="2"/>
  <c r="O844" i="2"/>
  <c r="X843" i="2"/>
  <c r="V843" i="2"/>
  <c r="U843" i="2"/>
  <c r="T843" i="2"/>
  <c r="O843" i="2"/>
  <c r="X842" i="2"/>
  <c r="V842" i="2"/>
  <c r="U842" i="2"/>
  <c r="T842" i="2"/>
  <c r="O842" i="2"/>
  <c r="X841" i="2"/>
  <c r="V841" i="2"/>
  <c r="U841" i="2"/>
  <c r="T841" i="2"/>
  <c r="O841" i="2"/>
  <c r="X840" i="2"/>
  <c r="V840" i="2"/>
  <c r="U840" i="2"/>
  <c r="T840" i="2"/>
  <c r="O840" i="2"/>
  <c r="X839" i="2"/>
  <c r="V839" i="2"/>
  <c r="U839" i="2"/>
  <c r="T839" i="2"/>
  <c r="O839" i="2"/>
  <c r="X838" i="2"/>
  <c r="V838" i="2"/>
  <c r="U838" i="2"/>
  <c r="T838" i="2"/>
  <c r="O838" i="2"/>
  <c r="X837" i="2"/>
  <c r="V837" i="2"/>
  <c r="U837" i="2"/>
  <c r="T837" i="2"/>
  <c r="O837" i="2"/>
  <c r="X836" i="2"/>
  <c r="V836" i="2"/>
  <c r="U836" i="2"/>
  <c r="T836" i="2"/>
  <c r="O836" i="2"/>
  <c r="X835" i="2"/>
  <c r="V835" i="2"/>
  <c r="U835" i="2"/>
  <c r="T835" i="2"/>
  <c r="O835" i="2"/>
  <c r="X834" i="2"/>
  <c r="V834" i="2"/>
  <c r="U834" i="2"/>
  <c r="T834" i="2"/>
  <c r="O834" i="2"/>
  <c r="X833" i="2"/>
  <c r="V833" i="2"/>
  <c r="U833" i="2"/>
  <c r="T833" i="2"/>
  <c r="O833" i="2"/>
  <c r="X832" i="2"/>
  <c r="V832" i="2"/>
  <c r="U832" i="2"/>
  <c r="T832" i="2"/>
  <c r="O832" i="2"/>
  <c r="X831" i="2"/>
  <c r="V831" i="2"/>
  <c r="U831" i="2"/>
  <c r="T831" i="2"/>
  <c r="O831" i="2"/>
  <c r="X830" i="2"/>
  <c r="V830" i="2"/>
  <c r="U830" i="2"/>
  <c r="T830" i="2"/>
  <c r="O830" i="2"/>
  <c r="X829" i="2"/>
  <c r="V829" i="2"/>
  <c r="U829" i="2"/>
  <c r="T829" i="2"/>
  <c r="O829" i="2"/>
  <c r="X828" i="2"/>
  <c r="V828" i="2"/>
  <c r="U828" i="2"/>
  <c r="T828" i="2"/>
  <c r="O828" i="2"/>
  <c r="X827" i="2"/>
  <c r="V827" i="2"/>
  <c r="U827" i="2"/>
  <c r="T827" i="2"/>
  <c r="O827" i="2"/>
  <c r="X826" i="2"/>
  <c r="V826" i="2"/>
  <c r="U826" i="2"/>
  <c r="T826" i="2"/>
  <c r="O826" i="2"/>
  <c r="X825" i="2"/>
  <c r="V825" i="2"/>
  <c r="U825" i="2"/>
  <c r="T825" i="2"/>
  <c r="O825" i="2"/>
  <c r="X824" i="2"/>
  <c r="V824" i="2"/>
  <c r="U824" i="2"/>
  <c r="T824" i="2"/>
  <c r="O824" i="2"/>
  <c r="X823" i="2"/>
  <c r="V823" i="2"/>
  <c r="U823" i="2"/>
  <c r="T823" i="2"/>
  <c r="O823" i="2"/>
  <c r="X822" i="2"/>
  <c r="V822" i="2"/>
  <c r="U822" i="2"/>
  <c r="T822" i="2"/>
  <c r="O822" i="2"/>
  <c r="X821" i="2"/>
  <c r="V821" i="2"/>
  <c r="U821" i="2"/>
  <c r="T821" i="2"/>
  <c r="O821" i="2"/>
  <c r="X820" i="2"/>
  <c r="V820" i="2"/>
  <c r="U820" i="2"/>
  <c r="T820" i="2"/>
  <c r="O820" i="2"/>
  <c r="X819" i="2"/>
  <c r="V819" i="2"/>
  <c r="U819" i="2"/>
  <c r="T819" i="2"/>
  <c r="O819" i="2"/>
  <c r="X818" i="2"/>
  <c r="V818" i="2"/>
  <c r="U818" i="2"/>
  <c r="T818" i="2"/>
  <c r="O818" i="2"/>
  <c r="X817" i="2"/>
  <c r="V817" i="2"/>
  <c r="U817" i="2"/>
  <c r="T817" i="2"/>
  <c r="O817" i="2"/>
  <c r="X816" i="2"/>
  <c r="V816" i="2"/>
  <c r="U816" i="2"/>
  <c r="T816" i="2"/>
  <c r="O816" i="2"/>
  <c r="X815" i="2"/>
  <c r="V815" i="2"/>
  <c r="U815" i="2"/>
  <c r="T815" i="2"/>
  <c r="O815" i="2"/>
  <c r="X814" i="2"/>
  <c r="V814" i="2"/>
  <c r="U814" i="2"/>
  <c r="T814" i="2"/>
  <c r="O814" i="2"/>
  <c r="X813" i="2"/>
  <c r="V813" i="2"/>
  <c r="U813" i="2"/>
  <c r="T813" i="2"/>
  <c r="O813" i="2"/>
  <c r="X812" i="2"/>
  <c r="V812" i="2"/>
  <c r="U812" i="2"/>
  <c r="T812" i="2"/>
  <c r="O812" i="2"/>
  <c r="X811" i="2"/>
  <c r="V811" i="2"/>
  <c r="U811" i="2"/>
  <c r="T811" i="2"/>
  <c r="O811" i="2"/>
  <c r="X810" i="2"/>
  <c r="V810" i="2"/>
  <c r="U810" i="2"/>
  <c r="T810" i="2"/>
  <c r="O810" i="2"/>
  <c r="X809" i="2"/>
  <c r="V809" i="2"/>
  <c r="U809" i="2"/>
  <c r="T809" i="2"/>
  <c r="O809" i="2"/>
  <c r="X808" i="2"/>
  <c r="V808" i="2"/>
  <c r="U808" i="2"/>
  <c r="T808" i="2"/>
  <c r="O808" i="2"/>
  <c r="X807" i="2"/>
  <c r="V807" i="2"/>
  <c r="U807" i="2"/>
  <c r="T807" i="2"/>
  <c r="O807" i="2"/>
  <c r="X806" i="2"/>
  <c r="V806" i="2"/>
  <c r="U806" i="2"/>
  <c r="T806" i="2"/>
  <c r="O806" i="2"/>
  <c r="X805" i="2"/>
  <c r="V805" i="2"/>
  <c r="U805" i="2"/>
  <c r="T805" i="2"/>
  <c r="O805" i="2"/>
  <c r="X804" i="2"/>
  <c r="V804" i="2"/>
  <c r="U804" i="2"/>
  <c r="T804" i="2"/>
  <c r="O804" i="2"/>
  <c r="X803" i="2"/>
  <c r="V803" i="2"/>
  <c r="U803" i="2"/>
  <c r="T803" i="2"/>
  <c r="O803" i="2"/>
  <c r="X802" i="2"/>
  <c r="V802" i="2"/>
  <c r="U802" i="2"/>
  <c r="T802" i="2"/>
  <c r="O802" i="2"/>
  <c r="X801" i="2"/>
  <c r="V801" i="2"/>
  <c r="U801" i="2"/>
  <c r="T801" i="2"/>
  <c r="O801" i="2"/>
  <c r="X800" i="2"/>
  <c r="V800" i="2"/>
  <c r="U800" i="2"/>
  <c r="T800" i="2"/>
  <c r="O800" i="2"/>
  <c r="X799" i="2"/>
  <c r="V799" i="2"/>
  <c r="U799" i="2"/>
  <c r="T799" i="2"/>
  <c r="O799" i="2"/>
  <c r="X798" i="2"/>
  <c r="V798" i="2"/>
  <c r="U798" i="2"/>
  <c r="T798" i="2"/>
  <c r="O798" i="2"/>
  <c r="X797" i="2"/>
  <c r="V797" i="2"/>
  <c r="U797" i="2"/>
  <c r="T797" i="2"/>
  <c r="O797" i="2"/>
  <c r="X796" i="2"/>
  <c r="V796" i="2"/>
  <c r="U796" i="2"/>
  <c r="T796" i="2"/>
  <c r="O796" i="2"/>
  <c r="X795" i="2"/>
  <c r="V795" i="2"/>
  <c r="U795" i="2"/>
  <c r="T795" i="2"/>
  <c r="O795" i="2"/>
  <c r="X794" i="2"/>
  <c r="V794" i="2"/>
  <c r="U794" i="2"/>
  <c r="T794" i="2"/>
  <c r="O794" i="2"/>
  <c r="X793" i="2"/>
  <c r="V793" i="2"/>
  <c r="U793" i="2"/>
  <c r="T793" i="2"/>
  <c r="O793" i="2"/>
  <c r="X792" i="2"/>
  <c r="V792" i="2"/>
  <c r="U792" i="2"/>
  <c r="T792" i="2"/>
  <c r="O792" i="2"/>
  <c r="X791" i="2"/>
  <c r="V791" i="2"/>
  <c r="U791" i="2"/>
  <c r="T791" i="2"/>
  <c r="O791" i="2"/>
  <c r="X790" i="2"/>
  <c r="V790" i="2"/>
  <c r="U790" i="2"/>
  <c r="T790" i="2"/>
  <c r="O790" i="2"/>
  <c r="X789" i="2"/>
  <c r="V789" i="2"/>
  <c r="U789" i="2"/>
  <c r="T789" i="2"/>
  <c r="O789" i="2"/>
  <c r="X788" i="2"/>
  <c r="V788" i="2"/>
  <c r="U788" i="2"/>
  <c r="T788" i="2"/>
  <c r="O788" i="2"/>
  <c r="X787" i="2"/>
  <c r="V787" i="2"/>
  <c r="U787" i="2"/>
  <c r="T787" i="2"/>
  <c r="O787" i="2"/>
  <c r="X786" i="2"/>
  <c r="V786" i="2"/>
  <c r="U786" i="2"/>
  <c r="T786" i="2"/>
  <c r="O786" i="2"/>
  <c r="X785" i="2"/>
  <c r="V785" i="2"/>
  <c r="U785" i="2"/>
  <c r="T785" i="2"/>
  <c r="O785" i="2"/>
  <c r="X784" i="2"/>
  <c r="V784" i="2"/>
  <c r="U784" i="2"/>
  <c r="T784" i="2"/>
  <c r="O784" i="2"/>
  <c r="X783" i="2"/>
  <c r="V783" i="2"/>
  <c r="U783" i="2"/>
  <c r="T783" i="2"/>
  <c r="O783" i="2"/>
  <c r="X782" i="2"/>
  <c r="V782" i="2"/>
  <c r="U782" i="2"/>
  <c r="T782" i="2"/>
  <c r="O782" i="2"/>
  <c r="X781" i="2"/>
  <c r="V781" i="2"/>
  <c r="U781" i="2"/>
  <c r="T781" i="2"/>
  <c r="O781" i="2"/>
  <c r="X780" i="2"/>
  <c r="V780" i="2"/>
  <c r="U780" i="2"/>
  <c r="T780" i="2"/>
  <c r="O780" i="2"/>
  <c r="X779" i="2"/>
  <c r="V779" i="2"/>
  <c r="U779" i="2"/>
  <c r="T779" i="2"/>
  <c r="O779" i="2"/>
  <c r="X778" i="2"/>
  <c r="V778" i="2"/>
  <c r="U778" i="2"/>
  <c r="T778" i="2"/>
  <c r="O778" i="2"/>
  <c r="X777" i="2"/>
  <c r="V777" i="2"/>
  <c r="U777" i="2"/>
  <c r="T777" i="2"/>
  <c r="O777" i="2"/>
  <c r="X776" i="2"/>
  <c r="V776" i="2"/>
  <c r="U776" i="2"/>
  <c r="T776" i="2"/>
  <c r="O776" i="2"/>
  <c r="X775" i="2"/>
  <c r="V775" i="2"/>
  <c r="U775" i="2"/>
  <c r="T775" i="2"/>
  <c r="O775" i="2"/>
  <c r="X774" i="2"/>
  <c r="V774" i="2"/>
  <c r="U774" i="2"/>
  <c r="T774" i="2"/>
  <c r="O774" i="2"/>
  <c r="X773" i="2"/>
  <c r="V773" i="2"/>
  <c r="U773" i="2"/>
  <c r="T773" i="2"/>
  <c r="O773" i="2"/>
  <c r="X772" i="2"/>
  <c r="V772" i="2"/>
  <c r="U772" i="2"/>
  <c r="T772" i="2"/>
  <c r="O772" i="2"/>
  <c r="X771" i="2"/>
  <c r="V771" i="2"/>
  <c r="U771" i="2"/>
  <c r="T771" i="2"/>
  <c r="O771" i="2"/>
  <c r="X770" i="2"/>
  <c r="V770" i="2"/>
  <c r="U770" i="2"/>
  <c r="T770" i="2"/>
  <c r="O770" i="2"/>
  <c r="X769" i="2"/>
  <c r="V769" i="2"/>
  <c r="U769" i="2"/>
  <c r="T769" i="2"/>
  <c r="O769" i="2"/>
  <c r="X768" i="2"/>
  <c r="V768" i="2"/>
  <c r="U768" i="2"/>
  <c r="T768" i="2"/>
  <c r="O768" i="2"/>
  <c r="X767" i="2"/>
  <c r="V767" i="2"/>
  <c r="U767" i="2"/>
  <c r="T767" i="2"/>
  <c r="O767" i="2"/>
  <c r="X766" i="2"/>
  <c r="V766" i="2"/>
  <c r="U766" i="2"/>
  <c r="T766" i="2"/>
  <c r="O766" i="2"/>
  <c r="X765" i="2"/>
  <c r="V765" i="2"/>
  <c r="U765" i="2"/>
  <c r="T765" i="2"/>
  <c r="O765" i="2"/>
  <c r="X764" i="2"/>
  <c r="V764" i="2"/>
  <c r="U764" i="2"/>
  <c r="T764" i="2"/>
  <c r="O764" i="2"/>
  <c r="X763" i="2"/>
  <c r="V763" i="2"/>
  <c r="U763" i="2"/>
  <c r="T763" i="2"/>
  <c r="O763" i="2"/>
  <c r="X762" i="2"/>
  <c r="V762" i="2"/>
  <c r="U762" i="2"/>
  <c r="T762" i="2"/>
  <c r="O762" i="2"/>
  <c r="X761" i="2"/>
  <c r="V761" i="2"/>
  <c r="U761" i="2"/>
  <c r="T761" i="2"/>
  <c r="O761" i="2"/>
  <c r="X760" i="2"/>
  <c r="V760" i="2"/>
  <c r="U760" i="2"/>
  <c r="T760" i="2"/>
  <c r="O760" i="2"/>
  <c r="X759" i="2"/>
  <c r="V759" i="2"/>
  <c r="U759" i="2"/>
  <c r="T759" i="2"/>
  <c r="O759" i="2"/>
  <c r="X758" i="2"/>
  <c r="V758" i="2"/>
  <c r="U758" i="2"/>
  <c r="T758" i="2"/>
  <c r="O758" i="2"/>
  <c r="X757" i="2"/>
  <c r="V757" i="2"/>
  <c r="U757" i="2"/>
  <c r="T757" i="2"/>
  <c r="O757" i="2"/>
  <c r="X756" i="2"/>
  <c r="V756" i="2"/>
  <c r="U756" i="2"/>
  <c r="T756" i="2"/>
  <c r="O756" i="2"/>
  <c r="X755" i="2"/>
  <c r="V755" i="2"/>
  <c r="U755" i="2"/>
  <c r="T755" i="2"/>
  <c r="O755" i="2"/>
  <c r="X754" i="2"/>
  <c r="V754" i="2"/>
  <c r="U754" i="2"/>
  <c r="T754" i="2"/>
  <c r="O754" i="2"/>
  <c r="X753" i="2"/>
  <c r="V753" i="2"/>
  <c r="U753" i="2"/>
  <c r="T753" i="2"/>
  <c r="O753" i="2"/>
  <c r="X752" i="2"/>
  <c r="V752" i="2"/>
  <c r="U752" i="2"/>
  <c r="T752" i="2"/>
  <c r="O752" i="2"/>
  <c r="X751" i="2"/>
  <c r="V751" i="2"/>
  <c r="U751" i="2"/>
  <c r="T751" i="2"/>
  <c r="O751" i="2"/>
  <c r="X750" i="2"/>
  <c r="V750" i="2"/>
  <c r="U750" i="2"/>
  <c r="T750" i="2"/>
  <c r="O750" i="2"/>
  <c r="X749" i="2"/>
  <c r="V749" i="2"/>
  <c r="U749" i="2"/>
  <c r="T749" i="2"/>
  <c r="O749" i="2"/>
  <c r="X748" i="2"/>
  <c r="V748" i="2"/>
  <c r="U748" i="2"/>
  <c r="T748" i="2"/>
  <c r="O748" i="2"/>
  <c r="X747" i="2"/>
  <c r="V747" i="2"/>
  <c r="U747" i="2"/>
  <c r="T747" i="2"/>
  <c r="O747" i="2"/>
  <c r="X746" i="2"/>
  <c r="V746" i="2"/>
  <c r="U746" i="2"/>
  <c r="T746" i="2"/>
  <c r="O746" i="2"/>
  <c r="X745" i="2"/>
  <c r="V745" i="2"/>
  <c r="U745" i="2"/>
  <c r="T745" i="2"/>
  <c r="O745" i="2"/>
  <c r="X744" i="2"/>
  <c r="V744" i="2"/>
  <c r="U744" i="2"/>
  <c r="T744" i="2"/>
  <c r="O744" i="2"/>
  <c r="X743" i="2"/>
  <c r="V743" i="2"/>
  <c r="U743" i="2"/>
  <c r="T743" i="2"/>
  <c r="O743" i="2"/>
  <c r="X742" i="2"/>
  <c r="V742" i="2"/>
  <c r="U742" i="2"/>
  <c r="T742" i="2"/>
  <c r="O742" i="2"/>
  <c r="X741" i="2"/>
  <c r="V741" i="2"/>
  <c r="U741" i="2"/>
  <c r="T741" i="2"/>
  <c r="O741" i="2"/>
  <c r="X740" i="2"/>
  <c r="V740" i="2"/>
  <c r="U740" i="2"/>
  <c r="T740" i="2"/>
  <c r="O740" i="2"/>
  <c r="X739" i="2"/>
  <c r="V739" i="2"/>
  <c r="U739" i="2"/>
  <c r="T739" i="2"/>
  <c r="O739" i="2"/>
  <c r="X738" i="2"/>
  <c r="V738" i="2"/>
  <c r="U738" i="2"/>
  <c r="T738" i="2"/>
  <c r="O738" i="2"/>
  <c r="X737" i="2"/>
  <c r="V737" i="2"/>
  <c r="U737" i="2"/>
  <c r="T737" i="2"/>
  <c r="O737" i="2"/>
  <c r="X736" i="2"/>
  <c r="V736" i="2"/>
  <c r="U736" i="2"/>
  <c r="T736" i="2"/>
  <c r="O736" i="2"/>
  <c r="X735" i="2"/>
  <c r="V735" i="2"/>
  <c r="U735" i="2"/>
  <c r="T735" i="2"/>
  <c r="O735" i="2"/>
  <c r="X734" i="2"/>
  <c r="V734" i="2"/>
  <c r="U734" i="2"/>
  <c r="T734" i="2"/>
  <c r="O734" i="2"/>
  <c r="X733" i="2"/>
  <c r="V733" i="2"/>
  <c r="U733" i="2"/>
  <c r="T733" i="2"/>
  <c r="O733" i="2"/>
  <c r="X732" i="2"/>
  <c r="V732" i="2"/>
  <c r="U732" i="2"/>
  <c r="T732" i="2"/>
  <c r="O732" i="2"/>
  <c r="X731" i="2"/>
  <c r="V731" i="2"/>
  <c r="U731" i="2"/>
  <c r="T731" i="2"/>
  <c r="O731" i="2"/>
  <c r="X730" i="2"/>
  <c r="V730" i="2"/>
  <c r="U730" i="2"/>
  <c r="T730" i="2"/>
  <c r="O730" i="2"/>
  <c r="X729" i="2"/>
  <c r="V729" i="2"/>
  <c r="U729" i="2"/>
  <c r="T729" i="2"/>
  <c r="O729" i="2"/>
  <c r="X728" i="2"/>
  <c r="V728" i="2"/>
  <c r="U728" i="2"/>
  <c r="T728" i="2"/>
  <c r="O728" i="2"/>
  <c r="X727" i="2"/>
  <c r="V727" i="2"/>
  <c r="U727" i="2"/>
  <c r="T727" i="2"/>
  <c r="O727" i="2"/>
  <c r="X726" i="2"/>
  <c r="V726" i="2"/>
  <c r="U726" i="2"/>
  <c r="T726" i="2"/>
  <c r="O726" i="2"/>
  <c r="X725" i="2"/>
  <c r="V725" i="2"/>
  <c r="U725" i="2"/>
  <c r="T725" i="2"/>
  <c r="O725" i="2"/>
  <c r="X724" i="2"/>
  <c r="V724" i="2"/>
  <c r="U724" i="2"/>
  <c r="T724" i="2"/>
  <c r="O724" i="2"/>
  <c r="X723" i="2"/>
  <c r="V723" i="2"/>
  <c r="U723" i="2"/>
  <c r="T723" i="2"/>
  <c r="O723" i="2"/>
  <c r="X722" i="2"/>
  <c r="V722" i="2"/>
  <c r="U722" i="2"/>
  <c r="T722" i="2"/>
  <c r="O722" i="2"/>
  <c r="X721" i="2"/>
  <c r="V721" i="2"/>
  <c r="U721" i="2"/>
  <c r="T721" i="2"/>
  <c r="O721" i="2"/>
  <c r="X720" i="2"/>
  <c r="V720" i="2"/>
  <c r="U720" i="2"/>
  <c r="T720" i="2"/>
  <c r="O720" i="2"/>
  <c r="X719" i="2"/>
  <c r="V719" i="2"/>
  <c r="U719" i="2"/>
  <c r="T719" i="2"/>
  <c r="O719" i="2"/>
  <c r="X718" i="2"/>
  <c r="V718" i="2"/>
  <c r="U718" i="2"/>
  <c r="T718" i="2"/>
  <c r="O718" i="2"/>
  <c r="X717" i="2"/>
  <c r="V717" i="2"/>
  <c r="U717" i="2"/>
  <c r="T717" i="2"/>
  <c r="O717" i="2"/>
  <c r="X716" i="2"/>
  <c r="V716" i="2"/>
  <c r="U716" i="2"/>
  <c r="T716" i="2"/>
  <c r="O716" i="2"/>
  <c r="X715" i="2"/>
  <c r="V715" i="2"/>
  <c r="U715" i="2"/>
  <c r="T715" i="2"/>
  <c r="O715" i="2"/>
  <c r="X714" i="2"/>
  <c r="V714" i="2"/>
  <c r="U714" i="2"/>
  <c r="T714" i="2"/>
  <c r="O714" i="2"/>
  <c r="X713" i="2"/>
  <c r="V713" i="2"/>
  <c r="U713" i="2"/>
  <c r="T713" i="2"/>
  <c r="O713" i="2"/>
  <c r="X712" i="2"/>
  <c r="V712" i="2"/>
  <c r="U712" i="2"/>
  <c r="T712" i="2"/>
  <c r="O712" i="2"/>
  <c r="X711" i="2"/>
  <c r="V711" i="2"/>
  <c r="U711" i="2"/>
  <c r="T711" i="2"/>
  <c r="O711" i="2"/>
  <c r="X710" i="2"/>
  <c r="V710" i="2"/>
  <c r="U710" i="2"/>
  <c r="T710" i="2"/>
  <c r="O710" i="2"/>
  <c r="X709" i="2"/>
  <c r="V709" i="2"/>
  <c r="U709" i="2"/>
  <c r="T709" i="2"/>
  <c r="O709" i="2"/>
  <c r="X708" i="2"/>
  <c r="V708" i="2"/>
  <c r="U708" i="2"/>
  <c r="T708" i="2"/>
  <c r="O708" i="2"/>
  <c r="X707" i="2"/>
  <c r="V707" i="2"/>
  <c r="U707" i="2"/>
  <c r="T707" i="2"/>
  <c r="O707" i="2"/>
  <c r="X706" i="2"/>
  <c r="V706" i="2"/>
  <c r="U706" i="2"/>
  <c r="T706" i="2"/>
  <c r="O706" i="2"/>
  <c r="X705" i="2"/>
  <c r="V705" i="2"/>
  <c r="U705" i="2"/>
  <c r="T705" i="2"/>
  <c r="O705" i="2"/>
  <c r="X704" i="2"/>
  <c r="V704" i="2"/>
  <c r="U704" i="2"/>
  <c r="T704" i="2"/>
  <c r="O704" i="2"/>
  <c r="X703" i="2"/>
  <c r="V703" i="2"/>
  <c r="U703" i="2"/>
  <c r="T703" i="2"/>
  <c r="O703" i="2"/>
  <c r="X702" i="2"/>
  <c r="V702" i="2"/>
  <c r="U702" i="2"/>
  <c r="T702" i="2"/>
  <c r="O702" i="2"/>
  <c r="X701" i="2"/>
  <c r="V701" i="2"/>
  <c r="U701" i="2"/>
  <c r="T701" i="2"/>
  <c r="O701" i="2"/>
  <c r="X700" i="2"/>
  <c r="V700" i="2"/>
  <c r="U700" i="2"/>
  <c r="T700" i="2"/>
  <c r="O700" i="2"/>
  <c r="X699" i="2"/>
  <c r="V699" i="2"/>
  <c r="U699" i="2"/>
  <c r="T699" i="2"/>
  <c r="O699" i="2"/>
  <c r="X698" i="2"/>
  <c r="V698" i="2"/>
  <c r="U698" i="2"/>
  <c r="T698" i="2"/>
  <c r="O698" i="2"/>
  <c r="X697" i="2"/>
  <c r="V697" i="2"/>
  <c r="U697" i="2"/>
  <c r="T697" i="2"/>
  <c r="O697" i="2"/>
  <c r="X696" i="2"/>
  <c r="V696" i="2"/>
  <c r="U696" i="2"/>
  <c r="T696" i="2"/>
  <c r="O696" i="2"/>
  <c r="X695" i="2"/>
  <c r="V695" i="2"/>
  <c r="U695" i="2"/>
  <c r="T695" i="2"/>
  <c r="O695" i="2"/>
  <c r="X694" i="2"/>
  <c r="V694" i="2"/>
  <c r="U694" i="2"/>
  <c r="T694" i="2"/>
  <c r="O694" i="2"/>
  <c r="X693" i="2"/>
  <c r="V693" i="2"/>
  <c r="U693" i="2"/>
  <c r="T693" i="2"/>
  <c r="O693" i="2"/>
  <c r="X692" i="2"/>
  <c r="V692" i="2"/>
  <c r="U692" i="2"/>
  <c r="T692" i="2"/>
  <c r="O692" i="2"/>
  <c r="X691" i="2"/>
  <c r="V691" i="2"/>
  <c r="U691" i="2"/>
  <c r="T691" i="2"/>
  <c r="O691" i="2"/>
  <c r="X690" i="2"/>
  <c r="V690" i="2"/>
  <c r="U690" i="2"/>
  <c r="T690" i="2"/>
  <c r="O690" i="2"/>
  <c r="X689" i="2"/>
  <c r="V689" i="2"/>
  <c r="U689" i="2"/>
  <c r="T689" i="2"/>
  <c r="O689" i="2"/>
  <c r="X688" i="2"/>
  <c r="V688" i="2"/>
  <c r="U688" i="2"/>
  <c r="T688" i="2"/>
  <c r="O688" i="2"/>
  <c r="X687" i="2"/>
  <c r="V687" i="2"/>
  <c r="U687" i="2"/>
  <c r="T687" i="2"/>
  <c r="O687" i="2"/>
  <c r="X686" i="2"/>
  <c r="V686" i="2"/>
  <c r="U686" i="2"/>
  <c r="T686" i="2"/>
  <c r="O686" i="2"/>
  <c r="X685" i="2"/>
  <c r="V685" i="2"/>
  <c r="U685" i="2"/>
  <c r="T685" i="2"/>
  <c r="O685" i="2"/>
  <c r="X684" i="2"/>
  <c r="V684" i="2"/>
  <c r="U684" i="2"/>
  <c r="T684" i="2"/>
  <c r="O684" i="2"/>
  <c r="X683" i="2"/>
  <c r="V683" i="2"/>
  <c r="U683" i="2"/>
  <c r="T683" i="2"/>
  <c r="O683" i="2"/>
  <c r="X682" i="2"/>
  <c r="V682" i="2"/>
  <c r="U682" i="2"/>
  <c r="T682" i="2"/>
  <c r="O682" i="2"/>
  <c r="X681" i="2"/>
  <c r="V681" i="2"/>
  <c r="U681" i="2"/>
  <c r="T681" i="2"/>
  <c r="O681" i="2"/>
  <c r="X680" i="2"/>
  <c r="V680" i="2"/>
  <c r="U680" i="2"/>
  <c r="T680" i="2"/>
  <c r="O680" i="2"/>
  <c r="X679" i="2"/>
  <c r="V679" i="2"/>
  <c r="U679" i="2"/>
  <c r="T679" i="2"/>
  <c r="O679" i="2"/>
  <c r="X678" i="2"/>
  <c r="V678" i="2"/>
  <c r="U678" i="2"/>
  <c r="T678" i="2"/>
  <c r="O678" i="2"/>
  <c r="X677" i="2"/>
  <c r="V677" i="2"/>
  <c r="U677" i="2"/>
  <c r="T677" i="2"/>
  <c r="O677" i="2"/>
  <c r="X676" i="2"/>
  <c r="V676" i="2"/>
  <c r="U676" i="2"/>
  <c r="T676" i="2"/>
  <c r="O676" i="2"/>
  <c r="X675" i="2"/>
  <c r="V675" i="2"/>
  <c r="U675" i="2"/>
  <c r="T675" i="2"/>
  <c r="O675" i="2"/>
  <c r="X674" i="2"/>
  <c r="V674" i="2"/>
  <c r="U674" i="2"/>
  <c r="T674" i="2"/>
  <c r="O674" i="2"/>
  <c r="X673" i="2"/>
  <c r="V673" i="2"/>
  <c r="U673" i="2"/>
  <c r="T673" i="2"/>
  <c r="O673" i="2"/>
  <c r="X672" i="2"/>
  <c r="V672" i="2"/>
  <c r="U672" i="2"/>
  <c r="T672" i="2"/>
  <c r="O672" i="2"/>
  <c r="X671" i="2"/>
  <c r="V671" i="2"/>
  <c r="U671" i="2"/>
  <c r="T671" i="2"/>
  <c r="O671" i="2"/>
  <c r="X670" i="2"/>
  <c r="V670" i="2"/>
  <c r="U670" i="2"/>
  <c r="T670" i="2"/>
  <c r="O670" i="2"/>
  <c r="X669" i="2"/>
  <c r="V669" i="2"/>
  <c r="U669" i="2"/>
  <c r="T669" i="2"/>
  <c r="O669" i="2"/>
  <c r="X668" i="2"/>
  <c r="V668" i="2"/>
  <c r="U668" i="2"/>
  <c r="T668" i="2"/>
  <c r="O668" i="2"/>
  <c r="X667" i="2"/>
  <c r="V667" i="2"/>
  <c r="U667" i="2"/>
  <c r="T667" i="2"/>
  <c r="O667" i="2"/>
  <c r="X666" i="2"/>
  <c r="V666" i="2"/>
  <c r="U666" i="2"/>
  <c r="T666" i="2"/>
  <c r="O666" i="2"/>
  <c r="X665" i="2"/>
  <c r="V665" i="2"/>
  <c r="U665" i="2"/>
  <c r="T665" i="2"/>
  <c r="O665" i="2"/>
  <c r="X664" i="2"/>
  <c r="V664" i="2"/>
  <c r="U664" i="2"/>
  <c r="T664" i="2"/>
  <c r="O664" i="2"/>
  <c r="X663" i="2"/>
  <c r="V663" i="2"/>
  <c r="U663" i="2"/>
  <c r="T663" i="2"/>
  <c r="O663" i="2"/>
  <c r="X662" i="2"/>
  <c r="V662" i="2"/>
  <c r="U662" i="2"/>
  <c r="T662" i="2"/>
  <c r="O662" i="2"/>
  <c r="X661" i="2"/>
  <c r="V661" i="2"/>
  <c r="U661" i="2"/>
  <c r="T661" i="2"/>
  <c r="O661" i="2"/>
  <c r="X660" i="2"/>
  <c r="V660" i="2"/>
  <c r="U660" i="2"/>
  <c r="T660" i="2"/>
  <c r="O660" i="2"/>
  <c r="X659" i="2"/>
  <c r="V659" i="2"/>
  <c r="U659" i="2"/>
  <c r="T659" i="2"/>
  <c r="O659" i="2"/>
  <c r="X658" i="2"/>
  <c r="V658" i="2"/>
  <c r="U658" i="2"/>
  <c r="T658" i="2"/>
  <c r="O658" i="2"/>
  <c r="X657" i="2"/>
  <c r="V657" i="2"/>
  <c r="U657" i="2"/>
  <c r="T657" i="2"/>
  <c r="O657" i="2"/>
  <c r="X656" i="2"/>
  <c r="V656" i="2"/>
  <c r="U656" i="2"/>
  <c r="T656" i="2"/>
  <c r="O656" i="2"/>
  <c r="X655" i="2"/>
  <c r="V655" i="2"/>
  <c r="U655" i="2"/>
  <c r="T655" i="2"/>
  <c r="O655" i="2"/>
  <c r="X654" i="2"/>
  <c r="V654" i="2"/>
  <c r="U654" i="2"/>
  <c r="T654" i="2"/>
  <c r="O654" i="2"/>
  <c r="X653" i="2"/>
  <c r="V653" i="2"/>
  <c r="U653" i="2"/>
  <c r="T653" i="2"/>
  <c r="O653" i="2"/>
  <c r="X652" i="2"/>
  <c r="V652" i="2"/>
  <c r="U652" i="2"/>
  <c r="T652" i="2"/>
  <c r="O652" i="2"/>
  <c r="X651" i="2"/>
  <c r="V651" i="2"/>
  <c r="U651" i="2"/>
  <c r="T651" i="2"/>
  <c r="O651" i="2"/>
  <c r="X650" i="2"/>
  <c r="V650" i="2"/>
  <c r="U650" i="2"/>
  <c r="T650" i="2"/>
  <c r="O650" i="2"/>
  <c r="X649" i="2"/>
  <c r="V649" i="2"/>
  <c r="U649" i="2"/>
  <c r="T649" i="2"/>
  <c r="O649" i="2"/>
  <c r="X648" i="2"/>
  <c r="V648" i="2"/>
  <c r="U648" i="2"/>
  <c r="T648" i="2"/>
  <c r="O648" i="2"/>
  <c r="X647" i="2"/>
  <c r="V647" i="2"/>
  <c r="U647" i="2"/>
  <c r="T647" i="2"/>
  <c r="O647" i="2"/>
  <c r="X646" i="2"/>
  <c r="V646" i="2"/>
  <c r="U646" i="2"/>
  <c r="T646" i="2"/>
  <c r="O646" i="2"/>
  <c r="X645" i="2"/>
  <c r="V645" i="2"/>
  <c r="U645" i="2"/>
  <c r="T645" i="2"/>
  <c r="O645" i="2"/>
  <c r="X644" i="2"/>
  <c r="V644" i="2"/>
  <c r="U644" i="2"/>
  <c r="T644" i="2"/>
  <c r="O644" i="2"/>
  <c r="X643" i="2"/>
  <c r="V643" i="2"/>
  <c r="U643" i="2"/>
  <c r="T643" i="2"/>
  <c r="O643" i="2"/>
  <c r="X642" i="2"/>
  <c r="V642" i="2"/>
  <c r="U642" i="2"/>
  <c r="T642" i="2"/>
  <c r="O642" i="2"/>
  <c r="X641" i="2"/>
  <c r="V641" i="2"/>
  <c r="U641" i="2"/>
  <c r="T641" i="2"/>
  <c r="O641" i="2"/>
  <c r="X640" i="2"/>
  <c r="V640" i="2"/>
  <c r="U640" i="2"/>
  <c r="T640" i="2"/>
  <c r="O640" i="2"/>
  <c r="X639" i="2"/>
  <c r="V639" i="2"/>
  <c r="U639" i="2"/>
  <c r="T639" i="2"/>
  <c r="O639" i="2"/>
  <c r="X638" i="2"/>
  <c r="V638" i="2"/>
  <c r="U638" i="2"/>
  <c r="T638" i="2"/>
  <c r="O638" i="2"/>
  <c r="X637" i="2"/>
  <c r="V637" i="2"/>
  <c r="U637" i="2"/>
  <c r="T637" i="2"/>
  <c r="O637" i="2"/>
  <c r="X636" i="2"/>
  <c r="V636" i="2"/>
  <c r="U636" i="2"/>
  <c r="T636" i="2"/>
  <c r="O636" i="2"/>
  <c r="X635" i="2"/>
  <c r="V635" i="2"/>
  <c r="U635" i="2"/>
  <c r="T635" i="2"/>
  <c r="O635" i="2"/>
  <c r="X634" i="2"/>
  <c r="V634" i="2"/>
  <c r="U634" i="2"/>
  <c r="T634" i="2"/>
  <c r="O634" i="2"/>
  <c r="X633" i="2"/>
  <c r="V633" i="2"/>
  <c r="U633" i="2"/>
  <c r="T633" i="2"/>
  <c r="O633" i="2"/>
  <c r="X632" i="2"/>
  <c r="V632" i="2"/>
  <c r="U632" i="2"/>
  <c r="T632" i="2"/>
  <c r="O632" i="2"/>
  <c r="X631" i="2"/>
  <c r="V631" i="2"/>
  <c r="U631" i="2"/>
  <c r="T631" i="2"/>
  <c r="O631" i="2"/>
  <c r="X630" i="2"/>
  <c r="V630" i="2"/>
  <c r="U630" i="2"/>
  <c r="T630" i="2"/>
  <c r="O630" i="2"/>
  <c r="X629" i="2"/>
  <c r="V629" i="2"/>
  <c r="U629" i="2"/>
  <c r="T629" i="2"/>
  <c r="O629" i="2"/>
  <c r="X628" i="2"/>
  <c r="V628" i="2"/>
  <c r="U628" i="2"/>
  <c r="T628" i="2"/>
  <c r="O628" i="2"/>
  <c r="X627" i="2"/>
  <c r="V627" i="2"/>
  <c r="U627" i="2"/>
  <c r="T627" i="2"/>
  <c r="O627" i="2"/>
  <c r="X626" i="2"/>
  <c r="V626" i="2"/>
  <c r="U626" i="2"/>
  <c r="T626" i="2"/>
  <c r="O626" i="2"/>
  <c r="X625" i="2"/>
  <c r="V625" i="2"/>
  <c r="U625" i="2"/>
  <c r="T625" i="2"/>
  <c r="O625" i="2"/>
  <c r="X624" i="2"/>
  <c r="V624" i="2"/>
  <c r="U624" i="2"/>
  <c r="T624" i="2"/>
  <c r="O624" i="2"/>
  <c r="X623" i="2"/>
  <c r="V623" i="2"/>
  <c r="U623" i="2"/>
  <c r="T623" i="2"/>
  <c r="O623" i="2"/>
  <c r="X622" i="2"/>
  <c r="V622" i="2"/>
  <c r="U622" i="2"/>
  <c r="T622" i="2"/>
  <c r="O622" i="2"/>
  <c r="X621" i="2"/>
  <c r="V621" i="2"/>
  <c r="U621" i="2"/>
  <c r="T621" i="2"/>
  <c r="O621" i="2"/>
  <c r="X620" i="2"/>
  <c r="V620" i="2"/>
  <c r="U620" i="2"/>
  <c r="T620" i="2"/>
  <c r="O620" i="2"/>
  <c r="X619" i="2"/>
  <c r="V619" i="2"/>
  <c r="U619" i="2"/>
  <c r="T619" i="2"/>
  <c r="O619" i="2"/>
  <c r="X618" i="2"/>
  <c r="V618" i="2"/>
  <c r="U618" i="2"/>
  <c r="T618" i="2"/>
  <c r="O618" i="2"/>
  <c r="X617" i="2"/>
  <c r="V617" i="2"/>
  <c r="U617" i="2"/>
  <c r="T617" i="2"/>
  <c r="O617" i="2"/>
  <c r="X616" i="2"/>
  <c r="V616" i="2"/>
  <c r="U616" i="2"/>
  <c r="T616" i="2"/>
  <c r="O616" i="2"/>
  <c r="X615" i="2"/>
  <c r="V615" i="2"/>
  <c r="U615" i="2"/>
  <c r="T615" i="2"/>
  <c r="O615" i="2"/>
  <c r="X614" i="2"/>
  <c r="V614" i="2"/>
  <c r="U614" i="2"/>
  <c r="T614" i="2"/>
  <c r="O614" i="2"/>
  <c r="X613" i="2"/>
  <c r="V613" i="2"/>
  <c r="U613" i="2"/>
  <c r="T613" i="2"/>
  <c r="O613" i="2"/>
  <c r="X612" i="2"/>
  <c r="V612" i="2"/>
  <c r="U612" i="2"/>
  <c r="T612" i="2"/>
  <c r="O612" i="2"/>
  <c r="X611" i="2"/>
  <c r="V611" i="2"/>
  <c r="U611" i="2"/>
  <c r="T611" i="2"/>
  <c r="O611" i="2"/>
  <c r="X610" i="2"/>
  <c r="V610" i="2"/>
  <c r="U610" i="2"/>
  <c r="T610" i="2"/>
  <c r="O610" i="2"/>
  <c r="X609" i="2"/>
  <c r="V609" i="2"/>
  <c r="U609" i="2"/>
  <c r="T609" i="2"/>
  <c r="O609" i="2"/>
  <c r="X608" i="2"/>
  <c r="V608" i="2"/>
  <c r="U608" i="2"/>
  <c r="T608" i="2"/>
  <c r="O608" i="2"/>
  <c r="X607" i="2"/>
  <c r="V607" i="2"/>
  <c r="U607" i="2"/>
  <c r="T607" i="2"/>
  <c r="O607" i="2"/>
  <c r="X606" i="2"/>
  <c r="V606" i="2"/>
  <c r="U606" i="2"/>
  <c r="T606" i="2"/>
  <c r="O606" i="2"/>
  <c r="X605" i="2"/>
  <c r="V605" i="2"/>
  <c r="U605" i="2"/>
  <c r="T605" i="2"/>
  <c r="O605" i="2"/>
  <c r="X604" i="2"/>
  <c r="V604" i="2"/>
  <c r="U604" i="2"/>
  <c r="T604" i="2"/>
  <c r="O604" i="2"/>
  <c r="X603" i="2"/>
  <c r="V603" i="2"/>
  <c r="U603" i="2"/>
  <c r="T603" i="2"/>
  <c r="O603" i="2"/>
  <c r="X602" i="2"/>
  <c r="V602" i="2"/>
  <c r="U602" i="2"/>
  <c r="T602" i="2"/>
  <c r="O602" i="2"/>
  <c r="X601" i="2"/>
  <c r="V601" i="2"/>
  <c r="U601" i="2"/>
  <c r="T601" i="2"/>
  <c r="O601" i="2"/>
  <c r="X600" i="2"/>
  <c r="V600" i="2"/>
  <c r="U600" i="2"/>
  <c r="T600" i="2"/>
  <c r="O600" i="2"/>
  <c r="X599" i="2"/>
  <c r="V599" i="2"/>
  <c r="U599" i="2"/>
  <c r="T599" i="2"/>
  <c r="O599" i="2"/>
  <c r="X598" i="2"/>
  <c r="V598" i="2"/>
  <c r="U598" i="2"/>
  <c r="T598" i="2"/>
  <c r="O598" i="2"/>
  <c r="X597" i="2"/>
  <c r="V597" i="2"/>
  <c r="U597" i="2"/>
  <c r="T597" i="2"/>
  <c r="O597" i="2"/>
  <c r="X596" i="2"/>
  <c r="V596" i="2"/>
  <c r="U596" i="2"/>
  <c r="T596" i="2"/>
  <c r="O596" i="2"/>
  <c r="X595" i="2"/>
  <c r="V595" i="2"/>
  <c r="U595" i="2"/>
  <c r="T595" i="2"/>
  <c r="O595" i="2"/>
  <c r="X594" i="2"/>
  <c r="V594" i="2"/>
  <c r="U594" i="2"/>
  <c r="T594" i="2"/>
  <c r="O594" i="2"/>
  <c r="X593" i="2"/>
  <c r="V593" i="2"/>
  <c r="U593" i="2"/>
  <c r="T593" i="2"/>
  <c r="O593" i="2"/>
  <c r="X592" i="2"/>
  <c r="V592" i="2"/>
  <c r="U592" i="2"/>
  <c r="T592" i="2"/>
  <c r="O592" i="2"/>
  <c r="X591" i="2"/>
  <c r="V591" i="2"/>
  <c r="U591" i="2"/>
  <c r="T591" i="2"/>
  <c r="O591" i="2"/>
  <c r="X590" i="2"/>
  <c r="V590" i="2"/>
  <c r="U590" i="2"/>
  <c r="T590" i="2"/>
  <c r="O590" i="2"/>
  <c r="X589" i="2"/>
  <c r="V589" i="2"/>
  <c r="U589" i="2"/>
  <c r="T589" i="2"/>
  <c r="O589" i="2"/>
  <c r="X588" i="2"/>
  <c r="V588" i="2"/>
  <c r="U588" i="2"/>
  <c r="T588" i="2"/>
  <c r="O588" i="2"/>
  <c r="X587" i="2"/>
  <c r="V587" i="2"/>
  <c r="U587" i="2"/>
  <c r="T587" i="2"/>
  <c r="O587" i="2"/>
  <c r="X586" i="2"/>
  <c r="V586" i="2"/>
  <c r="U586" i="2"/>
  <c r="T586" i="2"/>
  <c r="O586" i="2"/>
  <c r="X585" i="2"/>
  <c r="V585" i="2"/>
  <c r="U585" i="2"/>
  <c r="T585" i="2"/>
  <c r="O585" i="2"/>
  <c r="X584" i="2"/>
  <c r="V584" i="2"/>
  <c r="U584" i="2"/>
  <c r="T584" i="2"/>
  <c r="O584" i="2"/>
  <c r="X583" i="2"/>
  <c r="V583" i="2"/>
  <c r="U583" i="2"/>
  <c r="T583" i="2"/>
  <c r="O583" i="2"/>
  <c r="X582" i="2"/>
  <c r="V582" i="2"/>
  <c r="U582" i="2"/>
  <c r="T582" i="2"/>
  <c r="O582" i="2"/>
  <c r="X581" i="2"/>
  <c r="V581" i="2"/>
  <c r="U581" i="2"/>
  <c r="T581" i="2"/>
  <c r="O581" i="2"/>
  <c r="X580" i="2"/>
  <c r="V580" i="2"/>
  <c r="U580" i="2"/>
  <c r="T580" i="2"/>
  <c r="O580" i="2"/>
  <c r="X579" i="2"/>
  <c r="V579" i="2"/>
  <c r="U579" i="2"/>
  <c r="T579" i="2"/>
  <c r="O579" i="2"/>
  <c r="X578" i="2"/>
  <c r="V578" i="2"/>
  <c r="U578" i="2"/>
  <c r="T578" i="2"/>
  <c r="O578" i="2"/>
  <c r="X577" i="2"/>
  <c r="V577" i="2"/>
  <c r="U577" i="2"/>
  <c r="T577" i="2"/>
  <c r="O577" i="2"/>
  <c r="X576" i="2"/>
  <c r="V576" i="2"/>
  <c r="U576" i="2"/>
  <c r="T576" i="2"/>
  <c r="O576" i="2"/>
  <c r="X575" i="2"/>
  <c r="V575" i="2"/>
  <c r="U575" i="2"/>
  <c r="T575" i="2"/>
  <c r="O575" i="2"/>
  <c r="X574" i="2"/>
  <c r="V574" i="2"/>
  <c r="U574" i="2"/>
  <c r="T574" i="2"/>
  <c r="O574" i="2"/>
  <c r="X573" i="2"/>
  <c r="V573" i="2"/>
  <c r="U573" i="2"/>
  <c r="T573" i="2"/>
  <c r="O573" i="2"/>
  <c r="X572" i="2"/>
  <c r="V572" i="2"/>
  <c r="U572" i="2"/>
  <c r="T572" i="2"/>
  <c r="O572" i="2"/>
  <c r="X571" i="2"/>
  <c r="V571" i="2"/>
  <c r="U571" i="2"/>
  <c r="T571" i="2"/>
  <c r="O571" i="2"/>
  <c r="X570" i="2"/>
  <c r="V570" i="2"/>
  <c r="U570" i="2"/>
  <c r="T570" i="2"/>
  <c r="O570" i="2"/>
  <c r="X569" i="2"/>
  <c r="V569" i="2"/>
  <c r="U569" i="2"/>
  <c r="T569" i="2"/>
  <c r="O569" i="2"/>
  <c r="X568" i="2"/>
  <c r="V568" i="2"/>
  <c r="U568" i="2"/>
  <c r="T568" i="2"/>
  <c r="O568" i="2"/>
  <c r="X567" i="2"/>
  <c r="V567" i="2"/>
  <c r="U567" i="2"/>
  <c r="T567" i="2"/>
  <c r="O567" i="2"/>
  <c r="X566" i="2"/>
  <c r="V566" i="2"/>
  <c r="U566" i="2"/>
  <c r="T566" i="2"/>
  <c r="O566" i="2"/>
  <c r="X565" i="2"/>
  <c r="V565" i="2"/>
  <c r="U565" i="2"/>
  <c r="T565" i="2"/>
  <c r="O565" i="2"/>
  <c r="X564" i="2"/>
  <c r="V564" i="2"/>
  <c r="U564" i="2"/>
  <c r="T564" i="2"/>
  <c r="O564" i="2"/>
  <c r="X563" i="2"/>
  <c r="V563" i="2"/>
  <c r="U563" i="2"/>
  <c r="T563" i="2"/>
  <c r="O563" i="2"/>
  <c r="X562" i="2"/>
  <c r="V562" i="2"/>
  <c r="U562" i="2"/>
  <c r="T562" i="2"/>
  <c r="O562" i="2"/>
  <c r="X561" i="2"/>
  <c r="V561" i="2"/>
  <c r="U561" i="2"/>
  <c r="T561" i="2"/>
  <c r="O561" i="2"/>
  <c r="X560" i="2"/>
  <c r="V560" i="2"/>
  <c r="U560" i="2"/>
  <c r="T560" i="2"/>
  <c r="O560" i="2"/>
  <c r="X559" i="2"/>
  <c r="V559" i="2"/>
  <c r="U559" i="2"/>
  <c r="T559" i="2"/>
  <c r="O559" i="2"/>
  <c r="X558" i="2"/>
  <c r="V558" i="2"/>
  <c r="U558" i="2"/>
  <c r="T558" i="2"/>
  <c r="O558" i="2"/>
  <c r="X557" i="2"/>
  <c r="V557" i="2"/>
  <c r="U557" i="2"/>
  <c r="T557" i="2"/>
  <c r="O557" i="2"/>
  <c r="X556" i="2"/>
  <c r="V556" i="2"/>
  <c r="U556" i="2"/>
  <c r="T556" i="2"/>
  <c r="O556" i="2"/>
  <c r="X555" i="2"/>
  <c r="V555" i="2"/>
  <c r="U555" i="2"/>
  <c r="T555" i="2"/>
  <c r="O555" i="2"/>
  <c r="X554" i="2"/>
  <c r="V554" i="2"/>
  <c r="U554" i="2"/>
  <c r="T554" i="2"/>
  <c r="O554" i="2"/>
  <c r="X553" i="2"/>
  <c r="V553" i="2"/>
  <c r="U553" i="2"/>
  <c r="T553" i="2"/>
  <c r="O553" i="2"/>
  <c r="X552" i="2"/>
  <c r="V552" i="2"/>
  <c r="U552" i="2"/>
  <c r="T552" i="2"/>
  <c r="O552" i="2"/>
  <c r="X551" i="2"/>
  <c r="V551" i="2"/>
  <c r="U551" i="2"/>
  <c r="T551" i="2"/>
  <c r="O551" i="2"/>
  <c r="X550" i="2"/>
  <c r="V550" i="2"/>
  <c r="U550" i="2"/>
  <c r="T550" i="2"/>
  <c r="O550" i="2"/>
  <c r="X549" i="2"/>
  <c r="V549" i="2"/>
  <c r="U549" i="2"/>
  <c r="T549" i="2"/>
  <c r="O549" i="2"/>
  <c r="X548" i="2"/>
  <c r="V548" i="2"/>
  <c r="U548" i="2"/>
  <c r="T548" i="2"/>
  <c r="O548" i="2"/>
  <c r="X547" i="2"/>
  <c r="V547" i="2"/>
  <c r="U547" i="2"/>
  <c r="T547" i="2"/>
  <c r="O547" i="2"/>
  <c r="X546" i="2"/>
  <c r="V546" i="2"/>
  <c r="U546" i="2"/>
  <c r="T546" i="2"/>
  <c r="O546" i="2"/>
  <c r="X545" i="2"/>
  <c r="V545" i="2"/>
  <c r="U545" i="2"/>
  <c r="T545" i="2"/>
  <c r="O545" i="2"/>
  <c r="X544" i="2"/>
  <c r="V544" i="2"/>
  <c r="U544" i="2"/>
  <c r="T544" i="2"/>
  <c r="O544" i="2"/>
  <c r="X543" i="2"/>
  <c r="V543" i="2"/>
  <c r="U543" i="2"/>
  <c r="T543" i="2"/>
  <c r="O543" i="2"/>
  <c r="X542" i="2"/>
  <c r="V542" i="2"/>
  <c r="U542" i="2"/>
  <c r="T542" i="2"/>
  <c r="O542" i="2"/>
  <c r="X541" i="2"/>
  <c r="V541" i="2"/>
  <c r="U541" i="2"/>
  <c r="T541" i="2"/>
  <c r="O541" i="2"/>
  <c r="X540" i="2"/>
  <c r="V540" i="2"/>
  <c r="U540" i="2"/>
  <c r="T540" i="2"/>
  <c r="O540" i="2"/>
  <c r="X539" i="2"/>
  <c r="V539" i="2"/>
  <c r="U539" i="2"/>
  <c r="T539" i="2"/>
  <c r="O539" i="2"/>
  <c r="X538" i="2"/>
  <c r="V538" i="2"/>
  <c r="U538" i="2"/>
  <c r="T538" i="2"/>
  <c r="O538" i="2"/>
  <c r="X537" i="2"/>
  <c r="V537" i="2"/>
  <c r="U537" i="2"/>
  <c r="T537" i="2"/>
  <c r="O537" i="2"/>
  <c r="X536" i="2"/>
  <c r="V536" i="2"/>
  <c r="U536" i="2"/>
  <c r="T536" i="2"/>
  <c r="O536" i="2"/>
  <c r="X535" i="2"/>
  <c r="V535" i="2"/>
  <c r="U535" i="2"/>
  <c r="T535" i="2"/>
  <c r="O535" i="2"/>
  <c r="X534" i="2"/>
  <c r="V534" i="2"/>
  <c r="U534" i="2"/>
  <c r="T534" i="2"/>
  <c r="O534" i="2"/>
  <c r="X533" i="2"/>
  <c r="V533" i="2"/>
  <c r="U533" i="2"/>
  <c r="T533" i="2"/>
  <c r="O533" i="2"/>
  <c r="X532" i="2"/>
  <c r="V532" i="2"/>
  <c r="U532" i="2"/>
  <c r="T532" i="2"/>
  <c r="O532" i="2"/>
  <c r="X531" i="2"/>
  <c r="V531" i="2"/>
  <c r="U531" i="2"/>
  <c r="T531" i="2"/>
  <c r="O531" i="2"/>
  <c r="X530" i="2"/>
  <c r="V530" i="2"/>
  <c r="U530" i="2"/>
  <c r="T530" i="2"/>
  <c r="O530" i="2"/>
  <c r="X529" i="2"/>
  <c r="V529" i="2"/>
  <c r="U529" i="2"/>
  <c r="T529" i="2"/>
  <c r="O529" i="2"/>
  <c r="X528" i="2"/>
  <c r="V528" i="2"/>
  <c r="U528" i="2"/>
  <c r="T528" i="2"/>
  <c r="O528" i="2"/>
  <c r="X527" i="2"/>
  <c r="V527" i="2"/>
  <c r="U527" i="2"/>
  <c r="T527" i="2"/>
  <c r="O527" i="2"/>
  <c r="X526" i="2"/>
  <c r="V526" i="2"/>
  <c r="U526" i="2"/>
  <c r="T526" i="2"/>
  <c r="O526" i="2"/>
  <c r="X525" i="2"/>
  <c r="V525" i="2"/>
  <c r="U525" i="2"/>
  <c r="T525" i="2"/>
  <c r="O525" i="2"/>
  <c r="X524" i="2"/>
  <c r="V524" i="2"/>
  <c r="U524" i="2"/>
  <c r="T524" i="2"/>
  <c r="O524" i="2"/>
  <c r="X523" i="2"/>
  <c r="V523" i="2"/>
  <c r="U523" i="2"/>
  <c r="T523" i="2"/>
  <c r="O523" i="2"/>
  <c r="X522" i="2"/>
  <c r="V522" i="2"/>
  <c r="U522" i="2"/>
  <c r="T522" i="2"/>
  <c r="O522" i="2"/>
  <c r="X521" i="2"/>
  <c r="V521" i="2"/>
  <c r="U521" i="2"/>
  <c r="T521" i="2"/>
  <c r="O521" i="2"/>
  <c r="X520" i="2"/>
  <c r="V520" i="2"/>
  <c r="U520" i="2"/>
  <c r="T520" i="2"/>
  <c r="O520" i="2"/>
  <c r="X519" i="2"/>
  <c r="V519" i="2"/>
  <c r="U519" i="2"/>
  <c r="T519" i="2"/>
  <c r="O519" i="2"/>
  <c r="X518" i="2"/>
  <c r="V518" i="2"/>
  <c r="U518" i="2"/>
  <c r="T518" i="2"/>
  <c r="O518" i="2"/>
  <c r="X517" i="2"/>
  <c r="V517" i="2"/>
  <c r="U517" i="2"/>
  <c r="T517" i="2"/>
  <c r="O517" i="2"/>
  <c r="X516" i="2"/>
  <c r="V516" i="2"/>
  <c r="U516" i="2"/>
  <c r="T516" i="2"/>
  <c r="O516" i="2"/>
  <c r="X515" i="2"/>
  <c r="V515" i="2"/>
  <c r="U515" i="2"/>
  <c r="T515" i="2"/>
  <c r="O515" i="2"/>
  <c r="X514" i="2"/>
  <c r="V514" i="2"/>
  <c r="U514" i="2"/>
  <c r="T514" i="2"/>
  <c r="O514" i="2"/>
  <c r="X513" i="2"/>
  <c r="V513" i="2"/>
  <c r="U513" i="2"/>
  <c r="T513" i="2"/>
  <c r="O513" i="2"/>
  <c r="X512" i="2"/>
  <c r="V512" i="2"/>
  <c r="U512" i="2"/>
  <c r="T512" i="2"/>
  <c r="O512" i="2"/>
  <c r="X511" i="2"/>
  <c r="V511" i="2"/>
  <c r="U511" i="2"/>
  <c r="T511" i="2"/>
  <c r="O511" i="2"/>
  <c r="X510" i="2"/>
  <c r="V510" i="2"/>
  <c r="U510" i="2"/>
  <c r="T510" i="2"/>
  <c r="O510" i="2"/>
  <c r="X509" i="2"/>
  <c r="V509" i="2"/>
  <c r="U509" i="2"/>
  <c r="T509" i="2"/>
  <c r="O509" i="2"/>
  <c r="X508" i="2"/>
  <c r="V508" i="2"/>
  <c r="U508" i="2"/>
  <c r="T508" i="2"/>
  <c r="O508" i="2"/>
  <c r="X507" i="2"/>
  <c r="V507" i="2"/>
  <c r="U507" i="2"/>
  <c r="T507" i="2"/>
  <c r="O507" i="2"/>
  <c r="X506" i="2"/>
  <c r="V506" i="2"/>
  <c r="U506" i="2"/>
  <c r="T506" i="2"/>
  <c r="O506" i="2"/>
  <c r="X505" i="2"/>
  <c r="V505" i="2"/>
  <c r="U505" i="2"/>
  <c r="T505" i="2"/>
  <c r="O505" i="2"/>
  <c r="X504" i="2"/>
  <c r="V504" i="2"/>
  <c r="U504" i="2"/>
  <c r="T504" i="2"/>
  <c r="O504" i="2"/>
  <c r="X503" i="2"/>
  <c r="V503" i="2"/>
  <c r="U503" i="2"/>
  <c r="T503" i="2"/>
  <c r="O503" i="2"/>
  <c r="X502" i="2"/>
  <c r="V502" i="2"/>
  <c r="U502" i="2"/>
  <c r="T502" i="2"/>
  <c r="O502" i="2"/>
  <c r="X501" i="2"/>
  <c r="V501" i="2"/>
  <c r="U501" i="2"/>
  <c r="T501" i="2"/>
  <c r="O501" i="2"/>
  <c r="X500" i="2"/>
  <c r="V500" i="2"/>
  <c r="U500" i="2"/>
  <c r="T500" i="2"/>
  <c r="O500" i="2"/>
  <c r="X499" i="2"/>
  <c r="V499" i="2"/>
  <c r="U499" i="2"/>
  <c r="T499" i="2"/>
  <c r="O499" i="2"/>
  <c r="X498" i="2"/>
  <c r="V498" i="2"/>
  <c r="U498" i="2"/>
  <c r="T498" i="2"/>
  <c r="O498" i="2"/>
  <c r="X497" i="2"/>
  <c r="V497" i="2"/>
  <c r="U497" i="2"/>
  <c r="T497" i="2"/>
  <c r="O497" i="2"/>
  <c r="X496" i="2"/>
  <c r="V496" i="2"/>
  <c r="U496" i="2"/>
  <c r="T496" i="2"/>
  <c r="O496" i="2"/>
  <c r="X495" i="2"/>
  <c r="V495" i="2"/>
  <c r="U495" i="2"/>
  <c r="T495" i="2"/>
  <c r="O495" i="2"/>
  <c r="X494" i="2"/>
  <c r="V494" i="2"/>
  <c r="U494" i="2"/>
  <c r="T494" i="2"/>
  <c r="O494" i="2"/>
  <c r="X493" i="2"/>
  <c r="V493" i="2"/>
  <c r="U493" i="2"/>
  <c r="T493" i="2"/>
  <c r="O493" i="2"/>
  <c r="X492" i="2"/>
  <c r="V492" i="2"/>
  <c r="U492" i="2"/>
  <c r="T492" i="2"/>
  <c r="O492" i="2"/>
  <c r="X491" i="2"/>
  <c r="V491" i="2"/>
  <c r="U491" i="2"/>
  <c r="T491" i="2"/>
  <c r="O491" i="2"/>
  <c r="X490" i="2"/>
  <c r="V490" i="2"/>
  <c r="U490" i="2"/>
  <c r="T490" i="2"/>
  <c r="O490" i="2"/>
  <c r="X489" i="2"/>
  <c r="V489" i="2"/>
  <c r="U489" i="2"/>
  <c r="T489" i="2"/>
  <c r="O489" i="2"/>
  <c r="X488" i="2"/>
  <c r="V488" i="2"/>
  <c r="U488" i="2"/>
  <c r="T488" i="2"/>
  <c r="O488" i="2"/>
  <c r="X487" i="2"/>
  <c r="V487" i="2"/>
  <c r="U487" i="2"/>
  <c r="T487" i="2"/>
  <c r="O487" i="2"/>
  <c r="X486" i="2"/>
  <c r="V486" i="2"/>
  <c r="U486" i="2"/>
  <c r="T486" i="2"/>
  <c r="O486" i="2"/>
  <c r="X485" i="2"/>
  <c r="V485" i="2"/>
  <c r="U485" i="2"/>
  <c r="T485" i="2"/>
  <c r="O485" i="2"/>
  <c r="X484" i="2"/>
  <c r="V484" i="2"/>
  <c r="U484" i="2"/>
  <c r="T484" i="2"/>
  <c r="O484" i="2"/>
  <c r="X483" i="2"/>
  <c r="V483" i="2"/>
  <c r="U483" i="2"/>
  <c r="T483" i="2"/>
  <c r="O483" i="2"/>
  <c r="X482" i="2"/>
  <c r="V482" i="2"/>
  <c r="U482" i="2"/>
  <c r="T482" i="2"/>
  <c r="O482" i="2"/>
  <c r="X481" i="2"/>
  <c r="V481" i="2"/>
  <c r="U481" i="2"/>
  <c r="T481" i="2"/>
  <c r="O481" i="2"/>
  <c r="X480" i="2"/>
  <c r="V480" i="2"/>
  <c r="U480" i="2"/>
  <c r="T480" i="2"/>
  <c r="O480" i="2"/>
  <c r="X479" i="2"/>
  <c r="V479" i="2"/>
  <c r="U479" i="2"/>
  <c r="T479" i="2"/>
  <c r="O479" i="2"/>
  <c r="X478" i="2"/>
  <c r="V478" i="2"/>
  <c r="U478" i="2"/>
  <c r="T478" i="2"/>
  <c r="O478" i="2"/>
  <c r="X477" i="2"/>
  <c r="V477" i="2"/>
  <c r="U477" i="2"/>
  <c r="T477" i="2"/>
  <c r="O477" i="2"/>
  <c r="X476" i="2"/>
  <c r="V476" i="2"/>
  <c r="U476" i="2"/>
  <c r="T476" i="2"/>
  <c r="O476" i="2"/>
  <c r="X475" i="2"/>
  <c r="V475" i="2"/>
  <c r="U475" i="2"/>
  <c r="T475" i="2"/>
  <c r="O475" i="2"/>
  <c r="X474" i="2"/>
  <c r="V474" i="2"/>
  <c r="U474" i="2"/>
  <c r="T474" i="2"/>
  <c r="O474" i="2"/>
  <c r="X473" i="2"/>
  <c r="V473" i="2"/>
  <c r="U473" i="2"/>
  <c r="T473" i="2"/>
  <c r="O473" i="2"/>
  <c r="X472" i="2"/>
  <c r="V472" i="2"/>
  <c r="U472" i="2"/>
  <c r="T472" i="2"/>
  <c r="O472" i="2"/>
  <c r="X471" i="2"/>
  <c r="V471" i="2"/>
  <c r="U471" i="2"/>
  <c r="T471" i="2"/>
  <c r="O471" i="2"/>
  <c r="X470" i="2"/>
  <c r="V470" i="2"/>
  <c r="U470" i="2"/>
  <c r="T470" i="2"/>
  <c r="O470" i="2"/>
  <c r="X469" i="2"/>
  <c r="V469" i="2"/>
  <c r="U469" i="2"/>
  <c r="T469" i="2"/>
  <c r="O469" i="2"/>
  <c r="X468" i="2"/>
  <c r="V468" i="2"/>
  <c r="U468" i="2"/>
  <c r="T468" i="2"/>
  <c r="O468" i="2"/>
  <c r="X467" i="2"/>
  <c r="V467" i="2"/>
  <c r="U467" i="2"/>
  <c r="T467" i="2"/>
  <c r="O467" i="2"/>
  <c r="X466" i="2"/>
  <c r="V466" i="2"/>
  <c r="U466" i="2"/>
  <c r="T466" i="2"/>
  <c r="O466" i="2"/>
  <c r="X465" i="2"/>
  <c r="V465" i="2"/>
  <c r="U465" i="2"/>
  <c r="T465" i="2"/>
  <c r="O465" i="2"/>
  <c r="X464" i="2"/>
  <c r="V464" i="2"/>
  <c r="U464" i="2"/>
  <c r="T464" i="2"/>
  <c r="O464" i="2"/>
  <c r="X463" i="2"/>
  <c r="V463" i="2"/>
  <c r="U463" i="2"/>
  <c r="T463" i="2"/>
  <c r="O463" i="2"/>
  <c r="X462" i="2"/>
  <c r="V462" i="2"/>
  <c r="U462" i="2"/>
  <c r="T462" i="2"/>
  <c r="O462" i="2"/>
  <c r="X461" i="2"/>
  <c r="V461" i="2"/>
  <c r="U461" i="2"/>
  <c r="T461" i="2"/>
  <c r="O461" i="2"/>
  <c r="X460" i="2"/>
  <c r="V460" i="2"/>
  <c r="U460" i="2"/>
  <c r="T460" i="2"/>
  <c r="O460" i="2"/>
  <c r="X459" i="2"/>
  <c r="V459" i="2"/>
  <c r="U459" i="2"/>
  <c r="T459" i="2"/>
  <c r="O459" i="2"/>
  <c r="X458" i="2"/>
  <c r="V458" i="2"/>
  <c r="U458" i="2"/>
  <c r="T458" i="2"/>
  <c r="O458" i="2"/>
  <c r="X457" i="2"/>
  <c r="V457" i="2"/>
  <c r="U457" i="2"/>
  <c r="T457" i="2"/>
  <c r="O457" i="2"/>
  <c r="X456" i="2"/>
  <c r="V456" i="2"/>
  <c r="U456" i="2"/>
  <c r="T456" i="2"/>
  <c r="O456" i="2"/>
  <c r="X455" i="2"/>
  <c r="V455" i="2"/>
  <c r="U455" i="2"/>
  <c r="T455" i="2"/>
  <c r="O455" i="2"/>
  <c r="X454" i="2"/>
  <c r="V454" i="2"/>
  <c r="U454" i="2"/>
  <c r="T454" i="2"/>
  <c r="O454" i="2"/>
  <c r="X453" i="2"/>
  <c r="V453" i="2"/>
  <c r="U453" i="2"/>
  <c r="T453" i="2"/>
  <c r="O453" i="2"/>
  <c r="X452" i="2"/>
  <c r="V452" i="2"/>
  <c r="U452" i="2"/>
  <c r="T452" i="2"/>
  <c r="O452" i="2"/>
  <c r="X451" i="2"/>
  <c r="V451" i="2"/>
  <c r="U451" i="2"/>
  <c r="T451" i="2"/>
  <c r="O451" i="2"/>
  <c r="X450" i="2"/>
  <c r="V450" i="2"/>
  <c r="U450" i="2"/>
  <c r="T450" i="2"/>
  <c r="O450" i="2"/>
  <c r="X449" i="2"/>
  <c r="V449" i="2"/>
  <c r="U449" i="2"/>
  <c r="T449" i="2"/>
  <c r="O449" i="2"/>
  <c r="X448" i="2"/>
  <c r="V448" i="2"/>
  <c r="U448" i="2"/>
  <c r="T448" i="2"/>
  <c r="O448" i="2"/>
  <c r="X447" i="2"/>
  <c r="V447" i="2"/>
  <c r="U447" i="2"/>
  <c r="T447" i="2"/>
  <c r="O447" i="2"/>
  <c r="X446" i="2"/>
  <c r="V446" i="2"/>
  <c r="U446" i="2"/>
  <c r="T446" i="2"/>
  <c r="O446" i="2"/>
  <c r="X445" i="2"/>
  <c r="V445" i="2"/>
  <c r="U445" i="2"/>
  <c r="T445" i="2"/>
  <c r="O445" i="2"/>
  <c r="X444" i="2"/>
  <c r="V444" i="2"/>
  <c r="U444" i="2"/>
  <c r="T444" i="2"/>
  <c r="O444" i="2"/>
  <c r="X443" i="2"/>
  <c r="V443" i="2"/>
  <c r="U443" i="2"/>
  <c r="T443" i="2"/>
  <c r="O443" i="2"/>
  <c r="X442" i="2"/>
  <c r="V442" i="2"/>
  <c r="U442" i="2"/>
  <c r="T442" i="2"/>
  <c r="O442" i="2"/>
  <c r="X441" i="2"/>
  <c r="V441" i="2"/>
  <c r="U441" i="2"/>
  <c r="T441" i="2"/>
  <c r="O441" i="2"/>
  <c r="X440" i="2"/>
  <c r="V440" i="2"/>
  <c r="U440" i="2"/>
  <c r="T440" i="2"/>
  <c r="O440" i="2"/>
  <c r="X439" i="2"/>
  <c r="V439" i="2"/>
  <c r="U439" i="2"/>
  <c r="T439" i="2"/>
  <c r="O439" i="2"/>
  <c r="X438" i="2"/>
  <c r="V438" i="2"/>
  <c r="U438" i="2"/>
  <c r="T438" i="2"/>
  <c r="O438" i="2"/>
  <c r="X437" i="2"/>
  <c r="V437" i="2"/>
  <c r="U437" i="2"/>
  <c r="T437" i="2"/>
  <c r="O437" i="2"/>
  <c r="X436" i="2"/>
  <c r="V436" i="2"/>
  <c r="U436" i="2"/>
  <c r="T436" i="2"/>
  <c r="O436" i="2"/>
  <c r="X435" i="2"/>
  <c r="V435" i="2"/>
  <c r="U435" i="2"/>
  <c r="T435" i="2"/>
  <c r="O435" i="2"/>
  <c r="X434" i="2"/>
  <c r="V434" i="2"/>
  <c r="U434" i="2"/>
  <c r="T434" i="2"/>
  <c r="O434" i="2"/>
  <c r="X433" i="2"/>
  <c r="V433" i="2"/>
  <c r="U433" i="2"/>
  <c r="T433" i="2"/>
  <c r="O433" i="2"/>
  <c r="X432" i="2"/>
  <c r="V432" i="2"/>
  <c r="U432" i="2"/>
  <c r="T432" i="2"/>
  <c r="O432" i="2"/>
  <c r="X431" i="2"/>
  <c r="V431" i="2"/>
  <c r="U431" i="2"/>
  <c r="T431" i="2"/>
  <c r="O431" i="2"/>
  <c r="X430" i="2"/>
  <c r="V430" i="2"/>
  <c r="U430" i="2"/>
  <c r="T430" i="2"/>
  <c r="O430" i="2"/>
  <c r="X429" i="2"/>
  <c r="V429" i="2"/>
  <c r="U429" i="2"/>
  <c r="T429" i="2"/>
  <c r="O429" i="2"/>
  <c r="X428" i="2"/>
  <c r="V428" i="2"/>
  <c r="U428" i="2"/>
  <c r="T428" i="2"/>
  <c r="O428" i="2"/>
  <c r="X427" i="2"/>
  <c r="V427" i="2"/>
  <c r="U427" i="2"/>
  <c r="T427" i="2"/>
  <c r="O427" i="2"/>
  <c r="X426" i="2"/>
  <c r="V426" i="2"/>
  <c r="U426" i="2"/>
  <c r="T426" i="2"/>
  <c r="O426" i="2"/>
  <c r="X425" i="2"/>
  <c r="V425" i="2"/>
  <c r="U425" i="2"/>
  <c r="T425" i="2"/>
  <c r="O425" i="2"/>
  <c r="X424" i="2"/>
  <c r="V424" i="2"/>
  <c r="U424" i="2"/>
  <c r="T424" i="2"/>
  <c r="O424" i="2"/>
  <c r="X423" i="2"/>
  <c r="V423" i="2"/>
  <c r="U423" i="2"/>
  <c r="T423" i="2"/>
  <c r="O423" i="2"/>
  <c r="X422" i="2"/>
  <c r="V422" i="2"/>
  <c r="U422" i="2"/>
  <c r="T422" i="2"/>
  <c r="O422" i="2"/>
  <c r="X421" i="2"/>
  <c r="V421" i="2"/>
  <c r="U421" i="2"/>
  <c r="T421" i="2"/>
  <c r="O421" i="2"/>
  <c r="X420" i="2"/>
  <c r="V420" i="2"/>
  <c r="U420" i="2"/>
  <c r="T420" i="2"/>
  <c r="O420" i="2"/>
  <c r="X419" i="2"/>
  <c r="V419" i="2"/>
  <c r="U419" i="2"/>
  <c r="T419" i="2"/>
  <c r="O419" i="2"/>
  <c r="X418" i="2"/>
  <c r="V418" i="2"/>
  <c r="U418" i="2"/>
  <c r="T418" i="2"/>
  <c r="O418" i="2"/>
  <c r="X417" i="2"/>
  <c r="V417" i="2"/>
  <c r="U417" i="2"/>
  <c r="T417" i="2"/>
  <c r="O417" i="2"/>
  <c r="X416" i="2"/>
  <c r="V416" i="2"/>
  <c r="U416" i="2"/>
  <c r="T416" i="2"/>
  <c r="O416" i="2"/>
  <c r="X415" i="2"/>
  <c r="V415" i="2"/>
  <c r="U415" i="2"/>
  <c r="T415" i="2"/>
  <c r="O415" i="2"/>
  <c r="X414" i="2"/>
  <c r="V414" i="2"/>
  <c r="U414" i="2"/>
  <c r="T414" i="2"/>
  <c r="O414" i="2"/>
  <c r="X413" i="2"/>
  <c r="V413" i="2"/>
  <c r="U413" i="2"/>
  <c r="T413" i="2"/>
  <c r="O413" i="2"/>
  <c r="X412" i="2"/>
  <c r="V412" i="2"/>
  <c r="U412" i="2"/>
  <c r="T412" i="2"/>
  <c r="O412" i="2"/>
  <c r="X411" i="2"/>
  <c r="V411" i="2"/>
  <c r="U411" i="2"/>
  <c r="T411" i="2"/>
  <c r="O411" i="2"/>
  <c r="X410" i="2"/>
  <c r="V410" i="2"/>
  <c r="U410" i="2"/>
  <c r="T410" i="2"/>
  <c r="O410" i="2"/>
  <c r="X409" i="2"/>
  <c r="V409" i="2"/>
  <c r="U409" i="2"/>
  <c r="T409" i="2"/>
  <c r="O409" i="2"/>
  <c r="X408" i="2"/>
  <c r="V408" i="2"/>
  <c r="U408" i="2"/>
  <c r="T408" i="2"/>
  <c r="O408" i="2"/>
  <c r="X407" i="2"/>
  <c r="V407" i="2"/>
  <c r="U407" i="2"/>
  <c r="T407" i="2"/>
  <c r="O407" i="2"/>
  <c r="X406" i="2"/>
  <c r="V406" i="2"/>
  <c r="U406" i="2"/>
  <c r="T406" i="2"/>
  <c r="O406" i="2"/>
  <c r="X405" i="2"/>
  <c r="V405" i="2"/>
  <c r="U405" i="2"/>
  <c r="T405" i="2"/>
  <c r="O405" i="2"/>
  <c r="X404" i="2"/>
  <c r="V404" i="2"/>
  <c r="U404" i="2"/>
  <c r="T404" i="2"/>
  <c r="O404" i="2"/>
  <c r="X403" i="2"/>
  <c r="V403" i="2"/>
  <c r="U403" i="2"/>
  <c r="T403" i="2"/>
  <c r="O403" i="2"/>
  <c r="X402" i="2"/>
  <c r="V402" i="2"/>
  <c r="U402" i="2"/>
  <c r="T402" i="2"/>
  <c r="O402" i="2"/>
  <c r="X401" i="2"/>
  <c r="V401" i="2"/>
  <c r="U401" i="2"/>
  <c r="T401" i="2"/>
  <c r="O401" i="2"/>
  <c r="X400" i="2"/>
  <c r="V400" i="2"/>
  <c r="U400" i="2"/>
  <c r="T400" i="2"/>
  <c r="O400" i="2"/>
  <c r="X399" i="2"/>
  <c r="V399" i="2"/>
  <c r="U399" i="2"/>
  <c r="T399" i="2"/>
  <c r="O399" i="2"/>
  <c r="X398" i="2"/>
  <c r="V398" i="2"/>
  <c r="U398" i="2"/>
  <c r="T398" i="2"/>
  <c r="O398" i="2"/>
  <c r="X397" i="2"/>
  <c r="V397" i="2"/>
  <c r="U397" i="2"/>
  <c r="T397" i="2"/>
  <c r="O397" i="2"/>
  <c r="X396" i="2"/>
  <c r="V396" i="2"/>
  <c r="U396" i="2"/>
  <c r="T396" i="2"/>
  <c r="O396" i="2"/>
  <c r="X395" i="2"/>
  <c r="V395" i="2"/>
  <c r="U395" i="2"/>
  <c r="T395" i="2"/>
  <c r="O395" i="2"/>
  <c r="X394" i="2"/>
  <c r="V394" i="2"/>
  <c r="U394" i="2"/>
  <c r="T394" i="2"/>
  <c r="O394" i="2"/>
  <c r="X393" i="2"/>
  <c r="V393" i="2"/>
  <c r="U393" i="2"/>
  <c r="T393" i="2"/>
  <c r="O393" i="2"/>
  <c r="X392" i="2"/>
  <c r="V392" i="2"/>
  <c r="U392" i="2"/>
  <c r="T392" i="2"/>
  <c r="O392" i="2"/>
  <c r="X391" i="2"/>
  <c r="V391" i="2"/>
  <c r="U391" i="2"/>
  <c r="T391" i="2"/>
  <c r="O391" i="2"/>
  <c r="X390" i="2"/>
  <c r="V390" i="2"/>
  <c r="U390" i="2"/>
  <c r="T390" i="2"/>
  <c r="O390" i="2"/>
  <c r="X389" i="2"/>
  <c r="V389" i="2"/>
  <c r="U389" i="2"/>
  <c r="T389" i="2"/>
  <c r="O389" i="2"/>
  <c r="X388" i="2"/>
  <c r="V388" i="2"/>
  <c r="U388" i="2"/>
  <c r="T388" i="2"/>
  <c r="O388" i="2"/>
  <c r="X387" i="2"/>
  <c r="V387" i="2"/>
  <c r="U387" i="2"/>
  <c r="T387" i="2"/>
  <c r="O387" i="2"/>
  <c r="X386" i="2"/>
  <c r="V386" i="2"/>
  <c r="U386" i="2"/>
  <c r="T386" i="2"/>
  <c r="O386" i="2"/>
  <c r="X385" i="2"/>
  <c r="V385" i="2"/>
  <c r="U385" i="2"/>
  <c r="T385" i="2"/>
  <c r="O385" i="2"/>
  <c r="X384" i="2"/>
  <c r="V384" i="2"/>
  <c r="U384" i="2"/>
  <c r="T384" i="2"/>
  <c r="O384" i="2"/>
  <c r="X383" i="2"/>
  <c r="V383" i="2"/>
  <c r="U383" i="2"/>
  <c r="T383" i="2"/>
  <c r="O383" i="2"/>
  <c r="X382" i="2"/>
  <c r="V382" i="2"/>
  <c r="U382" i="2"/>
  <c r="T382" i="2"/>
  <c r="O382" i="2"/>
  <c r="X381" i="2"/>
  <c r="V381" i="2"/>
  <c r="U381" i="2"/>
  <c r="T381" i="2"/>
  <c r="O381" i="2"/>
  <c r="X380" i="2"/>
  <c r="V380" i="2"/>
  <c r="U380" i="2"/>
  <c r="T380" i="2"/>
  <c r="O380" i="2"/>
  <c r="X379" i="2"/>
  <c r="V379" i="2"/>
  <c r="U379" i="2"/>
  <c r="T379" i="2"/>
  <c r="O379" i="2"/>
  <c r="X378" i="2"/>
  <c r="V378" i="2"/>
  <c r="U378" i="2"/>
  <c r="T378" i="2"/>
  <c r="O378" i="2"/>
  <c r="X377" i="2"/>
  <c r="V377" i="2"/>
  <c r="U377" i="2"/>
  <c r="T377" i="2"/>
  <c r="O377" i="2"/>
  <c r="X376" i="2"/>
  <c r="V376" i="2"/>
  <c r="U376" i="2"/>
  <c r="T376" i="2"/>
  <c r="O376" i="2"/>
  <c r="X375" i="2"/>
  <c r="V375" i="2"/>
  <c r="U375" i="2"/>
  <c r="T375" i="2"/>
  <c r="O375" i="2"/>
  <c r="X374" i="2"/>
  <c r="V374" i="2"/>
  <c r="U374" i="2"/>
  <c r="T374" i="2"/>
  <c r="O374" i="2"/>
  <c r="X373" i="2"/>
  <c r="V373" i="2"/>
  <c r="U373" i="2"/>
  <c r="T373" i="2"/>
  <c r="O373" i="2"/>
  <c r="X372" i="2"/>
  <c r="V372" i="2"/>
  <c r="U372" i="2"/>
  <c r="T372" i="2"/>
  <c r="O372" i="2"/>
  <c r="X371" i="2"/>
  <c r="V371" i="2"/>
  <c r="U371" i="2"/>
  <c r="T371" i="2"/>
  <c r="O371" i="2"/>
  <c r="X370" i="2"/>
  <c r="V370" i="2"/>
  <c r="U370" i="2"/>
  <c r="T370" i="2"/>
  <c r="O370" i="2"/>
  <c r="X369" i="2"/>
  <c r="V369" i="2"/>
  <c r="U369" i="2"/>
  <c r="T369" i="2"/>
  <c r="O369" i="2"/>
  <c r="X368" i="2"/>
  <c r="V368" i="2"/>
  <c r="U368" i="2"/>
  <c r="T368" i="2"/>
  <c r="O368" i="2"/>
  <c r="X367" i="2"/>
  <c r="V367" i="2"/>
  <c r="U367" i="2"/>
  <c r="T367" i="2"/>
  <c r="O367" i="2"/>
  <c r="X366" i="2"/>
  <c r="V366" i="2"/>
  <c r="U366" i="2"/>
  <c r="T366" i="2"/>
  <c r="O366" i="2"/>
  <c r="X365" i="2"/>
  <c r="V365" i="2"/>
  <c r="U365" i="2"/>
  <c r="T365" i="2"/>
  <c r="O365" i="2"/>
  <c r="X364" i="2"/>
  <c r="V364" i="2"/>
  <c r="U364" i="2"/>
  <c r="T364" i="2"/>
  <c r="O364" i="2"/>
  <c r="X363" i="2"/>
  <c r="V363" i="2"/>
  <c r="U363" i="2"/>
  <c r="T363" i="2"/>
  <c r="O363" i="2"/>
  <c r="X362" i="2"/>
  <c r="V362" i="2"/>
  <c r="U362" i="2"/>
  <c r="T362" i="2"/>
  <c r="O362" i="2"/>
  <c r="X361" i="2"/>
  <c r="V361" i="2"/>
  <c r="U361" i="2"/>
  <c r="T361" i="2"/>
  <c r="O361" i="2"/>
  <c r="X360" i="2"/>
  <c r="V360" i="2"/>
  <c r="U360" i="2"/>
  <c r="T360" i="2"/>
  <c r="O360" i="2"/>
  <c r="X359" i="2"/>
  <c r="V359" i="2"/>
  <c r="U359" i="2"/>
  <c r="T359" i="2"/>
  <c r="O359" i="2"/>
  <c r="X358" i="2"/>
  <c r="V358" i="2"/>
  <c r="U358" i="2"/>
  <c r="T358" i="2"/>
  <c r="O358" i="2"/>
  <c r="X357" i="2"/>
  <c r="V357" i="2"/>
  <c r="U357" i="2"/>
  <c r="T357" i="2"/>
  <c r="O357" i="2"/>
  <c r="X356" i="2"/>
  <c r="V356" i="2"/>
  <c r="U356" i="2"/>
  <c r="T356" i="2"/>
  <c r="O356" i="2"/>
  <c r="X355" i="2"/>
  <c r="V355" i="2"/>
  <c r="U355" i="2"/>
  <c r="T355" i="2"/>
  <c r="O355" i="2"/>
  <c r="X354" i="2"/>
  <c r="V354" i="2"/>
  <c r="U354" i="2"/>
  <c r="T354" i="2"/>
  <c r="O354" i="2"/>
  <c r="X353" i="2"/>
  <c r="V353" i="2"/>
  <c r="U353" i="2"/>
  <c r="T353" i="2"/>
  <c r="O353" i="2"/>
  <c r="X352" i="2"/>
  <c r="V352" i="2"/>
  <c r="U352" i="2"/>
  <c r="T352" i="2"/>
  <c r="O352" i="2"/>
  <c r="X351" i="2"/>
  <c r="V351" i="2"/>
  <c r="U351" i="2"/>
  <c r="T351" i="2"/>
  <c r="O351" i="2"/>
  <c r="X350" i="2"/>
  <c r="V350" i="2"/>
  <c r="U350" i="2"/>
  <c r="T350" i="2"/>
  <c r="O350" i="2"/>
  <c r="X349" i="2"/>
  <c r="V349" i="2"/>
  <c r="U349" i="2"/>
  <c r="T349" i="2"/>
  <c r="O349" i="2"/>
  <c r="X348" i="2"/>
  <c r="V348" i="2"/>
  <c r="U348" i="2"/>
  <c r="T348" i="2"/>
  <c r="O348" i="2"/>
  <c r="X347" i="2"/>
  <c r="V347" i="2"/>
  <c r="U347" i="2"/>
  <c r="T347" i="2"/>
  <c r="O347" i="2"/>
  <c r="X346" i="2"/>
  <c r="V346" i="2"/>
  <c r="U346" i="2"/>
  <c r="T346" i="2"/>
  <c r="O346" i="2"/>
  <c r="X345" i="2"/>
  <c r="V345" i="2"/>
  <c r="U345" i="2"/>
  <c r="T345" i="2"/>
  <c r="O345" i="2"/>
  <c r="X344" i="2"/>
  <c r="V344" i="2"/>
  <c r="U344" i="2"/>
  <c r="T344" i="2"/>
  <c r="O344" i="2"/>
  <c r="X343" i="2"/>
  <c r="V343" i="2"/>
  <c r="U343" i="2"/>
  <c r="T343" i="2"/>
  <c r="O343" i="2"/>
  <c r="X342" i="2"/>
  <c r="V342" i="2"/>
  <c r="U342" i="2"/>
  <c r="T342" i="2"/>
  <c r="O342" i="2"/>
  <c r="X341" i="2"/>
  <c r="V341" i="2"/>
  <c r="U341" i="2"/>
  <c r="T341" i="2"/>
  <c r="O341" i="2"/>
  <c r="X340" i="2"/>
  <c r="V340" i="2"/>
  <c r="U340" i="2"/>
  <c r="T340" i="2"/>
  <c r="O340" i="2"/>
  <c r="X339" i="2"/>
  <c r="V339" i="2"/>
  <c r="U339" i="2"/>
  <c r="T339" i="2"/>
  <c r="O339" i="2"/>
  <c r="X338" i="2"/>
  <c r="V338" i="2"/>
  <c r="U338" i="2"/>
  <c r="T338" i="2"/>
  <c r="O338" i="2"/>
  <c r="X337" i="2"/>
  <c r="V337" i="2"/>
  <c r="U337" i="2"/>
  <c r="T337" i="2"/>
  <c r="O337" i="2"/>
  <c r="X336" i="2"/>
  <c r="V336" i="2"/>
  <c r="U336" i="2"/>
  <c r="T336" i="2"/>
  <c r="O336" i="2"/>
  <c r="X335" i="2"/>
  <c r="V335" i="2"/>
  <c r="U335" i="2"/>
  <c r="T335" i="2"/>
  <c r="O335" i="2"/>
  <c r="X334" i="2"/>
  <c r="V334" i="2"/>
  <c r="U334" i="2"/>
  <c r="T334" i="2"/>
  <c r="O334" i="2"/>
  <c r="X333" i="2"/>
  <c r="V333" i="2"/>
  <c r="U333" i="2"/>
  <c r="T333" i="2"/>
  <c r="O333" i="2"/>
  <c r="X332" i="2"/>
  <c r="V332" i="2"/>
  <c r="U332" i="2"/>
  <c r="T332" i="2"/>
  <c r="O332" i="2"/>
  <c r="X331" i="2"/>
  <c r="V331" i="2"/>
  <c r="U331" i="2"/>
  <c r="T331" i="2"/>
  <c r="O331" i="2"/>
  <c r="X330" i="2"/>
  <c r="V330" i="2"/>
  <c r="U330" i="2"/>
  <c r="T330" i="2"/>
  <c r="O330" i="2"/>
  <c r="X329" i="2"/>
  <c r="V329" i="2"/>
  <c r="U329" i="2"/>
  <c r="T329" i="2"/>
  <c r="O329" i="2"/>
  <c r="X328" i="2"/>
  <c r="V328" i="2"/>
  <c r="U328" i="2"/>
  <c r="T328" i="2"/>
  <c r="O328" i="2"/>
  <c r="X327" i="2"/>
  <c r="V327" i="2"/>
  <c r="U327" i="2"/>
  <c r="T327" i="2"/>
  <c r="O327" i="2"/>
  <c r="X326" i="2"/>
  <c r="V326" i="2"/>
  <c r="U326" i="2"/>
  <c r="T326" i="2"/>
  <c r="O326" i="2"/>
  <c r="X325" i="2"/>
  <c r="V325" i="2"/>
  <c r="U325" i="2"/>
  <c r="T325" i="2"/>
  <c r="O325" i="2"/>
  <c r="X324" i="2"/>
  <c r="V324" i="2"/>
  <c r="U324" i="2"/>
  <c r="T324" i="2"/>
  <c r="O324" i="2"/>
  <c r="X323" i="2"/>
  <c r="V323" i="2"/>
  <c r="U323" i="2"/>
  <c r="T323" i="2"/>
  <c r="O323" i="2"/>
  <c r="X322" i="2"/>
  <c r="V322" i="2"/>
  <c r="U322" i="2"/>
  <c r="T322" i="2"/>
  <c r="O322" i="2"/>
  <c r="X321" i="2"/>
  <c r="V321" i="2"/>
  <c r="U321" i="2"/>
  <c r="T321" i="2"/>
  <c r="O321" i="2"/>
  <c r="X320" i="2"/>
  <c r="V320" i="2"/>
  <c r="U320" i="2"/>
  <c r="T320" i="2"/>
  <c r="O320" i="2"/>
  <c r="X319" i="2"/>
  <c r="V319" i="2"/>
  <c r="U319" i="2"/>
  <c r="T319" i="2"/>
  <c r="O319" i="2"/>
  <c r="X318" i="2"/>
  <c r="V318" i="2"/>
  <c r="U318" i="2"/>
  <c r="T318" i="2"/>
  <c r="O318" i="2"/>
  <c r="X317" i="2"/>
  <c r="V317" i="2"/>
  <c r="U317" i="2"/>
  <c r="T317" i="2"/>
  <c r="O317" i="2"/>
  <c r="X316" i="2"/>
  <c r="V316" i="2"/>
  <c r="U316" i="2"/>
  <c r="T316" i="2"/>
  <c r="O316" i="2"/>
  <c r="X315" i="2"/>
  <c r="V315" i="2"/>
  <c r="U315" i="2"/>
  <c r="T315" i="2"/>
  <c r="O315" i="2"/>
  <c r="X314" i="2"/>
  <c r="V314" i="2"/>
  <c r="U314" i="2"/>
  <c r="T314" i="2"/>
  <c r="O314" i="2"/>
  <c r="X313" i="2"/>
  <c r="V313" i="2"/>
  <c r="U313" i="2"/>
  <c r="T313" i="2"/>
  <c r="O313" i="2"/>
  <c r="X312" i="2"/>
  <c r="V312" i="2"/>
  <c r="U312" i="2"/>
  <c r="T312" i="2"/>
  <c r="O312" i="2"/>
  <c r="X311" i="2"/>
  <c r="V311" i="2"/>
  <c r="U311" i="2"/>
  <c r="T311" i="2"/>
  <c r="O311" i="2"/>
  <c r="X310" i="2"/>
  <c r="V310" i="2"/>
  <c r="U310" i="2"/>
  <c r="T310" i="2"/>
  <c r="O310" i="2"/>
  <c r="X309" i="2"/>
  <c r="V309" i="2"/>
  <c r="U309" i="2"/>
  <c r="T309" i="2"/>
  <c r="O309" i="2"/>
  <c r="X308" i="2"/>
  <c r="V308" i="2"/>
  <c r="U308" i="2"/>
  <c r="T308" i="2"/>
  <c r="O308" i="2"/>
  <c r="X307" i="2"/>
  <c r="V307" i="2"/>
  <c r="U307" i="2"/>
  <c r="T307" i="2"/>
  <c r="O307" i="2"/>
  <c r="X306" i="2"/>
  <c r="V306" i="2"/>
  <c r="U306" i="2"/>
  <c r="T306" i="2"/>
  <c r="O306" i="2"/>
  <c r="X305" i="2"/>
  <c r="V305" i="2"/>
  <c r="U305" i="2"/>
  <c r="T305" i="2"/>
  <c r="O305" i="2"/>
  <c r="X304" i="2"/>
  <c r="V304" i="2"/>
  <c r="U304" i="2"/>
  <c r="T304" i="2"/>
  <c r="O304" i="2"/>
  <c r="X303" i="2"/>
  <c r="V303" i="2"/>
  <c r="U303" i="2"/>
  <c r="T303" i="2"/>
  <c r="O303" i="2"/>
  <c r="X302" i="2"/>
  <c r="V302" i="2"/>
  <c r="U302" i="2"/>
  <c r="T302" i="2"/>
  <c r="O302" i="2"/>
  <c r="X301" i="2"/>
  <c r="V301" i="2"/>
  <c r="U301" i="2"/>
  <c r="T301" i="2"/>
  <c r="O301" i="2"/>
  <c r="X300" i="2"/>
  <c r="V300" i="2"/>
  <c r="U300" i="2"/>
  <c r="T300" i="2"/>
  <c r="O300" i="2"/>
  <c r="X299" i="2"/>
  <c r="V299" i="2"/>
  <c r="U299" i="2"/>
  <c r="T299" i="2"/>
  <c r="O299" i="2"/>
  <c r="X298" i="2"/>
  <c r="V298" i="2"/>
  <c r="U298" i="2"/>
  <c r="T298" i="2"/>
  <c r="O298" i="2"/>
  <c r="X297" i="2"/>
  <c r="V297" i="2"/>
  <c r="U297" i="2"/>
  <c r="T297" i="2"/>
  <c r="O297" i="2"/>
  <c r="X296" i="2"/>
  <c r="V296" i="2"/>
  <c r="U296" i="2"/>
  <c r="T296" i="2"/>
  <c r="O296" i="2"/>
  <c r="X295" i="2"/>
  <c r="V295" i="2"/>
  <c r="U295" i="2"/>
  <c r="T295" i="2"/>
  <c r="O295" i="2"/>
  <c r="X294" i="2"/>
  <c r="V294" i="2"/>
  <c r="U294" i="2"/>
  <c r="T294" i="2"/>
  <c r="O294" i="2"/>
  <c r="X293" i="2"/>
  <c r="V293" i="2"/>
  <c r="U293" i="2"/>
  <c r="T293" i="2"/>
  <c r="O293" i="2"/>
  <c r="X292" i="2"/>
  <c r="V292" i="2"/>
  <c r="U292" i="2"/>
  <c r="T292" i="2"/>
  <c r="O292" i="2"/>
  <c r="X291" i="2"/>
  <c r="V291" i="2"/>
  <c r="U291" i="2"/>
  <c r="T291" i="2"/>
  <c r="O291" i="2"/>
  <c r="X290" i="2"/>
  <c r="V290" i="2"/>
  <c r="U290" i="2"/>
  <c r="T290" i="2"/>
  <c r="O290" i="2"/>
  <c r="X289" i="2"/>
  <c r="V289" i="2"/>
  <c r="U289" i="2"/>
  <c r="T289" i="2"/>
  <c r="O289" i="2"/>
  <c r="X288" i="2"/>
  <c r="V288" i="2"/>
  <c r="U288" i="2"/>
  <c r="T288" i="2"/>
  <c r="O288" i="2"/>
  <c r="X287" i="2"/>
  <c r="V287" i="2"/>
  <c r="U287" i="2"/>
  <c r="T287" i="2"/>
  <c r="O287" i="2"/>
  <c r="X286" i="2"/>
  <c r="V286" i="2"/>
  <c r="U286" i="2"/>
  <c r="T286" i="2"/>
  <c r="O286" i="2"/>
  <c r="X285" i="2"/>
  <c r="V285" i="2"/>
  <c r="U285" i="2"/>
  <c r="T285" i="2"/>
  <c r="O285" i="2"/>
  <c r="X284" i="2"/>
  <c r="V284" i="2"/>
  <c r="U284" i="2"/>
  <c r="T284" i="2"/>
  <c r="O284" i="2"/>
  <c r="X283" i="2"/>
  <c r="V283" i="2"/>
  <c r="U283" i="2"/>
  <c r="T283" i="2"/>
  <c r="O283" i="2"/>
  <c r="X282" i="2"/>
  <c r="V282" i="2"/>
  <c r="U282" i="2"/>
  <c r="T282" i="2"/>
  <c r="O282" i="2"/>
  <c r="X281" i="2"/>
  <c r="V281" i="2"/>
  <c r="U281" i="2"/>
  <c r="T281" i="2"/>
  <c r="O281" i="2"/>
  <c r="X280" i="2"/>
  <c r="V280" i="2"/>
  <c r="U280" i="2"/>
  <c r="T280" i="2"/>
  <c r="O280" i="2"/>
  <c r="X279" i="2"/>
  <c r="V279" i="2"/>
  <c r="U279" i="2"/>
  <c r="T279" i="2"/>
  <c r="O279" i="2"/>
  <c r="X278" i="2"/>
  <c r="V278" i="2"/>
  <c r="U278" i="2"/>
  <c r="T278" i="2"/>
  <c r="O278" i="2"/>
  <c r="X277" i="2"/>
  <c r="V277" i="2"/>
  <c r="U277" i="2"/>
  <c r="T277" i="2"/>
  <c r="O277" i="2"/>
  <c r="X276" i="2"/>
  <c r="V276" i="2"/>
  <c r="U276" i="2"/>
  <c r="T276" i="2"/>
  <c r="O276" i="2"/>
  <c r="X275" i="2"/>
  <c r="V275" i="2"/>
  <c r="U275" i="2"/>
  <c r="T275" i="2"/>
  <c r="O275" i="2"/>
  <c r="X274" i="2"/>
  <c r="V274" i="2"/>
  <c r="U274" i="2"/>
  <c r="T274" i="2"/>
  <c r="O274" i="2"/>
  <c r="X273" i="2"/>
  <c r="V273" i="2"/>
  <c r="U273" i="2"/>
  <c r="T273" i="2"/>
  <c r="O273" i="2"/>
  <c r="X272" i="2"/>
  <c r="V272" i="2"/>
  <c r="U272" i="2"/>
  <c r="T272" i="2"/>
  <c r="O272" i="2"/>
  <c r="X271" i="2"/>
  <c r="V271" i="2"/>
  <c r="U271" i="2"/>
  <c r="T271" i="2"/>
  <c r="O271" i="2"/>
  <c r="X270" i="2"/>
  <c r="V270" i="2"/>
  <c r="U270" i="2"/>
  <c r="T270" i="2"/>
  <c r="O270" i="2"/>
  <c r="X269" i="2"/>
  <c r="V269" i="2"/>
  <c r="U269" i="2"/>
  <c r="T269" i="2"/>
  <c r="O269" i="2"/>
  <c r="X268" i="2"/>
  <c r="V268" i="2"/>
  <c r="U268" i="2"/>
  <c r="T268" i="2"/>
  <c r="O268" i="2"/>
  <c r="X267" i="2"/>
  <c r="V267" i="2"/>
  <c r="U267" i="2"/>
  <c r="T267" i="2"/>
  <c r="O267" i="2"/>
  <c r="X266" i="2"/>
  <c r="V266" i="2"/>
  <c r="U266" i="2"/>
  <c r="T266" i="2"/>
  <c r="O266" i="2"/>
  <c r="X265" i="2"/>
  <c r="V265" i="2"/>
  <c r="U265" i="2"/>
  <c r="T265" i="2"/>
  <c r="O265" i="2"/>
  <c r="X264" i="2"/>
  <c r="V264" i="2"/>
  <c r="U264" i="2"/>
  <c r="T264" i="2"/>
  <c r="O264" i="2"/>
  <c r="X263" i="2"/>
  <c r="V263" i="2"/>
  <c r="U263" i="2"/>
  <c r="T263" i="2"/>
  <c r="O263" i="2"/>
  <c r="X262" i="2"/>
  <c r="V262" i="2"/>
  <c r="U262" i="2"/>
  <c r="T262" i="2"/>
  <c r="O262" i="2"/>
  <c r="X261" i="2"/>
  <c r="V261" i="2"/>
  <c r="U261" i="2"/>
  <c r="T261" i="2"/>
  <c r="O261" i="2"/>
  <c r="X260" i="2"/>
  <c r="V260" i="2"/>
  <c r="U260" i="2"/>
  <c r="T260" i="2"/>
  <c r="O260" i="2"/>
  <c r="X259" i="2"/>
  <c r="V259" i="2"/>
  <c r="U259" i="2"/>
  <c r="T259" i="2"/>
  <c r="O259" i="2"/>
  <c r="X258" i="2"/>
  <c r="V258" i="2"/>
  <c r="U258" i="2"/>
  <c r="T258" i="2"/>
  <c r="O258" i="2"/>
  <c r="X257" i="2"/>
  <c r="V257" i="2"/>
  <c r="U257" i="2"/>
  <c r="T257" i="2"/>
  <c r="O257" i="2"/>
  <c r="X256" i="2"/>
  <c r="V256" i="2"/>
  <c r="U256" i="2"/>
  <c r="T256" i="2"/>
  <c r="O256" i="2"/>
  <c r="X255" i="2"/>
  <c r="V255" i="2"/>
  <c r="U255" i="2"/>
  <c r="T255" i="2"/>
  <c r="O255" i="2"/>
  <c r="X254" i="2"/>
  <c r="V254" i="2"/>
  <c r="U254" i="2"/>
  <c r="T254" i="2"/>
  <c r="O254" i="2"/>
  <c r="X253" i="2"/>
  <c r="V253" i="2"/>
  <c r="U253" i="2"/>
  <c r="T253" i="2"/>
  <c r="O253" i="2"/>
  <c r="X252" i="2"/>
  <c r="V252" i="2"/>
  <c r="U252" i="2"/>
  <c r="T252" i="2"/>
  <c r="O252" i="2"/>
  <c r="X251" i="2"/>
  <c r="V251" i="2"/>
  <c r="U251" i="2"/>
  <c r="T251" i="2"/>
  <c r="O251" i="2"/>
  <c r="X250" i="2"/>
  <c r="V250" i="2"/>
  <c r="U250" i="2"/>
  <c r="T250" i="2"/>
  <c r="O250" i="2"/>
  <c r="X249" i="2"/>
  <c r="V249" i="2"/>
  <c r="U249" i="2"/>
  <c r="T249" i="2"/>
  <c r="O249" i="2"/>
  <c r="X248" i="2"/>
  <c r="V248" i="2"/>
  <c r="U248" i="2"/>
  <c r="T248" i="2"/>
  <c r="O248" i="2"/>
  <c r="X247" i="2"/>
  <c r="V247" i="2"/>
  <c r="U247" i="2"/>
  <c r="T247" i="2"/>
  <c r="O247" i="2"/>
  <c r="X246" i="2"/>
  <c r="V246" i="2"/>
  <c r="U246" i="2"/>
  <c r="T246" i="2"/>
  <c r="O246" i="2"/>
  <c r="X245" i="2"/>
  <c r="V245" i="2"/>
  <c r="U245" i="2"/>
  <c r="T245" i="2"/>
  <c r="O245" i="2"/>
  <c r="X244" i="2"/>
  <c r="V244" i="2"/>
  <c r="U244" i="2"/>
  <c r="T244" i="2"/>
  <c r="O244" i="2"/>
  <c r="X243" i="2"/>
  <c r="V243" i="2"/>
  <c r="U243" i="2"/>
  <c r="T243" i="2"/>
  <c r="O243" i="2"/>
  <c r="X242" i="2"/>
  <c r="V242" i="2"/>
  <c r="U242" i="2"/>
  <c r="T242" i="2"/>
  <c r="O242" i="2"/>
  <c r="X241" i="2"/>
  <c r="V241" i="2"/>
  <c r="U241" i="2"/>
  <c r="T241" i="2"/>
  <c r="O241" i="2"/>
  <c r="X240" i="2"/>
  <c r="V240" i="2"/>
  <c r="U240" i="2"/>
  <c r="T240" i="2"/>
  <c r="O240" i="2"/>
  <c r="X239" i="2"/>
  <c r="V239" i="2"/>
  <c r="U239" i="2"/>
  <c r="T239" i="2"/>
  <c r="O239" i="2"/>
  <c r="X238" i="2"/>
  <c r="V238" i="2"/>
  <c r="U238" i="2"/>
  <c r="T238" i="2"/>
  <c r="O238" i="2"/>
  <c r="X237" i="2"/>
  <c r="V237" i="2"/>
  <c r="U237" i="2"/>
  <c r="T237" i="2"/>
  <c r="O237" i="2"/>
  <c r="X236" i="2"/>
  <c r="V236" i="2"/>
  <c r="U236" i="2"/>
  <c r="T236" i="2"/>
  <c r="O236" i="2"/>
  <c r="X235" i="2"/>
  <c r="V235" i="2"/>
  <c r="U235" i="2"/>
  <c r="T235" i="2"/>
  <c r="O235" i="2"/>
  <c r="X234" i="2"/>
  <c r="V234" i="2"/>
  <c r="U234" i="2"/>
  <c r="T234" i="2"/>
  <c r="O234" i="2"/>
  <c r="X233" i="2"/>
  <c r="V233" i="2"/>
  <c r="U233" i="2"/>
  <c r="T233" i="2"/>
  <c r="O233" i="2"/>
  <c r="X232" i="2"/>
  <c r="V232" i="2"/>
  <c r="U232" i="2"/>
  <c r="T232" i="2"/>
  <c r="O232" i="2"/>
  <c r="X231" i="2"/>
  <c r="V231" i="2"/>
  <c r="U231" i="2"/>
  <c r="T231" i="2"/>
  <c r="O231" i="2"/>
  <c r="X230" i="2"/>
  <c r="V230" i="2"/>
  <c r="U230" i="2"/>
  <c r="T230" i="2"/>
  <c r="O230" i="2"/>
  <c r="X229" i="2"/>
  <c r="V229" i="2"/>
  <c r="U229" i="2"/>
  <c r="T229" i="2"/>
  <c r="O229" i="2"/>
  <c r="X228" i="2"/>
  <c r="V228" i="2"/>
  <c r="U228" i="2"/>
  <c r="T228" i="2"/>
  <c r="O228" i="2"/>
  <c r="X227" i="2"/>
  <c r="V227" i="2"/>
  <c r="U227" i="2"/>
  <c r="T227" i="2"/>
  <c r="O227" i="2"/>
  <c r="X226" i="2"/>
  <c r="V226" i="2"/>
  <c r="U226" i="2"/>
  <c r="T226" i="2"/>
  <c r="O226" i="2"/>
  <c r="X225" i="2"/>
  <c r="V225" i="2"/>
  <c r="U225" i="2"/>
  <c r="T225" i="2"/>
  <c r="O225" i="2"/>
  <c r="X224" i="2"/>
  <c r="V224" i="2"/>
  <c r="U224" i="2"/>
  <c r="T224" i="2"/>
  <c r="O224" i="2"/>
  <c r="X223" i="2"/>
  <c r="V223" i="2"/>
  <c r="U223" i="2"/>
  <c r="T223" i="2"/>
  <c r="O223" i="2"/>
  <c r="X222" i="2"/>
  <c r="V222" i="2"/>
  <c r="U222" i="2"/>
  <c r="T222" i="2"/>
  <c r="O222" i="2"/>
  <c r="X221" i="2"/>
  <c r="V221" i="2"/>
  <c r="U221" i="2"/>
  <c r="T221" i="2"/>
  <c r="O221" i="2"/>
  <c r="X220" i="2"/>
  <c r="V220" i="2"/>
  <c r="U220" i="2"/>
  <c r="T220" i="2"/>
  <c r="O220" i="2"/>
  <c r="X219" i="2"/>
  <c r="V219" i="2"/>
  <c r="U219" i="2"/>
  <c r="T219" i="2"/>
  <c r="O219" i="2"/>
  <c r="X218" i="2"/>
  <c r="V218" i="2"/>
  <c r="U218" i="2"/>
  <c r="T218" i="2"/>
  <c r="O218" i="2"/>
  <c r="X217" i="2"/>
  <c r="V217" i="2"/>
  <c r="U217" i="2"/>
  <c r="T217" i="2"/>
  <c r="O217" i="2"/>
  <c r="X216" i="2"/>
  <c r="V216" i="2"/>
  <c r="U216" i="2"/>
  <c r="T216" i="2"/>
  <c r="O216" i="2"/>
  <c r="X215" i="2"/>
  <c r="V215" i="2"/>
  <c r="U215" i="2"/>
  <c r="T215" i="2"/>
  <c r="O215" i="2"/>
  <c r="X214" i="2"/>
  <c r="V214" i="2"/>
  <c r="U214" i="2"/>
  <c r="T214" i="2"/>
  <c r="O214" i="2"/>
  <c r="X213" i="2"/>
  <c r="V213" i="2"/>
  <c r="U213" i="2"/>
  <c r="T213" i="2"/>
  <c r="O213" i="2"/>
  <c r="X212" i="2"/>
  <c r="V212" i="2"/>
  <c r="U212" i="2"/>
  <c r="T212" i="2"/>
  <c r="O212" i="2"/>
  <c r="X211" i="2"/>
  <c r="V211" i="2"/>
  <c r="U211" i="2"/>
  <c r="T211" i="2"/>
  <c r="O211" i="2"/>
  <c r="X210" i="2"/>
  <c r="V210" i="2"/>
  <c r="U210" i="2"/>
  <c r="T210" i="2"/>
  <c r="O210" i="2"/>
  <c r="X209" i="2"/>
  <c r="V209" i="2"/>
  <c r="U209" i="2"/>
  <c r="T209" i="2"/>
  <c r="O209" i="2"/>
  <c r="X208" i="2"/>
  <c r="V208" i="2"/>
  <c r="U208" i="2"/>
  <c r="T208" i="2"/>
  <c r="O208" i="2"/>
  <c r="X207" i="2"/>
  <c r="V207" i="2"/>
  <c r="U207" i="2"/>
  <c r="T207" i="2"/>
  <c r="O207" i="2"/>
  <c r="X206" i="2"/>
  <c r="V206" i="2"/>
  <c r="U206" i="2"/>
  <c r="T206" i="2"/>
  <c r="O206" i="2"/>
  <c r="X205" i="2"/>
  <c r="V205" i="2"/>
  <c r="U205" i="2"/>
  <c r="T205" i="2"/>
  <c r="O205" i="2"/>
  <c r="X204" i="2"/>
  <c r="V204" i="2"/>
  <c r="U204" i="2"/>
  <c r="T204" i="2"/>
  <c r="O204" i="2"/>
  <c r="X203" i="2"/>
  <c r="V203" i="2"/>
  <c r="U203" i="2"/>
  <c r="T203" i="2"/>
  <c r="O203" i="2"/>
  <c r="X202" i="2"/>
  <c r="V202" i="2"/>
  <c r="U202" i="2"/>
  <c r="T202" i="2"/>
  <c r="O202" i="2"/>
  <c r="X201" i="2"/>
  <c r="V201" i="2"/>
  <c r="U201" i="2"/>
  <c r="T201" i="2"/>
  <c r="O201" i="2"/>
  <c r="X200" i="2"/>
  <c r="V200" i="2"/>
  <c r="U200" i="2"/>
  <c r="T200" i="2"/>
  <c r="O200" i="2"/>
  <c r="X199" i="2"/>
  <c r="V199" i="2"/>
  <c r="U199" i="2"/>
  <c r="T199" i="2"/>
  <c r="O199" i="2"/>
  <c r="X198" i="2"/>
  <c r="V198" i="2"/>
  <c r="U198" i="2"/>
  <c r="T198" i="2"/>
  <c r="O198" i="2"/>
  <c r="X197" i="2"/>
  <c r="V197" i="2"/>
  <c r="U197" i="2"/>
  <c r="T197" i="2"/>
  <c r="O197" i="2"/>
  <c r="X196" i="2"/>
  <c r="V196" i="2"/>
  <c r="U196" i="2"/>
  <c r="T196" i="2"/>
  <c r="O196" i="2"/>
  <c r="X195" i="2"/>
  <c r="V195" i="2"/>
  <c r="U195" i="2"/>
  <c r="T195" i="2"/>
  <c r="O195" i="2"/>
  <c r="X194" i="2"/>
  <c r="V194" i="2"/>
  <c r="U194" i="2"/>
  <c r="T194" i="2"/>
  <c r="O194" i="2"/>
  <c r="X193" i="2"/>
  <c r="V193" i="2"/>
  <c r="U193" i="2"/>
  <c r="T193" i="2"/>
  <c r="O193" i="2"/>
  <c r="X192" i="2"/>
  <c r="V192" i="2"/>
  <c r="U192" i="2"/>
  <c r="T192" i="2"/>
  <c r="O192" i="2"/>
  <c r="X191" i="2"/>
  <c r="V191" i="2"/>
  <c r="U191" i="2"/>
  <c r="T191" i="2"/>
  <c r="O191" i="2"/>
  <c r="X190" i="2"/>
  <c r="V190" i="2"/>
  <c r="U190" i="2"/>
  <c r="T190" i="2"/>
  <c r="O190" i="2"/>
  <c r="X189" i="2"/>
  <c r="V189" i="2"/>
  <c r="U189" i="2"/>
  <c r="T189" i="2"/>
  <c r="O189" i="2"/>
  <c r="X188" i="2"/>
  <c r="V188" i="2"/>
  <c r="U188" i="2"/>
  <c r="T188" i="2"/>
  <c r="O188" i="2"/>
  <c r="X187" i="2"/>
  <c r="V187" i="2"/>
  <c r="U187" i="2"/>
  <c r="T187" i="2"/>
  <c r="O187" i="2"/>
  <c r="X186" i="2"/>
  <c r="V186" i="2"/>
  <c r="U186" i="2"/>
  <c r="T186" i="2"/>
  <c r="O186" i="2"/>
  <c r="X185" i="2"/>
  <c r="V185" i="2"/>
  <c r="U185" i="2"/>
  <c r="T185" i="2"/>
  <c r="O185" i="2"/>
  <c r="X184" i="2"/>
  <c r="V184" i="2"/>
  <c r="U184" i="2"/>
  <c r="T184" i="2"/>
  <c r="O184" i="2"/>
  <c r="X183" i="2"/>
  <c r="V183" i="2"/>
  <c r="U183" i="2"/>
  <c r="T183" i="2"/>
  <c r="O183" i="2"/>
  <c r="X182" i="2"/>
  <c r="V182" i="2"/>
  <c r="U182" i="2"/>
  <c r="T182" i="2"/>
  <c r="O182" i="2"/>
  <c r="X181" i="2"/>
  <c r="V181" i="2"/>
  <c r="U181" i="2"/>
  <c r="T181" i="2"/>
  <c r="O181" i="2"/>
  <c r="X180" i="2"/>
  <c r="V180" i="2"/>
  <c r="U180" i="2"/>
  <c r="T180" i="2"/>
  <c r="O180" i="2"/>
  <c r="X179" i="2"/>
  <c r="V179" i="2"/>
  <c r="U179" i="2"/>
  <c r="T179" i="2"/>
  <c r="O179" i="2"/>
  <c r="X178" i="2"/>
  <c r="V178" i="2"/>
  <c r="U178" i="2"/>
  <c r="T178" i="2"/>
  <c r="O178" i="2"/>
  <c r="X177" i="2"/>
  <c r="V177" i="2"/>
  <c r="U177" i="2"/>
  <c r="T177" i="2"/>
  <c r="O177" i="2"/>
  <c r="X176" i="2"/>
  <c r="V176" i="2"/>
  <c r="U176" i="2"/>
  <c r="T176" i="2"/>
  <c r="O176" i="2"/>
  <c r="X175" i="2"/>
  <c r="V175" i="2"/>
  <c r="U175" i="2"/>
  <c r="T175" i="2"/>
  <c r="O175" i="2"/>
  <c r="X174" i="2"/>
  <c r="V174" i="2"/>
  <c r="U174" i="2"/>
  <c r="T174" i="2"/>
  <c r="O174" i="2"/>
  <c r="X173" i="2"/>
  <c r="V173" i="2"/>
  <c r="U173" i="2"/>
  <c r="T173" i="2"/>
  <c r="O173" i="2"/>
  <c r="X172" i="2"/>
  <c r="V172" i="2"/>
  <c r="U172" i="2"/>
  <c r="T172" i="2"/>
  <c r="O172" i="2"/>
  <c r="X171" i="2"/>
  <c r="V171" i="2"/>
  <c r="U171" i="2"/>
  <c r="T171" i="2"/>
  <c r="O171" i="2"/>
  <c r="X170" i="2"/>
  <c r="V170" i="2"/>
  <c r="U170" i="2"/>
  <c r="T170" i="2"/>
  <c r="O170" i="2"/>
  <c r="X169" i="2"/>
  <c r="V169" i="2"/>
  <c r="U169" i="2"/>
  <c r="T169" i="2"/>
  <c r="O169" i="2"/>
  <c r="X168" i="2"/>
  <c r="V168" i="2"/>
  <c r="U168" i="2"/>
  <c r="T168" i="2"/>
  <c r="O168" i="2"/>
  <c r="X167" i="2"/>
  <c r="V167" i="2"/>
  <c r="U167" i="2"/>
  <c r="T167" i="2"/>
  <c r="O167" i="2"/>
  <c r="X166" i="2"/>
  <c r="V166" i="2"/>
  <c r="U166" i="2"/>
  <c r="T166" i="2"/>
  <c r="O166" i="2"/>
  <c r="X165" i="2"/>
  <c r="V165" i="2"/>
  <c r="U165" i="2"/>
  <c r="T165" i="2"/>
  <c r="O165" i="2"/>
  <c r="X164" i="2"/>
  <c r="V164" i="2"/>
  <c r="U164" i="2"/>
  <c r="T164" i="2"/>
  <c r="O164" i="2"/>
  <c r="X163" i="2"/>
  <c r="V163" i="2"/>
  <c r="U163" i="2"/>
  <c r="T163" i="2"/>
  <c r="O163" i="2"/>
  <c r="X162" i="2"/>
  <c r="V162" i="2"/>
  <c r="U162" i="2"/>
  <c r="T162" i="2"/>
  <c r="O162" i="2"/>
  <c r="X161" i="2"/>
  <c r="V161" i="2"/>
  <c r="U161" i="2"/>
  <c r="T161" i="2"/>
  <c r="O161" i="2"/>
  <c r="X160" i="2"/>
  <c r="V160" i="2"/>
  <c r="U160" i="2"/>
  <c r="T160" i="2"/>
  <c r="O160" i="2"/>
  <c r="X159" i="2"/>
  <c r="V159" i="2"/>
  <c r="U159" i="2"/>
  <c r="T159" i="2"/>
  <c r="O159" i="2"/>
  <c r="X158" i="2"/>
  <c r="V158" i="2"/>
  <c r="U158" i="2"/>
  <c r="T158" i="2"/>
  <c r="O158" i="2"/>
  <c r="X157" i="2"/>
  <c r="V157" i="2"/>
  <c r="U157" i="2"/>
  <c r="T157" i="2"/>
  <c r="O157" i="2"/>
  <c r="X156" i="2"/>
  <c r="V156" i="2"/>
  <c r="U156" i="2"/>
  <c r="T156" i="2"/>
  <c r="O156" i="2"/>
  <c r="X155" i="2"/>
  <c r="V155" i="2"/>
  <c r="U155" i="2"/>
  <c r="T155" i="2"/>
  <c r="O155" i="2"/>
  <c r="X154" i="2"/>
  <c r="V154" i="2"/>
  <c r="U154" i="2"/>
  <c r="T154" i="2"/>
  <c r="O154" i="2"/>
  <c r="X153" i="2"/>
  <c r="V153" i="2"/>
  <c r="U153" i="2"/>
  <c r="T153" i="2"/>
  <c r="O153" i="2"/>
  <c r="X152" i="2"/>
  <c r="V152" i="2"/>
  <c r="U152" i="2"/>
  <c r="T152" i="2"/>
  <c r="O152" i="2"/>
  <c r="X151" i="2"/>
  <c r="V151" i="2"/>
  <c r="U151" i="2"/>
  <c r="T151" i="2"/>
  <c r="O151" i="2"/>
  <c r="X150" i="2"/>
  <c r="V150" i="2"/>
  <c r="U150" i="2"/>
  <c r="T150" i="2"/>
  <c r="O150" i="2"/>
  <c r="X149" i="2"/>
  <c r="V149" i="2"/>
  <c r="U149" i="2"/>
  <c r="T149" i="2"/>
  <c r="O149" i="2"/>
  <c r="X148" i="2"/>
  <c r="V148" i="2"/>
  <c r="U148" i="2"/>
  <c r="T148" i="2"/>
  <c r="O148" i="2"/>
  <c r="X147" i="2"/>
  <c r="V147" i="2"/>
  <c r="U147" i="2"/>
  <c r="T147" i="2"/>
  <c r="O147" i="2"/>
  <c r="X146" i="2"/>
  <c r="V146" i="2"/>
  <c r="U146" i="2"/>
  <c r="T146" i="2"/>
  <c r="O146" i="2"/>
  <c r="X145" i="2"/>
  <c r="V145" i="2"/>
  <c r="U145" i="2"/>
  <c r="T145" i="2"/>
  <c r="O145" i="2"/>
  <c r="X144" i="2"/>
  <c r="V144" i="2"/>
  <c r="U144" i="2"/>
  <c r="T144" i="2"/>
  <c r="O144" i="2"/>
  <c r="X143" i="2"/>
  <c r="V143" i="2"/>
  <c r="U143" i="2"/>
  <c r="T143" i="2"/>
  <c r="O143" i="2"/>
  <c r="X142" i="2"/>
  <c r="V142" i="2"/>
  <c r="U142" i="2"/>
  <c r="T142" i="2"/>
  <c r="O142" i="2"/>
  <c r="X141" i="2"/>
  <c r="V141" i="2"/>
  <c r="U141" i="2"/>
  <c r="T141" i="2"/>
  <c r="O141" i="2"/>
  <c r="X140" i="2"/>
  <c r="V140" i="2"/>
  <c r="U140" i="2"/>
  <c r="T140" i="2"/>
  <c r="O140" i="2"/>
  <c r="X139" i="2"/>
  <c r="V139" i="2"/>
  <c r="U139" i="2"/>
  <c r="T139" i="2"/>
  <c r="O139" i="2"/>
  <c r="X138" i="2"/>
  <c r="V138" i="2"/>
  <c r="U138" i="2"/>
  <c r="T138" i="2"/>
  <c r="O138" i="2"/>
  <c r="X137" i="2"/>
  <c r="V137" i="2"/>
  <c r="U137" i="2"/>
  <c r="T137" i="2"/>
  <c r="O137" i="2"/>
  <c r="X136" i="2"/>
  <c r="V136" i="2"/>
  <c r="U136" i="2"/>
  <c r="T136" i="2"/>
  <c r="O136" i="2"/>
  <c r="X135" i="2"/>
  <c r="V135" i="2"/>
  <c r="U135" i="2"/>
  <c r="T135" i="2"/>
  <c r="O135" i="2"/>
  <c r="X134" i="2"/>
  <c r="V134" i="2"/>
  <c r="U134" i="2"/>
  <c r="T134" i="2"/>
  <c r="O134" i="2"/>
  <c r="X133" i="2"/>
  <c r="V133" i="2"/>
  <c r="U133" i="2"/>
  <c r="T133" i="2"/>
  <c r="O133" i="2"/>
  <c r="X132" i="2"/>
  <c r="V132" i="2"/>
  <c r="U132" i="2"/>
  <c r="T132" i="2"/>
  <c r="O132" i="2"/>
  <c r="X131" i="2"/>
  <c r="V131" i="2"/>
  <c r="U131" i="2"/>
  <c r="T131" i="2"/>
  <c r="O131" i="2"/>
  <c r="X130" i="2"/>
  <c r="V130" i="2"/>
  <c r="U130" i="2"/>
  <c r="T130" i="2"/>
  <c r="O130" i="2"/>
  <c r="X129" i="2"/>
  <c r="V129" i="2"/>
  <c r="U129" i="2"/>
  <c r="T129" i="2"/>
  <c r="O129" i="2"/>
  <c r="X128" i="2"/>
  <c r="V128" i="2"/>
  <c r="U128" i="2"/>
  <c r="T128" i="2"/>
  <c r="O128" i="2"/>
  <c r="X127" i="2"/>
  <c r="V127" i="2"/>
  <c r="U127" i="2"/>
  <c r="T127" i="2"/>
  <c r="O127" i="2"/>
  <c r="X126" i="2"/>
  <c r="V126" i="2"/>
  <c r="U126" i="2"/>
  <c r="T126" i="2"/>
  <c r="O126" i="2"/>
  <c r="X125" i="2"/>
  <c r="V125" i="2"/>
  <c r="U125" i="2"/>
  <c r="T125" i="2"/>
  <c r="O125" i="2"/>
  <c r="X124" i="2"/>
  <c r="V124" i="2"/>
  <c r="U124" i="2"/>
  <c r="T124" i="2"/>
  <c r="O124" i="2"/>
  <c r="X123" i="2"/>
  <c r="V123" i="2"/>
  <c r="U123" i="2"/>
  <c r="T123" i="2"/>
  <c r="O123" i="2"/>
  <c r="X122" i="2"/>
  <c r="V122" i="2"/>
  <c r="U122" i="2"/>
  <c r="T122" i="2"/>
  <c r="O122" i="2"/>
  <c r="X121" i="2"/>
  <c r="V121" i="2"/>
  <c r="U121" i="2"/>
  <c r="T121" i="2"/>
  <c r="O121" i="2"/>
  <c r="X120" i="2"/>
  <c r="V120" i="2"/>
  <c r="U120" i="2"/>
  <c r="T120" i="2"/>
  <c r="O120" i="2"/>
  <c r="X119" i="2"/>
  <c r="V119" i="2"/>
  <c r="U119" i="2"/>
  <c r="T119" i="2"/>
  <c r="O119" i="2"/>
  <c r="X118" i="2"/>
  <c r="V118" i="2"/>
  <c r="U118" i="2"/>
  <c r="T118" i="2"/>
  <c r="O118" i="2"/>
  <c r="X117" i="2"/>
  <c r="V117" i="2"/>
  <c r="U117" i="2"/>
  <c r="T117" i="2"/>
  <c r="O117" i="2"/>
  <c r="X116" i="2"/>
  <c r="V116" i="2"/>
  <c r="U116" i="2"/>
  <c r="T116" i="2"/>
  <c r="O116" i="2"/>
  <c r="X115" i="2"/>
  <c r="V115" i="2"/>
  <c r="U115" i="2"/>
  <c r="T115" i="2"/>
  <c r="O115" i="2"/>
  <c r="X114" i="2"/>
  <c r="V114" i="2"/>
  <c r="U114" i="2"/>
  <c r="T114" i="2"/>
  <c r="O114" i="2"/>
  <c r="X113" i="2"/>
  <c r="V113" i="2"/>
  <c r="U113" i="2"/>
  <c r="T113" i="2"/>
  <c r="O113" i="2"/>
  <c r="X112" i="2"/>
  <c r="V112" i="2"/>
  <c r="U112" i="2"/>
  <c r="T112" i="2"/>
  <c r="O112" i="2"/>
  <c r="X111" i="2"/>
  <c r="V111" i="2"/>
  <c r="U111" i="2"/>
  <c r="T111" i="2"/>
  <c r="O111" i="2"/>
  <c r="X110" i="2"/>
  <c r="V110" i="2"/>
  <c r="U110" i="2"/>
  <c r="T110" i="2"/>
  <c r="O110" i="2"/>
  <c r="X109" i="2"/>
  <c r="V109" i="2"/>
  <c r="U109" i="2"/>
  <c r="T109" i="2"/>
  <c r="O109" i="2"/>
  <c r="X108" i="2"/>
  <c r="V108" i="2"/>
  <c r="U108" i="2"/>
  <c r="T108" i="2"/>
  <c r="O108" i="2"/>
  <c r="X107" i="2"/>
  <c r="V107" i="2"/>
  <c r="U107" i="2"/>
  <c r="T107" i="2"/>
  <c r="O107" i="2"/>
  <c r="X106" i="2"/>
  <c r="V106" i="2"/>
  <c r="U106" i="2"/>
  <c r="T106" i="2"/>
  <c r="O106" i="2"/>
  <c r="X105" i="2"/>
  <c r="V105" i="2"/>
  <c r="U105" i="2"/>
  <c r="T105" i="2"/>
  <c r="O105" i="2"/>
  <c r="X104" i="2"/>
  <c r="V104" i="2"/>
  <c r="U104" i="2"/>
  <c r="T104" i="2"/>
  <c r="O104" i="2"/>
  <c r="X103" i="2"/>
  <c r="V103" i="2"/>
  <c r="U103" i="2"/>
  <c r="T103" i="2"/>
  <c r="O103" i="2"/>
  <c r="X102" i="2"/>
  <c r="V102" i="2"/>
  <c r="U102" i="2"/>
  <c r="T102" i="2"/>
  <c r="O102" i="2"/>
  <c r="X101" i="2"/>
  <c r="V101" i="2"/>
  <c r="U101" i="2"/>
  <c r="T101" i="2"/>
  <c r="O101" i="2"/>
  <c r="X100" i="2"/>
  <c r="V100" i="2"/>
  <c r="U100" i="2"/>
  <c r="T100" i="2"/>
  <c r="O100" i="2"/>
  <c r="X99" i="2"/>
  <c r="V99" i="2"/>
  <c r="U99" i="2"/>
  <c r="T99" i="2"/>
  <c r="O99" i="2"/>
  <c r="X98" i="2"/>
  <c r="V98" i="2"/>
  <c r="U98" i="2"/>
  <c r="T98" i="2"/>
  <c r="O98" i="2"/>
  <c r="X97" i="2"/>
  <c r="V97" i="2"/>
  <c r="U97" i="2"/>
  <c r="T97" i="2"/>
  <c r="O97" i="2"/>
  <c r="X96" i="2"/>
  <c r="V96" i="2"/>
  <c r="U96" i="2"/>
  <c r="T96" i="2"/>
  <c r="O96" i="2"/>
  <c r="X95" i="2"/>
  <c r="V95" i="2"/>
  <c r="U95" i="2"/>
  <c r="T95" i="2"/>
  <c r="O95" i="2"/>
  <c r="X94" i="2"/>
  <c r="V94" i="2"/>
  <c r="U94" i="2"/>
  <c r="T94" i="2"/>
  <c r="O94" i="2"/>
  <c r="X93" i="2"/>
  <c r="V93" i="2"/>
  <c r="U93" i="2"/>
  <c r="T93" i="2"/>
  <c r="O93" i="2"/>
  <c r="X92" i="2"/>
  <c r="V92" i="2"/>
  <c r="U92" i="2"/>
  <c r="T92" i="2"/>
  <c r="O92" i="2"/>
  <c r="X91" i="2"/>
  <c r="V91" i="2"/>
  <c r="U91" i="2"/>
  <c r="T91" i="2"/>
  <c r="O91" i="2"/>
  <c r="X90" i="2"/>
  <c r="V90" i="2"/>
  <c r="U90" i="2"/>
  <c r="T90" i="2"/>
  <c r="O90" i="2"/>
  <c r="X89" i="2"/>
  <c r="V89" i="2"/>
  <c r="U89" i="2"/>
  <c r="T89" i="2"/>
  <c r="O89" i="2"/>
  <c r="X88" i="2"/>
  <c r="V88" i="2"/>
  <c r="U88" i="2"/>
  <c r="T88" i="2"/>
  <c r="O88" i="2"/>
  <c r="X87" i="2"/>
  <c r="V87" i="2"/>
  <c r="U87" i="2"/>
  <c r="T87" i="2"/>
  <c r="O87" i="2"/>
  <c r="X86" i="2"/>
  <c r="V86" i="2"/>
  <c r="U86" i="2"/>
  <c r="T86" i="2"/>
  <c r="O86" i="2"/>
  <c r="X85" i="2"/>
  <c r="V85" i="2"/>
  <c r="U85" i="2"/>
  <c r="T85" i="2"/>
  <c r="O85" i="2"/>
  <c r="X84" i="2"/>
  <c r="V84" i="2"/>
  <c r="U84" i="2"/>
  <c r="T84" i="2"/>
  <c r="O84" i="2"/>
  <c r="X83" i="2"/>
  <c r="V83" i="2"/>
  <c r="U83" i="2"/>
  <c r="T83" i="2"/>
  <c r="O83" i="2"/>
  <c r="X82" i="2"/>
  <c r="V82" i="2"/>
  <c r="U82" i="2"/>
  <c r="T82" i="2"/>
  <c r="O82" i="2"/>
  <c r="X81" i="2"/>
  <c r="V81" i="2"/>
  <c r="U81" i="2"/>
  <c r="T81" i="2"/>
  <c r="O81" i="2"/>
  <c r="X80" i="2"/>
  <c r="V80" i="2"/>
  <c r="U80" i="2"/>
  <c r="T80" i="2"/>
  <c r="O80" i="2"/>
  <c r="X79" i="2"/>
  <c r="V79" i="2"/>
  <c r="U79" i="2"/>
  <c r="T79" i="2"/>
  <c r="O79" i="2"/>
  <c r="X78" i="2"/>
  <c r="V78" i="2"/>
  <c r="U78" i="2"/>
  <c r="T78" i="2"/>
  <c r="O78" i="2"/>
  <c r="X77" i="2"/>
  <c r="V77" i="2"/>
  <c r="U77" i="2"/>
  <c r="T77" i="2"/>
  <c r="O77" i="2"/>
  <c r="X76" i="2"/>
  <c r="V76" i="2"/>
  <c r="U76" i="2"/>
  <c r="T76" i="2"/>
  <c r="O76" i="2"/>
  <c r="X75" i="2"/>
  <c r="V75" i="2"/>
  <c r="U75" i="2"/>
  <c r="T75" i="2"/>
  <c r="O75" i="2"/>
  <c r="X74" i="2"/>
  <c r="V74" i="2"/>
  <c r="U74" i="2"/>
  <c r="T74" i="2"/>
  <c r="O74" i="2"/>
  <c r="X73" i="2"/>
  <c r="V73" i="2"/>
  <c r="U73" i="2"/>
  <c r="T73" i="2"/>
  <c r="O73" i="2"/>
  <c r="X72" i="2"/>
  <c r="V72" i="2"/>
  <c r="U72" i="2"/>
  <c r="T72" i="2"/>
  <c r="O72" i="2"/>
  <c r="X71" i="2"/>
  <c r="V71" i="2"/>
  <c r="U71" i="2"/>
  <c r="T71" i="2"/>
  <c r="O71" i="2"/>
  <c r="X70" i="2"/>
  <c r="V70" i="2"/>
  <c r="U70" i="2"/>
  <c r="T70" i="2"/>
  <c r="O70" i="2"/>
  <c r="X69" i="2"/>
  <c r="V69" i="2"/>
  <c r="U69" i="2"/>
  <c r="T69" i="2"/>
  <c r="O69" i="2"/>
  <c r="X68" i="2"/>
  <c r="V68" i="2"/>
  <c r="U68" i="2"/>
  <c r="T68" i="2"/>
  <c r="O68" i="2"/>
  <c r="X67" i="2"/>
  <c r="V67" i="2"/>
  <c r="U67" i="2"/>
  <c r="T67" i="2"/>
  <c r="O67" i="2"/>
  <c r="X66" i="2"/>
  <c r="V66" i="2"/>
  <c r="U66" i="2"/>
  <c r="T66" i="2"/>
  <c r="O66" i="2"/>
  <c r="X65" i="2"/>
  <c r="V65" i="2"/>
  <c r="U65" i="2"/>
  <c r="T65" i="2"/>
  <c r="O65" i="2"/>
  <c r="X64" i="2"/>
  <c r="V64" i="2"/>
  <c r="U64" i="2"/>
  <c r="T64" i="2"/>
  <c r="O64" i="2"/>
  <c r="X63" i="2"/>
  <c r="V63" i="2"/>
  <c r="U63" i="2"/>
  <c r="T63" i="2"/>
  <c r="O63" i="2"/>
  <c r="X62" i="2"/>
  <c r="V62" i="2"/>
  <c r="U62" i="2"/>
  <c r="T62" i="2"/>
  <c r="O62" i="2"/>
  <c r="X61" i="2"/>
  <c r="V61" i="2"/>
  <c r="U61" i="2"/>
  <c r="T61" i="2"/>
  <c r="O61" i="2"/>
  <c r="X60" i="2"/>
  <c r="V60" i="2"/>
  <c r="U60" i="2"/>
  <c r="T60" i="2"/>
  <c r="O60" i="2"/>
  <c r="X59" i="2"/>
  <c r="V59" i="2"/>
  <c r="U59" i="2"/>
  <c r="T59" i="2"/>
  <c r="O59" i="2"/>
  <c r="X58" i="2"/>
  <c r="V58" i="2"/>
  <c r="U58" i="2"/>
  <c r="T58" i="2"/>
  <c r="O58" i="2"/>
  <c r="X57" i="2"/>
  <c r="V57" i="2"/>
  <c r="U57" i="2"/>
  <c r="T57" i="2"/>
  <c r="O57" i="2"/>
  <c r="X56" i="2"/>
  <c r="V56" i="2"/>
  <c r="U56" i="2"/>
  <c r="T56" i="2"/>
  <c r="O56" i="2"/>
  <c r="X55" i="2"/>
  <c r="V55" i="2"/>
  <c r="U55" i="2"/>
  <c r="T55" i="2"/>
  <c r="O55" i="2"/>
  <c r="X54" i="2"/>
  <c r="V54" i="2"/>
  <c r="U54" i="2"/>
  <c r="T54" i="2"/>
  <c r="O54" i="2"/>
  <c r="X53" i="2"/>
  <c r="V53" i="2"/>
  <c r="U53" i="2"/>
  <c r="T53" i="2"/>
  <c r="O53" i="2"/>
  <c r="X52" i="2"/>
  <c r="V52" i="2"/>
  <c r="U52" i="2"/>
  <c r="T52" i="2"/>
  <c r="O52" i="2"/>
  <c r="X51" i="2"/>
  <c r="V51" i="2"/>
  <c r="U51" i="2"/>
  <c r="T51" i="2"/>
  <c r="O51" i="2"/>
  <c r="X50" i="2"/>
  <c r="V50" i="2"/>
  <c r="U50" i="2"/>
  <c r="T50" i="2"/>
  <c r="O50" i="2"/>
  <c r="X49" i="2"/>
  <c r="V49" i="2"/>
  <c r="U49" i="2"/>
  <c r="T49" i="2"/>
  <c r="O49" i="2"/>
  <c r="X48" i="2"/>
  <c r="V48" i="2"/>
  <c r="U48" i="2"/>
  <c r="T48" i="2"/>
  <c r="O48" i="2"/>
  <c r="X47" i="2"/>
  <c r="V47" i="2"/>
  <c r="U47" i="2"/>
  <c r="T47" i="2"/>
  <c r="O47" i="2"/>
  <c r="X46" i="2"/>
  <c r="V46" i="2"/>
  <c r="U46" i="2"/>
  <c r="T46" i="2"/>
  <c r="O46" i="2"/>
  <c r="X45" i="2"/>
  <c r="V45" i="2"/>
  <c r="U45" i="2"/>
  <c r="T45" i="2"/>
  <c r="O45" i="2"/>
  <c r="X44" i="2"/>
  <c r="V44" i="2"/>
  <c r="U44" i="2"/>
  <c r="T44" i="2"/>
  <c r="O44" i="2"/>
  <c r="X43" i="2"/>
  <c r="V43" i="2"/>
  <c r="U43" i="2"/>
  <c r="T43" i="2"/>
  <c r="O43" i="2"/>
  <c r="X42" i="2"/>
  <c r="V42" i="2"/>
  <c r="U42" i="2"/>
  <c r="T42" i="2"/>
  <c r="O42" i="2"/>
  <c r="X41" i="2"/>
  <c r="V41" i="2"/>
  <c r="U41" i="2"/>
  <c r="T41" i="2"/>
  <c r="O41" i="2"/>
  <c r="X40" i="2"/>
  <c r="V40" i="2"/>
  <c r="U40" i="2"/>
  <c r="T40" i="2"/>
  <c r="O40" i="2"/>
  <c r="X39" i="2"/>
  <c r="V39" i="2"/>
  <c r="U39" i="2"/>
  <c r="T39" i="2"/>
  <c r="O39" i="2"/>
  <c r="X38" i="2"/>
  <c r="V38" i="2"/>
  <c r="U38" i="2"/>
  <c r="T38" i="2"/>
  <c r="O38" i="2"/>
  <c r="X37" i="2"/>
  <c r="V37" i="2"/>
  <c r="U37" i="2"/>
  <c r="T37" i="2"/>
  <c r="O37" i="2"/>
  <c r="X36" i="2"/>
  <c r="V36" i="2"/>
  <c r="U36" i="2"/>
  <c r="T36" i="2"/>
  <c r="O36" i="2"/>
  <c r="X35" i="2"/>
  <c r="V35" i="2"/>
  <c r="U35" i="2"/>
  <c r="T35" i="2"/>
  <c r="O35" i="2"/>
  <c r="X34" i="2"/>
  <c r="V34" i="2"/>
  <c r="U34" i="2"/>
  <c r="T34" i="2"/>
  <c r="O34" i="2"/>
  <c r="X33" i="2"/>
  <c r="V33" i="2"/>
  <c r="U33" i="2"/>
  <c r="T33" i="2"/>
  <c r="O33" i="2"/>
  <c r="X32" i="2"/>
  <c r="V32" i="2"/>
  <c r="U32" i="2"/>
  <c r="T32" i="2"/>
  <c r="O32" i="2"/>
  <c r="X31" i="2"/>
  <c r="V31" i="2"/>
  <c r="U31" i="2"/>
  <c r="T31" i="2"/>
  <c r="O31" i="2"/>
  <c r="X30" i="2"/>
  <c r="V30" i="2"/>
  <c r="U30" i="2"/>
  <c r="T30" i="2"/>
  <c r="O30" i="2"/>
  <c r="X29" i="2"/>
  <c r="V29" i="2"/>
  <c r="U29" i="2"/>
  <c r="T29" i="2"/>
  <c r="O29" i="2"/>
  <c r="X28" i="2"/>
  <c r="V28" i="2"/>
  <c r="U28" i="2"/>
  <c r="T28" i="2"/>
  <c r="O28" i="2"/>
  <c r="X27" i="2"/>
  <c r="V27" i="2"/>
  <c r="U27" i="2"/>
  <c r="T27" i="2"/>
  <c r="O27" i="2"/>
  <c r="X26" i="2"/>
  <c r="V26" i="2"/>
  <c r="U26" i="2"/>
  <c r="T26" i="2"/>
  <c r="O26" i="2"/>
  <c r="X25" i="2"/>
  <c r="V25" i="2"/>
  <c r="U25" i="2"/>
  <c r="T25" i="2"/>
  <c r="O25" i="2"/>
  <c r="X24" i="2"/>
  <c r="V24" i="2"/>
  <c r="U24" i="2"/>
  <c r="T24" i="2"/>
  <c r="O24" i="2"/>
  <c r="X23" i="2"/>
  <c r="V23" i="2"/>
  <c r="U23" i="2"/>
  <c r="T23" i="2"/>
  <c r="O23" i="2"/>
  <c r="X22" i="2"/>
  <c r="V22" i="2"/>
  <c r="U22" i="2"/>
  <c r="T22" i="2"/>
  <c r="O22" i="2"/>
  <c r="X21" i="2"/>
  <c r="V21" i="2"/>
  <c r="U21" i="2"/>
  <c r="T21" i="2"/>
  <c r="O21" i="2"/>
  <c r="X20" i="2"/>
  <c r="V20" i="2"/>
  <c r="U20" i="2"/>
  <c r="T20" i="2"/>
  <c r="O20" i="2"/>
  <c r="X19" i="2"/>
  <c r="V19" i="2"/>
  <c r="U19" i="2"/>
  <c r="T19" i="2"/>
  <c r="O19" i="2"/>
  <c r="X18" i="2"/>
  <c r="V18" i="2"/>
  <c r="U18" i="2"/>
  <c r="T18" i="2"/>
  <c r="O18" i="2"/>
  <c r="X17" i="2"/>
  <c r="V17" i="2"/>
  <c r="U17" i="2"/>
  <c r="T17" i="2"/>
  <c r="O17" i="2"/>
  <c r="X16" i="2"/>
  <c r="V16" i="2"/>
  <c r="U16" i="2"/>
  <c r="T16" i="2"/>
  <c r="O16" i="2"/>
  <c r="X15" i="2"/>
  <c r="V15" i="2"/>
  <c r="U15" i="2"/>
  <c r="T15" i="2"/>
  <c r="O15" i="2"/>
  <c r="X14" i="2"/>
  <c r="V14" i="2"/>
  <c r="U14" i="2"/>
  <c r="T14" i="2"/>
  <c r="O14" i="2"/>
  <c r="X13" i="2"/>
  <c r="V13" i="2"/>
  <c r="U13" i="2"/>
  <c r="T13" i="2"/>
  <c r="O13" i="2"/>
  <c r="X12" i="2"/>
  <c r="V12" i="2"/>
  <c r="U12" i="2"/>
  <c r="T12" i="2"/>
  <c r="O12" i="2"/>
  <c r="X11" i="2"/>
  <c r="V11" i="2"/>
  <c r="U11" i="2"/>
  <c r="T11" i="2"/>
  <c r="O11" i="2"/>
  <c r="X10" i="2"/>
  <c r="V10" i="2"/>
  <c r="U10" i="2"/>
  <c r="T10" i="2"/>
  <c r="O10" i="2"/>
  <c r="X9" i="2"/>
  <c r="V9" i="2"/>
  <c r="U9" i="2"/>
  <c r="T9" i="2"/>
  <c r="O9" i="2"/>
  <c r="X8" i="2"/>
  <c r="V8" i="2"/>
  <c r="U8" i="2"/>
  <c r="T8" i="2"/>
  <c r="O8" i="2"/>
  <c r="X7" i="2"/>
  <c r="V7" i="2"/>
  <c r="U7" i="2"/>
  <c r="T7" i="2"/>
  <c r="O7" i="2"/>
  <c r="X6" i="2"/>
  <c r="V6" i="2"/>
  <c r="U6" i="2"/>
  <c r="T6" i="2"/>
  <c r="O6" i="2"/>
  <c r="X5" i="2"/>
  <c r="V5" i="2"/>
  <c r="U5" i="2"/>
  <c r="T5" i="2"/>
  <c r="O5" i="2"/>
  <c r="X4" i="2"/>
  <c r="V4" i="2"/>
  <c r="U4" i="2"/>
  <c r="T4" i="2"/>
  <c r="O4" i="2"/>
  <c r="W2" i="2"/>
  <c r="K2" i="2"/>
  <c r="B1" i="2"/>
  <c r="N2" i="2" l="1"/>
  <c r="L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Entry</author>
  </authors>
  <commentList>
    <comment ref="B1" authorId="0" shapeId="0" xr:uid="{CD23A939-80C7-44F6-B380-0559A3DF84BE}">
      <text>
        <r>
          <rPr>
            <i/>
            <sz val="9"/>
            <color indexed="81"/>
            <rFont val="Tahoma"/>
            <family val="2"/>
          </rPr>
          <t xml:space="preserve">technova outsource rate as per </t>
        </r>
        <r>
          <rPr>
            <b/>
            <i/>
            <sz val="9"/>
            <color indexed="81"/>
            <rFont val="Tahoma"/>
            <family val="2"/>
          </rPr>
          <t>Robert'</t>
        </r>
        <r>
          <rPr>
            <i/>
            <sz val="9"/>
            <color indexed="81"/>
            <rFont val="Tahoma"/>
            <family val="2"/>
          </rPr>
          <t>s report</t>
        </r>
      </text>
    </comment>
  </commentList>
</comments>
</file>

<file path=xl/sharedStrings.xml><?xml version="1.0" encoding="utf-8"?>
<sst xmlns="http://schemas.openxmlformats.org/spreadsheetml/2006/main" count="22104" uniqueCount="4757">
  <si>
    <t>Date</t>
  </si>
  <si>
    <t>Party Name</t>
  </si>
  <si>
    <t>PO #</t>
  </si>
  <si>
    <t>Item Name</t>
  </si>
  <si>
    <t>Size</t>
  </si>
  <si>
    <t>Mic</t>
  </si>
  <si>
    <t>Actual Quantity</t>
  </si>
  <si>
    <t>Rate</t>
  </si>
  <si>
    <t>Unit</t>
  </si>
  <si>
    <t>Amount</t>
  </si>
  <si>
    <t>Rate Check</t>
  </si>
  <si>
    <t>Purchase/Sales Ledger</t>
  </si>
  <si>
    <t>Voucher Number</t>
  </si>
  <si>
    <t>Reference</t>
  </si>
  <si>
    <t>Kg</t>
  </si>
  <si>
    <t>NYLON</t>
  </si>
  <si>
    <t>FOIL</t>
  </si>
  <si>
    <t>MET PET</t>
  </si>
  <si>
    <t>PET</t>
  </si>
  <si>
    <t>TPE</t>
  </si>
  <si>
    <t>MCPP</t>
  </si>
  <si>
    <t>CHEM PET/12 MIC/1213mm/OSCP</t>
  </si>
  <si>
    <t>Nos</t>
  </si>
  <si>
    <t>MOPP</t>
  </si>
  <si>
    <t>TOPP</t>
  </si>
  <si>
    <t>Kemsol</t>
  </si>
  <si>
    <t>Solvent - Ethyl Acetate</t>
  </si>
  <si>
    <t>SOLVENT</t>
  </si>
  <si>
    <t>ETHYL ACETATE</t>
  </si>
  <si>
    <t>Solvent - Ethanol</t>
  </si>
  <si>
    <t>ETHANOL</t>
  </si>
  <si>
    <t>Solvent - Iso Propyl Alcohol</t>
  </si>
  <si>
    <t>IPA</t>
  </si>
  <si>
    <t>Solvent - N Propyl Acetate</t>
  </si>
  <si>
    <t>NPA</t>
  </si>
  <si>
    <t>TOPP/20 MIC/1113mm/OST/2HS</t>
  </si>
  <si>
    <t>MOPP/20 MIC/1190mm/OST/2HS</t>
  </si>
  <si>
    <t>TOPP/20 MIC/1238mm/OST/2HS</t>
  </si>
  <si>
    <t>TOPP/20 MIC/1278mm/OST/2HS</t>
  </si>
  <si>
    <t>TOPP/20 MIC/1073mm/OST/2HS</t>
  </si>
  <si>
    <t>MOPP/20 MIC/1073mm/OST/2HS</t>
  </si>
  <si>
    <t/>
  </si>
  <si>
    <t>CHEM PET/12 MIC/713mm/OSC</t>
  </si>
  <si>
    <t>CHEM PET/12 MIC/913mm/OSCP</t>
  </si>
  <si>
    <t>MATTE TOPP</t>
  </si>
  <si>
    <t>CHEM PET/12 MIC/1173mm/OSCP</t>
  </si>
  <si>
    <t>ADHESIVE</t>
  </si>
  <si>
    <t>TOPP/20 MIC/1153mm/OST/2HS</t>
  </si>
  <si>
    <t>DOW EUROPE GMBH</t>
  </si>
  <si>
    <t>Solvent - Methoxy Propanol (PM)</t>
  </si>
  <si>
    <t>PM</t>
  </si>
  <si>
    <t>CHEM PET/12 MIC/1013mm/OSCP</t>
  </si>
  <si>
    <t>CHEM PET/12 MIC/1238mm/OSCP</t>
  </si>
  <si>
    <t>35802</t>
  </si>
  <si>
    <t>35796</t>
  </si>
  <si>
    <t>35798</t>
  </si>
  <si>
    <t>35808</t>
  </si>
  <si>
    <t>35840</t>
  </si>
  <si>
    <t>A.Foil/7 MIC/945MM/Soft</t>
  </si>
  <si>
    <t>35843</t>
  </si>
  <si>
    <t>35848</t>
  </si>
  <si>
    <t>35888</t>
  </si>
  <si>
    <t>35907</t>
  </si>
  <si>
    <t>35926</t>
  </si>
  <si>
    <t>35916</t>
  </si>
  <si>
    <t>Adhesive - Lamination Cleaner 200</t>
  </si>
  <si>
    <t>LAM CLEANER 200</t>
  </si>
  <si>
    <t>35979</t>
  </si>
  <si>
    <t>A.Foil/9 Mic/945 Mm/soft</t>
  </si>
  <si>
    <t>DINGSHENG ALUMINIUM INDUSTRIES (HONG KONG) TRADING CO. LTD</t>
  </si>
  <si>
    <t>JBF Rak LLc</t>
  </si>
  <si>
    <t>Adhesive  - More Free 75-300</t>
  </si>
  <si>
    <t>MF 75-300</t>
  </si>
  <si>
    <t>RHAPSODIC (FZE)</t>
  </si>
  <si>
    <t>TAWAZON CHEMICAL COMPANY (L.L.C)</t>
  </si>
  <si>
    <t>GULF PACKAGING INDUSTRIES LTD</t>
  </si>
  <si>
    <t>Purchase Film - GCC - OPP - MATTE OPP</t>
  </si>
  <si>
    <t>Purchase Film - GCC - OPP - TOPP</t>
  </si>
  <si>
    <t>Purchase Solvent - UAE</t>
  </si>
  <si>
    <t>Purchase Film - GCC - OPP - MOPP</t>
  </si>
  <si>
    <t xml:space="preserve">Al Nahda International FZCO_x000D_
</t>
  </si>
  <si>
    <t>Purchase Ink - UAE</t>
  </si>
  <si>
    <t>M.H Enterprises (L.L.C)</t>
  </si>
  <si>
    <t>Purchase Film - UAE - PET - CHEMICAL</t>
  </si>
  <si>
    <t>Purchase Adhesive - UAE</t>
  </si>
  <si>
    <t>Purchase Granules - UAE</t>
  </si>
  <si>
    <t>Al Nahda International Chemicals Co.LLC</t>
  </si>
  <si>
    <t>Purchase Film - Import - NYLON</t>
  </si>
  <si>
    <t xml:space="preserve">MARS MIDDLE EAST TRADING (FZC)_x000D_
</t>
  </si>
  <si>
    <t>Purchase Film - GCC - CPP - MCPP</t>
  </si>
  <si>
    <t>Purchase Adhesive - Import</t>
  </si>
  <si>
    <t>Purchase Film - Import - FOIL</t>
  </si>
  <si>
    <t>Chem Pet/12 mic/1165 mm/OSCP</t>
  </si>
  <si>
    <t>MCPP/25 mic/1093 mm/OST</t>
  </si>
  <si>
    <t>Asia Petrochemicals LLC</t>
  </si>
  <si>
    <t>TOPP/30 MIC/1093mm/OST/2HS</t>
  </si>
  <si>
    <t>Purchase Film - Import - OPP - TOPP</t>
  </si>
  <si>
    <t>Purchase Film - Import - OPP - MOPP</t>
  </si>
  <si>
    <t>Adhesive  - HERBERTS  CAT B</t>
  </si>
  <si>
    <t>CAT B</t>
  </si>
  <si>
    <t>Adhesive  - HERBERTS LG 59A</t>
  </si>
  <si>
    <t>LG 59A</t>
  </si>
  <si>
    <t>NYLON/15 mic/1200 mm</t>
  </si>
  <si>
    <t>Speciality Adhesive -CT85</t>
  </si>
  <si>
    <t>CT85</t>
  </si>
  <si>
    <t>Speciality Adhesive- MB655</t>
  </si>
  <si>
    <t>MB655</t>
  </si>
  <si>
    <t>SPECIALITY ADHESIVES AND COATINGS (FZC)</t>
  </si>
  <si>
    <t>TAWAZON CHEMICAL COMPANY (L.L.C) - FZCO</t>
  </si>
  <si>
    <t>A.Foil/7 mic/1138 mm/soft</t>
  </si>
  <si>
    <t>NYLON/15 mic/1005 mm</t>
  </si>
  <si>
    <t>Purchase Film (Job Work Charge)- UAE - PE - TPE</t>
  </si>
  <si>
    <t>TOPP/20 mic/1143 mm/OST</t>
  </si>
  <si>
    <t>Adhesive  - NOVACOTE  CA 336</t>
  </si>
  <si>
    <t>CA 336</t>
  </si>
  <si>
    <t>Adhesive  - NOVACOTE CA 308</t>
  </si>
  <si>
    <t>CA 308</t>
  </si>
  <si>
    <t>Adhesive  - NOVACOTE SF 707 A</t>
  </si>
  <si>
    <t>SF 707</t>
  </si>
  <si>
    <t>A.Foil/9 mic/1213 mm/soft</t>
  </si>
  <si>
    <t>TPE/92 mic/1213 mm/INT</t>
  </si>
  <si>
    <t>Adhesive  - Brilliant S310 - OH</t>
  </si>
  <si>
    <t>S310</t>
  </si>
  <si>
    <t>Adhesive  - Brilliant S631 - NCO</t>
  </si>
  <si>
    <t>S631</t>
  </si>
  <si>
    <t>Anoop Plastic Prod. Trd.</t>
  </si>
  <si>
    <t>Adhesive cleaner  - Flexo Clean Solvent Buster</t>
  </si>
  <si>
    <t>Adhesive  - Brilliant S110 - OH</t>
  </si>
  <si>
    <t>S110</t>
  </si>
  <si>
    <t>Adhesive - Brilliant S620 - NCO</t>
  </si>
  <si>
    <t>S620</t>
  </si>
  <si>
    <t>Adhesive - HIBOND - 0375</t>
  </si>
  <si>
    <t>HB0375</t>
  </si>
  <si>
    <t>Adhesive - HIBOND - 6680</t>
  </si>
  <si>
    <t>HB6680</t>
  </si>
  <si>
    <t>Adhesive  - More Free  CR 84 Coreactant</t>
  </si>
  <si>
    <t>CR 84</t>
  </si>
  <si>
    <t>Adhesive - Brilliant S715</t>
  </si>
  <si>
    <t>S715</t>
  </si>
  <si>
    <t>Adhesive - Brilliant S 200 - OH</t>
  </si>
  <si>
    <t>S200</t>
  </si>
  <si>
    <t>FA - Vehicle - Godrej 1.5 Ton Stacker ESW1530</t>
  </si>
  <si>
    <t>Adhesive  - Speciality Adhesive MB 688</t>
  </si>
  <si>
    <t>MB688</t>
  </si>
  <si>
    <t>Adhesive - Speciality Adhesive CT 77</t>
  </si>
  <si>
    <t>CT77</t>
  </si>
  <si>
    <t>UPF MET PET/12 MIC/1153mm/OSCP</t>
  </si>
  <si>
    <t>TPE/100MIC/893MM/INT</t>
  </si>
  <si>
    <t>Purchase Film - UAE - PET - UPF MET PET</t>
  </si>
  <si>
    <t>CS 22-861</t>
  </si>
  <si>
    <t>PETROCHEM INTERNATIONAL TRADING LLC</t>
  </si>
  <si>
    <t>155241</t>
  </si>
  <si>
    <t>MATTE OPP/30 mic/964 mm/OST</t>
  </si>
  <si>
    <t>MOPP/30 mic/964 mm/OST</t>
  </si>
  <si>
    <t>TOPP/30 mic/1197 mm/OST</t>
  </si>
  <si>
    <t>A.J ENTERPRISE</t>
  </si>
  <si>
    <t>Adhesive - LOCTITE LIOFOL LA 6015</t>
  </si>
  <si>
    <t>LA 6015</t>
  </si>
  <si>
    <t>Adhesive - LOCTITE LIOFOL LA 7724</t>
  </si>
  <si>
    <t>LA 7724</t>
  </si>
  <si>
    <t>155735</t>
  </si>
  <si>
    <t>155738</t>
  </si>
  <si>
    <t>155594</t>
  </si>
  <si>
    <t>155900</t>
  </si>
  <si>
    <t>50926</t>
  </si>
  <si>
    <t>IPP/RM/17732</t>
  </si>
  <si>
    <t>50925</t>
  </si>
  <si>
    <t>IPP/RM/17733</t>
  </si>
  <si>
    <t>50940</t>
  </si>
  <si>
    <t>IPP/RM/17718</t>
  </si>
  <si>
    <t>155759</t>
  </si>
  <si>
    <t>50939</t>
  </si>
  <si>
    <t>IPP/RM/18000</t>
  </si>
  <si>
    <t>MR-50939</t>
  </si>
  <si>
    <t>155979</t>
  </si>
  <si>
    <t>50956</t>
  </si>
  <si>
    <t>IPP/RM/17712</t>
  </si>
  <si>
    <t>155032</t>
  </si>
  <si>
    <t>50958</t>
  </si>
  <si>
    <t>IPP/RM/17716</t>
  </si>
  <si>
    <t>156016</t>
  </si>
  <si>
    <t>51016</t>
  </si>
  <si>
    <t>IPP/RM/17710</t>
  </si>
  <si>
    <t>SAC00832</t>
  </si>
  <si>
    <t>51015</t>
  </si>
  <si>
    <t>IPP/RM/17717</t>
  </si>
  <si>
    <t>35836</t>
  </si>
  <si>
    <t>51062</t>
  </si>
  <si>
    <t>IPP/RM/17875</t>
  </si>
  <si>
    <t>51064</t>
  </si>
  <si>
    <t>IPP/RM/17876</t>
  </si>
  <si>
    <t>51077</t>
  </si>
  <si>
    <t>IPP/RM/17874</t>
  </si>
  <si>
    <t>155982</t>
  </si>
  <si>
    <t>51078</t>
  </si>
  <si>
    <t>IPP/RM/17879</t>
  </si>
  <si>
    <t>35847</t>
  </si>
  <si>
    <t>156071</t>
  </si>
  <si>
    <t>IPP/RM/17906</t>
  </si>
  <si>
    <t>FZCSI-156</t>
  </si>
  <si>
    <t>51056,51057,51037,51095,51121</t>
  </si>
  <si>
    <t>51147</t>
  </si>
  <si>
    <t>IPP/RM/17877</t>
  </si>
  <si>
    <t>35881</t>
  </si>
  <si>
    <t>51172</t>
  </si>
  <si>
    <t>IPP/RM/17880</t>
  </si>
  <si>
    <t>156142</t>
  </si>
  <si>
    <t>51204</t>
  </si>
  <si>
    <t>IPP/RM/17912</t>
  </si>
  <si>
    <t>CI202001035</t>
  </si>
  <si>
    <t>156126</t>
  </si>
  <si>
    <t>51229</t>
  </si>
  <si>
    <t>IPP/RM/17878</t>
  </si>
  <si>
    <t>51252</t>
  </si>
  <si>
    <t>IPP/RM/17953</t>
  </si>
  <si>
    <t>156035</t>
  </si>
  <si>
    <t>51259</t>
  </si>
  <si>
    <t>IPP/RM/17954</t>
  </si>
  <si>
    <t>155559</t>
  </si>
  <si>
    <t>51284</t>
  </si>
  <si>
    <t>IPP/RM/18072</t>
  </si>
  <si>
    <t>AEJ/013/19-20</t>
  </si>
  <si>
    <t>156120</t>
  </si>
  <si>
    <t>51363</t>
  </si>
  <si>
    <t>IPP/RM/17968</t>
  </si>
  <si>
    <t>51362</t>
  </si>
  <si>
    <t>IPP/RM/17980</t>
  </si>
  <si>
    <t>IPP/RM/17981</t>
  </si>
  <si>
    <t>FZCSI-163</t>
  </si>
  <si>
    <t>51321,51348,51327</t>
  </si>
  <si>
    <t>38342</t>
  </si>
  <si>
    <t>51474</t>
  </si>
  <si>
    <t>IPP/RM/18158</t>
  </si>
  <si>
    <t>36008</t>
  </si>
  <si>
    <t>156323</t>
  </si>
  <si>
    <t>51475</t>
  </si>
  <si>
    <t>IPP/RM/18159</t>
  </si>
  <si>
    <t>36023</t>
  </si>
  <si>
    <t>51387</t>
  </si>
  <si>
    <t>IPP/RM/18085</t>
  </si>
  <si>
    <t>35985</t>
  </si>
  <si>
    <t>51424</t>
  </si>
  <si>
    <t>IPP/RM/18086</t>
  </si>
  <si>
    <t>35997</t>
  </si>
  <si>
    <t>51463</t>
  </si>
  <si>
    <t>IPP/RM/18087</t>
  </si>
  <si>
    <t>36010</t>
  </si>
  <si>
    <t>156295</t>
  </si>
  <si>
    <t>51416</t>
  </si>
  <si>
    <t>IPP/RM/18090</t>
  </si>
  <si>
    <t>SAC00867</t>
  </si>
  <si>
    <t>156008</t>
  </si>
  <si>
    <t>51418</t>
  </si>
  <si>
    <t>IPP/RM/18091</t>
  </si>
  <si>
    <t>51498</t>
  </si>
  <si>
    <t>IPP/RM/18160</t>
  </si>
  <si>
    <t>36038</t>
  </si>
  <si>
    <t>156396</t>
  </si>
  <si>
    <t>51500</t>
  </si>
  <si>
    <t>IPP/RM/18189</t>
  </si>
  <si>
    <t>51513</t>
  </si>
  <si>
    <t>IPP/RM/18161</t>
  </si>
  <si>
    <t>36054</t>
  </si>
  <si>
    <t>156407</t>
  </si>
  <si>
    <t>156125</t>
  </si>
  <si>
    <t>156346</t>
  </si>
  <si>
    <t>51545</t>
  </si>
  <si>
    <t>IPP/RM/18220</t>
  </si>
  <si>
    <t>36082</t>
  </si>
  <si>
    <t>156484</t>
  </si>
  <si>
    <t>51596</t>
  </si>
  <si>
    <t>IPP/RM/18275</t>
  </si>
  <si>
    <t>SAC00887</t>
  </si>
  <si>
    <t>156477</t>
  </si>
  <si>
    <t>156522</t>
  </si>
  <si>
    <t>51588</t>
  </si>
  <si>
    <t>IPP/RM/18272</t>
  </si>
  <si>
    <t>CI202001081</t>
  </si>
  <si>
    <t>51587</t>
  </si>
  <si>
    <t>IPP/RM/18283</t>
  </si>
  <si>
    <t>36088</t>
  </si>
  <si>
    <t>153907</t>
  </si>
  <si>
    <t>51610</t>
  </si>
  <si>
    <t>IPP/RM/18311</t>
  </si>
  <si>
    <t>915122209</t>
  </si>
  <si>
    <t>51595</t>
  </si>
  <si>
    <t>IPP/RM/18448</t>
  </si>
  <si>
    <t>36096</t>
  </si>
  <si>
    <t>51619</t>
  </si>
  <si>
    <t>IPP/RM/18284</t>
  </si>
  <si>
    <t>36104</t>
  </si>
  <si>
    <t>156527</t>
  </si>
  <si>
    <t>51638</t>
  </si>
  <si>
    <t>IPP/RM/18422</t>
  </si>
  <si>
    <t>36123</t>
  </si>
  <si>
    <t>156476</t>
  </si>
  <si>
    <t>51662</t>
  </si>
  <si>
    <t>IPP/RM/18421</t>
  </si>
  <si>
    <t>36133</t>
  </si>
  <si>
    <t>51682</t>
  </si>
  <si>
    <t>IPP/RM/18423</t>
  </si>
  <si>
    <t>36147</t>
  </si>
  <si>
    <t>51703</t>
  </si>
  <si>
    <t>IPP/RM/18419</t>
  </si>
  <si>
    <t>36164</t>
  </si>
  <si>
    <t>156072</t>
  </si>
  <si>
    <t>51722</t>
  </si>
  <si>
    <t>IPP/RM/18287</t>
  </si>
  <si>
    <t>36169</t>
  </si>
  <si>
    <t>51763</t>
  </si>
  <si>
    <t>IPP/RM/18290</t>
  </si>
  <si>
    <t>36193</t>
  </si>
  <si>
    <t>51786</t>
  </si>
  <si>
    <t>IPP/RM/18293</t>
  </si>
  <si>
    <t>36206</t>
  </si>
  <si>
    <t>156619</t>
  </si>
  <si>
    <t>51828</t>
  </si>
  <si>
    <t>IPP/RM/18288</t>
  </si>
  <si>
    <t>36236</t>
  </si>
  <si>
    <t>51829</t>
  </si>
  <si>
    <t>IPP/RM/18291</t>
  </si>
  <si>
    <t>36235</t>
  </si>
  <si>
    <t>51830</t>
  </si>
  <si>
    <t>IPP/RM/18444</t>
  </si>
  <si>
    <t>36238</t>
  </si>
  <si>
    <t>156004</t>
  </si>
  <si>
    <t>156650</t>
  </si>
  <si>
    <t>51856</t>
  </si>
  <si>
    <t>IPP/RM/18517</t>
  </si>
  <si>
    <t>MR-51856</t>
  </si>
  <si>
    <t>156191</t>
  </si>
  <si>
    <t>156618</t>
  </si>
  <si>
    <t>156389</t>
  </si>
  <si>
    <t>51897</t>
  </si>
  <si>
    <t>IPP/RM/18515</t>
  </si>
  <si>
    <t>MR-51897</t>
  </si>
  <si>
    <t>156347</t>
  </si>
  <si>
    <t>51912</t>
  </si>
  <si>
    <t>IPP/RM/18520</t>
  </si>
  <si>
    <t>MR-51912</t>
  </si>
  <si>
    <t>156736</t>
  </si>
  <si>
    <t>51938</t>
  </si>
  <si>
    <t>IPP/RM/18516</t>
  </si>
  <si>
    <t>156764</t>
  </si>
  <si>
    <t>51937</t>
  </si>
  <si>
    <t>IPP/RM/18519</t>
  </si>
  <si>
    <t>MR-51937</t>
  </si>
  <si>
    <t>156587</t>
  </si>
  <si>
    <t>51964</t>
  </si>
  <si>
    <t>IPP/RM/18586</t>
  </si>
  <si>
    <t>51963</t>
  </si>
  <si>
    <t>IPP/RM/18631</t>
  </si>
  <si>
    <t>156651</t>
  </si>
  <si>
    <t>51979</t>
  </si>
  <si>
    <t>IPP/RM/18518</t>
  </si>
  <si>
    <t>MR-51979</t>
  </si>
  <si>
    <t>156672</t>
  </si>
  <si>
    <t>51996</t>
  </si>
  <si>
    <t>IPP/RM/18529</t>
  </si>
  <si>
    <t>MR-51996</t>
  </si>
  <si>
    <t>52009</t>
  </si>
  <si>
    <t>IPP/RM/18527</t>
  </si>
  <si>
    <t>MR-52009</t>
  </si>
  <si>
    <t>156795</t>
  </si>
  <si>
    <t>52010</t>
  </si>
  <si>
    <t>IPP/RM/18613</t>
  </si>
  <si>
    <t>MR-52010</t>
  </si>
  <si>
    <t>52032</t>
  </si>
  <si>
    <t>IPP/RM/18528</t>
  </si>
  <si>
    <t>MR-52032</t>
  </si>
  <si>
    <t>52057</t>
  </si>
  <si>
    <t>IPP/RM/18524</t>
  </si>
  <si>
    <t>MR-52057</t>
  </si>
  <si>
    <t>52066</t>
  </si>
  <si>
    <t>IPP/RM/18525</t>
  </si>
  <si>
    <t>MR-52066</t>
  </si>
  <si>
    <t>156853</t>
  </si>
  <si>
    <t>52105</t>
  </si>
  <si>
    <t>IPP/RM/18521</t>
  </si>
  <si>
    <t>MR52105</t>
  </si>
  <si>
    <t>52075</t>
  </si>
  <si>
    <t>IPP/RM/18526</t>
  </si>
  <si>
    <t>MR-52075</t>
  </si>
  <si>
    <t>156355</t>
  </si>
  <si>
    <t>IPP/RM/18522</t>
  </si>
  <si>
    <t>MR-52102</t>
  </si>
  <si>
    <t>IPP/RM/18523</t>
  </si>
  <si>
    <t>MR-52101</t>
  </si>
  <si>
    <t>156943</t>
  </si>
  <si>
    <t>52152</t>
  </si>
  <si>
    <t>IPP/RM/18577</t>
  </si>
  <si>
    <t>CRWSI-5622</t>
  </si>
  <si>
    <t>52149</t>
  </si>
  <si>
    <t>IPP/RM/18582</t>
  </si>
  <si>
    <t>36471</t>
  </si>
  <si>
    <t>52150</t>
  </si>
  <si>
    <t>IPP/RM/18633</t>
  </si>
  <si>
    <t>156929</t>
  </si>
  <si>
    <t>52158</t>
  </si>
  <si>
    <t>Adhesive - Cold Seal - LOCTITE LIOFOL CS 22-861</t>
  </si>
  <si>
    <t>IPP/RM/18583</t>
  </si>
  <si>
    <t>CI202001173</t>
  </si>
  <si>
    <t>156921</t>
  </si>
  <si>
    <t>52160</t>
  </si>
  <si>
    <t>IPP/RM/18634</t>
  </si>
  <si>
    <t>MRR-52160</t>
  </si>
  <si>
    <t>156796</t>
  </si>
  <si>
    <t>52162</t>
  </si>
  <si>
    <t>IPP/RM/18650</t>
  </si>
  <si>
    <t>MRR-52162</t>
  </si>
  <si>
    <t>NYLON/15 mic/985 mm</t>
  </si>
  <si>
    <t>52176</t>
  </si>
  <si>
    <t>IPP/RM/18579</t>
  </si>
  <si>
    <t>36503</t>
  </si>
  <si>
    <t>156922</t>
  </si>
  <si>
    <t>52174</t>
  </si>
  <si>
    <t>IPP/RM/18585</t>
  </si>
  <si>
    <t>SAC00937</t>
  </si>
  <si>
    <t>52190</t>
  </si>
  <si>
    <t>IPP/RM/18581</t>
  </si>
  <si>
    <t>36511</t>
  </si>
  <si>
    <t>52191</t>
  </si>
  <si>
    <t>IPP/RM/18587</t>
  </si>
  <si>
    <t>52201</t>
  </si>
  <si>
    <t>IPP/RM/18580</t>
  </si>
  <si>
    <t>36517</t>
  </si>
  <si>
    <t>157008</t>
  </si>
  <si>
    <t>52238</t>
  </si>
  <si>
    <t>IPP/RM/18584</t>
  </si>
  <si>
    <t>SAC00948</t>
  </si>
  <si>
    <t>52240</t>
  </si>
  <si>
    <t>IPP/RM/18630</t>
  </si>
  <si>
    <t>MRR-52240</t>
  </si>
  <si>
    <t>SERVOCHEM L.L.C.</t>
  </si>
  <si>
    <t>156787</t>
  </si>
  <si>
    <t>52256</t>
  </si>
  <si>
    <t>IPP/RM/18591</t>
  </si>
  <si>
    <t>MRR- 52256</t>
  </si>
  <si>
    <t>52257</t>
  </si>
  <si>
    <t>IPP/RM/18592</t>
  </si>
  <si>
    <t>MRR-52257</t>
  </si>
  <si>
    <t>156680</t>
  </si>
  <si>
    <t>52255</t>
  </si>
  <si>
    <t>IPP/RM/18629</t>
  </si>
  <si>
    <t>MRR-52255</t>
  </si>
  <si>
    <t>52302</t>
  </si>
  <si>
    <t>IPP/RM/19030</t>
  </si>
  <si>
    <t>MRR-52302</t>
  </si>
  <si>
    <t>52303</t>
  </si>
  <si>
    <t>IPP/RM/19032</t>
  </si>
  <si>
    <t>MRR-52303</t>
  </si>
  <si>
    <t>52339</t>
  </si>
  <si>
    <t>IPP/RM/19096</t>
  </si>
  <si>
    <t>MRR-52339</t>
  </si>
  <si>
    <t>156644</t>
  </si>
  <si>
    <t>52376</t>
  </si>
  <si>
    <t>IPP/RM/19031</t>
  </si>
  <si>
    <t>SC/PC/2020/INV-133</t>
  </si>
  <si>
    <t>156786</t>
  </si>
  <si>
    <t>52419</t>
  </si>
  <si>
    <t>IPP/RM/19016</t>
  </si>
  <si>
    <t>36615</t>
  </si>
  <si>
    <t>52418</t>
  </si>
  <si>
    <t>IPP/RM/19017</t>
  </si>
  <si>
    <t>36616</t>
  </si>
  <si>
    <t>52429</t>
  </si>
  <si>
    <t>IPP/RM/19018</t>
  </si>
  <si>
    <t>36625</t>
  </si>
  <si>
    <t>52426</t>
  </si>
  <si>
    <t>IPP/RM/19026</t>
  </si>
  <si>
    <t>SAC00977</t>
  </si>
  <si>
    <t>157154</t>
  </si>
  <si>
    <t>52428</t>
  </si>
  <si>
    <t>IPP/RM/19095</t>
  </si>
  <si>
    <t>MA/2020/1124</t>
  </si>
  <si>
    <t>52463</t>
  </si>
  <si>
    <t>IPP/RM/19012</t>
  </si>
  <si>
    <t>36635</t>
  </si>
  <si>
    <t>52475</t>
  </si>
  <si>
    <t>IPP/RM/19013</t>
  </si>
  <si>
    <t>36649</t>
  </si>
  <si>
    <t>52481</t>
  </si>
  <si>
    <t>IPP/RM/19014</t>
  </si>
  <si>
    <t>36657</t>
  </si>
  <si>
    <t>52508</t>
  </si>
  <si>
    <t>IPP/RM/19015</t>
  </si>
  <si>
    <t>36667</t>
  </si>
  <si>
    <t>52525</t>
  </si>
  <si>
    <t>IPP/RM/18897</t>
  </si>
  <si>
    <t>36675</t>
  </si>
  <si>
    <t>52526</t>
  </si>
  <si>
    <t>IPP/RM/18898</t>
  </si>
  <si>
    <t>36674</t>
  </si>
  <si>
    <t>52552</t>
  </si>
  <si>
    <t>IPP/RM/18899</t>
  </si>
  <si>
    <t>36687</t>
  </si>
  <si>
    <t>156854</t>
  </si>
  <si>
    <t>52568</t>
  </si>
  <si>
    <t>IPP/RM/18901</t>
  </si>
  <si>
    <t>36699</t>
  </si>
  <si>
    <t>52570</t>
  </si>
  <si>
    <t>IPP/RM/18900</t>
  </si>
  <si>
    <t>36708</t>
  </si>
  <si>
    <t>157050</t>
  </si>
  <si>
    <t>52569</t>
  </si>
  <si>
    <t>IPP/RM/18905</t>
  </si>
  <si>
    <t>36709</t>
  </si>
  <si>
    <t>52583</t>
  </si>
  <si>
    <t>IPP/RM/18903</t>
  </si>
  <si>
    <t>36718</t>
  </si>
  <si>
    <t>52586</t>
  </si>
  <si>
    <t>IPP/RM/18904</t>
  </si>
  <si>
    <t>36720</t>
  </si>
  <si>
    <t>52597</t>
  </si>
  <si>
    <t>IPP/RM/18906</t>
  </si>
  <si>
    <t>36721</t>
  </si>
  <si>
    <t>52615</t>
  </si>
  <si>
    <t>IPP/RM/18902</t>
  </si>
  <si>
    <t>36730</t>
  </si>
  <si>
    <t>52624</t>
  </si>
  <si>
    <t>IPP/RM/18889</t>
  </si>
  <si>
    <t>SAC001000</t>
  </si>
  <si>
    <t>157228</t>
  </si>
  <si>
    <t>52622</t>
  </si>
  <si>
    <t>IPP/RM/18893</t>
  </si>
  <si>
    <t>155903</t>
  </si>
  <si>
    <t>52668</t>
  </si>
  <si>
    <t>IPP/RM/19045</t>
  </si>
  <si>
    <t>20909</t>
  </si>
  <si>
    <t>156739</t>
  </si>
  <si>
    <t>52679</t>
  </si>
  <si>
    <t>IPP/RM/19117</t>
  </si>
  <si>
    <t>mr-52679</t>
  </si>
  <si>
    <t>52676</t>
  </si>
  <si>
    <t>IPP/RM/19212</t>
  </si>
  <si>
    <t>36783</t>
  </si>
  <si>
    <t>52677</t>
  </si>
  <si>
    <t>IPP/RM/19216</t>
  </si>
  <si>
    <t>36789</t>
  </si>
  <si>
    <t>52694</t>
  </si>
  <si>
    <t>IPP/RM/19215</t>
  </si>
  <si>
    <t>36796</t>
  </si>
  <si>
    <t>52697</t>
  </si>
  <si>
    <t>IPP/RM/19214</t>
  </si>
  <si>
    <t>36804</t>
  </si>
  <si>
    <t>52716</t>
  </si>
  <si>
    <t>IPP/RM/19213</t>
  </si>
  <si>
    <t>36814</t>
  </si>
  <si>
    <t>157277</t>
  </si>
  <si>
    <t>52739</t>
  </si>
  <si>
    <t>IPP/RM/19356</t>
  </si>
  <si>
    <t>36840</t>
  </si>
  <si>
    <t>156661</t>
  </si>
  <si>
    <t>52793</t>
  </si>
  <si>
    <t>IPP/RM/19369</t>
  </si>
  <si>
    <t>MRR-52793</t>
  </si>
  <si>
    <t>52792</t>
  </si>
  <si>
    <t>IPP/RM/19355</t>
  </si>
  <si>
    <t>36908</t>
  </si>
  <si>
    <t>Univsl PET UPF/12 Mic/945 Mm/OSC</t>
  </si>
  <si>
    <t>52789</t>
  </si>
  <si>
    <t>IPP/RM/19227</t>
  </si>
  <si>
    <t>157352</t>
  </si>
  <si>
    <t>52833</t>
  </si>
  <si>
    <t>IPP/RM/19335</t>
  </si>
  <si>
    <t>CRWSI-5865</t>
  </si>
  <si>
    <t>52795</t>
  </si>
  <si>
    <t>IPP/RM/19354</t>
  </si>
  <si>
    <t>36909</t>
  </si>
  <si>
    <t>157229</t>
  </si>
  <si>
    <t>52797</t>
  </si>
  <si>
    <t>IPP/RM/19358</t>
  </si>
  <si>
    <t>MRR-52797</t>
  </si>
  <si>
    <t>52796</t>
  </si>
  <si>
    <t>IPP/RM/19360</t>
  </si>
  <si>
    <t>MRR-52796</t>
  </si>
  <si>
    <t>52814</t>
  </si>
  <si>
    <t>IPP/RM/19357</t>
  </si>
  <si>
    <t>36910</t>
  </si>
  <si>
    <t>157357</t>
  </si>
  <si>
    <t>157157</t>
  </si>
  <si>
    <t>IPP/RM/19237</t>
  </si>
  <si>
    <t>20050121</t>
  </si>
  <si>
    <t>52867</t>
  </si>
  <si>
    <t>IPP/RM/19344</t>
  </si>
  <si>
    <t>36912</t>
  </si>
  <si>
    <t>156926</t>
  </si>
  <si>
    <t>157398</t>
  </si>
  <si>
    <t>52898</t>
  </si>
  <si>
    <t>IPP/RM/19362</t>
  </si>
  <si>
    <t>MRR-52898</t>
  </si>
  <si>
    <t>157395</t>
  </si>
  <si>
    <t>52923</t>
  </si>
  <si>
    <t>IPP/RM/19343</t>
  </si>
  <si>
    <t>SAC001020</t>
  </si>
  <si>
    <t>52922</t>
  </si>
  <si>
    <t>IPP/RM/19346</t>
  </si>
  <si>
    <t>36918</t>
  </si>
  <si>
    <t>52926</t>
  </si>
  <si>
    <t>IPP/RM/19345</t>
  </si>
  <si>
    <t>36919</t>
  </si>
  <si>
    <t>157468</t>
  </si>
  <si>
    <t>52929</t>
  </si>
  <si>
    <t>IPP/RM/19361</t>
  </si>
  <si>
    <t>CRWSI-5919</t>
  </si>
  <si>
    <t>52973</t>
  </si>
  <si>
    <t>IPP/RM/19228</t>
  </si>
  <si>
    <t>157326</t>
  </si>
  <si>
    <t>157456</t>
  </si>
  <si>
    <t>52972</t>
  </si>
  <si>
    <t>IPP/RM/19248</t>
  </si>
  <si>
    <t>52971</t>
  </si>
  <si>
    <t>IPP/RM/19359</t>
  </si>
  <si>
    <t>MRR-52971</t>
  </si>
  <si>
    <t>52995</t>
  </si>
  <si>
    <t>IPP/RM/19350</t>
  </si>
  <si>
    <t>36920</t>
  </si>
  <si>
    <t>52996</t>
  </si>
  <si>
    <t>IPP/RM/19351</t>
  </si>
  <si>
    <t>36921</t>
  </si>
  <si>
    <t>52997</t>
  </si>
  <si>
    <t>IPP/RM/19352</t>
  </si>
  <si>
    <t>36926</t>
  </si>
  <si>
    <t>52845</t>
  </si>
  <si>
    <t>IPP/RM/19353</t>
  </si>
  <si>
    <t>36911</t>
  </si>
  <si>
    <t>52930</t>
  </si>
  <si>
    <t>IPP/RM/19376</t>
  </si>
  <si>
    <t>CRWSO-4515</t>
  </si>
  <si>
    <t>53016</t>
  </si>
  <si>
    <t>IPP/RM/19347</t>
  </si>
  <si>
    <t>36927</t>
  </si>
  <si>
    <t>157455</t>
  </si>
  <si>
    <t>53032</t>
  </si>
  <si>
    <t>IPP/RM/19339</t>
  </si>
  <si>
    <t>SC/PC/2020/INV-183</t>
  </si>
  <si>
    <t>53030</t>
  </si>
  <si>
    <t>IPP/RM/19348</t>
  </si>
  <si>
    <t>36933</t>
  </si>
  <si>
    <t>53031</t>
  </si>
  <si>
    <t>IPP/RM/19349</t>
  </si>
  <si>
    <t>36930</t>
  </si>
  <si>
    <t>157501</t>
  </si>
  <si>
    <t>53053</t>
  </si>
  <si>
    <t>IPP/RM/19505</t>
  </si>
  <si>
    <t>20060013</t>
  </si>
  <si>
    <t>53074</t>
  </si>
  <si>
    <t>IPP/RM/19431</t>
  </si>
  <si>
    <t>53073</t>
  </si>
  <si>
    <t>IPP/RM/19564</t>
  </si>
  <si>
    <t>53065</t>
  </si>
  <si>
    <t>IPP/RM/19565</t>
  </si>
  <si>
    <t>157579</t>
  </si>
  <si>
    <t>IPP/RM/19494</t>
  </si>
  <si>
    <t>733101</t>
  </si>
  <si>
    <t>53148_x000D_
REVISED INV# LPO 157579</t>
  </si>
  <si>
    <t>IPP/RM/19492</t>
  </si>
  <si>
    <t>733106</t>
  </si>
  <si>
    <t>53149_x000D_
REVISED INV# LPO 157579</t>
  </si>
  <si>
    <t>IPP/RM/19493</t>
  </si>
  <si>
    <t>733115</t>
  </si>
  <si>
    <t>53163_x000D_
REVISED INV# LPO 157579</t>
  </si>
  <si>
    <t>157432</t>
  </si>
  <si>
    <t>53184</t>
  </si>
  <si>
    <t>IPP/RM/19512</t>
  </si>
  <si>
    <t>SAC001041</t>
  </si>
  <si>
    <t>53185</t>
  </si>
  <si>
    <t>IPP/RM/19516</t>
  </si>
  <si>
    <t>53201</t>
  </si>
  <si>
    <t>IPP/RM/19496</t>
  </si>
  <si>
    <t>37012</t>
  </si>
  <si>
    <t>157440</t>
  </si>
  <si>
    <t>IPP/RM/19506</t>
  </si>
  <si>
    <t>MR-53203</t>
  </si>
  <si>
    <t>53203_x000D_
INV# NOT REC.</t>
  </si>
  <si>
    <t>53214</t>
  </si>
  <si>
    <t>IPP/RM/19495</t>
  </si>
  <si>
    <t>37025</t>
  </si>
  <si>
    <t>157653</t>
  </si>
  <si>
    <t>53255</t>
  </si>
  <si>
    <t>IPP/RM/19513</t>
  </si>
  <si>
    <t>SAC001047</t>
  </si>
  <si>
    <t>M.H International FZCO</t>
  </si>
  <si>
    <t>IPP/RM/19570</t>
  </si>
  <si>
    <t>FZCI-189</t>
  </si>
  <si>
    <t>53169 ,53223, 53215, 53277 &amp; 53278</t>
  </si>
  <si>
    <t>157439</t>
  </si>
  <si>
    <t>53279</t>
  </si>
  <si>
    <t>IPP/RM/19571</t>
  </si>
  <si>
    <t>MRR-53279</t>
  </si>
  <si>
    <t>53310</t>
  </si>
  <si>
    <t>IPP/RM/19569</t>
  </si>
  <si>
    <t>37065</t>
  </si>
  <si>
    <t>TOPP/30 mic/928 mm/OST</t>
  </si>
  <si>
    <t>157488</t>
  </si>
  <si>
    <t>53309</t>
  </si>
  <si>
    <t>IPP/RM/19638</t>
  </si>
  <si>
    <t>APC/LOC/20-00148</t>
  </si>
  <si>
    <t>XIAMEN CHANGSU INDUSTRIAL CORPORATION LIMITED</t>
  </si>
  <si>
    <t>157707</t>
  </si>
  <si>
    <t>53356</t>
  </si>
  <si>
    <t>IPP/RM/19563</t>
  </si>
  <si>
    <t>SAC001060</t>
  </si>
  <si>
    <t>53381</t>
  </si>
  <si>
    <t>IPP/RM/19566</t>
  </si>
  <si>
    <t>37109</t>
  </si>
  <si>
    <t>53436</t>
  </si>
  <si>
    <t>IPP/RM/19560</t>
  </si>
  <si>
    <t>915777809</t>
  </si>
  <si>
    <t>157784</t>
  </si>
  <si>
    <t>53404</t>
  </si>
  <si>
    <t>IPP/RM/19567</t>
  </si>
  <si>
    <t>37120</t>
  </si>
  <si>
    <t>53405</t>
  </si>
  <si>
    <t>IPP/RM/19568</t>
  </si>
  <si>
    <t>37115</t>
  </si>
  <si>
    <t>157745</t>
  </si>
  <si>
    <t>53438</t>
  </si>
  <si>
    <t>IPP/RM/19572</t>
  </si>
  <si>
    <t>157441</t>
  </si>
  <si>
    <t>53458</t>
  </si>
  <si>
    <t>IPP/RM/19812</t>
  </si>
  <si>
    <t>20070005</t>
  </si>
  <si>
    <t>MOPP/30 mic/928 mm/OST</t>
  </si>
  <si>
    <t>IPP/RM/19912</t>
  </si>
  <si>
    <t>FZCSI-191</t>
  </si>
  <si>
    <t>53459 53497</t>
  </si>
  <si>
    <t>157797</t>
  </si>
  <si>
    <t>53499</t>
  </si>
  <si>
    <t>IPP/RM/19917</t>
  </si>
  <si>
    <t>53538</t>
  </si>
  <si>
    <t>IPP/RM/19705</t>
  </si>
  <si>
    <t>37178</t>
  </si>
  <si>
    <t>53544</t>
  </si>
  <si>
    <t>IPP/RM/19703</t>
  </si>
  <si>
    <t>37185</t>
  </si>
  <si>
    <t>53566</t>
  </si>
  <si>
    <t>IPP/RM/19704</t>
  </si>
  <si>
    <t>37194</t>
  </si>
  <si>
    <t>53600</t>
  </si>
  <si>
    <t>IPP/RM/19915</t>
  </si>
  <si>
    <t>157895</t>
  </si>
  <si>
    <t>53630</t>
  </si>
  <si>
    <t>IPP/RM/19815</t>
  </si>
  <si>
    <t>MR-53630</t>
  </si>
  <si>
    <t>157654</t>
  </si>
  <si>
    <t>IPP/RM/19918</t>
  </si>
  <si>
    <t>FZCSI-194</t>
  </si>
  <si>
    <t>53659,53657</t>
  </si>
  <si>
    <t>53724</t>
  </si>
  <si>
    <t>IPP/RM/19865</t>
  </si>
  <si>
    <t>APC/LOC/20-00181</t>
  </si>
  <si>
    <t>53730</t>
  </si>
  <si>
    <t>IPP/RM/19922</t>
  </si>
  <si>
    <t>MA/2020/1262</t>
  </si>
  <si>
    <t>53737</t>
  </si>
  <si>
    <t>IPP/RM/19924</t>
  </si>
  <si>
    <t>53738</t>
  </si>
  <si>
    <t>IPP/RM/19925</t>
  </si>
  <si>
    <t>53752</t>
  </si>
  <si>
    <t>IPP/RM/19859</t>
  </si>
  <si>
    <t>37280</t>
  </si>
  <si>
    <t>157980</t>
  </si>
  <si>
    <t>53753</t>
  </si>
  <si>
    <t>IPP/RM/19945</t>
  </si>
  <si>
    <t>SAC001088</t>
  </si>
  <si>
    <t>53782</t>
  </si>
  <si>
    <t>IPP/RM/19902</t>
  </si>
  <si>
    <t>158032</t>
  </si>
  <si>
    <t>53813</t>
  </si>
  <si>
    <t>IPP/RM/19985</t>
  </si>
  <si>
    <t>MRR-53813</t>
  </si>
  <si>
    <t>53846</t>
  </si>
  <si>
    <t>IPP/RM/19896</t>
  </si>
  <si>
    <t>915984109</t>
  </si>
  <si>
    <t>158026</t>
  </si>
  <si>
    <t>53900</t>
  </si>
  <si>
    <t>IPP/RM/20047</t>
  </si>
  <si>
    <t>SAC001105</t>
  </si>
  <si>
    <t>158088</t>
  </si>
  <si>
    <t>53885</t>
  </si>
  <si>
    <t>IPP/RM/20241</t>
  </si>
  <si>
    <t>158086</t>
  </si>
  <si>
    <t>IPP/RM/20036</t>
  </si>
  <si>
    <t>37343</t>
  </si>
  <si>
    <t>53916,53915</t>
  </si>
  <si>
    <t>157748</t>
  </si>
  <si>
    <t>53917</t>
  </si>
  <si>
    <t>IPP/RM/20252</t>
  </si>
  <si>
    <t>20080005</t>
  </si>
  <si>
    <t>53932</t>
  </si>
  <si>
    <t>IPP/RM/20032</t>
  </si>
  <si>
    <t>37349</t>
  </si>
  <si>
    <t>53960</t>
  </si>
  <si>
    <t>IPP/RM/20029</t>
  </si>
  <si>
    <t>37358</t>
  </si>
  <si>
    <t>53958</t>
  </si>
  <si>
    <t>IPP/RM/20028</t>
  </si>
  <si>
    <t>37366</t>
  </si>
  <si>
    <t>53981</t>
  </si>
  <si>
    <t>IPP/RM/20030</t>
  </si>
  <si>
    <t>37372</t>
  </si>
  <si>
    <t>53959</t>
  </si>
  <si>
    <t>IPP/RM/20031</t>
  </si>
  <si>
    <t>37355</t>
  </si>
  <si>
    <t>54011</t>
  </si>
  <si>
    <t>IPP/RM/20033</t>
  </si>
  <si>
    <t>37390</t>
  </si>
  <si>
    <t>54027</t>
  </si>
  <si>
    <t>IPP/RM/20034</t>
  </si>
  <si>
    <t>37396</t>
  </si>
  <si>
    <t>158180</t>
  </si>
  <si>
    <t>54029</t>
  </si>
  <si>
    <t>IPP/RM/20048</t>
  </si>
  <si>
    <t>SAC001112</t>
  </si>
  <si>
    <t>54050</t>
  </si>
  <si>
    <t>IPP/RM/20035</t>
  </si>
  <si>
    <t>37407</t>
  </si>
  <si>
    <t>54063</t>
  </si>
  <si>
    <t>IPP/RM/20256</t>
  </si>
  <si>
    <t>FZCSI-204</t>
  </si>
  <si>
    <t>158211</t>
  </si>
  <si>
    <t>54104</t>
  </si>
  <si>
    <t>Adhesive  - LIOFOL CAC 1511A</t>
  </si>
  <si>
    <t>1511A</t>
  </si>
  <si>
    <t>IPP/RM/20014</t>
  </si>
  <si>
    <t>CI/202001374</t>
  </si>
  <si>
    <t>Adhesive  - LIOFOL CAC 2511W</t>
  </si>
  <si>
    <t>2511W</t>
  </si>
  <si>
    <t>158085</t>
  </si>
  <si>
    <t>54110</t>
  </si>
  <si>
    <t>IPP/RM/20239</t>
  </si>
  <si>
    <t>157750</t>
  </si>
  <si>
    <t>54105</t>
  </si>
  <si>
    <t>IPP/RM/20253</t>
  </si>
  <si>
    <t>54111</t>
  </si>
  <si>
    <t>IPP/RM/20317</t>
  </si>
  <si>
    <t>158265</t>
  </si>
  <si>
    <t>54145</t>
  </si>
  <si>
    <t>IPP/RM/20167</t>
  </si>
  <si>
    <t>SAC001123</t>
  </si>
  <si>
    <t>54173</t>
  </si>
  <si>
    <t>IPP/RM/20254</t>
  </si>
  <si>
    <t>54190</t>
  </si>
  <si>
    <t>IPP/RM/20240</t>
  </si>
  <si>
    <t>54211</t>
  </si>
  <si>
    <t>IPP/RM/20242</t>
  </si>
  <si>
    <t>156654</t>
  </si>
  <si>
    <t>54262</t>
  </si>
  <si>
    <t>IPP/RM/20262</t>
  </si>
  <si>
    <t>156681</t>
  </si>
  <si>
    <t>158121</t>
  </si>
  <si>
    <t>54263</t>
  </si>
  <si>
    <t>IPP/RM/20263</t>
  </si>
  <si>
    <t>MS/2020/1324</t>
  </si>
  <si>
    <t>54258</t>
  </si>
  <si>
    <t>IPP/RM/20255</t>
  </si>
  <si>
    <t>A.Foil/7 mic/1173 mm/soft</t>
  </si>
  <si>
    <t>158422</t>
  </si>
  <si>
    <t>54336</t>
  </si>
  <si>
    <t>IPP/RM/20456</t>
  </si>
  <si>
    <t>CRWSI-6464</t>
  </si>
  <si>
    <t>158427</t>
  </si>
  <si>
    <t>54364</t>
  </si>
  <si>
    <t>IPP/RM/20461</t>
  </si>
  <si>
    <t>SAC001145</t>
  </si>
  <si>
    <t>157749</t>
  </si>
  <si>
    <t>54372</t>
  </si>
  <si>
    <t>IPP/RM/20459</t>
  </si>
  <si>
    <t>158340</t>
  </si>
  <si>
    <t>54392</t>
  </si>
  <si>
    <t>IPP/RM/20424</t>
  </si>
  <si>
    <t>APC/LOC/20-00232</t>
  </si>
  <si>
    <t>158421</t>
  </si>
  <si>
    <t>54391</t>
  </si>
  <si>
    <t>IPP/RM/20425</t>
  </si>
  <si>
    <t>37566</t>
  </si>
  <si>
    <t>54417</t>
  </si>
  <si>
    <t>IPP/RM/20601</t>
  </si>
  <si>
    <t>916166489</t>
  </si>
  <si>
    <t>54478</t>
  </si>
  <si>
    <t>IPP/RM/20451</t>
  </si>
  <si>
    <t>MR-54478</t>
  </si>
  <si>
    <t>54483</t>
  </si>
  <si>
    <t>IPP/RM/20452</t>
  </si>
  <si>
    <t>MR-54483</t>
  </si>
  <si>
    <t>54485</t>
  </si>
  <si>
    <t>IPP/RM/20453</t>
  </si>
  <si>
    <t>MR-54485</t>
  </si>
  <si>
    <t>54484</t>
  </si>
  <si>
    <t>IPP/RM/20454</t>
  </si>
  <si>
    <t>MR-54484</t>
  </si>
  <si>
    <t>158552</t>
  </si>
  <si>
    <t>54506</t>
  </si>
  <si>
    <t>IPP/RM/20477</t>
  </si>
  <si>
    <t>CI202001422</t>
  </si>
  <si>
    <t>54512</t>
  </si>
  <si>
    <t>IPP/RM/20539</t>
  </si>
  <si>
    <t>158341</t>
  </si>
  <si>
    <t>54511</t>
  </si>
  <si>
    <t>IPP/RM/20540</t>
  </si>
  <si>
    <t>158548</t>
  </si>
  <si>
    <t>54552</t>
  </si>
  <si>
    <t>IPP/RM/20574</t>
  </si>
  <si>
    <t>SAC001155</t>
  </si>
  <si>
    <t>54553</t>
  </si>
  <si>
    <t>IPP/RM/20596</t>
  </si>
  <si>
    <t>MR-54553</t>
  </si>
  <si>
    <t>54323</t>
  </si>
  <si>
    <t>IPP/RM/20617</t>
  </si>
  <si>
    <t>54625</t>
  </si>
  <si>
    <t>IPP/RM/20576</t>
  </si>
  <si>
    <t>156874</t>
  </si>
  <si>
    <t>54690</t>
  </si>
  <si>
    <t>IPP/RM/20715</t>
  </si>
  <si>
    <t>37687</t>
  </si>
  <si>
    <t>IPP/RM/20724</t>
  </si>
  <si>
    <t>37685</t>
  </si>
  <si>
    <t>54687</t>
  </si>
  <si>
    <t>IPP/RM/20725</t>
  </si>
  <si>
    <t>37686</t>
  </si>
  <si>
    <t>54702</t>
  </si>
  <si>
    <t>IPP/RM/20716</t>
  </si>
  <si>
    <t>37697</t>
  </si>
  <si>
    <t>54701</t>
  </si>
  <si>
    <t>IPP/RM/20719</t>
  </si>
  <si>
    <t>37696</t>
  </si>
  <si>
    <t>54737</t>
  </si>
  <si>
    <t>IPP/RM/20744</t>
  </si>
  <si>
    <t>MATTE OPP/30 mic/939 mm</t>
  </si>
  <si>
    <t>54746</t>
  </si>
  <si>
    <t>IPP/RM/20721</t>
  </si>
  <si>
    <t>37704</t>
  </si>
  <si>
    <t>158767</t>
  </si>
  <si>
    <t>54763</t>
  </si>
  <si>
    <t>Adhesive  - Speciality Adhesive MB 630</t>
  </si>
  <si>
    <t>MB 630</t>
  </si>
  <si>
    <t>IPP/RM/20781</t>
  </si>
  <si>
    <t>SAC001180</t>
  </si>
  <si>
    <t>54775</t>
  </si>
  <si>
    <t>IPP/RM/20791</t>
  </si>
  <si>
    <t>37716</t>
  </si>
  <si>
    <t>54790</t>
  </si>
  <si>
    <t>IPP/RM/20790</t>
  </si>
  <si>
    <t>37723</t>
  </si>
  <si>
    <t>54797</t>
  </si>
  <si>
    <t>IPP/RM/20720</t>
  </si>
  <si>
    <t>37728</t>
  </si>
  <si>
    <t>158617</t>
  </si>
  <si>
    <t>54853</t>
  </si>
  <si>
    <t>IPP/RM/20704</t>
  </si>
  <si>
    <t>MR-54853</t>
  </si>
  <si>
    <t>54881</t>
  </si>
  <si>
    <t>IPP/RM/20718</t>
  </si>
  <si>
    <t>37763</t>
  </si>
  <si>
    <t>54880</t>
  </si>
  <si>
    <t>IPP/RM/20722</t>
  </si>
  <si>
    <t>37761</t>
  </si>
  <si>
    <t>54887</t>
  </si>
  <si>
    <t>IPP/RM/20717</t>
  </si>
  <si>
    <t>37766</t>
  </si>
  <si>
    <t>54888</t>
  </si>
  <si>
    <t>IPP/RM/20723</t>
  </si>
  <si>
    <t>37765</t>
  </si>
  <si>
    <t>158928</t>
  </si>
  <si>
    <t>54946</t>
  </si>
  <si>
    <t>IPP/RM/20782</t>
  </si>
  <si>
    <t>SAC001197</t>
  </si>
  <si>
    <t>54958</t>
  </si>
  <si>
    <t>IPP/RM/20792</t>
  </si>
  <si>
    <t>37787</t>
  </si>
  <si>
    <t>54957</t>
  </si>
  <si>
    <t>IPP/RM/20793</t>
  </si>
  <si>
    <t>37786</t>
  </si>
  <si>
    <t>158969</t>
  </si>
  <si>
    <t>54979</t>
  </si>
  <si>
    <t>IPP/RM/20872</t>
  </si>
  <si>
    <t>37805</t>
  </si>
  <si>
    <t>IPP/RM/20873</t>
  </si>
  <si>
    <t>37812</t>
  </si>
  <si>
    <t>549888</t>
  </si>
  <si>
    <t>54989</t>
  </si>
  <si>
    <t>IPP/RM/20874</t>
  </si>
  <si>
    <t>37809</t>
  </si>
  <si>
    <t>55018</t>
  </si>
  <si>
    <t>IPP/RM/20869</t>
  </si>
  <si>
    <t>37820</t>
  </si>
  <si>
    <t>55019</t>
  </si>
  <si>
    <t>IPP/RM/20870</t>
  </si>
  <si>
    <t>37821</t>
  </si>
  <si>
    <t>55017</t>
  </si>
  <si>
    <t>IPP/RM/20871</t>
  </si>
  <si>
    <t>37814</t>
  </si>
  <si>
    <t>158980</t>
  </si>
  <si>
    <t>55070</t>
  </si>
  <si>
    <t>IPP/RM/20969</t>
  </si>
  <si>
    <t>MS/2020/1433</t>
  </si>
  <si>
    <t>158997</t>
  </si>
  <si>
    <t>55068</t>
  </si>
  <si>
    <t>IPP/RM/21004</t>
  </si>
  <si>
    <t>37853</t>
  </si>
  <si>
    <t>55069</t>
  </si>
  <si>
    <t>IPP/RM/21005</t>
  </si>
  <si>
    <t>37861</t>
  </si>
  <si>
    <t>55080</t>
  </si>
  <si>
    <t>IPP/RM/20970</t>
  </si>
  <si>
    <t>MA/2020/1440</t>
  </si>
  <si>
    <t>55082</t>
  </si>
  <si>
    <t>IPP/RM/21006</t>
  </si>
  <si>
    <t>37871</t>
  </si>
  <si>
    <t>55083</t>
  </si>
  <si>
    <t>IPP/RM/21007</t>
  </si>
  <si>
    <t>37870</t>
  </si>
  <si>
    <t>55084</t>
  </si>
  <si>
    <t>IPP/RM/21009</t>
  </si>
  <si>
    <t>37868</t>
  </si>
  <si>
    <t>55087</t>
  </si>
  <si>
    <t>IPP/RM/21008</t>
  </si>
  <si>
    <t>37872</t>
  </si>
  <si>
    <t>55116</t>
  </si>
  <si>
    <t>IPP/RM/21011</t>
  </si>
  <si>
    <t>916536692</t>
  </si>
  <si>
    <t>159035</t>
  </si>
  <si>
    <t>55098</t>
  </si>
  <si>
    <t>IPP/RM/21016</t>
  </si>
  <si>
    <t>20110073</t>
  </si>
  <si>
    <t>Megapack Plastic industries Ltd</t>
  </si>
  <si>
    <t>55152</t>
  </si>
  <si>
    <t>IPP/RM/21002</t>
  </si>
  <si>
    <t>37911</t>
  </si>
  <si>
    <t>55153</t>
  </si>
  <si>
    <t>IPP/RM/21003</t>
  </si>
  <si>
    <t>37909</t>
  </si>
  <si>
    <t>55154</t>
  </si>
  <si>
    <t>IPP/RM/21173</t>
  </si>
  <si>
    <t>CRWSI-6908</t>
  </si>
  <si>
    <t>55151</t>
  </si>
  <si>
    <t>IPP/RM/20990</t>
  </si>
  <si>
    <t>APC/LOC/20-00261</t>
  </si>
  <si>
    <t>55166</t>
  </si>
  <si>
    <t>IPP/RM/21001</t>
  </si>
  <si>
    <t>37918</t>
  </si>
  <si>
    <t>55179</t>
  </si>
  <si>
    <t>IPP/RM/21018</t>
  </si>
  <si>
    <t>SAC001222</t>
  </si>
  <si>
    <t>55239</t>
  </si>
  <si>
    <t>IPP/RM/20975</t>
  </si>
  <si>
    <t>SAC001229</t>
  </si>
  <si>
    <t>55255</t>
  </si>
  <si>
    <t>IPP/RM/20989</t>
  </si>
  <si>
    <t>APC/LOC/20-00268</t>
  </si>
  <si>
    <t>55271</t>
  </si>
  <si>
    <t>IPP/RM/21191</t>
  </si>
  <si>
    <t>CRWSI-6983</t>
  </si>
  <si>
    <t>IPP/RM/21067</t>
  </si>
  <si>
    <t>MRR-55325</t>
  </si>
  <si>
    <t>55325 - INVOICE NOT RECEIVED</t>
  </si>
  <si>
    <t>55388</t>
  </si>
  <si>
    <t>IPP/RM/21068</t>
  </si>
  <si>
    <t>SAC001236</t>
  </si>
  <si>
    <t>55385</t>
  </si>
  <si>
    <t>IPP/RM/21178</t>
  </si>
  <si>
    <t>55422</t>
  </si>
  <si>
    <t>IPP/RM/21305</t>
  </si>
  <si>
    <t>20120001</t>
  </si>
  <si>
    <t>MB630</t>
  </si>
  <si>
    <t>IPP/RM/21278</t>
  </si>
  <si>
    <t>SAC001245</t>
  </si>
  <si>
    <t>55433 @07.12.20</t>
  </si>
  <si>
    <t>IPP/RM/21272</t>
  </si>
  <si>
    <t>38059</t>
  </si>
  <si>
    <t>55467 @09.12.2020</t>
  </si>
  <si>
    <t>IPP/RM/21358</t>
  </si>
  <si>
    <t>157304</t>
  </si>
  <si>
    <t>55466 @10.12.20</t>
  </si>
  <si>
    <t>55482</t>
  </si>
  <si>
    <t>IPP/RM/21206</t>
  </si>
  <si>
    <t>CI202001562</t>
  </si>
  <si>
    <t>IPP/RM/21271</t>
  </si>
  <si>
    <t>38069</t>
  </si>
  <si>
    <t>55481  @10.12.2020</t>
  </si>
  <si>
    <t>IPP/RM/21342</t>
  </si>
  <si>
    <t>MA/2020/1503</t>
  </si>
  <si>
    <t>55485 @10.12.2020</t>
  </si>
  <si>
    <t>IPP/RM/21357</t>
  </si>
  <si>
    <t>55498 @12.12.2020</t>
  </si>
  <si>
    <t>IPP/RM/21320</t>
  </si>
  <si>
    <t>SAC001251</t>
  </si>
  <si>
    <t>55533 @14.12.2020</t>
  </si>
  <si>
    <t>IPP/RM/21359</t>
  </si>
  <si>
    <t>55550 @16.12.2020</t>
  </si>
  <si>
    <t>IPP/RM/21349</t>
  </si>
  <si>
    <t>38148</t>
  </si>
  <si>
    <t>55591 @20.12.2020</t>
  </si>
  <si>
    <t>IPP/RM/21360</t>
  </si>
  <si>
    <t>157377</t>
  </si>
  <si>
    <t>55590 @20.12.2020</t>
  </si>
  <si>
    <t>CHEM PET / 12 MIC/ 873MM/OST</t>
  </si>
  <si>
    <t>IPP/RM/21344</t>
  </si>
  <si>
    <t>38175</t>
  </si>
  <si>
    <t>55644 @24.12.2020</t>
  </si>
  <si>
    <t>IPP/RM/21399</t>
  </si>
  <si>
    <t>SAC001279</t>
  </si>
  <si>
    <t>55690 @27.12.2020</t>
  </si>
  <si>
    <t>SOLVOCHEM FZCO</t>
  </si>
  <si>
    <t>IPP/RM/21401</t>
  </si>
  <si>
    <t>17876</t>
  </si>
  <si>
    <t>IPP/RM/21402</t>
  </si>
  <si>
    <t>38191</t>
  </si>
  <si>
    <t>55688 @27.12.2020</t>
  </si>
  <si>
    <t>IPP/RM/21403</t>
  </si>
  <si>
    <t>38192</t>
  </si>
  <si>
    <t>55687 @27.12.2020</t>
  </si>
  <si>
    <t>IPP/RM/21422</t>
  </si>
  <si>
    <t>38196</t>
  </si>
  <si>
    <t>55709 @28.12.2020</t>
  </si>
  <si>
    <t>IPP/RM/21488</t>
  </si>
  <si>
    <t>38224</t>
  </si>
  <si>
    <t>55779 @03.01.2021</t>
  </si>
  <si>
    <t>IPP/RM/21489</t>
  </si>
  <si>
    <t>38229</t>
  </si>
  <si>
    <t>55795 @04.01.2021</t>
  </si>
  <si>
    <t>IPP/RM/21490</t>
  </si>
  <si>
    <t>38244</t>
  </si>
  <si>
    <t>55818 @05.01.2021</t>
  </si>
  <si>
    <t>IPP/RM/21494</t>
  </si>
  <si>
    <t>916861963</t>
  </si>
  <si>
    <t>55852 @</t>
  </si>
  <si>
    <t>IPP/RM/21584</t>
  </si>
  <si>
    <t>160022</t>
  </si>
  <si>
    <t>55817 @05.01.2021</t>
  </si>
  <si>
    <t>55869</t>
  </si>
  <si>
    <t>IPP/RM/21562</t>
  </si>
  <si>
    <t>SAC001301</t>
  </si>
  <si>
    <t>IPP/RM/21563</t>
  </si>
  <si>
    <t>SAC001302</t>
  </si>
  <si>
    <t>55868 @09.01.2021</t>
  </si>
  <si>
    <t>IPP/RM/21624</t>
  </si>
  <si>
    <t>160051</t>
  </si>
  <si>
    <t>55895 @13.01.2021</t>
  </si>
  <si>
    <t>IPP/RM/21636</t>
  </si>
  <si>
    <t>CRWSI-7288</t>
  </si>
  <si>
    <t>55885 @11.01.2021</t>
  </si>
  <si>
    <t>IPP/RM/21583</t>
  </si>
  <si>
    <t>160070</t>
  </si>
  <si>
    <t>55927 @12.01.2021</t>
  </si>
  <si>
    <t>IPP/RM/21630</t>
  </si>
  <si>
    <t>SAC001305</t>
  </si>
  <si>
    <t>55943 @12.01.2021</t>
  </si>
  <si>
    <t>IPP/RM/21763</t>
  </si>
  <si>
    <t>17936</t>
  </si>
  <si>
    <t>56050 @17-01-2021</t>
  </si>
  <si>
    <t>IPP/RM/21760</t>
  </si>
  <si>
    <t>160120</t>
  </si>
  <si>
    <t>56033 @19-01-2021</t>
  </si>
  <si>
    <t>IPP/RM/21762</t>
  </si>
  <si>
    <t>SC/PC/2021/INV-087</t>
  </si>
  <si>
    <t>56072 @21-01-2021</t>
  </si>
  <si>
    <t>IPP/RM/21751</t>
  </si>
  <si>
    <t>56110 @24-01-2021</t>
  </si>
  <si>
    <t>IPP/RM/21759</t>
  </si>
  <si>
    <t>160156</t>
  </si>
  <si>
    <t>56118 @25-01-2021</t>
  </si>
  <si>
    <t>IPP/RM/21777</t>
  </si>
  <si>
    <t>160191</t>
  </si>
  <si>
    <t>56152 @27-01-2021</t>
  </si>
  <si>
    <t>IPP/RM/21778</t>
  </si>
  <si>
    <t>SC/PC/2021/INV-108</t>
  </si>
  <si>
    <t>56150 @27-01-2021</t>
  </si>
  <si>
    <t>56151</t>
  </si>
  <si>
    <t>IPP/RM/21783</t>
  </si>
  <si>
    <t>56151 @ Invoice not received</t>
  </si>
  <si>
    <t>IPP/RM/21874</t>
  </si>
  <si>
    <t>160241</t>
  </si>
  <si>
    <t>56253 @ 03-02-2021</t>
  </si>
  <si>
    <t>IPP/RM/21876</t>
  </si>
  <si>
    <t>160242</t>
  </si>
  <si>
    <t>56254 @ 03-02-2021</t>
  </si>
  <si>
    <t>IPP/RM/21875</t>
  </si>
  <si>
    <t>160276</t>
  </si>
  <si>
    <t>56300 @ 08-02-2021</t>
  </si>
  <si>
    <t>IPP/RM/21878</t>
  </si>
  <si>
    <t>SAC001328</t>
  </si>
  <si>
    <t>56299 @ 08-02-2021</t>
  </si>
  <si>
    <t>IPP/RM/21830</t>
  </si>
  <si>
    <t>CI202101075</t>
  </si>
  <si>
    <t>56369 @13-02-2021</t>
  </si>
  <si>
    <t>IPP/RM/21910</t>
  </si>
  <si>
    <t>160313</t>
  </si>
  <si>
    <t>56401 @ 14-02-2021</t>
  </si>
  <si>
    <t>IPP/RM/21898</t>
  </si>
  <si>
    <t>SAC001345</t>
  </si>
  <si>
    <t>56461 @ 17-02-2021</t>
  </si>
  <si>
    <t>IPP/RM/22134</t>
  </si>
  <si>
    <t>160363</t>
  </si>
  <si>
    <t>56494 @ 18-02-2021</t>
  </si>
  <si>
    <t>IPP/RM/22109</t>
  </si>
  <si>
    <t>917170442</t>
  </si>
  <si>
    <t>56575 @ 20-02-2021</t>
  </si>
  <si>
    <t>IPP/RM/22098</t>
  </si>
  <si>
    <t>2150035</t>
  </si>
  <si>
    <t>56580 @ 24-02-2021</t>
  </si>
  <si>
    <t>IPP/RM/22112</t>
  </si>
  <si>
    <t>160392</t>
  </si>
  <si>
    <t>56577 @24-02-2021</t>
  </si>
  <si>
    <t>160122</t>
  </si>
  <si>
    <t>IPP/RM/22113</t>
  </si>
  <si>
    <t>160393</t>
  </si>
  <si>
    <t>56576 @24-02-2021</t>
  </si>
  <si>
    <t>IPP/RM/22118</t>
  </si>
  <si>
    <t>SC/PC/2021/INV-226</t>
  </si>
  <si>
    <t>56578 @24-02-2021</t>
  </si>
  <si>
    <t>56601</t>
  </si>
  <si>
    <t>IPP/RM/22099</t>
  </si>
  <si>
    <t>MRR 56601</t>
  </si>
  <si>
    <t>IPP/RM/22350</t>
  </si>
  <si>
    <t>160455</t>
  </si>
  <si>
    <t>56746 @07.03.2021</t>
  </si>
  <si>
    <t>IPP/RM/22513</t>
  </si>
  <si>
    <t>CRWSI-7608</t>
  </si>
  <si>
    <t>56744 @07.03.2021</t>
  </si>
  <si>
    <t>IPP/RM/22240</t>
  </si>
  <si>
    <t>SAC001363</t>
  </si>
  <si>
    <t>56761 @08.03.2021</t>
  </si>
  <si>
    <t>COIM S.P.A CHIMICA ORGANICA INDUSTRIALE MILANESE</t>
  </si>
  <si>
    <t>IPP/RM/22348</t>
  </si>
  <si>
    <t>2100093</t>
  </si>
  <si>
    <t>56785 @09.03.2021</t>
  </si>
  <si>
    <t>IPP/RM/22237</t>
  </si>
  <si>
    <t>23066</t>
  </si>
  <si>
    <t>56828 @11.03.2021</t>
  </si>
  <si>
    <t>160548</t>
  </si>
  <si>
    <t>IPP/RM/22359</t>
  </si>
  <si>
    <t>FZCSI-0257</t>
  </si>
  <si>
    <t>56829,56863,56914,56915,56943</t>
  </si>
  <si>
    <t>IPP/RM/22195</t>
  </si>
  <si>
    <t>CI202101143</t>
  </si>
  <si>
    <t>56959 @21.03.2021</t>
  </si>
  <si>
    <t>IPP/RM/22196</t>
  </si>
  <si>
    <t>56958 @21.03.2021</t>
  </si>
  <si>
    <t>160418A</t>
  </si>
  <si>
    <t>IPP/RM/22197</t>
  </si>
  <si>
    <t>160555</t>
  </si>
  <si>
    <t>56968 @21.03.2021</t>
  </si>
  <si>
    <t>IPP/RM/22239</t>
  </si>
  <si>
    <t>SAC001379</t>
  </si>
  <si>
    <t>56960 @21.03.2021</t>
  </si>
  <si>
    <t>IPP/RM/22364</t>
  </si>
  <si>
    <t>MA/2021/1116</t>
  </si>
  <si>
    <t>57021 @25.03.2021</t>
  </si>
  <si>
    <t>IPP/RM/22520</t>
  </si>
  <si>
    <t>917316993</t>
  </si>
  <si>
    <t>57058 @27.03.2021</t>
  </si>
  <si>
    <t>IPP/RM/22365</t>
  </si>
  <si>
    <t>1606073</t>
  </si>
  <si>
    <t>57075 @29.03.2021</t>
  </si>
  <si>
    <t>57074</t>
  </si>
  <si>
    <t>IPP/RM/22366</t>
  </si>
  <si>
    <t>160616</t>
  </si>
  <si>
    <t>160632</t>
  </si>
  <si>
    <t>IPP/RM/22386</t>
  </si>
  <si>
    <t>57116@31.03.2021</t>
  </si>
  <si>
    <t>IPP/RM/22387</t>
  </si>
  <si>
    <t>57117 @31.03.2021</t>
  </si>
  <si>
    <t>IPP/RM/22720</t>
  </si>
  <si>
    <t>MA/2021/1138</t>
  </si>
  <si>
    <t>57163 @4.04.2021</t>
  </si>
  <si>
    <t>IPP/RM/22704</t>
  </si>
  <si>
    <t>APC\LI20241\2021</t>
  </si>
  <si>
    <t>57181 @ 05.04.2021</t>
  </si>
  <si>
    <t>IPP/RM/22544</t>
  </si>
  <si>
    <t>CI202101180</t>
  </si>
  <si>
    <t>57212 @08.04.2021</t>
  </si>
  <si>
    <t>57276</t>
  </si>
  <si>
    <t>IPP/RM/22661</t>
  </si>
  <si>
    <t>MRR#57276</t>
  </si>
  <si>
    <t>IPP/RM/22693</t>
  </si>
  <si>
    <t>SAC001408</t>
  </si>
  <si>
    <t>57316 @ 15.04.2021</t>
  </si>
  <si>
    <t>IPP/RM/22705</t>
  </si>
  <si>
    <t>APC\LI20254\2021</t>
  </si>
  <si>
    <t>57324 @ 17.04.2021</t>
  </si>
  <si>
    <t>IPP/RM/22702</t>
  </si>
  <si>
    <t>APC\LI20256/2021</t>
  </si>
  <si>
    <t>57335 @ 18.04.2021</t>
  </si>
  <si>
    <t>IPP/RM/22676</t>
  </si>
  <si>
    <t>160749</t>
  </si>
  <si>
    <t>57381 @ 19.04.2021</t>
  </si>
  <si>
    <t>160839</t>
  </si>
  <si>
    <t>IPP/RM/22694</t>
  </si>
  <si>
    <t>SAC001416</t>
  </si>
  <si>
    <t>57454 @ 25.04.2021</t>
  </si>
  <si>
    <t>57494</t>
  </si>
  <si>
    <t>IPP/RM/22655</t>
  </si>
  <si>
    <t>917402920</t>
  </si>
  <si>
    <t>IPP/RM/22703</t>
  </si>
  <si>
    <t>APC\LI20263\2021</t>
  </si>
  <si>
    <t>57476 @ 27.04.2021</t>
  </si>
  <si>
    <t>57537</t>
  </si>
  <si>
    <t>IPP/RM/22662</t>
  </si>
  <si>
    <t>MRR#57537</t>
  </si>
  <si>
    <t>IPP/RM/23009</t>
  </si>
  <si>
    <t>917661583</t>
  </si>
  <si>
    <t>IPP/RM/22881</t>
  </si>
  <si>
    <t>CI202101225</t>
  </si>
  <si>
    <t>57553 @05.05.2021</t>
  </si>
  <si>
    <t>IPP/RM/22904</t>
  </si>
  <si>
    <t>APC/LI20266/2021</t>
  </si>
  <si>
    <t>57550 @02.05.2021</t>
  </si>
  <si>
    <t>IPP/RM/22986</t>
  </si>
  <si>
    <t>57605 @05.05.2021</t>
  </si>
  <si>
    <t>IPP/RM/22987</t>
  </si>
  <si>
    <t>160884</t>
  </si>
  <si>
    <t>57707 @17.050.2021</t>
  </si>
  <si>
    <t>IPP/RM/22993</t>
  </si>
  <si>
    <t>SAC001433</t>
  </si>
  <si>
    <t>57708 @17.05.2021</t>
  </si>
  <si>
    <t>161045</t>
  </si>
  <si>
    <t>IPP/RM/22988</t>
  </si>
  <si>
    <t>160917</t>
  </si>
  <si>
    <t>57776 @20.05.2021</t>
  </si>
  <si>
    <t>IPP/RM/22953</t>
  </si>
  <si>
    <t>CI202101264</t>
  </si>
  <si>
    <t>57803 @23.05.2021</t>
  </si>
  <si>
    <t>161039</t>
  </si>
  <si>
    <t>IPP/RM/22991</t>
  </si>
  <si>
    <t>MA/2021/1197</t>
  </si>
  <si>
    <t>57833 @24.05.2021</t>
  </si>
  <si>
    <t>Adhesive  - Herberts HP 8660</t>
  </si>
  <si>
    <t>Adhesive - Herbert Hardner KN 75 (Bostic)</t>
  </si>
  <si>
    <t>IPP/RM/22992</t>
  </si>
  <si>
    <t>CRWSI-7993</t>
  </si>
  <si>
    <t>57828 @25.05.2021</t>
  </si>
  <si>
    <t>IPP/RM/23033</t>
  </si>
  <si>
    <t>SC/PC/2021/INV-458</t>
  </si>
  <si>
    <t>57870 @27.05.2021</t>
  </si>
  <si>
    <t>IPP/RM/23052</t>
  </si>
  <si>
    <t>917517246</t>
  </si>
  <si>
    <t>57871 @19.04.2021</t>
  </si>
  <si>
    <t>IPP/RM/23034</t>
  </si>
  <si>
    <t>SC/PC/2021/INV-477</t>
  </si>
  <si>
    <t>57884 @29.05.2021</t>
  </si>
  <si>
    <t>HP 8660</t>
  </si>
  <si>
    <t>KN 75</t>
  </si>
  <si>
    <t>IPP/RM/23250</t>
  </si>
  <si>
    <t>160998</t>
  </si>
  <si>
    <t>57929 @01.06.2021</t>
  </si>
  <si>
    <t>IPP/RM/23209</t>
  </si>
  <si>
    <t>SAC001453</t>
  </si>
  <si>
    <t>57951 @02.06.2021</t>
  </si>
  <si>
    <t>IPP/RM/23231</t>
  </si>
  <si>
    <t>SC/PC/2021/INV-498</t>
  </si>
  <si>
    <t>57952 @02.06.2021</t>
  </si>
  <si>
    <t>IPP/RM/23171</t>
  </si>
  <si>
    <t>CI202101286</t>
  </si>
  <si>
    <t>57972 @05.06.2021</t>
  </si>
  <si>
    <t>IPP/RM/23248</t>
  </si>
  <si>
    <t>58002 @07.06.2021</t>
  </si>
  <si>
    <t>IPP/RM/23249</t>
  </si>
  <si>
    <t>58023 @08.06.2021</t>
  </si>
  <si>
    <t>161222</t>
  </si>
  <si>
    <t>161302</t>
  </si>
  <si>
    <t>IPP/RM/23235</t>
  </si>
  <si>
    <t>SC/PC/2021/INV-536</t>
  </si>
  <si>
    <t>58073 @12.06.2021</t>
  </si>
  <si>
    <t>161281</t>
  </si>
  <si>
    <t>IPP/RM/23251</t>
  </si>
  <si>
    <t>161079</t>
  </si>
  <si>
    <t>58103 @14.06.2021</t>
  </si>
  <si>
    <t>IPP/RM/23210</t>
  </si>
  <si>
    <t>SAC001468</t>
  </si>
  <si>
    <t>58127@16.06.2021</t>
  </si>
  <si>
    <t>IPP/RM/23268</t>
  </si>
  <si>
    <t>161134</t>
  </si>
  <si>
    <t>58176 @21.06.2021</t>
  </si>
  <si>
    <t>IPP/RM/23456</t>
  </si>
  <si>
    <t>CRWSI-8170</t>
  </si>
  <si>
    <t>58219 @23.06.2021</t>
  </si>
  <si>
    <t>161361</t>
  </si>
  <si>
    <t>IPP/RM/23454</t>
  </si>
  <si>
    <t>914776057</t>
  </si>
  <si>
    <t>58177 @29.05.2021</t>
  </si>
  <si>
    <t>IPP/RM/23462</t>
  </si>
  <si>
    <t>SC/PC/2021/INV-569</t>
  </si>
  <si>
    <t>58242 @26.06.2021</t>
  </si>
  <si>
    <t>58245</t>
  </si>
  <si>
    <t>IPP/RM/23460</t>
  </si>
  <si>
    <t>58245 @28.06.2021</t>
  </si>
  <si>
    <t>IPP/RM/23568</t>
  </si>
  <si>
    <t>MA/2021/1255</t>
  </si>
  <si>
    <t>58337 @01.07.2021</t>
  </si>
  <si>
    <t>IPP/RM/23502</t>
  </si>
  <si>
    <t>58358 @04.07.2021</t>
  </si>
  <si>
    <t>IPP/RM/23503</t>
  </si>
  <si>
    <t>161240</t>
  </si>
  <si>
    <t>58389 @06.07.2021</t>
  </si>
  <si>
    <t>IPP/RM/23511</t>
  </si>
  <si>
    <t>CRWSI-8265</t>
  </si>
  <si>
    <t>58418 @08.07.2021</t>
  </si>
  <si>
    <t>IPP/RM/23501</t>
  </si>
  <si>
    <t>SAC001495</t>
  </si>
  <si>
    <t>58434 @10.07.2021</t>
  </si>
  <si>
    <t>IPP/RM/23504</t>
  </si>
  <si>
    <t>58447 @11.07.2021</t>
  </si>
  <si>
    <t>IPP/RM/23505</t>
  </si>
  <si>
    <t>58476 @13.07.2021</t>
  </si>
  <si>
    <t>IPP/RM/23506</t>
  </si>
  <si>
    <t>161304</t>
  </si>
  <si>
    <t>58486 @14.07.2021</t>
  </si>
  <si>
    <t>IPP/RM/23509</t>
  </si>
  <si>
    <t>CRWSI-8312</t>
  </si>
  <si>
    <t>58490 @14.07.2021</t>
  </si>
  <si>
    <t>IPP/RM/23510</t>
  </si>
  <si>
    <t>CRWSI-8319</t>
  </si>
  <si>
    <t>58512 @15.07.2021</t>
  </si>
  <si>
    <t>58540</t>
  </si>
  <si>
    <t>IPP/RM/23570</t>
  </si>
  <si>
    <t>MR-58540</t>
  </si>
  <si>
    <t>IPP/RM/23500</t>
  </si>
  <si>
    <t>SC/PC/2021/INV-647</t>
  </si>
  <si>
    <t>58538 @10.07.2021</t>
  </si>
  <si>
    <t>IPP/RM/23508</t>
  </si>
  <si>
    <t>CRWSI-8344</t>
  </si>
  <si>
    <t>58567 @18.07.2021</t>
  </si>
  <si>
    <t>161338</t>
  </si>
  <si>
    <t>IPP/RM/23507</t>
  </si>
  <si>
    <t>58621 @25.07.2021</t>
  </si>
  <si>
    <t>IPP/RM/23646</t>
  </si>
  <si>
    <t>58636 @26.07.2021</t>
  </si>
  <si>
    <t>161705</t>
  </si>
  <si>
    <t>161689</t>
  </si>
  <si>
    <t>IPP/RM/23653</t>
  </si>
  <si>
    <t>SAC001510</t>
  </si>
  <si>
    <t>58693 @29.07.2021</t>
  </si>
  <si>
    <t>IPP/RM/23647</t>
  </si>
  <si>
    <t>SC/PC/2021/INV-675</t>
  </si>
  <si>
    <t>58706 @28.07.2021</t>
  </si>
  <si>
    <t>161623</t>
  </si>
  <si>
    <t>IPP/RM/23820</t>
  </si>
  <si>
    <t>161409</t>
  </si>
  <si>
    <t>58727 @02.08.2021</t>
  </si>
  <si>
    <t>58751</t>
  </si>
  <si>
    <t>IPP/RM/24111</t>
  </si>
  <si>
    <t>IPP/RM/23831</t>
  </si>
  <si>
    <t>SC/PC/2021/INV-708</t>
  </si>
  <si>
    <t>58781 @06.08.2021</t>
  </si>
  <si>
    <t>IPP/RM/23832</t>
  </si>
  <si>
    <t>crwsi-8457</t>
  </si>
  <si>
    <t>58813 @08.08.2021</t>
  </si>
  <si>
    <t>IPP/RM/23821</t>
  </si>
  <si>
    <t>161504</t>
  </si>
  <si>
    <t>58860 @11.08.2021</t>
  </si>
  <si>
    <t>IPP/RM/23835</t>
  </si>
  <si>
    <t>SAC001524</t>
  </si>
  <si>
    <t>58861 @11.08.2021</t>
  </si>
  <si>
    <t>161907</t>
  </si>
  <si>
    <t>58925</t>
  </si>
  <si>
    <t>IPP/RM/23834</t>
  </si>
  <si>
    <t>161891</t>
  </si>
  <si>
    <t>58923</t>
  </si>
  <si>
    <t>IPP/RM/23848</t>
  </si>
  <si>
    <t>39632</t>
  </si>
  <si>
    <t>IPP/RM/23850</t>
  </si>
  <si>
    <t>39638</t>
  </si>
  <si>
    <t>58944 @17.08.2021</t>
  </si>
  <si>
    <t>IPP/RM/23836</t>
  </si>
  <si>
    <t>SAC001530</t>
  </si>
  <si>
    <t>58974 @18.08.2021</t>
  </si>
  <si>
    <t>IPP/RM/23851</t>
  </si>
  <si>
    <t>39645</t>
  </si>
  <si>
    <t>58970 @18.08.2021</t>
  </si>
  <si>
    <t>IPP/RM/23852</t>
  </si>
  <si>
    <t>39646</t>
  </si>
  <si>
    <t>58973 @18.08.2021</t>
  </si>
  <si>
    <t>IPP/RM/23849</t>
  </si>
  <si>
    <t>39658</t>
  </si>
  <si>
    <t>58992 @19.08.2021</t>
  </si>
  <si>
    <t>161978</t>
  </si>
  <si>
    <t>161939</t>
  </si>
  <si>
    <t>IPP/RM/23823</t>
  </si>
  <si>
    <t>161561</t>
  </si>
  <si>
    <t>59011 @21.08.2021</t>
  </si>
  <si>
    <t>IPP/RM/23822</t>
  </si>
  <si>
    <t>161560</t>
  </si>
  <si>
    <t>59010 @21.08.2021</t>
  </si>
  <si>
    <t>IPP/RM/23946</t>
  </si>
  <si>
    <t>CRWSI-8566</t>
  </si>
  <si>
    <t>59077 @25.08.2021</t>
  </si>
  <si>
    <t>IPP/RM/23947</t>
  </si>
  <si>
    <t>59095 @26.08.2021</t>
  </si>
  <si>
    <t>161890</t>
  </si>
  <si>
    <t>IPP/RM/24095</t>
  </si>
  <si>
    <t>39709</t>
  </si>
  <si>
    <t>59161 @30.08.2021</t>
  </si>
  <si>
    <t>IPP/RM/24094</t>
  </si>
  <si>
    <t>39718</t>
  </si>
  <si>
    <t>59174 @31.08.2021</t>
  </si>
  <si>
    <t>IPP/RM/24703</t>
  </si>
  <si>
    <t>SAC001547</t>
  </si>
  <si>
    <t>59191 @01.09.2021</t>
  </si>
  <si>
    <t>IPP/RM/24665</t>
  </si>
  <si>
    <t>39730</t>
  </si>
  <si>
    <t>59196 @02.09.2021</t>
  </si>
  <si>
    <t>IPP/RM/24666</t>
  </si>
  <si>
    <t>39728</t>
  </si>
  <si>
    <t>59195 @01.09.2021</t>
  </si>
  <si>
    <t>IPP/RM/24707</t>
  </si>
  <si>
    <t>59243 @05.09.2021</t>
  </si>
  <si>
    <t>IPP/RM/24708</t>
  </si>
  <si>
    <t>58258 @06.09.2021</t>
  </si>
  <si>
    <t>IPP/RM/24706</t>
  </si>
  <si>
    <t>161738</t>
  </si>
  <si>
    <t>59317 @09.09.2021</t>
  </si>
  <si>
    <t>162150</t>
  </si>
  <si>
    <t>A.Foil/7 mic/913 mm/soft</t>
  </si>
  <si>
    <t>IPP/RM/24671</t>
  </si>
  <si>
    <t>39786</t>
  </si>
  <si>
    <t>59354 @12.09.2021</t>
  </si>
  <si>
    <t>IPP/RM/24672</t>
  </si>
  <si>
    <t>39784</t>
  </si>
  <si>
    <t>59355 @12.09.2021</t>
  </si>
  <si>
    <t>161818</t>
  </si>
  <si>
    <t>IPP/RM/24667</t>
  </si>
  <si>
    <t>39804</t>
  </si>
  <si>
    <t>59383 @14.09.2021</t>
  </si>
  <si>
    <t>IPP/RM/24670</t>
  </si>
  <si>
    <t>39805</t>
  </si>
  <si>
    <t>59382 @14.09.2021</t>
  </si>
  <si>
    <t>IPP/RM/24669</t>
  </si>
  <si>
    <t>39818</t>
  </si>
  <si>
    <t>59412 @15.09.2021</t>
  </si>
  <si>
    <t>IPP/RM/24668</t>
  </si>
  <si>
    <t>39825</t>
  </si>
  <si>
    <t>59427 @16.09.2021</t>
  </si>
  <si>
    <t>IPP/RM/24699</t>
  </si>
  <si>
    <t>MA/2021/1345</t>
  </si>
  <si>
    <t>59428 @16.09.2021</t>
  </si>
  <si>
    <t>IPP/RM/24674</t>
  </si>
  <si>
    <t>39831</t>
  </si>
  <si>
    <t>59495 @19.09.2021</t>
  </si>
  <si>
    <t>IPP/RM/24675</t>
  </si>
  <si>
    <t>39838</t>
  </si>
  <si>
    <t>59496 @19.09.2021</t>
  </si>
  <si>
    <t>IPP/RM/24704</t>
  </si>
  <si>
    <t>SAC001564</t>
  </si>
  <si>
    <t>59497 @19.09.2021</t>
  </si>
  <si>
    <t>162310</t>
  </si>
  <si>
    <t>IPP/RM/24673</t>
  </si>
  <si>
    <t>39850</t>
  </si>
  <si>
    <t>59504 @20.09.2021</t>
  </si>
  <si>
    <t>IPP/RM/24709</t>
  </si>
  <si>
    <t>59506 @20.09.2021</t>
  </si>
  <si>
    <t>IPP/RM/24710</t>
  </si>
  <si>
    <t>161819</t>
  </si>
  <si>
    <t>59505 @20.09.2021</t>
  </si>
  <si>
    <t>IPP/RM/24796</t>
  </si>
  <si>
    <t>39853</t>
  </si>
  <si>
    <t>59516 @21.09.2021</t>
  </si>
  <si>
    <t>162309</t>
  </si>
  <si>
    <t>IPP/RM/24931</t>
  </si>
  <si>
    <t>39865</t>
  </si>
  <si>
    <t>59530 @22.09.2021</t>
  </si>
  <si>
    <t>IPP/RM/24933</t>
  </si>
  <si>
    <t>918323782</t>
  </si>
  <si>
    <t>59546 @22.09.2021</t>
  </si>
  <si>
    <t>IPP/RM/24937</t>
  </si>
  <si>
    <t>39866</t>
  </si>
  <si>
    <t>59529 @22.09.2021</t>
  </si>
  <si>
    <t>IPP/RM/24940</t>
  </si>
  <si>
    <t>39875</t>
  </si>
  <si>
    <t>59555 @23.09.2021</t>
  </si>
  <si>
    <t>IPP/RM/24939</t>
  </si>
  <si>
    <t>39889</t>
  </si>
  <si>
    <t>59576 @25.09.2021</t>
  </si>
  <si>
    <t>IPP/RM/24938</t>
  </si>
  <si>
    <t>39892</t>
  </si>
  <si>
    <t>59612 @26.09.2021</t>
  </si>
  <si>
    <t>IPP/RM/24950</t>
  </si>
  <si>
    <t>59619 @27.09.2021</t>
  </si>
  <si>
    <t>IPP/RM/24951</t>
  </si>
  <si>
    <t>59618 @27.09.2021</t>
  </si>
  <si>
    <t>IPP/RM/24985</t>
  </si>
  <si>
    <t>59655 @ 28.09.2021</t>
  </si>
  <si>
    <t>IPP/RM/24986</t>
  </si>
  <si>
    <t>39915</t>
  </si>
  <si>
    <t>59653 @ 28.09.2021</t>
  </si>
  <si>
    <t>59677</t>
  </si>
  <si>
    <t>IPP/RM/24998</t>
  </si>
  <si>
    <t>MRR#59677</t>
  </si>
  <si>
    <t>IPP/RM/24997</t>
  </si>
  <si>
    <t>39935</t>
  </si>
  <si>
    <t>59691 @30.09.2021</t>
  </si>
  <si>
    <t>162489</t>
  </si>
  <si>
    <t>IPP/RM/25095</t>
  </si>
  <si>
    <t>39953</t>
  </si>
  <si>
    <t>59741 @04.10.2021</t>
  </si>
  <si>
    <t>IPP/RM/25096</t>
  </si>
  <si>
    <t>39954</t>
  </si>
  <si>
    <t>59743 @04.10.2021</t>
  </si>
  <si>
    <t>IPP/RM/25140</t>
  </si>
  <si>
    <t>59742 @ 04-10-2021</t>
  </si>
  <si>
    <t>IPP/RM/25098</t>
  </si>
  <si>
    <t>39964</t>
  </si>
  <si>
    <t>59763 @05.10.2021</t>
  </si>
  <si>
    <t>IPP/RM/25077</t>
  </si>
  <si>
    <t>59787 @07.10.2021</t>
  </si>
  <si>
    <t>IPP/RM/25097</t>
  </si>
  <si>
    <t>39980</t>
  </si>
  <si>
    <t>59786 @07.10.2021</t>
  </si>
  <si>
    <t>59850</t>
  </si>
  <si>
    <t>IPP/RM/25410</t>
  </si>
  <si>
    <t>MRR-59850</t>
  </si>
  <si>
    <t>IPP/RM/25190</t>
  </si>
  <si>
    <t>MRR#59835</t>
  </si>
  <si>
    <t>59835 - Original invoice pending</t>
  </si>
  <si>
    <t>IPP/RM/25202</t>
  </si>
  <si>
    <t>SAC001581</t>
  </si>
  <si>
    <t>59489 @ 11-10-2021</t>
  </si>
  <si>
    <t>IPP/RM/25139</t>
  </si>
  <si>
    <t>162002</t>
  </si>
  <si>
    <t>59852 @ 12-10-2021</t>
  </si>
  <si>
    <t>162580</t>
  </si>
  <si>
    <t>162644</t>
  </si>
  <si>
    <t>IPP/RM/25133</t>
  </si>
  <si>
    <t>APC\LI20334\2021</t>
  </si>
  <si>
    <t>59908 @ 16-10-2021</t>
  </si>
  <si>
    <t>IPP/RM/25192</t>
  </si>
  <si>
    <t>MRR#59951</t>
  </si>
  <si>
    <t>59951 - Original invoice pending</t>
  </si>
  <si>
    <t>IPP/RM/25177</t>
  </si>
  <si>
    <t>CRWSI-8965</t>
  </si>
  <si>
    <t>60022 @ 23-10-2021</t>
  </si>
  <si>
    <t>162532</t>
  </si>
  <si>
    <t>IPP/RM/25176</t>
  </si>
  <si>
    <t>CRWSI-8979</t>
  </si>
  <si>
    <t>60033 @ 24-10-2021</t>
  </si>
  <si>
    <t>IPP/RM/25362</t>
  </si>
  <si>
    <t>40097</t>
  </si>
  <si>
    <t>60045 @ 25-10-2021</t>
  </si>
  <si>
    <t>IPP/RM/25364</t>
  </si>
  <si>
    <t>APC\LI\20337\2021</t>
  </si>
  <si>
    <t>60047 @ 25-10-2021</t>
  </si>
  <si>
    <t>IPP/RM/25361</t>
  </si>
  <si>
    <t>60083 @ 28-10-2021</t>
  </si>
  <si>
    <t>IPP/RM/25363</t>
  </si>
  <si>
    <t>APC\LI\20342\2021</t>
  </si>
  <si>
    <t>60085 @ 26-10-2021</t>
  </si>
  <si>
    <t>IPP/RM/25459</t>
  </si>
  <si>
    <t>SAC001601</t>
  </si>
  <si>
    <t>60159 @ 02-11-2021</t>
  </si>
  <si>
    <t>IPP/RM/25453</t>
  </si>
  <si>
    <t>APC\LI20347\2021</t>
  </si>
  <si>
    <t>60175 @ 03-11-2021</t>
  </si>
  <si>
    <t>IPP/RM/25463</t>
  </si>
  <si>
    <t>MA/2021/1400</t>
  </si>
  <si>
    <t>60198 @ 06-11-2021</t>
  </si>
  <si>
    <t>IPP/RM/25461</t>
  </si>
  <si>
    <t>SAC01603</t>
  </si>
  <si>
    <t>60223 @ 07-11-2021</t>
  </si>
  <si>
    <t>60230</t>
  </si>
  <si>
    <t>IPP/RM/25458</t>
  </si>
  <si>
    <t>918511905</t>
  </si>
  <si>
    <t>IPP/RM/25447</t>
  </si>
  <si>
    <t>40208</t>
  </si>
  <si>
    <t>60288 @ 11-11-2021</t>
  </si>
  <si>
    <t>IPP/RM/25448</t>
  </si>
  <si>
    <t>40203</t>
  </si>
  <si>
    <t>60287 @ 11-11-2021</t>
  </si>
  <si>
    <t>IPP/RM/25449</t>
  </si>
  <si>
    <t>40209</t>
  </si>
  <si>
    <t>60289 @ 11-11-2021</t>
  </si>
  <si>
    <t>IPP/RM/25462</t>
  </si>
  <si>
    <t>SAC001612</t>
  </si>
  <si>
    <t>60296 @ 11-11-2021</t>
  </si>
  <si>
    <t>IPP/RM/25426</t>
  </si>
  <si>
    <t>CRWSI-9153 &amp; 9154</t>
  </si>
  <si>
    <t>60319 @ 14-11-2021</t>
  </si>
  <si>
    <t>IPP/RM/25443</t>
  </si>
  <si>
    <t>40234</t>
  </si>
  <si>
    <t>60318 @ 14-11-2021</t>
  </si>
  <si>
    <t>IPP/RM/25450</t>
  </si>
  <si>
    <t>40233</t>
  </si>
  <si>
    <t>60321 @ 14-11-2021</t>
  </si>
  <si>
    <t>IPP/RM/25425</t>
  </si>
  <si>
    <t>CRWSI-9165</t>
  </si>
  <si>
    <t>60348 @ 15-11-2021</t>
  </si>
  <si>
    <t>IPP/RM/25445</t>
  </si>
  <si>
    <t>40247</t>
  </si>
  <si>
    <t>60346 @ 15-11-2021</t>
  </si>
  <si>
    <t>IPP/RM/25446</t>
  </si>
  <si>
    <t>40246</t>
  </si>
  <si>
    <t>60345 @ 15-11-2021</t>
  </si>
  <si>
    <t>IPP/RM/25424</t>
  </si>
  <si>
    <t>60362 @ 16-11-2021</t>
  </si>
  <si>
    <t>IPP/RM/25444</t>
  </si>
  <si>
    <t>40256</t>
  </si>
  <si>
    <t>60359 @ 16-11-2021</t>
  </si>
  <si>
    <t>IPP/RM/25451</t>
  </si>
  <si>
    <t>40257</t>
  </si>
  <si>
    <t>60358 @ 16-11-2021</t>
  </si>
  <si>
    <t>IPP/RM/25452</t>
  </si>
  <si>
    <t>60361 @ 16-11-2021</t>
  </si>
  <si>
    <t>IPP/RM/25460</t>
  </si>
  <si>
    <t>SAC001615</t>
  </si>
  <si>
    <t>60369 @ 17-11-2021</t>
  </si>
  <si>
    <t xml:space="preserve">CHEM PET/12 MIC/688mm/OSCP_x000D_
</t>
  </si>
  <si>
    <t>IPP/RM/25622</t>
  </si>
  <si>
    <t>40287</t>
  </si>
  <si>
    <t>60384@18-11-2021</t>
  </si>
  <si>
    <t>IPP/RM/25623</t>
  </si>
  <si>
    <t>40292</t>
  </si>
  <si>
    <t>60414@20-11-2021</t>
  </si>
  <si>
    <t>IPP/RM/25624</t>
  </si>
  <si>
    <t>40290</t>
  </si>
  <si>
    <t>60415@20-11-2021</t>
  </si>
  <si>
    <t>IPP/RM/25620</t>
  </si>
  <si>
    <t>40304</t>
  </si>
  <si>
    <t>60429@21-11-2021</t>
  </si>
  <si>
    <t>IPP/RM/25621</t>
  </si>
  <si>
    <t>40306</t>
  </si>
  <si>
    <t>60428@21-11-2021</t>
  </si>
  <si>
    <t>IPP/RM/25619</t>
  </si>
  <si>
    <t>APC\LI20352\2021</t>
  </si>
  <si>
    <t>60431@22-11-2021</t>
  </si>
  <si>
    <t>IPP/RM/25618</t>
  </si>
  <si>
    <t>SAC001623</t>
  </si>
  <si>
    <t>60497@25-11-2021</t>
  </si>
  <si>
    <t>IPP/RM/25635</t>
  </si>
  <si>
    <t>40348</t>
  </si>
  <si>
    <t>60517 @27-11-2021</t>
  </si>
  <si>
    <t>IPP/RM/25638</t>
  </si>
  <si>
    <t>40363</t>
  </si>
  <si>
    <t>60535 @ 28-11-2021</t>
  </si>
  <si>
    <t>IPP/RM/25632</t>
  </si>
  <si>
    <t>162434</t>
  </si>
  <si>
    <t>60555 @ 29-11-2021</t>
  </si>
  <si>
    <t>IPP/RM/25633</t>
  </si>
  <si>
    <t>MA/2021/1444</t>
  </si>
  <si>
    <t>60556 @ 29-11-2021</t>
  </si>
  <si>
    <t>IPP/RM/25636</t>
  </si>
  <si>
    <t>40384</t>
  </si>
  <si>
    <t>60574 @ 30-11-2021</t>
  </si>
  <si>
    <t>IPP/RM/25637</t>
  </si>
  <si>
    <t>40385</t>
  </si>
  <si>
    <t>60583 @ 30-11-2021</t>
  </si>
  <si>
    <t>IPP/RM/25790</t>
  </si>
  <si>
    <t>CI202101678</t>
  </si>
  <si>
    <t>60811 @18.12.2021</t>
  </si>
  <si>
    <t>IPP/RM/25851</t>
  </si>
  <si>
    <t>60640 @07.12.2021</t>
  </si>
  <si>
    <t>IPP/RM/25852</t>
  </si>
  <si>
    <t>60732 @13.12.2021</t>
  </si>
  <si>
    <t>IPP/RM/25853</t>
  </si>
  <si>
    <t>162517</t>
  </si>
  <si>
    <t>60709 @12.12.2021</t>
  </si>
  <si>
    <t>IPP/RM/25854</t>
  </si>
  <si>
    <t>60816 @19.12.2021</t>
  </si>
  <si>
    <t>60679</t>
  </si>
  <si>
    <t>IPP/RM/25859</t>
  </si>
  <si>
    <t>MR-60679</t>
  </si>
  <si>
    <t>IPP/RM/25860</t>
  </si>
  <si>
    <t>SAC001640</t>
  </si>
  <si>
    <t>60710 @12.12.2021</t>
  </si>
  <si>
    <t>60934</t>
  </si>
  <si>
    <t>IPP/RM/25874</t>
  </si>
  <si>
    <t>MR-60934</t>
  </si>
  <si>
    <t>IPP/RM/25878</t>
  </si>
  <si>
    <t>162641</t>
  </si>
  <si>
    <t>60919 @23.12.2021</t>
  </si>
  <si>
    <t>IPP/RM/25879</t>
  </si>
  <si>
    <t>162640</t>
  </si>
  <si>
    <t>60920 @23.12.2021</t>
  </si>
  <si>
    <t>IPP/RM/25880</t>
  </si>
  <si>
    <t>60952 @26.12.2021</t>
  </si>
  <si>
    <t>IPP/RM/25881</t>
  </si>
  <si>
    <t>MA/2021/1480</t>
  </si>
  <si>
    <t>60957 @26.12.2021</t>
  </si>
  <si>
    <t>IPP/RM/25893</t>
  </si>
  <si>
    <t>SAC001650</t>
  </si>
  <si>
    <t>60914 @23.12.2021</t>
  </si>
  <si>
    <t>IPP/RM/25945</t>
  </si>
  <si>
    <t>MR-61026</t>
  </si>
  <si>
    <t>61026 @30.12.2021</t>
  </si>
  <si>
    <t>IPP/RM/25964</t>
  </si>
  <si>
    <t>162679</t>
  </si>
  <si>
    <t>60995 @28.12.2021</t>
  </si>
  <si>
    <t>IPP/RM/26143</t>
  </si>
  <si>
    <t>165182</t>
  </si>
  <si>
    <t>61355 @ 25.01.2022</t>
  </si>
  <si>
    <t>IPP/RM/26144</t>
  </si>
  <si>
    <t>40696</t>
  </si>
  <si>
    <t>61293 @ 20.1.2022</t>
  </si>
  <si>
    <t>IPP/RM/26145</t>
  </si>
  <si>
    <t>40691</t>
  </si>
  <si>
    <t>61297 @ 20.1.2022</t>
  </si>
  <si>
    <t>IPP/RM/26146</t>
  </si>
  <si>
    <t>40683</t>
  </si>
  <si>
    <t>61278 @ 19.01.2022</t>
  </si>
  <si>
    <t>IPP/RM/26147</t>
  </si>
  <si>
    <t>40685</t>
  </si>
  <si>
    <t>61284 @ 19.1.2022</t>
  </si>
  <si>
    <t>IPP/RM/26148</t>
  </si>
  <si>
    <t>40678</t>
  </si>
  <si>
    <t>61268 @ 17.01.2022</t>
  </si>
  <si>
    <t>IPP/RM/26149</t>
  </si>
  <si>
    <t>40664</t>
  </si>
  <si>
    <t>61237 @ 17.1.2022</t>
  </si>
  <si>
    <t>IPP/RM/26150</t>
  </si>
  <si>
    <t>40660</t>
  </si>
  <si>
    <t>61220 @ 15.1.2022</t>
  </si>
  <si>
    <t>IPP/RM/26151</t>
  </si>
  <si>
    <t>40661</t>
  </si>
  <si>
    <t>61221 @ 15.01.2022</t>
  </si>
  <si>
    <t>IPP/RM/26152</t>
  </si>
  <si>
    <t>40654</t>
  </si>
  <si>
    <t>61206 @ 14.01.2022</t>
  </si>
  <si>
    <t>IPP/RM/26153</t>
  </si>
  <si>
    <t>40646</t>
  </si>
  <si>
    <t>61195 @ 13.1.22</t>
  </si>
  <si>
    <t>IPP/RM/26181</t>
  </si>
  <si>
    <t>SAC001672</t>
  </si>
  <si>
    <t>61272 @ 18.1.22</t>
  </si>
  <si>
    <t>IPP/RM/26182</t>
  </si>
  <si>
    <t>SAC001668</t>
  </si>
  <si>
    <t>61159 @ 11.01.22</t>
  </si>
  <si>
    <t>IPP/RM/26183</t>
  </si>
  <si>
    <t>SAC001677</t>
  </si>
  <si>
    <t>61296 @ 20.1.22</t>
  </si>
  <si>
    <t>61181</t>
  </si>
  <si>
    <t>IPP/RM/26223</t>
  </si>
  <si>
    <t>MRR-61181</t>
  </si>
  <si>
    <t>IPP/RM/26250</t>
  </si>
  <si>
    <t>165028</t>
  </si>
  <si>
    <t>61109 @07.01.2022</t>
  </si>
  <si>
    <t>IPP/RM/26255</t>
  </si>
  <si>
    <t>918887578</t>
  </si>
  <si>
    <t>61357 @25/01.2022 (DEC INVOICE)</t>
  </si>
  <si>
    <t>160301A</t>
  </si>
  <si>
    <t>IPP/RM/26260</t>
  </si>
  <si>
    <t>918719088</t>
  </si>
  <si>
    <t>61076 @03.01.2022 (DEC INVOICE)</t>
  </si>
  <si>
    <t>naration</t>
  </si>
  <si>
    <t>month</t>
  </si>
  <si>
    <t>-</t>
  </si>
  <si>
    <t>IPP/RM/26425</t>
  </si>
  <si>
    <t>CI202201093</t>
  </si>
  <si>
    <t>61700 @17.02.2022</t>
  </si>
  <si>
    <t>IPP/RM/26464</t>
  </si>
  <si>
    <t>CRWSI-9768</t>
  </si>
  <si>
    <t>61641,61578,61563,61548 @14.02.2022</t>
  </si>
  <si>
    <t>IPP/RM/26465</t>
  </si>
  <si>
    <t>40894</t>
  </si>
  <si>
    <t>61746 @19.02.2022</t>
  </si>
  <si>
    <t>IPP/RM/26466</t>
  </si>
  <si>
    <t>40896</t>
  </si>
  <si>
    <t>61778  @21.02.2022</t>
  </si>
  <si>
    <t>IPP/RM/26478</t>
  </si>
  <si>
    <t>165245</t>
  </si>
  <si>
    <t>61457 @02.02.2022</t>
  </si>
  <si>
    <t>IPP/RM/26479</t>
  </si>
  <si>
    <t>165343</t>
  </si>
  <si>
    <t>61668 @15.02.2022</t>
  </si>
  <si>
    <t>IPP/RM/26480</t>
  </si>
  <si>
    <t>165266</t>
  </si>
  <si>
    <t>61498 @05.02.2022</t>
  </si>
  <si>
    <t>IPP/RM/26481</t>
  </si>
  <si>
    <t>165342</t>
  </si>
  <si>
    <t>61667 @15.02.2022</t>
  </si>
  <si>
    <t>IPP/RM/26482</t>
  </si>
  <si>
    <t>165320</t>
  </si>
  <si>
    <t>61603 @11.02.2022</t>
  </si>
  <si>
    <t>IPP/RM/26483</t>
  </si>
  <si>
    <t>165407</t>
  </si>
  <si>
    <t>61787 @22.02.2022</t>
  </si>
  <si>
    <t>IPP/RM/26485</t>
  </si>
  <si>
    <t>SAC001702</t>
  </si>
  <si>
    <t>61580 @10.02.2022</t>
  </si>
  <si>
    <t>IPP/RM/26486</t>
  </si>
  <si>
    <t>SAC001714</t>
  </si>
  <si>
    <t>61733 @18.02.2022</t>
  </si>
  <si>
    <t>61732</t>
  </si>
  <si>
    <t>IPP/RM/26494</t>
  </si>
  <si>
    <t>IPP/RM/26503</t>
  </si>
  <si>
    <t>40950</t>
  </si>
  <si>
    <t>61870 @28.02.2022</t>
  </si>
  <si>
    <t>IPP/RM/26509</t>
  </si>
  <si>
    <t>735629</t>
  </si>
  <si>
    <t>61857 @26.02.2022</t>
  </si>
  <si>
    <t>year</t>
  </si>
  <si>
    <t>month-t</t>
  </si>
  <si>
    <t>CHEM PET/12 MIC/1048mm/OSCP</t>
  </si>
  <si>
    <t>IPP/RM/26773</t>
  </si>
  <si>
    <t>CI202201168</t>
  </si>
  <si>
    <t>62257 @26.03.2022</t>
  </si>
  <si>
    <t>IPP/RM/26779</t>
  </si>
  <si>
    <t>41014</t>
  </si>
  <si>
    <t>61987 @10.03.2022</t>
  </si>
  <si>
    <t>IPP/RM/26780</t>
  </si>
  <si>
    <t>41039</t>
  </si>
  <si>
    <t>62038 @14.03.20222</t>
  </si>
  <si>
    <t>IPP/RM/26781</t>
  </si>
  <si>
    <t>41032</t>
  </si>
  <si>
    <t>62026 @12.03.2022</t>
  </si>
  <si>
    <t>IPP/RM/26782</t>
  </si>
  <si>
    <t>41031</t>
  </si>
  <si>
    <t>62025 @12.03.2022</t>
  </si>
  <si>
    <t>IPP/RM/26783</t>
  </si>
  <si>
    <t>41022</t>
  </si>
  <si>
    <t>62001 @11.03.2022</t>
  </si>
  <si>
    <t>IPP/RM/26784</t>
  </si>
  <si>
    <t>41015</t>
  </si>
  <si>
    <t>61990 @11.03.2022</t>
  </si>
  <si>
    <t>IPP/RM/26785</t>
  </si>
  <si>
    <t>40971</t>
  </si>
  <si>
    <t>61891 @02.03.2022</t>
  </si>
  <si>
    <t>IPP/RM/26786</t>
  </si>
  <si>
    <t>735739</t>
  </si>
  <si>
    <t>62333 @31.03.2022</t>
  </si>
  <si>
    <t>IPP/RM/26798</t>
  </si>
  <si>
    <t>165483</t>
  </si>
  <si>
    <t>61910 @05.03.2022</t>
  </si>
  <si>
    <t>IPP/RM/26799</t>
  </si>
  <si>
    <t>165596</t>
  </si>
  <si>
    <t>62052 @15.03.2022</t>
  </si>
  <si>
    <t>IPP/RM/26800</t>
  </si>
  <si>
    <t>165585</t>
  </si>
  <si>
    <t>62039 @14.03.2022</t>
  </si>
  <si>
    <t>IPP/RM/26801</t>
  </si>
  <si>
    <t>165597</t>
  </si>
  <si>
    <t>62051 @15.03.2022</t>
  </si>
  <si>
    <t>IPP/RM/26802</t>
  </si>
  <si>
    <t>165619</t>
  </si>
  <si>
    <t>62093 @17.03.2022</t>
  </si>
  <si>
    <t>IPP/RM/26803</t>
  </si>
  <si>
    <t>165616</t>
  </si>
  <si>
    <t>62067 @16.03.2022</t>
  </si>
  <si>
    <t>IPP/RM/26804</t>
  </si>
  <si>
    <t>165618</t>
  </si>
  <si>
    <t>62094 @17.03.2022</t>
  </si>
  <si>
    <t>IPP/RM/26805</t>
  </si>
  <si>
    <t>165689</t>
  </si>
  <si>
    <t>62239 @25.03.2022</t>
  </si>
  <si>
    <t>IPP/RM/26806</t>
  </si>
  <si>
    <t>165652</t>
  </si>
  <si>
    <t>62182 @22.03.2022</t>
  </si>
  <si>
    <t>IPP/RM/26807</t>
  </si>
  <si>
    <t>165688</t>
  </si>
  <si>
    <t>62238 @25.03.2022</t>
  </si>
  <si>
    <t>IPP/RM/26808</t>
  </si>
  <si>
    <t>165631</t>
  </si>
  <si>
    <t>62166 @21.03.2022</t>
  </si>
  <si>
    <t>IPP/RM/26809</t>
  </si>
  <si>
    <t>165686</t>
  </si>
  <si>
    <t>62243 @25.03.2022</t>
  </si>
  <si>
    <t>IPP/RM/26826</t>
  </si>
  <si>
    <t>SAC001739</t>
  </si>
  <si>
    <t>62046 @14.03.2022</t>
  </si>
  <si>
    <t>IPP/RM/26829</t>
  </si>
  <si>
    <t>MR-62205</t>
  </si>
  <si>
    <t>62205 @</t>
  </si>
  <si>
    <t>PU Hardener</t>
  </si>
  <si>
    <t>IPP/RM/26833</t>
  </si>
  <si>
    <t>RH20221061</t>
  </si>
  <si>
    <t>62229 @23.03.2022</t>
  </si>
  <si>
    <t>Univsl PET UPF/12 MIC/1238mm/OSC</t>
  </si>
  <si>
    <t>IPP/RM/28061</t>
  </si>
  <si>
    <t>SSP/LI20994/2022</t>
  </si>
  <si>
    <t>62641 @21.04.2022</t>
  </si>
  <si>
    <t>IPP/RM/28067</t>
  </si>
  <si>
    <t>165752</t>
  </si>
  <si>
    <t>62361 @01.04.2022</t>
  </si>
  <si>
    <t>IPP/RM/28068</t>
  </si>
  <si>
    <t>165773</t>
  </si>
  <si>
    <t>62412 @05.04.2022</t>
  </si>
  <si>
    <t>IPP/RM/28069</t>
  </si>
  <si>
    <t>165831</t>
  </si>
  <si>
    <t>62515 @12.04.2022</t>
  </si>
  <si>
    <t>IPP/RM/28070</t>
  </si>
  <si>
    <t>165869</t>
  </si>
  <si>
    <t>62554 @15.04.2022</t>
  </si>
  <si>
    <t>IPP/RM/28071</t>
  </si>
  <si>
    <t>165819</t>
  </si>
  <si>
    <t>62483@11.04.2022</t>
  </si>
  <si>
    <t>IPP/RM/28072</t>
  </si>
  <si>
    <t>165938</t>
  </si>
  <si>
    <t>62644 @21.04.2022</t>
  </si>
  <si>
    <t>62461</t>
  </si>
  <si>
    <t>IPP/RM/28073</t>
  </si>
  <si>
    <t>MR-62461</t>
  </si>
  <si>
    <t>IPP/RM/28074</t>
  </si>
  <si>
    <t>SAC001770</t>
  </si>
  <si>
    <t>62425 @06.04.2022</t>
  </si>
  <si>
    <t>IPP/RM/280754</t>
  </si>
  <si>
    <t>SAC001784</t>
  </si>
  <si>
    <t>62628 @20.04.2022</t>
  </si>
  <si>
    <t>62364</t>
  </si>
  <si>
    <t>IPP/RM/28087</t>
  </si>
  <si>
    <t>MR-62364</t>
  </si>
  <si>
    <t>IPP/RM/28095</t>
  </si>
  <si>
    <t>MA/2022/1085</t>
  </si>
  <si>
    <t>62449 @08.04.2022</t>
  </si>
  <si>
    <t>62706</t>
  </si>
  <si>
    <t>IPP/RM/28112</t>
  </si>
  <si>
    <t>MR-62706</t>
  </si>
  <si>
    <t>IPP/RM/28116</t>
  </si>
  <si>
    <t>165975</t>
  </si>
  <si>
    <t>62710 @26.04.2022</t>
  </si>
  <si>
    <t>IPP/RM/28117</t>
  </si>
  <si>
    <t>APC/LI20427/2022</t>
  </si>
  <si>
    <t>62687 @25.04.2022</t>
  </si>
  <si>
    <t>IPP/RM/28171</t>
  </si>
  <si>
    <t>APC\LI20434\2022</t>
  </si>
  <si>
    <t>62772 @ 30-04-2022</t>
  </si>
  <si>
    <t>IPP/RM/28399</t>
  </si>
  <si>
    <t>APC/LI20440/2022</t>
  </si>
  <si>
    <t>62828 @10.05.2022</t>
  </si>
  <si>
    <t>IPP/RM/28400</t>
  </si>
  <si>
    <t>APC/LI20445/2022</t>
  </si>
  <si>
    <t>62923 @18.05.2022</t>
  </si>
  <si>
    <t>IPP/RM/28401</t>
  </si>
  <si>
    <t>APC/LI20448/2022</t>
  </si>
  <si>
    <t>62994 @22.05.2022</t>
  </si>
  <si>
    <t>IPP/RM/28402</t>
  </si>
  <si>
    <t>APC/LI20453/2022</t>
  </si>
  <si>
    <t>63027@26.05.2022</t>
  </si>
  <si>
    <t>IPP/RM/28409</t>
  </si>
  <si>
    <t>MR-62947</t>
  </si>
  <si>
    <t>62947 @18.05.2022</t>
  </si>
  <si>
    <t>IPP/RM/28414</t>
  </si>
  <si>
    <t>SAC001811</t>
  </si>
  <si>
    <t>63040 @26.05.2022</t>
  </si>
  <si>
    <t>IPP/RM/28415</t>
  </si>
  <si>
    <t>SAC001800</t>
  </si>
  <si>
    <t>62899 #13.05.2022</t>
  </si>
  <si>
    <t>IPP/RM/28425</t>
  </si>
  <si>
    <t>MR-63101</t>
  </si>
  <si>
    <t>63101</t>
  </si>
  <si>
    <t>IPP/RM/28434</t>
  </si>
  <si>
    <t>63916</t>
  </si>
  <si>
    <t>62916</t>
  </si>
  <si>
    <t>63013</t>
  </si>
  <si>
    <t>IPP/RM/28442</t>
  </si>
  <si>
    <t>MR-63013</t>
  </si>
  <si>
    <t>IPP/RM/28638</t>
  </si>
  <si>
    <t>INV/2022/00012</t>
  </si>
  <si>
    <t>63117 @01.06.2022</t>
  </si>
  <si>
    <t>IPP/RM/28639</t>
  </si>
  <si>
    <t>INV/2022/00002</t>
  </si>
  <si>
    <t>63118 @01.06.2022</t>
  </si>
  <si>
    <t>IPP/RM/28637</t>
  </si>
  <si>
    <t>INV/2022/00013</t>
  </si>
  <si>
    <t>63145 @02.06.2022</t>
  </si>
  <si>
    <t>IPP/RM/28632</t>
  </si>
  <si>
    <t>APC/LI20458/2022</t>
  </si>
  <si>
    <t>164776 @06.06.2022</t>
  </si>
  <si>
    <t>IPP/RM/28668</t>
  </si>
  <si>
    <t>SAC001827</t>
  </si>
  <si>
    <t>63245 @ 10-06-2022</t>
  </si>
  <si>
    <t>IPP/RM/28665</t>
  </si>
  <si>
    <t>INV/2022/00094</t>
  </si>
  <si>
    <t>63299 @ 13-06-2022</t>
  </si>
  <si>
    <t>IPP/RM/28666</t>
  </si>
  <si>
    <t>INV/2022/00095</t>
  </si>
  <si>
    <t>63301 @ 13-06-2022</t>
  </si>
  <si>
    <t>IPP/RM/28667</t>
  </si>
  <si>
    <t>APC\LI20460\2022</t>
  </si>
  <si>
    <t>63261 @ 13-06-2022</t>
  </si>
  <si>
    <t>IPP/RM/28669</t>
  </si>
  <si>
    <t>SAC001836</t>
  </si>
  <si>
    <t>63352 @ 16-06-2022</t>
  </si>
  <si>
    <t>IPP/RM/28793</t>
  </si>
  <si>
    <t>INV/2022/00162</t>
  </si>
  <si>
    <t>63361 @ 17-06-2022</t>
  </si>
  <si>
    <t>IPP/RM/28791</t>
  </si>
  <si>
    <t>INV/2022/00170</t>
  </si>
  <si>
    <t>63409 @ 20-06-2022</t>
  </si>
  <si>
    <t>IPP/RM/28792</t>
  </si>
  <si>
    <t>INV/2022/00169</t>
  </si>
  <si>
    <t>63408 @ 20-06-2022</t>
  </si>
  <si>
    <t>IPP/RM/28789</t>
  </si>
  <si>
    <t>41553</t>
  </si>
  <si>
    <t>63429 @ 21-06-2022</t>
  </si>
  <si>
    <t>IPP/RM/28794</t>
  </si>
  <si>
    <t>919859481</t>
  </si>
  <si>
    <t>63444 @   15-06-2022</t>
  </si>
  <si>
    <t>IPP/RM/28790</t>
  </si>
  <si>
    <t>41560</t>
  </si>
  <si>
    <t>63463 @ 23-06-2022</t>
  </si>
  <si>
    <t>IPP/RM/28855</t>
  </si>
  <si>
    <t>INV/2022/00246</t>
  </si>
  <si>
    <t>63487 @ 24-06-2022</t>
  </si>
  <si>
    <t>IPP/RM/28893</t>
  </si>
  <si>
    <t>41595</t>
  </si>
  <si>
    <t>63535 @28.06.2022</t>
  </si>
  <si>
    <t>IPP/RM/28892</t>
  </si>
  <si>
    <t>41600</t>
  </si>
  <si>
    <t>63538 @29.06.2022</t>
  </si>
  <si>
    <t>IPP/RM/29165</t>
  </si>
  <si>
    <t>INV/2022/00324</t>
  </si>
  <si>
    <t>63597 @01.07.2022</t>
  </si>
  <si>
    <t>IPP/RM/29012</t>
  </si>
  <si>
    <t>INV/2022/00363</t>
  </si>
  <si>
    <t>63645 @05.07.2022</t>
  </si>
  <si>
    <t>IPP/RM/29166</t>
  </si>
  <si>
    <t>INV/2022/00360</t>
  </si>
  <si>
    <t>63646 @05.07.2022</t>
  </si>
  <si>
    <t>IPP/RM/28944</t>
  </si>
  <si>
    <t>CI202201334</t>
  </si>
  <si>
    <t>63660 @06.07.2022</t>
  </si>
  <si>
    <t>IPP/RM/29037</t>
  </si>
  <si>
    <t>SAC001853</t>
  </si>
  <si>
    <t>63662@06.07.2022</t>
  </si>
  <si>
    <t>IPP/RM/29015</t>
  </si>
  <si>
    <t>INV/2022/00383</t>
  </si>
  <si>
    <t>63684 @07.07.2022</t>
  </si>
  <si>
    <t>IPP/RM/29016</t>
  </si>
  <si>
    <t>INV/2022/00388</t>
  </si>
  <si>
    <t>63685 @07.07.2022</t>
  </si>
  <si>
    <t>IPP/RM/29044</t>
  </si>
  <si>
    <t>MA/2022/1203</t>
  </si>
  <si>
    <t>63686 @07.07.2022</t>
  </si>
  <si>
    <t>63731</t>
  </si>
  <si>
    <t>IPP/RM/29106</t>
  </si>
  <si>
    <t>IPP/RM/29102</t>
  </si>
  <si>
    <t>INV/2022/00433</t>
  </si>
  <si>
    <t>63734 @13.07.20222</t>
  </si>
  <si>
    <t>IPP/RM/29013</t>
  </si>
  <si>
    <t>INV/2022/00435</t>
  </si>
  <si>
    <t>63748 @14.07.2022</t>
  </si>
  <si>
    <t>IPP/RM/29014</t>
  </si>
  <si>
    <t>INV/2022/00436</t>
  </si>
  <si>
    <t>63749 @14.07.2022</t>
  </si>
  <si>
    <t>IPP/RM/29167</t>
  </si>
  <si>
    <t>INV/2022/00478</t>
  </si>
  <si>
    <t>IPP/RM/29036</t>
  </si>
  <si>
    <t>MR-63827</t>
  </si>
  <si>
    <t>63827@19.07.2022</t>
  </si>
  <si>
    <t>IPP/RM/29074</t>
  </si>
  <si>
    <t>SAC001865</t>
  </si>
  <si>
    <t>63917 @25.07.2022</t>
  </si>
  <si>
    <t>IPP/RM/29151</t>
  </si>
  <si>
    <t>MA/2022/1229</t>
  </si>
  <si>
    <t>63967 @28.07.2022</t>
  </si>
  <si>
    <t>IPP/RM/29142</t>
  </si>
  <si>
    <t>FZCSI-358</t>
  </si>
  <si>
    <t>63976,63869,63876,63893,63978 @02.08.2022</t>
  </si>
  <si>
    <t>63974</t>
  </si>
  <si>
    <t>IPP/RM/29152</t>
  </si>
  <si>
    <t>CI202201375</t>
  </si>
  <si>
    <t>IPP/RM/29223</t>
  </si>
  <si>
    <t>CI202201403</t>
  </si>
  <si>
    <t>64202 @15.08.2022</t>
  </si>
  <si>
    <t>IPP/RM/29256</t>
  </si>
  <si>
    <t>INV/2022/00722</t>
  </si>
  <si>
    <t>64125 @09.08.2022</t>
  </si>
  <si>
    <t>IPP/RM/29257</t>
  </si>
  <si>
    <t>INV/2022/00663</t>
  </si>
  <si>
    <t>64063 @04.08.2022</t>
  </si>
  <si>
    <t>IPP/RM/29258</t>
  </si>
  <si>
    <t>INV/2022/00783</t>
  </si>
  <si>
    <t>64206 @15.08.2022</t>
  </si>
  <si>
    <t>IPP/RM/29271</t>
  </si>
  <si>
    <t>APC/LI20485/2022</t>
  </si>
  <si>
    <t>64186 @13.08.2022</t>
  </si>
  <si>
    <t>IPP/RM/29272</t>
  </si>
  <si>
    <t>APC/LI20489/2022</t>
  </si>
  <si>
    <t>64293 @19.08.2022</t>
  </si>
  <si>
    <t>IPP/RM/29273</t>
  </si>
  <si>
    <t>SAC001880</t>
  </si>
  <si>
    <t>64162 @12.08.2022</t>
  </si>
  <si>
    <t>BCI POLYURETHANE GULF FOR CHEMICAL INDUSTRY L.L.C</t>
  </si>
  <si>
    <t>ADHESIVE ECOLAD SL720</t>
  </si>
  <si>
    <t>SL720</t>
  </si>
  <si>
    <t>IPP/RM/29274</t>
  </si>
  <si>
    <t>622001287</t>
  </si>
  <si>
    <t>64124 @09.08.2022</t>
  </si>
  <si>
    <t>ADHESIVE ECOLAD SL816</t>
  </si>
  <si>
    <t>SL816</t>
  </si>
  <si>
    <t>IPP/RM/29278</t>
  </si>
  <si>
    <t>802208620155</t>
  </si>
  <si>
    <t>64134 @10.08.2022</t>
  </si>
  <si>
    <t>64221</t>
  </si>
  <si>
    <t>IPP/RM/29280</t>
  </si>
  <si>
    <t>MR-64221</t>
  </si>
  <si>
    <t>IPP/RM/29340</t>
  </si>
  <si>
    <t>920152003</t>
  </si>
  <si>
    <t>IPP/RM/29342</t>
  </si>
  <si>
    <t>INV/2022/00864</t>
  </si>
  <si>
    <t>64347 @23.08.2022</t>
  </si>
  <si>
    <t>IPP/RM/29372</t>
  </si>
  <si>
    <t>INV/2022/00909</t>
  </si>
  <si>
    <t>64372 @26.08.2022</t>
  </si>
  <si>
    <t>CATEGERY</t>
  </si>
  <si>
    <t>IPP/RM/29497</t>
  </si>
  <si>
    <t>CI202201450</t>
  </si>
  <si>
    <t>64527 @08.09.2022</t>
  </si>
  <si>
    <t>IPP/RM/29498</t>
  </si>
  <si>
    <t>CI202201443</t>
  </si>
  <si>
    <t>64516@07.09.2022</t>
  </si>
  <si>
    <t>IPP/RM/29515</t>
  </si>
  <si>
    <t>SAC001922</t>
  </si>
  <si>
    <t>64867 @28.08.2022</t>
  </si>
  <si>
    <t>IPP/RM/29516</t>
  </si>
  <si>
    <t>SAC001903</t>
  </si>
  <si>
    <t>64594 @12.09.2022</t>
  </si>
  <si>
    <t>IPP/RM/29534</t>
  </si>
  <si>
    <t>CRWSI-11304</t>
  </si>
  <si>
    <t>64691 @17.09.2022</t>
  </si>
  <si>
    <t>IPP/RM/29535</t>
  </si>
  <si>
    <t>CRWSI-11287</t>
  </si>
  <si>
    <t>64676 @16.09.2022</t>
  </si>
  <si>
    <t>IPP/RM/29536</t>
  </si>
  <si>
    <t>INV/2022/01161</t>
  </si>
  <si>
    <t>64767 @22.09.2022</t>
  </si>
  <si>
    <t>64506</t>
  </si>
  <si>
    <t>IPP/RM/29537</t>
  </si>
  <si>
    <t>INV/2022/00956</t>
  </si>
  <si>
    <t>64441</t>
  </si>
  <si>
    <t>IPP/RM/29538</t>
  </si>
  <si>
    <t>IPP/RM/29539</t>
  </si>
  <si>
    <t>42010</t>
  </si>
  <si>
    <t>64475@03.09.2022</t>
  </si>
  <si>
    <t>IPP/RM/29540</t>
  </si>
  <si>
    <t>42022</t>
  </si>
  <si>
    <t>64491 @05.09.2022</t>
  </si>
  <si>
    <t>IPP/RM/29541</t>
  </si>
  <si>
    <t>42036</t>
  </si>
  <si>
    <t>64525 @07.09.2022</t>
  </si>
  <si>
    <t>IPP/RM/29542</t>
  </si>
  <si>
    <t>42055</t>
  </si>
  <si>
    <t>64566 @10.09.2022</t>
  </si>
  <si>
    <t>IPP/RM/29543</t>
  </si>
  <si>
    <t>42086</t>
  </si>
  <si>
    <t>64662 @15.09.2022</t>
  </si>
  <si>
    <t>IPP/RM/29544</t>
  </si>
  <si>
    <t>42130</t>
  </si>
  <si>
    <t>64765 @22.09.2022</t>
  </si>
  <si>
    <t>IPP/RM/29545</t>
  </si>
  <si>
    <t>42109</t>
  </si>
  <si>
    <t>64716 @19.09.2022</t>
  </si>
  <si>
    <t>IPP/RM/29546</t>
  </si>
  <si>
    <t>42107</t>
  </si>
  <si>
    <t>64715 @19.09.2022</t>
  </si>
  <si>
    <t>IPP/RM/29547</t>
  </si>
  <si>
    <t>42170</t>
  </si>
  <si>
    <t>64862 @28.09.2022</t>
  </si>
  <si>
    <t>IPP/RM/29548</t>
  </si>
  <si>
    <t>42155</t>
  </si>
  <si>
    <t>64825 @26.09.2022</t>
  </si>
  <si>
    <t>IPP/RM/29865</t>
  </si>
  <si>
    <t>42197</t>
  </si>
  <si>
    <t>64914 @03.10.2022</t>
  </si>
  <si>
    <t>IPP/RM/29866</t>
  </si>
  <si>
    <t>42203</t>
  </si>
  <si>
    <t>64924 @03.10.2022</t>
  </si>
  <si>
    <t>IPP/RM/29886</t>
  </si>
  <si>
    <t>INV/2022/01263</t>
  </si>
  <si>
    <t>64941 @04.10.2022</t>
  </si>
  <si>
    <t>IPP/RM/29864</t>
  </si>
  <si>
    <t>42223</t>
  </si>
  <si>
    <t>64963 @05.10.2022</t>
  </si>
  <si>
    <t>IPP/RM/29855</t>
  </si>
  <si>
    <t>CI202201511</t>
  </si>
  <si>
    <t>64978 @06.10.2022</t>
  </si>
  <si>
    <t>IPP/RM/29863</t>
  </si>
  <si>
    <t>920264171</t>
  </si>
  <si>
    <t>64992 @06.10.2022</t>
  </si>
  <si>
    <t>IPP/RM/29888</t>
  </si>
  <si>
    <t>SAC001932</t>
  </si>
  <si>
    <t>64990 @06.10.2022</t>
  </si>
  <si>
    <t>IPP/RM/29867</t>
  </si>
  <si>
    <t>APC/LI20518/2022</t>
  </si>
  <si>
    <t>65000 @08.10.2022</t>
  </si>
  <si>
    <t>CHEM PET/12 MIC/1140mm/OSCP</t>
  </si>
  <si>
    <t>IPP/RM/29991</t>
  </si>
  <si>
    <t>APC/LI20522/2022</t>
  </si>
  <si>
    <t>65115 @16.10.2022</t>
  </si>
  <si>
    <t>IPP/RM/29992</t>
  </si>
  <si>
    <t>APC/LI20523/2022</t>
  </si>
  <si>
    <t>65116 @16.10.2022</t>
  </si>
  <si>
    <t>IPP/RM/30019</t>
  </si>
  <si>
    <t>INV/2022/01378</t>
  </si>
  <si>
    <t>65146 @18.10.2022</t>
  </si>
  <si>
    <t>IPP/RM/30092</t>
  </si>
  <si>
    <t>SAC001943</t>
  </si>
  <si>
    <t>65161 @19-10-2022</t>
  </si>
  <si>
    <t>IPP/RM/30047</t>
  </si>
  <si>
    <t>APC/LI20525/2022</t>
  </si>
  <si>
    <t>65185  @20.10.2022</t>
  </si>
  <si>
    <t>IPP/RM/30081</t>
  </si>
  <si>
    <t>22500422</t>
  </si>
  <si>
    <t>65215 @21-10-2022</t>
  </si>
  <si>
    <t>IPP/RM/30089</t>
  </si>
  <si>
    <t>APC\LI20530\2022</t>
  </si>
  <si>
    <t>65275 @26-10-2022</t>
  </si>
  <si>
    <t>IPP/RM/30127</t>
  </si>
  <si>
    <t>MR#65314</t>
  </si>
  <si>
    <t>65314 @28-10-2022</t>
  </si>
  <si>
    <t>IPP/RM/30157</t>
  </si>
  <si>
    <t>APC\LI20535\2022</t>
  </si>
  <si>
    <t>65366@01-11-2022</t>
  </si>
  <si>
    <t>IPP/RM/30155</t>
  </si>
  <si>
    <t>CI202201558</t>
  </si>
  <si>
    <t>65376 @02-11-2022</t>
  </si>
  <si>
    <t>IPP/RM/30208</t>
  </si>
  <si>
    <t>APC/LI20547/2022</t>
  </si>
  <si>
    <t>65449 @08.11.2022</t>
  </si>
  <si>
    <t>IPP/RM/30158</t>
  </si>
  <si>
    <t>CI202201572</t>
  </si>
  <si>
    <t>65514 @12-11-2022</t>
  </si>
  <si>
    <t>IPP/RM/30224</t>
  </si>
  <si>
    <t>APC\LI20554\2022</t>
  </si>
  <si>
    <t>65524 @ 12.11.2022</t>
  </si>
  <si>
    <t>IPP/RM/30226</t>
  </si>
  <si>
    <t>APC\LI20555\2022</t>
  </si>
  <si>
    <t>65525 @ 12.11.22</t>
  </si>
  <si>
    <t>IPP/RM/30230</t>
  </si>
  <si>
    <t>MRR-65536</t>
  </si>
  <si>
    <t>65536 @</t>
  </si>
  <si>
    <t>IPP/RM/30160</t>
  </si>
  <si>
    <t>CI202201575</t>
  </si>
  <si>
    <t>65557 @15-11-2022</t>
  </si>
  <si>
    <t>IPP/RM/30229</t>
  </si>
  <si>
    <t>SAC001972</t>
  </si>
  <si>
    <t>65558 @ 15-11-2022</t>
  </si>
  <si>
    <t>IPP/RM/30195</t>
  </si>
  <si>
    <t>MR-65624</t>
  </si>
  <si>
    <t>65624</t>
  </si>
  <si>
    <t>IPP/RM/30191</t>
  </si>
  <si>
    <t>MR-65695</t>
  </si>
  <si>
    <t>65695</t>
  </si>
  <si>
    <t>Adhesive  - Brilliant S621 - NCO</t>
  </si>
  <si>
    <t>S621</t>
  </si>
  <si>
    <t>IPP/RM/30372</t>
  </si>
  <si>
    <t>APC/LI20571/2022</t>
  </si>
  <si>
    <t>65727 @24.11.2022</t>
  </si>
  <si>
    <t>Material</t>
  </si>
  <si>
    <t>CI202201611</t>
  </si>
  <si>
    <t>IPP/RM/30460</t>
  </si>
  <si>
    <t>65800 @30.11.222</t>
  </si>
  <si>
    <t>IPP/RM/30479</t>
  </si>
  <si>
    <t>CI202201620</t>
  </si>
  <si>
    <t>65823 @06.12.2022</t>
  </si>
  <si>
    <t>IPP/RM/30546</t>
  </si>
  <si>
    <t>APC/LI20581/2022</t>
  </si>
  <si>
    <t>65872 @08.12.2022</t>
  </si>
  <si>
    <t>IPP/RM/30547</t>
  </si>
  <si>
    <t>APC/LI20593/2022</t>
  </si>
  <si>
    <t>65950 @14.12.2022</t>
  </si>
  <si>
    <t>IPP/RM/30548</t>
  </si>
  <si>
    <t>APC/LI20578/2022</t>
  </si>
  <si>
    <t>65798 @01.12.2022</t>
  </si>
  <si>
    <t>IPP/RM/30549</t>
  </si>
  <si>
    <t>INV/2022/01837</t>
  </si>
  <si>
    <t>65895 @09.12.2022</t>
  </si>
  <si>
    <t>IPP/RM/30550</t>
  </si>
  <si>
    <t>INV/2022/01876</t>
  </si>
  <si>
    <t>65953  @13.12.2022</t>
  </si>
  <si>
    <t>IPP/RM/30579</t>
  </si>
  <si>
    <t>SAC002006</t>
  </si>
  <si>
    <t>65959 @14.12.2022</t>
  </si>
  <si>
    <t>IPP/RM/30603</t>
  </si>
  <si>
    <t>APC/LI20602/2022</t>
  </si>
  <si>
    <t>66014 @18.12.2022</t>
  </si>
  <si>
    <t>IPP/RM/30604</t>
  </si>
  <si>
    <t>APC/LI20608/2022</t>
  </si>
  <si>
    <t>66083 @21.12.2022</t>
  </si>
  <si>
    <t>IPP/RM/30642</t>
  </si>
  <si>
    <t>CI202201656</t>
  </si>
  <si>
    <t>66150 @26.12.2022</t>
  </si>
  <si>
    <t>IPP/RM/30647</t>
  </si>
  <si>
    <t>APC/LI20613/2022</t>
  </si>
  <si>
    <t>66188 @24.12.2022</t>
  </si>
  <si>
    <t>IPP/RM/30770</t>
  </si>
  <si>
    <t>INV/2022/02068</t>
  </si>
  <si>
    <t>66235 @29.12.2022</t>
  </si>
  <si>
    <t>166497</t>
  </si>
  <si>
    <t>IPP/RM/30908</t>
  </si>
  <si>
    <t>INV/2023/00016</t>
  </si>
  <si>
    <t>66297 @03.01.2023</t>
  </si>
  <si>
    <t>167372</t>
  </si>
  <si>
    <t>IPP/RM/30911</t>
  </si>
  <si>
    <t>CRWSI-12065</t>
  </si>
  <si>
    <t>66295 @03.01.2023</t>
  </si>
  <si>
    <t>167342</t>
  </si>
  <si>
    <t>Adhesive - LOCTITE LIOFOL LA 6020</t>
  </si>
  <si>
    <t>LA 6020</t>
  </si>
  <si>
    <t>IPP/RM/30849</t>
  </si>
  <si>
    <t>CI202301008</t>
  </si>
  <si>
    <t>66303 @04.01.2023</t>
  </si>
  <si>
    <t>167339</t>
  </si>
  <si>
    <t>IPP/RM/30909</t>
  </si>
  <si>
    <t>INV/2023/00030</t>
  </si>
  <si>
    <t>66311 @04.01.2023</t>
  </si>
  <si>
    <t>IPP/RM/30910</t>
  </si>
  <si>
    <t>INV/2023/00037</t>
  </si>
  <si>
    <t>66310 @04.01.2023</t>
  </si>
  <si>
    <t>167438</t>
  </si>
  <si>
    <t>IPP/RM/30907</t>
  </si>
  <si>
    <t>INV/2023/00082</t>
  </si>
  <si>
    <t>66379 @09.01.20233</t>
  </si>
  <si>
    <t>167441</t>
  </si>
  <si>
    <t>IPP/RM/30962</t>
  </si>
  <si>
    <t>MR-66380</t>
  </si>
  <si>
    <t>66380 @09.01.2023</t>
  </si>
  <si>
    <t>66381</t>
  </si>
  <si>
    <t>IPP/RM/30963</t>
  </si>
  <si>
    <t>MR-66381</t>
  </si>
  <si>
    <t>167406</t>
  </si>
  <si>
    <t>IPP/RM/30964</t>
  </si>
  <si>
    <t>SAC002030</t>
  </si>
  <si>
    <t>66376 @09.01.2023</t>
  </si>
  <si>
    <t>IPP/RM/30947</t>
  </si>
  <si>
    <t>INV/2023/00118</t>
  </si>
  <si>
    <t>66462 @13.01.2023</t>
  </si>
  <si>
    <t>IPP/RM/30948</t>
  </si>
  <si>
    <t>INV/2023/00129</t>
  </si>
  <si>
    <t>66518 @13.1.2023</t>
  </si>
  <si>
    <t>167472</t>
  </si>
  <si>
    <t>IPP/RM/30950</t>
  </si>
  <si>
    <t>MS/2023/1012</t>
  </si>
  <si>
    <t>66474 @14.01.2023</t>
  </si>
  <si>
    <t>Adhesive  - HERBERTS LG 9780-A</t>
  </si>
  <si>
    <t>LG 9780-A</t>
  </si>
  <si>
    <t>167479</t>
  </si>
  <si>
    <t>Adhesive-Cold Seal - Turbo-Seal C 1930</t>
  </si>
  <si>
    <t>C 1930</t>
  </si>
  <si>
    <t>IPP/RM/30951</t>
  </si>
  <si>
    <t>MA/2023/1013</t>
  </si>
  <si>
    <t>66473 @14.01.2023</t>
  </si>
  <si>
    <t>167205</t>
  </si>
  <si>
    <t>66497</t>
  </si>
  <si>
    <t>IPP/RM/30945</t>
  </si>
  <si>
    <t>MR-66497</t>
  </si>
  <si>
    <t>IPP/RM/30949</t>
  </si>
  <si>
    <t>INV/2023/00147</t>
  </si>
  <si>
    <t>66508 @17.01.2023</t>
  </si>
  <si>
    <t>163642</t>
  </si>
  <si>
    <t>IPP/RM/31058</t>
  </si>
  <si>
    <t>920676267</t>
  </si>
  <si>
    <t>66560 @19.01.2023</t>
  </si>
  <si>
    <t>167540.</t>
  </si>
  <si>
    <t>IPP/RM/30944</t>
  </si>
  <si>
    <t>CI202301043</t>
  </si>
  <si>
    <t>66544 @20.01.2023</t>
  </si>
  <si>
    <t>166486</t>
  </si>
  <si>
    <t>IPP/RM/31057</t>
  </si>
  <si>
    <t>920792879</t>
  </si>
  <si>
    <t>66597 @20.01.2023</t>
  </si>
  <si>
    <t>167565</t>
  </si>
  <si>
    <t>IPP/RM/31062</t>
  </si>
  <si>
    <t>SAC002038</t>
  </si>
  <si>
    <t>66557 @20.01.2023</t>
  </si>
  <si>
    <t>IPP/RM/31060</t>
  </si>
  <si>
    <t>APC/LI20636/2023</t>
  </si>
  <si>
    <t>66575 @21.01.2023</t>
  </si>
  <si>
    <t>167596</t>
  </si>
  <si>
    <t>IPP/RM/31056</t>
  </si>
  <si>
    <t>CI202301052</t>
  </si>
  <si>
    <t>66608 @24.01.2023</t>
  </si>
  <si>
    <t>66642</t>
  </si>
  <si>
    <t>IPP/RM/31061</t>
  </si>
  <si>
    <t>MR-66642</t>
  </si>
  <si>
    <t>66711</t>
  </si>
  <si>
    <t>IPP/RM/31114</t>
  </si>
  <si>
    <t>66711 @3001.2023</t>
  </si>
  <si>
    <t>167657</t>
  </si>
  <si>
    <t>IPP/RM/31172</t>
  </si>
  <si>
    <t>802301620525</t>
  </si>
  <si>
    <t>66738 @31.01.2023</t>
  </si>
  <si>
    <t>Adhesive - Brilliant S 201 - OH</t>
  </si>
  <si>
    <t>S 201 - OH</t>
  </si>
  <si>
    <t>IPP/RM/31225</t>
  </si>
  <si>
    <t>APC/LI20661/2023</t>
  </si>
  <si>
    <t>66793 @05.02.2023</t>
  </si>
  <si>
    <t>IPP/RM/31226</t>
  </si>
  <si>
    <t>CRWSI-12316</t>
  </si>
  <si>
    <t>66809 @06.02.2023</t>
  </si>
  <si>
    <t>IPP/RM/31228</t>
  </si>
  <si>
    <t>INV/2023/00380</t>
  </si>
  <si>
    <t>66858 @08.02.2023</t>
  </si>
  <si>
    <t>IPP/RM/31194</t>
  </si>
  <si>
    <t>CI202301084</t>
  </si>
  <si>
    <t>66907 @11.02.2023</t>
  </si>
  <si>
    <t>IPP/RM/31227</t>
  </si>
  <si>
    <t>FZCSI-396</t>
  </si>
  <si>
    <t>66891,66914 @13.02.2023</t>
  </si>
  <si>
    <t>IPP/RM/31230</t>
  </si>
  <si>
    <t>MA/2023/1061</t>
  </si>
  <si>
    <t>66915 @13.02.2023</t>
  </si>
  <si>
    <t>IPP/RM/31229</t>
  </si>
  <si>
    <t>FZCSI-399</t>
  </si>
  <si>
    <t>66983, 66997</t>
  </si>
  <si>
    <t>IPP/RM/31297</t>
  </si>
  <si>
    <t>APC/LI20680/2023</t>
  </si>
  <si>
    <t>67047 @21.02.2023</t>
  </si>
  <si>
    <t>IPP/RM/31326</t>
  </si>
  <si>
    <t>67094 @24.02.2023</t>
  </si>
  <si>
    <t>IPP/RM/31267</t>
  </si>
  <si>
    <t>CI202301118</t>
  </si>
  <si>
    <t>67125 @25.02.2023</t>
  </si>
  <si>
    <t>IPP/RM/31298</t>
  </si>
  <si>
    <t>APC/LI20685/2023</t>
  </si>
  <si>
    <t>67115 @25.02.2023</t>
  </si>
  <si>
    <t>IPP/RM/31279</t>
  </si>
  <si>
    <t>CI202301120</t>
  </si>
  <si>
    <t>67131 @27.02.2023</t>
  </si>
  <si>
    <t>IPP/RM/31438</t>
  </si>
  <si>
    <t>CI202301138</t>
  </si>
  <si>
    <t>67281 @08.03.2023</t>
  </si>
  <si>
    <t>168006</t>
  </si>
  <si>
    <t>IPP/RM/31469</t>
  </si>
  <si>
    <t>CI202301148</t>
  </si>
  <si>
    <t>67349 @11.03.2023</t>
  </si>
  <si>
    <t>168002</t>
  </si>
  <si>
    <t>67319</t>
  </si>
  <si>
    <t>IPP/RM/31470</t>
  </si>
  <si>
    <t>MR-67319</t>
  </si>
  <si>
    <t>IPP/RM/31471</t>
  </si>
  <si>
    <t>802303620189</t>
  </si>
  <si>
    <t>67320 @09.03.2023</t>
  </si>
  <si>
    <t>Adhesive  - Brilliant S621 - NCO -Not in Use</t>
  </si>
  <si>
    <t>168005</t>
  </si>
  <si>
    <t>IPP/RM/31472</t>
  </si>
  <si>
    <t>MA/2023/1101</t>
  </si>
  <si>
    <t>67240 @06.03.2023</t>
  </si>
  <si>
    <t>168003</t>
  </si>
  <si>
    <t>IPP/RM/31473</t>
  </si>
  <si>
    <t>SAC002090</t>
  </si>
  <si>
    <t>67280 @08.03.2023</t>
  </si>
  <si>
    <t>167542</t>
  </si>
  <si>
    <t>IPP/RM/31474</t>
  </si>
  <si>
    <t>INV/2023/00636</t>
  </si>
  <si>
    <t>67287 @08.03.2023</t>
  </si>
  <si>
    <t>167989</t>
  </si>
  <si>
    <t>IPP/RM/31476</t>
  </si>
  <si>
    <t>APC/LI20687/2023</t>
  </si>
  <si>
    <t>67209 @03.03.2023</t>
  </si>
  <si>
    <t>168109</t>
  </si>
  <si>
    <t>IPP/RM/31546</t>
  </si>
  <si>
    <t>INV/2023/00713</t>
  </si>
  <si>
    <t>67408 @15.03.2023</t>
  </si>
  <si>
    <t>IPP/RM/31547</t>
  </si>
  <si>
    <t>APC/LI20692/2023</t>
  </si>
  <si>
    <t>67363 @13.03.2023</t>
  </si>
  <si>
    <t>IPP/RM/31548</t>
  </si>
  <si>
    <t>APC/LI20693/2023</t>
  </si>
  <si>
    <t>67455 @17.03.2023</t>
  </si>
  <si>
    <t>167955</t>
  </si>
  <si>
    <t>IPP/RM/31551</t>
  </si>
  <si>
    <t>921248732</t>
  </si>
  <si>
    <t>67454 @17.03.2023</t>
  </si>
  <si>
    <t>Adhesive  - More Free Additive CR 88-300</t>
  </si>
  <si>
    <t>CR 800-300</t>
  </si>
  <si>
    <t>168164</t>
  </si>
  <si>
    <t>IPP/RM/31576</t>
  </si>
  <si>
    <t>MA/2023/1122</t>
  </si>
  <si>
    <t>67507 @20.03.2023</t>
  </si>
  <si>
    <t>IPP/RM/31577</t>
  </si>
  <si>
    <t>INV/2023/00763</t>
  </si>
  <si>
    <t>67519 @21.03.2023</t>
  </si>
  <si>
    <t>IPP/RM/31628</t>
  </si>
  <si>
    <t>CI202301170</t>
  </si>
  <si>
    <t>67590 @24.03.2023</t>
  </si>
  <si>
    <t>IPP/RM/31659</t>
  </si>
  <si>
    <t>INV/2023/00809</t>
  </si>
  <si>
    <t>67633 @27.03.2023</t>
  </si>
  <si>
    <t>168123</t>
  </si>
  <si>
    <t>IPP/RM/31661</t>
  </si>
  <si>
    <t>SAC002115</t>
  </si>
  <si>
    <t>67636 @25.03.2023</t>
  </si>
  <si>
    <t>Purchase Film - UAE - PET - UPF PET</t>
  </si>
  <si>
    <t>TOPP/30 MIC/1263mm/OST/2HS</t>
  </si>
  <si>
    <t>MATTE OPP/30 mic/1228 mm/OST</t>
  </si>
  <si>
    <t>168303</t>
  </si>
  <si>
    <t>Adhesive  - NOVACOTE CA 7906</t>
  </si>
  <si>
    <t>CA 7906</t>
  </si>
  <si>
    <t>IPP/RM/31681</t>
  </si>
  <si>
    <t>2300194</t>
  </si>
  <si>
    <t>67733 @31.03.2023</t>
  </si>
  <si>
    <t>Adhesive  - NOVACOTE SF 7680</t>
  </si>
  <si>
    <t>SF 7680</t>
  </si>
  <si>
    <t>IPP/RM/31682</t>
  </si>
  <si>
    <t>MR-67630</t>
  </si>
  <si>
    <t>67630 @27.03.2023</t>
  </si>
  <si>
    <t>168178</t>
  </si>
  <si>
    <t>IPP/RM/31804</t>
  </si>
  <si>
    <t>CRWSI-12824</t>
  </si>
  <si>
    <t>67738, 67758 @01.04.2023, 03.04.2023</t>
  </si>
  <si>
    <t>168122</t>
  </si>
  <si>
    <t>IPP/RM/31764</t>
  </si>
  <si>
    <t>CI202301188</t>
  </si>
  <si>
    <t>67779 @05.04.2023</t>
  </si>
  <si>
    <t>167552</t>
  </si>
  <si>
    <t>67802</t>
  </si>
  <si>
    <t>IPP/RM/31944</t>
  </si>
  <si>
    <t>67802 @7.04.2023</t>
  </si>
  <si>
    <t>168325</t>
  </si>
  <si>
    <t>IPP/RM/31766</t>
  </si>
  <si>
    <t>CI202301195</t>
  </si>
  <si>
    <t>67840@08.04.2023</t>
  </si>
  <si>
    <t>IPP/RM/31803</t>
  </si>
  <si>
    <t>CRWSI-12838</t>
  </si>
  <si>
    <t>67838 ,67839, 67874 @08.04.2023, 10.04.2023</t>
  </si>
  <si>
    <t>168116</t>
  </si>
  <si>
    <t>IPP/RM/31811</t>
  </si>
  <si>
    <t>802304620205</t>
  </si>
  <si>
    <t>67921 @13.04.2023</t>
  </si>
  <si>
    <t>IPP/RM/31838</t>
  </si>
  <si>
    <t>INV/2023/01016</t>
  </si>
  <si>
    <t>67914 @13.04.2023</t>
  </si>
  <si>
    <t>168432</t>
  </si>
  <si>
    <t>IPP/RM/31839</t>
  </si>
  <si>
    <t>SAC002137</t>
  </si>
  <si>
    <t>67950 @17.04.2023</t>
  </si>
  <si>
    <t>67949</t>
  </si>
  <si>
    <t>IPP/RM/31949</t>
  </si>
  <si>
    <t>67949 @ 17.04.2023</t>
  </si>
  <si>
    <t>165702</t>
  </si>
  <si>
    <t>IPP/RM/32002</t>
  </si>
  <si>
    <t>INV/2023/01034</t>
  </si>
  <si>
    <t>67948 @17.04.2023</t>
  </si>
  <si>
    <t>168424</t>
  </si>
  <si>
    <t>IPP/RM/31840</t>
  </si>
  <si>
    <t>MA/2023/1164</t>
  </si>
  <si>
    <t>67978 @18.04.2023</t>
  </si>
  <si>
    <t>167553</t>
  </si>
  <si>
    <t>68033</t>
  </si>
  <si>
    <t>IPP/RM/31946</t>
  </si>
  <si>
    <t>68033 @18.04.2023</t>
  </si>
  <si>
    <t>SHRINE CHEMICALS TRADING L.L.C</t>
  </si>
  <si>
    <t>168452</t>
  </si>
  <si>
    <t>67968</t>
  </si>
  <si>
    <t>IPP/RM/31947</t>
  </si>
  <si>
    <t>67968 @18.04.2023</t>
  </si>
  <si>
    <t>IPP/RM/31849</t>
  </si>
  <si>
    <t>APC\LI2071\2023</t>
  </si>
  <si>
    <t>68016 @20.04.2023</t>
  </si>
  <si>
    <t>168042</t>
  </si>
  <si>
    <t>IPP/RM/31889</t>
  </si>
  <si>
    <t>INV/2023/01078</t>
  </si>
  <si>
    <t>68036 @24.04.2023</t>
  </si>
  <si>
    <t>IPP/RM/31892</t>
  </si>
  <si>
    <t>INV/2023/01077</t>
  </si>
  <si>
    <t>68035 @24.04.2023</t>
  </si>
  <si>
    <t>168470</t>
  </si>
  <si>
    <t>IPP/RM/31893</t>
  </si>
  <si>
    <t>INV/2023/01085</t>
  </si>
  <si>
    <t>68045 @25.04.2023</t>
  </si>
  <si>
    <t>IPP/RM/31873</t>
  </si>
  <si>
    <t>CRWSI-12957</t>
  </si>
  <si>
    <t>68077 @27.04.2023</t>
  </si>
  <si>
    <t>IPP/RM/31921</t>
  </si>
  <si>
    <t>APC\LI20726\2023</t>
  </si>
  <si>
    <t>68147 @30.04.2023</t>
  </si>
  <si>
    <t>N</t>
  </si>
  <si>
    <t>168584</t>
  </si>
  <si>
    <t>IPP/RM/32022</t>
  </si>
  <si>
    <t>CI202301249</t>
  </si>
  <si>
    <t>68224 @04.05.2023</t>
  </si>
  <si>
    <t>168601A</t>
  </si>
  <si>
    <t>IPP/RM/32023</t>
  </si>
  <si>
    <t>CI202301257</t>
  </si>
  <si>
    <t>67274 @08.05.2023</t>
  </si>
  <si>
    <t>168534</t>
  </si>
  <si>
    <t>IPP/RM/32053</t>
  </si>
  <si>
    <t>SAC002158</t>
  </si>
  <si>
    <t>68238 @05.05.2023</t>
  </si>
  <si>
    <t>IPP/RM/32055</t>
  </si>
  <si>
    <t>INV/2023/01173</t>
  </si>
  <si>
    <t>68209 @03.05.2023</t>
  </si>
  <si>
    <t>168466</t>
  </si>
  <si>
    <t>IPP/RM/32079</t>
  </si>
  <si>
    <t>INV/2023/01279</t>
  </si>
  <si>
    <t>68339 @12.05.2023</t>
  </si>
  <si>
    <t>IPP/RM/32084</t>
  </si>
  <si>
    <t>INV/2023/01226</t>
  </si>
  <si>
    <t>68291 @09.05.2023</t>
  </si>
  <si>
    <t>IPP/RM/32085</t>
  </si>
  <si>
    <t>INV/2023/01247</t>
  </si>
  <si>
    <t>68311 @10.05.2023</t>
  </si>
  <si>
    <t>IPP/RM/32086</t>
  </si>
  <si>
    <t>INV/2023/01248</t>
  </si>
  <si>
    <t>68312 @10.05.2023</t>
  </si>
  <si>
    <t>IPP/RM/32087</t>
  </si>
  <si>
    <t>INV/2023/01238</t>
  </si>
  <si>
    <t>68292 @9.05.2023</t>
  </si>
  <si>
    <t>168654</t>
  </si>
  <si>
    <t>IPP/RM/32100</t>
  </si>
  <si>
    <t>CI202301270</t>
  </si>
  <si>
    <t>68389 @16.05.2023</t>
  </si>
  <si>
    <t>168763</t>
  </si>
  <si>
    <t>IPP/RM/32143</t>
  </si>
  <si>
    <t>SAC002176</t>
  </si>
  <si>
    <t>68522 @24.05.2023</t>
  </si>
  <si>
    <t>168648</t>
  </si>
  <si>
    <t>IPP/RM/32144</t>
  </si>
  <si>
    <t>MA/2023/1208</t>
  </si>
  <si>
    <t>68466 @20.05.2023</t>
  </si>
  <si>
    <t>IPP/RM/32148</t>
  </si>
  <si>
    <t>INV/2023/01369</t>
  </si>
  <si>
    <t>68501 @23.05.2023</t>
  </si>
  <si>
    <t>IPP/RM/32149</t>
  </si>
  <si>
    <t>INV/2023/01412</t>
  </si>
  <si>
    <t>68564 @26.05.2023</t>
  </si>
  <si>
    <t>IPP/RM/32150</t>
  </si>
  <si>
    <t>INV/2023/01318</t>
  </si>
  <si>
    <t>68425 @18.05.2023</t>
  </si>
  <si>
    <t>168681</t>
  </si>
  <si>
    <t>IPP/RM/32151</t>
  </si>
  <si>
    <t>SL-CI-1498</t>
  </si>
  <si>
    <t>68399 @17.05.2023</t>
  </si>
  <si>
    <t>167941</t>
  </si>
  <si>
    <t>IPP/RM/32152</t>
  </si>
  <si>
    <t>921270592</t>
  </si>
  <si>
    <t>68208 @03.05.2023</t>
  </si>
  <si>
    <t>167944</t>
  </si>
  <si>
    <t>IPP/RM/32153</t>
  </si>
  <si>
    <t>621409896</t>
  </si>
  <si>
    <t>68549 @25.05.2023</t>
  </si>
  <si>
    <t>IPP/RM/32155</t>
  </si>
  <si>
    <t>INV/2023/01323</t>
  </si>
  <si>
    <t>68433 @18.05.2023</t>
  </si>
  <si>
    <t>68374</t>
  </si>
  <si>
    <t>IPP/RM/32216</t>
  </si>
  <si>
    <t>168885</t>
  </si>
  <si>
    <t>IPP/RM/32403</t>
  </si>
  <si>
    <t>INV/2023/01511</t>
  </si>
  <si>
    <t>68742 @06.06.2023</t>
  </si>
  <si>
    <t>IPP/RM/32404</t>
  </si>
  <si>
    <t>INV/2023/01459</t>
  </si>
  <si>
    <t>68676 @01.06.2023</t>
  </si>
  <si>
    <t>IPP/RM/32405</t>
  </si>
  <si>
    <t>INV/2023/01514</t>
  </si>
  <si>
    <t>68744 @06.06.2023</t>
  </si>
  <si>
    <t>IPP/RM/32406</t>
  </si>
  <si>
    <t>INV/2023/01509</t>
  </si>
  <si>
    <t>68741 @06.06.2023</t>
  </si>
  <si>
    <t>168841</t>
  </si>
  <si>
    <t>IPP/RM/32407</t>
  </si>
  <si>
    <t>INV/2023/01515</t>
  </si>
  <si>
    <t>68743 @06.06.2023</t>
  </si>
  <si>
    <t>168117</t>
  </si>
  <si>
    <t>IPP/RM/32408</t>
  </si>
  <si>
    <t>802306620094</t>
  </si>
  <si>
    <t>68745 @06.06.2023</t>
  </si>
  <si>
    <t>168981</t>
  </si>
  <si>
    <t>IPP/RM/32444</t>
  </si>
  <si>
    <t>SAC002195</t>
  </si>
  <si>
    <t>68889 @16.06.2023</t>
  </si>
  <si>
    <t>IPP/RM/32445</t>
  </si>
  <si>
    <t>INV/2023/01635</t>
  </si>
  <si>
    <t>68890 @16.06.2023</t>
  </si>
  <si>
    <t>168828</t>
  </si>
  <si>
    <t>68816</t>
  </si>
  <si>
    <t>IPP/RM/32478</t>
  </si>
  <si>
    <t>MR-68816</t>
  </si>
  <si>
    <t>168918</t>
  </si>
  <si>
    <t>68808</t>
  </si>
  <si>
    <t>IPP/RM/32479</t>
  </si>
  <si>
    <t>MR-68808</t>
  </si>
  <si>
    <t>167947</t>
  </si>
  <si>
    <t>IPP/RM/32500</t>
  </si>
  <si>
    <t>951555598</t>
  </si>
  <si>
    <t>IPP/RM/32504</t>
  </si>
  <si>
    <t>INV/2023/016292</t>
  </si>
  <si>
    <t>68989 @21.06.2023</t>
  </si>
  <si>
    <t>IPP/RM/32539</t>
  </si>
  <si>
    <t>INV/2023/01726</t>
  </si>
  <si>
    <t>69046 @23.06.2023</t>
  </si>
  <si>
    <t>IPP/RM/32540</t>
  </si>
  <si>
    <t>INV/2023/01727</t>
  </si>
  <si>
    <t>69047 @23.06.2023</t>
  </si>
  <si>
    <t>169031</t>
  </si>
  <si>
    <t>IPP/RM/32555</t>
  </si>
  <si>
    <t>SAC002203</t>
  </si>
  <si>
    <t>69041 @23.06.2023</t>
  </si>
  <si>
    <t>168941</t>
  </si>
  <si>
    <t>IPP/RM/32556</t>
  </si>
  <si>
    <t>MA/2023/1258</t>
  </si>
  <si>
    <t>69045 @23.06.2023</t>
  </si>
  <si>
    <t>69091</t>
  </si>
  <si>
    <t>IPP/RM/32576</t>
  </si>
  <si>
    <t>69091 @26-06-2023</t>
  </si>
  <si>
    <t>168712</t>
  </si>
  <si>
    <t>69040</t>
  </si>
  <si>
    <t>IPP/RM/32577</t>
  </si>
  <si>
    <t>69040 @23-06-2023</t>
  </si>
  <si>
    <t>169113</t>
  </si>
  <si>
    <t>IPP/RM/32609</t>
  </si>
  <si>
    <t>CI202301374</t>
  </si>
  <si>
    <t>69236 @06.07.2023</t>
  </si>
  <si>
    <t>168858</t>
  </si>
  <si>
    <t>IPP/RM/32618</t>
  </si>
  <si>
    <t>44088</t>
  </si>
  <si>
    <t>69411 @19.07.2023</t>
  </si>
  <si>
    <t>IPP/RM/32619</t>
  </si>
  <si>
    <t>44067</t>
  </si>
  <si>
    <t>69329 @12.07.2023</t>
  </si>
  <si>
    <t>IPP/RM/32620</t>
  </si>
  <si>
    <t>44078</t>
  </si>
  <si>
    <t>69373 @14.07.2023</t>
  </si>
  <si>
    <t>IPP/RM/32621</t>
  </si>
  <si>
    <t>44074</t>
  </si>
  <si>
    <t>69359 @13.07.2023</t>
  </si>
  <si>
    <t>IPP/RM/32622</t>
  </si>
  <si>
    <t>44050</t>
  </si>
  <si>
    <t>69284 @08.07.2023</t>
  </si>
  <si>
    <t>IPP/RM/32623</t>
  </si>
  <si>
    <t>44056</t>
  </si>
  <si>
    <t>69298 @10.07.2023</t>
  </si>
  <si>
    <t>IPP/RM/32624</t>
  </si>
  <si>
    <t>44038</t>
  </si>
  <si>
    <t>69237 @06.07.2023</t>
  </si>
  <si>
    <t>IPP/RM/32625</t>
  </si>
  <si>
    <t>44081</t>
  </si>
  <si>
    <t>69407 @15.07.2023</t>
  </si>
  <si>
    <t>IPP/RM/32626</t>
  </si>
  <si>
    <t>44083</t>
  </si>
  <si>
    <t>69406 @15.07.2023</t>
  </si>
  <si>
    <t>IPP/RM/32627</t>
  </si>
  <si>
    <t>44089</t>
  </si>
  <si>
    <t>69412 @17.07.2023</t>
  </si>
  <si>
    <t>IPP/RM/32628</t>
  </si>
  <si>
    <t>APC/L20761/2023</t>
  </si>
  <si>
    <t>69192 @04.07.2023</t>
  </si>
  <si>
    <t>169085</t>
  </si>
  <si>
    <t>IPP/RM/32629</t>
  </si>
  <si>
    <t>CRWSI-13457</t>
  </si>
  <si>
    <t>69182 @01.07.2023</t>
  </si>
  <si>
    <t>167945</t>
  </si>
  <si>
    <t>IPP/RM/32645</t>
  </si>
  <si>
    <t>921726888</t>
  </si>
  <si>
    <t>69453 @19.07.2023</t>
  </si>
  <si>
    <t>169199</t>
  </si>
  <si>
    <t>IPP/RM/32657</t>
  </si>
  <si>
    <t>SAC002224</t>
  </si>
  <si>
    <t>69413 @17.07.2023</t>
  </si>
  <si>
    <t>169101</t>
  </si>
  <si>
    <t>IPP/RM/32660</t>
  </si>
  <si>
    <t>M/2023/1275</t>
  </si>
  <si>
    <t>69272 @07.07.2023</t>
  </si>
  <si>
    <t>IPP/RM/32710</t>
  </si>
  <si>
    <t>44099</t>
  </si>
  <si>
    <t>69430 @18.07.2023</t>
  </si>
  <si>
    <t>IPP/RM/32711</t>
  </si>
  <si>
    <t>44132</t>
  </si>
  <si>
    <t>69516</t>
  </si>
  <si>
    <t>IPP/RM/32712</t>
  </si>
  <si>
    <t>44124</t>
  </si>
  <si>
    <t>69481 @22.07.2023</t>
  </si>
  <si>
    <t>IPP/RM/32713</t>
  </si>
  <si>
    <t>44107</t>
  </si>
  <si>
    <t>69452 @19.07.2023</t>
  </si>
  <si>
    <t>IPP/RM/32714</t>
  </si>
  <si>
    <t>APC/LI20778/2023</t>
  </si>
  <si>
    <t>69568 @26.07.2023</t>
  </si>
  <si>
    <t>IPP/RM/32715</t>
  </si>
  <si>
    <t>APC/LI20779/2023</t>
  </si>
  <si>
    <t>69581 @27.06.2023</t>
  </si>
  <si>
    <t>169301</t>
  </si>
  <si>
    <t>IPP/RM/32716</t>
  </si>
  <si>
    <t>802307620482</t>
  </si>
  <si>
    <t>69566 @26.07.2023</t>
  </si>
  <si>
    <t>169265</t>
  </si>
  <si>
    <t>IPP/RM/32724</t>
  </si>
  <si>
    <t>MA/2023/1307</t>
  </si>
  <si>
    <t>69517 @24.07.2023</t>
  </si>
  <si>
    <t>IPP/RM/32725</t>
  </si>
  <si>
    <t>INV/2023/01932</t>
  </si>
  <si>
    <t>69454 @19.07.2023</t>
  </si>
  <si>
    <t>IPP/RM/32726</t>
  </si>
  <si>
    <t>INV/2023/01933</t>
  </si>
  <si>
    <t>69456 @19.07.2023</t>
  </si>
  <si>
    <t>169232</t>
  </si>
  <si>
    <t>IPP/RM/32727</t>
  </si>
  <si>
    <t>INV/2023/01934</t>
  </si>
  <si>
    <t>69455 @19.07.2023</t>
  </si>
  <si>
    <t>169039</t>
  </si>
  <si>
    <t>IPP/RM/32759</t>
  </si>
  <si>
    <t>MR-69424</t>
  </si>
  <si>
    <t>69424</t>
  </si>
  <si>
    <t>Speciality Adhesive- MB675C</t>
  </si>
  <si>
    <t>MB675C</t>
  </si>
  <si>
    <t>169319</t>
  </si>
  <si>
    <t>IPP/RM/32762</t>
  </si>
  <si>
    <t>MR-69615</t>
  </si>
  <si>
    <t>69615</t>
  </si>
  <si>
    <t>168995</t>
  </si>
  <si>
    <t>CR84</t>
  </si>
  <si>
    <t>IPP/RM/32906</t>
  </si>
  <si>
    <t>921796348</t>
  </si>
  <si>
    <t>69825 @11.08.2023</t>
  </si>
  <si>
    <t>69778</t>
  </si>
  <si>
    <t>IPP/RM/32907</t>
  </si>
  <si>
    <t>921782506</t>
  </si>
  <si>
    <t>169258</t>
  </si>
  <si>
    <t>IPP/RM/32940</t>
  </si>
  <si>
    <t>MR-69935</t>
  </si>
  <si>
    <t>69935 @18.08.2023</t>
  </si>
  <si>
    <t>169337</t>
  </si>
  <si>
    <t>IPP/RM/32942</t>
  </si>
  <si>
    <t>APC/LI20815/2023</t>
  </si>
  <si>
    <t>70001 @23.08.2023</t>
  </si>
  <si>
    <t>IPP/RM/32943</t>
  </si>
  <si>
    <t>APC/LI20807/2023</t>
  </si>
  <si>
    <t>69919 @18.8.2023</t>
  </si>
  <si>
    <t>IPP/RM/32944</t>
  </si>
  <si>
    <t>APC/LI20791/2023</t>
  </si>
  <si>
    <t>69717 @06.08.2023</t>
  </si>
  <si>
    <t>IPP/RM/32945</t>
  </si>
  <si>
    <t>APC/LI20783/2023</t>
  </si>
  <si>
    <t>69655 @01.08.2023</t>
  </si>
  <si>
    <t>IPP/RM/32950</t>
  </si>
  <si>
    <t>INV/2023/02138</t>
  </si>
  <si>
    <t>69769 @09.08.2023</t>
  </si>
  <si>
    <t>169441</t>
  </si>
  <si>
    <t>IPP/RM/32952</t>
  </si>
  <si>
    <t>SAC002254</t>
  </si>
  <si>
    <t>69828 @11.08.2023</t>
  </si>
  <si>
    <t>169569</t>
  </si>
  <si>
    <t>IPP/RM/33065</t>
  </si>
  <si>
    <t>ma/2023/1358</t>
  </si>
  <si>
    <t>70026 @24.08.2023</t>
  </si>
  <si>
    <t>IPP/RM/33066</t>
  </si>
  <si>
    <t>APC/LI20825/2023</t>
  </si>
  <si>
    <t>70073 @26.08.2023</t>
  </si>
  <si>
    <t>169481</t>
  </si>
  <si>
    <t>IPP/RM/33081</t>
  </si>
  <si>
    <t>CI202301440</t>
  </si>
  <si>
    <t>69878 @15.08.2023</t>
  </si>
  <si>
    <t>169619</t>
  </si>
  <si>
    <t>IPP/RM/33085</t>
  </si>
  <si>
    <t>SAC002274</t>
  </si>
  <si>
    <t>70075 @28.08.2023</t>
  </si>
  <si>
    <t>69836</t>
  </si>
  <si>
    <t>IPP/RM/33147</t>
  </si>
  <si>
    <t>MR-69836</t>
  </si>
  <si>
    <t>169683</t>
  </si>
  <si>
    <t>IPP/RM/33160</t>
  </si>
  <si>
    <t>CI202301482</t>
  </si>
  <si>
    <t>70166 @04.09.2023</t>
  </si>
  <si>
    <t>IPP/RM/33163</t>
  </si>
  <si>
    <t>CI202301490</t>
  </si>
  <si>
    <t>70222 @08.09.2023</t>
  </si>
  <si>
    <t>IPP/RM/33164</t>
  </si>
  <si>
    <t>CI202301517</t>
  </si>
  <si>
    <t>70424 @20.09.2023</t>
  </si>
  <si>
    <t>169728</t>
  </si>
  <si>
    <t>IPP/RM/33165</t>
  </si>
  <si>
    <t>CI202301511</t>
  </si>
  <si>
    <t>70404 @19.09.2023</t>
  </si>
  <si>
    <t>169717</t>
  </si>
  <si>
    <t>IPP/RM/33191</t>
  </si>
  <si>
    <t>SAC002288</t>
  </si>
  <si>
    <t>70254 @09.09.2023</t>
  </si>
  <si>
    <t>169736</t>
  </si>
  <si>
    <t>IPP/RM/33192</t>
  </si>
  <si>
    <t>MR-70266</t>
  </si>
  <si>
    <t>70266 @12.09.2023</t>
  </si>
  <si>
    <t>IPP/RM/33204</t>
  </si>
  <si>
    <t>APC/LI20836/2023</t>
  </si>
  <si>
    <t>70206 @07.09.2023</t>
  </si>
  <si>
    <t>169398</t>
  </si>
  <si>
    <t>IPP/RM/33205</t>
  </si>
  <si>
    <t>APC/LI20856/2023</t>
  </si>
  <si>
    <t>70367 @17.09.2023</t>
  </si>
  <si>
    <t>IPP/RM/33206</t>
  </si>
  <si>
    <t>APC/LI20844/2023</t>
  </si>
  <si>
    <t>70255 @11.09.2023</t>
  </si>
  <si>
    <t>IPP/RM/33207</t>
  </si>
  <si>
    <t>MA/2023/1381</t>
  </si>
  <si>
    <t>70286 @12.09.2023</t>
  </si>
  <si>
    <t>169866</t>
  </si>
  <si>
    <t>IPP/RM/33268</t>
  </si>
  <si>
    <t>INV/2023/02611</t>
  </si>
  <si>
    <t>70529 @26.09.2023</t>
  </si>
  <si>
    <t>169841</t>
  </si>
  <si>
    <t>IPP/RM/33277</t>
  </si>
  <si>
    <t>SAC002308</t>
  </si>
  <si>
    <t>70470 @22.09.2023</t>
  </si>
  <si>
    <t>IPP/RM/33278</t>
  </si>
  <si>
    <t>APC/LI20862/2023</t>
  </si>
  <si>
    <t>70485 @23.09.2023</t>
  </si>
  <si>
    <t>169830</t>
  </si>
  <si>
    <t>IPP/RM/33298</t>
  </si>
  <si>
    <t>INV/2023/02654</t>
  </si>
  <si>
    <t>70549 @27-09-2023</t>
  </si>
  <si>
    <t>IPP/RM/33432</t>
  </si>
  <si>
    <t>INV/2023/02673</t>
  </si>
  <si>
    <t>70618 @03.10.2023</t>
  </si>
  <si>
    <t>IPP/RM/33433</t>
  </si>
  <si>
    <t>INV/2023/02695</t>
  </si>
  <si>
    <t>70620 @03.10.2023</t>
  </si>
  <si>
    <t>IPP/RM/33427</t>
  </si>
  <si>
    <t>SAC002313</t>
  </si>
  <si>
    <t>70653 @4/10/23</t>
  </si>
  <si>
    <t>CLEANER</t>
  </si>
  <si>
    <t>IPP/RM/33457</t>
  </si>
  <si>
    <t>201891</t>
  </si>
  <si>
    <t>70720 @09.10.2023</t>
  </si>
  <si>
    <t>IPP/RM/33411</t>
  </si>
  <si>
    <t>CI202301554</t>
  </si>
  <si>
    <t>70727 @10.10.2023</t>
  </si>
  <si>
    <t>IPP/RM/33439</t>
  </si>
  <si>
    <t>922099075</t>
  </si>
  <si>
    <t>70736 @10.10.2023</t>
  </si>
  <si>
    <t>75-300</t>
  </si>
  <si>
    <t>IPP/RM/33664</t>
  </si>
  <si>
    <t>APC/LI/20881/2023</t>
  </si>
  <si>
    <t>70734 @10.10.2023</t>
  </si>
  <si>
    <t>IPP/RM/33498</t>
  </si>
  <si>
    <t>INV/2023/02787</t>
  </si>
  <si>
    <t>70764 @12.10.2023</t>
  </si>
  <si>
    <t>IPP/RM/33440</t>
  </si>
  <si>
    <t>922111097</t>
  </si>
  <si>
    <t>70786 @13.10.2023</t>
  </si>
  <si>
    <t>CR 88-300</t>
  </si>
  <si>
    <t>IPP/RM/33497</t>
  </si>
  <si>
    <t>INV/2023/02823</t>
  </si>
  <si>
    <t>70823 @17.10.2023</t>
  </si>
  <si>
    <t>IPP/RM/33488</t>
  </si>
  <si>
    <t>CI202301570</t>
  </si>
  <si>
    <t>70887 @20.10.2023</t>
  </si>
  <si>
    <t>70911</t>
  </si>
  <si>
    <t>IPP/RM/33542</t>
  </si>
  <si>
    <t>70911 @23.10.2023</t>
  </si>
  <si>
    <t>IPP/RM/33503</t>
  </si>
  <si>
    <t>SAC002335</t>
  </si>
  <si>
    <t>70961 @25.10.2023</t>
  </si>
  <si>
    <t>IPP/RM/33504</t>
  </si>
  <si>
    <t>MA/2023/1451</t>
  </si>
  <si>
    <t>70962 @25.10.2023</t>
  </si>
  <si>
    <t>IPP/RM/33502</t>
  </si>
  <si>
    <t>CRWSI-231000210</t>
  </si>
  <si>
    <t>70946,70987 @26.10.2023</t>
  </si>
  <si>
    <t>IPP/RM/33499</t>
  </si>
  <si>
    <t>INV/2023/02934</t>
  </si>
  <si>
    <t>71010 @27.10.2023</t>
  </si>
  <si>
    <t>IPP/RM/33683</t>
  </si>
  <si>
    <t>crwsi-2310000237</t>
  </si>
  <si>
    <t>71089 @30.10.2023</t>
  </si>
  <si>
    <t>IPP/RM/33693</t>
  </si>
  <si>
    <t>INV/2023/02961</t>
  </si>
  <si>
    <t>71090 @31.10.2023</t>
  </si>
  <si>
    <t>IPP/RM/33729</t>
  </si>
  <si>
    <t>INV/2023/03003</t>
  </si>
  <si>
    <t>71149 @03.11.2023</t>
  </si>
  <si>
    <t>IPP/RM/33738</t>
  </si>
  <si>
    <t>INV/2023/03004</t>
  </si>
  <si>
    <t>71148 @03.11.2023</t>
  </si>
  <si>
    <t>IPP/RM/33746</t>
  </si>
  <si>
    <t>CRWSI-2311000082</t>
  </si>
  <si>
    <t>71218 @09.11.2023</t>
  </si>
  <si>
    <t>Solvent - N Propanol</t>
  </si>
  <si>
    <t>N PROPANOL</t>
  </si>
  <si>
    <t>IPP/RM/33788</t>
  </si>
  <si>
    <t>CRWSI-2311000072</t>
  </si>
  <si>
    <t>71232 @10.11.2023</t>
  </si>
  <si>
    <t>IPP/RM/33789</t>
  </si>
  <si>
    <t>CRWSI-2311000084</t>
  </si>
  <si>
    <t>71244 @11.11.2023 and 71245 @11.11.2023</t>
  </si>
  <si>
    <t>IPP/RM/33791</t>
  </si>
  <si>
    <t>SAC002358</t>
  </si>
  <si>
    <t>71281 @14.11.2023</t>
  </si>
  <si>
    <t>IPP/RM/33799</t>
  </si>
  <si>
    <t>INV/2023/03119</t>
  </si>
  <si>
    <t>71340 @17.11.2023</t>
  </si>
  <si>
    <t>IPP/RM/33727</t>
  </si>
  <si>
    <t>CI202301628</t>
  </si>
  <si>
    <t>71368 @21-11-2023</t>
  </si>
  <si>
    <t>IPP/RM/33833</t>
  </si>
  <si>
    <t>INV/2023/03136</t>
  </si>
  <si>
    <t>71373 @21.11.2023</t>
  </si>
  <si>
    <t>IPP/RM/33835</t>
  </si>
  <si>
    <t>MA/2023/1504</t>
  </si>
  <si>
    <t>71380 @22.11.2023</t>
  </si>
  <si>
    <t>IPP/RM/33837</t>
  </si>
  <si>
    <t>CRWSI-2311000175</t>
  </si>
  <si>
    <t>71381 @22.11.2023</t>
  </si>
  <si>
    <t>IPP/RM/33840</t>
  </si>
  <si>
    <t>922302252</t>
  </si>
  <si>
    <t>71399 @22.11.2023</t>
  </si>
  <si>
    <t>IPP/RM/33841</t>
  </si>
  <si>
    <t>INV/2023/03154</t>
  </si>
  <si>
    <t>71393 @22.11.2023</t>
  </si>
  <si>
    <t>IPP/RM/33971</t>
  </si>
  <si>
    <t>MR-71382</t>
  </si>
  <si>
    <t>71382 @22.11.2023</t>
  </si>
  <si>
    <t>IPP/RM/33859</t>
  </si>
  <si>
    <t>INV/2023/03209</t>
  </si>
  <si>
    <t>71503 @28.11.2023</t>
  </si>
  <si>
    <t>IPP/RM/33953</t>
  </si>
  <si>
    <t>CRWSI-2311000246</t>
  </si>
  <si>
    <t>71557 @30.11.2023</t>
  </si>
  <si>
    <t>IPP/RM/33954</t>
  </si>
  <si>
    <t>CRWSI-2311000251</t>
  </si>
  <si>
    <t>71558 @30.11.2023</t>
  </si>
  <si>
    <t>170190</t>
  </si>
  <si>
    <t>IPP/RM/33967</t>
  </si>
  <si>
    <t>CI202301649</t>
  </si>
  <si>
    <t>71574@01-12-2023</t>
  </si>
  <si>
    <t>IPP/RM/33997</t>
  </si>
  <si>
    <t>CI202301676</t>
  </si>
  <si>
    <t>71843 @28.12.2023</t>
  </si>
  <si>
    <t>170573</t>
  </si>
  <si>
    <t>IPP/RM/34031</t>
  </si>
  <si>
    <t>802312620142</t>
  </si>
  <si>
    <t>71699 @11.12.2023</t>
  </si>
  <si>
    <t>170620</t>
  </si>
  <si>
    <t>IPP/RM/34032</t>
  </si>
  <si>
    <t>CRWSI-2312000114</t>
  </si>
  <si>
    <t>71773 @14.12.2023</t>
  </si>
  <si>
    <t>170095</t>
  </si>
  <si>
    <t>IPP/RM/34033</t>
  </si>
  <si>
    <t>CRWSI-2312000066</t>
  </si>
  <si>
    <t>71666 @09.12.2023</t>
  </si>
  <si>
    <t>IPP/RM/34034</t>
  </si>
  <si>
    <t>CRWSI-2312000071</t>
  </si>
  <si>
    <t>71700  @11.12.2023</t>
  </si>
  <si>
    <t>IPP/RM/34035</t>
  </si>
  <si>
    <t>CRWSI-2312000045</t>
  </si>
  <si>
    <t>71624 @05.12.2023</t>
  </si>
  <si>
    <t>IPP/RM/34036</t>
  </si>
  <si>
    <t>CRWSI-2312000047/ 2312000046</t>
  </si>
  <si>
    <t>71648 @07.12.2023</t>
  </si>
  <si>
    <t>170559</t>
  </si>
  <si>
    <t>170505</t>
  </si>
  <si>
    <t>71570</t>
  </si>
  <si>
    <t>IPP/RM/34037</t>
  </si>
  <si>
    <t>71570 @01.12.2023</t>
  </si>
  <si>
    <t>170666</t>
  </si>
  <si>
    <t>71842</t>
  </si>
  <si>
    <t>IPP/RM/34038</t>
  </si>
  <si>
    <t>71842 @20.12.2023</t>
  </si>
  <si>
    <t>170101</t>
  </si>
  <si>
    <t>IPP/RM/34039</t>
  </si>
  <si>
    <t>INV/2023*03305</t>
  </si>
  <si>
    <t>71734 @13.12.2023</t>
  </si>
  <si>
    <t>170107</t>
  </si>
  <si>
    <t>IPP/RM/34040</t>
  </si>
  <si>
    <t>MA/2023/1522</t>
  </si>
  <si>
    <t>71569 @01.12.2023</t>
  </si>
  <si>
    <t>170510</t>
  </si>
  <si>
    <t>170469</t>
  </si>
  <si>
    <t>IPP/RM/34041</t>
  </si>
  <si>
    <t>APC/LI20932/2023</t>
  </si>
  <si>
    <t>71715 @12.12.2023</t>
  </si>
  <si>
    <t>IPP/RM/34042</t>
  </si>
  <si>
    <t>APC/LI20940/2023</t>
  </si>
  <si>
    <t>71841 @20.12.2023</t>
  </si>
  <si>
    <t>IPP/RM/34043</t>
  </si>
  <si>
    <t>APC/LI20939/2023</t>
  </si>
  <si>
    <t>71835 @19.12.2023</t>
  </si>
  <si>
    <t>170515</t>
  </si>
  <si>
    <t>IPP/RM/34044</t>
  </si>
  <si>
    <t>SAC002381</t>
  </si>
  <si>
    <t>71725 @07.12.2023</t>
  </si>
  <si>
    <t>IPP/RM/34079</t>
  </si>
  <si>
    <t>apc/li20955/2023</t>
  </si>
  <si>
    <t>72019 @30.12.2023</t>
  </si>
  <si>
    <t>IPP/RM/34080</t>
  </si>
  <si>
    <t>apc/li20946/2023</t>
  </si>
  <si>
    <t>71920 @24.12.2023</t>
  </si>
  <si>
    <t>170723</t>
  </si>
  <si>
    <t>IPP/RM/34081</t>
  </si>
  <si>
    <t>SAC002406</t>
  </si>
  <si>
    <t>71921 @26.12.2023</t>
  </si>
  <si>
    <t>170730</t>
  </si>
  <si>
    <t>IPP/RM/34082</t>
  </si>
  <si>
    <t>CRWSI-2312000202</t>
  </si>
  <si>
    <t>71919 @23.12.2023</t>
  </si>
  <si>
    <t>169916</t>
  </si>
  <si>
    <t>71888</t>
  </si>
  <si>
    <t>IPP/RM/34090</t>
  </si>
  <si>
    <t>71888 @22.12.20233</t>
  </si>
  <si>
    <t>71957</t>
  </si>
  <si>
    <t>IPP/RM/34091</t>
  </si>
  <si>
    <t>91957</t>
  </si>
  <si>
    <t>IPP/RM/34397</t>
  </si>
  <si>
    <t>APC/LI20970/2024</t>
  </si>
  <si>
    <t>72184 @07.01.2024</t>
  </si>
  <si>
    <t>IPP/RM/34401</t>
  </si>
  <si>
    <t>CRWSI-2401000060</t>
  </si>
  <si>
    <t>72256 ,72203 @11.01.2024</t>
  </si>
  <si>
    <t>IPP/RM/34406</t>
  </si>
  <si>
    <t>SAC002429</t>
  </si>
  <si>
    <t>72268 @11.01.2024</t>
  </si>
  <si>
    <t>IPP/RM/34398</t>
  </si>
  <si>
    <t>APC/LI20979/2024</t>
  </si>
  <si>
    <t>72280 @12.01.2024</t>
  </si>
  <si>
    <t>IPP/RM/34297</t>
  </si>
  <si>
    <t>CI202401022</t>
  </si>
  <si>
    <t>72300 @15.01.2024</t>
  </si>
  <si>
    <t>IPP/RM/34399</t>
  </si>
  <si>
    <t>APC/LI20991/2024</t>
  </si>
  <si>
    <t>72339 @17.01.2024</t>
  </si>
  <si>
    <t>IPP/RM/34400</t>
  </si>
  <si>
    <t>APC/LI20990/2024</t>
  </si>
  <si>
    <t>72359 @17.01.2024</t>
  </si>
  <si>
    <t>IPP/RM/34404</t>
  </si>
  <si>
    <t>INV/2024/00150</t>
  </si>
  <si>
    <t>72354 @17.01.2024</t>
  </si>
  <si>
    <t>IPP/RM/34456</t>
  </si>
  <si>
    <t>72346</t>
  </si>
  <si>
    <t>72346 @17.01.2024</t>
  </si>
  <si>
    <t>IPP/RM/34402</t>
  </si>
  <si>
    <t>INV/2024/00182</t>
  </si>
  <si>
    <t>72384 @19.01.2024</t>
  </si>
  <si>
    <t>IPP/RM/34403</t>
  </si>
  <si>
    <t>INV/2024/00227</t>
  </si>
  <si>
    <t>72452 @24.01.2024</t>
  </si>
  <si>
    <t>IPP/RM/34451</t>
  </si>
  <si>
    <t>72519</t>
  </si>
  <si>
    <t>72519 @29.01.2024</t>
  </si>
  <si>
    <t>PET Corona /12 mic/1173 mm</t>
  </si>
  <si>
    <t>IPP/RM/34669</t>
  </si>
  <si>
    <t>INV/2024/00329</t>
  </si>
  <si>
    <t>72614 @05.02.2024</t>
  </si>
  <si>
    <t>IPP/RM/34667</t>
  </si>
  <si>
    <t>INV/2024/00386</t>
  </si>
  <si>
    <t>72712 @08.02.2024</t>
  </si>
  <si>
    <t>IPP/RM/34671</t>
  </si>
  <si>
    <t>SAC002462</t>
  </si>
  <si>
    <t>72714 @08.02.2024</t>
  </si>
  <si>
    <t>IPP/RM/34675</t>
  </si>
  <si>
    <t>MA/2024/1050</t>
  </si>
  <si>
    <t>72715 @08.02.2024</t>
  </si>
  <si>
    <t>IPP/RM/34561</t>
  </si>
  <si>
    <t>CI202401070</t>
  </si>
  <si>
    <t>72754 @10.02.2024</t>
  </si>
  <si>
    <t>IPP/RM/34672</t>
  </si>
  <si>
    <t>MR-72771</t>
  </si>
  <si>
    <t>72771 @</t>
  </si>
  <si>
    <t>Baalbaki Group S.A (Offshore) LTD</t>
  </si>
  <si>
    <t>IPP/RM/34654</t>
  </si>
  <si>
    <t>IN-324000301</t>
  </si>
  <si>
    <t>72792 @15.02.2024</t>
  </si>
  <si>
    <t>Adhesive - Ecolad SL720</t>
  </si>
  <si>
    <t>IPP/RM/34666</t>
  </si>
  <si>
    <t>INV/2024/00431</t>
  </si>
  <si>
    <t>72794 @15.02.2024</t>
  </si>
  <si>
    <t>IPP/RM/34668</t>
  </si>
  <si>
    <t>INV/2024/00429</t>
  </si>
  <si>
    <t>72793 @15.02.2024</t>
  </si>
  <si>
    <t>IPP/RM/34674</t>
  </si>
  <si>
    <t>APC/LI21029/2024</t>
  </si>
  <si>
    <t>72820 @17.02.2024</t>
  </si>
  <si>
    <t>IPP/RM/34653</t>
  </si>
  <si>
    <t>IN-324000329</t>
  </si>
  <si>
    <t>72859 @20.02.2024</t>
  </si>
  <si>
    <t>IPP/RM/34673</t>
  </si>
  <si>
    <t>APC/LI21032/2024</t>
  </si>
  <si>
    <t>72940 @22.02.2024</t>
  </si>
  <si>
    <t>IPP/RM/34670</t>
  </si>
  <si>
    <t>INV/2024/00506</t>
  </si>
  <si>
    <t>72990 @23.02.2024</t>
  </si>
  <si>
    <t>IPP/RM/34686</t>
  </si>
  <si>
    <t>MR-73036</t>
  </si>
  <si>
    <t>73036</t>
  </si>
  <si>
    <t>IPP/RM/34687</t>
  </si>
  <si>
    <t>MR-73032</t>
  </si>
  <si>
    <t>73032</t>
  </si>
  <si>
    <t>IPP/RM/34685</t>
  </si>
  <si>
    <t>MR-73047</t>
  </si>
  <si>
    <t>73047 @27.02.2024</t>
  </si>
  <si>
    <t>IPP/RM/34692</t>
  </si>
  <si>
    <t>MR-73082</t>
  </si>
  <si>
    <t>73082</t>
  </si>
  <si>
    <t>IPP/RM/34702</t>
  </si>
  <si>
    <t>MR-73081</t>
  </si>
  <si>
    <t>73081</t>
  </si>
  <si>
    <t>171026</t>
  </si>
  <si>
    <t>IPP/RM/34882</t>
  </si>
  <si>
    <t>CI202401143</t>
  </si>
  <si>
    <t>73440 @20.03..2024</t>
  </si>
  <si>
    <t>172307</t>
  </si>
  <si>
    <t>IPP/RM/34925</t>
  </si>
  <si>
    <t>CRWSI-2403000237</t>
  </si>
  <si>
    <t>73419 @19.03.2024</t>
  </si>
  <si>
    <t>IPP/RM/34926</t>
  </si>
  <si>
    <t>CRWSI-2403000238</t>
  </si>
  <si>
    <t>73519 @23.03.2024</t>
  </si>
  <si>
    <t>172098</t>
  </si>
  <si>
    <t>IPP/RM/34927</t>
  </si>
  <si>
    <t>INV/2024/00567</t>
  </si>
  <si>
    <t>73135 @01.03.2024</t>
  </si>
  <si>
    <t>172167</t>
  </si>
  <si>
    <t>IPP/RM/34940</t>
  </si>
  <si>
    <t>SAC002482</t>
  </si>
  <si>
    <t>73195 @08.03.2024</t>
  </si>
  <si>
    <t>172078</t>
  </si>
  <si>
    <t>IPP/RM/34941</t>
  </si>
  <si>
    <t>SAC002486</t>
  </si>
  <si>
    <t>73377 @16.03.2024</t>
  </si>
  <si>
    <t>171012</t>
  </si>
  <si>
    <t>IPP/RM/34945</t>
  </si>
  <si>
    <t>802403620211</t>
  </si>
  <si>
    <t>73283 @12.03.2024</t>
  </si>
  <si>
    <t>IPP/RM/34946</t>
  </si>
  <si>
    <t>802403620030</t>
  </si>
  <si>
    <t>73175 @04.03.2024</t>
  </si>
  <si>
    <t>172097</t>
  </si>
  <si>
    <t>IPP/RM/34951</t>
  </si>
  <si>
    <t>APC/LI21058/2024</t>
  </si>
  <si>
    <t>73378 @16.03.2024</t>
  </si>
  <si>
    <t>73442</t>
  </si>
  <si>
    <t>IPP/RM/34952</t>
  </si>
  <si>
    <t>73442 @20.03.2024</t>
  </si>
  <si>
    <t>170912</t>
  </si>
  <si>
    <t>IPP/RM/34953</t>
  </si>
  <si>
    <t>APC/LI21053/2024</t>
  </si>
  <si>
    <t>73280 @12.03.2024</t>
  </si>
  <si>
    <t>IPP/RM/34954</t>
  </si>
  <si>
    <t>APC/LI21047/2024</t>
  </si>
  <si>
    <t>73212 @07.03.2024</t>
  </si>
  <si>
    <t>172086</t>
  </si>
  <si>
    <t>IPP/RM/34956</t>
  </si>
  <si>
    <t>MA/2024/1094</t>
  </si>
  <si>
    <t>73308 @13.03.2024</t>
  </si>
  <si>
    <t>IPP/RM/34957</t>
  </si>
  <si>
    <t>MA/2024/1089</t>
  </si>
  <si>
    <t>73196 @06.03.2024</t>
  </si>
  <si>
    <t>172275</t>
  </si>
  <si>
    <t>IPP/RM/34972</t>
  </si>
  <si>
    <t>MR-73379</t>
  </si>
  <si>
    <t>73379 @16.03.2024</t>
  </si>
  <si>
    <t>170623</t>
  </si>
  <si>
    <t>IPP/RM/34980</t>
  </si>
  <si>
    <t>922739301</t>
  </si>
  <si>
    <t>73211 @06.03.2024</t>
  </si>
  <si>
    <t>172362</t>
  </si>
  <si>
    <t>IPP/RM/35039</t>
  </si>
  <si>
    <t>SAC002508</t>
  </si>
  <si>
    <t>73531 @25.03.2024</t>
  </si>
  <si>
    <t>IPP/RM/35040</t>
  </si>
  <si>
    <t>APC/LI21068/2024</t>
  </si>
  <si>
    <t>73532 @25.03.2024</t>
  </si>
  <si>
    <t>172368</t>
  </si>
  <si>
    <t>IPP/RM/35044</t>
  </si>
  <si>
    <t>INV/2024/00783</t>
  </si>
  <si>
    <t>73592 @27.03.2024</t>
  </si>
  <si>
    <t>IPP/RM/35045</t>
  </si>
  <si>
    <t>SAC002514</t>
  </si>
  <si>
    <t>73587 @27.03.2024</t>
  </si>
  <si>
    <t>172392</t>
  </si>
  <si>
    <t>171964</t>
  </si>
  <si>
    <t>172371</t>
  </si>
  <si>
    <t>IPP/RM/35046</t>
  </si>
  <si>
    <t>MA/2024/1109</t>
  </si>
  <si>
    <t>73557 @26.03.2024</t>
  </si>
  <si>
    <t>IPP/RM/35063</t>
  </si>
  <si>
    <t>CRWSI-2403000283/282</t>
  </si>
  <si>
    <t>73613 @28.03.2024</t>
  </si>
  <si>
    <t>IPP/RM/35116</t>
  </si>
  <si>
    <t>922739299</t>
  </si>
  <si>
    <t>73668 @30.03.2024</t>
  </si>
  <si>
    <t>172378</t>
  </si>
  <si>
    <t>Cleaner</t>
  </si>
  <si>
    <t>IPP/RM/35126</t>
  </si>
  <si>
    <t>MR-73599</t>
  </si>
  <si>
    <t>73599 @27.03.2024</t>
  </si>
  <si>
    <t>IPP/RM/35243</t>
  </si>
  <si>
    <t>MA/2024/1143</t>
  </si>
  <si>
    <t>73983 @25.04.2024</t>
  </si>
  <si>
    <t>Adhesive  - HERBERTS LG 59A / 70</t>
  </si>
  <si>
    <t>IPP/RM/35244</t>
  </si>
  <si>
    <t>MA/2024/1122</t>
  </si>
  <si>
    <t>73762 @6.04.2024</t>
  </si>
  <si>
    <t>IPP/RM/35272</t>
  </si>
  <si>
    <t>sac002530</t>
  </si>
  <si>
    <t>73846 @15.04.2024</t>
  </si>
  <si>
    <t>IPP/RM/35273</t>
  </si>
  <si>
    <t>INV/2024/00881</t>
  </si>
  <si>
    <t>73918 @22.04.2024</t>
  </si>
  <si>
    <t>IPP/RM/35274</t>
  </si>
  <si>
    <t>INV/2024/00862</t>
  </si>
  <si>
    <t>73759 @06.04.2024</t>
  </si>
  <si>
    <t>IPP/RM/35275</t>
  </si>
  <si>
    <t>INV/2024/00817</t>
  </si>
  <si>
    <t>73680 @01.04.2024</t>
  </si>
  <si>
    <t>IPP/RM/35276</t>
  </si>
  <si>
    <t>APC/LI21100/2024</t>
  </si>
  <si>
    <t>73901 @21.04.2024</t>
  </si>
  <si>
    <t>IPP/RM/35277</t>
  </si>
  <si>
    <t>APC/LI21110/2024</t>
  </si>
  <si>
    <t>73988 @26.04.2024</t>
  </si>
  <si>
    <t>IPP/RM/35278</t>
  </si>
  <si>
    <t>CRWSI-2404000102</t>
  </si>
  <si>
    <t>73836 @15.04.2024</t>
  </si>
  <si>
    <t>IPP/RM/35279</t>
  </si>
  <si>
    <t>CRWSI-2404000131</t>
  </si>
  <si>
    <t>73883 @19.04.2024</t>
  </si>
  <si>
    <t>IPP/RM/35280</t>
  </si>
  <si>
    <t>CRWSI-2404000097</t>
  </si>
  <si>
    <t>73832 @13.04.2024</t>
  </si>
  <si>
    <t>IPP/RM/35291</t>
  </si>
  <si>
    <t>922977742</t>
  </si>
  <si>
    <t>73922 @23.04.2024</t>
  </si>
  <si>
    <t>IPP/RM/35314</t>
  </si>
  <si>
    <t>922951666</t>
  </si>
  <si>
    <t>74098 @29.04.2024</t>
  </si>
  <si>
    <t>IPP/RM/35317</t>
  </si>
  <si>
    <t>CI2401194</t>
  </si>
  <si>
    <t>74011</t>
  </si>
  <si>
    <t>IPP/RM/35318</t>
  </si>
  <si>
    <t>MR-73829</t>
  </si>
  <si>
    <t>73829 @10.04.2024</t>
  </si>
  <si>
    <t>IPP/RM/35319</t>
  </si>
  <si>
    <t>MR-73894</t>
  </si>
  <si>
    <t>73894 @20.04.2024</t>
  </si>
  <si>
    <t>IPP/RM/35322</t>
  </si>
  <si>
    <t>APC/LI21117/2024</t>
  </si>
  <si>
    <t>74092 @30.04.2024</t>
  </si>
  <si>
    <t>IPP/RM/35468</t>
  </si>
  <si>
    <t>MA/2024/1161</t>
  </si>
  <si>
    <t>74291 @09.05.2024</t>
  </si>
  <si>
    <t>IPP/RM/35470</t>
  </si>
  <si>
    <t>923104253</t>
  </si>
  <si>
    <t>74462 @23.05.2024</t>
  </si>
  <si>
    <t>IPP/RM/35471</t>
  </si>
  <si>
    <t>923041249</t>
  </si>
  <si>
    <t>74286 @11.05.2024</t>
  </si>
  <si>
    <t>IPP/RM/35491</t>
  </si>
  <si>
    <t>CRWSI-2405000243</t>
  </si>
  <si>
    <t>74524 @25.05.2024</t>
  </si>
  <si>
    <t>IPP/RM/35492</t>
  </si>
  <si>
    <t>INV/2024/01082</t>
  </si>
  <si>
    <t>74259 @10.05.2024</t>
  </si>
  <si>
    <t>IPP/RM/35493</t>
  </si>
  <si>
    <t>INV/2024/01119</t>
  </si>
  <si>
    <t>74304 @14.05.2024</t>
  </si>
  <si>
    <t>IPP/RM/35494</t>
  </si>
  <si>
    <t>INV/2024/01168</t>
  </si>
  <si>
    <t>74415 @20.05.2024</t>
  </si>
  <si>
    <t>IPP/RM/35495</t>
  </si>
  <si>
    <t>INV/2024/01145</t>
  </si>
  <si>
    <t>74363 @17.05.2024</t>
  </si>
  <si>
    <t>Solvent – PMA (Propylene Glycol  Mono  Methyl Ether Acetate)</t>
  </si>
  <si>
    <t>PMA</t>
  </si>
  <si>
    <t>IPP/RM/35496</t>
  </si>
  <si>
    <t>SL-CI-4173</t>
  </si>
  <si>
    <t>74177 @06.05.2024</t>
  </si>
  <si>
    <t>IPP/RM/35497</t>
  </si>
  <si>
    <t>SL-CI-4169</t>
  </si>
  <si>
    <t>74169 @06.05.2024</t>
  </si>
  <si>
    <t>IPP/RM/35498</t>
  </si>
  <si>
    <t>SL-CI-4170</t>
  </si>
  <si>
    <t>74178 @06.05.2024</t>
  </si>
  <si>
    <t>IPP/RM/35499</t>
  </si>
  <si>
    <t>SAC002571</t>
  </si>
  <si>
    <t>74292 @13.05.2024</t>
  </si>
  <si>
    <t>IPP/RM/35507</t>
  </si>
  <si>
    <t>CRWSI-2405000194</t>
  </si>
  <si>
    <t>74406 @20.05.2024</t>
  </si>
  <si>
    <t>IPP/RM/35512</t>
  </si>
  <si>
    <t>sc/2024/inv-0695</t>
  </si>
  <si>
    <t>74165 @05.05.2024</t>
  </si>
  <si>
    <t>IPP/RM/35620</t>
  </si>
  <si>
    <t>CI202401261</t>
  </si>
  <si>
    <t>74619 @30.05.2024</t>
  </si>
  <si>
    <t>IPP/RM/35648</t>
  </si>
  <si>
    <t>MR-74649</t>
  </si>
  <si>
    <t>74649 @31.05.2024</t>
  </si>
  <si>
    <t>IPP/RM/35661</t>
  </si>
  <si>
    <t>INV/2024/01015</t>
  </si>
  <si>
    <t>74150</t>
  </si>
  <si>
    <t>IPP/RM/35662</t>
  </si>
  <si>
    <t>INV/2024/01029</t>
  </si>
  <si>
    <t>74149</t>
  </si>
  <si>
    <t>IPP/RM/35663</t>
  </si>
  <si>
    <t>CRWSI-2405000260</t>
  </si>
  <si>
    <t>74555 @27.05.2024</t>
  </si>
  <si>
    <t>IPP/RM/35664</t>
  </si>
  <si>
    <t>MR-74595</t>
  </si>
  <si>
    <t>74595 @29.05.2024</t>
  </si>
  <si>
    <t>IPP/RM/35665</t>
  </si>
  <si>
    <t>MR-74521</t>
  </si>
  <si>
    <t>74521 @26.05.2024</t>
  </si>
  <si>
    <t>IPP/RM/35666</t>
  </si>
  <si>
    <t>SAC002581</t>
  </si>
  <si>
    <t>74538 @27.05.2024</t>
  </si>
  <si>
    <t>IPP/RM/35667</t>
  </si>
  <si>
    <t>74543</t>
  </si>
  <si>
    <t>74543 @27.05.2024</t>
  </si>
  <si>
    <t>172867</t>
  </si>
  <si>
    <t>IPP/RM/35730</t>
  </si>
  <si>
    <t>CI202401293</t>
  </si>
  <si>
    <t>74883 @14.06.2024</t>
  </si>
  <si>
    <t>172982</t>
  </si>
  <si>
    <t>IPP/RM/35779</t>
  </si>
  <si>
    <t>INV/2024/01477</t>
  </si>
  <si>
    <t>75091 @27.06.2024</t>
  </si>
  <si>
    <t>172915</t>
  </si>
  <si>
    <t>IPP/RM/35784</t>
  </si>
  <si>
    <t>APC/LI21186/2024</t>
  </si>
  <si>
    <t>74757@07.06.2024</t>
  </si>
  <si>
    <t>172455</t>
  </si>
  <si>
    <t>IPP/RM/35785</t>
  </si>
  <si>
    <t>APC/LI21168/2024</t>
  </si>
  <si>
    <t>74685 @01.06.2024</t>
  </si>
  <si>
    <t>IPP/RM/35786</t>
  </si>
  <si>
    <t>APC/LI21198/2024</t>
  </si>
  <si>
    <t>74868 @13.06.2024</t>
  </si>
  <si>
    <t>IPP/RM/35787</t>
  </si>
  <si>
    <t>MR-74931</t>
  </si>
  <si>
    <t>74931 @18.06.2024</t>
  </si>
  <si>
    <t>IPP/RM/35788</t>
  </si>
  <si>
    <t>MR-75007</t>
  </si>
  <si>
    <t>75007 @23.06.2024</t>
  </si>
  <si>
    <t>173003</t>
  </si>
  <si>
    <t>IPP/RM/35789</t>
  </si>
  <si>
    <t>SAC002591</t>
  </si>
  <si>
    <t>74843</t>
  </si>
  <si>
    <t>173117</t>
  </si>
  <si>
    <t>IPP/RM/35790</t>
  </si>
  <si>
    <t>SAC002611</t>
  </si>
  <si>
    <t>75048 @25.06.2024</t>
  </si>
  <si>
    <t>173076</t>
  </si>
  <si>
    <t>IPP/RM/35791</t>
  </si>
  <si>
    <t>CRWSI-2406000163</t>
  </si>
  <si>
    <t>74915 @17.06.2024</t>
  </si>
  <si>
    <t>172879</t>
  </si>
  <si>
    <t>IPP/RM/35792</t>
  </si>
  <si>
    <t>CRWSI 2406000179/181</t>
  </si>
  <si>
    <t>74955 @20.06.2024</t>
  </si>
  <si>
    <t>173086</t>
  </si>
  <si>
    <t>IPP/RM/35793</t>
  </si>
  <si>
    <t>APC/LI21170/2024</t>
  </si>
  <si>
    <t>74686 @02.06.2024</t>
  </si>
  <si>
    <t>173018</t>
  </si>
  <si>
    <t>IPP/RM/35794</t>
  </si>
  <si>
    <t>CRWSI-2406000082</t>
  </si>
  <si>
    <t>74773 @08.06.2024</t>
  </si>
  <si>
    <t>172673</t>
  </si>
  <si>
    <t>IPP/RM/35795</t>
  </si>
  <si>
    <t>MR-74888</t>
  </si>
  <si>
    <t>74888 @14.06.2024</t>
  </si>
  <si>
    <t>170938</t>
  </si>
  <si>
    <t>IPP/RM/35838</t>
  </si>
  <si>
    <t>mr-75105</t>
  </si>
  <si>
    <t>75105 @28.06.2024</t>
  </si>
  <si>
    <t>IPP/RM/35986</t>
  </si>
  <si>
    <t>CI202401345</t>
  </si>
  <si>
    <t>75493 @20.07.2024</t>
  </si>
  <si>
    <t>173286</t>
  </si>
  <si>
    <t>IPP/RM/36030</t>
  </si>
  <si>
    <t>SAC002634</t>
  </si>
  <si>
    <t>75453 @18.07.2024</t>
  </si>
  <si>
    <t>173257</t>
  </si>
  <si>
    <t>IPP/RM/36032</t>
  </si>
  <si>
    <t>APC/LI21250/2024</t>
  </si>
  <si>
    <t>75488 @20.07.2024</t>
  </si>
  <si>
    <t>IPP/RM/36033</t>
  </si>
  <si>
    <t>INV/2024/01624</t>
  </si>
  <si>
    <t>75346 @12.07.2024</t>
  </si>
  <si>
    <t>IPP/RM/36034</t>
  </si>
  <si>
    <t>INV/2024/01657</t>
  </si>
  <si>
    <t>75434 @16.07.2024</t>
  </si>
  <si>
    <t>IPP/RM/36035</t>
  </si>
  <si>
    <t>INV/2024/01735</t>
  </si>
  <si>
    <t>75544 @23.07.2024</t>
  </si>
  <si>
    <t>173365</t>
  </si>
  <si>
    <t>IPP/RM/36036</t>
  </si>
  <si>
    <t>INV/2024/01716</t>
  </si>
  <si>
    <t>75537 @23.07.2024</t>
  </si>
  <si>
    <t>IPP/RM/36037</t>
  </si>
  <si>
    <t>CRWSI-2407000034</t>
  </si>
  <si>
    <t>75184 @03.07.2024</t>
  </si>
  <si>
    <t>IPP/RM/36038</t>
  </si>
  <si>
    <t>CRWSI-2407000033</t>
  </si>
  <si>
    <t>75173 @02.07.2024</t>
  </si>
  <si>
    <t>IPP/RM/36039</t>
  </si>
  <si>
    <t>CRWSI-2407000072</t>
  </si>
  <si>
    <t>75239 @06.07.2024</t>
  </si>
  <si>
    <t>IPP/RM/36040</t>
  </si>
  <si>
    <t>CRWSI-2407000066</t>
  </si>
  <si>
    <t>75240 @06.07.2024</t>
  </si>
  <si>
    <t>173269</t>
  </si>
  <si>
    <t>IPP/RM/36041</t>
  </si>
  <si>
    <t>CRWSI-2407000124</t>
  </si>
  <si>
    <t>75314 @11.07.2024</t>
  </si>
  <si>
    <t>173332</t>
  </si>
  <si>
    <t>IPP/RM/36042</t>
  </si>
  <si>
    <t>MA/2024/1249</t>
  </si>
  <si>
    <t>75477 19.07.2024</t>
  </si>
  <si>
    <t>173337</t>
  </si>
  <si>
    <t>IPP/RM/36043</t>
  </si>
  <si>
    <t>MA/2024/1254</t>
  </si>
  <si>
    <t>75499 @20.07.2024</t>
  </si>
  <si>
    <t>IPP/RM/36044</t>
  </si>
  <si>
    <t>MA/2024/1253</t>
  </si>
  <si>
    <t>75497 @20.07.2024</t>
  </si>
  <si>
    <t>IPP/RM/36046</t>
  </si>
  <si>
    <t>MR-75447</t>
  </si>
  <si>
    <t>75447 @</t>
  </si>
  <si>
    <t>173329</t>
  </si>
  <si>
    <t>173399</t>
  </si>
  <si>
    <t>IPP/RM/36159</t>
  </si>
  <si>
    <t>SC/2024/INV-1210</t>
  </si>
  <si>
    <t>75657 @27.07.2024</t>
  </si>
  <si>
    <t>173331</t>
  </si>
  <si>
    <t>IPP/RM/36160</t>
  </si>
  <si>
    <t>MA/2024/1252</t>
  </si>
  <si>
    <t>75527 @22.07.2027</t>
  </si>
  <si>
    <t>75719</t>
  </si>
  <si>
    <t>IPP/RM/36164</t>
  </si>
  <si>
    <t>IPP/RM/36165</t>
  </si>
  <si>
    <t>INV/2024/01767</t>
  </si>
  <si>
    <t>75629 @26.07.2027</t>
  </si>
  <si>
    <t>75630</t>
  </si>
  <si>
    <t>IPP/RM/36166</t>
  </si>
  <si>
    <t>75630 @26.07.2024</t>
  </si>
  <si>
    <t>IPP/RM/36167</t>
  </si>
  <si>
    <t>APC/LI21262/2024</t>
  </si>
  <si>
    <t>75678 @29.07.2024</t>
  </si>
  <si>
    <t>75676</t>
  </si>
  <si>
    <t>IPP/RM/36168</t>
  </si>
  <si>
    <t>75676 @27.07.2024</t>
  </si>
  <si>
    <t>75304</t>
  </si>
  <si>
    <t>IPP/RM/36169</t>
  </si>
  <si>
    <t>75304 @10.07.2024</t>
  </si>
  <si>
    <t>75303</t>
  </si>
  <si>
    <t>IPP/RM/36170</t>
  </si>
  <si>
    <t>75303 @07.07.2024</t>
  </si>
  <si>
    <t>173403</t>
  </si>
  <si>
    <t>IPP/RM/36204</t>
  </si>
  <si>
    <t>MR-75717</t>
  </si>
  <si>
    <t>75717 @31.07.2024</t>
  </si>
  <si>
    <t>IPP/RM/36341</t>
  </si>
  <si>
    <t>APC/LI21270/2024</t>
  </si>
  <si>
    <t>75749 @03.08.2024</t>
  </si>
  <si>
    <t>IPP/RM/36342</t>
  </si>
  <si>
    <t>APC/LI21278/2024</t>
  </si>
  <si>
    <t>75805 @06.8.2024</t>
  </si>
  <si>
    <t>IPP/RM/36343</t>
  </si>
  <si>
    <t>APC/LI21292/2024</t>
  </si>
  <si>
    <t>75907 @11.08.2024</t>
  </si>
  <si>
    <t>IPP/RM/36344</t>
  </si>
  <si>
    <t>APC/LI21304/2024</t>
  </si>
  <si>
    <t>75995 @15.08.2024</t>
  </si>
  <si>
    <t>173364</t>
  </si>
  <si>
    <t>IPP/RM/36346</t>
  </si>
  <si>
    <t>SAC002660</t>
  </si>
  <si>
    <t>75745 @03.08.2024</t>
  </si>
  <si>
    <t>IPP/RM/36347</t>
  </si>
  <si>
    <t>CRWSI-2408000084</t>
  </si>
  <si>
    <t>75859 @09.08.2024</t>
  </si>
  <si>
    <t>IPP/RM/36348</t>
  </si>
  <si>
    <t>CRWSI-2408000093</t>
  </si>
  <si>
    <t>75882 @10.08.2024</t>
  </si>
  <si>
    <t>IPP/RM/36349</t>
  </si>
  <si>
    <t>CRWSI-2408000073</t>
  </si>
  <si>
    <t>75835 @08.08.2024</t>
  </si>
  <si>
    <t>IPP/RM/36350</t>
  </si>
  <si>
    <t>INV/2024/01897</t>
  </si>
  <si>
    <t>75860 @09.08.2024</t>
  </si>
  <si>
    <t>IPP/RM/36351</t>
  </si>
  <si>
    <t>INV/2024/01942</t>
  </si>
  <si>
    <t>75959 @14.08.2024</t>
  </si>
  <si>
    <t>173534</t>
  </si>
  <si>
    <t>IPP/RM/36352</t>
  </si>
  <si>
    <t>INV/2024/01943</t>
  </si>
  <si>
    <t>75958 @14.08.2024</t>
  </si>
  <si>
    <t>IPP/RM/36353</t>
  </si>
  <si>
    <t>INV/2024/01831</t>
  </si>
  <si>
    <t>75737 @02.08.2024</t>
  </si>
  <si>
    <t>173506</t>
  </si>
  <si>
    <t>IPP/RM/36354</t>
  </si>
  <si>
    <t>IN-324001545</t>
  </si>
  <si>
    <t>75957 @14.08.2024</t>
  </si>
  <si>
    <t>173390</t>
  </si>
  <si>
    <t>IPP/RM/36357</t>
  </si>
  <si>
    <t>MA/2024/1267</t>
  </si>
  <si>
    <t>75793 @06.08.2024</t>
  </si>
  <si>
    <t>IPP/RM/36367</t>
  </si>
  <si>
    <t>SAC002675</t>
  </si>
  <si>
    <t>76030 @17.08.2024</t>
  </si>
  <si>
    <t>76101</t>
  </si>
  <si>
    <t>IPP/RM/36368</t>
  </si>
  <si>
    <t>SAC002679</t>
  </si>
  <si>
    <t>AL MEHRAJ GENERAL TRADING L.L.C</t>
  </si>
  <si>
    <t>173581</t>
  </si>
  <si>
    <t>76090</t>
  </si>
  <si>
    <t>IPP/RM/36446</t>
  </si>
  <si>
    <t>AMT/3490/24</t>
  </si>
  <si>
    <t>173111</t>
  </si>
  <si>
    <t>IPP/RM/36458</t>
  </si>
  <si>
    <t>923576176</t>
  </si>
  <si>
    <t>76239 @29.08.2024</t>
  </si>
  <si>
    <t>173110</t>
  </si>
  <si>
    <t>IPP/RM/36459</t>
  </si>
  <si>
    <t>923585051</t>
  </si>
  <si>
    <t>76278 @30/.08.2024</t>
  </si>
  <si>
    <t>173532</t>
  </si>
  <si>
    <t>IPP/RM/36463</t>
  </si>
  <si>
    <t>INV/2024/02038</t>
  </si>
  <si>
    <t>76156 @26.08.2024</t>
  </si>
  <si>
    <t>IPP/RM/36464</t>
  </si>
  <si>
    <t>INV/2024/020254</t>
  </si>
  <si>
    <t>76180 @27.08.2024</t>
  </si>
  <si>
    <t>IPP/RM/36465</t>
  </si>
  <si>
    <t>INV/2024/02053</t>
  </si>
  <si>
    <t>76179 @27.08.2024</t>
  </si>
  <si>
    <t>IPP/RM/36466</t>
  </si>
  <si>
    <t>INV/2024/02076</t>
  </si>
  <si>
    <t>76236 @29.08.2024</t>
  </si>
  <si>
    <t>IPP/RM/36467</t>
  </si>
  <si>
    <t>INV/2024/02036</t>
  </si>
  <si>
    <t>76155 @26.08.2024</t>
  </si>
  <si>
    <t>IPP/RM/36468</t>
  </si>
  <si>
    <t>apc/li21334/2024</t>
  </si>
  <si>
    <t>76296 @31.08.2024</t>
  </si>
  <si>
    <t>IPP/RM/36469</t>
  </si>
  <si>
    <t>APC/LI21309/2024</t>
  </si>
  <si>
    <t>76070 @20.08.2024</t>
  </si>
  <si>
    <t>76157</t>
  </si>
  <si>
    <t>IPP/RM/36470</t>
  </si>
  <si>
    <t>MR-76157</t>
  </si>
  <si>
    <t>75791</t>
  </si>
  <si>
    <t>IPP/RM/36471</t>
  </si>
  <si>
    <t>MR-75791</t>
  </si>
  <si>
    <t>173641</t>
  </si>
  <si>
    <t>IPP/RM/36474</t>
  </si>
  <si>
    <t>CRWSI2408000275</t>
  </si>
  <si>
    <t>76237 @29.08.2024</t>
  </si>
  <si>
    <t>IPP/RM/36475</t>
  </si>
  <si>
    <t>CRWSI2408000268</t>
  </si>
  <si>
    <t>76238 @29.08.2024</t>
  </si>
  <si>
    <t>IPP/RM/36476</t>
  </si>
  <si>
    <t>CRWSI-2408000229</t>
  </si>
  <si>
    <t>76140 @24.08.2024</t>
  </si>
  <si>
    <t>173561</t>
  </si>
  <si>
    <t>IPP/RM/36481</t>
  </si>
  <si>
    <t>IN-324001578</t>
  </si>
  <si>
    <t>76073 @20.08.2024</t>
  </si>
  <si>
    <t>IPP/RM/36482</t>
  </si>
  <si>
    <t>IN-324001588</t>
  </si>
  <si>
    <t>76072 @20.08.2024</t>
  </si>
  <si>
    <t>IPP/RM/36631</t>
  </si>
  <si>
    <t>CI202401414</t>
  </si>
  <si>
    <t>76343 @02.09.2024</t>
  </si>
  <si>
    <t>IPP/RM/36675</t>
  </si>
  <si>
    <t>CI202401449</t>
  </si>
  <si>
    <t>76652 @21.09.2024</t>
  </si>
  <si>
    <t>173707</t>
  </si>
  <si>
    <t>IPP/RM/36677</t>
  </si>
  <si>
    <t>AMT/3566/24</t>
  </si>
  <si>
    <t>76518 @14.09.2024</t>
  </si>
  <si>
    <t>173237</t>
  </si>
  <si>
    <t>IPP/RM/36687</t>
  </si>
  <si>
    <t>923662830</t>
  </si>
  <si>
    <t>76517 @11.09.2024</t>
  </si>
  <si>
    <t>173722</t>
  </si>
  <si>
    <t>IPP/RM/36713</t>
  </si>
  <si>
    <t>sac002716</t>
  </si>
  <si>
    <t>76594 @18.09.2024</t>
  </si>
  <si>
    <t>IPP/RM/36714</t>
  </si>
  <si>
    <t>SAC002695</t>
  </si>
  <si>
    <t>76387 @06.09.2024</t>
  </si>
  <si>
    <t>173531</t>
  </si>
  <si>
    <t>IPP/RM/36715</t>
  </si>
  <si>
    <t>APC/LI21363/2024</t>
  </si>
  <si>
    <t>76581 @17.09.2024</t>
  </si>
  <si>
    <t>IPP/RM/36716</t>
  </si>
  <si>
    <t>APC/LI21351/2024</t>
  </si>
  <si>
    <t>76418 @08.09.2024</t>
  </si>
  <si>
    <t>IPP/RM/36717</t>
  </si>
  <si>
    <t>INV/2024/02180</t>
  </si>
  <si>
    <t>76473 @12.09.2024</t>
  </si>
  <si>
    <t>IPP/RM/36718</t>
  </si>
  <si>
    <t>INV/2024/02200</t>
  </si>
  <si>
    <t>76501 @13.09.2024</t>
  </si>
  <si>
    <t>IPP/RM/36719</t>
  </si>
  <si>
    <t>INV/2024/02111</t>
  </si>
  <si>
    <t>76373 @04.09.2024</t>
  </si>
  <si>
    <t>IPP/RM/36837</t>
  </si>
  <si>
    <t>INV/2024/02242</t>
  </si>
  <si>
    <t>76624 @19.09.2024</t>
  </si>
  <si>
    <t>173900</t>
  </si>
  <si>
    <t>IPP/RM/36838</t>
  </si>
  <si>
    <t>INV/2024/02329</t>
  </si>
  <si>
    <t>76777 @27.09.2024</t>
  </si>
  <si>
    <t>IPP/RM/36839</t>
  </si>
  <si>
    <t>IV/2024/02330</t>
  </si>
  <si>
    <t>76778 @27.09.2024</t>
  </si>
  <si>
    <t>173914</t>
  </si>
  <si>
    <t>IPP/RM/36840</t>
  </si>
  <si>
    <t>CRWSI-2409000212</t>
  </si>
  <si>
    <t>76685 @23.09.2024</t>
  </si>
  <si>
    <t>173949</t>
  </si>
  <si>
    <t>IPP/RM/36841</t>
  </si>
  <si>
    <t>CRWSI-2409000268</t>
  </si>
  <si>
    <t>76796 @28.09.2024</t>
  </si>
  <si>
    <t>IPP/RM/36842</t>
  </si>
  <si>
    <t>APC/LI21372/2024</t>
  </si>
  <si>
    <t>76626 @19.09.2024</t>
  </si>
  <si>
    <t>173899</t>
  </si>
  <si>
    <t>76670</t>
  </si>
  <si>
    <t>IPP/RM/36843</t>
  </si>
  <si>
    <t>76670 @</t>
  </si>
  <si>
    <t>CHEM PET/12 MIC/735 mm</t>
  </si>
  <si>
    <t>IPP/RM/36937</t>
  </si>
  <si>
    <t>CI202401468</t>
  </si>
  <si>
    <t>76941 @05.10.2024</t>
  </si>
  <si>
    <t>174016</t>
  </si>
  <si>
    <t>IPP/RM/36965</t>
  </si>
  <si>
    <t>SAC002732</t>
  </si>
  <si>
    <t>76921 @04.10.2024</t>
  </si>
  <si>
    <t>174070</t>
  </si>
  <si>
    <t>IPP/RM/36966</t>
  </si>
  <si>
    <t>MA/2024/1356</t>
  </si>
  <si>
    <t>77032 @10.10.2024</t>
  </si>
  <si>
    <t>77137</t>
  </si>
  <si>
    <t>IPP/RM/36974</t>
  </si>
  <si>
    <t>77137 @16.10.2024</t>
  </si>
  <si>
    <t>IPP/RM/36975</t>
  </si>
  <si>
    <t>INV/2024/02372</t>
  </si>
  <si>
    <t>76902 @03.10.2024</t>
  </si>
  <si>
    <t>IPP/RM/36976</t>
  </si>
  <si>
    <t>INV/2024/02362</t>
  </si>
  <si>
    <t>76892 @02.10.2024</t>
  </si>
  <si>
    <t>IPP/RM/36977</t>
  </si>
  <si>
    <t>INV/2024/02355</t>
  </si>
  <si>
    <t>76874 @01.10.2024</t>
  </si>
  <si>
    <t>IPP/RM/36978</t>
  </si>
  <si>
    <t>INV/2024/02377</t>
  </si>
  <si>
    <t>76923 @04.10.2024</t>
  </si>
  <si>
    <t>174019</t>
  </si>
  <si>
    <t>IPP/RM/3697 9</t>
  </si>
  <si>
    <t>INV/2024/02364</t>
  </si>
  <si>
    <t>76890 @02.10.2024</t>
  </si>
  <si>
    <t>IPP/RM/36980</t>
  </si>
  <si>
    <t>2410000013/2410000012</t>
  </si>
  <si>
    <t>76873 @01.10.2024</t>
  </si>
  <si>
    <t>173992</t>
  </si>
  <si>
    <t>174111</t>
  </si>
  <si>
    <t>IPP/RM/36981</t>
  </si>
  <si>
    <t>2410000109</t>
  </si>
  <si>
    <t>77045 @11.10.2024</t>
  </si>
  <si>
    <t>174062</t>
  </si>
  <si>
    <t>IPP/RM/36982</t>
  </si>
  <si>
    <t>2410000086</t>
  </si>
  <si>
    <t>77012 @09.10.2024</t>
  </si>
  <si>
    <t>IPP/RM/36983</t>
  </si>
  <si>
    <t>2410000099</t>
  </si>
  <si>
    <t>77017 @10.10.2024</t>
  </si>
  <si>
    <t>IPP/RM/36984</t>
  </si>
  <si>
    <t>2410000060</t>
  </si>
  <si>
    <t>76969 @07.10.2024</t>
  </si>
  <si>
    <t>IPP/RM/36985</t>
  </si>
  <si>
    <t>2410000135</t>
  </si>
  <si>
    <t>77083 @12.10.2024</t>
  </si>
  <si>
    <t>173969</t>
  </si>
  <si>
    <t>IPP/RM/36986</t>
  </si>
  <si>
    <t>AMT/3671/24</t>
  </si>
  <si>
    <t>77156 @17.10.2024</t>
  </si>
  <si>
    <t>173112</t>
  </si>
  <si>
    <t>IPP/RM/36999</t>
  </si>
  <si>
    <t>923799516</t>
  </si>
  <si>
    <t>77142 @16.10.2024</t>
  </si>
  <si>
    <t>IPP/RM/37074</t>
  </si>
  <si>
    <t>MR-77230</t>
  </si>
  <si>
    <t>77230 @20.10.2024</t>
  </si>
  <si>
    <t>IPP/RM/37075</t>
  </si>
  <si>
    <t>APC/LI21429/2024</t>
  </si>
  <si>
    <t>77357 @28.10.2024</t>
  </si>
  <si>
    <t>IPP/RM/37076</t>
  </si>
  <si>
    <t>2410000220</t>
  </si>
  <si>
    <t>77229 @21.10.2024</t>
  </si>
  <si>
    <t>IPP/RM/37077</t>
  </si>
  <si>
    <t>sac002751</t>
  </si>
  <si>
    <t>77227 @21.10.2024</t>
  </si>
  <si>
    <t>174195</t>
  </si>
  <si>
    <t>IPP/RM/37080</t>
  </si>
  <si>
    <t>MR-77314</t>
  </si>
  <si>
    <t>77314 @25.10.2024</t>
  </si>
  <si>
    <t>174180</t>
  </si>
  <si>
    <t>IPP/RM/37081</t>
  </si>
  <si>
    <t>MR-77313</t>
  </si>
  <si>
    <t>77313 @25.10.2024</t>
  </si>
  <si>
    <t>IPP/RM/37149</t>
  </si>
  <si>
    <t>CI202401506</t>
  </si>
  <si>
    <t>77386 @30.10.2024</t>
  </si>
  <si>
    <t>Film</t>
  </si>
  <si>
    <t>Solvent</t>
  </si>
  <si>
    <t>IPP/RM/37271</t>
  </si>
  <si>
    <t>INV/2024/02780</t>
  </si>
  <si>
    <t>77784 @21.11.2024</t>
  </si>
  <si>
    <t>IPP/RM/37272</t>
  </si>
  <si>
    <t>INV/2024/02687</t>
  </si>
  <si>
    <t>77552 @15.11.2024</t>
  </si>
  <si>
    <t>IPP/RM/37273</t>
  </si>
  <si>
    <t>INV/2024/02725</t>
  </si>
  <si>
    <t>77672 @14.11.2024</t>
  </si>
  <si>
    <t>IPP/RM/37274</t>
  </si>
  <si>
    <t>INV/2024/02671</t>
  </si>
  <si>
    <t>77541 @07.11.2024</t>
  </si>
  <si>
    <t>IPP/RM/37275</t>
  </si>
  <si>
    <t>INV/2024/02733</t>
  </si>
  <si>
    <t>77684 @15.11.2024</t>
  </si>
  <si>
    <t>Adhesive</t>
  </si>
  <si>
    <t>IPP/RM/37277</t>
  </si>
  <si>
    <t>SAC002771</t>
  </si>
  <si>
    <t>77488 @05.11.2024</t>
  </si>
  <si>
    <t>IPP/RM/37278</t>
  </si>
  <si>
    <t>SAC002791</t>
  </si>
  <si>
    <t>77749 @19.11.2024</t>
  </si>
  <si>
    <t>IPP/RM/37279</t>
  </si>
  <si>
    <t>CI202401538</t>
  </si>
  <si>
    <t>77782 @21.11.2024</t>
  </si>
  <si>
    <t>IPP/RM/37280</t>
  </si>
  <si>
    <t>APC/LI21441/2024</t>
  </si>
  <si>
    <t>77459 @2.11.2024</t>
  </si>
  <si>
    <t>IPP/RM/37281</t>
  </si>
  <si>
    <t>APC/LI21476/2024</t>
  </si>
  <si>
    <t>77783 @21.11.2024</t>
  </si>
  <si>
    <t>Brilliant Polymers Pvt. Ltd.</t>
  </si>
  <si>
    <t>IPP/RM/37282</t>
  </si>
  <si>
    <t>9102000465</t>
  </si>
  <si>
    <t>77575 @09.11.2024</t>
  </si>
  <si>
    <t>IPP/RM/37285</t>
  </si>
  <si>
    <t>923952618</t>
  </si>
  <si>
    <t>77833 @23.11.2024</t>
  </si>
  <si>
    <t>IPP/RM/37286</t>
  </si>
  <si>
    <t>CRWSI-2411000267</t>
  </si>
  <si>
    <t>77883 @26.11.2024</t>
  </si>
  <si>
    <t>IPP/RM/37379</t>
  </si>
  <si>
    <t>CRWSI-2411000318</t>
  </si>
  <si>
    <t>78010 @30.11.2024</t>
  </si>
  <si>
    <t>IPP/RM/37380</t>
  </si>
  <si>
    <t>CRWSI-2411000297</t>
  </si>
  <si>
    <t>77940 @28.11.2024</t>
  </si>
  <si>
    <t>IPP/RM/37381</t>
  </si>
  <si>
    <t>77936 @28.11.2024</t>
  </si>
  <si>
    <t>IPP/RM/37382</t>
  </si>
  <si>
    <t>CRWSI-2411000307</t>
  </si>
  <si>
    <t>77972 @29.11.2024</t>
  </si>
  <si>
    <t>IPP/RM/37383</t>
  </si>
  <si>
    <t>CRWSI-2411000312 /313</t>
  </si>
  <si>
    <t>78000 @30.11.2024</t>
  </si>
  <si>
    <t>IPP/RM/37384</t>
  </si>
  <si>
    <t>INV/2024/02840</t>
  </si>
  <si>
    <t>77915 @27.11.2024</t>
  </si>
  <si>
    <t>IPP/RM/37385</t>
  </si>
  <si>
    <t>INV/2024/02854</t>
  </si>
  <si>
    <t>77938 @28.11.2024</t>
  </si>
  <si>
    <t>IPP/RM/37387</t>
  </si>
  <si>
    <t>924225953</t>
  </si>
  <si>
    <t>77914 @27.11.2024</t>
  </si>
  <si>
    <t>IPP/RM/37589</t>
  </si>
  <si>
    <t>CRWSI-2412000001</t>
  </si>
  <si>
    <t>78015 @03.12.2024</t>
  </si>
  <si>
    <t>IPP/RM/37562</t>
  </si>
  <si>
    <t>SAC002806</t>
  </si>
  <si>
    <t>78044 @05.12.2024</t>
  </si>
  <si>
    <t>IPP/RM/37590</t>
  </si>
  <si>
    <t>CRWSI-2412000030</t>
  </si>
  <si>
    <t>78062 @06.12.2024</t>
  </si>
  <si>
    <t>IPP/RM/37588</t>
  </si>
  <si>
    <t>CRWSI-2412000045</t>
  </si>
  <si>
    <t>78071 @07.12.2024</t>
  </si>
  <si>
    <t>IPP/RM/37591</t>
  </si>
  <si>
    <t>CRWSI-2412000048</t>
  </si>
  <si>
    <t>78101 @09.12.2024</t>
  </si>
  <si>
    <t>IPP/RM/37587</t>
  </si>
  <si>
    <t>CRWSI-2412000073</t>
  </si>
  <si>
    <t>78151 @11.12.2024</t>
  </si>
  <si>
    <t>IPP/RM/37592</t>
  </si>
  <si>
    <t>CI202401566</t>
  </si>
  <si>
    <t>78159 @12.12.2024</t>
  </si>
  <si>
    <t>IPP/RM/37586</t>
  </si>
  <si>
    <t>INV/2024/02982</t>
  </si>
  <si>
    <t>78187 @13.12.2024</t>
  </si>
  <si>
    <t>IPP/RM/37585</t>
  </si>
  <si>
    <t>IV/2024/02981</t>
  </si>
  <si>
    <t>78186 @13.12.2024</t>
  </si>
  <si>
    <t>IPP/RM/37594</t>
  </si>
  <si>
    <t>MR-78205</t>
  </si>
  <si>
    <t>78205 @15.12.2024</t>
  </si>
  <si>
    <t>IPP/RM/37561</t>
  </si>
  <si>
    <t>SAC002812</t>
  </si>
  <si>
    <t>78156 @15.12.2024</t>
  </si>
  <si>
    <t>IPP/RM/37595</t>
  </si>
  <si>
    <t>MA/2024/1449</t>
  </si>
  <si>
    <t>78211 @16.12.2024</t>
  </si>
  <si>
    <t>IPP/RM/37583</t>
  </si>
  <si>
    <t>INV/2024/03014</t>
  </si>
  <si>
    <t>78260 @18.12.2024</t>
  </si>
  <si>
    <t>IPP/RM/37580</t>
  </si>
  <si>
    <t>MR-78411</t>
  </si>
  <si>
    <t>78411</t>
  </si>
  <si>
    <t>IPP/RM/37596</t>
  </si>
  <si>
    <t>MA/2024/1462</t>
  </si>
  <si>
    <t>78364 @23.12.2024</t>
  </si>
  <si>
    <t>IPP/RM/37584</t>
  </si>
  <si>
    <t>INV/2024/03077</t>
  </si>
  <si>
    <t>78401 @24.12.2024</t>
  </si>
  <si>
    <t>IPP/RM/37560</t>
  </si>
  <si>
    <t>SAC002834</t>
  </si>
  <si>
    <t>78412 @25.12.2024</t>
  </si>
  <si>
    <t>IPP/RM/37593</t>
  </si>
  <si>
    <t>CI202401589</t>
  </si>
  <si>
    <t>78430 @26.12.2024</t>
  </si>
  <si>
    <t>IPP/RM/37725</t>
  </si>
  <si>
    <t>INV/2024/03106</t>
  </si>
  <si>
    <t>78460 @27.12.2024</t>
  </si>
  <si>
    <t>IPP/RM/37497</t>
  </si>
  <si>
    <t>217989</t>
  </si>
  <si>
    <t>77785 @21.11.2024</t>
  </si>
  <si>
    <t>CRWSI-2411000287</t>
  </si>
  <si>
    <t>IPP/RM/37821</t>
  </si>
  <si>
    <t>LINV-2025010028</t>
  </si>
  <si>
    <t>78604 @06.01.2025</t>
  </si>
  <si>
    <t>IPP/RM/37822</t>
  </si>
  <si>
    <t>LINV-2025010039</t>
  </si>
  <si>
    <t>78633 @07.01.2025</t>
  </si>
  <si>
    <t>IPP/RM/37823</t>
  </si>
  <si>
    <t>LINV-2025010075</t>
  </si>
  <si>
    <t>78700 @10.01.2025</t>
  </si>
  <si>
    <t>IPP/RM/37824</t>
  </si>
  <si>
    <t>LINV-2025010105</t>
  </si>
  <si>
    <t>78728 @13.01.2025</t>
  </si>
  <si>
    <t>IPP/RM/37825</t>
  </si>
  <si>
    <t>LINV-2025010119</t>
  </si>
  <si>
    <t>78752 @14.01.2025</t>
  </si>
  <si>
    <t>IPP/RM/37826</t>
  </si>
  <si>
    <t>LINV-2025010129</t>
  </si>
  <si>
    <t>78779 @15.01.2025</t>
  </si>
  <si>
    <t>IPP/RM/37827</t>
  </si>
  <si>
    <t>LINV-2025010125</t>
  </si>
  <si>
    <t>78782 @15.01.2025</t>
  </si>
  <si>
    <t>IPP/RM/37849</t>
  </si>
  <si>
    <t>INV/2025/00003</t>
  </si>
  <si>
    <t>78562 @02.01.2025</t>
  </si>
  <si>
    <t>IPP/RM/37850</t>
  </si>
  <si>
    <t>SAC002844</t>
  </si>
  <si>
    <t>785965 @04.01.2025</t>
  </si>
  <si>
    <t>IPP/RM/37888</t>
  </si>
  <si>
    <t>LINV-2025010146</t>
  </si>
  <si>
    <t>78814 @17.01.2025</t>
  </si>
  <si>
    <t>IPP/RM/37889</t>
  </si>
  <si>
    <t>LINV-2025010162</t>
  </si>
  <si>
    <t>78863 @20.01.2025</t>
  </si>
  <si>
    <t>IPP/RM/37890</t>
  </si>
  <si>
    <t>LINV-2025010189</t>
  </si>
  <si>
    <t>78904 @22.01.2025</t>
  </si>
  <si>
    <t>IPP/RM/37905</t>
  </si>
  <si>
    <t>SAC002862</t>
  </si>
  <si>
    <t>78816 @17.01.2025</t>
  </si>
  <si>
    <t>IPP/RM/37981</t>
  </si>
  <si>
    <t>LINV-2025010235</t>
  </si>
  <si>
    <t>78966 @26.01.2025</t>
  </si>
  <si>
    <t>IPP/RM/37982</t>
  </si>
  <si>
    <t>LINV-2025010232</t>
  </si>
  <si>
    <t>78970 @25.01.2025</t>
  </si>
  <si>
    <t>IPP/RM/37991</t>
  </si>
  <si>
    <t>MA/2025/1015</t>
  </si>
  <si>
    <t>78946 @24.01.2025</t>
  </si>
  <si>
    <t>IPP/RM/38005</t>
  </si>
  <si>
    <t>MR-78563</t>
  </si>
  <si>
    <t>78563 @02.01.2025</t>
  </si>
  <si>
    <t>IPP/RM/38006</t>
  </si>
  <si>
    <t>MR-78696</t>
  </si>
  <si>
    <t>78696 @10.01.2025</t>
  </si>
  <si>
    <t>IPP/RM/38007</t>
  </si>
  <si>
    <t>MR-78697</t>
  </si>
  <si>
    <t>MR-78697 @10.01.2025</t>
  </si>
  <si>
    <t>AZURO KİMYA SANAYİ VE TİCARET ANONİM ŞİRKETİ</t>
  </si>
  <si>
    <t>COLD SEAL ST 0205</t>
  </si>
  <si>
    <t>IPP/RM/38027</t>
  </si>
  <si>
    <t>IHR2024000000137</t>
  </si>
  <si>
    <t>78598 @04.01.2025</t>
  </si>
  <si>
    <t>IPP/RM/38032</t>
  </si>
  <si>
    <t>LINV-2025010244</t>
  </si>
  <si>
    <t>78996 @27.01.2025</t>
  </si>
  <si>
    <t>IPP/RM/38034</t>
  </si>
  <si>
    <t>INV/2025/00262</t>
  </si>
  <si>
    <t>78997 @27.01.2025</t>
  </si>
  <si>
    <t>CHEM PET/12 mic/870 mm/OSCP</t>
  </si>
  <si>
    <t>IPP/RM/38054</t>
  </si>
  <si>
    <t>LINV-2025010301</t>
  </si>
  <si>
    <t>79084 @31.01.2025</t>
  </si>
  <si>
    <t>IPP/RM/38056</t>
  </si>
  <si>
    <t>CRWSI-2501000230</t>
  </si>
  <si>
    <t>79096 @31.01.2025</t>
  </si>
  <si>
    <t>IPP/RM/38058</t>
  </si>
  <si>
    <t>SAC002872</t>
  </si>
  <si>
    <t>79036 @27.01.2025</t>
  </si>
  <si>
    <t>ST 0205</t>
  </si>
  <si>
    <t>IPP/RM/38085</t>
  </si>
  <si>
    <t>LINV-2025020020</t>
  </si>
  <si>
    <t>79120 @03.02.2025</t>
  </si>
  <si>
    <t>IPP/RM/38086</t>
  </si>
  <si>
    <t>LINV-2025020057</t>
  </si>
  <si>
    <t>79167 @06.02.2025</t>
  </si>
  <si>
    <t>IPP/RM/38087</t>
  </si>
  <si>
    <t>LINV-2025020056</t>
  </si>
  <si>
    <t>79168 @06.02.25</t>
  </si>
  <si>
    <t>IPP/RM/38100</t>
  </si>
  <si>
    <t>CRWSI-2502000007</t>
  </si>
  <si>
    <t>79102 @01.02.2025</t>
  </si>
  <si>
    <t>IPP/RM/38101</t>
  </si>
  <si>
    <t>CRWSI-2502000009</t>
  </si>
  <si>
    <t>79118 @03.02.2025</t>
  </si>
  <si>
    <t>IPP/RM/38102</t>
  </si>
  <si>
    <t>CRWSI-2502000039</t>
  </si>
  <si>
    <t>79165 @05.02.2025</t>
  </si>
  <si>
    <t>IPP/RM/38103</t>
  </si>
  <si>
    <t>CRWSI-2502000054</t>
  </si>
  <si>
    <t>79166 @06.02.2025</t>
  </si>
  <si>
    <t>IPP/RM/38104</t>
  </si>
  <si>
    <t>CRWSI-2502000080</t>
  </si>
  <si>
    <t>79204 @08.02.2025</t>
  </si>
  <si>
    <t>IPP/RM/38113</t>
  </si>
  <si>
    <t>SL-CI-6212</t>
  </si>
  <si>
    <t>79206 @08.02.2025</t>
  </si>
  <si>
    <t>IPP/RM/38138</t>
  </si>
  <si>
    <t>INV/2025/00424</t>
  </si>
  <si>
    <t>79250 @11.02.25</t>
  </si>
  <si>
    <t>IPP/RM/38145</t>
  </si>
  <si>
    <t>CRWSI-2502000136</t>
  </si>
  <si>
    <t>79288 @13.02.2025</t>
  </si>
  <si>
    <t>IPP/RM/38164</t>
  </si>
  <si>
    <t>CRWSI-2502000215</t>
  </si>
  <si>
    <t>79457 @22.02.2025</t>
  </si>
  <si>
    <t>IPP/RM/38165</t>
  </si>
  <si>
    <t>CRWSI-2502000216</t>
  </si>
  <si>
    <t>79460 @22.02.2025</t>
  </si>
  <si>
    <t>IPP/RM/38171</t>
  </si>
  <si>
    <t>CRWSI-2502000156</t>
  </si>
  <si>
    <t>79322 @15.02.2025</t>
  </si>
  <si>
    <t>IPP/RM/38200</t>
  </si>
  <si>
    <t>CRWSI-2502000188/189</t>
  </si>
  <si>
    <t>79400 @19.02.2025</t>
  </si>
  <si>
    <t>IPP/RM/38212</t>
  </si>
  <si>
    <t>MA/2025/1057</t>
  </si>
  <si>
    <t>79518 @25.02.2025</t>
  </si>
  <si>
    <t>IPP/RM/38228</t>
  </si>
  <si>
    <t>SAC002913</t>
  </si>
  <si>
    <t>79399 @19.02.2025</t>
  </si>
  <si>
    <t>IPP/RM/38237</t>
  </si>
  <si>
    <t>CRWSI-250200250</t>
  </si>
  <si>
    <t>79548 @26.02.2025</t>
  </si>
  <si>
    <t>ARKEMA ADESIVI S.R.L</t>
  </si>
  <si>
    <t>IPP/RM/38252</t>
  </si>
  <si>
    <t>900000629</t>
  </si>
  <si>
    <t>79544 @26.02.25</t>
  </si>
  <si>
    <t>IPP/RM/38263</t>
  </si>
  <si>
    <t>CRWSI-2502000262</t>
  </si>
  <si>
    <t>79569 @27.02.2025</t>
  </si>
  <si>
    <t>IPP/RM/38264</t>
  </si>
  <si>
    <t>CRWSI-2502000263</t>
  </si>
  <si>
    <t>79570 @27.02.2025</t>
  </si>
  <si>
    <t>IPP/RM/38410</t>
  </si>
  <si>
    <t>CRWSI-2503000132</t>
  </si>
  <si>
    <t>79867 @15.03.2025</t>
  </si>
  <si>
    <t>IPP/RM/38411</t>
  </si>
  <si>
    <t>CRWSI-2503000074</t>
  </si>
  <si>
    <t>79718 @08.03.2025</t>
  </si>
  <si>
    <t>BCI INTERNATIONAL FZE</t>
  </si>
  <si>
    <t>IPP/RM/38412</t>
  </si>
  <si>
    <t>IN-325000456</t>
  </si>
  <si>
    <t>79743 @10.03.2025</t>
  </si>
  <si>
    <t>IPP/RM/38413</t>
  </si>
  <si>
    <t>SAC002932</t>
  </si>
  <si>
    <t>79695 @07.03.2025</t>
  </si>
  <si>
    <t>IPP/RM/38416</t>
  </si>
  <si>
    <t>INV/2025/00713</t>
  </si>
  <si>
    <t>79832 @13.03.2025</t>
  </si>
  <si>
    <t>IPP/RM/38457</t>
  </si>
  <si>
    <t>IN-325000478</t>
  </si>
  <si>
    <t>79842 @14.03.2025</t>
  </si>
  <si>
    <t>IPP/RM/38460</t>
  </si>
  <si>
    <t>MR-79643</t>
  </si>
  <si>
    <t>79643 @02.03.2025</t>
  </si>
  <si>
    <t>IPP/RM/38461</t>
  </si>
  <si>
    <t>MR-79744</t>
  </si>
  <si>
    <t>79744 @09.03.2025</t>
  </si>
  <si>
    <t>IPP/RM/38469</t>
  </si>
  <si>
    <t>MR-79901</t>
  </si>
  <si>
    <t>79901 @18.03.2025</t>
  </si>
  <si>
    <t>IPP/RM/38481</t>
  </si>
  <si>
    <t>9102000542</t>
  </si>
  <si>
    <t>79628 @01.03.2025</t>
  </si>
  <si>
    <t>IPP/RM/38536</t>
  </si>
  <si>
    <t>MR-79902</t>
  </si>
  <si>
    <t>79902 @17.03.2025</t>
  </si>
  <si>
    <t>IPP/RM/38557</t>
  </si>
  <si>
    <t>APC\LI21652\2025</t>
  </si>
  <si>
    <t>79916 @19.03.2025</t>
  </si>
  <si>
    <t>IPP/RM/38558</t>
  </si>
  <si>
    <t>APC\LI21663\2025</t>
  </si>
  <si>
    <t>80011 @23.03.2025</t>
  </si>
  <si>
    <t>IPP/RM/38560</t>
  </si>
  <si>
    <t>SAC002946</t>
  </si>
  <si>
    <t>79946 @20.03.2025</t>
  </si>
  <si>
    <t>IPP/RM/38561</t>
  </si>
  <si>
    <t>CRWSI-2503000204</t>
  </si>
  <si>
    <t>79989 @22.03.2025</t>
  </si>
  <si>
    <t>IPP/RM/38598</t>
  </si>
  <si>
    <t>IN-325000546</t>
  </si>
  <si>
    <t>80060 @26.03.2025</t>
  </si>
  <si>
    <t>IPP/RM/38620</t>
  </si>
  <si>
    <t>INV/2025/00848</t>
  </si>
  <si>
    <t>80113 @28.03.2025</t>
  </si>
  <si>
    <t>IPP/RM/38643</t>
  </si>
  <si>
    <t>CRWSI-2503000280</t>
  </si>
  <si>
    <t>80173 @29.03.2025</t>
  </si>
  <si>
    <t>IPP/RM/38684</t>
  </si>
  <si>
    <t>SAC002963</t>
  </si>
  <si>
    <t>80345 @09.04.2025</t>
  </si>
  <si>
    <t>IPP/RM/38686</t>
  </si>
  <si>
    <t>APC\LI21694\2025</t>
  </si>
  <si>
    <t>80353 @10.04.2025</t>
  </si>
  <si>
    <t>IPP/RM/38688</t>
  </si>
  <si>
    <t>INV/2025/00880</t>
  </si>
  <si>
    <t>80249 @04.04.2025</t>
  </si>
  <si>
    <t>IPP/RM/38753</t>
  </si>
  <si>
    <t>INV/2025/00894</t>
  </si>
  <si>
    <t>80292 @07.04.2025</t>
  </si>
  <si>
    <t>IPP/RM/38755</t>
  </si>
  <si>
    <t>MA/2025/1110</t>
  </si>
  <si>
    <t>80336 @08.04.2025</t>
  </si>
  <si>
    <t>IPP/RM/38761</t>
  </si>
  <si>
    <t>900003312</t>
  </si>
  <si>
    <t>80262 @04.04.2025</t>
  </si>
  <si>
    <t>IPP/RM/38781</t>
  </si>
  <si>
    <t>INV/2025/00986</t>
  </si>
  <si>
    <t>80440 @15.04.2025</t>
  </si>
  <si>
    <t>IPP/RM/38782</t>
  </si>
  <si>
    <t>INV/2025/00987</t>
  </si>
  <si>
    <t>80441 @15.04.2025</t>
  </si>
  <si>
    <t>IPP/RM/38783</t>
  </si>
  <si>
    <t>CRWSI-2504000135</t>
  </si>
  <si>
    <t>80450 @16.04.2025</t>
  </si>
  <si>
    <t>IPP/RM/38798</t>
  </si>
  <si>
    <t>INV/2025/01008</t>
  </si>
  <si>
    <t>80472 @17.04.2025</t>
  </si>
  <si>
    <t>IPP/RM/38817</t>
  </si>
  <si>
    <t>APC\LI21717\2025</t>
  </si>
  <si>
    <t>80521 @20.04.2025</t>
  </si>
  <si>
    <t>IPP/RM/38856</t>
  </si>
  <si>
    <t>INV/2025/01073</t>
  </si>
  <si>
    <t>80609 @24.04.2025</t>
  </si>
  <si>
    <t>Solvent - Methoxy Propapyl Acetate (PM Acetate)</t>
  </si>
  <si>
    <t>IPP/RM/38895</t>
  </si>
  <si>
    <t>CRWSI-2504000216</t>
  </si>
  <si>
    <t>80636 @25.04.2025</t>
  </si>
  <si>
    <t>IPP/RM/38903</t>
  </si>
  <si>
    <t>SAC002981</t>
  </si>
  <si>
    <t>80623 @25.04.2025</t>
  </si>
  <si>
    <t>IPP/RM/38904</t>
  </si>
  <si>
    <t>INV/2025/01077</t>
  </si>
  <si>
    <t>80624 @25.04.2025</t>
  </si>
  <si>
    <t>IPP/RM/38905</t>
  </si>
  <si>
    <t>INV/2025/01078</t>
  </si>
  <si>
    <t>80625 @25.04.2025</t>
  </si>
  <si>
    <t>IPP/RM/38906</t>
  </si>
  <si>
    <t>INV/2025/01116</t>
  </si>
  <si>
    <t>80711 @29.04.2025</t>
  </si>
  <si>
    <t>IPP/RM/38960</t>
  </si>
  <si>
    <t>CRWSI-2505000050</t>
  </si>
  <si>
    <t>80839 @06.05.2025</t>
  </si>
  <si>
    <t>UPF MET PET/12 mic/1245 mm</t>
  </si>
  <si>
    <t>TOPP/40 MIC/885 mm</t>
  </si>
  <si>
    <t>IPP/RM/38979</t>
  </si>
  <si>
    <t>INV/2025/01182</t>
  </si>
  <si>
    <t>80854 @07.05.2025</t>
  </si>
  <si>
    <t>IPP/RM/38980</t>
  </si>
  <si>
    <t>INV/2025/01184</t>
  </si>
  <si>
    <t>80855 @07.05.2025</t>
  </si>
  <si>
    <t>IPP/RM/39017</t>
  </si>
  <si>
    <t>APC\LI21755\2025</t>
  </si>
  <si>
    <t>80932 @14.05.2025</t>
  </si>
  <si>
    <t>IPP/RM/39018</t>
  </si>
  <si>
    <t>SAC003001</t>
  </si>
  <si>
    <t>80945 @15.05.2025</t>
  </si>
  <si>
    <t>IPP/RM/39019</t>
  </si>
  <si>
    <t>INV/2025/01264</t>
  </si>
  <si>
    <t>80946 @15.05.2025</t>
  </si>
  <si>
    <t>IPP/RM/39021</t>
  </si>
  <si>
    <t>IHR2025000000032</t>
  </si>
  <si>
    <t>80782 @02.05.2025</t>
  </si>
  <si>
    <t>IPP/RM/39029</t>
  </si>
  <si>
    <t>INV/2025/01256</t>
  </si>
  <si>
    <t>80931 @14.05.2025</t>
  </si>
  <si>
    <t>IPP/RM/39032</t>
  </si>
  <si>
    <t>CRWSI-2505000049</t>
  </si>
  <si>
    <t>80840 @06.05.2025</t>
  </si>
  <si>
    <t>IPP/RM/39047</t>
  </si>
  <si>
    <t>900003497</t>
  </si>
  <si>
    <t>80870 @09.05.2025</t>
  </si>
  <si>
    <t>IPP/RM/39057</t>
  </si>
  <si>
    <t>APC\LI21769\2025</t>
  </si>
  <si>
    <t>80995 @20.05.2025</t>
  </si>
  <si>
    <t>TPE/92 MIC/1104 MM/INT</t>
  </si>
  <si>
    <t>IPP/RM/39074</t>
  </si>
  <si>
    <t>900004951</t>
  </si>
  <si>
    <t>81078 @24.05.25</t>
  </si>
  <si>
    <t>IPP/RM/39092</t>
  </si>
  <si>
    <t>INV/2025/01322</t>
  </si>
  <si>
    <t>81030 @22.05.2025</t>
  </si>
  <si>
    <t>IPP/RM/39093</t>
  </si>
  <si>
    <t>INV/2025/01321</t>
  </si>
  <si>
    <t>81031 @22.05.2025</t>
  </si>
  <si>
    <t>IPP/RM/39094</t>
  </si>
  <si>
    <t>INV/2025/01325</t>
  </si>
  <si>
    <t>81043 @23.05.2025</t>
  </si>
  <si>
    <t>IPP/RM/39110</t>
  </si>
  <si>
    <t>INV/2025/01350</t>
  </si>
  <si>
    <t>81096 @26.05.2025</t>
  </si>
  <si>
    <t>IPP/RM/39113</t>
  </si>
  <si>
    <t>INV/2025/01349</t>
  </si>
  <si>
    <t>81097 @26.05.2025</t>
  </si>
  <si>
    <t>IPP/RM/39115</t>
  </si>
  <si>
    <t>SAC003009</t>
  </si>
  <si>
    <t>81098 @27.05.2025</t>
  </si>
  <si>
    <t>IPP/RM/39154</t>
  </si>
  <si>
    <t>INV/2025/01380</t>
  </si>
  <si>
    <t>81137 @29.05.2025</t>
  </si>
  <si>
    <t>IPP/RM/39155</t>
  </si>
  <si>
    <t>INV/2025/01387</t>
  </si>
  <si>
    <t>81138 @29.05.2025</t>
  </si>
  <si>
    <t>IPP/RM/39156</t>
  </si>
  <si>
    <t>HZDS25ZJJ313</t>
  </si>
  <si>
    <t>81193 @30.5.2025</t>
  </si>
  <si>
    <t>IPP/RM/39157</t>
  </si>
  <si>
    <t>225286</t>
  </si>
  <si>
    <t>81173 @30.05.2025</t>
  </si>
  <si>
    <t>IPP/RM/39158</t>
  </si>
  <si>
    <t>APC\LI21792\2025</t>
  </si>
  <si>
    <t>81189 @31.05.2025</t>
  </si>
  <si>
    <t>IPP/RM/39186</t>
  </si>
  <si>
    <t>INV/2025/01416</t>
  </si>
  <si>
    <t>81219 @02.06.2025</t>
  </si>
  <si>
    <t>IPP/RM/39187</t>
  </si>
  <si>
    <t>CRWSI-2506000011</t>
  </si>
  <si>
    <t>81220 @02.06.25</t>
  </si>
  <si>
    <t>IPP/RM/39210</t>
  </si>
  <si>
    <t>APC\LI21807\2025</t>
  </si>
  <si>
    <t>81312 @11.06.2025</t>
  </si>
  <si>
    <t>IPP/RM/39235</t>
  </si>
  <si>
    <t>9102000637</t>
  </si>
  <si>
    <t>81374 @16.06.2025</t>
  </si>
  <si>
    <t>IPP/RM/39251</t>
  </si>
  <si>
    <t>INV/2025/01549</t>
  </si>
  <si>
    <t>81417 @19.06.2025</t>
  </si>
  <si>
    <t>IPP/RM/39252</t>
  </si>
  <si>
    <t>INV/2025/01550</t>
  </si>
  <si>
    <t>81418 @19.06.2025</t>
  </si>
  <si>
    <t>IPP/RM/39266</t>
  </si>
  <si>
    <t>INV/2025/01564</t>
  </si>
  <si>
    <t>81445 @20.06.2025</t>
  </si>
  <si>
    <t>IPP/RM/39275</t>
  </si>
  <si>
    <t>SAC003029</t>
  </si>
  <si>
    <t>81456 @21.06.2025</t>
  </si>
  <si>
    <t>IPP/RM/39319</t>
  </si>
  <si>
    <t>APC\LI21833\2025</t>
  </si>
  <si>
    <t>81564 @26.06.2025</t>
  </si>
  <si>
    <t>IPP/RM/39321</t>
  </si>
  <si>
    <t>900005429</t>
  </si>
  <si>
    <t>81535 @24.06.2025</t>
  </si>
  <si>
    <t>IPP/RM/39331</t>
  </si>
  <si>
    <t>SAC003038</t>
  </si>
  <si>
    <t>81572 @26.06.2025</t>
  </si>
  <si>
    <t>IPP/RM/39332</t>
  </si>
  <si>
    <t>INV/2025/01621</t>
  </si>
  <si>
    <t>81573 @26.06.2025</t>
  </si>
  <si>
    <t>IPP/RM/39333</t>
  </si>
  <si>
    <t>INV/2025/01622</t>
  </si>
  <si>
    <t>81574 @26.06.2025</t>
  </si>
  <si>
    <t>IPP/RM/39334</t>
  </si>
  <si>
    <t>INV/2025/01623</t>
  </si>
  <si>
    <t>81575 @26.06.2025</t>
  </si>
  <si>
    <t>IPP/RM/39403</t>
  </si>
  <si>
    <t>APC\LI21844\2025</t>
  </si>
  <si>
    <t>81675 @02.07.2025</t>
  </si>
  <si>
    <t>IPP/RM/39405</t>
  </si>
  <si>
    <t>INV/2025/01687</t>
  </si>
  <si>
    <t>81733 @04.07.25</t>
  </si>
  <si>
    <t>IPP/RM/39417</t>
  </si>
  <si>
    <t>INV/2025/01689</t>
  </si>
  <si>
    <t>81734 @04.07.2025</t>
  </si>
  <si>
    <t>Petrochem Middle East</t>
  </si>
  <si>
    <t>IPP/RM/39447</t>
  </si>
  <si>
    <t>APC\LI21850\2025</t>
  </si>
  <si>
    <t>81761 @07.07.2025</t>
  </si>
  <si>
    <t>IPP/RM/39485</t>
  </si>
  <si>
    <t>APC\LI21862\2025</t>
  </si>
  <si>
    <t>81881 @15.07.2025</t>
  </si>
  <si>
    <t>IPP/RM/39487</t>
  </si>
  <si>
    <t>MA/2025/1125</t>
  </si>
  <si>
    <t>81876 @14.07.2025</t>
  </si>
  <si>
    <t>IPP/RM/39488</t>
  </si>
  <si>
    <t>INV/2025/01788</t>
  </si>
  <si>
    <t>81877 @15.07.2025</t>
  </si>
  <si>
    <t>IPP/RM/39489</t>
  </si>
  <si>
    <t>INV/2025/01787</t>
  </si>
  <si>
    <t>81878 @15.07.2025</t>
  </si>
  <si>
    <t>IPP/RM/39491</t>
  </si>
  <si>
    <t>SAC003060</t>
  </si>
  <si>
    <t>81882 @15.07.2025</t>
  </si>
  <si>
    <t>IPP/RM/39508</t>
  </si>
  <si>
    <t>CRWSI-2507000148</t>
  </si>
  <si>
    <t>81895 @17.07.2025</t>
  </si>
  <si>
    <t>IPP/RM/39509</t>
  </si>
  <si>
    <t>CRWSI-2507000123</t>
  </si>
  <si>
    <t>81879 @15.07.2025</t>
  </si>
  <si>
    <t>IPP/RM/39517</t>
  </si>
  <si>
    <t>APC\LI21868\2025</t>
  </si>
  <si>
    <t>81948 @19.07.2025</t>
  </si>
  <si>
    <t>IPP/RM/39570</t>
  </si>
  <si>
    <t>CRWSI-2507000201</t>
  </si>
  <si>
    <t>82007 @23.07.2025</t>
  </si>
  <si>
    <t>IPP/RM/39593</t>
  </si>
  <si>
    <t>INV/2025/01893</t>
  </si>
  <si>
    <t>82067 @25.07.2025</t>
  </si>
  <si>
    <t>LAM CLEANER</t>
  </si>
  <si>
    <t>IPP/RM/39621</t>
  </si>
  <si>
    <t>227354</t>
  </si>
  <si>
    <t>82068 @25.07.2025</t>
  </si>
  <si>
    <t>IPP/RM/39624</t>
  </si>
  <si>
    <t>CRWSI-2507000247</t>
  </si>
  <si>
    <t>82111 @28.07.2025</t>
  </si>
  <si>
    <t>IPP/RM/39625</t>
  </si>
  <si>
    <t>CRWSI-2507000236</t>
  </si>
  <si>
    <t>82112 @26.07.2025</t>
  </si>
  <si>
    <t>IPP/RM/39626</t>
  </si>
  <si>
    <t>CRWSI-2507000262</t>
  </si>
  <si>
    <t>82172 @30.07.2025</t>
  </si>
  <si>
    <t>IPP/RM/39633</t>
  </si>
  <si>
    <t>INV/2025/01939</t>
  </si>
  <si>
    <t>82141 @30.07.2025</t>
  </si>
  <si>
    <t>IPP/RM/39634</t>
  </si>
  <si>
    <t>INV/2025/01938</t>
  </si>
  <si>
    <t>82142 @30.07.2025</t>
  </si>
  <si>
    <t>IPP/RM/39635</t>
  </si>
  <si>
    <t>INV/2025/01940</t>
  </si>
  <si>
    <t>82143 @30.07.2025</t>
  </si>
  <si>
    <t>IPP/RM/39636</t>
  </si>
  <si>
    <t>INV/2025/01937</t>
  </si>
  <si>
    <t>82144 @30.07.2025</t>
  </si>
  <si>
    <t>IPP/RM/39638</t>
  </si>
  <si>
    <t>SAC003069</t>
  </si>
  <si>
    <t>82071 @26.07.2025</t>
  </si>
  <si>
    <t>IPP/RM/39640</t>
  </si>
  <si>
    <t>MR-82166</t>
  </si>
  <si>
    <t>82166 @31.07.2025</t>
  </si>
  <si>
    <t>IPP/RM/39668</t>
  </si>
  <si>
    <t>LCIF250652</t>
  </si>
  <si>
    <t>82272 @05.08.2025</t>
  </si>
  <si>
    <t>IPP/RM/39716</t>
  </si>
  <si>
    <t>INV/2025/01991</t>
  </si>
  <si>
    <t>82229 @04.08.2025</t>
  </si>
  <si>
    <t>IPP/RM/39717</t>
  </si>
  <si>
    <t>SAC003076</t>
  </si>
  <si>
    <t>82258 @05.08.2025</t>
  </si>
  <si>
    <t>IPP/RM/39734</t>
  </si>
  <si>
    <t>MR-82309</t>
  </si>
  <si>
    <t>82309 @08.08.2025</t>
  </si>
  <si>
    <t>IPP/RM/39744</t>
  </si>
  <si>
    <t>INV/2025/02066</t>
  </si>
  <si>
    <t>82343 @11.08.2025</t>
  </si>
  <si>
    <t>IPP/RM/39756</t>
  </si>
  <si>
    <t>APC\LI21915\2025</t>
  </si>
  <si>
    <t>82414 @14.08.2025</t>
  </si>
  <si>
    <t>IPP/RM/39758</t>
  </si>
  <si>
    <t>INV/2025/02110</t>
  </si>
  <si>
    <t>82422 @15.08.2025</t>
  </si>
  <si>
    <t>IPP/RM/39811</t>
  </si>
  <si>
    <t>INV/2025/02141</t>
  </si>
  <si>
    <t>82473 @19.08.2025</t>
  </si>
  <si>
    <t>IPP/RM/39812</t>
  </si>
  <si>
    <t>INV/2025/02140</t>
  </si>
  <si>
    <t>82474 @19.08.2025</t>
  </si>
  <si>
    <t>IPP/RM/39814</t>
  </si>
  <si>
    <t>APC\LI21925\2025</t>
  </si>
  <si>
    <t>82476 @19.08.2025</t>
  </si>
  <si>
    <t>IPP/RM/39818</t>
  </si>
  <si>
    <t>APC\LI21938\2025</t>
  </si>
  <si>
    <t>82557 @24.08.2025</t>
  </si>
  <si>
    <t>IPP/RM/39839</t>
  </si>
  <si>
    <t>SAC003092</t>
  </si>
  <si>
    <t>82430 @15.08.2025</t>
  </si>
  <si>
    <t>IPP/RM/39909</t>
  </si>
  <si>
    <t>INV/2025/02233</t>
  </si>
  <si>
    <t>82688 @29.08.2025</t>
  </si>
  <si>
    <t>IPP/RM/39910</t>
  </si>
  <si>
    <t>INV/2025/02236</t>
  </si>
  <si>
    <t>82689 @29.08.2025</t>
  </si>
  <si>
    <t>IPP/RM/39928</t>
  </si>
  <si>
    <t>APC\LI21951\2025</t>
  </si>
  <si>
    <t>82767 @30.08.2025</t>
  </si>
  <si>
    <t>IPP/RM/39952</t>
  </si>
  <si>
    <t>82783 @01.09.2025</t>
  </si>
  <si>
    <t>CHEM PET/12 MIC/1115mm/OSCP</t>
  </si>
  <si>
    <t>IPP/RM/39997</t>
  </si>
  <si>
    <t>SAC003099</t>
  </si>
  <si>
    <t>82793 @02.09.2025</t>
  </si>
  <si>
    <t>IPP/RM/39998</t>
  </si>
  <si>
    <t>MA/2025/1270</t>
  </si>
  <si>
    <t>82827 @04.09.2025</t>
  </si>
  <si>
    <t>IPP/RM/39999</t>
  </si>
  <si>
    <t>INV/2025/02318</t>
  </si>
  <si>
    <t>82890 @09.09.2025</t>
  </si>
  <si>
    <t>IPP/RM/40000</t>
  </si>
  <si>
    <t>INV/2025/02289</t>
  </si>
  <si>
    <t>82826 @04.09.2025</t>
  </si>
  <si>
    <t>IPP/RM/40001</t>
  </si>
  <si>
    <t>INV/2025/02288</t>
  </si>
  <si>
    <t>82825 @04.09.2025</t>
  </si>
  <si>
    <t>IPP/RM/40002</t>
  </si>
  <si>
    <t>INV/2025/02317</t>
  </si>
  <si>
    <t>82916 @09.09.2025</t>
  </si>
  <si>
    <t>IPP/RM/40003</t>
  </si>
  <si>
    <t>INV/2025/02319</t>
  </si>
  <si>
    <t>82892 @09.09.2025</t>
  </si>
  <si>
    <t>IPP/RM/40004</t>
  </si>
  <si>
    <t>INV/2025/02286</t>
  </si>
  <si>
    <t>82828 @04.09.2025</t>
  </si>
  <si>
    <t>IPP/RM/40005</t>
  </si>
  <si>
    <t>CRWSI2509000016</t>
  </si>
  <si>
    <t>82808 @03.09.2025</t>
  </si>
  <si>
    <t>IPP/RM/40006</t>
  </si>
  <si>
    <t>CRWSI-2509000052</t>
  </si>
  <si>
    <t>82850 @06.09.2025</t>
  </si>
  <si>
    <t>NYLON/15 Mic/1085 MM</t>
  </si>
  <si>
    <t>IPP/RM/40075</t>
  </si>
  <si>
    <t>CS251182</t>
  </si>
  <si>
    <t>83005 @15.09.205</t>
  </si>
  <si>
    <t>NYLON/15 mic/1290 mm</t>
  </si>
  <si>
    <t>NYLON/15 mic/1295 mm</t>
  </si>
  <si>
    <t>IPP/RM/40127</t>
  </si>
  <si>
    <t>900009462</t>
  </si>
  <si>
    <t>83052 @17.09.2025</t>
  </si>
  <si>
    <t>IPP/RM/40128</t>
  </si>
  <si>
    <t>INV/2025/02366</t>
  </si>
  <si>
    <t>82970 @12.09.2025</t>
  </si>
  <si>
    <t>IPP/RM/40129</t>
  </si>
  <si>
    <t>INV/2025/02478</t>
  </si>
  <si>
    <t>83183 @24.09.2025</t>
  </si>
  <si>
    <t>IPP/RM/40130</t>
  </si>
  <si>
    <t>INV/2025/02425</t>
  </si>
  <si>
    <t>83090 @19.09.2025</t>
  </si>
  <si>
    <t>IPP/RM/40131</t>
  </si>
  <si>
    <t>INV/2025/02420</t>
  </si>
  <si>
    <t>83072 @18.09.2025</t>
  </si>
  <si>
    <t>IPP/RM/40133</t>
  </si>
  <si>
    <t>INV/2025/02424</t>
  </si>
  <si>
    <t>83091 @19.09.2025</t>
  </si>
  <si>
    <t>IPP/RM/40134</t>
  </si>
  <si>
    <t>CRWSI-2509000143</t>
  </si>
  <si>
    <t>83000 @15.09.2025</t>
  </si>
  <si>
    <t>IPP/RM/40135</t>
  </si>
  <si>
    <t>SAC003124</t>
  </si>
  <si>
    <t>83143 @23.09.2025</t>
  </si>
  <si>
    <t>IPP/RM/40136</t>
  </si>
  <si>
    <t>SAC003119</t>
  </si>
  <si>
    <t>83048 @17.09.2025</t>
  </si>
  <si>
    <t>IPP/RM/40137</t>
  </si>
  <si>
    <t>SAC003113</t>
  </si>
  <si>
    <t>82968 @11.09.2025</t>
  </si>
  <si>
    <t>IPP/RM/40141</t>
  </si>
  <si>
    <t>APC/LI21977/2025</t>
  </si>
  <si>
    <t>82953 @12.09.2025</t>
  </si>
  <si>
    <t>IPP/RM/40202</t>
  </si>
  <si>
    <t>CRWSI-2509000252</t>
  </si>
  <si>
    <t>83260 @30.09.2025</t>
  </si>
  <si>
    <t>IPP/RM/40203</t>
  </si>
  <si>
    <t>CRWSI2509000229</t>
  </si>
  <si>
    <t>83192 @25.09.2025</t>
  </si>
  <si>
    <t>IPP/RM/40204</t>
  </si>
  <si>
    <t>INV/2025/02493</t>
  </si>
  <si>
    <t>83230 @26.09.2025</t>
  </si>
  <si>
    <t>IPP/RM/40205</t>
  </si>
  <si>
    <t>25509299</t>
  </si>
  <si>
    <t>83259 @27.09.2025</t>
  </si>
  <si>
    <t>Tracking N o.</t>
  </si>
  <si>
    <t>LCIF250845</t>
  </si>
  <si>
    <t>IPP/RM/40239</t>
  </si>
  <si>
    <t>83345 @07.10.2025</t>
  </si>
  <si>
    <t>IPP/RM/40243</t>
  </si>
  <si>
    <t>LCIF250850</t>
  </si>
  <si>
    <t>83410  @09.10.2025</t>
  </si>
  <si>
    <t>IPP/RM/40245</t>
  </si>
  <si>
    <t>LCIF250839</t>
  </si>
  <si>
    <t>83342 @04.10.2025</t>
  </si>
  <si>
    <t>IPP/RM/40274</t>
  </si>
  <si>
    <t>APC/LI22018/2025</t>
  </si>
  <si>
    <t>83332 @04.10.2025</t>
  </si>
  <si>
    <t>IPP/RM/40299</t>
  </si>
  <si>
    <t>7100020995</t>
  </si>
  <si>
    <t>83405 @08.10.2025</t>
  </si>
  <si>
    <t>IPP/RM/40319</t>
  </si>
  <si>
    <t>APC/LDN22048/2025</t>
  </si>
  <si>
    <t>83477 @13.10.2025</t>
  </si>
  <si>
    <t>IPP/RM/40320</t>
  </si>
  <si>
    <t>INV/2025/02617</t>
  </si>
  <si>
    <t>83416 @10.10.2025</t>
  </si>
  <si>
    <t>IPP/RM/40321</t>
  </si>
  <si>
    <t>SAC003133</t>
  </si>
  <si>
    <t>83351 @06.10.2025</t>
  </si>
  <si>
    <t>IPP/RM/40322</t>
  </si>
  <si>
    <t>CRWSI-2510000087</t>
  </si>
  <si>
    <t>83392 @09.10.2025</t>
  </si>
  <si>
    <t>IPP/RM/40323</t>
  </si>
  <si>
    <t>CRWSI-2510000078</t>
  </si>
  <si>
    <t>83383 @08.10.2025</t>
  </si>
  <si>
    <t>IPP/RM/40381</t>
  </si>
  <si>
    <t>SAC003153</t>
  </si>
  <si>
    <t>83536 @15.10.2025</t>
  </si>
  <si>
    <t>IPP/RM/40386</t>
  </si>
  <si>
    <t>83433</t>
  </si>
  <si>
    <t>83433 @19.10.2025</t>
  </si>
  <si>
    <t>IPP/RM/40387</t>
  </si>
  <si>
    <t>INV/2025/02684</t>
  </si>
  <si>
    <t>83566 @17.10.2025</t>
  </si>
  <si>
    <t>IPP/RM/40394</t>
  </si>
  <si>
    <t>9102000756</t>
  </si>
  <si>
    <t>83568 @17.10.2025</t>
  </si>
  <si>
    <t>IPP/RM/40395</t>
  </si>
  <si>
    <t>MA/2025/1321</t>
  </si>
  <si>
    <t>83567 @17.10.2025</t>
  </si>
  <si>
    <t>IPP/RM/40421</t>
  </si>
  <si>
    <t>CRWSI-2510000169</t>
  </si>
  <si>
    <t>83598 @18.10.2025</t>
  </si>
  <si>
    <t>IPP/RM/40422</t>
  </si>
  <si>
    <t>CRWSI-2510000175</t>
  </si>
  <si>
    <t>83599 @18.10.2025</t>
  </si>
  <si>
    <t>IPP/RM/40425</t>
  </si>
  <si>
    <t>SAC003160</t>
  </si>
  <si>
    <t>83665 @21.10.2025</t>
  </si>
  <si>
    <t>IPP/RM/40426</t>
  </si>
  <si>
    <t>INV/2025/02703</t>
  </si>
  <si>
    <t>83678 @21.10.2025</t>
  </si>
  <si>
    <t>IPP/RM/40427</t>
  </si>
  <si>
    <t>INV/2025/02705</t>
  </si>
  <si>
    <t>83679 @21.10.2025</t>
  </si>
  <si>
    <t>IPP/RM/40468</t>
  </si>
  <si>
    <t>25510378</t>
  </si>
  <si>
    <t>83763 @27.10.2025</t>
  </si>
  <si>
    <t>IPP/RM/40483</t>
  </si>
  <si>
    <t>INV/2025/02751</t>
  </si>
  <si>
    <t>83782 @27.10.2025</t>
  </si>
  <si>
    <t>SATYENDRA PACKAGING LTD</t>
  </si>
  <si>
    <t>IPP/RM/40486</t>
  </si>
  <si>
    <t>BRE/2526/310117</t>
  </si>
  <si>
    <t>83661 @20.10.2025</t>
  </si>
  <si>
    <t>IPP/RM/40508</t>
  </si>
  <si>
    <t>25510582</t>
  </si>
  <si>
    <t>83849 @30.10.2025</t>
  </si>
  <si>
    <t>IPP/RM/40515</t>
  </si>
  <si>
    <t>LCIF250913</t>
  </si>
  <si>
    <t>83830 83845 83829 @28.10.2025</t>
  </si>
  <si>
    <t>IPP/RM/40524</t>
  </si>
  <si>
    <t>INV/2025/02802</t>
  </si>
  <si>
    <t>83869 @31.10.2025</t>
  </si>
  <si>
    <t>IPP/RM/40525</t>
  </si>
  <si>
    <t>INV/2025/02801</t>
  </si>
  <si>
    <t>83868 @31.10.2025</t>
  </si>
  <si>
    <t>IPP/RM/40529</t>
  </si>
  <si>
    <t>7100021496</t>
  </si>
  <si>
    <t>83835 @30.10.2025</t>
  </si>
  <si>
    <t>IPP/RM/40541</t>
  </si>
  <si>
    <t>INV/2025/02876</t>
  </si>
  <si>
    <t>83987 @08.11.2025</t>
  </si>
  <si>
    <t>IPP/RM/40542</t>
  </si>
  <si>
    <t>INV/2025/02875</t>
  </si>
  <si>
    <t>83988 @08.11.2025</t>
  </si>
  <si>
    <t>IPP/RM/40544</t>
  </si>
  <si>
    <t>INV/2025/02858</t>
  </si>
  <si>
    <t>83965 @06.11.2025</t>
  </si>
  <si>
    <t>IPP/RM/40545</t>
  </si>
  <si>
    <t>INV/2025/02857</t>
  </si>
  <si>
    <t>83964 @06.11.2025</t>
  </si>
  <si>
    <t>IPP/RM/40550</t>
  </si>
  <si>
    <t>SAC003173</t>
  </si>
  <si>
    <t>83918 @04.11.2025</t>
  </si>
  <si>
    <t>IPP/RM/40588</t>
  </si>
  <si>
    <t>7100021598</t>
  </si>
  <si>
    <t>83925 @03.11.2025</t>
  </si>
  <si>
    <t>IPP/RM/40604</t>
  </si>
  <si>
    <t>INV/2025/02921</t>
  </si>
  <si>
    <t>84047 @12.11.2025</t>
  </si>
  <si>
    <t>IPP/RM/40605</t>
  </si>
  <si>
    <t>INV/2025/02911</t>
  </si>
  <si>
    <t>84046 @12.11.2025</t>
  </si>
  <si>
    <t>IPP/RM/40609</t>
  </si>
  <si>
    <t>CRWSI-2511000111</t>
  </si>
  <si>
    <t>84077 @13.11.2025</t>
  </si>
  <si>
    <t>IPP/RM/40612</t>
  </si>
  <si>
    <t>SAC003186</t>
  </si>
  <si>
    <t>84074 @13.11.2025</t>
  </si>
  <si>
    <t>IPP/RM/40613</t>
  </si>
  <si>
    <t>SI-BFD-601-4898</t>
  </si>
  <si>
    <t>84080 @13.11.2025</t>
  </si>
  <si>
    <t>IPP/RM/40639</t>
  </si>
  <si>
    <t>INV/2025/02935</t>
  </si>
  <si>
    <t>84084 @14.11.2025</t>
  </si>
  <si>
    <t>IPP/RM/40640</t>
  </si>
  <si>
    <t>INV/2025/02936</t>
  </si>
  <si>
    <t>84083 @14.11.2025</t>
  </si>
  <si>
    <t>IPP/RM/40679</t>
  </si>
  <si>
    <t>900011406</t>
  </si>
  <si>
    <t>84211 @21.11.2025(</t>
  </si>
  <si>
    <t>IPP/RM/40680</t>
  </si>
  <si>
    <t>INV/2025/02972</t>
  </si>
  <si>
    <t>84169 @19.11.2025</t>
  </si>
  <si>
    <t>IPP/RM/40681</t>
  </si>
  <si>
    <t>INV/2025/02974</t>
  </si>
  <si>
    <t>84171 @19.11.2025</t>
  </si>
  <si>
    <t>IPP/RM/40682</t>
  </si>
  <si>
    <t>INV/2025/02973</t>
  </si>
  <si>
    <t>84170 @19.11.225</t>
  </si>
  <si>
    <t>IPP/RM/40683</t>
  </si>
  <si>
    <t>SAC003199</t>
  </si>
  <si>
    <t>84215 @21.11.2025</t>
  </si>
  <si>
    <t>IPP/RM/40684</t>
  </si>
  <si>
    <t>CRWSI-2511000179</t>
  </si>
  <si>
    <t>84192 @20.11.2025</t>
  </si>
  <si>
    <t>IPP/RM/40685</t>
  </si>
  <si>
    <t>CRWSI-2511000142</t>
  </si>
  <si>
    <t>84129 @15.11.2025</t>
  </si>
  <si>
    <t>IPP/RM/40686</t>
  </si>
  <si>
    <t>CRWSI-2511000152</t>
  </si>
  <si>
    <t>84141 @17.11.2025</t>
  </si>
  <si>
    <t>IPP/RM/40687</t>
  </si>
  <si>
    <t>CRWSI-2511000169</t>
  </si>
  <si>
    <t>84158 @18.11.2025</t>
  </si>
  <si>
    <t>IPP/RM/40710</t>
  </si>
  <si>
    <t>CRWSI-2511000228</t>
  </si>
  <si>
    <t>84307 @26.11.2025</t>
  </si>
  <si>
    <t>IPP/RM/40711</t>
  </si>
  <si>
    <t>CRWSI-2511000215</t>
  </si>
  <si>
    <t>84281 @25.11.2025</t>
  </si>
  <si>
    <t>IPP/RM/40712</t>
  </si>
  <si>
    <t>CRWSI-2511000203</t>
  </si>
  <si>
    <t>84263 @24.11.2025</t>
  </si>
  <si>
    <t>IPP/RM/40713</t>
  </si>
  <si>
    <t>CRWSI-2511000202</t>
  </si>
  <si>
    <t>84264 @24.11.2025</t>
  </si>
  <si>
    <t>IPP/RM/40714</t>
  </si>
  <si>
    <t>INV/2025/03036</t>
  </si>
  <si>
    <t>84265 @24.11.2025</t>
  </si>
  <si>
    <t>IPP/RM/40743</t>
  </si>
  <si>
    <t>CRWSI-2511000195</t>
  </si>
  <si>
    <t>84253 @22.11.2025</t>
  </si>
  <si>
    <t>IPP/RM/40761</t>
  </si>
  <si>
    <t>INV/2025/03110</t>
  </si>
  <si>
    <t>84360 @28.11.2025</t>
  </si>
  <si>
    <t>IPP/RM/40767</t>
  </si>
  <si>
    <t>MA/2025/1363</t>
  </si>
  <si>
    <t>84320 @27.11.2025</t>
  </si>
  <si>
    <t>IPP/RM/40774</t>
  </si>
  <si>
    <t>INV/2025/03116</t>
  </si>
  <si>
    <t>84358 @28.11.2025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</si>
</sst>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&quot;0.000"/>
    <numFmt numFmtId="166" formatCode="[$-409]d\-mmm\-yyyy;@"/>
    <numFmt numFmtId="168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2" tint="-9.9978637043366805E-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164" fontId="4" fillId="2" borderId="5" xfId="1" applyFont="1" applyFill="1" applyBorder="1" applyAlignment="1">
      <alignment horizontal="right" vertical="center"/>
    </xf>
    <xf numFmtId="49" fontId="4" fillId="0" borderId="6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2" fontId="1" fillId="0" borderId="0" xfId="0" applyNumberFormat="1" applyFont="1" applyAlignment="1">
      <alignment vertical="center"/>
    </xf>
    <xf numFmtId="2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4" borderId="7" xfId="4" applyFont="1" applyFill="1" applyBorder="1" applyAlignment="1">
      <alignment horizontal="center"/>
    </xf>
    <xf numFmtId="0" fontId="9" fillId="4" borderId="7" xfId="0" applyFont="1" applyFill="1" applyBorder="1"/>
    <xf numFmtId="0" fontId="9" fillId="4" borderId="8" xfId="4" applyFont="1" applyFill="1" applyBorder="1" applyAlignment="1">
      <alignment horizontal="center"/>
    </xf>
    <xf numFmtId="168" fontId="4" fillId="0" borderId="5" xfId="1" applyNumberFormat="1" applyFont="1" applyBorder="1" applyAlignment="1">
      <alignment horizontal="right" vertical="center"/>
    </xf>
  </cellXfs>
  <cellStyles count="5">
    <cellStyle name="Comma" xfId="1" builtinId="3"/>
    <cellStyle name="Comma 2" xfId="3" xr:uid="{15F68428-E686-44CB-AEB0-01E9297746C4}"/>
    <cellStyle name="Comma 3" xfId="2" xr:uid="{826DFCD4-DD26-4764-AFD6-81F71195020C}"/>
    <cellStyle name="Normal" xfId="0" builtinId="0"/>
    <cellStyle name="Normal 3" xfId="4" xr:uid="{BC1A3D73-4C41-45D5-A8D2-AE5A317BC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8A93-78A5-4126-9E07-5F3D5B28E23D}">
  <sheetPr codeName="Sheet2"/>
  <dimension ref="A1:Y2184"/>
  <sheetViews>
    <sheetView showGridLines="0" tabSelected="1" zoomScaleNormal="100" workbookViewId="0">
      <selection activeCell="D18" sqref="D18"/>
    </sheetView>
  </sheetViews>
  <sheetFormatPr defaultRowHeight="15" x14ac:dyDescent="0.25"/>
  <cols>
    <col min="1" max="1" width="7.42578125" style="2" customWidth="1"/>
    <col min="2" max="2" width="12.42578125" style="3" customWidth="1"/>
    <col min="3" max="3" width="38.85546875" style="2" customWidth="1"/>
    <col min="4" max="4" width="9.5703125" style="3" customWidth="1"/>
    <col min="5" max="5" width="11.140625" style="2" customWidth="1"/>
    <col min="6" max="6" width="59.5703125" style="2" customWidth="1"/>
    <col min="7" max="7" width="11.140625" style="2" customWidth="1"/>
    <col min="8" max="8" width="13.28515625" style="2" customWidth="1"/>
    <col min="9" max="9" width="8" style="3" customWidth="1"/>
    <col min="10" max="10" width="9.85546875" style="3" customWidth="1"/>
    <col min="11" max="11" width="12.5703125" style="2" customWidth="1"/>
    <col min="12" max="12" width="11.42578125" style="22" bestFit="1" customWidth="1"/>
    <col min="13" max="13" width="8" style="2" customWidth="1"/>
    <col min="14" max="14" width="17.140625" style="2" customWidth="1"/>
    <col min="15" max="15" width="7.5703125" style="4" customWidth="1"/>
    <col min="16" max="16" width="19.28515625" style="2" customWidth="1"/>
    <col min="17" max="17" width="12.85546875" style="3" customWidth="1"/>
    <col min="18" max="18" width="12.28515625" style="3" customWidth="1"/>
    <col min="19" max="20" width="12.5703125" style="2" customWidth="1"/>
    <col min="21" max="21" width="5.140625" style="2" customWidth="1"/>
    <col min="22" max="22" width="9.140625" style="2"/>
    <col min="23" max="23" width="11.42578125" style="2" bestFit="1" customWidth="1"/>
    <col min="24" max="16384" width="9.140625" style="2"/>
  </cols>
  <sheetData>
    <row r="1" spans="1:24" x14ac:dyDescent="0.25">
      <c r="A1" s="20" t="s">
        <v>2655</v>
      </c>
      <c r="B1" s="1" t="str">
        <f>IF(A1="N","Note: Rate of technova/ Megapack job work charges has NOT BEEN ammended","Note: Rate of technova/ Megapack job work charges has  BEEN ammended")</f>
        <v>Note: Rate of technova/ Megapack job work charges has NOT BEEN ammended</v>
      </c>
      <c r="J1" s="3">
        <v>5.6800000000000006</v>
      </c>
    </row>
    <row r="2" spans="1:24" ht="17.25" customHeight="1" thickBot="1" x14ac:dyDescent="0.3">
      <c r="J2" s="3">
        <v>5.9</v>
      </c>
      <c r="K2" s="2">
        <f>SUBTOTAL(9,K4:K1048576)</f>
        <v>10783776.489999995</v>
      </c>
      <c r="L2" s="22">
        <f>+N2/K2</f>
        <v>6.0349917895043577</v>
      </c>
      <c r="N2" s="2">
        <f>SUBTOTAL(9,N4:N1048576)</f>
        <v>65080002.577000089</v>
      </c>
      <c r="W2" s="2" t="e">
        <f>+Y2/V2</f>
        <v>#DIV/0!</v>
      </c>
    </row>
    <row r="3" spans="1:24" s="3" customFormat="1" ht="15.75" thickBot="1" x14ac:dyDescent="0.3">
      <c r="B3" s="5" t="s">
        <v>0</v>
      </c>
      <c r="C3" s="6" t="s">
        <v>1</v>
      </c>
      <c r="D3" s="6" t="s">
        <v>2</v>
      </c>
      <c r="E3" s="24" t="s">
        <v>4578</v>
      </c>
      <c r="F3" s="6" t="s">
        <v>3</v>
      </c>
      <c r="G3" s="6" t="s">
        <v>2192</v>
      </c>
      <c r="H3" s="24" t="s">
        <v>2336</v>
      </c>
      <c r="I3" s="25" t="s">
        <v>4</v>
      </c>
      <c r="J3" s="25" t="s">
        <v>5</v>
      </c>
      <c r="K3" s="6" t="s">
        <v>6</v>
      </c>
      <c r="L3" s="23" t="s">
        <v>7</v>
      </c>
      <c r="M3" s="6" t="s">
        <v>8</v>
      </c>
      <c r="N3" s="6" t="s">
        <v>9</v>
      </c>
      <c r="O3" s="8" t="s">
        <v>10</v>
      </c>
      <c r="P3" s="6" t="s">
        <v>11</v>
      </c>
      <c r="Q3" s="6" t="s">
        <v>12</v>
      </c>
      <c r="R3" s="6" t="s">
        <v>13</v>
      </c>
      <c r="S3" s="9" t="s">
        <v>1841</v>
      </c>
      <c r="T3" s="18" t="s">
        <v>1842</v>
      </c>
      <c r="U3" s="3" t="s">
        <v>1888</v>
      </c>
      <c r="V3" s="3" t="s">
        <v>1889</v>
      </c>
      <c r="W3" s="7" t="s">
        <v>7</v>
      </c>
    </row>
    <row r="4" spans="1:24" x14ac:dyDescent="0.2">
      <c r="B4" s="17">
        <v>43834</v>
      </c>
      <c r="C4" s="10" t="s">
        <v>80</v>
      </c>
      <c r="D4" s="11" t="s">
        <v>163</v>
      </c>
      <c r="E4" s="26">
        <v>50926</v>
      </c>
      <c r="F4" s="10" t="s">
        <v>26</v>
      </c>
      <c r="G4" s="10" t="s">
        <v>27</v>
      </c>
      <c r="H4" s="10" t="s">
        <v>28</v>
      </c>
      <c r="I4" s="12"/>
      <c r="J4" s="12"/>
      <c r="K4" s="13">
        <v>3600</v>
      </c>
      <c r="L4" s="21">
        <v>3.15</v>
      </c>
      <c r="M4" s="14" t="s">
        <v>14</v>
      </c>
      <c r="N4" s="13">
        <v>11340</v>
      </c>
      <c r="O4" s="15">
        <f t="shared" ref="O4:O5" si="0">(N4/K4)-L4</f>
        <v>0</v>
      </c>
      <c r="P4" s="10" t="s">
        <v>78</v>
      </c>
      <c r="Q4" s="11" t="s">
        <v>165</v>
      </c>
      <c r="R4" s="11" t="s">
        <v>54</v>
      </c>
      <c r="S4" s="16" t="s">
        <v>164</v>
      </c>
      <c r="T4" s="19" t="str">
        <f>MONTH(B4)&amp;"-"&amp;YEAR(B4)</f>
        <v>1-2020</v>
      </c>
      <c r="U4" s="2">
        <f>YEAR(B4)</f>
        <v>2020</v>
      </c>
      <c r="V4" s="2" t="str">
        <f>IF(DAY(B4)&gt;15,MONTH(B4)&amp;"-C",MONTH(B4)&amp;"-N")</f>
        <v>1-N</v>
      </c>
      <c r="W4" s="21">
        <v>3.15</v>
      </c>
      <c r="X4" s="2" t="b">
        <f t="shared" ref="X4:X5" si="1">+L4=W4</f>
        <v>1</v>
      </c>
    </row>
    <row r="5" spans="1:24" x14ac:dyDescent="0.2">
      <c r="B5" s="17">
        <v>43834</v>
      </c>
      <c r="C5" s="10" t="s">
        <v>80</v>
      </c>
      <c r="D5" s="11" t="s">
        <v>163</v>
      </c>
      <c r="E5" s="26">
        <v>50925</v>
      </c>
      <c r="F5" s="10" t="s">
        <v>26</v>
      </c>
      <c r="G5" s="10" t="s">
        <v>27</v>
      </c>
      <c r="H5" s="10" t="s">
        <v>28</v>
      </c>
      <c r="I5" s="12"/>
      <c r="J5" s="12"/>
      <c r="K5" s="13">
        <v>7200</v>
      </c>
      <c r="L5" s="21">
        <v>3.15</v>
      </c>
      <c r="M5" s="14" t="s">
        <v>14</v>
      </c>
      <c r="N5" s="13">
        <v>22680</v>
      </c>
      <c r="O5" s="15">
        <f t="shared" si="0"/>
        <v>0</v>
      </c>
      <c r="P5" s="10" t="s">
        <v>78</v>
      </c>
      <c r="Q5" s="11" t="s">
        <v>167</v>
      </c>
      <c r="R5" s="11" t="s">
        <v>55</v>
      </c>
      <c r="S5" s="16" t="s">
        <v>166</v>
      </c>
      <c r="T5" s="19" t="str">
        <f>MONTH(B5)&amp;"-"&amp;YEAR(B5)</f>
        <v>1-2020</v>
      </c>
      <c r="U5" s="2">
        <f>YEAR(B5)</f>
        <v>2020</v>
      </c>
      <c r="V5" s="2" t="str">
        <f>IF(DAY(B5)&gt;15,MONTH(B5)&amp;"-C",MONTH(B5)&amp;"-N")</f>
        <v>1-N</v>
      </c>
      <c r="W5" s="21">
        <v>3.15</v>
      </c>
      <c r="X5" s="2" t="b">
        <f t="shared" si="1"/>
        <v>1</v>
      </c>
    </row>
    <row r="6" spans="1:24" x14ac:dyDescent="0.2">
      <c r="B6" s="17">
        <v>43835</v>
      </c>
      <c r="C6" s="10" t="s">
        <v>80</v>
      </c>
      <c r="D6" s="11" t="s">
        <v>163</v>
      </c>
      <c r="E6" s="26">
        <v>50940</v>
      </c>
      <c r="F6" s="10" t="s">
        <v>26</v>
      </c>
      <c r="G6" s="10" t="s">
        <v>27</v>
      </c>
      <c r="H6" s="27" t="s">
        <v>28</v>
      </c>
      <c r="I6" s="12"/>
      <c r="J6" s="12"/>
      <c r="K6" s="13">
        <v>7200</v>
      </c>
      <c r="L6" s="21">
        <v>3.15</v>
      </c>
      <c r="M6" s="14" t="s">
        <v>14</v>
      </c>
      <c r="N6" s="13">
        <v>22680</v>
      </c>
      <c r="O6" s="15">
        <f t="shared" ref="O6:O13" si="2">(N6/K6)-L6</f>
        <v>0</v>
      </c>
      <c r="P6" s="10" t="s">
        <v>78</v>
      </c>
      <c r="Q6" s="11" t="s">
        <v>169</v>
      </c>
      <c r="R6" s="11" t="s">
        <v>53</v>
      </c>
      <c r="S6" s="16" t="s">
        <v>168</v>
      </c>
      <c r="T6" s="19" t="str">
        <f>MONTH(B6)&amp;"-"&amp;YEAR(B6)</f>
        <v>1-2020</v>
      </c>
      <c r="U6" s="2">
        <f>YEAR(B6)</f>
        <v>2020</v>
      </c>
      <c r="V6" s="2" t="str">
        <f>IF(DAY(B6)&gt;15,MONTH(B6)&amp;"-C",MONTH(B6)&amp;"-N")</f>
        <v>1-N</v>
      </c>
      <c r="W6" s="21">
        <v>3.15</v>
      </c>
      <c r="X6" s="2" t="b">
        <f t="shared" ref="X6:X13" si="3">+L6=W6</f>
        <v>1</v>
      </c>
    </row>
    <row r="7" spans="1:24" x14ac:dyDescent="0.2">
      <c r="B7" s="17">
        <v>43835</v>
      </c>
      <c r="C7" s="10" t="s">
        <v>108</v>
      </c>
      <c r="D7" s="11" t="s">
        <v>170</v>
      </c>
      <c r="E7" s="26">
        <v>50939</v>
      </c>
      <c r="F7" s="10" t="s">
        <v>127</v>
      </c>
      <c r="G7" s="10" t="s">
        <v>46</v>
      </c>
      <c r="H7" s="27" t="s">
        <v>128</v>
      </c>
      <c r="I7" s="12"/>
      <c r="J7" s="12"/>
      <c r="K7" s="13">
        <v>1104</v>
      </c>
      <c r="L7" s="21">
        <v>11.25</v>
      </c>
      <c r="M7" s="14" t="s">
        <v>14</v>
      </c>
      <c r="N7" s="13">
        <v>12420</v>
      </c>
      <c r="O7" s="15">
        <f t="shared" si="2"/>
        <v>0</v>
      </c>
      <c r="P7" s="10" t="s">
        <v>84</v>
      </c>
      <c r="Q7" s="11" t="s">
        <v>172</v>
      </c>
      <c r="R7" s="11" t="s">
        <v>173</v>
      </c>
      <c r="S7" s="16" t="s">
        <v>171</v>
      </c>
      <c r="T7" s="19" t="str">
        <f>MONTH(B7)&amp;"-"&amp;YEAR(B7)</f>
        <v>1-2020</v>
      </c>
      <c r="U7" s="2">
        <f>YEAR(B7)</f>
        <v>2020</v>
      </c>
      <c r="V7" s="2" t="str">
        <f>IF(DAY(B7)&gt;15,MONTH(B7)&amp;"-C",MONTH(B7)&amp;"-N")</f>
        <v>1-N</v>
      </c>
      <c r="W7" s="21">
        <v>11.25</v>
      </c>
      <c r="X7" s="2" t="b">
        <f t="shared" si="3"/>
        <v>1</v>
      </c>
    </row>
    <row r="8" spans="1:24" x14ac:dyDescent="0.2">
      <c r="B8" s="17">
        <v>43835</v>
      </c>
      <c r="C8" s="10" t="s">
        <v>108</v>
      </c>
      <c r="D8" s="11" t="s">
        <v>170</v>
      </c>
      <c r="E8" s="26">
        <v>50939</v>
      </c>
      <c r="F8" s="10" t="s">
        <v>121</v>
      </c>
      <c r="G8" s="10" t="s">
        <v>46</v>
      </c>
      <c r="H8" s="27" t="s">
        <v>122</v>
      </c>
      <c r="I8" s="12"/>
      <c r="J8" s="12"/>
      <c r="K8" s="13">
        <v>690</v>
      </c>
      <c r="L8" s="21">
        <v>9.1999999999999993</v>
      </c>
      <c r="M8" s="14" t="s">
        <v>14</v>
      </c>
      <c r="N8" s="13">
        <v>6348</v>
      </c>
      <c r="O8" s="15">
        <f t="shared" si="2"/>
        <v>0</v>
      </c>
      <c r="P8" s="10" t="s">
        <v>84</v>
      </c>
      <c r="Q8" s="11" t="s">
        <v>172</v>
      </c>
      <c r="R8" s="11" t="s">
        <v>173</v>
      </c>
      <c r="S8" s="16" t="s">
        <v>171</v>
      </c>
      <c r="T8" s="19" t="str">
        <f>MONTH(B8)&amp;"-"&amp;YEAR(B8)</f>
        <v>1-2020</v>
      </c>
      <c r="U8" s="2">
        <f>YEAR(B8)</f>
        <v>2020</v>
      </c>
      <c r="V8" s="2" t="str">
        <f>IF(DAY(B8)&gt;15,MONTH(B8)&amp;"-C",MONTH(B8)&amp;"-N")</f>
        <v>1-N</v>
      </c>
      <c r="W8" s="21">
        <v>9.1999999999999993</v>
      </c>
      <c r="X8" s="2" t="b">
        <f t="shared" si="3"/>
        <v>1</v>
      </c>
    </row>
    <row r="9" spans="1:24" x14ac:dyDescent="0.2">
      <c r="B9" s="17">
        <v>43835</v>
      </c>
      <c r="C9" s="10" t="s">
        <v>108</v>
      </c>
      <c r="D9" s="11" t="s">
        <v>170</v>
      </c>
      <c r="E9" s="26">
        <v>50939</v>
      </c>
      <c r="F9" s="10" t="s">
        <v>123</v>
      </c>
      <c r="G9" s="10" t="s">
        <v>46</v>
      </c>
      <c r="H9" s="27" t="s">
        <v>124</v>
      </c>
      <c r="I9" s="12"/>
      <c r="J9" s="12"/>
      <c r="K9" s="13">
        <v>1150</v>
      </c>
      <c r="L9" s="21">
        <v>11.81</v>
      </c>
      <c r="M9" s="14" t="s">
        <v>14</v>
      </c>
      <c r="N9" s="13">
        <v>13581.5</v>
      </c>
      <c r="O9" s="15">
        <f t="shared" si="2"/>
        <v>0</v>
      </c>
      <c r="P9" s="10" t="s">
        <v>84</v>
      </c>
      <c r="Q9" s="11" t="s">
        <v>172</v>
      </c>
      <c r="R9" s="11" t="s">
        <v>173</v>
      </c>
      <c r="S9" s="16" t="s">
        <v>171</v>
      </c>
      <c r="T9" s="19" t="str">
        <f>MONTH(B9)&amp;"-"&amp;YEAR(B9)</f>
        <v>1-2020</v>
      </c>
      <c r="U9" s="2">
        <f>YEAR(B9)</f>
        <v>2020</v>
      </c>
      <c r="V9" s="2" t="str">
        <f>IF(DAY(B9)&gt;15,MONTH(B9)&amp;"-C",MONTH(B9)&amp;"-N")</f>
        <v>1-N</v>
      </c>
      <c r="W9" s="21">
        <v>11.81</v>
      </c>
      <c r="X9" s="2" t="b">
        <f t="shared" si="3"/>
        <v>1</v>
      </c>
    </row>
    <row r="10" spans="1:24" x14ac:dyDescent="0.2">
      <c r="B10" s="17">
        <v>43835</v>
      </c>
      <c r="C10" s="10" t="s">
        <v>108</v>
      </c>
      <c r="D10" s="11" t="s">
        <v>170</v>
      </c>
      <c r="E10" s="26">
        <v>50939</v>
      </c>
      <c r="F10" s="10" t="s">
        <v>139</v>
      </c>
      <c r="G10" s="10" t="s">
        <v>46</v>
      </c>
      <c r="H10" s="27" t="s">
        <v>140</v>
      </c>
      <c r="I10" s="12"/>
      <c r="J10" s="12"/>
      <c r="K10" s="13">
        <v>5152</v>
      </c>
      <c r="L10" s="21">
        <v>7.85</v>
      </c>
      <c r="M10" s="14" t="s">
        <v>14</v>
      </c>
      <c r="N10" s="13">
        <v>40443.199999999997</v>
      </c>
      <c r="O10" s="15">
        <f t="shared" si="2"/>
        <v>0</v>
      </c>
      <c r="P10" s="10" t="s">
        <v>84</v>
      </c>
      <c r="Q10" s="11" t="s">
        <v>172</v>
      </c>
      <c r="R10" s="11" t="s">
        <v>173</v>
      </c>
      <c r="S10" s="16" t="s">
        <v>171</v>
      </c>
      <c r="T10" s="19" t="str">
        <f>MONTH(B10)&amp;"-"&amp;YEAR(B10)</f>
        <v>1-2020</v>
      </c>
      <c r="U10" s="2">
        <f>YEAR(B10)</f>
        <v>2020</v>
      </c>
      <c r="V10" s="2" t="str">
        <f>IF(DAY(B10)&gt;15,MONTH(B10)&amp;"-C",MONTH(B10)&amp;"-N")</f>
        <v>1-N</v>
      </c>
      <c r="W10" s="21">
        <v>7.85</v>
      </c>
      <c r="X10" s="2" t="b">
        <f t="shared" si="3"/>
        <v>1</v>
      </c>
    </row>
    <row r="11" spans="1:24" x14ac:dyDescent="0.2">
      <c r="B11" s="17">
        <v>43835</v>
      </c>
      <c r="C11" s="10" t="s">
        <v>108</v>
      </c>
      <c r="D11" s="11" t="s">
        <v>170</v>
      </c>
      <c r="E11" s="26">
        <v>50939</v>
      </c>
      <c r="F11" s="10" t="s">
        <v>129</v>
      </c>
      <c r="G11" s="10" t="s">
        <v>46</v>
      </c>
      <c r="H11" s="27" t="s">
        <v>130</v>
      </c>
      <c r="I11" s="12"/>
      <c r="J11" s="12"/>
      <c r="K11" s="13">
        <v>8740</v>
      </c>
      <c r="L11" s="21">
        <v>10.86</v>
      </c>
      <c r="M11" s="14" t="s">
        <v>14</v>
      </c>
      <c r="N11" s="13">
        <v>94916.4</v>
      </c>
      <c r="O11" s="15">
        <f t="shared" si="2"/>
        <v>0</v>
      </c>
      <c r="P11" s="10" t="s">
        <v>84</v>
      </c>
      <c r="Q11" s="11" t="s">
        <v>172</v>
      </c>
      <c r="R11" s="11" t="s">
        <v>173</v>
      </c>
      <c r="S11" s="16" t="s">
        <v>171</v>
      </c>
      <c r="T11" s="19" t="str">
        <f>MONTH(B11)&amp;"-"&amp;YEAR(B11)</f>
        <v>1-2020</v>
      </c>
      <c r="U11" s="2">
        <f>YEAR(B11)</f>
        <v>2020</v>
      </c>
      <c r="V11" s="2" t="str">
        <f>IF(DAY(B11)&gt;15,MONTH(B11)&amp;"-C",MONTH(B11)&amp;"-N")</f>
        <v>1-N</v>
      </c>
      <c r="W11" s="21">
        <v>10.86</v>
      </c>
      <c r="X11" s="2" t="b">
        <f t="shared" si="3"/>
        <v>1</v>
      </c>
    </row>
    <row r="12" spans="1:24" x14ac:dyDescent="0.2">
      <c r="B12" s="17">
        <v>43836</v>
      </c>
      <c r="C12" s="10" t="s">
        <v>25</v>
      </c>
      <c r="D12" s="11" t="s">
        <v>174</v>
      </c>
      <c r="E12" s="26">
        <v>50956</v>
      </c>
      <c r="F12" s="10" t="s">
        <v>29</v>
      </c>
      <c r="G12" s="10" t="s">
        <v>27</v>
      </c>
      <c r="H12" s="27" t="s">
        <v>30</v>
      </c>
      <c r="I12" s="12"/>
      <c r="J12" s="12"/>
      <c r="K12" s="13">
        <v>3300</v>
      </c>
      <c r="L12" s="21">
        <v>2.93</v>
      </c>
      <c r="M12" s="14" t="s">
        <v>14</v>
      </c>
      <c r="N12" s="13">
        <v>9669</v>
      </c>
      <c r="O12" s="15">
        <f t="shared" si="2"/>
        <v>0</v>
      </c>
      <c r="P12" s="10" t="s">
        <v>78</v>
      </c>
      <c r="Q12" s="11" t="s">
        <v>176</v>
      </c>
      <c r="R12" s="11" t="s">
        <v>177</v>
      </c>
      <c r="S12" s="16" t="s">
        <v>175</v>
      </c>
      <c r="T12" s="19" t="str">
        <f>MONTH(B12)&amp;"-"&amp;YEAR(B12)</f>
        <v>1-2020</v>
      </c>
      <c r="U12" s="2">
        <f>YEAR(B12)</f>
        <v>2020</v>
      </c>
      <c r="V12" s="2" t="str">
        <f>IF(DAY(B12)&gt;15,MONTH(B12)&amp;"-C",MONTH(B12)&amp;"-N")</f>
        <v>1-N</v>
      </c>
      <c r="W12" s="21">
        <v>2.93</v>
      </c>
      <c r="X12" s="2" t="b">
        <f t="shared" si="3"/>
        <v>1</v>
      </c>
    </row>
    <row r="13" spans="1:24" x14ac:dyDescent="0.2">
      <c r="B13" s="17">
        <v>43836</v>
      </c>
      <c r="C13" s="10" t="s">
        <v>80</v>
      </c>
      <c r="D13" s="11" t="s">
        <v>163</v>
      </c>
      <c r="E13" s="26">
        <v>50958</v>
      </c>
      <c r="F13" s="10" t="s">
        <v>26</v>
      </c>
      <c r="G13" s="10" t="s">
        <v>27</v>
      </c>
      <c r="H13" s="27" t="s">
        <v>28</v>
      </c>
      <c r="I13" s="12"/>
      <c r="J13" s="12"/>
      <c r="K13" s="13">
        <v>3600</v>
      </c>
      <c r="L13" s="21">
        <v>3.15</v>
      </c>
      <c r="M13" s="14" t="s">
        <v>14</v>
      </c>
      <c r="N13" s="13">
        <v>11340</v>
      </c>
      <c r="O13" s="15">
        <f t="shared" si="2"/>
        <v>0</v>
      </c>
      <c r="P13" s="10" t="s">
        <v>78</v>
      </c>
      <c r="Q13" s="11" t="s">
        <v>179</v>
      </c>
      <c r="R13" s="11" t="s">
        <v>56</v>
      </c>
      <c r="S13" s="16" t="s">
        <v>178</v>
      </c>
      <c r="T13" s="19" t="str">
        <f>MONTH(B13)&amp;"-"&amp;YEAR(B13)</f>
        <v>1-2020</v>
      </c>
      <c r="U13" s="2">
        <f>YEAR(B13)</f>
        <v>2020</v>
      </c>
      <c r="V13" s="2" t="str">
        <f>IF(DAY(B13)&gt;15,MONTH(B13)&amp;"-C",MONTH(B13)&amp;"-N")</f>
        <v>1-N</v>
      </c>
      <c r="W13" s="21">
        <v>3.15</v>
      </c>
      <c r="X13" s="2" t="b">
        <f t="shared" si="3"/>
        <v>1</v>
      </c>
    </row>
    <row r="14" spans="1:24" x14ac:dyDescent="0.2">
      <c r="B14" s="17">
        <v>43839</v>
      </c>
      <c r="C14" s="10" t="s">
        <v>107</v>
      </c>
      <c r="D14" s="11" t="s">
        <v>180</v>
      </c>
      <c r="E14" s="26">
        <v>51016</v>
      </c>
      <c r="F14" s="10" t="s">
        <v>103</v>
      </c>
      <c r="G14" s="10" t="s">
        <v>46</v>
      </c>
      <c r="H14" s="27" t="s">
        <v>104</v>
      </c>
      <c r="I14" s="12"/>
      <c r="J14" s="12"/>
      <c r="K14" s="13">
        <v>95</v>
      </c>
      <c r="L14" s="21">
        <v>37.200000000000003</v>
      </c>
      <c r="M14" s="14" t="s">
        <v>14</v>
      </c>
      <c r="N14" s="13">
        <v>3534</v>
      </c>
      <c r="O14" s="15">
        <f t="shared" ref="O14:O18" si="4">(N14/K14)-L14</f>
        <v>0</v>
      </c>
      <c r="P14" s="10" t="s">
        <v>84</v>
      </c>
      <c r="Q14" s="11" t="s">
        <v>182</v>
      </c>
      <c r="R14" s="11" t="s">
        <v>183</v>
      </c>
      <c r="S14" s="16" t="s">
        <v>181</v>
      </c>
      <c r="T14" s="19" t="str">
        <f>MONTH(B14)&amp;"-"&amp;YEAR(B14)</f>
        <v>1-2020</v>
      </c>
      <c r="U14" s="2">
        <f>YEAR(B14)</f>
        <v>2020</v>
      </c>
      <c r="V14" s="2" t="str">
        <f>IF(DAY(B14)&gt;15,MONTH(B14)&amp;"-C",MONTH(B14)&amp;"-N")</f>
        <v>1-N</v>
      </c>
      <c r="W14" s="21">
        <v>37.200000000000003</v>
      </c>
      <c r="X14" s="2" t="b">
        <f t="shared" ref="X14:X18" si="5">+L14=W14</f>
        <v>1</v>
      </c>
    </row>
    <row r="15" spans="1:24" x14ac:dyDescent="0.2">
      <c r="B15" s="17">
        <v>43839</v>
      </c>
      <c r="C15" s="10" t="s">
        <v>107</v>
      </c>
      <c r="D15" s="11" t="s">
        <v>180</v>
      </c>
      <c r="E15" s="26">
        <v>51016</v>
      </c>
      <c r="F15" s="10" t="s">
        <v>105</v>
      </c>
      <c r="G15" s="10" t="s">
        <v>46</v>
      </c>
      <c r="H15" s="27" t="s">
        <v>106</v>
      </c>
      <c r="I15" s="12"/>
      <c r="J15" s="12"/>
      <c r="K15" s="13">
        <v>3080</v>
      </c>
      <c r="L15" s="21">
        <v>12.3</v>
      </c>
      <c r="M15" s="14" t="s">
        <v>14</v>
      </c>
      <c r="N15" s="13">
        <v>37884</v>
      </c>
      <c r="O15" s="15">
        <f t="shared" si="4"/>
        <v>0</v>
      </c>
      <c r="P15" s="10" t="s">
        <v>84</v>
      </c>
      <c r="Q15" s="11" t="s">
        <v>182</v>
      </c>
      <c r="R15" s="11" t="s">
        <v>183</v>
      </c>
      <c r="S15" s="16" t="s">
        <v>181</v>
      </c>
      <c r="T15" s="19" t="str">
        <f>MONTH(B15)&amp;"-"&amp;YEAR(B15)</f>
        <v>1-2020</v>
      </c>
      <c r="U15" s="2">
        <f>YEAR(B15)</f>
        <v>2020</v>
      </c>
      <c r="V15" s="2" t="str">
        <f>IF(DAY(B15)&gt;15,MONTH(B15)&amp;"-C",MONTH(B15)&amp;"-N")</f>
        <v>1-N</v>
      </c>
      <c r="W15" s="21">
        <v>12.3</v>
      </c>
      <c r="X15" s="2" t="b">
        <f t="shared" si="5"/>
        <v>1</v>
      </c>
    </row>
    <row r="16" spans="1:24" x14ac:dyDescent="0.2">
      <c r="B16" s="17">
        <v>43839</v>
      </c>
      <c r="C16" s="10" t="s">
        <v>80</v>
      </c>
      <c r="D16" s="11" t="s">
        <v>163</v>
      </c>
      <c r="E16" s="26">
        <v>51015</v>
      </c>
      <c r="F16" s="10" t="s">
        <v>26</v>
      </c>
      <c r="G16" s="10" t="s">
        <v>27</v>
      </c>
      <c r="H16" s="27" t="s">
        <v>28</v>
      </c>
      <c r="I16" s="12"/>
      <c r="J16" s="12"/>
      <c r="K16" s="13">
        <v>3600</v>
      </c>
      <c r="L16" s="21">
        <v>3.15</v>
      </c>
      <c r="M16" s="14" t="s">
        <v>14</v>
      </c>
      <c r="N16" s="13">
        <v>11340</v>
      </c>
      <c r="O16" s="15">
        <f t="shared" si="4"/>
        <v>0</v>
      </c>
      <c r="P16" s="10" t="s">
        <v>78</v>
      </c>
      <c r="Q16" s="11" t="s">
        <v>185</v>
      </c>
      <c r="R16" s="11" t="s">
        <v>186</v>
      </c>
      <c r="S16" s="16" t="s">
        <v>184</v>
      </c>
      <c r="T16" s="19" t="str">
        <f>MONTH(B16)&amp;"-"&amp;YEAR(B16)</f>
        <v>1-2020</v>
      </c>
      <c r="U16" s="2">
        <f>YEAR(B16)</f>
        <v>2020</v>
      </c>
      <c r="V16" s="2" t="str">
        <f>IF(DAY(B16)&gt;15,MONTH(B16)&amp;"-C",MONTH(B16)&amp;"-N")</f>
        <v>1-N</v>
      </c>
      <c r="W16" s="21">
        <v>3.15</v>
      </c>
      <c r="X16" s="2" t="b">
        <f t="shared" si="5"/>
        <v>1</v>
      </c>
    </row>
    <row r="17" spans="2:24" x14ac:dyDescent="0.2">
      <c r="B17" s="17">
        <v>43842</v>
      </c>
      <c r="C17" s="10" t="s">
        <v>80</v>
      </c>
      <c r="D17" s="11" t="s">
        <v>163</v>
      </c>
      <c r="E17" s="26">
        <v>51062</v>
      </c>
      <c r="F17" s="10" t="s">
        <v>26</v>
      </c>
      <c r="G17" s="10" t="s">
        <v>27</v>
      </c>
      <c r="H17" s="27" t="s">
        <v>28</v>
      </c>
      <c r="I17" s="12"/>
      <c r="J17" s="12"/>
      <c r="K17" s="13">
        <v>2700</v>
      </c>
      <c r="L17" s="21">
        <v>3.15</v>
      </c>
      <c r="M17" s="14" t="s">
        <v>14</v>
      </c>
      <c r="N17" s="13">
        <v>8505</v>
      </c>
      <c r="O17" s="15">
        <f t="shared" si="4"/>
        <v>0</v>
      </c>
      <c r="P17" s="10" t="s">
        <v>78</v>
      </c>
      <c r="Q17" s="11" t="s">
        <v>188</v>
      </c>
      <c r="R17" s="11" t="s">
        <v>59</v>
      </c>
      <c r="S17" s="16" t="s">
        <v>187</v>
      </c>
      <c r="T17" s="19" t="str">
        <f>MONTH(B17)&amp;"-"&amp;YEAR(B17)</f>
        <v>1-2020</v>
      </c>
      <c r="U17" s="2">
        <f>YEAR(B17)</f>
        <v>2020</v>
      </c>
      <c r="V17" s="2" t="str">
        <f>IF(DAY(B17)&gt;15,MONTH(B17)&amp;"-C",MONTH(B17)&amp;"-N")</f>
        <v>1-N</v>
      </c>
      <c r="W17" s="21">
        <v>3.15</v>
      </c>
      <c r="X17" s="2" t="b">
        <f t="shared" si="5"/>
        <v>1</v>
      </c>
    </row>
    <row r="18" spans="2:24" x14ac:dyDescent="0.2">
      <c r="B18" s="17">
        <v>43842</v>
      </c>
      <c r="C18" s="10" t="s">
        <v>80</v>
      </c>
      <c r="D18" s="11" t="s">
        <v>163</v>
      </c>
      <c r="E18" s="26">
        <v>51064</v>
      </c>
      <c r="F18" s="10" t="s">
        <v>26</v>
      </c>
      <c r="G18" s="10" t="s">
        <v>27</v>
      </c>
      <c r="H18" s="27" t="s">
        <v>28</v>
      </c>
      <c r="I18" s="12"/>
      <c r="J18" s="12"/>
      <c r="K18" s="13">
        <v>2700</v>
      </c>
      <c r="L18" s="21">
        <v>3.15</v>
      </c>
      <c r="M18" s="14" t="s">
        <v>14</v>
      </c>
      <c r="N18" s="13">
        <v>8505</v>
      </c>
      <c r="O18" s="15">
        <f t="shared" si="4"/>
        <v>0</v>
      </c>
      <c r="P18" s="10" t="s">
        <v>78</v>
      </c>
      <c r="Q18" s="11" t="s">
        <v>190</v>
      </c>
      <c r="R18" s="11" t="s">
        <v>57</v>
      </c>
      <c r="S18" s="16" t="s">
        <v>189</v>
      </c>
      <c r="T18" s="19" t="str">
        <f>MONTH(B18)&amp;"-"&amp;YEAR(B18)</f>
        <v>1-2020</v>
      </c>
      <c r="U18" s="2">
        <f>YEAR(B18)</f>
        <v>2020</v>
      </c>
      <c r="V18" s="2" t="str">
        <f>IF(DAY(B18)&gt;15,MONTH(B18)&amp;"-C",MONTH(B18)&amp;"-N")</f>
        <v>1-N</v>
      </c>
      <c r="W18" s="21">
        <v>3.15</v>
      </c>
      <c r="X18" s="2" t="b">
        <f t="shared" si="5"/>
        <v>1</v>
      </c>
    </row>
    <row r="19" spans="2:24" x14ac:dyDescent="0.2">
      <c r="B19" s="17">
        <v>43843</v>
      </c>
      <c r="C19" s="10" t="s">
        <v>80</v>
      </c>
      <c r="D19" s="11" t="s">
        <v>163</v>
      </c>
      <c r="E19" s="26">
        <v>51077</v>
      </c>
      <c r="F19" s="10" t="s">
        <v>26</v>
      </c>
      <c r="G19" s="10" t="s">
        <v>27</v>
      </c>
      <c r="H19" s="27" t="s">
        <v>28</v>
      </c>
      <c r="I19" s="12"/>
      <c r="J19" s="12"/>
      <c r="K19" s="13">
        <v>2700</v>
      </c>
      <c r="L19" s="21">
        <v>3.15</v>
      </c>
      <c r="M19" s="14" t="s">
        <v>14</v>
      </c>
      <c r="N19" s="13">
        <v>8505</v>
      </c>
      <c r="O19" s="15">
        <f t="shared" ref="O19:O21" si="6">(N19/K19)-L19</f>
        <v>0</v>
      </c>
      <c r="P19" s="10" t="s">
        <v>78</v>
      </c>
      <c r="Q19" s="11" t="s">
        <v>192</v>
      </c>
      <c r="R19" s="11" t="s">
        <v>60</v>
      </c>
      <c r="S19" s="16" t="s">
        <v>191</v>
      </c>
      <c r="T19" s="19" t="str">
        <f>MONTH(B19)&amp;"-"&amp;YEAR(B19)</f>
        <v>1-2020</v>
      </c>
      <c r="U19" s="2">
        <f>YEAR(B19)</f>
        <v>2020</v>
      </c>
      <c r="V19" s="2" t="str">
        <f>IF(DAY(B19)&gt;15,MONTH(B19)&amp;"-C",MONTH(B19)&amp;"-N")</f>
        <v>1-N</v>
      </c>
      <c r="W19" s="21">
        <v>3.15</v>
      </c>
      <c r="X19" s="2" t="b">
        <f t="shared" ref="X19:X21" si="7">+L19=W19</f>
        <v>1</v>
      </c>
    </row>
    <row r="20" spans="2:24" x14ac:dyDescent="0.2">
      <c r="B20" s="17">
        <v>43843</v>
      </c>
      <c r="C20" s="10" t="s">
        <v>80</v>
      </c>
      <c r="D20" s="11" t="s">
        <v>193</v>
      </c>
      <c r="E20" s="26">
        <v>51078</v>
      </c>
      <c r="F20" s="10" t="s">
        <v>31</v>
      </c>
      <c r="G20" s="10" t="s">
        <v>27</v>
      </c>
      <c r="H20" s="27" t="s">
        <v>32</v>
      </c>
      <c r="I20" s="12"/>
      <c r="J20" s="12"/>
      <c r="K20" s="13">
        <v>320</v>
      </c>
      <c r="L20" s="21">
        <v>3.2</v>
      </c>
      <c r="M20" s="14" t="s">
        <v>14</v>
      </c>
      <c r="N20" s="13">
        <v>1024</v>
      </c>
      <c r="O20" s="15">
        <f t="shared" si="6"/>
        <v>0</v>
      </c>
      <c r="P20" s="10" t="s">
        <v>78</v>
      </c>
      <c r="Q20" s="11" t="s">
        <v>195</v>
      </c>
      <c r="R20" s="11" t="s">
        <v>196</v>
      </c>
      <c r="S20" s="16" t="s">
        <v>194</v>
      </c>
      <c r="T20" s="19" t="str">
        <f>MONTH(B20)&amp;"-"&amp;YEAR(B20)</f>
        <v>1-2020</v>
      </c>
      <c r="U20" s="2">
        <f>YEAR(B20)</f>
        <v>2020</v>
      </c>
      <c r="V20" s="2" t="str">
        <f>IF(DAY(B20)&gt;15,MONTH(B20)&amp;"-C",MONTH(B20)&amp;"-N")</f>
        <v>1-N</v>
      </c>
      <c r="W20" s="21">
        <v>3.2</v>
      </c>
      <c r="X20" s="2" t="b">
        <f t="shared" si="7"/>
        <v>1</v>
      </c>
    </row>
    <row r="21" spans="2:24" x14ac:dyDescent="0.2">
      <c r="B21" s="17">
        <v>43843</v>
      </c>
      <c r="C21" s="10" t="s">
        <v>80</v>
      </c>
      <c r="D21" s="11" t="s">
        <v>193</v>
      </c>
      <c r="E21" s="26">
        <v>51078</v>
      </c>
      <c r="F21" s="10" t="s">
        <v>33</v>
      </c>
      <c r="G21" s="10" t="s">
        <v>27</v>
      </c>
      <c r="H21" s="27" t="s">
        <v>34</v>
      </c>
      <c r="I21" s="12"/>
      <c r="J21" s="12"/>
      <c r="K21" s="13">
        <v>360</v>
      </c>
      <c r="L21" s="21">
        <v>5.25</v>
      </c>
      <c r="M21" s="14" t="s">
        <v>14</v>
      </c>
      <c r="N21" s="13">
        <v>1890</v>
      </c>
      <c r="O21" s="15">
        <f t="shared" si="6"/>
        <v>0</v>
      </c>
      <c r="P21" s="10" t="s">
        <v>78</v>
      </c>
      <c r="Q21" s="11" t="s">
        <v>195</v>
      </c>
      <c r="R21" s="11" t="s">
        <v>196</v>
      </c>
      <c r="S21" s="16" t="s">
        <v>194</v>
      </c>
      <c r="T21" s="19" t="str">
        <f>MONTH(B21)&amp;"-"&amp;YEAR(B21)</f>
        <v>1-2020</v>
      </c>
      <c r="U21" s="2">
        <f>YEAR(B21)</f>
        <v>2020</v>
      </c>
      <c r="V21" s="2" t="str">
        <f>IF(DAY(B21)&gt;15,MONTH(B21)&amp;"-C",MONTH(B21)&amp;"-N")</f>
        <v>1-N</v>
      </c>
      <c r="W21" s="21">
        <v>5.25</v>
      </c>
      <c r="X21" s="2" t="b">
        <f t="shared" si="7"/>
        <v>1</v>
      </c>
    </row>
    <row r="22" spans="2:24" x14ac:dyDescent="0.2">
      <c r="B22" s="17">
        <v>43845</v>
      </c>
      <c r="C22" s="10" t="s">
        <v>82</v>
      </c>
      <c r="D22" s="11" t="s">
        <v>161</v>
      </c>
      <c r="E22" s="26">
        <v>51037</v>
      </c>
      <c r="F22" s="10" t="s">
        <v>26</v>
      </c>
      <c r="G22" s="10" t="s">
        <v>27</v>
      </c>
      <c r="H22" s="27" t="s">
        <v>28</v>
      </c>
      <c r="I22" s="12"/>
      <c r="J22" s="12"/>
      <c r="K22" s="13">
        <v>3600</v>
      </c>
      <c r="L22" s="21">
        <v>3.18</v>
      </c>
      <c r="M22" s="14" t="s">
        <v>14</v>
      </c>
      <c r="N22" s="13">
        <v>11448</v>
      </c>
      <c r="O22" s="15">
        <f t="shared" ref="O22:O26" si="8">(N22/K22)-L22</f>
        <v>0</v>
      </c>
      <c r="P22" s="10" t="s">
        <v>78</v>
      </c>
      <c r="Q22" s="11" t="s">
        <v>198</v>
      </c>
      <c r="R22" s="11" t="s">
        <v>199</v>
      </c>
      <c r="S22" s="16" t="s">
        <v>200</v>
      </c>
      <c r="T22" s="19" t="str">
        <f>MONTH(B22)&amp;"-"&amp;YEAR(B22)</f>
        <v>1-2020</v>
      </c>
      <c r="U22" s="2">
        <f>YEAR(B22)</f>
        <v>2020</v>
      </c>
      <c r="V22" s="2" t="str">
        <f>IF(DAY(B22)&gt;15,MONTH(B22)&amp;"-C",MONTH(B22)&amp;"-N")</f>
        <v>1-N</v>
      </c>
      <c r="W22" s="21">
        <v>3.18</v>
      </c>
      <c r="X22" s="2" t="b">
        <f t="shared" ref="X22:X26" si="9">+L22=W22</f>
        <v>1</v>
      </c>
    </row>
    <row r="23" spans="2:24" x14ac:dyDescent="0.2">
      <c r="B23" s="17">
        <v>43845</v>
      </c>
      <c r="C23" s="10" t="s">
        <v>82</v>
      </c>
      <c r="D23" s="11" t="s">
        <v>161</v>
      </c>
      <c r="E23" s="26">
        <v>51056</v>
      </c>
      <c r="F23" s="10" t="s">
        <v>26</v>
      </c>
      <c r="G23" s="10" t="s">
        <v>27</v>
      </c>
      <c r="H23" s="27" t="s">
        <v>28</v>
      </c>
      <c r="I23" s="12"/>
      <c r="J23" s="12"/>
      <c r="K23" s="13">
        <v>2700</v>
      </c>
      <c r="L23" s="21">
        <v>3.18</v>
      </c>
      <c r="M23" s="14" t="s">
        <v>14</v>
      </c>
      <c r="N23" s="13">
        <v>8586</v>
      </c>
      <c r="O23" s="15">
        <f t="shared" si="8"/>
        <v>0</v>
      </c>
      <c r="P23" s="10" t="s">
        <v>78</v>
      </c>
      <c r="Q23" s="11" t="s">
        <v>198</v>
      </c>
      <c r="R23" s="11" t="s">
        <v>199</v>
      </c>
      <c r="S23" s="16" t="s">
        <v>200</v>
      </c>
      <c r="T23" s="19" t="str">
        <f>MONTH(B23)&amp;"-"&amp;YEAR(B23)</f>
        <v>1-2020</v>
      </c>
      <c r="U23" s="2">
        <f>YEAR(B23)</f>
        <v>2020</v>
      </c>
      <c r="V23" s="2" t="str">
        <f>IF(DAY(B23)&gt;15,MONTH(B23)&amp;"-C",MONTH(B23)&amp;"-N")</f>
        <v>1-N</v>
      </c>
      <c r="W23" s="21">
        <v>3.18</v>
      </c>
      <c r="X23" s="2" t="b">
        <f t="shared" si="9"/>
        <v>1</v>
      </c>
    </row>
    <row r="24" spans="2:24" x14ac:dyDescent="0.2">
      <c r="B24" s="17">
        <v>43845</v>
      </c>
      <c r="C24" s="10" t="s">
        <v>82</v>
      </c>
      <c r="D24" s="11" t="s">
        <v>161</v>
      </c>
      <c r="E24" s="26">
        <v>51057</v>
      </c>
      <c r="F24" s="10" t="s">
        <v>26</v>
      </c>
      <c r="G24" s="10" t="s">
        <v>27</v>
      </c>
      <c r="H24" s="27" t="s">
        <v>28</v>
      </c>
      <c r="I24" s="12"/>
      <c r="J24" s="12"/>
      <c r="K24" s="13">
        <v>3600</v>
      </c>
      <c r="L24" s="21">
        <v>3.18</v>
      </c>
      <c r="M24" s="14" t="s">
        <v>14</v>
      </c>
      <c r="N24" s="13">
        <v>11448</v>
      </c>
      <c r="O24" s="15">
        <f t="shared" si="8"/>
        <v>0</v>
      </c>
      <c r="P24" s="10" t="s">
        <v>78</v>
      </c>
      <c r="Q24" s="11" t="s">
        <v>198</v>
      </c>
      <c r="R24" s="11" t="s">
        <v>199</v>
      </c>
      <c r="S24" s="16" t="s">
        <v>200</v>
      </c>
      <c r="T24" s="19" t="str">
        <f>MONTH(B24)&amp;"-"&amp;YEAR(B24)</f>
        <v>1-2020</v>
      </c>
      <c r="U24" s="2">
        <f>YEAR(B24)</f>
        <v>2020</v>
      </c>
      <c r="V24" s="2" t="str">
        <f>IF(DAY(B24)&gt;15,MONTH(B24)&amp;"-C",MONTH(B24)&amp;"-N")</f>
        <v>1-N</v>
      </c>
      <c r="W24" s="21">
        <v>3.18</v>
      </c>
      <c r="X24" s="2" t="b">
        <f t="shared" si="9"/>
        <v>1</v>
      </c>
    </row>
    <row r="25" spans="2:24" x14ac:dyDescent="0.2">
      <c r="B25" s="17">
        <v>43845</v>
      </c>
      <c r="C25" s="10" t="s">
        <v>82</v>
      </c>
      <c r="D25" s="11" t="s">
        <v>161</v>
      </c>
      <c r="E25" s="26">
        <v>51095</v>
      </c>
      <c r="F25" s="10" t="s">
        <v>26</v>
      </c>
      <c r="G25" s="10" t="s">
        <v>27</v>
      </c>
      <c r="H25" s="27" t="s">
        <v>28</v>
      </c>
      <c r="I25" s="12"/>
      <c r="J25" s="12"/>
      <c r="K25" s="13">
        <v>9000</v>
      </c>
      <c r="L25" s="21">
        <v>3.18</v>
      </c>
      <c r="M25" s="14" t="s">
        <v>14</v>
      </c>
      <c r="N25" s="13">
        <v>28620</v>
      </c>
      <c r="O25" s="15">
        <f t="shared" si="8"/>
        <v>0</v>
      </c>
      <c r="P25" s="10" t="s">
        <v>78</v>
      </c>
      <c r="Q25" s="11" t="s">
        <v>198</v>
      </c>
      <c r="R25" s="11" t="s">
        <v>199</v>
      </c>
      <c r="S25" s="16" t="s">
        <v>200</v>
      </c>
      <c r="T25" s="19" t="str">
        <f>MONTH(B25)&amp;"-"&amp;YEAR(B25)</f>
        <v>1-2020</v>
      </c>
      <c r="U25" s="2">
        <f>YEAR(B25)</f>
        <v>2020</v>
      </c>
      <c r="V25" s="2" t="str">
        <f>IF(DAY(B25)&gt;15,MONTH(B25)&amp;"-C",MONTH(B25)&amp;"-N")</f>
        <v>1-N</v>
      </c>
      <c r="W25" s="21">
        <v>3.18</v>
      </c>
      <c r="X25" s="2" t="b">
        <f t="shared" si="9"/>
        <v>1</v>
      </c>
    </row>
    <row r="26" spans="2:24" x14ac:dyDescent="0.2">
      <c r="B26" s="17">
        <v>43845</v>
      </c>
      <c r="C26" s="10" t="s">
        <v>82</v>
      </c>
      <c r="D26" s="11" t="s">
        <v>161</v>
      </c>
      <c r="E26" s="26">
        <v>51121</v>
      </c>
      <c r="F26" s="10" t="s">
        <v>26</v>
      </c>
      <c r="G26" s="10" t="s">
        <v>27</v>
      </c>
      <c r="H26" s="27" t="s">
        <v>28</v>
      </c>
      <c r="I26" s="12"/>
      <c r="J26" s="12"/>
      <c r="K26" s="13">
        <v>1600</v>
      </c>
      <c r="L26" s="21">
        <v>3.18</v>
      </c>
      <c r="M26" s="14" t="s">
        <v>14</v>
      </c>
      <c r="N26" s="13">
        <v>5088</v>
      </c>
      <c r="O26" s="15">
        <f t="shared" si="8"/>
        <v>0</v>
      </c>
      <c r="P26" s="10" t="s">
        <v>78</v>
      </c>
      <c r="Q26" s="11" t="s">
        <v>198</v>
      </c>
      <c r="R26" s="11" t="s">
        <v>199</v>
      </c>
      <c r="S26" s="16" t="s">
        <v>200</v>
      </c>
      <c r="T26" s="19" t="str">
        <f>MONTH(B26)&amp;"-"&amp;YEAR(B26)</f>
        <v>1-2020</v>
      </c>
      <c r="U26" s="2">
        <f>YEAR(B26)</f>
        <v>2020</v>
      </c>
      <c r="V26" s="2" t="str">
        <f>IF(DAY(B26)&gt;15,MONTH(B26)&amp;"-C",MONTH(B26)&amp;"-N")</f>
        <v>1-N</v>
      </c>
      <c r="W26" s="21">
        <v>3.18</v>
      </c>
      <c r="X26" s="2" t="b">
        <f t="shared" si="9"/>
        <v>1</v>
      </c>
    </row>
    <row r="27" spans="2:24" x14ac:dyDescent="0.2">
      <c r="B27" s="17">
        <v>43846</v>
      </c>
      <c r="C27" s="10" t="s">
        <v>80</v>
      </c>
      <c r="D27" s="11" t="s">
        <v>163</v>
      </c>
      <c r="E27" s="26">
        <v>51147</v>
      </c>
      <c r="F27" s="10" t="s">
        <v>26</v>
      </c>
      <c r="G27" s="10" t="s">
        <v>27</v>
      </c>
      <c r="H27" s="27" t="s">
        <v>28</v>
      </c>
      <c r="I27" s="12"/>
      <c r="J27" s="12"/>
      <c r="K27" s="13">
        <v>6300</v>
      </c>
      <c r="L27" s="21">
        <v>3.15</v>
      </c>
      <c r="M27" s="14" t="s">
        <v>14</v>
      </c>
      <c r="N27" s="13">
        <v>19845</v>
      </c>
      <c r="O27" s="15">
        <f t="shared" ref="O27" si="10">(N27/K27)-L27</f>
        <v>0</v>
      </c>
      <c r="P27" s="10" t="s">
        <v>78</v>
      </c>
      <c r="Q27" s="11" t="s">
        <v>202</v>
      </c>
      <c r="R27" s="11" t="s">
        <v>203</v>
      </c>
      <c r="S27" s="16" t="s">
        <v>201</v>
      </c>
      <c r="T27" s="19" t="str">
        <f>MONTH(B27)&amp;"-"&amp;YEAR(B27)</f>
        <v>1-2020</v>
      </c>
      <c r="U27" s="2">
        <f>YEAR(B27)</f>
        <v>2020</v>
      </c>
      <c r="V27" s="2" t="str">
        <f>IF(DAY(B27)&gt;15,MONTH(B27)&amp;"-C",MONTH(B27)&amp;"-N")</f>
        <v>1-C</v>
      </c>
      <c r="W27" s="21">
        <v>3.15</v>
      </c>
      <c r="X27" s="2" t="b">
        <f t="shared" ref="X27" si="11">+L27=W27</f>
        <v>1</v>
      </c>
    </row>
    <row r="28" spans="2:24" x14ac:dyDescent="0.2">
      <c r="B28" s="17">
        <v>43848</v>
      </c>
      <c r="C28" s="10" t="s">
        <v>80</v>
      </c>
      <c r="D28" s="11" t="s">
        <v>193</v>
      </c>
      <c r="E28" s="26">
        <v>51172</v>
      </c>
      <c r="F28" s="10" t="s">
        <v>31</v>
      </c>
      <c r="G28" s="10" t="s">
        <v>27</v>
      </c>
      <c r="H28" s="27" t="s">
        <v>32</v>
      </c>
      <c r="I28" s="12"/>
      <c r="J28" s="12"/>
      <c r="K28" s="13">
        <v>960</v>
      </c>
      <c r="L28" s="21">
        <v>3.2</v>
      </c>
      <c r="M28" s="14" t="s">
        <v>14</v>
      </c>
      <c r="N28" s="13">
        <v>3072</v>
      </c>
      <c r="O28" s="15">
        <f t="shared" ref="O28:O29" si="12">(N28/K28)-L28</f>
        <v>0</v>
      </c>
      <c r="P28" s="10" t="s">
        <v>78</v>
      </c>
      <c r="Q28" s="11" t="s">
        <v>205</v>
      </c>
      <c r="R28" s="11" t="s">
        <v>61</v>
      </c>
      <c r="S28" s="16" t="s">
        <v>204</v>
      </c>
      <c r="T28" s="19" t="str">
        <f>MONTH(B28)&amp;"-"&amp;YEAR(B28)</f>
        <v>1-2020</v>
      </c>
      <c r="U28" s="2">
        <f>YEAR(B28)</f>
        <v>2020</v>
      </c>
      <c r="V28" s="2" t="str">
        <f>IF(DAY(B28)&gt;15,MONTH(B28)&amp;"-C",MONTH(B28)&amp;"-N")</f>
        <v>1-C</v>
      </c>
      <c r="W28" s="21">
        <v>3.2</v>
      </c>
      <c r="X28" s="2" t="b">
        <f t="shared" ref="X28:X29" si="13">+L28=W28</f>
        <v>1</v>
      </c>
    </row>
    <row r="29" spans="2:24" x14ac:dyDescent="0.2">
      <c r="B29" s="17">
        <v>43848</v>
      </c>
      <c r="C29" s="10" t="s">
        <v>80</v>
      </c>
      <c r="D29" s="11" t="s">
        <v>193</v>
      </c>
      <c r="E29" s="26">
        <v>51172</v>
      </c>
      <c r="F29" s="10" t="s">
        <v>33</v>
      </c>
      <c r="G29" s="10" t="s">
        <v>27</v>
      </c>
      <c r="H29" s="27" t="s">
        <v>34</v>
      </c>
      <c r="I29" s="12"/>
      <c r="J29" s="12"/>
      <c r="K29" s="13">
        <v>1080</v>
      </c>
      <c r="L29" s="21">
        <v>5.25</v>
      </c>
      <c r="M29" s="14" t="s">
        <v>14</v>
      </c>
      <c r="N29" s="13">
        <v>5670</v>
      </c>
      <c r="O29" s="15">
        <f t="shared" si="12"/>
        <v>0</v>
      </c>
      <c r="P29" s="10" t="s">
        <v>78</v>
      </c>
      <c r="Q29" s="11" t="s">
        <v>205</v>
      </c>
      <c r="R29" s="11" t="s">
        <v>61</v>
      </c>
      <c r="S29" s="16" t="s">
        <v>204</v>
      </c>
      <c r="T29" s="19" t="str">
        <f>MONTH(B29)&amp;"-"&amp;YEAR(B29)</f>
        <v>1-2020</v>
      </c>
      <c r="U29" s="2">
        <f>YEAR(B29)</f>
        <v>2020</v>
      </c>
      <c r="V29" s="2" t="str">
        <f>IF(DAY(B29)&gt;15,MONTH(B29)&amp;"-C",MONTH(B29)&amp;"-N")</f>
        <v>1-C</v>
      </c>
      <c r="W29" s="21">
        <v>5.25</v>
      </c>
      <c r="X29" s="2" t="b">
        <f t="shared" si="13"/>
        <v>1</v>
      </c>
    </row>
    <row r="30" spans="2:24" x14ac:dyDescent="0.2">
      <c r="B30" s="17">
        <v>43850</v>
      </c>
      <c r="C30" s="10" t="s">
        <v>73</v>
      </c>
      <c r="D30" s="11" t="s">
        <v>206</v>
      </c>
      <c r="E30" s="26">
        <v>51204</v>
      </c>
      <c r="F30" s="10" t="s">
        <v>131</v>
      </c>
      <c r="G30" s="10" t="s">
        <v>46</v>
      </c>
      <c r="H30" s="27" t="s">
        <v>132</v>
      </c>
      <c r="I30" s="12"/>
      <c r="J30" s="12"/>
      <c r="K30" s="13">
        <v>320</v>
      </c>
      <c r="L30" s="21">
        <v>9.85</v>
      </c>
      <c r="M30" s="14" t="s">
        <v>14</v>
      </c>
      <c r="N30" s="13">
        <v>3152</v>
      </c>
      <c r="O30" s="15">
        <f t="shared" ref="O30:O32" si="14">(N30/K30)-L30</f>
        <v>0</v>
      </c>
      <c r="P30" s="10" t="s">
        <v>84</v>
      </c>
      <c r="Q30" s="11" t="s">
        <v>208</v>
      </c>
      <c r="R30" s="11" t="s">
        <v>209</v>
      </c>
      <c r="S30" s="16" t="s">
        <v>207</v>
      </c>
      <c r="T30" s="19" t="str">
        <f>MONTH(B30)&amp;"-"&amp;YEAR(B30)</f>
        <v>1-2020</v>
      </c>
      <c r="U30" s="2">
        <f>YEAR(B30)</f>
        <v>2020</v>
      </c>
      <c r="V30" s="2" t="str">
        <f>IF(DAY(B30)&gt;15,MONTH(B30)&amp;"-C",MONTH(B30)&amp;"-N")</f>
        <v>1-C</v>
      </c>
      <c r="W30" s="21">
        <v>9.85</v>
      </c>
      <c r="X30" s="2" t="b">
        <f t="shared" ref="X30:X32" si="15">+L30=W30</f>
        <v>1</v>
      </c>
    </row>
    <row r="31" spans="2:24" x14ac:dyDescent="0.2">
      <c r="B31" s="17">
        <v>43850</v>
      </c>
      <c r="C31" s="10" t="s">
        <v>73</v>
      </c>
      <c r="D31" s="11" t="s">
        <v>206</v>
      </c>
      <c r="E31" s="26">
        <v>51204</v>
      </c>
      <c r="F31" s="10" t="s">
        <v>133</v>
      </c>
      <c r="G31" s="10" t="s">
        <v>46</v>
      </c>
      <c r="H31" s="27" t="s">
        <v>134</v>
      </c>
      <c r="I31" s="12"/>
      <c r="J31" s="12"/>
      <c r="K31" s="13">
        <v>2000</v>
      </c>
      <c r="L31" s="21">
        <v>9.85</v>
      </c>
      <c r="M31" s="14" t="s">
        <v>14</v>
      </c>
      <c r="N31" s="13">
        <v>19700</v>
      </c>
      <c r="O31" s="15">
        <f t="shared" si="14"/>
        <v>0</v>
      </c>
      <c r="P31" s="10" t="s">
        <v>84</v>
      </c>
      <c r="Q31" s="11" t="s">
        <v>208</v>
      </c>
      <c r="R31" s="11" t="s">
        <v>209</v>
      </c>
      <c r="S31" s="16" t="s">
        <v>207</v>
      </c>
      <c r="T31" s="19" t="str">
        <f>MONTH(B31)&amp;"-"&amp;YEAR(B31)</f>
        <v>1-2020</v>
      </c>
      <c r="U31" s="2">
        <f>YEAR(B31)</f>
        <v>2020</v>
      </c>
      <c r="V31" s="2" t="str">
        <f>IF(DAY(B31)&gt;15,MONTH(B31)&amp;"-C",MONTH(B31)&amp;"-N")</f>
        <v>1-C</v>
      </c>
      <c r="W31" s="21">
        <v>9.85</v>
      </c>
      <c r="X31" s="2" t="b">
        <f t="shared" si="15"/>
        <v>1</v>
      </c>
    </row>
    <row r="32" spans="2:24" x14ac:dyDescent="0.2">
      <c r="B32" s="17">
        <v>43851</v>
      </c>
      <c r="C32" s="10" t="s">
        <v>80</v>
      </c>
      <c r="D32" s="11" t="s">
        <v>163</v>
      </c>
      <c r="E32" s="26">
        <v>51229</v>
      </c>
      <c r="F32" s="10" t="s">
        <v>26</v>
      </c>
      <c r="G32" s="10" t="s">
        <v>27</v>
      </c>
      <c r="H32" s="27" t="s">
        <v>28</v>
      </c>
      <c r="I32" s="12"/>
      <c r="J32" s="12"/>
      <c r="K32" s="13">
        <v>5400</v>
      </c>
      <c r="L32" s="21">
        <v>3.15</v>
      </c>
      <c r="M32" s="14" t="s">
        <v>14</v>
      </c>
      <c r="N32" s="13">
        <v>17010</v>
      </c>
      <c r="O32" s="15">
        <f t="shared" si="14"/>
        <v>0</v>
      </c>
      <c r="P32" s="10" t="s">
        <v>78</v>
      </c>
      <c r="Q32" s="11" t="s">
        <v>212</v>
      </c>
      <c r="R32" s="11" t="s">
        <v>62</v>
      </c>
      <c r="S32" s="16" t="s">
        <v>211</v>
      </c>
      <c r="T32" s="19" t="str">
        <f>MONTH(B32)&amp;"-"&amp;YEAR(B32)</f>
        <v>1-2020</v>
      </c>
      <c r="U32" s="2">
        <f>YEAR(B32)</f>
        <v>2020</v>
      </c>
      <c r="V32" s="2" t="str">
        <f>IF(DAY(B32)&gt;15,MONTH(B32)&amp;"-C",MONTH(B32)&amp;"-N")</f>
        <v>1-C</v>
      </c>
      <c r="W32" s="21">
        <v>3.15</v>
      </c>
      <c r="X32" s="2" t="b">
        <f t="shared" si="15"/>
        <v>1</v>
      </c>
    </row>
    <row r="33" spans="2:24" x14ac:dyDescent="0.2">
      <c r="B33" s="17">
        <v>43852</v>
      </c>
      <c r="C33" s="10" t="s">
        <v>80</v>
      </c>
      <c r="D33" s="11" t="s">
        <v>163</v>
      </c>
      <c r="E33" s="26">
        <v>51252</v>
      </c>
      <c r="F33" s="10" t="s">
        <v>26</v>
      </c>
      <c r="G33" s="10" t="s">
        <v>27</v>
      </c>
      <c r="H33" s="27" t="s">
        <v>28</v>
      </c>
      <c r="I33" s="12"/>
      <c r="J33" s="12"/>
      <c r="K33" s="13">
        <v>5000</v>
      </c>
      <c r="L33" s="21">
        <v>3.15</v>
      </c>
      <c r="M33" s="14" t="s">
        <v>14</v>
      </c>
      <c r="N33" s="13">
        <v>15750</v>
      </c>
      <c r="O33" s="15">
        <f t="shared" ref="O33:O34" si="16">(N33/K33)-L33</f>
        <v>0</v>
      </c>
      <c r="P33" s="10" t="s">
        <v>78</v>
      </c>
      <c r="Q33" s="11" t="s">
        <v>214</v>
      </c>
      <c r="R33" s="11" t="s">
        <v>64</v>
      </c>
      <c r="S33" s="16" t="s">
        <v>213</v>
      </c>
      <c r="T33" s="19" t="str">
        <f>MONTH(B33)&amp;"-"&amp;YEAR(B33)</f>
        <v>1-2020</v>
      </c>
      <c r="U33" s="2">
        <f>YEAR(B33)</f>
        <v>2020</v>
      </c>
      <c r="V33" s="2" t="str">
        <f>IF(DAY(B33)&gt;15,MONTH(B33)&amp;"-C",MONTH(B33)&amp;"-N")</f>
        <v>1-C</v>
      </c>
      <c r="W33" s="21">
        <v>3.15</v>
      </c>
      <c r="X33" s="2" t="b">
        <f t="shared" ref="X33:X34" si="17">+L33=W33</f>
        <v>1</v>
      </c>
    </row>
    <row r="34" spans="2:24" x14ac:dyDescent="0.2">
      <c r="B34" s="17">
        <v>43852</v>
      </c>
      <c r="C34" s="10" t="s">
        <v>80</v>
      </c>
      <c r="D34" s="11" t="s">
        <v>215</v>
      </c>
      <c r="E34" s="26">
        <v>51252</v>
      </c>
      <c r="F34" s="10" t="s">
        <v>26</v>
      </c>
      <c r="G34" s="10" t="s">
        <v>27</v>
      </c>
      <c r="H34" s="27" t="s">
        <v>28</v>
      </c>
      <c r="I34" s="12"/>
      <c r="J34" s="12"/>
      <c r="K34" s="13">
        <v>2200</v>
      </c>
      <c r="L34" s="21">
        <v>3.15</v>
      </c>
      <c r="M34" s="14" t="s">
        <v>14</v>
      </c>
      <c r="N34" s="13">
        <v>6930</v>
      </c>
      <c r="O34" s="15">
        <f t="shared" si="16"/>
        <v>0</v>
      </c>
      <c r="P34" s="10" t="s">
        <v>78</v>
      </c>
      <c r="Q34" s="11" t="s">
        <v>214</v>
      </c>
      <c r="R34" s="11" t="s">
        <v>64</v>
      </c>
      <c r="S34" s="16" t="s">
        <v>213</v>
      </c>
      <c r="T34" s="19" t="str">
        <f>MONTH(B34)&amp;"-"&amp;YEAR(B34)</f>
        <v>1-2020</v>
      </c>
      <c r="U34" s="2">
        <f>YEAR(B34)</f>
        <v>2020</v>
      </c>
      <c r="V34" s="2" t="str">
        <f>IF(DAY(B34)&gt;15,MONTH(B34)&amp;"-C",MONTH(B34)&amp;"-N")</f>
        <v>1-C</v>
      </c>
      <c r="W34" s="21">
        <v>3.15</v>
      </c>
      <c r="X34" s="2" t="b">
        <f t="shared" si="17"/>
        <v>1</v>
      </c>
    </row>
    <row r="35" spans="2:24" x14ac:dyDescent="0.2">
      <c r="B35" s="17">
        <v>43853</v>
      </c>
      <c r="C35" s="10" t="s">
        <v>80</v>
      </c>
      <c r="D35" s="11" t="s">
        <v>215</v>
      </c>
      <c r="E35" s="26">
        <v>51259</v>
      </c>
      <c r="F35" s="10" t="s">
        <v>26</v>
      </c>
      <c r="G35" s="10" t="s">
        <v>27</v>
      </c>
      <c r="H35" s="27" t="s">
        <v>28</v>
      </c>
      <c r="I35" s="12"/>
      <c r="J35" s="12"/>
      <c r="K35" s="13">
        <v>9000</v>
      </c>
      <c r="L35" s="21">
        <v>3.15</v>
      </c>
      <c r="M35" s="14" t="s">
        <v>14</v>
      </c>
      <c r="N35" s="13">
        <v>28350</v>
      </c>
      <c r="O35" s="15">
        <f t="shared" ref="O35:O37" si="18">(N35/K35)-L35</f>
        <v>0</v>
      </c>
      <c r="P35" s="10" t="s">
        <v>78</v>
      </c>
      <c r="Q35" s="11" t="s">
        <v>217</v>
      </c>
      <c r="R35" s="11" t="s">
        <v>63</v>
      </c>
      <c r="S35" s="16" t="s">
        <v>216</v>
      </c>
      <c r="T35" s="19" t="str">
        <f>MONTH(B35)&amp;"-"&amp;YEAR(B35)</f>
        <v>1-2020</v>
      </c>
      <c r="U35" s="2">
        <f>YEAR(B35)</f>
        <v>2020</v>
      </c>
      <c r="V35" s="2" t="str">
        <f>IF(DAY(B35)&gt;15,MONTH(B35)&amp;"-C",MONTH(B35)&amp;"-N")</f>
        <v>1-C</v>
      </c>
      <c r="W35" s="21">
        <v>3.15</v>
      </c>
      <c r="X35" s="2" t="b">
        <f t="shared" ref="X35:X37" si="19">+L35=W35</f>
        <v>1</v>
      </c>
    </row>
    <row r="36" spans="2:24" x14ac:dyDescent="0.2">
      <c r="B36" s="17">
        <v>43853</v>
      </c>
      <c r="C36" s="10" t="s">
        <v>155</v>
      </c>
      <c r="D36" s="11" t="s">
        <v>218</v>
      </c>
      <c r="E36" s="26">
        <v>51284</v>
      </c>
      <c r="F36" s="10" t="s">
        <v>156</v>
      </c>
      <c r="G36" s="10" t="s">
        <v>46</v>
      </c>
      <c r="H36" s="27" t="s">
        <v>157</v>
      </c>
      <c r="I36" s="12"/>
      <c r="J36" s="12"/>
      <c r="K36" s="13">
        <v>5000</v>
      </c>
      <c r="L36" s="21">
        <v>10.843999999999999</v>
      </c>
      <c r="M36" s="14" t="s">
        <v>14</v>
      </c>
      <c r="N36" s="13">
        <v>54221</v>
      </c>
      <c r="O36" s="15">
        <f t="shared" si="18"/>
        <v>2.0000000000131024E-4</v>
      </c>
      <c r="P36" s="10" t="s">
        <v>90</v>
      </c>
      <c r="Q36" s="11" t="s">
        <v>220</v>
      </c>
      <c r="R36" s="11" t="s">
        <v>221</v>
      </c>
      <c r="S36" s="16" t="s">
        <v>219</v>
      </c>
      <c r="T36" s="19" t="str">
        <f>MONTH(B36)&amp;"-"&amp;YEAR(B36)</f>
        <v>1-2020</v>
      </c>
      <c r="U36" s="2">
        <f>YEAR(B36)</f>
        <v>2020</v>
      </c>
      <c r="V36" s="2" t="str">
        <f>IF(DAY(B36)&gt;15,MONTH(B36)&amp;"-C",MONTH(B36)&amp;"-N")</f>
        <v>1-C</v>
      </c>
      <c r="W36" s="21">
        <v>10.843999999999999</v>
      </c>
      <c r="X36" s="2" t="b">
        <f t="shared" si="19"/>
        <v>1</v>
      </c>
    </row>
    <row r="37" spans="2:24" x14ac:dyDescent="0.2">
      <c r="B37" s="17">
        <v>43853</v>
      </c>
      <c r="C37" s="10" t="s">
        <v>155</v>
      </c>
      <c r="D37" s="11" t="s">
        <v>218</v>
      </c>
      <c r="E37" s="26">
        <v>51284</v>
      </c>
      <c r="F37" s="10" t="s">
        <v>158</v>
      </c>
      <c r="G37" s="10" t="s">
        <v>46</v>
      </c>
      <c r="H37" s="27" t="s">
        <v>159</v>
      </c>
      <c r="I37" s="12"/>
      <c r="J37" s="12"/>
      <c r="K37" s="13">
        <v>6210</v>
      </c>
      <c r="L37" s="21">
        <v>10.843999999999999</v>
      </c>
      <c r="M37" s="14" t="s">
        <v>14</v>
      </c>
      <c r="N37" s="13">
        <v>67342.482000000004</v>
      </c>
      <c r="O37" s="15">
        <f t="shared" si="18"/>
        <v>2.0000000000131024E-4</v>
      </c>
      <c r="P37" s="10" t="s">
        <v>90</v>
      </c>
      <c r="Q37" s="11" t="s">
        <v>220</v>
      </c>
      <c r="R37" s="11" t="s">
        <v>221</v>
      </c>
      <c r="S37" s="16" t="s">
        <v>219</v>
      </c>
      <c r="T37" s="19" t="str">
        <f>MONTH(B37)&amp;"-"&amp;YEAR(B37)</f>
        <v>1-2020</v>
      </c>
      <c r="U37" s="2">
        <f>YEAR(B37)</f>
        <v>2020</v>
      </c>
      <c r="V37" s="2" t="str">
        <f>IF(DAY(B37)&gt;15,MONTH(B37)&amp;"-C",MONTH(B37)&amp;"-N")</f>
        <v>1-C</v>
      </c>
      <c r="W37" s="21">
        <v>10.843999999999999</v>
      </c>
      <c r="X37" s="2" t="b">
        <f t="shared" si="19"/>
        <v>1</v>
      </c>
    </row>
    <row r="38" spans="2:24" x14ac:dyDescent="0.2">
      <c r="B38" s="17">
        <v>43860</v>
      </c>
      <c r="C38" s="10" t="s">
        <v>80</v>
      </c>
      <c r="D38" s="11" t="s">
        <v>215</v>
      </c>
      <c r="E38" s="26">
        <v>51363</v>
      </c>
      <c r="F38" s="10" t="s">
        <v>26</v>
      </c>
      <c r="G38" s="10" t="s">
        <v>27</v>
      </c>
      <c r="H38" s="27" t="s">
        <v>28</v>
      </c>
      <c r="I38" s="12"/>
      <c r="J38" s="12"/>
      <c r="K38" s="13">
        <v>3600</v>
      </c>
      <c r="L38" s="21">
        <v>3.15</v>
      </c>
      <c r="M38" s="14" t="s">
        <v>14</v>
      </c>
      <c r="N38" s="13">
        <v>11340</v>
      </c>
      <c r="O38" s="15">
        <f t="shared" ref="O38:O42" si="20">(N38/K38)-L38</f>
        <v>0</v>
      </c>
      <c r="P38" s="10" t="s">
        <v>78</v>
      </c>
      <c r="Q38" s="11" t="s">
        <v>224</v>
      </c>
      <c r="R38" s="11" t="s">
        <v>67</v>
      </c>
      <c r="S38" s="16" t="s">
        <v>223</v>
      </c>
      <c r="T38" s="19" t="str">
        <f>MONTH(B38)&amp;"-"&amp;YEAR(B38)</f>
        <v>1-2020</v>
      </c>
      <c r="U38" s="2">
        <f>YEAR(B38)</f>
        <v>2020</v>
      </c>
      <c r="V38" s="2" t="str">
        <f>IF(DAY(B38)&gt;15,MONTH(B38)&amp;"-C",MONTH(B38)&amp;"-N")</f>
        <v>1-C</v>
      </c>
      <c r="W38" s="21">
        <v>3.15</v>
      </c>
      <c r="X38" s="2" t="b">
        <f t="shared" ref="X38:X42" si="21">+L38=W38</f>
        <v>1</v>
      </c>
    </row>
    <row r="39" spans="2:24" x14ac:dyDescent="0.2">
      <c r="B39" s="17">
        <v>43860</v>
      </c>
      <c r="C39" s="10" t="s">
        <v>25</v>
      </c>
      <c r="D39" s="11" t="s">
        <v>174</v>
      </c>
      <c r="E39" s="26">
        <v>51362</v>
      </c>
      <c r="F39" s="10" t="s">
        <v>29</v>
      </c>
      <c r="G39" s="10" t="s">
        <v>27</v>
      </c>
      <c r="H39" s="27" t="s">
        <v>30</v>
      </c>
      <c r="I39" s="12"/>
      <c r="J39" s="12"/>
      <c r="K39" s="13">
        <v>1980</v>
      </c>
      <c r="L39" s="21">
        <v>2.93</v>
      </c>
      <c r="M39" s="14" t="s">
        <v>14</v>
      </c>
      <c r="N39" s="13">
        <v>5801.4</v>
      </c>
      <c r="O39" s="15">
        <f t="shared" si="20"/>
        <v>0</v>
      </c>
      <c r="P39" s="10" t="s">
        <v>78</v>
      </c>
      <c r="Q39" s="11" t="s">
        <v>226</v>
      </c>
      <c r="R39" s="11" t="s">
        <v>151</v>
      </c>
      <c r="S39" s="16" t="s">
        <v>225</v>
      </c>
      <c r="T39" s="19" t="str">
        <f>MONTH(B39)&amp;"-"&amp;YEAR(B39)</f>
        <v>1-2020</v>
      </c>
      <c r="U39" s="2">
        <f>YEAR(B39)</f>
        <v>2020</v>
      </c>
      <c r="V39" s="2" t="str">
        <f>IF(DAY(B39)&gt;15,MONTH(B39)&amp;"-C",MONTH(B39)&amp;"-N")</f>
        <v>1-C</v>
      </c>
      <c r="W39" s="21">
        <v>2.93</v>
      </c>
      <c r="X39" s="2" t="b">
        <f t="shared" si="21"/>
        <v>1</v>
      </c>
    </row>
    <row r="40" spans="2:24" x14ac:dyDescent="0.2">
      <c r="B40" s="17">
        <v>43860</v>
      </c>
      <c r="C40" s="10" t="s">
        <v>82</v>
      </c>
      <c r="D40" s="11" t="s">
        <v>161</v>
      </c>
      <c r="E40" s="26">
        <v>51321</v>
      </c>
      <c r="F40" s="10" t="s">
        <v>26</v>
      </c>
      <c r="G40" s="10" t="s">
        <v>27</v>
      </c>
      <c r="H40" s="27" t="s">
        <v>28</v>
      </c>
      <c r="I40" s="12"/>
      <c r="J40" s="12"/>
      <c r="K40" s="13">
        <v>4500</v>
      </c>
      <c r="L40" s="21">
        <v>3.18</v>
      </c>
      <c r="M40" s="14" t="s">
        <v>14</v>
      </c>
      <c r="N40" s="13">
        <v>14310</v>
      </c>
      <c r="O40" s="15">
        <f t="shared" si="20"/>
        <v>0</v>
      </c>
      <c r="P40" s="10" t="s">
        <v>141</v>
      </c>
      <c r="Q40" s="11" t="s">
        <v>227</v>
      </c>
      <c r="R40" s="11" t="s">
        <v>228</v>
      </c>
      <c r="S40" s="16" t="s">
        <v>229</v>
      </c>
      <c r="T40" s="19" t="str">
        <f>MONTH(B40)&amp;"-"&amp;YEAR(B40)</f>
        <v>1-2020</v>
      </c>
      <c r="U40" s="2">
        <f>YEAR(B40)</f>
        <v>2020</v>
      </c>
      <c r="V40" s="2" t="str">
        <f>IF(DAY(B40)&gt;15,MONTH(B40)&amp;"-C",MONTH(B40)&amp;"-N")</f>
        <v>1-C</v>
      </c>
      <c r="W40" s="21">
        <v>3.18</v>
      </c>
      <c r="X40" s="2" t="b">
        <f t="shared" si="21"/>
        <v>1</v>
      </c>
    </row>
    <row r="41" spans="2:24" x14ac:dyDescent="0.2">
      <c r="B41" s="17">
        <v>43860</v>
      </c>
      <c r="C41" s="10" t="s">
        <v>82</v>
      </c>
      <c r="D41" s="11" t="s">
        <v>161</v>
      </c>
      <c r="E41" s="26">
        <v>51327</v>
      </c>
      <c r="F41" s="10" t="s">
        <v>26</v>
      </c>
      <c r="G41" s="10" t="s">
        <v>27</v>
      </c>
      <c r="H41" s="27" t="s">
        <v>28</v>
      </c>
      <c r="I41" s="12"/>
      <c r="J41" s="12"/>
      <c r="K41" s="13">
        <v>9000</v>
      </c>
      <c r="L41" s="21">
        <v>3.18</v>
      </c>
      <c r="M41" s="14" t="s">
        <v>14</v>
      </c>
      <c r="N41" s="13">
        <v>28620</v>
      </c>
      <c r="O41" s="15">
        <f t="shared" si="20"/>
        <v>0</v>
      </c>
      <c r="P41" s="10" t="s">
        <v>141</v>
      </c>
      <c r="Q41" s="11" t="s">
        <v>227</v>
      </c>
      <c r="R41" s="11" t="s">
        <v>228</v>
      </c>
      <c r="S41" s="16" t="s">
        <v>229</v>
      </c>
      <c r="T41" s="19" t="str">
        <f>MONTH(B41)&amp;"-"&amp;YEAR(B41)</f>
        <v>1-2020</v>
      </c>
      <c r="U41" s="2">
        <f>YEAR(B41)</f>
        <v>2020</v>
      </c>
      <c r="V41" s="2" t="str">
        <f>IF(DAY(B41)&gt;15,MONTH(B41)&amp;"-C",MONTH(B41)&amp;"-N")</f>
        <v>1-C</v>
      </c>
      <c r="W41" s="21">
        <v>3.18</v>
      </c>
      <c r="X41" s="2" t="b">
        <f t="shared" si="21"/>
        <v>1</v>
      </c>
    </row>
    <row r="42" spans="2:24" x14ac:dyDescent="0.2">
      <c r="B42" s="17">
        <v>43860</v>
      </c>
      <c r="C42" s="10" t="s">
        <v>82</v>
      </c>
      <c r="D42" s="11" t="s">
        <v>161</v>
      </c>
      <c r="E42" s="26">
        <v>51348</v>
      </c>
      <c r="F42" s="10" t="s">
        <v>26</v>
      </c>
      <c r="G42" s="10" t="s">
        <v>27</v>
      </c>
      <c r="H42" s="27" t="s">
        <v>28</v>
      </c>
      <c r="I42" s="12"/>
      <c r="J42" s="12"/>
      <c r="K42" s="13">
        <v>7450</v>
      </c>
      <c r="L42" s="21">
        <v>3.18</v>
      </c>
      <c r="M42" s="14" t="s">
        <v>14</v>
      </c>
      <c r="N42" s="13">
        <v>23691</v>
      </c>
      <c r="O42" s="15">
        <f t="shared" si="20"/>
        <v>0</v>
      </c>
      <c r="P42" s="10" t="s">
        <v>141</v>
      </c>
      <c r="Q42" s="11" t="s">
        <v>227</v>
      </c>
      <c r="R42" s="11" t="s">
        <v>228</v>
      </c>
      <c r="S42" s="16" t="s">
        <v>229</v>
      </c>
      <c r="T42" s="19" t="str">
        <f>MONTH(B42)&amp;"-"&amp;YEAR(B42)</f>
        <v>1-2020</v>
      </c>
      <c r="U42" s="2">
        <f>YEAR(B42)</f>
        <v>2020</v>
      </c>
      <c r="V42" s="2" t="str">
        <f>IF(DAY(B42)&gt;15,MONTH(B42)&amp;"-C",MONTH(B42)&amp;"-N")</f>
        <v>1-C</v>
      </c>
      <c r="W42" s="21">
        <v>3.18</v>
      </c>
      <c r="X42" s="2" t="b">
        <f t="shared" si="21"/>
        <v>1</v>
      </c>
    </row>
    <row r="43" spans="2:24" x14ac:dyDescent="0.2">
      <c r="B43" s="17">
        <v>43865</v>
      </c>
      <c r="C43" s="10" t="s">
        <v>80</v>
      </c>
      <c r="D43" s="11" t="s">
        <v>193</v>
      </c>
      <c r="E43" s="26">
        <v>51474</v>
      </c>
      <c r="F43" s="10" t="s">
        <v>31</v>
      </c>
      <c r="G43" s="10" t="s">
        <v>27</v>
      </c>
      <c r="H43" s="27" t="s">
        <v>32</v>
      </c>
      <c r="I43" s="12"/>
      <c r="J43" s="12"/>
      <c r="K43" s="13">
        <v>1920</v>
      </c>
      <c r="L43" s="21">
        <v>3.2</v>
      </c>
      <c r="M43" s="14" t="s">
        <v>14</v>
      </c>
      <c r="N43" s="13">
        <v>6144</v>
      </c>
      <c r="O43" s="15">
        <f t="shared" ref="O43:O44" si="22">(N43/K43)-L43</f>
        <v>0</v>
      </c>
      <c r="P43" s="10" t="s">
        <v>78</v>
      </c>
      <c r="Q43" s="11" t="s">
        <v>232</v>
      </c>
      <c r="R43" s="11" t="s">
        <v>233</v>
      </c>
      <c r="S43" s="16" t="s">
        <v>231</v>
      </c>
      <c r="T43" s="19" t="str">
        <f>MONTH(B43)&amp;"-"&amp;YEAR(B43)</f>
        <v>2-2020</v>
      </c>
      <c r="U43" s="2">
        <f>YEAR(B43)</f>
        <v>2020</v>
      </c>
      <c r="V43" s="2" t="str">
        <f>IF(DAY(B43)&gt;15,MONTH(B43)&amp;"-C",MONTH(B43)&amp;"-N")</f>
        <v>2-N</v>
      </c>
      <c r="W43" s="21">
        <v>3.2</v>
      </c>
      <c r="X43" s="2" t="b">
        <f t="shared" ref="X43:X44" si="23">+L43=W43</f>
        <v>1</v>
      </c>
    </row>
    <row r="44" spans="2:24" x14ac:dyDescent="0.2">
      <c r="B44" s="17">
        <v>43865</v>
      </c>
      <c r="C44" s="10" t="s">
        <v>80</v>
      </c>
      <c r="D44" s="11" t="s">
        <v>193</v>
      </c>
      <c r="E44" s="26">
        <v>51474</v>
      </c>
      <c r="F44" s="10" t="s">
        <v>33</v>
      </c>
      <c r="G44" s="10" t="s">
        <v>27</v>
      </c>
      <c r="H44" s="27" t="s">
        <v>34</v>
      </c>
      <c r="I44" s="12"/>
      <c r="J44" s="12"/>
      <c r="K44" s="13">
        <v>2160</v>
      </c>
      <c r="L44" s="21">
        <v>5.25</v>
      </c>
      <c r="M44" s="14" t="s">
        <v>14</v>
      </c>
      <c r="N44" s="13">
        <v>11340</v>
      </c>
      <c r="O44" s="15">
        <f t="shared" si="22"/>
        <v>0</v>
      </c>
      <c r="P44" s="10" t="s">
        <v>78</v>
      </c>
      <c r="Q44" s="11" t="s">
        <v>232</v>
      </c>
      <c r="R44" s="11" t="s">
        <v>233</v>
      </c>
      <c r="S44" s="16" t="s">
        <v>231</v>
      </c>
      <c r="T44" s="19" t="str">
        <f>MONTH(B44)&amp;"-"&amp;YEAR(B44)</f>
        <v>2-2020</v>
      </c>
      <c r="U44" s="2">
        <f>YEAR(B44)</f>
        <v>2020</v>
      </c>
      <c r="V44" s="2" t="str">
        <f>IF(DAY(B44)&gt;15,MONTH(B44)&amp;"-C",MONTH(B44)&amp;"-N")</f>
        <v>2-N</v>
      </c>
      <c r="W44" s="21">
        <v>5.25</v>
      </c>
      <c r="X44" s="2" t="b">
        <f t="shared" si="23"/>
        <v>1</v>
      </c>
    </row>
    <row r="45" spans="2:24" x14ac:dyDescent="0.2">
      <c r="B45" s="17">
        <v>43866</v>
      </c>
      <c r="C45" s="10" t="s">
        <v>80</v>
      </c>
      <c r="D45" s="11" t="s">
        <v>215</v>
      </c>
      <c r="E45" s="26">
        <v>51475</v>
      </c>
      <c r="F45" s="10" t="s">
        <v>26</v>
      </c>
      <c r="G45" s="10" t="s">
        <v>27</v>
      </c>
      <c r="H45" s="27" t="s">
        <v>28</v>
      </c>
      <c r="I45" s="12"/>
      <c r="J45" s="12"/>
      <c r="K45" s="13">
        <v>7200</v>
      </c>
      <c r="L45" s="21">
        <v>3.15</v>
      </c>
      <c r="M45" s="14" t="s">
        <v>14</v>
      </c>
      <c r="N45" s="13">
        <v>22680</v>
      </c>
      <c r="O45" s="15">
        <f t="shared" ref="O45" si="24">(N45/K45)-L45</f>
        <v>0</v>
      </c>
      <c r="P45" s="10" t="s">
        <v>78</v>
      </c>
      <c r="Q45" s="11" t="s">
        <v>236</v>
      </c>
      <c r="R45" s="11" t="s">
        <v>237</v>
      </c>
      <c r="S45" s="16" t="s">
        <v>235</v>
      </c>
      <c r="T45" s="19" t="str">
        <f>MONTH(B45)&amp;"-"&amp;YEAR(B45)</f>
        <v>2-2020</v>
      </c>
      <c r="U45" s="2">
        <f>YEAR(B45)</f>
        <v>2020</v>
      </c>
      <c r="V45" s="2" t="str">
        <f>IF(DAY(B45)&gt;15,MONTH(B45)&amp;"-C",MONTH(B45)&amp;"-N")</f>
        <v>2-N</v>
      </c>
      <c r="W45" s="21">
        <v>3.15</v>
      </c>
      <c r="X45" s="2" t="b">
        <f t="shared" ref="X45" si="25">+L45=W45</f>
        <v>1</v>
      </c>
    </row>
    <row r="46" spans="2:24" x14ac:dyDescent="0.2">
      <c r="B46" s="17">
        <v>43868</v>
      </c>
      <c r="C46" s="10" t="s">
        <v>80</v>
      </c>
      <c r="D46" s="11" t="s">
        <v>215</v>
      </c>
      <c r="E46" s="26">
        <v>51387</v>
      </c>
      <c r="F46" s="10" t="s">
        <v>26</v>
      </c>
      <c r="G46" s="10" t="s">
        <v>27</v>
      </c>
      <c r="H46" s="27" t="s">
        <v>28</v>
      </c>
      <c r="I46" s="12"/>
      <c r="J46" s="12"/>
      <c r="K46" s="13">
        <v>3600</v>
      </c>
      <c r="L46" s="21">
        <v>3.15</v>
      </c>
      <c r="M46" s="14" t="s">
        <v>14</v>
      </c>
      <c r="N46" s="13">
        <v>11340</v>
      </c>
      <c r="O46" s="15">
        <f t="shared" ref="O46:O56" si="26">(N46/K46)-L46</f>
        <v>0</v>
      </c>
      <c r="P46" s="10" t="s">
        <v>78</v>
      </c>
      <c r="Q46" s="11" t="s">
        <v>239</v>
      </c>
      <c r="R46" s="11" t="s">
        <v>240</v>
      </c>
      <c r="S46" s="16" t="s">
        <v>238</v>
      </c>
      <c r="T46" s="19" t="str">
        <f>MONTH(B46)&amp;"-"&amp;YEAR(B46)</f>
        <v>2-2020</v>
      </c>
      <c r="U46" s="2">
        <f>YEAR(B46)</f>
        <v>2020</v>
      </c>
      <c r="V46" s="2" t="str">
        <f>IF(DAY(B46)&gt;15,MONTH(B46)&amp;"-C",MONTH(B46)&amp;"-N")</f>
        <v>2-N</v>
      </c>
      <c r="W46" s="21">
        <v>3.15</v>
      </c>
      <c r="X46" s="2" t="b">
        <f t="shared" ref="X46:X56" si="27">+L46=W46</f>
        <v>1</v>
      </c>
    </row>
    <row r="47" spans="2:24" x14ac:dyDescent="0.2">
      <c r="B47" s="17">
        <v>43868</v>
      </c>
      <c r="C47" s="10" t="s">
        <v>80</v>
      </c>
      <c r="D47" s="11" t="s">
        <v>215</v>
      </c>
      <c r="E47" s="26">
        <v>51424</v>
      </c>
      <c r="F47" s="10" t="s">
        <v>26</v>
      </c>
      <c r="G47" s="10" t="s">
        <v>27</v>
      </c>
      <c r="H47" s="27" t="s">
        <v>28</v>
      </c>
      <c r="I47" s="12"/>
      <c r="J47" s="12"/>
      <c r="K47" s="13">
        <v>5400</v>
      </c>
      <c r="L47" s="21">
        <v>3.15</v>
      </c>
      <c r="M47" s="14" t="s">
        <v>14</v>
      </c>
      <c r="N47" s="13">
        <v>17010</v>
      </c>
      <c r="O47" s="15">
        <f t="shared" si="26"/>
        <v>0</v>
      </c>
      <c r="P47" s="10" t="s">
        <v>78</v>
      </c>
      <c r="Q47" s="11" t="s">
        <v>242</v>
      </c>
      <c r="R47" s="11" t="s">
        <v>243</v>
      </c>
      <c r="S47" s="16" t="s">
        <v>241</v>
      </c>
      <c r="T47" s="19" t="str">
        <f>MONTH(B47)&amp;"-"&amp;YEAR(B47)</f>
        <v>2-2020</v>
      </c>
      <c r="U47" s="2">
        <f>YEAR(B47)</f>
        <v>2020</v>
      </c>
      <c r="V47" s="2" t="str">
        <f>IF(DAY(B47)&gt;15,MONTH(B47)&amp;"-C",MONTH(B47)&amp;"-N")</f>
        <v>2-N</v>
      </c>
      <c r="W47" s="21">
        <v>3.15</v>
      </c>
      <c r="X47" s="2" t="b">
        <f t="shared" si="27"/>
        <v>1</v>
      </c>
    </row>
    <row r="48" spans="2:24" x14ac:dyDescent="0.2">
      <c r="B48" s="17">
        <v>43868</v>
      </c>
      <c r="C48" s="10" t="s">
        <v>80</v>
      </c>
      <c r="D48" s="11" t="s">
        <v>215</v>
      </c>
      <c r="E48" s="26">
        <v>51463</v>
      </c>
      <c r="F48" s="10" t="s">
        <v>26</v>
      </c>
      <c r="G48" s="10" t="s">
        <v>27</v>
      </c>
      <c r="H48" s="27" t="s">
        <v>28</v>
      </c>
      <c r="I48" s="12"/>
      <c r="J48" s="12"/>
      <c r="K48" s="13">
        <v>3600</v>
      </c>
      <c r="L48" s="21">
        <v>3.15</v>
      </c>
      <c r="M48" s="14" t="s">
        <v>14</v>
      </c>
      <c r="N48" s="13">
        <v>11340</v>
      </c>
      <c r="O48" s="15">
        <f t="shared" si="26"/>
        <v>0</v>
      </c>
      <c r="P48" s="10" t="s">
        <v>78</v>
      </c>
      <c r="Q48" s="11" t="s">
        <v>245</v>
      </c>
      <c r="R48" s="11" t="s">
        <v>246</v>
      </c>
      <c r="S48" s="16" t="s">
        <v>244</v>
      </c>
      <c r="T48" s="19" t="str">
        <f>MONTH(B48)&amp;"-"&amp;YEAR(B48)</f>
        <v>2-2020</v>
      </c>
      <c r="U48" s="2">
        <f>YEAR(B48)</f>
        <v>2020</v>
      </c>
      <c r="V48" s="2" t="str">
        <f>IF(DAY(B48)&gt;15,MONTH(B48)&amp;"-C",MONTH(B48)&amp;"-N")</f>
        <v>2-N</v>
      </c>
      <c r="W48" s="21">
        <v>3.15</v>
      </c>
      <c r="X48" s="2" t="b">
        <f t="shared" si="27"/>
        <v>1</v>
      </c>
    </row>
    <row r="49" spans="2:24" x14ac:dyDescent="0.2">
      <c r="B49" s="17">
        <v>43868</v>
      </c>
      <c r="C49" s="10" t="s">
        <v>107</v>
      </c>
      <c r="D49" s="11" t="s">
        <v>247</v>
      </c>
      <c r="E49" s="26">
        <v>51416</v>
      </c>
      <c r="F49" s="10" t="s">
        <v>103</v>
      </c>
      <c r="G49" s="10" t="s">
        <v>46</v>
      </c>
      <c r="H49" s="27" t="s">
        <v>104</v>
      </c>
      <c r="I49" s="12"/>
      <c r="J49" s="12"/>
      <c r="K49" s="13">
        <v>95</v>
      </c>
      <c r="L49" s="21">
        <v>37.200000000000003</v>
      </c>
      <c r="M49" s="14" t="s">
        <v>14</v>
      </c>
      <c r="N49" s="13">
        <v>3534</v>
      </c>
      <c r="O49" s="15">
        <f t="shared" si="26"/>
        <v>0</v>
      </c>
      <c r="P49" s="10" t="s">
        <v>84</v>
      </c>
      <c r="Q49" s="11" t="s">
        <v>249</v>
      </c>
      <c r="R49" s="11" t="s">
        <v>250</v>
      </c>
      <c r="S49" s="16" t="s">
        <v>248</v>
      </c>
      <c r="T49" s="19" t="str">
        <f>MONTH(B49)&amp;"-"&amp;YEAR(B49)</f>
        <v>2-2020</v>
      </c>
      <c r="U49" s="2">
        <f>YEAR(B49)</f>
        <v>2020</v>
      </c>
      <c r="V49" s="2" t="str">
        <f>IF(DAY(B49)&gt;15,MONTH(B49)&amp;"-C",MONTH(B49)&amp;"-N")</f>
        <v>2-N</v>
      </c>
      <c r="W49" s="21">
        <v>37.200000000000003</v>
      </c>
      <c r="X49" s="2" t="b">
        <f t="shared" si="27"/>
        <v>1</v>
      </c>
    </row>
    <row r="50" spans="2:24" x14ac:dyDescent="0.2">
      <c r="B50" s="17">
        <v>43868</v>
      </c>
      <c r="C50" s="10" t="s">
        <v>107</v>
      </c>
      <c r="D50" s="11" t="s">
        <v>247</v>
      </c>
      <c r="E50" s="26">
        <v>51416</v>
      </c>
      <c r="F50" s="10" t="s">
        <v>105</v>
      </c>
      <c r="G50" s="10" t="s">
        <v>46</v>
      </c>
      <c r="H50" s="27" t="s">
        <v>106</v>
      </c>
      <c r="I50" s="12"/>
      <c r="J50" s="12"/>
      <c r="K50" s="13">
        <v>3080</v>
      </c>
      <c r="L50" s="21">
        <v>12.3</v>
      </c>
      <c r="M50" s="14" t="s">
        <v>14</v>
      </c>
      <c r="N50" s="13">
        <v>37884</v>
      </c>
      <c r="O50" s="15">
        <f t="shared" si="26"/>
        <v>0</v>
      </c>
      <c r="P50" s="10" t="s">
        <v>84</v>
      </c>
      <c r="Q50" s="11" t="s">
        <v>249</v>
      </c>
      <c r="R50" s="11" t="s">
        <v>250</v>
      </c>
      <c r="S50" s="16" t="s">
        <v>248</v>
      </c>
      <c r="T50" s="19" t="str">
        <f>MONTH(B50)&amp;"-"&amp;YEAR(B50)</f>
        <v>2-2020</v>
      </c>
      <c r="U50" s="2">
        <f>YEAR(B50)</f>
        <v>2020</v>
      </c>
      <c r="V50" s="2" t="str">
        <f>IF(DAY(B50)&gt;15,MONTH(B50)&amp;"-C",MONTH(B50)&amp;"-N")</f>
        <v>2-N</v>
      </c>
      <c r="W50" s="21">
        <v>12.3</v>
      </c>
      <c r="X50" s="2" t="b">
        <f t="shared" si="27"/>
        <v>1</v>
      </c>
    </row>
    <row r="51" spans="2:24" x14ac:dyDescent="0.2">
      <c r="B51" s="17">
        <v>43868</v>
      </c>
      <c r="C51" s="10" t="s">
        <v>108</v>
      </c>
      <c r="D51" s="11" t="s">
        <v>251</v>
      </c>
      <c r="E51" s="26">
        <v>51418</v>
      </c>
      <c r="F51" s="10" t="s">
        <v>121</v>
      </c>
      <c r="G51" s="10" t="s">
        <v>46</v>
      </c>
      <c r="H51" s="27" t="s">
        <v>122</v>
      </c>
      <c r="I51" s="12"/>
      <c r="J51" s="12"/>
      <c r="K51" s="13">
        <v>1150</v>
      </c>
      <c r="L51" s="21">
        <v>9.1999999999999993</v>
      </c>
      <c r="M51" s="14" t="s">
        <v>14</v>
      </c>
      <c r="N51" s="13">
        <v>10580</v>
      </c>
      <c r="O51" s="15">
        <f t="shared" si="26"/>
        <v>0</v>
      </c>
      <c r="P51" s="10" t="s">
        <v>84</v>
      </c>
      <c r="Q51" s="11" t="s">
        <v>253</v>
      </c>
      <c r="R51" s="11" t="s">
        <v>252</v>
      </c>
      <c r="S51" s="16" t="s">
        <v>252</v>
      </c>
      <c r="T51" s="19" t="str">
        <f>MONTH(B51)&amp;"-"&amp;YEAR(B51)</f>
        <v>2-2020</v>
      </c>
      <c r="U51" s="2">
        <f>YEAR(B51)</f>
        <v>2020</v>
      </c>
      <c r="V51" s="2" t="str">
        <f>IF(DAY(B51)&gt;15,MONTH(B51)&amp;"-C",MONTH(B51)&amp;"-N")</f>
        <v>2-N</v>
      </c>
      <c r="W51" s="21">
        <v>9.1999999999999993</v>
      </c>
      <c r="X51" s="2" t="b">
        <f t="shared" si="27"/>
        <v>1</v>
      </c>
    </row>
    <row r="52" spans="2:24" x14ac:dyDescent="0.2">
      <c r="B52" s="17">
        <v>43868</v>
      </c>
      <c r="C52" s="10" t="s">
        <v>108</v>
      </c>
      <c r="D52" s="11" t="s">
        <v>251</v>
      </c>
      <c r="E52" s="26">
        <v>51418</v>
      </c>
      <c r="F52" s="10" t="s">
        <v>123</v>
      </c>
      <c r="G52" s="10" t="s">
        <v>46</v>
      </c>
      <c r="H52" s="27" t="s">
        <v>124</v>
      </c>
      <c r="I52" s="12"/>
      <c r="J52" s="12"/>
      <c r="K52" s="13">
        <v>1840</v>
      </c>
      <c r="L52" s="21">
        <v>11.81</v>
      </c>
      <c r="M52" s="14" t="s">
        <v>14</v>
      </c>
      <c r="N52" s="13">
        <v>21730.400000000001</v>
      </c>
      <c r="O52" s="15">
        <f t="shared" si="26"/>
        <v>0</v>
      </c>
      <c r="P52" s="10" t="s">
        <v>84</v>
      </c>
      <c r="Q52" s="11" t="s">
        <v>253</v>
      </c>
      <c r="R52" s="11" t="s">
        <v>252</v>
      </c>
      <c r="S52" s="16" t="s">
        <v>252</v>
      </c>
      <c r="T52" s="19" t="str">
        <f>MONTH(B52)&amp;"-"&amp;YEAR(B52)</f>
        <v>2-2020</v>
      </c>
      <c r="U52" s="2">
        <f>YEAR(B52)</f>
        <v>2020</v>
      </c>
      <c r="V52" s="2" t="str">
        <f>IF(DAY(B52)&gt;15,MONTH(B52)&amp;"-C",MONTH(B52)&amp;"-N")</f>
        <v>2-N</v>
      </c>
      <c r="W52" s="21">
        <v>11.81</v>
      </c>
      <c r="X52" s="2" t="b">
        <f t="shared" si="27"/>
        <v>1</v>
      </c>
    </row>
    <row r="53" spans="2:24" x14ac:dyDescent="0.2">
      <c r="B53" s="17">
        <v>43868</v>
      </c>
      <c r="C53" s="10" t="s">
        <v>108</v>
      </c>
      <c r="D53" s="11" t="s">
        <v>251</v>
      </c>
      <c r="E53" s="26">
        <v>51418</v>
      </c>
      <c r="F53" s="10" t="s">
        <v>139</v>
      </c>
      <c r="G53" s="10" t="s">
        <v>46</v>
      </c>
      <c r="H53" s="27" t="s">
        <v>140</v>
      </c>
      <c r="I53" s="12"/>
      <c r="J53" s="12"/>
      <c r="K53" s="13">
        <v>5704</v>
      </c>
      <c r="L53" s="21">
        <v>7.85</v>
      </c>
      <c r="M53" s="14" t="s">
        <v>14</v>
      </c>
      <c r="N53" s="13">
        <v>44776.4</v>
      </c>
      <c r="O53" s="15">
        <f t="shared" si="26"/>
        <v>0</v>
      </c>
      <c r="P53" s="10" t="s">
        <v>84</v>
      </c>
      <c r="Q53" s="11" t="s">
        <v>253</v>
      </c>
      <c r="R53" s="11" t="s">
        <v>252</v>
      </c>
      <c r="S53" s="16" t="s">
        <v>252</v>
      </c>
      <c r="T53" s="19" t="str">
        <f>MONTH(B53)&amp;"-"&amp;YEAR(B53)</f>
        <v>2-2020</v>
      </c>
      <c r="U53" s="2">
        <f>YEAR(B53)</f>
        <v>2020</v>
      </c>
      <c r="V53" s="2" t="str">
        <f>IF(DAY(B53)&gt;15,MONTH(B53)&amp;"-C",MONTH(B53)&amp;"-N")</f>
        <v>2-N</v>
      </c>
      <c r="W53" s="21">
        <v>7.85</v>
      </c>
      <c r="X53" s="2" t="b">
        <f t="shared" si="27"/>
        <v>1</v>
      </c>
    </row>
    <row r="54" spans="2:24" x14ac:dyDescent="0.2">
      <c r="B54" s="17">
        <v>43868</v>
      </c>
      <c r="C54" s="10" t="s">
        <v>108</v>
      </c>
      <c r="D54" s="11" t="s">
        <v>251</v>
      </c>
      <c r="E54" s="26">
        <v>51418</v>
      </c>
      <c r="F54" s="10" t="s">
        <v>129</v>
      </c>
      <c r="G54" s="10" t="s">
        <v>46</v>
      </c>
      <c r="H54" s="27" t="s">
        <v>130</v>
      </c>
      <c r="I54" s="12"/>
      <c r="J54" s="12"/>
      <c r="K54" s="13">
        <v>8280</v>
      </c>
      <c r="L54" s="21">
        <v>10.86</v>
      </c>
      <c r="M54" s="14" t="s">
        <v>14</v>
      </c>
      <c r="N54" s="13">
        <v>89920.8</v>
      </c>
      <c r="O54" s="15">
        <f t="shared" si="26"/>
        <v>0</v>
      </c>
      <c r="P54" s="10" t="s">
        <v>84</v>
      </c>
      <c r="Q54" s="11" t="s">
        <v>253</v>
      </c>
      <c r="R54" s="11" t="s">
        <v>252</v>
      </c>
      <c r="S54" s="16" t="s">
        <v>252</v>
      </c>
      <c r="T54" s="19" t="str">
        <f>MONTH(B54)&amp;"-"&amp;YEAR(B54)</f>
        <v>2-2020</v>
      </c>
      <c r="U54" s="2">
        <f>YEAR(B54)</f>
        <v>2020</v>
      </c>
      <c r="V54" s="2" t="str">
        <f>IF(DAY(B54)&gt;15,MONTH(B54)&amp;"-C",MONTH(B54)&amp;"-N")</f>
        <v>2-N</v>
      </c>
      <c r="W54" s="21">
        <v>10.86</v>
      </c>
      <c r="X54" s="2" t="b">
        <f t="shared" si="27"/>
        <v>1</v>
      </c>
    </row>
    <row r="55" spans="2:24" x14ac:dyDescent="0.2">
      <c r="B55" s="17">
        <v>43869</v>
      </c>
      <c r="C55" s="10" t="s">
        <v>80</v>
      </c>
      <c r="D55" s="11" t="s">
        <v>215</v>
      </c>
      <c r="E55" s="26">
        <v>51498</v>
      </c>
      <c r="F55" s="10" t="s">
        <v>26</v>
      </c>
      <c r="G55" s="10" t="s">
        <v>27</v>
      </c>
      <c r="H55" s="27" t="s">
        <v>28</v>
      </c>
      <c r="I55" s="12"/>
      <c r="J55" s="12"/>
      <c r="K55" s="13">
        <v>9000</v>
      </c>
      <c r="L55" s="21">
        <v>3.15</v>
      </c>
      <c r="M55" s="14" t="s">
        <v>14</v>
      </c>
      <c r="N55" s="13">
        <v>28350</v>
      </c>
      <c r="O55" s="15">
        <f t="shared" si="26"/>
        <v>0</v>
      </c>
      <c r="P55" s="10" t="s">
        <v>78</v>
      </c>
      <c r="Q55" s="11" t="s">
        <v>255</v>
      </c>
      <c r="R55" s="11" t="s">
        <v>256</v>
      </c>
      <c r="S55" s="16" t="s">
        <v>254</v>
      </c>
      <c r="T55" s="19" t="str">
        <f>MONTH(B55)&amp;"-"&amp;YEAR(B55)</f>
        <v>2-2020</v>
      </c>
      <c r="U55" s="2">
        <f>YEAR(B55)</f>
        <v>2020</v>
      </c>
      <c r="V55" s="2" t="str">
        <f>IF(DAY(B55)&gt;15,MONTH(B55)&amp;"-C",MONTH(B55)&amp;"-N")</f>
        <v>2-N</v>
      </c>
      <c r="W55" s="21">
        <v>3.15</v>
      </c>
      <c r="X55" s="2" t="b">
        <f t="shared" si="27"/>
        <v>1</v>
      </c>
    </row>
    <row r="56" spans="2:24" x14ac:dyDescent="0.2">
      <c r="B56" s="17">
        <v>43869</v>
      </c>
      <c r="C56" s="10" t="s">
        <v>150</v>
      </c>
      <c r="D56" s="11" t="s">
        <v>257</v>
      </c>
      <c r="E56" s="26">
        <v>51500</v>
      </c>
      <c r="F56" s="10" t="s">
        <v>49</v>
      </c>
      <c r="G56" s="10" t="s">
        <v>27</v>
      </c>
      <c r="H56" s="27" t="s">
        <v>50</v>
      </c>
      <c r="I56" s="12"/>
      <c r="J56" s="12"/>
      <c r="K56" s="13">
        <v>2400</v>
      </c>
      <c r="L56" s="21">
        <v>6.3</v>
      </c>
      <c r="M56" s="14" t="s">
        <v>14</v>
      </c>
      <c r="N56" s="13">
        <v>15120</v>
      </c>
      <c r="O56" s="15">
        <f t="shared" si="26"/>
        <v>0</v>
      </c>
      <c r="P56" s="10" t="s">
        <v>78</v>
      </c>
      <c r="Q56" s="11" t="s">
        <v>259</v>
      </c>
      <c r="R56" s="11" t="s">
        <v>258</v>
      </c>
      <c r="S56" s="16" t="s">
        <v>258</v>
      </c>
      <c r="T56" s="19" t="str">
        <f>MONTH(B56)&amp;"-"&amp;YEAR(B56)</f>
        <v>2-2020</v>
      </c>
      <c r="U56" s="2">
        <f>YEAR(B56)</f>
        <v>2020</v>
      </c>
      <c r="V56" s="2" t="str">
        <f>IF(DAY(B56)&gt;15,MONTH(B56)&amp;"-C",MONTH(B56)&amp;"-N")</f>
        <v>2-N</v>
      </c>
      <c r="W56" s="21">
        <v>6.3</v>
      </c>
      <c r="X56" s="2" t="b">
        <f t="shared" si="27"/>
        <v>1</v>
      </c>
    </row>
    <row r="57" spans="2:24" x14ac:dyDescent="0.2">
      <c r="B57" s="17">
        <v>43870</v>
      </c>
      <c r="C57" s="10" t="s">
        <v>80</v>
      </c>
      <c r="D57" s="11" t="s">
        <v>215</v>
      </c>
      <c r="E57" s="26">
        <v>51513</v>
      </c>
      <c r="F57" s="10" t="s">
        <v>26</v>
      </c>
      <c r="G57" s="10" t="s">
        <v>27</v>
      </c>
      <c r="H57" s="27" t="s">
        <v>28</v>
      </c>
      <c r="I57" s="12"/>
      <c r="J57" s="12"/>
      <c r="K57" s="13">
        <v>6300</v>
      </c>
      <c r="L57" s="21">
        <v>3.15</v>
      </c>
      <c r="M57" s="14" t="s">
        <v>14</v>
      </c>
      <c r="N57" s="13">
        <v>19845</v>
      </c>
      <c r="O57" s="15">
        <f t="shared" ref="O57" si="28">(N57/K57)-L57</f>
        <v>0</v>
      </c>
      <c r="P57" s="10" t="s">
        <v>78</v>
      </c>
      <c r="Q57" s="11" t="s">
        <v>261</v>
      </c>
      <c r="R57" s="11" t="s">
        <v>262</v>
      </c>
      <c r="S57" s="16" t="s">
        <v>260</v>
      </c>
      <c r="T57" s="19" t="str">
        <f>MONTH(B57)&amp;"-"&amp;YEAR(B57)</f>
        <v>2-2020</v>
      </c>
      <c r="U57" s="2">
        <f>YEAR(B57)</f>
        <v>2020</v>
      </c>
      <c r="V57" s="2" t="str">
        <f>IF(DAY(B57)&gt;15,MONTH(B57)&amp;"-C",MONTH(B57)&amp;"-N")</f>
        <v>2-N</v>
      </c>
      <c r="W57" s="21">
        <v>3.15</v>
      </c>
      <c r="X57" s="2" t="b">
        <f t="shared" ref="X57" si="29">+L57=W57</f>
        <v>1</v>
      </c>
    </row>
    <row r="58" spans="2:24" x14ac:dyDescent="0.2">
      <c r="B58" s="17">
        <v>43873</v>
      </c>
      <c r="C58" s="10" t="s">
        <v>80</v>
      </c>
      <c r="D58" s="11" t="s">
        <v>265</v>
      </c>
      <c r="E58" s="26">
        <v>51545</v>
      </c>
      <c r="F58" s="10" t="s">
        <v>26</v>
      </c>
      <c r="G58" s="10" t="s">
        <v>27</v>
      </c>
      <c r="H58" s="27" t="s">
        <v>28</v>
      </c>
      <c r="I58" s="12"/>
      <c r="J58" s="12"/>
      <c r="K58" s="13">
        <v>3600</v>
      </c>
      <c r="L58" s="21">
        <v>3.16</v>
      </c>
      <c r="M58" s="14" t="s">
        <v>14</v>
      </c>
      <c r="N58" s="13">
        <v>11376</v>
      </c>
      <c r="O58" s="15">
        <f t="shared" ref="O58:O63" si="30">(N58/K58)-L58</f>
        <v>0</v>
      </c>
      <c r="P58" s="10" t="s">
        <v>78</v>
      </c>
      <c r="Q58" s="11" t="s">
        <v>267</v>
      </c>
      <c r="R58" s="11" t="s">
        <v>268</v>
      </c>
      <c r="S58" s="16" t="s">
        <v>266</v>
      </c>
      <c r="T58" s="19" t="str">
        <f>MONTH(B58)&amp;"-"&amp;YEAR(B58)</f>
        <v>2-2020</v>
      </c>
      <c r="U58" s="2">
        <f>YEAR(B58)</f>
        <v>2020</v>
      </c>
      <c r="V58" s="2" t="str">
        <f>IF(DAY(B58)&gt;15,MONTH(B58)&amp;"-C",MONTH(B58)&amp;"-N")</f>
        <v>2-N</v>
      </c>
      <c r="W58" s="21">
        <v>3.16</v>
      </c>
      <c r="X58" s="2" t="b">
        <f t="shared" ref="X58:X63" si="31">+L58=W58</f>
        <v>1</v>
      </c>
    </row>
    <row r="59" spans="2:24" x14ac:dyDescent="0.2">
      <c r="B59" s="17">
        <v>43873</v>
      </c>
      <c r="C59" s="10" t="s">
        <v>107</v>
      </c>
      <c r="D59" s="11" t="s">
        <v>269</v>
      </c>
      <c r="E59" s="26">
        <v>51596</v>
      </c>
      <c r="F59" s="10" t="s">
        <v>103</v>
      </c>
      <c r="G59" s="10" t="s">
        <v>46</v>
      </c>
      <c r="H59" s="27" t="s">
        <v>104</v>
      </c>
      <c r="I59" s="12"/>
      <c r="J59" s="12"/>
      <c r="K59" s="13">
        <v>95</v>
      </c>
      <c r="L59" s="21">
        <v>37.200000000000003</v>
      </c>
      <c r="M59" s="14" t="s">
        <v>14</v>
      </c>
      <c r="N59" s="13">
        <v>3534</v>
      </c>
      <c r="O59" s="15">
        <f t="shared" si="30"/>
        <v>0</v>
      </c>
      <c r="P59" s="10" t="s">
        <v>84</v>
      </c>
      <c r="Q59" s="11" t="s">
        <v>271</v>
      </c>
      <c r="R59" s="11" t="s">
        <v>272</v>
      </c>
      <c r="S59" s="16" t="s">
        <v>270</v>
      </c>
      <c r="T59" s="19" t="str">
        <f>MONTH(B59)&amp;"-"&amp;YEAR(B59)</f>
        <v>2-2020</v>
      </c>
      <c r="U59" s="2">
        <f>YEAR(B59)</f>
        <v>2020</v>
      </c>
      <c r="V59" s="2" t="str">
        <f>IF(DAY(B59)&gt;15,MONTH(B59)&amp;"-C",MONTH(B59)&amp;"-N")</f>
        <v>2-N</v>
      </c>
      <c r="W59" s="21">
        <v>37.200000000000003</v>
      </c>
      <c r="X59" s="2" t="b">
        <f t="shared" si="31"/>
        <v>1</v>
      </c>
    </row>
    <row r="60" spans="2:24" x14ac:dyDescent="0.2">
      <c r="B60" s="17">
        <v>43873</v>
      </c>
      <c r="C60" s="10" t="s">
        <v>107</v>
      </c>
      <c r="D60" s="11" t="s">
        <v>269</v>
      </c>
      <c r="E60" s="26">
        <v>51596</v>
      </c>
      <c r="F60" s="10" t="s">
        <v>105</v>
      </c>
      <c r="G60" s="10" t="s">
        <v>46</v>
      </c>
      <c r="H60" s="27" t="s">
        <v>106</v>
      </c>
      <c r="I60" s="12"/>
      <c r="J60" s="12"/>
      <c r="K60" s="13">
        <v>3080</v>
      </c>
      <c r="L60" s="21">
        <v>12.3</v>
      </c>
      <c r="M60" s="14" t="s">
        <v>14</v>
      </c>
      <c r="N60" s="13">
        <v>37884</v>
      </c>
      <c r="O60" s="15">
        <f t="shared" si="30"/>
        <v>0</v>
      </c>
      <c r="P60" s="10" t="s">
        <v>84</v>
      </c>
      <c r="Q60" s="11" t="s">
        <v>271</v>
      </c>
      <c r="R60" s="11" t="s">
        <v>272</v>
      </c>
      <c r="S60" s="16" t="s">
        <v>270</v>
      </c>
      <c r="T60" s="19" t="str">
        <f>MONTH(B60)&amp;"-"&amp;YEAR(B60)</f>
        <v>2-2020</v>
      </c>
      <c r="U60" s="2">
        <f>YEAR(B60)</f>
        <v>2020</v>
      </c>
      <c r="V60" s="2" t="str">
        <f>IF(DAY(B60)&gt;15,MONTH(B60)&amp;"-C",MONTH(B60)&amp;"-N")</f>
        <v>2-N</v>
      </c>
      <c r="W60" s="21">
        <v>12.3</v>
      </c>
      <c r="X60" s="2" t="b">
        <f t="shared" si="31"/>
        <v>1</v>
      </c>
    </row>
    <row r="61" spans="2:24" x14ac:dyDescent="0.2">
      <c r="B61" s="17">
        <v>43874</v>
      </c>
      <c r="C61" s="10" t="s">
        <v>73</v>
      </c>
      <c r="D61" s="11" t="s">
        <v>274</v>
      </c>
      <c r="E61" s="26">
        <v>51588</v>
      </c>
      <c r="F61" s="10" t="s">
        <v>131</v>
      </c>
      <c r="G61" s="10" t="s">
        <v>46</v>
      </c>
      <c r="H61" s="27" t="s">
        <v>132</v>
      </c>
      <c r="I61" s="12"/>
      <c r="J61" s="12"/>
      <c r="K61" s="13">
        <v>320</v>
      </c>
      <c r="L61" s="21">
        <v>9.85</v>
      </c>
      <c r="M61" s="14" t="s">
        <v>14</v>
      </c>
      <c r="N61" s="13">
        <v>3152</v>
      </c>
      <c r="O61" s="15">
        <f t="shared" si="30"/>
        <v>0</v>
      </c>
      <c r="P61" s="10" t="s">
        <v>84</v>
      </c>
      <c r="Q61" s="11" t="s">
        <v>276</v>
      </c>
      <c r="R61" s="11" t="s">
        <v>277</v>
      </c>
      <c r="S61" s="16" t="s">
        <v>275</v>
      </c>
      <c r="T61" s="19" t="str">
        <f>MONTH(B61)&amp;"-"&amp;YEAR(B61)</f>
        <v>2-2020</v>
      </c>
      <c r="U61" s="2">
        <f>YEAR(B61)</f>
        <v>2020</v>
      </c>
      <c r="V61" s="2" t="str">
        <f>IF(DAY(B61)&gt;15,MONTH(B61)&amp;"-C",MONTH(B61)&amp;"-N")</f>
        <v>2-N</v>
      </c>
      <c r="W61" s="21">
        <v>9.85</v>
      </c>
      <c r="X61" s="2" t="b">
        <f t="shared" si="31"/>
        <v>1</v>
      </c>
    </row>
    <row r="62" spans="2:24" x14ac:dyDescent="0.2">
      <c r="B62" s="17">
        <v>43874</v>
      </c>
      <c r="C62" s="10" t="s">
        <v>73</v>
      </c>
      <c r="D62" s="11" t="s">
        <v>274</v>
      </c>
      <c r="E62" s="26">
        <v>51588</v>
      </c>
      <c r="F62" s="10" t="s">
        <v>133</v>
      </c>
      <c r="G62" s="10" t="s">
        <v>46</v>
      </c>
      <c r="H62" s="27" t="s">
        <v>134</v>
      </c>
      <c r="I62" s="12"/>
      <c r="J62" s="12"/>
      <c r="K62" s="13">
        <v>2000</v>
      </c>
      <c r="L62" s="21">
        <v>9.85</v>
      </c>
      <c r="M62" s="14" t="s">
        <v>14</v>
      </c>
      <c r="N62" s="13">
        <v>19700</v>
      </c>
      <c r="O62" s="15">
        <f t="shared" si="30"/>
        <v>0</v>
      </c>
      <c r="P62" s="10" t="s">
        <v>84</v>
      </c>
      <c r="Q62" s="11" t="s">
        <v>276</v>
      </c>
      <c r="R62" s="11" t="s">
        <v>277</v>
      </c>
      <c r="S62" s="16" t="s">
        <v>275</v>
      </c>
      <c r="T62" s="19" t="str">
        <f>MONTH(B62)&amp;"-"&amp;YEAR(B62)</f>
        <v>2-2020</v>
      </c>
      <c r="U62" s="2">
        <f>YEAR(B62)</f>
        <v>2020</v>
      </c>
      <c r="V62" s="2" t="str">
        <f>IF(DAY(B62)&gt;15,MONTH(B62)&amp;"-C",MONTH(B62)&amp;"-N")</f>
        <v>2-N</v>
      </c>
      <c r="W62" s="21">
        <v>9.85</v>
      </c>
      <c r="X62" s="2" t="b">
        <f t="shared" si="31"/>
        <v>1</v>
      </c>
    </row>
    <row r="63" spans="2:24" x14ac:dyDescent="0.2">
      <c r="B63" s="17">
        <v>43874</v>
      </c>
      <c r="C63" s="10" t="s">
        <v>80</v>
      </c>
      <c r="D63" s="11" t="s">
        <v>265</v>
      </c>
      <c r="E63" s="26">
        <v>51587</v>
      </c>
      <c r="F63" s="10" t="s">
        <v>26</v>
      </c>
      <c r="G63" s="10" t="s">
        <v>27</v>
      </c>
      <c r="H63" s="27" t="s">
        <v>28</v>
      </c>
      <c r="I63" s="12"/>
      <c r="J63" s="12"/>
      <c r="K63" s="13">
        <v>7200</v>
      </c>
      <c r="L63" s="21">
        <v>3.16</v>
      </c>
      <c r="M63" s="14" t="s">
        <v>14</v>
      </c>
      <c r="N63" s="13">
        <v>22752</v>
      </c>
      <c r="O63" s="15">
        <f t="shared" si="30"/>
        <v>0</v>
      </c>
      <c r="P63" s="10" t="s">
        <v>78</v>
      </c>
      <c r="Q63" s="11" t="s">
        <v>279</v>
      </c>
      <c r="R63" s="11" t="s">
        <v>280</v>
      </c>
      <c r="S63" s="16" t="s">
        <v>278</v>
      </c>
      <c r="T63" s="19" t="str">
        <f>MONTH(B63)&amp;"-"&amp;YEAR(B63)</f>
        <v>2-2020</v>
      </c>
      <c r="U63" s="2">
        <f>YEAR(B63)</f>
        <v>2020</v>
      </c>
      <c r="V63" s="2" t="str">
        <f>IF(DAY(B63)&gt;15,MONTH(B63)&amp;"-C",MONTH(B63)&amp;"-N")</f>
        <v>2-N</v>
      </c>
      <c r="W63" s="21">
        <v>3.16</v>
      </c>
      <c r="X63" s="2" t="b">
        <f t="shared" si="31"/>
        <v>1</v>
      </c>
    </row>
    <row r="64" spans="2:24" x14ac:dyDescent="0.2">
      <c r="B64" s="17">
        <v>43875</v>
      </c>
      <c r="C64" s="10" t="s">
        <v>48</v>
      </c>
      <c r="D64" s="11" t="s">
        <v>281</v>
      </c>
      <c r="E64" s="26">
        <v>51610</v>
      </c>
      <c r="F64" s="10" t="s">
        <v>135</v>
      </c>
      <c r="G64" s="10" t="s">
        <v>46</v>
      </c>
      <c r="H64" s="27" t="s">
        <v>136</v>
      </c>
      <c r="I64" s="12"/>
      <c r="J64" s="12"/>
      <c r="K64" s="13">
        <v>5200</v>
      </c>
      <c r="L64" s="21">
        <v>9.8160000000000007</v>
      </c>
      <c r="M64" s="14" t="s">
        <v>14</v>
      </c>
      <c r="N64" s="13">
        <v>51043.199999999997</v>
      </c>
      <c r="O64" s="15">
        <f t="shared" ref="O64:O67" si="32">(N64/K64)-L64</f>
        <v>0</v>
      </c>
      <c r="P64" s="10" t="s">
        <v>90</v>
      </c>
      <c r="Q64" s="11" t="s">
        <v>283</v>
      </c>
      <c r="R64" s="11" t="s">
        <v>284</v>
      </c>
      <c r="S64" s="16" t="s">
        <v>282</v>
      </c>
      <c r="T64" s="19" t="str">
        <f>MONTH(B64)&amp;"-"&amp;YEAR(B64)</f>
        <v>2-2020</v>
      </c>
      <c r="U64" s="2">
        <f>YEAR(B64)</f>
        <v>2020</v>
      </c>
      <c r="V64" s="2" t="str">
        <f>IF(DAY(B64)&gt;15,MONTH(B64)&amp;"-C",MONTH(B64)&amp;"-N")</f>
        <v>2-N</v>
      </c>
      <c r="W64" s="21">
        <v>9.8160000000000007</v>
      </c>
      <c r="X64" s="2" t="b">
        <f t="shared" ref="X64:X67" si="33">+L64=W64</f>
        <v>1</v>
      </c>
    </row>
    <row r="65" spans="2:24" x14ac:dyDescent="0.2">
      <c r="B65" s="17">
        <v>43875</v>
      </c>
      <c r="C65" s="10" t="s">
        <v>48</v>
      </c>
      <c r="D65" s="11" t="s">
        <v>281</v>
      </c>
      <c r="E65" s="26">
        <v>51610</v>
      </c>
      <c r="F65" s="10" t="s">
        <v>71</v>
      </c>
      <c r="G65" s="10" t="s">
        <v>46</v>
      </c>
      <c r="H65" s="27" t="s">
        <v>72</v>
      </c>
      <c r="I65" s="12"/>
      <c r="J65" s="12"/>
      <c r="K65" s="13">
        <v>10800</v>
      </c>
      <c r="L65" s="21">
        <v>9.8160000000000007</v>
      </c>
      <c r="M65" s="14" t="s">
        <v>14</v>
      </c>
      <c r="N65" s="13">
        <v>106012.8</v>
      </c>
      <c r="O65" s="15">
        <f t="shared" si="32"/>
        <v>0</v>
      </c>
      <c r="P65" s="10" t="s">
        <v>90</v>
      </c>
      <c r="Q65" s="11" t="s">
        <v>283</v>
      </c>
      <c r="R65" s="11" t="s">
        <v>284</v>
      </c>
      <c r="S65" s="16" t="s">
        <v>282</v>
      </c>
      <c r="T65" s="19" t="str">
        <f>MONTH(B65)&amp;"-"&amp;YEAR(B65)</f>
        <v>2-2020</v>
      </c>
      <c r="U65" s="2">
        <f>YEAR(B65)</f>
        <v>2020</v>
      </c>
      <c r="V65" s="2" t="str">
        <f>IF(DAY(B65)&gt;15,MONTH(B65)&amp;"-C",MONTH(B65)&amp;"-N")</f>
        <v>2-N</v>
      </c>
      <c r="W65" s="21">
        <v>9.8160000000000007</v>
      </c>
      <c r="X65" s="2" t="b">
        <f t="shared" si="33"/>
        <v>1</v>
      </c>
    </row>
    <row r="66" spans="2:24" x14ac:dyDescent="0.2">
      <c r="B66" s="17">
        <v>43876</v>
      </c>
      <c r="C66" s="10" t="s">
        <v>80</v>
      </c>
      <c r="D66" s="11" t="s">
        <v>265</v>
      </c>
      <c r="E66" s="26">
        <v>51595</v>
      </c>
      <c r="F66" s="10" t="s">
        <v>26</v>
      </c>
      <c r="G66" s="10" t="s">
        <v>27</v>
      </c>
      <c r="H66" s="27" t="s">
        <v>28</v>
      </c>
      <c r="I66" s="12"/>
      <c r="J66" s="12"/>
      <c r="K66" s="13">
        <v>3600</v>
      </c>
      <c r="L66" s="21">
        <v>3.16</v>
      </c>
      <c r="M66" s="14" t="s">
        <v>14</v>
      </c>
      <c r="N66" s="13">
        <v>11376</v>
      </c>
      <c r="O66" s="15">
        <f t="shared" si="32"/>
        <v>0</v>
      </c>
      <c r="P66" s="10" t="s">
        <v>78</v>
      </c>
      <c r="Q66" s="11" t="s">
        <v>286</v>
      </c>
      <c r="R66" s="11" t="s">
        <v>287</v>
      </c>
      <c r="S66" s="16" t="s">
        <v>285</v>
      </c>
      <c r="T66" s="19" t="str">
        <f>MONTH(B66)&amp;"-"&amp;YEAR(B66)</f>
        <v>2-2020</v>
      </c>
      <c r="U66" s="2">
        <f>YEAR(B66)</f>
        <v>2020</v>
      </c>
      <c r="V66" s="2" t="str">
        <f>IF(DAY(B66)&gt;15,MONTH(B66)&amp;"-C",MONTH(B66)&amp;"-N")</f>
        <v>2-N</v>
      </c>
      <c r="W66" s="21">
        <v>3.16</v>
      </c>
      <c r="X66" s="2" t="b">
        <f t="shared" si="33"/>
        <v>1</v>
      </c>
    </row>
    <row r="67" spans="2:24" x14ac:dyDescent="0.2">
      <c r="B67" s="17">
        <v>43877</v>
      </c>
      <c r="C67" s="10" t="s">
        <v>80</v>
      </c>
      <c r="D67" s="11" t="s">
        <v>265</v>
      </c>
      <c r="E67" s="26">
        <v>51619</v>
      </c>
      <c r="F67" s="10" t="s">
        <v>26</v>
      </c>
      <c r="G67" s="10" t="s">
        <v>27</v>
      </c>
      <c r="H67" s="27" t="s">
        <v>28</v>
      </c>
      <c r="I67" s="12"/>
      <c r="J67" s="12"/>
      <c r="K67" s="13">
        <v>3600</v>
      </c>
      <c r="L67" s="21">
        <v>3.16</v>
      </c>
      <c r="M67" s="14" t="s">
        <v>14</v>
      </c>
      <c r="N67" s="13">
        <v>11376</v>
      </c>
      <c r="O67" s="15">
        <f t="shared" si="32"/>
        <v>0</v>
      </c>
      <c r="P67" s="10" t="s">
        <v>78</v>
      </c>
      <c r="Q67" s="11" t="s">
        <v>289</v>
      </c>
      <c r="R67" s="11" t="s">
        <v>290</v>
      </c>
      <c r="S67" s="16" t="s">
        <v>288</v>
      </c>
      <c r="T67" s="19" t="str">
        <f>MONTH(B67)&amp;"-"&amp;YEAR(B67)</f>
        <v>2-2020</v>
      </c>
      <c r="U67" s="2">
        <f>YEAR(B67)</f>
        <v>2020</v>
      </c>
      <c r="V67" s="2" t="str">
        <f>IF(DAY(B67)&gt;15,MONTH(B67)&amp;"-C",MONTH(B67)&amp;"-N")</f>
        <v>2-C</v>
      </c>
      <c r="W67" s="21">
        <v>3.16</v>
      </c>
      <c r="X67" s="2" t="b">
        <f t="shared" si="33"/>
        <v>1</v>
      </c>
    </row>
    <row r="68" spans="2:24" x14ac:dyDescent="0.2">
      <c r="B68" s="17">
        <v>43878</v>
      </c>
      <c r="C68" s="10" t="s">
        <v>80</v>
      </c>
      <c r="D68" s="11" t="s">
        <v>265</v>
      </c>
      <c r="E68" s="26">
        <v>51638</v>
      </c>
      <c r="F68" s="10" t="s">
        <v>26</v>
      </c>
      <c r="G68" s="10" t="s">
        <v>27</v>
      </c>
      <c r="H68" s="27" t="s">
        <v>28</v>
      </c>
      <c r="I68" s="12"/>
      <c r="J68" s="12"/>
      <c r="K68" s="13">
        <v>3600</v>
      </c>
      <c r="L68" s="21">
        <v>3.16</v>
      </c>
      <c r="M68" s="14" t="s">
        <v>14</v>
      </c>
      <c r="N68" s="13">
        <v>11376</v>
      </c>
      <c r="O68" s="15">
        <f t="shared" ref="O68" si="34">(N68/K68)-L68</f>
        <v>0</v>
      </c>
      <c r="P68" s="10" t="s">
        <v>78</v>
      </c>
      <c r="Q68" s="11" t="s">
        <v>293</v>
      </c>
      <c r="R68" s="11" t="s">
        <v>294</v>
      </c>
      <c r="S68" s="16" t="s">
        <v>292</v>
      </c>
      <c r="T68" s="19" t="str">
        <f>MONTH(B68)&amp;"-"&amp;YEAR(B68)</f>
        <v>2-2020</v>
      </c>
      <c r="U68" s="2">
        <f>YEAR(B68)</f>
        <v>2020</v>
      </c>
      <c r="V68" s="2" t="str">
        <f>IF(DAY(B68)&gt;15,MONTH(B68)&amp;"-C",MONTH(B68)&amp;"-N")</f>
        <v>2-C</v>
      </c>
      <c r="W68" s="21">
        <v>3.16</v>
      </c>
      <c r="X68" s="2" t="b">
        <f t="shared" ref="X68" si="35">+L68=W68</f>
        <v>1</v>
      </c>
    </row>
    <row r="69" spans="2:24" x14ac:dyDescent="0.2">
      <c r="B69" s="17">
        <v>43879</v>
      </c>
      <c r="C69" s="10" t="s">
        <v>80</v>
      </c>
      <c r="D69" s="11" t="s">
        <v>265</v>
      </c>
      <c r="E69" s="26">
        <v>51662</v>
      </c>
      <c r="F69" s="10" t="s">
        <v>26</v>
      </c>
      <c r="G69" s="10" t="s">
        <v>27</v>
      </c>
      <c r="H69" s="27" t="s">
        <v>28</v>
      </c>
      <c r="I69" s="12"/>
      <c r="J69" s="12"/>
      <c r="K69" s="13">
        <v>3600</v>
      </c>
      <c r="L69" s="21">
        <v>3.16</v>
      </c>
      <c r="M69" s="14" t="s">
        <v>14</v>
      </c>
      <c r="N69" s="13">
        <v>11376</v>
      </c>
      <c r="O69" s="15">
        <f t="shared" ref="O69:O70" si="36">(N69/K69)-L69</f>
        <v>0</v>
      </c>
      <c r="P69" s="10" t="s">
        <v>78</v>
      </c>
      <c r="Q69" s="11" t="s">
        <v>297</v>
      </c>
      <c r="R69" s="11" t="s">
        <v>298</v>
      </c>
      <c r="S69" s="16" t="s">
        <v>296</v>
      </c>
      <c r="T69" s="19" t="str">
        <f>MONTH(B69)&amp;"-"&amp;YEAR(B69)</f>
        <v>2-2020</v>
      </c>
      <c r="U69" s="2">
        <f>YEAR(B69)</f>
        <v>2020</v>
      </c>
      <c r="V69" s="2" t="str">
        <f>IF(DAY(B69)&gt;15,MONTH(B69)&amp;"-C",MONTH(B69)&amp;"-N")</f>
        <v>2-C</v>
      </c>
      <c r="W69" s="21">
        <v>3.16</v>
      </c>
      <c r="X69" s="2" t="b">
        <f t="shared" ref="X69:X70" si="37">+L69=W69</f>
        <v>1</v>
      </c>
    </row>
    <row r="70" spans="2:24" x14ac:dyDescent="0.2">
      <c r="B70" s="17">
        <v>43880</v>
      </c>
      <c r="C70" s="10" t="s">
        <v>80</v>
      </c>
      <c r="D70" s="11" t="s">
        <v>265</v>
      </c>
      <c r="E70" s="26">
        <v>51682</v>
      </c>
      <c r="F70" s="10" t="s">
        <v>26</v>
      </c>
      <c r="G70" s="10" t="s">
        <v>27</v>
      </c>
      <c r="H70" s="27" t="s">
        <v>28</v>
      </c>
      <c r="I70" s="12"/>
      <c r="J70" s="12"/>
      <c r="K70" s="13">
        <v>2700</v>
      </c>
      <c r="L70" s="21">
        <v>3.16</v>
      </c>
      <c r="M70" s="14" t="s">
        <v>14</v>
      </c>
      <c r="N70" s="13">
        <v>8532</v>
      </c>
      <c r="O70" s="15">
        <f t="shared" si="36"/>
        <v>0</v>
      </c>
      <c r="P70" s="10" t="s">
        <v>78</v>
      </c>
      <c r="Q70" s="11" t="s">
        <v>300</v>
      </c>
      <c r="R70" s="11" t="s">
        <v>301</v>
      </c>
      <c r="S70" s="16" t="s">
        <v>299</v>
      </c>
      <c r="T70" s="19" t="str">
        <f>MONTH(B70)&amp;"-"&amp;YEAR(B70)</f>
        <v>2-2020</v>
      </c>
      <c r="U70" s="2">
        <f>YEAR(B70)</f>
        <v>2020</v>
      </c>
      <c r="V70" s="2" t="str">
        <f>IF(DAY(B70)&gt;15,MONTH(B70)&amp;"-C",MONTH(B70)&amp;"-N")</f>
        <v>2-C</v>
      </c>
      <c r="W70" s="21">
        <v>3.16</v>
      </c>
      <c r="X70" s="2" t="b">
        <f t="shared" si="37"/>
        <v>1</v>
      </c>
    </row>
    <row r="71" spans="2:24" x14ac:dyDescent="0.2">
      <c r="B71" s="17">
        <v>43881</v>
      </c>
      <c r="C71" s="10" t="s">
        <v>80</v>
      </c>
      <c r="D71" s="11" t="s">
        <v>265</v>
      </c>
      <c r="E71" s="26">
        <v>51703</v>
      </c>
      <c r="F71" s="10" t="s">
        <v>26</v>
      </c>
      <c r="G71" s="10" t="s">
        <v>27</v>
      </c>
      <c r="H71" s="27" t="s">
        <v>28</v>
      </c>
      <c r="I71" s="12"/>
      <c r="J71" s="12"/>
      <c r="K71" s="13">
        <v>8100</v>
      </c>
      <c r="L71" s="21">
        <v>3.16</v>
      </c>
      <c r="M71" s="14" t="s">
        <v>14</v>
      </c>
      <c r="N71" s="13">
        <v>25596</v>
      </c>
      <c r="O71" s="15">
        <f t="shared" ref="O71" si="38">(N71/K71)-L71</f>
        <v>0</v>
      </c>
      <c r="P71" s="10" t="s">
        <v>78</v>
      </c>
      <c r="Q71" s="11" t="s">
        <v>303</v>
      </c>
      <c r="R71" s="11" t="s">
        <v>304</v>
      </c>
      <c r="S71" s="16" t="s">
        <v>302</v>
      </c>
      <c r="T71" s="19" t="str">
        <f>MONTH(B71)&amp;"-"&amp;YEAR(B71)</f>
        <v>2-2020</v>
      </c>
      <c r="U71" s="2">
        <f>YEAR(B71)</f>
        <v>2020</v>
      </c>
      <c r="V71" s="2" t="str">
        <f>IF(DAY(B71)&gt;15,MONTH(B71)&amp;"-C",MONTH(B71)&amp;"-N")</f>
        <v>2-C</v>
      </c>
      <c r="W71" s="21">
        <v>3.16</v>
      </c>
      <c r="X71" s="2" t="b">
        <f t="shared" ref="X71" si="39">+L71=W71</f>
        <v>1</v>
      </c>
    </row>
    <row r="72" spans="2:24" x14ac:dyDescent="0.2">
      <c r="B72" s="17">
        <v>43883</v>
      </c>
      <c r="C72" s="10" t="s">
        <v>80</v>
      </c>
      <c r="D72" s="11" t="s">
        <v>265</v>
      </c>
      <c r="E72" s="26">
        <v>51722</v>
      </c>
      <c r="F72" s="10" t="s">
        <v>26</v>
      </c>
      <c r="G72" s="10" t="s">
        <v>27</v>
      </c>
      <c r="H72" s="27" t="s">
        <v>28</v>
      </c>
      <c r="I72" s="12"/>
      <c r="J72" s="12"/>
      <c r="K72" s="13">
        <v>3600</v>
      </c>
      <c r="L72" s="21">
        <v>3.16</v>
      </c>
      <c r="M72" s="14" t="s">
        <v>14</v>
      </c>
      <c r="N72" s="13">
        <v>11376</v>
      </c>
      <c r="O72" s="15">
        <f t="shared" ref="O72" si="40">(N72/K72)-L72</f>
        <v>0</v>
      </c>
      <c r="P72" s="10" t="s">
        <v>78</v>
      </c>
      <c r="Q72" s="11" t="s">
        <v>307</v>
      </c>
      <c r="R72" s="11" t="s">
        <v>308</v>
      </c>
      <c r="S72" s="16" t="s">
        <v>306</v>
      </c>
      <c r="T72" s="19" t="str">
        <f>MONTH(B72)&amp;"-"&amp;YEAR(B72)</f>
        <v>2-2020</v>
      </c>
      <c r="U72" s="2">
        <f>YEAR(B72)</f>
        <v>2020</v>
      </c>
      <c r="V72" s="2" t="str">
        <f>IF(DAY(B72)&gt;15,MONTH(B72)&amp;"-C",MONTH(B72)&amp;"-N")</f>
        <v>2-C</v>
      </c>
      <c r="W72" s="21">
        <v>3.16</v>
      </c>
      <c r="X72" s="2" t="b">
        <f t="shared" ref="X72" si="41">+L72=W72</f>
        <v>1</v>
      </c>
    </row>
    <row r="73" spans="2:24" x14ac:dyDescent="0.2">
      <c r="B73" s="17">
        <v>43885</v>
      </c>
      <c r="C73" s="10" t="s">
        <v>80</v>
      </c>
      <c r="D73" s="11" t="s">
        <v>265</v>
      </c>
      <c r="E73" s="26">
        <v>51763</v>
      </c>
      <c r="F73" s="10" t="s">
        <v>26</v>
      </c>
      <c r="G73" s="10" t="s">
        <v>27</v>
      </c>
      <c r="H73" s="27" t="s">
        <v>28</v>
      </c>
      <c r="I73" s="12"/>
      <c r="J73" s="12"/>
      <c r="K73" s="13">
        <v>3600</v>
      </c>
      <c r="L73" s="21">
        <v>3.16</v>
      </c>
      <c r="M73" s="14" t="s">
        <v>14</v>
      </c>
      <c r="N73" s="13">
        <v>11376</v>
      </c>
      <c r="O73" s="15">
        <f t="shared" ref="O73:O74" si="42">(N73/K73)-L73</f>
        <v>0</v>
      </c>
      <c r="P73" s="10" t="s">
        <v>78</v>
      </c>
      <c r="Q73" s="11" t="s">
        <v>310</v>
      </c>
      <c r="R73" s="11" t="s">
        <v>311</v>
      </c>
      <c r="S73" s="16" t="s">
        <v>309</v>
      </c>
      <c r="T73" s="19" t="str">
        <f>MONTH(B73)&amp;"-"&amp;YEAR(B73)</f>
        <v>2-2020</v>
      </c>
      <c r="U73" s="2">
        <f>YEAR(B73)</f>
        <v>2020</v>
      </c>
      <c r="V73" s="2" t="str">
        <f>IF(DAY(B73)&gt;15,MONTH(B73)&amp;"-C",MONTH(B73)&amp;"-N")</f>
        <v>2-C</v>
      </c>
      <c r="W73" s="21">
        <v>3.16</v>
      </c>
      <c r="X73" s="2" t="b">
        <f t="shared" ref="X73:X74" si="43">+L73=W73</f>
        <v>1</v>
      </c>
    </row>
    <row r="74" spans="2:24" x14ac:dyDescent="0.2">
      <c r="B74" s="17">
        <v>43886</v>
      </c>
      <c r="C74" s="10" t="s">
        <v>80</v>
      </c>
      <c r="D74" s="11" t="s">
        <v>265</v>
      </c>
      <c r="E74" s="26">
        <v>51786</v>
      </c>
      <c r="F74" s="10" t="s">
        <v>26</v>
      </c>
      <c r="G74" s="10" t="s">
        <v>27</v>
      </c>
      <c r="H74" s="27" t="s">
        <v>28</v>
      </c>
      <c r="I74" s="12"/>
      <c r="J74" s="12"/>
      <c r="K74" s="13">
        <v>3600</v>
      </c>
      <c r="L74" s="21">
        <v>3.16</v>
      </c>
      <c r="M74" s="14" t="s">
        <v>14</v>
      </c>
      <c r="N74" s="13">
        <v>11376</v>
      </c>
      <c r="O74" s="15">
        <f t="shared" si="42"/>
        <v>0</v>
      </c>
      <c r="P74" s="10" t="s">
        <v>78</v>
      </c>
      <c r="Q74" s="11" t="s">
        <v>313</v>
      </c>
      <c r="R74" s="11" t="s">
        <v>314</v>
      </c>
      <c r="S74" s="16" t="s">
        <v>312</v>
      </c>
      <c r="T74" s="19" t="str">
        <f>MONTH(B74)&amp;"-"&amp;YEAR(B74)</f>
        <v>2-2020</v>
      </c>
      <c r="U74" s="2">
        <f>YEAR(B74)</f>
        <v>2020</v>
      </c>
      <c r="V74" s="2" t="str">
        <f>IF(DAY(B74)&gt;15,MONTH(B74)&amp;"-C",MONTH(B74)&amp;"-N")</f>
        <v>2-C</v>
      </c>
      <c r="W74" s="21">
        <v>3.16</v>
      </c>
      <c r="X74" s="2" t="b">
        <f t="shared" si="43"/>
        <v>1</v>
      </c>
    </row>
    <row r="75" spans="2:24" x14ac:dyDescent="0.2">
      <c r="B75" s="17">
        <v>43890</v>
      </c>
      <c r="C75" s="10" t="s">
        <v>80</v>
      </c>
      <c r="D75" s="11" t="s">
        <v>265</v>
      </c>
      <c r="E75" s="26">
        <v>51828</v>
      </c>
      <c r="F75" s="10" t="s">
        <v>26</v>
      </c>
      <c r="G75" s="10" t="s">
        <v>27</v>
      </c>
      <c r="H75" s="27" t="s">
        <v>28</v>
      </c>
      <c r="I75" s="12"/>
      <c r="J75" s="12"/>
      <c r="K75" s="13">
        <v>6300</v>
      </c>
      <c r="L75" s="21">
        <v>3.16</v>
      </c>
      <c r="M75" s="14" t="s">
        <v>14</v>
      </c>
      <c r="N75" s="13">
        <v>19908</v>
      </c>
      <c r="O75" s="15">
        <f t="shared" ref="O75:O76" si="44">(N75/K75)-L75</f>
        <v>0</v>
      </c>
      <c r="P75" s="10" t="s">
        <v>78</v>
      </c>
      <c r="Q75" s="11" t="s">
        <v>317</v>
      </c>
      <c r="R75" s="11" t="s">
        <v>318</v>
      </c>
      <c r="S75" s="16" t="s">
        <v>316</v>
      </c>
      <c r="T75" s="19" t="str">
        <f>MONTH(B75)&amp;"-"&amp;YEAR(B75)</f>
        <v>2-2020</v>
      </c>
      <c r="U75" s="2">
        <f>YEAR(B75)</f>
        <v>2020</v>
      </c>
      <c r="V75" s="2" t="str">
        <f>IF(DAY(B75)&gt;15,MONTH(B75)&amp;"-C",MONTH(B75)&amp;"-N")</f>
        <v>2-C</v>
      </c>
      <c r="W75" s="21">
        <v>3.16</v>
      </c>
      <c r="X75" s="2" t="b">
        <f t="shared" ref="X75:X76" si="45">+L75=W75</f>
        <v>1</v>
      </c>
    </row>
    <row r="76" spans="2:24" x14ac:dyDescent="0.2">
      <c r="B76" s="17">
        <v>43890</v>
      </c>
      <c r="C76" s="10" t="s">
        <v>80</v>
      </c>
      <c r="D76" s="11" t="s">
        <v>265</v>
      </c>
      <c r="E76" s="26">
        <v>51829</v>
      </c>
      <c r="F76" s="10" t="s">
        <v>26</v>
      </c>
      <c r="G76" s="10" t="s">
        <v>27</v>
      </c>
      <c r="H76" s="27" t="s">
        <v>28</v>
      </c>
      <c r="I76" s="12"/>
      <c r="J76" s="12"/>
      <c r="K76" s="13">
        <v>3600</v>
      </c>
      <c r="L76" s="21">
        <v>3.16</v>
      </c>
      <c r="M76" s="14" t="s">
        <v>14</v>
      </c>
      <c r="N76" s="13">
        <v>11376</v>
      </c>
      <c r="O76" s="15">
        <f t="shared" si="44"/>
        <v>0</v>
      </c>
      <c r="P76" s="10" t="s">
        <v>78</v>
      </c>
      <c r="Q76" s="11" t="s">
        <v>320</v>
      </c>
      <c r="R76" s="11" t="s">
        <v>321</v>
      </c>
      <c r="S76" s="16" t="s">
        <v>319</v>
      </c>
      <c r="T76" s="19" t="str">
        <f>MONTH(B76)&amp;"-"&amp;YEAR(B76)</f>
        <v>2-2020</v>
      </c>
      <c r="U76" s="2">
        <f>YEAR(B76)</f>
        <v>2020</v>
      </c>
      <c r="V76" s="2" t="str">
        <f>IF(DAY(B76)&gt;15,MONTH(B76)&amp;"-C",MONTH(B76)&amp;"-N")</f>
        <v>2-C</v>
      </c>
      <c r="W76" s="21">
        <v>3.16</v>
      </c>
      <c r="X76" s="2" t="b">
        <f t="shared" si="45"/>
        <v>1</v>
      </c>
    </row>
    <row r="77" spans="2:24" x14ac:dyDescent="0.2">
      <c r="B77" s="17">
        <v>43890</v>
      </c>
      <c r="C77" s="10" t="s">
        <v>80</v>
      </c>
      <c r="D77" s="11" t="s">
        <v>265</v>
      </c>
      <c r="E77" s="26">
        <v>51830</v>
      </c>
      <c r="F77" s="10" t="s">
        <v>26</v>
      </c>
      <c r="G77" s="10" t="s">
        <v>27</v>
      </c>
      <c r="H77" s="27" t="s">
        <v>28</v>
      </c>
      <c r="I77" s="12"/>
      <c r="J77" s="12"/>
      <c r="K77" s="13">
        <v>3300</v>
      </c>
      <c r="L77" s="21">
        <v>3.16</v>
      </c>
      <c r="M77" s="14" t="s">
        <v>14</v>
      </c>
      <c r="N77" s="13">
        <v>10428</v>
      </c>
      <c r="O77" s="15">
        <f t="shared" ref="O77:O79" si="46">(N77/K77)-L77</f>
        <v>0</v>
      </c>
      <c r="P77" s="10" t="s">
        <v>78</v>
      </c>
      <c r="Q77" s="11" t="s">
        <v>323</v>
      </c>
      <c r="R77" s="11" t="s">
        <v>324</v>
      </c>
      <c r="S77" s="16" t="s">
        <v>322</v>
      </c>
      <c r="T77" s="19" t="str">
        <f>MONTH(B77)&amp;"-"&amp;YEAR(B77)</f>
        <v>2-2020</v>
      </c>
      <c r="U77" s="2">
        <f>YEAR(B77)</f>
        <v>2020</v>
      </c>
      <c r="V77" s="2" t="str">
        <f>IF(DAY(B77)&gt;15,MONTH(B77)&amp;"-C",MONTH(B77)&amp;"-N")</f>
        <v>2-C</v>
      </c>
      <c r="W77" s="21">
        <v>3.16</v>
      </c>
      <c r="X77" s="2" t="b">
        <f t="shared" ref="X77:X79" si="47">+L77=W77</f>
        <v>1</v>
      </c>
    </row>
    <row r="78" spans="2:24" x14ac:dyDescent="0.2">
      <c r="B78" s="17">
        <v>43892</v>
      </c>
      <c r="C78" s="10" t="s">
        <v>107</v>
      </c>
      <c r="D78" s="11" t="s">
        <v>326</v>
      </c>
      <c r="E78" s="26">
        <v>51856</v>
      </c>
      <c r="F78" s="10" t="s">
        <v>103</v>
      </c>
      <c r="G78" s="10" t="s">
        <v>46</v>
      </c>
      <c r="H78" s="27" t="s">
        <v>104</v>
      </c>
      <c r="I78" s="12"/>
      <c r="J78" s="12"/>
      <c r="K78" s="13">
        <v>95</v>
      </c>
      <c r="L78" s="21">
        <v>37.200000000000003</v>
      </c>
      <c r="M78" s="14" t="s">
        <v>14</v>
      </c>
      <c r="N78" s="13">
        <v>3534</v>
      </c>
      <c r="O78" s="15">
        <f t="shared" si="46"/>
        <v>0</v>
      </c>
      <c r="P78" s="10" t="s">
        <v>84</v>
      </c>
      <c r="Q78" s="11" t="s">
        <v>328</v>
      </c>
      <c r="R78" s="11" t="s">
        <v>329</v>
      </c>
      <c r="S78" s="16" t="s">
        <v>327</v>
      </c>
      <c r="T78" s="19" t="str">
        <f>MONTH(B78)&amp;"-"&amp;YEAR(B78)</f>
        <v>3-2020</v>
      </c>
      <c r="U78" s="2">
        <f>YEAR(B78)</f>
        <v>2020</v>
      </c>
      <c r="V78" s="2" t="str">
        <f>IF(DAY(B78)&gt;15,MONTH(B78)&amp;"-C",MONTH(B78)&amp;"-N")</f>
        <v>3-N</v>
      </c>
      <c r="W78" s="21">
        <v>37.200000000000003</v>
      </c>
      <c r="X78" s="2" t="b">
        <f t="shared" si="47"/>
        <v>1</v>
      </c>
    </row>
    <row r="79" spans="2:24" x14ac:dyDescent="0.2">
      <c r="B79" s="17">
        <v>43892</v>
      </c>
      <c r="C79" s="10" t="s">
        <v>107</v>
      </c>
      <c r="D79" s="11" t="s">
        <v>326</v>
      </c>
      <c r="E79" s="26">
        <v>51856</v>
      </c>
      <c r="F79" s="10" t="s">
        <v>105</v>
      </c>
      <c r="G79" s="10" t="s">
        <v>46</v>
      </c>
      <c r="H79" s="27" t="s">
        <v>106</v>
      </c>
      <c r="I79" s="12"/>
      <c r="J79" s="12"/>
      <c r="K79" s="13">
        <v>3080</v>
      </c>
      <c r="L79" s="21">
        <v>12.3</v>
      </c>
      <c r="M79" s="14" t="s">
        <v>14</v>
      </c>
      <c r="N79" s="13">
        <v>37884</v>
      </c>
      <c r="O79" s="15">
        <f t="shared" si="46"/>
        <v>0</v>
      </c>
      <c r="P79" s="10" t="s">
        <v>84</v>
      </c>
      <c r="Q79" s="11" t="s">
        <v>328</v>
      </c>
      <c r="R79" s="11" t="s">
        <v>329</v>
      </c>
      <c r="S79" s="16" t="s">
        <v>327</v>
      </c>
      <c r="T79" s="19" t="str">
        <f>MONTH(B79)&amp;"-"&amp;YEAR(B79)</f>
        <v>3-2020</v>
      </c>
      <c r="U79" s="2">
        <f>YEAR(B79)</f>
        <v>2020</v>
      </c>
      <c r="V79" s="2" t="str">
        <f>IF(DAY(B79)&gt;15,MONTH(B79)&amp;"-C",MONTH(B79)&amp;"-N")</f>
        <v>3-N</v>
      </c>
      <c r="W79" s="21">
        <v>12.3</v>
      </c>
      <c r="X79" s="2" t="b">
        <f t="shared" si="47"/>
        <v>1</v>
      </c>
    </row>
    <row r="80" spans="2:24" x14ac:dyDescent="0.2">
      <c r="B80" s="17">
        <v>43897</v>
      </c>
      <c r="C80" s="10" t="s">
        <v>108</v>
      </c>
      <c r="D80" s="11" t="s">
        <v>332</v>
      </c>
      <c r="E80" s="26">
        <v>51897</v>
      </c>
      <c r="F80" s="10" t="s">
        <v>121</v>
      </c>
      <c r="G80" s="10" t="s">
        <v>46</v>
      </c>
      <c r="H80" s="27" t="s">
        <v>122</v>
      </c>
      <c r="I80" s="12"/>
      <c r="J80" s="12"/>
      <c r="K80" s="13">
        <v>1610</v>
      </c>
      <c r="L80" s="21">
        <v>9.1999999999999993</v>
      </c>
      <c r="M80" s="14" t="s">
        <v>14</v>
      </c>
      <c r="N80" s="13">
        <v>14812</v>
      </c>
      <c r="O80" s="15">
        <f t="shared" ref="O80:O89" si="48">(N80/K80)-L80</f>
        <v>0</v>
      </c>
      <c r="P80" s="10" t="s">
        <v>84</v>
      </c>
      <c r="Q80" s="11" t="s">
        <v>334</v>
      </c>
      <c r="R80" s="11" t="s">
        <v>335</v>
      </c>
      <c r="S80" s="16" t="s">
        <v>333</v>
      </c>
      <c r="T80" s="19" t="str">
        <f>MONTH(B80)&amp;"-"&amp;YEAR(B80)</f>
        <v>3-2020</v>
      </c>
      <c r="U80" s="2">
        <f>YEAR(B80)</f>
        <v>2020</v>
      </c>
      <c r="V80" s="2" t="str">
        <f>IF(DAY(B80)&gt;15,MONTH(B80)&amp;"-C",MONTH(B80)&amp;"-N")</f>
        <v>3-N</v>
      </c>
      <c r="W80" s="21">
        <v>9.1999999999999993</v>
      </c>
      <c r="X80" s="2" t="b">
        <f t="shared" ref="X80:X89" si="49">+L80=W80</f>
        <v>1</v>
      </c>
    </row>
    <row r="81" spans="2:24" x14ac:dyDescent="0.2">
      <c r="B81" s="17">
        <v>43897</v>
      </c>
      <c r="C81" s="10" t="s">
        <v>108</v>
      </c>
      <c r="D81" s="11" t="s">
        <v>332</v>
      </c>
      <c r="E81" s="26">
        <v>51897</v>
      </c>
      <c r="F81" s="10" t="s">
        <v>123</v>
      </c>
      <c r="G81" s="10" t="s">
        <v>46</v>
      </c>
      <c r="H81" s="27" t="s">
        <v>124</v>
      </c>
      <c r="I81" s="12"/>
      <c r="J81" s="12"/>
      <c r="K81" s="13">
        <v>2300</v>
      </c>
      <c r="L81" s="21">
        <v>11.81</v>
      </c>
      <c r="M81" s="14" t="s">
        <v>14</v>
      </c>
      <c r="N81" s="13">
        <v>27163</v>
      </c>
      <c r="O81" s="15">
        <f t="shared" si="48"/>
        <v>0</v>
      </c>
      <c r="P81" s="10" t="s">
        <v>84</v>
      </c>
      <c r="Q81" s="11" t="s">
        <v>334</v>
      </c>
      <c r="R81" s="11" t="s">
        <v>335</v>
      </c>
      <c r="S81" s="16" t="s">
        <v>333</v>
      </c>
      <c r="T81" s="19" t="str">
        <f>MONTH(B81)&amp;"-"&amp;YEAR(B81)</f>
        <v>3-2020</v>
      </c>
      <c r="U81" s="2">
        <f>YEAR(B81)</f>
        <v>2020</v>
      </c>
      <c r="V81" s="2" t="str">
        <f>IF(DAY(B81)&gt;15,MONTH(B81)&amp;"-C",MONTH(B81)&amp;"-N")</f>
        <v>3-N</v>
      </c>
      <c r="W81" s="21">
        <v>11.81</v>
      </c>
      <c r="X81" s="2" t="b">
        <f t="shared" si="49"/>
        <v>1</v>
      </c>
    </row>
    <row r="82" spans="2:24" x14ac:dyDescent="0.2">
      <c r="B82" s="17">
        <v>43897</v>
      </c>
      <c r="C82" s="10" t="s">
        <v>108</v>
      </c>
      <c r="D82" s="11" t="s">
        <v>332</v>
      </c>
      <c r="E82" s="26">
        <v>51897</v>
      </c>
      <c r="F82" s="10" t="s">
        <v>139</v>
      </c>
      <c r="G82" s="10" t="s">
        <v>46</v>
      </c>
      <c r="H82" s="27" t="s">
        <v>140</v>
      </c>
      <c r="I82" s="12"/>
      <c r="J82" s="12"/>
      <c r="K82" s="13">
        <v>5336</v>
      </c>
      <c r="L82" s="21">
        <v>7.85</v>
      </c>
      <c r="M82" s="14" t="s">
        <v>14</v>
      </c>
      <c r="N82" s="13">
        <v>41887.599999999999</v>
      </c>
      <c r="O82" s="15">
        <f t="shared" si="48"/>
        <v>0</v>
      </c>
      <c r="P82" s="10" t="s">
        <v>84</v>
      </c>
      <c r="Q82" s="11" t="s">
        <v>334</v>
      </c>
      <c r="R82" s="11" t="s">
        <v>335</v>
      </c>
      <c r="S82" s="16" t="s">
        <v>333</v>
      </c>
      <c r="T82" s="19" t="str">
        <f>MONTH(B82)&amp;"-"&amp;YEAR(B82)</f>
        <v>3-2020</v>
      </c>
      <c r="U82" s="2">
        <f>YEAR(B82)</f>
        <v>2020</v>
      </c>
      <c r="V82" s="2" t="str">
        <f>IF(DAY(B82)&gt;15,MONTH(B82)&amp;"-C",MONTH(B82)&amp;"-N")</f>
        <v>3-N</v>
      </c>
      <c r="W82" s="21">
        <v>7.85</v>
      </c>
      <c r="X82" s="2" t="b">
        <f t="shared" si="49"/>
        <v>1</v>
      </c>
    </row>
    <row r="83" spans="2:24" x14ac:dyDescent="0.2">
      <c r="B83" s="17">
        <v>43897</v>
      </c>
      <c r="C83" s="10" t="s">
        <v>108</v>
      </c>
      <c r="D83" s="11" t="s">
        <v>332</v>
      </c>
      <c r="E83" s="26">
        <v>51897</v>
      </c>
      <c r="F83" s="10" t="s">
        <v>129</v>
      </c>
      <c r="G83" s="10" t="s">
        <v>46</v>
      </c>
      <c r="H83" s="27" t="s">
        <v>130</v>
      </c>
      <c r="I83" s="12"/>
      <c r="J83" s="12"/>
      <c r="K83" s="13">
        <v>7820</v>
      </c>
      <c r="L83" s="21">
        <v>10.86</v>
      </c>
      <c r="M83" s="14" t="s">
        <v>14</v>
      </c>
      <c r="N83" s="13">
        <v>84925.2</v>
      </c>
      <c r="O83" s="15">
        <f t="shared" si="48"/>
        <v>0</v>
      </c>
      <c r="P83" s="10" t="s">
        <v>84</v>
      </c>
      <c r="Q83" s="11" t="s">
        <v>334</v>
      </c>
      <c r="R83" s="11" t="s">
        <v>335</v>
      </c>
      <c r="S83" s="16" t="s">
        <v>333</v>
      </c>
      <c r="T83" s="19" t="str">
        <f>MONTH(B83)&amp;"-"&amp;YEAR(B83)</f>
        <v>3-2020</v>
      </c>
      <c r="U83" s="2">
        <f>YEAR(B83)</f>
        <v>2020</v>
      </c>
      <c r="V83" s="2" t="str">
        <f>IF(DAY(B83)&gt;15,MONTH(B83)&amp;"-C",MONTH(B83)&amp;"-N")</f>
        <v>3-N</v>
      </c>
      <c r="W83" s="21">
        <v>10.86</v>
      </c>
      <c r="X83" s="2" t="b">
        <f t="shared" si="49"/>
        <v>1</v>
      </c>
    </row>
    <row r="84" spans="2:24" x14ac:dyDescent="0.2">
      <c r="B84" s="17">
        <v>43897</v>
      </c>
      <c r="C84" s="10" t="s">
        <v>82</v>
      </c>
      <c r="D84" s="11" t="s">
        <v>336</v>
      </c>
      <c r="E84" s="26">
        <v>51912</v>
      </c>
      <c r="F84" s="10" t="s">
        <v>26</v>
      </c>
      <c r="G84" s="10" t="s">
        <v>27</v>
      </c>
      <c r="H84" s="27" t="s">
        <v>28</v>
      </c>
      <c r="I84" s="12"/>
      <c r="J84" s="12"/>
      <c r="K84" s="13">
        <v>5400</v>
      </c>
      <c r="L84" s="21">
        <v>3.16</v>
      </c>
      <c r="M84" s="14" t="s">
        <v>14</v>
      </c>
      <c r="N84" s="13">
        <v>17064</v>
      </c>
      <c r="O84" s="15">
        <f t="shared" si="48"/>
        <v>0</v>
      </c>
      <c r="P84" s="10" t="s">
        <v>78</v>
      </c>
      <c r="Q84" s="11" t="s">
        <v>338</v>
      </c>
      <c r="R84" s="11" t="s">
        <v>339</v>
      </c>
      <c r="S84" s="16" t="s">
        <v>337</v>
      </c>
      <c r="T84" s="19" t="str">
        <f>MONTH(B84)&amp;"-"&amp;YEAR(B84)</f>
        <v>3-2020</v>
      </c>
      <c r="U84" s="2">
        <f>YEAR(B84)</f>
        <v>2020</v>
      </c>
      <c r="V84" s="2" t="str">
        <f>IF(DAY(B84)&gt;15,MONTH(B84)&amp;"-C",MONTH(B84)&amp;"-N")</f>
        <v>3-N</v>
      </c>
      <c r="W84" s="21">
        <v>3.16</v>
      </c>
      <c r="X84" s="2" t="b">
        <f t="shared" si="49"/>
        <v>1</v>
      </c>
    </row>
    <row r="85" spans="2:24" x14ac:dyDescent="0.2">
      <c r="B85" s="17">
        <v>43898</v>
      </c>
      <c r="C85" s="10" t="s">
        <v>107</v>
      </c>
      <c r="D85" s="11" t="s">
        <v>340</v>
      </c>
      <c r="E85" s="26">
        <v>51938</v>
      </c>
      <c r="F85" s="10" t="s">
        <v>142</v>
      </c>
      <c r="G85" s="10" t="s">
        <v>46</v>
      </c>
      <c r="H85" s="27" t="s">
        <v>143</v>
      </c>
      <c r="I85" s="12"/>
      <c r="J85" s="12"/>
      <c r="K85" s="13">
        <v>1760</v>
      </c>
      <c r="L85" s="21">
        <v>9</v>
      </c>
      <c r="M85" s="14" t="s">
        <v>14</v>
      </c>
      <c r="N85" s="13">
        <v>15840</v>
      </c>
      <c r="O85" s="15">
        <f t="shared" si="48"/>
        <v>0</v>
      </c>
      <c r="P85" s="10" t="s">
        <v>84</v>
      </c>
      <c r="Q85" s="11" t="s">
        <v>342</v>
      </c>
      <c r="R85" s="11" t="s">
        <v>341</v>
      </c>
      <c r="S85" s="16" t="s">
        <v>341</v>
      </c>
      <c r="T85" s="19" t="str">
        <f>MONTH(B85)&amp;"-"&amp;YEAR(B85)</f>
        <v>3-2020</v>
      </c>
      <c r="U85" s="2">
        <f>YEAR(B85)</f>
        <v>2020</v>
      </c>
      <c r="V85" s="2" t="str">
        <f>IF(DAY(B85)&gt;15,MONTH(B85)&amp;"-C",MONTH(B85)&amp;"-N")</f>
        <v>3-N</v>
      </c>
      <c r="W85" s="21">
        <v>9</v>
      </c>
      <c r="X85" s="2" t="b">
        <f t="shared" si="49"/>
        <v>1</v>
      </c>
    </row>
    <row r="86" spans="2:24" x14ac:dyDescent="0.2">
      <c r="B86" s="17">
        <v>43898</v>
      </c>
      <c r="C86" s="10" t="s">
        <v>107</v>
      </c>
      <c r="D86" s="11" t="s">
        <v>340</v>
      </c>
      <c r="E86" s="26">
        <v>51938</v>
      </c>
      <c r="F86" s="10" t="s">
        <v>144</v>
      </c>
      <c r="G86" s="10" t="s">
        <v>46</v>
      </c>
      <c r="H86" s="27" t="s">
        <v>145</v>
      </c>
      <c r="I86" s="12"/>
      <c r="J86" s="12"/>
      <c r="K86" s="13">
        <v>160</v>
      </c>
      <c r="L86" s="21">
        <v>9</v>
      </c>
      <c r="M86" s="14" t="s">
        <v>14</v>
      </c>
      <c r="N86" s="13">
        <v>1440</v>
      </c>
      <c r="O86" s="15">
        <f t="shared" si="48"/>
        <v>0</v>
      </c>
      <c r="P86" s="10" t="s">
        <v>84</v>
      </c>
      <c r="Q86" s="11" t="s">
        <v>342</v>
      </c>
      <c r="R86" s="11" t="s">
        <v>341</v>
      </c>
      <c r="S86" s="16" t="s">
        <v>341</v>
      </c>
      <c r="T86" s="19" t="str">
        <f>MONTH(B86)&amp;"-"&amp;YEAR(B86)</f>
        <v>3-2020</v>
      </c>
      <c r="U86" s="2">
        <f>YEAR(B86)</f>
        <v>2020</v>
      </c>
      <c r="V86" s="2" t="str">
        <f>IF(DAY(B86)&gt;15,MONTH(B86)&amp;"-C",MONTH(B86)&amp;"-N")</f>
        <v>3-N</v>
      </c>
      <c r="W86" s="21">
        <v>9</v>
      </c>
      <c r="X86" s="2" t="b">
        <f t="shared" si="49"/>
        <v>1</v>
      </c>
    </row>
    <row r="87" spans="2:24" x14ac:dyDescent="0.2">
      <c r="B87" s="17">
        <v>43898</v>
      </c>
      <c r="C87" s="10" t="s">
        <v>107</v>
      </c>
      <c r="D87" s="11" t="s">
        <v>343</v>
      </c>
      <c r="E87" s="26">
        <v>51938</v>
      </c>
      <c r="F87" s="10" t="s">
        <v>103</v>
      </c>
      <c r="G87" s="10" t="s">
        <v>46</v>
      </c>
      <c r="H87" s="27" t="s">
        <v>104</v>
      </c>
      <c r="I87" s="12"/>
      <c r="J87" s="12"/>
      <c r="K87" s="13">
        <v>20</v>
      </c>
      <c r="L87" s="21">
        <v>37.200000000000003</v>
      </c>
      <c r="M87" s="14" t="s">
        <v>14</v>
      </c>
      <c r="N87" s="13">
        <v>744</v>
      </c>
      <c r="O87" s="15">
        <f t="shared" si="48"/>
        <v>0</v>
      </c>
      <c r="P87" s="10" t="s">
        <v>84</v>
      </c>
      <c r="Q87" s="11" t="s">
        <v>342</v>
      </c>
      <c r="R87" s="11" t="s">
        <v>341</v>
      </c>
      <c r="S87" s="16" t="s">
        <v>341</v>
      </c>
      <c r="T87" s="19" t="str">
        <f>MONTH(B87)&amp;"-"&amp;YEAR(B87)</f>
        <v>3-2020</v>
      </c>
      <c r="U87" s="2">
        <f>YEAR(B87)</f>
        <v>2020</v>
      </c>
      <c r="V87" s="2" t="str">
        <f>IF(DAY(B87)&gt;15,MONTH(B87)&amp;"-C",MONTH(B87)&amp;"-N")</f>
        <v>3-N</v>
      </c>
      <c r="W87" s="21">
        <v>37.200000000000003</v>
      </c>
      <c r="X87" s="2" t="b">
        <f t="shared" si="49"/>
        <v>1</v>
      </c>
    </row>
    <row r="88" spans="2:24" x14ac:dyDescent="0.2">
      <c r="B88" s="17">
        <v>43898</v>
      </c>
      <c r="C88" s="10" t="s">
        <v>107</v>
      </c>
      <c r="D88" s="11" t="s">
        <v>343</v>
      </c>
      <c r="E88" s="26">
        <v>51938</v>
      </c>
      <c r="F88" s="10" t="s">
        <v>105</v>
      </c>
      <c r="G88" s="10" t="s">
        <v>46</v>
      </c>
      <c r="H88" s="27" t="s">
        <v>106</v>
      </c>
      <c r="I88" s="12"/>
      <c r="J88" s="12"/>
      <c r="K88" s="13">
        <v>660</v>
      </c>
      <c r="L88" s="21">
        <v>12.3</v>
      </c>
      <c r="M88" s="14" t="s">
        <v>14</v>
      </c>
      <c r="N88" s="13">
        <v>8118</v>
      </c>
      <c r="O88" s="15">
        <f t="shared" si="48"/>
        <v>0</v>
      </c>
      <c r="P88" s="10" t="s">
        <v>84</v>
      </c>
      <c r="Q88" s="11" t="s">
        <v>342</v>
      </c>
      <c r="R88" s="11" t="s">
        <v>341</v>
      </c>
      <c r="S88" s="16" t="s">
        <v>341</v>
      </c>
      <c r="T88" s="19" t="str">
        <f>MONTH(B88)&amp;"-"&amp;YEAR(B88)</f>
        <v>3-2020</v>
      </c>
      <c r="U88" s="2">
        <f>YEAR(B88)</f>
        <v>2020</v>
      </c>
      <c r="V88" s="2" t="str">
        <f>IF(DAY(B88)&gt;15,MONTH(B88)&amp;"-C",MONTH(B88)&amp;"-N")</f>
        <v>3-N</v>
      </c>
      <c r="W88" s="21">
        <v>12.3</v>
      </c>
      <c r="X88" s="2" t="b">
        <f t="shared" si="49"/>
        <v>1</v>
      </c>
    </row>
    <row r="89" spans="2:24" x14ac:dyDescent="0.2">
      <c r="B89" s="17">
        <v>43898</v>
      </c>
      <c r="C89" s="10" t="s">
        <v>82</v>
      </c>
      <c r="D89" s="11" t="s">
        <v>336</v>
      </c>
      <c r="E89" s="26">
        <v>51937</v>
      </c>
      <c r="F89" s="10" t="s">
        <v>26</v>
      </c>
      <c r="G89" s="10" t="s">
        <v>27</v>
      </c>
      <c r="H89" s="27" t="s">
        <v>28</v>
      </c>
      <c r="I89" s="12"/>
      <c r="J89" s="12"/>
      <c r="K89" s="13">
        <v>2700</v>
      </c>
      <c r="L89" s="21">
        <v>3.16</v>
      </c>
      <c r="M89" s="14" t="s">
        <v>14</v>
      </c>
      <c r="N89" s="13">
        <v>8532</v>
      </c>
      <c r="O89" s="15">
        <f t="shared" si="48"/>
        <v>0</v>
      </c>
      <c r="P89" s="10" t="s">
        <v>78</v>
      </c>
      <c r="Q89" s="11" t="s">
        <v>345</v>
      </c>
      <c r="R89" s="11" t="s">
        <v>346</v>
      </c>
      <c r="S89" s="16" t="s">
        <v>344</v>
      </c>
      <c r="T89" s="19" t="str">
        <f>MONTH(B89)&amp;"-"&amp;YEAR(B89)</f>
        <v>3-2020</v>
      </c>
      <c r="U89" s="2">
        <f>YEAR(B89)</f>
        <v>2020</v>
      </c>
      <c r="V89" s="2" t="str">
        <f>IF(DAY(B89)&gt;15,MONTH(B89)&amp;"-C",MONTH(B89)&amp;"-N")</f>
        <v>3-N</v>
      </c>
      <c r="W89" s="21">
        <v>3.16</v>
      </c>
      <c r="X89" s="2" t="b">
        <f t="shared" si="49"/>
        <v>1</v>
      </c>
    </row>
    <row r="90" spans="2:24" x14ac:dyDescent="0.2">
      <c r="B90" s="17">
        <v>43899</v>
      </c>
      <c r="C90" s="10" t="s">
        <v>25</v>
      </c>
      <c r="D90" s="11" t="s">
        <v>347</v>
      </c>
      <c r="E90" s="26">
        <v>51964</v>
      </c>
      <c r="F90" s="10" t="s">
        <v>29</v>
      </c>
      <c r="G90" s="10" t="s">
        <v>27</v>
      </c>
      <c r="H90" s="27" t="s">
        <v>30</v>
      </c>
      <c r="I90" s="12"/>
      <c r="J90" s="12"/>
      <c r="K90" s="13">
        <v>1320</v>
      </c>
      <c r="L90" s="21">
        <v>2.93</v>
      </c>
      <c r="M90" s="14" t="s">
        <v>14</v>
      </c>
      <c r="N90" s="13">
        <v>3867.6</v>
      </c>
      <c r="O90" s="15">
        <f t="shared" ref="O90:O93" si="50">(N90/K90)-L90</f>
        <v>0</v>
      </c>
      <c r="P90" s="10" t="s">
        <v>78</v>
      </c>
      <c r="Q90" s="11" t="s">
        <v>349</v>
      </c>
      <c r="R90" s="11" t="s">
        <v>162</v>
      </c>
      <c r="S90" s="16" t="s">
        <v>348</v>
      </c>
      <c r="T90" s="19" t="str">
        <f>MONTH(B90)&amp;"-"&amp;YEAR(B90)</f>
        <v>3-2020</v>
      </c>
      <c r="U90" s="2">
        <f>YEAR(B90)</f>
        <v>2020</v>
      </c>
      <c r="V90" s="2" t="str">
        <f>IF(DAY(B90)&gt;15,MONTH(B90)&amp;"-C",MONTH(B90)&amp;"-N")</f>
        <v>3-N</v>
      </c>
      <c r="W90" s="21">
        <v>2.93</v>
      </c>
      <c r="X90" s="2" t="b">
        <f t="shared" ref="X90:X93" si="51">+L90=W90</f>
        <v>1</v>
      </c>
    </row>
    <row r="91" spans="2:24" x14ac:dyDescent="0.2">
      <c r="B91" s="17">
        <v>43899</v>
      </c>
      <c r="C91" s="10" t="s">
        <v>25</v>
      </c>
      <c r="D91" s="11" t="s">
        <v>347</v>
      </c>
      <c r="E91" s="26">
        <v>51964</v>
      </c>
      <c r="F91" s="10" t="s">
        <v>31</v>
      </c>
      <c r="G91" s="10" t="s">
        <v>27</v>
      </c>
      <c r="H91" s="27" t="s">
        <v>32</v>
      </c>
      <c r="I91" s="12"/>
      <c r="J91" s="12"/>
      <c r="K91" s="13">
        <v>1280</v>
      </c>
      <c r="L91" s="21">
        <v>3.2</v>
      </c>
      <c r="M91" s="14" t="s">
        <v>14</v>
      </c>
      <c r="N91" s="13">
        <v>4096</v>
      </c>
      <c r="O91" s="15">
        <f t="shared" si="50"/>
        <v>0</v>
      </c>
      <c r="P91" s="10" t="s">
        <v>78</v>
      </c>
      <c r="Q91" s="11" t="s">
        <v>349</v>
      </c>
      <c r="R91" s="11" t="s">
        <v>162</v>
      </c>
      <c r="S91" s="16" t="s">
        <v>348</v>
      </c>
      <c r="T91" s="19" t="str">
        <f>MONTH(B91)&amp;"-"&amp;YEAR(B91)</f>
        <v>3-2020</v>
      </c>
      <c r="U91" s="2">
        <f>YEAR(B91)</f>
        <v>2020</v>
      </c>
      <c r="V91" s="2" t="str">
        <f>IF(DAY(B91)&gt;15,MONTH(B91)&amp;"-C",MONTH(B91)&amp;"-N")</f>
        <v>3-N</v>
      </c>
      <c r="W91" s="21">
        <v>3.2</v>
      </c>
      <c r="X91" s="2" t="b">
        <f t="shared" si="51"/>
        <v>1</v>
      </c>
    </row>
    <row r="92" spans="2:24" x14ac:dyDescent="0.2">
      <c r="B92" s="17">
        <v>43899</v>
      </c>
      <c r="C92" s="10" t="s">
        <v>25</v>
      </c>
      <c r="D92" s="11" t="s">
        <v>347</v>
      </c>
      <c r="E92" s="26">
        <v>51964</v>
      </c>
      <c r="F92" s="10" t="s">
        <v>33</v>
      </c>
      <c r="G92" s="10" t="s">
        <v>27</v>
      </c>
      <c r="H92" s="27" t="s">
        <v>34</v>
      </c>
      <c r="I92" s="12"/>
      <c r="J92" s="12"/>
      <c r="K92" s="13">
        <v>1440</v>
      </c>
      <c r="L92" s="21">
        <v>5.25</v>
      </c>
      <c r="M92" s="14" t="s">
        <v>14</v>
      </c>
      <c r="N92" s="13">
        <v>7560</v>
      </c>
      <c r="O92" s="15">
        <f t="shared" si="50"/>
        <v>0</v>
      </c>
      <c r="P92" s="10" t="s">
        <v>78</v>
      </c>
      <c r="Q92" s="11" t="s">
        <v>349</v>
      </c>
      <c r="R92" s="11" t="s">
        <v>162</v>
      </c>
      <c r="S92" s="16" t="s">
        <v>348</v>
      </c>
      <c r="T92" s="19" t="str">
        <f>MONTH(B92)&amp;"-"&amp;YEAR(B92)</f>
        <v>3-2020</v>
      </c>
      <c r="U92" s="2">
        <f>YEAR(B92)</f>
        <v>2020</v>
      </c>
      <c r="V92" s="2" t="str">
        <f>IF(DAY(B92)&gt;15,MONTH(B92)&amp;"-C",MONTH(B92)&amp;"-N")</f>
        <v>3-N</v>
      </c>
      <c r="W92" s="21">
        <v>5.25</v>
      </c>
      <c r="X92" s="2" t="b">
        <f t="shared" si="51"/>
        <v>1</v>
      </c>
    </row>
    <row r="93" spans="2:24" x14ac:dyDescent="0.2">
      <c r="B93" s="17">
        <v>43899</v>
      </c>
      <c r="C93" s="10" t="s">
        <v>82</v>
      </c>
      <c r="D93" s="11" t="s">
        <v>336</v>
      </c>
      <c r="E93" s="26">
        <v>51963</v>
      </c>
      <c r="F93" s="10" t="s">
        <v>26</v>
      </c>
      <c r="G93" s="10" t="s">
        <v>27</v>
      </c>
      <c r="H93" s="27" t="s">
        <v>28</v>
      </c>
      <c r="I93" s="12"/>
      <c r="J93" s="12"/>
      <c r="K93" s="13">
        <v>9000</v>
      </c>
      <c r="L93" s="21">
        <v>3.16</v>
      </c>
      <c r="M93" s="14" t="s">
        <v>14</v>
      </c>
      <c r="N93" s="13">
        <v>28440</v>
      </c>
      <c r="O93" s="15">
        <f t="shared" si="50"/>
        <v>0</v>
      </c>
      <c r="P93" s="10" t="s">
        <v>78</v>
      </c>
      <c r="Q93" s="11" t="s">
        <v>351</v>
      </c>
      <c r="R93" s="11" t="s">
        <v>350</v>
      </c>
      <c r="S93" s="16" t="s">
        <v>350</v>
      </c>
      <c r="T93" s="19" t="str">
        <f>MONTH(B93)&amp;"-"&amp;YEAR(B93)</f>
        <v>3-2020</v>
      </c>
      <c r="U93" s="2">
        <f>YEAR(B93)</f>
        <v>2020</v>
      </c>
      <c r="V93" s="2" t="str">
        <f>IF(DAY(B93)&gt;15,MONTH(B93)&amp;"-C",MONTH(B93)&amp;"-N")</f>
        <v>3-N</v>
      </c>
      <c r="W93" s="21">
        <v>3.16</v>
      </c>
      <c r="X93" s="2" t="b">
        <f t="shared" si="51"/>
        <v>1</v>
      </c>
    </row>
    <row r="94" spans="2:24" x14ac:dyDescent="0.2">
      <c r="B94" s="17">
        <v>43900</v>
      </c>
      <c r="C94" s="10" t="s">
        <v>88</v>
      </c>
      <c r="D94" s="11" t="s">
        <v>352</v>
      </c>
      <c r="E94" s="26">
        <v>51979</v>
      </c>
      <c r="F94" s="10" t="s">
        <v>98</v>
      </c>
      <c r="G94" s="10" t="s">
        <v>46</v>
      </c>
      <c r="H94" s="27" t="s">
        <v>99</v>
      </c>
      <c r="I94" s="12"/>
      <c r="J94" s="12"/>
      <c r="K94" s="13">
        <v>40</v>
      </c>
      <c r="L94" s="21">
        <v>11.15</v>
      </c>
      <c r="M94" s="14" t="s">
        <v>14</v>
      </c>
      <c r="N94" s="13">
        <v>446</v>
      </c>
      <c r="O94" s="15">
        <f t="shared" ref="O94:O96" si="52">(N94/K94)-L94</f>
        <v>0</v>
      </c>
      <c r="P94" s="10" t="s">
        <v>84</v>
      </c>
      <c r="Q94" s="11" t="s">
        <v>354</v>
      </c>
      <c r="R94" s="11" t="s">
        <v>355</v>
      </c>
      <c r="S94" s="16" t="s">
        <v>353</v>
      </c>
      <c r="T94" s="19" t="str">
        <f>MONTH(B94)&amp;"-"&amp;YEAR(B94)</f>
        <v>3-2020</v>
      </c>
      <c r="U94" s="2">
        <f>YEAR(B94)</f>
        <v>2020</v>
      </c>
      <c r="V94" s="2" t="str">
        <f>IF(DAY(B94)&gt;15,MONTH(B94)&amp;"-C",MONTH(B94)&amp;"-N")</f>
        <v>3-N</v>
      </c>
      <c r="W94" s="21">
        <v>11.15</v>
      </c>
      <c r="X94" s="2" t="b">
        <f t="shared" ref="X94:X96" si="53">+L94=W94</f>
        <v>1</v>
      </c>
    </row>
    <row r="95" spans="2:24" x14ac:dyDescent="0.2">
      <c r="B95" s="17">
        <v>43900</v>
      </c>
      <c r="C95" s="10" t="s">
        <v>88</v>
      </c>
      <c r="D95" s="11" t="s">
        <v>352</v>
      </c>
      <c r="E95" s="26">
        <v>51979</v>
      </c>
      <c r="F95" s="10" t="s">
        <v>100</v>
      </c>
      <c r="G95" s="10" t="s">
        <v>46</v>
      </c>
      <c r="H95" s="27" t="s">
        <v>101</v>
      </c>
      <c r="I95" s="12"/>
      <c r="J95" s="12"/>
      <c r="K95" s="13">
        <v>2000</v>
      </c>
      <c r="L95" s="21">
        <v>11.15</v>
      </c>
      <c r="M95" s="14" t="s">
        <v>14</v>
      </c>
      <c r="N95" s="13">
        <v>22300</v>
      </c>
      <c r="O95" s="15">
        <f t="shared" si="52"/>
        <v>0</v>
      </c>
      <c r="P95" s="10" t="s">
        <v>84</v>
      </c>
      <c r="Q95" s="11" t="s">
        <v>354</v>
      </c>
      <c r="R95" s="11" t="s">
        <v>355</v>
      </c>
      <c r="S95" s="16" t="s">
        <v>353</v>
      </c>
      <c r="T95" s="19" t="str">
        <f>MONTH(B95)&amp;"-"&amp;YEAR(B95)</f>
        <v>3-2020</v>
      </c>
      <c r="U95" s="2">
        <f>YEAR(B95)</f>
        <v>2020</v>
      </c>
      <c r="V95" s="2" t="str">
        <f>IF(DAY(B95)&gt;15,MONTH(B95)&amp;"-C",MONTH(B95)&amp;"-N")</f>
        <v>3-N</v>
      </c>
      <c r="W95" s="21">
        <v>11.15</v>
      </c>
      <c r="X95" s="2" t="b">
        <f t="shared" si="53"/>
        <v>1</v>
      </c>
    </row>
    <row r="96" spans="2:24" x14ac:dyDescent="0.2">
      <c r="B96" s="17">
        <v>43901</v>
      </c>
      <c r="C96" s="10" t="s">
        <v>80</v>
      </c>
      <c r="D96" s="11" t="s">
        <v>356</v>
      </c>
      <c r="E96" s="26">
        <v>51996</v>
      </c>
      <c r="F96" s="10" t="s">
        <v>26</v>
      </c>
      <c r="G96" s="10" t="s">
        <v>27</v>
      </c>
      <c r="H96" s="27" t="s">
        <v>28</v>
      </c>
      <c r="I96" s="12"/>
      <c r="J96" s="12"/>
      <c r="K96" s="13">
        <v>3600</v>
      </c>
      <c r="L96" s="21">
        <v>3.15</v>
      </c>
      <c r="M96" s="14" t="s">
        <v>14</v>
      </c>
      <c r="N96" s="13">
        <v>11340</v>
      </c>
      <c r="O96" s="15">
        <f t="shared" si="52"/>
        <v>0</v>
      </c>
      <c r="P96" s="10" t="s">
        <v>78</v>
      </c>
      <c r="Q96" s="11" t="s">
        <v>358</v>
      </c>
      <c r="R96" s="11" t="s">
        <v>359</v>
      </c>
      <c r="S96" s="16" t="s">
        <v>357</v>
      </c>
      <c r="T96" s="19" t="str">
        <f>MONTH(B96)&amp;"-"&amp;YEAR(B96)</f>
        <v>3-2020</v>
      </c>
      <c r="U96" s="2">
        <f>YEAR(B96)</f>
        <v>2020</v>
      </c>
      <c r="V96" s="2" t="str">
        <f>IF(DAY(B96)&gt;15,MONTH(B96)&amp;"-C",MONTH(B96)&amp;"-N")</f>
        <v>3-N</v>
      </c>
      <c r="W96" s="21">
        <v>3.15</v>
      </c>
      <c r="X96" s="2" t="b">
        <f t="shared" si="53"/>
        <v>1</v>
      </c>
    </row>
    <row r="97" spans="2:24" x14ac:dyDescent="0.2">
      <c r="B97" s="17">
        <v>43902</v>
      </c>
      <c r="C97" s="10" t="s">
        <v>80</v>
      </c>
      <c r="D97" s="11" t="s">
        <v>356</v>
      </c>
      <c r="E97" s="26">
        <v>52009</v>
      </c>
      <c r="F97" s="10" t="s">
        <v>26</v>
      </c>
      <c r="G97" s="10" t="s">
        <v>27</v>
      </c>
      <c r="H97" s="27" t="s">
        <v>28</v>
      </c>
      <c r="I97" s="12"/>
      <c r="J97" s="12"/>
      <c r="K97" s="13">
        <v>3600</v>
      </c>
      <c r="L97" s="21">
        <v>3.15</v>
      </c>
      <c r="M97" s="14" t="s">
        <v>14</v>
      </c>
      <c r="N97" s="13">
        <v>11340</v>
      </c>
      <c r="O97" s="15">
        <f t="shared" ref="O97:O99" si="54">(N97/K97)-L97</f>
        <v>0</v>
      </c>
      <c r="P97" s="10" t="s">
        <v>78</v>
      </c>
      <c r="Q97" s="11" t="s">
        <v>361</v>
      </c>
      <c r="R97" s="11" t="s">
        <v>362</v>
      </c>
      <c r="S97" s="16" t="s">
        <v>360</v>
      </c>
      <c r="T97" s="19" t="str">
        <f>MONTH(B97)&amp;"-"&amp;YEAR(B97)</f>
        <v>3-2020</v>
      </c>
      <c r="U97" s="2">
        <f>YEAR(B97)</f>
        <v>2020</v>
      </c>
      <c r="V97" s="2" t="str">
        <f>IF(DAY(B97)&gt;15,MONTH(B97)&amp;"-C",MONTH(B97)&amp;"-N")</f>
        <v>3-N</v>
      </c>
      <c r="W97" s="21">
        <v>3.15</v>
      </c>
      <c r="X97" s="2" t="b">
        <f t="shared" ref="X97:X99" si="55">+L97=W97</f>
        <v>1</v>
      </c>
    </row>
    <row r="98" spans="2:24" x14ac:dyDescent="0.2">
      <c r="B98" s="17">
        <v>43902</v>
      </c>
      <c r="C98" s="10" t="s">
        <v>73</v>
      </c>
      <c r="D98" s="11" t="s">
        <v>363</v>
      </c>
      <c r="E98" s="26">
        <v>52010</v>
      </c>
      <c r="F98" s="10" t="s">
        <v>131</v>
      </c>
      <c r="G98" s="10" t="s">
        <v>46</v>
      </c>
      <c r="H98" s="27" t="s">
        <v>132</v>
      </c>
      <c r="I98" s="12"/>
      <c r="J98" s="12"/>
      <c r="K98" s="13">
        <v>320</v>
      </c>
      <c r="L98" s="21">
        <v>9.85</v>
      </c>
      <c r="M98" s="14" t="s">
        <v>14</v>
      </c>
      <c r="N98" s="13">
        <v>3152</v>
      </c>
      <c r="O98" s="15">
        <f t="shared" si="54"/>
        <v>0</v>
      </c>
      <c r="P98" s="10" t="s">
        <v>84</v>
      </c>
      <c r="Q98" s="11" t="s">
        <v>365</v>
      </c>
      <c r="R98" s="11" t="s">
        <v>366</v>
      </c>
      <c r="S98" s="16" t="s">
        <v>364</v>
      </c>
      <c r="T98" s="19" t="str">
        <f>MONTH(B98)&amp;"-"&amp;YEAR(B98)</f>
        <v>3-2020</v>
      </c>
      <c r="U98" s="2">
        <f>YEAR(B98)</f>
        <v>2020</v>
      </c>
      <c r="V98" s="2" t="str">
        <f>IF(DAY(B98)&gt;15,MONTH(B98)&amp;"-C",MONTH(B98)&amp;"-N")</f>
        <v>3-N</v>
      </c>
      <c r="W98" s="21">
        <v>9.85</v>
      </c>
      <c r="X98" s="2" t="b">
        <f t="shared" si="55"/>
        <v>1</v>
      </c>
    </row>
    <row r="99" spans="2:24" x14ac:dyDescent="0.2">
      <c r="B99" s="17">
        <v>43902</v>
      </c>
      <c r="C99" s="10" t="s">
        <v>73</v>
      </c>
      <c r="D99" s="11" t="s">
        <v>363</v>
      </c>
      <c r="E99" s="26">
        <v>52010</v>
      </c>
      <c r="F99" s="10" t="s">
        <v>133</v>
      </c>
      <c r="G99" s="10" t="s">
        <v>46</v>
      </c>
      <c r="H99" s="27" t="s">
        <v>134</v>
      </c>
      <c r="I99" s="12"/>
      <c r="J99" s="12"/>
      <c r="K99" s="13">
        <v>2000</v>
      </c>
      <c r="L99" s="21">
        <v>9.85</v>
      </c>
      <c r="M99" s="14" t="s">
        <v>14</v>
      </c>
      <c r="N99" s="13">
        <v>19700</v>
      </c>
      <c r="O99" s="15">
        <f t="shared" si="54"/>
        <v>0</v>
      </c>
      <c r="P99" s="10" t="s">
        <v>84</v>
      </c>
      <c r="Q99" s="11" t="s">
        <v>365</v>
      </c>
      <c r="R99" s="11" t="s">
        <v>366</v>
      </c>
      <c r="S99" s="16" t="s">
        <v>364</v>
      </c>
      <c r="T99" s="19" t="str">
        <f>MONTH(B99)&amp;"-"&amp;YEAR(B99)</f>
        <v>3-2020</v>
      </c>
      <c r="U99" s="2">
        <f>YEAR(B99)</f>
        <v>2020</v>
      </c>
      <c r="V99" s="2" t="str">
        <f>IF(DAY(B99)&gt;15,MONTH(B99)&amp;"-C",MONTH(B99)&amp;"-N")</f>
        <v>3-N</v>
      </c>
      <c r="W99" s="21">
        <v>9.85</v>
      </c>
      <c r="X99" s="2" t="b">
        <f t="shared" si="55"/>
        <v>1</v>
      </c>
    </row>
    <row r="100" spans="2:24" x14ac:dyDescent="0.2">
      <c r="B100" s="17">
        <v>43905</v>
      </c>
      <c r="C100" s="10" t="s">
        <v>80</v>
      </c>
      <c r="D100" s="11" t="s">
        <v>356</v>
      </c>
      <c r="E100" s="26">
        <v>52032</v>
      </c>
      <c r="F100" s="10" t="s">
        <v>26</v>
      </c>
      <c r="G100" s="10" t="s">
        <v>27</v>
      </c>
      <c r="H100" s="27" t="s">
        <v>28</v>
      </c>
      <c r="I100" s="12"/>
      <c r="J100" s="12"/>
      <c r="K100" s="13">
        <v>3600</v>
      </c>
      <c r="L100" s="21">
        <v>3.15</v>
      </c>
      <c r="M100" s="14" t="s">
        <v>14</v>
      </c>
      <c r="N100" s="13">
        <v>11340</v>
      </c>
      <c r="O100" s="15">
        <f t="shared" ref="O100" si="56">(N100/K100)-L100</f>
        <v>0</v>
      </c>
      <c r="P100" s="10" t="s">
        <v>78</v>
      </c>
      <c r="Q100" s="11" t="s">
        <v>368</v>
      </c>
      <c r="R100" s="11" t="s">
        <v>369</v>
      </c>
      <c r="S100" s="16" t="s">
        <v>367</v>
      </c>
      <c r="T100" s="19" t="str">
        <f>MONTH(B100)&amp;"-"&amp;YEAR(B100)</f>
        <v>3-2020</v>
      </c>
      <c r="U100" s="2">
        <f>YEAR(B100)</f>
        <v>2020</v>
      </c>
      <c r="V100" s="2" t="str">
        <f>IF(DAY(B100)&gt;15,MONTH(B100)&amp;"-C",MONTH(B100)&amp;"-N")</f>
        <v>3-N</v>
      </c>
      <c r="W100" s="21">
        <v>3.15</v>
      </c>
      <c r="X100" s="2" t="b">
        <f t="shared" ref="X100" si="57">+L100=W100</f>
        <v>1</v>
      </c>
    </row>
    <row r="101" spans="2:24" x14ac:dyDescent="0.2">
      <c r="B101" s="17">
        <v>43906</v>
      </c>
      <c r="C101" s="10" t="s">
        <v>80</v>
      </c>
      <c r="D101" s="11" t="s">
        <v>356</v>
      </c>
      <c r="E101" s="26">
        <v>52057</v>
      </c>
      <c r="F101" s="10" t="s">
        <v>26</v>
      </c>
      <c r="G101" s="10" t="s">
        <v>27</v>
      </c>
      <c r="H101" s="27" t="s">
        <v>28</v>
      </c>
      <c r="I101" s="12"/>
      <c r="J101" s="12"/>
      <c r="K101" s="13">
        <v>3600</v>
      </c>
      <c r="L101" s="21">
        <v>3.15</v>
      </c>
      <c r="M101" s="14" t="s">
        <v>14</v>
      </c>
      <c r="N101" s="13">
        <v>11340</v>
      </c>
      <c r="O101" s="15">
        <f t="shared" ref="O101" si="58">(N101/K101)-L101</f>
        <v>0</v>
      </c>
      <c r="P101" s="10" t="s">
        <v>78</v>
      </c>
      <c r="Q101" s="11" t="s">
        <v>371</v>
      </c>
      <c r="R101" s="11" t="s">
        <v>372</v>
      </c>
      <c r="S101" s="16" t="s">
        <v>370</v>
      </c>
      <c r="T101" s="19" t="str">
        <f>MONTH(B101)&amp;"-"&amp;YEAR(B101)</f>
        <v>3-2020</v>
      </c>
      <c r="U101" s="2">
        <f>YEAR(B101)</f>
        <v>2020</v>
      </c>
      <c r="V101" s="2" t="str">
        <f>IF(DAY(B101)&gt;15,MONTH(B101)&amp;"-C",MONTH(B101)&amp;"-N")</f>
        <v>3-C</v>
      </c>
      <c r="W101" s="21">
        <v>3.15</v>
      </c>
      <c r="X101" s="2" t="b">
        <f t="shared" ref="X101" si="59">+L101=W101</f>
        <v>1</v>
      </c>
    </row>
    <row r="102" spans="2:24" x14ac:dyDescent="0.2">
      <c r="B102" s="17">
        <v>43907</v>
      </c>
      <c r="C102" s="10" t="s">
        <v>80</v>
      </c>
      <c r="D102" s="11" t="s">
        <v>356</v>
      </c>
      <c r="E102" s="26">
        <v>52066</v>
      </c>
      <c r="F102" s="10" t="s">
        <v>26</v>
      </c>
      <c r="G102" s="10" t="s">
        <v>27</v>
      </c>
      <c r="H102" s="27" t="s">
        <v>28</v>
      </c>
      <c r="I102" s="12"/>
      <c r="J102" s="12"/>
      <c r="K102" s="13">
        <v>3600</v>
      </c>
      <c r="L102" s="21">
        <v>3.15</v>
      </c>
      <c r="M102" s="14" t="s">
        <v>14</v>
      </c>
      <c r="N102" s="13">
        <v>11340</v>
      </c>
      <c r="O102" s="15">
        <f t="shared" ref="O102:O104" si="60">(N102/K102)-L102</f>
        <v>0</v>
      </c>
      <c r="P102" s="10" t="s">
        <v>78</v>
      </c>
      <c r="Q102" s="11" t="s">
        <v>374</v>
      </c>
      <c r="R102" s="11" t="s">
        <v>375</v>
      </c>
      <c r="S102" s="16" t="s">
        <v>373</v>
      </c>
      <c r="T102" s="19" t="str">
        <f>MONTH(B102)&amp;"-"&amp;YEAR(B102)</f>
        <v>3-2020</v>
      </c>
      <c r="U102" s="2">
        <f>YEAR(B102)</f>
        <v>2020</v>
      </c>
      <c r="V102" s="2" t="str">
        <f>IF(DAY(B102)&gt;15,MONTH(B102)&amp;"-C",MONTH(B102)&amp;"-N")</f>
        <v>3-C</v>
      </c>
      <c r="W102" s="21">
        <v>3.15</v>
      </c>
      <c r="X102" s="2" t="b">
        <f t="shared" ref="X102:X104" si="61">+L102=W102</f>
        <v>1</v>
      </c>
    </row>
    <row r="103" spans="2:24" x14ac:dyDescent="0.2">
      <c r="B103" s="17">
        <v>43908</v>
      </c>
      <c r="C103" s="10" t="s">
        <v>82</v>
      </c>
      <c r="D103" s="11" t="s">
        <v>336</v>
      </c>
      <c r="E103" s="26">
        <v>52105</v>
      </c>
      <c r="F103" s="10" t="s">
        <v>26</v>
      </c>
      <c r="G103" s="10" t="s">
        <v>27</v>
      </c>
      <c r="H103" s="27" t="s">
        <v>28</v>
      </c>
      <c r="I103" s="12"/>
      <c r="J103" s="12"/>
      <c r="K103" s="13">
        <v>4500</v>
      </c>
      <c r="L103" s="21">
        <v>3.16</v>
      </c>
      <c r="M103" s="14" t="s">
        <v>14</v>
      </c>
      <c r="N103" s="13">
        <v>14220</v>
      </c>
      <c r="O103" s="15">
        <f t="shared" si="60"/>
        <v>0</v>
      </c>
      <c r="P103" s="10" t="s">
        <v>78</v>
      </c>
      <c r="Q103" s="11" t="s">
        <v>378</v>
      </c>
      <c r="R103" s="11" t="s">
        <v>379</v>
      </c>
      <c r="S103" s="16" t="s">
        <v>377</v>
      </c>
      <c r="T103" s="19" t="str">
        <f>MONTH(B103)&amp;"-"&amp;YEAR(B103)</f>
        <v>3-2020</v>
      </c>
      <c r="U103" s="2">
        <f>YEAR(B103)</f>
        <v>2020</v>
      </c>
      <c r="V103" s="2" t="str">
        <f>IF(DAY(B103)&gt;15,MONTH(B103)&amp;"-C",MONTH(B103)&amp;"-N")</f>
        <v>3-C</v>
      </c>
      <c r="W103" s="21">
        <v>3.16</v>
      </c>
      <c r="X103" s="2" t="b">
        <f t="shared" si="61"/>
        <v>1</v>
      </c>
    </row>
    <row r="104" spans="2:24" x14ac:dyDescent="0.2">
      <c r="B104" s="17">
        <v>43908</v>
      </c>
      <c r="C104" s="10" t="s">
        <v>80</v>
      </c>
      <c r="D104" s="11" t="s">
        <v>356</v>
      </c>
      <c r="E104" s="26">
        <v>52075</v>
      </c>
      <c r="F104" s="10" t="s">
        <v>26</v>
      </c>
      <c r="G104" s="10" t="s">
        <v>27</v>
      </c>
      <c r="H104" s="27" t="s">
        <v>28</v>
      </c>
      <c r="I104" s="12"/>
      <c r="J104" s="12"/>
      <c r="K104" s="13">
        <v>3600</v>
      </c>
      <c r="L104" s="21">
        <v>3.15</v>
      </c>
      <c r="M104" s="14" t="s">
        <v>14</v>
      </c>
      <c r="N104" s="13">
        <v>11340</v>
      </c>
      <c r="O104" s="15">
        <f t="shared" si="60"/>
        <v>0</v>
      </c>
      <c r="P104" s="10" t="s">
        <v>78</v>
      </c>
      <c r="Q104" s="11" t="s">
        <v>381</v>
      </c>
      <c r="R104" s="11" t="s">
        <v>382</v>
      </c>
      <c r="S104" s="16" t="s">
        <v>380</v>
      </c>
      <c r="T104" s="19" t="str">
        <f>MONTH(B104)&amp;"-"&amp;YEAR(B104)</f>
        <v>3-2020</v>
      </c>
      <c r="U104" s="2">
        <f>YEAR(B104)</f>
        <v>2020</v>
      </c>
      <c r="V104" s="2" t="str">
        <f>IF(DAY(B104)&gt;15,MONTH(B104)&amp;"-C",MONTH(B104)&amp;"-N")</f>
        <v>3-C</v>
      </c>
      <c r="W104" s="21">
        <v>3.15</v>
      </c>
      <c r="X104" s="2" t="b">
        <f t="shared" si="61"/>
        <v>1</v>
      </c>
    </row>
    <row r="105" spans="2:24" x14ac:dyDescent="0.2">
      <c r="B105" s="17">
        <v>43909</v>
      </c>
      <c r="C105" s="10" t="s">
        <v>82</v>
      </c>
      <c r="D105" s="11" t="s">
        <v>336</v>
      </c>
      <c r="E105" s="26">
        <v>52102</v>
      </c>
      <c r="F105" s="10" t="s">
        <v>26</v>
      </c>
      <c r="G105" s="10" t="s">
        <v>27</v>
      </c>
      <c r="H105" s="27" t="s">
        <v>28</v>
      </c>
      <c r="I105" s="12"/>
      <c r="J105" s="12"/>
      <c r="K105" s="13">
        <v>3600</v>
      </c>
      <c r="L105" s="21">
        <v>3.16</v>
      </c>
      <c r="M105" s="14" t="s">
        <v>14</v>
      </c>
      <c r="N105" s="13">
        <v>11376</v>
      </c>
      <c r="O105" s="15">
        <f t="shared" ref="O105:O106" si="62">(N105/K105)-L105</f>
        <v>0</v>
      </c>
      <c r="P105" s="10" t="s">
        <v>78</v>
      </c>
      <c r="Q105" s="11" t="s">
        <v>384</v>
      </c>
      <c r="R105" s="11" t="s">
        <v>385</v>
      </c>
      <c r="S105" s="16" t="s">
        <v>41</v>
      </c>
      <c r="T105" s="19" t="str">
        <f>MONTH(B105)&amp;"-"&amp;YEAR(B105)</f>
        <v>3-2020</v>
      </c>
      <c r="U105" s="2">
        <f>YEAR(B105)</f>
        <v>2020</v>
      </c>
      <c r="V105" s="2" t="str">
        <f>IF(DAY(B105)&gt;15,MONTH(B105)&amp;"-C",MONTH(B105)&amp;"-N")</f>
        <v>3-C</v>
      </c>
      <c r="W105" s="21">
        <v>3.16</v>
      </c>
      <c r="X105" s="2" t="b">
        <f t="shared" ref="X105:X106" si="63">+L105=W105</f>
        <v>1</v>
      </c>
    </row>
    <row r="106" spans="2:24" x14ac:dyDescent="0.2">
      <c r="B106" s="17">
        <v>43909</v>
      </c>
      <c r="C106" s="10" t="s">
        <v>80</v>
      </c>
      <c r="D106" s="11" t="s">
        <v>356</v>
      </c>
      <c r="E106" s="26">
        <v>52101</v>
      </c>
      <c r="F106" s="10" t="s">
        <v>26</v>
      </c>
      <c r="G106" s="10" t="s">
        <v>27</v>
      </c>
      <c r="H106" s="27" t="s">
        <v>28</v>
      </c>
      <c r="I106" s="12"/>
      <c r="J106" s="12"/>
      <c r="K106" s="13">
        <v>3600</v>
      </c>
      <c r="L106" s="21">
        <v>3.15</v>
      </c>
      <c r="M106" s="14" t="s">
        <v>14</v>
      </c>
      <c r="N106" s="13">
        <v>11340</v>
      </c>
      <c r="O106" s="15">
        <f t="shared" si="62"/>
        <v>0</v>
      </c>
      <c r="P106" s="10" t="s">
        <v>78</v>
      </c>
      <c r="Q106" s="11" t="s">
        <v>386</v>
      </c>
      <c r="R106" s="11" t="s">
        <v>387</v>
      </c>
      <c r="S106" s="16" t="s">
        <v>41</v>
      </c>
      <c r="T106" s="19" t="str">
        <f>MONTH(B106)&amp;"-"&amp;YEAR(B106)</f>
        <v>3-2020</v>
      </c>
      <c r="U106" s="2">
        <f>YEAR(B106)</f>
        <v>2020</v>
      </c>
      <c r="V106" s="2" t="str">
        <f>IF(DAY(B106)&gt;15,MONTH(B106)&amp;"-C",MONTH(B106)&amp;"-N")</f>
        <v>3-C</v>
      </c>
      <c r="W106" s="21">
        <v>3.15</v>
      </c>
      <c r="X106" s="2" t="b">
        <f t="shared" si="63"/>
        <v>1</v>
      </c>
    </row>
    <row r="107" spans="2:24" x14ac:dyDescent="0.2">
      <c r="B107" s="17">
        <v>43912</v>
      </c>
      <c r="C107" s="10" t="s">
        <v>82</v>
      </c>
      <c r="D107" s="11" t="s">
        <v>388</v>
      </c>
      <c r="E107" s="26">
        <v>52152</v>
      </c>
      <c r="F107" s="10" t="s">
        <v>49</v>
      </c>
      <c r="G107" s="10" t="s">
        <v>27</v>
      </c>
      <c r="H107" s="27" t="s">
        <v>50</v>
      </c>
      <c r="I107" s="12"/>
      <c r="J107" s="12"/>
      <c r="K107" s="13">
        <v>380</v>
      </c>
      <c r="L107" s="21">
        <v>7.75</v>
      </c>
      <c r="M107" s="14" t="s">
        <v>14</v>
      </c>
      <c r="N107" s="13">
        <v>2945</v>
      </c>
      <c r="O107" s="15">
        <f t="shared" ref="O107:O110" si="64">(N107/K107)-L107</f>
        <v>0</v>
      </c>
      <c r="P107" s="10" t="s">
        <v>78</v>
      </c>
      <c r="Q107" s="11" t="s">
        <v>390</v>
      </c>
      <c r="R107" s="11" t="s">
        <v>391</v>
      </c>
      <c r="S107" s="16" t="s">
        <v>389</v>
      </c>
      <c r="T107" s="19" t="str">
        <f>MONTH(B107)&amp;"-"&amp;YEAR(B107)</f>
        <v>3-2020</v>
      </c>
      <c r="U107" s="2">
        <f>YEAR(B107)</f>
        <v>2020</v>
      </c>
      <c r="V107" s="2" t="str">
        <f>IF(DAY(B107)&gt;15,MONTH(B107)&amp;"-C",MONTH(B107)&amp;"-N")</f>
        <v>3-C</v>
      </c>
      <c r="W107" s="21">
        <v>7.75</v>
      </c>
      <c r="X107" s="2" t="b">
        <f t="shared" ref="X107:X110" si="65">+L107=W107</f>
        <v>1</v>
      </c>
    </row>
    <row r="108" spans="2:24" x14ac:dyDescent="0.2">
      <c r="B108" s="17">
        <v>43912</v>
      </c>
      <c r="C108" s="10" t="s">
        <v>80</v>
      </c>
      <c r="D108" s="11" t="s">
        <v>356</v>
      </c>
      <c r="E108" s="26">
        <v>52149</v>
      </c>
      <c r="F108" s="10" t="s">
        <v>26</v>
      </c>
      <c r="G108" s="10" t="s">
        <v>27</v>
      </c>
      <c r="H108" s="27" t="s">
        <v>28</v>
      </c>
      <c r="I108" s="12"/>
      <c r="J108" s="12"/>
      <c r="K108" s="13">
        <v>3600</v>
      </c>
      <c r="L108" s="21">
        <v>3.15</v>
      </c>
      <c r="M108" s="14" t="s">
        <v>14</v>
      </c>
      <c r="N108" s="13">
        <v>11340</v>
      </c>
      <c r="O108" s="15">
        <f t="shared" si="64"/>
        <v>0</v>
      </c>
      <c r="P108" s="10" t="s">
        <v>78</v>
      </c>
      <c r="Q108" s="11" t="s">
        <v>393</v>
      </c>
      <c r="R108" s="11" t="s">
        <v>394</v>
      </c>
      <c r="S108" s="16" t="s">
        <v>392</v>
      </c>
      <c r="T108" s="19" t="str">
        <f>MONTH(B108)&amp;"-"&amp;YEAR(B108)</f>
        <v>3-2020</v>
      </c>
      <c r="U108" s="2">
        <f>YEAR(B108)</f>
        <v>2020</v>
      </c>
      <c r="V108" s="2" t="str">
        <f>IF(DAY(B108)&gt;15,MONTH(B108)&amp;"-C",MONTH(B108)&amp;"-N")</f>
        <v>3-C</v>
      </c>
      <c r="W108" s="21">
        <v>3.15</v>
      </c>
      <c r="X108" s="2" t="b">
        <f t="shared" si="65"/>
        <v>1</v>
      </c>
    </row>
    <row r="109" spans="2:24" x14ac:dyDescent="0.2">
      <c r="B109" s="17">
        <v>43912</v>
      </c>
      <c r="C109" s="10" t="s">
        <v>82</v>
      </c>
      <c r="D109" s="11" t="s">
        <v>336</v>
      </c>
      <c r="E109" s="26">
        <v>52150</v>
      </c>
      <c r="F109" s="10" t="s">
        <v>26</v>
      </c>
      <c r="G109" s="10" t="s">
        <v>27</v>
      </c>
      <c r="H109" s="27" t="s">
        <v>28</v>
      </c>
      <c r="I109" s="12"/>
      <c r="J109" s="12"/>
      <c r="K109" s="13">
        <v>2700</v>
      </c>
      <c r="L109" s="21">
        <v>3.16</v>
      </c>
      <c r="M109" s="14" t="s">
        <v>14</v>
      </c>
      <c r="N109" s="13">
        <v>8532</v>
      </c>
      <c r="O109" s="15">
        <f t="shared" si="64"/>
        <v>0</v>
      </c>
      <c r="P109" s="10" t="s">
        <v>78</v>
      </c>
      <c r="Q109" s="11" t="s">
        <v>396</v>
      </c>
      <c r="R109" s="11" t="s">
        <v>395</v>
      </c>
      <c r="S109" s="16" t="s">
        <v>395</v>
      </c>
      <c r="T109" s="19" t="str">
        <f>MONTH(B109)&amp;"-"&amp;YEAR(B109)</f>
        <v>3-2020</v>
      </c>
      <c r="U109" s="2">
        <f>YEAR(B109)</f>
        <v>2020</v>
      </c>
      <c r="V109" s="2" t="str">
        <f>IF(DAY(B109)&gt;15,MONTH(B109)&amp;"-C",MONTH(B109)&amp;"-N")</f>
        <v>3-C</v>
      </c>
      <c r="W109" s="21">
        <v>3.16</v>
      </c>
      <c r="X109" s="2" t="b">
        <f t="shared" si="65"/>
        <v>1</v>
      </c>
    </row>
    <row r="110" spans="2:24" x14ac:dyDescent="0.2">
      <c r="B110" s="17">
        <v>43913</v>
      </c>
      <c r="C110" s="10" t="s">
        <v>73</v>
      </c>
      <c r="D110" s="11" t="s">
        <v>397</v>
      </c>
      <c r="E110" s="26">
        <v>52158</v>
      </c>
      <c r="F110" s="10" t="s">
        <v>399</v>
      </c>
      <c r="G110" s="10" t="s">
        <v>46</v>
      </c>
      <c r="H110" s="27" t="s">
        <v>149</v>
      </c>
      <c r="I110" s="12"/>
      <c r="J110" s="12"/>
      <c r="K110" s="13">
        <v>120</v>
      </c>
      <c r="L110" s="21">
        <v>18.5</v>
      </c>
      <c r="M110" s="14" t="s">
        <v>14</v>
      </c>
      <c r="N110" s="13">
        <v>2220</v>
      </c>
      <c r="O110" s="15">
        <f t="shared" si="64"/>
        <v>0</v>
      </c>
      <c r="P110" s="10" t="s">
        <v>84</v>
      </c>
      <c r="Q110" s="11" t="s">
        <v>400</v>
      </c>
      <c r="R110" s="11" t="s">
        <v>401</v>
      </c>
      <c r="S110" s="16" t="s">
        <v>398</v>
      </c>
      <c r="T110" s="19" t="str">
        <f>MONTH(B110)&amp;"-"&amp;YEAR(B110)</f>
        <v>3-2020</v>
      </c>
      <c r="U110" s="2">
        <f>YEAR(B110)</f>
        <v>2020</v>
      </c>
      <c r="V110" s="2" t="str">
        <f>IF(DAY(B110)&gt;15,MONTH(B110)&amp;"-C",MONTH(B110)&amp;"-N")</f>
        <v>3-C</v>
      </c>
      <c r="W110" s="21">
        <v>18.5</v>
      </c>
      <c r="X110" s="2" t="b">
        <f t="shared" si="65"/>
        <v>1</v>
      </c>
    </row>
    <row r="111" spans="2:24" x14ac:dyDescent="0.2">
      <c r="B111" s="17">
        <v>43913</v>
      </c>
      <c r="C111" s="10" t="s">
        <v>73</v>
      </c>
      <c r="D111" s="11" t="s">
        <v>402</v>
      </c>
      <c r="E111" s="26">
        <v>52158</v>
      </c>
      <c r="F111" s="10" t="s">
        <v>131</v>
      </c>
      <c r="G111" s="10" t="s">
        <v>46</v>
      </c>
      <c r="H111" s="27" t="s">
        <v>132</v>
      </c>
      <c r="I111" s="12"/>
      <c r="J111" s="12"/>
      <c r="K111" s="13">
        <v>264</v>
      </c>
      <c r="L111" s="21">
        <v>9.85</v>
      </c>
      <c r="M111" s="14" t="s">
        <v>14</v>
      </c>
      <c r="N111" s="13">
        <v>2600.4</v>
      </c>
      <c r="O111" s="15">
        <f t="shared" ref="O111:O117" si="66">(N111/K111)-L111</f>
        <v>0</v>
      </c>
      <c r="P111" s="10" t="s">
        <v>84</v>
      </c>
      <c r="Q111" s="11" t="s">
        <v>400</v>
      </c>
      <c r="R111" s="11" t="s">
        <v>401</v>
      </c>
      <c r="S111" s="16" t="s">
        <v>398</v>
      </c>
      <c r="T111" s="19" t="str">
        <f>MONTH(B111)&amp;"-"&amp;YEAR(B111)</f>
        <v>3-2020</v>
      </c>
      <c r="U111" s="2">
        <f>YEAR(B111)</f>
        <v>2020</v>
      </c>
      <c r="V111" s="2" t="str">
        <f>IF(DAY(B111)&gt;15,MONTH(B111)&amp;"-C",MONTH(B111)&amp;"-N")</f>
        <v>3-C</v>
      </c>
      <c r="W111" s="21">
        <v>9.85</v>
      </c>
      <c r="X111" s="2" t="b">
        <f t="shared" ref="X111:X117" si="67">+L111=W111</f>
        <v>1</v>
      </c>
    </row>
    <row r="112" spans="2:24" x14ac:dyDescent="0.2">
      <c r="B112" s="17">
        <v>43913</v>
      </c>
      <c r="C112" s="10" t="s">
        <v>73</v>
      </c>
      <c r="D112" s="11" t="s">
        <v>402</v>
      </c>
      <c r="E112" s="26">
        <v>52158</v>
      </c>
      <c r="F112" s="10" t="s">
        <v>133</v>
      </c>
      <c r="G112" s="10" t="s">
        <v>46</v>
      </c>
      <c r="H112" s="27" t="s">
        <v>134</v>
      </c>
      <c r="I112" s="12"/>
      <c r="J112" s="12"/>
      <c r="K112" s="13">
        <v>1650</v>
      </c>
      <c r="L112" s="21">
        <v>9.85</v>
      </c>
      <c r="M112" s="14" t="s">
        <v>14</v>
      </c>
      <c r="N112" s="13">
        <v>16252.5</v>
      </c>
      <c r="O112" s="15">
        <f t="shared" si="66"/>
        <v>0</v>
      </c>
      <c r="P112" s="10" t="s">
        <v>84</v>
      </c>
      <c r="Q112" s="11" t="s">
        <v>400</v>
      </c>
      <c r="R112" s="11" t="s">
        <v>401</v>
      </c>
      <c r="S112" s="16" t="s">
        <v>398</v>
      </c>
      <c r="T112" s="19" t="str">
        <f>MONTH(B112)&amp;"-"&amp;YEAR(B112)</f>
        <v>3-2020</v>
      </c>
      <c r="U112" s="2">
        <f>YEAR(B112)</f>
        <v>2020</v>
      </c>
      <c r="V112" s="2" t="str">
        <f>IF(DAY(B112)&gt;15,MONTH(B112)&amp;"-C",MONTH(B112)&amp;"-N")</f>
        <v>3-C</v>
      </c>
      <c r="W112" s="21">
        <v>9.85</v>
      </c>
      <c r="X112" s="2" t="b">
        <f t="shared" si="67"/>
        <v>1</v>
      </c>
    </row>
    <row r="113" spans="2:24" x14ac:dyDescent="0.2">
      <c r="B113" s="17">
        <v>43913</v>
      </c>
      <c r="C113" s="10" t="s">
        <v>82</v>
      </c>
      <c r="D113" s="11" t="s">
        <v>336</v>
      </c>
      <c r="E113" s="26">
        <v>52160</v>
      </c>
      <c r="F113" s="10" t="s">
        <v>26</v>
      </c>
      <c r="G113" s="10" t="s">
        <v>27</v>
      </c>
      <c r="H113" s="27" t="s">
        <v>28</v>
      </c>
      <c r="I113" s="12"/>
      <c r="J113" s="12"/>
      <c r="K113" s="13">
        <v>7200</v>
      </c>
      <c r="L113" s="21">
        <v>3.16</v>
      </c>
      <c r="M113" s="14" t="s">
        <v>14</v>
      </c>
      <c r="N113" s="13">
        <v>22752</v>
      </c>
      <c r="O113" s="15">
        <f t="shared" si="66"/>
        <v>0</v>
      </c>
      <c r="P113" s="10" t="s">
        <v>78</v>
      </c>
      <c r="Q113" s="11" t="s">
        <v>404</v>
      </c>
      <c r="R113" s="11" t="s">
        <v>405</v>
      </c>
      <c r="S113" s="16" t="s">
        <v>403</v>
      </c>
      <c r="T113" s="19" t="str">
        <f>MONTH(B113)&amp;"-"&amp;YEAR(B113)</f>
        <v>3-2020</v>
      </c>
      <c r="U113" s="2">
        <f>YEAR(B113)</f>
        <v>2020</v>
      </c>
      <c r="V113" s="2" t="str">
        <f>IF(DAY(B113)&gt;15,MONTH(B113)&amp;"-C",MONTH(B113)&amp;"-N")</f>
        <v>3-C</v>
      </c>
      <c r="W113" s="21">
        <v>3.16</v>
      </c>
      <c r="X113" s="2" t="b">
        <f t="shared" si="67"/>
        <v>1</v>
      </c>
    </row>
    <row r="114" spans="2:24" x14ac:dyDescent="0.2">
      <c r="B114" s="17">
        <v>43913</v>
      </c>
      <c r="C114" s="10" t="s">
        <v>150</v>
      </c>
      <c r="D114" s="11" t="s">
        <v>406</v>
      </c>
      <c r="E114" s="26">
        <v>52162</v>
      </c>
      <c r="F114" s="10" t="s">
        <v>49</v>
      </c>
      <c r="G114" s="10" t="s">
        <v>27</v>
      </c>
      <c r="H114" s="27" t="s">
        <v>50</v>
      </c>
      <c r="I114" s="12"/>
      <c r="J114" s="12"/>
      <c r="K114" s="13">
        <v>2000</v>
      </c>
      <c r="L114" s="21">
        <v>6.3</v>
      </c>
      <c r="M114" s="14" t="s">
        <v>14</v>
      </c>
      <c r="N114" s="13">
        <v>12600</v>
      </c>
      <c r="O114" s="15">
        <f t="shared" si="66"/>
        <v>0</v>
      </c>
      <c r="P114" s="10" t="s">
        <v>78</v>
      </c>
      <c r="Q114" s="11" t="s">
        <v>408</v>
      </c>
      <c r="R114" s="11" t="s">
        <v>409</v>
      </c>
      <c r="S114" s="16" t="s">
        <v>407</v>
      </c>
      <c r="T114" s="19" t="str">
        <f>MONTH(B114)&amp;"-"&amp;YEAR(B114)</f>
        <v>3-2020</v>
      </c>
      <c r="U114" s="2">
        <f>YEAR(B114)</f>
        <v>2020</v>
      </c>
      <c r="V114" s="2" t="str">
        <f>IF(DAY(B114)&gt;15,MONTH(B114)&amp;"-C",MONTH(B114)&amp;"-N")</f>
        <v>3-C</v>
      </c>
      <c r="W114" s="21">
        <v>6.3</v>
      </c>
      <c r="X114" s="2" t="b">
        <f t="shared" si="67"/>
        <v>1</v>
      </c>
    </row>
    <row r="115" spans="2:24" x14ac:dyDescent="0.2">
      <c r="B115" s="17">
        <v>43914</v>
      </c>
      <c r="C115" s="10" t="s">
        <v>80</v>
      </c>
      <c r="D115" s="11" t="s">
        <v>356</v>
      </c>
      <c r="E115" s="26">
        <v>52176</v>
      </c>
      <c r="F115" s="10" t="s">
        <v>26</v>
      </c>
      <c r="G115" s="10" t="s">
        <v>27</v>
      </c>
      <c r="H115" s="27" t="s">
        <v>28</v>
      </c>
      <c r="I115" s="12"/>
      <c r="J115" s="12"/>
      <c r="K115" s="13">
        <v>3600</v>
      </c>
      <c r="L115" s="21">
        <v>3.15</v>
      </c>
      <c r="M115" s="14" t="s">
        <v>14</v>
      </c>
      <c r="N115" s="13">
        <v>11340</v>
      </c>
      <c r="O115" s="15">
        <f t="shared" si="66"/>
        <v>0</v>
      </c>
      <c r="P115" s="10" t="s">
        <v>78</v>
      </c>
      <c r="Q115" s="11" t="s">
        <v>412</v>
      </c>
      <c r="R115" s="11" t="s">
        <v>413</v>
      </c>
      <c r="S115" s="16" t="s">
        <v>411</v>
      </c>
      <c r="T115" s="19" t="str">
        <f>MONTH(B115)&amp;"-"&amp;YEAR(B115)</f>
        <v>3-2020</v>
      </c>
      <c r="U115" s="2">
        <f>YEAR(B115)</f>
        <v>2020</v>
      </c>
      <c r="V115" s="2" t="str">
        <f>IF(DAY(B115)&gt;15,MONTH(B115)&amp;"-C",MONTH(B115)&amp;"-N")</f>
        <v>3-C</v>
      </c>
      <c r="W115" s="21">
        <v>3.15</v>
      </c>
      <c r="X115" s="2" t="b">
        <f t="shared" si="67"/>
        <v>1</v>
      </c>
    </row>
    <row r="116" spans="2:24" x14ac:dyDescent="0.2">
      <c r="B116" s="17">
        <v>43914</v>
      </c>
      <c r="C116" s="10" t="s">
        <v>107</v>
      </c>
      <c r="D116" s="11" t="s">
        <v>414</v>
      </c>
      <c r="E116" s="26">
        <v>52174</v>
      </c>
      <c r="F116" s="10" t="s">
        <v>103</v>
      </c>
      <c r="G116" s="10" t="s">
        <v>46</v>
      </c>
      <c r="H116" s="27" t="s">
        <v>104</v>
      </c>
      <c r="I116" s="12"/>
      <c r="J116" s="12"/>
      <c r="K116" s="13">
        <v>95</v>
      </c>
      <c r="L116" s="21">
        <v>37.200000000000003</v>
      </c>
      <c r="M116" s="14" t="s">
        <v>14</v>
      </c>
      <c r="N116" s="13">
        <v>3534</v>
      </c>
      <c r="O116" s="15">
        <f t="shared" si="66"/>
        <v>0</v>
      </c>
      <c r="P116" s="10" t="s">
        <v>84</v>
      </c>
      <c r="Q116" s="11" t="s">
        <v>416</v>
      </c>
      <c r="R116" s="11" t="s">
        <v>417</v>
      </c>
      <c r="S116" s="16" t="s">
        <v>415</v>
      </c>
      <c r="T116" s="19" t="str">
        <f>MONTH(B116)&amp;"-"&amp;YEAR(B116)</f>
        <v>3-2020</v>
      </c>
      <c r="U116" s="2">
        <f>YEAR(B116)</f>
        <v>2020</v>
      </c>
      <c r="V116" s="2" t="str">
        <f>IF(DAY(B116)&gt;15,MONTH(B116)&amp;"-C",MONTH(B116)&amp;"-N")</f>
        <v>3-C</v>
      </c>
      <c r="W116" s="21">
        <v>37.200000000000003</v>
      </c>
      <c r="X116" s="2" t="b">
        <f t="shared" si="67"/>
        <v>1</v>
      </c>
    </row>
    <row r="117" spans="2:24" x14ac:dyDescent="0.2">
      <c r="B117" s="17">
        <v>43914</v>
      </c>
      <c r="C117" s="10" t="s">
        <v>107</v>
      </c>
      <c r="D117" s="11" t="s">
        <v>414</v>
      </c>
      <c r="E117" s="26">
        <v>52174</v>
      </c>
      <c r="F117" s="10" t="s">
        <v>105</v>
      </c>
      <c r="G117" s="10" t="s">
        <v>46</v>
      </c>
      <c r="H117" s="27" t="s">
        <v>106</v>
      </c>
      <c r="I117" s="12"/>
      <c r="J117" s="12"/>
      <c r="K117" s="13">
        <v>3080</v>
      </c>
      <c r="L117" s="21">
        <v>12.3</v>
      </c>
      <c r="M117" s="14" t="s">
        <v>14</v>
      </c>
      <c r="N117" s="13">
        <v>37884</v>
      </c>
      <c r="O117" s="15">
        <f t="shared" si="66"/>
        <v>0</v>
      </c>
      <c r="P117" s="10" t="s">
        <v>84</v>
      </c>
      <c r="Q117" s="11" t="s">
        <v>416</v>
      </c>
      <c r="R117" s="11" t="s">
        <v>417</v>
      </c>
      <c r="S117" s="16" t="s">
        <v>415</v>
      </c>
      <c r="T117" s="19" t="str">
        <f>MONTH(B117)&amp;"-"&amp;YEAR(B117)</f>
        <v>3-2020</v>
      </c>
      <c r="U117" s="2">
        <f>YEAR(B117)</f>
        <v>2020</v>
      </c>
      <c r="V117" s="2" t="str">
        <f>IF(DAY(B117)&gt;15,MONTH(B117)&amp;"-C",MONTH(B117)&amp;"-N")</f>
        <v>3-C</v>
      </c>
      <c r="W117" s="21">
        <v>12.3</v>
      </c>
      <c r="X117" s="2" t="b">
        <f t="shared" si="67"/>
        <v>1</v>
      </c>
    </row>
    <row r="118" spans="2:24" x14ac:dyDescent="0.2">
      <c r="B118" s="17">
        <v>43915</v>
      </c>
      <c r="C118" s="10" t="s">
        <v>80</v>
      </c>
      <c r="D118" s="11" t="s">
        <v>356</v>
      </c>
      <c r="E118" s="26">
        <v>52190</v>
      </c>
      <c r="F118" s="10" t="s">
        <v>26</v>
      </c>
      <c r="G118" s="10" t="s">
        <v>27</v>
      </c>
      <c r="H118" s="27" t="s">
        <v>28</v>
      </c>
      <c r="I118" s="12"/>
      <c r="J118" s="12"/>
      <c r="K118" s="13">
        <v>3600</v>
      </c>
      <c r="L118" s="21">
        <v>3.15</v>
      </c>
      <c r="M118" s="14" t="s">
        <v>14</v>
      </c>
      <c r="N118" s="13">
        <v>11340</v>
      </c>
      <c r="O118" s="15">
        <f t="shared" ref="O118:O122" si="68">(N118/K118)-L118</f>
        <v>0</v>
      </c>
      <c r="P118" s="10" t="s">
        <v>78</v>
      </c>
      <c r="Q118" s="11" t="s">
        <v>419</v>
      </c>
      <c r="R118" s="11" t="s">
        <v>420</v>
      </c>
      <c r="S118" s="16" t="s">
        <v>418</v>
      </c>
      <c r="T118" s="19" t="str">
        <f>MONTH(B118)&amp;"-"&amp;YEAR(B118)</f>
        <v>3-2020</v>
      </c>
      <c r="U118" s="2">
        <f>YEAR(B118)</f>
        <v>2020</v>
      </c>
      <c r="V118" s="2" t="str">
        <f>IF(DAY(B118)&gt;15,MONTH(B118)&amp;"-C",MONTH(B118)&amp;"-N")</f>
        <v>3-C</v>
      </c>
      <c r="W118" s="21">
        <v>3.15</v>
      </c>
      <c r="X118" s="2" t="b">
        <f t="shared" ref="X118:X122" si="69">+L118=W118</f>
        <v>1</v>
      </c>
    </row>
    <row r="119" spans="2:24" x14ac:dyDescent="0.2">
      <c r="B119" s="17">
        <v>43915</v>
      </c>
      <c r="C119" s="10" t="s">
        <v>25</v>
      </c>
      <c r="D119" s="11" t="s">
        <v>347</v>
      </c>
      <c r="E119" s="26">
        <v>52191</v>
      </c>
      <c r="F119" s="10" t="s">
        <v>29</v>
      </c>
      <c r="G119" s="10" t="s">
        <v>27</v>
      </c>
      <c r="H119" s="27" t="s">
        <v>30</v>
      </c>
      <c r="I119" s="12"/>
      <c r="J119" s="12"/>
      <c r="K119" s="13">
        <v>6930</v>
      </c>
      <c r="L119" s="21">
        <v>2.93</v>
      </c>
      <c r="M119" s="14" t="s">
        <v>14</v>
      </c>
      <c r="N119" s="13">
        <v>20304.900000000001</v>
      </c>
      <c r="O119" s="15">
        <f t="shared" si="68"/>
        <v>0</v>
      </c>
      <c r="P119" s="10" t="s">
        <v>78</v>
      </c>
      <c r="Q119" s="11" t="s">
        <v>422</v>
      </c>
      <c r="R119" s="11" t="s">
        <v>160</v>
      </c>
      <c r="S119" s="16" t="s">
        <v>421</v>
      </c>
      <c r="T119" s="19" t="str">
        <f>MONTH(B119)&amp;"-"&amp;YEAR(B119)</f>
        <v>3-2020</v>
      </c>
      <c r="U119" s="2">
        <f>YEAR(B119)</f>
        <v>2020</v>
      </c>
      <c r="V119" s="2" t="str">
        <f>IF(DAY(B119)&gt;15,MONTH(B119)&amp;"-C",MONTH(B119)&amp;"-N")</f>
        <v>3-C</v>
      </c>
      <c r="W119" s="21">
        <v>2.93</v>
      </c>
      <c r="X119" s="2" t="b">
        <f t="shared" si="69"/>
        <v>1</v>
      </c>
    </row>
    <row r="120" spans="2:24" x14ac:dyDescent="0.2">
      <c r="B120" s="17">
        <v>43915</v>
      </c>
      <c r="C120" s="10" t="s">
        <v>25</v>
      </c>
      <c r="D120" s="11" t="s">
        <v>347</v>
      </c>
      <c r="E120" s="26">
        <v>52191</v>
      </c>
      <c r="F120" s="10" t="s">
        <v>31</v>
      </c>
      <c r="G120" s="10" t="s">
        <v>27</v>
      </c>
      <c r="H120" s="27" t="s">
        <v>32</v>
      </c>
      <c r="I120" s="12"/>
      <c r="J120" s="12"/>
      <c r="K120" s="13">
        <v>1920</v>
      </c>
      <c r="L120" s="21">
        <v>3.2</v>
      </c>
      <c r="M120" s="14" t="s">
        <v>14</v>
      </c>
      <c r="N120" s="13">
        <v>6144</v>
      </c>
      <c r="O120" s="15">
        <f t="shared" si="68"/>
        <v>0</v>
      </c>
      <c r="P120" s="10" t="s">
        <v>78</v>
      </c>
      <c r="Q120" s="11" t="s">
        <v>422</v>
      </c>
      <c r="R120" s="11" t="s">
        <v>160</v>
      </c>
      <c r="S120" s="16" t="s">
        <v>421</v>
      </c>
      <c r="T120" s="19" t="str">
        <f>MONTH(B120)&amp;"-"&amp;YEAR(B120)</f>
        <v>3-2020</v>
      </c>
      <c r="U120" s="2">
        <f>YEAR(B120)</f>
        <v>2020</v>
      </c>
      <c r="V120" s="2" t="str">
        <f>IF(DAY(B120)&gt;15,MONTH(B120)&amp;"-C",MONTH(B120)&amp;"-N")</f>
        <v>3-C</v>
      </c>
      <c r="W120" s="21">
        <v>3.2</v>
      </c>
      <c r="X120" s="2" t="b">
        <f t="shared" si="69"/>
        <v>1</v>
      </c>
    </row>
    <row r="121" spans="2:24" x14ac:dyDescent="0.2">
      <c r="B121" s="17">
        <v>43915</v>
      </c>
      <c r="C121" s="10" t="s">
        <v>25</v>
      </c>
      <c r="D121" s="11" t="s">
        <v>347</v>
      </c>
      <c r="E121" s="26">
        <v>52191</v>
      </c>
      <c r="F121" s="10" t="s">
        <v>33</v>
      </c>
      <c r="G121" s="10" t="s">
        <v>27</v>
      </c>
      <c r="H121" s="27" t="s">
        <v>34</v>
      </c>
      <c r="I121" s="12"/>
      <c r="J121" s="12"/>
      <c r="K121" s="13">
        <v>2160</v>
      </c>
      <c r="L121" s="21">
        <v>5.25</v>
      </c>
      <c r="M121" s="14" t="s">
        <v>14</v>
      </c>
      <c r="N121" s="13">
        <v>11340</v>
      </c>
      <c r="O121" s="15">
        <f t="shared" si="68"/>
        <v>0</v>
      </c>
      <c r="P121" s="10" t="s">
        <v>78</v>
      </c>
      <c r="Q121" s="11" t="s">
        <v>422</v>
      </c>
      <c r="R121" s="11" t="s">
        <v>160</v>
      </c>
      <c r="S121" s="16" t="s">
        <v>421</v>
      </c>
      <c r="T121" s="19" t="str">
        <f>MONTH(B121)&amp;"-"&amp;YEAR(B121)</f>
        <v>3-2020</v>
      </c>
      <c r="U121" s="2">
        <f>YEAR(B121)</f>
        <v>2020</v>
      </c>
      <c r="V121" s="2" t="str">
        <f>IF(DAY(B121)&gt;15,MONTH(B121)&amp;"-C",MONTH(B121)&amp;"-N")</f>
        <v>3-C</v>
      </c>
      <c r="W121" s="21">
        <v>5.25</v>
      </c>
      <c r="X121" s="2" t="b">
        <f t="shared" si="69"/>
        <v>1</v>
      </c>
    </row>
    <row r="122" spans="2:24" x14ac:dyDescent="0.2">
      <c r="B122" s="17">
        <v>43916</v>
      </c>
      <c r="C122" s="10" t="s">
        <v>80</v>
      </c>
      <c r="D122" s="11" t="s">
        <v>356</v>
      </c>
      <c r="E122" s="26">
        <v>52201</v>
      </c>
      <c r="F122" s="10" t="s">
        <v>26</v>
      </c>
      <c r="G122" s="10" t="s">
        <v>27</v>
      </c>
      <c r="H122" s="27" t="s">
        <v>28</v>
      </c>
      <c r="I122" s="12"/>
      <c r="J122" s="12"/>
      <c r="K122" s="13">
        <v>3600</v>
      </c>
      <c r="L122" s="21">
        <v>3.15</v>
      </c>
      <c r="M122" s="14" t="s">
        <v>14</v>
      </c>
      <c r="N122" s="13">
        <v>11340</v>
      </c>
      <c r="O122" s="15">
        <f t="shared" si="68"/>
        <v>0</v>
      </c>
      <c r="P122" s="10" t="s">
        <v>78</v>
      </c>
      <c r="Q122" s="11" t="s">
        <v>424</v>
      </c>
      <c r="R122" s="11" t="s">
        <v>425</v>
      </c>
      <c r="S122" s="16" t="s">
        <v>423</v>
      </c>
      <c r="T122" s="19" t="str">
        <f>MONTH(B122)&amp;"-"&amp;YEAR(B122)</f>
        <v>3-2020</v>
      </c>
      <c r="U122" s="2">
        <f>YEAR(B122)</f>
        <v>2020</v>
      </c>
      <c r="V122" s="2" t="str">
        <f>IF(DAY(B122)&gt;15,MONTH(B122)&amp;"-C",MONTH(B122)&amp;"-N")</f>
        <v>3-C</v>
      </c>
      <c r="W122" s="21">
        <v>3.15</v>
      </c>
      <c r="X122" s="2" t="b">
        <f t="shared" si="69"/>
        <v>1</v>
      </c>
    </row>
    <row r="123" spans="2:24" x14ac:dyDescent="0.2">
      <c r="B123" s="17">
        <v>43919</v>
      </c>
      <c r="C123" s="10" t="s">
        <v>107</v>
      </c>
      <c r="D123" s="11" t="s">
        <v>426</v>
      </c>
      <c r="E123" s="26">
        <v>52238</v>
      </c>
      <c r="F123" s="10" t="s">
        <v>103</v>
      </c>
      <c r="G123" s="10" t="s">
        <v>46</v>
      </c>
      <c r="H123" s="27" t="s">
        <v>104</v>
      </c>
      <c r="I123" s="12"/>
      <c r="J123" s="12"/>
      <c r="K123" s="13">
        <v>150</v>
      </c>
      <c r="L123" s="21">
        <v>37.200000000000003</v>
      </c>
      <c r="M123" s="14" t="s">
        <v>14</v>
      </c>
      <c r="N123" s="13">
        <v>5580</v>
      </c>
      <c r="O123" s="15">
        <f t="shared" ref="O123:O125" si="70">(N123/K123)-L123</f>
        <v>0</v>
      </c>
      <c r="P123" s="10" t="s">
        <v>84</v>
      </c>
      <c r="Q123" s="11" t="s">
        <v>428</v>
      </c>
      <c r="R123" s="11" t="s">
        <v>429</v>
      </c>
      <c r="S123" s="16" t="s">
        <v>427</v>
      </c>
      <c r="T123" s="19" t="str">
        <f>MONTH(B123)&amp;"-"&amp;YEAR(B123)</f>
        <v>3-2020</v>
      </c>
      <c r="U123" s="2">
        <f>YEAR(B123)</f>
        <v>2020</v>
      </c>
      <c r="V123" s="2" t="str">
        <f>IF(DAY(B123)&gt;15,MONTH(B123)&amp;"-C",MONTH(B123)&amp;"-N")</f>
        <v>3-C</v>
      </c>
      <c r="W123" s="21">
        <v>37.200000000000003</v>
      </c>
      <c r="X123" s="2" t="b">
        <f t="shared" ref="X123:X125" si="71">+L123=W123</f>
        <v>1</v>
      </c>
    </row>
    <row r="124" spans="2:24" x14ac:dyDescent="0.2">
      <c r="B124" s="17">
        <v>43919</v>
      </c>
      <c r="C124" s="10" t="s">
        <v>107</v>
      </c>
      <c r="D124" s="11" t="s">
        <v>426</v>
      </c>
      <c r="E124" s="26">
        <v>52238</v>
      </c>
      <c r="F124" s="10" t="s">
        <v>105</v>
      </c>
      <c r="G124" s="10" t="s">
        <v>46</v>
      </c>
      <c r="H124" s="27" t="s">
        <v>106</v>
      </c>
      <c r="I124" s="12"/>
      <c r="J124" s="12"/>
      <c r="K124" s="13">
        <v>4400</v>
      </c>
      <c r="L124" s="21">
        <v>12.3</v>
      </c>
      <c r="M124" s="14" t="s">
        <v>14</v>
      </c>
      <c r="N124" s="13">
        <v>54120</v>
      </c>
      <c r="O124" s="15">
        <f t="shared" si="70"/>
        <v>0</v>
      </c>
      <c r="P124" s="10" t="s">
        <v>84</v>
      </c>
      <c r="Q124" s="11" t="s">
        <v>428</v>
      </c>
      <c r="R124" s="11" t="s">
        <v>429</v>
      </c>
      <c r="S124" s="16" t="s">
        <v>427</v>
      </c>
      <c r="T124" s="19" t="str">
        <f>MONTH(B124)&amp;"-"&amp;YEAR(B124)</f>
        <v>3-2020</v>
      </c>
      <c r="U124" s="2">
        <f>YEAR(B124)</f>
        <v>2020</v>
      </c>
      <c r="V124" s="2" t="str">
        <f>IF(DAY(B124)&gt;15,MONTH(B124)&amp;"-C",MONTH(B124)&amp;"-N")</f>
        <v>3-C</v>
      </c>
      <c r="W124" s="21">
        <v>12.3</v>
      </c>
      <c r="X124" s="2" t="b">
        <f t="shared" si="71"/>
        <v>1</v>
      </c>
    </row>
    <row r="125" spans="2:24" x14ac:dyDescent="0.2">
      <c r="B125" s="17">
        <v>43919</v>
      </c>
      <c r="C125" s="10" t="s">
        <v>82</v>
      </c>
      <c r="D125" s="11" t="s">
        <v>336</v>
      </c>
      <c r="E125" s="26">
        <v>52240</v>
      </c>
      <c r="F125" s="10" t="s">
        <v>26</v>
      </c>
      <c r="G125" s="10" t="s">
        <v>27</v>
      </c>
      <c r="H125" s="27" t="s">
        <v>28</v>
      </c>
      <c r="I125" s="12"/>
      <c r="J125" s="12"/>
      <c r="K125" s="13">
        <v>2700</v>
      </c>
      <c r="L125" s="21">
        <v>3.16</v>
      </c>
      <c r="M125" s="14" t="s">
        <v>14</v>
      </c>
      <c r="N125" s="13">
        <v>8532</v>
      </c>
      <c r="O125" s="15">
        <f t="shared" si="70"/>
        <v>0</v>
      </c>
      <c r="P125" s="10" t="s">
        <v>78</v>
      </c>
      <c r="Q125" s="11" t="s">
        <v>431</v>
      </c>
      <c r="R125" s="11" t="s">
        <v>432</v>
      </c>
      <c r="S125" s="16" t="s">
        <v>430</v>
      </c>
      <c r="T125" s="19" t="str">
        <f>MONTH(B125)&amp;"-"&amp;YEAR(B125)</f>
        <v>3-2020</v>
      </c>
      <c r="U125" s="2">
        <f>YEAR(B125)</f>
        <v>2020</v>
      </c>
      <c r="V125" s="2" t="str">
        <f>IF(DAY(B125)&gt;15,MONTH(B125)&amp;"-C",MONTH(B125)&amp;"-N")</f>
        <v>3-C</v>
      </c>
      <c r="W125" s="21">
        <v>3.16</v>
      </c>
      <c r="X125" s="2" t="b">
        <f t="shared" si="71"/>
        <v>1</v>
      </c>
    </row>
    <row r="126" spans="2:24" x14ac:dyDescent="0.2">
      <c r="B126" s="17">
        <v>43920</v>
      </c>
      <c r="C126" s="10" t="s">
        <v>433</v>
      </c>
      <c r="D126" s="11" t="s">
        <v>434</v>
      </c>
      <c r="E126" s="26">
        <v>52256</v>
      </c>
      <c r="F126" s="10" t="s">
        <v>26</v>
      </c>
      <c r="G126" s="10" t="s">
        <v>27</v>
      </c>
      <c r="H126" s="27" t="s">
        <v>28</v>
      </c>
      <c r="I126" s="12"/>
      <c r="J126" s="12"/>
      <c r="K126" s="13">
        <v>3933</v>
      </c>
      <c r="L126" s="21">
        <v>3.13</v>
      </c>
      <c r="M126" s="14" t="s">
        <v>14</v>
      </c>
      <c r="N126" s="13">
        <v>12310.29</v>
      </c>
      <c r="O126" s="15">
        <f t="shared" ref="O126:O132" si="72">(N126/K126)-L126</f>
        <v>0</v>
      </c>
      <c r="P126" s="10" t="s">
        <v>78</v>
      </c>
      <c r="Q126" s="11" t="s">
        <v>436</v>
      </c>
      <c r="R126" s="11" t="s">
        <v>437</v>
      </c>
      <c r="S126" s="16" t="s">
        <v>435</v>
      </c>
      <c r="T126" s="19" t="str">
        <f>MONTH(B126)&amp;"-"&amp;YEAR(B126)</f>
        <v>3-2020</v>
      </c>
      <c r="U126" s="2">
        <f>YEAR(B126)</f>
        <v>2020</v>
      </c>
      <c r="V126" s="2" t="str">
        <f>IF(DAY(B126)&gt;15,MONTH(B126)&amp;"-C",MONTH(B126)&amp;"-N")</f>
        <v>3-C</v>
      </c>
      <c r="W126" s="21">
        <v>3.13</v>
      </c>
      <c r="X126" s="2" t="b">
        <f t="shared" ref="X126:X132" si="73">+L126=W126</f>
        <v>1</v>
      </c>
    </row>
    <row r="127" spans="2:24" x14ac:dyDescent="0.2">
      <c r="B127" s="17">
        <v>43920</v>
      </c>
      <c r="C127" s="10" t="s">
        <v>433</v>
      </c>
      <c r="D127" s="11" t="s">
        <v>434</v>
      </c>
      <c r="E127" s="26">
        <v>52257</v>
      </c>
      <c r="F127" s="10" t="s">
        <v>26</v>
      </c>
      <c r="G127" s="10" t="s">
        <v>27</v>
      </c>
      <c r="H127" s="27" t="s">
        <v>28</v>
      </c>
      <c r="I127" s="12"/>
      <c r="J127" s="12"/>
      <c r="K127" s="13">
        <v>4658</v>
      </c>
      <c r="L127" s="21">
        <v>3.13</v>
      </c>
      <c r="M127" s="14" t="s">
        <v>14</v>
      </c>
      <c r="N127" s="13">
        <v>14579.54</v>
      </c>
      <c r="O127" s="15">
        <f t="shared" si="72"/>
        <v>0</v>
      </c>
      <c r="P127" s="10" t="s">
        <v>78</v>
      </c>
      <c r="Q127" s="11" t="s">
        <v>439</v>
      </c>
      <c r="R127" s="11" t="s">
        <v>440</v>
      </c>
      <c r="S127" s="16" t="s">
        <v>438</v>
      </c>
      <c r="T127" s="19" t="str">
        <f>MONTH(B127)&amp;"-"&amp;YEAR(B127)</f>
        <v>3-2020</v>
      </c>
      <c r="U127" s="2">
        <f>YEAR(B127)</f>
        <v>2020</v>
      </c>
      <c r="V127" s="2" t="str">
        <f>IF(DAY(B127)&gt;15,MONTH(B127)&amp;"-C",MONTH(B127)&amp;"-N")</f>
        <v>3-C</v>
      </c>
      <c r="W127" s="21">
        <v>3.13</v>
      </c>
      <c r="X127" s="2" t="b">
        <f t="shared" si="73"/>
        <v>1</v>
      </c>
    </row>
    <row r="128" spans="2:24" x14ac:dyDescent="0.2">
      <c r="B128" s="17">
        <v>43920</v>
      </c>
      <c r="C128" s="10" t="s">
        <v>108</v>
      </c>
      <c r="D128" s="11" t="s">
        <v>441</v>
      </c>
      <c r="E128" s="26">
        <v>52255</v>
      </c>
      <c r="F128" s="10" t="s">
        <v>127</v>
      </c>
      <c r="G128" s="10" t="s">
        <v>46</v>
      </c>
      <c r="H128" s="27" t="s">
        <v>128</v>
      </c>
      <c r="I128" s="12"/>
      <c r="J128" s="12"/>
      <c r="K128" s="13">
        <v>1104</v>
      </c>
      <c r="L128" s="21">
        <v>11.25</v>
      </c>
      <c r="M128" s="14" t="s">
        <v>14</v>
      </c>
      <c r="N128" s="13">
        <v>12420</v>
      </c>
      <c r="O128" s="15">
        <f t="shared" si="72"/>
        <v>0</v>
      </c>
      <c r="P128" s="10" t="s">
        <v>84</v>
      </c>
      <c r="Q128" s="11" t="s">
        <v>443</v>
      </c>
      <c r="R128" s="11" t="s">
        <v>444</v>
      </c>
      <c r="S128" s="16" t="s">
        <v>442</v>
      </c>
      <c r="T128" s="19" t="str">
        <f>MONTH(B128)&amp;"-"&amp;YEAR(B128)</f>
        <v>3-2020</v>
      </c>
      <c r="U128" s="2">
        <f>YEAR(B128)</f>
        <v>2020</v>
      </c>
      <c r="V128" s="2" t="str">
        <f>IF(DAY(B128)&gt;15,MONTH(B128)&amp;"-C",MONTH(B128)&amp;"-N")</f>
        <v>3-C</v>
      </c>
      <c r="W128" s="21">
        <v>11.25</v>
      </c>
      <c r="X128" s="2" t="b">
        <f t="shared" si="73"/>
        <v>1</v>
      </c>
    </row>
    <row r="129" spans="2:24" x14ac:dyDescent="0.2">
      <c r="B129" s="17">
        <v>43920</v>
      </c>
      <c r="C129" s="10" t="s">
        <v>108</v>
      </c>
      <c r="D129" s="11" t="s">
        <v>441</v>
      </c>
      <c r="E129" s="26">
        <v>52255</v>
      </c>
      <c r="F129" s="10" t="s">
        <v>121</v>
      </c>
      <c r="G129" s="10" t="s">
        <v>46</v>
      </c>
      <c r="H129" s="27" t="s">
        <v>122</v>
      </c>
      <c r="I129" s="12"/>
      <c r="J129" s="12"/>
      <c r="K129" s="13">
        <v>690</v>
      </c>
      <c r="L129" s="21">
        <v>9.1999999999999993</v>
      </c>
      <c r="M129" s="14" t="s">
        <v>14</v>
      </c>
      <c r="N129" s="13">
        <v>6348</v>
      </c>
      <c r="O129" s="15">
        <f t="shared" si="72"/>
        <v>0</v>
      </c>
      <c r="P129" s="10" t="s">
        <v>84</v>
      </c>
      <c r="Q129" s="11" t="s">
        <v>443</v>
      </c>
      <c r="R129" s="11" t="s">
        <v>444</v>
      </c>
      <c r="S129" s="16" t="s">
        <v>442</v>
      </c>
      <c r="T129" s="19" t="str">
        <f>MONTH(B129)&amp;"-"&amp;YEAR(B129)</f>
        <v>3-2020</v>
      </c>
      <c r="U129" s="2">
        <f>YEAR(B129)</f>
        <v>2020</v>
      </c>
      <c r="V129" s="2" t="str">
        <f>IF(DAY(B129)&gt;15,MONTH(B129)&amp;"-C",MONTH(B129)&amp;"-N")</f>
        <v>3-C</v>
      </c>
      <c r="W129" s="21">
        <v>9.1999999999999993</v>
      </c>
      <c r="X129" s="2" t="b">
        <f t="shared" si="73"/>
        <v>1</v>
      </c>
    </row>
    <row r="130" spans="2:24" x14ac:dyDescent="0.2">
      <c r="B130" s="17">
        <v>43920</v>
      </c>
      <c r="C130" s="10" t="s">
        <v>108</v>
      </c>
      <c r="D130" s="11" t="s">
        <v>441</v>
      </c>
      <c r="E130" s="26">
        <v>52255</v>
      </c>
      <c r="F130" s="10" t="s">
        <v>123</v>
      </c>
      <c r="G130" s="10" t="s">
        <v>46</v>
      </c>
      <c r="H130" s="27" t="s">
        <v>124</v>
      </c>
      <c r="I130" s="12"/>
      <c r="J130" s="12"/>
      <c r="K130" s="13">
        <v>1150</v>
      </c>
      <c r="L130" s="21">
        <v>11.81</v>
      </c>
      <c r="M130" s="14" t="s">
        <v>14</v>
      </c>
      <c r="N130" s="13">
        <v>13581.5</v>
      </c>
      <c r="O130" s="15">
        <f t="shared" si="72"/>
        <v>0</v>
      </c>
      <c r="P130" s="10" t="s">
        <v>84</v>
      </c>
      <c r="Q130" s="11" t="s">
        <v>443</v>
      </c>
      <c r="R130" s="11" t="s">
        <v>444</v>
      </c>
      <c r="S130" s="16" t="s">
        <v>442</v>
      </c>
      <c r="T130" s="19" t="str">
        <f>MONTH(B130)&amp;"-"&amp;YEAR(B130)</f>
        <v>3-2020</v>
      </c>
      <c r="U130" s="2">
        <f>YEAR(B130)</f>
        <v>2020</v>
      </c>
      <c r="V130" s="2" t="str">
        <f>IF(DAY(B130)&gt;15,MONTH(B130)&amp;"-C",MONTH(B130)&amp;"-N")</f>
        <v>3-C</v>
      </c>
      <c r="W130" s="21">
        <v>11.81</v>
      </c>
      <c r="X130" s="2" t="b">
        <f t="shared" si="73"/>
        <v>1</v>
      </c>
    </row>
    <row r="131" spans="2:24" x14ac:dyDescent="0.2">
      <c r="B131" s="17">
        <v>43920</v>
      </c>
      <c r="C131" s="10" t="s">
        <v>108</v>
      </c>
      <c r="D131" s="11" t="s">
        <v>441</v>
      </c>
      <c r="E131" s="26">
        <v>52255</v>
      </c>
      <c r="F131" s="10" t="s">
        <v>139</v>
      </c>
      <c r="G131" s="10" t="s">
        <v>46</v>
      </c>
      <c r="H131" s="27" t="s">
        <v>140</v>
      </c>
      <c r="I131" s="12"/>
      <c r="J131" s="12"/>
      <c r="K131" s="13">
        <v>5152</v>
      </c>
      <c r="L131" s="21">
        <v>7.85</v>
      </c>
      <c r="M131" s="14" t="s">
        <v>14</v>
      </c>
      <c r="N131" s="13">
        <v>40443.199999999997</v>
      </c>
      <c r="O131" s="15">
        <f t="shared" si="72"/>
        <v>0</v>
      </c>
      <c r="P131" s="10" t="s">
        <v>84</v>
      </c>
      <c r="Q131" s="11" t="s">
        <v>443</v>
      </c>
      <c r="R131" s="11" t="s">
        <v>444</v>
      </c>
      <c r="S131" s="16" t="s">
        <v>442</v>
      </c>
      <c r="T131" s="19" t="str">
        <f>MONTH(B131)&amp;"-"&amp;YEAR(B131)</f>
        <v>3-2020</v>
      </c>
      <c r="U131" s="2">
        <f>YEAR(B131)</f>
        <v>2020</v>
      </c>
      <c r="V131" s="2" t="str">
        <f>IF(DAY(B131)&gt;15,MONTH(B131)&amp;"-C",MONTH(B131)&amp;"-N")</f>
        <v>3-C</v>
      </c>
      <c r="W131" s="21">
        <v>7.85</v>
      </c>
      <c r="X131" s="2" t="b">
        <f t="shared" si="73"/>
        <v>1</v>
      </c>
    </row>
    <row r="132" spans="2:24" x14ac:dyDescent="0.2">
      <c r="B132" s="17">
        <v>43920</v>
      </c>
      <c r="C132" s="10" t="s">
        <v>108</v>
      </c>
      <c r="D132" s="11" t="s">
        <v>441</v>
      </c>
      <c r="E132" s="26">
        <v>52255</v>
      </c>
      <c r="F132" s="10" t="s">
        <v>129</v>
      </c>
      <c r="G132" s="10" t="s">
        <v>46</v>
      </c>
      <c r="H132" s="27" t="s">
        <v>130</v>
      </c>
      <c r="I132" s="12"/>
      <c r="J132" s="12"/>
      <c r="K132" s="13">
        <v>8740</v>
      </c>
      <c r="L132" s="21">
        <v>10.86</v>
      </c>
      <c r="M132" s="14" t="s">
        <v>14</v>
      </c>
      <c r="N132" s="13">
        <v>94916.4</v>
      </c>
      <c r="O132" s="15">
        <f t="shared" si="72"/>
        <v>0</v>
      </c>
      <c r="P132" s="10" t="s">
        <v>84</v>
      </c>
      <c r="Q132" s="11" t="s">
        <v>443</v>
      </c>
      <c r="R132" s="11" t="s">
        <v>444</v>
      </c>
      <c r="S132" s="16" t="s">
        <v>442</v>
      </c>
      <c r="T132" s="19" t="str">
        <f>MONTH(B132)&amp;"-"&amp;YEAR(B132)</f>
        <v>3-2020</v>
      </c>
      <c r="U132" s="2">
        <f>YEAR(B132)</f>
        <v>2020</v>
      </c>
      <c r="V132" s="2" t="str">
        <f>IF(DAY(B132)&gt;15,MONTH(B132)&amp;"-C",MONTH(B132)&amp;"-N")</f>
        <v>3-C</v>
      </c>
      <c r="W132" s="21">
        <v>10.86</v>
      </c>
      <c r="X132" s="2" t="b">
        <f t="shared" si="73"/>
        <v>1</v>
      </c>
    </row>
    <row r="133" spans="2:24" x14ac:dyDescent="0.2">
      <c r="B133" s="17">
        <v>43922</v>
      </c>
      <c r="C133" s="10" t="s">
        <v>433</v>
      </c>
      <c r="D133" s="11" t="s">
        <v>434</v>
      </c>
      <c r="E133" s="26">
        <v>52302</v>
      </c>
      <c r="F133" s="10" t="s">
        <v>26</v>
      </c>
      <c r="G133" s="10" t="s">
        <v>27</v>
      </c>
      <c r="H133" s="27" t="s">
        <v>28</v>
      </c>
      <c r="I133" s="12"/>
      <c r="J133" s="12"/>
      <c r="K133" s="13">
        <v>5640</v>
      </c>
      <c r="L133" s="21">
        <v>3.13</v>
      </c>
      <c r="M133" s="14" t="s">
        <v>14</v>
      </c>
      <c r="N133" s="13">
        <v>17653.2</v>
      </c>
      <c r="O133" s="15">
        <f t="shared" ref="O133:O134" si="74">(N133/K133)-L133</f>
        <v>0</v>
      </c>
      <c r="P133" s="10" t="s">
        <v>78</v>
      </c>
      <c r="Q133" s="11" t="s">
        <v>446</v>
      </c>
      <c r="R133" s="11" t="s">
        <v>447</v>
      </c>
      <c r="S133" s="16" t="s">
        <v>445</v>
      </c>
      <c r="T133" s="19" t="str">
        <f>MONTH(B133)&amp;"-"&amp;YEAR(B133)</f>
        <v>4-2020</v>
      </c>
      <c r="U133" s="2">
        <f>YEAR(B133)</f>
        <v>2020</v>
      </c>
      <c r="V133" s="2" t="str">
        <f>IF(DAY(B133)&gt;15,MONTH(B133)&amp;"-C",MONTH(B133)&amp;"-N")</f>
        <v>4-N</v>
      </c>
      <c r="W133" s="21">
        <v>3.13</v>
      </c>
      <c r="X133" s="2" t="b">
        <f t="shared" ref="X133:X134" si="75">+L133=W133</f>
        <v>1</v>
      </c>
    </row>
    <row r="134" spans="2:24" x14ac:dyDescent="0.2">
      <c r="B134" s="17">
        <v>43922</v>
      </c>
      <c r="C134" s="10" t="s">
        <v>433</v>
      </c>
      <c r="D134" s="11" t="s">
        <v>434</v>
      </c>
      <c r="E134" s="26">
        <v>52303</v>
      </c>
      <c r="F134" s="10" t="s">
        <v>26</v>
      </c>
      <c r="G134" s="10" t="s">
        <v>27</v>
      </c>
      <c r="H134" s="27" t="s">
        <v>28</v>
      </c>
      <c r="I134" s="12"/>
      <c r="J134" s="12"/>
      <c r="K134" s="13">
        <v>5640</v>
      </c>
      <c r="L134" s="21">
        <v>3.13</v>
      </c>
      <c r="M134" s="14" t="s">
        <v>14</v>
      </c>
      <c r="N134" s="13">
        <v>17653.2</v>
      </c>
      <c r="O134" s="15">
        <f t="shared" si="74"/>
        <v>0</v>
      </c>
      <c r="P134" s="10" t="s">
        <v>78</v>
      </c>
      <c r="Q134" s="11" t="s">
        <v>449</v>
      </c>
      <c r="R134" s="11" t="s">
        <v>450</v>
      </c>
      <c r="S134" s="16" t="s">
        <v>448</v>
      </c>
      <c r="T134" s="19" t="str">
        <f>MONTH(B134)&amp;"-"&amp;YEAR(B134)</f>
        <v>4-2020</v>
      </c>
      <c r="U134" s="2">
        <f>YEAR(B134)</f>
        <v>2020</v>
      </c>
      <c r="V134" s="2" t="str">
        <f>IF(DAY(B134)&gt;15,MONTH(B134)&amp;"-C",MONTH(B134)&amp;"-N")</f>
        <v>4-N</v>
      </c>
      <c r="W134" s="21">
        <v>3.13</v>
      </c>
      <c r="X134" s="2" t="b">
        <f t="shared" si="75"/>
        <v>1</v>
      </c>
    </row>
    <row r="135" spans="2:24" x14ac:dyDescent="0.2">
      <c r="B135" s="17">
        <v>43925</v>
      </c>
      <c r="C135" s="10" t="s">
        <v>82</v>
      </c>
      <c r="D135" s="11" t="s">
        <v>336</v>
      </c>
      <c r="E135" s="26">
        <v>52339</v>
      </c>
      <c r="F135" s="10" t="s">
        <v>26</v>
      </c>
      <c r="G135" s="10" t="s">
        <v>27</v>
      </c>
      <c r="H135" s="27" t="s">
        <v>28</v>
      </c>
      <c r="I135" s="12"/>
      <c r="J135" s="12"/>
      <c r="K135" s="13">
        <v>2700</v>
      </c>
      <c r="L135" s="21">
        <v>3.16</v>
      </c>
      <c r="M135" s="14" t="s">
        <v>14</v>
      </c>
      <c r="N135" s="13">
        <v>8532</v>
      </c>
      <c r="O135" s="15">
        <f t="shared" ref="O135" si="76">(N135/K135)-L135</f>
        <v>0</v>
      </c>
      <c r="P135" s="10" t="s">
        <v>78</v>
      </c>
      <c r="Q135" s="11" t="s">
        <v>452</v>
      </c>
      <c r="R135" s="11" t="s">
        <v>453</v>
      </c>
      <c r="S135" s="16" t="s">
        <v>451</v>
      </c>
      <c r="T135" s="19" t="str">
        <f>MONTH(B135)&amp;"-"&amp;YEAR(B135)</f>
        <v>4-2020</v>
      </c>
      <c r="U135" s="2">
        <f>YEAR(B135)</f>
        <v>2020</v>
      </c>
      <c r="V135" s="2" t="str">
        <f>IF(DAY(B135)&gt;15,MONTH(B135)&amp;"-C",MONTH(B135)&amp;"-N")</f>
        <v>4-N</v>
      </c>
      <c r="W135" s="21">
        <v>3.16</v>
      </c>
      <c r="X135" s="2" t="b">
        <f t="shared" ref="X135" si="77">+L135=W135</f>
        <v>1</v>
      </c>
    </row>
    <row r="136" spans="2:24" x14ac:dyDescent="0.2">
      <c r="B136" s="17">
        <v>43929</v>
      </c>
      <c r="C136" s="10" t="s">
        <v>433</v>
      </c>
      <c r="D136" s="11" t="s">
        <v>434</v>
      </c>
      <c r="E136" s="26">
        <v>52376</v>
      </c>
      <c r="F136" s="10" t="s">
        <v>26</v>
      </c>
      <c r="G136" s="10" t="s">
        <v>27</v>
      </c>
      <c r="H136" s="27" t="s">
        <v>28</v>
      </c>
      <c r="I136" s="12"/>
      <c r="J136" s="12"/>
      <c r="K136" s="13">
        <v>20680</v>
      </c>
      <c r="L136" s="21">
        <v>3.13</v>
      </c>
      <c r="M136" s="14" t="s">
        <v>14</v>
      </c>
      <c r="N136" s="13">
        <v>64728.4</v>
      </c>
      <c r="O136" s="15">
        <f t="shared" ref="O136" si="78">(N136/K136)-L136</f>
        <v>0</v>
      </c>
      <c r="P136" s="10" t="s">
        <v>78</v>
      </c>
      <c r="Q136" s="11" t="s">
        <v>456</v>
      </c>
      <c r="R136" s="11" t="s">
        <v>457</v>
      </c>
      <c r="S136" s="16" t="s">
        <v>455</v>
      </c>
      <c r="T136" s="19" t="str">
        <f>MONTH(B136)&amp;"-"&amp;YEAR(B136)</f>
        <v>4-2020</v>
      </c>
      <c r="U136" s="2">
        <f>YEAR(B136)</f>
        <v>2020</v>
      </c>
      <c r="V136" s="2" t="str">
        <f>IF(DAY(B136)&gt;15,MONTH(B136)&amp;"-C",MONTH(B136)&amp;"-N")</f>
        <v>4-N</v>
      </c>
      <c r="W136" s="21">
        <v>3.13</v>
      </c>
      <c r="X136" s="2" t="b">
        <f t="shared" ref="X136" si="79">+L136=W136</f>
        <v>1</v>
      </c>
    </row>
    <row r="137" spans="2:24" x14ac:dyDescent="0.2">
      <c r="B137" s="17">
        <v>43933</v>
      </c>
      <c r="C137" s="10" t="s">
        <v>80</v>
      </c>
      <c r="D137" s="11" t="s">
        <v>458</v>
      </c>
      <c r="E137" s="26">
        <v>52419</v>
      </c>
      <c r="F137" s="10" t="s">
        <v>26</v>
      </c>
      <c r="G137" s="10" t="s">
        <v>27</v>
      </c>
      <c r="H137" s="27" t="s">
        <v>28</v>
      </c>
      <c r="I137" s="12"/>
      <c r="J137" s="12"/>
      <c r="K137" s="13">
        <v>3600</v>
      </c>
      <c r="L137" s="21">
        <v>3.15</v>
      </c>
      <c r="M137" s="14" t="s">
        <v>14</v>
      </c>
      <c r="N137" s="13">
        <v>11340</v>
      </c>
      <c r="O137" s="15">
        <f t="shared" ref="O137:O141" si="80">(N137/K137)-L137</f>
        <v>0</v>
      </c>
      <c r="P137" s="10" t="s">
        <v>78</v>
      </c>
      <c r="Q137" s="11" t="s">
        <v>460</v>
      </c>
      <c r="R137" s="11" t="s">
        <v>461</v>
      </c>
      <c r="S137" s="16" t="s">
        <v>459</v>
      </c>
      <c r="T137" s="19" t="str">
        <f>MONTH(B137)&amp;"-"&amp;YEAR(B137)</f>
        <v>4-2020</v>
      </c>
      <c r="U137" s="2">
        <f>YEAR(B137)</f>
        <v>2020</v>
      </c>
      <c r="V137" s="2" t="str">
        <f>IF(DAY(B137)&gt;15,MONTH(B137)&amp;"-C",MONTH(B137)&amp;"-N")</f>
        <v>4-N</v>
      </c>
      <c r="W137" s="21">
        <v>3.15</v>
      </c>
      <c r="X137" s="2" t="b">
        <f t="shared" ref="X137:X141" si="81">+L137=W137</f>
        <v>1</v>
      </c>
    </row>
    <row r="138" spans="2:24" x14ac:dyDescent="0.2">
      <c r="B138" s="17">
        <v>43933</v>
      </c>
      <c r="C138" s="10" t="s">
        <v>80</v>
      </c>
      <c r="D138" s="11" t="s">
        <v>458</v>
      </c>
      <c r="E138" s="26">
        <v>52418</v>
      </c>
      <c r="F138" s="10" t="s">
        <v>26</v>
      </c>
      <c r="G138" s="10" t="s">
        <v>27</v>
      </c>
      <c r="H138" s="27" t="s">
        <v>28</v>
      </c>
      <c r="I138" s="12"/>
      <c r="J138" s="12"/>
      <c r="K138" s="13">
        <v>3600</v>
      </c>
      <c r="L138" s="21">
        <v>3.15</v>
      </c>
      <c r="M138" s="14" t="s">
        <v>14</v>
      </c>
      <c r="N138" s="13">
        <v>11340</v>
      </c>
      <c r="O138" s="15">
        <f t="shared" si="80"/>
        <v>0</v>
      </c>
      <c r="P138" s="10" t="s">
        <v>78</v>
      </c>
      <c r="Q138" s="11" t="s">
        <v>463</v>
      </c>
      <c r="R138" s="11" t="s">
        <v>464</v>
      </c>
      <c r="S138" s="16" t="s">
        <v>462</v>
      </c>
      <c r="T138" s="19" t="str">
        <f>MONTH(B138)&amp;"-"&amp;YEAR(B138)</f>
        <v>4-2020</v>
      </c>
      <c r="U138" s="2">
        <f>YEAR(B138)</f>
        <v>2020</v>
      </c>
      <c r="V138" s="2" t="str">
        <f>IF(DAY(B138)&gt;15,MONTH(B138)&amp;"-C",MONTH(B138)&amp;"-N")</f>
        <v>4-N</v>
      </c>
      <c r="W138" s="21">
        <v>3.15</v>
      </c>
      <c r="X138" s="2" t="b">
        <f t="shared" si="81"/>
        <v>1</v>
      </c>
    </row>
    <row r="139" spans="2:24" x14ac:dyDescent="0.2">
      <c r="B139" s="17">
        <v>43934</v>
      </c>
      <c r="C139" s="10" t="s">
        <v>80</v>
      </c>
      <c r="D139" s="11" t="s">
        <v>458</v>
      </c>
      <c r="E139" s="26">
        <v>52429</v>
      </c>
      <c r="F139" s="10" t="s">
        <v>26</v>
      </c>
      <c r="G139" s="10" t="s">
        <v>27</v>
      </c>
      <c r="H139" s="27" t="s">
        <v>28</v>
      </c>
      <c r="I139" s="12"/>
      <c r="J139" s="12"/>
      <c r="K139" s="13">
        <v>3600</v>
      </c>
      <c r="L139" s="21">
        <v>3.15</v>
      </c>
      <c r="M139" s="14" t="s">
        <v>14</v>
      </c>
      <c r="N139" s="13">
        <v>11340</v>
      </c>
      <c r="O139" s="15">
        <f t="shared" si="80"/>
        <v>0</v>
      </c>
      <c r="P139" s="10" t="s">
        <v>78</v>
      </c>
      <c r="Q139" s="11" t="s">
        <v>466</v>
      </c>
      <c r="R139" s="11" t="s">
        <v>467</v>
      </c>
      <c r="S139" s="16" t="s">
        <v>465</v>
      </c>
      <c r="T139" s="19" t="str">
        <f>MONTH(B139)&amp;"-"&amp;YEAR(B139)</f>
        <v>4-2020</v>
      </c>
      <c r="U139" s="2">
        <f>YEAR(B139)</f>
        <v>2020</v>
      </c>
      <c r="V139" s="2" t="str">
        <f>IF(DAY(B139)&gt;15,MONTH(B139)&amp;"-C",MONTH(B139)&amp;"-N")</f>
        <v>4-N</v>
      </c>
      <c r="W139" s="21">
        <v>3.15</v>
      </c>
      <c r="X139" s="2" t="b">
        <f t="shared" si="81"/>
        <v>1</v>
      </c>
    </row>
    <row r="140" spans="2:24" x14ac:dyDescent="0.2">
      <c r="B140" s="17">
        <v>43934</v>
      </c>
      <c r="C140" s="10" t="s">
        <v>107</v>
      </c>
      <c r="D140" s="11" t="s">
        <v>426</v>
      </c>
      <c r="E140" s="26">
        <v>52426</v>
      </c>
      <c r="F140" s="10" t="s">
        <v>103</v>
      </c>
      <c r="G140" s="10" t="s">
        <v>46</v>
      </c>
      <c r="H140" s="27" t="s">
        <v>104</v>
      </c>
      <c r="I140" s="12"/>
      <c r="J140" s="12"/>
      <c r="K140" s="13">
        <v>140</v>
      </c>
      <c r="L140" s="21">
        <v>37.200000000000003</v>
      </c>
      <c r="M140" s="14" t="s">
        <v>14</v>
      </c>
      <c r="N140" s="13">
        <v>5208</v>
      </c>
      <c r="O140" s="15">
        <f t="shared" si="80"/>
        <v>0</v>
      </c>
      <c r="P140" s="10" t="s">
        <v>84</v>
      </c>
      <c r="Q140" s="11" t="s">
        <v>469</v>
      </c>
      <c r="R140" s="11" t="s">
        <v>470</v>
      </c>
      <c r="S140" s="16" t="s">
        <v>468</v>
      </c>
      <c r="T140" s="19" t="str">
        <f>MONTH(B140)&amp;"-"&amp;YEAR(B140)</f>
        <v>4-2020</v>
      </c>
      <c r="U140" s="2">
        <f>YEAR(B140)</f>
        <v>2020</v>
      </c>
      <c r="V140" s="2" t="str">
        <f>IF(DAY(B140)&gt;15,MONTH(B140)&amp;"-C",MONTH(B140)&amp;"-N")</f>
        <v>4-N</v>
      </c>
      <c r="W140" s="21">
        <v>37.200000000000003</v>
      </c>
      <c r="X140" s="2" t="b">
        <f t="shared" si="81"/>
        <v>1</v>
      </c>
    </row>
    <row r="141" spans="2:24" x14ac:dyDescent="0.2">
      <c r="B141" s="17">
        <v>43934</v>
      </c>
      <c r="C141" s="10" t="s">
        <v>107</v>
      </c>
      <c r="D141" s="11" t="s">
        <v>426</v>
      </c>
      <c r="E141" s="26">
        <v>52426</v>
      </c>
      <c r="F141" s="10" t="s">
        <v>105</v>
      </c>
      <c r="G141" s="10" t="s">
        <v>46</v>
      </c>
      <c r="H141" s="27" t="s">
        <v>106</v>
      </c>
      <c r="I141" s="12"/>
      <c r="J141" s="12"/>
      <c r="K141" s="13">
        <v>4840</v>
      </c>
      <c r="L141" s="21">
        <v>12.3</v>
      </c>
      <c r="M141" s="14" t="s">
        <v>14</v>
      </c>
      <c r="N141" s="13">
        <v>59532</v>
      </c>
      <c r="O141" s="15">
        <f t="shared" si="80"/>
        <v>0</v>
      </c>
      <c r="P141" s="10" t="s">
        <v>84</v>
      </c>
      <c r="Q141" s="11" t="s">
        <v>469</v>
      </c>
      <c r="R141" s="11" t="s">
        <v>470</v>
      </c>
      <c r="S141" s="16" t="s">
        <v>468</v>
      </c>
      <c r="T141" s="19" t="str">
        <f>MONTH(B141)&amp;"-"&amp;YEAR(B141)</f>
        <v>4-2020</v>
      </c>
      <c r="U141" s="2">
        <f>YEAR(B141)</f>
        <v>2020</v>
      </c>
      <c r="V141" s="2" t="str">
        <f>IF(DAY(B141)&gt;15,MONTH(B141)&amp;"-C",MONTH(B141)&amp;"-N")</f>
        <v>4-N</v>
      </c>
      <c r="W141" s="21">
        <v>12.3</v>
      </c>
      <c r="X141" s="2" t="b">
        <f t="shared" si="81"/>
        <v>1</v>
      </c>
    </row>
    <row r="142" spans="2:24" x14ac:dyDescent="0.2">
      <c r="B142" s="17">
        <v>43934</v>
      </c>
      <c r="C142" s="10" t="s">
        <v>88</v>
      </c>
      <c r="D142" s="11" t="s">
        <v>471</v>
      </c>
      <c r="E142" s="26">
        <v>52428</v>
      </c>
      <c r="F142" s="10" t="s">
        <v>98</v>
      </c>
      <c r="G142" s="10" t="s">
        <v>46</v>
      </c>
      <c r="H142" s="27" t="s">
        <v>99</v>
      </c>
      <c r="I142" s="12"/>
      <c r="J142" s="12"/>
      <c r="K142" s="13">
        <v>40</v>
      </c>
      <c r="L142" s="21">
        <v>11.15</v>
      </c>
      <c r="M142" s="14" t="s">
        <v>14</v>
      </c>
      <c r="N142" s="13">
        <v>446</v>
      </c>
      <c r="O142" s="15">
        <f t="shared" ref="O142:O145" si="82">(N142/K142)-L142</f>
        <v>0</v>
      </c>
      <c r="P142" s="10" t="s">
        <v>84</v>
      </c>
      <c r="Q142" s="11" t="s">
        <v>473</v>
      </c>
      <c r="R142" s="11" t="s">
        <v>474</v>
      </c>
      <c r="S142" s="16" t="s">
        <v>472</v>
      </c>
      <c r="T142" s="19" t="str">
        <f>MONTH(B142)&amp;"-"&amp;YEAR(B142)</f>
        <v>4-2020</v>
      </c>
      <c r="U142" s="2">
        <f>YEAR(B142)</f>
        <v>2020</v>
      </c>
      <c r="V142" s="2" t="str">
        <f>IF(DAY(B142)&gt;15,MONTH(B142)&amp;"-C",MONTH(B142)&amp;"-N")</f>
        <v>4-N</v>
      </c>
      <c r="W142" s="21">
        <v>11.15</v>
      </c>
      <c r="X142" s="2" t="b">
        <f t="shared" ref="X142:X145" si="83">+L142=W142</f>
        <v>1</v>
      </c>
    </row>
    <row r="143" spans="2:24" x14ac:dyDescent="0.2">
      <c r="B143" s="17">
        <v>43934</v>
      </c>
      <c r="C143" s="10" t="s">
        <v>88</v>
      </c>
      <c r="D143" s="11" t="s">
        <v>471</v>
      </c>
      <c r="E143" s="26">
        <v>52428</v>
      </c>
      <c r="F143" s="10" t="s">
        <v>100</v>
      </c>
      <c r="G143" s="10" t="s">
        <v>46</v>
      </c>
      <c r="H143" s="27" t="s">
        <v>101</v>
      </c>
      <c r="I143" s="12"/>
      <c r="J143" s="12"/>
      <c r="K143" s="13">
        <v>2000</v>
      </c>
      <c r="L143" s="21">
        <v>11.15</v>
      </c>
      <c r="M143" s="14" t="s">
        <v>14</v>
      </c>
      <c r="N143" s="13">
        <v>22300</v>
      </c>
      <c r="O143" s="15">
        <f t="shared" si="82"/>
        <v>0</v>
      </c>
      <c r="P143" s="10" t="s">
        <v>84</v>
      </c>
      <c r="Q143" s="11" t="s">
        <v>473</v>
      </c>
      <c r="R143" s="11" t="s">
        <v>474</v>
      </c>
      <c r="S143" s="16" t="s">
        <v>472</v>
      </c>
      <c r="T143" s="19" t="str">
        <f>MONTH(B143)&amp;"-"&amp;YEAR(B143)</f>
        <v>4-2020</v>
      </c>
      <c r="U143" s="2">
        <f>YEAR(B143)</f>
        <v>2020</v>
      </c>
      <c r="V143" s="2" t="str">
        <f>IF(DAY(B143)&gt;15,MONTH(B143)&amp;"-C",MONTH(B143)&amp;"-N")</f>
        <v>4-N</v>
      </c>
      <c r="W143" s="21">
        <v>11.15</v>
      </c>
      <c r="X143" s="2" t="b">
        <f t="shared" si="83"/>
        <v>1</v>
      </c>
    </row>
    <row r="144" spans="2:24" x14ac:dyDescent="0.2">
      <c r="B144" s="17">
        <v>43935</v>
      </c>
      <c r="C144" s="10" t="s">
        <v>80</v>
      </c>
      <c r="D144" s="11" t="s">
        <v>458</v>
      </c>
      <c r="E144" s="26">
        <v>52463</v>
      </c>
      <c r="F144" s="10" t="s">
        <v>26</v>
      </c>
      <c r="G144" s="10" t="s">
        <v>27</v>
      </c>
      <c r="H144" s="27" t="s">
        <v>28</v>
      </c>
      <c r="I144" s="12"/>
      <c r="J144" s="12"/>
      <c r="K144" s="13">
        <v>3600</v>
      </c>
      <c r="L144" s="21">
        <v>3.15</v>
      </c>
      <c r="M144" s="14" t="s">
        <v>14</v>
      </c>
      <c r="N144" s="13">
        <v>11340</v>
      </c>
      <c r="O144" s="15">
        <f t="shared" si="82"/>
        <v>0</v>
      </c>
      <c r="P144" s="10" t="s">
        <v>78</v>
      </c>
      <c r="Q144" s="11" t="s">
        <v>476</v>
      </c>
      <c r="R144" s="11" t="s">
        <v>477</v>
      </c>
      <c r="S144" s="16" t="s">
        <v>475</v>
      </c>
      <c r="T144" s="19" t="str">
        <f>MONTH(B144)&amp;"-"&amp;YEAR(B144)</f>
        <v>4-2020</v>
      </c>
      <c r="U144" s="2">
        <f>YEAR(B144)</f>
        <v>2020</v>
      </c>
      <c r="V144" s="2" t="str">
        <f>IF(DAY(B144)&gt;15,MONTH(B144)&amp;"-C",MONTH(B144)&amp;"-N")</f>
        <v>4-N</v>
      </c>
      <c r="W144" s="21">
        <v>3.15</v>
      </c>
      <c r="X144" s="2" t="b">
        <f t="shared" si="83"/>
        <v>1</v>
      </c>
    </row>
    <row r="145" spans="2:24" x14ac:dyDescent="0.2">
      <c r="B145" s="17">
        <v>43936</v>
      </c>
      <c r="C145" s="10" t="s">
        <v>80</v>
      </c>
      <c r="D145" s="11" t="s">
        <v>458</v>
      </c>
      <c r="E145" s="26">
        <v>52475</v>
      </c>
      <c r="F145" s="10" t="s">
        <v>26</v>
      </c>
      <c r="G145" s="10" t="s">
        <v>27</v>
      </c>
      <c r="H145" s="27" t="s">
        <v>28</v>
      </c>
      <c r="I145" s="12"/>
      <c r="J145" s="12"/>
      <c r="K145" s="13">
        <v>3600</v>
      </c>
      <c r="L145" s="21">
        <v>3.15</v>
      </c>
      <c r="M145" s="14" t="s">
        <v>14</v>
      </c>
      <c r="N145" s="13">
        <v>11340</v>
      </c>
      <c r="O145" s="15">
        <f t="shared" si="82"/>
        <v>0</v>
      </c>
      <c r="P145" s="10" t="s">
        <v>78</v>
      </c>
      <c r="Q145" s="11" t="s">
        <v>479</v>
      </c>
      <c r="R145" s="11" t="s">
        <v>480</v>
      </c>
      <c r="S145" s="16" t="s">
        <v>478</v>
      </c>
      <c r="T145" s="19" t="str">
        <f>MONTH(B145)&amp;"-"&amp;YEAR(B145)</f>
        <v>4-2020</v>
      </c>
      <c r="U145" s="2">
        <f>YEAR(B145)</f>
        <v>2020</v>
      </c>
      <c r="V145" s="2" t="str">
        <f>IF(DAY(B145)&gt;15,MONTH(B145)&amp;"-C",MONTH(B145)&amp;"-N")</f>
        <v>4-N</v>
      </c>
      <c r="W145" s="21">
        <v>3.15</v>
      </c>
      <c r="X145" s="2" t="b">
        <f t="shared" si="83"/>
        <v>1</v>
      </c>
    </row>
    <row r="146" spans="2:24" x14ac:dyDescent="0.2">
      <c r="B146" s="17">
        <v>43937</v>
      </c>
      <c r="C146" s="10" t="s">
        <v>80</v>
      </c>
      <c r="D146" s="11" t="s">
        <v>458</v>
      </c>
      <c r="E146" s="26">
        <v>52481</v>
      </c>
      <c r="F146" s="10" t="s">
        <v>26</v>
      </c>
      <c r="G146" s="10" t="s">
        <v>27</v>
      </c>
      <c r="H146" s="27" t="s">
        <v>28</v>
      </c>
      <c r="I146" s="12"/>
      <c r="J146" s="12"/>
      <c r="K146" s="13">
        <v>1800</v>
      </c>
      <c r="L146" s="21">
        <v>3.15</v>
      </c>
      <c r="M146" s="14" t="s">
        <v>14</v>
      </c>
      <c r="N146" s="13">
        <v>5670</v>
      </c>
      <c r="O146" s="15">
        <f t="shared" ref="O146:O147" si="84">(N146/K146)-L146</f>
        <v>0</v>
      </c>
      <c r="P146" s="10" t="s">
        <v>78</v>
      </c>
      <c r="Q146" s="11" t="s">
        <v>482</v>
      </c>
      <c r="R146" s="11" t="s">
        <v>483</v>
      </c>
      <c r="S146" s="16" t="s">
        <v>481</v>
      </c>
      <c r="T146" s="19" t="str">
        <f>MONTH(B146)&amp;"-"&amp;YEAR(B146)</f>
        <v>4-2020</v>
      </c>
      <c r="U146" s="2">
        <f>YEAR(B146)</f>
        <v>2020</v>
      </c>
      <c r="V146" s="2" t="str">
        <f>IF(DAY(B146)&gt;15,MONTH(B146)&amp;"-C",MONTH(B146)&amp;"-N")</f>
        <v>4-C</v>
      </c>
      <c r="W146" s="21">
        <v>3.15</v>
      </c>
      <c r="X146" s="2" t="b">
        <f t="shared" ref="X146:X147" si="85">+L146=W146</f>
        <v>1</v>
      </c>
    </row>
    <row r="147" spans="2:24" x14ac:dyDescent="0.2">
      <c r="B147" s="17">
        <v>43939</v>
      </c>
      <c r="C147" s="10" t="s">
        <v>80</v>
      </c>
      <c r="D147" s="11" t="s">
        <v>458</v>
      </c>
      <c r="E147" s="26">
        <v>52508</v>
      </c>
      <c r="F147" s="10" t="s">
        <v>26</v>
      </c>
      <c r="G147" s="10" t="s">
        <v>27</v>
      </c>
      <c r="H147" s="27" t="s">
        <v>28</v>
      </c>
      <c r="I147" s="12"/>
      <c r="J147" s="12"/>
      <c r="K147" s="13">
        <v>3600</v>
      </c>
      <c r="L147" s="21">
        <v>3.15</v>
      </c>
      <c r="M147" s="14" t="s">
        <v>14</v>
      </c>
      <c r="N147" s="13">
        <v>11340</v>
      </c>
      <c r="O147" s="15">
        <f t="shared" si="84"/>
        <v>0</v>
      </c>
      <c r="P147" s="10" t="s">
        <v>78</v>
      </c>
      <c r="Q147" s="11" t="s">
        <v>485</v>
      </c>
      <c r="R147" s="11" t="s">
        <v>486</v>
      </c>
      <c r="S147" s="16" t="s">
        <v>484</v>
      </c>
      <c r="T147" s="19" t="str">
        <f>MONTH(B147)&amp;"-"&amp;YEAR(B147)</f>
        <v>4-2020</v>
      </c>
      <c r="U147" s="2">
        <f>YEAR(B147)</f>
        <v>2020</v>
      </c>
      <c r="V147" s="2" t="str">
        <f>IF(DAY(B147)&gt;15,MONTH(B147)&amp;"-C",MONTH(B147)&amp;"-N")</f>
        <v>4-C</v>
      </c>
      <c r="W147" s="21">
        <v>3.15</v>
      </c>
      <c r="X147" s="2" t="b">
        <f t="shared" si="85"/>
        <v>1</v>
      </c>
    </row>
    <row r="148" spans="2:24" x14ac:dyDescent="0.2">
      <c r="B148" s="17">
        <v>43940</v>
      </c>
      <c r="C148" s="10" t="s">
        <v>80</v>
      </c>
      <c r="D148" s="11" t="s">
        <v>458</v>
      </c>
      <c r="E148" s="26">
        <v>52525</v>
      </c>
      <c r="F148" s="10" t="s">
        <v>26</v>
      </c>
      <c r="G148" s="10" t="s">
        <v>27</v>
      </c>
      <c r="H148" s="27" t="s">
        <v>28</v>
      </c>
      <c r="I148" s="12"/>
      <c r="J148" s="12"/>
      <c r="K148" s="13">
        <v>3600</v>
      </c>
      <c r="L148" s="21">
        <v>3.15</v>
      </c>
      <c r="M148" s="14" t="s">
        <v>14</v>
      </c>
      <c r="N148" s="13">
        <v>11340</v>
      </c>
      <c r="O148" s="15">
        <f t="shared" ref="O148:O150" si="86">(N148/K148)-L148</f>
        <v>0</v>
      </c>
      <c r="P148" s="10" t="s">
        <v>78</v>
      </c>
      <c r="Q148" s="11" t="s">
        <v>488</v>
      </c>
      <c r="R148" s="11" t="s">
        <v>489</v>
      </c>
      <c r="S148" s="16" t="s">
        <v>487</v>
      </c>
      <c r="T148" s="19" t="str">
        <f>MONTH(B148)&amp;"-"&amp;YEAR(B148)</f>
        <v>4-2020</v>
      </c>
      <c r="U148" s="2">
        <f>YEAR(B148)</f>
        <v>2020</v>
      </c>
      <c r="V148" s="2" t="str">
        <f>IF(DAY(B148)&gt;15,MONTH(B148)&amp;"-C",MONTH(B148)&amp;"-N")</f>
        <v>4-C</v>
      </c>
      <c r="W148" s="21">
        <v>3.15</v>
      </c>
      <c r="X148" s="2" t="b">
        <f t="shared" ref="X148:X150" si="87">+L148=W148</f>
        <v>1</v>
      </c>
    </row>
    <row r="149" spans="2:24" x14ac:dyDescent="0.2">
      <c r="B149" s="17">
        <v>43940</v>
      </c>
      <c r="C149" s="10" t="s">
        <v>80</v>
      </c>
      <c r="D149" s="11" t="s">
        <v>458</v>
      </c>
      <c r="E149" s="26">
        <v>52526</v>
      </c>
      <c r="F149" s="10" t="s">
        <v>26</v>
      </c>
      <c r="G149" s="10" t="s">
        <v>27</v>
      </c>
      <c r="H149" s="27" t="s">
        <v>28</v>
      </c>
      <c r="I149" s="12"/>
      <c r="J149" s="12"/>
      <c r="K149" s="13">
        <v>3600</v>
      </c>
      <c r="L149" s="21">
        <v>3.15</v>
      </c>
      <c r="M149" s="14" t="s">
        <v>14</v>
      </c>
      <c r="N149" s="13">
        <v>11340</v>
      </c>
      <c r="O149" s="15">
        <f t="shared" si="86"/>
        <v>0</v>
      </c>
      <c r="P149" s="10" t="s">
        <v>78</v>
      </c>
      <c r="Q149" s="11" t="s">
        <v>491</v>
      </c>
      <c r="R149" s="11" t="s">
        <v>492</v>
      </c>
      <c r="S149" s="16" t="s">
        <v>490</v>
      </c>
      <c r="T149" s="19" t="str">
        <f>MONTH(B149)&amp;"-"&amp;YEAR(B149)</f>
        <v>4-2020</v>
      </c>
      <c r="U149" s="2">
        <f>YEAR(B149)</f>
        <v>2020</v>
      </c>
      <c r="V149" s="2" t="str">
        <f>IF(DAY(B149)&gt;15,MONTH(B149)&amp;"-C",MONTH(B149)&amp;"-N")</f>
        <v>4-C</v>
      </c>
      <c r="W149" s="21">
        <v>3.15</v>
      </c>
      <c r="X149" s="2" t="b">
        <f t="shared" si="87"/>
        <v>1</v>
      </c>
    </row>
    <row r="150" spans="2:24" x14ac:dyDescent="0.2">
      <c r="B150" s="17">
        <v>43941</v>
      </c>
      <c r="C150" s="10" t="s">
        <v>80</v>
      </c>
      <c r="D150" s="11" t="s">
        <v>458</v>
      </c>
      <c r="E150" s="26">
        <v>52552</v>
      </c>
      <c r="F150" s="10" t="s">
        <v>26</v>
      </c>
      <c r="G150" s="10" t="s">
        <v>27</v>
      </c>
      <c r="H150" s="27" t="s">
        <v>28</v>
      </c>
      <c r="I150" s="12"/>
      <c r="J150" s="12"/>
      <c r="K150" s="13">
        <v>3600</v>
      </c>
      <c r="L150" s="21">
        <v>3.15</v>
      </c>
      <c r="M150" s="14" t="s">
        <v>14</v>
      </c>
      <c r="N150" s="13">
        <v>11340</v>
      </c>
      <c r="O150" s="15">
        <f t="shared" si="86"/>
        <v>0</v>
      </c>
      <c r="P150" s="10" t="s">
        <v>78</v>
      </c>
      <c r="Q150" s="11" t="s">
        <v>494</v>
      </c>
      <c r="R150" s="11" t="s">
        <v>495</v>
      </c>
      <c r="S150" s="16" t="s">
        <v>493</v>
      </c>
      <c r="T150" s="19" t="str">
        <f>MONTH(B150)&amp;"-"&amp;YEAR(B150)</f>
        <v>4-2020</v>
      </c>
      <c r="U150" s="2">
        <f>YEAR(B150)</f>
        <v>2020</v>
      </c>
      <c r="V150" s="2" t="str">
        <f>IF(DAY(B150)&gt;15,MONTH(B150)&amp;"-C",MONTH(B150)&amp;"-N")</f>
        <v>4-C</v>
      </c>
      <c r="W150" s="21">
        <v>3.15</v>
      </c>
      <c r="X150" s="2" t="b">
        <f t="shared" si="87"/>
        <v>1</v>
      </c>
    </row>
    <row r="151" spans="2:24" x14ac:dyDescent="0.2">
      <c r="B151" s="17">
        <v>43942</v>
      </c>
      <c r="C151" s="10" t="s">
        <v>80</v>
      </c>
      <c r="D151" s="11" t="s">
        <v>458</v>
      </c>
      <c r="E151" s="26">
        <v>52568</v>
      </c>
      <c r="F151" s="10" t="s">
        <v>26</v>
      </c>
      <c r="G151" s="10" t="s">
        <v>27</v>
      </c>
      <c r="H151" s="27" t="s">
        <v>28</v>
      </c>
      <c r="I151" s="12"/>
      <c r="J151" s="12"/>
      <c r="K151" s="13">
        <v>3600</v>
      </c>
      <c r="L151" s="21">
        <v>3.15</v>
      </c>
      <c r="M151" s="14" t="s">
        <v>14</v>
      </c>
      <c r="N151" s="13">
        <v>11340</v>
      </c>
      <c r="O151" s="15">
        <f t="shared" ref="O151" si="88">(N151/K151)-L151</f>
        <v>0</v>
      </c>
      <c r="P151" s="10" t="s">
        <v>78</v>
      </c>
      <c r="Q151" s="11" t="s">
        <v>498</v>
      </c>
      <c r="R151" s="11" t="s">
        <v>499</v>
      </c>
      <c r="S151" s="16" t="s">
        <v>497</v>
      </c>
      <c r="T151" s="19" t="str">
        <f>MONTH(B151)&amp;"-"&amp;YEAR(B151)</f>
        <v>4-2020</v>
      </c>
      <c r="U151" s="2">
        <f>YEAR(B151)</f>
        <v>2020</v>
      </c>
      <c r="V151" s="2" t="str">
        <f>IF(DAY(B151)&gt;15,MONTH(B151)&amp;"-C",MONTH(B151)&amp;"-N")</f>
        <v>4-C</v>
      </c>
      <c r="W151" s="21">
        <v>3.15</v>
      </c>
      <c r="X151" s="2" t="b">
        <f t="shared" ref="X151" si="89">+L151=W151</f>
        <v>1</v>
      </c>
    </row>
    <row r="152" spans="2:24" x14ac:dyDescent="0.2">
      <c r="B152" s="17">
        <v>43943</v>
      </c>
      <c r="C152" s="10" t="s">
        <v>80</v>
      </c>
      <c r="D152" s="11" t="s">
        <v>458</v>
      </c>
      <c r="E152" s="26">
        <v>52570</v>
      </c>
      <c r="F152" s="10" t="s">
        <v>26</v>
      </c>
      <c r="G152" s="10" t="s">
        <v>27</v>
      </c>
      <c r="H152" s="27" t="s">
        <v>28</v>
      </c>
      <c r="I152" s="12"/>
      <c r="J152" s="12"/>
      <c r="K152" s="13">
        <v>1800</v>
      </c>
      <c r="L152" s="21">
        <v>3.15</v>
      </c>
      <c r="M152" s="14" t="s">
        <v>14</v>
      </c>
      <c r="N152" s="13">
        <v>5670</v>
      </c>
      <c r="O152" s="15">
        <f t="shared" ref="O152:O155" si="90">(N152/K152)-L152</f>
        <v>0</v>
      </c>
      <c r="P152" s="10" t="s">
        <v>78</v>
      </c>
      <c r="Q152" s="11" t="s">
        <v>501</v>
      </c>
      <c r="R152" s="11" t="s">
        <v>502</v>
      </c>
      <c r="S152" s="16" t="s">
        <v>500</v>
      </c>
      <c r="T152" s="19" t="str">
        <f>MONTH(B152)&amp;"-"&amp;YEAR(B152)</f>
        <v>4-2020</v>
      </c>
      <c r="U152" s="2">
        <f>YEAR(B152)</f>
        <v>2020</v>
      </c>
      <c r="V152" s="2" t="str">
        <f>IF(DAY(B152)&gt;15,MONTH(B152)&amp;"-C",MONTH(B152)&amp;"-N")</f>
        <v>4-C</v>
      </c>
      <c r="W152" s="21">
        <v>3.15</v>
      </c>
      <c r="X152" s="2" t="b">
        <f t="shared" ref="X152:X155" si="91">+L152=W152</f>
        <v>1</v>
      </c>
    </row>
    <row r="153" spans="2:24" x14ac:dyDescent="0.2">
      <c r="B153" s="17">
        <v>43943</v>
      </c>
      <c r="C153" s="10" t="s">
        <v>80</v>
      </c>
      <c r="D153" s="11" t="s">
        <v>503</v>
      </c>
      <c r="E153" s="26">
        <v>52569</v>
      </c>
      <c r="F153" s="10" t="s">
        <v>26</v>
      </c>
      <c r="G153" s="10" t="s">
        <v>27</v>
      </c>
      <c r="H153" s="27" t="s">
        <v>28</v>
      </c>
      <c r="I153" s="12"/>
      <c r="J153" s="12"/>
      <c r="K153" s="13">
        <v>1800</v>
      </c>
      <c r="L153" s="21">
        <v>3.15</v>
      </c>
      <c r="M153" s="14" t="s">
        <v>14</v>
      </c>
      <c r="N153" s="13">
        <v>5670</v>
      </c>
      <c r="O153" s="15">
        <f t="shared" si="90"/>
        <v>0</v>
      </c>
      <c r="P153" s="10" t="s">
        <v>78</v>
      </c>
      <c r="Q153" s="11" t="s">
        <v>505</v>
      </c>
      <c r="R153" s="11" t="s">
        <v>506</v>
      </c>
      <c r="S153" s="16" t="s">
        <v>504</v>
      </c>
      <c r="T153" s="19" t="str">
        <f>MONTH(B153)&amp;"-"&amp;YEAR(B153)</f>
        <v>4-2020</v>
      </c>
      <c r="U153" s="2">
        <f>YEAR(B153)</f>
        <v>2020</v>
      </c>
      <c r="V153" s="2" t="str">
        <f>IF(DAY(B153)&gt;15,MONTH(B153)&amp;"-C",MONTH(B153)&amp;"-N")</f>
        <v>4-C</v>
      </c>
      <c r="W153" s="21">
        <v>3.15</v>
      </c>
      <c r="X153" s="2" t="b">
        <f t="shared" si="91"/>
        <v>1</v>
      </c>
    </row>
    <row r="154" spans="2:24" x14ac:dyDescent="0.2">
      <c r="B154" s="17">
        <v>43944</v>
      </c>
      <c r="C154" s="10" t="s">
        <v>80</v>
      </c>
      <c r="D154" s="11" t="s">
        <v>503</v>
      </c>
      <c r="E154" s="26">
        <v>52583</v>
      </c>
      <c r="F154" s="10" t="s">
        <v>26</v>
      </c>
      <c r="G154" s="10" t="s">
        <v>27</v>
      </c>
      <c r="H154" s="27" t="s">
        <v>28</v>
      </c>
      <c r="I154" s="12"/>
      <c r="J154" s="12"/>
      <c r="K154" s="13">
        <v>3600</v>
      </c>
      <c r="L154" s="21">
        <v>3.15</v>
      </c>
      <c r="M154" s="14" t="s">
        <v>14</v>
      </c>
      <c r="N154" s="13">
        <v>11340</v>
      </c>
      <c r="O154" s="15">
        <f t="shared" si="90"/>
        <v>0</v>
      </c>
      <c r="P154" s="10" t="s">
        <v>78</v>
      </c>
      <c r="Q154" s="11" t="s">
        <v>508</v>
      </c>
      <c r="R154" s="11" t="s">
        <v>509</v>
      </c>
      <c r="S154" s="16" t="s">
        <v>507</v>
      </c>
      <c r="T154" s="19" t="str">
        <f>MONTH(B154)&amp;"-"&amp;YEAR(B154)</f>
        <v>4-2020</v>
      </c>
      <c r="U154" s="2">
        <f>YEAR(B154)</f>
        <v>2020</v>
      </c>
      <c r="V154" s="2" t="str">
        <f>IF(DAY(B154)&gt;15,MONTH(B154)&amp;"-C",MONTH(B154)&amp;"-N")</f>
        <v>4-C</v>
      </c>
      <c r="W154" s="21">
        <v>3.15</v>
      </c>
      <c r="X154" s="2" t="b">
        <f t="shared" si="91"/>
        <v>1</v>
      </c>
    </row>
    <row r="155" spans="2:24" x14ac:dyDescent="0.2">
      <c r="B155" s="17">
        <v>43944</v>
      </c>
      <c r="C155" s="10" t="s">
        <v>80</v>
      </c>
      <c r="D155" s="11" t="s">
        <v>503</v>
      </c>
      <c r="E155" s="26">
        <v>52586</v>
      </c>
      <c r="F155" s="10" t="s">
        <v>26</v>
      </c>
      <c r="G155" s="10" t="s">
        <v>27</v>
      </c>
      <c r="H155" s="27" t="s">
        <v>28</v>
      </c>
      <c r="I155" s="12"/>
      <c r="J155" s="12"/>
      <c r="K155" s="13">
        <v>3600</v>
      </c>
      <c r="L155" s="21">
        <v>3.15</v>
      </c>
      <c r="M155" s="14" t="s">
        <v>14</v>
      </c>
      <c r="N155" s="13">
        <v>11340</v>
      </c>
      <c r="O155" s="15">
        <f t="shared" si="90"/>
        <v>0</v>
      </c>
      <c r="P155" s="10" t="s">
        <v>78</v>
      </c>
      <c r="Q155" s="11" t="s">
        <v>511</v>
      </c>
      <c r="R155" s="11" t="s">
        <v>512</v>
      </c>
      <c r="S155" s="16" t="s">
        <v>510</v>
      </c>
      <c r="T155" s="19" t="str">
        <f>MONTH(B155)&amp;"-"&amp;YEAR(B155)</f>
        <v>4-2020</v>
      </c>
      <c r="U155" s="2">
        <f>YEAR(B155)</f>
        <v>2020</v>
      </c>
      <c r="V155" s="2" t="str">
        <f>IF(DAY(B155)&gt;15,MONTH(B155)&amp;"-C",MONTH(B155)&amp;"-N")</f>
        <v>4-C</v>
      </c>
      <c r="W155" s="21">
        <v>3.15</v>
      </c>
      <c r="X155" s="2" t="b">
        <f t="shared" si="91"/>
        <v>1</v>
      </c>
    </row>
    <row r="156" spans="2:24" x14ac:dyDescent="0.2">
      <c r="B156" s="17">
        <v>43946</v>
      </c>
      <c r="C156" s="10" t="s">
        <v>80</v>
      </c>
      <c r="D156" s="11" t="s">
        <v>503</v>
      </c>
      <c r="E156" s="26">
        <v>52597</v>
      </c>
      <c r="F156" s="10" t="s">
        <v>26</v>
      </c>
      <c r="G156" s="10" t="s">
        <v>27</v>
      </c>
      <c r="H156" s="27" t="s">
        <v>28</v>
      </c>
      <c r="I156" s="12"/>
      <c r="J156" s="12"/>
      <c r="K156" s="13">
        <v>7200</v>
      </c>
      <c r="L156" s="21">
        <v>3.15</v>
      </c>
      <c r="M156" s="14" t="s">
        <v>14</v>
      </c>
      <c r="N156" s="13">
        <v>22680</v>
      </c>
      <c r="O156" s="15">
        <f t="shared" ref="O156" si="92">(N156/K156)-L156</f>
        <v>0</v>
      </c>
      <c r="P156" s="10" t="s">
        <v>78</v>
      </c>
      <c r="Q156" s="11" t="s">
        <v>514</v>
      </c>
      <c r="R156" s="11" t="s">
        <v>515</v>
      </c>
      <c r="S156" s="16" t="s">
        <v>513</v>
      </c>
      <c r="T156" s="19" t="str">
        <f>MONTH(B156)&amp;"-"&amp;YEAR(B156)</f>
        <v>4-2020</v>
      </c>
      <c r="U156" s="2">
        <f>YEAR(B156)</f>
        <v>2020</v>
      </c>
      <c r="V156" s="2" t="str">
        <f>IF(DAY(B156)&gt;15,MONTH(B156)&amp;"-C",MONTH(B156)&amp;"-N")</f>
        <v>4-C</v>
      </c>
      <c r="W156" s="21">
        <v>3.15</v>
      </c>
      <c r="X156" s="2" t="b">
        <f t="shared" ref="X156" si="93">+L156=W156</f>
        <v>1</v>
      </c>
    </row>
    <row r="157" spans="2:24" x14ac:dyDescent="0.2">
      <c r="B157" s="17">
        <v>43947</v>
      </c>
      <c r="C157" s="10" t="s">
        <v>80</v>
      </c>
      <c r="D157" s="11" t="s">
        <v>503</v>
      </c>
      <c r="E157" s="26">
        <v>52615</v>
      </c>
      <c r="F157" s="10" t="s">
        <v>26</v>
      </c>
      <c r="G157" s="10" t="s">
        <v>27</v>
      </c>
      <c r="H157" s="27" t="s">
        <v>28</v>
      </c>
      <c r="I157" s="12"/>
      <c r="J157" s="12"/>
      <c r="K157" s="13">
        <v>3600</v>
      </c>
      <c r="L157" s="21">
        <v>3.15</v>
      </c>
      <c r="M157" s="14" t="s">
        <v>14</v>
      </c>
      <c r="N157" s="13">
        <v>11340</v>
      </c>
      <c r="O157" s="15">
        <f t="shared" ref="O157" si="94">(N157/K157)-L157</f>
        <v>0</v>
      </c>
      <c r="P157" s="10" t="s">
        <v>78</v>
      </c>
      <c r="Q157" s="11" t="s">
        <v>517</v>
      </c>
      <c r="R157" s="11" t="s">
        <v>518</v>
      </c>
      <c r="S157" s="16" t="s">
        <v>516</v>
      </c>
      <c r="T157" s="19" t="str">
        <f>MONTH(B157)&amp;"-"&amp;YEAR(B157)</f>
        <v>4-2020</v>
      </c>
      <c r="U157" s="2">
        <f>YEAR(B157)</f>
        <v>2020</v>
      </c>
      <c r="V157" s="2" t="str">
        <f>IF(DAY(B157)&gt;15,MONTH(B157)&amp;"-C",MONTH(B157)&amp;"-N")</f>
        <v>4-C</v>
      </c>
      <c r="W157" s="21">
        <v>3.15</v>
      </c>
      <c r="X157" s="2" t="b">
        <f t="shared" ref="X157" si="95">+L157=W157</f>
        <v>1</v>
      </c>
    </row>
    <row r="158" spans="2:24" x14ac:dyDescent="0.2">
      <c r="B158" s="17">
        <v>43949</v>
      </c>
      <c r="C158" s="10" t="s">
        <v>107</v>
      </c>
      <c r="D158" s="11" t="s">
        <v>426</v>
      </c>
      <c r="E158" s="26">
        <v>52624</v>
      </c>
      <c r="F158" s="10" t="s">
        <v>103</v>
      </c>
      <c r="G158" s="10" t="s">
        <v>46</v>
      </c>
      <c r="H158" s="27" t="s">
        <v>104</v>
      </c>
      <c r="I158" s="12"/>
      <c r="J158" s="12"/>
      <c r="K158" s="13">
        <v>125.2</v>
      </c>
      <c r="L158" s="21">
        <v>37.200000000000003</v>
      </c>
      <c r="M158" s="14" t="s">
        <v>14</v>
      </c>
      <c r="N158" s="13">
        <v>4657.4399999999996</v>
      </c>
      <c r="O158" s="15">
        <f t="shared" ref="O158:O162" si="96">(N158/K158)-L158</f>
        <v>0</v>
      </c>
      <c r="P158" s="10" t="s">
        <v>84</v>
      </c>
      <c r="Q158" s="11" t="s">
        <v>520</v>
      </c>
      <c r="R158" s="11" t="s">
        <v>521</v>
      </c>
      <c r="S158" s="16" t="s">
        <v>519</v>
      </c>
      <c r="T158" s="19" t="str">
        <f>MONTH(B158)&amp;"-"&amp;YEAR(B158)</f>
        <v>4-2020</v>
      </c>
      <c r="U158" s="2">
        <f>YEAR(B158)</f>
        <v>2020</v>
      </c>
      <c r="V158" s="2" t="str">
        <f>IF(DAY(B158)&gt;15,MONTH(B158)&amp;"-C",MONTH(B158)&amp;"-N")</f>
        <v>4-C</v>
      </c>
      <c r="W158" s="21">
        <v>37.200000000000003</v>
      </c>
      <c r="X158" s="2" t="b">
        <f t="shared" ref="X158:X162" si="97">+L158=W158</f>
        <v>1</v>
      </c>
    </row>
    <row r="159" spans="2:24" x14ac:dyDescent="0.2">
      <c r="B159" s="17">
        <v>43949</v>
      </c>
      <c r="C159" s="10" t="s">
        <v>107</v>
      </c>
      <c r="D159" s="11" t="s">
        <v>426</v>
      </c>
      <c r="E159" s="26">
        <v>52624</v>
      </c>
      <c r="F159" s="10" t="s">
        <v>105</v>
      </c>
      <c r="G159" s="10" t="s">
        <v>46</v>
      </c>
      <c r="H159" s="27" t="s">
        <v>106</v>
      </c>
      <c r="I159" s="12"/>
      <c r="J159" s="12"/>
      <c r="K159" s="13">
        <v>4400</v>
      </c>
      <c r="L159" s="21">
        <v>12.3</v>
      </c>
      <c r="M159" s="14" t="s">
        <v>14</v>
      </c>
      <c r="N159" s="13">
        <v>54120</v>
      </c>
      <c r="O159" s="15">
        <f t="shared" si="96"/>
        <v>0</v>
      </c>
      <c r="P159" s="10" t="s">
        <v>84</v>
      </c>
      <c r="Q159" s="11" t="s">
        <v>520</v>
      </c>
      <c r="R159" s="11" t="s">
        <v>521</v>
      </c>
      <c r="S159" s="16" t="s">
        <v>519</v>
      </c>
      <c r="T159" s="19" t="str">
        <f>MONTH(B159)&amp;"-"&amp;YEAR(B159)</f>
        <v>4-2020</v>
      </c>
      <c r="U159" s="2">
        <f>YEAR(B159)</f>
        <v>2020</v>
      </c>
      <c r="V159" s="2" t="str">
        <f>IF(DAY(B159)&gt;15,MONTH(B159)&amp;"-C",MONTH(B159)&amp;"-N")</f>
        <v>4-C</v>
      </c>
      <c r="W159" s="21">
        <v>12.3</v>
      </c>
      <c r="X159" s="2" t="b">
        <f t="shared" si="97"/>
        <v>1</v>
      </c>
    </row>
    <row r="160" spans="2:24" x14ac:dyDescent="0.2">
      <c r="B160" s="17">
        <v>43949</v>
      </c>
      <c r="C160" s="10" t="s">
        <v>25</v>
      </c>
      <c r="D160" s="11" t="s">
        <v>522</v>
      </c>
      <c r="E160" s="26">
        <v>52622</v>
      </c>
      <c r="F160" s="10" t="s">
        <v>31</v>
      </c>
      <c r="G160" s="10" t="s">
        <v>27</v>
      </c>
      <c r="H160" s="27" t="s">
        <v>32</v>
      </c>
      <c r="I160" s="12"/>
      <c r="J160" s="12"/>
      <c r="K160" s="13">
        <v>1920</v>
      </c>
      <c r="L160" s="21">
        <v>5.25</v>
      </c>
      <c r="M160" s="14" t="s">
        <v>14</v>
      </c>
      <c r="N160" s="13">
        <v>10080</v>
      </c>
      <c r="O160" s="15">
        <f t="shared" si="96"/>
        <v>0</v>
      </c>
      <c r="P160" s="10" t="s">
        <v>78</v>
      </c>
      <c r="Q160" s="11" t="s">
        <v>524</v>
      </c>
      <c r="R160" s="11" t="s">
        <v>525</v>
      </c>
      <c r="S160" s="16" t="s">
        <v>523</v>
      </c>
      <c r="T160" s="19" t="str">
        <f>MONTH(B160)&amp;"-"&amp;YEAR(B160)</f>
        <v>4-2020</v>
      </c>
      <c r="U160" s="2">
        <f>YEAR(B160)</f>
        <v>2020</v>
      </c>
      <c r="V160" s="2" t="str">
        <f>IF(DAY(B160)&gt;15,MONTH(B160)&amp;"-C",MONTH(B160)&amp;"-N")</f>
        <v>4-C</v>
      </c>
      <c r="W160" s="21">
        <v>5.25</v>
      </c>
      <c r="X160" s="2" t="b">
        <f t="shared" si="97"/>
        <v>1</v>
      </c>
    </row>
    <row r="161" spans="2:24" x14ac:dyDescent="0.2">
      <c r="B161" s="17">
        <v>43949</v>
      </c>
      <c r="C161" s="10" t="s">
        <v>25</v>
      </c>
      <c r="D161" s="11" t="s">
        <v>522</v>
      </c>
      <c r="E161" s="26">
        <v>52622</v>
      </c>
      <c r="F161" s="10" t="s">
        <v>49</v>
      </c>
      <c r="G161" s="10" t="s">
        <v>27</v>
      </c>
      <c r="H161" s="27" t="s">
        <v>50</v>
      </c>
      <c r="I161" s="12"/>
      <c r="J161" s="12"/>
      <c r="K161" s="13">
        <v>760</v>
      </c>
      <c r="L161" s="21">
        <v>5.5</v>
      </c>
      <c r="M161" s="14" t="s">
        <v>14</v>
      </c>
      <c r="N161" s="13">
        <v>4180</v>
      </c>
      <c r="O161" s="15">
        <f t="shared" si="96"/>
        <v>0</v>
      </c>
      <c r="P161" s="10" t="s">
        <v>78</v>
      </c>
      <c r="Q161" s="11" t="s">
        <v>524</v>
      </c>
      <c r="R161" s="11" t="s">
        <v>525</v>
      </c>
      <c r="S161" s="16" t="s">
        <v>523</v>
      </c>
      <c r="T161" s="19" t="str">
        <f>MONTH(B161)&amp;"-"&amp;YEAR(B161)</f>
        <v>4-2020</v>
      </c>
      <c r="U161" s="2">
        <f>YEAR(B161)</f>
        <v>2020</v>
      </c>
      <c r="V161" s="2" t="str">
        <f>IF(DAY(B161)&gt;15,MONTH(B161)&amp;"-C",MONTH(B161)&amp;"-N")</f>
        <v>4-C</v>
      </c>
      <c r="W161" s="21">
        <v>5.5</v>
      </c>
      <c r="X161" s="2" t="b">
        <f t="shared" si="97"/>
        <v>1</v>
      </c>
    </row>
    <row r="162" spans="2:24" x14ac:dyDescent="0.2">
      <c r="B162" s="17">
        <v>43949</v>
      </c>
      <c r="C162" s="10" t="s">
        <v>25</v>
      </c>
      <c r="D162" s="11" t="s">
        <v>522</v>
      </c>
      <c r="E162" s="26">
        <v>52622</v>
      </c>
      <c r="F162" s="10" t="s">
        <v>33</v>
      </c>
      <c r="G162" s="10" t="s">
        <v>27</v>
      </c>
      <c r="H162" s="27" t="s">
        <v>34</v>
      </c>
      <c r="I162" s="12"/>
      <c r="J162" s="12"/>
      <c r="K162" s="13">
        <v>720</v>
      </c>
      <c r="L162" s="21">
        <v>5.5</v>
      </c>
      <c r="M162" s="14" t="s">
        <v>14</v>
      </c>
      <c r="N162" s="13">
        <v>3960</v>
      </c>
      <c r="O162" s="15">
        <f t="shared" si="96"/>
        <v>0</v>
      </c>
      <c r="P162" s="10" t="s">
        <v>78</v>
      </c>
      <c r="Q162" s="11" t="s">
        <v>524</v>
      </c>
      <c r="R162" s="11" t="s">
        <v>525</v>
      </c>
      <c r="S162" s="16" t="s">
        <v>523</v>
      </c>
      <c r="T162" s="19" t="str">
        <f>MONTH(B162)&amp;"-"&amp;YEAR(B162)</f>
        <v>4-2020</v>
      </c>
      <c r="U162" s="2">
        <f>YEAR(B162)</f>
        <v>2020</v>
      </c>
      <c r="V162" s="2" t="str">
        <f>IF(DAY(B162)&gt;15,MONTH(B162)&amp;"-C",MONTH(B162)&amp;"-N")</f>
        <v>4-C</v>
      </c>
      <c r="W162" s="21">
        <v>5.5</v>
      </c>
      <c r="X162" s="2" t="b">
        <f t="shared" si="97"/>
        <v>1</v>
      </c>
    </row>
    <row r="163" spans="2:24" x14ac:dyDescent="0.2">
      <c r="B163" s="17">
        <v>43951</v>
      </c>
      <c r="C163" s="10" t="s">
        <v>150</v>
      </c>
      <c r="D163" s="11" t="s">
        <v>406</v>
      </c>
      <c r="E163" s="26">
        <v>52668</v>
      </c>
      <c r="F163" s="10" t="s">
        <v>49</v>
      </c>
      <c r="G163" s="10" t="s">
        <v>27</v>
      </c>
      <c r="H163" s="27" t="s">
        <v>50</v>
      </c>
      <c r="I163" s="12"/>
      <c r="J163" s="12"/>
      <c r="K163" s="13">
        <v>1000</v>
      </c>
      <c r="L163" s="21">
        <v>6.3</v>
      </c>
      <c r="M163" s="14" t="s">
        <v>14</v>
      </c>
      <c r="N163" s="13">
        <v>6300</v>
      </c>
      <c r="O163" s="15">
        <f t="shared" ref="O163:O167" si="98">(N163/K163)-L163</f>
        <v>0</v>
      </c>
      <c r="P163" s="10" t="s">
        <v>78</v>
      </c>
      <c r="Q163" s="11" t="s">
        <v>527</v>
      </c>
      <c r="R163" s="11" t="s">
        <v>528</v>
      </c>
      <c r="S163" s="16" t="s">
        <v>526</v>
      </c>
      <c r="T163" s="19" t="str">
        <f>MONTH(B163)&amp;"-"&amp;YEAR(B163)</f>
        <v>4-2020</v>
      </c>
      <c r="U163" s="2">
        <f>YEAR(B163)</f>
        <v>2020</v>
      </c>
      <c r="V163" s="2" t="str">
        <f>IF(DAY(B163)&gt;15,MONTH(B163)&amp;"-C",MONTH(B163)&amp;"-N")</f>
        <v>4-C</v>
      </c>
      <c r="W163" s="21">
        <v>6.3</v>
      </c>
      <c r="X163" s="2" t="b">
        <f t="shared" ref="X163:X167" si="99">+L163=W163</f>
        <v>1</v>
      </c>
    </row>
    <row r="164" spans="2:24" x14ac:dyDescent="0.2">
      <c r="B164" s="17">
        <v>43951</v>
      </c>
      <c r="C164" s="10" t="s">
        <v>108</v>
      </c>
      <c r="D164" s="11" t="s">
        <v>529</v>
      </c>
      <c r="E164" s="26">
        <v>52679</v>
      </c>
      <c r="F164" s="10" t="s">
        <v>139</v>
      </c>
      <c r="G164" s="10" t="s">
        <v>46</v>
      </c>
      <c r="H164" s="27" t="s">
        <v>140</v>
      </c>
      <c r="I164" s="12"/>
      <c r="J164" s="12"/>
      <c r="K164" s="13">
        <v>6624</v>
      </c>
      <c r="L164" s="21">
        <v>7.85</v>
      </c>
      <c r="M164" s="14" t="s">
        <v>14</v>
      </c>
      <c r="N164" s="13">
        <v>51998.400000000001</v>
      </c>
      <c r="O164" s="15">
        <f t="shared" si="98"/>
        <v>0</v>
      </c>
      <c r="P164" s="10" t="s">
        <v>84</v>
      </c>
      <c r="Q164" s="11" t="s">
        <v>531</v>
      </c>
      <c r="R164" s="11" t="s">
        <v>532</v>
      </c>
      <c r="S164" s="16" t="s">
        <v>530</v>
      </c>
      <c r="T164" s="19" t="str">
        <f>MONTH(B164)&amp;"-"&amp;YEAR(B164)</f>
        <v>4-2020</v>
      </c>
      <c r="U164" s="2">
        <f>YEAR(B164)</f>
        <v>2020</v>
      </c>
      <c r="V164" s="2" t="str">
        <f>IF(DAY(B164)&gt;15,MONTH(B164)&amp;"-C",MONTH(B164)&amp;"-N")</f>
        <v>4-C</v>
      </c>
      <c r="W164" s="21">
        <v>7.85</v>
      </c>
      <c r="X164" s="2" t="b">
        <f t="shared" si="99"/>
        <v>1</v>
      </c>
    </row>
    <row r="165" spans="2:24" x14ac:dyDescent="0.2">
      <c r="B165" s="17">
        <v>43951</v>
      </c>
      <c r="C165" s="10" t="s">
        <v>108</v>
      </c>
      <c r="D165" s="11" t="s">
        <v>529</v>
      </c>
      <c r="E165" s="26">
        <v>52679</v>
      </c>
      <c r="F165" s="10" t="s">
        <v>129</v>
      </c>
      <c r="G165" s="10" t="s">
        <v>46</v>
      </c>
      <c r="H165" s="27" t="s">
        <v>130</v>
      </c>
      <c r="I165" s="12"/>
      <c r="J165" s="12"/>
      <c r="K165" s="13">
        <v>9430</v>
      </c>
      <c r="L165" s="21">
        <v>10.86</v>
      </c>
      <c r="M165" s="14" t="s">
        <v>14</v>
      </c>
      <c r="N165" s="13">
        <v>102409.8</v>
      </c>
      <c r="O165" s="15">
        <f t="shared" si="98"/>
        <v>0</v>
      </c>
      <c r="P165" s="10" t="s">
        <v>84</v>
      </c>
      <c r="Q165" s="11" t="s">
        <v>531</v>
      </c>
      <c r="R165" s="11" t="s">
        <v>532</v>
      </c>
      <c r="S165" s="16" t="s">
        <v>530</v>
      </c>
      <c r="T165" s="19" t="str">
        <f>MONTH(B165)&amp;"-"&amp;YEAR(B165)</f>
        <v>4-2020</v>
      </c>
      <c r="U165" s="2">
        <f>YEAR(B165)</f>
        <v>2020</v>
      </c>
      <c r="V165" s="2" t="str">
        <f>IF(DAY(B165)&gt;15,MONTH(B165)&amp;"-C",MONTH(B165)&amp;"-N")</f>
        <v>4-C</v>
      </c>
      <c r="W165" s="21">
        <v>10.86</v>
      </c>
      <c r="X165" s="2" t="b">
        <f t="shared" si="99"/>
        <v>1</v>
      </c>
    </row>
    <row r="166" spans="2:24" x14ac:dyDescent="0.2">
      <c r="B166" s="17">
        <v>43951</v>
      </c>
      <c r="C166" s="10" t="s">
        <v>108</v>
      </c>
      <c r="D166" s="11" t="s">
        <v>529</v>
      </c>
      <c r="E166" s="26">
        <v>52679</v>
      </c>
      <c r="F166" s="10" t="s">
        <v>137</v>
      </c>
      <c r="G166" s="10" t="s">
        <v>46</v>
      </c>
      <c r="H166" s="27" t="s">
        <v>138</v>
      </c>
      <c r="I166" s="12"/>
      <c r="J166" s="12"/>
      <c r="K166" s="13">
        <v>600</v>
      </c>
      <c r="L166" s="21">
        <v>15.6</v>
      </c>
      <c r="M166" s="14" t="s">
        <v>14</v>
      </c>
      <c r="N166" s="13">
        <v>9360</v>
      </c>
      <c r="O166" s="15">
        <f t="shared" si="98"/>
        <v>0</v>
      </c>
      <c r="P166" s="10" t="s">
        <v>84</v>
      </c>
      <c r="Q166" s="11" t="s">
        <v>531</v>
      </c>
      <c r="R166" s="11" t="s">
        <v>532</v>
      </c>
      <c r="S166" s="16" t="s">
        <v>530</v>
      </c>
      <c r="T166" s="19" t="str">
        <f>MONTH(B166)&amp;"-"&amp;YEAR(B166)</f>
        <v>4-2020</v>
      </c>
      <c r="U166" s="2">
        <f>YEAR(B166)</f>
        <v>2020</v>
      </c>
      <c r="V166" s="2" t="str">
        <f>IF(DAY(B166)&gt;15,MONTH(B166)&amp;"-C",MONTH(B166)&amp;"-N")</f>
        <v>4-C</v>
      </c>
      <c r="W166" s="21">
        <v>15.6</v>
      </c>
      <c r="X166" s="2" t="b">
        <f t="shared" si="99"/>
        <v>1</v>
      </c>
    </row>
    <row r="167" spans="2:24" x14ac:dyDescent="0.2">
      <c r="B167" s="17">
        <v>43953</v>
      </c>
      <c r="C167" s="10" t="s">
        <v>80</v>
      </c>
      <c r="D167" s="11" t="s">
        <v>503</v>
      </c>
      <c r="E167" s="26">
        <v>52676</v>
      </c>
      <c r="F167" s="10" t="s">
        <v>26</v>
      </c>
      <c r="G167" s="10" t="s">
        <v>27</v>
      </c>
      <c r="H167" s="27" t="s">
        <v>28</v>
      </c>
      <c r="I167" s="12"/>
      <c r="J167" s="12"/>
      <c r="K167" s="13">
        <v>7200</v>
      </c>
      <c r="L167" s="21">
        <v>3.15</v>
      </c>
      <c r="M167" s="14" t="s">
        <v>14</v>
      </c>
      <c r="N167" s="13">
        <v>22680</v>
      </c>
      <c r="O167" s="15">
        <f t="shared" si="98"/>
        <v>0</v>
      </c>
      <c r="P167" s="10" t="s">
        <v>78</v>
      </c>
      <c r="Q167" s="11" t="s">
        <v>534</v>
      </c>
      <c r="R167" s="11" t="s">
        <v>535</v>
      </c>
      <c r="S167" s="16" t="s">
        <v>533</v>
      </c>
      <c r="T167" s="19" t="str">
        <f>MONTH(B167)&amp;"-"&amp;YEAR(B167)</f>
        <v>5-2020</v>
      </c>
      <c r="U167" s="2">
        <f>YEAR(B167)</f>
        <v>2020</v>
      </c>
      <c r="V167" s="2" t="str">
        <f>IF(DAY(B167)&gt;15,MONTH(B167)&amp;"-C",MONTH(B167)&amp;"-N")</f>
        <v>5-N</v>
      </c>
      <c r="W167" s="21">
        <v>3.15</v>
      </c>
      <c r="X167" s="2" t="b">
        <f t="shared" si="99"/>
        <v>1</v>
      </c>
    </row>
    <row r="168" spans="2:24" x14ac:dyDescent="0.2">
      <c r="B168" s="17">
        <v>43954</v>
      </c>
      <c r="C168" s="10" t="s">
        <v>80</v>
      </c>
      <c r="D168" s="11" t="s">
        <v>503</v>
      </c>
      <c r="E168" s="26">
        <v>52677</v>
      </c>
      <c r="F168" s="10" t="s">
        <v>26</v>
      </c>
      <c r="G168" s="10" t="s">
        <v>27</v>
      </c>
      <c r="H168" s="27" t="s">
        <v>28</v>
      </c>
      <c r="I168" s="12"/>
      <c r="J168" s="12"/>
      <c r="K168" s="13">
        <v>3600</v>
      </c>
      <c r="L168" s="21">
        <v>3.15</v>
      </c>
      <c r="M168" s="14" t="s">
        <v>14</v>
      </c>
      <c r="N168" s="13">
        <v>11340</v>
      </c>
      <c r="O168" s="15">
        <f t="shared" ref="O168:O169" si="100">(N168/K168)-L168</f>
        <v>0</v>
      </c>
      <c r="P168" s="10" t="s">
        <v>78</v>
      </c>
      <c r="Q168" s="11" t="s">
        <v>537</v>
      </c>
      <c r="R168" s="11" t="s">
        <v>538</v>
      </c>
      <c r="S168" s="16" t="s">
        <v>536</v>
      </c>
      <c r="T168" s="19" t="str">
        <f>MONTH(B168)&amp;"-"&amp;YEAR(B168)</f>
        <v>5-2020</v>
      </c>
      <c r="U168" s="2">
        <f>YEAR(B168)</f>
        <v>2020</v>
      </c>
      <c r="V168" s="2" t="str">
        <f>IF(DAY(B168)&gt;15,MONTH(B168)&amp;"-C",MONTH(B168)&amp;"-N")</f>
        <v>5-N</v>
      </c>
      <c r="W168" s="21">
        <v>3.15</v>
      </c>
      <c r="X168" s="2" t="b">
        <f t="shared" ref="X168:X169" si="101">+L168=W168</f>
        <v>1</v>
      </c>
    </row>
    <row r="169" spans="2:24" x14ac:dyDescent="0.2">
      <c r="B169" s="17">
        <v>43955</v>
      </c>
      <c r="C169" s="10" t="s">
        <v>80</v>
      </c>
      <c r="D169" s="11" t="s">
        <v>503</v>
      </c>
      <c r="E169" s="26">
        <v>52694</v>
      </c>
      <c r="F169" s="10" t="s">
        <v>26</v>
      </c>
      <c r="G169" s="10" t="s">
        <v>27</v>
      </c>
      <c r="H169" s="27" t="s">
        <v>28</v>
      </c>
      <c r="I169" s="12"/>
      <c r="J169" s="12"/>
      <c r="K169" s="13">
        <v>3600</v>
      </c>
      <c r="L169" s="21">
        <v>3.15</v>
      </c>
      <c r="M169" s="14" t="s">
        <v>14</v>
      </c>
      <c r="N169" s="13">
        <v>11340</v>
      </c>
      <c r="O169" s="15">
        <f t="shared" si="100"/>
        <v>0</v>
      </c>
      <c r="P169" s="10" t="s">
        <v>78</v>
      </c>
      <c r="Q169" s="11" t="s">
        <v>540</v>
      </c>
      <c r="R169" s="11" t="s">
        <v>541</v>
      </c>
      <c r="S169" s="16" t="s">
        <v>539</v>
      </c>
      <c r="T169" s="19" t="str">
        <f>MONTH(B169)&amp;"-"&amp;YEAR(B169)</f>
        <v>5-2020</v>
      </c>
      <c r="U169" s="2">
        <f>YEAR(B169)</f>
        <v>2020</v>
      </c>
      <c r="V169" s="2" t="str">
        <f>IF(DAY(B169)&gt;15,MONTH(B169)&amp;"-C",MONTH(B169)&amp;"-N")</f>
        <v>5-N</v>
      </c>
      <c r="W169" s="21">
        <v>3.15</v>
      </c>
      <c r="X169" s="2" t="b">
        <f t="shared" si="101"/>
        <v>1</v>
      </c>
    </row>
    <row r="170" spans="2:24" x14ac:dyDescent="0.2">
      <c r="B170" s="17">
        <v>43956</v>
      </c>
      <c r="C170" s="10" t="s">
        <v>80</v>
      </c>
      <c r="D170" s="11" t="s">
        <v>503</v>
      </c>
      <c r="E170" s="26">
        <v>52697</v>
      </c>
      <c r="F170" s="10" t="s">
        <v>26</v>
      </c>
      <c r="G170" s="10" t="s">
        <v>27</v>
      </c>
      <c r="H170" s="27" t="s">
        <v>28</v>
      </c>
      <c r="I170" s="12"/>
      <c r="J170" s="12"/>
      <c r="K170" s="13">
        <v>3600</v>
      </c>
      <c r="L170" s="21">
        <v>3.15</v>
      </c>
      <c r="M170" s="14" t="s">
        <v>14</v>
      </c>
      <c r="N170" s="13">
        <v>11340</v>
      </c>
      <c r="O170" s="15">
        <f t="shared" ref="O170:O171" si="102">(N170/K170)-L170</f>
        <v>0</v>
      </c>
      <c r="P170" s="10" t="s">
        <v>78</v>
      </c>
      <c r="Q170" s="11" t="s">
        <v>543</v>
      </c>
      <c r="R170" s="11" t="s">
        <v>544</v>
      </c>
      <c r="S170" s="16" t="s">
        <v>542</v>
      </c>
      <c r="T170" s="19" t="str">
        <f>MONTH(B170)&amp;"-"&amp;YEAR(B170)</f>
        <v>5-2020</v>
      </c>
      <c r="U170" s="2">
        <f>YEAR(B170)</f>
        <v>2020</v>
      </c>
      <c r="V170" s="2" t="str">
        <f>IF(DAY(B170)&gt;15,MONTH(B170)&amp;"-C",MONTH(B170)&amp;"-N")</f>
        <v>5-N</v>
      </c>
      <c r="W170" s="21">
        <v>3.15</v>
      </c>
      <c r="X170" s="2" t="b">
        <f t="shared" ref="X170:X171" si="103">+L170=W170</f>
        <v>1</v>
      </c>
    </row>
    <row r="171" spans="2:24" x14ac:dyDescent="0.2">
      <c r="B171" s="17">
        <v>43957</v>
      </c>
      <c r="C171" s="10" t="s">
        <v>80</v>
      </c>
      <c r="D171" s="11" t="s">
        <v>503</v>
      </c>
      <c r="E171" s="26">
        <v>52716</v>
      </c>
      <c r="F171" s="10" t="s">
        <v>26</v>
      </c>
      <c r="G171" s="10" t="s">
        <v>27</v>
      </c>
      <c r="H171" s="27" t="s">
        <v>28</v>
      </c>
      <c r="I171" s="12"/>
      <c r="J171" s="12"/>
      <c r="K171" s="13">
        <v>1800</v>
      </c>
      <c r="L171" s="21">
        <v>3.15</v>
      </c>
      <c r="M171" s="14" t="s">
        <v>14</v>
      </c>
      <c r="N171" s="13">
        <v>5670</v>
      </c>
      <c r="O171" s="15">
        <f t="shared" si="102"/>
        <v>0</v>
      </c>
      <c r="P171" s="10" t="s">
        <v>78</v>
      </c>
      <c r="Q171" s="11" t="s">
        <v>546</v>
      </c>
      <c r="R171" s="11" t="s">
        <v>547</v>
      </c>
      <c r="S171" s="16" t="s">
        <v>545</v>
      </c>
      <c r="T171" s="19" t="str">
        <f>MONTH(B171)&amp;"-"&amp;YEAR(B171)</f>
        <v>5-2020</v>
      </c>
      <c r="U171" s="2">
        <f>YEAR(B171)</f>
        <v>2020</v>
      </c>
      <c r="V171" s="2" t="str">
        <f>IF(DAY(B171)&gt;15,MONTH(B171)&amp;"-C",MONTH(B171)&amp;"-N")</f>
        <v>5-N</v>
      </c>
      <c r="W171" s="21">
        <v>3.15</v>
      </c>
      <c r="X171" s="2" t="b">
        <f t="shared" si="103"/>
        <v>1</v>
      </c>
    </row>
    <row r="172" spans="2:24" x14ac:dyDescent="0.2">
      <c r="B172" s="17">
        <v>43961</v>
      </c>
      <c r="C172" s="10" t="s">
        <v>80</v>
      </c>
      <c r="D172" s="11" t="s">
        <v>503</v>
      </c>
      <c r="E172" s="26">
        <v>52739</v>
      </c>
      <c r="F172" s="10" t="s">
        <v>26</v>
      </c>
      <c r="G172" s="10" t="s">
        <v>27</v>
      </c>
      <c r="H172" s="27" t="s">
        <v>28</v>
      </c>
      <c r="I172" s="12"/>
      <c r="J172" s="12"/>
      <c r="K172" s="13">
        <v>3600</v>
      </c>
      <c r="L172" s="21">
        <v>3.15</v>
      </c>
      <c r="M172" s="14" t="s">
        <v>14</v>
      </c>
      <c r="N172" s="13">
        <v>11340</v>
      </c>
      <c r="O172" s="15">
        <f t="shared" ref="O172:O181" si="104">(N172/K172)-L172</f>
        <v>0</v>
      </c>
      <c r="P172" s="10" t="s">
        <v>78</v>
      </c>
      <c r="Q172" s="11" t="s">
        <v>550</v>
      </c>
      <c r="R172" s="11" t="s">
        <v>551</v>
      </c>
      <c r="S172" s="16" t="s">
        <v>549</v>
      </c>
      <c r="T172" s="19" t="str">
        <f>MONTH(B172)&amp;"-"&amp;YEAR(B172)</f>
        <v>5-2020</v>
      </c>
      <c r="U172" s="2">
        <f>YEAR(B172)</f>
        <v>2020</v>
      </c>
      <c r="V172" s="2" t="str">
        <f>IF(DAY(B172)&gt;15,MONTH(B172)&amp;"-C",MONTH(B172)&amp;"-N")</f>
        <v>5-N</v>
      </c>
      <c r="W172" s="21">
        <v>3.15</v>
      </c>
      <c r="X172" s="2" t="b">
        <f t="shared" ref="X172:X181" si="105">+L172=W172</f>
        <v>1</v>
      </c>
    </row>
    <row r="173" spans="2:24" x14ac:dyDescent="0.2">
      <c r="B173" s="17">
        <v>43961</v>
      </c>
      <c r="C173" s="10" t="s">
        <v>48</v>
      </c>
      <c r="D173" s="11" t="s">
        <v>552</v>
      </c>
      <c r="E173" s="26">
        <v>52793</v>
      </c>
      <c r="F173" s="10" t="s">
        <v>135</v>
      </c>
      <c r="G173" s="10" t="s">
        <v>46</v>
      </c>
      <c r="H173" s="27" t="s">
        <v>136</v>
      </c>
      <c r="I173" s="12"/>
      <c r="J173" s="12"/>
      <c r="K173" s="13">
        <v>6400</v>
      </c>
      <c r="L173" s="21">
        <v>9.9359999999999999</v>
      </c>
      <c r="M173" s="14" t="s">
        <v>14</v>
      </c>
      <c r="N173" s="13">
        <v>63590.400000000001</v>
      </c>
      <c r="O173" s="15">
        <f t="shared" si="104"/>
        <v>0</v>
      </c>
      <c r="P173" s="10" t="s">
        <v>90</v>
      </c>
      <c r="Q173" s="11" t="s">
        <v>554</v>
      </c>
      <c r="R173" s="11" t="s">
        <v>555</v>
      </c>
      <c r="S173" s="16" t="s">
        <v>553</v>
      </c>
      <c r="T173" s="19" t="str">
        <f>MONTH(B173)&amp;"-"&amp;YEAR(B173)</f>
        <v>5-2020</v>
      </c>
      <c r="U173" s="2">
        <f>YEAR(B173)</f>
        <v>2020</v>
      </c>
      <c r="V173" s="2" t="str">
        <f>IF(DAY(B173)&gt;15,MONTH(B173)&amp;"-C",MONTH(B173)&amp;"-N")</f>
        <v>5-N</v>
      </c>
      <c r="W173" s="21">
        <v>9.9359999999999999</v>
      </c>
      <c r="X173" s="2" t="b">
        <f t="shared" si="105"/>
        <v>1</v>
      </c>
    </row>
    <row r="174" spans="2:24" x14ac:dyDescent="0.2">
      <c r="B174" s="17">
        <v>43961</v>
      </c>
      <c r="C174" s="10" t="s">
        <v>48</v>
      </c>
      <c r="D174" s="11" t="s">
        <v>552</v>
      </c>
      <c r="E174" s="26">
        <v>52793</v>
      </c>
      <c r="F174" s="10" t="s">
        <v>71</v>
      </c>
      <c r="G174" s="10" t="s">
        <v>46</v>
      </c>
      <c r="H174" s="27" t="s">
        <v>72</v>
      </c>
      <c r="I174" s="12"/>
      <c r="J174" s="12"/>
      <c r="K174" s="13">
        <v>9600</v>
      </c>
      <c r="L174" s="21">
        <v>9.9359999999999999</v>
      </c>
      <c r="M174" s="14" t="s">
        <v>14</v>
      </c>
      <c r="N174" s="13">
        <v>95385.600000000006</v>
      </c>
      <c r="O174" s="15">
        <f t="shared" si="104"/>
        <v>0</v>
      </c>
      <c r="P174" s="10" t="s">
        <v>90</v>
      </c>
      <c r="Q174" s="11" t="s">
        <v>554</v>
      </c>
      <c r="R174" s="11" t="s">
        <v>555</v>
      </c>
      <c r="S174" s="16" t="s">
        <v>553</v>
      </c>
      <c r="T174" s="19" t="str">
        <f>MONTH(B174)&amp;"-"&amp;YEAR(B174)</f>
        <v>5-2020</v>
      </c>
      <c r="U174" s="2">
        <f>YEAR(B174)</f>
        <v>2020</v>
      </c>
      <c r="V174" s="2" t="str">
        <f>IF(DAY(B174)&gt;15,MONTH(B174)&amp;"-C",MONTH(B174)&amp;"-N")</f>
        <v>5-N</v>
      </c>
      <c r="W174" s="21">
        <v>9.9359999999999999</v>
      </c>
      <c r="X174" s="2" t="b">
        <f t="shared" si="105"/>
        <v>1</v>
      </c>
    </row>
    <row r="175" spans="2:24" x14ac:dyDescent="0.2">
      <c r="B175" s="17">
        <v>43962</v>
      </c>
      <c r="C175" s="10" t="s">
        <v>80</v>
      </c>
      <c r="D175" s="11" t="s">
        <v>503</v>
      </c>
      <c r="E175" s="26">
        <v>52792</v>
      </c>
      <c r="F175" s="10" t="s">
        <v>26</v>
      </c>
      <c r="G175" s="10" t="s">
        <v>27</v>
      </c>
      <c r="H175" s="27" t="s">
        <v>28</v>
      </c>
      <c r="I175" s="12"/>
      <c r="J175" s="12"/>
      <c r="K175" s="13">
        <v>3600</v>
      </c>
      <c r="L175" s="21">
        <v>3.15</v>
      </c>
      <c r="M175" s="14" t="s">
        <v>14</v>
      </c>
      <c r="N175" s="13">
        <v>11340</v>
      </c>
      <c r="O175" s="15">
        <f t="shared" si="104"/>
        <v>0</v>
      </c>
      <c r="P175" s="10" t="s">
        <v>78</v>
      </c>
      <c r="Q175" s="11" t="s">
        <v>557</v>
      </c>
      <c r="R175" s="11" t="s">
        <v>558</v>
      </c>
      <c r="S175" s="16" t="s">
        <v>556</v>
      </c>
      <c r="T175" s="19" t="str">
        <f>MONTH(B175)&amp;"-"&amp;YEAR(B175)</f>
        <v>5-2020</v>
      </c>
      <c r="U175" s="2">
        <f>YEAR(B175)</f>
        <v>2020</v>
      </c>
      <c r="V175" s="2" t="str">
        <f>IF(DAY(B175)&gt;15,MONTH(B175)&amp;"-C",MONTH(B175)&amp;"-N")</f>
        <v>5-N</v>
      </c>
      <c r="W175" s="21">
        <v>3.15</v>
      </c>
      <c r="X175" s="2" t="b">
        <f t="shared" si="105"/>
        <v>1</v>
      </c>
    </row>
    <row r="176" spans="2:24" x14ac:dyDescent="0.2">
      <c r="B176" s="17">
        <v>43963</v>
      </c>
      <c r="C176" s="10" t="s">
        <v>25</v>
      </c>
      <c r="D176" s="11" t="s">
        <v>522</v>
      </c>
      <c r="E176" s="26">
        <v>52789</v>
      </c>
      <c r="F176" s="10" t="s">
        <v>31</v>
      </c>
      <c r="G176" s="10" t="s">
        <v>27</v>
      </c>
      <c r="H176" s="27" t="s">
        <v>32</v>
      </c>
      <c r="I176" s="12"/>
      <c r="J176" s="12"/>
      <c r="K176" s="13">
        <v>1920</v>
      </c>
      <c r="L176" s="21">
        <v>5.25</v>
      </c>
      <c r="M176" s="14" t="s">
        <v>14</v>
      </c>
      <c r="N176" s="13">
        <v>10080</v>
      </c>
      <c r="O176" s="15">
        <f t="shared" si="104"/>
        <v>0</v>
      </c>
      <c r="P176" s="10" t="s">
        <v>78</v>
      </c>
      <c r="Q176" s="11" t="s">
        <v>561</v>
      </c>
      <c r="R176" s="11" t="s">
        <v>325</v>
      </c>
      <c r="S176" s="16" t="s">
        <v>560</v>
      </c>
      <c r="T176" s="19" t="str">
        <f>MONTH(B176)&amp;"-"&amp;YEAR(B176)</f>
        <v>5-2020</v>
      </c>
      <c r="U176" s="2">
        <f>YEAR(B176)</f>
        <v>2020</v>
      </c>
      <c r="V176" s="2" t="str">
        <f>IF(DAY(B176)&gt;15,MONTH(B176)&amp;"-C",MONTH(B176)&amp;"-N")</f>
        <v>5-N</v>
      </c>
      <c r="W176" s="21">
        <v>5.25</v>
      </c>
      <c r="X176" s="2" t="b">
        <f t="shared" si="105"/>
        <v>1</v>
      </c>
    </row>
    <row r="177" spans="2:24" x14ac:dyDescent="0.2">
      <c r="B177" s="17">
        <v>43963</v>
      </c>
      <c r="C177" s="10" t="s">
        <v>25</v>
      </c>
      <c r="D177" s="11" t="s">
        <v>522</v>
      </c>
      <c r="E177" s="26">
        <v>52789</v>
      </c>
      <c r="F177" s="10" t="s">
        <v>33</v>
      </c>
      <c r="G177" s="10" t="s">
        <v>27</v>
      </c>
      <c r="H177" s="27" t="s">
        <v>34</v>
      </c>
      <c r="I177" s="12"/>
      <c r="J177" s="12"/>
      <c r="K177" s="13">
        <v>900</v>
      </c>
      <c r="L177" s="21">
        <v>5.5</v>
      </c>
      <c r="M177" s="14" t="s">
        <v>14</v>
      </c>
      <c r="N177" s="13">
        <v>4950</v>
      </c>
      <c r="O177" s="15">
        <f t="shared" si="104"/>
        <v>0</v>
      </c>
      <c r="P177" s="10" t="s">
        <v>78</v>
      </c>
      <c r="Q177" s="11" t="s">
        <v>561</v>
      </c>
      <c r="R177" s="11" t="s">
        <v>325</v>
      </c>
      <c r="S177" s="16" t="s">
        <v>560</v>
      </c>
      <c r="T177" s="19" t="str">
        <f>MONTH(B177)&amp;"-"&amp;YEAR(B177)</f>
        <v>5-2020</v>
      </c>
      <c r="U177" s="2">
        <f>YEAR(B177)</f>
        <v>2020</v>
      </c>
      <c r="V177" s="2" t="str">
        <f>IF(DAY(B177)&gt;15,MONTH(B177)&amp;"-C",MONTH(B177)&amp;"-N")</f>
        <v>5-N</v>
      </c>
      <c r="W177" s="21">
        <v>5.5</v>
      </c>
      <c r="X177" s="2" t="b">
        <f t="shared" si="105"/>
        <v>1</v>
      </c>
    </row>
    <row r="178" spans="2:24" x14ac:dyDescent="0.2">
      <c r="B178" s="17">
        <v>43963</v>
      </c>
      <c r="C178" s="10" t="s">
        <v>82</v>
      </c>
      <c r="D178" s="11" t="s">
        <v>562</v>
      </c>
      <c r="E178" s="26">
        <v>52833</v>
      </c>
      <c r="F178" s="10" t="s">
        <v>33</v>
      </c>
      <c r="G178" s="10" t="s">
        <v>27</v>
      </c>
      <c r="H178" s="27" t="s">
        <v>34</v>
      </c>
      <c r="I178" s="12"/>
      <c r="J178" s="12"/>
      <c r="K178" s="13">
        <v>360</v>
      </c>
      <c r="L178" s="21">
        <v>6.75</v>
      </c>
      <c r="M178" s="14" t="s">
        <v>14</v>
      </c>
      <c r="N178" s="13">
        <v>2430</v>
      </c>
      <c r="O178" s="15">
        <f t="shared" si="104"/>
        <v>0</v>
      </c>
      <c r="P178" s="10" t="s">
        <v>78</v>
      </c>
      <c r="Q178" s="11" t="s">
        <v>564</v>
      </c>
      <c r="R178" s="11" t="s">
        <v>565</v>
      </c>
      <c r="S178" s="16" t="s">
        <v>563</v>
      </c>
      <c r="T178" s="19" t="str">
        <f>MONTH(B178)&amp;"-"&amp;YEAR(B178)</f>
        <v>5-2020</v>
      </c>
      <c r="U178" s="2">
        <f>YEAR(B178)</f>
        <v>2020</v>
      </c>
      <c r="V178" s="2" t="str">
        <f>IF(DAY(B178)&gt;15,MONTH(B178)&amp;"-C",MONTH(B178)&amp;"-N")</f>
        <v>5-N</v>
      </c>
      <c r="W178" s="21">
        <v>6.75</v>
      </c>
      <c r="X178" s="2" t="b">
        <f t="shared" si="105"/>
        <v>1</v>
      </c>
    </row>
    <row r="179" spans="2:24" x14ac:dyDescent="0.2">
      <c r="B179" s="17">
        <v>43963</v>
      </c>
      <c r="C179" s="10" t="s">
        <v>80</v>
      </c>
      <c r="D179" s="11" t="s">
        <v>503</v>
      </c>
      <c r="E179" s="26">
        <v>52795</v>
      </c>
      <c r="F179" s="10" t="s">
        <v>26</v>
      </c>
      <c r="G179" s="10" t="s">
        <v>27</v>
      </c>
      <c r="H179" s="27" t="s">
        <v>28</v>
      </c>
      <c r="I179" s="12"/>
      <c r="J179" s="12"/>
      <c r="K179" s="13">
        <v>3600</v>
      </c>
      <c r="L179" s="21">
        <v>3.15</v>
      </c>
      <c r="M179" s="14" t="s">
        <v>14</v>
      </c>
      <c r="N179" s="13">
        <v>11340</v>
      </c>
      <c r="O179" s="15">
        <f t="shared" si="104"/>
        <v>0</v>
      </c>
      <c r="P179" s="10" t="s">
        <v>78</v>
      </c>
      <c r="Q179" s="11" t="s">
        <v>567</v>
      </c>
      <c r="R179" s="11" t="s">
        <v>568</v>
      </c>
      <c r="S179" s="16" t="s">
        <v>566</v>
      </c>
      <c r="T179" s="19" t="str">
        <f>MONTH(B179)&amp;"-"&amp;YEAR(B179)</f>
        <v>5-2020</v>
      </c>
      <c r="U179" s="2">
        <f>YEAR(B179)</f>
        <v>2020</v>
      </c>
      <c r="V179" s="2" t="str">
        <f>IF(DAY(B179)&gt;15,MONTH(B179)&amp;"-C",MONTH(B179)&amp;"-N")</f>
        <v>5-N</v>
      </c>
      <c r="W179" s="21">
        <v>3.15</v>
      </c>
      <c r="X179" s="2" t="b">
        <f t="shared" si="105"/>
        <v>1</v>
      </c>
    </row>
    <row r="180" spans="2:24" x14ac:dyDescent="0.2">
      <c r="B180" s="17">
        <v>43963</v>
      </c>
      <c r="C180" s="10" t="s">
        <v>82</v>
      </c>
      <c r="D180" s="11" t="s">
        <v>569</v>
      </c>
      <c r="E180" s="26">
        <v>52797</v>
      </c>
      <c r="F180" s="10" t="s">
        <v>26</v>
      </c>
      <c r="G180" s="10" t="s">
        <v>27</v>
      </c>
      <c r="H180" s="27" t="s">
        <v>28</v>
      </c>
      <c r="I180" s="12"/>
      <c r="J180" s="12"/>
      <c r="K180" s="13">
        <v>4500</v>
      </c>
      <c r="L180" s="21">
        <v>3.17</v>
      </c>
      <c r="M180" s="14" t="s">
        <v>14</v>
      </c>
      <c r="N180" s="13">
        <v>14265</v>
      </c>
      <c r="O180" s="15">
        <f t="shared" si="104"/>
        <v>0</v>
      </c>
      <c r="P180" s="10" t="s">
        <v>78</v>
      </c>
      <c r="Q180" s="11" t="s">
        <v>571</v>
      </c>
      <c r="R180" s="11" t="s">
        <v>572</v>
      </c>
      <c r="S180" s="16" t="s">
        <v>570</v>
      </c>
      <c r="T180" s="19" t="str">
        <f>MONTH(B180)&amp;"-"&amp;YEAR(B180)</f>
        <v>5-2020</v>
      </c>
      <c r="U180" s="2">
        <f>YEAR(B180)</f>
        <v>2020</v>
      </c>
      <c r="V180" s="2" t="str">
        <f>IF(DAY(B180)&gt;15,MONTH(B180)&amp;"-C",MONTH(B180)&amp;"-N")</f>
        <v>5-N</v>
      </c>
      <c r="W180" s="21">
        <v>3.17</v>
      </c>
      <c r="X180" s="2" t="b">
        <f t="shared" si="105"/>
        <v>1</v>
      </c>
    </row>
    <row r="181" spans="2:24" x14ac:dyDescent="0.2">
      <c r="B181" s="17">
        <v>43963</v>
      </c>
      <c r="C181" s="10" t="s">
        <v>82</v>
      </c>
      <c r="D181" s="11" t="s">
        <v>569</v>
      </c>
      <c r="E181" s="26">
        <v>52796</v>
      </c>
      <c r="F181" s="10" t="s">
        <v>26</v>
      </c>
      <c r="G181" s="10" t="s">
        <v>27</v>
      </c>
      <c r="H181" s="27" t="s">
        <v>28</v>
      </c>
      <c r="I181" s="12"/>
      <c r="J181" s="12"/>
      <c r="K181" s="13">
        <v>10800</v>
      </c>
      <c r="L181" s="21">
        <v>3.17</v>
      </c>
      <c r="M181" s="14" t="s">
        <v>14</v>
      </c>
      <c r="N181" s="13">
        <v>34236</v>
      </c>
      <c r="O181" s="15">
        <f t="shared" si="104"/>
        <v>0</v>
      </c>
      <c r="P181" s="10" t="s">
        <v>78</v>
      </c>
      <c r="Q181" s="11" t="s">
        <v>574</v>
      </c>
      <c r="R181" s="11" t="s">
        <v>575</v>
      </c>
      <c r="S181" s="16" t="s">
        <v>573</v>
      </c>
      <c r="T181" s="19" t="str">
        <f>MONTH(B181)&amp;"-"&amp;YEAR(B181)</f>
        <v>5-2020</v>
      </c>
      <c r="U181" s="2">
        <f>YEAR(B181)</f>
        <v>2020</v>
      </c>
      <c r="V181" s="2" t="str">
        <f>IF(DAY(B181)&gt;15,MONTH(B181)&amp;"-C",MONTH(B181)&amp;"-N")</f>
        <v>5-N</v>
      </c>
      <c r="W181" s="21">
        <v>3.17</v>
      </c>
      <c r="X181" s="2" t="b">
        <f t="shared" si="105"/>
        <v>1</v>
      </c>
    </row>
    <row r="182" spans="2:24" x14ac:dyDescent="0.2">
      <c r="B182" s="17">
        <v>43964</v>
      </c>
      <c r="C182" s="10" t="s">
        <v>80</v>
      </c>
      <c r="D182" s="11" t="s">
        <v>503</v>
      </c>
      <c r="E182" s="26">
        <v>52814</v>
      </c>
      <c r="F182" s="10" t="s">
        <v>26</v>
      </c>
      <c r="G182" s="10" t="s">
        <v>27</v>
      </c>
      <c r="H182" s="27" t="s">
        <v>28</v>
      </c>
      <c r="I182" s="12"/>
      <c r="J182" s="12"/>
      <c r="K182" s="13">
        <v>3600</v>
      </c>
      <c r="L182" s="21">
        <v>3.15</v>
      </c>
      <c r="M182" s="14" t="s">
        <v>14</v>
      </c>
      <c r="N182" s="13">
        <v>11340</v>
      </c>
      <c r="O182" s="15">
        <f t="shared" ref="O182" si="106">(N182/K182)-L182</f>
        <v>0</v>
      </c>
      <c r="P182" s="10" t="s">
        <v>78</v>
      </c>
      <c r="Q182" s="11" t="s">
        <v>577</v>
      </c>
      <c r="R182" s="11" t="s">
        <v>578</v>
      </c>
      <c r="S182" s="16" t="s">
        <v>576</v>
      </c>
      <c r="T182" s="19" t="str">
        <f>MONTH(B182)&amp;"-"&amp;YEAR(B182)</f>
        <v>5-2020</v>
      </c>
      <c r="U182" s="2">
        <f>YEAR(B182)</f>
        <v>2020</v>
      </c>
      <c r="V182" s="2" t="str">
        <f>IF(DAY(B182)&gt;15,MONTH(B182)&amp;"-C",MONTH(B182)&amp;"-N")</f>
        <v>5-N</v>
      </c>
      <c r="W182" s="21">
        <v>3.15</v>
      </c>
      <c r="X182" s="2" t="b">
        <f t="shared" ref="X182" si="107">+L182=W182</f>
        <v>1</v>
      </c>
    </row>
    <row r="183" spans="2:24" x14ac:dyDescent="0.2">
      <c r="B183" s="17">
        <v>43967</v>
      </c>
      <c r="C183" s="10" t="s">
        <v>108</v>
      </c>
      <c r="D183" s="11" t="s">
        <v>580</v>
      </c>
      <c r="E183" s="26">
        <v>52844</v>
      </c>
      <c r="F183" s="10" t="s">
        <v>121</v>
      </c>
      <c r="G183" s="10" t="s">
        <v>46</v>
      </c>
      <c r="H183" s="27" t="s">
        <v>122</v>
      </c>
      <c r="I183" s="12"/>
      <c r="J183" s="12"/>
      <c r="K183" s="13">
        <v>1380</v>
      </c>
      <c r="L183" s="21">
        <v>9.1999999999999993</v>
      </c>
      <c r="M183" s="14" t="s">
        <v>14</v>
      </c>
      <c r="N183" s="13">
        <v>12696</v>
      </c>
      <c r="O183" s="15">
        <f t="shared" ref="O183:O186" si="108">(N183/K183)-L183</f>
        <v>0</v>
      </c>
      <c r="P183" s="10" t="s">
        <v>84</v>
      </c>
      <c r="Q183" s="11" t="s">
        <v>581</v>
      </c>
      <c r="R183" s="11" t="s">
        <v>582</v>
      </c>
      <c r="S183" s="16" t="s">
        <v>41</v>
      </c>
      <c r="T183" s="19" t="str">
        <f>MONTH(B183)&amp;"-"&amp;YEAR(B183)</f>
        <v>5-2020</v>
      </c>
      <c r="U183" s="2">
        <f>YEAR(B183)</f>
        <v>2020</v>
      </c>
      <c r="V183" s="2" t="str">
        <f>IF(DAY(B183)&gt;15,MONTH(B183)&amp;"-C",MONTH(B183)&amp;"-N")</f>
        <v>5-C</v>
      </c>
      <c r="W183" s="21">
        <v>9.1999999999999993</v>
      </c>
      <c r="X183" s="2" t="b">
        <f t="shared" ref="X183:X186" si="109">+L183=W183</f>
        <v>1</v>
      </c>
    </row>
    <row r="184" spans="2:24" x14ac:dyDescent="0.2">
      <c r="B184" s="17">
        <v>43967</v>
      </c>
      <c r="C184" s="10" t="s">
        <v>108</v>
      </c>
      <c r="D184" s="11" t="s">
        <v>580</v>
      </c>
      <c r="E184" s="26">
        <v>52844</v>
      </c>
      <c r="F184" s="10" t="s">
        <v>123</v>
      </c>
      <c r="G184" s="10" t="s">
        <v>46</v>
      </c>
      <c r="H184" s="27" t="s">
        <v>124</v>
      </c>
      <c r="I184" s="12"/>
      <c r="J184" s="12"/>
      <c r="K184" s="13">
        <v>2300</v>
      </c>
      <c r="L184" s="21">
        <v>11.81</v>
      </c>
      <c r="M184" s="14" t="s">
        <v>14</v>
      </c>
      <c r="N184" s="13">
        <v>27163</v>
      </c>
      <c r="O184" s="15">
        <f t="shared" si="108"/>
        <v>0</v>
      </c>
      <c r="P184" s="10" t="s">
        <v>84</v>
      </c>
      <c r="Q184" s="11" t="s">
        <v>581</v>
      </c>
      <c r="R184" s="11" t="s">
        <v>582</v>
      </c>
      <c r="S184" s="16" t="s">
        <v>41</v>
      </c>
      <c r="T184" s="19" t="str">
        <f>MONTH(B184)&amp;"-"&amp;YEAR(B184)</f>
        <v>5-2020</v>
      </c>
      <c r="U184" s="2">
        <f>YEAR(B184)</f>
        <v>2020</v>
      </c>
      <c r="V184" s="2" t="str">
        <f>IF(DAY(B184)&gt;15,MONTH(B184)&amp;"-C",MONTH(B184)&amp;"-N")</f>
        <v>5-C</v>
      </c>
      <c r="W184" s="21">
        <v>11.81</v>
      </c>
      <c r="X184" s="2" t="b">
        <f t="shared" si="109"/>
        <v>1</v>
      </c>
    </row>
    <row r="185" spans="2:24" x14ac:dyDescent="0.2">
      <c r="B185" s="17">
        <v>43967</v>
      </c>
      <c r="C185" s="10" t="s">
        <v>108</v>
      </c>
      <c r="D185" s="11" t="s">
        <v>580</v>
      </c>
      <c r="E185" s="26">
        <v>52844</v>
      </c>
      <c r="F185" s="10" t="s">
        <v>139</v>
      </c>
      <c r="G185" s="10" t="s">
        <v>46</v>
      </c>
      <c r="H185" s="27" t="s">
        <v>140</v>
      </c>
      <c r="I185" s="12"/>
      <c r="J185" s="12"/>
      <c r="K185" s="13">
        <v>5520</v>
      </c>
      <c r="L185" s="21">
        <v>7.85</v>
      </c>
      <c r="M185" s="14" t="s">
        <v>14</v>
      </c>
      <c r="N185" s="13">
        <v>43332</v>
      </c>
      <c r="O185" s="15">
        <f t="shared" si="108"/>
        <v>0</v>
      </c>
      <c r="P185" s="10" t="s">
        <v>84</v>
      </c>
      <c r="Q185" s="11" t="s">
        <v>581</v>
      </c>
      <c r="R185" s="11" t="s">
        <v>582</v>
      </c>
      <c r="S185" s="16" t="s">
        <v>41</v>
      </c>
      <c r="T185" s="19" t="str">
        <f>MONTH(B185)&amp;"-"&amp;YEAR(B185)</f>
        <v>5-2020</v>
      </c>
      <c r="U185" s="2">
        <f>YEAR(B185)</f>
        <v>2020</v>
      </c>
      <c r="V185" s="2" t="str">
        <f>IF(DAY(B185)&gt;15,MONTH(B185)&amp;"-C",MONTH(B185)&amp;"-N")</f>
        <v>5-C</v>
      </c>
      <c r="W185" s="21">
        <v>7.85</v>
      </c>
      <c r="X185" s="2" t="b">
        <f t="shared" si="109"/>
        <v>1</v>
      </c>
    </row>
    <row r="186" spans="2:24" x14ac:dyDescent="0.2">
      <c r="B186" s="17">
        <v>43967</v>
      </c>
      <c r="C186" s="10" t="s">
        <v>108</v>
      </c>
      <c r="D186" s="11" t="s">
        <v>580</v>
      </c>
      <c r="E186" s="26">
        <v>52844</v>
      </c>
      <c r="F186" s="10" t="s">
        <v>129</v>
      </c>
      <c r="G186" s="10" t="s">
        <v>46</v>
      </c>
      <c r="H186" s="27" t="s">
        <v>130</v>
      </c>
      <c r="I186" s="12"/>
      <c r="J186" s="12"/>
      <c r="K186" s="13">
        <v>7820</v>
      </c>
      <c r="L186" s="21">
        <v>10.86</v>
      </c>
      <c r="M186" s="14" t="s">
        <v>14</v>
      </c>
      <c r="N186" s="13">
        <v>84925.2</v>
      </c>
      <c r="O186" s="15">
        <f t="shared" si="108"/>
        <v>0</v>
      </c>
      <c r="P186" s="10" t="s">
        <v>84</v>
      </c>
      <c r="Q186" s="11" t="s">
        <v>581</v>
      </c>
      <c r="R186" s="11" t="s">
        <v>582</v>
      </c>
      <c r="S186" s="16" t="s">
        <v>41</v>
      </c>
      <c r="T186" s="19" t="str">
        <f>MONTH(B186)&amp;"-"&amp;YEAR(B186)</f>
        <v>5-2020</v>
      </c>
      <c r="U186" s="2">
        <f>YEAR(B186)</f>
        <v>2020</v>
      </c>
      <c r="V186" s="2" t="str">
        <f>IF(DAY(B186)&gt;15,MONTH(B186)&amp;"-C",MONTH(B186)&amp;"-N")</f>
        <v>5-C</v>
      </c>
      <c r="W186" s="21">
        <v>10.86</v>
      </c>
      <c r="X186" s="2" t="b">
        <f t="shared" si="109"/>
        <v>1</v>
      </c>
    </row>
    <row r="187" spans="2:24" x14ac:dyDescent="0.2">
      <c r="B187" s="17">
        <v>43969</v>
      </c>
      <c r="C187" s="10" t="s">
        <v>80</v>
      </c>
      <c r="D187" s="11" t="s">
        <v>503</v>
      </c>
      <c r="E187" s="26">
        <v>52867</v>
      </c>
      <c r="F187" s="10" t="s">
        <v>26</v>
      </c>
      <c r="G187" s="10" t="s">
        <v>27</v>
      </c>
      <c r="H187" s="27" t="s">
        <v>28</v>
      </c>
      <c r="I187" s="12"/>
      <c r="J187" s="12"/>
      <c r="K187" s="13">
        <v>1800</v>
      </c>
      <c r="L187" s="21">
        <v>3.15</v>
      </c>
      <c r="M187" s="14" t="s">
        <v>14</v>
      </c>
      <c r="N187" s="13">
        <v>5670</v>
      </c>
      <c r="O187" s="15">
        <f t="shared" ref="O187" si="110">(N187/K187)-L187</f>
        <v>0</v>
      </c>
      <c r="P187" s="10" t="s">
        <v>78</v>
      </c>
      <c r="Q187" s="11" t="s">
        <v>584</v>
      </c>
      <c r="R187" s="11" t="s">
        <v>585</v>
      </c>
      <c r="S187" s="16" t="s">
        <v>583</v>
      </c>
      <c r="T187" s="19" t="str">
        <f>MONTH(B187)&amp;"-"&amp;YEAR(B187)</f>
        <v>5-2020</v>
      </c>
      <c r="U187" s="2">
        <f>YEAR(B187)</f>
        <v>2020</v>
      </c>
      <c r="V187" s="2" t="str">
        <f>IF(DAY(B187)&gt;15,MONTH(B187)&amp;"-C",MONTH(B187)&amp;"-N")</f>
        <v>5-C</v>
      </c>
      <c r="W187" s="21">
        <v>3.15</v>
      </c>
      <c r="X187" s="2" t="b">
        <f t="shared" ref="X187" si="111">+L187=W187</f>
        <v>1</v>
      </c>
    </row>
    <row r="188" spans="2:24" x14ac:dyDescent="0.2">
      <c r="B188" s="17">
        <v>43971</v>
      </c>
      <c r="C188" s="10" t="s">
        <v>82</v>
      </c>
      <c r="D188" s="11" t="s">
        <v>587</v>
      </c>
      <c r="E188" s="26">
        <v>52898</v>
      </c>
      <c r="F188" s="10" t="s">
        <v>26</v>
      </c>
      <c r="G188" s="10" t="s">
        <v>27</v>
      </c>
      <c r="H188" s="27" t="s">
        <v>28</v>
      </c>
      <c r="I188" s="12"/>
      <c r="J188" s="12"/>
      <c r="K188" s="13">
        <v>6710</v>
      </c>
      <c r="L188" s="21">
        <v>3.17</v>
      </c>
      <c r="M188" s="14" t="s">
        <v>14</v>
      </c>
      <c r="N188" s="13">
        <v>21270.7</v>
      </c>
      <c r="O188" s="15">
        <f t="shared" ref="O188:O191" si="112">(N188/K188)-L188</f>
        <v>0</v>
      </c>
      <c r="P188" s="10" t="s">
        <v>78</v>
      </c>
      <c r="Q188" s="11" t="s">
        <v>589</v>
      </c>
      <c r="R188" s="11" t="s">
        <v>590</v>
      </c>
      <c r="S188" s="16" t="s">
        <v>588</v>
      </c>
      <c r="T188" s="19" t="str">
        <f>MONTH(B188)&amp;"-"&amp;YEAR(B188)</f>
        <v>5-2020</v>
      </c>
      <c r="U188" s="2">
        <f>YEAR(B188)</f>
        <v>2020</v>
      </c>
      <c r="V188" s="2" t="str">
        <f>IF(DAY(B188)&gt;15,MONTH(B188)&amp;"-C",MONTH(B188)&amp;"-N")</f>
        <v>5-C</v>
      </c>
      <c r="W188" s="21">
        <v>3.17</v>
      </c>
      <c r="X188" s="2" t="b">
        <f t="shared" ref="X188:X191" si="113">+L188=W188</f>
        <v>1</v>
      </c>
    </row>
    <row r="189" spans="2:24" x14ac:dyDescent="0.2">
      <c r="B189" s="17">
        <v>43972</v>
      </c>
      <c r="C189" s="10" t="s">
        <v>107</v>
      </c>
      <c r="D189" s="11" t="s">
        <v>591</v>
      </c>
      <c r="E189" s="26">
        <v>52923</v>
      </c>
      <c r="F189" s="10" t="s">
        <v>103</v>
      </c>
      <c r="G189" s="10" t="s">
        <v>46</v>
      </c>
      <c r="H189" s="27" t="s">
        <v>104</v>
      </c>
      <c r="I189" s="12"/>
      <c r="J189" s="12"/>
      <c r="K189" s="13">
        <v>135</v>
      </c>
      <c r="L189" s="21">
        <v>37.200000000000003</v>
      </c>
      <c r="M189" s="14" t="s">
        <v>14</v>
      </c>
      <c r="N189" s="13">
        <v>5022</v>
      </c>
      <c r="O189" s="15">
        <f t="shared" si="112"/>
        <v>0</v>
      </c>
      <c r="P189" s="10" t="s">
        <v>84</v>
      </c>
      <c r="Q189" s="11" t="s">
        <v>593</v>
      </c>
      <c r="R189" s="11" t="s">
        <v>594</v>
      </c>
      <c r="S189" s="16" t="s">
        <v>592</v>
      </c>
      <c r="T189" s="19" t="str">
        <f>MONTH(B189)&amp;"-"&amp;YEAR(B189)</f>
        <v>5-2020</v>
      </c>
      <c r="U189" s="2">
        <f>YEAR(B189)</f>
        <v>2020</v>
      </c>
      <c r="V189" s="2" t="str">
        <f>IF(DAY(B189)&gt;15,MONTH(B189)&amp;"-C",MONTH(B189)&amp;"-N")</f>
        <v>5-C</v>
      </c>
      <c r="W189" s="21">
        <v>37.200000000000003</v>
      </c>
      <c r="X189" s="2" t="b">
        <f t="shared" si="113"/>
        <v>1</v>
      </c>
    </row>
    <row r="190" spans="2:24" x14ac:dyDescent="0.2">
      <c r="B190" s="17">
        <v>43972</v>
      </c>
      <c r="C190" s="10" t="s">
        <v>107</v>
      </c>
      <c r="D190" s="11" t="s">
        <v>591</v>
      </c>
      <c r="E190" s="26">
        <v>52923</v>
      </c>
      <c r="F190" s="10" t="s">
        <v>105</v>
      </c>
      <c r="G190" s="10" t="s">
        <v>46</v>
      </c>
      <c r="H190" s="27" t="s">
        <v>106</v>
      </c>
      <c r="I190" s="12"/>
      <c r="J190" s="12"/>
      <c r="K190" s="13">
        <v>4400</v>
      </c>
      <c r="L190" s="21">
        <v>12.3</v>
      </c>
      <c r="M190" s="14" t="s">
        <v>14</v>
      </c>
      <c r="N190" s="13">
        <v>54120</v>
      </c>
      <c r="O190" s="15">
        <f t="shared" si="112"/>
        <v>0</v>
      </c>
      <c r="P190" s="10" t="s">
        <v>84</v>
      </c>
      <c r="Q190" s="11" t="s">
        <v>593</v>
      </c>
      <c r="R190" s="11" t="s">
        <v>594</v>
      </c>
      <c r="S190" s="16" t="s">
        <v>592</v>
      </c>
      <c r="T190" s="19" t="str">
        <f>MONTH(B190)&amp;"-"&amp;YEAR(B190)</f>
        <v>5-2020</v>
      </c>
      <c r="U190" s="2">
        <f>YEAR(B190)</f>
        <v>2020</v>
      </c>
      <c r="V190" s="2" t="str">
        <f>IF(DAY(B190)&gt;15,MONTH(B190)&amp;"-C",MONTH(B190)&amp;"-N")</f>
        <v>5-C</v>
      </c>
      <c r="W190" s="21">
        <v>12.3</v>
      </c>
      <c r="X190" s="2" t="b">
        <f t="shared" si="113"/>
        <v>1</v>
      </c>
    </row>
    <row r="191" spans="2:24" x14ac:dyDescent="0.2">
      <c r="B191" s="17">
        <v>43972</v>
      </c>
      <c r="C191" s="10" t="s">
        <v>80</v>
      </c>
      <c r="D191" s="11" t="s">
        <v>503</v>
      </c>
      <c r="E191" s="26">
        <v>52922</v>
      </c>
      <c r="F191" s="10" t="s">
        <v>26</v>
      </c>
      <c r="G191" s="10" t="s">
        <v>27</v>
      </c>
      <c r="H191" s="27" t="s">
        <v>28</v>
      </c>
      <c r="I191" s="12"/>
      <c r="J191" s="12"/>
      <c r="K191" s="13">
        <v>3600</v>
      </c>
      <c r="L191" s="21">
        <v>3.15</v>
      </c>
      <c r="M191" s="14" t="s">
        <v>14</v>
      </c>
      <c r="N191" s="13">
        <v>11340</v>
      </c>
      <c r="O191" s="15">
        <f t="shared" si="112"/>
        <v>0</v>
      </c>
      <c r="P191" s="10" t="s">
        <v>78</v>
      </c>
      <c r="Q191" s="11" t="s">
        <v>596</v>
      </c>
      <c r="R191" s="11" t="s">
        <v>597</v>
      </c>
      <c r="S191" s="16" t="s">
        <v>595</v>
      </c>
      <c r="T191" s="19" t="str">
        <f>MONTH(B191)&amp;"-"&amp;YEAR(B191)</f>
        <v>5-2020</v>
      </c>
      <c r="U191" s="2">
        <f>YEAR(B191)</f>
        <v>2020</v>
      </c>
      <c r="V191" s="2" t="str">
        <f>IF(DAY(B191)&gt;15,MONTH(B191)&amp;"-C",MONTH(B191)&amp;"-N")</f>
        <v>5-C</v>
      </c>
      <c r="W191" s="21">
        <v>3.15</v>
      </c>
      <c r="X191" s="2" t="b">
        <f t="shared" si="113"/>
        <v>1</v>
      </c>
    </row>
    <row r="192" spans="2:24" x14ac:dyDescent="0.2">
      <c r="B192" s="17">
        <v>43974</v>
      </c>
      <c r="C192" s="10" t="s">
        <v>80</v>
      </c>
      <c r="D192" s="11" t="s">
        <v>503</v>
      </c>
      <c r="E192" s="26">
        <v>52926</v>
      </c>
      <c r="F192" s="10" t="s">
        <v>26</v>
      </c>
      <c r="G192" s="10" t="s">
        <v>27</v>
      </c>
      <c r="H192" s="27" t="s">
        <v>28</v>
      </c>
      <c r="I192" s="12"/>
      <c r="J192" s="12"/>
      <c r="K192" s="13">
        <v>7200</v>
      </c>
      <c r="L192" s="21">
        <v>3.15</v>
      </c>
      <c r="M192" s="14" t="s">
        <v>14</v>
      </c>
      <c r="N192" s="13">
        <v>22680</v>
      </c>
      <c r="O192" s="15">
        <f t="shared" ref="O192:O193" si="114">(N192/K192)-L192</f>
        <v>0</v>
      </c>
      <c r="P192" s="10" t="s">
        <v>78</v>
      </c>
      <c r="Q192" s="11" t="s">
        <v>599</v>
      </c>
      <c r="R192" s="11" t="s">
        <v>600</v>
      </c>
      <c r="S192" s="16" t="s">
        <v>598</v>
      </c>
      <c r="T192" s="19" t="str">
        <f>MONTH(B192)&amp;"-"&amp;YEAR(B192)</f>
        <v>5-2020</v>
      </c>
      <c r="U192" s="2">
        <f>YEAR(B192)</f>
        <v>2020</v>
      </c>
      <c r="V192" s="2" t="str">
        <f>IF(DAY(B192)&gt;15,MONTH(B192)&amp;"-C",MONTH(B192)&amp;"-N")</f>
        <v>5-C</v>
      </c>
      <c r="W192" s="21">
        <v>3.15</v>
      </c>
      <c r="X192" s="2" t="b">
        <f t="shared" ref="X192:X193" si="115">+L192=W192</f>
        <v>1</v>
      </c>
    </row>
    <row r="193" spans="2:24" x14ac:dyDescent="0.2">
      <c r="B193" s="17">
        <v>43976</v>
      </c>
      <c r="C193" s="10" t="s">
        <v>82</v>
      </c>
      <c r="D193" s="11" t="s">
        <v>601</v>
      </c>
      <c r="E193" s="26">
        <v>52929</v>
      </c>
      <c r="F193" s="10" t="s">
        <v>26</v>
      </c>
      <c r="G193" s="10" t="s">
        <v>27</v>
      </c>
      <c r="H193" s="27" t="s">
        <v>28</v>
      </c>
      <c r="I193" s="12"/>
      <c r="J193" s="12"/>
      <c r="K193" s="13">
        <v>2700</v>
      </c>
      <c r="L193" s="21">
        <v>3.5</v>
      </c>
      <c r="M193" s="14" t="s">
        <v>14</v>
      </c>
      <c r="N193" s="13">
        <v>9450</v>
      </c>
      <c r="O193" s="15">
        <f t="shared" si="114"/>
        <v>0</v>
      </c>
      <c r="P193" s="10" t="s">
        <v>78</v>
      </c>
      <c r="Q193" s="11" t="s">
        <v>603</v>
      </c>
      <c r="R193" s="11" t="s">
        <v>604</v>
      </c>
      <c r="S193" s="16" t="s">
        <v>602</v>
      </c>
      <c r="T193" s="19" t="str">
        <f>MONTH(B193)&amp;"-"&amp;YEAR(B193)</f>
        <v>5-2020</v>
      </c>
      <c r="U193" s="2">
        <f>YEAR(B193)</f>
        <v>2020</v>
      </c>
      <c r="V193" s="2" t="str">
        <f>IF(DAY(B193)&gt;15,MONTH(B193)&amp;"-C",MONTH(B193)&amp;"-N")</f>
        <v>5-C</v>
      </c>
      <c r="W193" s="21">
        <v>3.5</v>
      </c>
      <c r="X193" s="2" t="b">
        <f t="shared" si="115"/>
        <v>1</v>
      </c>
    </row>
    <row r="194" spans="2:24" x14ac:dyDescent="0.2">
      <c r="B194" s="17">
        <v>43978</v>
      </c>
      <c r="C194" s="10" t="s">
        <v>25</v>
      </c>
      <c r="D194" s="11" t="s">
        <v>522</v>
      </c>
      <c r="E194" s="26">
        <v>52973</v>
      </c>
      <c r="F194" s="10" t="s">
        <v>31</v>
      </c>
      <c r="G194" s="10" t="s">
        <v>27</v>
      </c>
      <c r="H194" s="27" t="s">
        <v>32</v>
      </c>
      <c r="I194" s="12"/>
      <c r="J194" s="12"/>
      <c r="K194" s="13">
        <v>640</v>
      </c>
      <c r="L194" s="21">
        <v>5.25</v>
      </c>
      <c r="M194" s="14" t="s">
        <v>14</v>
      </c>
      <c r="N194" s="13">
        <v>3360</v>
      </c>
      <c r="O194" s="15">
        <f t="shared" ref="O194:O197" si="116">(N194/K194)-L194</f>
        <v>0</v>
      </c>
      <c r="P194" s="10" t="s">
        <v>78</v>
      </c>
      <c r="Q194" s="11" t="s">
        <v>606</v>
      </c>
      <c r="R194" s="11" t="s">
        <v>197</v>
      </c>
      <c r="S194" s="16" t="s">
        <v>605</v>
      </c>
      <c r="T194" s="19" t="str">
        <f>MONTH(B194)&amp;"-"&amp;YEAR(B194)</f>
        <v>5-2020</v>
      </c>
      <c r="U194" s="2">
        <f>YEAR(B194)</f>
        <v>2020</v>
      </c>
      <c r="V194" s="2" t="str">
        <f>IF(DAY(B194)&gt;15,MONTH(B194)&amp;"-C",MONTH(B194)&amp;"-N")</f>
        <v>5-C</v>
      </c>
      <c r="W194" s="21">
        <v>5.25</v>
      </c>
      <c r="X194" s="2" t="b">
        <f t="shared" ref="X194:X197" si="117">+L194=W194</f>
        <v>1</v>
      </c>
    </row>
    <row r="195" spans="2:24" x14ac:dyDescent="0.2">
      <c r="B195" s="17">
        <v>43978</v>
      </c>
      <c r="C195" s="10" t="s">
        <v>25</v>
      </c>
      <c r="D195" s="11" t="s">
        <v>522</v>
      </c>
      <c r="E195" s="26">
        <v>52973</v>
      </c>
      <c r="F195" s="10" t="s">
        <v>33</v>
      </c>
      <c r="G195" s="10" t="s">
        <v>27</v>
      </c>
      <c r="H195" s="27" t="s">
        <v>34</v>
      </c>
      <c r="I195" s="12"/>
      <c r="J195" s="12"/>
      <c r="K195" s="13">
        <v>1440</v>
      </c>
      <c r="L195" s="21">
        <v>5.5</v>
      </c>
      <c r="M195" s="14" t="s">
        <v>14</v>
      </c>
      <c r="N195" s="13">
        <v>7920</v>
      </c>
      <c r="O195" s="15">
        <f t="shared" si="116"/>
        <v>0</v>
      </c>
      <c r="P195" s="10" t="s">
        <v>78</v>
      </c>
      <c r="Q195" s="11" t="s">
        <v>606</v>
      </c>
      <c r="R195" s="11" t="s">
        <v>197</v>
      </c>
      <c r="S195" s="16" t="s">
        <v>605</v>
      </c>
      <c r="T195" s="19" t="str">
        <f>MONTH(B195)&amp;"-"&amp;YEAR(B195)</f>
        <v>5-2020</v>
      </c>
      <c r="U195" s="2">
        <f>YEAR(B195)</f>
        <v>2020</v>
      </c>
      <c r="V195" s="2" t="str">
        <f>IF(DAY(B195)&gt;15,MONTH(B195)&amp;"-C",MONTH(B195)&amp;"-N")</f>
        <v>5-C</v>
      </c>
      <c r="W195" s="21">
        <v>5.5</v>
      </c>
      <c r="X195" s="2" t="b">
        <f t="shared" si="117"/>
        <v>1</v>
      </c>
    </row>
    <row r="196" spans="2:24" x14ac:dyDescent="0.2">
      <c r="B196" s="17">
        <v>43978</v>
      </c>
      <c r="C196" s="10" t="s">
        <v>25</v>
      </c>
      <c r="D196" s="11" t="s">
        <v>608</v>
      </c>
      <c r="E196" s="26">
        <v>52972</v>
      </c>
      <c r="F196" s="10" t="s">
        <v>29</v>
      </c>
      <c r="G196" s="10" t="s">
        <v>27</v>
      </c>
      <c r="H196" s="27" t="s">
        <v>30</v>
      </c>
      <c r="I196" s="12"/>
      <c r="J196" s="12"/>
      <c r="K196" s="13">
        <v>1320</v>
      </c>
      <c r="L196" s="21">
        <v>4</v>
      </c>
      <c r="M196" s="14" t="s">
        <v>14</v>
      </c>
      <c r="N196" s="13">
        <v>5280</v>
      </c>
      <c r="O196" s="15">
        <f t="shared" si="116"/>
        <v>0</v>
      </c>
      <c r="P196" s="10" t="s">
        <v>78</v>
      </c>
      <c r="Q196" s="11" t="s">
        <v>610</v>
      </c>
      <c r="R196" s="11" t="s">
        <v>305</v>
      </c>
      <c r="S196" s="16" t="s">
        <v>609</v>
      </c>
      <c r="T196" s="19" t="str">
        <f>MONTH(B196)&amp;"-"&amp;YEAR(B196)</f>
        <v>5-2020</v>
      </c>
      <c r="U196" s="2">
        <f>YEAR(B196)</f>
        <v>2020</v>
      </c>
      <c r="V196" s="2" t="str">
        <f>IF(DAY(B196)&gt;15,MONTH(B196)&amp;"-C",MONTH(B196)&amp;"-N")</f>
        <v>5-C</v>
      </c>
      <c r="W196" s="21">
        <v>4</v>
      </c>
      <c r="X196" s="2" t="b">
        <f t="shared" si="117"/>
        <v>1</v>
      </c>
    </row>
    <row r="197" spans="2:24" x14ac:dyDescent="0.2">
      <c r="B197" s="17">
        <v>43978</v>
      </c>
      <c r="C197" s="10" t="s">
        <v>82</v>
      </c>
      <c r="D197" s="11" t="s">
        <v>601</v>
      </c>
      <c r="E197" s="26">
        <v>52971</v>
      </c>
      <c r="F197" s="10" t="s">
        <v>26</v>
      </c>
      <c r="G197" s="10" t="s">
        <v>27</v>
      </c>
      <c r="H197" s="27" t="s">
        <v>28</v>
      </c>
      <c r="I197" s="12"/>
      <c r="J197" s="12"/>
      <c r="K197" s="13">
        <v>2700</v>
      </c>
      <c r="L197" s="21">
        <v>3.5</v>
      </c>
      <c r="M197" s="14" t="s">
        <v>14</v>
      </c>
      <c r="N197" s="13">
        <v>9450</v>
      </c>
      <c r="O197" s="15">
        <f t="shared" si="116"/>
        <v>0</v>
      </c>
      <c r="P197" s="10" t="s">
        <v>78</v>
      </c>
      <c r="Q197" s="11" t="s">
        <v>612</v>
      </c>
      <c r="R197" s="11" t="s">
        <v>613</v>
      </c>
      <c r="S197" s="16" t="s">
        <v>611</v>
      </c>
      <c r="T197" s="19" t="str">
        <f>MONTH(B197)&amp;"-"&amp;YEAR(B197)</f>
        <v>5-2020</v>
      </c>
      <c r="U197" s="2">
        <f>YEAR(B197)</f>
        <v>2020</v>
      </c>
      <c r="V197" s="2" t="str">
        <f>IF(DAY(B197)&gt;15,MONTH(B197)&amp;"-C",MONTH(B197)&amp;"-N")</f>
        <v>5-C</v>
      </c>
      <c r="W197" s="21">
        <v>3.5</v>
      </c>
      <c r="X197" s="2" t="b">
        <f t="shared" si="117"/>
        <v>1</v>
      </c>
    </row>
    <row r="198" spans="2:24" x14ac:dyDescent="0.2">
      <c r="B198" s="17">
        <v>43979</v>
      </c>
      <c r="C198" s="10" t="s">
        <v>80</v>
      </c>
      <c r="D198" s="11" t="s">
        <v>503</v>
      </c>
      <c r="E198" s="26">
        <v>52995</v>
      </c>
      <c r="F198" s="10" t="s">
        <v>26</v>
      </c>
      <c r="G198" s="10" t="s">
        <v>27</v>
      </c>
      <c r="H198" s="27" t="s">
        <v>28</v>
      </c>
      <c r="I198" s="12"/>
      <c r="J198" s="12"/>
      <c r="K198" s="13">
        <v>3600</v>
      </c>
      <c r="L198" s="21">
        <v>3.15</v>
      </c>
      <c r="M198" s="14" t="s">
        <v>14</v>
      </c>
      <c r="N198" s="13">
        <v>11340</v>
      </c>
      <c r="O198" s="15">
        <f t="shared" ref="O198:O202" si="118">(N198/K198)-L198</f>
        <v>0</v>
      </c>
      <c r="P198" s="10" t="s">
        <v>78</v>
      </c>
      <c r="Q198" s="11" t="s">
        <v>615</v>
      </c>
      <c r="R198" s="11" t="s">
        <v>616</v>
      </c>
      <c r="S198" s="16" t="s">
        <v>614</v>
      </c>
      <c r="T198" s="19" t="str">
        <f>MONTH(B198)&amp;"-"&amp;YEAR(B198)</f>
        <v>5-2020</v>
      </c>
      <c r="U198" s="2">
        <f>YEAR(B198)</f>
        <v>2020</v>
      </c>
      <c r="V198" s="2" t="str">
        <f>IF(DAY(B198)&gt;15,MONTH(B198)&amp;"-C",MONTH(B198)&amp;"-N")</f>
        <v>5-C</v>
      </c>
      <c r="W198" s="21">
        <v>3.15</v>
      </c>
      <c r="X198" s="2" t="b">
        <f t="shared" ref="X198:X202" si="119">+L198=W198</f>
        <v>1</v>
      </c>
    </row>
    <row r="199" spans="2:24" x14ac:dyDescent="0.2">
      <c r="B199" s="17">
        <v>43979</v>
      </c>
      <c r="C199" s="10" t="s">
        <v>80</v>
      </c>
      <c r="D199" s="11" t="s">
        <v>503</v>
      </c>
      <c r="E199" s="26">
        <v>52996</v>
      </c>
      <c r="F199" s="10" t="s">
        <v>26</v>
      </c>
      <c r="G199" s="10" t="s">
        <v>27</v>
      </c>
      <c r="H199" s="27" t="s">
        <v>28</v>
      </c>
      <c r="I199" s="12"/>
      <c r="J199" s="12"/>
      <c r="K199" s="13">
        <v>3600</v>
      </c>
      <c r="L199" s="21">
        <v>3.15</v>
      </c>
      <c r="M199" s="14" t="s">
        <v>14</v>
      </c>
      <c r="N199" s="13">
        <v>11340</v>
      </c>
      <c r="O199" s="15">
        <f t="shared" si="118"/>
        <v>0</v>
      </c>
      <c r="P199" s="10" t="s">
        <v>78</v>
      </c>
      <c r="Q199" s="11" t="s">
        <v>618</v>
      </c>
      <c r="R199" s="11" t="s">
        <v>619</v>
      </c>
      <c r="S199" s="16" t="s">
        <v>617</v>
      </c>
      <c r="T199" s="19" t="str">
        <f>MONTH(B199)&amp;"-"&amp;YEAR(B199)</f>
        <v>5-2020</v>
      </c>
      <c r="U199" s="2">
        <f>YEAR(B199)</f>
        <v>2020</v>
      </c>
      <c r="V199" s="2" t="str">
        <f>IF(DAY(B199)&gt;15,MONTH(B199)&amp;"-C",MONTH(B199)&amp;"-N")</f>
        <v>5-C</v>
      </c>
      <c r="W199" s="21">
        <v>3.15</v>
      </c>
      <c r="X199" s="2" t="b">
        <f t="shared" si="119"/>
        <v>1</v>
      </c>
    </row>
    <row r="200" spans="2:24" x14ac:dyDescent="0.2">
      <c r="B200" s="17">
        <v>43979</v>
      </c>
      <c r="C200" s="10" t="s">
        <v>80</v>
      </c>
      <c r="D200" s="11" t="s">
        <v>503</v>
      </c>
      <c r="E200" s="26">
        <v>52997</v>
      </c>
      <c r="F200" s="10" t="s">
        <v>26</v>
      </c>
      <c r="G200" s="10" t="s">
        <v>27</v>
      </c>
      <c r="H200" s="27" t="s">
        <v>28</v>
      </c>
      <c r="I200" s="12"/>
      <c r="J200" s="12"/>
      <c r="K200" s="13">
        <v>3600</v>
      </c>
      <c r="L200" s="21">
        <v>3.15</v>
      </c>
      <c r="M200" s="14" t="s">
        <v>14</v>
      </c>
      <c r="N200" s="13">
        <v>11340</v>
      </c>
      <c r="O200" s="15">
        <f t="shared" si="118"/>
        <v>0</v>
      </c>
      <c r="P200" s="10" t="s">
        <v>78</v>
      </c>
      <c r="Q200" s="11" t="s">
        <v>621</v>
      </c>
      <c r="R200" s="11" t="s">
        <v>622</v>
      </c>
      <c r="S200" s="16" t="s">
        <v>620</v>
      </c>
      <c r="T200" s="19" t="str">
        <f>MONTH(B200)&amp;"-"&amp;YEAR(B200)</f>
        <v>5-2020</v>
      </c>
      <c r="U200" s="2">
        <f>YEAR(B200)</f>
        <v>2020</v>
      </c>
      <c r="V200" s="2" t="str">
        <f>IF(DAY(B200)&gt;15,MONTH(B200)&amp;"-C",MONTH(B200)&amp;"-N")</f>
        <v>5-C</v>
      </c>
      <c r="W200" s="21">
        <v>3.15</v>
      </c>
      <c r="X200" s="2" t="b">
        <f t="shared" si="119"/>
        <v>1</v>
      </c>
    </row>
    <row r="201" spans="2:24" x14ac:dyDescent="0.2">
      <c r="B201" s="17">
        <v>43979</v>
      </c>
      <c r="C201" s="10" t="s">
        <v>80</v>
      </c>
      <c r="D201" s="11" t="s">
        <v>503</v>
      </c>
      <c r="E201" s="26">
        <v>52845</v>
      </c>
      <c r="F201" s="10" t="s">
        <v>26</v>
      </c>
      <c r="G201" s="10" t="s">
        <v>27</v>
      </c>
      <c r="H201" s="27" t="s">
        <v>28</v>
      </c>
      <c r="I201" s="12"/>
      <c r="J201" s="12"/>
      <c r="K201" s="13">
        <v>3600</v>
      </c>
      <c r="L201" s="21">
        <v>3.15</v>
      </c>
      <c r="M201" s="14" t="s">
        <v>14</v>
      </c>
      <c r="N201" s="13">
        <v>11340</v>
      </c>
      <c r="O201" s="15">
        <f t="shared" si="118"/>
        <v>0</v>
      </c>
      <c r="P201" s="10" t="s">
        <v>78</v>
      </c>
      <c r="Q201" s="11" t="s">
        <v>624</v>
      </c>
      <c r="R201" s="11" t="s">
        <v>625</v>
      </c>
      <c r="S201" s="16" t="s">
        <v>623</v>
      </c>
      <c r="T201" s="19" t="str">
        <f>MONTH(B201)&amp;"-"&amp;YEAR(B201)</f>
        <v>5-2020</v>
      </c>
      <c r="U201" s="2">
        <f>YEAR(B201)</f>
        <v>2020</v>
      </c>
      <c r="V201" s="2" t="str">
        <f>IF(DAY(B201)&gt;15,MONTH(B201)&amp;"-C",MONTH(B201)&amp;"-N")</f>
        <v>5-C</v>
      </c>
      <c r="W201" s="21">
        <v>3.15</v>
      </c>
      <c r="X201" s="2" t="b">
        <f t="shared" si="119"/>
        <v>1</v>
      </c>
    </row>
    <row r="202" spans="2:24" x14ac:dyDescent="0.2">
      <c r="B202" s="17">
        <v>43979</v>
      </c>
      <c r="C202" s="10" t="s">
        <v>82</v>
      </c>
      <c r="D202" s="11" t="s">
        <v>601</v>
      </c>
      <c r="E202" s="26">
        <v>52930</v>
      </c>
      <c r="F202" s="10" t="s">
        <v>26</v>
      </c>
      <c r="G202" s="10" t="s">
        <v>27</v>
      </c>
      <c r="H202" s="27" t="s">
        <v>28</v>
      </c>
      <c r="I202" s="12"/>
      <c r="J202" s="12"/>
      <c r="K202" s="13">
        <v>4500</v>
      </c>
      <c r="L202" s="21">
        <v>3.5</v>
      </c>
      <c r="M202" s="14" t="s">
        <v>14</v>
      </c>
      <c r="N202" s="13">
        <v>15750</v>
      </c>
      <c r="O202" s="15">
        <f t="shared" si="118"/>
        <v>0</v>
      </c>
      <c r="P202" s="10" t="s">
        <v>78</v>
      </c>
      <c r="Q202" s="11" t="s">
        <v>627</v>
      </c>
      <c r="R202" s="11" t="s">
        <v>628</v>
      </c>
      <c r="S202" s="16" t="s">
        <v>626</v>
      </c>
      <c r="T202" s="19" t="str">
        <f>MONTH(B202)&amp;"-"&amp;YEAR(B202)</f>
        <v>5-2020</v>
      </c>
      <c r="U202" s="2">
        <f>YEAR(B202)</f>
        <v>2020</v>
      </c>
      <c r="V202" s="2" t="str">
        <f>IF(DAY(B202)&gt;15,MONTH(B202)&amp;"-C",MONTH(B202)&amp;"-N")</f>
        <v>5-C</v>
      </c>
      <c r="W202" s="21">
        <v>3.5</v>
      </c>
      <c r="X202" s="2" t="b">
        <f t="shared" si="119"/>
        <v>1</v>
      </c>
    </row>
    <row r="203" spans="2:24" x14ac:dyDescent="0.2">
      <c r="B203" s="17">
        <v>43981</v>
      </c>
      <c r="C203" s="10" t="s">
        <v>80</v>
      </c>
      <c r="D203" s="11" t="s">
        <v>503</v>
      </c>
      <c r="E203" s="26">
        <v>53016</v>
      </c>
      <c r="F203" s="10" t="s">
        <v>26</v>
      </c>
      <c r="G203" s="10" t="s">
        <v>27</v>
      </c>
      <c r="H203" s="27" t="s">
        <v>28</v>
      </c>
      <c r="I203" s="12"/>
      <c r="J203" s="12"/>
      <c r="K203" s="13">
        <v>6300</v>
      </c>
      <c r="L203" s="21">
        <v>3.15</v>
      </c>
      <c r="M203" s="14" t="s">
        <v>14</v>
      </c>
      <c r="N203" s="13">
        <v>19845</v>
      </c>
      <c r="O203" s="15">
        <f t="shared" ref="O203:O206" si="120">(N203/K203)-L203</f>
        <v>0</v>
      </c>
      <c r="P203" s="10" t="s">
        <v>78</v>
      </c>
      <c r="Q203" s="11" t="s">
        <v>630</v>
      </c>
      <c r="R203" s="11" t="s">
        <v>631</v>
      </c>
      <c r="S203" s="16" t="s">
        <v>629</v>
      </c>
      <c r="T203" s="19" t="str">
        <f>MONTH(B203)&amp;"-"&amp;YEAR(B203)</f>
        <v>5-2020</v>
      </c>
      <c r="U203" s="2">
        <f>YEAR(B203)</f>
        <v>2020</v>
      </c>
      <c r="V203" s="2" t="str">
        <f>IF(DAY(B203)&gt;15,MONTH(B203)&amp;"-C",MONTH(B203)&amp;"-N")</f>
        <v>5-C</v>
      </c>
      <c r="W203" s="21">
        <v>3.15</v>
      </c>
      <c r="X203" s="2" t="b">
        <f t="shared" ref="X203:X206" si="121">+L203=W203</f>
        <v>1</v>
      </c>
    </row>
    <row r="204" spans="2:24" x14ac:dyDescent="0.2">
      <c r="B204" s="17">
        <v>43982</v>
      </c>
      <c r="C204" s="10" t="s">
        <v>433</v>
      </c>
      <c r="D204" s="11" t="s">
        <v>632</v>
      </c>
      <c r="E204" s="26">
        <v>53032</v>
      </c>
      <c r="F204" s="10" t="s">
        <v>26</v>
      </c>
      <c r="G204" s="10" t="s">
        <v>27</v>
      </c>
      <c r="H204" s="27" t="s">
        <v>28</v>
      </c>
      <c r="I204" s="12"/>
      <c r="J204" s="12"/>
      <c r="K204" s="13">
        <v>18600</v>
      </c>
      <c r="L204" s="21">
        <v>3.27</v>
      </c>
      <c r="M204" s="14" t="s">
        <v>14</v>
      </c>
      <c r="N204" s="13">
        <v>60822</v>
      </c>
      <c r="O204" s="15">
        <f t="shared" si="120"/>
        <v>0</v>
      </c>
      <c r="P204" s="10" t="s">
        <v>78</v>
      </c>
      <c r="Q204" s="11" t="s">
        <v>634</v>
      </c>
      <c r="R204" s="11" t="s">
        <v>635</v>
      </c>
      <c r="S204" s="16" t="s">
        <v>633</v>
      </c>
      <c r="T204" s="19" t="str">
        <f>MONTH(B204)&amp;"-"&amp;YEAR(B204)</f>
        <v>5-2020</v>
      </c>
      <c r="U204" s="2">
        <f>YEAR(B204)</f>
        <v>2020</v>
      </c>
      <c r="V204" s="2" t="str">
        <f>IF(DAY(B204)&gt;15,MONTH(B204)&amp;"-C",MONTH(B204)&amp;"-N")</f>
        <v>5-C</v>
      </c>
      <c r="W204" s="21">
        <v>3.27</v>
      </c>
      <c r="X204" s="2" t="b">
        <f t="shared" si="121"/>
        <v>1</v>
      </c>
    </row>
    <row r="205" spans="2:24" x14ac:dyDescent="0.2">
      <c r="B205" s="17">
        <v>43982</v>
      </c>
      <c r="C205" s="10" t="s">
        <v>80</v>
      </c>
      <c r="D205" s="11" t="s">
        <v>503</v>
      </c>
      <c r="E205" s="26">
        <v>53030</v>
      </c>
      <c r="F205" s="10" t="s">
        <v>26</v>
      </c>
      <c r="G205" s="10" t="s">
        <v>27</v>
      </c>
      <c r="H205" s="27" t="s">
        <v>28</v>
      </c>
      <c r="I205" s="12"/>
      <c r="J205" s="12"/>
      <c r="K205" s="13">
        <v>7200</v>
      </c>
      <c r="L205" s="21">
        <v>3.15</v>
      </c>
      <c r="M205" s="14" t="s">
        <v>14</v>
      </c>
      <c r="N205" s="13">
        <v>22680</v>
      </c>
      <c r="O205" s="15">
        <f t="shared" si="120"/>
        <v>0</v>
      </c>
      <c r="P205" s="10" t="s">
        <v>78</v>
      </c>
      <c r="Q205" s="11" t="s">
        <v>637</v>
      </c>
      <c r="R205" s="11" t="s">
        <v>638</v>
      </c>
      <c r="S205" s="16" t="s">
        <v>636</v>
      </c>
      <c r="T205" s="19" t="str">
        <f>MONTH(B205)&amp;"-"&amp;YEAR(B205)</f>
        <v>5-2020</v>
      </c>
      <c r="U205" s="2">
        <f>YEAR(B205)</f>
        <v>2020</v>
      </c>
      <c r="V205" s="2" t="str">
        <f>IF(DAY(B205)&gt;15,MONTH(B205)&amp;"-C",MONTH(B205)&amp;"-N")</f>
        <v>5-C</v>
      </c>
      <c r="W205" s="21">
        <v>3.15</v>
      </c>
      <c r="X205" s="2" t="b">
        <f t="shared" si="121"/>
        <v>1</v>
      </c>
    </row>
    <row r="206" spans="2:24" x14ac:dyDescent="0.2">
      <c r="B206" s="17">
        <v>43982</v>
      </c>
      <c r="C206" s="10" t="s">
        <v>80</v>
      </c>
      <c r="D206" s="11" t="s">
        <v>503</v>
      </c>
      <c r="E206" s="26">
        <v>53031</v>
      </c>
      <c r="F206" s="10" t="s">
        <v>26</v>
      </c>
      <c r="G206" s="10" t="s">
        <v>27</v>
      </c>
      <c r="H206" s="27" t="s">
        <v>28</v>
      </c>
      <c r="I206" s="12"/>
      <c r="J206" s="12"/>
      <c r="K206" s="13">
        <v>7200</v>
      </c>
      <c r="L206" s="21">
        <v>3.15</v>
      </c>
      <c r="M206" s="14" t="s">
        <v>14</v>
      </c>
      <c r="N206" s="13">
        <v>22680</v>
      </c>
      <c r="O206" s="15">
        <f t="shared" si="120"/>
        <v>0</v>
      </c>
      <c r="P206" s="10" t="s">
        <v>78</v>
      </c>
      <c r="Q206" s="11" t="s">
        <v>640</v>
      </c>
      <c r="R206" s="11" t="s">
        <v>641</v>
      </c>
      <c r="S206" s="16" t="s">
        <v>639</v>
      </c>
      <c r="T206" s="19" t="str">
        <f>MONTH(B206)&amp;"-"&amp;YEAR(B206)</f>
        <v>5-2020</v>
      </c>
      <c r="U206" s="2">
        <f>YEAR(B206)</f>
        <v>2020</v>
      </c>
      <c r="V206" s="2" t="str">
        <f>IF(DAY(B206)&gt;15,MONTH(B206)&amp;"-C",MONTH(B206)&amp;"-N")</f>
        <v>5-C</v>
      </c>
      <c r="W206" s="21">
        <v>3.15</v>
      </c>
      <c r="X206" s="2" t="b">
        <f t="shared" si="121"/>
        <v>1</v>
      </c>
    </row>
    <row r="207" spans="2:24" x14ac:dyDescent="0.2">
      <c r="B207" s="17">
        <v>43984</v>
      </c>
      <c r="C207" s="10" t="s">
        <v>108</v>
      </c>
      <c r="D207" s="11" t="s">
        <v>642</v>
      </c>
      <c r="E207" s="26">
        <v>53053</v>
      </c>
      <c r="F207" s="10" t="s">
        <v>127</v>
      </c>
      <c r="G207" s="10" t="s">
        <v>46</v>
      </c>
      <c r="H207" s="27" t="s">
        <v>128</v>
      </c>
      <c r="I207" s="12"/>
      <c r="J207" s="12"/>
      <c r="K207" s="13">
        <v>552</v>
      </c>
      <c r="L207" s="21">
        <v>11.94</v>
      </c>
      <c r="M207" s="14" t="s">
        <v>14</v>
      </c>
      <c r="N207" s="13">
        <v>6590.88</v>
      </c>
      <c r="O207" s="15">
        <f t="shared" ref="O207:O211" si="122">(N207/K207)-L207</f>
        <v>0</v>
      </c>
      <c r="P207" s="10" t="s">
        <v>84</v>
      </c>
      <c r="Q207" s="11" t="s">
        <v>644</v>
      </c>
      <c r="R207" s="11" t="s">
        <v>645</v>
      </c>
      <c r="S207" s="16" t="s">
        <v>643</v>
      </c>
      <c r="T207" s="19" t="str">
        <f>MONTH(B207)&amp;"-"&amp;YEAR(B207)</f>
        <v>6-2020</v>
      </c>
      <c r="U207" s="2">
        <f>YEAR(B207)</f>
        <v>2020</v>
      </c>
      <c r="V207" s="2" t="str">
        <f>IF(DAY(B207)&gt;15,MONTH(B207)&amp;"-C",MONTH(B207)&amp;"-N")</f>
        <v>6-N</v>
      </c>
      <c r="W207" s="21">
        <v>11.94</v>
      </c>
      <c r="X207" s="2" t="b">
        <f t="shared" ref="X207:X211" si="123">+L207=W207</f>
        <v>1</v>
      </c>
    </row>
    <row r="208" spans="2:24" x14ac:dyDescent="0.2">
      <c r="B208" s="17">
        <v>43984</v>
      </c>
      <c r="C208" s="10" t="s">
        <v>108</v>
      </c>
      <c r="D208" s="11" t="s">
        <v>642</v>
      </c>
      <c r="E208" s="26">
        <v>53053</v>
      </c>
      <c r="F208" s="10" t="s">
        <v>129</v>
      </c>
      <c r="G208" s="10" t="s">
        <v>46</v>
      </c>
      <c r="H208" s="27" t="s">
        <v>130</v>
      </c>
      <c r="I208" s="12"/>
      <c r="J208" s="12"/>
      <c r="K208" s="13">
        <v>920</v>
      </c>
      <c r="L208" s="21">
        <v>11.32</v>
      </c>
      <c r="M208" s="14" t="s">
        <v>14</v>
      </c>
      <c r="N208" s="13">
        <v>10414.4</v>
      </c>
      <c r="O208" s="15">
        <f t="shared" si="122"/>
        <v>0</v>
      </c>
      <c r="P208" s="10" t="s">
        <v>84</v>
      </c>
      <c r="Q208" s="11" t="s">
        <v>644</v>
      </c>
      <c r="R208" s="11" t="s">
        <v>645</v>
      </c>
      <c r="S208" s="16" t="s">
        <v>643</v>
      </c>
      <c r="T208" s="19" t="str">
        <f>MONTH(B208)&amp;"-"&amp;YEAR(B208)</f>
        <v>6-2020</v>
      </c>
      <c r="U208" s="2">
        <f>YEAR(B208)</f>
        <v>2020</v>
      </c>
      <c r="V208" s="2" t="str">
        <f>IF(DAY(B208)&gt;15,MONTH(B208)&amp;"-C",MONTH(B208)&amp;"-N")</f>
        <v>6-N</v>
      </c>
      <c r="W208" s="21">
        <v>11.32</v>
      </c>
      <c r="X208" s="2" t="b">
        <f t="shared" si="123"/>
        <v>1</v>
      </c>
    </row>
    <row r="209" spans="2:24" x14ac:dyDescent="0.2">
      <c r="B209" s="17">
        <v>43985</v>
      </c>
      <c r="C209" s="10" t="s">
        <v>25</v>
      </c>
      <c r="D209" s="11" t="s">
        <v>522</v>
      </c>
      <c r="E209" s="26">
        <v>53074</v>
      </c>
      <c r="F209" s="10" t="s">
        <v>31</v>
      </c>
      <c r="G209" s="10" t="s">
        <v>27</v>
      </c>
      <c r="H209" s="27" t="s">
        <v>32</v>
      </c>
      <c r="I209" s="12"/>
      <c r="J209" s="12"/>
      <c r="K209" s="13">
        <v>320</v>
      </c>
      <c r="L209" s="21">
        <v>5.25</v>
      </c>
      <c r="M209" s="14" t="s">
        <v>14</v>
      </c>
      <c r="N209" s="13">
        <v>1680</v>
      </c>
      <c r="O209" s="15">
        <f t="shared" si="122"/>
        <v>0</v>
      </c>
      <c r="P209" s="10" t="s">
        <v>78</v>
      </c>
      <c r="Q209" s="11" t="s">
        <v>647</v>
      </c>
      <c r="R209" s="11" t="s">
        <v>264</v>
      </c>
      <c r="S209" s="16" t="s">
        <v>646</v>
      </c>
      <c r="T209" s="19" t="str">
        <f>MONTH(B209)&amp;"-"&amp;YEAR(B209)</f>
        <v>6-2020</v>
      </c>
      <c r="U209" s="2">
        <f>YEAR(B209)</f>
        <v>2020</v>
      </c>
      <c r="V209" s="2" t="str">
        <f>IF(DAY(B209)&gt;15,MONTH(B209)&amp;"-C",MONTH(B209)&amp;"-N")</f>
        <v>6-N</v>
      </c>
      <c r="W209" s="21">
        <v>5.25</v>
      </c>
      <c r="X209" s="2" t="b">
        <f t="shared" si="123"/>
        <v>1</v>
      </c>
    </row>
    <row r="210" spans="2:24" x14ac:dyDescent="0.2">
      <c r="B210" s="17">
        <v>43985</v>
      </c>
      <c r="C210" s="10" t="s">
        <v>25</v>
      </c>
      <c r="D210" s="11" t="s">
        <v>608</v>
      </c>
      <c r="E210" s="26">
        <v>53073</v>
      </c>
      <c r="F210" s="10" t="s">
        <v>29</v>
      </c>
      <c r="G210" s="10" t="s">
        <v>27</v>
      </c>
      <c r="H210" s="27" t="s">
        <v>30</v>
      </c>
      <c r="I210" s="12"/>
      <c r="J210" s="12"/>
      <c r="K210" s="13">
        <v>1650</v>
      </c>
      <c r="L210" s="21">
        <v>4</v>
      </c>
      <c r="M210" s="14" t="s">
        <v>14</v>
      </c>
      <c r="N210" s="13">
        <v>6600</v>
      </c>
      <c r="O210" s="15">
        <f t="shared" si="122"/>
        <v>0</v>
      </c>
      <c r="P210" s="10" t="s">
        <v>78</v>
      </c>
      <c r="Q210" s="11" t="s">
        <v>649</v>
      </c>
      <c r="R210" s="11" t="s">
        <v>210</v>
      </c>
      <c r="S210" s="16" t="s">
        <v>648</v>
      </c>
      <c r="T210" s="19" t="str">
        <f>MONTH(B210)&amp;"-"&amp;YEAR(B210)</f>
        <v>6-2020</v>
      </c>
      <c r="U210" s="2">
        <f>YEAR(B210)</f>
        <v>2020</v>
      </c>
      <c r="V210" s="2" t="str">
        <f>IF(DAY(B210)&gt;15,MONTH(B210)&amp;"-C",MONTH(B210)&amp;"-N")</f>
        <v>6-N</v>
      </c>
      <c r="W210" s="21">
        <v>4</v>
      </c>
      <c r="X210" s="2" t="b">
        <f t="shared" si="123"/>
        <v>1</v>
      </c>
    </row>
    <row r="211" spans="2:24" x14ac:dyDescent="0.2">
      <c r="B211" s="17">
        <v>43985</v>
      </c>
      <c r="C211" s="10" t="s">
        <v>25</v>
      </c>
      <c r="D211" s="11" t="s">
        <v>608</v>
      </c>
      <c r="E211" s="26">
        <v>53065</v>
      </c>
      <c r="F211" s="10" t="s">
        <v>29</v>
      </c>
      <c r="G211" s="10" t="s">
        <v>27</v>
      </c>
      <c r="H211" s="27" t="s">
        <v>30</v>
      </c>
      <c r="I211" s="12"/>
      <c r="J211" s="12"/>
      <c r="K211" s="13">
        <v>1980</v>
      </c>
      <c r="L211" s="21">
        <v>4</v>
      </c>
      <c r="M211" s="14" t="s">
        <v>14</v>
      </c>
      <c r="N211" s="13">
        <v>7920</v>
      </c>
      <c r="O211" s="15">
        <f t="shared" si="122"/>
        <v>0</v>
      </c>
      <c r="P211" s="10" t="s">
        <v>78</v>
      </c>
      <c r="Q211" s="11" t="s">
        <v>651</v>
      </c>
      <c r="R211" s="11" t="s">
        <v>222</v>
      </c>
      <c r="S211" s="16" t="s">
        <v>650</v>
      </c>
      <c r="T211" s="19" t="str">
        <f>MONTH(B211)&amp;"-"&amp;YEAR(B211)</f>
        <v>6-2020</v>
      </c>
      <c r="U211" s="2">
        <f>YEAR(B211)</f>
        <v>2020</v>
      </c>
      <c r="V211" s="2" t="str">
        <f>IF(DAY(B211)&gt;15,MONTH(B211)&amp;"-C",MONTH(B211)&amp;"-N")</f>
        <v>6-N</v>
      </c>
      <c r="W211" s="21">
        <v>4</v>
      </c>
      <c r="X211" s="2" t="b">
        <f t="shared" si="123"/>
        <v>1</v>
      </c>
    </row>
    <row r="212" spans="2:24" x14ac:dyDescent="0.2">
      <c r="B212" s="17">
        <v>43990</v>
      </c>
      <c r="C212" s="10" t="s">
        <v>86</v>
      </c>
      <c r="D212" s="11" t="s">
        <v>652</v>
      </c>
      <c r="E212" s="26">
        <v>53148</v>
      </c>
      <c r="F212" s="10" t="s">
        <v>33</v>
      </c>
      <c r="G212" s="10" t="s">
        <v>27</v>
      </c>
      <c r="H212" s="27" t="s">
        <v>34</v>
      </c>
      <c r="I212" s="12"/>
      <c r="J212" s="12"/>
      <c r="K212" s="13">
        <v>2160</v>
      </c>
      <c r="L212" s="21">
        <v>5.5</v>
      </c>
      <c r="M212" s="14" t="s">
        <v>14</v>
      </c>
      <c r="N212" s="13">
        <v>11880</v>
      </c>
      <c r="O212" s="15">
        <f t="shared" ref="O212" si="124">(N212/K212)-L212</f>
        <v>0</v>
      </c>
      <c r="P212" s="10" t="s">
        <v>78</v>
      </c>
      <c r="Q212" s="11" t="s">
        <v>653</v>
      </c>
      <c r="R212" s="11" t="s">
        <v>654</v>
      </c>
      <c r="S212" s="16" t="s">
        <v>655</v>
      </c>
      <c r="T212" s="19" t="str">
        <f>MONTH(B212)&amp;"-"&amp;YEAR(B212)</f>
        <v>6-2020</v>
      </c>
      <c r="U212" s="2">
        <f>YEAR(B212)</f>
        <v>2020</v>
      </c>
      <c r="V212" s="2" t="str">
        <f>IF(DAY(B212)&gt;15,MONTH(B212)&amp;"-C",MONTH(B212)&amp;"-N")</f>
        <v>6-N</v>
      </c>
      <c r="W212" s="21">
        <v>5.5</v>
      </c>
      <c r="X212" s="2" t="b">
        <f t="shared" ref="X212" si="125">+L212=W212</f>
        <v>1</v>
      </c>
    </row>
    <row r="213" spans="2:24" x14ac:dyDescent="0.2">
      <c r="B213" s="17">
        <v>43991</v>
      </c>
      <c r="C213" s="10" t="s">
        <v>86</v>
      </c>
      <c r="D213" s="11" t="s">
        <v>652</v>
      </c>
      <c r="E213" s="26">
        <v>53149</v>
      </c>
      <c r="F213" s="10" t="s">
        <v>31</v>
      </c>
      <c r="G213" s="10" t="s">
        <v>27</v>
      </c>
      <c r="H213" s="27" t="s">
        <v>32</v>
      </c>
      <c r="I213" s="12"/>
      <c r="J213" s="12"/>
      <c r="K213" s="13">
        <v>1920</v>
      </c>
      <c r="L213" s="21">
        <v>4.4000000000000004</v>
      </c>
      <c r="M213" s="14" t="s">
        <v>14</v>
      </c>
      <c r="N213" s="13">
        <v>8448</v>
      </c>
      <c r="O213" s="15">
        <f t="shared" ref="O213:O215" si="126">(N213/K213)-L213</f>
        <v>0</v>
      </c>
      <c r="P213" s="10" t="s">
        <v>78</v>
      </c>
      <c r="Q213" s="11" t="s">
        <v>656</v>
      </c>
      <c r="R213" s="11" t="s">
        <v>657</v>
      </c>
      <c r="S213" s="16" t="s">
        <v>658</v>
      </c>
      <c r="T213" s="19" t="str">
        <f>MONTH(B213)&amp;"-"&amp;YEAR(B213)</f>
        <v>6-2020</v>
      </c>
      <c r="U213" s="2">
        <f>YEAR(B213)</f>
        <v>2020</v>
      </c>
      <c r="V213" s="2" t="str">
        <f>IF(DAY(B213)&gt;15,MONTH(B213)&amp;"-C",MONTH(B213)&amp;"-N")</f>
        <v>6-N</v>
      </c>
      <c r="W213" s="21">
        <v>4.4000000000000004</v>
      </c>
      <c r="X213" s="2" t="b">
        <f t="shared" ref="X213:X215" si="127">+L213=W213</f>
        <v>1</v>
      </c>
    </row>
    <row r="214" spans="2:24" x14ac:dyDescent="0.2">
      <c r="B214" s="17">
        <v>43992</v>
      </c>
      <c r="C214" s="10" t="s">
        <v>86</v>
      </c>
      <c r="D214" s="11" t="s">
        <v>652</v>
      </c>
      <c r="E214" s="26">
        <v>53163</v>
      </c>
      <c r="F214" s="10" t="s">
        <v>31</v>
      </c>
      <c r="G214" s="10" t="s">
        <v>27</v>
      </c>
      <c r="H214" s="27" t="s">
        <v>32</v>
      </c>
      <c r="I214" s="12"/>
      <c r="J214" s="12"/>
      <c r="K214" s="13">
        <v>960</v>
      </c>
      <c r="L214" s="21">
        <v>4.4000000000000004</v>
      </c>
      <c r="M214" s="14" t="s">
        <v>14</v>
      </c>
      <c r="N214" s="13">
        <v>4224</v>
      </c>
      <c r="O214" s="15">
        <f t="shared" si="126"/>
        <v>0</v>
      </c>
      <c r="P214" s="10" t="s">
        <v>78</v>
      </c>
      <c r="Q214" s="11" t="s">
        <v>659</v>
      </c>
      <c r="R214" s="11" t="s">
        <v>660</v>
      </c>
      <c r="S214" s="16" t="s">
        <v>661</v>
      </c>
      <c r="T214" s="19" t="str">
        <f>MONTH(B214)&amp;"-"&amp;YEAR(B214)</f>
        <v>6-2020</v>
      </c>
      <c r="U214" s="2">
        <f>YEAR(B214)</f>
        <v>2020</v>
      </c>
      <c r="V214" s="2" t="str">
        <f>IF(DAY(B214)&gt;15,MONTH(B214)&amp;"-C",MONTH(B214)&amp;"-N")</f>
        <v>6-N</v>
      </c>
      <c r="W214" s="21">
        <v>4.4000000000000004</v>
      </c>
      <c r="X214" s="2" t="b">
        <f t="shared" si="127"/>
        <v>1</v>
      </c>
    </row>
    <row r="215" spans="2:24" x14ac:dyDescent="0.2">
      <c r="B215" s="17">
        <v>43992</v>
      </c>
      <c r="C215" s="10" t="s">
        <v>86</v>
      </c>
      <c r="D215" s="11" t="s">
        <v>652</v>
      </c>
      <c r="E215" s="26">
        <v>53163</v>
      </c>
      <c r="F215" s="10" t="s">
        <v>33</v>
      </c>
      <c r="G215" s="10" t="s">
        <v>27</v>
      </c>
      <c r="H215" s="27" t="s">
        <v>34</v>
      </c>
      <c r="I215" s="12"/>
      <c r="J215" s="12"/>
      <c r="K215" s="13">
        <v>1080</v>
      </c>
      <c r="L215" s="21">
        <v>5.5</v>
      </c>
      <c r="M215" s="14" t="s">
        <v>14</v>
      </c>
      <c r="N215" s="13">
        <v>5940</v>
      </c>
      <c r="O215" s="15">
        <f t="shared" si="126"/>
        <v>0</v>
      </c>
      <c r="P215" s="10" t="s">
        <v>78</v>
      </c>
      <c r="Q215" s="11" t="s">
        <v>659</v>
      </c>
      <c r="R215" s="11" t="s">
        <v>660</v>
      </c>
      <c r="S215" s="16" t="s">
        <v>661</v>
      </c>
      <c r="T215" s="19" t="str">
        <f>MONTH(B215)&amp;"-"&amp;YEAR(B215)</f>
        <v>6-2020</v>
      </c>
      <c r="U215" s="2">
        <f>YEAR(B215)</f>
        <v>2020</v>
      </c>
      <c r="V215" s="2" t="str">
        <f>IF(DAY(B215)&gt;15,MONTH(B215)&amp;"-C",MONTH(B215)&amp;"-N")</f>
        <v>6-N</v>
      </c>
      <c r="W215" s="21">
        <v>5.5</v>
      </c>
      <c r="X215" s="2" t="b">
        <f t="shared" si="127"/>
        <v>1</v>
      </c>
    </row>
    <row r="216" spans="2:24" x14ac:dyDescent="0.2">
      <c r="B216" s="17">
        <v>43993</v>
      </c>
      <c r="C216" s="10" t="s">
        <v>107</v>
      </c>
      <c r="D216" s="11" t="s">
        <v>662</v>
      </c>
      <c r="E216" s="26">
        <v>53184</v>
      </c>
      <c r="F216" s="10" t="s">
        <v>142</v>
      </c>
      <c r="G216" s="10" t="s">
        <v>46</v>
      </c>
      <c r="H216" s="27" t="s">
        <v>143</v>
      </c>
      <c r="I216" s="12"/>
      <c r="J216" s="12"/>
      <c r="K216" s="13">
        <v>880</v>
      </c>
      <c r="L216" s="21">
        <v>9</v>
      </c>
      <c r="M216" s="14" t="s">
        <v>14</v>
      </c>
      <c r="N216" s="13">
        <v>7920</v>
      </c>
      <c r="O216" s="15">
        <f t="shared" ref="O216:O225" si="128">(N216/K216)-L216</f>
        <v>0</v>
      </c>
      <c r="P216" s="10" t="s">
        <v>84</v>
      </c>
      <c r="Q216" s="11" t="s">
        <v>664</v>
      </c>
      <c r="R216" s="11" t="s">
        <v>665</v>
      </c>
      <c r="S216" s="16" t="s">
        <v>663</v>
      </c>
      <c r="T216" s="19" t="str">
        <f>MONTH(B216)&amp;"-"&amp;YEAR(B216)</f>
        <v>6-2020</v>
      </c>
      <c r="U216" s="2">
        <f>YEAR(B216)</f>
        <v>2020</v>
      </c>
      <c r="V216" s="2" t="str">
        <f>IF(DAY(B216)&gt;15,MONTH(B216)&amp;"-C",MONTH(B216)&amp;"-N")</f>
        <v>6-N</v>
      </c>
      <c r="W216" s="21">
        <v>9</v>
      </c>
      <c r="X216" s="2" t="b">
        <f t="shared" ref="X216:X225" si="129">+L216=W216</f>
        <v>1</v>
      </c>
    </row>
    <row r="217" spans="2:24" x14ac:dyDescent="0.2">
      <c r="B217" s="17">
        <v>43993</v>
      </c>
      <c r="C217" s="10" t="s">
        <v>107</v>
      </c>
      <c r="D217" s="11" t="s">
        <v>662</v>
      </c>
      <c r="E217" s="26">
        <v>53184</v>
      </c>
      <c r="F217" s="10" t="s">
        <v>144</v>
      </c>
      <c r="G217" s="10" t="s">
        <v>46</v>
      </c>
      <c r="H217" s="27" t="s">
        <v>145</v>
      </c>
      <c r="I217" s="12"/>
      <c r="J217" s="12"/>
      <c r="K217" s="13">
        <v>180</v>
      </c>
      <c r="L217" s="21">
        <v>9</v>
      </c>
      <c r="M217" s="14" t="s">
        <v>14</v>
      </c>
      <c r="N217" s="13">
        <v>1620</v>
      </c>
      <c r="O217" s="15">
        <f t="shared" si="128"/>
        <v>0</v>
      </c>
      <c r="P217" s="10" t="s">
        <v>84</v>
      </c>
      <c r="Q217" s="11" t="s">
        <v>664</v>
      </c>
      <c r="R217" s="11" t="s">
        <v>665</v>
      </c>
      <c r="S217" s="16" t="s">
        <v>663</v>
      </c>
      <c r="T217" s="19" t="str">
        <f>MONTH(B217)&amp;"-"&amp;YEAR(B217)</f>
        <v>6-2020</v>
      </c>
      <c r="U217" s="2">
        <f>YEAR(B217)</f>
        <v>2020</v>
      </c>
      <c r="V217" s="2" t="str">
        <f>IF(DAY(B217)&gt;15,MONTH(B217)&amp;"-C",MONTH(B217)&amp;"-N")</f>
        <v>6-N</v>
      </c>
      <c r="W217" s="21">
        <v>9</v>
      </c>
      <c r="X217" s="2" t="b">
        <f t="shared" si="129"/>
        <v>1</v>
      </c>
    </row>
    <row r="218" spans="2:24" x14ac:dyDescent="0.2">
      <c r="B218" s="17">
        <v>43993</v>
      </c>
      <c r="C218" s="10" t="s">
        <v>25</v>
      </c>
      <c r="D218" s="11" t="s">
        <v>522</v>
      </c>
      <c r="E218" s="26">
        <v>53185</v>
      </c>
      <c r="F218" s="10" t="s">
        <v>49</v>
      </c>
      <c r="G218" s="10" t="s">
        <v>27</v>
      </c>
      <c r="H218" s="27" t="s">
        <v>50</v>
      </c>
      <c r="I218" s="12"/>
      <c r="J218" s="12"/>
      <c r="K218" s="13">
        <v>3040</v>
      </c>
      <c r="L218" s="21">
        <v>5.5</v>
      </c>
      <c r="M218" s="14" t="s">
        <v>14</v>
      </c>
      <c r="N218" s="13">
        <v>16720</v>
      </c>
      <c r="O218" s="15">
        <f t="shared" si="128"/>
        <v>0</v>
      </c>
      <c r="P218" s="10" t="s">
        <v>78</v>
      </c>
      <c r="Q218" s="11" t="s">
        <v>667</v>
      </c>
      <c r="R218" s="11" t="s">
        <v>330</v>
      </c>
      <c r="S218" s="16" t="s">
        <v>666</v>
      </c>
      <c r="T218" s="19" t="str">
        <f>MONTH(B218)&amp;"-"&amp;YEAR(B218)</f>
        <v>6-2020</v>
      </c>
      <c r="U218" s="2">
        <f>YEAR(B218)</f>
        <v>2020</v>
      </c>
      <c r="V218" s="2" t="str">
        <f>IF(DAY(B218)&gt;15,MONTH(B218)&amp;"-C",MONTH(B218)&amp;"-N")</f>
        <v>6-N</v>
      </c>
      <c r="W218" s="21">
        <v>5.5</v>
      </c>
      <c r="X218" s="2" t="b">
        <f t="shared" si="129"/>
        <v>1</v>
      </c>
    </row>
    <row r="219" spans="2:24" x14ac:dyDescent="0.2">
      <c r="B219" s="17">
        <v>43993</v>
      </c>
      <c r="C219" s="10" t="s">
        <v>25</v>
      </c>
      <c r="D219" s="11" t="s">
        <v>522</v>
      </c>
      <c r="E219" s="26">
        <v>53185</v>
      </c>
      <c r="F219" s="10" t="s">
        <v>33</v>
      </c>
      <c r="G219" s="10" t="s">
        <v>27</v>
      </c>
      <c r="H219" s="27" t="s">
        <v>34</v>
      </c>
      <c r="I219" s="12"/>
      <c r="J219" s="12"/>
      <c r="K219" s="13">
        <v>540</v>
      </c>
      <c r="L219" s="21">
        <v>5.5</v>
      </c>
      <c r="M219" s="14" t="s">
        <v>14</v>
      </c>
      <c r="N219" s="13">
        <v>2970</v>
      </c>
      <c r="O219" s="15">
        <f t="shared" si="128"/>
        <v>0</v>
      </c>
      <c r="P219" s="10" t="s">
        <v>78</v>
      </c>
      <c r="Q219" s="11" t="s">
        <v>667</v>
      </c>
      <c r="R219" s="11" t="s">
        <v>330</v>
      </c>
      <c r="S219" s="16" t="s">
        <v>666</v>
      </c>
      <c r="T219" s="19" t="str">
        <f>MONTH(B219)&amp;"-"&amp;YEAR(B219)</f>
        <v>6-2020</v>
      </c>
      <c r="U219" s="2">
        <f>YEAR(B219)</f>
        <v>2020</v>
      </c>
      <c r="V219" s="2" t="str">
        <f>IF(DAY(B219)&gt;15,MONTH(B219)&amp;"-C",MONTH(B219)&amp;"-N")</f>
        <v>6-N</v>
      </c>
      <c r="W219" s="21">
        <v>5.5</v>
      </c>
      <c r="X219" s="2" t="b">
        <f t="shared" si="129"/>
        <v>1</v>
      </c>
    </row>
    <row r="220" spans="2:24" x14ac:dyDescent="0.2">
      <c r="B220" s="17">
        <v>43995</v>
      </c>
      <c r="C220" s="10" t="s">
        <v>80</v>
      </c>
      <c r="D220" s="11" t="s">
        <v>503</v>
      </c>
      <c r="E220" s="26">
        <v>53201</v>
      </c>
      <c r="F220" s="10" t="s">
        <v>26</v>
      </c>
      <c r="G220" s="10" t="s">
        <v>27</v>
      </c>
      <c r="H220" s="27" t="s">
        <v>28</v>
      </c>
      <c r="I220" s="12"/>
      <c r="J220" s="12"/>
      <c r="K220" s="13">
        <v>7200</v>
      </c>
      <c r="L220" s="21">
        <v>3.15</v>
      </c>
      <c r="M220" s="14" t="s">
        <v>14</v>
      </c>
      <c r="N220" s="13">
        <v>22680</v>
      </c>
      <c r="O220" s="15">
        <f t="shared" si="128"/>
        <v>0</v>
      </c>
      <c r="P220" s="10" t="s">
        <v>78</v>
      </c>
      <c r="Q220" s="11" t="s">
        <v>669</v>
      </c>
      <c r="R220" s="11" t="s">
        <v>670</v>
      </c>
      <c r="S220" s="16" t="s">
        <v>668</v>
      </c>
      <c r="T220" s="19" t="str">
        <f>MONTH(B220)&amp;"-"&amp;YEAR(B220)</f>
        <v>6-2020</v>
      </c>
      <c r="U220" s="2">
        <f>YEAR(B220)</f>
        <v>2020</v>
      </c>
      <c r="V220" s="2" t="str">
        <f>IF(DAY(B220)&gt;15,MONTH(B220)&amp;"-C",MONTH(B220)&amp;"-N")</f>
        <v>6-N</v>
      </c>
      <c r="W220" s="21">
        <v>3.15</v>
      </c>
      <c r="X220" s="2" t="b">
        <f t="shared" si="129"/>
        <v>1</v>
      </c>
    </row>
    <row r="221" spans="2:24" x14ac:dyDescent="0.2">
      <c r="B221" s="17">
        <v>43995</v>
      </c>
      <c r="C221" s="10" t="s">
        <v>108</v>
      </c>
      <c r="D221" s="11" t="s">
        <v>671</v>
      </c>
      <c r="E221" s="26">
        <v>53203</v>
      </c>
      <c r="F221" s="10" t="s">
        <v>127</v>
      </c>
      <c r="G221" s="10" t="s">
        <v>46</v>
      </c>
      <c r="H221" s="27" t="s">
        <v>128</v>
      </c>
      <c r="I221" s="12"/>
      <c r="J221" s="12"/>
      <c r="K221" s="13">
        <v>552</v>
      </c>
      <c r="L221" s="21">
        <v>11.25</v>
      </c>
      <c r="M221" s="14" t="s">
        <v>14</v>
      </c>
      <c r="N221" s="13">
        <v>6210</v>
      </c>
      <c r="O221" s="15">
        <f t="shared" si="128"/>
        <v>0</v>
      </c>
      <c r="P221" s="10" t="s">
        <v>84</v>
      </c>
      <c r="Q221" s="11" t="s">
        <v>672</v>
      </c>
      <c r="R221" s="11" t="s">
        <v>673</v>
      </c>
      <c r="S221" s="16" t="s">
        <v>674</v>
      </c>
      <c r="T221" s="19" t="str">
        <f>MONTH(B221)&amp;"-"&amp;YEAR(B221)</f>
        <v>6-2020</v>
      </c>
      <c r="U221" s="2">
        <f>YEAR(B221)</f>
        <v>2020</v>
      </c>
      <c r="V221" s="2" t="str">
        <f>IF(DAY(B221)&gt;15,MONTH(B221)&amp;"-C",MONTH(B221)&amp;"-N")</f>
        <v>6-N</v>
      </c>
      <c r="W221" s="21">
        <v>11.25</v>
      </c>
      <c r="X221" s="2" t="b">
        <f t="shared" si="129"/>
        <v>1</v>
      </c>
    </row>
    <row r="222" spans="2:24" x14ac:dyDescent="0.2">
      <c r="B222" s="17">
        <v>43995</v>
      </c>
      <c r="C222" s="10" t="s">
        <v>108</v>
      </c>
      <c r="D222" s="11" t="s">
        <v>671</v>
      </c>
      <c r="E222" s="26">
        <v>53203</v>
      </c>
      <c r="F222" s="10" t="s">
        <v>121</v>
      </c>
      <c r="G222" s="10" t="s">
        <v>46</v>
      </c>
      <c r="H222" s="27" t="s">
        <v>122</v>
      </c>
      <c r="I222" s="12"/>
      <c r="J222" s="12"/>
      <c r="K222" s="13">
        <v>1380</v>
      </c>
      <c r="L222" s="21">
        <v>9.1999999999999993</v>
      </c>
      <c r="M222" s="14" t="s">
        <v>14</v>
      </c>
      <c r="N222" s="13">
        <v>12696</v>
      </c>
      <c r="O222" s="15">
        <f t="shared" si="128"/>
        <v>0</v>
      </c>
      <c r="P222" s="10" t="s">
        <v>84</v>
      </c>
      <c r="Q222" s="11" t="s">
        <v>672</v>
      </c>
      <c r="R222" s="11" t="s">
        <v>673</v>
      </c>
      <c r="S222" s="16" t="s">
        <v>674</v>
      </c>
      <c r="T222" s="19" t="str">
        <f>MONTH(B222)&amp;"-"&amp;YEAR(B222)</f>
        <v>6-2020</v>
      </c>
      <c r="U222" s="2">
        <f>YEAR(B222)</f>
        <v>2020</v>
      </c>
      <c r="V222" s="2" t="str">
        <f>IF(DAY(B222)&gt;15,MONTH(B222)&amp;"-C",MONTH(B222)&amp;"-N")</f>
        <v>6-N</v>
      </c>
      <c r="W222" s="21">
        <v>9.1999999999999993</v>
      </c>
      <c r="X222" s="2" t="b">
        <f t="shared" si="129"/>
        <v>1</v>
      </c>
    </row>
    <row r="223" spans="2:24" x14ac:dyDescent="0.2">
      <c r="B223" s="17">
        <v>43995</v>
      </c>
      <c r="C223" s="10" t="s">
        <v>108</v>
      </c>
      <c r="D223" s="11" t="s">
        <v>671</v>
      </c>
      <c r="E223" s="26">
        <v>53203</v>
      </c>
      <c r="F223" s="10" t="s">
        <v>123</v>
      </c>
      <c r="G223" s="10" t="s">
        <v>46</v>
      </c>
      <c r="H223" s="27" t="s">
        <v>124</v>
      </c>
      <c r="I223" s="12"/>
      <c r="J223" s="12"/>
      <c r="K223" s="13">
        <v>2300</v>
      </c>
      <c r="L223" s="21">
        <v>11.81</v>
      </c>
      <c r="M223" s="14" t="s">
        <v>14</v>
      </c>
      <c r="N223" s="13">
        <v>27163</v>
      </c>
      <c r="O223" s="15">
        <f t="shared" si="128"/>
        <v>0</v>
      </c>
      <c r="P223" s="10" t="s">
        <v>84</v>
      </c>
      <c r="Q223" s="11" t="s">
        <v>672</v>
      </c>
      <c r="R223" s="11" t="s">
        <v>673</v>
      </c>
      <c r="S223" s="16" t="s">
        <v>674</v>
      </c>
      <c r="T223" s="19" t="str">
        <f>MONTH(B223)&amp;"-"&amp;YEAR(B223)</f>
        <v>6-2020</v>
      </c>
      <c r="U223" s="2">
        <f>YEAR(B223)</f>
        <v>2020</v>
      </c>
      <c r="V223" s="2" t="str">
        <f>IF(DAY(B223)&gt;15,MONTH(B223)&amp;"-C",MONTH(B223)&amp;"-N")</f>
        <v>6-N</v>
      </c>
      <c r="W223" s="21">
        <v>11.81</v>
      </c>
      <c r="X223" s="2" t="b">
        <f t="shared" si="129"/>
        <v>1</v>
      </c>
    </row>
    <row r="224" spans="2:24" x14ac:dyDescent="0.2">
      <c r="B224" s="17">
        <v>43995</v>
      </c>
      <c r="C224" s="10" t="s">
        <v>108</v>
      </c>
      <c r="D224" s="11" t="s">
        <v>671</v>
      </c>
      <c r="E224" s="26">
        <v>53203</v>
      </c>
      <c r="F224" s="10" t="s">
        <v>139</v>
      </c>
      <c r="G224" s="10" t="s">
        <v>46</v>
      </c>
      <c r="H224" s="27" t="s">
        <v>140</v>
      </c>
      <c r="I224" s="12"/>
      <c r="J224" s="12"/>
      <c r="K224" s="13">
        <v>4784</v>
      </c>
      <c r="L224" s="21">
        <v>7.85</v>
      </c>
      <c r="M224" s="14" t="s">
        <v>14</v>
      </c>
      <c r="N224" s="13">
        <v>37554.400000000001</v>
      </c>
      <c r="O224" s="15">
        <f t="shared" si="128"/>
        <v>0</v>
      </c>
      <c r="P224" s="10" t="s">
        <v>84</v>
      </c>
      <c r="Q224" s="11" t="s">
        <v>672</v>
      </c>
      <c r="R224" s="11" t="s">
        <v>673</v>
      </c>
      <c r="S224" s="16" t="s">
        <v>674</v>
      </c>
      <c r="T224" s="19" t="str">
        <f>MONTH(B224)&amp;"-"&amp;YEAR(B224)</f>
        <v>6-2020</v>
      </c>
      <c r="U224" s="2">
        <f>YEAR(B224)</f>
        <v>2020</v>
      </c>
      <c r="V224" s="2" t="str">
        <f>IF(DAY(B224)&gt;15,MONTH(B224)&amp;"-C",MONTH(B224)&amp;"-N")</f>
        <v>6-N</v>
      </c>
      <c r="W224" s="21">
        <v>7.85</v>
      </c>
      <c r="X224" s="2" t="b">
        <f t="shared" si="129"/>
        <v>1</v>
      </c>
    </row>
    <row r="225" spans="2:24" x14ac:dyDescent="0.2">
      <c r="B225" s="17">
        <v>43995</v>
      </c>
      <c r="C225" s="10" t="s">
        <v>108</v>
      </c>
      <c r="D225" s="11" t="s">
        <v>671</v>
      </c>
      <c r="E225" s="26">
        <v>53203</v>
      </c>
      <c r="F225" s="10" t="s">
        <v>129</v>
      </c>
      <c r="G225" s="10" t="s">
        <v>46</v>
      </c>
      <c r="H225" s="27" t="s">
        <v>130</v>
      </c>
      <c r="I225" s="12"/>
      <c r="J225" s="12"/>
      <c r="K225" s="13">
        <v>8050</v>
      </c>
      <c r="L225" s="21">
        <v>10.86</v>
      </c>
      <c r="M225" s="14" t="s">
        <v>14</v>
      </c>
      <c r="N225" s="13">
        <v>87423</v>
      </c>
      <c r="O225" s="15">
        <f t="shared" si="128"/>
        <v>0</v>
      </c>
      <c r="P225" s="10" t="s">
        <v>84</v>
      </c>
      <c r="Q225" s="11" t="s">
        <v>672</v>
      </c>
      <c r="R225" s="11" t="s">
        <v>673</v>
      </c>
      <c r="S225" s="16" t="s">
        <v>674</v>
      </c>
      <c r="T225" s="19" t="str">
        <f>MONTH(B225)&amp;"-"&amp;YEAR(B225)</f>
        <v>6-2020</v>
      </c>
      <c r="U225" s="2">
        <f>YEAR(B225)</f>
        <v>2020</v>
      </c>
      <c r="V225" s="2" t="str">
        <f>IF(DAY(B225)&gt;15,MONTH(B225)&amp;"-C",MONTH(B225)&amp;"-N")</f>
        <v>6-N</v>
      </c>
      <c r="W225" s="21">
        <v>10.86</v>
      </c>
      <c r="X225" s="2" t="b">
        <f t="shared" si="129"/>
        <v>1</v>
      </c>
    </row>
    <row r="226" spans="2:24" x14ac:dyDescent="0.2">
      <c r="B226" s="17">
        <v>43996</v>
      </c>
      <c r="C226" s="10" t="s">
        <v>80</v>
      </c>
      <c r="D226" s="11" t="s">
        <v>503</v>
      </c>
      <c r="E226" s="26">
        <v>53214</v>
      </c>
      <c r="F226" s="10" t="s">
        <v>26</v>
      </c>
      <c r="G226" s="10" t="s">
        <v>27</v>
      </c>
      <c r="H226" s="27" t="s">
        <v>28</v>
      </c>
      <c r="I226" s="12"/>
      <c r="J226" s="12"/>
      <c r="K226" s="13">
        <v>9900</v>
      </c>
      <c r="L226" s="21">
        <v>3.15</v>
      </c>
      <c r="M226" s="14" t="s">
        <v>14</v>
      </c>
      <c r="N226" s="13">
        <v>31185</v>
      </c>
      <c r="O226" s="15">
        <f t="shared" ref="O226" si="130">(N226/K226)-L226</f>
        <v>0</v>
      </c>
      <c r="P226" s="10" t="s">
        <v>78</v>
      </c>
      <c r="Q226" s="11" t="s">
        <v>676</v>
      </c>
      <c r="R226" s="11" t="s">
        <v>677</v>
      </c>
      <c r="S226" s="16" t="s">
        <v>675</v>
      </c>
      <c r="T226" s="19" t="str">
        <f>MONTH(B226)&amp;"-"&amp;YEAR(B226)</f>
        <v>6-2020</v>
      </c>
      <c r="U226" s="2">
        <f>YEAR(B226)</f>
        <v>2020</v>
      </c>
      <c r="V226" s="2" t="str">
        <f>IF(DAY(B226)&gt;15,MONTH(B226)&amp;"-C",MONTH(B226)&amp;"-N")</f>
        <v>6-N</v>
      </c>
      <c r="W226" s="21">
        <v>3.15</v>
      </c>
      <c r="X226" s="2" t="b">
        <f t="shared" ref="X226" si="131">+L226=W226</f>
        <v>1</v>
      </c>
    </row>
    <row r="227" spans="2:24" x14ac:dyDescent="0.2">
      <c r="B227" s="17">
        <v>43998</v>
      </c>
      <c r="C227" s="10" t="s">
        <v>107</v>
      </c>
      <c r="D227" s="11" t="s">
        <v>678</v>
      </c>
      <c r="E227" s="26">
        <v>53255</v>
      </c>
      <c r="F227" s="10" t="s">
        <v>103</v>
      </c>
      <c r="G227" s="10" t="s">
        <v>46</v>
      </c>
      <c r="H227" s="27" t="s">
        <v>104</v>
      </c>
      <c r="I227" s="12"/>
      <c r="J227" s="12"/>
      <c r="K227" s="13">
        <v>95</v>
      </c>
      <c r="L227" s="21">
        <v>37.200000000000003</v>
      </c>
      <c r="M227" s="14" t="s">
        <v>14</v>
      </c>
      <c r="N227" s="13">
        <v>3534</v>
      </c>
      <c r="O227" s="15">
        <f t="shared" ref="O227:O228" si="132">(N227/K227)-L227</f>
        <v>0</v>
      </c>
      <c r="P227" s="10" t="s">
        <v>84</v>
      </c>
      <c r="Q227" s="11" t="s">
        <v>680</v>
      </c>
      <c r="R227" s="11" t="s">
        <v>681</v>
      </c>
      <c r="S227" s="16" t="s">
        <v>679</v>
      </c>
      <c r="T227" s="19" t="str">
        <f>MONTH(B227)&amp;"-"&amp;YEAR(B227)</f>
        <v>6-2020</v>
      </c>
      <c r="U227" s="2">
        <f>YEAR(B227)</f>
        <v>2020</v>
      </c>
      <c r="V227" s="2" t="str">
        <f>IF(DAY(B227)&gt;15,MONTH(B227)&amp;"-C",MONTH(B227)&amp;"-N")</f>
        <v>6-C</v>
      </c>
      <c r="W227" s="21">
        <v>37.200000000000003</v>
      </c>
      <c r="X227" s="2" t="b">
        <f t="shared" ref="X227:X228" si="133">+L227=W227</f>
        <v>1</v>
      </c>
    </row>
    <row r="228" spans="2:24" x14ac:dyDescent="0.2">
      <c r="B228" s="17">
        <v>43998</v>
      </c>
      <c r="C228" s="10" t="s">
        <v>107</v>
      </c>
      <c r="D228" s="11" t="s">
        <v>678</v>
      </c>
      <c r="E228" s="26">
        <v>53255</v>
      </c>
      <c r="F228" s="10" t="s">
        <v>105</v>
      </c>
      <c r="G228" s="10" t="s">
        <v>46</v>
      </c>
      <c r="H228" s="27" t="s">
        <v>106</v>
      </c>
      <c r="I228" s="12"/>
      <c r="J228" s="12"/>
      <c r="K228" s="13">
        <v>3080</v>
      </c>
      <c r="L228" s="21">
        <v>12.3</v>
      </c>
      <c r="M228" s="14" t="s">
        <v>14</v>
      </c>
      <c r="N228" s="13">
        <v>37884</v>
      </c>
      <c r="O228" s="15">
        <f t="shared" si="132"/>
        <v>0</v>
      </c>
      <c r="P228" s="10" t="s">
        <v>84</v>
      </c>
      <c r="Q228" s="11" t="s">
        <v>680</v>
      </c>
      <c r="R228" s="11" t="s">
        <v>681</v>
      </c>
      <c r="S228" s="16" t="s">
        <v>679</v>
      </c>
      <c r="T228" s="19" t="str">
        <f>MONTH(B228)&amp;"-"&amp;YEAR(B228)</f>
        <v>6-2020</v>
      </c>
      <c r="U228" s="2">
        <f>YEAR(B228)</f>
        <v>2020</v>
      </c>
      <c r="V228" s="2" t="str">
        <f>IF(DAY(B228)&gt;15,MONTH(B228)&amp;"-C",MONTH(B228)&amp;"-N")</f>
        <v>6-C</v>
      </c>
      <c r="W228" s="21">
        <v>12.3</v>
      </c>
      <c r="X228" s="2" t="b">
        <f t="shared" si="133"/>
        <v>1</v>
      </c>
    </row>
    <row r="229" spans="2:24" x14ac:dyDescent="0.2">
      <c r="B229" s="17">
        <v>44000</v>
      </c>
      <c r="C229" s="10" t="s">
        <v>682</v>
      </c>
      <c r="D229" s="11" t="s">
        <v>587</v>
      </c>
      <c r="E229" s="26">
        <v>53169</v>
      </c>
      <c r="F229" s="10" t="s">
        <v>26</v>
      </c>
      <c r="G229" s="10" t="s">
        <v>27</v>
      </c>
      <c r="H229" s="27" t="s">
        <v>28</v>
      </c>
      <c r="I229" s="12"/>
      <c r="J229" s="12"/>
      <c r="K229" s="13">
        <v>2700</v>
      </c>
      <c r="L229" s="21">
        <v>3.17</v>
      </c>
      <c r="M229" s="14" t="s">
        <v>14</v>
      </c>
      <c r="N229" s="13">
        <v>8559</v>
      </c>
      <c r="O229" s="15">
        <f t="shared" ref="O229:O236" si="134">(N229/K229)-L229</f>
        <v>0</v>
      </c>
      <c r="P229" s="10" t="s">
        <v>78</v>
      </c>
      <c r="Q229" s="11" t="s">
        <v>683</v>
      </c>
      <c r="R229" s="11" t="s">
        <v>684</v>
      </c>
      <c r="S229" s="16" t="s">
        <v>685</v>
      </c>
      <c r="T229" s="19" t="str">
        <f>MONTH(B229)&amp;"-"&amp;YEAR(B229)</f>
        <v>6-2020</v>
      </c>
      <c r="U229" s="2">
        <f>YEAR(B229)</f>
        <v>2020</v>
      </c>
      <c r="V229" s="2" t="str">
        <f>IF(DAY(B229)&gt;15,MONTH(B229)&amp;"-C",MONTH(B229)&amp;"-N")</f>
        <v>6-C</v>
      </c>
      <c r="W229" s="21">
        <v>3.17</v>
      </c>
      <c r="X229" s="2" t="b">
        <f t="shared" ref="X229:X236" si="135">+L229=W229</f>
        <v>1</v>
      </c>
    </row>
    <row r="230" spans="2:24" x14ac:dyDescent="0.2">
      <c r="B230" s="17">
        <v>44000</v>
      </c>
      <c r="C230" s="10" t="s">
        <v>682</v>
      </c>
      <c r="D230" s="11" t="s">
        <v>587</v>
      </c>
      <c r="E230" s="26">
        <v>53215</v>
      </c>
      <c r="F230" s="10" t="s">
        <v>26</v>
      </c>
      <c r="G230" s="10" t="s">
        <v>27</v>
      </c>
      <c r="H230" s="27" t="s">
        <v>28</v>
      </c>
      <c r="I230" s="12"/>
      <c r="J230" s="12"/>
      <c r="K230" s="13">
        <v>10755</v>
      </c>
      <c r="L230" s="21">
        <v>3.17</v>
      </c>
      <c r="M230" s="14" t="s">
        <v>14</v>
      </c>
      <c r="N230" s="13">
        <v>34093.35</v>
      </c>
      <c r="O230" s="15">
        <f t="shared" si="134"/>
        <v>0</v>
      </c>
      <c r="P230" s="10" t="s">
        <v>78</v>
      </c>
      <c r="Q230" s="11" t="s">
        <v>683</v>
      </c>
      <c r="R230" s="11" t="s">
        <v>684</v>
      </c>
      <c r="S230" s="16" t="s">
        <v>685</v>
      </c>
      <c r="T230" s="19" t="str">
        <f>MONTH(B230)&amp;"-"&amp;YEAR(B230)</f>
        <v>6-2020</v>
      </c>
      <c r="U230" s="2">
        <f>YEAR(B230)</f>
        <v>2020</v>
      </c>
      <c r="V230" s="2" t="str">
        <f>IF(DAY(B230)&gt;15,MONTH(B230)&amp;"-C",MONTH(B230)&amp;"-N")</f>
        <v>6-C</v>
      </c>
      <c r="W230" s="21">
        <v>3.17</v>
      </c>
      <c r="X230" s="2" t="b">
        <f t="shared" si="135"/>
        <v>1</v>
      </c>
    </row>
    <row r="231" spans="2:24" x14ac:dyDescent="0.2">
      <c r="B231" s="17">
        <v>44000</v>
      </c>
      <c r="C231" s="10" t="s">
        <v>682</v>
      </c>
      <c r="D231" s="11" t="s">
        <v>587</v>
      </c>
      <c r="E231" s="26">
        <v>53223</v>
      </c>
      <c r="F231" s="10" t="s">
        <v>26</v>
      </c>
      <c r="G231" s="10" t="s">
        <v>27</v>
      </c>
      <c r="H231" s="27" t="s">
        <v>28</v>
      </c>
      <c r="I231" s="12"/>
      <c r="J231" s="12"/>
      <c r="K231" s="13">
        <v>2774</v>
      </c>
      <c r="L231" s="21">
        <v>3.17</v>
      </c>
      <c r="M231" s="14" t="s">
        <v>14</v>
      </c>
      <c r="N231" s="13">
        <v>8793.58</v>
      </c>
      <c r="O231" s="15">
        <f t="shared" si="134"/>
        <v>0</v>
      </c>
      <c r="P231" s="10" t="s">
        <v>78</v>
      </c>
      <c r="Q231" s="11" t="s">
        <v>683</v>
      </c>
      <c r="R231" s="11" t="s">
        <v>684</v>
      </c>
      <c r="S231" s="16" t="s">
        <v>685</v>
      </c>
      <c r="T231" s="19" t="str">
        <f>MONTH(B231)&amp;"-"&amp;YEAR(B231)</f>
        <v>6-2020</v>
      </c>
      <c r="U231" s="2">
        <f>YEAR(B231)</f>
        <v>2020</v>
      </c>
      <c r="V231" s="2" t="str">
        <f>IF(DAY(B231)&gt;15,MONTH(B231)&amp;"-C",MONTH(B231)&amp;"-N")</f>
        <v>6-C</v>
      </c>
      <c r="W231" s="21">
        <v>3.17</v>
      </c>
      <c r="X231" s="2" t="b">
        <f t="shared" si="135"/>
        <v>1</v>
      </c>
    </row>
    <row r="232" spans="2:24" x14ac:dyDescent="0.2">
      <c r="B232" s="17">
        <v>44000</v>
      </c>
      <c r="C232" s="10" t="s">
        <v>682</v>
      </c>
      <c r="D232" s="11" t="s">
        <v>569</v>
      </c>
      <c r="E232" s="26">
        <v>53277</v>
      </c>
      <c r="F232" s="10" t="s">
        <v>26</v>
      </c>
      <c r="G232" s="10" t="s">
        <v>27</v>
      </c>
      <c r="H232" s="27" t="s">
        <v>28</v>
      </c>
      <c r="I232" s="12"/>
      <c r="J232" s="12"/>
      <c r="K232" s="13">
        <v>3600</v>
      </c>
      <c r="L232" s="21">
        <v>3.17</v>
      </c>
      <c r="M232" s="14" t="s">
        <v>14</v>
      </c>
      <c r="N232" s="13">
        <v>11412</v>
      </c>
      <c r="O232" s="15">
        <f t="shared" si="134"/>
        <v>0</v>
      </c>
      <c r="P232" s="10" t="s">
        <v>78</v>
      </c>
      <c r="Q232" s="11" t="s">
        <v>683</v>
      </c>
      <c r="R232" s="11" t="s">
        <v>684</v>
      </c>
      <c r="S232" s="16" t="s">
        <v>685</v>
      </c>
      <c r="T232" s="19" t="str">
        <f>MONTH(B232)&amp;"-"&amp;YEAR(B232)</f>
        <v>6-2020</v>
      </c>
      <c r="U232" s="2">
        <f>YEAR(B232)</f>
        <v>2020</v>
      </c>
      <c r="V232" s="2" t="str">
        <f>IF(DAY(B232)&gt;15,MONTH(B232)&amp;"-C",MONTH(B232)&amp;"-N")</f>
        <v>6-C</v>
      </c>
      <c r="W232" s="21">
        <v>3.17</v>
      </c>
      <c r="X232" s="2" t="b">
        <f t="shared" si="135"/>
        <v>1</v>
      </c>
    </row>
    <row r="233" spans="2:24" x14ac:dyDescent="0.2">
      <c r="B233" s="17">
        <v>44000</v>
      </c>
      <c r="C233" s="10" t="s">
        <v>682</v>
      </c>
      <c r="D233" s="11" t="s">
        <v>569</v>
      </c>
      <c r="E233" s="26">
        <v>53278</v>
      </c>
      <c r="F233" s="10" t="s">
        <v>26</v>
      </c>
      <c r="G233" s="10" t="s">
        <v>27</v>
      </c>
      <c r="H233" s="27" t="s">
        <v>28</v>
      </c>
      <c r="I233" s="12"/>
      <c r="J233" s="12"/>
      <c r="K233" s="13">
        <v>1201</v>
      </c>
      <c r="L233" s="21">
        <v>3.17</v>
      </c>
      <c r="M233" s="14" t="s">
        <v>14</v>
      </c>
      <c r="N233" s="13">
        <v>3807.17</v>
      </c>
      <c r="O233" s="15">
        <f t="shared" si="134"/>
        <v>0</v>
      </c>
      <c r="P233" s="10" t="s">
        <v>78</v>
      </c>
      <c r="Q233" s="11" t="s">
        <v>683</v>
      </c>
      <c r="R233" s="11" t="s">
        <v>684</v>
      </c>
      <c r="S233" s="16" t="s">
        <v>685</v>
      </c>
      <c r="T233" s="19" t="str">
        <f>MONTH(B233)&amp;"-"&amp;YEAR(B233)</f>
        <v>6-2020</v>
      </c>
      <c r="U233" s="2">
        <f>YEAR(B233)</f>
        <v>2020</v>
      </c>
      <c r="V233" s="2" t="str">
        <f>IF(DAY(B233)&gt;15,MONTH(B233)&amp;"-C",MONTH(B233)&amp;"-N")</f>
        <v>6-C</v>
      </c>
      <c r="W233" s="21">
        <v>3.17</v>
      </c>
      <c r="X233" s="2" t="b">
        <f t="shared" si="135"/>
        <v>1</v>
      </c>
    </row>
    <row r="234" spans="2:24" x14ac:dyDescent="0.2">
      <c r="B234" s="17">
        <v>44000</v>
      </c>
      <c r="C234" s="10" t="s">
        <v>88</v>
      </c>
      <c r="D234" s="11" t="s">
        <v>686</v>
      </c>
      <c r="E234" s="26">
        <v>53279</v>
      </c>
      <c r="F234" s="10" t="s">
        <v>98</v>
      </c>
      <c r="G234" s="10" t="s">
        <v>46</v>
      </c>
      <c r="H234" s="27" t="s">
        <v>99</v>
      </c>
      <c r="I234" s="12"/>
      <c r="J234" s="12"/>
      <c r="K234" s="13">
        <v>10</v>
      </c>
      <c r="L234" s="21">
        <v>11.15</v>
      </c>
      <c r="M234" s="14" t="s">
        <v>14</v>
      </c>
      <c r="N234" s="13">
        <v>111.5</v>
      </c>
      <c r="O234" s="15">
        <f t="shared" si="134"/>
        <v>0</v>
      </c>
      <c r="P234" s="10" t="s">
        <v>84</v>
      </c>
      <c r="Q234" s="11" t="s">
        <v>688</v>
      </c>
      <c r="R234" s="11" t="s">
        <v>689</v>
      </c>
      <c r="S234" s="16" t="s">
        <v>687</v>
      </c>
      <c r="T234" s="19" t="str">
        <f>MONTH(B234)&amp;"-"&amp;YEAR(B234)</f>
        <v>6-2020</v>
      </c>
      <c r="U234" s="2">
        <f>YEAR(B234)</f>
        <v>2020</v>
      </c>
      <c r="V234" s="2" t="str">
        <f>IF(DAY(B234)&gt;15,MONTH(B234)&amp;"-C",MONTH(B234)&amp;"-N")</f>
        <v>6-C</v>
      </c>
      <c r="W234" s="21">
        <v>11.15</v>
      </c>
      <c r="X234" s="2" t="b">
        <f t="shared" si="135"/>
        <v>1</v>
      </c>
    </row>
    <row r="235" spans="2:24" x14ac:dyDescent="0.2">
      <c r="B235" s="17">
        <v>44000</v>
      </c>
      <c r="C235" s="10" t="s">
        <v>88</v>
      </c>
      <c r="D235" s="11" t="s">
        <v>686</v>
      </c>
      <c r="E235" s="26">
        <v>53279</v>
      </c>
      <c r="F235" s="10" t="s">
        <v>100</v>
      </c>
      <c r="G235" s="10" t="s">
        <v>46</v>
      </c>
      <c r="H235" s="27" t="s">
        <v>101</v>
      </c>
      <c r="I235" s="12"/>
      <c r="J235" s="12"/>
      <c r="K235" s="13">
        <v>525</v>
      </c>
      <c r="L235" s="21">
        <v>11.15</v>
      </c>
      <c r="M235" s="14" t="s">
        <v>14</v>
      </c>
      <c r="N235" s="13">
        <v>5853.75</v>
      </c>
      <c r="O235" s="15">
        <f t="shared" si="134"/>
        <v>0</v>
      </c>
      <c r="P235" s="10" t="s">
        <v>84</v>
      </c>
      <c r="Q235" s="11" t="s">
        <v>688</v>
      </c>
      <c r="R235" s="11" t="s">
        <v>689</v>
      </c>
      <c r="S235" s="16" t="s">
        <v>687</v>
      </c>
      <c r="T235" s="19" t="str">
        <f>MONTH(B235)&amp;"-"&amp;YEAR(B235)</f>
        <v>6-2020</v>
      </c>
      <c r="U235" s="2">
        <f>YEAR(B235)</f>
        <v>2020</v>
      </c>
      <c r="V235" s="2" t="str">
        <f>IF(DAY(B235)&gt;15,MONTH(B235)&amp;"-C",MONTH(B235)&amp;"-N")</f>
        <v>6-C</v>
      </c>
      <c r="W235" s="21">
        <v>11.15</v>
      </c>
      <c r="X235" s="2" t="b">
        <f t="shared" si="135"/>
        <v>1</v>
      </c>
    </row>
    <row r="236" spans="2:24" x14ac:dyDescent="0.2">
      <c r="B236" s="17">
        <v>44003</v>
      </c>
      <c r="C236" s="10" t="s">
        <v>80</v>
      </c>
      <c r="D236" s="11" t="s">
        <v>503</v>
      </c>
      <c r="E236" s="26">
        <v>53310</v>
      </c>
      <c r="F236" s="10" t="s">
        <v>26</v>
      </c>
      <c r="G236" s="10" t="s">
        <v>27</v>
      </c>
      <c r="H236" s="27" t="s">
        <v>28</v>
      </c>
      <c r="I236" s="12"/>
      <c r="J236" s="12"/>
      <c r="K236" s="13">
        <v>8100</v>
      </c>
      <c r="L236" s="21">
        <v>3.15</v>
      </c>
      <c r="M236" s="14" t="s">
        <v>14</v>
      </c>
      <c r="N236" s="13">
        <v>25515</v>
      </c>
      <c r="O236" s="15">
        <f t="shared" si="134"/>
        <v>0</v>
      </c>
      <c r="P236" s="10" t="s">
        <v>78</v>
      </c>
      <c r="Q236" s="11" t="s">
        <v>691</v>
      </c>
      <c r="R236" s="11" t="s">
        <v>692</v>
      </c>
      <c r="S236" s="16" t="s">
        <v>690</v>
      </c>
      <c r="T236" s="19" t="str">
        <f>MONTH(B236)&amp;"-"&amp;YEAR(B236)</f>
        <v>6-2020</v>
      </c>
      <c r="U236" s="2">
        <f>YEAR(B236)</f>
        <v>2020</v>
      </c>
      <c r="V236" s="2" t="str">
        <f>IF(DAY(B236)&gt;15,MONTH(B236)&amp;"-C",MONTH(B236)&amp;"-N")</f>
        <v>6-C</v>
      </c>
      <c r="W236" s="21">
        <v>3.15</v>
      </c>
      <c r="X236" s="2" t="b">
        <f t="shared" si="135"/>
        <v>1</v>
      </c>
    </row>
    <row r="237" spans="2:24" x14ac:dyDescent="0.2">
      <c r="B237" s="17">
        <v>44003</v>
      </c>
      <c r="C237" s="10" t="s">
        <v>94</v>
      </c>
      <c r="D237" s="11" t="s">
        <v>694</v>
      </c>
      <c r="E237" s="26">
        <v>53309</v>
      </c>
      <c r="F237" s="10" t="s">
        <v>26</v>
      </c>
      <c r="G237" s="10" t="s">
        <v>27</v>
      </c>
      <c r="H237" s="27" t="s">
        <v>28</v>
      </c>
      <c r="I237" s="12"/>
      <c r="J237" s="12"/>
      <c r="K237" s="13">
        <v>14400</v>
      </c>
      <c r="L237" s="21">
        <v>3.2</v>
      </c>
      <c r="M237" s="14" t="s">
        <v>14</v>
      </c>
      <c r="N237" s="13">
        <v>46080</v>
      </c>
      <c r="O237" s="15">
        <f t="shared" ref="O237" si="136">(N237/K237)-L237</f>
        <v>0</v>
      </c>
      <c r="P237" s="10" t="s">
        <v>78</v>
      </c>
      <c r="Q237" s="11" t="s">
        <v>696</v>
      </c>
      <c r="R237" s="11" t="s">
        <v>697</v>
      </c>
      <c r="S237" s="16" t="s">
        <v>695</v>
      </c>
      <c r="T237" s="19" t="str">
        <f>MONTH(B237)&amp;"-"&amp;YEAR(B237)</f>
        <v>6-2020</v>
      </c>
      <c r="U237" s="2">
        <f>YEAR(B237)</f>
        <v>2020</v>
      </c>
      <c r="V237" s="2" t="str">
        <f>IF(DAY(B237)&gt;15,MONTH(B237)&amp;"-C",MONTH(B237)&amp;"-N")</f>
        <v>6-C</v>
      </c>
      <c r="W237" s="21">
        <v>3.2</v>
      </c>
      <c r="X237" s="2" t="b">
        <f t="shared" ref="X237" si="137">+L237=W237</f>
        <v>1</v>
      </c>
    </row>
    <row r="238" spans="2:24" x14ac:dyDescent="0.2">
      <c r="B238" s="17">
        <v>44006</v>
      </c>
      <c r="C238" s="10" t="s">
        <v>107</v>
      </c>
      <c r="D238" s="11" t="s">
        <v>699</v>
      </c>
      <c r="E238" s="26">
        <v>53356</v>
      </c>
      <c r="F238" s="10" t="s">
        <v>142</v>
      </c>
      <c r="G238" s="10" t="s">
        <v>46</v>
      </c>
      <c r="H238" s="27" t="s">
        <v>143</v>
      </c>
      <c r="I238" s="12"/>
      <c r="J238" s="12"/>
      <c r="K238" s="13">
        <v>2200</v>
      </c>
      <c r="L238" s="21">
        <v>9</v>
      </c>
      <c r="M238" s="14" t="s">
        <v>14</v>
      </c>
      <c r="N238" s="13">
        <v>19800</v>
      </c>
      <c r="O238" s="15">
        <f t="shared" ref="O238:O241" si="138">(N238/K238)-L238</f>
        <v>0</v>
      </c>
      <c r="P238" s="10" t="s">
        <v>84</v>
      </c>
      <c r="Q238" s="11" t="s">
        <v>701</v>
      </c>
      <c r="R238" s="11" t="s">
        <v>702</v>
      </c>
      <c r="S238" s="16" t="s">
        <v>700</v>
      </c>
      <c r="T238" s="19" t="str">
        <f>MONTH(B238)&amp;"-"&amp;YEAR(B238)</f>
        <v>6-2020</v>
      </c>
      <c r="U238" s="2">
        <f>YEAR(B238)</f>
        <v>2020</v>
      </c>
      <c r="V238" s="2" t="str">
        <f>IF(DAY(B238)&gt;15,MONTH(B238)&amp;"-C",MONTH(B238)&amp;"-N")</f>
        <v>6-C</v>
      </c>
      <c r="W238" s="21">
        <v>9</v>
      </c>
      <c r="X238" s="2" t="b">
        <f t="shared" ref="X238:X241" si="139">+L238=W238</f>
        <v>1</v>
      </c>
    </row>
    <row r="239" spans="2:24" x14ac:dyDescent="0.2">
      <c r="B239" s="17">
        <v>44006</v>
      </c>
      <c r="C239" s="10" t="s">
        <v>107</v>
      </c>
      <c r="D239" s="11" t="s">
        <v>699</v>
      </c>
      <c r="E239" s="26">
        <v>53356</v>
      </c>
      <c r="F239" s="10" t="s">
        <v>144</v>
      </c>
      <c r="G239" s="10" t="s">
        <v>46</v>
      </c>
      <c r="H239" s="27" t="s">
        <v>145</v>
      </c>
      <c r="I239" s="12"/>
      <c r="J239" s="12"/>
      <c r="K239" s="13">
        <v>360</v>
      </c>
      <c r="L239" s="21">
        <v>9</v>
      </c>
      <c r="M239" s="14" t="s">
        <v>14</v>
      </c>
      <c r="N239" s="13">
        <v>3240</v>
      </c>
      <c r="O239" s="15">
        <f t="shared" si="138"/>
        <v>0</v>
      </c>
      <c r="P239" s="10" t="s">
        <v>84</v>
      </c>
      <c r="Q239" s="11" t="s">
        <v>701</v>
      </c>
      <c r="R239" s="11" t="s">
        <v>702</v>
      </c>
      <c r="S239" s="16" t="s">
        <v>700</v>
      </c>
      <c r="T239" s="19" t="str">
        <f>MONTH(B239)&amp;"-"&amp;YEAR(B239)</f>
        <v>6-2020</v>
      </c>
      <c r="U239" s="2">
        <f>YEAR(B239)</f>
        <v>2020</v>
      </c>
      <c r="V239" s="2" t="str">
        <f>IF(DAY(B239)&gt;15,MONTH(B239)&amp;"-C",MONTH(B239)&amp;"-N")</f>
        <v>6-C</v>
      </c>
      <c r="W239" s="21">
        <v>9</v>
      </c>
      <c r="X239" s="2" t="b">
        <f t="shared" si="139"/>
        <v>1</v>
      </c>
    </row>
    <row r="240" spans="2:24" x14ac:dyDescent="0.2">
      <c r="B240" s="17">
        <v>44006</v>
      </c>
      <c r="C240" s="10" t="s">
        <v>107</v>
      </c>
      <c r="D240" s="11" t="s">
        <v>699</v>
      </c>
      <c r="E240" s="26">
        <v>53356</v>
      </c>
      <c r="F240" s="10" t="s">
        <v>103</v>
      </c>
      <c r="G240" s="10" t="s">
        <v>46</v>
      </c>
      <c r="H240" s="27" t="s">
        <v>104</v>
      </c>
      <c r="I240" s="12"/>
      <c r="J240" s="12"/>
      <c r="K240" s="13">
        <v>95</v>
      </c>
      <c r="L240" s="21">
        <v>37.200000000000003</v>
      </c>
      <c r="M240" s="14" t="s">
        <v>14</v>
      </c>
      <c r="N240" s="13">
        <v>3534</v>
      </c>
      <c r="O240" s="15">
        <f t="shared" si="138"/>
        <v>0</v>
      </c>
      <c r="P240" s="10" t="s">
        <v>84</v>
      </c>
      <c r="Q240" s="11" t="s">
        <v>701</v>
      </c>
      <c r="R240" s="11" t="s">
        <v>702</v>
      </c>
      <c r="S240" s="16" t="s">
        <v>700</v>
      </c>
      <c r="T240" s="19" t="str">
        <f>MONTH(B240)&amp;"-"&amp;YEAR(B240)</f>
        <v>6-2020</v>
      </c>
      <c r="U240" s="2">
        <f>YEAR(B240)</f>
        <v>2020</v>
      </c>
      <c r="V240" s="2" t="str">
        <f>IF(DAY(B240)&gt;15,MONTH(B240)&amp;"-C",MONTH(B240)&amp;"-N")</f>
        <v>6-C</v>
      </c>
      <c r="W240" s="21">
        <v>37.200000000000003</v>
      </c>
      <c r="X240" s="2" t="b">
        <f t="shared" si="139"/>
        <v>1</v>
      </c>
    </row>
    <row r="241" spans="2:24" x14ac:dyDescent="0.2">
      <c r="B241" s="17">
        <v>44006</v>
      </c>
      <c r="C241" s="10" t="s">
        <v>107</v>
      </c>
      <c r="D241" s="11" t="s">
        <v>699</v>
      </c>
      <c r="E241" s="26">
        <v>53356</v>
      </c>
      <c r="F241" s="10" t="s">
        <v>105</v>
      </c>
      <c r="G241" s="10" t="s">
        <v>46</v>
      </c>
      <c r="H241" s="27" t="s">
        <v>106</v>
      </c>
      <c r="I241" s="12"/>
      <c r="J241" s="12"/>
      <c r="K241" s="13">
        <v>3080</v>
      </c>
      <c r="L241" s="21">
        <v>12.3</v>
      </c>
      <c r="M241" s="14" t="s">
        <v>14</v>
      </c>
      <c r="N241" s="13">
        <v>37884</v>
      </c>
      <c r="O241" s="15">
        <f t="shared" si="138"/>
        <v>0</v>
      </c>
      <c r="P241" s="10" t="s">
        <v>84</v>
      </c>
      <c r="Q241" s="11" t="s">
        <v>701</v>
      </c>
      <c r="R241" s="11" t="s">
        <v>702</v>
      </c>
      <c r="S241" s="16" t="s">
        <v>700</v>
      </c>
      <c r="T241" s="19" t="str">
        <f>MONTH(B241)&amp;"-"&amp;YEAR(B241)</f>
        <v>6-2020</v>
      </c>
      <c r="U241" s="2">
        <f>YEAR(B241)</f>
        <v>2020</v>
      </c>
      <c r="V241" s="2" t="str">
        <f>IF(DAY(B241)&gt;15,MONTH(B241)&amp;"-C",MONTH(B241)&amp;"-N")</f>
        <v>6-C</v>
      </c>
      <c r="W241" s="21">
        <v>12.3</v>
      </c>
      <c r="X241" s="2" t="b">
        <f t="shared" si="139"/>
        <v>1</v>
      </c>
    </row>
    <row r="242" spans="2:24" x14ac:dyDescent="0.2">
      <c r="B242" s="17">
        <v>44009</v>
      </c>
      <c r="C242" s="10" t="s">
        <v>80</v>
      </c>
      <c r="D242" s="11" t="s">
        <v>503</v>
      </c>
      <c r="E242" s="26">
        <v>53381</v>
      </c>
      <c r="F242" s="10" t="s">
        <v>26</v>
      </c>
      <c r="G242" s="10" t="s">
        <v>27</v>
      </c>
      <c r="H242" s="27" t="s">
        <v>28</v>
      </c>
      <c r="I242" s="12"/>
      <c r="J242" s="12"/>
      <c r="K242" s="13">
        <v>2700</v>
      </c>
      <c r="L242" s="21">
        <v>3.15</v>
      </c>
      <c r="M242" s="14" t="s">
        <v>14</v>
      </c>
      <c r="N242" s="13">
        <v>8505</v>
      </c>
      <c r="O242" s="15">
        <f t="shared" ref="O242:O247" si="140">(N242/K242)-L242</f>
        <v>0</v>
      </c>
      <c r="P242" s="10" t="s">
        <v>78</v>
      </c>
      <c r="Q242" s="11" t="s">
        <v>704</v>
      </c>
      <c r="R242" s="11" t="s">
        <v>705</v>
      </c>
      <c r="S242" s="16" t="s">
        <v>703</v>
      </c>
      <c r="T242" s="19" t="str">
        <f>MONTH(B242)&amp;"-"&amp;YEAR(B242)</f>
        <v>6-2020</v>
      </c>
      <c r="U242" s="2">
        <f>YEAR(B242)</f>
        <v>2020</v>
      </c>
      <c r="V242" s="2" t="str">
        <f>IF(DAY(B242)&gt;15,MONTH(B242)&amp;"-C",MONTH(B242)&amp;"-N")</f>
        <v>6-C</v>
      </c>
      <c r="W242" s="21">
        <v>3.15</v>
      </c>
      <c r="X242" s="2" t="b">
        <f t="shared" ref="X242:X247" si="141">+L242=W242</f>
        <v>1</v>
      </c>
    </row>
    <row r="243" spans="2:24" x14ac:dyDescent="0.2">
      <c r="B243" s="17">
        <v>44010</v>
      </c>
      <c r="C243" s="10" t="s">
        <v>48</v>
      </c>
      <c r="D243" s="11" t="s">
        <v>552</v>
      </c>
      <c r="E243" s="26">
        <v>53436</v>
      </c>
      <c r="F243" s="10" t="s">
        <v>135</v>
      </c>
      <c r="G243" s="10" t="s">
        <v>46</v>
      </c>
      <c r="H243" s="27" t="s">
        <v>136</v>
      </c>
      <c r="I243" s="12"/>
      <c r="J243" s="12"/>
      <c r="K243" s="13">
        <v>6200</v>
      </c>
      <c r="L243" s="21">
        <v>9.516</v>
      </c>
      <c r="M243" s="14" t="s">
        <v>14</v>
      </c>
      <c r="N243" s="13">
        <v>58996.224000000002</v>
      </c>
      <c r="O243" s="15">
        <f t="shared" si="140"/>
        <v>-4.7999999999959186E-4</v>
      </c>
      <c r="P243" s="10" t="s">
        <v>90</v>
      </c>
      <c r="Q243" s="11" t="s">
        <v>707</v>
      </c>
      <c r="R243" s="11" t="s">
        <v>708</v>
      </c>
      <c r="S243" s="16" t="s">
        <v>706</v>
      </c>
      <c r="T243" s="19" t="str">
        <f>MONTH(B243)&amp;"-"&amp;YEAR(B243)</f>
        <v>6-2020</v>
      </c>
      <c r="U243" s="2">
        <f>YEAR(B243)</f>
        <v>2020</v>
      </c>
      <c r="V243" s="2" t="str">
        <f>IF(DAY(B243)&gt;15,MONTH(B243)&amp;"-C",MONTH(B243)&amp;"-N")</f>
        <v>6-C</v>
      </c>
      <c r="W243" s="21">
        <v>9.516</v>
      </c>
      <c r="X243" s="2" t="b">
        <f t="shared" si="141"/>
        <v>1</v>
      </c>
    </row>
    <row r="244" spans="2:24" x14ac:dyDescent="0.2">
      <c r="B244" s="17">
        <v>44010</v>
      </c>
      <c r="C244" s="10" t="s">
        <v>48</v>
      </c>
      <c r="D244" s="11" t="s">
        <v>552</v>
      </c>
      <c r="E244" s="26">
        <v>53436</v>
      </c>
      <c r="F244" s="10" t="s">
        <v>71</v>
      </c>
      <c r="G244" s="10" t="s">
        <v>46</v>
      </c>
      <c r="H244" s="27" t="s">
        <v>72</v>
      </c>
      <c r="I244" s="12"/>
      <c r="J244" s="12"/>
      <c r="K244" s="13">
        <v>9400</v>
      </c>
      <c r="L244" s="21">
        <v>9.516</v>
      </c>
      <c r="M244" s="14" t="s">
        <v>14</v>
      </c>
      <c r="N244" s="13">
        <v>89445.888000000006</v>
      </c>
      <c r="O244" s="15">
        <f t="shared" si="140"/>
        <v>-4.7999999999959186E-4</v>
      </c>
      <c r="P244" s="10" t="s">
        <v>90</v>
      </c>
      <c r="Q244" s="11" t="s">
        <v>707</v>
      </c>
      <c r="R244" s="11" t="s">
        <v>708</v>
      </c>
      <c r="S244" s="16" t="s">
        <v>706</v>
      </c>
      <c r="T244" s="19" t="str">
        <f>MONTH(B244)&amp;"-"&amp;YEAR(B244)</f>
        <v>6-2020</v>
      </c>
      <c r="U244" s="2">
        <f>YEAR(B244)</f>
        <v>2020</v>
      </c>
      <c r="V244" s="2" t="str">
        <f>IF(DAY(B244)&gt;15,MONTH(B244)&amp;"-C",MONTH(B244)&amp;"-N")</f>
        <v>6-C</v>
      </c>
      <c r="W244" s="21">
        <v>9.516</v>
      </c>
      <c r="X244" s="2" t="b">
        <f t="shared" si="141"/>
        <v>1</v>
      </c>
    </row>
    <row r="245" spans="2:24" x14ac:dyDescent="0.2">
      <c r="B245" s="17">
        <v>44010</v>
      </c>
      <c r="C245" s="10" t="s">
        <v>48</v>
      </c>
      <c r="D245" s="11" t="s">
        <v>709</v>
      </c>
      <c r="E245" s="26">
        <v>53436</v>
      </c>
      <c r="F245" s="10" t="s">
        <v>65</v>
      </c>
      <c r="G245" s="10" t="s">
        <v>46</v>
      </c>
      <c r="H245" s="27" t="s">
        <v>66</v>
      </c>
      <c r="I245" s="12"/>
      <c r="J245" s="12"/>
      <c r="K245" s="13">
        <v>200</v>
      </c>
      <c r="L245" s="21">
        <v>26.844999999999999</v>
      </c>
      <c r="M245" s="14" t="s">
        <v>14</v>
      </c>
      <c r="N245" s="13">
        <v>5369</v>
      </c>
      <c r="O245" s="15">
        <f t="shared" si="140"/>
        <v>0</v>
      </c>
      <c r="P245" s="10" t="s">
        <v>90</v>
      </c>
      <c r="Q245" s="11" t="s">
        <v>707</v>
      </c>
      <c r="R245" s="11" t="s">
        <v>708</v>
      </c>
      <c r="S245" s="16" t="s">
        <v>706</v>
      </c>
      <c r="T245" s="19" t="str">
        <f>MONTH(B245)&amp;"-"&amp;YEAR(B245)</f>
        <v>6-2020</v>
      </c>
      <c r="U245" s="2">
        <f>YEAR(B245)</f>
        <v>2020</v>
      </c>
      <c r="V245" s="2" t="str">
        <f>IF(DAY(B245)&gt;15,MONTH(B245)&amp;"-C",MONTH(B245)&amp;"-N")</f>
        <v>6-C</v>
      </c>
      <c r="W245" s="21">
        <v>26.844999999999999</v>
      </c>
      <c r="X245" s="2" t="b">
        <f t="shared" si="141"/>
        <v>1</v>
      </c>
    </row>
    <row r="246" spans="2:24" x14ac:dyDescent="0.2">
      <c r="B246" s="17">
        <v>44010</v>
      </c>
      <c r="C246" s="10" t="s">
        <v>80</v>
      </c>
      <c r="D246" s="11" t="s">
        <v>503</v>
      </c>
      <c r="E246" s="26">
        <v>53404</v>
      </c>
      <c r="F246" s="10" t="s">
        <v>26</v>
      </c>
      <c r="G246" s="10" t="s">
        <v>27</v>
      </c>
      <c r="H246" s="27" t="s">
        <v>28</v>
      </c>
      <c r="I246" s="12"/>
      <c r="J246" s="12"/>
      <c r="K246" s="13">
        <v>3600</v>
      </c>
      <c r="L246" s="21">
        <v>3.15</v>
      </c>
      <c r="M246" s="14" t="s">
        <v>14</v>
      </c>
      <c r="N246" s="13">
        <v>11340</v>
      </c>
      <c r="O246" s="15">
        <f t="shared" si="140"/>
        <v>0</v>
      </c>
      <c r="P246" s="10" t="s">
        <v>78</v>
      </c>
      <c r="Q246" s="11" t="s">
        <v>711</v>
      </c>
      <c r="R246" s="11" t="s">
        <v>712</v>
      </c>
      <c r="S246" s="16" t="s">
        <v>710</v>
      </c>
      <c r="T246" s="19" t="str">
        <f>MONTH(B246)&amp;"-"&amp;YEAR(B246)</f>
        <v>6-2020</v>
      </c>
      <c r="U246" s="2">
        <f>YEAR(B246)</f>
        <v>2020</v>
      </c>
      <c r="V246" s="2" t="str">
        <f>IF(DAY(B246)&gt;15,MONTH(B246)&amp;"-C",MONTH(B246)&amp;"-N")</f>
        <v>6-C</v>
      </c>
      <c r="W246" s="21">
        <v>3.15</v>
      </c>
      <c r="X246" s="2" t="b">
        <f t="shared" si="141"/>
        <v>1</v>
      </c>
    </row>
    <row r="247" spans="2:24" x14ac:dyDescent="0.2">
      <c r="B247" s="17">
        <v>44010</v>
      </c>
      <c r="C247" s="10" t="s">
        <v>80</v>
      </c>
      <c r="D247" s="11" t="s">
        <v>503</v>
      </c>
      <c r="E247" s="26">
        <v>53405</v>
      </c>
      <c r="F247" s="10" t="s">
        <v>26</v>
      </c>
      <c r="G247" s="10" t="s">
        <v>27</v>
      </c>
      <c r="H247" s="27" t="s">
        <v>28</v>
      </c>
      <c r="I247" s="12"/>
      <c r="J247" s="12"/>
      <c r="K247" s="13">
        <v>3600</v>
      </c>
      <c r="L247" s="21">
        <v>3.15</v>
      </c>
      <c r="M247" s="14" t="s">
        <v>14</v>
      </c>
      <c r="N247" s="13">
        <v>11340</v>
      </c>
      <c r="O247" s="15">
        <f t="shared" si="140"/>
        <v>0</v>
      </c>
      <c r="P247" s="10" t="s">
        <v>78</v>
      </c>
      <c r="Q247" s="11" t="s">
        <v>714</v>
      </c>
      <c r="R247" s="11" t="s">
        <v>715</v>
      </c>
      <c r="S247" s="16" t="s">
        <v>713</v>
      </c>
      <c r="T247" s="19" t="str">
        <f>MONTH(B247)&amp;"-"&amp;YEAR(B247)</f>
        <v>6-2020</v>
      </c>
      <c r="U247" s="2">
        <f>YEAR(B247)</f>
        <v>2020</v>
      </c>
      <c r="V247" s="2" t="str">
        <f>IF(DAY(B247)&gt;15,MONTH(B247)&amp;"-C",MONTH(B247)&amp;"-N")</f>
        <v>6-C</v>
      </c>
      <c r="W247" s="21">
        <v>3.15</v>
      </c>
      <c r="X247" s="2" t="b">
        <f t="shared" si="141"/>
        <v>1</v>
      </c>
    </row>
    <row r="248" spans="2:24" x14ac:dyDescent="0.2">
      <c r="B248" s="17">
        <v>44012</v>
      </c>
      <c r="C248" s="10" t="s">
        <v>25</v>
      </c>
      <c r="D248" s="11" t="s">
        <v>716</v>
      </c>
      <c r="E248" s="26">
        <v>53438</v>
      </c>
      <c r="F248" s="10" t="s">
        <v>29</v>
      </c>
      <c r="G248" s="10" t="s">
        <v>27</v>
      </c>
      <c r="H248" s="27" t="s">
        <v>30</v>
      </c>
      <c r="I248" s="12"/>
      <c r="J248" s="12"/>
      <c r="K248" s="13">
        <v>3300</v>
      </c>
      <c r="L248" s="21">
        <v>4</v>
      </c>
      <c r="M248" s="14" t="s">
        <v>14</v>
      </c>
      <c r="N248" s="13">
        <v>13200</v>
      </c>
      <c r="O248" s="15">
        <f t="shared" ref="O248" si="142">(N248/K248)-L248</f>
        <v>0</v>
      </c>
      <c r="P248" s="10" t="s">
        <v>78</v>
      </c>
      <c r="Q248" s="11" t="s">
        <v>718</v>
      </c>
      <c r="R248" s="11" t="s">
        <v>234</v>
      </c>
      <c r="S248" s="16" t="s">
        <v>717</v>
      </c>
      <c r="T248" s="19" t="str">
        <f>MONTH(B248)&amp;"-"&amp;YEAR(B248)</f>
        <v>6-2020</v>
      </c>
      <c r="U248" s="2">
        <f>YEAR(B248)</f>
        <v>2020</v>
      </c>
      <c r="V248" s="2" t="str">
        <f>IF(DAY(B248)&gt;15,MONTH(B248)&amp;"-C",MONTH(B248)&amp;"-N")</f>
        <v>6-C</v>
      </c>
      <c r="W248" s="21">
        <v>4</v>
      </c>
      <c r="X248" s="2" t="b">
        <f t="shared" ref="X248" si="143">+L248=W248</f>
        <v>1</v>
      </c>
    </row>
    <row r="249" spans="2:24" x14ac:dyDescent="0.2">
      <c r="B249" s="17">
        <v>44014</v>
      </c>
      <c r="C249" s="10" t="s">
        <v>74</v>
      </c>
      <c r="D249" s="11" t="s">
        <v>719</v>
      </c>
      <c r="E249" s="26">
        <v>53458</v>
      </c>
      <c r="F249" s="10" t="s">
        <v>139</v>
      </c>
      <c r="G249" s="10" t="s">
        <v>46</v>
      </c>
      <c r="H249" s="27" t="s">
        <v>140</v>
      </c>
      <c r="I249" s="12"/>
      <c r="J249" s="12"/>
      <c r="K249" s="13">
        <v>6808</v>
      </c>
      <c r="L249" s="21">
        <v>7.85</v>
      </c>
      <c r="M249" s="14" t="s">
        <v>14</v>
      </c>
      <c r="N249" s="13">
        <v>53442.8</v>
      </c>
      <c r="O249" s="15">
        <f t="shared" ref="O249:O250" si="144">(N249/K249)-L249</f>
        <v>0</v>
      </c>
      <c r="P249" s="10" t="s">
        <v>84</v>
      </c>
      <c r="Q249" s="11" t="s">
        <v>721</v>
      </c>
      <c r="R249" s="11" t="s">
        <v>722</v>
      </c>
      <c r="S249" s="16" t="s">
        <v>720</v>
      </c>
      <c r="T249" s="19" t="str">
        <f>MONTH(B249)&amp;"-"&amp;YEAR(B249)</f>
        <v>7-2020</v>
      </c>
      <c r="U249" s="2">
        <f>YEAR(B249)</f>
        <v>2020</v>
      </c>
      <c r="V249" s="2" t="str">
        <f>IF(DAY(B249)&gt;15,MONTH(B249)&amp;"-C",MONTH(B249)&amp;"-N")</f>
        <v>7-N</v>
      </c>
      <c r="W249" s="21">
        <v>7.85</v>
      </c>
      <c r="X249" s="2" t="b">
        <f t="shared" ref="X249:X250" si="145">+L249=W249</f>
        <v>1</v>
      </c>
    </row>
    <row r="250" spans="2:24" x14ac:dyDescent="0.2">
      <c r="B250" s="17">
        <v>44014</v>
      </c>
      <c r="C250" s="10" t="s">
        <v>74</v>
      </c>
      <c r="D250" s="11" t="s">
        <v>719</v>
      </c>
      <c r="E250" s="26">
        <v>53458</v>
      </c>
      <c r="F250" s="10" t="s">
        <v>129</v>
      </c>
      <c r="G250" s="10" t="s">
        <v>46</v>
      </c>
      <c r="H250" s="27" t="s">
        <v>130</v>
      </c>
      <c r="I250" s="12"/>
      <c r="J250" s="12"/>
      <c r="K250" s="13">
        <v>9890</v>
      </c>
      <c r="L250" s="21">
        <v>10.86</v>
      </c>
      <c r="M250" s="14" t="s">
        <v>14</v>
      </c>
      <c r="N250" s="13">
        <v>107405.4</v>
      </c>
      <c r="O250" s="15">
        <f t="shared" si="144"/>
        <v>0</v>
      </c>
      <c r="P250" s="10" t="s">
        <v>84</v>
      </c>
      <c r="Q250" s="11" t="s">
        <v>721</v>
      </c>
      <c r="R250" s="11" t="s">
        <v>722</v>
      </c>
      <c r="S250" s="16" t="s">
        <v>720</v>
      </c>
      <c r="T250" s="19" t="str">
        <f>MONTH(B250)&amp;"-"&amp;YEAR(B250)</f>
        <v>7-2020</v>
      </c>
      <c r="U250" s="2">
        <f>YEAR(B250)</f>
        <v>2020</v>
      </c>
      <c r="V250" s="2" t="str">
        <f>IF(DAY(B250)&gt;15,MONTH(B250)&amp;"-C",MONTH(B250)&amp;"-N")</f>
        <v>7-N</v>
      </c>
      <c r="W250" s="21">
        <v>10.86</v>
      </c>
      <c r="X250" s="2" t="b">
        <f t="shared" si="145"/>
        <v>1</v>
      </c>
    </row>
    <row r="251" spans="2:24" x14ac:dyDescent="0.2">
      <c r="B251" s="17">
        <v>44017</v>
      </c>
      <c r="C251" s="10" t="s">
        <v>682</v>
      </c>
      <c r="D251" s="11" t="s">
        <v>587</v>
      </c>
      <c r="E251" s="26">
        <v>53459</v>
      </c>
      <c r="F251" s="10" t="s">
        <v>26</v>
      </c>
      <c r="G251" s="10" t="s">
        <v>27</v>
      </c>
      <c r="H251" s="27" t="s">
        <v>28</v>
      </c>
      <c r="I251" s="12"/>
      <c r="J251" s="12"/>
      <c r="K251" s="13">
        <v>10800</v>
      </c>
      <c r="L251" s="21">
        <v>3.17</v>
      </c>
      <c r="M251" s="14" t="s">
        <v>14</v>
      </c>
      <c r="N251" s="13">
        <v>34236</v>
      </c>
      <c r="O251" s="15">
        <f t="shared" ref="O251:O254" si="146">(N251/K251)-L251</f>
        <v>0</v>
      </c>
      <c r="P251" s="10" t="s">
        <v>78</v>
      </c>
      <c r="Q251" s="11" t="s">
        <v>724</v>
      </c>
      <c r="R251" s="11" t="s">
        <v>725</v>
      </c>
      <c r="S251" s="16" t="s">
        <v>726</v>
      </c>
      <c r="T251" s="19" t="str">
        <f>MONTH(B251)&amp;"-"&amp;YEAR(B251)</f>
        <v>7-2020</v>
      </c>
      <c r="U251" s="2">
        <f>YEAR(B251)</f>
        <v>2020</v>
      </c>
      <c r="V251" s="2" t="str">
        <f>IF(DAY(B251)&gt;15,MONTH(B251)&amp;"-C",MONTH(B251)&amp;"-N")</f>
        <v>7-N</v>
      </c>
      <c r="W251" s="21">
        <v>3.17</v>
      </c>
      <c r="X251" s="2" t="b">
        <f t="shared" ref="X251:X254" si="147">+L251=W251</f>
        <v>1</v>
      </c>
    </row>
    <row r="252" spans="2:24" x14ac:dyDescent="0.2">
      <c r="B252" s="17">
        <v>44017</v>
      </c>
      <c r="C252" s="10" t="s">
        <v>682</v>
      </c>
      <c r="D252" s="11" t="s">
        <v>587</v>
      </c>
      <c r="E252" s="26">
        <v>53497</v>
      </c>
      <c r="F252" s="10" t="s">
        <v>26</v>
      </c>
      <c r="G252" s="10" t="s">
        <v>27</v>
      </c>
      <c r="H252" s="27" t="s">
        <v>28</v>
      </c>
      <c r="I252" s="12"/>
      <c r="J252" s="12"/>
      <c r="K252" s="13">
        <v>10100</v>
      </c>
      <c r="L252" s="21">
        <v>3.17</v>
      </c>
      <c r="M252" s="14" t="s">
        <v>14</v>
      </c>
      <c r="N252" s="13">
        <v>32017</v>
      </c>
      <c r="O252" s="15">
        <f t="shared" si="146"/>
        <v>0</v>
      </c>
      <c r="P252" s="10" t="s">
        <v>78</v>
      </c>
      <c r="Q252" s="11" t="s">
        <v>724</v>
      </c>
      <c r="R252" s="11" t="s">
        <v>725</v>
      </c>
      <c r="S252" s="16" t="s">
        <v>726</v>
      </c>
      <c r="T252" s="19" t="str">
        <f>MONTH(B252)&amp;"-"&amp;YEAR(B252)</f>
        <v>7-2020</v>
      </c>
      <c r="U252" s="2">
        <f>YEAR(B252)</f>
        <v>2020</v>
      </c>
      <c r="V252" s="2" t="str">
        <f>IF(DAY(B252)&gt;15,MONTH(B252)&amp;"-C",MONTH(B252)&amp;"-N")</f>
        <v>7-N</v>
      </c>
      <c r="W252" s="21">
        <v>3.17</v>
      </c>
      <c r="X252" s="2" t="b">
        <f t="shared" si="147"/>
        <v>1</v>
      </c>
    </row>
    <row r="253" spans="2:24" x14ac:dyDescent="0.2">
      <c r="B253" s="17">
        <v>44018</v>
      </c>
      <c r="C253" s="10" t="s">
        <v>25</v>
      </c>
      <c r="D253" s="11" t="s">
        <v>727</v>
      </c>
      <c r="E253" s="26">
        <v>53499</v>
      </c>
      <c r="F253" s="10" t="s">
        <v>31</v>
      </c>
      <c r="G253" s="10" t="s">
        <v>27</v>
      </c>
      <c r="H253" s="27" t="s">
        <v>32</v>
      </c>
      <c r="I253" s="12"/>
      <c r="J253" s="12"/>
      <c r="K253" s="13">
        <v>1920</v>
      </c>
      <c r="L253" s="21">
        <v>4.4000000000000004</v>
      </c>
      <c r="M253" s="14" t="s">
        <v>14</v>
      </c>
      <c r="N253" s="13">
        <v>8448</v>
      </c>
      <c r="O253" s="15">
        <f t="shared" si="146"/>
        <v>0</v>
      </c>
      <c r="P253" s="10" t="s">
        <v>78</v>
      </c>
      <c r="Q253" s="11" t="s">
        <v>729</v>
      </c>
      <c r="R253" s="11" t="s">
        <v>383</v>
      </c>
      <c r="S253" s="16" t="s">
        <v>728</v>
      </c>
      <c r="T253" s="19" t="str">
        <f>MONTH(B253)&amp;"-"&amp;YEAR(B253)</f>
        <v>7-2020</v>
      </c>
      <c r="U253" s="2">
        <f>YEAR(B253)</f>
        <v>2020</v>
      </c>
      <c r="V253" s="2" t="str">
        <f>IF(DAY(B253)&gt;15,MONTH(B253)&amp;"-C",MONTH(B253)&amp;"-N")</f>
        <v>7-N</v>
      </c>
      <c r="W253" s="21">
        <v>4.4000000000000004</v>
      </c>
      <c r="X253" s="2" t="b">
        <f t="shared" si="147"/>
        <v>1</v>
      </c>
    </row>
    <row r="254" spans="2:24" x14ac:dyDescent="0.2">
      <c r="B254" s="17">
        <v>44018</v>
      </c>
      <c r="C254" s="10" t="s">
        <v>25</v>
      </c>
      <c r="D254" s="11" t="s">
        <v>727</v>
      </c>
      <c r="E254" s="26">
        <v>53499</v>
      </c>
      <c r="F254" s="10" t="s">
        <v>33</v>
      </c>
      <c r="G254" s="10" t="s">
        <v>27</v>
      </c>
      <c r="H254" s="27" t="s">
        <v>34</v>
      </c>
      <c r="I254" s="12"/>
      <c r="J254" s="12"/>
      <c r="K254" s="13">
        <v>2160</v>
      </c>
      <c r="L254" s="21">
        <v>5.5</v>
      </c>
      <c r="M254" s="14" t="s">
        <v>14</v>
      </c>
      <c r="N254" s="13">
        <v>11880</v>
      </c>
      <c r="O254" s="15">
        <f t="shared" si="146"/>
        <v>0</v>
      </c>
      <c r="P254" s="10" t="s">
        <v>78</v>
      </c>
      <c r="Q254" s="11" t="s">
        <v>729</v>
      </c>
      <c r="R254" s="11" t="s">
        <v>383</v>
      </c>
      <c r="S254" s="16" t="s">
        <v>728</v>
      </c>
      <c r="T254" s="19" t="str">
        <f>MONTH(B254)&amp;"-"&amp;YEAR(B254)</f>
        <v>7-2020</v>
      </c>
      <c r="U254" s="2">
        <f>YEAR(B254)</f>
        <v>2020</v>
      </c>
      <c r="V254" s="2" t="str">
        <f>IF(DAY(B254)&gt;15,MONTH(B254)&amp;"-C",MONTH(B254)&amp;"-N")</f>
        <v>7-N</v>
      </c>
      <c r="W254" s="21">
        <v>5.5</v>
      </c>
      <c r="X254" s="2" t="b">
        <f t="shared" si="147"/>
        <v>1</v>
      </c>
    </row>
    <row r="255" spans="2:24" x14ac:dyDescent="0.2">
      <c r="B255" s="17">
        <v>44020</v>
      </c>
      <c r="C255" s="10" t="s">
        <v>80</v>
      </c>
      <c r="D255" s="11" t="s">
        <v>503</v>
      </c>
      <c r="E255" s="26">
        <v>53538</v>
      </c>
      <c r="F255" s="10" t="s">
        <v>26</v>
      </c>
      <c r="G255" s="10" t="s">
        <v>27</v>
      </c>
      <c r="H255" s="27" t="s">
        <v>28</v>
      </c>
      <c r="I255" s="12"/>
      <c r="J255" s="12"/>
      <c r="K255" s="13">
        <v>3600</v>
      </c>
      <c r="L255" s="21">
        <v>3.15</v>
      </c>
      <c r="M255" s="14" t="s">
        <v>14</v>
      </c>
      <c r="N255" s="13">
        <v>11340</v>
      </c>
      <c r="O255" s="15">
        <f t="shared" ref="O255" si="148">(N255/K255)-L255</f>
        <v>0</v>
      </c>
      <c r="P255" s="10" t="s">
        <v>78</v>
      </c>
      <c r="Q255" s="11" t="s">
        <v>731</v>
      </c>
      <c r="R255" s="11" t="s">
        <v>732</v>
      </c>
      <c r="S255" s="16" t="s">
        <v>730</v>
      </c>
      <c r="T255" s="19" t="str">
        <f>MONTH(B255)&amp;"-"&amp;YEAR(B255)</f>
        <v>7-2020</v>
      </c>
      <c r="U255" s="2">
        <f>YEAR(B255)</f>
        <v>2020</v>
      </c>
      <c r="V255" s="2" t="str">
        <f>IF(DAY(B255)&gt;15,MONTH(B255)&amp;"-C",MONTH(B255)&amp;"-N")</f>
        <v>7-N</v>
      </c>
      <c r="W255" s="21">
        <v>3.15</v>
      </c>
      <c r="X255" s="2" t="b">
        <f t="shared" ref="X255" si="149">+L255=W255</f>
        <v>1</v>
      </c>
    </row>
    <row r="256" spans="2:24" x14ac:dyDescent="0.2">
      <c r="B256" s="17">
        <v>44021</v>
      </c>
      <c r="C256" s="10" t="s">
        <v>80</v>
      </c>
      <c r="D256" s="11" t="s">
        <v>503</v>
      </c>
      <c r="E256" s="26">
        <v>53544</v>
      </c>
      <c r="F256" s="10" t="s">
        <v>26</v>
      </c>
      <c r="G256" s="10" t="s">
        <v>27</v>
      </c>
      <c r="H256" s="27" t="s">
        <v>28</v>
      </c>
      <c r="I256" s="12"/>
      <c r="J256" s="12"/>
      <c r="K256" s="13">
        <v>6300</v>
      </c>
      <c r="L256" s="21">
        <v>3.15</v>
      </c>
      <c r="M256" s="14" t="s">
        <v>14</v>
      </c>
      <c r="N256" s="13">
        <v>19845</v>
      </c>
      <c r="O256" s="15">
        <f t="shared" ref="O256" si="150">(N256/K256)-L256</f>
        <v>0</v>
      </c>
      <c r="P256" s="10" t="s">
        <v>78</v>
      </c>
      <c r="Q256" s="11" t="s">
        <v>734</v>
      </c>
      <c r="R256" s="11" t="s">
        <v>735</v>
      </c>
      <c r="S256" s="16" t="s">
        <v>733</v>
      </c>
      <c r="T256" s="19" t="str">
        <f>MONTH(B256)&amp;"-"&amp;YEAR(B256)</f>
        <v>7-2020</v>
      </c>
      <c r="U256" s="2">
        <f>YEAR(B256)</f>
        <v>2020</v>
      </c>
      <c r="V256" s="2" t="str">
        <f>IF(DAY(B256)&gt;15,MONTH(B256)&amp;"-C",MONTH(B256)&amp;"-N")</f>
        <v>7-N</v>
      </c>
      <c r="W256" s="21">
        <v>3.15</v>
      </c>
      <c r="X256" s="2" t="b">
        <f t="shared" ref="X256" si="151">+L256=W256</f>
        <v>1</v>
      </c>
    </row>
    <row r="257" spans="2:24" x14ac:dyDescent="0.2">
      <c r="B257" s="17">
        <v>44023</v>
      </c>
      <c r="C257" s="10" t="s">
        <v>80</v>
      </c>
      <c r="D257" s="11" t="s">
        <v>503</v>
      </c>
      <c r="E257" s="26">
        <v>53566</v>
      </c>
      <c r="F257" s="10" t="s">
        <v>26</v>
      </c>
      <c r="G257" s="10" t="s">
        <v>27</v>
      </c>
      <c r="H257" s="27" t="s">
        <v>28</v>
      </c>
      <c r="I257" s="12"/>
      <c r="J257" s="12"/>
      <c r="K257" s="13">
        <v>6300</v>
      </c>
      <c r="L257" s="21">
        <v>3.15</v>
      </c>
      <c r="M257" s="14" t="s">
        <v>14</v>
      </c>
      <c r="N257" s="13">
        <v>19845</v>
      </c>
      <c r="O257" s="15">
        <f t="shared" ref="O257" si="152">(N257/K257)-L257</f>
        <v>0</v>
      </c>
      <c r="P257" s="10" t="s">
        <v>78</v>
      </c>
      <c r="Q257" s="11" t="s">
        <v>737</v>
      </c>
      <c r="R257" s="11" t="s">
        <v>738</v>
      </c>
      <c r="S257" s="16" t="s">
        <v>736</v>
      </c>
      <c r="T257" s="19" t="str">
        <f>MONTH(B257)&amp;"-"&amp;YEAR(B257)</f>
        <v>7-2020</v>
      </c>
      <c r="U257" s="2">
        <f>YEAR(B257)</f>
        <v>2020</v>
      </c>
      <c r="V257" s="2" t="str">
        <f>IF(DAY(B257)&gt;15,MONTH(B257)&amp;"-C",MONTH(B257)&amp;"-N")</f>
        <v>7-N</v>
      </c>
      <c r="W257" s="21">
        <v>3.15</v>
      </c>
      <c r="X257" s="2" t="b">
        <f t="shared" ref="X257" si="153">+L257=W257</f>
        <v>1</v>
      </c>
    </row>
    <row r="258" spans="2:24" x14ac:dyDescent="0.2">
      <c r="B258" s="17">
        <v>44025</v>
      </c>
      <c r="C258" s="10" t="s">
        <v>25</v>
      </c>
      <c r="D258" s="11" t="s">
        <v>716</v>
      </c>
      <c r="E258" s="26">
        <v>53600</v>
      </c>
      <c r="F258" s="10" t="s">
        <v>26</v>
      </c>
      <c r="G258" s="10" t="s">
        <v>27</v>
      </c>
      <c r="H258" s="27" t="s">
        <v>28</v>
      </c>
      <c r="I258" s="12"/>
      <c r="J258" s="12"/>
      <c r="K258" s="13">
        <v>19800</v>
      </c>
      <c r="L258" s="21">
        <v>3.18</v>
      </c>
      <c r="M258" s="14" t="s">
        <v>14</v>
      </c>
      <c r="N258" s="13">
        <v>62964</v>
      </c>
      <c r="O258" s="15">
        <f t="shared" ref="O258" si="154">(N258/K258)-L258</f>
        <v>0</v>
      </c>
      <c r="P258" s="10" t="s">
        <v>78</v>
      </c>
      <c r="Q258" s="11" t="s">
        <v>740</v>
      </c>
      <c r="R258" s="11" t="s">
        <v>263</v>
      </c>
      <c r="S258" s="16" t="s">
        <v>739</v>
      </c>
      <c r="T258" s="19" t="str">
        <f>MONTH(B258)&amp;"-"&amp;YEAR(B258)</f>
        <v>7-2020</v>
      </c>
      <c r="U258" s="2">
        <f>YEAR(B258)</f>
        <v>2020</v>
      </c>
      <c r="V258" s="2" t="str">
        <f>IF(DAY(B258)&gt;15,MONTH(B258)&amp;"-C",MONTH(B258)&amp;"-N")</f>
        <v>7-N</v>
      </c>
      <c r="W258" s="21">
        <v>3.18</v>
      </c>
      <c r="X258" s="2" t="b">
        <f t="shared" ref="X258" si="155">+L258=W258</f>
        <v>1</v>
      </c>
    </row>
    <row r="259" spans="2:24" x14ac:dyDescent="0.2">
      <c r="B259" s="17">
        <v>44027</v>
      </c>
      <c r="C259" s="10" t="s">
        <v>108</v>
      </c>
      <c r="D259" s="11" t="s">
        <v>741</v>
      </c>
      <c r="E259" s="26">
        <v>53630</v>
      </c>
      <c r="F259" s="10" t="s">
        <v>137</v>
      </c>
      <c r="G259" s="10" t="s">
        <v>46</v>
      </c>
      <c r="H259" s="27" t="s">
        <v>138</v>
      </c>
      <c r="I259" s="12"/>
      <c r="J259" s="12"/>
      <c r="K259" s="13">
        <v>200</v>
      </c>
      <c r="L259" s="21">
        <v>15.96</v>
      </c>
      <c r="M259" s="14" t="s">
        <v>14</v>
      </c>
      <c r="N259" s="13">
        <v>3192</v>
      </c>
      <c r="O259" s="15">
        <f t="shared" ref="O259" si="156">(N259/K259)-L259</f>
        <v>0</v>
      </c>
      <c r="P259" s="10" t="s">
        <v>84</v>
      </c>
      <c r="Q259" s="11" t="s">
        <v>743</v>
      </c>
      <c r="R259" s="11" t="s">
        <v>744</v>
      </c>
      <c r="S259" s="16" t="s">
        <v>742</v>
      </c>
      <c r="T259" s="19" t="str">
        <f>MONTH(B259)&amp;"-"&amp;YEAR(B259)</f>
        <v>7-2020</v>
      </c>
      <c r="U259" s="2">
        <f>YEAR(B259)</f>
        <v>2020</v>
      </c>
      <c r="V259" s="2" t="str">
        <f>IF(DAY(B259)&gt;15,MONTH(B259)&amp;"-C",MONTH(B259)&amp;"-N")</f>
        <v>7-N</v>
      </c>
      <c r="W259" s="21">
        <v>15.96</v>
      </c>
      <c r="X259" s="2" t="b">
        <f t="shared" ref="X259" si="157">+L259=W259</f>
        <v>1</v>
      </c>
    </row>
    <row r="260" spans="2:24" x14ac:dyDescent="0.2">
      <c r="B260" s="17">
        <v>44031</v>
      </c>
      <c r="C260" s="10" t="s">
        <v>682</v>
      </c>
      <c r="D260" s="11" t="s">
        <v>745</v>
      </c>
      <c r="E260" s="26">
        <v>53657</v>
      </c>
      <c r="F260" s="10" t="s">
        <v>26</v>
      </c>
      <c r="G260" s="10" t="s">
        <v>27</v>
      </c>
      <c r="H260" s="27" t="s">
        <v>28</v>
      </c>
      <c r="I260" s="12"/>
      <c r="J260" s="12"/>
      <c r="K260" s="13">
        <v>10800</v>
      </c>
      <c r="L260" s="21">
        <v>3.17</v>
      </c>
      <c r="M260" s="14" t="s">
        <v>14</v>
      </c>
      <c r="N260" s="13">
        <v>34236</v>
      </c>
      <c r="O260" s="15">
        <f t="shared" ref="O260:O261" si="158">(N260/K260)-L260</f>
        <v>0</v>
      </c>
      <c r="P260" s="10" t="s">
        <v>78</v>
      </c>
      <c r="Q260" s="11" t="s">
        <v>746</v>
      </c>
      <c r="R260" s="11" t="s">
        <v>747</v>
      </c>
      <c r="S260" s="16" t="s">
        <v>748</v>
      </c>
      <c r="T260" s="19" t="str">
        <f>MONTH(B260)&amp;"-"&amp;YEAR(B260)</f>
        <v>7-2020</v>
      </c>
      <c r="U260" s="2">
        <f>YEAR(B260)</f>
        <v>2020</v>
      </c>
      <c r="V260" s="2" t="str">
        <f>IF(DAY(B260)&gt;15,MONTH(B260)&amp;"-C",MONTH(B260)&amp;"-N")</f>
        <v>7-C</v>
      </c>
      <c r="W260" s="21">
        <v>3.17</v>
      </c>
      <c r="X260" s="2" t="b">
        <f t="shared" ref="X260:X261" si="159">+L260=W260</f>
        <v>1</v>
      </c>
    </row>
    <row r="261" spans="2:24" x14ac:dyDescent="0.2">
      <c r="B261" s="17">
        <v>44031</v>
      </c>
      <c r="C261" s="10" t="s">
        <v>682</v>
      </c>
      <c r="D261" s="11" t="s">
        <v>745</v>
      </c>
      <c r="E261" s="26">
        <v>53659</v>
      </c>
      <c r="F261" s="10" t="s">
        <v>26</v>
      </c>
      <c r="G261" s="10" t="s">
        <v>27</v>
      </c>
      <c r="H261" s="27" t="s">
        <v>28</v>
      </c>
      <c r="I261" s="12"/>
      <c r="J261" s="12"/>
      <c r="K261" s="13">
        <v>10200</v>
      </c>
      <c r="L261" s="21">
        <v>3.17</v>
      </c>
      <c r="M261" s="14" t="s">
        <v>14</v>
      </c>
      <c r="N261" s="13">
        <v>32334</v>
      </c>
      <c r="O261" s="15">
        <f t="shared" si="158"/>
        <v>0</v>
      </c>
      <c r="P261" s="10" t="s">
        <v>78</v>
      </c>
      <c r="Q261" s="11" t="s">
        <v>746</v>
      </c>
      <c r="R261" s="11" t="s">
        <v>747</v>
      </c>
      <c r="S261" s="16" t="s">
        <v>748</v>
      </c>
      <c r="T261" s="19" t="str">
        <f>MONTH(B261)&amp;"-"&amp;YEAR(B261)</f>
        <v>7-2020</v>
      </c>
      <c r="U261" s="2">
        <f>YEAR(B261)</f>
        <v>2020</v>
      </c>
      <c r="V261" s="2" t="str">
        <f>IF(DAY(B261)&gt;15,MONTH(B261)&amp;"-C",MONTH(B261)&amp;"-N")</f>
        <v>7-C</v>
      </c>
      <c r="W261" s="21">
        <v>3.17</v>
      </c>
      <c r="X261" s="2" t="b">
        <f t="shared" si="159"/>
        <v>1</v>
      </c>
    </row>
    <row r="262" spans="2:24" x14ac:dyDescent="0.2">
      <c r="B262" s="17">
        <v>44035</v>
      </c>
      <c r="C262" s="10" t="s">
        <v>94</v>
      </c>
      <c r="D262" s="11" t="s">
        <v>694</v>
      </c>
      <c r="E262" s="26">
        <v>53724</v>
      </c>
      <c r="F262" s="10" t="s">
        <v>26</v>
      </c>
      <c r="G262" s="10" t="s">
        <v>27</v>
      </c>
      <c r="H262" s="27" t="s">
        <v>28</v>
      </c>
      <c r="I262" s="12"/>
      <c r="J262" s="12"/>
      <c r="K262" s="13">
        <v>16200</v>
      </c>
      <c r="L262" s="21">
        <v>3.2</v>
      </c>
      <c r="M262" s="14" t="s">
        <v>14</v>
      </c>
      <c r="N262" s="13">
        <v>51840</v>
      </c>
      <c r="O262" s="15">
        <f t="shared" ref="O262" si="160">(N262/K262)-L262</f>
        <v>0</v>
      </c>
      <c r="P262" s="10" t="s">
        <v>78</v>
      </c>
      <c r="Q262" s="11" t="s">
        <v>750</v>
      </c>
      <c r="R262" s="11" t="s">
        <v>751</v>
      </c>
      <c r="S262" s="16" t="s">
        <v>749</v>
      </c>
      <c r="T262" s="19" t="str">
        <f>MONTH(B262)&amp;"-"&amp;YEAR(B262)</f>
        <v>7-2020</v>
      </c>
      <c r="U262" s="2">
        <f>YEAR(B262)</f>
        <v>2020</v>
      </c>
      <c r="V262" s="2" t="str">
        <f>IF(DAY(B262)&gt;15,MONTH(B262)&amp;"-C",MONTH(B262)&amp;"-N")</f>
        <v>7-C</v>
      </c>
      <c r="W262" s="21">
        <v>3.2</v>
      </c>
      <c r="X262" s="2" t="b">
        <f t="shared" ref="X262" si="161">+L262=W262</f>
        <v>1</v>
      </c>
    </row>
    <row r="263" spans="2:24" x14ac:dyDescent="0.2">
      <c r="B263" s="17">
        <v>44035</v>
      </c>
      <c r="C263" s="10" t="s">
        <v>88</v>
      </c>
      <c r="D263" s="11" t="s">
        <v>686</v>
      </c>
      <c r="E263" s="26">
        <v>53730</v>
      </c>
      <c r="F263" s="10" t="s">
        <v>98</v>
      </c>
      <c r="G263" s="10" t="s">
        <v>46</v>
      </c>
      <c r="H263" s="27" t="s">
        <v>99</v>
      </c>
      <c r="I263" s="12"/>
      <c r="J263" s="12"/>
      <c r="K263" s="13">
        <v>50</v>
      </c>
      <c r="L263" s="21">
        <v>11.15</v>
      </c>
      <c r="M263" s="14" t="s">
        <v>14</v>
      </c>
      <c r="N263" s="13">
        <v>557.5</v>
      </c>
      <c r="O263" s="15">
        <f t="shared" ref="O263:O267" si="162">(N263/K263)-L263</f>
        <v>0</v>
      </c>
      <c r="P263" s="10" t="s">
        <v>84</v>
      </c>
      <c r="Q263" s="11" t="s">
        <v>753</v>
      </c>
      <c r="R263" s="11" t="s">
        <v>754</v>
      </c>
      <c r="S263" s="16" t="s">
        <v>752</v>
      </c>
      <c r="T263" s="19" t="str">
        <f>MONTH(B263)&amp;"-"&amp;YEAR(B263)</f>
        <v>7-2020</v>
      </c>
      <c r="U263" s="2">
        <f>YEAR(B263)</f>
        <v>2020</v>
      </c>
      <c r="V263" s="2" t="str">
        <f>IF(DAY(B263)&gt;15,MONTH(B263)&amp;"-C",MONTH(B263)&amp;"-N")</f>
        <v>7-C</v>
      </c>
      <c r="W263" s="21">
        <v>11.15</v>
      </c>
      <c r="X263" s="2" t="b">
        <f t="shared" ref="X263:X267" si="163">+L263=W263</f>
        <v>1</v>
      </c>
    </row>
    <row r="264" spans="2:24" x14ac:dyDescent="0.2">
      <c r="B264" s="17">
        <v>44035</v>
      </c>
      <c r="C264" s="10" t="s">
        <v>88</v>
      </c>
      <c r="D264" s="11" t="s">
        <v>686</v>
      </c>
      <c r="E264" s="26">
        <v>53730</v>
      </c>
      <c r="F264" s="10" t="s">
        <v>100</v>
      </c>
      <c r="G264" s="10" t="s">
        <v>46</v>
      </c>
      <c r="H264" s="27" t="s">
        <v>101</v>
      </c>
      <c r="I264" s="12"/>
      <c r="J264" s="12"/>
      <c r="K264" s="13">
        <v>2475</v>
      </c>
      <c r="L264" s="21">
        <v>11.15</v>
      </c>
      <c r="M264" s="14" t="s">
        <v>14</v>
      </c>
      <c r="N264" s="13">
        <v>27596.25</v>
      </c>
      <c r="O264" s="15">
        <f t="shared" si="162"/>
        <v>0</v>
      </c>
      <c r="P264" s="10" t="s">
        <v>84</v>
      </c>
      <c r="Q264" s="11" t="s">
        <v>753</v>
      </c>
      <c r="R264" s="11" t="s">
        <v>754</v>
      </c>
      <c r="S264" s="16" t="s">
        <v>752</v>
      </c>
      <c r="T264" s="19" t="str">
        <f>MONTH(B264)&amp;"-"&amp;YEAR(B264)</f>
        <v>7-2020</v>
      </c>
      <c r="U264" s="2">
        <f>YEAR(B264)</f>
        <v>2020</v>
      </c>
      <c r="V264" s="2" t="str">
        <f>IF(DAY(B264)&gt;15,MONTH(B264)&amp;"-C",MONTH(B264)&amp;"-N")</f>
        <v>7-C</v>
      </c>
      <c r="W264" s="21">
        <v>11.15</v>
      </c>
      <c r="X264" s="2" t="b">
        <f t="shared" si="163"/>
        <v>1</v>
      </c>
    </row>
    <row r="265" spans="2:24" x14ac:dyDescent="0.2">
      <c r="B265" s="17">
        <v>44035</v>
      </c>
      <c r="C265" s="10" t="s">
        <v>25</v>
      </c>
      <c r="D265" s="11" t="s">
        <v>716</v>
      </c>
      <c r="E265" s="26">
        <v>53737</v>
      </c>
      <c r="F265" s="10" t="s">
        <v>29</v>
      </c>
      <c r="G265" s="10" t="s">
        <v>27</v>
      </c>
      <c r="H265" s="27" t="s">
        <v>30</v>
      </c>
      <c r="I265" s="12"/>
      <c r="J265" s="12"/>
      <c r="K265" s="13">
        <v>3300</v>
      </c>
      <c r="L265" s="21">
        <v>4</v>
      </c>
      <c r="M265" s="14" t="s">
        <v>14</v>
      </c>
      <c r="N265" s="13">
        <v>13200</v>
      </c>
      <c r="O265" s="15">
        <f t="shared" si="162"/>
        <v>0</v>
      </c>
      <c r="P265" s="10" t="s">
        <v>78</v>
      </c>
      <c r="Q265" s="11" t="s">
        <v>756</v>
      </c>
      <c r="R265" s="11" t="s">
        <v>295</v>
      </c>
      <c r="S265" s="16" t="s">
        <v>755</v>
      </c>
      <c r="T265" s="19" t="str">
        <f>MONTH(B265)&amp;"-"&amp;YEAR(B265)</f>
        <v>7-2020</v>
      </c>
      <c r="U265" s="2">
        <f>YEAR(B265)</f>
        <v>2020</v>
      </c>
      <c r="V265" s="2" t="str">
        <f>IF(DAY(B265)&gt;15,MONTH(B265)&amp;"-C",MONTH(B265)&amp;"-N")</f>
        <v>7-C</v>
      </c>
      <c r="W265" s="21">
        <v>4</v>
      </c>
      <c r="X265" s="2" t="b">
        <f t="shared" si="163"/>
        <v>1</v>
      </c>
    </row>
    <row r="266" spans="2:24" x14ac:dyDescent="0.2">
      <c r="B266" s="17">
        <v>44035</v>
      </c>
      <c r="C266" s="10" t="s">
        <v>25</v>
      </c>
      <c r="D266" s="11" t="s">
        <v>727</v>
      </c>
      <c r="E266" s="26">
        <v>53738</v>
      </c>
      <c r="F266" s="10" t="s">
        <v>31</v>
      </c>
      <c r="G266" s="10" t="s">
        <v>27</v>
      </c>
      <c r="H266" s="27" t="s">
        <v>32</v>
      </c>
      <c r="I266" s="12"/>
      <c r="J266" s="12"/>
      <c r="K266" s="13">
        <v>1280</v>
      </c>
      <c r="L266" s="21">
        <v>4.4000000000000004</v>
      </c>
      <c r="M266" s="14" t="s">
        <v>14</v>
      </c>
      <c r="N266" s="13">
        <v>5632</v>
      </c>
      <c r="O266" s="15">
        <f t="shared" si="162"/>
        <v>0</v>
      </c>
      <c r="P266" s="10" t="s">
        <v>78</v>
      </c>
      <c r="Q266" s="11" t="s">
        <v>758</v>
      </c>
      <c r="R266" s="11" t="s">
        <v>273</v>
      </c>
      <c r="S266" s="16" t="s">
        <v>757</v>
      </c>
      <c r="T266" s="19" t="str">
        <f>MONTH(B266)&amp;"-"&amp;YEAR(B266)</f>
        <v>7-2020</v>
      </c>
      <c r="U266" s="2">
        <f>YEAR(B266)</f>
        <v>2020</v>
      </c>
      <c r="V266" s="2" t="str">
        <f>IF(DAY(B266)&gt;15,MONTH(B266)&amp;"-C",MONTH(B266)&amp;"-N")</f>
        <v>7-C</v>
      </c>
      <c r="W266" s="21">
        <v>4.4000000000000004</v>
      </c>
      <c r="X266" s="2" t="b">
        <f t="shared" si="163"/>
        <v>1</v>
      </c>
    </row>
    <row r="267" spans="2:24" x14ac:dyDescent="0.2">
      <c r="B267" s="17">
        <v>44037</v>
      </c>
      <c r="C267" s="10" t="s">
        <v>80</v>
      </c>
      <c r="D267" s="11" t="s">
        <v>503</v>
      </c>
      <c r="E267" s="26">
        <v>53752</v>
      </c>
      <c r="F267" s="10" t="s">
        <v>26</v>
      </c>
      <c r="G267" s="10" t="s">
        <v>27</v>
      </c>
      <c r="H267" s="27" t="s">
        <v>28</v>
      </c>
      <c r="I267" s="12"/>
      <c r="J267" s="12"/>
      <c r="K267" s="13">
        <v>6300</v>
      </c>
      <c r="L267" s="21">
        <v>3.15</v>
      </c>
      <c r="M267" s="14" t="s">
        <v>14</v>
      </c>
      <c r="N267" s="13">
        <v>19845</v>
      </c>
      <c r="O267" s="15">
        <f t="shared" si="162"/>
        <v>0</v>
      </c>
      <c r="P267" s="10" t="s">
        <v>78</v>
      </c>
      <c r="Q267" s="11" t="s">
        <v>760</v>
      </c>
      <c r="R267" s="11" t="s">
        <v>761</v>
      </c>
      <c r="S267" s="16" t="s">
        <v>759</v>
      </c>
      <c r="T267" s="19" t="str">
        <f>MONTH(B267)&amp;"-"&amp;YEAR(B267)</f>
        <v>7-2020</v>
      </c>
      <c r="U267" s="2">
        <f>YEAR(B267)</f>
        <v>2020</v>
      </c>
      <c r="V267" s="2" t="str">
        <f>IF(DAY(B267)&gt;15,MONTH(B267)&amp;"-C",MONTH(B267)&amp;"-N")</f>
        <v>7-C</v>
      </c>
      <c r="W267" s="21">
        <v>3.15</v>
      </c>
      <c r="X267" s="2" t="b">
        <f t="shared" si="163"/>
        <v>1</v>
      </c>
    </row>
    <row r="268" spans="2:24" x14ac:dyDescent="0.2">
      <c r="B268" s="17">
        <v>44037</v>
      </c>
      <c r="C268" s="10" t="s">
        <v>107</v>
      </c>
      <c r="D268" s="11" t="s">
        <v>762</v>
      </c>
      <c r="E268" s="26">
        <v>53753</v>
      </c>
      <c r="F268" s="10" t="s">
        <v>142</v>
      </c>
      <c r="G268" s="10" t="s">
        <v>46</v>
      </c>
      <c r="H268" s="27" t="s">
        <v>143</v>
      </c>
      <c r="I268" s="12"/>
      <c r="J268" s="12"/>
      <c r="K268" s="13">
        <v>2200</v>
      </c>
      <c r="L268" s="21">
        <v>9</v>
      </c>
      <c r="M268" s="14" t="s">
        <v>14</v>
      </c>
      <c r="N268" s="13">
        <v>19800</v>
      </c>
      <c r="O268" s="15">
        <f t="shared" ref="O268:O270" si="164">(N268/K268)-L268</f>
        <v>0</v>
      </c>
      <c r="P268" s="10" t="s">
        <v>84</v>
      </c>
      <c r="Q268" s="11" t="s">
        <v>764</v>
      </c>
      <c r="R268" s="11" t="s">
        <v>765</v>
      </c>
      <c r="S268" s="16" t="s">
        <v>763</v>
      </c>
      <c r="T268" s="19" t="str">
        <f>MONTH(B268)&amp;"-"&amp;YEAR(B268)</f>
        <v>7-2020</v>
      </c>
      <c r="U268" s="2">
        <f>YEAR(B268)</f>
        <v>2020</v>
      </c>
      <c r="V268" s="2" t="str">
        <f>IF(DAY(B268)&gt;15,MONTH(B268)&amp;"-C",MONTH(B268)&amp;"-N")</f>
        <v>7-C</v>
      </c>
      <c r="W268" s="21">
        <v>9</v>
      </c>
      <c r="X268" s="2" t="b">
        <f t="shared" ref="X268:X270" si="165">+L268=W268</f>
        <v>1</v>
      </c>
    </row>
    <row r="269" spans="2:24" x14ac:dyDescent="0.2">
      <c r="B269" s="17">
        <v>44037</v>
      </c>
      <c r="C269" s="10" t="s">
        <v>107</v>
      </c>
      <c r="D269" s="11" t="s">
        <v>762</v>
      </c>
      <c r="E269" s="26">
        <v>53753</v>
      </c>
      <c r="F269" s="10" t="s">
        <v>144</v>
      </c>
      <c r="G269" s="10" t="s">
        <v>46</v>
      </c>
      <c r="H269" s="27" t="s">
        <v>145</v>
      </c>
      <c r="I269" s="12"/>
      <c r="J269" s="12"/>
      <c r="K269" s="13">
        <v>340</v>
      </c>
      <c r="L269" s="21">
        <v>9</v>
      </c>
      <c r="M269" s="14" t="s">
        <v>14</v>
      </c>
      <c r="N269" s="13">
        <v>3060</v>
      </c>
      <c r="O269" s="15">
        <f t="shared" si="164"/>
        <v>0</v>
      </c>
      <c r="P269" s="10" t="s">
        <v>84</v>
      </c>
      <c r="Q269" s="11" t="s">
        <v>764</v>
      </c>
      <c r="R269" s="11" t="s">
        <v>765</v>
      </c>
      <c r="S269" s="16" t="s">
        <v>763</v>
      </c>
      <c r="T269" s="19" t="str">
        <f>MONTH(B269)&amp;"-"&amp;YEAR(B269)</f>
        <v>7-2020</v>
      </c>
      <c r="U269" s="2">
        <f>YEAR(B269)</f>
        <v>2020</v>
      </c>
      <c r="V269" s="2" t="str">
        <f>IF(DAY(B269)&gt;15,MONTH(B269)&amp;"-C",MONTH(B269)&amp;"-N")</f>
        <v>7-C</v>
      </c>
      <c r="W269" s="21">
        <v>9</v>
      </c>
      <c r="X269" s="2" t="b">
        <f t="shared" si="165"/>
        <v>1</v>
      </c>
    </row>
    <row r="270" spans="2:24" x14ac:dyDescent="0.2">
      <c r="B270" s="17">
        <v>44038</v>
      </c>
      <c r="C270" s="10" t="s">
        <v>25</v>
      </c>
      <c r="D270" s="11" t="s">
        <v>716</v>
      </c>
      <c r="E270" s="26">
        <v>53782</v>
      </c>
      <c r="F270" s="10" t="s">
        <v>26</v>
      </c>
      <c r="G270" s="10" t="s">
        <v>27</v>
      </c>
      <c r="H270" s="27" t="s">
        <v>28</v>
      </c>
      <c r="I270" s="12"/>
      <c r="J270" s="12"/>
      <c r="K270" s="13">
        <v>19800</v>
      </c>
      <c r="L270" s="21">
        <v>3.18</v>
      </c>
      <c r="M270" s="14" t="s">
        <v>14</v>
      </c>
      <c r="N270" s="13">
        <v>62964</v>
      </c>
      <c r="O270" s="15">
        <f t="shared" si="164"/>
        <v>0</v>
      </c>
      <c r="P270" s="10" t="s">
        <v>78</v>
      </c>
      <c r="Q270" s="11" t="s">
        <v>767</v>
      </c>
      <c r="R270" s="11" t="s">
        <v>269</v>
      </c>
      <c r="S270" s="16" t="s">
        <v>766</v>
      </c>
      <c r="T270" s="19" t="str">
        <f>MONTH(B270)&amp;"-"&amp;YEAR(B270)</f>
        <v>7-2020</v>
      </c>
      <c r="U270" s="2">
        <f>YEAR(B270)</f>
        <v>2020</v>
      </c>
      <c r="V270" s="2" t="str">
        <f>IF(DAY(B270)&gt;15,MONTH(B270)&amp;"-C",MONTH(B270)&amp;"-N")</f>
        <v>7-C</v>
      </c>
      <c r="W270" s="21">
        <v>3.18</v>
      </c>
      <c r="X270" s="2" t="b">
        <f t="shared" si="165"/>
        <v>1</v>
      </c>
    </row>
    <row r="271" spans="2:24" x14ac:dyDescent="0.2">
      <c r="B271" s="17">
        <v>44040</v>
      </c>
      <c r="C271" s="10" t="s">
        <v>108</v>
      </c>
      <c r="D271" s="11" t="s">
        <v>768</v>
      </c>
      <c r="E271" s="26">
        <v>53813</v>
      </c>
      <c r="F271" s="10" t="s">
        <v>121</v>
      </c>
      <c r="G271" s="10" t="s">
        <v>46</v>
      </c>
      <c r="H271" s="27" t="s">
        <v>122</v>
      </c>
      <c r="I271" s="12"/>
      <c r="J271" s="12"/>
      <c r="K271" s="13">
        <v>460</v>
      </c>
      <c r="L271" s="21">
        <v>9.5500000000000007</v>
      </c>
      <c r="M271" s="14" t="s">
        <v>14</v>
      </c>
      <c r="N271" s="13">
        <v>4393</v>
      </c>
      <c r="O271" s="15">
        <f t="shared" ref="O271:O272" si="166">(N271/K271)-L271</f>
        <v>0</v>
      </c>
      <c r="P271" s="10" t="s">
        <v>84</v>
      </c>
      <c r="Q271" s="11" t="s">
        <v>770</v>
      </c>
      <c r="R271" s="11" t="s">
        <v>771</v>
      </c>
      <c r="S271" s="16" t="s">
        <v>769</v>
      </c>
      <c r="T271" s="19" t="str">
        <f>MONTH(B271)&amp;"-"&amp;YEAR(B271)</f>
        <v>7-2020</v>
      </c>
      <c r="U271" s="2">
        <f>YEAR(B271)</f>
        <v>2020</v>
      </c>
      <c r="V271" s="2" t="str">
        <f>IF(DAY(B271)&gt;15,MONTH(B271)&amp;"-C",MONTH(B271)&amp;"-N")</f>
        <v>7-C</v>
      </c>
      <c r="W271" s="21">
        <v>9.5500000000000007</v>
      </c>
      <c r="X271" s="2" t="b">
        <f t="shared" ref="X271:X272" si="167">+L271=W271</f>
        <v>1</v>
      </c>
    </row>
    <row r="272" spans="2:24" x14ac:dyDescent="0.2">
      <c r="B272" s="17">
        <v>44040</v>
      </c>
      <c r="C272" s="10" t="s">
        <v>108</v>
      </c>
      <c r="D272" s="11" t="s">
        <v>768</v>
      </c>
      <c r="E272" s="26">
        <v>53813</v>
      </c>
      <c r="F272" s="10" t="s">
        <v>123</v>
      </c>
      <c r="G272" s="10" t="s">
        <v>46</v>
      </c>
      <c r="H272" s="27" t="s">
        <v>124</v>
      </c>
      <c r="I272" s="12"/>
      <c r="J272" s="12"/>
      <c r="K272" s="13">
        <v>690</v>
      </c>
      <c r="L272" s="21">
        <v>12.16</v>
      </c>
      <c r="M272" s="14" t="s">
        <v>14</v>
      </c>
      <c r="N272" s="13">
        <v>8390.4</v>
      </c>
      <c r="O272" s="15">
        <f t="shared" si="166"/>
        <v>0</v>
      </c>
      <c r="P272" s="10" t="s">
        <v>84</v>
      </c>
      <c r="Q272" s="11" t="s">
        <v>770</v>
      </c>
      <c r="R272" s="11" t="s">
        <v>771</v>
      </c>
      <c r="S272" s="16" t="s">
        <v>769</v>
      </c>
      <c r="T272" s="19" t="str">
        <f>MONTH(B272)&amp;"-"&amp;YEAR(B272)</f>
        <v>7-2020</v>
      </c>
      <c r="U272" s="2">
        <f>YEAR(B272)</f>
        <v>2020</v>
      </c>
      <c r="V272" s="2" t="str">
        <f>IF(DAY(B272)&gt;15,MONTH(B272)&amp;"-C",MONTH(B272)&amp;"-N")</f>
        <v>7-C</v>
      </c>
      <c r="W272" s="21">
        <v>12.16</v>
      </c>
      <c r="X272" s="2" t="b">
        <f t="shared" si="167"/>
        <v>1</v>
      </c>
    </row>
    <row r="273" spans="2:24" x14ac:dyDescent="0.2">
      <c r="B273" s="17">
        <v>44042</v>
      </c>
      <c r="C273" s="10" t="s">
        <v>48</v>
      </c>
      <c r="D273" s="11" t="s">
        <v>552</v>
      </c>
      <c r="E273" s="26">
        <v>53846</v>
      </c>
      <c r="F273" s="10" t="s">
        <v>135</v>
      </c>
      <c r="G273" s="10" t="s">
        <v>46</v>
      </c>
      <c r="H273" s="27" t="s">
        <v>136</v>
      </c>
      <c r="I273" s="12"/>
      <c r="J273" s="12"/>
      <c r="K273" s="13">
        <v>6400</v>
      </c>
      <c r="L273" s="21">
        <v>10.022</v>
      </c>
      <c r="M273" s="14" t="s">
        <v>14</v>
      </c>
      <c r="N273" s="13">
        <v>64143.360000000001</v>
      </c>
      <c r="O273" s="15">
        <f t="shared" ref="O273:O274" si="168">(N273/K273)-L273</f>
        <v>3.9999999999906777E-4</v>
      </c>
      <c r="P273" s="10" t="s">
        <v>90</v>
      </c>
      <c r="Q273" s="11" t="s">
        <v>773</v>
      </c>
      <c r="R273" s="11" t="s">
        <v>774</v>
      </c>
      <c r="S273" s="16" t="s">
        <v>772</v>
      </c>
      <c r="T273" s="19" t="str">
        <f>MONTH(B273)&amp;"-"&amp;YEAR(B273)</f>
        <v>7-2020</v>
      </c>
      <c r="U273" s="2">
        <f>YEAR(B273)</f>
        <v>2020</v>
      </c>
      <c r="V273" s="2" t="str">
        <f>IF(DAY(B273)&gt;15,MONTH(B273)&amp;"-C",MONTH(B273)&amp;"-N")</f>
        <v>7-C</v>
      </c>
      <c r="W273" s="21">
        <v>10.022</v>
      </c>
      <c r="X273" s="2" t="b">
        <f t="shared" ref="X273:X274" si="169">+L273=W273</f>
        <v>1</v>
      </c>
    </row>
    <row r="274" spans="2:24" x14ac:dyDescent="0.2">
      <c r="B274" s="17">
        <v>44042</v>
      </c>
      <c r="C274" s="10" t="s">
        <v>48</v>
      </c>
      <c r="D274" s="11" t="s">
        <v>552</v>
      </c>
      <c r="E274" s="26">
        <v>53846</v>
      </c>
      <c r="F274" s="10" t="s">
        <v>71</v>
      </c>
      <c r="G274" s="10" t="s">
        <v>46</v>
      </c>
      <c r="H274" s="27" t="s">
        <v>72</v>
      </c>
      <c r="I274" s="12"/>
      <c r="J274" s="12"/>
      <c r="K274" s="13">
        <v>9600</v>
      </c>
      <c r="L274" s="21">
        <v>10.022</v>
      </c>
      <c r="M274" s="14" t="s">
        <v>14</v>
      </c>
      <c r="N274" s="13">
        <v>96215.039999999994</v>
      </c>
      <c r="O274" s="15">
        <f t="shared" si="168"/>
        <v>3.9999999999906777E-4</v>
      </c>
      <c r="P274" s="10" t="s">
        <v>90</v>
      </c>
      <c r="Q274" s="11" t="s">
        <v>773</v>
      </c>
      <c r="R274" s="11" t="s">
        <v>774</v>
      </c>
      <c r="S274" s="16" t="s">
        <v>772</v>
      </c>
      <c r="T274" s="19" t="str">
        <f>MONTH(B274)&amp;"-"&amp;YEAR(B274)</f>
        <v>7-2020</v>
      </c>
      <c r="U274" s="2">
        <f>YEAR(B274)</f>
        <v>2020</v>
      </c>
      <c r="V274" s="2" t="str">
        <f>IF(DAY(B274)&gt;15,MONTH(B274)&amp;"-C",MONTH(B274)&amp;"-N")</f>
        <v>7-C</v>
      </c>
      <c r="W274" s="21">
        <v>10.022</v>
      </c>
      <c r="X274" s="2" t="b">
        <f t="shared" si="169"/>
        <v>1</v>
      </c>
    </row>
    <row r="275" spans="2:24" x14ac:dyDescent="0.2">
      <c r="B275" s="17">
        <v>44047</v>
      </c>
      <c r="C275" s="10" t="s">
        <v>107</v>
      </c>
      <c r="D275" s="11" t="s">
        <v>775</v>
      </c>
      <c r="E275" s="26">
        <v>53900</v>
      </c>
      <c r="F275" s="10" t="s">
        <v>103</v>
      </c>
      <c r="G275" s="10" t="s">
        <v>46</v>
      </c>
      <c r="H275" s="27" t="s">
        <v>104</v>
      </c>
      <c r="I275" s="12"/>
      <c r="J275" s="12"/>
      <c r="K275" s="13">
        <v>95</v>
      </c>
      <c r="L275" s="21">
        <v>37.200000000000003</v>
      </c>
      <c r="M275" s="14" t="s">
        <v>14</v>
      </c>
      <c r="N275" s="13">
        <v>3534</v>
      </c>
      <c r="O275" s="15">
        <f t="shared" ref="O275:O276" si="170">(N275/K275)-L275</f>
        <v>0</v>
      </c>
      <c r="P275" s="10" t="s">
        <v>84</v>
      </c>
      <c r="Q275" s="11" t="s">
        <v>777</v>
      </c>
      <c r="R275" s="11" t="s">
        <v>778</v>
      </c>
      <c r="S275" s="16" t="s">
        <v>776</v>
      </c>
      <c r="T275" s="19" t="str">
        <f>MONTH(B275)&amp;"-"&amp;YEAR(B275)</f>
        <v>8-2020</v>
      </c>
      <c r="U275" s="2">
        <f>YEAR(B275)</f>
        <v>2020</v>
      </c>
      <c r="V275" s="2" t="str">
        <f>IF(DAY(B275)&gt;15,MONTH(B275)&amp;"-C",MONTH(B275)&amp;"-N")</f>
        <v>8-N</v>
      </c>
      <c r="W275" s="21">
        <v>37.200000000000003</v>
      </c>
      <c r="X275" s="2" t="b">
        <f t="shared" ref="X275:X276" si="171">+L275=W275</f>
        <v>1</v>
      </c>
    </row>
    <row r="276" spans="2:24" x14ac:dyDescent="0.2">
      <c r="B276" s="17">
        <v>44047</v>
      </c>
      <c r="C276" s="10" t="s">
        <v>107</v>
      </c>
      <c r="D276" s="11" t="s">
        <v>775</v>
      </c>
      <c r="E276" s="26">
        <v>53900</v>
      </c>
      <c r="F276" s="10" t="s">
        <v>105</v>
      </c>
      <c r="G276" s="10" t="s">
        <v>46</v>
      </c>
      <c r="H276" s="27" t="s">
        <v>106</v>
      </c>
      <c r="I276" s="12"/>
      <c r="J276" s="12"/>
      <c r="K276" s="13">
        <v>3080</v>
      </c>
      <c r="L276" s="21">
        <v>12.3</v>
      </c>
      <c r="M276" s="14" t="s">
        <v>14</v>
      </c>
      <c r="N276" s="13">
        <v>37884</v>
      </c>
      <c r="O276" s="15">
        <f t="shared" si="170"/>
        <v>0</v>
      </c>
      <c r="P276" s="10" t="s">
        <v>84</v>
      </c>
      <c r="Q276" s="11" t="s">
        <v>777</v>
      </c>
      <c r="R276" s="11" t="s">
        <v>778</v>
      </c>
      <c r="S276" s="16" t="s">
        <v>776</v>
      </c>
      <c r="T276" s="19" t="str">
        <f>MONTH(B276)&amp;"-"&amp;YEAR(B276)</f>
        <v>8-2020</v>
      </c>
      <c r="U276" s="2">
        <f>YEAR(B276)</f>
        <v>2020</v>
      </c>
      <c r="V276" s="2" t="str">
        <f>IF(DAY(B276)&gt;15,MONTH(B276)&amp;"-C",MONTH(B276)&amp;"-N")</f>
        <v>8-N</v>
      </c>
      <c r="W276" s="21">
        <v>12.3</v>
      </c>
      <c r="X276" s="2" t="b">
        <f t="shared" si="171"/>
        <v>1</v>
      </c>
    </row>
    <row r="277" spans="2:24" x14ac:dyDescent="0.2">
      <c r="B277" s="17">
        <v>44047</v>
      </c>
      <c r="C277" s="10" t="s">
        <v>25</v>
      </c>
      <c r="D277" s="11" t="s">
        <v>779</v>
      </c>
      <c r="E277" s="26">
        <v>53885</v>
      </c>
      <c r="F277" s="10" t="s">
        <v>29</v>
      </c>
      <c r="G277" s="10" t="s">
        <v>27</v>
      </c>
      <c r="H277" s="27" t="s">
        <v>30</v>
      </c>
      <c r="I277" s="12"/>
      <c r="J277" s="12"/>
      <c r="K277" s="13">
        <v>1980</v>
      </c>
      <c r="L277" s="21">
        <v>3.78</v>
      </c>
      <c r="M277" s="14" t="s">
        <v>14</v>
      </c>
      <c r="N277" s="13">
        <v>7484.4</v>
      </c>
      <c r="O277" s="15">
        <f t="shared" ref="O277:O289" si="172">(N277/K277)-L277</f>
        <v>0</v>
      </c>
      <c r="P277" s="10" t="s">
        <v>78</v>
      </c>
      <c r="Q277" s="11" t="s">
        <v>781</v>
      </c>
      <c r="R277" s="11" t="s">
        <v>291</v>
      </c>
      <c r="S277" s="16" t="s">
        <v>780</v>
      </c>
      <c r="T277" s="19" t="str">
        <f>MONTH(B277)&amp;"-"&amp;YEAR(B277)</f>
        <v>8-2020</v>
      </c>
      <c r="U277" s="2">
        <f>YEAR(B277)</f>
        <v>2020</v>
      </c>
      <c r="V277" s="2" t="str">
        <f>IF(DAY(B277)&gt;15,MONTH(B277)&amp;"-C",MONTH(B277)&amp;"-N")</f>
        <v>8-N</v>
      </c>
      <c r="W277" s="21">
        <v>3.78</v>
      </c>
      <c r="X277" s="2" t="b">
        <f t="shared" ref="X277:X289" si="173">+L277=W277</f>
        <v>1</v>
      </c>
    </row>
    <row r="278" spans="2:24" x14ac:dyDescent="0.2">
      <c r="B278" s="17">
        <v>44047</v>
      </c>
      <c r="C278" s="10" t="s">
        <v>25</v>
      </c>
      <c r="D278" s="11" t="s">
        <v>779</v>
      </c>
      <c r="E278" s="26">
        <v>53885</v>
      </c>
      <c r="F278" s="10" t="s">
        <v>31</v>
      </c>
      <c r="G278" s="10" t="s">
        <v>27</v>
      </c>
      <c r="H278" s="27" t="s">
        <v>32</v>
      </c>
      <c r="I278" s="12"/>
      <c r="J278" s="12"/>
      <c r="K278" s="13">
        <v>1280</v>
      </c>
      <c r="L278" s="21">
        <v>4.18</v>
      </c>
      <c r="M278" s="14" t="s">
        <v>14</v>
      </c>
      <c r="N278" s="13">
        <v>5350.4</v>
      </c>
      <c r="O278" s="15">
        <f t="shared" si="172"/>
        <v>0</v>
      </c>
      <c r="P278" s="10" t="s">
        <v>78</v>
      </c>
      <c r="Q278" s="11" t="s">
        <v>781</v>
      </c>
      <c r="R278" s="11" t="s">
        <v>291</v>
      </c>
      <c r="S278" s="16" t="s">
        <v>780</v>
      </c>
      <c r="T278" s="19" t="str">
        <f>MONTH(B278)&amp;"-"&amp;YEAR(B278)</f>
        <v>8-2020</v>
      </c>
      <c r="U278" s="2">
        <f>YEAR(B278)</f>
        <v>2020</v>
      </c>
      <c r="V278" s="2" t="str">
        <f>IF(DAY(B278)&gt;15,MONTH(B278)&amp;"-C",MONTH(B278)&amp;"-N")</f>
        <v>8-N</v>
      </c>
      <c r="W278" s="21">
        <v>4.18</v>
      </c>
      <c r="X278" s="2" t="b">
        <f t="shared" si="173"/>
        <v>1</v>
      </c>
    </row>
    <row r="279" spans="2:24" x14ac:dyDescent="0.2">
      <c r="B279" s="17">
        <v>44047</v>
      </c>
      <c r="C279" s="10" t="s">
        <v>25</v>
      </c>
      <c r="D279" s="11" t="s">
        <v>779</v>
      </c>
      <c r="E279" s="26">
        <v>53885</v>
      </c>
      <c r="F279" s="10" t="s">
        <v>49</v>
      </c>
      <c r="G279" s="10" t="s">
        <v>27</v>
      </c>
      <c r="H279" s="27" t="s">
        <v>50</v>
      </c>
      <c r="I279" s="12"/>
      <c r="J279" s="12"/>
      <c r="K279" s="13">
        <v>1520</v>
      </c>
      <c r="L279" s="21">
        <v>5.18</v>
      </c>
      <c r="M279" s="14" t="s">
        <v>14</v>
      </c>
      <c r="N279" s="13">
        <v>7873.6</v>
      </c>
      <c r="O279" s="15">
        <f t="shared" si="172"/>
        <v>0</v>
      </c>
      <c r="P279" s="10" t="s">
        <v>78</v>
      </c>
      <c r="Q279" s="11" t="s">
        <v>781</v>
      </c>
      <c r="R279" s="11" t="s">
        <v>291</v>
      </c>
      <c r="S279" s="16" t="s">
        <v>780</v>
      </c>
      <c r="T279" s="19" t="str">
        <f>MONTH(B279)&amp;"-"&amp;YEAR(B279)</f>
        <v>8-2020</v>
      </c>
      <c r="U279" s="2">
        <f>YEAR(B279)</f>
        <v>2020</v>
      </c>
      <c r="V279" s="2" t="str">
        <f>IF(DAY(B279)&gt;15,MONTH(B279)&amp;"-C",MONTH(B279)&amp;"-N")</f>
        <v>8-N</v>
      </c>
      <c r="W279" s="21">
        <v>5.18</v>
      </c>
      <c r="X279" s="2" t="b">
        <f t="shared" si="173"/>
        <v>1</v>
      </c>
    </row>
    <row r="280" spans="2:24" x14ac:dyDescent="0.2">
      <c r="B280" s="17">
        <v>44047</v>
      </c>
      <c r="C280" s="10" t="s">
        <v>25</v>
      </c>
      <c r="D280" s="11" t="s">
        <v>779</v>
      </c>
      <c r="E280" s="26">
        <v>53885</v>
      </c>
      <c r="F280" s="10" t="s">
        <v>33</v>
      </c>
      <c r="G280" s="10" t="s">
        <v>27</v>
      </c>
      <c r="H280" s="27" t="s">
        <v>34</v>
      </c>
      <c r="I280" s="12"/>
      <c r="J280" s="12"/>
      <c r="K280" s="13">
        <v>2160</v>
      </c>
      <c r="L280" s="21">
        <v>5.5</v>
      </c>
      <c r="M280" s="14" t="s">
        <v>14</v>
      </c>
      <c r="N280" s="13">
        <v>11880</v>
      </c>
      <c r="O280" s="15">
        <f t="shared" si="172"/>
        <v>0</v>
      </c>
      <c r="P280" s="10" t="s">
        <v>78</v>
      </c>
      <c r="Q280" s="11" t="s">
        <v>781</v>
      </c>
      <c r="R280" s="11" t="s">
        <v>291</v>
      </c>
      <c r="S280" s="16" t="s">
        <v>780</v>
      </c>
      <c r="T280" s="19" t="str">
        <f>MONTH(B280)&amp;"-"&amp;YEAR(B280)</f>
        <v>8-2020</v>
      </c>
      <c r="U280" s="2">
        <f>YEAR(B280)</f>
        <v>2020</v>
      </c>
      <c r="V280" s="2" t="str">
        <f>IF(DAY(B280)&gt;15,MONTH(B280)&amp;"-C",MONTH(B280)&amp;"-N")</f>
        <v>8-N</v>
      </c>
      <c r="W280" s="21">
        <v>5.5</v>
      </c>
      <c r="X280" s="2" t="b">
        <f t="shared" si="173"/>
        <v>1</v>
      </c>
    </row>
    <row r="281" spans="2:24" x14ac:dyDescent="0.2">
      <c r="B281" s="17">
        <v>44049</v>
      </c>
      <c r="C281" s="10" t="s">
        <v>80</v>
      </c>
      <c r="D281" s="11" t="s">
        <v>782</v>
      </c>
      <c r="E281" s="26">
        <v>53915</v>
      </c>
      <c r="F281" s="10" t="s">
        <v>26</v>
      </c>
      <c r="G281" s="10" t="s">
        <v>27</v>
      </c>
      <c r="H281" s="27" t="s">
        <v>28</v>
      </c>
      <c r="I281" s="12"/>
      <c r="J281" s="12"/>
      <c r="K281" s="13">
        <v>3600</v>
      </c>
      <c r="L281" s="21">
        <v>3.05</v>
      </c>
      <c r="M281" s="14" t="s">
        <v>14</v>
      </c>
      <c r="N281" s="13">
        <v>10980</v>
      </c>
      <c r="O281" s="15">
        <f t="shared" si="172"/>
        <v>0</v>
      </c>
      <c r="P281" s="10" t="s">
        <v>78</v>
      </c>
      <c r="Q281" s="11" t="s">
        <v>783</v>
      </c>
      <c r="R281" s="11" t="s">
        <v>784</v>
      </c>
      <c r="S281" s="16" t="s">
        <v>785</v>
      </c>
      <c r="T281" s="19" t="str">
        <f>MONTH(B281)&amp;"-"&amp;YEAR(B281)</f>
        <v>8-2020</v>
      </c>
      <c r="U281" s="2">
        <f>YEAR(B281)</f>
        <v>2020</v>
      </c>
      <c r="V281" s="2" t="str">
        <f>IF(DAY(B281)&gt;15,MONTH(B281)&amp;"-C",MONTH(B281)&amp;"-N")</f>
        <v>8-N</v>
      </c>
      <c r="W281" s="21">
        <v>3.05</v>
      </c>
      <c r="X281" s="2" t="b">
        <f t="shared" si="173"/>
        <v>1</v>
      </c>
    </row>
    <row r="282" spans="2:24" x14ac:dyDescent="0.2">
      <c r="B282" s="17">
        <v>44049</v>
      </c>
      <c r="C282" s="10" t="s">
        <v>80</v>
      </c>
      <c r="D282" s="11" t="s">
        <v>782</v>
      </c>
      <c r="E282" s="26">
        <v>53916</v>
      </c>
      <c r="F282" s="10" t="s">
        <v>26</v>
      </c>
      <c r="G282" s="10" t="s">
        <v>27</v>
      </c>
      <c r="H282" s="27" t="s">
        <v>28</v>
      </c>
      <c r="I282" s="12"/>
      <c r="J282" s="12"/>
      <c r="K282" s="13">
        <v>3600</v>
      </c>
      <c r="L282" s="21">
        <v>3.05</v>
      </c>
      <c r="M282" s="14" t="s">
        <v>14</v>
      </c>
      <c r="N282" s="13">
        <v>10980</v>
      </c>
      <c r="O282" s="15">
        <f t="shared" si="172"/>
        <v>0</v>
      </c>
      <c r="P282" s="10" t="s">
        <v>78</v>
      </c>
      <c r="Q282" s="11" t="s">
        <v>783</v>
      </c>
      <c r="R282" s="11" t="s">
        <v>784</v>
      </c>
      <c r="S282" s="16" t="s">
        <v>785</v>
      </c>
      <c r="T282" s="19" t="str">
        <f>MONTH(B282)&amp;"-"&amp;YEAR(B282)</f>
        <v>8-2020</v>
      </c>
      <c r="U282" s="2">
        <f>YEAR(B282)</f>
        <v>2020</v>
      </c>
      <c r="V282" s="2" t="str">
        <f>IF(DAY(B282)&gt;15,MONTH(B282)&amp;"-C",MONTH(B282)&amp;"-N")</f>
        <v>8-N</v>
      </c>
      <c r="W282" s="21">
        <v>3.05</v>
      </c>
      <c r="X282" s="2" t="b">
        <f t="shared" si="173"/>
        <v>1</v>
      </c>
    </row>
    <row r="283" spans="2:24" x14ac:dyDescent="0.2">
      <c r="B283" s="17">
        <v>44049</v>
      </c>
      <c r="C283" s="10" t="s">
        <v>108</v>
      </c>
      <c r="D283" s="11" t="s">
        <v>786</v>
      </c>
      <c r="E283" s="26">
        <v>53917</v>
      </c>
      <c r="F283" s="10" t="s">
        <v>127</v>
      </c>
      <c r="G283" s="10" t="s">
        <v>46</v>
      </c>
      <c r="H283" s="27" t="s">
        <v>128</v>
      </c>
      <c r="I283" s="12"/>
      <c r="J283" s="12"/>
      <c r="K283" s="13">
        <v>1288</v>
      </c>
      <c r="L283" s="21">
        <v>11.25</v>
      </c>
      <c r="M283" s="14" t="s">
        <v>14</v>
      </c>
      <c r="N283" s="13">
        <v>14490</v>
      </c>
      <c r="O283" s="15">
        <f t="shared" si="172"/>
        <v>0</v>
      </c>
      <c r="P283" s="10" t="s">
        <v>84</v>
      </c>
      <c r="Q283" s="11" t="s">
        <v>788</v>
      </c>
      <c r="R283" s="11" t="s">
        <v>789</v>
      </c>
      <c r="S283" s="16" t="s">
        <v>787</v>
      </c>
      <c r="T283" s="19" t="str">
        <f>MONTH(B283)&amp;"-"&amp;YEAR(B283)</f>
        <v>8-2020</v>
      </c>
      <c r="U283" s="2">
        <f>YEAR(B283)</f>
        <v>2020</v>
      </c>
      <c r="V283" s="2" t="str">
        <f>IF(DAY(B283)&gt;15,MONTH(B283)&amp;"-C",MONTH(B283)&amp;"-N")</f>
        <v>8-N</v>
      </c>
      <c r="W283" s="21">
        <v>11.25</v>
      </c>
      <c r="X283" s="2" t="b">
        <f t="shared" si="173"/>
        <v>1</v>
      </c>
    </row>
    <row r="284" spans="2:24" x14ac:dyDescent="0.2">
      <c r="B284" s="17">
        <v>44049</v>
      </c>
      <c r="C284" s="10" t="s">
        <v>108</v>
      </c>
      <c r="D284" s="11" t="s">
        <v>786</v>
      </c>
      <c r="E284" s="26">
        <v>53917</v>
      </c>
      <c r="F284" s="10" t="s">
        <v>121</v>
      </c>
      <c r="G284" s="10" t="s">
        <v>46</v>
      </c>
      <c r="H284" s="27" t="s">
        <v>122</v>
      </c>
      <c r="I284" s="12"/>
      <c r="J284" s="12"/>
      <c r="K284" s="13">
        <v>1380</v>
      </c>
      <c r="L284" s="21">
        <v>9.1999999999999993</v>
      </c>
      <c r="M284" s="14" t="s">
        <v>14</v>
      </c>
      <c r="N284" s="13">
        <v>12696</v>
      </c>
      <c r="O284" s="15">
        <f t="shared" si="172"/>
        <v>0</v>
      </c>
      <c r="P284" s="10" t="s">
        <v>84</v>
      </c>
      <c r="Q284" s="11" t="s">
        <v>788</v>
      </c>
      <c r="R284" s="11" t="s">
        <v>789</v>
      </c>
      <c r="S284" s="16" t="s">
        <v>787</v>
      </c>
      <c r="T284" s="19" t="str">
        <f>MONTH(B284)&amp;"-"&amp;YEAR(B284)</f>
        <v>8-2020</v>
      </c>
      <c r="U284" s="2">
        <f>YEAR(B284)</f>
        <v>2020</v>
      </c>
      <c r="V284" s="2" t="str">
        <f>IF(DAY(B284)&gt;15,MONTH(B284)&amp;"-C",MONTH(B284)&amp;"-N")</f>
        <v>8-N</v>
      </c>
      <c r="W284" s="21">
        <v>9.1999999999999993</v>
      </c>
      <c r="X284" s="2" t="b">
        <f t="shared" si="173"/>
        <v>1</v>
      </c>
    </row>
    <row r="285" spans="2:24" x14ac:dyDescent="0.2">
      <c r="B285" s="17">
        <v>44049</v>
      </c>
      <c r="C285" s="10" t="s">
        <v>108</v>
      </c>
      <c r="D285" s="11" t="s">
        <v>786</v>
      </c>
      <c r="E285" s="26">
        <v>53917</v>
      </c>
      <c r="F285" s="10" t="s">
        <v>123</v>
      </c>
      <c r="G285" s="10" t="s">
        <v>46</v>
      </c>
      <c r="H285" s="27" t="s">
        <v>124</v>
      </c>
      <c r="I285" s="12"/>
      <c r="J285" s="12"/>
      <c r="K285" s="13">
        <v>2300</v>
      </c>
      <c r="L285" s="21">
        <v>11.81</v>
      </c>
      <c r="M285" s="14" t="s">
        <v>14</v>
      </c>
      <c r="N285" s="13">
        <v>27163</v>
      </c>
      <c r="O285" s="15">
        <f t="shared" si="172"/>
        <v>0</v>
      </c>
      <c r="P285" s="10" t="s">
        <v>84</v>
      </c>
      <c r="Q285" s="11" t="s">
        <v>788</v>
      </c>
      <c r="R285" s="11" t="s">
        <v>789</v>
      </c>
      <c r="S285" s="16" t="s">
        <v>787</v>
      </c>
      <c r="T285" s="19" t="str">
        <f>MONTH(B285)&amp;"-"&amp;YEAR(B285)</f>
        <v>8-2020</v>
      </c>
      <c r="U285" s="2">
        <f>YEAR(B285)</f>
        <v>2020</v>
      </c>
      <c r="V285" s="2" t="str">
        <f>IF(DAY(B285)&gt;15,MONTH(B285)&amp;"-C",MONTH(B285)&amp;"-N")</f>
        <v>8-N</v>
      </c>
      <c r="W285" s="21">
        <v>11.81</v>
      </c>
      <c r="X285" s="2" t="b">
        <f t="shared" si="173"/>
        <v>1</v>
      </c>
    </row>
    <row r="286" spans="2:24" x14ac:dyDescent="0.2">
      <c r="B286" s="17">
        <v>44049</v>
      </c>
      <c r="C286" s="10" t="s">
        <v>108</v>
      </c>
      <c r="D286" s="11" t="s">
        <v>786</v>
      </c>
      <c r="E286" s="26">
        <v>53917</v>
      </c>
      <c r="F286" s="10" t="s">
        <v>139</v>
      </c>
      <c r="G286" s="10" t="s">
        <v>46</v>
      </c>
      <c r="H286" s="27" t="s">
        <v>140</v>
      </c>
      <c r="I286" s="12"/>
      <c r="J286" s="12"/>
      <c r="K286" s="13">
        <v>4048</v>
      </c>
      <c r="L286" s="21">
        <v>7.85</v>
      </c>
      <c r="M286" s="14" t="s">
        <v>14</v>
      </c>
      <c r="N286" s="13">
        <v>31776.799999999999</v>
      </c>
      <c r="O286" s="15">
        <f t="shared" si="172"/>
        <v>0</v>
      </c>
      <c r="P286" s="10" t="s">
        <v>84</v>
      </c>
      <c r="Q286" s="11" t="s">
        <v>788</v>
      </c>
      <c r="R286" s="11" t="s">
        <v>789</v>
      </c>
      <c r="S286" s="16" t="s">
        <v>787</v>
      </c>
      <c r="T286" s="19" t="str">
        <f>MONTH(B286)&amp;"-"&amp;YEAR(B286)</f>
        <v>8-2020</v>
      </c>
      <c r="U286" s="2">
        <f>YEAR(B286)</f>
        <v>2020</v>
      </c>
      <c r="V286" s="2" t="str">
        <f>IF(DAY(B286)&gt;15,MONTH(B286)&amp;"-C",MONTH(B286)&amp;"-N")</f>
        <v>8-N</v>
      </c>
      <c r="W286" s="21">
        <v>7.85</v>
      </c>
      <c r="X286" s="2" t="b">
        <f t="shared" si="173"/>
        <v>1</v>
      </c>
    </row>
    <row r="287" spans="2:24" x14ac:dyDescent="0.2">
      <c r="B287" s="17">
        <v>44049</v>
      </c>
      <c r="C287" s="10" t="s">
        <v>108</v>
      </c>
      <c r="D287" s="11" t="s">
        <v>786</v>
      </c>
      <c r="E287" s="26">
        <v>53917</v>
      </c>
      <c r="F287" s="10" t="s">
        <v>129</v>
      </c>
      <c r="G287" s="10" t="s">
        <v>46</v>
      </c>
      <c r="H287" s="27" t="s">
        <v>130</v>
      </c>
      <c r="I287" s="12"/>
      <c r="J287" s="12"/>
      <c r="K287" s="13">
        <v>7590</v>
      </c>
      <c r="L287" s="21">
        <v>10.86</v>
      </c>
      <c r="M287" s="14" t="s">
        <v>14</v>
      </c>
      <c r="N287" s="13">
        <v>82427.399999999994</v>
      </c>
      <c r="O287" s="15">
        <f t="shared" si="172"/>
        <v>0</v>
      </c>
      <c r="P287" s="10" t="s">
        <v>84</v>
      </c>
      <c r="Q287" s="11" t="s">
        <v>788</v>
      </c>
      <c r="R287" s="11" t="s">
        <v>789</v>
      </c>
      <c r="S287" s="16" t="s">
        <v>787</v>
      </c>
      <c r="T287" s="19" t="str">
        <f>MONTH(B287)&amp;"-"&amp;YEAR(B287)</f>
        <v>8-2020</v>
      </c>
      <c r="U287" s="2">
        <f>YEAR(B287)</f>
        <v>2020</v>
      </c>
      <c r="V287" s="2" t="str">
        <f>IF(DAY(B287)&gt;15,MONTH(B287)&amp;"-C",MONTH(B287)&amp;"-N")</f>
        <v>8-N</v>
      </c>
      <c r="W287" s="21">
        <v>10.86</v>
      </c>
      <c r="X287" s="2" t="b">
        <f t="shared" si="173"/>
        <v>1</v>
      </c>
    </row>
    <row r="288" spans="2:24" x14ac:dyDescent="0.2">
      <c r="B288" s="17">
        <v>44049</v>
      </c>
      <c r="C288" s="10" t="s">
        <v>108</v>
      </c>
      <c r="D288" s="11" t="s">
        <v>786</v>
      </c>
      <c r="E288" s="26">
        <v>53917</v>
      </c>
      <c r="F288" s="10" t="s">
        <v>137</v>
      </c>
      <c r="G288" s="10" t="s">
        <v>46</v>
      </c>
      <c r="H288" s="27" t="s">
        <v>138</v>
      </c>
      <c r="I288" s="12"/>
      <c r="J288" s="12"/>
      <c r="K288" s="13">
        <v>400</v>
      </c>
      <c r="L288" s="21">
        <v>15.6</v>
      </c>
      <c r="M288" s="14" t="s">
        <v>14</v>
      </c>
      <c r="N288" s="13">
        <v>6240</v>
      </c>
      <c r="O288" s="15">
        <f t="shared" si="172"/>
        <v>0</v>
      </c>
      <c r="P288" s="10" t="s">
        <v>84</v>
      </c>
      <c r="Q288" s="11" t="s">
        <v>788</v>
      </c>
      <c r="R288" s="11" t="s">
        <v>789</v>
      </c>
      <c r="S288" s="16" t="s">
        <v>787</v>
      </c>
      <c r="T288" s="19" t="str">
        <f>MONTH(B288)&amp;"-"&amp;YEAR(B288)</f>
        <v>8-2020</v>
      </c>
      <c r="U288" s="2">
        <f>YEAR(B288)</f>
        <v>2020</v>
      </c>
      <c r="V288" s="2" t="str">
        <f>IF(DAY(B288)&gt;15,MONTH(B288)&amp;"-C",MONTH(B288)&amp;"-N")</f>
        <v>8-N</v>
      </c>
      <c r="W288" s="21">
        <v>15.6</v>
      </c>
      <c r="X288" s="2" t="b">
        <f t="shared" si="173"/>
        <v>1</v>
      </c>
    </row>
    <row r="289" spans="2:24" x14ac:dyDescent="0.2">
      <c r="B289" s="17">
        <v>44051</v>
      </c>
      <c r="C289" s="10" t="s">
        <v>80</v>
      </c>
      <c r="D289" s="11" t="s">
        <v>782</v>
      </c>
      <c r="E289" s="26">
        <v>53932</v>
      </c>
      <c r="F289" s="10" t="s">
        <v>26</v>
      </c>
      <c r="G289" s="10" t="s">
        <v>27</v>
      </c>
      <c r="H289" s="27" t="s">
        <v>28</v>
      </c>
      <c r="I289" s="12"/>
      <c r="J289" s="12"/>
      <c r="K289" s="13">
        <v>3600</v>
      </c>
      <c r="L289" s="21">
        <v>3.05</v>
      </c>
      <c r="M289" s="14" t="s">
        <v>14</v>
      </c>
      <c r="N289" s="13">
        <v>10980</v>
      </c>
      <c r="O289" s="15">
        <f t="shared" si="172"/>
        <v>0</v>
      </c>
      <c r="P289" s="10" t="s">
        <v>78</v>
      </c>
      <c r="Q289" s="11" t="s">
        <v>791</v>
      </c>
      <c r="R289" s="11" t="s">
        <v>792</v>
      </c>
      <c r="S289" s="16" t="s">
        <v>790</v>
      </c>
      <c r="T289" s="19" t="str">
        <f>MONTH(B289)&amp;"-"&amp;YEAR(B289)</f>
        <v>8-2020</v>
      </c>
      <c r="U289" s="2">
        <f>YEAR(B289)</f>
        <v>2020</v>
      </c>
      <c r="V289" s="2" t="str">
        <f>IF(DAY(B289)&gt;15,MONTH(B289)&amp;"-C",MONTH(B289)&amp;"-N")</f>
        <v>8-N</v>
      </c>
      <c r="W289" s="21">
        <v>3.05</v>
      </c>
      <c r="X289" s="2" t="b">
        <f t="shared" si="173"/>
        <v>1</v>
      </c>
    </row>
    <row r="290" spans="2:24" x14ac:dyDescent="0.2">
      <c r="B290" s="17">
        <v>44052</v>
      </c>
      <c r="C290" s="10" t="s">
        <v>80</v>
      </c>
      <c r="D290" s="11" t="s">
        <v>782</v>
      </c>
      <c r="E290" s="26">
        <v>53960</v>
      </c>
      <c r="F290" s="10" t="s">
        <v>26</v>
      </c>
      <c r="G290" s="10" t="s">
        <v>27</v>
      </c>
      <c r="H290" s="27" t="s">
        <v>28</v>
      </c>
      <c r="I290" s="12"/>
      <c r="J290" s="12"/>
      <c r="K290" s="13">
        <v>3600</v>
      </c>
      <c r="L290" s="21">
        <v>3.05</v>
      </c>
      <c r="M290" s="14" t="s">
        <v>14</v>
      </c>
      <c r="N290" s="13">
        <v>10980</v>
      </c>
      <c r="O290" s="15">
        <f t="shared" ref="O290" si="174">(N290/K290)-L290</f>
        <v>0</v>
      </c>
      <c r="P290" s="10" t="s">
        <v>78</v>
      </c>
      <c r="Q290" s="11" t="s">
        <v>794</v>
      </c>
      <c r="R290" s="11" t="s">
        <v>795</v>
      </c>
      <c r="S290" s="16" t="s">
        <v>793</v>
      </c>
      <c r="T290" s="19" t="str">
        <f>MONTH(B290)&amp;"-"&amp;YEAR(B290)</f>
        <v>8-2020</v>
      </c>
      <c r="U290" s="2">
        <f>YEAR(B290)</f>
        <v>2020</v>
      </c>
      <c r="V290" s="2" t="str">
        <f>IF(DAY(B290)&gt;15,MONTH(B290)&amp;"-C",MONTH(B290)&amp;"-N")</f>
        <v>8-N</v>
      </c>
      <c r="W290" s="21">
        <v>3.05</v>
      </c>
      <c r="X290" s="2" t="b">
        <f t="shared" ref="X290" si="175">+L290=W290</f>
        <v>1</v>
      </c>
    </row>
    <row r="291" spans="2:24" x14ac:dyDescent="0.2">
      <c r="B291" s="17">
        <v>44053</v>
      </c>
      <c r="C291" s="10" t="s">
        <v>80</v>
      </c>
      <c r="D291" s="11" t="s">
        <v>782</v>
      </c>
      <c r="E291" s="26">
        <v>53958</v>
      </c>
      <c r="F291" s="10" t="s">
        <v>26</v>
      </c>
      <c r="G291" s="10" t="s">
        <v>27</v>
      </c>
      <c r="H291" s="27" t="s">
        <v>28</v>
      </c>
      <c r="I291" s="12"/>
      <c r="J291" s="12"/>
      <c r="K291" s="13">
        <v>3600</v>
      </c>
      <c r="L291" s="21">
        <v>3.05</v>
      </c>
      <c r="M291" s="14" t="s">
        <v>14</v>
      </c>
      <c r="N291" s="13">
        <v>10980</v>
      </c>
      <c r="O291" s="15">
        <f t="shared" ref="O291:O293" si="176">(N291/K291)-L291</f>
        <v>0</v>
      </c>
      <c r="P291" s="10" t="s">
        <v>78</v>
      </c>
      <c r="Q291" s="11" t="s">
        <v>797</v>
      </c>
      <c r="R291" s="11" t="s">
        <v>798</v>
      </c>
      <c r="S291" s="16" t="s">
        <v>796</v>
      </c>
      <c r="T291" s="19" t="str">
        <f>MONTH(B291)&amp;"-"&amp;YEAR(B291)</f>
        <v>8-2020</v>
      </c>
      <c r="U291" s="2">
        <f>YEAR(B291)</f>
        <v>2020</v>
      </c>
      <c r="V291" s="2" t="str">
        <f>IF(DAY(B291)&gt;15,MONTH(B291)&amp;"-C",MONTH(B291)&amp;"-N")</f>
        <v>8-N</v>
      </c>
      <c r="W291" s="21">
        <v>3.05</v>
      </c>
      <c r="X291" s="2" t="b">
        <f t="shared" ref="X291:X293" si="177">+L291=W291</f>
        <v>1</v>
      </c>
    </row>
    <row r="292" spans="2:24" x14ac:dyDescent="0.2">
      <c r="B292" s="17">
        <v>44053</v>
      </c>
      <c r="C292" s="10" t="s">
        <v>80</v>
      </c>
      <c r="D292" s="11" t="s">
        <v>782</v>
      </c>
      <c r="E292" s="26">
        <v>53981</v>
      </c>
      <c r="F292" s="10" t="s">
        <v>26</v>
      </c>
      <c r="G292" s="10" t="s">
        <v>27</v>
      </c>
      <c r="H292" s="27" t="s">
        <v>28</v>
      </c>
      <c r="I292" s="12"/>
      <c r="J292" s="12"/>
      <c r="K292" s="13">
        <v>3600</v>
      </c>
      <c r="L292" s="21">
        <v>3.05</v>
      </c>
      <c r="M292" s="14" t="s">
        <v>14</v>
      </c>
      <c r="N292" s="13">
        <v>10980</v>
      </c>
      <c r="O292" s="15">
        <f t="shared" si="176"/>
        <v>0</v>
      </c>
      <c r="P292" s="10" t="s">
        <v>78</v>
      </c>
      <c r="Q292" s="11" t="s">
        <v>800</v>
      </c>
      <c r="R292" s="11" t="s">
        <v>801</v>
      </c>
      <c r="S292" s="16" t="s">
        <v>799</v>
      </c>
      <c r="T292" s="19" t="str">
        <f>MONTH(B292)&amp;"-"&amp;YEAR(B292)</f>
        <v>8-2020</v>
      </c>
      <c r="U292" s="2">
        <f>YEAR(B292)</f>
        <v>2020</v>
      </c>
      <c r="V292" s="2" t="str">
        <f>IF(DAY(B292)&gt;15,MONTH(B292)&amp;"-C",MONTH(B292)&amp;"-N")</f>
        <v>8-N</v>
      </c>
      <c r="W292" s="21">
        <v>3.05</v>
      </c>
      <c r="X292" s="2" t="b">
        <f t="shared" si="177"/>
        <v>1</v>
      </c>
    </row>
    <row r="293" spans="2:24" x14ac:dyDescent="0.2">
      <c r="B293" s="17">
        <v>44053</v>
      </c>
      <c r="C293" s="10" t="s">
        <v>80</v>
      </c>
      <c r="D293" s="11" t="s">
        <v>782</v>
      </c>
      <c r="E293" s="26">
        <v>53959</v>
      </c>
      <c r="F293" s="10" t="s">
        <v>26</v>
      </c>
      <c r="G293" s="10" t="s">
        <v>27</v>
      </c>
      <c r="H293" s="27" t="s">
        <v>28</v>
      </c>
      <c r="I293" s="12"/>
      <c r="J293" s="12"/>
      <c r="K293" s="13">
        <v>3600</v>
      </c>
      <c r="L293" s="21">
        <v>3.05</v>
      </c>
      <c r="M293" s="14" t="s">
        <v>14</v>
      </c>
      <c r="N293" s="13">
        <v>10980</v>
      </c>
      <c r="O293" s="15">
        <f t="shared" si="176"/>
        <v>0</v>
      </c>
      <c r="P293" s="10" t="s">
        <v>78</v>
      </c>
      <c r="Q293" s="11" t="s">
        <v>803</v>
      </c>
      <c r="R293" s="11" t="s">
        <v>804</v>
      </c>
      <c r="S293" s="16" t="s">
        <v>802</v>
      </c>
      <c r="T293" s="19" t="str">
        <f>MONTH(B293)&amp;"-"&amp;YEAR(B293)</f>
        <v>8-2020</v>
      </c>
      <c r="U293" s="2">
        <f>YEAR(B293)</f>
        <v>2020</v>
      </c>
      <c r="V293" s="2" t="str">
        <f>IF(DAY(B293)&gt;15,MONTH(B293)&amp;"-C",MONTH(B293)&amp;"-N")</f>
        <v>8-N</v>
      </c>
      <c r="W293" s="21">
        <v>3.05</v>
      </c>
      <c r="X293" s="2" t="b">
        <f t="shared" si="177"/>
        <v>1</v>
      </c>
    </row>
    <row r="294" spans="2:24" x14ac:dyDescent="0.2">
      <c r="B294" s="17">
        <v>44055</v>
      </c>
      <c r="C294" s="10" t="s">
        <v>80</v>
      </c>
      <c r="D294" s="11" t="s">
        <v>782</v>
      </c>
      <c r="E294" s="26">
        <v>54011</v>
      </c>
      <c r="F294" s="10" t="s">
        <v>26</v>
      </c>
      <c r="G294" s="10" t="s">
        <v>27</v>
      </c>
      <c r="H294" s="27" t="s">
        <v>28</v>
      </c>
      <c r="I294" s="12"/>
      <c r="J294" s="12"/>
      <c r="K294" s="13">
        <v>7200</v>
      </c>
      <c r="L294" s="21">
        <v>3.05</v>
      </c>
      <c r="M294" s="14" t="s">
        <v>14</v>
      </c>
      <c r="N294" s="13">
        <v>21960</v>
      </c>
      <c r="O294" s="15">
        <f t="shared" ref="O294:O297" si="178">(N294/K294)-L294</f>
        <v>0</v>
      </c>
      <c r="P294" s="10" t="s">
        <v>78</v>
      </c>
      <c r="Q294" s="11" t="s">
        <v>806</v>
      </c>
      <c r="R294" s="11" t="s">
        <v>807</v>
      </c>
      <c r="S294" s="16" t="s">
        <v>805</v>
      </c>
      <c r="T294" s="19" t="str">
        <f>MONTH(B294)&amp;"-"&amp;YEAR(B294)</f>
        <v>8-2020</v>
      </c>
      <c r="U294" s="2">
        <f>YEAR(B294)</f>
        <v>2020</v>
      </c>
      <c r="V294" s="2" t="str">
        <f>IF(DAY(B294)&gt;15,MONTH(B294)&amp;"-C",MONTH(B294)&amp;"-N")</f>
        <v>8-N</v>
      </c>
      <c r="W294" s="21">
        <v>3.05</v>
      </c>
      <c r="X294" s="2" t="b">
        <f t="shared" ref="X294:X297" si="179">+L294=W294</f>
        <v>1</v>
      </c>
    </row>
    <row r="295" spans="2:24" x14ac:dyDescent="0.2">
      <c r="B295" s="17">
        <v>44056</v>
      </c>
      <c r="C295" s="10" t="s">
        <v>80</v>
      </c>
      <c r="D295" s="11" t="s">
        <v>782</v>
      </c>
      <c r="E295" s="26">
        <v>54027</v>
      </c>
      <c r="F295" s="10" t="s">
        <v>26</v>
      </c>
      <c r="G295" s="10" t="s">
        <v>27</v>
      </c>
      <c r="H295" s="27" t="s">
        <v>28</v>
      </c>
      <c r="I295" s="12"/>
      <c r="J295" s="12"/>
      <c r="K295" s="13">
        <v>3600</v>
      </c>
      <c r="L295" s="21">
        <v>3.05</v>
      </c>
      <c r="M295" s="14" t="s">
        <v>14</v>
      </c>
      <c r="N295" s="13">
        <v>10980</v>
      </c>
      <c r="O295" s="15">
        <f t="shared" si="178"/>
        <v>0</v>
      </c>
      <c r="P295" s="10" t="s">
        <v>78</v>
      </c>
      <c r="Q295" s="11" t="s">
        <v>809</v>
      </c>
      <c r="R295" s="11" t="s">
        <v>810</v>
      </c>
      <c r="S295" s="16" t="s">
        <v>808</v>
      </c>
      <c r="T295" s="19" t="str">
        <f>MONTH(B295)&amp;"-"&amp;YEAR(B295)</f>
        <v>8-2020</v>
      </c>
      <c r="U295" s="2">
        <f>YEAR(B295)</f>
        <v>2020</v>
      </c>
      <c r="V295" s="2" t="str">
        <f>IF(DAY(B295)&gt;15,MONTH(B295)&amp;"-C",MONTH(B295)&amp;"-N")</f>
        <v>8-N</v>
      </c>
      <c r="W295" s="21">
        <v>3.05</v>
      </c>
      <c r="X295" s="2" t="b">
        <f t="shared" si="179"/>
        <v>1</v>
      </c>
    </row>
    <row r="296" spans="2:24" x14ac:dyDescent="0.2">
      <c r="B296" s="17">
        <v>44056</v>
      </c>
      <c r="C296" s="10" t="s">
        <v>107</v>
      </c>
      <c r="D296" s="11" t="s">
        <v>811</v>
      </c>
      <c r="E296" s="26">
        <v>54029</v>
      </c>
      <c r="F296" s="10" t="s">
        <v>103</v>
      </c>
      <c r="G296" s="10" t="s">
        <v>46</v>
      </c>
      <c r="H296" s="27" t="s">
        <v>104</v>
      </c>
      <c r="I296" s="12"/>
      <c r="J296" s="12"/>
      <c r="K296" s="13">
        <v>95</v>
      </c>
      <c r="L296" s="21">
        <v>37.200000000000003</v>
      </c>
      <c r="M296" s="14" t="s">
        <v>14</v>
      </c>
      <c r="N296" s="13">
        <v>3534</v>
      </c>
      <c r="O296" s="15">
        <f t="shared" si="178"/>
        <v>0</v>
      </c>
      <c r="P296" s="10" t="s">
        <v>84</v>
      </c>
      <c r="Q296" s="11" t="s">
        <v>813</v>
      </c>
      <c r="R296" s="11" t="s">
        <v>814</v>
      </c>
      <c r="S296" s="16" t="s">
        <v>812</v>
      </c>
      <c r="T296" s="19" t="str">
        <f>MONTH(B296)&amp;"-"&amp;YEAR(B296)</f>
        <v>8-2020</v>
      </c>
      <c r="U296" s="2">
        <f>YEAR(B296)</f>
        <v>2020</v>
      </c>
      <c r="V296" s="2" t="str">
        <f>IF(DAY(B296)&gt;15,MONTH(B296)&amp;"-C",MONTH(B296)&amp;"-N")</f>
        <v>8-N</v>
      </c>
      <c r="W296" s="21">
        <v>37.200000000000003</v>
      </c>
      <c r="X296" s="2" t="b">
        <f t="shared" si="179"/>
        <v>1</v>
      </c>
    </row>
    <row r="297" spans="2:24" x14ac:dyDescent="0.2">
      <c r="B297" s="17">
        <v>44056</v>
      </c>
      <c r="C297" s="10" t="s">
        <v>107</v>
      </c>
      <c r="D297" s="11" t="s">
        <v>811</v>
      </c>
      <c r="E297" s="26">
        <v>54029</v>
      </c>
      <c r="F297" s="10" t="s">
        <v>105</v>
      </c>
      <c r="G297" s="10" t="s">
        <v>46</v>
      </c>
      <c r="H297" s="27" t="s">
        <v>106</v>
      </c>
      <c r="I297" s="12"/>
      <c r="J297" s="12"/>
      <c r="K297" s="13">
        <v>3080</v>
      </c>
      <c r="L297" s="21">
        <v>12.3</v>
      </c>
      <c r="M297" s="14" t="s">
        <v>14</v>
      </c>
      <c r="N297" s="13">
        <v>37884</v>
      </c>
      <c r="O297" s="15">
        <f t="shared" si="178"/>
        <v>0</v>
      </c>
      <c r="P297" s="10" t="s">
        <v>84</v>
      </c>
      <c r="Q297" s="11" t="s">
        <v>813</v>
      </c>
      <c r="R297" s="11" t="s">
        <v>814</v>
      </c>
      <c r="S297" s="16" t="s">
        <v>812</v>
      </c>
      <c r="T297" s="19" t="str">
        <f>MONTH(B297)&amp;"-"&amp;YEAR(B297)</f>
        <v>8-2020</v>
      </c>
      <c r="U297" s="2">
        <f>YEAR(B297)</f>
        <v>2020</v>
      </c>
      <c r="V297" s="2" t="str">
        <f>IF(DAY(B297)&gt;15,MONTH(B297)&amp;"-C",MONTH(B297)&amp;"-N")</f>
        <v>8-N</v>
      </c>
      <c r="W297" s="21">
        <v>12.3</v>
      </c>
      <c r="X297" s="2" t="b">
        <f t="shared" si="179"/>
        <v>1</v>
      </c>
    </row>
    <row r="298" spans="2:24" x14ac:dyDescent="0.2">
      <c r="B298" s="17">
        <v>44058</v>
      </c>
      <c r="C298" s="10" t="s">
        <v>80</v>
      </c>
      <c r="D298" s="11" t="s">
        <v>782</v>
      </c>
      <c r="E298" s="26">
        <v>54050</v>
      </c>
      <c r="F298" s="10" t="s">
        <v>26</v>
      </c>
      <c r="G298" s="10" t="s">
        <v>27</v>
      </c>
      <c r="H298" s="27" t="s">
        <v>28</v>
      </c>
      <c r="I298" s="12"/>
      <c r="J298" s="12"/>
      <c r="K298" s="13">
        <v>3600</v>
      </c>
      <c r="L298" s="21">
        <v>3.05</v>
      </c>
      <c r="M298" s="14" t="s">
        <v>14</v>
      </c>
      <c r="N298" s="13">
        <v>10980</v>
      </c>
      <c r="O298" s="15">
        <f t="shared" ref="O298:O299" si="180">(N298/K298)-L298</f>
        <v>0</v>
      </c>
      <c r="P298" s="10" t="s">
        <v>78</v>
      </c>
      <c r="Q298" s="11" t="s">
        <v>816</v>
      </c>
      <c r="R298" s="11" t="s">
        <v>817</v>
      </c>
      <c r="S298" s="16" t="s">
        <v>815</v>
      </c>
      <c r="T298" s="19" t="str">
        <f>MONTH(B298)&amp;"-"&amp;YEAR(B298)</f>
        <v>8-2020</v>
      </c>
      <c r="U298" s="2">
        <f>YEAR(B298)</f>
        <v>2020</v>
      </c>
      <c r="V298" s="2" t="str">
        <f>IF(DAY(B298)&gt;15,MONTH(B298)&amp;"-C",MONTH(B298)&amp;"-N")</f>
        <v>8-N</v>
      </c>
      <c r="W298" s="21">
        <v>3.05</v>
      </c>
      <c r="X298" s="2" t="b">
        <f t="shared" ref="X298:X299" si="181">+L298=W298</f>
        <v>1</v>
      </c>
    </row>
    <row r="299" spans="2:24" x14ac:dyDescent="0.2">
      <c r="B299" s="17">
        <v>44059</v>
      </c>
      <c r="C299" s="10" t="s">
        <v>682</v>
      </c>
      <c r="D299" s="11" t="s">
        <v>745</v>
      </c>
      <c r="E299" s="26">
        <v>54063</v>
      </c>
      <c r="F299" s="10" t="s">
        <v>26</v>
      </c>
      <c r="G299" s="10" t="s">
        <v>27</v>
      </c>
      <c r="H299" s="27" t="s">
        <v>28</v>
      </c>
      <c r="I299" s="12"/>
      <c r="J299" s="12"/>
      <c r="K299" s="13">
        <v>10800</v>
      </c>
      <c r="L299" s="21">
        <v>3.17</v>
      </c>
      <c r="M299" s="14" t="s">
        <v>14</v>
      </c>
      <c r="N299" s="13">
        <v>34236</v>
      </c>
      <c r="O299" s="15">
        <f t="shared" si="180"/>
        <v>0</v>
      </c>
      <c r="P299" s="10" t="s">
        <v>78</v>
      </c>
      <c r="Q299" s="11" t="s">
        <v>819</v>
      </c>
      <c r="R299" s="11" t="s">
        <v>820</v>
      </c>
      <c r="S299" s="16" t="s">
        <v>818</v>
      </c>
      <c r="T299" s="19" t="str">
        <f>MONTH(B299)&amp;"-"&amp;YEAR(B299)</f>
        <v>8-2020</v>
      </c>
      <c r="U299" s="2">
        <f>YEAR(B299)</f>
        <v>2020</v>
      </c>
      <c r="V299" s="2" t="str">
        <f>IF(DAY(B299)&gt;15,MONTH(B299)&amp;"-C",MONTH(B299)&amp;"-N")</f>
        <v>8-C</v>
      </c>
      <c r="W299" s="21">
        <v>3.17</v>
      </c>
      <c r="X299" s="2" t="b">
        <f t="shared" si="181"/>
        <v>1</v>
      </c>
    </row>
    <row r="300" spans="2:24" x14ac:dyDescent="0.2">
      <c r="B300" s="17">
        <v>44062</v>
      </c>
      <c r="C300" s="10" t="s">
        <v>73</v>
      </c>
      <c r="D300" s="11" t="s">
        <v>821</v>
      </c>
      <c r="E300" s="26">
        <v>54104</v>
      </c>
      <c r="F300" s="10" t="s">
        <v>823</v>
      </c>
      <c r="G300" s="10" t="s">
        <v>46</v>
      </c>
      <c r="H300" s="27" t="s">
        <v>824</v>
      </c>
      <c r="I300" s="12"/>
      <c r="J300" s="12"/>
      <c r="K300" s="13">
        <v>25</v>
      </c>
      <c r="L300" s="21">
        <v>12.85</v>
      </c>
      <c r="M300" s="14" t="s">
        <v>14</v>
      </c>
      <c r="N300" s="13">
        <v>321.25</v>
      </c>
      <c r="O300" s="15">
        <f t="shared" ref="O300:O303" si="182">(N300/K300)-L300</f>
        <v>0</v>
      </c>
      <c r="P300" s="10" t="s">
        <v>84</v>
      </c>
      <c r="Q300" s="11" t="s">
        <v>825</v>
      </c>
      <c r="R300" s="11" t="s">
        <v>826</v>
      </c>
      <c r="S300" s="16" t="s">
        <v>822</v>
      </c>
      <c r="T300" s="19" t="str">
        <f>MONTH(B300)&amp;"-"&amp;YEAR(B300)</f>
        <v>8-2020</v>
      </c>
      <c r="U300" s="2">
        <f>YEAR(B300)</f>
        <v>2020</v>
      </c>
      <c r="V300" s="2" t="str">
        <f>IF(DAY(B300)&gt;15,MONTH(B300)&amp;"-C",MONTH(B300)&amp;"-N")</f>
        <v>8-C</v>
      </c>
      <c r="W300" s="21">
        <v>12.85</v>
      </c>
      <c r="X300" s="2" t="b">
        <f t="shared" ref="X300:X303" si="183">+L300=W300</f>
        <v>1</v>
      </c>
    </row>
    <row r="301" spans="2:24" x14ac:dyDescent="0.2">
      <c r="B301" s="17">
        <v>44062</v>
      </c>
      <c r="C301" s="10" t="s">
        <v>73</v>
      </c>
      <c r="D301" s="11" t="s">
        <v>821</v>
      </c>
      <c r="E301" s="26">
        <v>54104</v>
      </c>
      <c r="F301" s="10" t="s">
        <v>827</v>
      </c>
      <c r="G301" s="10" t="s">
        <v>46</v>
      </c>
      <c r="H301" s="27" t="s">
        <v>828</v>
      </c>
      <c r="I301" s="12"/>
      <c r="J301" s="12"/>
      <c r="K301" s="13">
        <v>225</v>
      </c>
      <c r="L301" s="21">
        <v>12.85</v>
      </c>
      <c r="M301" s="14" t="s">
        <v>14</v>
      </c>
      <c r="N301" s="13">
        <v>2891.25</v>
      </c>
      <c r="O301" s="15">
        <f t="shared" si="182"/>
        <v>0</v>
      </c>
      <c r="P301" s="10" t="s">
        <v>84</v>
      </c>
      <c r="Q301" s="11" t="s">
        <v>825</v>
      </c>
      <c r="R301" s="11" t="s">
        <v>826</v>
      </c>
      <c r="S301" s="16" t="s">
        <v>822</v>
      </c>
      <c r="T301" s="19" t="str">
        <f>MONTH(B301)&amp;"-"&amp;YEAR(B301)</f>
        <v>8-2020</v>
      </c>
      <c r="U301" s="2">
        <f>YEAR(B301)</f>
        <v>2020</v>
      </c>
      <c r="V301" s="2" t="str">
        <f>IF(DAY(B301)&gt;15,MONTH(B301)&amp;"-C",MONTH(B301)&amp;"-N")</f>
        <v>8-C</v>
      </c>
      <c r="W301" s="21">
        <v>12.85</v>
      </c>
      <c r="X301" s="2" t="b">
        <f t="shared" si="183"/>
        <v>1</v>
      </c>
    </row>
    <row r="302" spans="2:24" x14ac:dyDescent="0.2">
      <c r="B302" s="17">
        <v>44062</v>
      </c>
      <c r="C302" s="10" t="s">
        <v>73</v>
      </c>
      <c r="D302" s="11" t="s">
        <v>821</v>
      </c>
      <c r="E302" s="26">
        <v>54104</v>
      </c>
      <c r="F302" s="10" t="s">
        <v>131</v>
      </c>
      <c r="G302" s="10" t="s">
        <v>46</v>
      </c>
      <c r="H302" s="27" t="s">
        <v>132</v>
      </c>
      <c r="I302" s="12"/>
      <c r="J302" s="12"/>
      <c r="K302" s="13">
        <v>160</v>
      </c>
      <c r="L302" s="21">
        <v>9.85</v>
      </c>
      <c r="M302" s="14" t="s">
        <v>14</v>
      </c>
      <c r="N302" s="13">
        <v>1576</v>
      </c>
      <c r="O302" s="15">
        <f t="shared" si="182"/>
        <v>0</v>
      </c>
      <c r="P302" s="10" t="s">
        <v>84</v>
      </c>
      <c r="Q302" s="11" t="s">
        <v>825</v>
      </c>
      <c r="R302" s="11" t="s">
        <v>826</v>
      </c>
      <c r="S302" s="16" t="s">
        <v>822</v>
      </c>
      <c r="T302" s="19" t="str">
        <f>MONTH(B302)&amp;"-"&amp;YEAR(B302)</f>
        <v>8-2020</v>
      </c>
      <c r="U302" s="2">
        <f>YEAR(B302)</f>
        <v>2020</v>
      </c>
      <c r="V302" s="2" t="str">
        <f>IF(DAY(B302)&gt;15,MONTH(B302)&amp;"-C",MONTH(B302)&amp;"-N")</f>
        <v>8-C</v>
      </c>
      <c r="W302" s="21">
        <v>9.85</v>
      </c>
      <c r="X302" s="2" t="b">
        <f t="shared" si="183"/>
        <v>1</v>
      </c>
    </row>
    <row r="303" spans="2:24" x14ac:dyDescent="0.2">
      <c r="B303" s="17">
        <v>44062</v>
      </c>
      <c r="C303" s="10" t="s">
        <v>73</v>
      </c>
      <c r="D303" s="11" t="s">
        <v>821</v>
      </c>
      <c r="E303" s="26">
        <v>54104</v>
      </c>
      <c r="F303" s="10" t="s">
        <v>133</v>
      </c>
      <c r="G303" s="10" t="s">
        <v>46</v>
      </c>
      <c r="H303" s="27" t="s">
        <v>134</v>
      </c>
      <c r="I303" s="12"/>
      <c r="J303" s="12"/>
      <c r="K303" s="13">
        <v>1000</v>
      </c>
      <c r="L303" s="21">
        <v>9.85</v>
      </c>
      <c r="M303" s="14" t="s">
        <v>14</v>
      </c>
      <c r="N303" s="13">
        <v>9850</v>
      </c>
      <c r="O303" s="15">
        <f t="shared" si="182"/>
        <v>0</v>
      </c>
      <c r="P303" s="10" t="s">
        <v>84</v>
      </c>
      <c r="Q303" s="11" t="s">
        <v>825</v>
      </c>
      <c r="R303" s="11" t="s">
        <v>826</v>
      </c>
      <c r="S303" s="16" t="s">
        <v>822</v>
      </c>
      <c r="T303" s="19" t="str">
        <f>MONTH(B303)&amp;"-"&amp;YEAR(B303)</f>
        <v>8-2020</v>
      </c>
      <c r="U303" s="2">
        <f>YEAR(B303)</f>
        <v>2020</v>
      </c>
      <c r="V303" s="2" t="str">
        <f>IF(DAY(B303)&gt;15,MONTH(B303)&amp;"-C",MONTH(B303)&amp;"-N")</f>
        <v>8-C</v>
      </c>
      <c r="W303" s="21">
        <v>9.85</v>
      </c>
      <c r="X303" s="2" t="b">
        <f t="shared" si="183"/>
        <v>1</v>
      </c>
    </row>
    <row r="304" spans="2:24" x14ac:dyDescent="0.2">
      <c r="B304" s="17">
        <v>44062</v>
      </c>
      <c r="C304" s="10" t="s">
        <v>25</v>
      </c>
      <c r="D304" s="11" t="s">
        <v>829</v>
      </c>
      <c r="E304" s="26">
        <v>54110</v>
      </c>
      <c r="F304" s="10" t="s">
        <v>26</v>
      </c>
      <c r="G304" s="10" t="s">
        <v>27</v>
      </c>
      <c r="H304" s="27" t="s">
        <v>28</v>
      </c>
      <c r="I304" s="12"/>
      <c r="J304" s="12"/>
      <c r="K304" s="13">
        <v>15400</v>
      </c>
      <c r="L304" s="21">
        <v>3.05</v>
      </c>
      <c r="M304" s="14" t="s">
        <v>14</v>
      </c>
      <c r="N304" s="13">
        <v>46970</v>
      </c>
      <c r="O304" s="15">
        <f t="shared" ref="O304:O311" si="184">(N304/K304)-L304</f>
        <v>0</v>
      </c>
      <c r="P304" s="10" t="s">
        <v>78</v>
      </c>
      <c r="Q304" s="11" t="s">
        <v>831</v>
      </c>
      <c r="R304" s="11" t="s">
        <v>315</v>
      </c>
      <c r="S304" s="16" t="s">
        <v>830</v>
      </c>
      <c r="T304" s="19" t="str">
        <f>MONTH(B304)&amp;"-"&amp;YEAR(B304)</f>
        <v>8-2020</v>
      </c>
      <c r="U304" s="2">
        <f>YEAR(B304)</f>
        <v>2020</v>
      </c>
      <c r="V304" s="2" t="str">
        <f>IF(DAY(B304)&gt;15,MONTH(B304)&amp;"-C",MONTH(B304)&amp;"-N")</f>
        <v>8-C</v>
      </c>
      <c r="W304" s="21">
        <v>3.05</v>
      </c>
      <c r="X304" s="2" t="b">
        <f t="shared" ref="X304:X311" si="185">+L304=W304</f>
        <v>1</v>
      </c>
    </row>
    <row r="305" spans="2:24" x14ac:dyDescent="0.2">
      <c r="B305" s="17">
        <v>44062</v>
      </c>
      <c r="C305" s="10" t="s">
        <v>108</v>
      </c>
      <c r="D305" s="11" t="s">
        <v>832</v>
      </c>
      <c r="E305" s="26">
        <v>54105</v>
      </c>
      <c r="F305" s="10" t="s">
        <v>139</v>
      </c>
      <c r="G305" s="10" t="s">
        <v>46</v>
      </c>
      <c r="H305" s="27" t="s">
        <v>140</v>
      </c>
      <c r="I305" s="12"/>
      <c r="J305" s="12"/>
      <c r="K305" s="13">
        <v>6808</v>
      </c>
      <c r="L305" s="21">
        <v>7.85</v>
      </c>
      <c r="M305" s="14" t="s">
        <v>14</v>
      </c>
      <c r="N305" s="13">
        <v>53442.8</v>
      </c>
      <c r="O305" s="15">
        <f t="shared" si="184"/>
        <v>0</v>
      </c>
      <c r="P305" s="10" t="s">
        <v>84</v>
      </c>
      <c r="Q305" s="11" t="s">
        <v>834</v>
      </c>
      <c r="R305" s="11" t="s">
        <v>833</v>
      </c>
      <c r="S305" s="16" t="s">
        <v>833</v>
      </c>
      <c r="T305" s="19" t="str">
        <f>MONTH(B305)&amp;"-"&amp;YEAR(B305)</f>
        <v>8-2020</v>
      </c>
      <c r="U305" s="2">
        <f>YEAR(B305)</f>
        <v>2020</v>
      </c>
      <c r="V305" s="2" t="str">
        <f>IF(DAY(B305)&gt;15,MONTH(B305)&amp;"-C",MONTH(B305)&amp;"-N")</f>
        <v>8-C</v>
      </c>
      <c r="W305" s="21">
        <v>7.85</v>
      </c>
      <c r="X305" s="2" t="b">
        <f t="shared" si="185"/>
        <v>1</v>
      </c>
    </row>
    <row r="306" spans="2:24" x14ac:dyDescent="0.2">
      <c r="B306" s="17">
        <v>44062</v>
      </c>
      <c r="C306" s="10" t="s">
        <v>108</v>
      </c>
      <c r="D306" s="11" t="s">
        <v>832</v>
      </c>
      <c r="E306" s="26">
        <v>54105</v>
      </c>
      <c r="F306" s="10" t="s">
        <v>129</v>
      </c>
      <c r="G306" s="10" t="s">
        <v>46</v>
      </c>
      <c r="H306" s="27" t="s">
        <v>130</v>
      </c>
      <c r="I306" s="12"/>
      <c r="J306" s="12"/>
      <c r="K306" s="13">
        <v>9890</v>
      </c>
      <c r="L306" s="21">
        <v>10.86</v>
      </c>
      <c r="M306" s="14" t="s">
        <v>14</v>
      </c>
      <c r="N306" s="13">
        <v>107405.4</v>
      </c>
      <c r="O306" s="15">
        <f t="shared" si="184"/>
        <v>0</v>
      </c>
      <c r="P306" s="10" t="s">
        <v>84</v>
      </c>
      <c r="Q306" s="11" t="s">
        <v>834</v>
      </c>
      <c r="R306" s="11" t="s">
        <v>833</v>
      </c>
      <c r="S306" s="16" t="s">
        <v>833</v>
      </c>
      <c r="T306" s="19" t="str">
        <f>MONTH(B306)&amp;"-"&amp;YEAR(B306)</f>
        <v>8-2020</v>
      </c>
      <c r="U306" s="2">
        <f>YEAR(B306)</f>
        <v>2020</v>
      </c>
      <c r="V306" s="2" t="str">
        <f>IF(DAY(B306)&gt;15,MONTH(B306)&amp;"-C",MONTH(B306)&amp;"-N")</f>
        <v>8-C</v>
      </c>
      <c r="W306" s="21">
        <v>10.86</v>
      </c>
      <c r="X306" s="2" t="b">
        <f t="shared" si="185"/>
        <v>1</v>
      </c>
    </row>
    <row r="307" spans="2:24" x14ac:dyDescent="0.2">
      <c r="B307" s="17">
        <v>44062</v>
      </c>
      <c r="C307" s="10" t="s">
        <v>25</v>
      </c>
      <c r="D307" s="11" t="s">
        <v>716</v>
      </c>
      <c r="E307" s="26">
        <v>54111</v>
      </c>
      <c r="F307" s="10" t="s">
        <v>26</v>
      </c>
      <c r="G307" s="10" t="s">
        <v>27</v>
      </c>
      <c r="H307" s="27" t="s">
        <v>28</v>
      </c>
      <c r="I307" s="12"/>
      <c r="J307" s="12"/>
      <c r="K307" s="13">
        <v>4400</v>
      </c>
      <c r="L307" s="21">
        <v>3.18</v>
      </c>
      <c r="M307" s="14" t="s">
        <v>14</v>
      </c>
      <c r="N307" s="13">
        <v>13992</v>
      </c>
      <c r="O307" s="15">
        <f t="shared" si="184"/>
        <v>0</v>
      </c>
      <c r="P307" s="10" t="s">
        <v>78</v>
      </c>
      <c r="Q307" s="11" t="s">
        <v>836</v>
      </c>
      <c r="R307" s="11" t="s">
        <v>331</v>
      </c>
      <c r="S307" s="16" t="s">
        <v>835</v>
      </c>
      <c r="T307" s="19" t="str">
        <f>MONTH(B307)&amp;"-"&amp;YEAR(B307)</f>
        <v>8-2020</v>
      </c>
      <c r="U307" s="2">
        <f>YEAR(B307)</f>
        <v>2020</v>
      </c>
      <c r="V307" s="2" t="str">
        <f>IF(DAY(B307)&gt;15,MONTH(B307)&amp;"-C",MONTH(B307)&amp;"-N")</f>
        <v>8-C</v>
      </c>
      <c r="W307" s="21">
        <v>3.18</v>
      </c>
      <c r="X307" s="2" t="b">
        <f t="shared" si="185"/>
        <v>1</v>
      </c>
    </row>
    <row r="308" spans="2:24" x14ac:dyDescent="0.2">
      <c r="B308" s="17">
        <v>44063</v>
      </c>
      <c r="C308" s="10" t="s">
        <v>107</v>
      </c>
      <c r="D308" s="11" t="s">
        <v>837</v>
      </c>
      <c r="E308" s="26">
        <v>54145</v>
      </c>
      <c r="F308" s="10" t="s">
        <v>142</v>
      </c>
      <c r="G308" s="10" t="s">
        <v>46</v>
      </c>
      <c r="H308" s="27" t="s">
        <v>143</v>
      </c>
      <c r="I308" s="12"/>
      <c r="J308" s="12"/>
      <c r="K308" s="13">
        <v>1100</v>
      </c>
      <c r="L308" s="21">
        <v>9</v>
      </c>
      <c r="M308" s="14" t="s">
        <v>14</v>
      </c>
      <c r="N308" s="13">
        <v>9900</v>
      </c>
      <c r="O308" s="15">
        <f t="shared" si="184"/>
        <v>0</v>
      </c>
      <c r="P308" s="10" t="s">
        <v>84</v>
      </c>
      <c r="Q308" s="11" t="s">
        <v>839</v>
      </c>
      <c r="R308" s="11" t="s">
        <v>840</v>
      </c>
      <c r="S308" s="16" t="s">
        <v>838</v>
      </c>
      <c r="T308" s="19" t="str">
        <f>MONTH(B308)&amp;"-"&amp;YEAR(B308)</f>
        <v>8-2020</v>
      </c>
      <c r="U308" s="2">
        <f>YEAR(B308)</f>
        <v>2020</v>
      </c>
      <c r="V308" s="2" t="str">
        <f>IF(DAY(B308)&gt;15,MONTH(B308)&amp;"-C",MONTH(B308)&amp;"-N")</f>
        <v>8-C</v>
      </c>
      <c r="W308" s="21">
        <v>9</v>
      </c>
      <c r="X308" s="2" t="b">
        <f t="shared" si="185"/>
        <v>1</v>
      </c>
    </row>
    <row r="309" spans="2:24" x14ac:dyDescent="0.2">
      <c r="B309" s="17">
        <v>44063</v>
      </c>
      <c r="C309" s="10" t="s">
        <v>107</v>
      </c>
      <c r="D309" s="11" t="s">
        <v>837</v>
      </c>
      <c r="E309" s="26">
        <v>54145</v>
      </c>
      <c r="F309" s="10" t="s">
        <v>144</v>
      </c>
      <c r="G309" s="10" t="s">
        <v>46</v>
      </c>
      <c r="H309" s="27" t="s">
        <v>145</v>
      </c>
      <c r="I309" s="12"/>
      <c r="J309" s="12"/>
      <c r="K309" s="13">
        <v>180</v>
      </c>
      <c r="L309" s="21">
        <v>9</v>
      </c>
      <c r="M309" s="14" t="s">
        <v>14</v>
      </c>
      <c r="N309" s="13">
        <v>1620</v>
      </c>
      <c r="O309" s="15">
        <f t="shared" si="184"/>
        <v>0</v>
      </c>
      <c r="P309" s="10" t="s">
        <v>84</v>
      </c>
      <c r="Q309" s="11" t="s">
        <v>839</v>
      </c>
      <c r="R309" s="11" t="s">
        <v>840</v>
      </c>
      <c r="S309" s="16" t="s">
        <v>838</v>
      </c>
      <c r="T309" s="19" t="str">
        <f>MONTH(B309)&amp;"-"&amp;YEAR(B309)</f>
        <v>8-2020</v>
      </c>
      <c r="U309" s="2">
        <f>YEAR(B309)</f>
        <v>2020</v>
      </c>
      <c r="V309" s="2" t="str">
        <f>IF(DAY(B309)&gt;15,MONTH(B309)&amp;"-C",MONTH(B309)&amp;"-N")</f>
        <v>8-C</v>
      </c>
      <c r="W309" s="21">
        <v>9</v>
      </c>
      <c r="X309" s="2" t="b">
        <f t="shared" si="185"/>
        <v>1</v>
      </c>
    </row>
    <row r="310" spans="2:24" x14ac:dyDescent="0.2">
      <c r="B310" s="17">
        <v>44063</v>
      </c>
      <c r="C310" s="10" t="s">
        <v>107</v>
      </c>
      <c r="D310" s="11" t="s">
        <v>837</v>
      </c>
      <c r="E310" s="26">
        <v>54145</v>
      </c>
      <c r="F310" s="10" t="s">
        <v>103</v>
      </c>
      <c r="G310" s="10" t="s">
        <v>46</v>
      </c>
      <c r="H310" s="27" t="s">
        <v>104</v>
      </c>
      <c r="I310" s="12"/>
      <c r="J310" s="12"/>
      <c r="K310" s="13">
        <v>40</v>
      </c>
      <c r="L310" s="21">
        <v>37.200000000000003</v>
      </c>
      <c r="M310" s="14" t="s">
        <v>14</v>
      </c>
      <c r="N310" s="13">
        <v>1488</v>
      </c>
      <c r="O310" s="15">
        <f t="shared" si="184"/>
        <v>0</v>
      </c>
      <c r="P310" s="10" t="s">
        <v>84</v>
      </c>
      <c r="Q310" s="11" t="s">
        <v>839</v>
      </c>
      <c r="R310" s="11" t="s">
        <v>840</v>
      </c>
      <c r="S310" s="16" t="s">
        <v>838</v>
      </c>
      <c r="T310" s="19" t="str">
        <f>MONTH(B310)&amp;"-"&amp;YEAR(B310)</f>
        <v>8-2020</v>
      </c>
      <c r="U310" s="2">
        <f>YEAR(B310)</f>
        <v>2020</v>
      </c>
      <c r="V310" s="2" t="str">
        <f>IF(DAY(B310)&gt;15,MONTH(B310)&amp;"-C",MONTH(B310)&amp;"-N")</f>
        <v>8-C</v>
      </c>
      <c r="W310" s="21">
        <v>37.200000000000003</v>
      </c>
      <c r="X310" s="2" t="b">
        <f t="shared" si="185"/>
        <v>1</v>
      </c>
    </row>
    <row r="311" spans="2:24" x14ac:dyDescent="0.2">
      <c r="B311" s="17">
        <v>44063</v>
      </c>
      <c r="C311" s="10" t="s">
        <v>107</v>
      </c>
      <c r="D311" s="11" t="s">
        <v>837</v>
      </c>
      <c r="E311" s="26">
        <v>54145</v>
      </c>
      <c r="F311" s="10" t="s">
        <v>105</v>
      </c>
      <c r="G311" s="10" t="s">
        <v>46</v>
      </c>
      <c r="H311" s="27" t="s">
        <v>106</v>
      </c>
      <c r="I311" s="12"/>
      <c r="J311" s="12"/>
      <c r="K311" s="13">
        <v>1320</v>
      </c>
      <c r="L311" s="21">
        <v>12.3</v>
      </c>
      <c r="M311" s="14" t="s">
        <v>14</v>
      </c>
      <c r="N311" s="13">
        <v>16236</v>
      </c>
      <c r="O311" s="15">
        <f t="shared" si="184"/>
        <v>0</v>
      </c>
      <c r="P311" s="10" t="s">
        <v>84</v>
      </c>
      <c r="Q311" s="11" t="s">
        <v>839</v>
      </c>
      <c r="R311" s="11" t="s">
        <v>840</v>
      </c>
      <c r="S311" s="16" t="s">
        <v>838</v>
      </c>
      <c r="T311" s="19" t="str">
        <f>MONTH(B311)&amp;"-"&amp;YEAR(B311)</f>
        <v>8-2020</v>
      </c>
      <c r="U311" s="2">
        <f>YEAR(B311)</f>
        <v>2020</v>
      </c>
      <c r="V311" s="2" t="str">
        <f>IF(DAY(B311)&gt;15,MONTH(B311)&amp;"-C",MONTH(B311)&amp;"-N")</f>
        <v>8-C</v>
      </c>
      <c r="W311" s="21">
        <v>12.3</v>
      </c>
      <c r="X311" s="2" t="b">
        <f t="shared" si="185"/>
        <v>1</v>
      </c>
    </row>
    <row r="312" spans="2:24" x14ac:dyDescent="0.2">
      <c r="B312" s="17">
        <v>44067</v>
      </c>
      <c r="C312" s="10" t="s">
        <v>682</v>
      </c>
      <c r="D312" s="11" t="s">
        <v>745</v>
      </c>
      <c r="E312" s="26">
        <v>54173</v>
      </c>
      <c r="F312" s="10" t="s">
        <v>26</v>
      </c>
      <c r="G312" s="10" t="s">
        <v>27</v>
      </c>
      <c r="H312" s="27" t="s">
        <v>28</v>
      </c>
      <c r="I312" s="12"/>
      <c r="J312" s="12"/>
      <c r="K312" s="13">
        <v>4500</v>
      </c>
      <c r="L312" s="21">
        <v>3.17</v>
      </c>
      <c r="M312" s="14" t="s">
        <v>14</v>
      </c>
      <c r="N312" s="13">
        <v>14265</v>
      </c>
      <c r="O312" s="15">
        <f t="shared" ref="O312:O313" si="186">(N312/K312)-L312</f>
        <v>0</v>
      </c>
      <c r="P312" s="10" t="s">
        <v>78</v>
      </c>
      <c r="Q312" s="11" t="s">
        <v>842</v>
      </c>
      <c r="R312" s="11" t="s">
        <v>820</v>
      </c>
      <c r="S312" s="16" t="s">
        <v>841</v>
      </c>
      <c r="T312" s="19" t="str">
        <f>MONTH(B312)&amp;"-"&amp;YEAR(B312)</f>
        <v>8-2020</v>
      </c>
      <c r="U312" s="2">
        <f>YEAR(B312)</f>
        <v>2020</v>
      </c>
      <c r="V312" s="2" t="str">
        <f>IF(DAY(B312)&gt;15,MONTH(B312)&amp;"-C",MONTH(B312)&amp;"-N")</f>
        <v>8-C</v>
      </c>
      <c r="W312" s="21">
        <v>3.17</v>
      </c>
      <c r="X312" s="2" t="b">
        <f t="shared" ref="X312:X313" si="187">+L312=W312</f>
        <v>1</v>
      </c>
    </row>
    <row r="313" spans="2:24" x14ac:dyDescent="0.2">
      <c r="B313" s="17">
        <v>44068</v>
      </c>
      <c r="C313" s="10" t="s">
        <v>25</v>
      </c>
      <c r="D313" s="11" t="s">
        <v>829</v>
      </c>
      <c r="E313" s="26">
        <v>54190</v>
      </c>
      <c r="F313" s="10" t="s">
        <v>26</v>
      </c>
      <c r="G313" s="10" t="s">
        <v>27</v>
      </c>
      <c r="H313" s="27" t="s">
        <v>28</v>
      </c>
      <c r="I313" s="12"/>
      <c r="J313" s="12"/>
      <c r="K313" s="13">
        <v>19800</v>
      </c>
      <c r="L313" s="21">
        <v>3.05</v>
      </c>
      <c r="M313" s="14" t="s">
        <v>14</v>
      </c>
      <c r="N313" s="13">
        <v>60390</v>
      </c>
      <c r="O313" s="15">
        <f t="shared" si="186"/>
        <v>0</v>
      </c>
      <c r="P313" s="10" t="s">
        <v>78</v>
      </c>
      <c r="Q313" s="11" t="s">
        <v>844</v>
      </c>
      <c r="R313" s="11" t="s">
        <v>454</v>
      </c>
      <c r="S313" s="16" t="s">
        <v>843</v>
      </c>
      <c r="T313" s="19" t="str">
        <f>MONTH(B313)&amp;"-"&amp;YEAR(B313)</f>
        <v>8-2020</v>
      </c>
      <c r="U313" s="2">
        <f>YEAR(B313)</f>
        <v>2020</v>
      </c>
      <c r="V313" s="2" t="str">
        <f>IF(DAY(B313)&gt;15,MONTH(B313)&amp;"-C",MONTH(B313)&amp;"-N")</f>
        <v>8-C</v>
      </c>
      <c r="W313" s="21">
        <v>3.05</v>
      </c>
      <c r="X313" s="2" t="b">
        <f t="shared" si="187"/>
        <v>1</v>
      </c>
    </row>
    <row r="314" spans="2:24" x14ac:dyDescent="0.2">
      <c r="B314" s="17">
        <v>44069</v>
      </c>
      <c r="C314" s="10" t="s">
        <v>25</v>
      </c>
      <c r="D314" s="11" t="s">
        <v>779</v>
      </c>
      <c r="E314" s="26">
        <v>54211</v>
      </c>
      <c r="F314" s="10" t="s">
        <v>29</v>
      </c>
      <c r="G314" s="10" t="s">
        <v>27</v>
      </c>
      <c r="H314" s="27" t="s">
        <v>30</v>
      </c>
      <c r="I314" s="12"/>
      <c r="J314" s="12"/>
      <c r="K314" s="13">
        <v>5280</v>
      </c>
      <c r="L314" s="21">
        <v>3.78</v>
      </c>
      <c r="M314" s="14" t="s">
        <v>14</v>
      </c>
      <c r="N314" s="13">
        <v>19958.400000000001</v>
      </c>
      <c r="O314" s="15">
        <f t="shared" ref="O314:O316" si="188">(N314/K314)-L314</f>
        <v>0</v>
      </c>
      <c r="P314" s="10" t="s">
        <v>78</v>
      </c>
      <c r="Q314" s="11" t="s">
        <v>846</v>
      </c>
      <c r="R314" s="11" t="s">
        <v>847</v>
      </c>
      <c r="S314" s="16" t="s">
        <v>845</v>
      </c>
      <c r="T314" s="19" t="str">
        <f>MONTH(B314)&amp;"-"&amp;YEAR(B314)</f>
        <v>8-2020</v>
      </c>
      <c r="U314" s="2">
        <f>YEAR(B314)</f>
        <v>2020</v>
      </c>
      <c r="V314" s="2" t="str">
        <f>IF(DAY(B314)&gt;15,MONTH(B314)&amp;"-C",MONTH(B314)&amp;"-N")</f>
        <v>8-C</v>
      </c>
      <c r="W314" s="21">
        <v>3.78</v>
      </c>
      <c r="X314" s="2" t="b">
        <f t="shared" ref="X314:X316" si="189">+L314=W314</f>
        <v>1</v>
      </c>
    </row>
    <row r="315" spans="2:24" x14ac:dyDescent="0.2">
      <c r="B315" s="17">
        <v>44069</v>
      </c>
      <c r="C315" s="10" t="s">
        <v>25</v>
      </c>
      <c r="D315" s="11" t="s">
        <v>779</v>
      </c>
      <c r="E315" s="26">
        <v>54211</v>
      </c>
      <c r="F315" s="10" t="s">
        <v>31</v>
      </c>
      <c r="G315" s="10" t="s">
        <v>27</v>
      </c>
      <c r="H315" s="27" t="s">
        <v>32</v>
      </c>
      <c r="I315" s="12"/>
      <c r="J315" s="12"/>
      <c r="K315" s="13">
        <v>1600</v>
      </c>
      <c r="L315" s="21">
        <v>4.18</v>
      </c>
      <c r="M315" s="14" t="s">
        <v>14</v>
      </c>
      <c r="N315" s="13">
        <v>6688</v>
      </c>
      <c r="O315" s="15">
        <f t="shared" si="188"/>
        <v>0</v>
      </c>
      <c r="P315" s="10" t="s">
        <v>78</v>
      </c>
      <c r="Q315" s="11" t="s">
        <v>846</v>
      </c>
      <c r="R315" s="11" t="s">
        <v>847</v>
      </c>
      <c r="S315" s="16" t="s">
        <v>845</v>
      </c>
      <c r="T315" s="19" t="str">
        <f>MONTH(B315)&amp;"-"&amp;YEAR(B315)</f>
        <v>8-2020</v>
      </c>
      <c r="U315" s="2">
        <f>YEAR(B315)</f>
        <v>2020</v>
      </c>
      <c r="V315" s="2" t="str">
        <f>IF(DAY(B315)&gt;15,MONTH(B315)&amp;"-C",MONTH(B315)&amp;"-N")</f>
        <v>8-C</v>
      </c>
      <c r="W315" s="21">
        <v>4.18</v>
      </c>
      <c r="X315" s="2" t="b">
        <f t="shared" si="189"/>
        <v>1</v>
      </c>
    </row>
    <row r="316" spans="2:24" x14ac:dyDescent="0.2">
      <c r="B316" s="17">
        <v>44069</v>
      </c>
      <c r="C316" s="10" t="s">
        <v>25</v>
      </c>
      <c r="D316" s="11" t="s">
        <v>779</v>
      </c>
      <c r="E316" s="26">
        <v>54211</v>
      </c>
      <c r="F316" s="10" t="s">
        <v>49</v>
      </c>
      <c r="G316" s="10" t="s">
        <v>27</v>
      </c>
      <c r="H316" s="27" t="s">
        <v>50</v>
      </c>
      <c r="I316" s="12"/>
      <c r="J316" s="12"/>
      <c r="K316" s="13">
        <v>1520</v>
      </c>
      <c r="L316" s="21">
        <v>5.18</v>
      </c>
      <c r="M316" s="14" t="s">
        <v>14</v>
      </c>
      <c r="N316" s="13">
        <v>7873.6</v>
      </c>
      <c r="O316" s="15">
        <f t="shared" si="188"/>
        <v>0</v>
      </c>
      <c r="P316" s="10" t="s">
        <v>78</v>
      </c>
      <c r="Q316" s="11" t="s">
        <v>846</v>
      </c>
      <c r="R316" s="11" t="s">
        <v>847</v>
      </c>
      <c r="S316" s="16" t="s">
        <v>845</v>
      </c>
      <c r="T316" s="19" t="str">
        <f>MONTH(B316)&amp;"-"&amp;YEAR(B316)</f>
        <v>8-2020</v>
      </c>
      <c r="U316" s="2">
        <f>YEAR(B316)</f>
        <v>2020</v>
      </c>
      <c r="V316" s="2" t="str">
        <f>IF(DAY(B316)&gt;15,MONTH(B316)&amp;"-C",MONTH(B316)&amp;"-N")</f>
        <v>8-C</v>
      </c>
      <c r="W316" s="21">
        <v>5.18</v>
      </c>
      <c r="X316" s="2" t="b">
        <f t="shared" si="189"/>
        <v>1</v>
      </c>
    </row>
    <row r="317" spans="2:24" x14ac:dyDescent="0.2">
      <c r="B317" s="17">
        <v>44073</v>
      </c>
      <c r="C317" s="10" t="s">
        <v>25</v>
      </c>
      <c r="D317" s="11" t="s">
        <v>829</v>
      </c>
      <c r="E317" s="26">
        <v>54262</v>
      </c>
      <c r="F317" s="10" t="s">
        <v>26</v>
      </c>
      <c r="G317" s="10" t="s">
        <v>27</v>
      </c>
      <c r="H317" s="27" t="s">
        <v>28</v>
      </c>
      <c r="I317" s="12"/>
      <c r="J317" s="12"/>
      <c r="K317" s="13">
        <v>19800</v>
      </c>
      <c r="L317" s="21">
        <v>3.05</v>
      </c>
      <c r="M317" s="14" t="s">
        <v>14</v>
      </c>
      <c r="N317" s="13">
        <v>60390</v>
      </c>
      <c r="O317" s="15">
        <f t="shared" ref="O317:O320" si="190">(N317/K317)-L317</f>
        <v>0</v>
      </c>
      <c r="P317" s="10" t="s">
        <v>78</v>
      </c>
      <c r="Q317" s="11" t="s">
        <v>849</v>
      </c>
      <c r="R317" s="11" t="s">
        <v>850</v>
      </c>
      <c r="S317" s="16" t="s">
        <v>848</v>
      </c>
      <c r="T317" s="19" t="str">
        <f>MONTH(B317)&amp;"-"&amp;YEAR(B317)</f>
        <v>8-2020</v>
      </c>
      <c r="U317" s="2">
        <f>YEAR(B317)</f>
        <v>2020</v>
      </c>
      <c r="V317" s="2" t="str">
        <f>IF(DAY(B317)&gt;15,MONTH(B317)&amp;"-C",MONTH(B317)&amp;"-N")</f>
        <v>8-C</v>
      </c>
      <c r="W317" s="21">
        <v>3.05</v>
      </c>
      <c r="X317" s="2" t="b">
        <f t="shared" ref="X317:X320" si="191">+L317=W317</f>
        <v>1</v>
      </c>
    </row>
    <row r="318" spans="2:24" x14ac:dyDescent="0.2">
      <c r="B318" s="17">
        <v>44073</v>
      </c>
      <c r="C318" s="10" t="s">
        <v>88</v>
      </c>
      <c r="D318" s="11" t="s">
        <v>851</v>
      </c>
      <c r="E318" s="26">
        <v>54263</v>
      </c>
      <c r="F318" s="10" t="s">
        <v>98</v>
      </c>
      <c r="G318" s="10" t="s">
        <v>46</v>
      </c>
      <c r="H318" s="27" t="s">
        <v>99</v>
      </c>
      <c r="I318" s="12"/>
      <c r="J318" s="12"/>
      <c r="K318" s="13">
        <v>40</v>
      </c>
      <c r="L318" s="21">
        <v>11.15</v>
      </c>
      <c r="M318" s="14" t="s">
        <v>14</v>
      </c>
      <c r="N318" s="13">
        <v>446</v>
      </c>
      <c r="O318" s="15">
        <f t="shared" si="190"/>
        <v>0</v>
      </c>
      <c r="P318" s="10" t="s">
        <v>84</v>
      </c>
      <c r="Q318" s="11" t="s">
        <v>853</v>
      </c>
      <c r="R318" s="11" t="s">
        <v>854</v>
      </c>
      <c r="S318" s="16" t="s">
        <v>852</v>
      </c>
      <c r="T318" s="19" t="str">
        <f>MONTH(B318)&amp;"-"&amp;YEAR(B318)</f>
        <v>8-2020</v>
      </c>
      <c r="U318" s="2">
        <f>YEAR(B318)</f>
        <v>2020</v>
      </c>
      <c r="V318" s="2" t="str">
        <f>IF(DAY(B318)&gt;15,MONTH(B318)&amp;"-C",MONTH(B318)&amp;"-N")</f>
        <v>8-C</v>
      </c>
      <c r="W318" s="21">
        <v>11.15</v>
      </c>
      <c r="X318" s="2" t="b">
        <f t="shared" si="191"/>
        <v>1</v>
      </c>
    </row>
    <row r="319" spans="2:24" x14ac:dyDescent="0.2">
      <c r="B319" s="17">
        <v>44073</v>
      </c>
      <c r="C319" s="10" t="s">
        <v>88</v>
      </c>
      <c r="D319" s="11" t="s">
        <v>851</v>
      </c>
      <c r="E319" s="26">
        <v>54263</v>
      </c>
      <c r="F319" s="10" t="s">
        <v>100</v>
      </c>
      <c r="G319" s="10" t="s">
        <v>46</v>
      </c>
      <c r="H319" s="27" t="s">
        <v>101</v>
      </c>
      <c r="I319" s="12"/>
      <c r="J319" s="12"/>
      <c r="K319" s="13">
        <v>2000</v>
      </c>
      <c r="L319" s="21">
        <v>11.15</v>
      </c>
      <c r="M319" s="14" t="s">
        <v>14</v>
      </c>
      <c r="N319" s="13">
        <v>22300</v>
      </c>
      <c r="O319" s="15">
        <f t="shared" si="190"/>
        <v>0</v>
      </c>
      <c r="P319" s="10" t="s">
        <v>84</v>
      </c>
      <c r="Q319" s="11" t="s">
        <v>853</v>
      </c>
      <c r="R319" s="11" t="s">
        <v>854</v>
      </c>
      <c r="S319" s="16" t="s">
        <v>852</v>
      </c>
      <c r="T319" s="19" t="str">
        <f>MONTH(B319)&amp;"-"&amp;YEAR(B319)</f>
        <v>8-2020</v>
      </c>
      <c r="U319" s="2">
        <f>YEAR(B319)</f>
        <v>2020</v>
      </c>
      <c r="V319" s="2" t="str">
        <f>IF(DAY(B319)&gt;15,MONTH(B319)&amp;"-C",MONTH(B319)&amp;"-N")</f>
        <v>8-C</v>
      </c>
      <c r="W319" s="21">
        <v>11.15</v>
      </c>
      <c r="X319" s="2" t="b">
        <f t="shared" si="191"/>
        <v>1</v>
      </c>
    </row>
    <row r="320" spans="2:24" x14ac:dyDescent="0.2">
      <c r="B320" s="17">
        <v>44074</v>
      </c>
      <c r="C320" s="10" t="s">
        <v>682</v>
      </c>
      <c r="D320" s="11" t="s">
        <v>745</v>
      </c>
      <c r="E320" s="26">
        <v>54258</v>
      </c>
      <c r="F320" s="10" t="s">
        <v>26</v>
      </c>
      <c r="G320" s="10" t="s">
        <v>27</v>
      </c>
      <c r="H320" s="27" t="s">
        <v>28</v>
      </c>
      <c r="I320" s="12"/>
      <c r="J320" s="12"/>
      <c r="K320" s="13">
        <v>5602</v>
      </c>
      <c r="L320" s="21">
        <v>3.17</v>
      </c>
      <c r="M320" s="14" t="s">
        <v>14</v>
      </c>
      <c r="N320" s="13">
        <v>17758.34</v>
      </c>
      <c r="O320" s="15">
        <f t="shared" si="190"/>
        <v>0</v>
      </c>
      <c r="P320" s="10" t="s">
        <v>78</v>
      </c>
      <c r="Q320" s="11" t="s">
        <v>856</v>
      </c>
      <c r="R320" s="11" t="s">
        <v>820</v>
      </c>
      <c r="S320" s="16" t="s">
        <v>855</v>
      </c>
      <c r="T320" s="19" t="str">
        <f>MONTH(B320)&amp;"-"&amp;YEAR(B320)</f>
        <v>8-2020</v>
      </c>
      <c r="U320" s="2">
        <f>YEAR(B320)</f>
        <v>2020</v>
      </c>
      <c r="V320" s="2" t="str">
        <f>IF(DAY(B320)&gt;15,MONTH(B320)&amp;"-C",MONTH(B320)&amp;"-N")</f>
        <v>8-C</v>
      </c>
      <c r="W320" s="21">
        <v>3.17</v>
      </c>
      <c r="X320" s="2" t="b">
        <f t="shared" si="191"/>
        <v>1</v>
      </c>
    </row>
    <row r="321" spans="2:24" x14ac:dyDescent="0.2">
      <c r="B321" s="17">
        <v>44080</v>
      </c>
      <c r="C321" s="10" t="s">
        <v>82</v>
      </c>
      <c r="D321" s="11" t="s">
        <v>858</v>
      </c>
      <c r="E321" s="26">
        <v>54336</v>
      </c>
      <c r="F321" s="10" t="s">
        <v>33</v>
      </c>
      <c r="G321" s="10" t="s">
        <v>27</v>
      </c>
      <c r="H321" s="27" t="s">
        <v>34</v>
      </c>
      <c r="I321" s="12"/>
      <c r="J321" s="12"/>
      <c r="K321" s="13">
        <v>360</v>
      </c>
      <c r="L321" s="21">
        <v>6.75</v>
      </c>
      <c r="M321" s="14" t="s">
        <v>14</v>
      </c>
      <c r="N321" s="13">
        <v>2430</v>
      </c>
      <c r="O321" s="15">
        <f t="shared" ref="O321" si="192">(N321/K321)-L321</f>
        <v>0</v>
      </c>
      <c r="P321" s="10" t="s">
        <v>78</v>
      </c>
      <c r="Q321" s="11" t="s">
        <v>860</v>
      </c>
      <c r="R321" s="11" t="s">
        <v>861</v>
      </c>
      <c r="S321" s="16" t="s">
        <v>859</v>
      </c>
      <c r="T321" s="19" t="str">
        <f>MONTH(B321)&amp;"-"&amp;YEAR(B321)</f>
        <v>9-2020</v>
      </c>
      <c r="U321" s="2">
        <f>YEAR(B321)</f>
        <v>2020</v>
      </c>
      <c r="V321" s="2" t="str">
        <f>IF(DAY(B321)&gt;15,MONTH(B321)&amp;"-C",MONTH(B321)&amp;"-N")</f>
        <v>9-N</v>
      </c>
      <c r="W321" s="21">
        <v>6.75</v>
      </c>
      <c r="X321" s="2" t="b">
        <f t="shared" ref="X321" si="193">+L321=W321</f>
        <v>1</v>
      </c>
    </row>
    <row r="322" spans="2:24" x14ac:dyDescent="0.2">
      <c r="B322" s="17">
        <v>44082</v>
      </c>
      <c r="C322" s="10" t="s">
        <v>107</v>
      </c>
      <c r="D322" s="11" t="s">
        <v>862</v>
      </c>
      <c r="E322" s="26">
        <v>54364</v>
      </c>
      <c r="F322" s="10" t="s">
        <v>142</v>
      </c>
      <c r="G322" s="10" t="s">
        <v>46</v>
      </c>
      <c r="H322" s="27" t="s">
        <v>143</v>
      </c>
      <c r="I322" s="12"/>
      <c r="J322" s="12"/>
      <c r="K322" s="13">
        <v>2200</v>
      </c>
      <c r="L322" s="21">
        <v>9</v>
      </c>
      <c r="M322" s="14" t="s">
        <v>14</v>
      </c>
      <c r="N322" s="13">
        <v>19800</v>
      </c>
      <c r="O322" s="15">
        <f t="shared" ref="O322:O323" si="194">(N322/K322)-L322</f>
        <v>0</v>
      </c>
      <c r="P322" s="10" t="s">
        <v>84</v>
      </c>
      <c r="Q322" s="11" t="s">
        <v>864</v>
      </c>
      <c r="R322" s="11" t="s">
        <v>865</v>
      </c>
      <c r="S322" s="16" t="s">
        <v>863</v>
      </c>
      <c r="T322" s="19" t="str">
        <f>MONTH(B322)&amp;"-"&amp;YEAR(B322)</f>
        <v>9-2020</v>
      </c>
      <c r="U322" s="2">
        <f>YEAR(B322)</f>
        <v>2020</v>
      </c>
      <c r="V322" s="2" t="str">
        <f>IF(DAY(B322)&gt;15,MONTH(B322)&amp;"-C",MONTH(B322)&amp;"-N")</f>
        <v>9-N</v>
      </c>
      <c r="W322" s="21">
        <v>9</v>
      </c>
      <c r="X322" s="2" t="b">
        <f t="shared" ref="X322:X323" si="195">+L322=W322</f>
        <v>1</v>
      </c>
    </row>
    <row r="323" spans="2:24" x14ac:dyDescent="0.2">
      <c r="B323" s="17">
        <v>44082</v>
      </c>
      <c r="C323" s="10" t="s">
        <v>107</v>
      </c>
      <c r="D323" s="11" t="s">
        <v>862</v>
      </c>
      <c r="E323" s="26">
        <v>54364</v>
      </c>
      <c r="F323" s="10" t="s">
        <v>144</v>
      </c>
      <c r="G323" s="10" t="s">
        <v>46</v>
      </c>
      <c r="H323" s="27" t="s">
        <v>145</v>
      </c>
      <c r="I323" s="12"/>
      <c r="J323" s="12"/>
      <c r="K323" s="13">
        <v>340</v>
      </c>
      <c r="L323" s="21">
        <v>9</v>
      </c>
      <c r="M323" s="14" t="s">
        <v>14</v>
      </c>
      <c r="N323" s="13">
        <v>3060</v>
      </c>
      <c r="O323" s="15">
        <f t="shared" si="194"/>
        <v>0</v>
      </c>
      <c r="P323" s="10" t="s">
        <v>84</v>
      </c>
      <c r="Q323" s="11" t="s">
        <v>864</v>
      </c>
      <c r="R323" s="11" t="s">
        <v>865</v>
      </c>
      <c r="S323" s="16" t="s">
        <v>863</v>
      </c>
      <c r="T323" s="19" t="str">
        <f>MONTH(B323)&amp;"-"&amp;YEAR(B323)</f>
        <v>9-2020</v>
      </c>
      <c r="U323" s="2">
        <f>YEAR(B323)</f>
        <v>2020</v>
      </c>
      <c r="V323" s="2" t="str">
        <f>IF(DAY(B323)&gt;15,MONTH(B323)&amp;"-C",MONTH(B323)&amp;"-N")</f>
        <v>9-N</v>
      </c>
      <c r="W323" s="21">
        <v>9</v>
      </c>
      <c r="X323" s="2" t="b">
        <f t="shared" si="195"/>
        <v>1</v>
      </c>
    </row>
    <row r="324" spans="2:24" x14ac:dyDescent="0.2">
      <c r="B324" s="17">
        <v>44083</v>
      </c>
      <c r="C324" s="10" t="s">
        <v>108</v>
      </c>
      <c r="D324" s="11" t="s">
        <v>866</v>
      </c>
      <c r="E324" s="26">
        <v>54372</v>
      </c>
      <c r="F324" s="10" t="s">
        <v>127</v>
      </c>
      <c r="G324" s="10" t="s">
        <v>46</v>
      </c>
      <c r="H324" s="27" t="s">
        <v>128</v>
      </c>
      <c r="I324" s="12"/>
      <c r="J324" s="12"/>
      <c r="K324" s="13">
        <v>1288</v>
      </c>
      <c r="L324" s="21">
        <v>11.25</v>
      </c>
      <c r="M324" s="14" t="s">
        <v>14</v>
      </c>
      <c r="N324" s="13">
        <v>14490</v>
      </c>
      <c r="O324" s="15">
        <f t="shared" ref="O324:O329" si="196">(N324/K324)-L324</f>
        <v>0</v>
      </c>
      <c r="P324" s="10" t="s">
        <v>84</v>
      </c>
      <c r="Q324" s="11" t="s">
        <v>868</v>
      </c>
      <c r="R324" s="11" t="s">
        <v>867</v>
      </c>
      <c r="S324" s="16" t="s">
        <v>867</v>
      </c>
      <c r="T324" s="19" t="str">
        <f>MONTH(B324)&amp;"-"&amp;YEAR(B324)</f>
        <v>9-2020</v>
      </c>
      <c r="U324" s="2">
        <f>YEAR(B324)</f>
        <v>2020</v>
      </c>
      <c r="V324" s="2" t="str">
        <f>IF(DAY(B324)&gt;15,MONTH(B324)&amp;"-C",MONTH(B324)&amp;"-N")</f>
        <v>9-N</v>
      </c>
      <c r="W324" s="21">
        <v>11.25</v>
      </c>
      <c r="X324" s="2" t="b">
        <f t="shared" ref="X324:X329" si="197">+L324=W324</f>
        <v>1</v>
      </c>
    </row>
    <row r="325" spans="2:24" x14ac:dyDescent="0.2">
      <c r="B325" s="17">
        <v>44083</v>
      </c>
      <c r="C325" s="10" t="s">
        <v>108</v>
      </c>
      <c r="D325" s="11" t="s">
        <v>866</v>
      </c>
      <c r="E325" s="26">
        <v>54372</v>
      </c>
      <c r="F325" s="10" t="s">
        <v>121</v>
      </c>
      <c r="G325" s="10" t="s">
        <v>46</v>
      </c>
      <c r="H325" s="27" t="s">
        <v>122</v>
      </c>
      <c r="I325" s="12"/>
      <c r="J325" s="12"/>
      <c r="K325" s="13">
        <v>1380</v>
      </c>
      <c r="L325" s="21">
        <v>9.1999999999999993</v>
      </c>
      <c r="M325" s="14" t="s">
        <v>14</v>
      </c>
      <c r="N325" s="13">
        <v>12696</v>
      </c>
      <c r="O325" s="15">
        <f t="shared" si="196"/>
        <v>0</v>
      </c>
      <c r="P325" s="10" t="s">
        <v>84</v>
      </c>
      <c r="Q325" s="11" t="s">
        <v>868</v>
      </c>
      <c r="R325" s="11" t="s">
        <v>867</v>
      </c>
      <c r="S325" s="16" t="s">
        <v>867</v>
      </c>
      <c r="T325" s="19" t="str">
        <f>MONTH(B325)&amp;"-"&amp;YEAR(B325)</f>
        <v>9-2020</v>
      </c>
      <c r="U325" s="2">
        <f>YEAR(B325)</f>
        <v>2020</v>
      </c>
      <c r="V325" s="2" t="str">
        <f>IF(DAY(B325)&gt;15,MONTH(B325)&amp;"-C",MONTH(B325)&amp;"-N")</f>
        <v>9-N</v>
      </c>
      <c r="W325" s="21">
        <v>9.1999999999999993</v>
      </c>
      <c r="X325" s="2" t="b">
        <f t="shared" si="197"/>
        <v>1</v>
      </c>
    </row>
    <row r="326" spans="2:24" x14ac:dyDescent="0.2">
      <c r="B326" s="17">
        <v>44083</v>
      </c>
      <c r="C326" s="10" t="s">
        <v>108</v>
      </c>
      <c r="D326" s="11" t="s">
        <v>866</v>
      </c>
      <c r="E326" s="26">
        <v>54372</v>
      </c>
      <c r="F326" s="10" t="s">
        <v>123</v>
      </c>
      <c r="G326" s="10" t="s">
        <v>46</v>
      </c>
      <c r="H326" s="27" t="s">
        <v>124</v>
      </c>
      <c r="I326" s="12"/>
      <c r="J326" s="12"/>
      <c r="K326" s="13">
        <v>2300</v>
      </c>
      <c r="L326" s="21">
        <v>11.81</v>
      </c>
      <c r="M326" s="14" t="s">
        <v>14</v>
      </c>
      <c r="N326" s="13">
        <v>27163</v>
      </c>
      <c r="O326" s="15">
        <f t="shared" si="196"/>
        <v>0</v>
      </c>
      <c r="P326" s="10" t="s">
        <v>84</v>
      </c>
      <c r="Q326" s="11" t="s">
        <v>868</v>
      </c>
      <c r="R326" s="11" t="s">
        <v>867</v>
      </c>
      <c r="S326" s="16" t="s">
        <v>867</v>
      </c>
      <c r="T326" s="19" t="str">
        <f>MONTH(B326)&amp;"-"&amp;YEAR(B326)</f>
        <v>9-2020</v>
      </c>
      <c r="U326" s="2">
        <f>YEAR(B326)</f>
        <v>2020</v>
      </c>
      <c r="V326" s="2" t="str">
        <f>IF(DAY(B326)&gt;15,MONTH(B326)&amp;"-C",MONTH(B326)&amp;"-N")</f>
        <v>9-N</v>
      </c>
      <c r="W326" s="21">
        <v>11.81</v>
      </c>
      <c r="X326" s="2" t="b">
        <f t="shared" si="197"/>
        <v>1</v>
      </c>
    </row>
    <row r="327" spans="2:24" x14ac:dyDescent="0.2">
      <c r="B327" s="17">
        <v>44083</v>
      </c>
      <c r="C327" s="10" t="s">
        <v>108</v>
      </c>
      <c r="D327" s="11" t="s">
        <v>866</v>
      </c>
      <c r="E327" s="26">
        <v>54372</v>
      </c>
      <c r="F327" s="10" t="s">
        <v>139</v>
      </c>
      <c r="G327" s="10" t="s">
        <v>46</v>
      </c>
      <c r="H327" s="27" t="s">
        <v>140</v>
      </c>
      <c r="I327" s="12"/>
      <c r="J327" s="12"/>
      <c r="K327" s="13">
        <v>4048</v>
      </c>
      <c r="L327" s="21">
        <v>7.85</v>
      </c>
      <c r="M327" s="14" t="s">
        <v>14</v>
      </c>
      <c r="N327" s="13">
        <v>31776.799999999999</v>
      </c>
      <c r="O327" s="15">
        <f t="shared" si="196"/>
        <v>0</v>
      </c>
      <c r="P327" s="10" t="s">
        <v>84</v>
      </c>
      <c r="Q327" s="11" t="s">
        <v>868</v>
      </c>
      <c r="R327" s="11" t="s">
        <v>867</v>
      </c>
      <c r="S327" s="16" t="s">
        <v>867</v>
      </c>
      <c r="T327" s="19" t="str">
        <f>MONTH(B327)&amp;"-"&amp;YEAR(B327)</f>
        <v>9-2020</v>
      </c>
      <c r="U327" s="2">
        <f>YEAR(B327)</f>
        <v>2020</v>
      </c>
      <c r="V327" s="2" t="str">
        <f>IF(DAY(B327)&gt;15,MONTH(B327)&amp;"-C",MONTH(B327)&amp;"-N")</f>
        <v>9-N</v>
      </c>
      <c r="W327" s="21">
        <v>7.85</v>
      </c>
      <c r="X327" s="2" t="b">
        <f t="shared" si="197"/>
        <v>1</v>
      </c>
    </row>
    <row r="328" spans="2:24" x14ac:dyDescent="0.2">
      <c r="B328" s="17">
        <v>44083</v>
      </c>
      <c r="C328" s="10" t="s">
        <v>108</v>
      </c>
      <c r="D328" s="11" t="s">
        <v>866</v>
      </c>
      <c r="E328" s="26">
        <v>54372</v>
      </c>
      <c r="F328" s="10" t="s">
        <v>129</v>
      </c>
      <c r="G328" s="10" t="s">
        <v>46</v>
      </c>
      <c r="H328" s="27" t="s">
        <v>130</v>
      </c>
      <c r="I328" s="12"/>
      <c r="J328" s="12"/>
      <c r="K328" s="13">
        <v>7590</v>
      </c>
      <c r="L328" s="21">
        <v>10.86</v>
      </c>
      <c r="M328" s="14" t="s">
        <v>14</v>
      </c>
      <c r="N328" s="13">
        <v>82427.399999999994</v>
      </c>
      <c r="O328" s="15">
        <f t="shared" si="196"/>
        <v>0</v>
      </c>
      <c r="P328" s="10" t="s">
        <v>84</v>
      </c>
      <c r="Q328" s="11" t="s">
        <v>868</v>
      </c>
      <c r="R328" s="11" t="s">
        <v>867</v>
      </c>
      <c r="S328" s="16" t="s">
        <v>867</v>
      </c>
      <c r="T328" s="19" t="str">
        <f>MONTH(B328)&amp;"-"&amp;YEAR(B328)</f>
        <v>9-2020</v>
      </c>
      <c r="U328" s="2">
        <f>YEAR(B328)</f>
        <v>2020</v>
      </c>
      <c r="V328" s="2" t="str">
        <f>IF(DAY(B328)&gt;15,MONTH(B328)&amp;"-C",MONTH(B328)&amp;"-N")</f>
        <v>9-N</v>
      </c>
      <c r="W328" s="21">
        <v>10.86</v>
      </c>
      <c r="X328" s="2" t="b">
        <f t="shared" si="197"/>
        <v>1</v>
      </c>
    </row>
    <row r="329" spans="2:24" x14ac:dyDescent="0.2">
      <c r="B329" s="17">
        <v>44083</v>
      </c>
      <c r="C329" s="10" t="s">
        <v>108</v>
      </c>
      <c r="D329" s="11" t="s">
        <v>866</v>
      </c>
      <c r="E329" s="26">
        <v>54372</v>
      </c>
      <c r="F329" s="10" t="s">
        <v>137</v>
      </c>
      <c r="G329" s="10" t="s">
        <v>46</v>
      </c>
      <c r="H329" s="27" t="s">
        <v>138</v>
      </c>
      <c r="I329" s="12"/>
      <c r="J329" s="12"/>
      <c r="K329" s="13">
        <v>400</v>
      </c>
      <c r="L329" s="21">
        <v>15.6</v>
      </c>
      <c r="M329" s="14" t="s">
        <v>14</v>
      </c>
      <c r="N329" s="13">
        <v>6240</v>
      </c>
      <c r="O329" s="15">
        <f t="shared" si="196"/>
        <v>0</v>
      </c>
      <c r="P329" s="10" t="s">
        <v>84</v>
      </c>
      <c r="Q329" s="11" t="s">
        <v>868</v>
      </c>
      <c r="R329" s="11" t="s">
        <v>867</v>
      </c>
      <c r="S329" s="16" t="s">
        <v>867</v>
      </c>
      <c r="T329" s="19" t="str">
        <f>MONTH(B329)&amp;"-"&amp;YEAR(B329)</f>
        <v>9-2020</v>
      </c>
      <c r="U329" s="2">
        <f>YEAR(B329)</f>
        <v>2020</v>
      </c>
      <c r="V329" s="2" t="str">
        <f>IF(DAY(B329)&gt;15,MONTH(B329)&amp;"-C",MONTH(B329)&amp;"-N")</f>
        <v>9-N</v>
      </c>
      <c r="W329" s="21">
        <v>15.6</v>
      </c>
      <c r="X329" s="2" t="b">
        <f t="shared" si="197"/>
        <v>1</v>
      </c>
    </row>
    <row r="330" spans="2:24" x14ac:dyDescent="0.2">
      <c r="B330" s="17">
        <v>44084</v>
      </c>
      <c r="C330" s="10" t="s">
        <v>94</v>
      </c>
      <c r="D330" s="11" t="s">
        <v>869</v>
      </c>
      <c r="E330" s="26">
        <v>54392</v>
      </c>
      <c r="F330" s="10" t="s">
        <v>26</v>
      </c>
      <c r="G330" s="10" t="s">
        <v>27</v>
      </c>
      <c r="H330" s="27" t="s">
        <v>28</v>
      </c>
      <c r="I330" s="12"/>
      <c r="J330" s="12"/>
      <c r="K330" s="13">
        <v>18000</v>
      </c>
      <c r="L330" s="21">
        <v>3.05</v>
      </c>
      <c r="M330" s="14" t="s">
        <v>14</v>
      </c>
      <c r="N330" s="13">
        <v>54900</v>
      </c>
      <c r="O330" s="15">
        <f t="shared" ref="O330:O333" si="198">(N330/K330)-L330</f>
        <v>0</v>
      </c>
      <c r="P330" s="10" t="s">
        <v>78</v>
      </c>
      <c r="Q330" s="11" t="s">
        <v>871</v>
      </c>
      <c r="R330" s="11" t="s">
        <v>872</v>
      </c>
      <c r="S330" s="16" t="s">
        <v>870</v>
      </c>
      <c r="T330" s="19" t="str">
        <f>MONTH(B330)&amp;"-"&amp;YEAR(B330)</f>
        <v>9-2020</v>
      </c>
      <c r="U330" s="2">
        <f>YEAR(B330)</f>
        <v>2020</v>
      </c>
      <c r="V330" s="2" t="str">
        <f>IF(DAY(B330)&gt;15,MONTH(B330)&amp;"-C",MONTH(B330)&amp;"-N")</f>
        <v>9-N</v>
      </c>
      <c r="W330" s="21">
        <v>3.05</v>
      </c>
      <c r="X330" s="2" t="b">
        <f t="shared" ref="X330:X333" si="199">+L330=W330</f>
        <v>1</v>
      </c>
    </row>
    <row r="331" spans="2:24" x14ac:dyDescent="0.2">
      <c r="B331" s="17">
        <v>44084</v>
      </c>
      <c r="C331" s="10" t="s">
        <v>80</v>
      </c>
      <c r="D331" s="11" t="s">
        <v>873</v>
      </c>
      <c r="E331" s="26">
        <v>54391</v>
      </c>
      <c r="F331" s="10" t="s">
        <v>33</v>
      </c>
      <c r="G331" s="10" t="s">
        <v>27</v>
      </c>
      <c r="H331" s="27" t="s">
        <v>34</v>
      </c>
      <c r="I331" s="12"/>
      <c r="J331" s="12"/>
      <c r="K331" s="13">
        <v>2160</v>
      </c>
      <c r="L331" s="21">
        <v>5.7</v>
      </c>
      <c r="M331" s="14" t="s">
        <v>14</v>
      </c>
      <c r="N331" s="13">
        <v>12312</v>
      </c>
      <c r="O331" s="15">
        <f t="shared" si="198"/>
        <v>0</v>
      </c>
      <c r="P331" s="10" t="s">
        <v>78</v>
      </c>
      <c r="Q331" s="11" t="s">
        <v>875</v>
      </c>
      <c r="R331" s="11" t="s">
        <v>876</v>
      </c>
      <c r="S331" s="16" t="s">
        <v>874</v>
      </c>
      <c r="T331" s="19" t="str">
        <f>MONTH(B331)&amp;"-"&amp;YEAR(B331)</f>
        <v>9-2020</v>
      </c>
      <c r="U331" s="2">
        <f>YEAR(B331)</f>
        <v>2020</v>
      </c>
      <c r="V331" s="2" t="str">
        <f>IF(DAY(B331)&gt;15,MONTH(B331)&amp;"-C",MONTH(B331)&amp;"-N")</f>
        <v>9-N</v>
      </c>
      <c r="W331" s="21">
        <v>5.7</v>
      </c>
      <c r="X331" s="2" t="b">
        <f t="shared" si="199"/>
        <v>1</v>
      </c>
    </row>
    <row r="332" spans="2:24" x14ac:dyDescent="0.2">
      <c r="B332" s="17">
        <v>44084</v>
      </c>
      <c r="C332" s="10" t="s">
        <v>48</v>
      </c>
      <c r="D332" s="11" t="s">
        <v>552</v>
      </c>
      <c r="E332" s="26">
        <v>54417</v>
      </c>
      <c r="F332" s="10" t="s">
        <v>135</v>
      </c>
      <c r="G332" s="10" t="s">
        <v>46</v>
      </c>
      <c r="H332" s="27" t="s">
        <v>136</v>
      </c>
      <c r="I332" s="12"/>
      <c r="J332" s="12"/>
      <c r="K332" s="13">
        <v>6400</v>
      </c>
      <c r="L332" s="21">
        <v>10.32</v>
      </c>
      <c r="M332" s="14" t="s">
        <v>14</v>
      </c>
      <c r="N332" s="13">
        <v>66048</v>
      </c>
      <c r="O332" s="15">
        <f t="shared" si="198"/>
        <v>0</v>
      </c>
      <c r="P332" s="10" t="s">
        <v>90</v>
      </c>
      <c r="Q332" s="11" t="s">
        <v>878</v>
      </c>
      <c r="R332" s="11" t="s">
        <v>879</v>
      </c>
      <c r="S332" s="16" t="s">
        <v>877</v>
      </c>
      <c r="T332" s="19" t="str">
        <f>MONTH(B332)&amp;"-"&amp;YEAR(B332)</f>
        <v>9-2020</v>
      </c>
      <c r="U332" s="2">
        <f>YEAR(B332)</f>
        <v>2020</v>
      </c>
      <c r="V332" s="2" t="str">
        <f>IF(DAY(B332)&gt;15,MONTH(B332)&amp;"-C",MONTH(B332)&amp;"-N")</f>
        <v>9-N</v>
      </c>
      <c r="W332" s="21">
        <v>10.32</v>
      </c>
      <c r="X332" s="2" t="b">
        <f t="shared" si="199"/>
        <v>1</v>
      </c>
    </row>
    <row r="333" spans="2:24" x14ac:dyDescent="0.2">
      <c r="B333" s="17">
        <v>44084</v>
      </c>
      <c r="C333" s="10" t="s">
        <v>48</v>
      </c>
      <c r="D333" s="11" t="s">
        <v>552</v>
      </c>
      <c r="E333" s="26">
        <v>54417</v>
      </c>
      <c r="F333" s="10" t="s">
        <v>71</v>
      </c>
      <c r="G333" s="10" t="s">
        <v>46</v>
      </c>
      <c r="H333" s="27" t="s">
        <v>72</v>
      </c>
      <c r="I333" s="12"/>
      <c r="J333" s="12"/>
      <c r="K333" s="13">
        <v>9600</v>
      </c>
      <c r="L333" s="21">
        <v>10.32</v>
      </c>
      <c r="M333" s="14" t="s">
        <v>14</v>
      </c>
      <c r="N333" s="13">
        <v>99072</v>
      </c>
      <c r="O333" s="15">
        <f t="shared" si="198"/>
        <v>0</v>
      </c>
      <c r="P333" s="10" t="s">
        <v>90</v>
      </c>
      <c r="Q333" s="11" t="s">
        <v>878</v>
      </c>
      <c r="R333" s="11" t="s">
        <v>879</v>
      </c>
      <c r="S333" s="16" t="s">
        <v>877</v>
      </c>
      <c r="T333" s="19" t="str">
        <f>MONTH(B333)&amp;"-"&amp;YEAR(B333)</f>
        <v>9-2020</v>
      </c>
      <c r="U333" s="2">
        <f>YEAR(B333)</f>
        <v>2020</v>
      </c>
      <c r="V333" s="2" t="str">
        <f>IF(DAY(B333)&gt;15,MONTH(B333)&amp;"-C",MONTH(B333)&amp;"-N")</f>
        <v>9-N</v>
      </c>
      <c r="W333" s="21">
        <v>10.32</v>
      </c>
      <c r="X333" s="2" t="b">
        <f t="shared" si="199"/>
        <v>1</v>
      </c>
    </row>
    <row r="334" spans="2:24" x14ac:dyDescent="0.2">
      <c r="B334" s="17">
        <v>44090</v>
      </c>
      <c r="C334" s="10" t="s">
        <v>682</v>
      </c>
      <c r="D334" s="11" t="s">
        <v>569</v>
      </c>
      <c r="E334" s="26">
        <v>54478</v>
      </c>
      <c r="F334" s="10" t="s">
        <v>26</v>
      </c>
      <c r="G334" s="10" t="s">
        <v>27</v>
      </c>
      <c r="H334" s="27" t="s">
        <v>28</v>
      </c>
      <c r="I334" s="12"/>
      <c r="J334" s="12"/>
      <c r="K334" s="13">
        <v>3600</v>
      </c>
      <c r="L334" s="21">
        <v>3.17</v>
      </c>
      <c r="M334" s="14" t="s">
        <v>14</v>
      </c>
      <c r="N334" s="13">
        <v>11412</v>
      </c>
      <c r="O334" s="15">
        <f t="shared" ref="O334:O337" si="200">(N334/K334)-L334</f>
        <v>0</v>
      </c>
      <c r="P334" s="10" t="s">
        <v>78</v>
      </c>
      <c r="Q334" s="11" t="s">
        <v>881</v>
      </c>
      <c r="R334" s="11" t="s">
        <v>882</v>
      </c>
      <c r="S334" s="16" t="s">
        <v>880</v>
      </c>
      <c r="T334" s="19" t="str">
        <f>MONTH(B334)&amp;"-"&amp;YEAR(B334)</f>
        <v>9-2020</v>
      </c>
      <c r="U334" s="2">
        <f>YEAR(B334)</f>
        <v>2020</v>
      </c>
      <c r="V334" s="2" t="str">
        <f>IF(DAY(B334)&gt;15,MONTH(B334)&amp;"-C",MONTH(B334)&amp;"-N")</f>
        <v>9-C</v>
      </c>
      <c r="W334" s="21">
        <v>3.17</v>
      </c>
      <c r="X334" s="2" t="b">
        <f t="shared" ref="X334:X337" si="201">+L334=W334</f>
        <v>1</v>
      </c>
    </row>
    <row r="335" spans="2:24" x14ac:dyDescent="0.2">
      <c r="B335" s="17">
        <v>44091</v>
      </c>
      <c r="C335" s="10" t="s">
        <v>682</v>
      </c>
      <c r="D335" s="11" t="s">
        <v>569</v>
      </c>
      <c r="E335" s="26">
        <v>54483</v>
      </c>
      <c r="F335" s="10" t="s">
        <v>26</v>
      </c>
      <c r="G335" s="10" t="s">
        <v>27</v>
      </c>
      <c r="H335" s="27" t="s">
        <v>28</v>
      </c>
      <c r="I335" s="12"/>
      <c r="J335" s="12"/>
      <c r="K335" s="13">
        <v>3600</v>
      </c>
      <c r="L335" s="21">
        <v>3.17</v>
      </c>
      <c r="M335" s="14" t="s">
        <v>14</v>
      </c>
      <c r="N335" s="13">
        <v>11412</v>
      </c>
      <c r="O335" s="15">
        <f t="shared" si="200"/>
        <v>0</v>
      </c>
      <c r="P335" s="10" t="s">
        <v>78</v>
      </c>
      <c r="Q335" s="11" t="s">
        <v>884</v>
      </c>
      <c r="R335" s="11" t="s">
        <v>885</v>
      </c>
      <c r="S335" s="16" t="s">
        <v>883</v>
      </c>
      <c r="T335" s="19" t="str">
        <f>MONTH(B335)&amp;"-"&amp;YEAR(B335)</f>
        <v>9-2020</v>
      </c>
      <c r="U335" s="2">
        <f>YEAR(B335)</f>
        <v>2020</v>
      </c>
      <c r="V335" s="2" t="str">
        <f>IF(DAY(B335)&gt;15,MONTH(B335)&amp;"-C",MONTH(B335)&amp;"-N")</f>
        <v>9-C</v>
      </c>
      <c r="W335" s="21">
        <v>3.17</v>
      </c>
      <c r="X335" s="2" t="b">
        <f t="shared" si="201"/>
        <v>1</v>
      </c>
    </row>
    <row r="336" spans="2:24" x14ac:dyDescent="0.2">
      <c r="B336" s="17">
        <v>44091</v>
      </c>
      <c r="C336" s="10" t="s">
        <v>682</v>
      </c>
      <c r="D336" s="11" t="s">
        <v>569</v>
      </c>
      <c r="E336" s="26">
        <v>54485</v>
      </c>
      <c r="F336" s="10" t="s">
        <v>26</v>
      </c>
      <c r="G336" s="10" t="s">
        <v>27</v>
      </c>
      <c r="H336" s="27" t="s">
        <v>28</v>
      </c>
      <c r="I336" s="12"/>
      <c r="J336" s="12"/>
      <c r="K336" s="13">
        <v>3600</v>
      </c>
      <c r="L336" s="21">
        <v>3.17</v>
      </c>
      <c r="M336" s="14" t="s">
        <v>14</v>
      </c>
      <c r="N336" s="13">
        <v>11412</v>
      </c>
      <c r="O336" s="15">
        <f t="shared" si="200"/>
        <v>0</v>
      </c>
      <c r="P336" s="10" t="s">
        <v>78</v>
      </c>
      <c r="Q336" s="11" t="s">
        <v>887</v>
      </c>
      <c r="R336" s="11" t="s">
        <v>888</v>
      </c>
      <c r="S336" s="16" t="s">
        <v>886</v>
      </c>
      <c r="T336" s="19" t="str">
        <f>MONTH(B336)&amp;"-"&amp;YEAR(B336)</f>
        <v>9-2020</v>
      </c>
      <c r="U336" s="2">
        <f>YEAR(B336)</f>
        <v>2020</v>
      </c>
      <c r="V336" s="2" t="str">
        <f>IF(DAY(B336)&gt;15,MONTH(B336)&amp;"-C",MONTH(B336)&amp;"-N")</f>
        <v>9-C</v>
      </c>
      <c r="W336" s="21">
        <v>3.17</v>
      </c>
      <c r="X336" s="2" t="b">
        <f t="shared" si="201"/>
        <v>1</v>
      </c>
    </row>
    <row r="337" spans="2:24" x14ac:dyDescent="0.2">
      <c r="B337" s="17">
        <v>44091</v>
      </c>
      <c r="C337" s="10" t="s">
        <v>682</v>
      </c>
      <c r="D337" s="11" t="s">
        <v>569</v>
      </c>
      <c r="E337" s="26">
        <v>54484</v>
      </c>
      <c r="F337" s="10" t="s">
        <v>26</v>
      </c>
      <c r="G337" s="10" t="s">
        <v>27</v>
      </c>
      <c r="H337" s="27" t="s">
        <v>28</v>
      </c>
      <c r="I337" s="12"/>
      <c r="J337" s="12"/>
      <c r="K337" s="13">
        <v>3600</v>
      </c>
      <c r="L337" s="21">
        <v>3.17</v>
      </c>
      <c r="M337" s="14" t="s">
        <v>14</v>
      </c>
      <c r="N337" s="13">
        <v>11412</v>
      </c>
      <c r="O337" s="15">
        <f t="shared" si="200"/>
        <v>0</v>
      </c>
      <c r="P337" s="10" t="s">
        <v>78</v>
      </c>
      <c r="Q337" s="11" t="s">
        <v>890</v>
      </c>
      <c r="R337" s="11" t="s">
        <v>891</v>
      </c>
      <c r="S337" s="16" t="s">
        <v>889</v>
      </c>
      <c r="T337" s="19" t="str">
        <f>MONTH(B337)&amp;"-"&amp;YEAR(B337)</f>
        <v>9-2020</v>
      </c>
      <c r="U337" s="2">
        <f>YEAR(B337)</f>
        <v>2020</v>
      </c>
      <c r="V337" s="2" t="str">
        <f>IF(DAY(B337)&gt;15,MONTH(B337)&amp;"-C",MONTH(B337)&amp;"-N")</f>
        <v>9-C</v>
      </c>
      <c r="W337" s="21">
        <v>3.17</v>
      </c>
      <c r="X337" s="2" t="b">
        <f t="shared" si="201"/>
        <v>1</v>
      </c>
    </row>
    <row r="338" spans="2:24" x14ac:dyDescent="0.2">
      <c r="B338" s="17">
        <v>44094</v>
      </c>
      <c r="C338" s="10" t="s">
        <v>73</v>
      </c>
      <c r="D338" s="11" t="s">
        <v>892</v>
      </c>
      <c r="E338" s="26">
        <v>54506</v>
      </c>
      <c r="F338" s="10" t="s">
        <v>399</v>
      </c>
      <c r="G338" s="10" t="s">
        <v>46</v>
      </c>
      <c r="H338" s="27" t="s">
        <v>149</v>
      </c>
      <c r="I338" s="12"/>
      <c r="J338" s="12"/>
      <c r="K338" s="13">
        <v>120</v>
      </c>
      <c r="L338" s="21">
        <v>18.5</v>
      </c>
      <c r="M338" s="14" t="s">
        <v>14</v>
      </c>
      <c r="N338" s="13">
        <v>2220</v>
      </c>
      <c r="O338" s="15">
        <f t="shared" ref="O338:O340" si="202">(N338/K338)-L338</f>
        <v>0</v>
      </c>
      <c r="P338" s="10" t="s">
        <v>84</v>
      </c>
      <c r="Q338" s="11" t="s">
        <v>894</v>
      </c>
      <c r="R338" s="11" t="s">
        <v>895</v>
      </c>
      <c r="S338" s="16" t="s">
        <v>893</v>
      </c>
      <c r="T338" s="19" t="str">
        <f>MONTH(B338)&amp;"-"&amp;YEAR(B338)</f>
        <v>9-2020</v>
      </c>
      <c r="U338" s="2">
        <f>YEAR(B338)</f>
        <v>2020</v>
      </c>
      <c r="V338" s="2" t="str">
        <f>IF(DAY(B338)&gt;15,MONTH(B338)&amp;"-C",MONTH(B338)&amp;"-N")</f>
        <v>9-C</v>
      </c>
      <c r="W338" s="21">
        <v>18.5</v>
      </c>
      <c r="X338" s="2" t="b">
        <f t="shared" ref="X338:X340" si="203">+L338=W338</f>
        <v>1</v>
      </c>
    </row>
    <row r="339" spans="2:24" x14ac:dyDescent="0.2">
      <c r="B339" s="17">
        <v>44094</v>
      </c>
      <c r="C339" s="10" t="s">
        <v>25</v>
      </c>
      <c r="D339" s="11" t="s">
        <v>829</v>
      </c>
      <c r="E339" s="26">
        <v>54512</v>
      </c>
      <c r="F339" s="10" t="s">
        <v>26</v>
      </c>
      <c r="G339" s="10" t="s">
        <v>27</v>
      </c>
      <c r="H339" s="27" t="s">
        <v>28</v>
      </c>
      <c r="I339" s="12"/>
      <c r="J339" s="12"/>
      <c r="K339" s="13">
        <v>600</v>
      </c>
      <c r="L339" s="21">
        <v>3.05</v>
      </c>
      <c r="M339" s="14" t="s">
        <v>14</v>
      </c>
      <c r="N339" s="13">
        <v>1830</v>
      </c>
      <c r="O339" s="15">
        <f t="shared" si="202"/>
        <v>0</v>
      </c>
      <c r="P339" s="10" t="s">
        <v>78</v>
      </c>
      <c r="Q339" s="11" t="s">
        <v>897</v>
      </c>
      <c r="R339" s="11" t="s">
        <v>496</v>
      </c>
      <c r="S339" s="16" t="s">
        <v>896</v>
      </c>
      <c r="T339" s="19" t="str">
        <f>MONTH(B339)&amp;"-"&amp;YEAR(B339)</f>
        <v>9-2020</v>
      </c>
      <c r="U339" s="2">
        <f>YEAR(B339)</f>
        <v>2020</v>
      </c>
      <c r="V339" s="2" t="str">
        <f>IF(DAY(B339)&gt;15,MONTH(B339)&amp;"-C",MONTH(B339)&amp;"-N")</f>
        <v>9-C</v>
      </c>
      <c r="W339" s="21">
        <v>3.05</v>
      </c>
      <c r="X339" s="2" t="b">
        <f t="shared" si="203"/>
        <v>1</v>
      </c>
    </row>
    <row r="340" spans="2:24" x14ac:dyDescent="0.2">
      <c r="B340" s="17">
        <v>44094</v>
      </c>
      <c r="C340" s="10" t="s">
        <v>25</v>
      </c>
      <c r="D340" s="11" t="s">
        <v>898</v>
      </c>
      <c r="E340" s="26">
        <v>54512</v>
      </c>
      <c r="F340" s="10" t="s">
        <v>26</v>
      </c>
      <c r="G340" s="10" t="s">
        <v>27</v>
      </c>
      <c r="H340" s="27" t="s">
        <v>28</v>
      </c>
      <c r="I340" s="12"/>
      <c r="J340" s="12"/>
      <c r="K340" s="13">
        <v>14800</v>
      </c>
      <c r="L340" s="21">
        <v>3.05</v>
      </c>
      <c r="M340" s="14" t="s">
        <v>14</v>
      </c>
      <c r="N340" s="13">
        <v>45140</v>
      </c>
      <c r="O340" s="15">
        <f t="shared" si="202"/>
        <v>0</v>
      </c>
      <c r="P340" s="10" t="s">
        <v>78</v>
      </c>
      <c r="Q340" s="11" t="s">
        <v>897</v>
      </c>
      <c r="R340" s="11" t="s">
        <v>496</v>
      </c>
      <c r="S340" s="16" t="s">
        <v>896</v>
      </c>
      <c r="T340" s="19" t="str">
        <f>MONTH(B340)&amp;"-"&amp;YEAR(B340)</f>
        <v>9-2020</v>
      </c>
      <c r="U340" s="2">
        <f>YEAR(B340)</f>
        <v>2020</v>
      </c>
      <c r="V340" s="2" t="str">
        <f>IF(DAY(B340)&gt;15,MONTH(B340)&amp;"-C",MONTH(B340)&amp;"-N")</f>
        <v>9-C</v>
      </c>
      <c r="W340" s="21">
        <v>3.05</v>
      </c>
      <c r="X340" s="2" t="b">
        <f t="shared" si="203"/>
        <v>1</v>
      </c>
    </row>
    <row r="341" spans="2:24" x14ac:dyDescent="0.2">
      <c r="B341" s="17">
        <v>44094</v>
      </c>
      <c r="C341" s="10" t="s">
        <v>25</v>
      </c>
      <c r="D341" s="11" t="s">
        <v>829</v>
      </c>
      <c r="E341" s="26">
        <v>54511</v>
      </c>
      <c r="F341" s="10" t="s">
        <v>26</v>
      </c>
      <c r="G341" s="10" t="s">
        <v>27</v>
      </c>
      <c r="H341" s="27" t="s">
        <v>28</v>
      </c>
      <c r="I341" s="12"/>
      <c r="J341" s="12"/>
      <c r="K341" s="13">
        <v>4400</v>
      </c>
      <c r="L341" s="21">
        <v>3.05</v>
      </c>
      <c r="M341" s="14" t="s">
        <v>14</v>
      </c>
      <c r="N341" s="13">
        <v>13420</v>
      </c>
      <c r="O341" s="15">
        <f t="shared" ref="O341:O344" si="204">(N341/K341)-L341</f>
        <v>0</v>
      </c>
      <c r="P341" s="10" t="s">
        <v>78</v>
      </c>
      <c r="Q341" s="11" t="s">
        <v>900</v>
      </c>
      <c r="R341" s="11" t="s">
        <v>376</v>
      </c>
      <c r="S341" s="16" t="s">
        <v>899</v>
      </c>
      <c r="T341" s="19" t="str">
        <f>MONTH(B341)&amp;"-"&amp;YEAR(B341)</f>
        <v>9-2020</v>
      </c>
      <c r="U341" s="2">
        <f>YEAR(B341)</f>
        <v>2020</v>
      </c>
      <c r="V341" s="2" t="str">
        <f>IF(DAY(B341)&gt;15,MONTH(B341)&amp;"-C",MONTH(B341)&amp;"-N")</f>
        <v>9-C</v>
      </c>
      <c r="W341" s="21">
        <v>3.05</v>
      </c>
      <c r="X341" s="2" t="b">
        <f t="shared" ref="X341:X344" si="205">+L341=W341</f>
        <v>1</v>
      </c>
    </row>
    <row r="342" spans="2:24" x14ac:dyDescent="0.2">
      <c r="B342" s="17">
        <v>44096</v>
      </c>
      <c r="C342" s="10" t="s">
        <v>107</v>
      </c>
      <c r="D342" s="11" t="s">
        <v>901</v>
      </c>
      <c r="E342" s="26">
        <v>54552</v>
      </c>
      <c r="F342" s="10" t="s">
        <v>103</v>
      </c>
      <c r="G342" s="10" t="s">
        <v>46</v>
      </c>
      <c r="H342" s="27" t="s">
        <v>104</v>
      </c>
      <c r="I342" s="12"/>
      <c r="J342" s="12"/>
      <c r="K342" s="13">
        <v>95</v>
      </c>
      <c r="L342" s="21">
        <v>37.200000000000003</v>
      </c>
      <c r="M342" s="14" t="s">
        <v>14</v>
      </c>
      <c r="N342" s="13">
        <v>3534</v>
      </c>
      <c r="O342" s="15">
        <f t="shared" si="204"/>
        <v>0</v>
      </c>
      <c r="P342" s="10" t="s">
        <v>84</v>
      </c>
      <c r="Q342" s="11" t="s">
        <v>903</v>
      </c>
      <c r="R342" s="11" t="s">
        <v>904</v>
      </c>
      <c r="S342" s="16" t="s">
        <v>902</v>
      </c>
      <c r="T342" s="19" t="str">
        <f>MONTH(B342)&amp;"-"&amp;YEAR(B342)</f>
        <v>9-2020</v>
      </c>
      <c r="U342" s="2">
        <f>YEAR(B342)</f>
        <v>2020</v>
      </c>
      <c r="V342" s="2" t="str">
        <f>IF(DAY(B342)&gt;15,MONTH(B342)&amp;"-C",MONTH(B342)&amp;"-N")</f>
        <v>9-C</v>
      </c>
      <c r="W342" s="21">
        <v>37.200000000000003</v>
      </c>
      <c r="X342" s="2" t="b">
        <f t="shared" si="205"/>
        <v>1</v>
      </c>
    </row>
    <row r="343" spans="2:24" x14ac:dyDescent="0.2">
      <c r="B343" s="17">
        <v>44096</v>
      </c>
      <c r="C343" s="10" t="s">
        <v>107</v>
      </c>
      <c r="D343" s="11" t="s">
        <v>901</v>
      </c>
      <c r="E343" s="26">
        <v>54552</v>
      </c>
      <c r="F343" s="10" t="s">
        <v>105</v>
      </c>
      <c r="G343" s="10" t="s">
        <v>46</v>
      </c>
      <c r="H343" s="27" t="s">
        <v>106</v>
      </c>
      <c r="I343" s="12"/>
      <c r="J343" s="12"/>
      <c r="K343" s="13">
        <v>3080</v>
      </c>
      <c r="L343" s="21">
        <v>12.3</v>
      </c>
      <c r="M343" s="14" t="s">
        <v>14</v>
      </c>
      <c r="N343" s="13">
        <v>37884</v>
      </c>
      <c r="O343" s="15">
        <f t="shared" si="204"/>
        <v>0</v>
      </c>
      <c r="P343" s="10" t="s">
        <v>84</v>
      </c>
      <c r="Q343" s="11" t="s">
        <v>903</v>
      </c>
      <c r="R343" s="11" t="s">
        <v>904</v>
      </c>
      <c r="S343" s="16" t="s">
        <v>902</v>
      </c>
      <c r="T343" s="19" t="str">
        <f>MONTH(B343)&amp;"-"&amp;YEAR(B343)</f>
        <v>9-2020</v>
      </c>
      <c r="U343" s="2">
        <f>YEAR(B343)</f>
        <v>2020</v>
      </c>
      <c r="V343" s="2" t="str">
        <f>IF(DAY(B343)&gt;15,MONTH(B343)&amp;"-C",MONTH(B343)&amp;"-N")</f>
        <v>9-C</v>
      </c>
      <c r="W343" s="21">
        <v>12.3</v>
      </c>
      <c r="X343" s="2" t="b">
        <f t="shared" si="205"/>
        <v>1</v>
      </c>
    </row>
    <row r="344" spans="2:24" x14ac:dyDescent="0.2">
      <c r="B344" s="17">
        <v>44096</v>
      </c>
      <c r="C344" s="10" t="s">
        <v>682</v>
      </c>
      <c r="D344" s="11" t="s">
        <v>569</v>
      </c>
      <c r="E344" s="26">
        <v>54553</v>
      </c>
      <c r="F344" s="10" t="s">
        <v>26</v>
      </c>
      <c r="G344" s="10" t="s">
        <v>27</v>
      </c>
      <c r="H344" s="27" t="s">
        <v>28</v>
      </c>
      <c r="I344" s="12"/>
      <c r="J344" s="12"/>
      <c r="K344" s="13">
        <v>6070</v>
      </c>
      <c r="L344" s="21">
        <v>3.17</v>
      </c>
      <c r="M344" s="14" t="s">
        <v>14</v>
      </c>
      <c r="N344" s="13">
        <v>19241.900000000001</v>
      </c>
      <c r="O344" s="15">
        <f t="shared" si="204"/>
        <v>0</v>
      </c>
      <c r="P344" s="10" t="s">
        <v>78</v>
      </c>
      <c r="Q344" s="11" t="s">
        <v>906</v>
      </c>
      <c r="R344" s="11" t="s">
        <v>907</v>
      </c>
      <c r="S344" s="16" t="s">
        <v>905</v>
      </c>
      <c r="T344" s="19" t="str">
        <f>MONTH(B344)&amp;"-"&amp;YEAR(B344)</f>
        <v>9-2020</v>
      </c>
      <c r="U344" s="2">
        <f>YEAR(B344)</f>
        <v>2020</v>
      </c>
      <c r="V344" s="2" t="str">
        <f>IF(DAY(B344)&gt;15,MONTH(B344)&amp;"-C",MONTH(B344)&amp;"-N")</f>
        <v>9-C</v>
      </c>
      <c r="W344" s="21">
        <v>3.17</v>
      </c>
      <c r="X344" s="2" t="b">
        <f t="shared" si="205"/>
        <v>1</v>
      </c>
    </row>
    <row r="345" spans="2:24" x14ac:dyDescent="0.2">
      <c r="B345" s="17">
        <v>44098</v>
      </c>
      <c r="C345" s="10" t="s">
        <v>682</v>
      </c>
      <c r="D345" s="11" t="s">
        <v>745</v>
      </c>
      <c r="E345" s="26">
        <v>54323</v>
      </c>
      <c r="F345" s="10" t="s">
        <v>26</v>
      </c>
      <c r="G345" s="10" t="s">
        <v>27</v>
      </c>
      <c r="H345" s="27" t="s">
        <v>28</v>
      </c>
      <c r="I345" s="12"/>
      <c r="J345" s="12"/>
      <c r="K345" s="13">
        <v>8</v>
      </c>
      <c r="L345" s="21">
        <v>3.17</v>
      </c>
      <c r="M345" s="14" t="s">
        <v>14</v>
      </c>
      <c r="N345" s="13">
        <v>25.36</v>
      </c>
      <c r="O345" s="15">
        <f t="shared" ref="O345" si="206">(N345/K345)-L345</f>
        <v>0</v>
      </c>
      <c r="P345" s="10" t="s">
        <v>78</v>
      </c>
      <c r="Q345" s="11" t="s">
        <v>909</v>
      </c>
      <c r="R345" s="11" t="s">
        <v>908</v>
      </c>
      <c r="S345" s="16" t="s">
        <v>908</v>
      </c>
      <c r="T345" s="19" t="str">
        <f>MONTH(B345)&amp;"-"&amp;YEAR(B345)</f>
        <v>9-2020</v>
      </c>
      <c r="U345" s="2">
        <f>YEAR(B345)</f>
        <v>2020</v>
      </c>
      <c r="V345" s="2" t="str">
        <f>IF(DAY(B345)&gt;15,MONTH(B345)&amp;"-C",MONTH(B345)&amp;"-N")</f>
        <v>9-C</v>
      </c>
      <c r="W345" s="21">
        <v>3.17</v>
      </c>
      <c r="X345" s="2" t="b">
        <f t="shared" ref="X345" si="207">+L345=W345</f>
        <v>1</v>
      </c>
    </row>
    <row r="346" spans="2:24" x14ac:dyDescent="0.2">
      <c r="B346" s="17">
        <v>44102</v>
      </c>
      <c r="C346" s="10" t="s">
        <v>25</v>
      </c>
      <c r="D346" s="11" t="s">
        <v>898</v>
      </c>
      <c r="E346" s="26">
        <v>54625</v>
      </c>
      <c r="F346" s="10" t="s">
        <v>26</v>
      </c>
      <c r="G346" s="10" t="s">
        <v>27</v>
      </c>
      <c r="H346" s="27" t="s">
        <v>28</v>
      </c>
      <c r="I346" s="12"/>
      <c r="J346" s="12"/>
      <c r="K346" s="13">
        <v>18900</v>
      </c>
      <c r="L346" s="21">
        <v>3.05</v>
      </c>
      <c r="M346" s="14" t="s">
        <v>14</v>
      </c>
      <c r="N346" s="13">
        <v>57645</v>
      </c>
      <c r="O346" s="15">
        <f t="shared" ref="O346" si="208">(N346/K346)-L346</f>
        <v>0</v>
      </c>
      <c r="P346" s="10" t="s">
        <v>78</v>
      </c>
      <c r="Q346" s="11" t="s">
        <v>911</v>
      </c>
      <c r="R346" s="11" t="s">
        <v>912</v>
      </c>
      <c r="S346" s="16" t="s">
        <v>910</v>
      </c>
      <c r="T346" s="19" t="str">
        <f>MONTH(B346)&amp;"-"&amp;YEAR(B346)</f>
        <v>9-2020</v>
      </c>
      <c r="U346" s="2">
        <f>YEAR(B346)</f>
        <v>2020</v>
      </c>
      <c r="V346" s="2" t="str">
        <f>IF(DAY(B346)&gt;15,MONTH(B346)&amp;"-C",MONTH(B346)&amp;"-N")</f>
        <v>9-C</v>
      </c>
      <c r="W346" s="21">
        <v>3.05</v>
      </c>
      <c r="X346" s="2" t="b">
        <f t="shared" ref="X346" si="209">+L346=W346</f>
        <v>1</v>
      </c>
    </row>
    <row r="347" spans="2:24" x14ac:dyDescent="0.2">
      <c r="B347" s="17">
        <v>44108</v>
      </c>
      <c r="C347" s="10" t="s">
        <v>80</v>
      </c>
      <c r="D347" s="11" t="s">
        <v>873</v>
      </c>
      <c r="E347" s="26">
        <v>54690</v>
      </c>
      <c r="F347" s="10" t="s">
        <v>29</v>
      </c>
      <c r="G347" s="10" t="s">
        <v>27</v>
      </c>
      <c r="H347" s="27" t="s">
        <v>30</v>
      </c>
      <c r="I347" s="12"/>
      <c r="J347" s="12"/>
      <c r="K347" s="13">
        <v>660</v>
      </c>
      <c r="L347" s="21">
        <v>3.8</v>
      </c>
      <c r="M347" s="14" t="s">
        <v>14</v>
      </c>
      <c r="N347" s="13">
        <v>2508</v>
      </c>
      <c r="O347" s="15">
        <f t="shared" ref="O347:O350" si="210">(N347/K347)-L347</f>
        <v>0</v>
      </c>
      <c r="P347" s="10" t="s">
        <v>78</v>
      </c>
      <c r="Q347" s="11" t="s">
        <v>914</v>
      </c>
      <c r="R347" s="11" t="s">
        <v>915</v>
      </c>
      <c r="S347" s="16" t="s">
        <v>913</v>
      </c>
      <c r="T347" s="19" t="str">
        <f>MONTH(B347)&amp;"-"&amp;YEAR(B347)</f>
        <v>10-2020</v>
      </c>
      <c r="U347" s="2">
        <f>YEAR(B347)</f>
        <v>2020</v>
      </c>
      <c r="V347" s="2" t="str">
        <f>IF(DAY(B347)&gt;15,MONTH(B347)&amp;"-C",MONTH(B347)&amp;"-N")</f>
        <v>10-N</v>
      </c>
      <c r="W347" s="21">
        <v>3.8</v>
      </c>
      <c r="X347" s="2" t="b">
        <f t="shared" ref="X347:X350" si="211">+L347=W347</f>
        <v>1</v>
      </c>
    </row>
    <row r="348" spans="2:24" x14ac:dyDescent="0.2">
      <c r="B348" s="17">
        <v>44108</v>
      </c>
      <c r="C348" s="10" t="s">
        <v>80</v>
      </c>
      <c r="D348" s="11" t="s">
        <v>873</v>
      </c>
      <c r="E348" s="26">
        <v>54690</v>
      </c>
      <c r="F348" s="10" t="s">
        <v>33</v>
      </c>
      <c r="G348" s="10" t="s">
        <v>27</v>
      </c>
      <c r="H348" s="27" t="s">
        <v>34</v>
      </c>
      <c r="I348" s="12"/>
      <c r="J348" s="12"/>
      <c r="K348" s="13">
        <v>1440</v>
      </c>
      <c r="L348" s="21">
        <v>5.7</v>
      </c>
      <c r="M348" s="14" t="s">
        <v>14</v>
      </c>
      <c r="N348" s="13">
        <v>8208</v>
      </c>
      <c r="O348" s="15">
        <f t="shared" si="210"/>
        <v>0</v>
      </c>
      <c r="P348" s="10" t="s">
        <v>78</v>
      </c>
      <c r="Q348" s="11" t="s">
        <v>914</v>
      </c>
      <c r="R348" s="11" t="s">
        <v>915</v>
      </c>
      <c r="S348" s="16" t="s">
        <v>913</v>
      </c>
      <c r="T348" s="19" t="str">
        <f>MONTH(B348)&amp;"-"&amp;YEAR(B348)</f>
        <v>10-2020</v>
      </c>
      <c r="U348" s="2">
        <f>YEAR(B348)</f>
        <v>2020</v>
      </c>
      <c r="V348" s="2" t="str">
        <f>IF(DAY(B348)&gt;15,MONTH(B348)&amp;"-C",MONTH(B348)&amp;"-N")</f>
        <v>10-N</v>
      </c>
      <c r="W348" s="21">
        <v>5.7</v>
      </c>
      <c r="X348" s="2" t="b">
        <f t="shared" si="211"/>
        <v>1</v>
      </c>
    </row>
    <row r="349" spans="2:24" x14ac:dyDescent="0.2">
      <c r="B349" s="17">
        <v>44108</v>
      </c>
      <c r="C349" s="10" t="s">
        <v>80</v>
      </c>
      <c r="D349" s="11" t="s">
        <v>782</v>
      </c>
      <c r="E349" s="26">
        <v>54686</v>
      </c>
      <c r="F349" s="10" t="s">
        <v>26</v>
      </c>
      <c r="G349" s="10" t="s">
        <v>27</v>
      </c>
      <c r="H349" s="27" t="s">
        <v>28</v>
      </c>
      <c r="I349" s="12"/>
      <c r="J349" s="12"/>
      <c r="K349" s="13">
        <v>3600</v>
      </c>
      <c r="L349" s="21">
        <v>3.05</v>
      </c>
      <c r="M349" s="14" t="s">
        <v>14</v>
      </c>
      <c r="N349" s="13">
        <v>10980</v>
      </c>
      <c r="O349" s="15">
        <f t="shared" si="210"/>
        <v>0</v>
      </c>
      <c r="P349" s="10" t="s">
        <v>78</v>
      </c>
      <c r="Q349" s="11" t="s">
        <v>916</v>
      </c>
      <c r="R349" s="11" t="s">
        <v>917</v>
      </c>
      <c r="S349" s="16" t="s">
        <v>41</v>
      </c>
      <c r="T349" s="19" t="str">
        <f>MONTH(B349)&amp;"-"&amp;YEAR(B349)</f>
        <v>10-2020</v>
      </c>
      <c r="U349" s="2">
        <f>YEAR(B349)</f>
        <v>2020</v>
      </c>
      <c r="V349" s="2" t="str">
        <f>IF(DAY(B349)&gt;15,MONTH(B349)&amp;"-C",MONTH(B349)&amp;"-N")</f>
        <v>10-N</v>
      </c>
      <c r="W349" s="21">
        <v>3.05</v>
      </c>
      <c r="X349" s="2" t="b">
        <f t="shared" si="211"/>
        <v>1</v>
      </c>
    </row>
    <row r="350" spans="2:24" x14ac:dyDescent="0.2">
      <c r="B350" s="17">
        <v>44108</v>
      </c>
      <c r="C350" s="10" t="s">
        <v>80</v>
      </c>
      <c r="D350" s="11" t="s">
        <v>782</v>
      </c>
      <c r="E350" s="26">
        <v>54687</v>
      </c>
      <c r="F350" s="10" t="s">
        <v>26</v>
      </c>
      <c r="G350" s="10" t="s">
        <v>27</v>
      </c>
      <c r="H350" s="27" t="s">
        <v>28</v>
      </c>
      <c r="I350" s="12"/>
      <c r="J350" s="12"/>
      <c r="K350" s="13">
        <v>3600</v>
      </c>
      <c r="L350" s="21">
        <v>3.05</v>
      </c>
      <c r="M350" s="14" t="s">
        <v>14</v>
      </c>
      <c r="N350" s="13">
        <v>10980</v>
      </c>
      <c r="O350" s="15">
        <f t="shared" si="210"/>
        <v>0</v>
      </c>
      <c r="P350" s="10" t="s">
        <v>78</v>
      </c>
      <c r="Q350" s="11" t="s">
        <v>919</v>
      </c>
      <c r="R350" s="11" t="s">
        <v>920</v>
      </c>
      <c r="S350" s="16" t="s">
        <v>918</v>
      </c>
      <c r="T350" s="19" t="str">
        <f>MONTH(B350)&amp;"-"&amp;YEAR(B350)</f>
        <v>10-2020</v>
      </c>
      <c r="U350" s="2">
        <f>YEAR(B350)</f>
        <v>2020</v>
      </c>
      <c r="V350" s="2" t="str">
        <f>IF(DAY(B350)&gt;15,MONTH(B350)&amp;"-C",MONTH(B350)&amp;"-N")</f>
        <v>10-N</v>
      </c>
      <c r="W350" s="21">
        <v>3.05</v>
      </c>
      <c r="X350" s="2" t="b">
        <f t="shared" si="211"/>
        <v>1</v>
      </c>
    </row>
    <row r="351" spans="2:24" x14ac:dyDescent="0.2">
      <c r="B351" s="17">
        <v>44109</v>
      </c>
      <c r="C351" s="10" t="s">
        <v>80</v>
      </c>
      <c r="D351" s="11" t="s">
        <v>873</v>
      </c>
      <c r="E351" s="26">
        <v>54702</v>
      </c>
      <c r="F351" s="10" t="s">
        <v>29</v>
      </c>
      <c r="G351" s="10" t="s">
        <v>27</v>
      </c>
      <c r="H351" s="27" t="s">
        <v>30</v>
      </c>
      <c r="I351" s="12"/>
      <c r="J351" s="12"/>
      <c r="K351" s="13">
        <v>1815</v>
      </c>
      <c r="L351" s="21">
        <v>3.8</v>
      </c>
      <c r="M351" s="14" t="s">
        <v>14</v>
      </c>
      <c r="N351" s="13">
        <v>6897</v>
      </c>
      <c r="O351" s="15">
        <f t="shared" ref="O351:O353" si="212">(N351/K351)-L351</f>
        <v>0</v>
      </c>
      <c r="P351" s="10" t="s">
        <v>78</v>
      </c>
      <c r="Q351" s="11" t="s">
        <v>922</v>
      </c>
      <c r="R351" s="11" t="s">
        <v>923</v>
      </c>
      <c r="S351" s="16" t="s">
        <v>921</v>
      </c>
      <c r="T351" s="19" t="str">
        <f>MONTH(B351)&amp;"-"&amp;YEAR(B351)</f>
        <v>10-2020</v>
      </c>
      <c r="U351" s="2">
        <f>YEAR(B351)</f>
        <v>2020</v>
      </c>
      <c r="V351" s="2" t="str">
        <f>IF(DAY(B351)&gt;15,MONTH(B351)&amp;"-C",MONTH(B351)&amp;"-N")</f>
        <v>10-N</v>
      </c>
      <c r="W351" s="21">
        <v>3.8</v>
      </c>
      <c r="X351" s="2" t="b">
        <f t="shared" ref="X351:X353" si="213">+L351=W351</f>
        <v>1</v>
      </c>
    </row>
    <row r="352" spans="2:24" x14ac:dyDescent="0.2">
      <c r="B352" s="17">
        <v>44109</v>
      </c>
      <c r="C352" s="10" t="s">
        <v>80</v>
      </c>
      <c r="D352" s="11" t="s">
        <v>782</v>
      </c>
      <c r="E352" s="26">
        <v>54701</v>
      </c>
      <c r="F352" s="10" t="s">
        <v>26</v>
      </c>
      <c r="G352" s="10" t="s">
        <v>27</v>
      </c>
      <c r="H352" s="27" t="s">
        <v>28</v>
      </c>
      <c r="I352" s="12"/>
      <c r="J352" s="12"/>
      <c r="K352" s="13">
        <v>9000</v>
      </c>
      <c r="L352" s="21">
        <v>3.05</v>
      </c>
      <c r="M352" s="14" t="s">
        <v>14</v>
      </c>
      <c r="N352" s="13">
        <v>27450</v>
      </c>
      <c r="O352" s="15">
        <f t="shared" si="212"/>
        <v>0</v>
      </c>
      <c r="P352" s="10" t="s">
        <v>78</v>
      </c>
      <c r="Q352" s="11" t="s">
        <v>925</v>
      </c>
      <c r="R352" s="11" t="s">
        <v>926</v>
      </c>
      <c r="S352" s="16" t="s">
        <v>924</v>
      </c>
      <c r="T352" s="19" t="str">
        <f>MONTH(B352)&amp;"-"&amp;YEAR(B352)</f>
        <v>10-2020</v>
      </c>
      <c r="U352" s="2">
        <f>YEAR(B352)</f>
        <v>2020</v>
      </c>
      <c r="V352" s="2" t="str">
        <f>IF(DAY(B352)&gt;15,MONTH(B352)&amp;"-C",MONTH(B352)&amp;"-N")</f>
        <v>10-N</v>
      </c>
      <c r="W352" s="21">
        <v>3.05</v>
      </c>
      <c r="X352" s="2" t="b">
        <f t="shared" si="213"/>
        <v>1</v>
      </c>
    </row>
    <row r="353" spans="2:24" x14ac:dyDescent="0.2">
      <c r="B353" s="17">
        <v>44110</v>
      </c>
      <c r="C353" s="10" t="s">
        <v>25</v>
      </c>
      <c r="D353" s="11" t="s">
        <v>898</v>
      </c>
      <c r="E353" s="26">
        <v>54737</v>
      </c>
      <c r="F353" s="10" t="s">
        <v>26</v>
      </c>
      <c r="G353" s="10" t="s">
        <v>27</v>
      </c>
      <c r="H353" s="27" t="s">
        <v>28</v>
      </c>
      <c r="I353" s="12"/>
      <c r="J353" s="12"/>
      <c r="K353" s="13">
        <v>5700</v>
      </c>
      <c r="L353" s="21">
        <v>3.05</v>
      </c>
      <c r="M353" s="14" t="s">
        <v>14</v>
      </c>
      <c r="N353" s="13">
        <v>17385</v>
      </c>
      <c r="O353" s="15">
        <f t="shared" si="212"/>
        <v>0</v>
      </c>
      <c r="P353" s="10" t="s">
        <v>78</v>
      </c>
      <c r="Q353" s="11" t="s">
        <v>928</v>
      </c>
      <c r="R353" s="11" t="s">
        <v>586</v>
      </c>
      <c r="S353" s="16" t="s">
        <v>927</v>
      </c>
      <c r="T353" s="19" t="str">
        <f>MONTH(B353)&amp;"-"&amp;YEAR(B353)</f>
        <v>10-2020</v>
      </c>
      <c r="U353" s="2">
        <f>YEAR(B353)</f>
        <v>2020</v>
      </c>
      <c r="V353" s="2" t="str">
        <f>IF(DAY(B353)&gt;15,MONTH(B353)&amp;"-C",MONTH(B353)&amp;"-N")</f>
        <v>10-N</v>
      </c>
      <c r="W353" s="21">
        <v>3.05</v>
      </c>
      <c r="X353" s="2" t="b">
        <f t="shared" si="213"/>
        <v>1</v>
      </c>
    </row>
    <row r="354" spans="2:24" x14ac:dyDescent="0.2">
      <c r="B354" s="17">
        <v>44111</v>
      </c>
      <c r="C354" s="10" t="s">
        <v>80</v>
      </c>
      <c r="D354" s="11" t="s">
        <v>782</v>
      </c>
      <c r="E354" s="26">
        <v>54746</v>
      </c>
      <c r="F354" s="10" t="s">
        <v>26</v>
      </c>
      <c r="G354" s="10" t="s">
        <v>27</v>
      </c>
      <c r="H354" s="27" t="s">
        <v>28</v>
      </c>
      <c r="I354" s="12"/>
      <c r="J354" s="12"/>
      <c r="K354" s="13">
        <v>3600</v>
      </c>
      <c r="L354" s="21">
        <v>3.05</v>
      </c>
      <c r="M354" s="14" t="s">
        <v>14</v>
      </c>
      <c r="N354" s="13">
        <v>10980</v>
      </c>
      <c r="O354" s="15">
        <f t="shared" ref="O354:O359" si="214">(N354/K354)-L354</f>
        <v>0</v>
      </c>
      <c r="P354" s="10" t="s">
        <v>78</v>
      </c>
      <c r="Q354" s="11" t="s">
        <v>931</v>
      </c>
      <c r="R354" s="11" t="s">
        <v>932</v>
      </c>
      <c r="S354" s="16" t="s">
        <v>930</v>
      </c>
      <c r="T354" s="19" t="str">
        <f>MONTH(B354)&amp;"-"&amp;YEAR(B354)</f>
        <v>10-2020</v>
      </c>
      <c r="U354" s="2">
        <f>YEAR(B354)</f>
        <v>2020</v>
      </c>
      <c r="V354" s="2" t="str">
        <f>IF(DAY(B354)&gt;15,MONTH(B354)&amp;"-C",MONTH(B354)&amp;"-N")</f>
        <v>10-N</v>
      </c>
      <c r="W354" s="21">
        <v>3.05</v>
      </c>
      <c r="X354" s="2" t="b">
        <f t="shared" ref="X354:X359" si="215">+L354=W354</f>
        <v>1</v>
      </c>
    </row>
    <row r="355" spans="2:24" x14ac:dyDescent="0.2">
      <c r="B355" s="17">
        <v>44112</v>
      </c>
      <c r="C355" s="10" t="s">
        <v>107</v>
      </c>
      <c r="D355" s="11" t="s">
        <v>933</v>
      </c>
      <c r="E355" s="26">
        <v>54763</v>
      </c>
      <c r="F355" s="10" t="s">
        <v>935</v>
      </c>
      <c r="G355" s="10" t="s">
        <v>46</v>
      </c>
      <c r="H355" s="27" t="s">
        <v>936</v>
      </c>
      <c r="I355" s="12"/>
      <c r="J355" s="12"/>
      <c r="K355" s="13">
        <v>200</v>
      </c>
      <c r="L355" s="21">
        <v>15.85</v>
      </c>
      <c r="M355" s="14" t="s">
        <v>14</v>
      </c>
      <c r="N355" s="13">
        <v>3170</v>
      </c>
      <c r="O355" s="15">
        <f t="shared" si="214"/>
        <v>0</v>
      </c>
      <c r="P355" s="10" t="s">
        <v>84</v>
      </c>
      <c r="Q355" s="11" t="s">
        <v>937</v>
      </c>
      <c r="R355" s="11" t="s">
        <v>938</v>
      </c>
      <c r="S355" s="16" t="s">
        <v>934</v>
      </c>
      <c r="T355" s="19" t="str">
        <f>MONTH(B355)&amp;"-"&amp;YEAR(B355)</f>
        <v>10-2020</v>
      </c>
      <c r="U355" s="2">
        <f>YEAR(B355)</f>
        <v>2020</v>
      </c>
      <c r="V355" s="2" t="str">
        <f>IF(DAY(B355)&gt;15,MONTH(B355)&amp;"-C",MONTH(B355)&amp;"-N")</f>
        <v>10-N</v>
      </c>
      <c r="W355" s="21">
        <v>15.85</v>
      </c>
      <c r="X355" s="2" t="b">
        <f t="shared" si="215"/>
        <v>1</v>
      </c>
    </row>
    <row r="356" spans="2:24" x14ac:dyDescent="0.2">
      <c r="B356" s="17">
        <v>44112</v>
      </c>
      <c r="C356" s="10" t="s">
        <v>107</v>
      </c>
      <c r="D356" s="11" t="s">
        <v>933</v>
      </c>
      <c r="E356" s="26">
        <v>54763</v>
      </c>
      <c r="F356" s="10" t="s">
        <v>142</v>
      </c>
      <c r="G356" s="10" t="s">
        <v>46</v>
      </c>
      <c r="H356" s="27" t="s">
        <v>143</v>
      </c>
      <c r="I356" s="12"/>
      <c r="J356" s="12"/>
      <c r="K356" s="13">
        <v>1320</v>
      </c>
      <c r="L356" s="21">
        <v>9</v>
      </c>
      <c r="M356" s="14" t="s">
        <v>14</v>
      </c>
      <c r="N356" s="13">
        <v>11880</v>
      </c>
      <c r="O356" s="15">
        <f t="shared" si="214"/>
        <v>0</v>
      </c>
      <c r="P356" s="10" t="s">
        <v>84</v>
      </c>
      <c r="Q356" s="11" t="s">
        <v>937</v>
      </c>
      <c r="R356" s="11" t="s">
        <v>938</v>
      </c>
      <c r="S356" s="16" t="s">
        <v>934</v>
      </c>
      <c r="T356" s="19" t="str">
        <f>MONTH(B356)&amp;"-"&amp;YEAR(B356)</f>
        <v>10-2020</v>
      </c>
      <c r="U356" s="2">
        <f>YEAR(B356)</f>
        <v>2020</v>
      </c>
      <c r="V356" s="2" t="str">
        <f>IF(DAY(B356)&gt;15,MONTH(B356)&amp;"-C",MONTH(B356)&amp;"-N")</f>
        <v>10-N</v>
      </c>
      <c r="W356" s="21">
        <v>9</v>
      </c>
      <c r="X356" s="2" t="b">
        <f t="shared" si="215"/>
        <v>1</v>
      </c>
    </row>
    <row r="357" spans="2:24" x14ac:dyDescent="0.2">
      <c r="B357" s="17">
        <v>44112</v>
      </c>
      <c r="C357" s="10" t="s">
        <v>107</v>
      </c>
      <c r="D357" s="11" t="s">
        <v>933</v>
      </c>
      <c r="E357" s="26">
        <v>54763</v>
      </c>
      <c r="F357" s="10" t="s">
        <v>144</v>
      </c>
      <c r="G357" s="10" t="s">
        <v>46</v>
      </c>
      <c r="H357" s="27" t="s">
        <v>145</v>
      </c>
      <c r="I357" s="12"/>
      <c r="J357" s="12"/>
      <c r="K357" s="13">
        <v>200</v>
      </c>
      <c r="L357" s="21">
        <v>9</v>
      </c>
      <c r="M357" s="14" t="s">
        <v>14</v>
      </c>
      <c r="N357" s="13">
        <v>1800</v>
      </c>
      <c r="O357" s="15">
        <f t="shared" si="214"/>
        <v>0</v>
      </c>
      <c r="P357" s="10" t="s">
        <v>84</v>
      </c>
      <c r="Q357" s="11" t="s">
        <v>937</v>
      </c>
      <c r="R357" s="11" t="s">
        <v>938</v>
      </c>
      <c r="S357" s="16" t="s">
        <v>934</v>
      </c>
      <c r="T357" s="19" t="str">
        <f>MONTH(B357)&amp;"-"&amp;YEAR(B357)</f>
        <v>10-2020</v>
      </c>
      <c r="U357" s="2">
        <f>YEAR(B357)</f>
        <v>2020</v>
      </c>
      <c r="V357" s="2" t="str">
        <f>IF(DAY(B357)&gt;15,MONTH(B357)&amp;"-C",MONTH(B357)&amp;"-N")</f>
        <v>10-N</v>
      </c>
      <c r="W357" s="21">
        <v>9</v>
      </c>
      <c r="X357" s="2" t="b">
        <f t="shared" si="215"/>
        <v>1</v>
      </c>
    </row>
    <row r="358" spans="2:24" x14ac:dyDescent="0.2">
      <c r="B358" s="17">
        <v>44112</v>
      </c>
      <c r="C358" s="10" t="s">
        <v>107</v>
      </c>
      <c r="D358" s="11" t="s">
        <v>933</v>
      </c>
      <c r="E358" s="26">
        <v>54763</v>
      </c>
      <c r="F358" s="10" t="s">
        <v>103</v>
      </c>
      <c r="G358" s="10" t="s">
        <v>46</v>
      </c>
      <c r="H358" s="27" t="s">
        <v>104</v>
      </c>
      <c r="I358" s="12"/>
      <c r="J358" s="12"/>
      <c r="K358" s="13">
        <v>45</v>
      </c>
      <c r="L358" s="21">
        <v>37.200000000000003</v>
      </c>
      <c r="M358" s="14" t="s">
        <v>14</v>
      </c>
      <c r="N358" s="13">
        <v>1674</v>
      </c>
      <c r="O358" s="15">
        <f t="shared" si="214"/>
        <v>0</v>
      </c>
      <c r="P358" s="10" t="s">
        <v>84</v>
      </c>
      <c r="Q358" s="11" t="s">
        <v>937</v>
      </c>
      <c r="R358" s="11" t="s">
        <v>938</v>
      </c>
      <c r="S358" s="16" t="s">
        <v>934</v>
      </c>
      <c r="T358" s="19" t="str">
        <f>MONTH(B358)&amp;"-"&amp;YEAR(B358)</f>
        <v>10-2020</v>
      </c>
      <c r="U358" s="2">
        <f>YEAR(B358)</f>
        <v>2020</v>
      </c>
      <c r="V358" s="2" t="str">
        <f>IF(DAY(B358)&gt;15,MONTH(B358)&amp;"-C",MONTH(B358)&amp;"-N")</f>
        <v>10-N</v>
      </c>
      <c r="W358" s="21">
        <v>37.200000000000003</v>
      </c>
      <c r="X358" s="2" t="b">
        <f t="shared" si="215"/>
        <v>1</v>
      </c>
    </row>
    <row r="359" spans="2:24" x14ac:dyDescent="0.2">
      <c r="B359" s="17">
        <v>44112</v>
      </c>
      <c r="C359" s="10" t="s">
        <v>107</v>
      </c>
      <c r="D359" s="11" t="s">
        <v>933</v>
      </c>
      <c r="E359" s="26">
        <v>54763</v>
      </c>
      <c r="F359" s="10" t="s">
        <v>105</v>
      </c>
      <c r="G359" s="10" t="s">
        <v>46</v>
      </c>
      <c r="H359" s="27" t="s">
        <v>106</v>
      </c>
      <c r="I359" s="12"/>
      <c r="J359" s="12"/>
      <c r="K359" s="13">
        <v>1320</v>
      </c>
      <c r="L359" s="21">
        <v>12.3</v>
      </c>
      <c r="M359" s="14" t="s">
        <v>14</v>
      </c>
      <c r="N359" s="13">
        <v>16236</v>
      </c>
      <c r="O359" s="15">
        <f t="shared" si="214"/>
        <v>0</v>
      </c>
      <c r="P359" s="10" t="s">
        <v>84</v>
      </c>
      <c r="Q359" s="11" t="s">
        <v>937</v>
      </c>
      <c r="R359" s="11" t="s">
        <v>938</v>
      </c>
      <c r="S359" s="16" t="s">
        <v>934</v>
      </c>
      <c r="T359" s="19" t="str">
        <f>MONTH(B359)&amp;"-"&amp;YEAR(B359)</f>
        <v>10-2020</v>
      </c>
      <c r="U359" s="2">
        <f>YEAR(B359)</f>
        <v>2020</v>
      </c>
      <c r="V359" s="2" t="str">
        <f>IF(DAY(B359)&gt;15,MONTH(B359)&amp;"-C",MONTH(B359)&amp;"-N")</f>
        <v>10-N</v>
      </c>
      <c r="W359" s="21">
        <v>12.3</v>
      </c>
      <c r="X359" s="2" t="b">
        <f t="shared" si="215"/>
        <v>1</v>
      </c>
    </row>
    <row r="360" spans="2:24" x14ac:dyDescent="0.2">
      <c r="B360" s="17">
        <v>44114</v>
      </c>
      <c r="C360" s="10" t="s">
        <v>80</v>
      </c>
      <c r="D360" s="11" t="s">
        <v>782</v>
      </c>
      <c r="E360" s="26">
        <v>54775</v>
      </c>
      <c r="F360" s="10" t="s">
        <v>26</v>
      </c>
      <c r="G360" s="10" t="s">
        <v>27</v>
      </c>
      <c r="H360" s="27" t="s">
        <v>28</v>
      </c>
      <c r="I360" s="12"/>
      <c r="J360" s="12"/>
      <c r="K360" s="13">
        <v>1800</v>
      </c>
      <c r="L360" s="21">
        <v>3.05</v>
      </c>
      <c r="M360" s="14" t="s">
        <v>14</v>
      </c>
      <c r="N360" s="13">
        <v>5490</v>
      </c>
      <c r="O360" s="15">
        <f t="shared" ref="O360:O361" si="216">(N360/K360)-L360</f>
        <v>0</v>
      </c>
      <c r="P360" s="10" t="s">
        <v>78</v>
      </c>
      <c r="Q360" s="11" t="s">
        <v>940</v>
      </c>
      <c r="R360" s="11" t="s">
        <v>941</v>
      </c>
      <c r="S360" s="16" t="s">
        <v>939</v>
      </c>
      <c r="T360" s="19" t="str">
        <f>MONTH(B360)&amp;"-"&amp;YEAR(B360)</f>
        <v>10-2020</v>
      </c>
      <c r="U360" s="2">
        <f>YEAR(B360)</f>
        <v>2020</v>
      </c>
      <c r="V360" s="2" t="str">
        <f>IF(DAY(B360)&gt;15,MONTH(B360)&amp;"-C",MONTH(B360)&amp;"-N")</f>
        <v>10-N</v>
      </c>
      <c r="W360" s="21">
        <v>3.05</v>
      </c>
      <c r="X360" s="2" t="b">
        <f t="shared" ref="X360:X361" si="217">+L360=W360</f>
        <v>1</v>
      </c>
    </row>
    <row r="361" spans="2:24" x14ac:dyDescent="0.2">
      <c r="B361" s="17">
        <v>44115</v>
      </c>
      <c r="C361" s="10" t="s">
        <v>80</v>
      </c>
      <c r="D361" s="11" t="s">
        <v>782</v>
      </c>
      <c r="E361" s="26">
        <v>54790</v>
      </c>
      <c r="F361" s="10" t="s">
        <v>26</v>
      </c>
      <c r="G361" s="10" t="s">
        <v>27</v>
      </c>
      <c r="H361" s="27" t="s">
        <v>28</v>
      </c>
      <c r="I361" s="12"/>
      <c r="J361" s="12"/>
      <c r="K361" s="13">
        <v>5400</v>
      </c>
      <c r="L361" s="21">
        <v>3.05</v>
      </c>
      <c r="M361" s="14" t="s">
        <v>14</v>
      </c>
      <c r="N361" s="13">
        <v>16470</v>
      </c>
      <c r="O361" s="15">
        <f t="shared" si="216"/>
        <v>0</v>
      </c>
      <c r="P361" s="10" t="s">
        <v>78</v>
      </c>
      <c r="Q361" s="11" t="s">
        <v>943</v>
      </c>
      <c r="R361" s="11" t="s">
        <v>944</v>
      </c>
      <c r="S361" s="16" t="s">
        <v>942</v>
      </c>
      <c r="T361" s="19" t="str">
        <f>MONTH(B361)&amp;"-"&amp;YEAR(B361)</f>
        <v>10-2020</v>
      </c>
      <c r="U361" s="2">
        <f>YEAR(B361)</f>
        <v>2020</v>
      </c>
      <c r="V361" s="2" t="str">
        <f>IF(DAY(B361)&gt;15,MONTH(B361)&amp;"-C",MONTH(B361)&amp;"-N")</f>
        <v>10-N</v>
      </c>
      <c r="W361" s="21">
        <v>3.05</v>
      </c>
      <c r="X361" s="2" t="b">
        <f t="shared" si="217"/>
        <v>1</v>
      </c>
    </row>
    <row r="362" spans="2:24" x14ac:dyDescent="0.2">
      <c r="B362" s="17">
        <v>44116</v>
      </c>
      <c r="C362" s="10" t="s">
        <v>80</v>
      </c>
      <c r="D362" s="11" t="s">
        <v>782</v>
      </c>
      <c r="E362" s="26">
        <v>54797</v>
      </c>
      <c r="F362" s="10" t="s">
        <v>26</v>
      </c>
      <c r="G362" s="10" t="s">
        <v>27</v>
      </c>
      <c r="H362" s="27" t="s">
        <v>28</v>
      </c>
      <c r="I362" s="12"/>
      <c r="J362" s="12"/>
      <c r="K362" s="13">
        <v>3600</v>
      </c>
      <c r="L362" s="21">
        <v>3.05</v>
      </c>
      <c r="M362" s="14" t="s">
        <v>14</v>
      </c>
      <c r="N362" s="13">
        <v>10980</v>
      </c>
      <c r="O362" s="15">
        <f t="shared" ref="O362" si="218">(N362/K362)-L362</f>
        <v>0</v>
      </c>
      <c r="P362" s="10" t="s">
        <v>78</v>
      </c>
      <c r="Q362" s="11" t="s">
        <v>946</v>
      </c>
      <c r="R362" s="11" t="s">
        <v>947</v>
      </c>
      <c r="S362" s="16" t="s">
        <v>945</v>
      </c>
      <c r="T362" s="19" t="str">
        <f>MONTH(B362)&amp;"-"&amp;YEAR(B362)</f>
        <v>10-2020</v>
      </c>
      <c r="U362" s="2">
        <f>YEAR(B362)</f>
        <v>2020</v>
      </c>
      <c r="V362" s="2" t="str">
        <f>IF(DAY(B362)&gt;15,MONTH(B362)&amp;"-C",MONTH(B362)&amp;"-N")</f>
        <v>10-N</v>
      </c>
      <c r="W362" s="21">
        <v>3.05</v>
      </c>
      <c r="X362" s="2" t="b">
        <f t="shared" ref="X362" si="219">+L362=W362</f>
        <v>1</v>
      </c>
    </row>
    <row r="363" spans="2:24" x14ac:dyDescent="0.2">
      <c r="B363" s="17">
        <v>44119</v>
      </c>
      <c r="C363" s="10" t="s">
        <v>108</v>
      </c>
      <c r="D363" s="11" t="s">
        <v>948</v>
      </c>
      <c r="E363" s="26">
        <v>54853</v>
      </c>
      <c r="F363" s="10" t="s">
        <v>139</v>
      </c>
      <c r="G363" s="10" t="s">
        <v>46</v>
      </c>
      <c r="H363" s="27" t="s">
        <v>140</v>
      </c>
      <c r="I363" s="12"/>
      <c r="J363" s="12"/>
      <c r="K363" s="13">
        <v>6808</v>
      </c>
      <c r="L363" s="21">
        <v>7.85</v>
      </c>
      <c r="M363" s="14" t="s">
        <v>14</v>
      </c>
      <c r="N363" s="13">
        <v>53442.8</v>
      </c>
      <c r="O363" s="15">
        <f t="shared" ref="O363:O364" si="220">(N363/K363)-L363</f>
        <v>0</v>
      </c>
      <c r="P363" s="10" t="s">
        <v>84</v>
      </c>
      <c r="Q363" s="11" t="s">
        <v>950</v>
      </c>
      <c r="R363" s="11" t="s">
        <v>951</v>
      </c>
      <c r="S363" s="16" t="s">
        <v>949</v>
      </c>
      <c r="T363" s="19" t="str">
        <f>MONTH(B363)&amp;"-"&amp;YEAR(B363)</f>
        <v>10-2020</v>
      </c>
      <c r="U363" s="2">
        <f>YEAR(B363)</f>
        <v>2020</v>
      </c>
      <c r="V363" s="2" t="str">
        <f>IF(DAY(B363)&gt;15,MONTH(B363)&amp;"-C",MONTH(B363)&amp;"-N")</f>
        <v>10-N</v>
      </c>
      <c r="W363" s="21">
        <v>7.85</v>
      </c>
      <c r="X363" s="2" t="b">
        <f t="shared" ref="X363:X364" si="221">+L363=W363</f>
        <v>1</v>
      </c>
    </row>
    <row r="364" spans="2:24" x14ac:dyDescent="0.2">
      <c r="B364" s="17">
        <v>44119</v>
      </c>
      <c r="C364" s="10" t="s">
        <v>108</v>
      </c>
      <c r="D364" s="11" t="s">
        <v>948</v>
      </c>
      <c r="E364" s="26">
        <v>54853</v>
      </c>
      <c r="F364" s="10" t="s">
        <v>129</v>
      </c>
      <c r="G364" s="10" t="s">
        <v>46</v>
      </c>
      <c r="H364" s="27" t="s">
        <v>130</v>
      </c>
      <c r="I364" s="12"/>
      <c r="J364" s="12"/>
      <c r="K364" s="13">
        <v>9200</v>
      </c>
      <c r="L364" s="21">
        <v>10.86</v>
      </c>
      <c r="M364" s="14" t="s">
        <v>14</v>
      </c>
      <c r="N364" s="13">
        <v>99912</v>
      </c>
      <c r="O364" s="15">
        <f t="shared" si="220"/>
        <v>0</v>
      </c>
      <c r="P364" s="10" t="s">
        <v>84</v>
      </c>
      <c r="Q364" s="11" t="s">
        <v>950</v>
      </c>
      <c r="R364" s="11" t="s">
        <v>951</v>
      </c>
      <c r="S364" s="16" t="s">
        <v>949</v>
      </c>
      <c r="T364" s="19" t="str">
        <f>MONTH(B364)&amp;"-"&amp;YEAR(B364)</f>
        <v>10-2020</v>
      </c>
      <c r="U364" s="2">
        <f>YEAR(B364)</f>
        <v>2020</v>
      </c>
      <c r="V364" s="2" t="str">
        <f>IF(DAY(B364)&gt;15,MONTH(B364)&amp;"-C",MONTH(B364)&amp;"-N")</f>
        <v>10-N</v>
      </c>
      <c r="W364" s="21">
        <v>10.86</v>
      </c>
      <c r="X364" s="2" t="b">
        <f t="shared" si="221"/>
        <v>1</v>
      </c>
    </row>
    <row r="365" spans="2:24" x14ac:dyDescent="0.2">
      <c r="B365" s="17">
        <v>44122</v>
      </c>
      <c r="C365" s="10" t="s">
        <v>80</v>
      </c>
      <c r="D365" s="11" t="s">
        <v>873</v>
      </c>
      <c r="E365" s="26">
        <v>54881</v>
      </c>
      <c r="F365" s="10" t="s">
        <v>31</v>
      </c>
      <c r="G365" s="10" t="s">
        <v>27</v>
      </c>
      <c r="H365" s="27" t="s">
        <v>32</v>
      </c>
      <c r="I365" s="12"/>
      <c r="J365" s="12"/>
      <c r="K365" s="13">
        <v>1920</v>
      </c>
      <c r="L365" s="21">
        <v>4.2</v>
      </c>
      <c r="M365" s="14" t="s">
        <v>14</v>
      </c>
      <c r="N365" s="13">
        <v>8064</v>
      </c>
      <c r="O365" s="15">
        <f t="shared" ref="O365:O368" si="222">(N365/K365)-L365</f>
        <v>0</v>
      </c>
      <c r="P365" s="10" t="s">
        <v>78</v>
      </c>
      <c r="Q365" s="11" t="s">
        <v>953</v>
      </c>
      <c r="R365" s="11" t="s">
        <v>954</v>
      </c>
      <c r="S365" s="16" t="s">
        <v>952</v>
      </c>
      <c r="T365" s="19" t="str">
        <f>MONTH(B365)&amp;"-"&amp;YEAR(B365)</f>
        <v>10-2020</v>
      </c>
      <c r="U365" s="2">
        <f>YEAR(B365)</f>
        <v>2020</v>
      </c>
      <c r="V365" s="2" t="str">
        <f>IF(DAY(B365)&gt;15,MONTH(B365)&amp;"-C",MONTH(B365)&amp;"-N")</f>
        <v>10-C</v>
      </c>
      <c r="W365" s="21">
        <v>4.2</v>
      </c>
      <c r="X365" s="2" t="b">
        <f t="shared" ref="X365:X368" si="223">+L365=W365</f>
        <v>1</v>
      </c>
    </row>
    <row r="366" spans="2:24" x14ac:dyDescent="0.2">
      <c r="B366" s="17">
        <v>44122</v>
      </c>
      <c r="C366" s="10" t="s">
        <v>80</v>
      </c>
      <c r="D366" s="11" t="s">
        <v>782</v>
      </c>
      <c r="E366" s="26">
        <v>54880</v>
      </c>
      <c r="F366" s="10" t="s">
        <v>26</v>
      </c>
      <c r="G366" s="10" t="s">
        <v>27</v>
      </c>
      <c r="H366" s="27" t="s">
        <v>28</v>
      </c>
      <c r="I366" s="12"/>
      <c r="J366" s="12"/>
      <c r="K366" s="13">
        <v>3600</v>
      </c>
      <c r="L366" s="21">
        <v>3.05</v>
      </c>
      <c r="M366" s="14" t="s">
        <v>14</v>
      </c>
      <c r="N366" s="13">
        <v>10980</v>
      </c>
      <c r="O366" s="15">
        <f t="shared" si="222"/>
        <v>0</v>
      </c>
      <c r="P366" s="10" t="s">
        <v>78</v>
      </c>
      <c r="Q366" s="11" t="s">
        <v>956</v>
      </c>
      <c r="R366" s="11" t="s">
        <v>957</v>
      </c>
      <c r="S366" s="16" t="s">
        <v>955</v>
      </c>
      <c r="T366" s="19" t="str">
        <f>MONTH(B366)&amp;"-"&amp;YEAR(B366)</f>
        <v>10-2020</v>
      </c>
      <c r="U366" s="2">
        <f>YEAR(B366)</f>
        <v>2020</v>
      </c>
      <c r="V366" s="2" t="str">
        <f>IF(DAY(B366)&gt;15,MONTH(B366)&amp;"-C",MONTH(B366)&amp;"-N")</f>
        <v>10-C</v>
      </c>
      <c r="W366" s="21">
        <v>3.05</v>
      </c>
      <c r="X366" s="2" t="b">
        <f t="shared" si="223"/>
        <v>1</v>
      </c>
    </row>
    <row r="367" spans="2:24" x14ac:dyDescent="0.2">
      <c r="B367" s="17">
        <v>44123</v>
      </c>
      <c r="C367" s="10" t="s">
        <v>80</v>
      </c>
      <c r="D367" s="11" t="s">
        <v>873</v>
      </c>
      <c r="E367" s="26">
        <v>54887</v>
      </c>
      <c r="F367" s="10" t="s">
        <v>31</v>
      </c>
      <c r="G367" s="10" t="s">
        <v>27</v>
      </c>
      <c r="H367" s="27" t="s">
        <v>32</v>
      </c>
      <c r="I367" s="12"/>
      <c r="J367" s="12"/>
      <c r="K367" s="13">
        <v>1280</v>
      </c>
      <c r="L367" s="21">
        <v>4.2</v>
      </c>
      <c r="M367" s="14" t="s">
        <v>14</v>
      </c>
      <c r="N367" s="13">
        <v>5376</v>
      </c>
      <c r="O367" s="15">
        <f t="shared" si="222"/>
        <v>0</v>
      </c>
      <c r="P367" s="10" t="s">
        <v>78</v>
      </c>
      <c r="Q367" s="11" t="s">
        <v>959</v>
      </c>
      <c r="R367" s="11" t="s">
        <v>960</v>
      </c>
      <c r="S367" s="16" t="s">
        <v>958</v>
      </c>
      <c r="T367" s="19" t="str">
        <f>MONTH(B367)&amp;"-"&amp;YEAR(B367)</f>
        <v>10-2020</v>
      </c>
      <c r="U367" s="2">
        <f>YEAR(B367)</f>
        <v>2020</v>
      </c>
      <c r="V367" s="2" t="str">
        <f>IF(DAY(B367)&gt;15,MONTH(B367)&amp;"-C",MONTH(B367)&amp;"-N")</f>
        <v>10-C</v>
      </c>
      <c r="W367" s="21">
        <v>4.2</v>
      </c>
      <c r="X367" s="2" t="b">
        <f t="shared" si="223"/>
        <v>1</v>
      </c>
    </row>
    <row r="368" spans="2:24" x14ac:dyDescent="0.2">
      <c r="B368" s="17">
        <v>44123</v>
      </c>
      <c r="C368" s="10" t="s">
        <v>80</v>
      </c>
      <c r="D368" s="11" t="s">
        <v>782</v>
      </c>
      <c r="E368" s="26">
        <v>54888</v>
      </c>
      <c r="F368" s="10" t="s">
        <v>26</v>
      </c>
      <c r="G368" s="10" t="s">
        <v>27</v>
      </c>
      <c r="H368" s="27" t="s">
        <v>28</v>
      </c>
      <c r="I368" s="12"/>
      <c r="J368" s="12"/>
      <c r="K368" s="13">
        <v>5400</v>
      </c>
      <c r="L368" s="21">
        <v>3.05</v>
      </c>
      <c r="M368" s="14" t="s">
        <v>14</v>
      </c>
      <c r="N368" s="13">
        <v>16470</v>
      </c>
      <c r="O368" s="15">
        <f t="shared" si="222"/>
        <v>0</v>
      </c>
      <c r="P368" s="10" t="s">
        <v>78</v>
      </c>
      <c r="Q368" s="11" t="s">
        <v>962</v>
      </c>
      <c r="R368" s="11" t="s">
        <v>963</v>
      </c>
      <c r="S368" s="16" t="s">
        <v>961</v>
      </c>
      <c r="T368" s="19" t="str">
        <f>MONTH(B368)&amp;"-"&amp;YEAR(B368)</f>
        <v>10-2020</v>
      </c>
      <c r="U368" s="2">
        <f>YEAR(B368)</f>
        <v>2020</v>
      </c>
      <c r="V368" s="2" t="str">
        <f>IF(DAY(B368)&gt;15,MONTH(B368)&amp;"-C",MONTH(B368)&amp;"-N")</f>
        <v>10-C</v>
      </c>
      <c r="W368" s="21">
        <v>3.05</v>
      </c>
      <c r="X368" s="2" t="b">
        <f t="shared" si="223"/>
        <v>1</v>
      </c>
    </row>
    <row r="369" spans="2:24" x14ac:dyDescent="0.2">
      <c r="B369" s="17">
        <v>44126</v>
      </c>
      <c r="C369" s="10" t="s">
        <v>107</v>
      </c>
      <c r="D369" s="11" t="s">
        <v>964</v>
      </c>
      <c r="E369" s="26">
        <v>54946</v>
      </c>
      <c r="F369" s="10" t="s">
        <v>142</v>
      </c>
      <c r="G369" s="10" t="s">
        <v>46</v>
      </c>
      <c r="H369" s="27" t="s">
        <v>143</v>
      </c>
      <c r="I369" s="12"/>
      <c r="J369" s="12"/>
      <c r="K369" s="13">
        <v>1100</v>
      </c>
      <c r="L369" s="21">
        <v>9</v>
      </c>
      <c r="M369" s="14" t="s">
        <v>14</v>
      </c>
      <c r="N369" s="13">
        <v>9900</v>
      </c>
      <c r="O369" s="15">
        <f t="shared" ref="O369:O374" si="224">(N369/K369)-L369</f>
        <v>0</v>
      </c>
      <c r="P369" s="10" t="s">
        <v>84</v>
      </c>
      <c r="Q369" s="11" t="s">
        <v>966</v>
      </c>
      <c r="R369" s="11" t="s">
        <v>967</v>
      </c>
      <c r="S369" s="16" t="s">
        <v>965</v>
      </c>
      <c r="T369" s="19" t="str">
        <f>MONTH(B369)&amp;"-"&amp;YEAR(B369)</f>
        <v>10-2020</v>
      </c>
      <c r="U369" s="2">
        <f>YEAR(B369)</f>
        <v>2020</v>
      </c>
      <c r="V369" s="2" t="str">
        <f>IF(DAY(B369)&gt;15,MONTH(B369)&amp;"-C",MONTH(B369)&amp;"-N")</f>
        <v>10-C</v>
      </c>
      <c r="W369" s="21">
        <v>9</v>
      </c>
      <c r="X369" s="2" t="b">
        <f t="shared" ref="X369:X374" si="225">+L369=W369</f>
        <v>1</v>
      </c>
    </row>
    <row r="370" spans="2:24" x14ac:dyDescent="0.2">
      <c r="B370" s="17">
        <v>44126</v>
      </c>
      <c r="C370" s="10" t="s">
        <v>107</v>
      </c>
      <c r="D370" s="11" t="s">
        <v>964</v>
      </c>
      <c r="E370" s="26">
        <v>54946</v>
      </c>
      <c r="F370" s="10" t="s">
        <v>144</v>
      </c>
      <c r="G370" s="10" t="s">
        <v>46</v>
      </c>
      <c r="H370" s="27" t="s">
        <v>145</v>
      </c>
      <c r="I370" s="12"/>
      <c r="J370" s="12"/>
      <c r="K370" s="13">
        <v>180</v>
      </c>
      <c r="L370" s="21">
        <v>9</v>
      </c>
      <c r="M370" s="14" t="s">
        <v>14</v>
      </c>
      <c r="N370" s="13">
        <v>1620</v>
      </c>
      <c r="O370" s="15">
        <f t="shared" si="224"/>
        <v>0</v>
      </c>
      <c r="P370" s="10" t="s">
        <v>84</v>
      </c>
      <c r="Q370" s="11" t="s">
        <v>966</v>
      </c>
      <c r="R370" s="11" t="s">
        <v>967</v>
      </c>
      <c r="S370" s="16" t="s">
        <v>965</v>
      </c>
      <c r="T370" s="19" t="str">
        <f>MONTH(B370)&amp;"-"&amp;YEAR(B370)</f>
        <v>10-2020</v>
      </c>
      <c r="U370" s="2">
        <f>YEAR(B370)</f>
        <v>2020</v>
      </c>
      <c r="V370" s="2" t="str">
        <f>IF(DAY(B370)&gt;15,MONTH(B370)&amp;"-C",MONTH(B370)&amp;"-N")</f>
        <v>10-C</v>
      </c>
      <c r="W370" s="21">
        <v>9</v>
      </c>
      <c r="X370" s="2" t="b">
        <f t="shared" si="225"/>
        <v>1</v>
      </c>
    </row>
    <row r="371" spans="2:24" x14ac:dyDescent="0.2">
      <c r="B371" s="17">
        <v>44126</v>
      </c>
      <c r="C371" s="10" t="s">
        <v>107</v>
      </c>
      <c r="D371" s="11" t="s">
        <v>964</v>
      </c>
      <c r="E371" s="26">
        <v>54946</v>
      </c>
      <c r="F371" s="10" t="s">
        <v>103</v>
      </c>
      <c r="G371" s="10" t="s">
        <v>46</v>
      </c>
      <c r="H371" s="27" t="s">
        <v>104</v>
      </c>
      <c r="I371" s="12"/>
      <c r="J371" s="12"/>
      <c r="K371" s="13">
        <v>60</v>
      </c>
      <c r="L371" s="21">
        <v>37.200000000000003</v>
      </c>
      <c r="M371" s="14" t="s">
        <v>14</v>
      </c>
      <c r="N371" s="13">
        <v>2232</v>
      </c>
      <c r="O371" s="15">
        <f t="shared" si="224"/>
        <v>0</v>
      </c>
      <c r="P371" s="10" t="s">
        <v>84</v>
      </c>
      <c r="Q371" s="11" t="s">
        <v>966</v>
      </c>
      <c r="R371" s="11" t="s">
        <v>967</v>
      </c>
      <c r="S371" s="16" t="s">
        <v>965</v>
      </c>
      <c r="T371" s="19" t="str">
        <f>MONTH(B371)&amp;"-"&amp;YEAR(B371)</f>
        <v>10-2020</v>
      </c>
      <c r="U371" s="2">
        <f>YEAR(B371)</f>
        <v>2020</v>
      </c>
      <c r="V371" s="2" t="str">
        <f>IF(DAY(B371)&gt;15,MONTH(B371)&amp;"-C",MONTH(B371)&amp;"-N")</f>
        <v>10-C</v>
      </c>
      <c r="W371" s="21">
        <v>37.200000000000003</v>
      </c>
      <c r="X371" s="2" t="b">
        <f t="shared" si="225"/>
        <v>1</v>
      </c>
    </row>
    <row r="372" spans="2:24" x14ac:dyDescent="0.2">
      <c r="B372" s="17">
        <v>44126</v>
      </c>
      <c r="C372" s="10" t="s">
        <v>107</v>
      </c>
      <c r="D372" s="11" t="s">
        <v>964</v>
      </c>
      <c r="E372" s="26">
        <v>54946</v>
      </c>
      <c r="F372" s="10" t="s">
        <v>105</v>
      </c>
      <c r="G372" s="10" t="s">
        <v>46</v>
      </c>
      <c r="H372" s="27" t="s">
        <v>106</v>
      </c>
      <c r="I372" s="12"/>
      <c r="J372" s="12"/>
      <c r="K372" s="13">
        <v>1980</v>
      </c>
      <c r="L372" s="21">
        <v>12.3</v>
      </c>
      <c r="M372" s="14" t="s">
        <v>14</v>
      </c>
      <c r="N372" s="13">
        <v>24354</v>
      </c>
      <c r="O372" s="15">
        <f t="shared" si="224"/>
        <v>0</v>
      </c>
      <c r="P372" s="10" t="s">
        <v>84</v>
      </c>
      <c r="Q372" s="11" t="s">
        <v>966</v>
      </c>
      <c r="R372" s="11" t="s">
        <v>967</v>
      </c>
      <c r="S372" s="16" t="s">
        <v>965</v>
      </c>
      <c r="T372" s="19" t="str">
        <f>MONTH(B372)&amp;"-"&amp;YEAR(B372)</f>
        <v>10-2020</v>
      </c>
      <c r="U372" s="2">
        <f>YEAR(B372)</f>
        <v>2020</v>
      </c>
      <c r="V372" s="2" t="str">
        <f>IF(DAY(B372)&gt;15,MONTH(B372)&amp;"-C",MONTH(B372)&amp;"-N")</f>
        <v>10-C</v>
      </c>
      <c r="W372" s="21">
        <v>12.3</v>
      </c>
      <c r="X372" s="2" t="b">
        <f t="shared" si="225"/>
        <v>1</v>
      </c>
    </row>
    <row r="373" spans="2:24" x14ac:dyDescent="0.2">
      <c r="B373" s="17">
        <v>44128</v>
      </c>
      <c r="C373" s="10" t="s">
        <v>80</v>
      </c>
      <c r="D373" s="11" t="s">
        <v>782</v>
      </c>
      <c r="E373" s="26">
        <v>54958</v>
      </c>
      <c r="F373" s="10" t="s">
        <v>26</v>
      </c>
      <c r="G373" s="10" t="s">
        <v>27</v>
      </c>
      <c r="H373" s="27" t="s">
        <v>28</v>
      </c>
      <c r="I373" s="12"/>
      <c r="J373" s="12"/>
      <c r="K373" s="13">
        <v>800</v>
      </c>
      <c r="L373" s="21">
        <v>3.05</v>
      </c>
      <c r="M373" s="14" t="s">
        <v>14</v>
      </c>
      <c r="N373" s="13">
        <v>2440</v>
      </c>
      <c r="O373" s="15">
        <f t="shared" si="224"/>
        <v>0</v>
      </c>
      <c r="P373" s="10" t="s">
        <v>78</v>
      </c>
      <c r="Q373" s="11" t="s">
        <v>969</v>
      </c>
      <c r="R373" s="11" t="s">
        <v>970</v>
      </c>
      <c r="S373" s="16" t="s">
        <v>968</v>
      </c>
      <c r="T373" s="19" t="str">
        <f>MONTH(B373)&amp;"-"&amp;YEAR(B373)</f>
        <v>10-2020</v>
      </c>
      <c r="U373" s="2">
        <f>YEAR(B373)</f>
        <v>2020</v>
      </c>
      <c r="V373" s="2" t="str">
        <f>IF(DAY(B373)&gt;15,MONTH(B373)&amp;"-C",MONTH(B373)&amp;"-N")</f>
        <v>10-C</v>
      </c>
      <c r="W373" s="21">
        <v>3.05</v>
      </c>
      <c r="X373" s="2" t="b">
        <f t="shared" si="225"/>
        <v>1</v>
      </c>
    </row>
    <row r="374" spans="2:24" x14ac:dyDescent="0.2">
      <c r="B374" s="17">
        <v>44128</v>
      </c>
      <c r="C374" s="10" t="s">
        <v>80</v>
      </c>
      <c r="D374" s="11" t="s">
        <v>873</v>
      </c>
      <c r="E374" s="26">
        <v>54957</v>
      </c>
      <c r="F374" s="10" t="s">
        <v>49</v>
      </c>
      <c r="G374" s="10" t="s">
        <v>27</v>
      </c>
      <c r="H374" s="27" t="s">
        <v>50</v>
      </c>
      <c r="I374" s="12"/>
      <c r="J374" s="12"/>
      <c r="K374" s="13">
        <v>2280</v>
      </c>
      <c r="L374" s="21">
        <v>5.2</v>
      </c>
      <c r="M374" s="14" t="s">
        <v>14</v>
      </c>
      <c r="N374" s="13">
        <v>11856</v>
      </c>
      <c r="O374" s="15">
        <f t="shared" si="224"/>
        <v>0</v>
      </c>
      <c r="P374" s="10" t="s">
        <v>78</v>
      </c>
      <c r="Q374" s="11" t="s">
        <v>972</v>
      </c>
      <c r="R374" s="11" t="s">
        <v>973</v>
      </c>
      <c r="S374" s="16" t="s">
        <v>971</v>
      </c>
      <c r="T374" s="19" t="str">
        <f>MONTH(B374)&amp;"-"&amp;YEAR(B374)</f>
        <v>10-2020</v>
      </c>
      <c r="U374" s="2">
        <f>YEAR(B374)</f>
        <v>2020</v>
      </c>
      <c r="V374" s="2" t="str">
        <f>IF(DAY(B374)&gt;15,MONTH(B374)&amp;"-C",MONTH(B374)&amp;"-N")</f>
        <v>10-C</v>
      </c>
      <c r="W374" s="21">
        <v>5.2</v>
      </c>
      <c r="X374" s="2" t="b">
        <f t="shared" si="225"/>
        <v>1</v>
      </c>
    </row>
    <row r="375" spans="2:24" x14ac:dyDescent="0.2">
      <c r="B375" s="17">
        <v>44130</v>
      </c>
      <c r="C375" s="10" t="s">
        <v>80</v>
      </c>
      <c r="D375" s="11" t="s">
        <v>974</v>
      </c>
      <c r="E375" s="26">
        <v>54979</v>
      </c>
      <c r="F375" s="10" t="s">
        <v>26</v>
      </c>
      <c r="G375" s="10" t="s">
        <v>27</v>
      </c>
      <c r="H375" s="27" t="s">
        <v>28</v>
      </c>
      <c r="I375" s="12"/>
      <c r="J375" s="12"/>
      <c r="K375" s="13">
        <v>3600</v>
      </c>
      <c r="L375" s="21">
        <v>3.24</v>
      </c>
      <c r="M375" s="14" t="s">
        <v>14</v>
      </c>
      <c r="N375" s="13">
        <v>11664</v>
      </c>
      <c r="O375" s="15">
        <f t="shared" ref="O375" si="226">(N375/K375)-L375</f>
        <v>0</v>
      </c>
      <c r="P375" s="10" t="s">
        <v>78</v>
      </c>
      <c r="Q375" s="11" t="s">
        <v>976</v>
      </c>
      <c r="R375" s="11" t="s">
        <v>977</v>
      </c>
      <c r="S375" s="16" t="s">
        <v>975</v>
      </c>
      <c r="T375" s="19" t="str">
        <f>MONTH(B375)&amp;"-"&amp;YEAR(B375)</f>
        <v>10-2020</v>
      </c>
      <c r="U375" s="2">
        <f>YEAR(B375)</f>
        <v>2020</v>
      </c>
      <c r="V375" s="2" t="str">
        <f>IF(DAY(B375)&gt;15,MONTH(B375)&amp;"-C",MONTH(B375)&amp;"-N")</f>
        <v>10-C</v>
      </c>
      <c r="W375" s="21">
        <v>3.24</v>
      </c>
      <c r="X375" s="2" t="b">
        <f t="shared" ref="X375" si="227">+L375=W375</f>
        <v>1</v>
      </c>
    </row>
    <row r="376" spans="2:24" x14ac:dyDescent="0.2">
      <c r="B376" s="17">
        <v>44131</v>
      </c>
      <c r="C376" s="10" t="s">
        <v>80</v>
      </c>
      <c r="D376" s="11" t="s">
        <v>974</v>
      </c>
      <c r="E376" s="26">
        <v>54988</v>
      </c>
      <c r="F376" s="10" t="s">
        <v>26</v>
      </c>
      <c r="G376" s="10" t="s">
        <v>27</v>
      </c>
      <c r="H376" s="27" t="s">
        <v>28</v>
      </c>
      <c r="I376" s="12"/>
      <c r="J376" s="12"/>
      <c r="K376" s="13">
        <v>3600</v>
      </c>
      <c r="L376" s="21">
        <v>3.24</v>
      </c>
      <c r="M376" s="14" t="s">
        <v>14</v>
      </c>
      <c r="N376" s="13">
        <v>11664</v>
      </c>
      <c r="O376" s="15">
        <f t="shared" ref="O376:O380" si="228">(N376/K376)-L376</f>
        <v>0</v>
      </c>
      <c r="P376" s="10" t="s">
        <v>78</v>
      </c>
      <c r="Q376" s="11" t="s">
        <v>978</v>
      </c>
      <c r="R376" s="11" t="s">
        <v>979</v>
      </c>
      <c r="S376" s="16" t="s">
        <v>980</v>
      </c>
      <c r="T376" s="19" t="str">
        <f>MONTH(B376)&amp;"-"&amp;YEAR(B376)</f>
        <v>10-2020</v>
      </c>
      <c r="U376" s="2">
        <f>YEAR(B376)</f>
        <v>2020</v>
      </c>
      <c r="V376" s="2" t="str">
        <f>IF(DAY(B376)&gt;15,MONTH(B376)&amp;"-C",MONTH(B376)&amp;"-N")</f>
        <v>10-C</v>
      </c>
      <c r="W376" s="21">
        <v>3.24</v>
      </c>
      <c r="X376" s="2" t="b">
        <f t="shared" ref="X376:X380" si="229">+L376=W376</f>
        <v>1</v>
      </c>
    </row>
    <row r="377" spans="2:24" x14ac:dyDescent="0.2">
      <c r="B377" s="17">
        <v>44131</v>
      </c>
      <c r="C377" s="10" t="s">
        <v>80</v>
      </c>
      <c r="D377" s="11" t="s">
        <v>974</v>
      </c>
      <c r="E377" s="26">
        <v>54989</v>
      </c>
      <c r="F377" s="10" t="s">
        <v>26</v>
      </c>
      <c r="G377" s="10" t="s">
        <v>27</v>
      </c>
      <c r="H377" s="27" t="s">
        <v>28</v>
      </c>
      <c r="I377" s="12"/>
      <c r="J377" s="12"/>
      <c r="K377" s="13">
        <v>3600</v>
      </c>
      <c r="L377" s="21">
        <v>3.24</v>
      </c>
      <c r="M377" s="14" t="s">
        <v>14</v>
      </c>
      <c r="N377" s="13">
        <v>11664</v>
      </c>
      <c r="O377" s="15">
        <f t="shared" si="228"/>
        <v>0</v>
      </c>
      <c r="P377" s="10" t="s">
        <v>78</v>
      </c>
      <c r="Q377" s="11" t="s">
        <v>982</v>
      </c>
      <c r="R377" s="11" t="s">
        <v>983</v>
      </c>
      <c r="S377" s="16" t="s">
        <v>981</v>
      </c>
      <c r="T377" s="19" t="str">
        <f>MONTH(B377)&amp;"-"&amp;YEAR(B377)</f>
        <v>10-2020</v>
      </c>
      <c r="U377" s="2">
        <f>YEAR(B377)</f>
        <v>2020</v>
      </c>
      <c r="V377" s="2" t="str">
        <f>IF(DAY(B377)&gt;15,MONTH(B377)&amp;"-C",MONTH(B377)&amp;"-N")</f>
        <v>10-C</v>
      </c>
      <c r="W377" s="21">
        <v>3.24</v>
      </c>
      <c r="X377" s="2" t="b">
        <f t="shared" si="229"/>
        <v>1</v>
      </c>
    </row>
    <row r="378" spans="2:24" x14ac:dyDescent="0.2">
      <c r="B378" s="17">
        <v>44132</v>
      </c>
      <c r="C378" s="10" t="s">
        <v>80</v>
      </c>
      <c r="D378" s="11" t="s">
        <v>974</v>
      </c>
      <c r="E378" s="26">
        <v>55018</v>
      </c>
      <c r="F378" s="10" t="s">
        <v>26</v>
      </c>
      <c r="G378" s="10" t="s">
        <v>27</v>
      </c>
      <c r="H378" s="27" t="s">
        <v>28</v>
      </c>
      <c r="I378" s="12"/>
      <c r="J378" s="12"/>
      <c r="K378" s="13">
        <v>3600</v>
      </c>
      <c r="L378" s="21">
        <v>3.24</v>
      </c>
      <c r="M378" s="14" t="s">
        <v>14</v>
      </c>
      <c r="N378" s="13">
        <v>11664</v>
      </c>
      <c r="O378" s="15">
        <f t="shared" si="228"/>
        <v>0</v>
      </c>
      <c r="P378" s="10" t="s">
        <v>78</v>
      </c>
      <c r="Q378" s="11" t="s">
        <v>985</v>
      </c>
      <c r="R378" s="11" t="s">
        <v>986</v>
      </c>
      <c r="S378" s="16" t="s">
        <v>984</v>
      </c>
      <c r="T378" s="19" t="str">
        <f>MONTH(B378)&amp;"-"&amp;YEAR(B378)</f>
        <v>10-2020</v>
      </c>
      <c r="U378" s="2">
        <f>YEAR(B378)</f>
        <v>2020</v>
      </c>
      <c r="V378" s="2" t="str">
        <f>IF(DAY(B378)&gt;15,MONTH(B378)&amp;"-C",MONTH(B378)&amp;"-N")</f>
        <v>10-C</v>
      </c>
      <c r="W378" s="21">
        <v>3.24</v>
      </c>
      <c r="X378" s="2" t="b">
        <f t="shared" si="229"/>
        <v>1</v>
      </c>
    </row>
    <row r="379" spans="2:24" x14ac:dyDescent="0.2">
      <c r="B379" s="17">
        <v>44132</v>
      </c>
      <c r="C379" s="10" t="s">
        <v>80</v>
      </c>
      <c r="D379" s="11" t="s">
        <v>974</v>
      </c>
      <c r="E379" s="26">
        <v>55019</v>
      </c>
      <c r="F379" s="10" t="s">
        <v>26</v>
      </c>
      <c r="G379" s="10" t="s">
        <v>27</v>
      </c>
      <c r="H379" s="27" t="s">
        <v>28</v>
      </c>
      <c r="I379" s="12"/>
      <c r="J379" s="12"/>
      <c r="K379" s="13">
        <v>1800</v>
      </c>
      <c r="L379" s="21">
        <v>3.24</v>
      </c>
      <c r="M379" s="14" t="s">
        <v>14</v>
      </c>
      <c r="N379" s="13">
        <v>5832</v>
      </c>
      <c r="O379" s="15">
        <f t="shared" si="228"/>
        <v>0</v>
      </c>
      <c r="P379" s="10" t="s">
        <v>78</v>
      </c>
      <c r="Q379" s="11" t="s">
        <v>988</v>
      </c>
      <c r="R379" s="11" t="s">
        <v>989</v>
      </c>
      <c r="S379" s="16" t="s">
        <v>987</v>
      </c>
      <c r="T379" s="19" t="str">
        <f>MONTH(B379)&amp;"-"&amp;YEAR(B379)</f>
        <v>10-2020</v>
      </c>
      <c r="U379" s="2">
        <f>YEAR(B379)</f>
        <v>2020</v>
      </c>
      <c r="V379" s="2" t="str">
        <f>IF(DAY(B379)&gt;15,MONTH(B379)&amp;"-C",MONTH(B379)&amp;"-N")</f>
        <v>10-C</v>
      </c>
      <c r="W379" s="21">
        <v>3.24</v>
      </c>
      <c r="X379" s="2" t="b">
        <f t="shared" si="229"/>
        <v>1</v>
      </c>
    </row>
    <row r="380" spans="2:24" x14ac:dyDescent="0.2">
      <c r="B380" s="17">
        <v>44132</v>
      </c>
      <c r="C380" s="10" t="s">
        <v>80</v>
      </c>
      <c r="D380" s="11" t="s">
        <v>974</v>
      </c>
      <c r="E380" s="26">
        <v>55017</v>
      </c>
      <c r="F380" s="10" t="s">
        <v>26</v>
      </c>
      <c r="G380" s="10" t="s">
        <v>27</v>
      </c>
      <c r="H380" s="27" t="s">
        <v>28</v>
      </c>
      <c r="I380" s="12"/>
      <c r="J380" s="12"/>
      <c r="K380" s="13">
        <v>3600</v>
      </c>
      <c r="L380" s="21">
        <v>3.24</v>
      </c>
      <c r="M380" s="14" t="s">
        <v>14</v>
      </c>
      <c r="N380" s="13">
        <v>11664</v>
      </c>
      <c r="O380" s="15">
        <f t="shared" si="228"/>
        <v>0</v>
      </c>
      <c r="P380" s="10" t="s">
        <v>78</v>
      </c>
      <c r="Q380" s="11" t="s">
        <v>991</v>
      </c>
      <c r="R380" s="11" t="s">
        <v>992</v>
      </c>
      <c r="S380" s="16" t="s">
        <v>990</v>
      </c>
      <c r="T380" s="19" t="str">
        <f>MONTH(B380)&amp;"-"&amp;YEAR(B380)</f>
        <v>10-2020</v>
      </c>
      <c r="U380" s="2">
        <f>YEAR(B380)</f>
        <v>2020</v>
      </c>
      <c r="V380" s="2" t="str">
        <f>IF(DAY(B380)&gt;15,MONTH(B380)&amp;"-C",MONTH(B380)&amp;"-N")</f>
        <v>10-C</v>
      </c>
      <c r="W380" s="21">
        <v>3.24</v>
      </c>
      <c r="X380" s="2" t="b">
        <f t="shared" si="229"/>
        <v>1</v>
      </c>
    </row>
    <row r="381" spans="2:24" x14ac:dyDescent="0.2">
      <c r="B381" s="17">
        <v>44139</v>
      </c>
      <c r="C381" s="10" t="s">
        <v>88</v>
      </c>
      <c r="D381" s="11" t="s">
        <v>993</v>
      </c>
      <c r="E381" s="26">
        <v>55070</v>
      </c>
      <c r="F381" s="10" t="s">
        <v>98</v>
      </c>
      <c r="G381" s="10" t="s">
        <v>46</v>
      </c>
      <c r="H381" s="27" t="s">
        <v>99</v>
      </c>
      <c r="I381" s="12"/>
      <c r="J381" s="12"/>
      <c r="K381" s="13">
        <v>18</v>
      </c>
      <c r="L381" s="21">
        <v>11.15</v>
      </c>
      <c r="M381" s="14" t="s">
        <v>14</v>
      </c>
      <c r="N381" s="13">
        <v>200.7</v>
      </c>
      <c r="O381" s="15">
        <f t="shared" ref="O381:O390" si="230">(N381/K381)-L381</f>
        <v>0</v>
      </c>
      <c r="P381" s="10" t="s">
        <v>84</v>
      </c>
      <c r="Q381" s="11" t="s">
        <v>995</v>
      </c>
      <c r="R381" s="11" t="s">
        <v>996</v>
      </c>
      <c r="S381" s="16" t="s">
        <v>994</v>
      </c>
      <c r="T381" s="19" t="str">
        <f>MONTH(B381)&amp;"-"&amp;YEAR(B381)</f>
        <v>11-2020</v>
      </c>
      <c r="U381" s="2">
        <f>YEAR(B381)</f>
        <v>2020</v>
      </c>
      <c r="V381" s="2" t="str">
        <f>IF(DAY(B381)&gt;15,MONTH(B381)&amp;"-C",MONTH(B381)&amp;"-N")</f>
        <v>11-N</v>
      </c>
      <c r="W381" s="21">
        <v>11.15</v>
      </c>
      <c r="X381" s="2" t="b">
        <f t="shared" ref="X381:X390" si="231">+L381=W381</f>
        <v>1</v>
      </c>
    </row>
    <row r="382" spans="2:24" x14ac:dyDescent="0.2">
      <c r="B382" s="17">
        <v>44139</v>
      </c>
      <c r="C382" s="10" t="s">
        <v>88</v>
      </c>
      <c r="D382" s="11" t="s">
        <v>993</v>
      </c>
      <c r="E382" s="26">
        <v>55070</v>
      </c>
      <c r="F382" s="10" t="s">
        <v>100</v>
      </c>
      <c r="G382" s="10" t="s">
        <v>46</v>
      </c>
      <c r="H382" s="27" t="s">
        <v>101</v>
      </c>
      <c r="I382" s="12"/>
      <c r="J382" s="12"/>
      <c r="K382" s="13">
        <v>875</v>
      </c>
      <c r="L382" s="21">
        <v>11.15</v>
      </c>
      <c r="M382" s="14" t="s">
        <v>14</v>
      </c>
      <c r="N382" s="13">
        <v>9756.25</v>
      </c>
      <c r="O382" s="15">
        <f t="shared" si="230"/>
        <v>0</v>
      </c>
      <c r="P382" s="10" t="s">
        <v>84</v>
      </c>
      <c r="Q382" s="11" t="s">
        <v>995</v>
      </c>
      <c r="R382" s="11" t="s">
        <v>996</v>
      </c>
      <c r="S382" s="16" t="s">
        <v>994</v>
      </c>
      <c r="T382" s="19" t="str">
        <f>MONTH(B382)&amp;"-"&amp;YEAR(B382)</f>
        <v>11-2020</v>
      </c>
      <c r="U382" s="2">
        <f>YEAR(B382)</f>
        <v>2020</v>
      </c>
      <c r="V382" s="2" t="str">
        <f>IF(DAY(B382)&gt;15,MONTH(B382)&amp;"-C",MONTH(B382)&amp;"-N")</f>
        <v>11-N</v>
      </c>
      <c r="W382" s="21">
        <v>11.15</v>
      </c>
      <c r="X382" s="2" t="b">
        <f t="shared" si="231"/>
        <v>1</v>
      </c>
    </row>
    <row r="383" spans="2:24" x14ac:dyDescent="0.2">
      <c r="B383" s="17">
        <v>44139</v>
      </c>
      <c r="C383" s="10" t="s">
        <v>80</v>
      </c>
      <c r="D383" s="11" t="s">
        <v>997</v>
      </c>
      <c r="E383" s="26">
        <v>55068</v>
      </c>
      <c r="F383" s="10" t="s">
        <v>26</v>
      </c>
      <c r="G383" s="10" t="s">
        <v>27</v>
      </c>
      <c r="H383" s="27" t="s">
        <v>28</v>
      </c>
      <c r="I383" s="12"/>
      <c r="J383" s="12"/>
      <c r="K383" s="13">
        <v>3600</v>
      </c>
      <c r="L383" s="21">
        <v>3.79</v>
      </c>
      <c r="M383" s="14" t="s">
        <v>14</v>
      </c>
      <c r="N383" s="13">
        <v>13644</v>
      </c>
      <c r="O383" s="15">
        <f t="shared" si="230"/>
        <v>0</v>
      </c>
      <c r="P383" s="10" t="s">
        <v>78</v>
      </c>
      <c r="Q383" s="11" t="s">
        <v>999</v>
      </c>
      <c r="R383" s="11" t="s">
        <v>1000</v>
      </c>
      <c r="S383" s="16" t="s">
        <v>998</v>
      </c>
      <c r="T383" s="19" t="str">
        <f>MONTH(B383)&amp;"-"&amp;YEAR(B383)</f>
        <v>11-2020</v>
      </c>
      <c r="U383" s="2">
        <f>YEAR(B383)</f>
        <v>2020</v>
      </c>
      <c r="V383" s="2" t="str">
        <f>IF(DAY(B383)&gt;15,MONTH(B383)&amp;"-C",MONTH(B383)&amp;"-N")</f>
        <v>11-N</v>
      </c>
      <c r="W383" s="21">
        <v>3.79</v>
      </c>
      <c r="X383" s="2" t="b">
        <f t="shared" si="231"/>
        <v>1</v>
      </c>
    </row>
    <row r="384" spans="2:24" x14ac:dyDescent="0.2">
      <c r="B384" s="17">
        <v>44139</v>
      </c>
      <c r="C384" s="10" t="s">
        <v>80</v>
      </c>
      <c r="D384" s="11" t="s">
        <v>997</v>
      </c>
      <c r="E384" s="26">
        <v>55069</v>
      </c>
      <c r="F384" s="10" t="s">
        <v>26</v>
      </c>
      <c r="G384" s="10" t="s">
        <v>27</v>
      </c>
      <c r="H384" s="27" t="s">
        <v>28</v>
      </c>
      <c r="I384" s="12"/>
      <c r="J384" s="12"/>
      <c r="K384" s="13">
        <v>3600</v>
      </c>
      <c r="L384" s="21">
        <v>3.79</v>
      </c>
      <c r="M384" s="14" t="s">
        <v>14</v>
      </c>
      <c r="N384" s="13">
        <v>13644</v>
      </c>
      <c r="O384" s="15">
        <f t="shared" si="230"/>
        <v>0</v>
      </c>
      <c r="P384" s="10" t="s">
        <v>78</v>
      </c>
      <c r="Q384" s="11" t="s">
        <v>1002</v>
      </c>
      <c r="R384" s="11" t="s">
        <v>1003</v>
      </c>
      <c r="S384" s="16" t="s">
        <v>1001</v>
      </c>
      <c r="T384" s="19" t="str">
        <f>MONTH(B384)&amp;"-"&amp;YEAR(B384)</f>
        <v>11-2020</v>
      </c>
      <c r="U384" s="2">
        <f>YEAR(B384)</f>
        <v>2020</v>
      </c>
      <c r="V384" s="2" t="str">
        <f>IF(DAY(B384)&gt;15,MONTH(B384)&amp;"-C",MONTH(B384)&amp;"-N")</f>
        <v>11-N</v>
      </c>
      <c r="W384" s="21">
        <v>3.79</v>
      </c>
      <c r="X384" s="2" t="b">
        <f t="shared" si="231"/>
        <v>1</v>
      </c>
    </row>
    <row r="385" spans="2:24" x14ac:dyDescent="0.2">
      <c r="B385" s="17">
        <v>44140</v>
      </c>
      <c r="C385" s="10" t="s">
        <v>88</v>
      </c>
      <c r="D385" s="11" t="s">
        <v>993</v>
      </c>
      <c r="E385" s="26">
        <v>55080</v>
      </c>
      <c r="F385" s="10" t="s">
        <v>98</v>
      </c>
      <c r="G385" s="10" t="s">
        <v>46</v>
      </c>
      <c r="H385" s="27" t="s">
        <v>99</v>
      </c>
      <c r="I385" s="12"/>
      <c r="J385" s="12"/>
      <c r="K385" s="13">
        <v>22</v>
      </c>
      <c r="L385" s="21">
        <v>11.15</v>
      </c>
      <c r="M385" s="14" t="s">
        <v>14</v>
      </c>
      <c r="N385" s="13">
        <v>245.3</v>
      </c>
      <c r="O385" s="15">
        <f t="shared" si="230"/>
        <v>0</v>
      </c>
      <c r="P385" s="10" t="s">
        <v>84</v>
      </c>
      <c r="Q385" s="11" t="s">
        <v>1005</v>
      </c>
      <c r="R385" s="11" t="s">
        <v>1006</v>
      </c>
      <c r="S385" s="16" t="s">
        <v>1004</v>
      </c>
      <c r="T385" s="19" t="str">
        <f>MONTH(B385)&amp;"-"&amp;YEAR(B385)</f>
        <v>11-2020</v>
      </c>
      <c r="U385" s="2">
        <f>YEAR(B385)</f>
        <v>2020</v>
      </c>
      <c r="V385" s="2" t="str">
        <f>IF(DAY(B385)&gt;15,MONTH(B385)&amp;"-C",MONTH(B385)&amp;"-N")</f>
        <v>11-N</v>
      </c>
      <c r="W385" s="21">
        <v>11.15</v>
      </c>
      <c r="X385" s="2" t="b">
        <f t="shared" si="231"/>
        <v>1</v>
      </c>
    </row>
    <row r="386" spans="2:24" x14ac:dyDescent="0.2">
      <c r="B386" s="17">
        <v>44140</v>
      </c>
      <c r="C386" s="10" t="s">
        <v>88</v>
      </c>
      <c r="D386" s="11" t="s">
        <v>993</v>
      </c>
      <c r="E386" s="26">
        <v>55080</v>
      </c>
      <c r="F386" s="10" t="s">
        <v>100</v>
      </c>
      <c r="G386" s="10" t="s">
        <v>46</v>
      </c>
      <c r="H386" s="27" t="s">
        <v>101</v>
      </c>
      <c r="I386" s="12"/>
      <c r="J386" s="12"/>
      <c r="K386" s="13">
        <v>1125</v>
      </c>
      <c r="L386" s="21">
        <v>11.15</v>
      </c>
      <c r="M386" s="14" t="s">
        <v>14</v>
      </c>
      <c r="N386" s="13">
        <v>12543.75</v>
      </c>
      <c r="O386" s="15">
        <f t="shared" si="230"/>
        <v>0</v>
      </c>
      <c r="P386" s="10" t="s">
        <v>84</v>
      </c>
      <c r="Q386" s="11" t="s">
        <v>1005</v>
      </c>
      <c r="R386" s="11" t="s">
        <v>1006</v>
      </c>
      <c r="S386" s="16" t="s">
        <v>1004</v>
      </c>
      <c r="T386" s="19" t="str">
        <f>MONTH(B386)&amp;"-"&amp;YEAR(B386)</f>
        <v>11-2020</v>
      </c>
      <c r="U386" s="2">
        <f>YEAR(B386)</f>
        <v>2020</v>
      </c>
      <c r="V386" s="2" t="str">
        <f>IF(DAY(B386)&gt;15,MONTH(B386)&amp;"-C",MONTH(B386)&amp;"-N")</f>
        <v>11-N</v>
      </c>
      <c r="W386" s="21">
        <v>11.15</v>
      </c>
      <c r="X386" s="2" t="b">
        <f t="shared" si="231"/>
        <v>1</v>
      </c>
    </row>
    <row r="387" spans="2:24" x14ac:dyDescent="0.2">
      <c r="B387" s="17">
        <v>44140</v>
      </c>
      <c r="C387" s="10" t="s">
        <v>80</v>
      </c>
      <c r="D387" s="11" t="s">
        <v>997</v>
      </c>
      <c r="E387" s="26">
        <v>55082</v>
      </c>
      <c r="F387" s="10" t="s">
        <v>26</v>
      </c>
      <c r="G387" s="10" t="s">
        <v>27</v>
      </c>
      <c r="H387" s="27" t="s">
        <v>28</v>
      </c>
      <c r="I387" s="12"/>
      <c r="J387" s="12"/>
      <c r="K387" s="13">
        <v>3600</v>
      </c>
      <c r="L387" s="21">
        <v>3.79</v>
      </c>
      <c r="M387" s="14" t="s">
        <v>14</v>
      </c>
      <c r="N387" s="13">
        <v>13644</v>
      </c>
      <c r="O387" s="15">
        <f t="shared" si="230"/>
        <v>0</v>
      </c>
      <c r="P387" s="10" t="s">
        <v>78</v>
      </c>
      <c r="Q387" s="11" t="s">
        <v>1008</v>
      </c>
      <c r="R387" s="11" t="s">
        <v>1009</v>
      </c>
      <c r="S387" s="16" t="s">
        <v>1007</v>
      </c>
      <c r="T387" s="19" t="str">
        <f>MONTH(B387)&amp;"-"&amp;YEAR(B387)</f>
        <v>11-2020</v>
      </c>
      <c r="U387" s="2">
        <f>YEAR(B387)</f>
        <v>2020</v>
      </c>
      <c r="V387" s="2" t="str">
        <f>IF(DAY(B387)&gt;15,MONTH(B387)&amp;"-C",MONTH(B387)&amp;"-N")</f>
        <v>11-N</v>
      </c>
      <c r="W387" s="21">
        <v>3.79</v>
      </c>
      <c r="X387" s="2" t="b">
        <f t="shared" si="231"/>
        <v>1</v>
      </c>
    </row>
    <row r="388" spans="2:24" x14ac:dyDescent="0.2">
      <c r="B388" s="17">
        <v>44140</v>
      </c>
      <c r="C388" s="10" t="s">
        <v>80</v>
      </c>
      <c r="D388" s="11" t="s">
        <v>997</v>
      </c>
      <c r="E388" s="26">
        <v>55083</v>
      </c>
      <c r="F388" s="10" t="s">
        <v>26</v>
      </c>
      <c r="G388" s="10" t="s">
        <v>27</v>
      </c>
      <c r="H388" s="27" t="s">
        <v>28</v>
      </c>
      <c r="I388" s="12"/>
      <c r="J388" s="12"/>
      <c r="K388" s="13">
        <v>3600</v>
      </c>
      <c r="L388" s="21">
        <v>3.79</v>
      </c>
      <c r="M388" s="14" t="s">
        <v>14</v>
      </c>
      <c r="N388" s="13">
        <v>13644</v>
      </c>
      <c r="O388" s="15">
        <f t="shared" si="230"/>
        <v>0</v>
      </c>
      <c r="P388" s="10" t="s">
        <v>78</v>
      </c>
      <c r="Q388" s="11" t="s">
        <v>1011</v>
      </c>
      <c r="R388" s="11" t="s">
        <v>1012</v>
      </c>
      <c r="S388" s="16" t="s">
        <v>1010</v>
      </c>
      <c r="T388" s="19" t="str">
        <f>MONTH(B388)&amp;"-"&amp;YEAR(B388)</f>
        <v>11-2020</v>
      </c>
      <c r="U388" s="2">
        <f>YEAR(B388)</f>
        <v>2020</v>
      </c>
      <c r="V388" s="2" t="str">
        <f>IF(DAY(B388)&gt;15,MONTH(B388)&amp;"-C",MONTH(B388)&amp;"-N")</f>
        <v>11-N</v>
      </c>
      <c r="W388" s="21">
        <v>3.79</v>
      </c>
      <c r="X388" s="2" t="b">
        <f t="shared" si="231"/>
        <v>1</v>
      </c>
    </row>
    <row r="389" spans="2:24" x14ac:dyDescent="0.2">
      <c r="B389" s="17">
        <v>44140</v>
      </c>
      <c r="C389" s="10" t="s">
        <v>80</v>
      </c>
      <c r="D389" s="11" t="s">
        <v>997</v>
      </c>
      <c r="E389" s="26">
        <v>55084</v>
      </c>
      <c r="F389" s="10" t="s">
        <v>26</v>
      </c>
      <c r="G389" s="10" t="s">
        <v>27</v>
      </c>
      <c r="H389" s="27" t="s">
        <v>28</v>
      </c>
      <c r="I389" s="12"/>
      <c r="J389" s="12"/>
      <c r="K389" s="13">
        <v>3600</v>
      </c>
      <c r="L389" s="21">
        <v>3.79</v>
      </c>
      <c r="M389" s="14" t="s">
        <v>14</v>
      </c>
      <c r="N389" s="13">
        <v>13644</v>
      </c>
      <c r="O389" s="15">
        <f t="shared" si="230"/>
        <v>0</v>
      </c>
      <c r="P389" s="10" t="s">
        <v>78</v>
      </c>
      <c r="Q389" s="11" t="s">
        <v>1014</v>
      </c>
      <c r="R389" s="11" t="s">
        <v>1015</v>
      </c>
      <c r="S389" s="16" t="s">
        <v>1013</v>
      </c>
      <c r="T389" s="19" t="str">
        <f>MONTH(B389)&amp;"-"&amp;YEAR(B389)</f>
        <v>11-2020</v>
      </c>
      <c r="U389" s="2">
        <f>YEAR(B389)</f>
        <v>2020</v>
      </c>
      <c r="V389" s="2" t="str">
        <f>IF(DAY(B389)&gt;15,MONTH(B389)&amp;"-C",MONTH(B389)&amp;"-N")</f>
        <v>11-N</v>
      </c>
      <c r="W389" s="21">
        <v>3.79</v>
      </c>
      <c r="X389" s="2" t="b">
        <f t="shared" si="231"/>
        <v>1</v>
      </c>
    </row>
    <row r="390" spans="2:24" x14ac:dyDescent="0.2">
      <c r="B390" s="17">
        <v>44142</v>
      </c>
      <c r="C390" s="10" t="s">
        <v>80</v>
      </c>
      <c r="D390" s="11" t="s">
        <v>997</v>
      </c>
      <c r="E390" s="26">
        <v>55087</v>
      </c>
      <c r="F390" s="10" t="s">
        <v>26</v>
      </c>
      <c r="G390" s="10" t="s">
        <v>27</v>
      </c>
      <c r="H390" s="27" t="s">
        <v>28</v>
      </c>
      <c r="I390" s="12"/>
      <c r="J390" s="12"/>
      <c r="K390" s="13">
        <v>1800</v>
      </c>
      <c r="L390" s="21">
        <v>3.79</v>
      </c>
      <c r="M390" s="14" t="s">
        <v>14</v>
      </c>
      <c r="N390" s="13">
        <v>6822</v>
      </c>
      <c r="O390" s="15">
        <f t="shared" si="230"/>
        <v>0</v>
      </c>
      <c r="P390" s="10" t="s">
        <v>78</v>
      </c>
      <c r="Q390" s="11" t="s">
        <v>1017</v>
      </c>
      <c r="R390" s="11" t="s">
        <v>1018</v>
      </c>
      <c r="S390" s="16" t="s">
        <v>1016</v>
      </c>
      <c r="T390" s="19" t="str">
        <f>MONTH(B390)&amp;"-"&amp;YEAR(B390)</f>
        <v>11-2020</v>
      </c>
      <c r="U390" s="2">
        <f>YEAR(B390)</f>
        <v>2020</v>
      </c>
      <c r="V390" s="2" t="str">
        <f>IF(DAY(B390)&gt;15,MONTH(B390)&amp;"-C",MONTH(B390)&amp;"-N")</f>
        <v>11-N</v>
      </c>
      <c r="W390" s="21">
        <v>3.79</v>
      </c>
      <c r="X390" s="2" t="b">
        <f t="shared" si="231"/>
        <v>1</v>
      </c>
    </row>
    <row r="391" spans="2:24" x14ac:dyDescent="0.2">
      <c r="B391" s="17">
        <v>44143</v>
      </c>
      <c r="C391" s="10" t="s">
        <v>48</v>
      </c>
      <c r="D391" s="11" t="s">
        <v>552</v>
      </c>
      <c r="E391" s="26">
        <v>55116</v>
      </c>
      <c r="F391" s="10" t="s">
        <v>71</v>
      </c>
      <c r="G391" s="10" t="s">
        <v>46</v>
      </c>
      <c r="H391" s="27" t="s">
        <v>72</v>
      </c>
      <c r="I391" s="12"/>
      <c r="J391" s="12"/>
      <c r="K391" s="13">
        <v>16000</v>
      </c>
      <c r="L391" s="21">
        <v>10.253</v>
      </c>
      <c r="M391" s="14" t="s">
        <v>14</v>
      </c>
      <c r="N391" s="13">
        <v>164044.79999999999</v>
      </c>
      <c r="O391" s="15">
        <f t="shared" ref="O391:O393" si="232">(N391/K391)-L391</f>
        <v>-2.0000000000131024E-4</v>
      </c>
      <c r="P391" s="10" t="s">
        <v>90</v>
      </c>
      <c r="Q391" s="11" t="s">
        <v>1020</v>
      </c>
      <c r="R391" s="11" t="s">
        <v>1021</v>
      </c>
      <c r="S391" s="16" t="s">
        <v>1019</v>
      </c>
      <c r="T391" s="19" t="str">
        <f>MONTH(B391)&amp;"-"&amp;YEAR(B391)</f>
        <v>11-2020</v>
      </c>
      <c r="U391" s="2">
        <f>YEAR(B391)</f>
        <v>2020</v>
      </c>
      <c r="V391" s="2" t="str">
        <f>IF(DAY(B391)&gt;15,MONTH(B391)&amp;"-C",MONTH(B391)&amp;"-N")</f>
        <v>11-N</v>
      </c>
      <c r="W391" s="21">
        <v>10.253</v>
      </c>
      <c r="X391" s="2" t="b">
        <f t="shared" ref="X391:X393" si="233">+L391=W391</f>
        <v>1</v>
      </c>
    </row>
    <row r="392" spans="2:24" x14ac:dyDescent="0.2">
      <c r="B392" s="17">
        <v>44143</v>
      </c>
      <c r="C392" s="10" t="s">
        <v>108</v>
      </c>
      <c r="D392" s="11" t="s">
        <v>1022</v>
      </c>
      <c r="E392" s="26">
        <v>55098</v>
      </c>
      <c r="F392" s="10" t="s">
        <v>121</v>
      </c>
      <c r="G392" s="10" t="s">
        <v>46</v>
      </c>
      <c r="H392" s="27" t="s">
        <v>122</v>
      </c>
      <c r="I392" s="12"/>
      <c r="J392" s="12"/>
      <c r="K392" s="13">
        <v>690</v>
      </c>
      <c r="L392" s="21">
        <v>9.5500000000000007</v>
      </c>
      <c r="M392" s="14" t="s">
        <v>14</v>
      </c>
      <c r="N392" s="13">
        <v>6589.5</v>
      </c>
      <c r="O392" s="15">
        <f t="shared" si="232"/>
        <v>0</v>
      </c>
      <c r="P392" s="10" t="s">
        <v>84</v>
      </c>
      <c r="Q392" s="11" t="s">
        <v>1024</v>
      </c>
      <c r="R392" s="11" t="s">
        <v>1025</v>
      </c>
      <c r="S392" s="16" t="s">
        <v>1023</v>
      </c>
      <c r="T392" s="19" t="str">
        <f>MONTH(B392)&amp;"-"&amp;YEAR(B392)</f>
        <v>11-2020</v>
      </c>
      <c r="U392" s="2">
        <f>YEAR(B392)</f>
        <v>2020</v>
      </c>
      <c r="V392" s="2" t="str">
        <f>IF(DAY(B392)&gt;15,MONTH(B392)&amp;"-C",MONTH(B392)&amp;"-N")</f>
        <v>11-N</v>
      </c>
      <c r="W392" s="21">
        <v>9.5500000000000007</v>
      </c>
      <c r="X392" s="2" t="b">
        <f t="shared" si="233"/>
        <v>1</v>
      </c>
    </row>
    <row r="393" spans="2:24" x14ac:dyDescent="0.2">
      <c r="B393" s="17">
        <v>44143</v>
      </c>
      <c r="C393" s="10" t="s">
        <v>108</v>
      </c>
      <c r="D393" s="11" t="s">
        <v>1022</v>
      </c>
      <c r="E393" s="26">
        <v>55098</v>
      </c>
      <c r="F393" s="10" t="s">
        <v>123</v>
      </c>
      <c r="G393" s="10" t="s">
        <v>46</v>
      </c>
      <c r="H393" s="27" t="s">
        <v>124</v>
      </c>
      <c r="I393" s="12"/>
      <c r="J393" s="12"/>
      <c r="K393" s="13">
        <v>1150</v>
      </c>
      <c r="L393" s="21">
        <v>12.16</v>
      </c>
      <c r="M393" s="14" t="s">
        <v>14</v>
      </c>
      <c r="N393" s="13">
        <v>13984</v>
      </c>
      <c r="O393" s="15">
        <f t="shared" si="232"/>
        <v>0</v>
      </c>
      <c r="P393" s="10" t="s">
        <v>84</v>
      </c>
      <c r="Q393" s="11" t="s">
        <v>1024</v>
      </c>
      <c r="R393" s="11" t="s">
        <v>1025</v>
      </c>
      <c r="S393" s="16" t="s">
        <v>1023</v>
      </c>
      <c r="T393" s="19" t="str">
        <f>MONTH(B393)&amp;"-"&amp;YEAR(B393)</f>
        <v>11-2020</v>
      </c>
      <c r="U393" s="2">
        <f>YEAR(B393)</f>
        <v>2020</v>
      </c>
      <c r="V393" s="2" t="str">
        <f>IF(DAY(B393)&gt;15,MONTH(B393)&amp;"-C",MONTH(B393)&amp;"-N")</f>
        <v>11-N</v>
      </c>
      <c r="W393" s="21">
        <v>12.16</v>
      </c>
      <c r="X393" s="2" t="b">
        <f t="shared" si="233"/>
        <v>1</v>
      </c>
    </row>
    <row r="394" spans="2:24" x14ac:dyDescent="0.2">
      <c r="B394" s="17">
        <v>44147</v>
      </c>
      <c r="C394" s="10" t="s">
        <v>80</v>
      </c>
      <c r="D394" s="11">
        <v>159103</v>
      </c>
      <c r="E394" s="26">
        <v>55152</v>
      </c>
      <c r="F394" s="10" t="s">
        <v>26</v>
      </c>
      <c r="G394" s="10" t="s">
        <v>27</v>
      </c>
      <c r="H394" s="27" t="s">
        <v>28</v>
      </c>
      <c r="I394" s="12"/>
      <c r="J394" s="12"/>
      <c r="K394" s="13">
        <v>3600</v>
      </c>
      <c r="L394" s="21">
        <v>3.8</v>
      </c>
      <c r="M394" s="14" t="s">
        <v>14</v>
      </c>
      <c r="N394" s="13">
        <v>13680</v>
      </c>
      <c r="O394" s="15">
        <f t="shared" ref="O394:O399" si="234">(N394/K394)-L394</f>
        <v>0</v>
      </c>
      <c r="P394" s="10" t="s">
        <v>78</v>
      </c>
      <c r="Q394" s="11" t="s">
        <v>1028</v>
      </c>
      <c r="R394" s="11" t="s">
        <v>1029</v>
      </c>
      <c r="S394" s="16" t="s">
        <v>1027</v>
      </c>
      <c r="T394" s="19" t="str">
        <f>MONTH(B394)&amp;"-"&amp;YEAR(B394)</f>
        <v>11-2020</v>
      </c>
      <c r="U394" s="2">
        <f>YEAR(B394)</f>
        <v>2020</v>
      </c>
      <c r="V394" s="2" t="str">
        <f>IF(DAY(B394)&gt;15,MONTH(B394)&amp;"-C",MONTH(B394)&amp;"-N")</f>
        <v>11-N</v>
      </c>
      <c r="W394" s="21">
        <v>3.8</v>
      </c>
      <c r="X394" s="2" t="b">
        <f t="shared" ref="X394:X399" si="235">+L394=W394</f>
        <v>1</v>
      </c>
    </row>
    <row r="395" spans="2:24" x14ac:dyDescent="0.2">
      <c r="B395" s="17">
        <v>44147</v>
      </c>
      <c r="C395" s="10" t="s">
        <v>80</v>
      </c>
      <c r="D395" s="11">
        <v>159103</v>
      </c>
      <c r="E395" s="26">
        <v>55153</v>
      </c>
      <c r="F395" s="10" t="s">
        <v>26</v>
      </c>
      <c r="G395" s="10" t="s">
        <v>27</v>
      </c>
      <c r="H395" s="27" t="s">
        <v>28</v>
      </c>
      <c r="I395" s="12"/>
      <c r="J395" s="12"/>
      <c r="K395" s="13">
        <v>3600</v>
      </c>
      <c r="L395" s="21">
        <v>3.8</v>
      </c>
      <c r="M395" s="14" t="s">
        <v>14</v>
      </c>
      <c r="N395" s="13">
        <v>13680</v>
      </c>
      <c r="O395" s="15">
        <f t="shared" si="234"/>
        <v>0</v>
      </c>
      <c r="P395" s="10" t="s">
        <v>78</v>
      </c>
      <c r="Q395" s="11" t="s">
        <v>1031</v>
      </c>
      <c r="R395" s="11" t="s">
        <v>1032</v>
      </c>
      <c r="S395" s="16" t="s">
        <v>1030</v>
      </c>
      <c r="T395" s="19" t="str">
        <f>MONTH(B395)&amp;"-"&amp;YEAR(B395)</f>
        <v>11-2020</v>
      </c>
      <c r="U395" s="2">
        <f>YEAR(B395)</f>
        <v>2020</v>
      </c>
      <c r="V395" s="2" t="str">
        <f>IF(DAY(B395)&gt;15,MONTH(B395)&amp;"-C",MONTH(B395)&amp;"-N")</f>
        <v>11-N</v>
      </c>
      <c r="W395" s="21">
        <v>3.8</v>
      </c>
      <c r="X395" s="2" t="b">
        <f t="shared" si="235"/>
        <v>1</v>
      </c>
    </row>
    <row r="396" spans="2:24" x14ac:dyDescent="0.2">
      <c r="B396" s="17">
        <v>44147</v>
      </c>
      <c r="C396" s="10" t="s">
        <v>82</v>
      </c>
      <c r="D396" s="11">
        <v>159106</v>
      </c>
      <c r="E396" s="26">
        <v>55154</v>
      </c>
      <c r="F396" s="10" t="s">
        <v>29</v>
      </c>
      <c r="G396" s="10" t="s">
        <v>27</v>
      </c>
      <c r="H396" s="27" t="s">
        <v>30</v>
      </c>
      <c r="I396" s="12"/>
      <c r="J396" s="12"/>
      <c r="K396" s="13">
        <v>1320</v>
      </c>
      <c r="L396" s="21">
        <v>3.5</v>
      </c>
      <c r="M396" s="14" t="s">
        <v>14</v>
      </c>
      <c r="N396" s="13">
        <v>4620</v>
      </c>
      <c r="O396" s="15">
        <f t="shared" si="234"/>
        <v>0</v>
      </c>
      <c r="P396" s="10" t="s">
        <v>78</v>
      </c>
      <c r="Q396" s="11" t="s">
        <v>1034</v>
      </c>
      <c r="R396" s="11" t="s">
        <v>1035</v>
      </c>
      <c r="S396" s="16" t="s">
        <v>1033</v>
      </c>
      <c r="T396" s="19" t="str">
        <f>MONTH(B396)&amp;"-"&amp;YEAR(B396)</f>
        <v>11-2020</v>
      </c>
      <c r="U396" s="2">
        <f>YEAR(B396)</f>
        <v>2020</v>
      </c>
      <c r="V396" s="2" t="str">
        <f>IF(DAY(B396)&gt;15,MONTH(B396)&amp;"-C",MONTH(B396)&amp;"-N")</f>
        <v>11-N</v>
      </c>
      <c r="W396" s="21">
        <v>3.5</v>
      </c>
      <c r="X396" s="2" t="b">
        <f t="shared" si="235"/>
        <v>1</v>
      </c>
    </row>
    <row r="397" spans="2:24" x14ac:dyDescent="0.2">
      <c r="B397" s="17">
        <v>44147</v>
      </c>
      <c r="C397" s="10" t="s">
        <v>82</v>
      </c>
      <c r="D397" s="11">
        <v>159106</v>
      </c>
      <c r="E397" s="26">
        <v>55154</v>
      </c>
      <c r="F397" s="10" t="s">
        <v>33</v>
      </c>
      <c r="G397" s="10" t="s">
        <v>27</v>
      </c>
      <c r="H397" s="27" t="s">
        <v>34</v>
      </c>
      <c r="I397" s="12"/>
      <c r="J397" s="12"/>
      <c r="K397" s="13">
        <v>720</v>
      </c>
      <c r="L397" s="21">
        <v>6.75</v>
      </c>
      <c r="M397" s="14" t="s">
        <v>14</v>
      </c>
      <c r="N397" s="13">
        <v>4860</v>
      </c>
      <c r="O397" s="15">
        <f t="shared" si="234"/>
        <v>0</v>
      </c>
      <c r="P397" s="10" t="s">
        <v>78</v>
      </c>
      <c r="Q397" s="11" t="s">
        <v>1034</v>
      </c>
      <c r="R397" s="11" t="s">
        <v>1035</v>
      </c>
      <c r="S397" s="16" t="s">
        <v>1033</v>
      </c>
      <c r="T397" s="19" t="str">
        <f>MONTH(B397)&amp;"-"&amp;YEAR(B397)</f>
        <v>11-2020</v>
      </c>
      <c r="U397" s="2">
        <f>YEAR(B397)</f>
        <v>2020</v>
      </c>
      <c r="V397" s="2" t="str">
        <f>IF(DAY(B397)&gt;15,MONTH(B397)&amp;"-C",MONTH(B397)&amp;"-N")</f>
        <v>11-N</v>
      </c>
      <c r="W397" s="21">
        <v>6.75</v>
      </c>
      <c r="X397" s="2" t="b">
        <f t="shared" si="235"/>
        <v>1</v>
      </c>
    </row>
    <row r="398" spans="2:24" x14ac:dyDescent="0.2">
      <c r="B398" s="17">
        <v>44148</v>
      </c>
      <c r="C398" s="10" t="s">
        <v>94</v>
      </c>
      <c r="D398" s="11">
        <v>158340</v>
      </c>
      <c r="E398" s="26">
        <v>55151</v>
      </c>
      <c r="F398" s="10" t="s">
        <v>26</v>
      </c>
      <c r="G398" s="10" t="s">
        <v>27</v>
      </c>
      <c r="H398" s="27" t="s">
        <v>28</v>
      </c>
      <c r="I398" s="12"/>
      <c r="J398" s="12"/>
      <c r="K398" s="13">
        <v>19800</v>
      </c>
      <c r="L398" s="21">
        <v>3.05</v>
      </c>
      <c r="M398" s="14" t="s">
        <v>14</v>
      </c>
      <c r="N398" s="13">
        <v>60390</v>
      </c>
      <c r="O398" s="15">
        <f t="shared" si="234"/>
        <v>0</v>
      </c>
      <c r="P398" s="10" t="s">
        <v>78</v>
      </c>
      <c r="Q398" s="11" t="s">
        <v>1037</v>
      </c>
      <c r="R398" s="11" t="s">
        <v>1038</v>
      </c>
      <c r="S398" s="16" t="s">
        <v>1036</v>
      </c>
      <c r="T398" s="19" t="str">
        <f>MONTH(B398)&amp;"-"&amp;YEAR(B398)</f>
        <v>11-2020</v>
      </c>
      <c r="U398" s="2">
        <f>YEAR(B398)</f>
        <v>2020</v>
      </c>
      <c r="V398" s="2" t="str">
        <f>IF(DAY(B398)&gt;15,MONTH(B398)&amp;"-C",MONTH(B398)&amp;"-N")</f>
        <v>11-N</v>
      </c>
      <c r="W398" s="21">
        <v>3.05</v>
      </c>
      <c r="X398" s="2" t="b">
        <f t="shared" si="235"/>
        <v>1</v>
      </c>
    </row>
    <row r="399" spans="2:24" x14ac:dyDescent="0.2">
      <c r="B399" s="17">
        <v>44149</v>
      </c>
      <c r="C399" s="10" t="s">
        <v>80</v>
      </c>
      <c r="D399" s="11">
        <v>159103</v>
      </c>
      <c r="E399" s="26">
        <v>55166</v>
      </c>
      <c r="F399" s="10" t="s">
        <v>26</v>
      </c>
      <c r="G399" s="10" t="s">
        <v>27</v>
      </c>
      <c r="H399" s="27" t="s">
        <v>28</v>
      </c>
      <c r="I399" s="12"/>
      <c r="J399" s="12"/>
      <c r="K399" s="13">
        <v>3600</v>
      </c>
      <c r="L399" s="21">
        <v>3.8</v>
      </c>
      <c r="M399" s="14" t="s">
        <v>14</v>
      </c>
      <c r="N399" s="13">
        <v>13680</v>
      </c>
      <c r="O399" s="15">
        <f t="shared" si="234"/>
        <v>0</v>
      </c>
      <c r="P399" s="10" t="s">
        <v>78</v>
      </c>
      <c r="Q399" s="11" t="s">
        <v>1040</v>
      </c>
      <c r="R399" s="11" t="s">
        <v>1041</v>
      </c>
      <c r="S399" s="16" t="s">
        <v>1039</v>
      </c>
      <c r="T399" s="19" t="str">
        <f>MONTH(B399)&amp;"-"&amp;YEAR(B399)</f>
        <v>11-2020</v>
      </c>
      <c r="U399" s="2">
        <f>YEAR(B399)</f>
        <v>2020</v>
      </c>
      <c r="V399" s="2" t="str">
        <f>IF(DAY(B399)&gt;15,MONTH(B399)&amp;"-C",MONTH(B399)&amp;"-N")</f>
        <v>11-N</v>
      </c>
      <c r="W399" s="21">
        <v>3.8</v>
      </c>
      <c r="X399" s="2" t="b">
        <f t="shared" si="235"/>
        <v>1</v>
      </c>
    </row>
    <row r="400" spans="2:24" x14ac:dyDescent="0.2">
      <c r="B400" s="17">
        <v>44150</v>
      </c>
      <c r="C400" s="10" t="s">
        <v>107</v>
      </c>
      <c r="D400" s="11">
        <v>159102</v>
      </c>
      <c r="E400" s="26">
        <v>55179</v>
      </c>
      <c r="F400" s="10" t="s">
        <v>103</v>
      </c>
      <c r="G400" s="10" t="s">
        <v>46</v>
      </c>
      <c r="H400" s="27" t="s">
        <v>104</v>
      </c>
      <c r="I400" s="12"/>
      <c r="J400" s="12"/>
      <c r="K400" s="13">
        <v>180</v>
      </c>
      <c r="L400" s="21">
        <v>37.200000000000003</v>
      </c>
      <c r="M400" s="14" t="s">
        <v>14</v>
      </c>
      <c r="N400" s="13">
        <v>6696</v>
      </c>
      <c r="O400" s="15">
        <f t="shared" ref="O400:O401" si="236">(N400/K400)-L400</f>
        <v>0</v>
      </c>
      <c r="P400" s="10" t="s">
        <v>84</v>
      </c>
      <c r="Q400" s="11" t="s">
        <v>1043</v>
      </c>
      <c r="R400" s="11" t="s">
        <v>1044</v>
      </c>
      <c r="S400" s="16" t="s">
        <v>1042</v>
      </c>
      <c r="T400" s="19" t="str">
        <f>MONTH(B400)&amp;"-"&amp;YEAR(B400)</f>
        <v>11-2020</v>
      </c>
      <c r="U400" s="2">
        <f>YEAR(B400)</f>
        <v>2020</v>
      </c>
      <c r="V400" s="2" t="str">
        <f>IF(DAY(B400)&gt;15,MONTH(B400)&amp;"-C",MONTH(B400)&amp;"-N")</f>
        <v>11-N</v>
      </c>
      <c r="W400" s="21">
        <v>37.200000000000003</v>
      </c>
      <c r="X400" s="2" t="b">
        <f t="shared" ref="X400:X401" si="237">+L400=W400</f>
        <v>1</v>
      </c>
    </row>
    <row r="401" spans="2:24" x14ac:dyDescent="0.2">
      <c r="B401" s="17">
        <v>44150</v>
      </c>
      <c r="C401" s="10" t="s">
        <v>107</v>
      </c>
      <c r="D401" s="11">
        <v>159102</v>
      </c>
      <c r="E401" s="26">
        <v>55179</v>
      </c>
      <c r="F401" s="10" t="s">
        <v>105</v>
      </c>
      <c r="G401" s="10" t="s">
        <v>46</v>
      </c>
      <c r="H401" s="27" t="s">
        <v>106</v>
      </c>
      <c r="I401" s="12"/>
      <c r="J401" s="12"/>
      <c r="K401" s="13">
        <v>5940</v>
      </c>
      <c r="L401" s="21">
        <v>12.3</v>
      </c>
      <c r="M401" s="14" t="s">
        <v>14</v>
      </c>
      <c r="N401" s="13">
        <v>73062</v>
      </c>
      <c r="O401" s="15">
        <f t="shared" si="236"/>
        <v>0</v>
      </c>
      <c r="P401" s="10" t="s">
        <v>84</v>
      </c>
      <c r="Q401" s="11" t="s">
        <v>1043</v>
      </c>
      <c r="R401" s="11" t="s">
        <v>1044</v>
      </c>
      <c r="S401" s="16" t="s">
        <v>1042</v>
      </c>
      <c r="T401" s="19" t="str">
        <f>MONTH(B401)&amp;"-"&amp;YEAR(B401)</f>
        <v>11-2020</v>
      </c>
      <c r="U401" s="2">
        <f>YEAR(B401)</f>
        <v>2020</v>
      </c>
      <c r="V401" s="2" t="str">
        <f>IF(DAY(B401)&gt;15,MONTH(B401)&amp;"-C",MONTH(B401)&amp;"-N")</f>
        <v>11-N</v>
      </c>
      <c r="W401" s="21">
        <v>12.3</v>
      </c>
      <c r="X401" s="2" t="b">
        <f t="shared" si="237"/>
        <v>1</v>
      </c>
    </row>
    <row r="402" spans="2:24" x14ac:dyDescent="0.2">
      <c r="B402" s="17">
        <v>44154</v>
      </c>
      <c r="C402" s="10" t="s">
        <v>107</v>
      </c>
      <c r="D402" s="11">
        <v>159159</v>
      </c>
      <c r="E402" s="26">
        <v>55239</v>
      </c>
      <c r="F402" s="10" t="s">
        <v>142</v>
      </c>
      <c r="G402" s="10" t="s">
        <v>46</v>
      </c>
      <c r="H402" s="27" t="s">
        <v>143</v>
      </c>
      <c r="I402" s="12"/>
      <c r="J402" s="12"/>
      <c r="K402" s="13">
        <v>1980</v>
      </c>
      <c r="L402" s="21">
        <v>9</v>
      </c>
      <c r="M402" s="14" t="s">
        <v>14</v>
      </c>
      <c r="N402" s="13">
        <v>17820</v>
      </c>
      <c r="O402" s="15">
        <f t="shared" ref="O402:O403" si="238">(N402/K402)-L402</f>
        <v>0</v>
      </c>
      <c r="P402" s="10" t="s">
        <v>84</v>
      </c>
      <c r="Q402" s="11" t="s">
        <v>1046</v>
      </c>
      <c r="R402" s="11" t="s">
        <v>1047</v>
      </c>
      <c r="S402" s="16" t="s">
        <v>1045</v>
      </c>
      <c r="T402" s="19" t="str">
        <f>MONTH(B402)&amp;"-"&amp;YEAR(B402)</f>
        <v>11-2020</v>
      </c>
      <c r="U402" s="2">
        <f>YEAR(B402)</f>
        <v>2020</v>
      </c>
      <c r="V402" s="2" t="str">
        <f>IF(DAY(B402)&gt;15,MONTH(B402)&amp;"-C",MONTH(B402)&amp;"-N")</f>
        <v>11-C</v>
      </c>
      <c r="W402" s="21">
        <v>9</v>
      </c>
      <c r="X402" s="2" t="b">
        <f t="shared" ref="X402:X403" si="239">+L402=W402</f>
        <v>1</v>
      </c>
    </row>
    <row r="403" spans="2:24" x14ac:dyDescent="0.2">
      <c r="B403" s="17">
        <v>44154</v>
      </c>
      <c r="C403" s="10" t="s">
        <v>107</v>
      </c>
      <c r="D403" s="11">
        <v>159159</v>
      </c>
      <c r="E403" s="26">
        <v>55239</v>
      </c>
      <c r="F403" s="10" t="s">
        <v>144</v>
      </c>
      <c r="G403" s="10" t="s">
        <v>46</v>
      </c>
      <c r="H403" s="27" t="s">
        <v>145</v>
      </c>
      <c r="I403" s="12"/>
      <c r="J403" s="12"/>
      <c r="K403" s="13">
        <v>300</v>
      </c>
      <c r="L403" s="21">
        <v>9</v>
      </c>
      <c r="M403" s="14" t="s">
        <v>14</v>
      </c>
      <c r="N403" s="13">
        <v>2700</v>
      </c>
      <c r="O403" s="15">
        <f t="shared" si="238"/>
        <v>0</v>
      </c>
      <c r="P403" s="10" t="s">
        <v>84</v>
      </c>
      <c r="Q403" s="11" t="s">
        <v>1046</v>
      </c>
      <c r="R403" s="11" t="s">
        <v>1047</v>
      </c>
      <c r="S403" s="16" t="s">
        <v>1045</v>
      </c>
      <c r="T403" s="19" t="str">
        <f>MONTH(B403)&amp;"-"&amp;YEAR(B403)</f>
        <v>11-2020</v>
      </c>
      <c r="U403" s="2">
        <f>YEAR(B403)</f>
        <v>2020</v>
      </c>
      <c r="V403" s="2" t="str">
        <f>IF(DAY(B403)&gt;15,MONTH(B403)&amp;"-C",MONTH(B403)&amp;"-N")</f>
        <v>11-C</v>
      </c>
      <c r="W403" s="21">
        <v>9</v>
      </c>
      <c r="X403" s="2" t="b">
        <f t="shared" si="239"/>
        <v>1</v>
      </c>
    </row>
    <row r="404" spans="2:24" x14ac:dyDescent="0.2">
      <c r="B404" s="17">
        <v>44156</v>
      </c>
      <c r="C404" s="10" t="s">
        <v>94</v>
      </c>
      <c r="D404" s="11">
        <v>158340</v>
      </c>
      <c r="E404" s="26">
        <v>55255</v>
      </c>
      <c r="F404" s="10" t="s">
        <v>26</v>
      </c>
      <c r="G404" s="10" t="s">
        <v>27</v>
      </c>
      <c r="H404" s="27" t="s">
        <v>28</v>
      </c>
      <c r="I404" s="12"/>
      <c r="J404" s="12"/>
      <c r="K404" s="13">
        <v>18000</v>
      </c>
      <c r="L404" s="21">
        <v>3.05</v>
      </c>
      <c r="M404" s="14" t="s">
        <v>14</v>
      </c>
      <c r="N404" s="13">
        <v>54900</v>
      </c>
      <c r="O404" s="15">
        <f t="shared" ref="O404" si="240">(N404/K404)-L404</f>
        <v>0</v>
      </c>
      <c r="P404" s="10" t="s">
        <v>78</v>
      </c>
      <c r="Q404" s="11" t="s">
        <v>1049</v>
      </c>
      <c r="R404" s="11" t="s">
        <v>1050</v>
      </c>
      <c r="S404" s="16" t="s">
        <v>1048</v>
      </c>
      <c r="T404" s="19" t="str">
        <f>MONTH(B404)&amp;"-"&amp;YEAR(B404)</f>
        <v>11-2020</v>
      </c>
      <c r="U404" s="2">
        <f>YEAR(B404)</f>
        <v>2020</v>
      </c>
      <c r="V404" s="2" t="str">
        <f>IF(DAY(B404)&gt;15,MONTH(B404)&amp;"-C",MONTH(B404)&amp;"-N")</f>
        <v>11-C</v>
      </c>
      <c r="W404" s="21">
        <v>3.05</v>
      </c>
      <c r="X404" s="2" t="b">
        <f t="shared" ref="X404" si="241">+L404=W404</f>
        <v>1</v>
      </c>
    </row>
    <row r="405" spans="2:24" x14ac:dyDescent="0.2">
      <c r="B405" s="17">
        <v>44157</v>
      </c>
      <c r="C405" s="10" t="s">
        <v>82</v>
      </c>
      <c r="D405" s="11">
        <v>159203</v>
      </c>
      <c r="E405" s="26">
        <v>55271</v>
      </c>
      <c r="F405" s="10" t="s">
        <v>33</v>
      </c>
      <c r="G405" s="10" t="s">
        <v>27</v>
      </c>
      <c r="H405" s="27" t="s">
        <v>34</v>
      </c>
      <c r="I405" s="12"/>
      <c r="J405" s="12"/>
      <c r="K405" s="13">
        <v>1440</v>
      </c>
      <c r="L405" s="21">
        <v>6.75</v>
      </c>
      <c r="M405" s="14" t="s">
        <v>14</v>
      </c>
      <c r="N405" s="13">
        <v>9720</v>
      </c>
      <c r="O405" s="15">
        <f t="shared" ref="O405" si="242">(N405/K405)-L405</f>
        <v>0</v>
      </c>
      <c r="P405" s="10" t="s">
        <v>78</v>
      </c>
      <c r="Q405" s="11" t="s">
        <v>1052</v>
      </c>
      <c r="R405" s="11" t="s">
        <v>1053</v>
      </c>
      <c r="S405" s="16" t="s">
        <v>1051</v>
      </c>
      <c r="T405" s="19" t="str">
        <f>MONTH(B405)&amp;"-"&amp;YEAR(B405)</f>
        <v>11-2020</v>
      </c>
      <c r="U405" s="2">
        <f>YEAR(B405)</f>
        <v>2020</v>
      </c>
      <c r="V405" s="2" t="str">
        <f>IF(DAY(B405)&gt;15,MONTH(B405)&amp;"-C",MONTH(B405)&amp;"-N")</f>
        <v>11-C</v>
      </c>
      <c r="W405" s="21">
        <v>6.75</v>
      </c>
      <c r="X405" s="2" t="b">
        <f t="shared" ref="X405" si="243">+L405=W405</f>
        <v>1</v>
      </c>
    </row>
    <row r="406" spans="2:24" x14ac:dyDescent="0.2">
      <c r="B406" s="17">
        <v>44161</v>
      </c>
      <c r="C406" s="10" t="s">
        <v>108</v>
      </c>
      <c r="D406" s="11">
        <v>159107</v>
      </c>
      <c r="E406" s="26">
        <v>55325</v>
      </c>
      <c r="F406" s="10" t="s">
        <v>121</v>
      </c>
      <c r="G406" s="10" t="s">
        <v>46</v>
      </c>
      <c r="H406" s="27" t="s">
        <v>122</v>
      </c>
      <c r="I406" s="12"/>
      <c r="J406" s="12"/>
      <c r="K406" s="13">
        <v>1150</v>
      </c>
      <c r="L406" s="21">
        <v>9.5500000000000007</v>
      </c>
      <c r="M406" s="14" t="s">
        <v>14</v>
      </c>
      <c r="N406" s="13">
        <v>10982.5</v>
      </c>
      <c r="O406" s="15">
        <f t="shared" ref="O406:O407" si="244">(N406/K406)-L406</f>
        <v>0</v>
      </c>
      <c r="P406" s="10" t="s">
        <v>84</v>
      </c>
      <c r="Q406" s="11" t="s">
        <v>1054</v>
      </c>
      <c r="R406" s="11" t="s">
        <v>1055</v>
      </c>
      <c r="S406" s="16" t="s">
        <v>1056</v>
      </c>
      <c r="T406" s="19" t="str">
        <f>MONTH(B406)&amp;"-"&amp;YEAR(B406)</f>
        <v>11-2020</v>
      </c>
      <c r="U406" s="2">
        <f>YEAR(B406)</f>
        <v>2020</v>
      </c>
      <c r="V406" s="2" t="str">
        <f>IF(DAY(B406)&gt;15,MONTH(B406)&amp;"-C",MONTH(B406)&amp;"-N")</f>
        <v>11-C</v>
      </c>
      <c r="W406" s="21">
        <v>9.5500000000000007</v>
      </c>
      <c r="X406" s="2" t="b">
        <f t="shared" ref="X406:X407" si="245">+L406=W406</f>
        <v>1</v>
      </c>
    </row>
    <row r="407" spans="2:24" x14ac:dyDescent="0.2">
      <c r="B407" s="17">
        <v>44161</v>
      </c>
      <c r="C407" s="10" t="s">
        <v>108</v>
      </c>
      <c r="D407" s="11">
        <v>159107</v>
      </c>
      <c r="E407" s="26">
        <v>55325</v>
      </c>
      <c r="F407" s="10" t="s">
        <v>123</v>
      </c>
      <c r="G407" s="10" t="s">
        <v>46</v>
      </c>
      <c r="H407" s="27" t="s">
        <v>124</v>
      </c>
      <c r="I407" s="12"/>
      <c r="J407" s="12"/>
      <c r="K407" s="13">
        <v>1840</v>
      </c>
      <c r="L407" s="21">
        <v>12.16</v>
      </c>
      <c r="M407" s="14" t="s">
        <v>14</v>
      </c>
      <c r="N407" s="13">
        <v>22374.400000000001</v>
      </c>
      <c r="O407" s="15">
        <f t="shared" si="244"/>
        <v>0</v>
      </c>
      <c r="P407" s="10" t="s">
        <v>84</v>
      </c>
      <c r="Q407" s="11" t="s">
        <v>1054</v>
      </c>
      <c r="R407" s="11" t="s">
        <v>1055</v>
      </c>
      <c r="S407" s="16" t="s">
        <v>1056</v>
      </c>
      <c r="T407" s="19" t="str">
        <f>MONTH(B407)&amp;"-"&amp;YEAR(B407)</f>
        <v>11-2020</v>
      </c>
      <c r="U407" s="2">
        <f>YEAR(B407)</f>
        <v>2020</v>
      </c>
      <c r="V407" s="2" t="str">
        <f>IF(DAY(B407)&gt;15,MONTH(B407)&amp;"-C",MONTH(B407)&amp;"-N")</f>
        <v>11-C</v>
      </c>
      <c r="W407" s="21">
        <v>12.16</v>
      </c>
      <c r="X407" s="2" t="b">
        <f t="shared" si="245"/>
        <v>1</v>
      </c>
    </row>
    <row r="408" spans="2:24" x14ac:dyDescent="0.2">
      <c r="B408" s="17">
        <v>44165</v>
      </c>
      <c r="C408" s="10" t="s">
        <v>107</v>
      </c>
      <c r="D408" s="11">
        <v>159092</v>
      </c>
      <c r="E408" s="26">
        <v>55388</v>
      </c>
      <c r="F408" s="10" t="s">
        <v>103</v>
      </c>
      <c r="G408" s="10" t="s">
        <v>46</v>
      </c>
      <c r="H408" s="27" t="s">
        <v>104</v>
      </c>
      <c r="I408" s="12"/>
      <c r="J408" s="12"/>
      <c r="K408" s="13">
        <v>95</v>
      </c>
      <c r="L408" s="21">
        <v>37.200000000000003</v>
      </c>
      <c r="M408" s="14" t="s">
        <v>14</v>
      </c>
      <c r="N408" s="13">
        <v>3534</v>
      </c>
      <c r="O408" s="15">
        <f t="shared" ref="O408:O410" si="246">(N408/K408)-L408</f>
        <v>0</v>
      </c>
      <c r="P408" s="10" t="s">
        <v>84</v>
      </c>
      <c r="Q408" s="11" t="s">
        <v>1058</v>
      </c>
      <c r="R408" s="11" t="s">
        <v>1059</v>
      </c>
      <c r="S408" s="16" t="s">
        <v>1057</v>
      </c>
      <c r="T408" s="19" t="str">
        <f>MONTH(B408)&amp;"-"&amp;YEAR(B408)</f>
        <v>11-2020</v>
      </c>
      <c r="U408" s="2">
        <f>YEAR(B408)</f>
        <v>2020</v>
      </c>
      <c r="V408" s="2" t="str">
        <f>IF(DAY(B408)&gt;15,MONTH(B408)&amp;"-C",MONTH(B408)&amp;"-N")</f>
        <v>11-C</v>
      </c>
      <c r="W408" s="21">
        <v>37.200000000000003</v>
      </c>
      <c r="X408" s="2" t="b">
        <f t="shared" ref="X408:X410" si="247">+L408=W408</f>
        <v>1</v>
      </c>
    </row>
    <row r="409" spans="2:24" x14ac:dyDescent="0.2">
      <c r="B409" s="17">
        <v>44165</v>
      </c>
      <c r="C409" s="10" t="s">
        <v>107</v>
      </c>
      <c r="D409" s="11">
        <v>159092</v>
      </c>
      <c r="E409" s="26">
        <v>55388</v>
      </c>
      <c r="F409" s="10" t="s">
        <v>105</v>
      </c>
      <c r="G409" s="10" t="s">
        <v>46</v>
      </c>
      <c r="H409" s="27" t="s">
        <v>106</v>
      </c>
      <c r="I409" s="12"/>
      <c r="J409" s="12"/>
      <c r="K409" s="13">
        <v>3080</v>
      </c>
      <c r="L409" s="21">
        <v>12.3</v>
      </c>
      <c r="M409" s="14" t="s">
        <v>14</v>
      </c>
      <c r="N409" s="13">
        <v>37884</v>
      </c>
      <c r="O409" s="15">
        <f t="shared" si="246"/>
        <v>0</v>
      </c>
      <c r="P409" s="10" t="s">
        <v>84</v>
      </c>
      <c r="Q409" s="11" t="s">
        <v>1058</v>
      </c>
      <c r="R409" s="11" t="s">
        <v>1059</v>
      </c>
      <c r="S409" s="16" t="s">
        <v>1057</v>
      </c>
      <c r="T409" s="19" t="str">
        <f>MONTH(B409)&amp;"-"&amp;YEAR(B409)</f>
        <v>11-2020</v>
      </c>
      <c r="U409" s="2">
        <f>YEAR(B409)</f>
        <v>2020</v>
      </c>
      <c r="V409" s="2" t="str">
        <f>IF(DAY(B409)&gt;15,MONTH(B409)&amp;"-C",MONTH(B409)&amp;"-N")</f>
        <v>11-C</v>
      </c>
      <c r="W409" s="21">
        <v>12.3</v>
      </c>
      <c r="X409" s="2" t="b">
        <f t="shared" si="247"/>
        <v>1</v>
      </c>
    </row>
    <row r="410" spans="2:24" x14ac:dyDescent="0.2">
      <c r="B410" s="17">
        <v>44165</v>
      </c>
      <c r="C410" s="10" t="s">
        <v>25</v>
      </c>
      <c r="D410" s="11">
        <v>159291</v>
      </c>
      <c r="E410" s="26">
        <v>55385</v>
      </c>
      <c r="F410" s="10" t="s">
        <v>26</v>
      </c>
      <c r="G410" s="10" t="s">
        <v>27</v>
      </c>
      <c r="H410" s="27" t="s">
        <v>28</v>
      </c>
      <c r="I410" s="12"/>
      <c r="J410" s="12"/>
      <c r="K410" s="13">
        <v>19800</v>
      </c>
      <c r="L410" s="21">
        <v>3.8</v>
      </c>
      <c r="M410" s="14" t="s">
        <v>14</v>
      </c>
      <c r="N410" s="13">
        <v>75240</v>
      </c>
      <c r="O410" s="15">
        <f t="shared" si="246"/>
        <v>0</v>
      </c>
      <c r="P410" s="10" t="s">
        <v>78</v>
      </c>
      <c r="Q410" s="11" t="s">
        <v>1061</v>
      </c>
      <c r="R410" s="11" t="s">
        <v>548</v>
      </c>
      <c r="S410" s="16" t="s">
        <v>1060</v>
      </c>
      <c r="T410" s="19" t="str">
        <f>MONTH(B410)&amp;"-"&amp;YEAR(B410)</f>
        <v>11-2020</v>
      </c>
      <c r="U410" s="2">
        <f>YEAR(B410)</f>
        <v>2020</v>
      </c>
      <c r="V410" s="2" t="str">
        <f>IF(DAY(B410)&gt;15,MONTH(B410)&amp;"-C",MONTH(B410)&amp;"-N")</f>
        <v>11-C</v>
      </c>
      <c r="W410" s="21">
        <v>3.8</v>
      </c>
      <c r="X410" s="2" t="b">
        <f t="shared" si="247"/>
        <v>1</v>
      </c>
    </row>
    <row r="411" spans="2:24" x14ac:dyDescent="0.2">
      <c r="B411" s="17">
        <v>44171</v>
      </c>
      <c r="C411" s="10" t="s">
        <v>108</v>
      </c>
      <c r="D411" s="11">
        <v>159180</v>
      </c>
      <c r="E411" s="26">
        <v>55422</v>
      </c>
      <c r="F411" s="10" t="s">
        <v>121</v>
      </c>
      <c r="G411" s="10" t="s">
        <v>46</v>
      </c>
      <c r="H411" s="27" t="s">
        <v>122</v>
      </c>
      <c r="I411" s="12"/>
      <c r="J411" s="12"/>
      <c r="K411" s="13">
        <v>1150</v>
      </c>
      <c r="L411" s="21">
        <v>9.1999999999999993</v>
      </c>
      <c r="M411" s="14" t="s">
        <v>14</v>
      </c>
      <c r="N411" s="13">
        <v>10580</v>
      </c>
      <c r="O411" s="15">
        <f t="shared" ref="O411:O418" si="248">(N411/K411)-L411</f>
        <v>0</v>
      </c>
      <c r="P411" s="10" t="s">
        <v>84</v>
      </c>
      <c r="Q411" s="11" t="s">
        <v>1063</v>
      </c>
      <c r="R411" s="11" t="s">
        <v>1064</v>
      </c>
      <c r="S411" s="16" t="s">
        <v>1062</v>
      </c>
      <c r="T411" s="19" t="str">
        <f>MONTH(B411)&amp;"-"&amp;YEAR(B411)</f>
        <v>12-2020</v>
      </c>
      <c r="U411" s="2">
        <f>YEAR(B411)</f>
        <v>2020</v>
      </c>
      <c r="V411" s="2" t="str">
        <f>IF(DAY(B411)&gt;15,MONTH(B411)&amp;"-C",MONTH(B411)&amp;"-N")</f>
        <v>12-N</v>
      </c>
      <c r="W411" s="21">
        <v>9.1999999999999993</v>
      </c>
      <c r="X411" s="2" t="b">
        <f t="shared" ref="X411:X418" si="249">+L411=W411</f>
        <v>1</v>
      </c>
    </row>
    <row r="412" spans="2:24" x14ac:dyDescent="0.2">
      <c r="B412" s="17">
        <v>44171</v>
      </c>
      <c r="C412" s="10" t="s">
        <v>108</v>
      </c>
      <c r="D412" s="11">
        <v>159180</v>
      </c>
      <c r="E412" s="26">
        <v>55422</v>
      </c>
      <c r="F412" s="10" t="s">
        <v>123</v>
      </c>
      <c r="G412" s="10" t="s">
        <v>46</v>
      </c>
      <c r="H412" s="27" t="s">
        <v>124</v>
      </c>
      <c r="I412" s="12"/>
      <c r="J412" s="12"/>
      <c r="K412" s="13">
        <v>1840</v>
      </c>
      <c r="L412" s="21">
        <v>11.81</v>
      </c>
      <c r="M412" s="14" t="s">
        <v>14</v>
      </c>
      <c r="N412" s="13">
        <v>21730.400000000001</v>
      </c>
      <c r="O412" s="15">
        <f t="shared" si="248"/>
        <v>0</v>
      </c>
      <c r="P412" s="10" t="s">
        <v>84</v>
      </c>
      <c r="Q412" s="11" t="s">
        <v>1063</v>
      </c>
      <c r="R412" s="11" t="s">
        <v>1064</v>
      </c>
      <c r="S412" s="16" t="s">
        <v>1062</v>
      </c>
      <c r="T412" s="19" t="str">
        <f>MONTH(B412)&amp;"-"&amp;YEAR(B412)</f>
        <v>12-2020</v>
      </c>
      <c r="U412" s="2">
        <f>YEAR(B412)</f>
        <v>2020</v>
      </c>
      <c r="V412" s="2" t="str">
        <f>IF(DAY(B412)&gt;15,MONTH(B412)&amp;"-C",MONTH(B412)&amp;"-N")</f>
        <v>12-N</v>
      </c>
      <c r="W412" s="21">
        <v>11.81</v>
      </c>
      <c r="X412" s="2" t="b">
        <f t="shared" si="249"/>
        <v>1</v>
      </c>
    </row>
    <row r="413" spans="2:24" x14ac:dyDescent="0.2">
      <c r="B413" s="17">
        <v>44171</v>
      </c>
      <c r="C413" s="10" t="s">
        <v>108</v>
      </c>
      <c r="D413" s="11">
        <v>159180</v>
      </c>
      <c r="E413" s="26">
        <v>55422</v>
      </c>
      <c r="F413" s="10" t="s">
        <v>139</v>
      </c>
      <c r="G413" s="10" t="s">
        <v>46</v>
      </c>
      <c r="H413" s="27" t="s">
        <v>140</v>
      </c>
      <c r="I413" s="12"/>
      <c r="J413" s="12"/>
      <c r="K413" s="13">
        <v>5520</v>
      </c>
      <c r="L413" s="21">
        <v>7.85</v>
      </c>
      <c r="M413" s="14" t="s">
        <v>14</v>
      </c>
      <c r="N413" s="13">
        <v>43332</v>
      </c>
      <c r="O413" s="15">
        <f t="shared" si="248"/>
        <v>0</v>
      </c>
      <c r="P413" s="10" t="s">
        <v>84</v>
      </c>
      <c r="Q413" s="11" t="s">
        <v>1063</v>
      </c>
      <c r="R413" s="11" t="s">
        <v>1064</v>
      </c>
      <c r="S413" s="16" t="s">
        <v>1062</v>
      </c>
      <c r="T413" s="19" t="str">
        <f>MONTH(B413)&amp;"-"&amp;YEAR(B413)</f>
        <v>12-2020</v>
      </c>
      <c r="U413" s="2">
        <f>YEAR(B413)</f>
        <v>2020</v>
      </c>
      <c r="V413" s="2" t="str">
        <f>IF(DAY(B413)&gt;15,MONTH(B413)&amp;"-C",MONTH(B413)&amp;"-N")</f>
        <v>12-N</v>
      </c>
      <c r="W413" s="21">
        <v>7.85</v>
      </c>
      <c r="X413" s="2" t="b">
        <f t="shared" si="249"/>
        <v>1</v>
      </c>
    </row>
    <row r="414" spans="2:24" x14ac:dyDescent="0.2">
      <c r="B414" s="17">
        <v>44171</v>
      </c>
      <c r="C414" s="10" t="s">
        <v>108</v>
      </c>
      <c r="D414" s="11">
        <v>159180</v>
      </c>
      <c r="E414" s="26">
        <v>55422</v>
      </c>
      <c r="F414" s="10" t="s">
        <v>129</v>
      </c>
      <c r="G414" s="10" t="s">
        <v>46</v>
      </c>
      <c r="H414" s="27" t="s">
        <v>130</v>
      </c>
      <c r="I414" s="12"/>
      <c r="J414" s="12"/>
      <c r="K414" s="13">
        <v>9430</v>
      </c>
      <c r="L414" s="21">
        <v>10.86</v>
      </c>
      <c r="M414" s="14" t="s">
        <v>14</v>
      </c>
      <c r="N414" s="13">
        <v>102409.8</v>
      </c>
      <c r="O414" s="15">
        <f t="shared" si="248"/>
        <v>0</v>
      </c>
      <c r="P414" s="10" t="s">
        <v>84</v>
      </c>
      <c r="Q414" s="11" t="s">
        <v>1063</v>
      </c>
      <c r="R414" s="11" t="s">
        <v>1064</v>
      </c>
      <c r="S414" s="16" t="s">
        <v>1062</v>
      </c>
      <c r="T414" s="19" t="str">
        <f>MONTH(B414)&amp;"-"&amp;YEAR(B414)</f>
        <v>12-2020</v>
      </c>
      <c r="U414" s="2">
        <f>YEAR(B414)</f>
        <v>2020</v>
      </c>
      <c r="V414" s="2" t="str">
        <f>IF(DAY(B414)&gt;15,MONTH(B414)&amp;"-C",MONTH(B414)&amp;"-N")</f>
        <v>12-N</v>
      </c>
      <c r="W414" s="21">
        <v>10.86</v>
      </c>
      <c r="X414" s="2" t="b">
        <f t="shared" si="249"/>
        <v>1</v>
      </c>
    </row>
    <row r="415" spans="2:24" x14ac:dyDescent="0.2">
      <c r="B415" s="17">
        <v>44171</v>
      </c>
      <c r="C415" s="10" t="s">
        <v>108</v>
      </c>
      <c r="D415" s="11">
        <v>159180</v>
      </c>
      <c r="E415" s="26">
        <v>55422</v>
      </c>
      <c r="F415" s="10" t="s">
        <v>137</v>
      </c>
      <c r="G415" s="10" t="s">
        <v>46</v>
      </c>
      <c r="H415" s="27" t="s">
        <v>138</v>
      </c>
      <c r="I415" s="12"/>
      <c r="J415" s="12"/>
      <c r="K415" s="13">
        <v>400</v>
      </c>
      <c r="L415" s="21">
        <v>15.6</v>
      </c>
      <c r="M415" s="14" t="s">
        <v>14</v>
      </c>
      <c r="N415" s="13">
        <v>6240</v>
      </c>
      <c r="O415" s="15">
        <f t="shared" si="248"/>
        <v>0</v>
      </c>
      <c r="P415" s="10" t="s">
        <v>84</v>
      </c>
      <c r="Q415" s="11" t="s">
        <v>1063</v>
      </c>
      <c r="R415" s="11" t="s">
        <v>1064</v>
      </c>
      <c r="S415" s="16" t="s">
        <v>1062</v>
      </c>
      <c r="T415" s="19" t="str">
        <f>MONTH(B415)&amp;"-"&amp;YEAR(B415)</f>
        <v>12-2020</v>
      </c>
      <c r="U415" s="2">
        <f>YEAR(B415)</f>
        <v>2020</v>
      </c>
      <c r="V415" s="2" t="str">
        <f>IF(DAY(B415)&gt;15,MONTH(B415)&amp;"-C",MONTH(B415)&amp;"-N")</f>
        <v>12-N</v>
      </c>
      <c r="W415" s="21">
        <v>15.6</v>
      </c>
      <c r="X415" s="2" t="b">
        <f t="shared" si="249"/>
        <v>1</v>
      </c>
    </row>
    <row r="416" spans="2:24" x14ac:dyDescent="0.2">
      <c r="B416" s="17">
        <v>44172</v>
      </c>
      <c r="C416" s="10" t="s">
        <v>107</v>
      </c>
      <c r="D416" s="11">
        <v>159319</v>
      </c>
      <c r="E416" s="26">
        <v>55433</v>
      </c>
      <c r="F416" s="10" t="s">
        <v>935</v>
      </c>
      <c r="G416" s="10" t="s">
        <v>46</v>
      </c>
      <c r="H416" s="27" t="s">
        <v>1065</v>
      </c>
      <c r="I416" s="12"/>
      <c r="J416" s="12"/>
      <c r="K416" s="13">
        <v>200</v>
      </c>
      <c r="L416" s="21">
        <v>15.85</v>
      </c>
      <c r="M416" s="14" t="s">
        <v>14</v>
      </c>
      <c r="N416" s="13">
        <v>3170</v>
      </c>
      <c r="O416" s="15">
        <f t="shared" si="248"/>
        <v>0</v>
      </c>
      <c r="P416" s="10" t="s">
        <v>84</v>
      </c>
      <c r="Q416" s="11" t="s">
        <v>1066</v>
      </c>
      <c r="R416" s="11" t="s">
        <v>1067</v>
      </c>
      <c r="S416" s="16" t="s">
        <v>1068</v>
      </c>
      <c r="T416" s="19" t="str">
        <f>MONTH(B416)&amp;"-"&amp;YEAR(B416)</f>
        <v>12-2020</v>
      </c>
      <c r="U416" s="2">
        <f>YEAR(B416)</f>
        <v>2020</v>
      </c>
      <c r="V416" s="2" t="str">
        <f>IF(DAY(B416)&gt;15,MONTH(B416)&amp;"-C",MONTH(B416)&amp;"-N")</f>
        <v>12-N</v>
      </c>
      <c r="W416" s="21">
        <v>15.85</v>
      </c>
      <c r="X416" s="2" t="b">
        <f t="shared" si="249"/>
        <v>1</v>
      </c>
    </row>
    <row r="417" spans="2:24" x14ac:dyDescent="0.2">
      <c r="B417" s="17">
        <v>44172</v>
      </c>
      <c r="C417" s="10" t="s">
        <v>107</v>
      </c>
      <c r="D417" s="11">
        <v>159319</v>
      </c>
      <c r="E417" s="26">
        <v>55433</v>
      </c>
      <c r="F417" s="10" t="s">
        <v>142</v>
      </c>
      <c r="G417" s="10" t="s">
        <v>46</v>
      </c>
      <c r="H417" s="27" t="s">
        <v>143</v>
      </c>
      <c r="I417" s="12"/>
      <c r="J417" s="12"/>
      <c r="K417" s="13">
        <v>1320</v>
      </c>
      <c r="L417" s="21">
        <v>9</v>
      </c>
      <c r="M417" s="14" t="s">
        <v>14</v>
      </c>
      <c r="N417" s="13">
        <v>11880</v>
      </c>
      <c r="O417" s="15">
        <f t="shared" si="248"/>
        <v>0</v>
      </c>
      <c r="P417" s="10" t="s">
        <v>84</v>
      </c>
      <c r="Q417" s="11" t="s">
        <v>1066</v>
      </c>
      <c r="R417" s="11" t="s">
        <v>1067</v>
      </c>
      <c r="S417" s="16" t="s">
        <v>1068</v>
      </c>
      <c r="T417" s="19" t="str">
        <f>MONTH(B417)&amp;"-"&amp;YEAR(B417)</f>
        <v>12-2020</v>
      </c>
      <c r="U417" s="2">
        <f>YEAR(B417)</f>
        <v>2020</v>
      </c>
      <c r="V417" s="2" t="str">
        <f>IF(DAY(B417)&gt;15,MONTH(B417)&amp;"-C",MONTH(B417)&amp;"-N")</f>
        <v>12-N</v>
      </c>
      <c r="W417" s="21">
        <v>9</v>
      </c>
      <c r="X417" s="2" t="b">
        <f t="shared" si="249"/>
        <v>1</v>
      </c>
    </row>
    <row r="418" spans="2:24" x14ac:dyDescent="0.2">
      <c r="B418" s="17">
        <v>44172</v>
      </c>
      <c r="C418" s="10" t="s">
        <v>107</v>
      </c>
      <c r="D418" s="11">
        <v>159319</v>
      </c>
      <c r="E418" s="26">
        <v>55433</v>
      </c>
      <c r="F418" s="10" t="s">
        <v>144</v>
      </c>
      <c r="G418" s="10" t="s">
        <v>46</v>
      </c>
      <c r="H418" s="27" t="s">
        <v>145</v>
      </c>
      <c r="I418" s="12"/>
      <c r="J418" s="12"/>
      <c r="K418" s="13">
        <v>160</v>
      </c>
      <c r="L418" s="21">
        <v>9</v>
      </c>
      <c r="M418" s="14" t="s">
        <v>14</v>
      </c>
      <c r="N418" s="13">
        <v>1440</v>
      </c>
      <c r="O418" s="15">
        <f t="shared" si="248"/>
        <v>0</v>
      </c>
      <c r="P418" s="10" t="s">
        <v>84</v>
      </c>
      <c r="Q418" s="11" t="s">
        <v>1066</v>
      </c>
      <c r="R418" s="11" t="s">
        <v>1067</v>
      </c>
      <c r="S418" s="16" t="s">
        <v>1068</v>
      </c>
      <c r="T418" s="19" t="str">
        <f>MONTH(B418)&amp;"-"&amp;YEAR(B418)</f>
        <v>12-2020</v>
      </c>
      <c r="U418" s="2">
        <f>YEAR(B418)</f>
        <v>2020</v>
      </c>
      <c r="V418" s="2" t="str">
        <f>IF(DAY(B418)&gt;15,MONTH(B418)&amp;"-C",MONTH(B418)&amp;"-N")</f>
        <v>12-N</v>
      </c>
      <c r="W418" s="21">
        <v>9</v>
      </c>
      <c r="X418" s="2" t="b">
        <f t="shared" si="249"/>
        <v>1</v>
      </c>
    </row>
    <row r="419" spans="2:24" x14ac:dyDescent="0.2">
      <c r="B419" s="17">
        <v>44174</v>
      </c>
      <c r="C419" s="10" t="s">
        <v>80</v>
      </c>
      <c r="D419" s="11">
        <v>159103</v>
      </c>
      <c r="E419" s="26">
        <v>55467</v>
      </c>
      <c r="F419" s="10" t="s">
        <v>26</v>
      </c>
      <c r="G419" s="10" t="s">
        <v>27</v>
      </c>
      <c r="H419" s="27" t="s">
        <v>28</v>
      </c>
      <c r="I419" s="12"/>
      <c r="J419" s="12"/>
      <c r="K419" s="13">
        <v>3600</v>
      </c>
      <c r="L419" s="21">
        <v>3.8</v>
      </c>
      <c r="M419" s="14" t="s">
        <v>14</v>
      </c>
      <c r="N419" s="13">
        <v>13680</v>
      </c>
      <c r="O419" s="15">
        <f t="shared" ref="O419:O421" si="250">(N419/K419)-L419</f>
        <v>0</v>
      </c>
      <c r="P419" s="10" t="s">
        <v>78</v>
      </c>
      <c r="Q419" s="11" t="s">
        <v>1069</v>
      </c>
      <c r="R419" s="11" t="s">
        <v>1070</v>
      </c>
      <c r="S419" s="16" t="s">
        <v>1071</v>
      </c>
      <c r="T419" s="19" t="str">
        <f>MONTH(B419)&amp;"-"&amp;YEAR(B419)</f>
        <v>12-2020</v>
      </c>
      <c r="U419" s="2">
        <f>YEAR(B419)</f>
        <v>2020</v>
      </c>
      <c r="V419" s="2" t="str">
        <f>IF(DAY(B419)&gt;15,MONTH(B419)&amp;"-C",MONTH(B419)&amp;"-N")</f>
        <v>12-N</v>
      </c>
      <c r="W419" s="21">
        <v>3.8</v>
      </c>
      <c r="X419" s="2" t="b">
        <f t="shared" ref="X419:X421" si="251">+L419=W419</f>
        <v>1</v>
      </c>
    </row>
    <row r="420" spans="2:24" x14ac:dyDescent="0.2">
      <c r="B420" s="17">
        <v>44174</v>
      </c>
      <c r="C420" s="10" t="s">
        <v>25</v>
      </c>
      <c r="D420" s="11">
        <v>159338</v>
      </c>
      <c r="E420" s="26">
        <v>55466</v>
      </c>
      <c r="F420" s="10" t="s">
        <v>29</v>
      </c>
      <c r="G420" s="10" t="s">
        <v>27</v>
      </c>
      <c r="H420" s="27" t="s">
        <v>30</v>
      </c>
      <c r="I420" s="12"/>
      <c r="J420" s="12"/>
      <c r="K420" s="13">
        <v>3300</v>
      </c>
      <c r="L420" s="21">
        <v>3.42</v>
      </c>
      <c r="M420" s="14" t="s">
        <v>14</v>
      </c>
      <c r="N420" s="13">
        <v>11286</v>
      </c>
      <c r="O420" s="15">
        <f t="shared" si="250"/>
        <v>0</v>
      </c>
      <c r="P420" s="10" t="s">
        <v>78</v>
      </c>
      <c r="Q420" s="11" t="s">
        <v>1072</v>
      </c>
      <c r="R420" s="11" t="s">
        <v>1073</v>
      </c>
      <c r="S420" s="16" t="s">
        <v>1074</v>
      </c>
      <c r="T420" s="19" t="str">
        <f>MONTH(B420)&amp;"-"&amp;YEAR(B420)</f>
        <v>12-2020</v>
      </c>
      <c r="U420" s="2">
        <f>YEAR(B420)</f>
        <v>2020</v>
      </c>
      <c r="V420" s="2" t="str">
        <f>IF(DAY(B420)&gt;15,MONTH(B420)&amp;"-C",MONTH(B420)&amp;"-N")</f>
        <v>12-N</v>
      </c>
      <c r="W420" s="21">
        <v>3.42</v>
      </c>
      <c r="X420" s="2" t="b">
        <f t="shared" si="251"/>
        <v>1</v>
      </c>
    </row>
    <row r="421" spans="2:24" x14ac:dyDescent="0.2">
      <c r="B421" s="17">
        <v>44174</v>
      </c>
      <c r="C421" s="10" t="s">
        <v>25</v>
      </c>
      <c r="D421" s="11">
        <v>159338</v>
      </c>
      <c r="E421" s="26">
        <v>55466</v>
      </c>
      <c r="F421" s="10" t="s">
        <v>33</v>
      </c>
      <c r="G421" s="10" t="s">
        <v>27</v>
      </c>
      <c r="H421" s="27" t="s">
        <v>34</v>
      </c>
      <c r="I421" s="12"/>
      <c r="J421" s="12"/>
      <c r="K421" s="13">
        <v>720</v>
      </c>
      <c r="L421" s="21">
        <v>5.45</v>
      </c>
      <c r="M421" s="14" t="s">
        <v>14</v>
      </c>
      <c r="N421" s="13">
        <v>3924</v>
      </c>
      <c r="O421" s="15">
        <f t="shared" si="250"/>
        <v>0</v>
      </c>
      <c r="P421" s="10" t="s">
        <v>78</v>
      </c>
      <c r="Q421" s="11" t="s">
        <v>1072</v>
      </c>
      <c r="R421" s="11" t="s">
        <v>1073</v>
      </c>
      <c r="S421" s="16" t="s">
        <v>1074</v>
      </c>
      <c r="T421" s="19" t="str">
        <f>MONTH(B421)&amp;"-"&amp;YEAR(B421)</f>
        <v>12-2020</v>
      </c>
      <c r="U421" s="2">
        <f>YEAR(B421)</f>
        <v>2020</v>
      </c>
      <c r="V421" s="2" t="str">
        <f>IF(DAY(B421)&gt;15,MONTH(B421)&amp;"-C",MONTH(B421)&amp;"-N")</f>
        <v>12-N</v>
      </c>
      <c r="W421" s="21">
        <v>5.45</v>
      </c>
      <c r="X421" s="2" t="b">
        <f t="shared" si="251"/>
        <v>1</v>
      </c>
    </row>
    <row r="422" spans="2:24" x14ac:dyDescent="0.2">
      <c r="B422" s="17">
        <v>44175</v>
      </c>
      <c r="C422" s="10" t="s">
        <v>73</v>
      </c>
      <c r="D422" s="11">
        <v>159318</v>
      </c>
      <c r="E422" s="26">
        <v>55482</v>
      </c>
      <c r="F422" s="10" t="s">
        <v>399</v>
      </c>
      <c r="G422" s="10" t="s">
        <v>46</v>
      </c>
      <c r="H422" s="27" t="s">
        <v>149</v>
      </c>
      <c r="I422" s="12"/>
      <c r="J422" s="12"/>
      <c r="K422" s="13">
        <v>300</v>
      </c>
      <c r="L422" s="21">
        <v>18.5</v>
      </c>
      <c r="M422" s="14" t="s">
        <v>14</v>
      </c>
      <c r="N422" s="13">
        <v>5550</v>
      </c>
      <c r="O422" s="15">
        <f t="shared" ref="O422:O426" si="252">(N422/K422)-L422</f>
        <v>0</v>
      </c>
      <c r="P422" s="10" t="s">
        <v>84</v>
      </c>
      <c r="Q422" s="11" t="s">
        <v>1076</v>
      </c>
      <c r="R422" s="11" t="s">
        <v>1077</v>
      </c>
      <c r="S422" s="16" t="s">
        <v>1075</v>
      </c>
      <c r="T422" s="19" t="str">
        <f>MONTH(B422)&amp;"-"&amp;YEAR(B422)</f>
        <v>12-2020</v>
      </c>
      <c r="U422" s="2">
        <f>YEAR(B422)</f>
        <v>2020</v>
      </c>
      <c r="V422" s="2" t="str">
        <f>IF(DAY(B422)&gt;15,MONTH(B422)&amp;"-C",MONTH(B422)&amp;"-N")</f>
        <v>12-N</v>
      </c>
      <c r="W422" s="21">
        <v>18.5</v>
      </c>
      <c r="X422" s="2" t="b">
        <f t="shared" ref="X422:X426" si="253">+L422=W422</f>
        <v>1</v>
      </c>
    </row>
    <row r="423" spans="2:24" x14ac:dyDescent="0.2">
      <c r="B423" s="17">
        <v>44175</v>
      </c>
      <c r="C423" s="10" t="s">
        <v>80</v>
      </c>
      <c r="D423" s="11">
        <v>159103</v>
      </c>
      <c r="E423" s="26">
        <v>55481</v>
      </c>
      <c r="F423" s="10" t="s">
        <v>26</v>
      </c>
      <c r="G423" s="10" t="s">
        <v>27</v>
      </c>
      <c r="H423" s="27" t="s">
        <v>28</v>
      </c>
      <c r="I423" s="12"/>
      <c r="J423" s="12"/>
      <c r="K423" s="13">
        <v>3600</v>
      </c>
      <c r="L423" s="21">
        <v>3.8</v>
      </c>
      <c r="M423" s="14" t="s">
        <v>14</v>
      </c>
      <c r="N423" s="13">
        <v>13680</v>
      </c>
      <c r="O423" s="15">
        <f t="shared" si="252"/>
        <v>0</v>
      </c>
      <c r="P423" s="10" t="s">
        <v>78</v>
      </c>
      <c r="Q423" s="11" t="s">
        <v>1078</v>
      </c>
      <c r="R423" s="11" t="s">
        <v>1079</v>
      </c>
      <c r="S423" s="16" t="s">
        <v>1080</v>
      </c>
      <c r="T423" s="19" t="str">
        <f>MONTH(B423)&amp;"-"&amp;YEAR(B423)</f>
        <v>12-2020</v>
      </c>
      <c r="U423" s="2">
        <f>YEAR(B423)</f>
        <v>2020</v>
      </c>
      <c r="V423" s="2" t="str">
        <f>IF(DAY(B423)&gt;15,MONTH(B423)&amp;"-C",MONTH(B423)&amp;"-N")</f>
        <v>12-N</v>
      </c>
      <c r="W423" s="21">
        <v>3.8</v>
      </c>
      <c r="X423" s="2" t="b">
        <f t="shared" si="253"/>
        <v>1</v>
      </c>
    </row>
    <row r="424" spans="2:24" x14ac:dyDescent="0.2">
      <c r="B424" s="17">
        <v>44175</v>
      </c>
      <c r="C424" s="10" t="s">
        <v>88</v>
      </c>
      <c r="D424" s="11">
        <v>159361</v>
      </c>
      <c r="E424" s="26">
        <v>55485</v>
      </c>
      <c r="F424" s="10" t="s">
        <v>98</v>
      </c>
      <c r="G424" s="10" t="s">
        <v>46</v>
      </c>
      <c r="H424" s="27" t="s">
        <v>99</v>
      </c>
      <c r="I424" s="12"/>
      <c r="J424" s="12"/>
      <c r="K424" s="13">
        <v>60</v>
      </c>
      <c r="L424" s="21">
        <v>11.15</v>
      </c>
      <c r="M424" s="14" t="s">
        <v>14</v>
      </c>
      <c r="N424" s="13">
        <v>669</v>
      </c>
      <c r="O424" s="15">
        <f t="shared" si="252"/>
        <v>0</v>
      </c>
      <c r="P424" s="10" t="s">
        <v>84</v>
      </c>
      <c r="Q424" s="11" t="s">
        <v>1081</v>
      </c>
      <c r="R424" s="11" t="s">
        <v>1082</v>
      </c>
      <c r="S424" s="16" t="s">
        <v>1083</v>
      </c>
      <c r="T424" s="19" t="str">
        <f>MONTH(B424)&amp;"-"&amp;YEAR(B424)</f>
        <v>12-2020</v>
      </c>
      <c r="U424" s="2">
        <f>YEAR(B424)</f>
        <v>2020</v>
      </c>
      <c r="V424" s="2" t="str">
        <f>IF(DAY(B424)&gt;15,MONTH(B424)&amp;"-C",MONTH(B424)&amp;"-N")</f>
        <v>12-N</v>
      </c>
      <c r="W424" s="21">
        <v>11.15</v>
      </c>
      <c r="X424" s="2" t="b">
        <f t="shared" si="253"/>
        <v>1</v>
      </c>
    </row>
    <row r="425" spans="2:24" x14ac:dyDescent="0.2">
      <c r="B425" s="17">
        <v>44175</v>
      </c>
      <c r="C425" s="10" t="s">
        <v>88</v>
      </c>
      <c r="D425" s="11">
        <v>159361</v>
      </c>
      <c r="E425" s="26">
        <v>55485</v>
      </c>
      <c r="F425" s="10" t="s">
        <v>100</v>
      </c>
      <c r="G425" s="10" t="s">
        <v>46</v>
      </c>
      <c r="H425" s="27" t="s">
        <v>101</v>
      </c>
      <c r="I425" s="12"/>
      <c r="J425" s="12"/>
      <c r="K425" s="13">
        <v>3000</v>
      </c>
      <c r="L425" s="21">
        <v>11.15</v>
      </c>
      <c r="M425" s="14" t="s">
        <v>14</v>
      </c>
      <c r="N425" s="13">
        <v>33450</v>
      </c>
      <c r="O425" s="15">
        <f t="shared" si="252"/>
        <v>0</v>
      </c>
      <c r="P425" s="10" t="s">
        <v>84</v>
      </c>
      <c r="Q425" s="11" t="s">
        <v>1081</v>
      </c>
      <c r="R425" s="11" t="s">
        <v>1082</v>
      </c>
      <c r="S425" s="16" t="s">
        <v>1083</v>
      </c>
      <c r="T425" s="19" t="str">
        <f>MONTH(B425)&amp;"-"&amp;YEAR(B425)</f>
        <v>12-2020</v>
      </c>
      <c r="U425" s="2">
        <f>YEAR(B425)</f>
        <v>2020</v>
      </c>
      <c r="V425" s="2" t="str">
        <f>IF(DAY(B425)&gt;15,MONTH(B425)&amp;"-C",MONTH(B425)&amp;"-N")</f>
        <v>12-N</v>
      </c>
      <c r="W425" s="21">
        <v>11.15</v>
      </c>
      <c r="X425" s="2" t="b">
        <f t="shared" si="253"/>
        <v>1</v>
      </c>
    </row>
    <row r="426" spans="2:24" x14ac:dyDescent="0.2">
      <c r="B426" s="17">
        <v>44177</v>
      </c>
      <c r="C426" s="10" t="s">
        <v>25</v>
      </c>
      <c r="D426" s="11">
        <v>159291</v>
      </c>
      <c r="E426" s="26">
        <v>55498</v>
      </c>
      <c r="F426" s="10" t="s">
        <v>26</v>
      </c>
      <c r="G426" s="10" t="s">
        <v>27</v>
      </c>
      <c r="H426" s="27" t="s">
        <v>28</v>
      </c>
      <c r="I426" s="12"/>
      <c r="J426" s="12"/>
      <c r="K426" s="13">
        <v>20200</v>
      </c>
      <c r="L426" s="21">
        <v>3.8</v>
      </c>
      <c r="M426" s="14" t="s">
        <v>14</v>
      </c>
      <c r="N426" s="13">
        <v>76760</v>
      </c>
      <c r="O426" s="15">
        <f t="shared" si="252"/>
        <v>0</v>
      </c>
      <c r="P426" s="10" t="s">
        <v>78</v>
      </c>
      <c r="Q426" s="11" t="s">
        <v>1084</v>
      </c>
      <c r="R426" s="11" t="s">
        <v>607</v>
      </c>
      <c r="S426" s="16" t="s">
        <v>1085</v>
      </c>
      <c r="T426" s="19" t="str">
        <f>MONTH(B426)&amp;"-"&amp;YEAR(B426)</f>
        <v>12-2020</v>
      </c>
      <c r="U426" s="2">
        <f>YEAR(B426)</f>
        <v>2020</v>
      </c>
      <c r="V426" s="2" t="str">
        <f>IF(DAY(B426)&gt;15,MONTH(B426)&amp;"-C",MONTH(B426)&amp;"-N")</f>
        <v>12-N</v>
      </c>
      <c r="W426" s="21">
        <v>3.8</v>
      </c>
      <c r="X426" s="2" t="b">
        <f t="shared" si="253"/>
        <v>1</v>
      </c>
    </row>
    <row r="427" spans="2:24" x14ac:dyDescent="0.2">
      <c r="B427" s="17">
        <v>44179</v>
      </c>
      <c r="C427" s="10" t="s">
        <v>107</v>
      </c>
      <c r="D427" s="11">
        <v>159102</v>
      </c>
      <c r="E427" s="26">
        <v>55533</v>
      </c>
      <c r="F427" s="10" t="s">
        <v>103</v>
      </c>
      <c r="G427" s="10" t="s">
        <v>46</v>
      </c>
      <c r="H427" s="27" t="s">
        <v>104</v>
      </c>
      <c r="I427" s="12"/>
      <c r="J427" s="12"/>
      <c r="K427" s="13">
        <v>185</v>
      </c>
      <c r="L427" s="21">
        <v>37.200000000000003</v>
      </c>
      <c r="M427" s="14" t="s">
        <v>14</v>
      </c>
      <c r="N427" s="13">
        <v>6882</v>
      </c>
      <c r="O427" s="15">
        <f t="shared" ref="O427:O428" si="254">(N427/K427)-L427</f>
        <v>0</v>
      </c>
      <c r="P427" s="10" t="s">
        <v>84</v>
      </c>
      <c r="Q427" s="11" t="s">
        <v>1086</v>
      </c>
      <c r="R427" s="11" t="s">
        <v>1087</v>
      </c>
      <c r="S427" s="16" t="s">
        <v>1088</v>
      </c>
      <c r="T427" s="19" t="str">
        <f>MONTH(B427)&amp;"-"&amp;YEAR(B427)</f>
        <v>12-2020</v>
      </c>
      <c r="U427" s="2">
        <f>YEAR(B427)</f>
        <v>2020</v>
      </c>
      <c r="V427" s="2" t="str">
        <f>IF(DAY(B427)&gt;15,MONTH(B427)&amp;"-C",MONTH(B427)&amp;"-N")</f>
        <v>12-N</v>
      </c>
      <c r="W427" s="21">
        <v>37.200000000000003</v>
      </c>
      <c r="X427" s="2" t="b">
        <f t="shared" ref="X427:X428" si="255">+L427=W427</f>
        <v>1</v>
      </c>
    </row>
    <row r="428" spans="2:24" x14ac:dyDescent="0.2">
      <c r="B428" s="17">
        <v>44179</v>
      </c>
      <c r="C428" s="10" t="s">
        <v>107</v>
      </c>
      <c r="D428" s="11">
        <v>159102</v>
      </c>
      <c r="E428" s="26">
        <v>55533</v>
      </c>
      <c r="F428" s="10" t="s">
        <v>105</v>
      </c>
      <c r="G428" s="10" t="s">
        <v>46</v>
      </c>
      <c r="H428" s="27" t="s">
        <v>106</v>
      </c>
      <c r="I428" s="12"/>
      <c r="J428" s="12"/>
      <c r="K428" s="13">
        <v>6160</v>
      </c>
      <c r="L428" s="21">
        <v>12.3</v>
      </c>
      <c r="M428" s="14" t="s">
        <v>14</v>
      </c>
      <c r="N428" s="13">
        <v>75768</v>
      </c>
      <c r="O428" s="15">
        <f t="shared" si="254"/>
        <v>0</v>
      </c>
      <c r="P428" s="10" t="s">
        <v>84</v>
      </c>
      <c r="Q428" s="11" t="s">
        <v>1086</v>
      </c>
      <c r="R428" s="11" t="s">
        <v>1087</v>
      </c>
      <c r="S428" s="16" t="s">
        <v>1088</v>
      </c>
      <c r="T428" s="19" t="str">
        <f>MONTH(B428)&amp;"-"&amp;YEAR(B428)</f>
        <v>12-2020</v>
      </c>
      <c r="U428" s="2">
        <f>YEAR(B428)</f>
        <v>2020</v>
      </c>
      <c r="V428" s="2" t="str">
        <f>IF(DAY(B428)&gt;15,MONTH(B428)&amp;"-C",MONTH(B428)&amp;"-N")</f>
        <v>12-N</v>
      </c>
      <c r="W428" s="21">
        <v>12.3</v>
      </c>
      <c r="X428" s="2" t="b">
        <f t="shared" si="255"/>
        <v>1</v>
      </c>
    </row>
    <row r="429" spans="2:24" x14ac:dyDescent="0.2">
      <c r="B429" s="17">
        <v>44181</v>
      </c>
      <c r="C429" s="10" t="s">
        <v>25</v>
      </c>
      <c r="D429" s="11">
        <v>159379</v>
      </c>
      <c r="E429" s="26">
        <v>55550</v>
      </c>
      <c r="F429" s="10" t="s">
        <v>26</v>
      </c>
      <c r="G429" s="10" t="s">
        <v>27</v>
      </c>
      <c r="H429" s="27" t="s">
        <v>28</v>
      </c>
      <c r="I429" s="12"/>
      <c r="J429" s="12"/>
      <c r="K429" s="13">
        <v>18000</v>
      </c>
      <c r="L429" s="21">
        <v>4.17</v>
      </c>
      <c r="M429" s="14" t="s">
        <v>14</v>
      </c>
      <c r="N429" s="13">
        <v>75060</v>
      </c>
      <c r="O429" s="15">
        <f t="shared" ref="O429" si="256">(N429/K429)-L429</f>
        <v>0</v>
      </c>
      <c r="P429" s="10" t="s">
        <v>78</v>
      </c>
      <c r="Q429" s="11" t="s">
        <v>1089</v>
      </c>
      <c r="R429" s="11" t="s">
        <v>579</v>
      </c>
      <c r="S429" s="16" t="s">
        <v>1090</v>
      </c>
      <c r="T429" s="19" t="str">
        <f>MONTH(B429)&amp;"-"&amp;YEAR(B429)</f>
        <v>12-2020</v>
      </c>
      <c r="U429" s="2">
        <f>YEAR(B429)</f>
        <v>2020</v>
      </c>
      <c r="V429" s="2" t="str">
        <f>IF(DAY(B429)&gt;15,MONTH(B429)&amp;"-C",MONTH(B429)&amp;"-N")</f>
        <v>12-C</v>
      </c>
      <c r="W429" s="21">
        <v>4.17</v>
      </c>
      <c r="X429" s="2" t="b">
        <f t="shared" ref="X429" si="257">+L429=W429</f>
        <v>1</v>
      </c>
    </row>
    <row r="430" spans="2:24" x14ac:dyDescent="0.2">
      <c r="B430" s="17">
        <v>44185</v>
      </c>
      <c r="C430" s="10" t="s">
        <v>80</v>
      </c>
      <c r="D430" s="11">
        <v>159390</v>
      </c>
      <c r="E430" s="26">
        <v>55591</v>
      </c>
      <c r="F430" s="10" t="s">
        <v>31</v>
      </c>
      <c r="G430" s="10" t="s">
        <v>27</v>
      </c>
      <c r="H430" s="27" t="s">
        <v>32</v>
      </c>
      <c r="I430" s="12"/>
      <c r="J430" s="12"/>
      <c r="K430" s="13">
        <v>640</v>
      </c>
      <c r="L430" s="21">
        <v>3.75</v>
      </c>
      <c r="M430" s="14" t="s">
        <v>14</v>
      </c>
      <c r="N430" s="13">
        <v>2400</v>
      </c>
      <c r="O430" s="15">
        <f t="shared" ref="O430:O432" si="258">(N430/K430)-L430</f>
        <v>0</v>
      </c>
      <c r="P430" s="10" t="s">
        <v>78</v>
      </c>
      <c r="Q430" s="11" t="s">
        <v>1091</v>
      </c>
      <c r="R430" s="11" t="s">
        <v>1092</v>
      </c>
      <c r="S430" s="16" t="s">
        <v>1093</v>
      </c>
      <c r="T430" s="19" t="str">
        <f>MONTH(B430)&amp;"-"&amp;YEAR(B430)</f>
        <v>12-2020</v>
      </c>
      <c r="U430" s="2">
        <f>YEAR(B430)</f>
        <v>2020</v>
      </c>
      <c r="V430" s="2" t="str">
        <f>IF(DAY(B430)&gt;15,MONTH(B430)&amp;"-C",MONTH(B430)&amp;"-N")</f>
        <v>12-C</v>
      </c>
      <c r="W430" s="21">
        <v>3.75</v>
      </c>
      <c r="X430" s="2" t="b">
        <f t="shared" ref="X430:X432" si="259">+L430=W430</f>
        <v>1</v>
      </c>
    </row>
    <row r="431" spans="2:24" x14ac:dyDescent="0.2">
      <c r="B431" s="17">
        <v>44185</v>
      </c>
      <c r="C431" s="10" t="s">
        <v>80</v>
      </c>
      <c r="D431" s="11">
        <v>159390</v>
      </c>
      <c r="E431" s="26">
        <v>55591</v>
      </c>
      <c r="F431" s="10" t="s">
        <v>33</v>
      </c>
      <c r="G431" s="10" t="s">
        <v>27</v>
      </c>
      <c r="H431" s="27" t="s">
        <v>34</v>
      </c>
      <c r="I431" s="12"/>
      <c r="J431" s="12"/>
      <c r="K431" s="13">
        <v>720</v>
      </c>
      <c r="L431" s="21">
        <v>6.04</v>
      </c>
      <c r="M431" s="14" t="s">
        <v>14</v>
      </c>
      <c r="N431" s="13">
        <v>4348.8</v>
      </c>
      <c r="O431" s="15">
        <f t="shared" si="258"/>
        <v>0</v>
      </c>
      <c r="P431" s="10" t="s">
        <v>78</v>
      </c>
      <c r="Q431" s="11" t="s">
        <v>1091</v>
      </c>
      <c r="R431" s="11" t="s">
        <v>1092</v>
      </c>
      <c r="S431" s="16" t="s">
        <v>1093</v>
      </c>
      <c r="T431" s="19" t="str">
        <f>MONTH(B431)&amp;"-"&amp;YEAR(B431)</f>
        <v>12-2020</v>
      </c>
      <c r="U431" s="2">
        <f>YEAR(B431)</f>
        <v>2020</v>
      </c>
      <c r="V431" s="2" t="str">
        <f>IF(DAY(B431)&gt;15,MONTH(B431)&amp;"-C",MONTH(B431)&amp;"-N")</f>
        <v>12-C</v>
      </c>
      <c r="W431" s="21">
        <v>6.04</v>
      </c>
      <c r="X431" s="2" t="b">
        <f t="shared" si="259"/>
        <v>1</v>
      </c>
    </row>
    <row r="432" spans="2:24" x14ac:dyDescent="0.2">
      <c r="B432" s="17">
        <v>44185</v>
      </c>
      <c r="C432" s="10" t="s">
        <v>25</v>
      </c>
      <c r="D432" s="11">
        <v>159379</v>
      </c>
      <c r="E432" s="26">
        <v>55590</v>
      </c>
      <c r="F432" s="10" t="s">
        <v>26</v>
      </c>
      <c r="G432" s="10" t="s">
        <v>27</v>
      </c>
      <c r="H432" s="27" t="s">
        <v>28</v>
      </c>
      <c r="I432" s="12"/>
      <c r="J432" s="12"/>
      <c r="K432" s="13">
        <v>19800</v>
      </c>
      <c r="L432" s="21">
        <v>4.17</v>
      </c>
      <c r="M432" s="14" t="s">
        <v>14</v>
      </c>
      <c r="N432" s="13">
        <v>82566</v>
      </c>
      <c r="O432" s="15">
        <f t="shared" si="258"/>
        <v>0</v>
      </c>
      <c r="P432" s="10" t="s">
        <v>78</v>
      </c>
      <c r="Q432" s="11" t="s">
        <v>1094</v>
      </c>
      <c r="R432" s="11" t="s">
        <v>1095</v>
      </c>
      <c r="S432" s="16" t="s">
        <v>1096</v>
      </c>
      <c r="T432" s="19" t="str">
        <f>MONTH(B432)&amp;"-"&amp;YEAR(B432)</f>
        <v>12-2020</v>
      </c>
      <c r="U432" s="2">
        <f>YEAR(B432)</f>
        <v>2020</v>
      </c>
      <c r="V432" s="2" t="str">
        <f>IF(DAY(B432)&gt;15,MONTH(B432)&amp;"-C",MONTH(B432)&amp;"-N")</f>
        <v>12-C</v>
      </c>
      <c r="W432" s="21">
        <v>4.17</v>
      </c>
      <c r="X432" s="2" t="b">
        <f t="shared" si="259"/>
        <v>1</v>
      </c>
    </row>
    <row r="433" spans="2:24" x14ac:dyDescent="0.2">
      <c r="B433" s="17">
        <v>44189</v>
      </c>
      <c r="C433" s="10" t="s">
        <v>80</v>
      </c>
      <c r="D433" s="11">
        <v>159103</v>
      </c>
      <c r="E433" s="26">
        <v>55644</v>
      </c>
      <c r="F433" s="10" t="s">
        <v>26</v>
      </c>
      <c r="G433" s="10" t="s">
        <v>27</v>
      </c>
      <c r="H433" s="27" t="s">
        <v>28</v>
      </c>
      <c r="I433" s="12"/>
      <c r="J433" s="12"/>
      <c r="K433" s="13">
        <v>3600</v>
      </c>
      <c r="L433" s="21">
        <v>3.8</v>
      </c>
      <c r="M433" s="14" t="s">
        <v>14</v>
      </c>
      <c r="N433" s="13">
        <v>13680</v>
      </c>
      <c r="O433" s="15">
        <f t="shared" ref="O433" si="260">(N433/K433)-L433</f>
        <v>0</v>
      </c>
      <c r="P433" s="10" t="s">
        <v>78</v>
      </c>
      <c r="Q433" s="11" t="s">
        <v>1098</v>
      </c>
      <c r="R433" s="11" t="s">
        <v>1099</v>
      </c>
      <c r="S433" s="16" t="s">
        <v>1100</v>
      </c>
      <c r="T433" s="19" t="str">
        <f>MONTH(B433)&amp;"-"&amp;YEAR(B433)</f>
        <v>12-2020</v>
      </c>
      <c r="U433" s="2">
        <f>YEAR(B433)</f>
        <v>2020</v>
      </c>
      <c r="V433" s="2" t="str">
        <f>IF(DAY(B433)&gt;15,MONTH(B433)&amp;"-C",MONTH(B433)&amp;"-N")</f>
        <v>12-C</v>
      </c>
      <c r="W433" s="21">
        <v>3.8</v>
      </c>
      <c r="X433" s="2" t="b">
        <f t="shared" ref="X433" si="261">+L433=W433</f>
        <v>1</v>
      </c>
    </row>
    <row r="434" spans="2:24" x14ac:dyDescent="0.2">
      <c r="B434" s="17">
        <v>44192</v>
      </c>
      <c r="C434" s="10" t="s">
        <v>107</v>
      </c>
      <c r="D434" s="11">
        <v>159544</v>
      </c>
      <c r="E434" s="26">
        <v>55690</v>
      </c>
      <c r="F434" s="10" t="s">
        <v>103</v>
      </c>
      <c r="G434" s="10" t="s">
        <v>46</v>
      </c>
      <c r="H434" s="27" t="s">
        <v>104</v>
      </c>
      <c r="I434" s="12"/>
      <c r="J434" s="12"/>
      <c r="K434" s="13">
        <v>95</v>
      </c>
      <c r="L434" s="21">
        <v>37.200000000000003</v>
      </c>
      <c r="M434" s="14" t="s">
        <v>14</v>
      </c>
      <c r="N434" s="13">
        <v>3534</v>
      </c>
      <c r="O434" s="15">
        <f t="shared" ref="O434:O440" si="262">(N434/K434)-L434</f>
        <v>0</v>
      </c>
      <c r="P434" s="10" t="s">
        <v>84</v>
      </c>
      <c r="Q434" s="11" t="s">
        <v>1101</v>
      </c>
      <c r="R434" s="11" t="s">
        <v>1102</v>
      </c>
      <c r="S434" s="16" t="s">
        <v>1103</v>
      </c>
      <c r="T434" s="19" t="str">
        <f>MONTH(B434)&amp;"-"&amp;YEAR(B434)</f>
        <v>12-2020</v>
      </c>
      <c r="U434" s="2">
        <f>YEAR(B434)</f>
        <v>2020</v>
      </c>
      <c r="V434" s="2" t="str">
        <f>IF(DAY(B434)&gt;15,MONTH(B434)&amp;"-C",MONTH(B434)&amp;"-N")</f>
        <v>12-C</v>
      </c>
      <c r="W434" s="21">
        <v>37.200000000000003</v>
      </c>
      <c r="X434" s="2" t="b">
        <f t="shared" ref="X434:X440" si="263">+L434=W434</f>
        <v>1</v>
      </c>
    </row>
    <row r="435" spans="2:24" x14ac:dyDescent="0.2">
      <c r="B435" s="17">
        <v>44192</v>
      </c>
      <c r="C435" s="10" t="s">
        <v>107</v>
      </c>
      <c r="D435" s="11">
        <v>159544</v>
      </c>
      <c r="E435" s="26">
        <v>55690</v>
      </c>
      <c r="F435" s="10" t="s">
        <v>105</v>
      </c>
      <c r="G435" s="10" t="s">
        <v>46</v>
      </c>
      <c r="H435" s="27" t="s">
        <v>106</v>
      </c>
      <c r="I435" s="12"/>
      <c r="J435" s="12"/>
      <c r="K435" s="13">
        <v>3080</v>
      </c>
      <c r="L435" s="21">
        <v>12.3</v>
      </c>
      <c r="M435" s="14" t="s">
        <v>14</v>
      </c>
      <c r="N435" s="13">
        <v>37884</v>
      </c>
      <c r="O435" s="15">
        <f t="shared" si="262"/>
        <v>0</v>
      </c>
      <c r="P435" s="10" t="s">
        <v>84</v>
      </c>
      <c r="Q435" s="11" t="s">
        <v>1101</v>
      </c>
      <c r="R435" s="11" t="s">
        <v>1102</v>
      </c>
      <c r="S435" s="16" t="s">
        <v>1103</v>
      </c>
      <c r="T435" s="19" t="str">
        <f>MONTH(B435)&amp;"-"&amp;YEAR(B435)</f>
        <v>12-2020</v>
      </c>
      <c r="U435" s="2">
        <f>YEAR(B435)</f>
        <v>2020</v>
      </c>
      <c r="V435" s="2" t="str">
        <f>IF(DAY(B435)&gt;15,MONTH(B435)&amp;"-C",MONTH(B435)&amp;"-N")</f>
        <v>12-C</v>
      </c>
      <c r="W435" s="21">
        <v>12.3</v>
      </c>
      <c r="X435" s="2" t="b">
        <f t="shared" si="263"/>
        <v>1</v>
      </c>
    </row>
    <row r="436" spans="2:24" x14ac:dyDescent="0.2">
      <c r="B436" s="17">
        <v>44192</v>
      </c>
      <c r="C436" s="10" t="s">
        <v>1104</v>
      </c>
      <c r="D436" s="11">
        <v>159529</v>
      </c>
      <c r="E436" s="26">
        <v>55696</v>
      </c>
      <c r="F436" s="10" t="s">
        <v>115</v>
      </c>
      <c r="G436" s="10" t="s">
        <v>46</v>
      </c>
      <c r="H436" s="27" t="s">
        <v>116</v>
      </c>
      <c r="I436" s="12"/>
      <c r="J436" s="12"/>
      <c r="K436" s="13">
        <v>275</v>
      </c>
      <c r="L436" s="21">
        <v>7</v>
      </c>
      <c r="M436" s="14" t="s">
        <v>14</v>
      </c>
      <c r="N436" s="13">
        <v>1925</v>
      </c>
      <c r="O436" s="15">
        <f t="shared" si="262"/>
        <v>0</v>
      </c>
      <c r="P436" s="10" t="s">
        <v>84</v>
      </c>
      <c r="Q436" s="11" t="s">
        <v>1105</v>
      </c>
      <c r="R436" s="11" t="s">
        <v>1106</v>
      </c>
      <c r="S436" s="16" t="s">
        <v>41</v>
      </c>
      <c r="T436" s="19" t="str">
        <f>MONTH(B436)&amp;"-"&amp;YEAR(B436)</f>
        <v>12-2020</v>
      </c>
      <c r="U436" s="2">
        <f>YEAR(B436)</f>
        <v>2020</v>
      </c>
      <c r="V436" s="2" t="str">
        <f>IF(DAY(B436)&gt;15,MONTH(B436)&amp;"-C",MONTH(B436)&amp;"-N")</f>
        <v>12-C</v>
      </c>
      <c r="W436" s="21">
        <v>7</v>
      </c>
      <c r="X436" s="2" t="b">
        <f t="shared" si="263"/>
        <v>1</v>
      </c>
    </row>
    <row r="437" spans="2:24" x14ac:dyDescent="0.2">
      <c r="B437" s="17">
        <v>44192</v>
      </c>
      <c r="C437" s="10" t="s">
        <v>1104</v>
      </c>
      <c r="D437" s="11">
        <v>159529</v>
      </c>
      <c r="E437" s="26">
        <v>55696</v>
      </c>
      <c r="F437" s="10" t="s">
        <v>117</v>
      </c>
      <c r="G437" s="10" t="s">
        <v>46</v>
      </c>
      <c r="H437" s="27" t="s">
        <v>118</v>
      </c>
      <c r="I437" s="12"/>
      <c r="J437" s="12"/>
      <c r="K437" s="13">
        <v>500</v>
      </c>
      <c r="L437" s="21">
        <v>7</v>
      </c>
      <c r="M437" s="14" t="s">
        <v>14</v>
      </c>
      <c r="N437" s="13">
        <v>3500</v>
      </c>
      <c r="O437" s="15">
        <f t="shared" si="262"/>
        <v>0</v>
      </c>
      <c r="P437" s="10" t="s">
        <v>84</v>
      </c>
      <c r="Q437" s="11" t="s">
        <v>1105</v>
      </c>
      <c r="R437" s="11" t="s">
        <v>1106</v>
      </c>
      <c r="S437" s="16" t="s">
        <v>41</v>
      </c>
      <c r="T437" s="19" t="str">
        <f>MONTH(B437)&amp;"-"&amp;YEAR(B437)</f>
        <v>12-2020</v>
      </c>
      <c r="U437" s="2">
        <f>YEAR(B437)</f>
        <v>2020</v>
      </c>
      <c r="V437" s="2" t="str">
        <f>IF(DAY(B437)&gt;15,MONTH(B437)&amp;"-C",MONTH(B437)&amp;"-N")</f>
        <v>12-C</v>
      </c>
      <c r="W437" s="21">
        <v>7</v>
      </c>
      <c r="X437" s="2" t="b">
        <f t="shared" si="263"/>
        <v>1</v>
      </c>
    </row>
    <row r="438" spans="2:24" x14ac:dyDescent="0.2">
      <c r="B438" s="17">
        <v>44192</v>
      </c>
      <c r="C438" s="10" t="s">
        <v>80</v>
      </c>
      <c r="D438" s="11">
        <v>159390</v>
      </c>
      <c r="E438" s="26">
        <v>55688</v>
      </c>
      <c r="F438" s="10" t="s">
        <v>31</v>
      </c>
      <c r="G438" s="10" t="s">
        <v>27</v>
      </c>
      <c r="H438" s="27" t="s">
        <v>32</v>
      </c>
      <c r="I438" s="12"/>
      <c r="J438" s="12"/>
      <c r="K438" s="13">
        <v>1280</v>
      </c>
      <c r="L438" s="21">
        <v>3.75</v>
      </c>
      <c r="M438" s="14" t="s">
        <v>14</v>
      </c>
      <c r="N438" s="13">
        <v>4800</v>
      </c>
      <c r="O438" s="15">
        <f t="shared" si="262"/>
        <v>0</v>
      </c>
      <c r="P438" s="10" t="s">
        <v>78</v>
      </c>
      <c r="Q438" s="11" t="s">
        <v>1107</v>
      </c>
      <c r="R438" s="11" t="s">
        <v>1108</v>
      </c>
      <c r="S438" s="16" t="s">
        <v>1109</v>
      </c>
      <c r="T438" s="19" t="str">
        <f>MONTH(B438)&amp;"-"&amp;YEAR(B438)</f>
        <v>12-2020</v>
      </c>
      <c r="U438" s="2">
        <f>YEAR(B438)</f>
        <v>2020</v>
      </c>
      <c r="V438" s="2" t="str">
        <f>IF(DAY(B438)&gt;15,MONTH(B438)&amp;"-C",MONTH(B438)&amp;"-N")</f>
        <v>12-C</v>
      </c>
      <c r="W438" s="21">
        <v>3.75</v>
      </c>
      <c r="X438" s="2" t="b">
        <f t="shared" si="263"/>
        <v>1</v>
      </c>
    </row>
    <row r="439" spans="2:24" x14ac:dyDescent="0.2">
      <c r="B439" s="17">
        <v>44192</v>
      </c>
      <c r="C439" s="10" t="s">
        <v>80</v>
      </c>
      <c r="D439" s="11">
        <v>159390</v>
      </c>
      <c r="E439" s="26">
        <v>55688</v>
      </c>
      <c r="F439" s="10" t="s">
        <v>33</v>
      </c>
      <c r="G439" s="10" t="s">
        <v>27</v>
      </c>
      <c r="H439" s="27" t="s">
        <v>34</v>
      </c>
      <c r="I439" s="12"/>
      <c r="J439" s="12"/>
      <c r="K439" s="13">
        <v>720</v>
      </c>
      <c r="L439" s="21">
        <v>6.04</v>
      </c>
      <c r="M439" s="14" t="s">
        <v>14</v>
      </c>
      <c r="N439" s="13">
        <v>4348.8</v>
      </c>
      <c r="O439" s="15">
        <f t="shared" si="262"/>
        <v>0</v>
      </c>
      <c r="P439" s="10" t="s">
        <v>78</v>
      </c>
      <c r="Q439" s="11" t="s">
        <v>1107</v>
      </c>
      <c r="R439" s="11" t="s">
        <v>1108</v>
      </c>
      <c r="S439" s="16" t="s">
        <v>1109</v>
      </c>
      <c r="T439" s="19" t="str">
        <f>MONTH(B439)&amp;"-"&amp;YEAR(B439)</f>
        <v>12-2020</v>
      </c>
      <c r="U439" s="2">
        <f>YEAR(B439)</f>
        <v>2020</v>
      </c>
      <c r="V439" s="2" t="str">
        <f>IF(DAY(B439)&gt;15,MONTH(B439)&amp;"-C",MONTH(B439)&amp;"-N")</f>
        <v>12-C</v>
      </c>
      <c r="W439" s="21">
        <v>6.04</v>
      </c>
      <c r="X439" s="2" t="b">
        <f t="shared" si="263"/>
        <v>1</v>
      </c>
    </row>
    <row r="440" spans="2:24" x14ac:dyDescent="0.2">
      <c r="B440" s="17">
        <v>44192</v>
      </c>
      <c r="C440" s="10" t="s">
        <v>80</v>
      </c>
      <c r="D440" s="11">
        <v>159103</v>
      </c>
      <c r="E440" s="26">
        <v>55687</v>
      </c>
      <c r="F440" s="10" t="s">
        <v>26</v>
      </c>
      <c r="G440" s="10" t="s">
        <v>27</v>
      </c>
      <c r="H440" s="27" t="s">
        <v>28</v>
      </c>
      <c r="I440" s="12"/>
      <c r="J440" s="12"/>
      <c r="K440" s="13">
        <v>1800</v>
      </c>
      <c r="L440" s="21">
        <v>3.8</v>
      </c>
      <c r="M440" s="14" t="s">
        <v>14</v>
      </c>
      <c r="N440" s="13">
        <v>6840</v>
      </c>
      <c r="O440" s="15">
        <f t="shared" si="262"/>
        <v>0</v>
      </c>
      <c r="P440" s="10" t="s">
        <v>78</v>
      </c>
      <c r="Q440" s="11" t="s">
        <v>1110</v>
      </c>
      <c r="R440" s="11" t="s">
        <v>1111</v>
      </c>
      <c r="S440" s="16" t="s">
        <v>1112</v>
      </c>
      <c r="T440" s="19" t="str">
        <f>MONTH(B440)&amp;"-"&amp;YEAR(B440)</f>
        <v>12-2020</v>
      </c>
      <c r="U440" s="2">
        <f>YEAR(B440)</f>
        <v>2020</v>
      </c>
      <c r="V440" s="2" t="str">
        <f>IF(DAY(B440)&gt;15,MONTH(B440)&amp;"-C",MONTH(B440)&amp;"-N")</f>
        <v>12-C</v>
      </c>
      <c r="W440" s="21">
        <v>3.8</v>
      </c>
      <c r="X440" s="2" t="b">
        <f t="shared" si="263"/>
        <v>1</v>
      </c>
    </row>
    <row r="441" spans="2:24" x14ac:dyDescent="0.2">
      <c r="B441" s="17">
        <v>44193</v>
      </c>
      <c r="C441" s="10" t="s">
        <v>80</v>
      </c>
      <c r="D441" s="11">
        <v>159103</v>
      </c>
      <c r="E441" s="26">
        <v>55709</v>
      </c>
      <c r="F441" s="10" t="s">
        <v>26</v>
      </c>
      <c r="G441" s="10" t="s">
        <v>27</v>
      </c>
      <c r="H441" s="27" t="s">
        <v>28</v>
      </c>
      <c r="I441" s="12"/>
      <c r="J441" s="12"/>
      <c r="K441" s="13">
        <v>7200</v>
      </c>
      <c r="L441" s="21">
        <v>3.8</v>
      </c>
      <c r="M441" s="14" t="s">
        <v>14</v>
      </c>
      <c r="N441" s="13">
        <v>27360</v>
      </c>
      <c r="O441" s="15">
        <f t="shared" ref="O441" si="264">(N441/K441)-L441</f>
        <v>0</v>
      </c>
      <c r="P441" s="10" t="s">
        <v>78</v>
      </c>
      <c r="Q441" s="11" t="s">
        <v>1113</v>
      </c>
      <c r="R441" s="11" t="s">
        <v>1114</v>
      </c>
      <c r="S441" s="16" t="s">
        <v>1115</v>
      </c>
      <c r="T441" s="19" t="str">
        <f>MONTH(B441)&amp;"-"&amp;YEAR(B441)</f>
        <v>12-2020</v>
      </c>
      <c r="U441" s="2">
        <f>YEAR(B441)</f>
        <v>2020</v>
      </c>
      <c r="V441" s="2" t="str">
        <f>IF(DAY(B441)&gt;15,MONTH(B441)&amp;"-C",MONTH(B441)&amp;"-N")</f>
        <v>12-C</v>
      </c>
      <c r="W441" s="21">
        <v>3.8</v>
      </c>
      <c r="X441" s="2" t="b">
        <f t="shared" ref="X441" si="265">+L441=W441</f>
        <v>1</v>
      </c>
    </row>
    <row r="442" spans="2:24" x14ac:dyDescent="0.2">
      <c r="B442" s="17">
        <v>44199</v>
      </c>
      <c r="C442" s="10" t="s">
        <v>80</v>
      </c>
      <c r="D442" s="11">
        <v>159103</v>
      </c>
      <c r="E442" s="26">
        <v>55779</v>
      </c>
      <c r="F442" s="10" t="s">
        <v>26</v>
      </c>
      <c r="G442" s="10" t="s">
        <v>27</v>
      </c>
      <c r="H442" s="27" t="s">
        <v>28</v>
      </c>
      <c r="I442" s="12"/>
      <c r="J442" s="12"/>
      <c r="K442" s="13">
        <v>3600</v>
      </c>
      <c r="L442" s="21">
        <v>3.8</v>
      </c>
      <c r="M442" s="14" t="s">
        <v>14</v>
      </c>
      <c r="N442" s="13">
        <v>13680</v>
      </c>
      <c r="O442" s="15">
        <f t="shared" ref="O442" si="266">(N442/K442)-L442</f>
        <v>0</v>
      </c>
      <c r="P442" s="10" t="s">
        <v>78</v>
      </c>
      <c r="Q442" s="11" t="s">
        <v>1116</v>
      </c>
      <c r="R442" s="11" t="s">
        <v>1117</v>
      </c>
      <c r="S442" s="16" t="s">
        <v>1118</v>
      </c>
      <c r="T442" s="19" t="str">
        <f>MONTH(B442)&amp;"-"&amp;YEAR(B442)</f>
        <v>1-2021</v>
      </c>
      <c r="U442" s="2">
        <f>YEAR(B442)</f>
        <v>2021</v>
      </c>
      <c r="V442" s="2" t="str">
        <f>IF(DAY(B442)&gt;15,MONTH(B442)&amp;"-C",MONTH(B442)&amp;"-N")</f>
        <v>1-N</v>
      </c>
      <c r="W442" s="21">
        <v>3.8</v>
      </c>
      <c r="X442" s="2" t="b">
        <f t="shared" ref="X442" si="267">+L442=W442</f>
        <v>1</v>
      </c>
    </row>
    <row r="443" spans="2:24" x14ac:dyDescent="0.2">
      <c r="B443" s="17">
        <v>44200</v>
      </c>
      <c r="C443" s="10" t="s">
        <v>80</v>
      </c>
      <c r="D443" s="11">
        <v>159103</v>
      </c>
      <c r="E443" s="26">
        <v>55795</v>
      </c>
      <c r="F443" s="10" t="s">
        <v>26</v>
      </c>
      <c r="G443" s="10" t="s">
        <v>27</v>
      </c>
      <c r="H443" s="27" t="s">
        <v>28</v>
      </c>
      <c r="I443" s="12"/>
      <c r="J443" s="12"/>
      <c r="K443" s="13">
        <v>3600</v>
      </c>
      <c r="L443" s="21">
        <v>3.8</v>
      </c>
      <c r="M443" s="14" t="s">
        <v>14</v>
      </c>
      <c r="N443" s="13">
        <v>13680</v>
      </c>
      <c r="O443" s="15">
        <f t="shared" ref="O443:O448" si="268">(N443/K443)-L443</f>
        <v>0</v>
      </c>
      <c r="P443" s="10" t="s">
        <v>78</v>
      </c>
      <c r="Q443" s="11" t="s">
        <v>1119</v>
      </c>
      <c r="R443" s="11" t="s">
        <v>1120</v>
      </c>
      <c r="S443" s="16" t="s">
        <v>1121</v>
      </c>
      <c r="T443" s="19" t="str">
        <f>MONTH(B443)&amp;"-"&amp;YEAR(B443)</f>
        <v>1-2021</v>
      </c>
      <c r="U443" s="2">
        <f>YEAR(B443)</f>
        <v>2021</v>
      </c>
      <c r="V443" s="2" t="str">
        <f>IF(DAY(B443)&gt;15,MONTH(B443)&amp;"-C",MONTH(B443)&amp;"-N")</f>
        <v>1-N</v>
      </c>
      <c r="W443" s="21">
        <v>3.8</v>
      </c>
      <c r="X443" s="2" t="b">
        <f t="shared" ref="X443:X448" si="269">+L443=W443</f>
        <v>1</v>
      </c>
    </row>
    <row r="444" spans="2:24" x14ac:dyDescent="0.2">
      <c r="B444" s="17">
        <v>44201</v>
      </c>
      <c r="C444" s="10" t="s">
        <v>80</v>
      </c>
      <c r="D444" s="11">
        <v>159103</v>
      </c>
      <c r="E444" s="26">
        <v>55818</v>
      </c>
      <c r="F444" s="10" t="s">
        <v>26</v>
      </c>
      <c r="G444" s="10" t="s">
        <v>27</v>
      </c>
      <c r="H444" s="27" t="s">
        <v>28</v>
      </c>
      <c r="I444" s="12"/>
      <c r="J444" s="12"/>
      <c r="K444" s="13">
        <v>1800</v>
      </c>
      <c r="L444" s="21">
        <v>3.8</v>
      </c>
      <c r="M444" s="14" t="s">
        <v>14</v>
      </c>
      <c r="N444" s="13">
        <v>6840</v>
      </c>
      <c r="O444" s="15">
        <f t="shared" si="268"/>
        <v>0</v>
      </c>
      <c r="P444" s="10" t="s">
        <v>78</v>
      </c>
      <c r="Q444" s="11" t="s">
        <v>1122</v>
      </c>
      <c r="R444" s="11" t="s">
        <v>1123</v>
      </c>
      <c r="S444" s="16" t="s">
        <v>1124</v>
      </c>
      <c r="T444" s="19" t="str">
        <f>MONTH(B444)&amp;"-"&amp;YEAR(B444)</f>
        <v>1-2021</v>
      </c>
      <c r="U444" s="2">
        <f>YEAR(B444)</f>
        <v>2021</v>
      </c>
      <c r="V444" s="2" t="str">
        <f>IF(DAY(B444)&gt;15,MONTH(B444)&amp;"-C",MONTH(B444)&amp;"-N")</f>
        <v>1-N</v>
      </c>
      <c r="W444" s="21">
        <v>3.8</v>
      </c>
      <c r="X444" s="2" t="b">
        <f t="shared" si="269"/>
        <v>1</v>
      </c>
    </row>
    <row r="445" spans="2:24" x14ac:dyDescent="0.2">
      <c r="B445" s="17">
        <v>44201</v>
      </c>
      <c r="C445" s="10" t="s">
        <v>48</v>
      </c>
      <c r="D445" s="11">
        <v>156661</v>
      </c>
      <c r="E445" s="26">
        <v>55852</v>
      </c>
      <c r="F445" s="10" t="s">
        <v>135</v>
      </c>
      <c r="G445" s="10" t="s">
        <v>46</v>
      </c>
      <c r="H445" s="27" t="s">
        <v>136</v>
      </c>
      <c r="I445" s="12"/>
      <c r="J445" s="12"/>
      <c r="K445" s="13">
        <v>2600</v>
      </c>
      <c r="L445" s="21">
        <v>10.656000000000001</v>
      </c>
      <c r="M445" s="14" t="s">
        <v>14</v>
      </c>
      <c r="N445" s="13">
        <v>27705.599999999999</v>
      </c>
      <c r="O445" s="15">
        <f t="shared" si="268"/>
        <v>0</v>
      </c>
      <c r="P445" s="10" t="s">
        <v>90</v>
      </c>
      <c r="Q445" s="11" t="s">
        <v>1125</v>
      </c>
      <c r="R445" s="11" t="s">
        <v>1126</v>
      </c>
      <c r="S445" s="16" t="s">
        <v>1127</v>
      </c>
      <c r="T445" s="19" t="str">
        <f>MONTH(B445)&amp;"-"&amp;YEAR(B445)</f>
        <v>1-2021</v>
      </c>
      <c r="U445" s="2">
        <f>YEAR(B445)</f>
        <v>2021</v>
      </c>
      <c r="V445" s="2" t="str">
        <f>IF(DAY(B445)&gt;15,MONTH(B445)&amp;"-C",MONTH(B445)&amp;"-N")</f>
        <v>1-N</v>
      </c>
      <c r="W445" s="21">
        <v>10.656000000000001</v>
      </c>
      <c r="X445" s="2" t="b">
        <f t="shared" si="269"/>
        <v>1</v>
      </c>
    </row>
    <row r="446" spans="2:24" x14ac:dyDescent="0.2">
      <c r="B446" s="17">
        <v>44201</v>
      </c>
      <c r="C446" s="10" t="s">
        <v>48</v>
      </c>
      <c r="D446" s="11">
        <v>156661</v>
      </c>
      <c r="E446" s="26">
        <v>55852</v>
      </c>
      <c r="F446" s="10" t="s">
        <v>71</v>
      </c>
      <c r="G446" s="10" t="s">
        <v>46</v>
      </c>
      <c r="H446" s="27" t="s">
        <v>72</v>
      </c>
      <c r="I446" s="12"/>
      <c r="J446" s="12"/>
      <c r="K446" s="13">
        <v>3400</v>
      </c>
      <c r="L446" s="21">
        <v>10.656000000000001</v>
      </c>
      <c r="M446" s="14" t="s">
        <v>14</v>
      </c>
      <c r="N446" s="13">
        <v>36230.400000000001</v>
      </c>
      <c r="O446" s="15">
        <f t="shared" si="268"/>
        <v>0</v>
      </c>
      <c r="P446" s="10" t="s">
        <v>90</v>
      </c>
      <c r="Q446" s="11" t="s">
        <v>1125</v>
      </c>
      <c r="R446" s="11" t="s">
        <v>1126</v>
      </c>
      <c r="S446" s="16" t="s">
        <v>1127</v>
      </c>
      <c r="T446" s="19" t="str">
        <f>MONTH(B446)&amp;"-"&amp;YEAR(B446)</f>
        <v>1-2021</v>
      </c>
      <c r="U446" s="2">
        <f>YEAR(B446)</f>
        <v>2021</v>
      </c>
      <c r="V446" s="2" t="str">
        <f>IF(DAY(B446)&gt;15,MONTH(B446)&amp;"-C",MONTH(B446)&amp;"-N")</f>
        <v>1-N</v>
      </c>
      <c r="W446" s="21">
        <v>10.656000000000001</v>
      </c>
      <c r="X446" s="2" t="b">
        <f t="shared" si="269"/>
        <v>1</v>
      </c>
    </row>
    <row r="447" spans="2:24" x14ac:dyDescent="0.2">
      <c r="B447" s="17">
        <v>44201</v>
      </c>
      <c r="C447" s="10" t="s">
        <v>48</v>
      </c>
      <c r="D447" s="11">
        <v>159747</v>
      </c>
      <c r="E447" s="26">
        <v>55852</v>
      </c>
      <c r="F447" s="10" t="s">
        <v>71</v>
      </c>
      <c r="G447" s="10" t="s">
        <v>46</v>
      </c>
      <c r="H447" s="27" t="s">
        <v>72</v>
      </c>
      <c r="I447" s="12"/>
      <c r="J447" s="12"/>
      <c r="K447" s="13">
        <v>10000</v>
      </c>
      <c r="L447" s="21">
        <v>10.656000000000001</v>
      </c>
      <c r="M447" s="14" t="s">
        <v>14</v>
      </c>
      <c r="N447" s="13">
        <v>106560</v>
      </c>
      <c r="O447" s="15">
        <f t="shared" si="268"/>
        <v>0</v>
      </c>
      <c r="P447" s="10" t="s">
        <v>90</v>
      </c>
      <c r="Q447" s="11" t="s">
        <v>1125</v>
      </c>
      <c r="R447" s="11" t="s">
        <v>1126</v>
      </c>
      <c r="S447" s="16" t="s">
        <v>1127</v>
      </c>
      <c r="T447" s="19" t="str">
        <f>MONTH(B447)&amp;"-"&amp;YEAR(B447)</f>
        <v>1-2021</v>
      </c>
      <c r="U447" s="2">
        <f>YEAR(B447)</f>
        <v>2021</v>
      </c>
      <c r="V447" s="2" t="str">
        <f>IF(DAY(B447)&gt;15,MONTH(B447)&amp;"-C",MONTH(B447)&amp;"-N")</f>
        <v>1-N</v>
      </c>
      <c r="W447" s="21">
        <v>10.656000000000001</v>
      </c>
      <c r="X447" s="2" t="b">
        <f t="shared" si="269"/>
        <v>1</v>
      </c>
    </row>
    <row r="448" spans="2:24" x14ac:dyDescent="0.2">
      <c r="B448" s="17">
        <v>44201</v>
      </c>
      <c r="C448" s="10" t="s">
        <v>25</v>
      </c>
      <c r="D448" s="11">
        <v>159379</v>
      </c>
      <c r="E448" s="26">
        <v>55817</v>
      </c>
      <c r="F448" s="10" t="s">
        <v>26</v>
      </c>
      <c r="G448" s="10" t="s">
        <v>27</v>
      </c>
      <c r="H448" s="27" t="s">
        <v>28</v>
      </c>
      <c r="I448" s="12"/>
      <c r="J448" s="12"/>
      <c r="K448" s="13">
        <v>20700</v>
      </c>
      <c r="L448" s="21">
        <v>4.17</v>
      </c>
      <c r="M448" s="14" t="s">
        <v>14</v>
      </c>
      <c r="N448" s="13">
        <v>86319</v>
      </c>
      <c r="O448" s="15">
        <f t="shared" si="268"/>
        <v>0</v>
      </c>
      <c r="P448" s="10" t="s">
        <v>78</v>
      </c>
      <c r="Q448" s="11" t="s">
        <v>1128</v>
      </c>
      <c r="R448" s="11" t="s">
        <v>1129</v>
      </c>
      <c r="S448" s="16" t="s">
        <v>1130</v>
      </c>
      <c r="T448" s="19" t="str">
        <f>MONTH(B448)&amp;"-"&amp;YEAR(B448)</f>
        <v>1-2021</v>
      </c>
      <c r="U448" s="2">
        <f>YEAR(B448)</f>
        <v>2021</v>
      </c>
      <c r="V448" s="2" t="str">
        <f>IF(DAY(B448)&gt;15,MONTH(B448)&amp;"-C",MONTH(B448)&amp;"-N")</f>
        <v>1-N</v>
      </c>
      <c r="W448" s="21">
        <v>4.17</v>
      </c>
      <c r="X448" s="2" t="b">
        <f t="shared" si="269"/>
        <v>1</v>
      </c>
    </row>
    <row r="449" spans="2:24" x14ac:dyDescent="0.2">
      <c r="B449" s="17">
        <v>44205</v>
      </c>
      <c r="C449" s="10" t="s">
        <v>107</v>
      </c>
      <c r="D449" s="11">
        <v>159102</v>
      </c>
      <c r="E449" s="26">
        <v>55869</v>
      </c>
      <c r="F449" s="10" t="s">
        <v>103</v>
      </c>
      <c r="G449" s="10" t="s">
        <v>46</v>
      </c>
      <c r="H449" s="27" t="s">
        <v>104</v>
      </c>
      <c r="I449" s="12"/>
      <c r="J449" s="12"/>
      <c r="K449" s="13">
        <v>175</v>
      </c>
      <c r="L449" s="21">
        <v>37.200000000000003</v>
      </c>
      <c r="M449" s="14" t="s">
        <v>14</v>
      </c>
      <c r="N449" s="13">
        <v>6510</v>
      </c>
      <c r="O449" s="15">
        <f t="shared" ref="O449:O454" si="270">(N449/K449)-L449</f>
        <v>0</v>
      </c>
      <c r="P449" s="10" t="s">
        <v>84</v>
      </c>
      <c r="Q449" s="11" t="s">
        <v>1132</v>
      </c>
      <c r="R449" s="11" t="s">
        <v>1133</v>
      </c>
      <c r="S449" s="16" t="s">
        <v>1131</v>
      </c>
      <c r="T449" s="19" t="str">
        <f>MONTH(B449)&amp;"-"&amp;YEAR(B449)</f>
        <v>1-2021</v>
      </c>
      <c r="U449" s="2">
        <f>YEAR(B449)</f>
        <v>2021</v>
      </c>
      <c r="V449" s="2" t="str">
        <f>IF(DAY(B449)&gt;15,MONTH(B449)&amp;"-C",MONTH(B449)&amp;"-N")</f>
        <v>1-N</v>
      </c>
      <c r="W449" s="21">
        <v>37.200000000000003</v>
      </c>
      <c r="X449" s="2" t="b">
        <f t="shared" ref="X449:X454" si="271">+L449=W449</f>
        <v>1</v>
      </c>
    </row>
    <row r="450" spans="2:24" x14ac:dyDescent="0.2">
      <c r="B450" s="17">
        <v>44205</v>
      </c>
      <c r="C450" s="10" t="s">
        <v>107</v>
      </c>
      <c r="D450" s="11">
        <v>159102</v>
      </c>
      <c r="E450" s="26">
        <v>55869</v>
      </c>
      <c r="F450" s="10" t="s">
        <v>105</v>
      </c>
      <c r="G450" s="10" t="s">
        <v>46</v>
      </c>
      <c r="H450" s="27" t="s">
        <v>106</v>
      </c>
      <c r="I450" s="12"/>
      <c r="J450" s="12"/>
      <c r="K450" s="13">
        <v>5720</v>
      </c>
      <c r="L450" s="21">
        <v>12.3</v>
      </c>
      <c r="M450" s="14" t="s">
        <v>14</v>
      </c>
      <c r="N450" s="13">
        <v>70356</v>
      </c>
      <c r="O450" s="15">
        <f t="shared" si="270"/>
        <v>0</v>
      </c>
      <c r="P450" s="10" t="s">
        <v>84</v>
      </c>
      <c r="Q450" s="11" t="s">
        <v>1132</v>
      </c>
      <c r="R450" s="11" t="s">
        <v>1133</v>
      </c>
      <c r="S450" s="16" t="s">
        <v>1131</v>
      </c>
      <c r="T450" s="19" t="str">
        <f>MONTH(B450)&amp;"-"&amp;YEAR(B450)</f>
        <v>1-2021</v>
      </c>
      <c r="U450" s="2">
        <f>YEAR(B450)</f>
        <v>2021</v>
      </c>
      <c r="V450" s="2" t="str">
        <f>IF(DAY(B450)&gt;15,MONTH(B450)&amp;"-C",MONTH(B450)&amp;"-N")</f>
        <v>1-N</v>
      </c>
      <c r="W450" s="21">
        <v>12.3</v>
      </c>
      <c r="X450" s="2" t="b">
        <f t="shared" si="271"/>
        <v>1</v>
      </c>
    </row>
    <row r="451" spans="2:24" x14ac:dyDescent="0.2">
      <c r="B451" s="17">
        <v>44205</v>
      </c>
      <c r="C451" s="10" t="s">
        <v>107</v>
      </c>
      <c r="D451" s="11">
        <v>159544</v>
      </c>
      <c r="E451" s="26">
        <v>55868</v>
      </c>
      <c r="F451" s="10" t="s">
        <v>103</v>
      </c>
      <c r="G451" s="10" t="s">
        <v>46</v>
      </c>
      <c r="H451" s="27" t="s">
        <v>104</v>
      </c>
      <c r="I451" s="12"/>
      <c r="J451" s="12"/>
      <c r="K451" s="13">
        <v>45</v>
      </c>
      <c r="L451" s="21">
        <v>37.200000000000003</v>
      </c>
      <c r="M451" s="14" t="s">
        <v>14</v>
      </c>
      <c r="N451" s="13">
        <v>1674</v>
      </c>
      <c r="O451" s="15">
        <f t="shared" si="270"/>
        <v>0</v>
      </c>
      <c r="P451" s="10" t="s">
        <v>84</v>
      </c>
      <c r="Q451" s="11" t="s">
        <v>1134</v>
      </c>
      <c r="R451" s="11" t="s">
        <v>1135</v>
      </c>
      <c r="S451" s="16" t="s">
        <v>1136</v>
      </c>
      <c r="T451" s="19" t="str">
        <f>MONTH(B451)&amp;"-"&amp;YEAR(B451)</f>
        <v>1-2021</v>
      </c>
      <c r="U451" s="2">
        <f>YEAR(B451)</f>
        <v>2021</v>
      </c>
      <c r="V451" s="2" t="str">
        <f>IF(DAY(B451)&gt;15,MONTH(B451)&amp;"-C",MONTH(B451)&amp;"-N")</f>
        <v>1-N</v>
      </c>
      <c r="W451" s="21">
        <v>37.200000000000003</v>
      </c>
      <c r="X451" s="2" t="b">
        <f t="shared" si="271"/>
        <v>1</v>
      </c>
    </row>
    <row r="452" spans="2:24" x14ac:dyDescent="0.2">
      <c r="B452" s="17">
        <v>44206</v>
      </c>
      <c r="C452" s="10" t="s">
        <v>25</v>
      </c>
      <c r="D452" s="11">
        <v>159338</v>
      </c>
      <c r="E452" s="26">
        <v>55895</v>
      </c>
      <c r="F452" s="10" t="s">
        <v>29</v>
      </c>
      <c r="G452" s="10" t="s">
        <v>27</v>
      </c>
      <c r="H452" s="27" t="s">
        <v>30</v>
      </c>
      <c r="I452" s="12"/>
      <c r="J452" s="12"/>
      <c r="K452" s="13">
        <v>1155</v>
      </c>
      <c r="L452" s="21">
        <v>3.42</v>
      </c>
      <c r="M452" s="14" t="s">
        <v>14</v>
      </c>
      <c r="N452" s="13">
        <v>3950.1</v>
      </c>
      <c r="O452" s="15">
        <f t="shared" si="270"/>
        <v>0</v>
      </c>
      <c r="P452" s="10" t="s">
        <v>78</v>
      </c>
      <c r="Q452" s="11" t="s">
        <v>1137</v>
      </c>
      <c r="R452" s="11" t="s">
        <v>1138</v>
      </c>
      <c r="S452" s="16" t="s">
        <v>1139</v>
      </c>
      <c r="T452" s="19" t="str">
        <f>MONTH(B452)&amp;"-"&amp;YEAR(B452)</f>
        <v>1-2021</v>
      </c>
      <c r="U452" s="2">
        <f>YEAR(B452)</f>
        <v>2021</v>
      </c>
      <c r="V452" s="2" t="str">
        <f>IF(DAY(B452)&gt;15,MONTH(B452)&amp;"-C",MONTH(B452)&amp;"-N")</f>
        <v>1-N</v>
      </c>
      <c r="W452" s="21">
        <v>3.42</v>
      </c>
      <c r="X452" s="2" t="b">
        <f t="shared" si="271"/>
        <v>1</v>
      </c>
    </row>
    <row r="453" spans="2:24" x14ac:dyDescent="0.2">
      <c r="B453" s="17">
        <v>44206</v>
      </c>
      <c r="C453" s="10" t="s">
        <v>25</v>
      </c>
      <c r="D453" s="11">
        <v>159338</v>
      </c>
      <c r="E453" s="26">
        <v>55895</v>
      </c>
      <c r="F453" s="10" t="s">
        <v>33</v>
      </c>
      <c r="G453" s="10" t="s">
        <v>27</v>
      </c>
      <c r="H453" s="27" t="s">
        <v>34</v>
      </c>
      <c r="I453" s="12"/>
      <c r="J453" s="12"/>
      <c r="K453" s="13">
        <v>900</v>
      </c>
      <c r="L453" s="21">
        <v>5.45</v>
      </c>
      <c r="M453" s="14" t="s">
        <v>14</v>
      </c>
      <c r="N453" s="13">
        <v>4905</v>
      </c>
      <c r="O453" s="15">
        <f t="shared" si="270"/>
        <v>0</v>
      </c>
      <c r="P453" s="10" t="s">
        <v>78</v>
      </c>
      <c r="Q453" s="11" t="s">
        <v>1137</v>
      </c>
      <c r="R453" s="11" t="s">
        <v>1138</v>
      </c>
      <c r="S453" s="16" t="s">
        <v>1139</v>
      </c>
      <c r="T453" s="19" t="str">
        <f>MONTH(B453)&amp;"-"&amp;YEAR(B453)</f>
        <v>1-2021</v>
      </c>
      <c r="U453" s="2">
        <f>YEAR(B453)</f>
        <v>2021</v>
      </c>
      <c r="V453" s="2" t="str">
        <f>IF(DAY(B453)&gt;15,MONTH(B453)&amp;"-C",MONTH(B453)&amp;"-N")</f>
        <v>1-N</v>
      </c>
      <c r="W453" s="21">
        <v>5.45</v>
      </c>
      <c r="X453" s="2" t="b">
        <f t="shared" si="271"/>
        <v>1</v>
      </c>
    </row>
    <row r="454" spans="2:24" x14ac:dyDescent="0.2">
      <c r="B454" s="17">
        <v>44206</v>
      </c>
      <c r="C454" s="10" t="s">
        <v>82</v>
      </c>
      <c r="D454" s="11">
        <v>159386</v>
      </c>
      <c r="E454" s="26">
        <v>55885</v>
      </c>
      <c r="F454" s="10" t="s">
        <v>33</v>
      </c>
      <c r="G454" s="10" t="s">
        <v>27</v>
      </c>
      <c r="H454" s="27" t="s">
        <v>34</v>
      </c>
      <c r="I454" s="12"/>
      <c r="J454" s="12"/>
      <c r="K454" s="13">
        <v>720</v>
      </c>
      <c r="L454" s="21">
        <v>6.75</v>
      </c>
      <c r="M454" s="14" t="s">
        <v>14</v>
      </c>
      <c r="N454" s="13">
        <v>4860</v>
      </c>
      <c r="O454" s="15">
        <f t="shared" si="270"/>
        <v>0</v>
      </c>
      <c r="P454" s="10" t="s">
        <v>78</v>
      </c>
      <c r="Q454" s="11" t="s">
        <v>1140</v>
      </c>
      <c r="R454" s="11" t="s">
        <v>1141</v>
      </c>
      <c r="S454" s="16" t="s">
        <v>1142</v>
      </c>
      <c r="T454" s="19" t="str">
        <f>MONTH(B454)&amp;"-"&amp;YEAR(B454)</f>
        <v>1-2021</v>
      </c>
      <c r="U454" s="2">
        <f>YEAR(B454)</f>
        <v>2021</v>
      </c>
      <c r="V454" s="2" t="str">
        <f>IF(DAY(B454)&gt;15,MONTH(B454)&amp;"-C",MONTH(B454)&amp;"-N")</f>
        <v>1-N</v>
      </c>
      <c r="W454" s="21">
        <v>6.75</v>
      </c>
      <c r="X454" s="2" t="b">
        <f t="shared" si="271"/>
        <v>1</v>
      </c>
    </row>
    <row r="455" spans="2:24" x14ac:dyDescent="0.2">
      <c r="B455" s="17">
        <v>44208</v>
      </c>
      <c r="C455" s="10" t="s">
        <v>25</v>
      </c>
      <c r="D455" s="11">
        <v>159379</v>
      </c>
      <c r="E455" s="26">
        <v>55927</v>
      </c>
      <c r="F455" s="10" t="s">
        <v>26</v>
      </c>
      <c r="G455" s="10" t="s">
        <v>27</v>
      </c>
      <c r="H455" s="27" t="s">
        <v>28</v>
      </c>
      <c r="I455" s="12"/>
      <c r="J455" s="12"/>
      <c r="K455" s="13">
        <v>19800</v>
      </c>
      <c r="L455" s="21">
        <v>4.17</v>
      </c>
      <c r="M455" s="14" t="s">
        <v>14</v>
      </c>
      <c r="N455" s="13">
        <v>82566</v>
      </c>
      <c r="O455" s="15">
        <f t="shared" ref="O455:O457" si="272">(N455/K455)-L455</f>
        <v>0</v>
      </c>
      <c r="P455" s="10" t="s">
        <v>78</v>
      </c>
      <c r="Q455" s="11" t="s">
        <v>1143</v>
      </c>
      <c r="R455" s="11" t="s">
        <v>1144</v>
      </c>
      <c r="S455" s="16" t="s">
        <v>1145</v>
      </c>
      <c r="T455" s="19" t="str">
        <f>MONTH(B455)&amp;"-"&amp;YEAR(B455)</f>
        <v>1-2021</v>
      </c>
      <c r="U455" s="2">
        <f>YEAR(B455)</f>
        <v>2021</v>
      </c>
      <c r="V455" s="2" t="str">
        <f>IF(DAY(B455)&gt;15,MONTH(B455)&amp;"-C",MONTH(B455)&amp;"-N")</f>
        <v>1-N</v>
      </c>
      <c r="W455" s="21">
        <v>4.17</v>
      </c>
      <c r="X455" s="2" t="b">
        <f t="shared" ref="X455:X457" si="273">+L455=W455</f>
        <v>1</v>
      </c>
    </row>
    <row r="456" spans="2:24" x14ac:dyDescent="0.2">
      <c r="B456" s="17">
        <v>44208</v>
      </c>
      <c r="C456" s="10" t="s">
        <v>107</v>
      </c>
      <c r="D456" s="11">
        <v>159746</v>
      </c>
      <c r="E456" s="26">
        <v>55943</v>
      </c>
      <c r="F456" s="10" t="s">
        <v>142</v>
      </c>
      <c r="G456" s="10" t="s">
        <v>46</v>
      </c>
      <c r="H456" s="27" t="s">
        <v>143</v>
      </c>
      <c r="I456" s="12"/>
      <c r="J456" s="12"/>
      <c r="K456" s="13">
        <v>2200</v>
      </c>
      <c r="L456" s="21">
        <v>9</v>
      </c>
      <c r="M456" s="14" t="s">
        <v>14</v>
      </c>
      <c r="N456" s="13">
        <v>19800</v>
      </c>
      <c r="O456" s="15">
        <f t="shared" si="272"/>
        <v>0</v>
      </c>
      <c r="P456" s="10" t="s">
        <v>84</v>
      </c>
      <c r="Q456" s="11" t="s">
        <v>1146</v>
      </c>
      <c r="R456" s="11" t="s">
        <v>1147</v>
      </c>
      <c r="S456" s="16" t="s">
        <v>1148</v>
      </c>
      <c r="T456" s="19" t="str">
        <f>MONTH(B456)&amp;"-"&amp;YEAR(B456)</f>
        <v>1-2021</v>
      </c>
      <c r="U456" s="2">
        <f>YEAR(B456)</f>
        <v>2021</v>
      </c>
      <c r="V456" s="2" t="str">
        <f>IF(DAY(B456)&gt;15,MONTH(B456)&amp;"-C",MONTH(B456)&amp;"-N")</f>
        <v>1-N</v>
      </c>
      <c r="W456" s="21">
        <v>9</v>
      </c>
      <c r="X456" s="2" t="b">
        <f t="shared" si="273"/>
        <v>1</v>
      </c>
    </row>
    <row r="457" spans="2:24" x14ac:dyDescent="0.2">
      <c r="B457" s="17">
        <v>44208</v>
      </c>
      <c r="C457" s="10" t="s">
        <v>107</v>
      </c>
      <c r="D457" s="11">
        <v>159746</v>
      </c>
      <c r="E457" s="26">
        <v>55943</v>
      </c>
      <c r="F457" s="10" t="s">
        <v>144</v>
      </c>
      <c r="G457" s="10" t="s">
        <v>46</v>
      </c>
      <c r="H457" s="27" t="s">
        <v>145</v>
      </c>
      <c r="I457" s="12"/>
      <c r="J457" s="12"/>
      <c r="K457" s="13">
        <v>340</v>
      </c>
      <c r="L457" s="21">
        <v>9</v>
      </c>
      <c r="M457" s="14" t="s">
        <v>14</v>
      </c>
      <c r="N457" s="13">
        <v>3060</v>
      </c>
      <c r="O457" s="15">
        <f t="shared" si="272"/>
        <v>0</v>
      </c>
      <c r="P457" s="10" t="s">
        <v>84</v>
      </c>
      <c r="Q457" s="11" t="s">
        <v>1146</v>
      </c>
      <c r="R457" s="11" t="s">
        <v>1147</v>
      </c>
      <c r="S457" s="16" t="s">
        <v>1148</v>
      </c>
      <c r="T457" s="19" t="str">
        <f>MONTH(B457)&amp;"-"&amp;YEAR(B457)</f>
        <v>1-2021</v>
      </c>
      <c r="U457" s="2">
        <f>YEAR(B457)</f>
        <v>2021</v>
      </c>
      <c r="V457" s="2" t="str">
        <f>IF(DAY(B457)&gt;15,MONTH(B457)&amp;"-C",MONTH(B457)&amp;"-N")</f>
        <v>1-N</v>
      </c>
      <c r="W457" s="21">
        <v>9</v>
      </c>
      <c r="X457" s="2" t="b">
        <f t="shared" si="273"/>
        <v>1</v>
      </c>
    </row>
    <row r="458" spans="2:24" x14ac:dyDescent="0.2">
      <c r="B458" s="17">
        <v>44213</v>
      </c>
      <c r="C458" s="10" t="s">
        <v>1104</v>
      </c>
      <c r="D458" s="11">
        <v>159876</v>
      </c>
      <c r="E458" s="26">
        <v>56050</v>
      </c>
      <c r="F458" s="10" t="s">
        <v>113</v>
      </c>
      <c r="G458" s="10" t="s">
        <v>46</v>
      </c>
      <c r="H458" s="27" t="s">
        <v>114</v>
      </c>
      <c r="I458" s="12" t="s">
        <v>41</v>
      </c>
      <c r="J458" s="12" t="s">
        <v>41</v>
      </c>
      <c r="K458" s="13">
        <v>200</v>
      </c>
      <c r="L458" s="21">
        <v>12.5</v>
      </c>
      <c r="M458" s="14" t="s">
        <v>14</v>
      </c>
      <c r="N458" s="13">
        <v>2500</v>
      </c>
      <c r="O458" s="15">
        <f t="shared" ref="O458:O460" si="274">(N458/K458)-L458</f>
        <v>0</v>
      </c>
      <c r="P458" s="10" t="s">
        <v>84</v>
      </c>
      <c r="Q458" s="11" t="s">
        <v>1149</v>
      </c>
      <c r="R458" s="11" t="s">
        <v>1150</v>
      </c>
      <c r="S458" s="16" t="s">
        <v>1151</v>
      </c>
      <c r="T458" s="19" t="str">
        <f>MONTH(B458)&amp;"-"&amp;YEAR(B458)</f>
        <v>1-2021</v>
      </c>
      <c r="U458" s="2">
        <f>YEAR(B458)</f>
        <v>2021</v>
      </c>
      <c r="V458" s="2" t="str">
        <f>IF(DAY(B458)&gt;15,MONTH(B458)&amp;"-C",MONTH(B458)&amp;"-N")</f>
        <v>1-C</v>
      </c>
      <c r="W458" s="21">
        <v>12.5</v>
      </c>
      <c r="X458" s="2" t="b">
        <f t="shared" ref="X458:X460" si="275">+L458=W458</f>
        <v>1</v>
      </c>
    </row>
    <row r="459" spans="2:24" x14ac:dyDescent="0.2">
      <c r="B459" s="17">
        <v>44213</v>
      </c>
      <c r="C459" s="10" t="s">
        <v>1104</v>
      </c>
      <c r="D459" s="11">
        <v>159876</v>
      </c>
      <c r="E459" s="26">
        <v>56050</v>
      </c>
      <c r="F459" s="10" t="s">
        <v>115</v>
      </c>
      <c r="G459" s="10" t="s">
        <v>46</v>
      </c>
      <c r="H459" s="27" t="s">
        <v>116</v>
      </c>
      <c r="I459" s="12" t="s">
        <v>41</v>
      </c>
      <c r="J459" s="12" t="s">
        <v>41</v>
      </c>
      <c r="K459" s="13">
        <v>800</v>
      </c>
      <c r="L459" s="21">
        <v>10.1</v>
      </c>
      <c r="M459" s="14" t="s">
        <v>14</v>
      </c>
      <c r="N459" s="13">
        <v>8080</v>
      </c>
      <c r="O459" s="15">
        <f t="shared" si="274"/>
        <v>0</v>
      </c>
      <c r="P459" s="10" t="s">
        <v>84</v>
      </c>
      <c r="Q459" s="11" t="s">
        <v>1149</v>
      </c>
      <c r="R459" s="11" t="s">
        <v>1150</v>
      </c>
      <c r="S459" s="16" t="s">
        <v>1151</v>
      </c>
      <c r="T459" s="19" t="str">
        <f>MONTH(B459)&amp;"-"&amp;YEAR(B459)</f>
        <v>1-2021</v>
      </c>
      <c r="U459" s="2">
        <f>YEAR(B459)</f>
        <v>2021</v>
      </c>
      <c r="V459" s="2" t="str">
        <f>IF(DAY(B459)&gt;15,MONTH(B459)&amp;"-C",MONTH(B459)&amp;"-N")</f>
        <v>1-C</v>
      </c>
      <c r="W459" s="21">
        <v>10.1</v>
      </c>
      <c r="X459" s="2" t="b">
        <f t="shared" si="275"/>
        <v>1</v>
      </c>
    </row>
    <row r="460" spans="2:24" x14ac:dyDescent="0.2">
      <c r="B460" s="17">
        <v>44213</v>
      </c>
      <c r="C460" s="10" t="s">
        <v>1104</v>
      </c>
      <c r="D460" s="11">
        <v>159876</v>
      </c>
      <c r="E460" s="26">
        <v>56050</v>
      </c>
      <c r="F460" s="10" t="s">
        <v>117</v>
      </c>
      <c r="G460" s="10" t="s">
        <v>46</v>
      </c>
      <c r="H460" s="27" t="s">
        <v>118</v>
      </c>
      <c r="I460" s="12" t="s">
        <v>41</v>
      </c>
      <c r="J460" s="12" t="s">
        <v>41</v>
      </c>
      <c r="K460" s="13">
        <v>1600</v>
      </c>
      <c r="L460" s="21">
        <v>10.1</v>
      </c>
      <c r="M460" s="14" t="s">
        <v>14</v>
      </c>
      <c r="N460" s="13">
        <v>17120</v>
      </c>
      <c r="O460" s="15">
        <f t="shared" si="274"/>
        <v>0.59999999999999964</v>
      </c>
      <c r="P460" s="10" t="s">
        <v>84</v>
      </c>
      <c r="Q460" s="11" t="s">
        <v>1149</v>
      </c>
      <c r="R460" s="11" t="s">
        <v>1150</v>
      </c>
      <c r="S460" s="16" t="s">
        <v>1151</v>
      </c>
      <c r="T460" s="19" t="str">
        <f>MONTH(B460)&amp;"-"&amp;YEAR(B460)</f>
        <v>1-2021</v>
      </c>
      <c r="U460" s="2">
        <f>YEAR(B460)</f>
        <v>2021</v>
      </c>
      <c r="V460" s="2" t="str">
        <f>IF(DAY(B460)&gt;15,MONTH(B460)&amp;"-C",MONTH(B460)&amp;"-N")</f>
        <v>1-C</v>
      </c>
      <c r="W460" s="21">
        <v>10.1</v>
      </c>
      <c r="X460" s="2" t="b">
        <f t="shared" si="275"/>
        <v>1</v>
      </c>
    </row>
    <row r="461" spans="2:24" x14ac:dyDescent="0.2">
      <c r="B461" s="17">
        <v>44215</v>
      </c>
      <c r="C461" s="10" t="s">
        <v>25</v>
      </c>
      <c r="D461" s="11">
        <v>159379</v>
      </c>
      <c r="E461" s="26">
        <v>56033</v>
      </c>
      <c r="F461" s="10" t="s">
        <v>26</v>
      </c>
      <c r="G461" s="10" t="s">
        <v>27</v>
      </c>
      <c r="H461" s="27" t="s">
        <v>28</v>
      </c>
      <c r="I461" s="12"/>
      <c r="J461" s="12"/>
      <c r="K461" s="13">
        <v>1700</v>
      </c>
      <c r="L461" s="21">
        <v>4.17</v>
      </c>
      <c r="M461" s="14" t="s">
        <v>14</v>
      </c>
      <c r="N461" s="13">
        <v>7089</v>
      </c>
      <c r="O461" s="15">
        <f t="shared" ref="O461:O462" si="276">(N461/K461)-L461</f>
        <v>0</v>
      </c>
      <c r="P461" s="10" t="s">
        <v>78</v>
      </c>
      <c r="Q461" s="11" t="s">
        <v>1152</v>
      </c>
      <c r="R461" s="11" t="s">
        <v>1153</v>
      </c>
      <c r="S461" s="16" t="s">
        <v>1154</v>
      </c>
      <c r="T461" s="19" t="str">
        <f>MONTH(B461)&amp;"-"&amp;YEAR(B461)</f>
        <v>1-2021</v>
      </c>
      <c r="U461" s="2">
        <f>YEAR(B461)</f>
        <v>2021</v>
      </c>
      <c r="V461" s="2" t="str">
        <f>IF(DAY(B461)&gt;15,MONTH(B461)&amp;"-C",MONTH(B461)&amp;"-N")</f>
        <v>1-C</v>
      </c>
      <c r="W461" s="21">
        <v>4.17</v>
      </c>
      <c r="X461" s="2" t="b">
        <f t="shared" ref="X461:X462" si="277">+L461=W461</f>
        <v>1</v>
      </c>
    </row>
    <row r="462" spans="2:24" x14ac:dyDescent="0.2">
      <c r="B462" s="17">
        <v>44217</v>
      </c>
      <c r="C462" s="10" t="s">
        <v>433</v>
      </c>
      <c r="D462" s="11">
        <v>159572</v>
      </c>
      <c r="E462" s="26">
        <v>56072</v>
      </c>
      <c r="F462" s="10" t="s">
        <v>26</v>
      </c>
      <c r="G462" s="10" t="s">
        <v>27</v>
      </c>
      <c r="H462" s="27" t="s">
        <v>28</v>
      </c>
      <c r="I462" s="12"/>
      <c r="J462" s="12"/>
      <c r="K462" s="13">
        <v>18000</v>
      </c>
      <c r="L462" s="21">
        <v>3.9</v>
      </c>
      <c r="M462" s="14" t="s">
        <v>14</v>
      </c>
      <c r="N462" s="13">
        <v>70200</v>
      </c>
      <c r="O462" s="15">
        <f t="shared" si="276"/>
        <v>0</v>
      </c>
      <c r="P462" s="10" t="s">
        <v>78</v>
      </c>
      <c r="Q462" s="11" t="s">
        <v>1155</v>
      </c>
      <c r="R462" s="11" t="s">
        <v>1156</v>
      </c>
      <c r="S462" s="16" t="s">
        <v>1157</v>
      </c>
      <c r="T462" s="19" t="str">
        <f>MONTH(B462)&amp;"-"&amp;YEAR(B462)</f>
        <v>1-2021</v>
      </c>
      <c r="U462" s="2">
        <f>YEAR(B462)</f>
        <v>2021</v>
      </c>
      <c r="V462" s="2" t="str">
        <f>IF(DAY(B462)&gt;15,MONTH(B462)&amp;"-C",MONTH(B462)&amp;"-N")</f>
        <v>1-C</v>
      </c>
      <c r="W462" s="21">
        <v>3.9</v>
      </c>
      <c r="X462" s="2" t="b">
        <f t="shared" si="277"/>
        <v>1</v>
      </c>
    </row>
    <row r="463" spans="2:24" x14ac:dyDescent="0.2">
      <c r="B463" s="17">
        <v>44220</v>
      </c>
      <c r="C463" s="10" t="s">
        <v>80</v>
      </c>
      <c r="D463" s="11">
        <v>159390</v>
      </c>
      <c r="E463" s="26">
        <v>56110</v>
      </c>
      <c r="F463" s="10" t="s">
        <v>31</v>
      </c>
      <c r="G463" s="10" t="s">
        <v>27</v>
      </c>
      <c r="H463" s="27" t="s">
        <v>32</v>
      </c>
      <c r="I463" s="12"/>
      <c r="J463" s="12"/>
      <c r="K463" s="13">
        <v>1280</v>
      </c>
      <c r="L463" s="21">
        <v>3.75</v>
      </c>
      <c r="M463" s="14" t="s">
        <v>14</v>
      </c>
      <c r="N463" s="13">
        <v>4800</v>
      </c>
      <c r="O463" s="15">
        <f t="shared" ref="O463" si="278">(N463/K463)-L463</f>
        <v>0</v>
      </c>
      <c r="P463" s="10" t="s">
        <v>78</v>
      </c>
      <c r="Q463" s="11" t="s">
        <v>1158</v>
      </c>
      <c r="R463" s="11" t="s">
        <v>230</v>
      </c>
      <c r="S463" s="16" t="s">
        <v>1159</v>
      </c>
      <c r="T463" s="19" t="str">
        <f>MONTH(B463)&amp;"-"&amp;YEAR(B463)</f>
        <v>1-2021</v>
      </c>
      <c r="U463" s="2">
        <f>YEAR(B463)</f>
        <v>2021</v>
      </c>
      <c r="V463" s="2" t="str">
        <f>IF(DAY(B463)&gt;15,MONTH(B463)&amp;"-C",MONTH(B463)&amp;"-N")</f>
        <v>1-C</v>
      </c>
      <c r="W463" s="21">
        <v>3.75</v>
      </c>
      <c r="X463" s="2" t="b">
        <f t="shared" ref="X463" si="279">+L463=W463</f>
        <v>1</v>
      </c>
    </row>
    <row r="464" spans="2:24" x14ac:dyDescent="0.2">
      <c r="B464" s="17">
        <v>44221</v>
      </c>
      <c r="C464" s="10" t="s">
        <v>25</v>
      </c>
      <c r="D464" s="11">
        <v>159338</v>
      </c>
      <c r="E464" s="26">
        <v>56118</v>
      </c>
      <c r="F464" s="10" t="s">
        <v>33</v>
      </c>
      <c r="G464" s="10" t="s">
        <v>27</v>
      </c>
      <c r="H464" s="27" t="s">
        <v>34</v>
      </c>
      <c r="I464" s="12"/>
      <c r="J464" s="12"/>
      <c r="K464" s="13">
        <v>3600</v>
      </c>
      <c r="L464" s="21">
        <v>5.45</v>
      </c>
      <c r="M464" s="14" t="s">
        <v>14</v>
      </c>
      <c r="N464" s="13">
        <v>19620</v>
      </c>
      <c r="O464" s="15">
        <f t="shared" ref="O464" si="280">(N464/K464)-L464</f>
        <v>0</v>
      </c>
      <c r="P464" s="10" t="s">
        <v>78</v>
      </c>
      <c r="Q464" s="11" t="s">
        <v>1160</v>
      </c>
      <c r="R464" s="11" t="s">
        <v>1161</v>
      </c>
      <c r="S464" s="16" t="s">
        <v>1162</v>
      </c>
      <c r="T464" s="19" t="str">
        <f>MONTH(B464)&amp;"-"&amp;YEAR(B464)</f>
        <v>1-2021</v>
      </c>
      <c r="U464" s="2">
        <f>YEAR(B464)</f>
        <v>2021</v>
      </c>
      <c r="V464" s="2" t="str">
        <f>IF(DAY(B464)&gt;15,MONTH(B464)&amp;"-C",MONTH(B464)&amp;"-N")</f>
        <v>1-C</v>
      </c>
      <c r="W464" s="21">
        <v>5.45</v>
      </c>
      <c r="X464" s="2" t="b">
        <f t="shared" ref="X464" si="281">+L464=W464</f>
        <v>1</v>
      </c>
    </row>
    <row r="465" spans="2:24" x14ac:dyDescent="0.2">
      <c r="B465" s="17">
        <v>44223</v>
      </c>
      <c r="C465" s="10" t="s">
        <v>25</v>
      </c>
      <c r="D465" s="11">
        <v>159338</v>
      </c>
      <c r="E465" s="26">
        <v>56152</v>
      </c>
      <c r="F465" s="10" t="s">
        <v>29</v>
      </c>
      <c r="G465" s="10" t="s">
        <v>27</v>
      </c>
      <c r="H465" s="27" t="s">
        <v>30</v>
      </c>
      <c r="I465" s="12"/>
      <c r="J465" s="12"/>
      <c r="K465" s="13">
        <v>3795</v>
      </c>
      <c r="L465" s="21">
        <v>3.42</v>
      </c>
      <c r="M465" s="14" t="s">
        <v>14</v>
      </c>
      <c r="N465" s="13">
        <v>12978.9</v>
      </c>
      <c r="O465" s="15">
        <f t="shared" ref="O465:O470" si="282">(N465/K465)-L465</f>
        <v>0</v>
      </c>
      <c r="P465" s="10" t="s">
        <v>78</v>
      </c>
      <c r="Q465" s="11" t="s">
        <v>1163</v>
      </c>
      <c r="R465" s="11" t="s">
        <v>1164</v>
      </c>
      <c r="S465" s="16" t="s">
        <v>1165</v>
      </c>
      <c r="T465" s="19" t="str">
        <f>MONTH(B465)&amp;"-"&amp;YEAR(B465)</f>
        <v>1-2021</v>
      </c>
      <c r="U465" s="2">
        <f>YEAR(B465)</f>
        <v>2021</v>
      </c>
      <c r="V465" s="2" t="str">
        <f>IF(DAY(B465)&gt;15,MONTH(B465)&amp;"-C",MONTH(B465)&amp;"-N")</f>
        <v>1-C</v>
      </c>
      <c r="W465" s="21">
        <v>3.42</v>
      </c>
      <c r="X465" s="2" t="b">
        <f t="shared" ref="X465:X470" si="283">+L465=W465</f>
        <v>1</v>
      </c>
    </row>
    <row r="466" spans="2:24" x14ac:dyDescent="0.2">
      <c r="B466" s="17">
        <v>44223</v>
      </c>
      <c r="C466" s="10" t="s">
        <v>25</v>
      </c>
      <c r="D466" s="11">
        <v>159338</v>
      </c>
      <c r="E466" s="26">
        <v>56152</v>
      </c>
      <c r="F466" s="10" t="s">
        <v>33</v>
      </c>
      <c r="G466" s="10" t="s">
        <v>27</v>
      </c>
      <c r="H466" s="27" t="s">
        <v>34</v>
      </c>
      <c r="I466" s="12"/>
      <c r="J466" s="12"/>
      <c r="K466" s="13">
        <v>180</v>
      </c>
      <c r="L466" s="21">
        <v>5.45</v>
      </c>
      <c r="M466" s="14" t="s">
        <v>14</v>
      </c>
      <c r="N466" s="13">
        <v>981</v>
      </c>
      <c r="O466" s="15">
        <f t="shared" si="282"/>
        <v>0</v>
      </c>
      <c r="P466" s="10" t="s">
        <v>78</v>
      </c>
      <c r="Q466" s="11" t="s">
        <v>1163</v>
      </c>
      <c r="R466" s="11" t="s">
        <v>1164</v>
      </c>
      <c r="S466" s="16" t="s">
        <v>1165</v>
      </c>
      <c r="T466" s="19" t="str">
        <f>MONTH(B466)&amp;"-"&amp;YEAR(B466)</f>
        <v>1-2021</v>
      </c>
      <c r="U466" s="2">
        <f>YEAR(B466)</f>
        <v>2021</v>
      </c>
      <c r="V466" s="2" t="str">
        <f>IF(DAY(B466)&gt;15,MONTH(B466)&amp;"-C",MONTH(B466)&amp;"-N")</f>
        <v>1-C</v>
      </c>
      <c r="W466" s="21">
        <v>5.45</v>
      </c>
      <c r="X466" s="2" t="b">
        <f t="shared" si="283"/>
        <v>1</v>
      </c>
    </row>
    <row r="467" spans="2:24" x14ac:dyDescent="0.2">
      <c r="B467" s="17">
        <v>44223</v>
      </c>
      <c r="C467" s="10" t="s">
        <v>433</v>
      </c>
      <c r="D467" s="11">
        <v>159572</v>
      </c>
      <c r="E467" s="26">
        <v>56150</v>
      </c>
      <c r="F467" s="10" t="s">
        <v>26</v>
      </c>
      <c r="G467" s="10" t="s">
        <v>27</v>
      </c>
      <c r="H467" s="27" t="s">
        <v>28</v>
      </c>
      <c r="I467" s="12"/>
      <c r="J467" s="12"/>
      <c r="K467" s="13">
        <v>21600</v>
      </c>
      <c r="L467" s="21">
        <v>3.9</v>
      </c>
      <c r="M467" s="14" t="s">
        <v>14</v>
      </c>
      <c r="N467" s="13">
        <v>84240</v>
      </c>
      <c r="O467" s="15">
        <f t="shared" si="282"/>
        <v>0</v>
      </c>
      <c r="P467" s="10" t="s">
        <v>78</v>
      </c>
      <c r="Q467" s="11" t="s">
        <v>1166</v>
      </c>
      <c r="R467" s="11" t="s">
        <v>1167</v>
      </c>
      <c r="S467" s="16" t="s">
        <v>1168</v>
      </c>
      <c r="T467" s="19" t="str">
        <f>MONTH(B467)&amp;"-"&amp;YEAR(B467)</f>
        <v>1-2021</v>
      </c>
      <c r="U467" s="2">
        <f>YEAR(B467)</f>
        <v>2021</v>
      </c>
      <c r="V467" s="2" t="str">
        <f>IF(DAY(B467)&gt;15,MONTH(B467)&amp;"-C",MONTH(B467)&amp;"-N")</f>
        <v>1-C</v>
      </c>
      <c r="W467" s="21">
        <v>3.9</v>
      </c>
      <c r="X467" s="2" t="b">
        <f t="shared" si="283"/>
        <v>1</v>
      </c>
    </row>
    <row r="468" spans="2:24" x14ac:dyDescent="0.2">
      <c r="B468" s="17">
        <v>44223</v>
      </c>
      <c r="C468" s="10" t="s">
        <v>108</v>
      </c>
      <c r="D468" s="11">
        <v>159926</v>
      </c>
      <c r="E468" s="26">
        <v>56151</v>
      </c>
      <c r="F468" s="10" t="s">
        <v>121</v>
      </c>
      <c r="G468" s="10" t="s">
        <v>46</v>
      </c>
      <c r="H468" s="27" t="s">
        <v>122</v>
      </c>
      <c r="I468" s="12"/>
      <c r="J468" s="12"/>
      <c r="K468" s="13">
        <v>690</v>
      </c>
      <c r="L468" s="21">
        <v>11.08</v>
      </c>
      <c r="M468" s="14" t="s">
        <v>14</v>
      </c>
      <c r="N468" s="13">
        <v>7645.2</v>
      </c>
      <c r="O468" s="15">
        <f t="shared" si="282"/>
        <v>0</v>
      </c>
      <c r="P468" s="10" t="s">
        <v>84</v>
      </c>
      <c r="Q468" s="11" t="s">
        <v>1170</v>
      </c>
      <c r="R468" s="11" t="s">
        <v>1169</v>
      </c>
      <c r="S468" s="16" t="s">
        <v>1171</v>
      </c>
      <c r="T468" s="19" t="str">
        <f>MONTH(B468)&amp;"-"&amp;YEAR(B468)</f>
        <v>1-2021</v>
      </c>
      <c r="U468" s="2">
        <f>YEAR(B468)</f>
        <v>2021</v>
      </c>
      <c r="V468" s="2" t="str">
        <f>IF(DAY(B468)&gt;15,MONTH(B468)&amp;"-C",MONTH(B468)&amp;"-N")</f>
        <v>1-C</v>
      </c>
      <c r="W468" s="21">
        <v>11.08</v>
      </c>
      <c r="X468" s="2" t="b">
        <f t="shared" si="283"/>
        <v>1</v>
      </c>
    </row>
    <row r="469" spans="2:24" x14ac:dyDescent="0.2">
      <c r="B469" s="17">
        <v>44223</v>
      </c>
      <c r="C469" s="10" t="s">
        <v>108</v>
      </c>
      <c r="D469" s="11">
        <v>159926</v>
      </c>
      <c r="E469" s="26">
        <v>56151</v>
      </c>
      <c r="F469" s="10" t="s">
        <v>123</v>
      </c>
      <c r="G469" s="10" t="s">
        <v>46</v>
      </c>
      <c r="H469" s="27" t="s">
        <v>124</v>
      </c>
      <c r="I469" s="12"/>
      <c r="J469" s="12"/>
      <c r="K469" s="13">
        <v>1840</v>
      </c>
      <c r="L469" s="21">
        <v>12.13</v>
      </c>
      <c r="M469" s="14" t="s">
        <v>14</v>
      </c>
      <c r="N469" s="13">
        <v>22319.200000000001</v>
      </c>
      <c r="O469" s="15">
        <f t="shared" si="282"/>
        <v>0</v>
      </c>
      <c r="P469" s="10" t="s">
        <v>84</v>
      </c>
      <c r="Q469" s="11" t="s">
        <v>1170</v>
      </c>
      <c r="R469" s="11" t="s">
        <v>1169</v>
      </c>
      <c r="S469" s="16" t="s">
        <v>1171</v>
      </c>
      <c r="T469" s="19" t="str">
        <f>MONTH(B469)&amp;"-"&amp;YEAR(B469)</f>
        <v>1-2021</v>
      </c>
      <c r="U469" s="2">
        <f>YEAR(B469)</f>
        <v>2021</v>
      </c>
      <c r="V469" s="2" t="str">
        <f>IF(DAY(B469)&gt;15,MONTH(B469)&amp;"-C",MONTH(B469)&amp;"-N")</f>
        <v>1-C</v>
      </c>
      <c r="W469" s="21">
        <v>12.13</v>
      </c>
      <c r="X469" s="2" t="b">
        <f t="shared" si="283"/>
        <v>1</v>
      </c>
    </row>
    <row r="470" spans="2:24" x14ac:dyDescent="0.2">
      <c r="B470" s="17">
        <v>44223</v>
      </c>
      <c r="C470" s="10" t="s">
        <v>108</v>
      </c>
      <c r="D470" s="11">
        <v>159926</v>
      </c>
      <c r="E470" s="26">
        <v>56151</v>
      </c>
      <c r="F470" s="10" t="s">
        <v>129</v>
      </c>
      <c r="G470" s="10" t="s">
        <v>46</v>
      </c>
      <c r="H470" s="27" t="s">
        <v>130</v>
      </c>
      <c r="I470" s="12"/>
      <c r="J470" s="12"/>
      <c r="K470" s="13">
        <v>920</v>
      </c>
      <c r="L470" s="21">
        <v>11.17</v>
      </c>
      <c r="M470" s="14" t="s">
        <v>14</v>
      </c>
      <c r="N470" s="13">
        <v>10276.4</v>
      </c>
      <c r="O470" s="15">
        <f t="shared" si="282"/>
        <v>0</v>
      </c>
      <c r="P470" s="10" t="s">
        <v>84</v>
      </c>
      <c r="Q470" s="11" t="s">
        <v>1170</v>
      </c>
      <c r="R470" s="11" t="s">
        <v>1169</v>
      </c>
      <c r="S470" s="16" t="s">
        <v>1171</v>
      </c>
      <c r="T470" s="19" t="str">
        <f>MONTH(B470)&amp;"-"&amp;YEAR(B470)</f>
        <v>1-2021</v>
      </c>
      <c r="U470" s="2">
        <f>YEAR(B470)</f>
        <v>2021</v>
      </c>
      <c r="V470" s="2" t="str">
        <f>IF(DAY(B470)&gt;15,MONTH(B470)&amp;"-C",MONTH(B470)&amp;"-N")</f>
        <v>1-C</v>
      </c>
      <c r="W470" s="21">
        <v>11.17</v>
      </c>
      <c r="X470" s="2" t="b">
        <f t="shared" si="283"/>
        <v>1</v>
      </c>
    </row>
    <row r="471" spans="2:24" x14ac:dyDescent="0.2">
      <c r="B471" s="17">
        <v>44230</v>
      </c>
      <c r="C471" s="10" t="s">
        <v>25</v>
      </c>
      <c r="D471" s="11">
        <v>159851</v>
      </c>
      <c r="E471" s="26">
        <v>56253</v>
      </c>
      <c r="F471" s="10" t="s">
        <v>49</v>
      </c>
      <c r="G471" s="10" t="s">
        <v>27</v>
      </c>
      <c r="H471" s="27" t="s">
        <v>50</v>
      </c>
      <c r="I471" s="12"/>
      <c r="J471" s="12"/>
      <c r="K471" s="13">
        <v>2280</v>
      </c>
      <c r="L471" s="21">
        <v>8.8000000000000007</v>
      </c>
      <c r="M471" s="14" t="s">
        <v>14</v>
      </c>
      <c r="N471" s="13">
        <v>20064</v>
      </c>
      <c r="O471" s="15">
        <f t="shared" ref="O471:O472" si="284">(N471/K471)-L471</f>
        <v>0</v>
      </c>
      <c r="P471" s="10" t="s">
        <v>78</v>
      </c>
      <c r="Q471" s="11" t="s">
        <v>1172</v>
      </c>
      <c r="R471" s="11" t="s">
        <v>1173</v>
      </c>
      <c r="S471" s="16" t="s">
        <v>1174</v>
      </c>
      <c r="T471" s="19" t="str">
        <f>MONTH(B471)&amp;"-"&amp;YEAR(B471)</f>
        <v>2-2021</v>
      </c>
      <c r="U471" s="2">
        <f>YEAR(B471)</f>
        <v>2021</v>
      </c>
      <c r="V471" s="2" t="str">
        <f>IF(DAY(B471)&gt;15,MONTH(B471)&amp;"-C",MONTH(B471)&amp;"-N")</f>
        <v>2-N</v>
      </c>
      <c r="W471" s="21">
        <v>8.8000000000000007</v>
      </c>
      <c r="X471" s="2" t="b">
        <f t="shared" ref="X471:X472" si="285">+L471=W471</f>
        <v>1</v>
      </c>
    </row>
    <row r="472" spans="2:24" x14ac:dyDescent="0.2">
      <c r="B472" s="17">
        <v>44230</v>
      </c>
      <c r="C472" s="10" t="s">
        <v>25</v>
      </c>
      <c r="D472" s="11">
        <v>159851</v>
      </c>
      <c r="E472" s="26">
        <v>56254</v>
      </c>
      <c r="F472" s="10" t="s">
        <v>26</v>
      </c>
      <c r="G472" s="10" t="s">
        <v>27</v>
      </c>
      <c r="H472" s="27" t="s">
        <v>28</v>
      </c>
      <c r="I472" s="12"/>
      <c r="J472" s="12"/>
      <c r="K472" s="13">
        <v>19800</v>
      </c>
      <c r="L472" s="21">
        <v>4.0999999999999996</v>
      </c>
      <c r="M472" s="14" t="s">
        <v>14</v>
      </c>
      <c r="N472" s="13">
        <v>81180</v>
      </c>
      <c r="O472" s="15">
        <f t="shared" si="284"/>
        <v>0</v>
      </c>
      <c r="P472" s="10" t="s">
        <v>78</v>
      </c>
      <c r="Q472" s="11" t="s">
        <v>1175</v>
      </c>
      <c r="R472" s="11" t="s">
        <v>1176</v>
      </c>
      <c r="S472" s="16" t="s">
        <v>1177</v>
      </c>
      <c r="T472" s="19" t="str">
        <f>MONTH(B472)&amp;"-"&amp;YEAR(B472)</f>
        <v>2-2021</v>
      </c>
      <c r="U472" s="2">
        <f>YEAR(B472)</f>
        <v>2021</v>
      </c>
      <c r="V472" s="2" t="str">
        <f>IF(DAY(B472)&gt;15,MONTH(B472)&amp;"-C",MONTH(B472)&amp;"-N")</f>
        <v>2-N</v>
      </c>
      <c r="W472" s="21">
        <v>4.0999999999999996</v>
      </c>
      <c r="X472" s="2" t="b">
        <f t="shared" si="285"/>
        <v>1</v>
      </c>
    </row>
    <row r="473" spans="2:24" x14ac:dyDescent="0.2">
      <c r="B473" s="17">
        <v>44235</v>
      </c>
      <c r="C473" s="10" t="s">
        <v>25</v>
      </c>
      <c r="D473" s="11">
        <v>159851</v>
      </c>
      <c r="E473" s="26">
        <v>56300</v>
      </c>
      <c r="F473" s="10" t="s">
        <v>26</v>
      </c>
      <c r="G473" s="10" t="s">
        <v>27</v>
      </c>
      <c r="H473" s="27" t="s">
        <v>28</v>
      </c>
      <c r="I473" s="12"/>
      <c r="J473" s="12"/>
      <c r="K473" s="13">
        <v>19800</v>
      </c>
      <c r="L473" s="21">
        <v>4.0999999999999996</v>
      </c>
      <c r="M473" s="14" t="s">
        <v>14</v>
      </c>
      <c r="N473" s="13">
        <v>81180</v>
      </c>
      <c r="O473" s="15">
        <f t="shared" ref="O473:O475" si="286">(N473/K473)-L473</f>
        <v>0</v>
      </c>
      <c r="P473" s="10" t="s">
        <v>78</v>
      </c>
      <c r="Q473" s="11" t="s">
        <v>1178</v>
      </c>
      <c r="R473" s="11" t="s">
        <v>1179</v>
      </c>
      <c r="S473" s="16" t="s">
        <v>1180</v>
      </c>
      <c r="T473" s="19" t="str">
        <f>MONTH(B473)&amp;"-"&amp;YEAR(B473)</f>
        <v>2-2021</v>
      </c>
      <c r="U473" s="2">
        <f>YEAR(B473)</f>
        <v>2021</v>
      </c>
      <c r="V473" s="2" t="str">
        <f>IF(DAY(B473)&gt;15,MONTH(B473)&amp;"-C",MONTH(B473)&amp;"-N")</f>
        <v>2-N</v>
      </c>
      <c r="W473" s="21">
        <v>4.0999999999999996</v>
      </c>
      <c r="X473" s="2" t="b">
        <f t="shared" ref="X473:X475" si="287">+L473=W473</f>
        <v>1</v>
      </c>
    </row>
    <row r="474" spans="2:24" x14ac:dyDescent="0.2">
      <c r="B474" s="17">
        <v>44235</v>
      </c>
      <c r="C474" s="10" t="s">
        <v>107</v>
      </c>
      <c r="D474" s="11">
        <v>159102</v>
      </c>
      <c r="E474" s="26">
        <v>56299</v>
      </c>
      <c r="F474" s="10" t="s">
        <v>103</v>
      </c>
      <c r="G474" s="10" t="s">
        <v>46</v>
      </c>
      <c r="H474" s="27" t="s">
        <v>104</v>
      </c>
      <c r="I474" s="12"/>
      <c r="J474" s="12"/>
      <c r="K474" s="13">
        <v>95</v>
      </c>
      <c r="L474" s="21">
        <v>37.200000000000003</v>
      </c>
      <c r="M474" s="14" t="s">
        <v>14</v>
      </c>
      <c r="N474" s="13">
        <v>3534</v>
      </c>
      <c r="O474" s="15">
        <f t="shared" si="286"/>
        <v>0</v>
      </c>
      <c r="P474" s="10" t="s">
        <v>84</v>
      </c>
      <c r="Q474" s="11" t="s">
        <v>1181</v>
      </c>
      <c r="R474" s="11" t="s">
        <v>1182</v>
      </c>
      <c r="S474" s="16" t="s">
        <v>1183</v>
      </c>
      <c r="T474" s="19" t="str">
        <f>MONTH(B474)&amp;"-"&amp;YEAR(B474)</f>
        <v>2-2021</v>
      </c>
      <c r="U474" s="2">
        <f>YEAR(B474)</f>
        <v>2021</v>
      </c>
      <c r="V474" s="2" t="str">
        <f>IF(DAY(B474)&gt;15,MONTH(B474)&amp;"-C",MONTH(B474)&amp;"-N")</f>
        <v>2-N</v>
      </c>
      <c r="W474" s="21">
        <v>37.200000000000003</v>
      </c>
      <c r="X474" s="2" t="b">
        <f t="shared" si="287"/>
        <v>1</v>
      </c>
    </row>
    <row r="475" spans="2:24" x14ac:dyDescent="0.2">
      <c r="B475" s="17">
        <v>44235</v>
      </c>
      <c r="C475" s="10" t="s">
        <v>107</v>
      </c>
      <c r="D475" s="11">
        <v>159102</v>
      </c>
      <c r="E475" s="26">
        <v>56299</v>
      </c>
      <c r="F475" s="10" t="s">
        <v>105</v>
      </c>
      <c r="G475" s="10" t="s">
        <v>46</v>
      </c>
      <c r="H475" s="27" t="s">
        <v>106</v>
      </c>
      <c r="I475" s="12"/>
      <c r="J475" s="12"/>
      <c r="K475" s="13">
        <v>3080</v>
      </c>
      <c r="L475" s="21">
        <v>12.3</v>
      </c>
      <c r="M475" s="14" t="s">
        <v>14</v>
      </c>
      <c r="N475" s="13">
        <v>37884</v>
      </c>
      <c r="O475" s="15">
        <f t="shared" si="286"/>
        <v>0</v>
      </c>
      <c r="P475" s="10" t="s">
        <v>84</v>
      </c>
      <c r="Q475" s="11" t="s">
        <v>1181</v>
      </c>
      <c r="R475" s="11" t="s">
        <v>1182</v>
      </c>
      <c r="S475" s="16" t="s">
        <v>1183</v>
      </c>
      <c r="T475" s="19" t="str">
        <f>MONTH(B475)&amp;"-"&amp;YEAR(B475)</f>
        <v>2-2021</v>
      </c>
      <c r="U475" s="2">
        <f>YEAR(B475)</f>
        <v>2021</v>
      </c>
      <c r="V475" s="2" t="str">
        <f>IF(DAY(B475)&gt;15,MONTH(B475)&amp;"-C",MONTH(B475)&amp;"-N")</f>
        <v>2-N</v>
      </c>
      <c r="W475" s="21">
        <v>12.3</v>
      </c>
      <c r="X475" s="2" t="b">
        <f t="shared" si="287"/>
        <v>1</v>
      </c>
    </row>
    <row r="476" spans="2:24" x14ac:dyDescent="0.2">
      <c r="B476" s="17">
        <v>44240</v>
      </c>
      <c r="C476" s="10" t="s">
        <v>73</v>
      </c>
      <c r="D476" s="11">
        <v>160139</v>
      </c>
      <c r="E476" s="26">
        <v>56369</v>
      </c>
      <c r="F476" s="10" t="s">
        <v>131</v>
      </c>
      <c r="G476" s="10" t="s">
        <v>46</v>
      </c>
      <c r="H476" s="27" t="s">
        <v>132</v>
      </c>
      <c r="I476" s="12"/>
      <c r="J476" s="12"/>
      <c r="K476" s="13">
        <v>352</v>
      </c>
      <c r="L476" s="21">
        <v>9.85</v>
      </c>
      <c r="M476" s="14" t="s">
        <v>14</v>
      </c>
      <c r="N476" s="13">
        <v>3467.2</v>
      </c>
      <c r="O476" s="15">
        <f t="shared" ref="O476:O477" si="288">(N476/K476)-L476</f>
        <v>0</v>
      </c>
      <c r="P476" s="10" t="s">
        <v>84</v>
      </c>
      <c r="Q476" s="11" t="s">
        <v>1184</v>
      </c>
      <c r="R476" s="11" t="s">
        <v>1185</v>
      </c>
      <c r="S476" s="16" t="s">
        <v>1186</v>
      </c>
      <c r="T476" s="19" t="str">
        <f>MONTH(B476)&amp;"-"&amp;YEAR(B476)</f>
        <v>2-2021</v>
      </c>
      <c r="U476" s="2">
        <f>YEAR(B476)</f>
        <v>2021</v>
      </c>
      <c r="V476" s="2" t="str">
        <f>IF(DAY(B476)&gt;15,MONTH(B476)&amp;"-C",MONTH(B476)&amp;"-N")</f>
        <v>2-N</v>
      </c>
      <c r="W476" s="21">
        <v>9.85</v>
      </c>
      <c r="X476" s="2" t="b">
        <f t="shared" ref="X476:X477" si="289">+L476=W476</f>
        <v>1</v>
      </c>
    </row>
    <row r="477" spans="2:24" x14ac:dyDescent="0.2">
      <c r="B477" s="17">
        <v>44240</v>
      </c>
      <c r="C477" s="10" t="s">
        <v>73</v>
      </c>
      <c r="D477" s="11">
        <v>160139</v>
      </c>
      <c r="E477" s="26">
        <v>56369</v>
      </c>
      <c r="F477" s="10" t="s">
        <v>133</v>
      </c>
      <c r="G477" s="10" t="s">
        <v>46</v>
      </c>
      <c r="H477" s="27" t="s">
        <v>134</v>
      </c>
      <c r="I477" s="12"/>
      <c r="J477" s="12"/>
      <c r="K477" s="13">
        <v>2200</v>
      </c>
      <c r="L477" s="21">
        <v>9.85</v>
      </c>
      <c r="M477" s="14" t="s">
        <v>14</v>
      </c>
      <c r="N477" s="13">
        <v>21670</v>
      </c>
      <c r="O477" s="15">
        <f t="shared" si="288"/>
        <v>0</v>
      </c>
      <c r="P477" s="10" t="s">
        <v>84</v>
      </c>
      <c r="Q477" s="11" t="s">
        <v>1184</v>
      </c>
      <c r="R477" s="11" t="s">
        <v>1185</v>
      </c>
      <c r="S477" s="16" t="s">
        <v>1186</v>
      </c>
      <c r="T477" s="19" t="str">
        <f>MONTH(B477)&amp;"-"&amp;YEAR(B477)</f>
        <v>2-2021</v>
      </c>
      <c r="U477" s="2">
        <f>YEAR(B477)</f>
        <v>2021</v>
      </c>
      <c r="V477" s="2" t="str">
        <f>IF(DAY(B477)&gt;15,MONTH(B477)&amp;"-C",MONTH(B477)&amp;"-N")</f>
        <v>2-N</v>
      </c>
      <c r="W477" s="21">
        <v>9.85</v>
      </c>
      <c r="X477" s="2" t="b">
        <f t="shared" si="289"/>
        <v>1</v>
      </c>
    </row>
    <row r="478" spans="2:24" x14ac:dyDescent="0.2">
      <c r="B478" s="17">
        <v>44241</v>
      </c>
      <c r="C478" s="10" t="s">
        <v>25</v>
      </c>
      <c r="D478" s="11">
        <v>159851</v>
      </c>
      <c r="E478" s="26">
        <v>56401</v>
      </c>
      <c r="F478" s="10" t="s">
        <v>26</v>
      </c>
      <c r="G478" s="10" t="s">
        <v>27</v>
      </c>
      <c r="H478" s="27" t="s">
        <v>28</v>
      </c>
      <c r="I478" s="12"/>
      <c r="J478" s="12"/>
      <c r="K478" s="13">
        <v>19800</v>
      </c>
      <c r="L478" s="21">
        <v>4.0999999999999996</v>
      </c>
      <c r="M478" s="14" t="s">
        <v>14</v>
      </c>
      <c r="N478" s="13">
        <v>81180</v>
      </c>
      <c r="O478" s="15">
        <f t="shared" ref="O478" si="290">(N478/K478)-L478</f>
        <v>0</v>
      </c>
      <c r="P478" s="10" t="s">
        <v>78</v>
      </c>
      <c r="Q478" s="11" t="s">
        <v>1187</v>
      </c>
      <c r="R478" s="11" t="s">
        <v>1188</v>
      </c>
      <c r="S478" s="16" t="s">
        <v>1189</v>
      </c>
      <c r="T478" s="19" t="str">
        <f>MONTH(B478)&amp;"-"&amp;YEAR(B478)</f>
        <v>2-2021</v>
      </c>
      <c r="U478" s="2">
        <f>YEAR(B478)</f>
        <v>2021</v>
      </c>
      <c r="V478" s="2" t="str">
        <f>IF(DAY(B478)&gt;15,MONTH(B478)&amp;"-C",MONTH(B478)&amp;"-N")</f>
        <v>2-N</v>
      </c>
      <c r="W478" s="21">
        <v>4.0999999999999996</v>
      </c>
      <c r="X478" s="2" t="b">
        <f t="shared" ref="X478" si="291">+L478=W478</f>
        <v>1</v>
      </c>
    </row>
    <row r="479" spans="2:24" x14ac:dyDescent="0.2">
      <c r="B479" s="17">
        <v>44244</v>
      </c>
      <c r="C479" s="10" t="s">
        <v>107</v>
      </c>
      <c r="D479" s="11">
        <v>159102</v>
      </c>
      <c r="E479" s="26">
        <v>56461</v>
      </c>
      <c r="F479" s="10" t="s">
        <v>103</v>
      </c>
      <c r="G479" s="10" t="s">
        <v>46</v>
      </c>
      <c r="H479" s="27" t="s">
        <v>104</v>
      </c>
      <c r="I479" s="12"/>
      <c r="J479" s="12"/>
      <c r="K479" s="13">
        <v>65</v>
      </c>
      <c r="L479" s="21">
        <v>37.200000000000003</v>
      </c>
      <c r="M479" s="14" t="s">
        <v>14</v>
      </c>
      <c r="N479" s="13">
        <v>2418</v>
      </c>
      <c r="O479" s="15">
        <f t="shared" ref="O479:O480" si="292">(N479/K479)-L479</f>
        <v>0</v>
      </c>
      <c r="P479" s="10" t="s">
        <v>84</v>
      </c>
      <c r="Q479" s="11" t="s">
        <v>1190</v>
      </c>
      <c r="R479" s="11" t="s">
        <v>1191</v>
      </c>
      <c r="S479" s="16" t="s">
        <v>1192</v>
      </c>
      <c r="T479" s="19" t="str">
        <f>MONTH(B479)&amp;"-"&amp;YEAR(B479)</f>
        <v>2-2021</v>
      </c>
      <c r="U479" s="2">
        <f>YEAR(B479)</f>
        <v>2021</v>
      </c>
      <c r="V479" s="2" t="str">
        <f>IF(DAY(B479)&gt;15,MONTH(B479)&amp;"-C",MONTH(B479)&amp;"-N")</f>
        <v>2-C</v>
      </c>
      <c r="W479" s="21">
        <v>37.200000000000003</v>
      </c>
      <c r="X479" s="2" t="b">
        <f t="shared" ref="X479:X480" si="293">+L479=W479</f>
        <v>1</v>
      </c>
    </row>
    <row r="480" spans="2:24" x14ac:dyDescent="0.2">
      <c r="B480" s="17">
        <v>44244</v>
      </c>
      <c r="C480" s="10" t="s">
        <v>107</v>
      </c>
      <c r="D480" s="11">
        <v>159102</v>
      </c>
      <c r="E480" s="26">
        <v>56461</v>
      </c>
      <c r="F480" s="10" t="s">
        <v>105</v>
      </c>
      <c r="G480" s="10" t="s">
        <v>46</v>
      </c>
      <c r="H480" s="27" t="s">
        <v>106</v>
      </c>
      <c r="I480" s="12"/>
      <c r="J480" s="12"/>
      <c r="K480" s="13">
        <v>2420</v>
      </c>
      <c r="L480" s="21">
        <v>12.3</v>
      </c>
      <c r="M480" s="14" t="s">
        <v>14</v>
      </c>
      <c r="N480" s="13">
        <v>29766</v>
      </c>
      <c r="O480" s="15">
        <f t="shared" si="292"/>
        <v>0</v>
      </c>
      <c r="P480" s="10" t="s">
        <v>84</v>
      </c>
      <c r="Q480" s="11" t="s">
        <v>1190</v>
      </c>
      <c r="R480" s="11" t="s">
        <v>1191</v>
      </c>
      <c r="S480" s="16" t="s">
        <v>1192</v>
      </c>
      <c r="T480" s="19" t="str">
        <f>MONTH(B480)&amp;"-"&amp;YEAR(B480)</f>
        <v>2-2021</v>
      </c>
      <c r="U480" s="2">
        <f>YEAR(B480)</f>
        <v>2021</v>
      </c>
      <c r="V480" s="2" t="str">
        <f>IF(DAY(B480)&gt;15,MONTH(B480)&amp;"-C",MONTH(B480)&amp;"-N")</f>
        <v>2-C</v>
      </c>
      <c r="W480" s="21">
        <v>12.3</v>
      </c>
      <c r="X480" s="2" t="b">
        <f t="shared" si="293"/>
        <v>1</v>
      </c>
    </row>
    <row r="481" spans="2:24" x14ac:dyDescent="0.2">
      <c r="B481" s="17">
        <v>44245</v>
      </c>
      <c r="C481" s="10" t="s">
        <v>25</v>
      </c>
      <c r="D481" s="11">
        <v>159851</v>
      </c>
      <c r="E481" s="26">
        <v>56494</v>
      </c>
      <c r="F481" s="10" t="s">
        <v>26</v>
      </c>
      <c r="G481" s="10" t="s">
        <v>27</v>
      </c>
      <c r="H481" s="27" t="s">
        <v>28</v>
      </c>
      <c r="I481" s="12"/>
      <c r="J481" s="12"/>
      <c r="K481" s="13">
        <v>19800</v>
      </c>
      <c r="L481" s="21">
        <v>4.0999999999999996</v>
      </c>
      <c r="M481" s="14" t="s">
        <v>14</v>
      </c>
      <c r="N481" s="13">
        <v>81180</v>
      </c>
      <c r="O481" s="15">
        <f t="shared" ref="O481" si="294">(N481/K481)-L481</f>
        <v>0</v>
      </c>
      <c r="P481" s="10" t="s">
        <v>78</v>
      </c>
      <c r="Q481" s="11" t="s">
        <v>1193</v>
      </c>
      <c r="R481" s="11" t="s">
        <v>1194</v>
      </c>
      <c r="S481" s="16" t="s">
        <v>1195</v>
      </c>
      <c r="T481" s="19" t="str">
        <f>MONTH(B481)&amp;"-"&amp;YEAR(B481)</f>
        <v>2-2021</v>
      </c>
      <c r="U481" s="2">
        <f>YEAR(B481)</f>
        <v>2021</v>
      </c>
      <c r="V481" s="2" t="str">
        <f>IF(DAY(B481)&gt;15,MONTH(B481)&amp;"-C",MONTH(B481)&amp;"-N")</f>
        <v>2-C</v>
      </c>
      <c r="W481" s="21">
        <v>4.0999999999999996</v>
      </c>
      <c r="X481" s="2" t="b">
        <f t="shared" ref="X481" si="295">+L481=W481</f>
        <v>1</v>
      </c>
    </row>
    <row r="482" spans="2:24" x14ac:dyDescent="0.2">
      <c r="B482" s="17">
        <v>44250</v>
      </c>
      <c r="C482" s="10" t="s">
        <v>48</v>
      </c>
      <c r="D482" s="11">
        <v>159585</v>
      </c>
      <c r="E482" s="26">
        <v>56575</v>
      </c>
      <c r="F482" s="10" t="s">
        <v>135</v>
      </c>
      <c r="G482" s="10" t="s">
        <v>46</v>
      </c>
      <c r="H482" s="27" t="s">
        <v>136</v>
      </c>
      <c r="I482" s="12"/>
      <c r="J482" s="12"/>
      <c r="K482" s="13">
        <v>6400</v>
      </c>
      <c r="L482" s="21">
        <v>10.275</v>
      </c>
      <c r="M482" s="14" t="s">
        <v>14</v>
      </c>
      <c r="N482" s="13">
        <v>65762.426999999996</v>
      </c>
      <c r="O482" s="15">
        <f t="shared" ref="O482:O483" si="296">(N482/K482)-L482</f>
        <v>3.7921874999824468E-4</v>
      </c>
      <c r="P482" s="10" t="s">
        <v>90</v>
      </c>
      <c r="Q482" s="11" t="s">
        <v>1196</v>
      </c>
      <c r="R482" s="11" t="s">
        <v>1197</v>
      </c>
      <c r="S482" s="16" t="s">
        <v>1198</v>
      </c>
      <c r="T482" s="19" t="str">
        <f>MONTH(B482)&amp;"-"&amp;YEAR(B482)</f>
        <v>2-2021</v>
      </c>
      <c r="U482" s="2">
        <f>YEAR(B482)</f>
        <v>2021</v>
      </c>
      <c r="V482" s="2" t="str">
        <f>IF(DAY(B482)&gt;15,MONTH(B482)&amp;"-C",MONTH(B482)&amp;"-N")</f>
        <v>2-C</v>
      </c>
      <c r="W482" s="21">
        <v>10.275</v>
      </c>
      <c r="X482" s="2" t="b">
        <f t="shared" ref="X482:X483" si="297">+L482=W482</f>
        <v>1</v>
      </c>
    </row>
    <row r="483" spans="2:24" x14ac:dyDescent="0.2">
      <c r="B483" s="17">
        <v>44250</v>
      </c>
      <c r="C483" s="10" t="s">
        <v>48</v>
      </c>
      <c r="D483" s="11">
        <v>159585</v>
      </c>
      <c r="E483" s="26">
        <v>56575</v>
      </c>
      <c r="F483" s="10" t="s">
        <v>71</v>
      </c>
      <c r="G483" s="10" t="s">
        <v>46</v>
      </c>
      <c r="H483" s="27" t="s">
        <v>72</v>
      </c>
      <c r="I483" s="12"/>
      <c r="J483" s="12"/>
      <c r="K483" s="13">
        <v>9600</v>
      </c>
      <c r="L483" s="21">
        <v>10.275</v>
      </c>
      <c r="M483" s="14" t="s">
        <v>14</v>
      </c>
      <c r="N483" s="13">
        <v>98643.64</v>
      </c>
      <c r="O483" s="15">
        <f t="shared" si="296"/>
        <v>3.791666666668192E-4</v>
      </c>
      <c r="P483" s="10" t="s">
        <v>90</v>
      </c>
      <c r="Q483" s="11" t="s">
        <v>1196</v>
      </c>
      <c r="R483" s="11" t="s">
        <v>1197</v>
      </c>
      <c r="S483" s="16" t="s">
        <v>1198</v>
      </c>
      <c r="T483" s="19" t="str">
        <f>MONTH(B483)&amp;"-"&amp;YEAR(B483)</f>
        <v>2-2021</v>
      </c>
      <c r="U483" s="2">
        <f>YEAR(B483)</f>
        <v>2021</v>
      </c>
      <c r="V483" s="2" t="str">
        <f>IF(DAY(B483)&gt;15,MONTH(B483)&amp;"-C",MONTH(B483)&amp;"-N")</f>
        <v>2-C</v>
      </c>
      <c r="W483" s="21">
        <v>10.275</v>
      </c>
      <c r="X483" s="2" t="b">
        <f t="shared" si="297"/>
        <v>1</v>
      </c>
    </row>
    <row r="484" spans="2:24" x14ac:dyDescent="0.2">
      <c r="B484" s="17">
        <v>44251</v>
      </c>
      <c r="C484" s="10" t="s">
        <v>108</v>
      </c>
      <c r="D484" s="11">
        <v>159997</v>
      </c>
      <c r="E484" s="26">
        <v>56580</v>
      </c>
      <c r="F484" s="10" t="s">
        <v>121</v>
      </c>
      <c r="G484" s="10" t="s">
        <v>46</v>
      </c>
      <c r="H484" s="27" t="s">
        <v>122</v>
      </c>
      <c r="I484" s="12"/>
      <c r="J484" s="12"/>
      <c r="K484" s="13">
        <v>1610</v>
      </c>
      <c r="L484" s="21">
        <v>10.73</v>
      </c>
      <c r="M484" s="14" t="s">
        <v>14</v>
      </c>
      <c r="N484" s="13">
        <v>17275.3</v>
      </c>
      <c r="O484" s="15">
        <f t="shared" ref="O484:O493" si="298">(N484/K484)-L484</f>
        <v>0</v>
      </c>
      <c r="P484" s="10" t="s">
        <v>84</v>
      </c>
      <c r="Q484" s="11" t="s">
        <v>1199</v>
      </c>
      <c r="R484" s="11" t="s">
        <v>1200</v>
      </c>
      <c r="S484" s="16" t="s">
        <v>1201</v>
      </c>
      <c r="T484" s="19" t="str">
        <f>MONTH(B484)&amp;"-"&amp;YEAR(B484)</f>
        <v>2-2021</v>
      </c>
      <c r="U484" s="2">
        <f>YEAR(B484)</f>
        <v>2021</v>
      </c>
      <c r="V484" s="2" t="str">
        <f>IF(DAY(B484)&gt;15,MONTH(B484)&amp;"-C",MONTH(B484)&amp;"-N")</f>
        <v>2-C</v>
      </c>
      <c r="W484" s="21">
        <v>10.73</v>
      </c>
      <c r="X484" s="2" t="b">
        <f t="shared" ref="X484:X493" si="299">+L484=W484</f>
        <v>1</v>
      </c>
    </row>
    <row r="485" spans="2:24" x14ac:dyDescent="0.2">
      <c r="B485" s="17">
        <v>44251</v>
      </c>
      <c r="C485" s="10" t="s">
        <v>108</v>
      </c>
      <c r="D485" s="11">
        <v>159997</v>
      </c>
      <c r="E485" s="26">
        <v>56580</v>
      </c>
      <c r="F485" s="10" t="s">
        <v>123</v>
      </c>
      <c r="G485" s="10" t="s">
        <v>46</v>
      </c>
      <c r="H485" s="27" t="s">
        <v>124</v>
      </c>
      <c r="I485" s="12"/>
      <c r="J485" s="12"/>
      <c r="K485" s="13">
        <v>2760</v>
      </c>
      <c r="L485" s="21">
        <v>11.78</v>
      </c>
      <c r="M485" s="14" t="s">
        <v>14</v>
      </c>
      <c r="N485" s="13">
        <v>32512.799999999999</v>
      </c>
      <c r="O485" s="15">
        <f t="shared" si="298"/>
        <v>0</v>
      </c>
      <c r="P485" s="10" t="s">
        <v>84</v>
      </c>
      <c r="Q485" s="11" t="s">
        <v>1199</v>
      </c>
      <c r="R485" s="11" t="s">
        <v>1200</v>
      </c>
      <c r="S485" s="16" t="s">
        <v>1201</v>
      </c>
      <c r="T485" s="19" t="str">
        <f>MONTH(B485)&amp;"-"&amp;YEAR(B485)</f>
        <v>2-2021</v>
      </c>
      <c r="U485" s="2">
        <f>YEAR(B485)</f>
        <v>2021</v>
      </c>
      <c r="V485" s="2" t="str">
        <f>IF(DAY(B485)&gt;15,MONTH(B485)&amp;"-C",MONTH(B485)&amp;"-N")</f>
        <v>2-C</v>
      </c>
      <c r="W485" s="21">
        <v>11.78</v>
      </c>
      <c r="X485" s="2" t="b">
        <f t="shared" si="299"/>
        <v>1</v>
      </c>
    </row>
    <row r="486" spans="2:24" x14ac:dyDescent="0.2">
      <c r="B486" s="17">
        <v>44251</v>
      </c>
      <c r="C486" s="10" t="s">
        <v>108</v>
      </c>
      <c r="D486" s="11">
        <v>159997</v>
      </c>
      <c r="E486" s="26">
        <v>56580</v>
      </c>
      <c r="F486" s="10" t="s">
        <v>139</v>
      </c>
      <c r="G486" s="10" t="s">
        <v>46</v>
      </c>
      <c r="H486" s="27" t="s">
        <v>140</v>
      </c>
      <c r="I486" s="12"/>
      <c r="J486" s="12"/>
      <c r="K486" s="13">
        <v>4784</v>
      </c>
      <c r="L486" s="21">
        <v>9.08</v>
      </c>
      <c r="M486" s="14" t="s">
        <v>14</v>
      </c>
      <c r="N486" s="13">
        <v>43438.720000000001</v>
      </c>
      <c r="O486" s="15">
        <f t="shared" si="298"/>
        <v>0</v>
      </c>
      <c r="P486" s="10" t="s">
        <v>84</v>
      </c>
      <c r="Q486" s="11" t="s">
        <v>1199</v>
      </c>
      <c r="R486" s="11" t="s">
        <v>1200</v>
      </c>
      <c r="S486" s="16" t="s">
        <v>1201</v>
      </c>
      <c r="T486" s="19" t="str">
        <f>MONTH(B486)&amp;"-"&amp;YEAR(B486)</f>
        <v>2-2021</v>
      </c>
      <c r="U486" s="2">
        <f>YEAR(B486)</f>
        <v>2021</v>
      </c>
      <c r="V486" s="2" t="str">
        <f>IF(DAY(B486)&gt;15,MONTH(B486)&amp;"-C",MONTH(B486)&amp;"-N")</f>
        <v>2-C</v>
      </c>
      <c r="W486" s="21">
        <v>9.08</v>
      </c>
      <c r="X486" s="2" t="b">
        <f t="shared" si="299"/>
        <v>1</v>
      </c>
    </row>
    <row r="487" spans="2:24" x14ac:dyDescent="0.2">
      <c r="B487" s="17">
        <v>44251</v>
      </c>
      <c r="C487" s="10" t="s">
        <v>108</v>
      </c>
      <c r="D487" s="11">
        <v>159997</v>
      </c>
      <c r="E487" s="26">
        <v>56580</v>
      </c>
      <c r="F487" s="10" t="s">
        <v>129</v>
      </c>
      <c r="G487" s="10" t="s">
        <v>46</v>
      </c>
      <c r="H487" s="27" t="s">
        <v>130</v>
      </c>
      <c r="I487" s="12"/>
      <c r="J487" s="12"/>
      <c r="K487" s="13">
        <v>6900</v>
      </c>
      <c r="L487" s="21">
        <v>10.82</v>
      </c>
      <c r="M487" s="14" t="s">
        <v>14</v>
      </c>
      <c r="N487" s="13">
        <v>74658</v>
      </c>
      <c r="O487" s="15">
        <f t="shared" si="298"/>
        <v>0</v>
      </c>
      <c r="P487" s="10" t="s">
        <v>84</v>
      </c>
      <c r="Q487" s="11" t="s">
        <v>1199</v>
      </c>
      <c r="R487" s="11" t="s">
        <v>1200</v>
      </c>
      <c r="S487" s="16" t="s">
        <v>1201</v>
      </c>
      <c r="T487" s="19" t="str">
        <f>MONTH(B487)&amp;"-"&amp;YEAR(B487)</f>
        <v>2-2021</v>
      </c>
      <c r="U487" s="2">
        <f>YEAR(B487)</f>
        <v>2021</v>
      </c>
      <c r="V487" s="2" t="str">
        <f>IF(DAY(B487)&gt;15,MONTH(B487)&amp;"-C",MONTH(B487)&amp;"-N")</f>
        <v>2-C</v>
      </c>
      <c r="W487" s="21">
        <v>10.82</v>
      </c>
      <c r="X487" s="2" t="b">
        <f t="shared" si="299"/>
        <v>1</v>
      </c>
    </row>
    <row r="488" spans="2:24" x14ac:dyDescent="0.2">
      <c r="B488" s="17">
        <v>44251</v>
      </c>
      <c r="C488" s="10" t="s">
        <v>108</v>
      </c>
      <c r="D488" s="11">
        <v>159997</v>
      </c>
      <c r="E488" s="26">
        <v>56580</v>
      </c>
      <c r="F488" s="10" t="s">
        <v>137</v>
      </c>
      <c r="G488" s="10" t="s">
        <v>46</v>
      </c>
      <c r="H488" s="27" t="s">
        <v>138</v>
      </c>
      <c r="I488" s="12"/>
      <c r="J488" s="12"/>
      <c r="K488" s="13">
        <v>1000</v>
      </c>
      <c r="L488" s="21">
        <v>16.09</v>
      </c>
      <c r="M488" s="14" t="s">
        <v>14</v>
      </c>
      <c r="N488" s="13">
        <v>16090</v>
      </c>
      <c r="O488" s="15">
        <f t="shared" si="298"/>
        <v>0</v>
      </c>
      <c r="P488" s="10" t="s">
        <v>84</v>
      </c>
      <c r="Q488" s="11" t="s">
        <v>1199</v>
      </c>
      <c r="R488" s="11" t="s">
        <v>1200</v>
      </c>
      <c r="S488" s="16" t="s">
        <v>1201</v>
      </c>
      <c r="T488" s="19" t="str">
        <f>MONTH(B488)&amp;"-"&amp;YEAR(B488)</f>
        <v>2-2021</v>
      </c>
      <c r="U488" s="2">
        <f>YEAR(B488)</f>
        <v>2021</v>
      </c>
      <c r="V488" s="2" t="str">
        <f>IF(DAY(B488)&gt;15,MONTH(B488)&amp;"-C",MONTH(B488)&amp;"-N")</f>
        <v>2-C</v>
      </c>
      <c r="W488" s="21">
        <v>16.09</v>
      </c>
      <c r="X488" s="2" t="b">
        <f t="shared" si="299"/>
        <v>1</v>
      </c>
    </row>
    <row r="489" spans="2:24" x14ac:dyDescent="0.2">
      <c r="B489" s="17">
        <v>44251</v>
      </c>
      <c r="C489" s="10" t="s">
        <v>25</v>
      </c>
      <c r="D489" s="11">
        <v>159851</v>
      </c>
      <c r="E489" s="26">
        <v>56577</v>
      </c>
      <c r="F489" s="10" t="s">
        <v>26</v>
      </c>
      <c r="G489" s="10" t="s">
        <v>27</v>
      </c>
      <c r="H489" s="27" t="s">
        <v>28</v>
      </c>
      <c r="I489" s="12"/>
      <c r="J489" s="12"/>
      <c r="K489" s="13">
        <v>800</v>
      </c>
      <c r="L489" s="21">
        <v>4.0999999999999996</v>
      </c>
      <c r="M489" s="14" t="s">
        <v>14</v>
      </c>
      <c r="N489" s="13">
        <v>3280</v>
      </c>
      <c r="O489" s="15">
        <f t="shared" si="298"/>
        <v>0</v>
      </c>
      <c r="P489" s="10" t="s">
        <v>78</v>
      </c>
      <c r="Q489" s="11" t="s">
        <v>1202</v>
      </c>
      <c r="R489" s="11" t="s">
        <v>1203</v>
      </c>
      <c r="S489" s="16" t="s">
        <v>1204</v>
      </c>
      <c r="T489" s="19" t="str">
        <f>MONTH(B489)&amp;"-"&amp;YEAR(B489)</f>
        <v>2-2021</v>
      </c>
      <c r="U489" s="2">
        <f>YEAR(B489)</f>
        <v>2021</v>
      </c>
      <c r="V489" s="2" t="str">
        <f>IF(DAY(B489)&gt;15,MONTH(B489)&amp;"-C",MONTH(B489)&amp;"-N")</f>
        <v>2-C</v>
      </c>
      <c r="W489" s="21">
        <v>4.0999999999999996</v>
      </c>
      <c r="X489" s="2" t="b">
        <f t="shared" si="299"/>
        <v>1</v>
      </c>
    </row>
    <row r="490" spans="2:24" x14ac:dyDescent="0.2">
      <c r="B490" s="17">
        <v>44251</v>
      </c>
      <c r="C490" s="10" t="s">
        <v>25</v>
      </c>
      <c r="D490" s="11">
        <v>160122</v>
      </c>
      <c r="E490" s="26">
        <v>56576</v>
      </c>
      <c r="F490" s="10" t="s">
        <v>26</v>
      </c>
      <c r="G490" s="10" t="s">
        <v>27</v>
      </c>
      <c r="H490" s="27" t="s">
        <v>28</v>
      </c>
      <c r="I490" s="12"/>
      <c r="J490" s="12"/>
      <c r="K490" s="13">
        <v>17100</v>
      </c>
      <c r="L490" s="21">
        <v>4.2300000000000004</v>
      </c>
      <c r="M490" s="14" t="s">
        <v>14</v>
      </c>
      <c r="N490" s="13">
        <v>72333</v>
      </c>
      <c r="O490" s="15">
        <f t="shared" si="298"/>
        <v>0</v>
      </c>
      <c r="P490" s="10" t="s">
        <v>78</v>
      </c>
      <c r="Q490" s="11" t="s">
        <v>1206</v>
      </c>
      <c r="R490" s="11" t="s">
        <v>1207</v>
      </c>
      <c r="S490" s="16" t="s">
        <v>1208</v>
      </c>
      <c r="T490" s="19" t="str">
        <f>MONTH(B490)&amp;"-"&amp;YEAR(B490)</f>
        <v>2-2021</v>
      </c>
      <c r="U490" s="2">
        <f>YEAR(B490)</f>
        <v>2021</v>
      </c>
      <c r="V490" s="2" t="str">
        <f>IF(DAY(B490)&gt;15,MONTH(B490)&amp;"-C",MONTH(B490)&amp;"-N")</f>
        <v>2-C</v>
      </c>
      <c r="W490" s="21">
        <v>4.2300000000000004</v>
      </c>
      <c r="X490" s="2" t="b">
        <f t="shared" si="299"/>
        <v>1</v>
      </c>
    </row>
    <row r="491" spans="2:24" x14ac:dyDescent="0.2">
      <c r="B491" s="17">
        <v>44251</v>
      </c>
      <c r="C491" s="10" t="s">
        <v>433</v>
      </c>
      <c r="D491" s="11">
        <v>159884</v>
      </c>
      <c r="E491" s="26">
        <v>56578</v>
      </c>
      <c r="F491" s="10" t="s">
        <v>26</v>
      </c>
      <c r="G491" s="10" t="s">
        <v>27</v>
      </c>
      <c r="H491" s="27" t="s">
        <v>28</v>
      </c>
      <c r="I491" s="12"/>
      <c r="J491" s="12"/>
      <c r="K491" s="13">
        <v>13500</v>
      </c>
      <c r="L491" s="21">
        <v>4.2</v>
      </c>
      <c r="M491" s="14" t="s">
        <v>14</v>
      </c>
      <c r="N491" s="13">
        <v>56700</v>
      </c>
      <c r="O491" s="15">
        <f t="shared" si="298"/>
        <v>0</v>
      </c>
      <c r="P491" s="10" t="s">
        <v>78</v>
      </c>
      <c r="Q491" s="11" t="s">
        <v>1209</v>
      </c>
      <c r="R491" s="11" t="s">
        <v>1210</v>
      </c>
      <c r="S491" s="16" t="s">
        <v>1211</v>
      </c>
      <c r="T491" s="19" t="str">
        <f>MONTH(B491)&amp;"-"&amp;YEAR(B491)</f>
        <v>2-2021</v>
      </c>
      <c r="U491" s="2">
        <f>YEAR(B491)</f>
        <v>2021</v>
      </c>
      <c r="V491" s="2" t="str">
        <f>IF(DAY(B491)&gt;15,MONTH(B491)&amp;"-C",MONTH(B491)&amp;"-N")</f>
        <v>2-C</v>
      </c>
      <c r="W491" s="21">
        <v>4.2</v>
      </c>
      <c r="X491" s="2" t="b">
        <f t="shared" si="299"/>
        <v>1</v>
      </c>
    </row>
    <row r="492" spans="2:24" x14ac:dyDescent="0.2">
      <c r="B492" s="17">
        <v>44252</v>
      </c>
      <c r="C492" s="10" t="s">
        <v>108</v>
      </c>
      <c r="D492" s="11">
        <v>160151</v>
      </c>
      <c r="E492" s="26">
        <v>56601</v>
      </c>
      <c r="F492" s="10" t="s">
        <v>121</v>
      </c>
      <c r="G492" s="10" t="s">
        <v>46</v>
      </c>
      <c r="H492" s="27" t="s">
        <v>122</v>
      </c>
      <c r="I492" s="12"/>
      <c r="J492" s="12"/>
      <c r="K492" s="13">
        <v>1840</v>
      </c>
      <c r="L492" s="21">
        <v>11.08</v>
      </c>
      <c r="M492" s="14" t="s">
        <v>14</v>
      </c>
      <c r="N492" s="13">
        <v>20387.2</v>
      </c>
      <c r="O492" s="15">
        <f t="shared" si="298"/>
        <v>0</v>
      </c>
      <c r="P492" s="10" t="s">
        <v>84</v>
      </c>
      <c r="Q492" s="11" t="s">
        <v>1213</v>
      </c>
      <c r="R492" s="11" t="s">
        <v>1214</v>
      </c>
      <c r="S492" s="16" t="s">
        <v>1212</v>
      </c>
      <c r="T492" s="19" t="str">
        <f>MONTH(B492)&amp;"-"&amp;YEAR(B492)</f>
        <v>2-2021</v>
      </c>
      <c r="U492" s="2">
        <f>YEAR(B492)</f>
        <v>2021</v>
      </c>
      <c r="V492" s="2" t="str">
        <f>IF(DAY(B492)&gt;15,MONTH(B492)&amp;"-C",MONTH(B492)&amp;"-N")</f>
        <v>2-C</v>
      </c>
      <c r="W492" s="21">
        <v>11.08</v>
      </c>
      <c r="X492" s="2" t="b">
        <f t="shared" si="299"/>
        <v>1</v>
      </c>
    </row>
    <row r="493" spans="2:24" x14ac:dyDescent="0.2">
      <c r="B493" s="17">
        <v>44252</v>
      </c>
      <c r="C493" s="10" t="s">
        <v>108</v>
      </c>
      <c r="D493" s="11">
        <v>160151</v>
      </c>
      <c r="E493" s="26">
        <v>56601</v>
      </c>
      <c r="F493" s="10" t="s">
        <v>123</v>
      </c>
      <c r="G493" s="10" t="s">
        <v>46</v>
      </c>
      <c r="H493" s="27" t="s">
        <v>124</v>
      </c>
      <c r="I493" s="12"/>
      <c r="J493" s="12"/>
      <c r="K493" s="13">
        <v>2990</v>
      </c>
      <c r="L493" s="21">
        <v>12.13</v>
      </c>
      <c r="M493" s="14" t="s">
        <v>14</v>
      </c>
      <c r="N493" s="13">
        <v>36268.699999999997</v>
      </c>
      <c r="O493" s="15">
        <f t="shared" si="298"/>
        <v>0</v>
      </c>
      <c r="P493" s="10" t="s">
        <v>84</v>
      </c>
      <c r="Q493" s="11" t="s">
        <v>1213</v>
      </c>
      <c r="R493" s="11" t="s">
        <v>1214</v>
      </c>
      <c r="S493" s="16" t="s">
        <v>1212</v>
      </c>
      <c r="T493" s="19" t="str">
        <f>MONTH(B493)&amp;"-"&amp;YEAR(B493)</f>
        <v>2-2021</v>
      </c>
      <c r="U493" s="2">
        <f>YEAR(B493)</f>
        <v>2021</v>
      </c>
      <c r="V493" s="2" t="str">
        <f>IF(DAY(B493)&gt;15,MONTH(B493)&amp;"-C",MONTH(B493)&amp;"-N")</f>
        <v>2-C</v>
      </c>
      <c r="W493" s="21">
        <v>12.13</v>
      </c>
      <c r="X493" s="2" t="b">
        <f t="shared" si="299"/>
        <v>1</v>
      </c>
    </row>
    <row r="494" spans="2:24" x14ac:dyDescent="0.2">
      <c r="B494" s="17">
        <v>44262</v>
      </c>
      <c r="C494" s="10" t="s">
        <v>25</v>
      </c>
      <c r="D494" s="11">
        <v>160122</v>
      </c>
      <c r="E494" s="26">
        <v>56746</v>
      </c>
      <c r="F494" s="10" t="s">
        <v>26</v>
      </c>
      <c r="G494" s="10" t="s">
        <v>27</v>
      </c>
      <c r="H494" s="27" t="s">
        <v>28</v>
      </c>
      <c r="I494" s="12"/>
      <c r="J494" s="12"/>
      <c r="K494" s="13">
        <v>19800</v>
      </c>
      <c r="L494" s="21">
        <v>4.2300000000000004</v>
      </c>
      <c r="M494" s="14" t="s">
        <v>14</v>
      </c>
      <c r="N494" s="13">
        <v>83754</v>
      </c>
      <c r="O494" s="15">
        <f t="shared" ref="O494:O498" si="300">(N494/K494)-L494</f>
        <v>0</v>
      </c>
      <c r="P494" s="10" t="s">
        <v>78</v>
      </c>
      <c r="Q494" s="11" t="s">
        <v>1215</v>
      </c>
      <c r="R494" s="11" t="s">
        <v>1216</v>
      </c>
      <c r="S494" s="16" t="s">
        <v>1217</v>
      </c>
      <c r="T494" s="19" t="str">
        <f>MONTH(B494)&amp;"-"&amp;YEAR(B494)</f>
        <v>3-2021</v>
      </c>
      <c r="U494" s="2">
        <f>YEAR(B494)</f>
        <v>2021</v>
      </c>
      <c r="V494" s="2" t="str">
        <f>IF(DAY(B494)&gt;15,MONTH(B494)&amp;"-C",MONTH(B494)&amp;"-N")</f>
        <v>3-N</v>
      </c>
      <c r="W494" s="21">
        <v>4.2300000000000004</v>
      </c>
      <c r="X494" s="2" t="b">
        <f t="shared" ref="X494:X498" si="301">+L494=W494</f>
        <v>1</v>
      </c>
    </row>
    <row r="495" spans="2:24" x14ac:dyDescent="0.2">
      <c r="B495" s="17">
        <v>44262</v>
      </c>
      <c r="C495" s="10" t="s">
        <v>82</v>
      </c>
      <c r="D495" s="11">
        <v>160417</v>
      </c>
      <c r="E495" s="26">
        <v>56744</v>
      </c>
      <c r="F495" s="10" t="s">
        <v>29</v>
      </c>
      <c r="G495" s="10" t="s">
        <v>27</v>
      </c>
      <c r="H495" s="27" t="s">
        <v>30</v>
      </c>
      <c r="I495" s="12"/>
      <c r="J495" s="12"/>
      <c r="K495" s="13">
        <v>3300</v>
      </c>
      <c r="L495" s="21">
        <v>4</v>
      </c>
      <c r="M495" s="14" t="s">
        <v>14</v>
      </c>
      <c r="N495" s="13">
        <v>13200</v>
      </c>
      <c r="O495" s="15">
        <f t="shared" si="300"/>
        <v>0</v>
      </c>
      <c r="P495" s="10" t="s">
        <v>78</v>
      </c>
      <c r="Q495" s="11" t="s">
        <v>1218</v>
      </c>
      <c r="R495" s="11" t="s">
        <v>1219</v>
      </c>
      <c r="S495" s="16" t="s">
        <v>1220</v>
      </c>
      <c r="T495" s="19" t="str">
        <f>MONTH(B495)&amp;"-"&amp;YEAR(B495)</f>
        <v>3-2021</v>
      </c>
      <c r="U495" s="2">
        <f>YEAR(B495)</f>
        <v>2021</v>
      </c>
      <c r="V495" s="2" t="str">
        <f>IF(DAY(B495)&gt;15,MONTH(B495)&amp;"-C",MONTH(B495)&amp;"-N")</f>
        <v>3-N</v>
      </c>
      <c r="W495" s="21">
        <v>4</v>
      </c>
      <c r="X495" s="2" t="b">
        <f t="shared" si="301"/>
        <v>1</v>
      </c>
    </row>
    <row r="496" spans="2:24" x14ac:dyDescent="0.2">
      <c r="B496" s="17">
        <v>44262</v>
      </c>
      <c r="C496" s="10" t="s">
        <v>82</v>
      </c>
      <c r="D496" s="11">
        <v>160417</v>
      </c>
      <c r="E496" s="26">
        <v>56744</v>
      </c>
      <c r="F496" s="10" t="s">
        <v>31</v>
      </c>
      <c r="G496" s="10" t="s">
        <v>27</v>
      </c>
      <c r="H496" s="27" t="s">
        <v>32</v>
      </c>
      <c r="I496" s="12"/>
      <c r="J496" s="12"/>
      <c r="K496" s="13">
        <v>640</v>
      </c>
      <c r="L496" s="21">
        <v>5</v>
      </c>
      <c r="M496" s="14" t="s">
        <v>14</v>
      </c>
      <c r="N496" s="13">
        <v>3200</v>
      </c>
      <c r="O496" s="15">
        <f t="shared" si="300"/>
        <v>0</v>
      </c>
      <c r="P496" s="10" t="s">
        <v>78</v>
      </c>
      <c r="Q496" s="11" t="s">
        <v>1218</v>
      </c>
      <c r="R496" s="11" t="s">
        <v>1219</v>
      </c>
      <c r="S496" s="16" t="s">
        <v>1220</v>
      </c>
      <c r="T496" s="19" t="str">
        <f>MONTH(B496)&amp;"-"&amp;YEAR(B496)</f>
        <v>3-2021</v>
      </c>
      <c r="U496" s="2">
        <f>YEAR(B496)</f>
        <v>2021</v>
      </c>
      <c r="V496" s="2" t="str">
        <f>IF(DAY(B496)&gt;15,MONTH(B496)&amp;"-C",MONTH(B496)&amp;"-N")</f>
        <v>3-N</v>
      </c>
      <c r="W496" s="21">
        <v>5</v>
      </c>
      <c r="X496" s="2" t="b">
        <f t="shared" si="301"/>
        <v>1</v>
      </c>
    </row>
    <row r="497" spans="2:24" x14ac:dyDescent="0.2">
      <c r="B497" s="17">
        <v>44263</v>
      </c>
      <c r="C497" s="10" t="s">
        <v>107</v>
      </c>
      <c r="D497" s="11">
        <v>160414</v>
      </c>
      <c r="E497" s="26">
        <v>56761</v>
      </c>
      <c r="F497" s="10" t="s">
        <v>103</v>
      </c>
      <c r="G497" s="10" t="s">
        <v>46</v>
      </c>
      <c r="H497" s="27" t="s">
        <v>104</v>
      </c>
      <c r="I497" s="12"/>
      <c r="J497" s="12"/>
      <c r="K497" s="13">
        <v>240</v>
      </c>
      <c r="L497" s="21">
        <v>37.200000000000003</v>
      </c>
      <c r="M497" s="14" t="s">
        <v>14</v>
      </c>
      <c r="N497" s="13">
        <v>8928</v>
      </c>
      <c r="O497" s="15">
        <f t="shared" si="300"/>
        <v>0</v>
      </c>
      <c r="P497" s="10" t="s">
        <v>84</v>
      </c>
      <c r="Q497" s="11" t="s">
        <v>1221</v>
      </c>
      <c r="R497" s="11" t="s">
        <v>1222</v>
      </c>
      <c r="S497" s="16" t="s">
        <v>1223</v>
      </c>
      <c r="T497" s="19" t="str">
        <f>MONTH(B497)&amp;"-"&amp;YEAR(B497)</f>
        <v>3-2021</v>
      </c>
      <c r="U497" s="2">
        <f>YEAR(B497)</f>
        <v>2021</v>
      </c>
      <c r="V497" s="2" t="str">
        <f>IF(DAY(B497)&gt;15,MONTH(B497)&amp;"-C",MONTH(B497)&amp;"-N")</f>
        <v>3-N</v>
      </c>
      <c r="W497" s="21">
        <v>37.200000000000003</v>
      </c>
      <c r="X497" s="2" t="b">
        <f t="shared" si="301"/>
        <v>1</v>
      </c>
    </row>
    <row r="498" spans="2:24" x14ac:dyDescent="0.2">
      <c r="B498" s="17">
        <v>44263</v>
      </c>
      <c r="C498" s="10" t="s">
        <v>107</v>
      </c>
      <c r="D498" s="11">
        <v>160414</v>
      </c>
      <c r="E498" s="26">
        <v>56761</v>
      </c>
      <c r="F498" s="10" t="s">
        <v>105</v>
      </c>
      <c r="G498" s="10" t="s">
        <v>46</v>
      </c>
      <c r="H498" s="27" t="s">
        <v>106</v>
      </c>
      <c r="I498" s="12"/>
      <c r="J498" s="12"/>
      <c r="K498" s="13">
        <v>7920</v>
      </c>
      <c r="L498" s="21">
        <v>12.3</v>
      </c>
      <c r="M498" s="14" t="s">
        <v>14</v>
      </c>
      <c r="N498" s="13">
        <v>97416</v>
      </c>
      <c r="O498" s="15">
        <f t="shared" si="300"/>
        <v>0</v>
      </c>
      <c r="P498" s="10" t="s">
        <v>84</v>
      </c>
      <c r="Q498" s="11" t="s">
        <v>1221</v>
      </c>
      <c r="R498" s="11" t="s">
        <v>1222</v>
      </c>
      <c r="S498" s="16" t="s">
        <v>1223</v>
      </c>
      <c r="T498" s="19" t="str">
        <f>MONTH(B498)&amp;"-"&amp;YEAR(B498)</f>
        <v>3-2021</v>
      </c>
      <c r="U498" s="2">
        <f>YEAR(B498)</f>
        <v>2021</v>
      </c>
      <c r="V498" s="2" t="str">
        <f>IF(DAY(B498)&gt;15,MONTH(B498)&amp;"-C",MONTH(B498)&amp;"-N")</f>
        <v>3-N</v>
      </c>
      <c r="W498" s="21">
        <v>12.3</v>
      </c>
      <c r="X498" s="2" t="b">
        <f t="shared" si="301"/>
        <v>1</v>
      </c>
    </row>
    <row r="499" spans="2:24" x14ac:dyDescent="0.2">
      <c r="B499" s="17">
        <v>44264</v>
      </c>
      <c r="C499" s="10" t="s">
        <v>1224</v>
      </c>
      <c r="D499" s="11">
        <v>159640</v>
      </c>
      <c r="E499" s="26">
        <v>56785</v>
      </c>
      <c r="F499" s="10" t="s">
        <v>115</v>
      </c>
      <c r="G499" s="10" t="s">
        <v>46</v>
      </c>
      <c r="H499" s="27" t="s">
        <v>116</v>
      </c>
      <c r="I499" s="12"/>
      <c r="J499" s="12"/>
      <c r="K499" s="13">
        <v>6000</v>
      </c>
      <c r="L499" s="21">
        <v>7.1669999999999998</v>
      </c>
      <c r="M499" s="14" t="s">
        <v>14</v>
      </c>
      <c r="N499" s="13">
        <v>43000.800000000003</v>
      </c>
      <c r="O499" s="15">
        <f t="shared" ref="O499:O500" si="302">(N499/K499)-L499</f>
        <v>-1.9999999999953388E-4</v>
      </c>
      <c r="P499" s="10" t="s">
        <v>90</v>
      </c>
      <c r="Q499" s="11" t="s">
        <v>1225</v>
      </c>
      <c r="R499" s="11" t="s">
        <v>1226</v>
      </c>
      <c r="S499" s="16" t="s">
        <v>1227</v>
      </c>
      <c r="T499" s="19" t="str">
        <f>MONTH(B499)&amp;"-"&amp;YEAR(B499)</f>
        <v>3-2021</v>
      </c>
      <c r="U499" s="2">
        <f>YEAR(B499)</f>
        <v>2021</v>
      </c>
      <c r="V499" s="2" t="str">
        <f>IF(DAY(B499)&gt;15,MONTH(B499)&amp;"-C",MONTH(B499)&amp;"-N")</f>
        <v>3-N</v>
      </c>
      <c r="W499" s="21">
        <v>7.1669999999999998</v>
      </c>
      <c r="X499" s="2" t="b">
        <f t="shared" ref="X499:X500" si="303">+L499=W499</f>
        <v>1</v>
      </c>
    </row>
    <row r="500" spans="2:24" x14ac:dyDescent="0.2">
      <c r="B500" s="17">
        <v>44264</v>
      </c>
      <c r="C500" s="10" t="s">
        <v>1224</v>
      </c>
      <c r="D500" s="11">
        <v>159640</v>
      </c>
      <c r="E500" s="26">
        <v>56785</v>
      </c>
      <c r="F500" s="10" t="s">
        <v>117</v>
      </c>
      <c r="G500" s="10" t="s">
        <v>46</v>
      </c>
      <c r="H500" s="27" t="s">
        <v>118</v>
      </c>
      <c r="I500" s="12"/>
      <c r="J500" s="12"/>
      <c r="K500" s="13">
        <v>10000</v>
      </c>
      <c r="L500" s="21">
        <v>11.798999999999999</v>
      </c>
      <c r="M500" s="14" t="s">
        <v>14</v>
      </c>
      <c r="N500" s="13">
        <v>117990</v>
      </c>
      <c r="O500" s="15">
        <f t="shared" si="302"/>
        <v>0</v>
      </c>
      <c r="P500" s="10" t="s">
        <v>90</v>
      </c>
      <c r="Q500" s="11" t="s">
        <v>1225</v>
      </c>
      <c r="R500" s="11" t="s">
        <v>1226</v>
      </c>
      <c r="S500" s="16" t="s">
        <v>1227</v>
      </c>
      <c r="T500" s="19" t="str">
        <f>MONTH(B500)&amp;"-"&amp;YEAR(B500)</f>
        <v>3-2021</v>
      </c>
      <c r="U500" s="2">
        <f>YEAR(B500)</f>
        <v>2021</v>
      </c>
      <c r="V500" s="2" t="str">
        <f>IF(DAY(B500)&gt;15,MONTH(B500)&amp;"-C",MONTH(B500)&amp;"-N")</f>
        <v>3-N</v>
      </c>
      <c r="W500" s="21">
        <v>11.798999999999999</v>
      </c>
      <c r="X500" s="2" t="b">
        <f t="shared" si="303"/>
        <v>1</v>
      </c>
    </row>
    <row r="501" spans="2:24" x14ac:dyDescent="0.2">
      <c r="B501" s="17">
        <v>44266</v>
      </c>
      <c r="C501" s="10" t="s">
        <v>150</v>
      </c>
      <c r="D501" s="11">
        <v>160432</v>
      </c>
      <c r="E501" s="26">
        <v>56828</v>
      </c>
      <c r="F501" s="10" t="s">
        <v>49</v>
      </c>
      <c r="G501" s="10" t="s">
        <v>27</v>
      </c>
      <c r="H501" s="27" t="s">
        <v>50</v>
      </c>
      <c r="I501" s="12"/>
      <c r="J501" s="12"/>
      <c r="K501" s="13">
        <v>3800</v>
      </c>
      <c r="L501" s="21">
        <v>10</v>
      </c>
      <c r="M501" s="14" t="s">
        <v>14</v>
      </c>
      <c r="N501" s="13">
        <v>38000</v>
      </c>
      <c r="O501" s="15">
        <f t="shared" ref="O501" si="304">(N501/K501)-L501</f>
        <v>0</v>
      </c>
      <c r="P501" s="10" t="s">
        <v>78</v>
      </c>
      <c r="Q501" s="11" t="s">
        <v>1228</v>
      </c>
      <c r="R501" s="11" t="s">
        <v>1229</v>
      </c>
      <c r="S501" s="16" t="s">
        <v>1230</v>
      </c>
      <c r="T501" s="19" t="str">
        <f>MONTH(B501)&amp;"-"&amp;YEAR(B501)</f>
        <v>3-2021</v>
      </c>
      <c r="U501" s="2">
        <f>YEAR(B501)</f>
        <v>2021</v>
      </c>
      <c r="V501" s="2" t="str">
        <f>IF(DAY(B501)&gt;15,MONTH(B501)&amp;"-C",MONTH(B501)&amp;"-N")</f>
        <v>3-N</v>
      </c>
      <c r="W501" s="21">
        <v>10</v>
      </c>
      <c r="X501" s="2" t="b">
        <f t="shared" ref="X501" si="305">+L501=W501</f>
        <v>1</v>
      </c>
    </row>
    <row r="502" spans="2:24" x14ac:dyDescent="0.2">
      <c r="B502" s="17">
        <v>44275</v>
      </c>
      <c r="C502" s="10" t="s">
        <v>682</v>
      </c>
      <c r="D502" s="11">
        <v>160121</v>
      </c>
      <c r="E502" s="26">
        <v>56829</v>
      </c>
      <c r="F502" s="10" t="s">
        <v>26</v>
      </c>
      <c r="G502" s="10" t="s">
        <v>27</v>
      </c>
      <c r="H502" s="27" t="s">
        <v>28</v>
      </c>
      <c r="I502" s="12"/>
      <c r="J502" s="12"/>
      <c r="K502" s="13">
        <v>10977</v>
      </c>
      <c r="L502" s="21">
        <v>4.2300000000000004</v>
      </c>
      <c r="M502" s="14" t="s">
        <v>14</v>
      </c>
      <c r="N502" s="13">
        <v>46432.71</v>
      </c>
      <c r="O502" s="15">
        <f t="shared" ref="O502:O511" si="306">(N502/K502)-L502</f>
        <v>0</v>
      </c>
      <c r="P502" s="10" t="s">
        <v>78</v>
      </c>
      <c r="Q502" s="11" t="s">
        <v>1232</v>
      </c>
      <c r="R502" s="11" t="s">
        <v>1233</v>
      </c>
      <c r="S502" s="16" t="s">
        <v>1234</v>
      </c>
      <c r="T502" s="19" t="str">
        <f>MONTH(B502)&amp;"-"&amp;YEAR(B502)</f>
        <v>3-2021</v>
      </c>
      <c r="U502" s="2">
        <f>YEAR(B502)</f>
        <v>2021</v>
      </c>
      <c r="V502" s="2" t="str">
        <f>IF(DAY(B502)&gt;15,MONTH(B502)&amp;"-C",MONTH(B502)&amp;"-N")</f>
        <v>3-C</v>
      </c>
      <c r="W502" s="21">
        <v>4.2300000000000004</v>
      </c>
      <c r="X502" s="2" t="b">
        <f t="shared" ref="X502:X511" si="307">+L502=W502</f>
        <v>1</v>
      </c>
    </row>
    <row r="503" spans="2:24" x14ac:dyDescent="0.2">
      <c r="B503" s="17">
        <v>44275</v>
      </c>
      <c r="C503" s="10" t="s">
        <v>682</v>
      </c>
      <c r="D503" s="11">
        <v>160121</v>
      </c>
      <c r="E503" s="26">
        <v>56863</v>
      </c>
      <c r="F503" s="10" t="s">
        <v>26</v>
      </c>
      <c r="G503" s="10" t="s">
        <v>27</v>
      </c>
      <c r="H503" s="27" t="s">
        <v>28</v>
      </c>
      <c r="I503" s="12"/>
      <c r="J503" s="12"/>
      <c r="K503" s="13">
        <v>9127</v>
      </c>
      <c r="L503" s="21">
        <v>4.2300000000000004</v>
      </c>
      <c r="M503" s="14" t="s">
        <v>14</v>
      </c>
      <c r="N503" s="13">
        <v>38607.21</v>
      </c>
      <c r="O503" s="15">
        <f t="shared" si="306"/>
        <v>0</v>
      </c>
      <c r="P503" s="10" t="s">
        <v>78</v>
      </c>
      <c r="Q503" s="11" t="s">
        <v>1232</v>
      </c>
      <c r="R503" s="11" t="s">
        <v>1233</v>
      </c>
      <c r="S503" s="16" t="s">
        <v>1234</v>
      </c>
      <c r="T503" s="19" t="str">
        <f>MONTH(B503)&amp;"-"&amp;YEAR(B503)</f>
        <v>3-2021</v>
      </c>
      <c r="U503" s="2">
        <f>YEAR(B503)</f>
        <v>2021</v>
      </c>
      <c r="V503" s="2" t="str">
        <f>IF(DAY(B503)&gt;15,MONTH(B503)&amp;"-C",MONTH(B503)&amp;"-N")</f>
        <v>3-C</v>
      </c>
      <c r="W503" s="21">
        <v>4.2300000000000004</v>
      </c>
      <c r="X503" s="2" t="b">
        <f t="shared" si="307"/>
        <v>1</v>
      </c>
    </row>
    <row r="504" spans="2:24" x14ac:dyDescent="0.2">
      <c r="B504" s="17">
        <v>44275</v>
      </c>
      <c r="C504" s="10" t="s">
        <v>682</v>
      </c>
      <c r="D504" s="11">
        <v>160121</v>
      </c>
      <c r="E504" s="26">
        <v>56914</v>
      </c>
      <c r="F504" s="10" t="s">
        <v>26</v>
      </c>
      <c r="G504" s="10" t="s">
        <v>27</v>
      </c>
      <c r="H504" s="27" t="s">
        <v>28</v>
      </c>
      <c r="I504" s="12"/>
      <c r="J504" s="12"/>
      <c r="K504" s="13">
        <v>9371</v>
      </c>
      <c r="L504" s="21">
        <v>4.2300000000000004</v>
      </c>
      <c r="M504" s="14" t="s">
        <v>14</v>
      </c>
      <c r="N504" s="13">
        <v>39639.33</v>
      </c>
      <c r="O504" s="15">
        <f t="shared" si="306"/>
        <v>0</v>
      </c>
      <c r="P504" s="10" t="s">
        <v>78</v>
      </c>
      <c r="Q504" s="11" t="s">
        <v>1232</v>
      </c>
      <c r="R504" s="11" t="s">
        <v>1233</v>
      </c>
      <c r="S504" s="16" t="s">
        <v>1234</v>
      </c>
      <c r="T504" s="19" t="str">
        <f>MONTH(B504)&amp;"-"&amp;YEAR(B504)</f>
        <v>3-2021</v>
      </c>
      <c r="U504" s="2">
        <f>YEAR(B504)</f>
        <v>2021</v>
      </c>
      <c r="V504" s="2" t="str">
        <f>IF(DAY(B504)&gt;15,MONTH(B504)&amp;"-C",MONTH(B504)&amp;"-N")</f>
        <v>3-C</v>
      </c>
      <c r="W504" s="21">
        <v>4.2300000000000004</v>
      </c>
      <c r="X504" s="2" t="b">
        <f t="shared" si="307"/>
        <v>1</v>
      </c>
    </row>
    <row r="505" spans="2:24" x14ac:dyDescent="0.2">
      <c r="B505" s="17">
        <v>44275</v>
      </c>
      <c r="C505" s="10" t="s">
        <v>682</v>
      </c>
      <c r="D505" s="11">
        <v>160121</v>
      </c>
      <c r="E505" s="26">
        <v>56915</v>
      </c>
      <c r="F505" s="10" t="s">
        <v>26</v>
      </c>
      <c r="G505" s="10" t="s">
        <v>27</v>
      </c>
      <c r="H505" s="27" t="s">
        <v>28</v>
      </c>
      <c r="I505" s="12"/>
      <c r="J505" s="12"/>
      <c r="K505" s="13">
        <v>9000</v>
      </c>
      <c r="L505" s="21">
        <v>4.2300000000000004</v>
      </c>
      <c r="M505" s="14" t="s">
        <v>14</v>
      </c>
      <c r="N505" s="13">
        <v>38070</v>
      </c>
      <c r="O505" s="15">
        <f t="shared" si="306"/>
        <v>0</v>
      </c>
      <c r="P505" s="10" t="s">
        <v>78</v>
      </c>
      <c r="Q505" s="11" t="s">
        <v>1232</v>
      </c>
      <c r="R505" s="11" t="s">
        <v>1233</v>
      </c>
      <c r="S505" s="16" t="s">
        <v>1234</v>
      </c>
      <c r="T505" s="19" t="str">
        <f>MONTH(B505)&amp;"-"&amp;YEAR(B505)</f>
        <v>3-2021</v>
      </c>
      <c r="U505" s="2">
        <f>YEAR(B505)</f>
        <v>2021</v>
      </c>
      <c r="V505" s="2" t="str">
        <f>IF(DAY(B505)&gt;15,MONTH(B505)&amp;"-C",MONTH(B505)&amp;"-N")</f>
        <v>3-C</v>
      </c>
      <c r="W505" s="21">
        <v>4.2300000000000004</v>
      </c>
      <c r="X505" s="2" t="b">
        <f t="shared" si="307"/>
        <v>1</v>
      </c>
    </row>
    <row r="506" spans="2:24" x14ac:dyDescent="0.2">
      <c r="B506" s="17">
        <v>44275</v>
      </c>
      <c r="C506" s="10" t="s">
        <v>682</v>
      </c>
      <c r="D506" s="11">
        <v>160121</v>
      </c>
      <c r="E506" s="26">
        <v>56943</v>
      </c>
      <c r="F506" s="10" t="s">
        <v>26</v>
      </c>
      <c r="G506" s="10" t="s">
        <v>27</v>
      </c>
      <c r="H506" s="27" t="s">
        <v>28</v>
      </c>
      <c r="I506" s="12"/>
      <c r="J506" s="12"/>
      <c r="K506" s="13">
        <v>2285</v>
      </c>
      <c r="L506" s="21">
        <v>4.2300000000000004</v>
      </c>
      <c r="M506" s="14" t="s">
        <v>14</v>
      </c>
      <c r="N506" s="13">
        <v>9665.5499999999993</v>
      </c>
      <c r="O506" s="15">
        <f t="shared" si="306"/>
        <v>0</v>
      </c>
      <c r="P506" s="10" t="s">
        <v>78</v>
      </c>
      <c r="Q506" s="11" t="s">
        <v>1232</v>
      </c>
      <c r="R506" s="11" t="s">
        <v>1233</v>
      </c>
      <c r="S506" s="16" t="s">
        <v>1234</v>
      </c>
      <c r="T506" s="19" t="str">
        <f>MONTH(B506)&amp;"-"&amp;YEAR(B506)</f>
        <v>3-2021</v>
      </c>
      <c r="U506" s="2">
        <f>YEAR(B506)</f>
        <v>2021</v>
      </c>
      <c r="V506" s="2" t="str">
        <f>IF(DAY(B506)&gt;15,MONTH(B506)&amp;"-C",MONTH(B506)&amp;"-N")</f>
        <v>3-C</v>
      </c>
      <c r="W506" s="21">
        <v>4.2300000000000004</v>
      </c>
      <c r="X506" s="2" t="b">
        <f t="shared" si="307"/>
        <v>1</v>
      </c>
    </row>
    <row r="507" spans="2:24" x14ac:dyDescent="0.2">
      <c r="B507" s="17">
        <v>44276</v>
      </c>
      <c r="C507" s="10" t="s">
        <v>73</v>
      </c>
      <c r="D507" s="11">
        <v>160572</v>
      </c>
      <c r="E507" s="26">
        <v>56959</v>
      </c>
      <c r="F507" s="10" t="s">
        <v>399</v>
      </c>
      <c r="G507" s="10" t="s">
        <v>46</v>
      </c>
      <c r="H507" s="27" t="s">
        <v>149</v>
      </c>
      <c r="I507" s="12"/>
      <c r="J507" s="12"/>
      <c r="K507" s="13">
        <v>210</v>
      </c>
      <c r="L507" s="21">
        <v>18.5</v>
      </c>
      <c r="M507" s="14" t="s">
        <v>14</v>
      </c>
      <c r="N507" s="13">
        <v>3885</v>
      </c>
      <c r="O507" s="15">
        <f t="shared" si="306"/>
        <v>0</v>
      </c>
      <c r="P507" s="10" t="s">
        <v>81</v>
      </c>
      <c r="Q507" s="11" t="s">
        <v>1235</v>
      </c>
      <c r="R507" s="11" t="s">
        <v>1236</v>
      </c>
      <c r="S507" s="16" t="s">
        <v>1237</v>
      </c>
      <c r="T507" s="19" t="str">
        <f>MONTH(B507)&amp;"-"&amp;YEAR(B507)</f>
        <v>3-2021</v>
      </c>
      <c r="U507" s="2">
        <f>YEAR(B507)</f>
        <v>2021</v>
      </c>
      <c r="V507" s="2" t="str">
        <f>IF(DAY(B507)&gt;15,MONTH(B507)&amp;"-C",MONTH(B507)&amp;"-N")</f>
        <v>3-C</v>
      </c>
      <c r="W507" s="21">
        <v>18.5</v>
      </c>
      <c r="X507" s="2" t="b">
        <f t="shared" si="307"/>
        <v>1</v>
      </c>
    </row>
    <row r="508" spans="2:24" x14ac:dyDescent="0.2">
      <c r="B508" s="17">
        <v>44276</v>
      </c>
      <c r="C508" s="10" t="s">
        <v>25</v>
      </c>
      <c r="D508" s="11">
        <v>160122</v>
      </c>
      <c r="E508" s="26">
        <v>56958</v>
      </c>
      <c r="F508" s="10" t="s">
        <v>26</v>
      </c>
      <c r="G508" s="10" t="s">
        <v>27</v>
      </c>
      <c r="H508" s="27" t="s">
        <v>28</v>
      </c>
      <c r="I508" s="12"/>
      <c r="J508" s="12"/>
      <c r="K508" s="13">
        <v>19800</v>
      </c>
      <c r="L508" s="21">
        <v>4.2300000000000004</v>
      </c>
      <c r="M508" s="14" t="s">
        <v>14</v>
      </c>
      <c r="N508" s="13">
        <v>83754</v>
      </c>
      <c r="O508" s="15">
        <f t="shared" si="306"/>
        <v>0</v>
      </c>
      <c r="P508" s="10" t="s">
        <v>78</v>
      </c>
      <c r="Q508" s="11" t="s">
        <v>1238</v>
      </c>
      <c r="R508" s="11" t="s">
        <v>1231</v>
      </c>
      <c r="S508" s="16" t="s">
        <v>1239</v>
      </c>
      <c r="T508" s="19" t="str">
        <f>MONTH(B508)&amp;"-"&amp;YEAR(B508)</f>
        <v>3-2021</v>
      </c>
      <c r="U508" s="2">
        <f>YEAR(B508)</f>
        <v>2021</v>
      </c>
      <c r="V508" s="2" t="str">
        <f>IF(DAY(B508)&gt;15,MONTH(B508)&amp;"-C",MONTH(B508)&amp;"-N")</f>
        <v>3-C</v>
      </c>
      <c r="W508" s="21">
        <v>4.2300000000000004</v>
      </c>
      <c r="X508" s="2" t="b">
        <f t="shared" si="307"/>
        <v>1</v>
      </c>
    </row>
    <row r="509" spans="2:24" x14ac:dyDescent="0.2">
      <c r="B509" s="17">
        <v>44276</v>
      </c>
      <c r="C509" s="10" t="s">
        <v>25</v>
      </c>
      <c r="D509" s="11" t="s">
        <v>1240</v>
      </c>
      <c r="E509" s="26">
        <v>56968</v>
      </c>
      <c r="F509" s="10" t="s">
        <v>31</v>
      </c>
      <c r="G509" s="10" t="s">
        <v>27</v>
      </c>
      <c r="H509" s="27" t="s">
        <v>32</v>
      </c>
      <c r="I509" s="12"/>
      <c r="J509" s="12"/>
      <c r="K509" s="13">
        <v>1920</v>
      </c>
      <c r="L509" s="21">
        <v>5.55</v>
      </c>
      <c r="M509" s="14" t="s">
        <v>14</v>
      </c>
      <c r="N509" s="13">
        <v>10656</v>
      </c>
      <c r="O509" s="15">
        <f t="shared" si="306"/>
        <v>0</v>
      </c>
      <c r="P509" s="10" t="s">
        <v>78</v>
      </c>
      <c r="Q509" s="11" t="s">
        <v>1241</v>
      </c>
      <c r="R509" s="11" t="s">
        <v>1242</v>
      </c>
      <c r="S509" s="16" t="s">
        <v>1243</v>
      </c>
      <c r="T509" s="19" t="str">
        <f>MONTH(B509)&amp;"-"&amp;YEAR(B509)</f>
        <v>3-2021</v>
      </c>
      <c r="U509" s="2">
        <f>YEAR(B509)</f>
        <v>2021</v>
      </c>
      <c r="V509" s="2" t="str">
        <f>IF(DAY(B509)&gt;15,MONTH(B509)&amp;"-C",MONTH(B509)&amp;"-N")</f>
        <v>3-C</v>
      </c>
      <c r="W509" s="21">
        <v>5.55</v>
      </c>
      <c r="X509" s="2" t="b">
        <f t="shared" si="307"/>
        <v>1</v>
      </c>
    </row>
    <row r="510" spans="2:24" x14ac:dyDescent="0.2">
      <c r="B510" s="17">
        <v>44276</v>
      </c>
      <c r="C510" s="10" t="s">
        <v>107</v>
      </c>
      <c r="D510" s="11">
        <v>160567</v>
      </c>
      <c r="E510" s="26">
        <v>56960</v>
      </c>
      <c r="F510" s="10" t="s">
        <v>142</v>
      </c>
      <c r="G510" s="10" t="s">
        <v>46</v>
      </c>
      <c r="H510" s="27" t="s">
        <v>143</v>
      </c>
      <c r="I510" s="12"/>
      <c r="J510" s="12"/>
      <c r="K510" s="13">
        <v>2200</v>
      </c>
      <c r="L510" s="21">
        <v>9</v>
      </c>
      <c r="M510" s="14" t="s">
        <v>14</v>
      </c>
      <c r="N510" s="13">
        <v>19800</v>
      </c>
      <c r="O510" s="15">
        <f t="shared" si="306"/>
        <v>0</v>
      </c>
      <c r="P510" s="10" t="s">
        <v>84</v>
      </c>
      <c r="Q510" s="11" t="s">
        <v>1244</v>
      </c>
      <c r="R510" s="11" t="s">
        <v>1245</v>
      </c>
      <c r="S510" s="16" t="s">
        <v>1246</v>
      </c>
      <c r="T510" s="19" t="str">
        <f>MONTH(B510)&amp;"-"&amp;YEAR(B510)</f>
        <v>3-2021</v>
      </c>
      <c r="U510" s="2">
        <f>YEAR(B510)</f>
        <v>2021</v>
      </c>
      <c r="V510" s="2" t="str">
        <f>IF(DAY(B510)&gt;15,MONTH(B510)&amp;"-C",MONTH(B510)&amp;"-N")</f>
        <v>3-C</v>
      </c>
      <c r="W510" s="21">
        <v>9</v>
      </c>
      <c r="X510" s="2" t="b">
        <f t="shared" si="307"/>
        <v>1</v>
      </c>
    </row>
    <row r="511" spans="2:24" x14ac:dyDescent="0.2">
      <c r="B511" s="17">
        <v>44276</v>
      </c>
      <c r="C511" s="10" t="s">
        <v>107</v>
      </c>
      <c r="D511" s="11">
        <v>160567</v>
      </c>
      <c r="E511" s="26">
        <v>56960</v>
      </c>
      <c r="F511" s="10" t="s">
        <v>144</v>
      </c>
      <c r="G511" s="10" t="s">
        <v>46</v>
      </c>
      <c r="H511" s="27" t="s">
        <v>145</v>
      </c>
      <c r="I511" s="12"/>
      <c r="J511" s="12"/>
      <c r="K511" s="13">
        <v>340</v>
      </c>
      <c r="L511" s="21">
        <v>9</v>
      </c>
      <c r="M511" s="14" t="s">
        <v>14</v>
      </c>
      <c r="N511" s="13">
        <v>3060</v>
      </c>
      <c r="O511" s="15">
        <f t="shared" si="306"/>
        <v>0</v>
      </c>
      <c r="P511" s="10" t="s">
        <v>84</v>
      </c>
      <c r="Q511" s="11" t="s">
        <v>1244</v>
      </c>
      <c r="R511" s="11" t="s">
        <v>1245</v>
      </c>
      <c r="S511" s="16" t="s">
        <v>1246</v>
      </c>
      <c r="T511" s="19" t="str">
        <f>MONTH(B511)&amp;"-"&amp;YEAR(B511)</f>
        <v>3-2021</v>
      </c>
      <c r="U511" s="2">
        <f>YEAR(B511)</f>
        <v>2021</v>
      </c>
      <c r="V511" s="2" t="str">
        <f>IF(DAY(B511)&gt;15,MONTH(B511)&amp;"-C",MONTH(B511)&amp;"-N")</f>
        <v>3-C</v>
      </c>
      <c r="W511" s="21">
        <v>9</v>
      </c>
      <c r="X511" s="2" t="b">
        <f t="shared" si="307"/>
        <v>1</v>
      </c>
    </row>
    <row r="512" spans="2:24" x14ac:dyDescent="0.2">
      <c r="B512" s="17">
        <v>44280</v>
      </c>
      <c r="C512" s="10" t="s">
        <v>88</v>
      </c>
      <c r="D512" s="11">
        <v>160421</v>
      </c>
      <c r="E512" s="26">
        <v>57021</v>
      </c>
      <c r="F512" s="10" t="s">
        <v>98</v>
      </c>
      <c r="G512" s="10" t="s">
        <v>46</v>
      </c>
      <c r="H512" s="27" t="s">
        <v>99</v>
      </c>
      <c r="I512" s="12"/>
      <c r="J512" s="12"/>
      <c r="K512" s="13">
        <v>30</v>
      </c>
      <c r="L512" s="21">
        <v>12.02</v>
      </c>
      <c r="M512" s="14" t="s">
        <v>14</v>
      </c>
      <c r="N512" s="13">
        <v>360.6</v>
      </c>
      <c r="O512" s="15">
        <f t="shared" ref="O512:O513" si="308">(N512/K512)-L512</f>
        <v>0</v>
      </c>
      <c r="P512" s="10" t="s">
        <v>84</v>
      </c>
      <c r="Q512" s="11" t="s">
        <v>1247</v>
      </c>
      <c r="R512" s="11" t="s">
        <v>1248</v>
      </c>
      <c r="S512" s="16" t="s">
        <v>1249</v>
      </c>
      <c r="T512" s="19" t="str">
        <f>MONTH(B512)&amp;"-"&amp;YEAR(B512)</f>
        <v>3-2021</v>
      </c>
      <c r="U512" s="2">
        <f>YEAR(B512)</f>
        <v>2021</v>
      </c>
      <c r="V512" s="2" t="str">
        <f>IF(DAY(B512)&gt;15,MONTH(B512)&amp;"-C",MONTH(B512)&amp;"-N")</f>
        <v>3-C</v>
      </c>
      <c r="W512" s="21">
        <v>12.02</v>
      </c>
      <c r="X512" s="2" t="b">
        <f t="shared" ref="X512:X513" si="309">+L512=W512</f>
        <v>1</v>
      </c>
    </row>
    <row r="513" spans="2:24" x14ac:dyDescent="0.2">
      <c r="B513" s="17">
        <v>44280</v>
      </c>
      <c r="C513" s="10" t="s">
        <v>88</v>
      </c>
      <c r="D513" s="11">
        <v>160421</v>
      </c>
      <c r="E513" s="26">
        <v>57021</v>
      </c>
      <c r="F513" s="10" t="s">
        <v>100</v>
      </c>
      <c r="G513" s="10" t="s">
        <v>46</v>
      </c>
      <c r="H513" s="27" t="s">
        <v>101</v>
      </c>
      <c r="I513" s="12"/>
      <c r="J513" s="12"/>
      <c r="K513" s="13">
        <v>1500</v>
      </c>
      <c r="L513" s="21">
        <v>12.14</v>
      </c>
      <c r="M513" s="14" t="s">
        <v>14</v>
      </c>
      <c r="N513" s="13">
        <v>18210</v>
      </c>
      <c r="O513" s="15">
        <f t="shared" si="308"/>
        <v>0</v>
      </c>
      <c r="P513" s="10" t="s">
        <v>84</v>
      </c>
      <c r="Q513" s="11" t="s">
        <v>1247</v>
      </c>
      <c r="R513" s="11" t="s">
        <v>1248</v>
      </c>
      <c r="S513" s="16" t="s">
        <v>1249</v>
      </c>
      <c r="T513" s="19" t="str">
        <f>MONTH(B513)&amp;"-"&amp;YEAR(B513)</f>
        <v>3-2021</v>
      </c>
      <c r="U513" s="2">
        <f>YEAR(B513)</f>
        <v>2021</v>
      </c>
      <c r="V513" s="2" t="str">
        <f>IF(DAY(B513)&gt;15,MONTH(B513)&amp;"-C",MONTH(B513)&amp;"-N")</f>
        <v>3-C</v>
      </c>
      <c r="W513" s="21">
        <v>12.14</v>
      </c>
      <c r="X513" s="2" t="b">
        <f t="shared" si="309"/>
        <v>1</v>
      </c>
    </row>
    <row r="514" spans="2:24" x14ac:dyDescent="0.2">
      <c r="B514" s="17">
        <v>44282</v>
      </c>
      <c r="C514" s="10" t="s">
        <v>48</v>
      </c>
      <c r="D514" s="11">
        <v>159585</v>
      </c>
      <c r="E514" s="26">
        <v>57058</v>
      </c>
      <c r="F514" s="10" t="s">
        <v>135</v>
      </c>
      <c r="G514" s="10" t="s">
        <v>46</v>
      </c>
      <c r="H514" s="27" t="s">
        <v>136</v>
      </c>
      <c r="I514" s="12"/>
      <c r="J514" s="12"/>
      <c r="K514" s="13">
        <v>6200</v>
      </c>
      <c r="L514" s="21">
        <v>9.9160000000000004</v>
      </c>
      <c r="M514" s="14" t="s">
        <v>14</v>
      </c>
      <c r="N514" s="13">
        <v>61481.779000000002</v>
      </c>
      <c r="O514" s="15">
        <f t="shared" ref="O514:O515" si="310">(N514/K514)-L514</f>
        <v>4.1596774193486397E-4</v>
      </c>
      <c r="P514" s="10" t="s">
        <v>90</v>
      </c>
      <c r="Q514" s="11" t="s">
        <v>1250</v>
      </c>
      <c r="R514" s="11" t="s">
        <v>1251</v>
      </c>
      <c r="S514" s="16" t="s">
        <v>1252</v>
      </c>
      <c r="T514" s="19" t="str">
        <f>MONTH(B514)&amp;"-"&amp;YEAR(B514)</f>
        <v>3-2021</v>
      </c>
      <c r="U514" s="2">
        <f>YEAR(B514)</f>
        <v>2021</v>
      </c>
      <c r="V514" s="2" t="str">
        <f>IF(DAY(B514)&gt;15,MONTH(B514)&amp;"-C",MONTH(B514)&amp;"-N")</f>
        <v>3-C</v>
      </c>
      <c r="W514" s="21">
        <v>9.9160000000000004</v>
      </c>
      <c r="X514" s="2" t="b">
        <f t="shared" ref="X514:X515" si="311">+L514=W514</f>
        <v>1</v>
      </c>
    </row>
    <row r="515" spans="2:24" x14ac:dyDescent="0.2">
      <c r="B515" s="17">
        <v>44282</v>
      </c>
      <c r="C515" s="10" t="s">
        <v>48</v>
      </c>
      <c r="D515" s="11">
        <v>159585</v>
      </c>
      <c r="E515" s="26">
        <v>57058</v>
      </c>
      <c r="F515" s="10" t="s">
        <v>71</v>
      </c>
      <c r="G515" s="10" t="s">
        <v>46</v>
      </c>
      <c r="H515" s="27" t="s">
        <v>72</v>
      </c>
      <c r="I515" s="12"/>
      <c r="J515" s="12"/>
      <c r="K515" s="13">
        <v>9200</v>
      </c>
      <c r="L515" s="21">
        <v>9.9160000000000004</v>
      </c>
      <c r="M515" s="14" t="s">
        <v>14</v>
      </c>
      <c r="N515" s="13">
        <v>91231.027000000002</v>
      </c>
      <c r="O515" s="15">
        <f t="shared" si="310"/>
        <v>4.1597826086992029E-4</v>
      </c>
      <c r="P515" s="10" t="s">
        <v>90</v>
      </c>
      <c r="Q515" s="11" t="s">
        <v>1250</v>
      </c>
      <c r="R515" s="11" t="s">
        <v>1251</v>
      </c>
      <c r="S515" s="16" t="s">
        <v>1252</v>
      </c>
      <c r="T515" s="19" t="str">
        <f>MONTH(B515)&amp;"-"&amp;YEAR(B515)</f>
        <v>3-2021</v>
      </c>
      <c r="U515" s="2">
        <f>YEAR(B515)</f>
        <v>2021</v>
      </c>
      <c r="V515" s="2" t="str">
        <f>IF(DAY(B515)&gt;15,MONTH(B515)&amp;"-C",MONTH(B515)&amp;"-N")</f>
        <v>3-C</v>
      </c>
      <c r="W515" s="21">
        <v>9.9160000000000004</v>
      </c>
      <c r="X515" s="2" t="b">
        <f t="shared" si="311"/>
        <v>1</v>
      </c>
    </row>
    <row r="516" spans="2:24" x14ac:dyDescent="0.2">
      <c r="B516" s="17">
        <v>44284</v>
      </c>
      <c r="C516" s="10" t="s">
        <v>25</v>
      </c>
      <c r="D516" s="11" t="s">
        <v>1240</v>
      </c>
      <c r="E516" s="26">
        <v>57075</v>
      </c>
      <c r="F516" s="10" t="s">
        <v>29</v>
      </c>
      <c r="G516" s="10" t="s">
        <v>27</v>
      </c>
      <c r="H516" s="27" t="s">
        <v>30</v>
      </c>
      <c r="I516" s="12"/>
      <c r="J516" s="12"/>
      <c r="K516" s="13">
        <v>1980</v>
      </c>
      <c r="L516" s="21">
        <v>4.1500000000000004</v>
      </c>
      <c r="M516" s="14" t="s">
        <v>14</v>
      </c>
      <c r="N516" s="13">
        <v>8217</v>
      </c>
      <c r="O516" s="15">
        <f t="shared" ref="O516:O518" si="312">(N516/K516)-L516</f>
        <v>0</v>
      </c>
      <c r="P516" s="10" t="s">
        <v>78</v>
      </c>
      <c r="Q516" s="11" t="s">
        <v>1253</v>
      </c>
      <c r="R516" s="11" t="s">
        <v>1254</v>
      </c>
      <c r="S516" s="16" t="s">
        <v>1255</v>
      </c>
      <c r="T516" s="19" t="str">
        <f>MONTH(B516)&amp;"-"&amp;YEAR(B516)</f>
        <v>3-2021</v>
      </c>
      <c r="U516" s="2">
        <f>YEAR(B516)</f>
        <v>2021</v>
      </c>
      <c r="V516" s="2" t="str">
        <f>IF(DAY(B516)&gt;15,MONTH(B516)&amp;"-C",MONTH(B516)&amp;"-N")</f>
        <v>3-C</v>
      </c>
      <c r="W516" s="21">
        <v>4.1500000000000004</v>
      </c>
      <c r="X516" s="2" t="b">
        <f t="shared" ref="X516:X518" si="313">+L516=W516</f>
        <v>1</v>
      </c>
    </row>
    <row r="517" spans="2:24" x14ac:dyDescent="0.2">
      <c r="B517" s="17">
        <v>44284</v>
      </c>
      <c r="C517" s="10" t="s">
        <v>25</v>
      </c>
      <c r="D517" s="11" t="s">
        <v>1240</v>
      </c>
      <c r="E517" s="26">
        <v>57075</v>
      </c>
      <c r="F517" s="10" t="s">
        <v>33</v>
      </c>
      <c r="G517" s="10" t="s">
        <v>27</v>
      </c>
      <c r="H517" s="27" t="s">
        <v>34</v>
      </c>
      <c r="I517" s="12"/>
      <c r="J517" s="12"/>
      <c r="K517" s="13">
        <v>2160</v>
      </c>
      <c r="L517" s="21">
        <v>6.75</v>
      </c>
      <c r="M517" s="14" t="s">
        <v>14</v>
      </c>
      <c r="N517" s="13">
        <v>14580</v>
      </c>
      <c r="O517" s="15">
        <f t="shared" si="312"/>
        <v>0</v>
      </c>
      <c r="P517" s="10" t="s">
        <v>78</v>
      </c>
      <c r="Q517" s="11" t="s">
        <v>1253</v>
      </c>
      <c r="R517" s="11" t="s">
        <v>1254</v>
      </c>
      <c r="S517" s="16" t="s">
        <v>1255</v>
      </c>
      <c r="T517" s="19" t="str">
        <f>MONTH(B517)&amp;"-"&amp;YEAR(B517)</f>
        <v>3-2021</v>
      </c>
      <c r="U517" s="2">
        <f>YEAR(B517)</f>
        <v>2021</v>
      </c>
      <c r="V517" s="2" t="str">
        <f>IF(DAY(B517)&gt;15,MONTH(B517)&amp;"-C",MONTH(B517)&amp;"-N")</f>
        <v>3-C</v>
      </c>
      <c r="W517" s="21">
        <v>6.75</v>
      </c>
      <c r="X517" s="2" t="b">
        <f t="shared" si="313"/>
        <v>1</v>
      </c>
    </row>
    <row r="518" spans="2:24" x14ac:dyDescent="0.2">
      <c r="B518" s="17">
        <v>44284</v>
      </c>
      <c r="C518" s="10" t="s">
        <v>25</v>
      </c>
      <c r="D518" s="11">
        <v>160122</v>
      </c>
      <c r="E518" s="26">
        <v>57074</v>
      </c>
      <c r="F518" s="10" t="s">
        <v>26</v>
      </c>
      <c r="G518" s="10" t="s">
        <v>27</v>
      </c>
      <c r="H518" s="27" t="s">
        <v>28</v>
      </c>
      <c r="I518" s="12"/>
      <c r="J518" s="12"/>
      <c r="K518" s="13">
        <v>19800</v>
      </c>
      <c r="L518" s="21">
        <v>4.2300000000000004</v>
      </c>
      <c r="M518" s="14" t="s">
        <v>14</v>
      </c>
      <c r="N518" s="13">
        <v>83754</v>
      </c>
      <c r="O518" s="15">
        <f t="shared" si="312"/>
        <v>0</v>
      </c>
      <c r="P518" s="10" t="s">
        <v>78</v>
      </c>
      <c r="Q518" s="11" t="s">
        <v>1257</v>
      </c>
      <c r="R518" s="11" t="s">
        <v>1258</v>
      </c>
      <c r="S518" s="16" t="s">
        <v>1256</v>
      </c>
      <c r="T518" s="19" t="str">
        <f>MONTH(B518)&amp;"-"&amp;YEAR(B518)</f>
        <v>3-2021</v>
      </c>
      <c r="U518" s="2">
        <f>YEAR(B518)</f>
        <v>2021</v>
      </c>
      <c r="V518" s="2" t="str">
        <f>IF(DAY(B518)&gt;15,MONTH(B518)&amp;"-C",MONTH(B518)&amp;"-N")</f>
        <v>3-C</v>
      </c>
      <c r="W518" s="21">
        <v>4.2300000000000004</v>
      </c>
      <c r="X518" s="2" t="b">
        <f t="shared" si="313"/>
        <v>1</v>
      </c>
    </row>
    <row r="519" spans="2:24" x14ac:dyDescent="0.2">
      <c r="B519" s="17">
        <v>44286</v>
      </c>
      <c r="C519" s="10" t="s">
        <v>25</v>
      </c>
      <c r="D519" s="11">
        <v>160122</v>
      </c>
      <c r="E519" s="26">
        <v>57116</v>
      </c>
      <c r="F519" s="10" t="s">
        <v>26</v>
      </c>
      <c r="G519" s="10" t="s">
        <v>27</v>
      </c>
      <c r="H519" s="27" t="s">
        <v>28</v>
      </c>
      <c r="I519" s="12"/>
      <c r="J519" s="12"/>
      <c r="K519" s="13">
        <v>800</v>
      </c>
      <c r="L519" s="21">
        <v>4.2300000000000004</v>
      </c>
      <c r="M519" s="14" t="s">
        <v>14</v>
      </c>
      <c r="N519" s="13">
        <v>3384</v>
      </c>
      <c r="O519" s="15">
        <f t="shared" ref="O519:O520" si="314">(N519/K519)-L519</f>
        <v>0</v>
      </c>
      <c r="P519" s="10" t="s">
        <v>78</v>
      </c>
      <c r="Q519" s="11" t="s">
        <v>1260</v>
      </c>
      <c r="R519" s="11" t="s">
        <v>1259</v>
      </c>
      <c r="S519" s="16" t="s">
        <v>1261</v>
      </c>
      <c r="T519" s="19" t="str">
        <f>MONTH(B519)&amp;"-"&amp;YEAR(B519)</f>
        <v>3-2021</v>
      </c>
      <c r="U519" s="2">
        <f>YEAR(B519)</f>
        <v>2021</v>
      </c>
      <c r="V519" s="2" t="str">
        <f>IF(DAY(B519)&gt;15,MONTH(B519)&amp;"-C",MONTH(B519)&amp;"-N")</f>
        <v>3-C</v>
      </c>
      <c r="W519" s="21">
        <v>4.2300000000000004</v>
      </c>
      <c r="X519" s="2" t="b">
        <f t="shared" ref="X519:X520" si="315">+L519=W519</f>
        <v>1</v>
      </c>
    </row>
    <row r="520" spans="2:24" x14ac:dyDescent="0.2">
      <c r="B520" s="17">
        <v>44286</v>
      </c>
      <c r="C520" s="10" t="s">
        <v>25</v>
      </c>
      <c r="D520" s="11">
        <v>160122</v>
      </c>
      <c r="E520" s="26">
        <v>57117</v>
      </c>
      <c r="F520" s="10" t="s">
        <v>26</v>
      </c>
      <c r="G520" s="10" t="s">
        <v>27</v>
      </c>
      <c r="H520" s="27" t="s">
        <v>28</v>
      </c>
      <c r="I520" s="12"/>
      <c r="J520" s="12"/>
      <c r="K520" s="13">
        <v>2700</v>
      </c>
      <c r="L520" s="21">
        <v>4.2300000000000004</v>
      </c>
      <c r="M520" s="14" t="s">
        <v>14</v>
      </c>
      <c r="N520" s="13">
        <v>11421</v>
      </c>
      <c r="O520" s="15">
        <f t="shared" si="314"/>
        <v>0</v>
      </c>
      <c r="P520" s="10" t="s">
        <v>78</v>
      </c>
      <c r="Q520" s="11" t="s">
        <v>1262</v>
      </c>
      <c r="R520" s="11" t="s">
        <v>1205</v>
      </c>
      <c r="S520" s="16" t="s">
        <v>1263</v>
      </c>
      <c r="T520" s="19" t="str">
        <f>MONTH(B520)&amp;"-"&amp;YEAR(B520)</f>
        <v>3-2021</v>
      </c>
      <c r="U520" s="2">
        <f>YEAR(B520)</f>
        <v>2021</v>
      </c>
      <c r="V520" s="2" t="str">
        <f>IF(DAY(B520)&gt;15,MONTH(B520)&amp;"-C",MONTH(B520)&amp;"-N")</f>
        <v>3-C</v>
      </c>
      <c r="W520" s="21">
        <v>4.2300000000000004</v>
      </c>
      <c r="X520" s="2" t="b">
        <f t="shared" si="315"/>
        <v>1</v>
      </c>
    </row>
    <row r="521" spans="2:24" x14ac:dyDescent="0.2">
      <c r="B521" s="17">
        <v>44290</v>
      </c>
      <c r="C521" s="10" t="s">
        <v>88</v>
      </c>
      <c r="D521" s="11">
        <v>160421</v>
      </c>
      <c r="E521" s="26">
        <v>57163</v>
      </c>
      <c r="F521" s="10" t="s">
        <v>98</v>
      </c>
      <c r="G521" s="10" t="s">
        <v>46</v>
      </c>
      <c r="H521" s="27" t="s">
        <v>99</v>
      </c>
      <c r="I521" s="12"/>
      <c r="J521" s="12"/>
      <c r="K521" s="13">
        <v>22</v>
      </c>
      <c r="L521" s="21">
        <v>12.02</v>
      </c>
      <c r="M521" s="14" t="s">
        <v>14</v>
      </c>
      <c r="N521" s="13">
        <v>264.44</v>
      </c>
      <c r="O521" s="15">
        <f t="shared" ref="O521:O523" si="316">(N521/K521)-L521</f>
        <v>0</v>
      </c>
      <c r="P521" s="10" t="s">
        <v>84</v>
      </c>
      <c r="Q521" s="11" t="s">
        <v>1264</v>
      </c>
      <c r="R521" s="11" t="s">
        <v>1265</v>
      </c>
      <c r="S521" s="16" t="s">
        <v>1266</v>
      </c>
      <c r="T521" s="19" t="str">
        <f>MONTH(B521)&amp;"-"&amp;YEAR(B521)</f>
        <v>4-2021</v>
      </c>
      <c r="U521" s="2">
        <f>YEAR(B521)</f>
        <v>2021</v>
      </c>
      <c r="V521" s="2" t="str">
        <f>IF(DAY(B521)&gt;15,MONTH(B521)&amp;"-C",MONTH(B521)&amp;"-N")</f>
        <v>4-N</v>
      </c>
      <c r="W521" s="21">
        <v>12.02</v>
      </c>
      <c r="X521" s="2" t="b">
        <f t="shared" ref="X521:X523" si="317">+L521=W521</f>
        <v>1</v>
      </c>
    </row>
    <row r="522" spans="2:24" x14ac:dyDescent="0.2">
      <c r="B522" s="17">
        <v>44290</v>
      </c>
      <c r="C522" s="10" t="s">
        <v>88</v>
      </c>
      <c r="D522" s="11">
        <v>160421</v>
      </c>
      <c r="E522" s="26">
        <v>57163</v>
      </c>
      <c r="F522" s="10" t="s">
        <v>100</v>
      </c>
      <c r="G522" s="10" t="s">
        <v>46</v>
      </c>
      <c r="H522" s="27" t="s">
        <v>101</v>
      </c>
      <c r="I522" s="12"/>
      <c r="J522" s="12"/>
      <c r="K522" s="13">
        <v>1800</v>
      </c>
      <c r="L522" s="21">
        <v>12.14</v>
      </c>
      <c r="M522" s="14" t="s">
        <v>14</v>
      </c>
      <c r="N522" s="13">
        <v>21852</v>
      </c>
      <c r="O522" s="15">
        <f t="shared" si="316"/>
        <v>0</v>
      </c>
      <c r="P522" s="10" t="s">
        <v>84</v>
      </c>
      <c r="Q522" s="11" t="s">
        <v>1264</v>
      </c>
      <c r="R522" s="11" t="s">
        <v>1265</v>
      </c>
      <c r="S522" s="16" t="s">
        <v>1266</v>
      </c>
      <c r="T522" s="19" t="str">
        <f>MONTH(B522)&amp;"-"&amp;YEAR(B522)</f>
        <v>4-2021</v>
      </c>
      <c r="U522" s="2">
        <f>YEAR(B522)</f>
        <v>2021</v>
      </c>
      <c r="V522" s="2" t="str">
        <f>IF(DAY(B522)&gt;15,MONTH(B522)&amp;"-C",MONTH(B522)&amp;"-N")</f>
        <v>4-N</v>
      </c>
      <c r="W522" s="21">
        <v>12.14</v>
      </c>
      <c r="X522" s="2" t="b">
        <f t="shared" si="317"/>
        <v>1</v>
      </c>
    </row>
    <row r="523" spans="2:24" x14ac:dyDescent="0.2">
      <c r="B523" s="17">
        <v>44291</v>
      </c>
      <c r="C523" s="10" t="s">
        <v>94</v>
      </c>
      <c r="D523" s="11">
        <v>160430</v>
      </c>
      <c r="E523" s="26">
        <v>57181</v>
      </c>
      <c r="F523" s="10" t="s">
        <v>26</v>
      </c>
      <c r="G523" s="10" t="s">
        <v>27</v>
      </c>
      <c r="H523" s="27" t="s">
        <v>28</v>
      </c>
      <c r="I523" s="12"/>
      <c r="J523" s="12"/>
      <c r="K523" s="13">
        <v>18900</v>
      </c>
      <c r="L523" s="21">
        <v>5.4</v>
      </c>
      <c r="M523" s="14" t="s">
        <v>14</v>
      </c>
      <c r="N523" s="13">
        <v>102060</v>
      </c>
      <c r="O523" s="15">
        <f t="shared" si="316"/>
        <v>0</v>
      </c>
      <c r="P523" s="10" t="s">
        <v>78</v>
      </c>
      <c r="Q523" s="11" t="s">
        <v>1267</v>
      </c>
      <c r="R523" s="11" t="s">
        <v>1268</v>
      </c>
      <c r="S523" s="16" t="s">
        <v>1269</v>
      </c>
      <c r="T523" s="19" t="str">
        <f>MONTH(B523)&amp;"-"&amp;YEAR(B523)</f>
        <v>4-2021</v>
      </c>
      <c r="U523" s="2">
        <f>YEAR(B523)</f>
        <v>2021</v>
      </c>
      <c r="V523" s="2" t="str">
        <f>IF(DAY(B523)&gt;15,MONTH(B523)&amp;"-C",MONTH(B523)&amp;"-N")</f>
        <v>4-N</v>
      </c>
      <c r="W523" s="21">
        <v>5.4</v>
      </c>
      <c r="X523" s="2" t="b">
        <f t="shared" si="317"/>
        <v>1</v>
      </c>
    </row>
    <row r="524" spans="2:24" x14ac:dyDescent="0.2">
      <c r="B524" s="17">
        <v>44294</v>
      </c>
      <c r="C524" s="10" t="s">
        <v>73</v>
      </c>
      <c r="D524" s="11">
        <v>160743</v>
      </c>
      <c r="E524" s="26">
        <v>57212</v>
      </c>
      <c r="F524" s="10" t="s">
        <v>399</v>
      </c>
      <c r="G524" s="10" t="s">
        <v>46</v>
      </c>
      <c r="H524" s="27" t="s">
        <v>149</v>
      </c>
      <c r="I524" s="12"/>
      <c r="J524" s="12"/>
      <c r="K524" s="13">
        <v>390</v>
      </c>
      <c r="L524" s="21">
        <v>18.5</v>
      </c>
      <c r="M524" s="14" t="s">
        <v>14</v>
      </c>
      <c r="N524" s="13">
        <v>7215</v>
      </c>
      <c r="O524" s="15">
        <f t="shared" ref="O524" si="318">(N524/K524)-L524</f>
        <v>0</v>
      </c>
      <c r="P524" s="10" t="s">
        <v>84</v>
      </c>
      <c r="Q524" s="11" t="s">
        <v>1270</v>
      </c>
      <c r="R524" s="11" t="s">
        <v>1271</v>
      </c>
      <c r="S524" s="16" t="s">
        <v>1272</v>
      </c>
      <c r="T524" s="19" t="str">
        <f>MONTH(B524)&amp;"-"&amp;YEAR(B524)</f>
        <v>4-2021</v>
      </c>
      <c r="U524" s="2">
        <f>YEAR(B524)</f>
        <v>2021</v>
      </c>
      <c r="V524" s="2" t="str">
        <f>IF(DAY(B524)&gt;15,MONTH(B524)&amp;"-C",MONTH(B524)&amp;"-N")</f>
        <v>4-N</v>
      </c>
      <c r="W524" s="21">
        <v>18.5</v>
      </c>
      <c r="X524" s="2" t="b">
        <f t="shared" ref="X524" si="319">+L524=W524</f>
        <v>1</v>
      </c>
    </row>
    <row r="525" spans="2:24" x14ac:dyDescent="0.2">
      <c r="B525" s="17">
        <v>44298</v>
      </c>
      <c r="C525" s="10" t="s">
        <v>108</v>
      </c>
      <c r="D525" s="11">
        <v>160501</v>
      </c>
      <c r="E525" s="26">
        <v>57276</v>
      </c>
      <c r="F525" s="10" t="s">
        <v>127</v>
      </c>
      <c r="G525" s="10" t="s">
        <v>46</v>
      </c>
      <c r="H525" s="27" t="s">
        <v>128</v>
      </c>
      <c r="I525" s="12"/>
      <c r="J525" s="12"/>
      <c r="K525" s="13">
        <v>1656</v>
      </c>
      <c r="L525" s="21">
        <v>12.57</v>
      </c>
      <c r="M525" s="14" t="s">
        <v>14</v>
      </c>
      <c r="N525" s="13">
        <v>20815.919999999998</v>
      </c>
      <c r="O525" s="15">
        <f t="shared" ref="O525:O531" si="320">(N525/K525)-L525</f>
        <v>0</v>
      </c>
      <c r="P525" s="10" t="s">
        <v>84</v>
      </c>
      <c r="Q525" s="11" t="s">
        <v>1274</v>
      </c>
      <c r="R525" s="11" t="s">
        <v>1275</v>
      </c>
      <c r="S525" s="16" t="s">
        <v>1273</v>
      </c>
      <c r="T525" s="19" t="str">
        <f>MONTH(B525)&amp;"-"&amp;YEAR(B525)</f>
        <v>4-2021</v>
      </c>
      <c r="U525" s="2">
        <f>YEAR(B525)</f>
        <v>2021</v>
      </c>
      <c r="V525" s="2" t="str">
        <f>IF(DAY(B525)&gt;15,MONTH(B525)&amp;"-C",MONTH(B525)&amp;"-N")</f>
        <v>4-N</v>
      </c>
      <c r="W525" s="21">
        <v>12.57</v>
      </c>
      <c r="X525" s="2" t="b">
        <f t="shared" ref="X525:X531" si="321">+L525=W525</f>
        <v>1</v>
      </c>
    </row>
    <row r="526" spans="2:24" x14ac:dyDescent="0.2">
      <c r="B526" s="17">
        <v>44298</v>
      </c>
      <c r="C526" s="10" t="s">
        <v>108</v>
      </c>
      <c r="D526" s="11">
        <v>160501</v>
      </c>
      <c r="E526" s="26">
        <v>57276</v>
      </c>
      <c r="F526" s="10" t="s">
        <v>121</v>
      </c>
      <c r="G526" s="10" t="s">
        <v>46</v>
      </c>
      <c r="H526" s="27" t="s">
        <v>122</v>
      </c>
      <c r="I526" s="12"/>
      <c r="J526" s="12"/>
      <c r="K526" s="13">
        <v>3680</v>
      </c>
      <c r="L526" s="21">
        <v>10.73</v>
      </c>
      <c r="M526" s="14" t="s">
        <v>14</v>
      </c>
      <c r="N526" s="13">
        <v>39486.400000000001</v>
      </c>
      <c r="O526" s="15">
        <f t="shared" si="320"/>
        <v>0</v>
      </c>
      <c r="P526" s="10" t="s">
        <v>84</v>
      </c>
      <c r="Q526" s="11" t="s">
        <v>1274</v>
      </c>
      <c r="R526" s="11" t="s">
        <v>1275</v>
      </c>
      <c r="S526" s="16" t="s">
        <v>1273</v>
      </c>
      <c r="T526" s="19" t="str">
        <f>MONTH(B526)&amp;"-"&amp;YEAR(B526)</f>
        <v>4-2021</v>
      </c>
      <c r="U526" s="2">
        <f>YEAR(B526)</f>
        <v>2021</v>
      </c>
      <c r="V526" s="2" t="str">
        <f>IF(DAY(B526)&gt;15,MONTH(B526)&amp;"-C",MONTH(B526)&amp;"-N")</f>
        <v>4-N</v>
      </c>
      <c r="W526" s="21">
        <v>10.73</v>
      </c>
      <c r="X526" s="2" t="b">
        <f t="shared" si="321"/>
        <v>1</v>
      </c>
    </row>
    <row r="527" spans="2:24" x14ac:dyDescent="0.2">
      <c r="B527" s="17">
        <v>44298</v>
      </c>
      <c r="C527" s="10" t="s">
        <v>108</v>
      </c>
      <c r="D527" s="11">
        <v>160501</v>
      </c>
      <c r="E527" s="26">
        <v>57276</v>
      </c>
      <c r="F527" s="10" t="s">
        <v>123</v>
      </c>
      <c r="G527" s="10" t="s">
        <v>46</v>
      </c>
      <c r="H527" s="27" t="s">
        <v>124</v>
      </c>
      <c r="I527" s="12"/>
      <c r="J527" s="12"/>
      <c r="K527" s="13">
        <v>6210</v>
      </c>
      <c r="L527" s="21">
        <v>11.78</v>
      </c>
      <c r="M527" s="14" t="s">
        <v>14</v>
      </c>
      <c r="N527" s="13">
        <v>73153.8</v>
      </c>
      <c r="O527" s="15">
        <f t="shared" si="320"/>
        <v>0</v>
      </c>
      <c r="P527" s="10" t="s">
        <v>84</v>
      </c>
      <c r="Q527" s="11" t="s">
        <v>1274</v>
      </c>
      <c r="R527" s="11" t="s">
        <v>1275</v>
      </c>
      <c r="S527" s="16" t="s">
        <v>1273</v>
      </c>
      <c r="T527" s="19" t="str">
        <f>MONTH(B527)&amp;"-"&amp;YEAR(B527)</f>
        <v>4-2021</v>
      </c>
      <c r="U527" s="2">
        <f>YEAR(B527)</f>
        <v>2021</v>
      </c>
      <c r="V527" s="2" t="str">
        <f>IF(DAY(B527)&gt;15,MONTH(B527)&amp;"-C",MONTH(B527)&amp;"-N")</f>
        <v>4-N</v>
      </c>
      <c r="W527" s="21">
        <v>11.78</v>
      </c>
      <c r="X527" s="2" t="b">
        <f t="shared" si="321"/>
        <v>1</v>
      </c>
    </row>
    <row r="528" spans="2:24" x14ac:dyDescent="0.2">
      <c r="B528" s="17">
        <v>44298</v>
      </c>
      <c r="C528" s="10" t="s">
        <v>108</v>
      </c>
      <c r="D528" s="11">
        <v>160501</v>
      </c>
      <c r="E528" s="26">
        <v>57276</v>
      </c>
      <c r="F528" s="10" t="s">
        <v>139</v>
      </c>
      <c r="G528" s="10" t="s">
        <v>46</v>
      </c>
      <c r="H528" s="27" t="s">
        <v>140</v>
      </c>
      <c r="I528" s="12"/>
      <c r="J528" s="12"/>
      <c r="K528" s="13">
        <v>552</v>
      </c>
      <c r="L528" s="21">
        <v>9.08</v>
      </c>
      <c r="M528" s="14" t="s">
        <v>14</v>
      </c>
      <c r="N528" s="13">
        <v>5012.16</v>
      </c>
      <c r="O528" s="15">
        <f t="shared" si="320"/>
        <v>0</v>
      </c>
      <c r="P528" s="10" t="s">
        <v>84</v>
      </c>
      <c r="Q528" s="11" t="s">
        <v>1274</v>
      </c>
      <c r="R528" s="11" t="s">
        <v>1275</v>
      </c>
      <c r="S528" s="16" t="s">
        <v>1273</v>
      </c>
      <c r="T528" s="19" t="str">
        <f>MONTH(B528)&amp;"-"&amp;YEAR(B528)</f>
        <v>4-2021</v>
      </c>
      <c r="U528" s="2">
        <f>YEAR(B528)</f>
        <v>2021</v>
      </c>
      <c r="V528" s="2" t="str">
        <f>IF(DAY(B528)&gt;15,MONTH(B528)&amp;"-C",MONTH(B528)&amp;"-N")</f>
        <v>4-N</v>
      </c>
      <c r="W528" s="21">
        <v>9.08</v>
      </c>
      <c r="X528" s="2" t="b">
        <f t="shared" si="321"/>
        <v>1</v>
      </c>
    </row>
    <row r="529" spans="2:24" x14ac:dyDescent="0.2">
      <c r="B529" s="17">
        <v>44298</v>
      </c>
      <c r="C529" s="10" t="s">
        <v>108</v>
      </c>
      <c r="D529" s="11">
        <v>160501</v>
      </c>
      <c r="E529" s="26">
        <v>57276</v>
      </c>
      <c r="F529" s="10" t="s">
        <v>129</v>
      </c>
      <c r="G529" s="10" t="s">
        <v>46</v>
      </c>
      <c r="H529" s="27" t="s">
        <v>130</v>
      </c>
      <c r="I529" s="12"/>
      <c r="J529" s="12"/>
      <c r="K529" s="13">
        <v>1150</v>
      </c>
      <c r="L529" s="21">
        <v>10.82</v>
      </c>
      <c r="M529" s="14" t="s">
        <v>14</v>
      </c>
      <c r="N529" s="13">
        <v>12443</v>
      </c>
      <c r="O529" s="15">
        <f t="shared" si="320"/>
        <v>0</v>
      </c>
      <c r="P529" s="10" t="s">
        <v>84</v>
      </c>
      <c r="Q529" s="11" t="s">
        <v>1274</v>
      </c>
      <c r="R529" s="11" t="s">
        <v>1275</v>
      </c>
      <c r="S529" s="16" t="s">
        <v>1273</v>
      </c>
      <c r="T529" s="19" t="str">
        <f>MONTH(B529)&amp;"-"&amp;YEAR(B529)</f>
        <v>4-2021</v>
      </c>
      <c r="U529" s="2">
        <f>YEAR(B529)</f>
        <v>2021</v>
      </c>
      <c r="V529" s="2" t="str">
        <f>IF(DAY(B529)&gt;15,MONTH(B529)&amp;"-C",MONTH(B529)&amp;"-N")</f>
        <v>4-N</v>
      </c>
      <c r="W529" s="21">
        <v>10.82</v>
      </c>
      <c r="X529" s="2" t="b">
        <f t="shared" si="321"/>
        <v>1</v>
      </c>
    </row>
    <row r="530" spans="2:24" x14ac:dyDescent="0.2">
      <c r="B530" s="17">
        <v>44298</v>
      </c>
      <c r="C530" s="10" t="s">
        <v>108</v>
      </c>
      <c r="D530" s="11">
        <v>160501</v>
      </c>
      <c r="E530" s="26">
        <v>57276</v>
      </c>
      <c r="F530" s="10" t="s">
        <v>129</v>
      </c>
      <c r="G530" s="10" t="s">
        <v>46</v>
      </c>
      <c r="H530" s="27" t="s">
        <v>130</v>
      </c>
      <c r="I530" s="12"/>
      <c r="J530" s="12"/>
      <c r="K530" s="13">
        <v>2300</v>
      </c>
      <c r="L530" s="21">
        <v>10.82</v>
      </c>
      <c r="M530" s="14" t="s">
        <v>14</v>
      </c>
      <c r="N530" s="13">
        <v>24886</v>
      </c>
      <c r="O530" s="15">
        <f t="shared" si="320"/>
        <v>0</v>
      </c>
      <c r="P530" s="10" t="s">
        <v>84</v>
      </c>
      <c r="Q530" s="11" t="s">
        <v>1274</v>
      </c>
      <c r="R530" s="11" t="s">
        <v>1275</v>
      </c>
      <c r="S530" s="16" t="s">
        <v>1273</v>
      </c>
      <c r="T530" s="19" t="str">
        <f>MONTH(B530)&amp;"-"&amp;YEAR(B530)</f>
        <v>4-2021</v>
      </c>
      <c r="U530" s="2">
        <f>YEAR(B530)</f>
        <v>2021</v>
      </c>
      <c r="V530" s="2" t="str">
        <f>IF(DAY(B530)&gt;15,MONTH(B530)&amp;"-C",MONTH(B530)&amp;"-N")</f>
        <v>4-N</v>
      </c>
      <c r="W530" s="21">
        <v>10.82</v>
      </c>
      <c r="X530" s="2" t="b">
        <f t="shared" si="321"/>
        <v>1</v>
      </c>
    </row>
    <row r="531" spans="2:24" x14ac:dyDescent="0.2">
      <c r="B531" s="17">
        <v>44298</v>
      </c>
      <c r="C531" s="10" t="s">
        <v>108</v>
      </c>
      <c r="D531" s="11">
        <v>160501</v>
      </c>
      <c r="E531" s="26">
        <v>57276</v>
      </c>
      <c r="F531" s="10" t="s">
        <v>137</v>
      </c>
      <c r="G531" s="10" t="s">
        <v>46</v>
      </c>
      <c r="H531" s="27" t="s">
        <v>138</v>
      </c>
      <c r="I531" s="12"/>
      <c r="J531" s="12"/>
      <c r="K531" s="13">
        <v>2000</v>
      </c>
      <c r="L531" s="21">
        <v>16.09</v>
      </c>
      <c r="M531" s="14" t="s">
        <v>14</v>
      </c>
      <c r="N531" s="13">
        <v>32180</v>
      </c>
      <c r="O531" s="15">
        <f t="shared" si="320"/>
        <v>0</v>
      </c>
      <c r="P531" s="10" t="s">
        <v>84</v>
      </c>
      <c r="Q531" s="11" t="s">
        <v>1274</v>
      </c>
      <c r="R531" s="11" t="s">
        <v>1275</v>
      </c>
      <c r="S531" s="16" t="s">
        <v>1273</v>
      </c>
      <c r="T531" s="19" t="str">
        <f>MONTH(B531)&amp;"-"&amp;YEAR(B531)</f>
        <v>4-2021</v>
      </c>
      <c r="U531" s="2">
        <f>YEAR(B531)</f>
        <v>2021</v>
      </c>
      <c r="V531" s="2" t="str">
        <f>IF(DAY(B531)&gt;15,MONTH(B531)&amp;"-C",MONTH(B531)&amp;"-N")</f>
        <v>4-N</v>
      </c>
      <c r="W531" s="21">
        <v>16.09</v>
      </c>
      <c r="X531" s="2" t="b">
        <f t="shared" si="321"/>
        <v>1</v>
      </c>
    </row>
    <row r="532" spans="2:24" x14ac:dyDescent="0.2">
      <c r="B532" s="17">
        <v>44301</v>
      </c>
      <c r="C532" s="10" t="s">
        <v>107</v>
      </c>
      <c r="D532" s="11">
        <v>160821</v>
      </c>
      <c r="E532" s="26">
        <v>57316</v>
      </c>
      <c r="F532" s="10" t="s">
        <v>103</v>
      </c>
      <c r="G532" s="10" t="s">
        <v>46</v>
      </c>
      <c r="H532" s="27" t="s">
        <v>104</v>
      </c>
      <c r="I532" s="12"/>
      <c r="J532" s="12"/>
      <c r="K532" s="13">
        <v>120</v>
      </c>
      <c r="L532" s="21">
        <v>37.200000000000003</v>
      </c>
      <c r="M532" s="14" t="s">
        <v>14</v>
      </c>
      <c r="N532" s="13">
        <v>4464</v>
      </c>
      <c r="O532" s="15">
        <f t="shared" ref="O532:O533" si="322">(N532/K532)-L532</f>
        <v>0</v>
      </c>
      <c r="P532" s="10" t="s">
        <v>84</v>
      </c>
      <c r="Q532" s="11" t="s">
        <v>1276</v>
      </c>
      <c r="R532" s="11" t="s">
        <v>1277</v>
      </c>
      <c r="S532" s="16" t="s">
        <v>1278</v>
      </c>
      <c r="T532" s="19" t="str">
        <f>MONTH(B532)&amp;"-"&amp;YEAR(B532)</f>
        <v>4-2021</v>
      </c>
      <c r="U532" s="2">
        <f>YEAR(B532)</f>
        <v>2021</v>
      </c>
      <c r="V532" s="2" t="str">
        <f>IF(DAY(B532)&gt;15,MONTH(B532)&amp;"-C",MONTH(B532)&amp;"-N")</f>
        <v>4-N</v>
      </c>
      <c r="W532" s="21">
        <v>37.200000000000003</v>
      </c>
      <c r="X532" s="2" t="b">
        <f t="shared" ref="X532:X533" si="323">+L532=W532</f>
        <v>1</v>
      </c>
    </row>
    <row r="533" spans="2:24" x14ac:dyDescent="0.2">
      <c r="B533" s="17">
        <v>44301</v>
      </c>
      <c r="C533" s="10" t="s">
        <v>107</v>
      </c>
      <c r="D533" s="11">
        <v>160821</v>
      </c>
      <c r="E533" s="26">
        <v>57316</v>
      </c>
      <c r="F533" s="10" t="s">
        <v>105</v>
      </c>
      <c r="G533" s="10" t="s">
        <v>46</v>
      </c>
      <c r="H533" s="27" t="s">
        <v>106</v>
      </c>
      <c r="I533" s="12"/>
      <c r="J533" s="12"/>
      <c r="K533" s="13">
        <v>3960</v>
      </c>
      <c r="L533" s="21">
        <v>12.3</v>
      </c>
      <c r="M533" s="14" t="s">
        <v>14</v>
      </c>
      <c r="N533" s="13">
        <v>48708</v>
      </c>
      <c r="O533" s="15">
        <f t="shared" si="322"/>
        <v>0</v>
      </c>
      <c r="P533" s="10" t="s">
        <v>84</v>
      </c>
      <c r="Q533" s="11" t="s">
        <v>1276</v>
      </c>
      <c r="R533" s="11" t="s">
        <v>1277</v>
      </c>
      <c r="S533" s="16" t="s">
        <v>1278</v>
      </c>
      <c r="T533" s="19" t="str">
        <f>MONTH(B533)&amp;"-"&amp;YEAR(B533)</f>
        <v>4-2021</v>
      </c>
      <c r="U533" s="2">
        <f>YEAR(B533)</f>
        <v>2021</v>
      </c>
      <c r="V533" s="2" t="str">
        <f>IF(DAY(B533)&gt;15,MONTH(B533)&amp;"-C",MONTH(B533)&amp;"-N")</f>
        <v>4-N</v>
      </c>
      <c r="W533" s="21">
        <v>12.3</v>
      </c>
      <c r="X533" s="2" t="b">
        <f t="shared" si="323"/>
        <v>1</v>
      </c>
    </row>
    <row r="534" spans="2:24" x14ac:dyDescent="0.2">
      <c r="B534" s="17">
        <v>44303</v>
      </c>
      <c r="C534" s="10" t="s">
        <v>94</v>
      </c>
      <c r="D534" s="11">
        <v>160430</v>
      </c>
      <c r="E534" s="26">
        <v>57324</v>
      </c>
      <c r="F534" s="10" t="s">
        <v>26</v>
      </c>
      <c r="G534" s="10" t="s">
        <v>27</v>
      </c>
      <c r="H534" s="27" t="s">
        <v>28</v>
      </c>
      <c r="I534" s="12"/>
      <c r="J534" s="12"/>
      <c r="K534" s="13">
        <v>19800</v>
      </c>
      <c r="L534" s="21">
        <v>5.4</v>
      </c>
      <c r="M534" s="14" t="s">
        <v>14</v>
      </c>
      <c r="N534" s="13">
        <v>106920</v>
      </c>
      <c r="O534" s="15">
        <f t="shared" ref="O534:O538" si="324">(N534/K534)-L534</f>
        <v>0</v>
      </c>
      <c r="P534" s="10" t="s">
        <v>78</v>
      </c>
      <c r="Q534" s="11" t="s">
        <v>1279</v>
      </c>
      <c r="R534" s="11" t="s">
        <v>1280</v>
      </c>
      <c r="S534" s="16" t="s">
        <v>1281</v>
      </c>
      <c r="T534" s="19" t="str">
        <f>MONTH(B534)&amp;"-"&amp;YEAR(B534)</f>
        <v>4-2021</v>
      </c>
      <c r="U534" s="2">
        <f>YEAR(B534)</f>
        <v>2021</v>
      </c>
      <c r="V534" s="2" t="str">
        <f>IF(DAY(B534)&gt;15,MONTH(B534)&amp;"-C",MONTH(B534)&amp;"-N")</f>
        <v>4-C</v>
      </c>
      <c r="W534" s="21">
        <v>5.4</v>
      </c>
      <c r="X534" s="2" t="b">
        <f t="shared" ref="X534:X538" si="325">+L534=W534</f>
        <v>1</v>
      </c>
    </row>
    <row r="535" spans="2:24" x14ac:dyDescent="0.2">
      <c r="B535" s="17">
        <v>44304</v>
      </c>
      <c r="C535" s="10" t="s">
        <v>94</v>
      </c>
      <c r="D535" s="11">
        <v>160430</v>
      </c>
      <c r="E535" s="26">
        <v>57335</v>
      </c>
      <c r="F535" s="10" t="s">
        <v>26</v>
      </c>
      <c r="G535" s="10" t="s">
        <v>27</v>
      </c>
      <c r="H535" s="27" t="s">
        <v>28</v>
      </c>
      <c r="I535" s="12"/>
      <c r="J535" s="12"/>
      <c r="K535" s="13">
        <v>18000</v>
      </c>
      <c r="L535" s="21">
        <v>5.4</v>
      </c>
      <c r="M535" s="14" t="s">
        <v>14</v>
      </c>
      <c r="N535" s="13">
        <v>97200</v>
      </c>
      <c r="O535" s="15">
        <f t="shared" si="324"/>
        <v>0</v>
      </c>
      <c r="P535" s="10" t="s">
        <v>78</v>
      </c>
      <c r="Q535" s="11" t="s">
        <v>1282</v>
      </c>
      <c r="R535" s="11" t="s">
        <v>1283</v>
      </c>
      <c r="S535" s="16" t="s">
        <v>1284</v>
      </c>
      <c r="T535" s="19" t="str">
        <f>MONTH(B535)&amp;"-"&amp;YEAR(B535)</f>
        <v>4-2021</v>
      </c>
      <c r="U535" s="2">
        <f>YEAR(B535)</f>
        <v>2021</v>
      </c>
      <c r="V535" s="2" t="str">
        <f>IF(DAY(B535)&gt;15,MONTH(B535)&amp;"-C",MONTH(B535)&amp;"-N")</f>
        <v>4-C</v>
      </c>
      <c r="W535" s="21">
        <v>5.4</v>
      </c>
      <c r="X535" s="2" t="b">
        <f t="shared" si="325"/>
        <v>1</v>
      </c>
    </row>
    <row r="536" spans="2:24" x14ac:dyDescent="0.2">
      <c r="B536" s="17">
        <v>44305</v>
      </c>
      <c r="C536" s="10" t="s">
        <v>25</v>
      </c>
      <c r="D536" s="11">
        <v>160790</v>
      </c>
      <c r="E536" s="26">
        <v>57381</v>
      </c>
      <c r="F536" s="10" t="s">
        <v>29</v>
      </c>
      <c r="G536" s="10" t="s">
        <v>27</v>
      </c>
      <c r="H536" s="27" t="s">
        <v>30</v>
      </c>
      <c r="I536" s="12"/>
      <c r="J536" s="12"/>
      <c r="K536" s="13">
        <v>3300</v>
      </c>
      <c r="L536" s="21">
        <v>4.1500000000000004</v>
      </c>
      <c r="M536" s="14" t="s">
        <v>14</v>
      </c>
      <c r="N536" s="13">
        <v>13695</v>
      </c>
      <c r="O536" s="15">
        <f t="shared" si="324"/>
        <v>0</v>
      </c>
      <c r="P536" s="10" t="s">
        <v>78</v>
      </c>
      <c r="Q536" s="11" t="s">
        <v>1285</v>
      </c>
      <c r="R536" s="11" t="s">
        <v>1286</v>
      </c>
      <c r="S536" s="16" t="s">
        <v>1287</v>
      </c>
      <c r="T536" s="19" t="str">
        <f>MONTH(B536)&amp;"-"&amp;YEAR(B536)</f>
        <v>4-2021</v>
      </c>
      <c r="U536" s="2">
        <f>YEAR(B536)</f>
        <v>2021</v>
      </c>
      <c r="V536" s="2" t="str">
        <f>IF(DAY(B536)&gt;15,MONTH(B536)&amp;"-C",MONTH(B536)&amp;"-N")</f>
        <v>4-C</v>
      </c>
      <c r="W536" s="21">
        <v>4.1500000000000004</v>
      </c>
      <c r="X536" s="2" t="b">
        <f t="shared" si="325"/>
        <v>1</v>
      </c>
    </row>
    <row r="537" spans="2:24" x14ac:dyDescent="0.2">
      <c r="B537" s="17">
        <v>44305</v>
      </c>
      <c r="C537" s="10" t="s">
        <v>25</v>
      </c>
      <c r="D537" s="11">
        <v>160790</v>
      </c>
      <c r="E537" s="26">
        <v>57381</v>
      </c>
      <c r="F537" s="10" t="s">
        <v>31</v>
      </c>
      <c r="G537" s="10" t="s">
        <v>27</v>
      </c>
      <c r="H537" s="27" t="s">
        <v>32</v>
      </c>
      <c r="I537" s="12"/>
      <c r="J537" s="12"/>
      <c r="K537" s="13">
        <v>3200</v>
      </c>
      <c r="L537" s="21">
        <v>5.5</v>
      </c>
      <c r="M537" s="14" t="s">
        <v>14</v>
      </c>
      <c r="N537" s="13">
        <v>17600</v>
      </c>
      <c r="O537" s="15">
        <f t="shared" si="324"/>
        <v>0</v>
      </c>
      <c r="P537" s="10" t="s">
        <v>78</v>
      </c>
      <c r="Q537" s="11" t="s">
        <v>1285</v>
      </c>
      <c r="R537" s="11" t="s">
        <v>1286</v>
      </c>
      <c r="S537" s="16" t="s">
        <v>1287</v>
      </c>
      <c r="T537" s="19" t="str">
        <f>MONTH(B537)&amp;"-"&amp;YEAR(B537)</f>
        <v>4-2021</v>
      </c>
      <c r="U537" s="2">
        <f>YEAR(B537)</f>
        <v>2021</v>
      </c>
      <c r="V537" s="2" t="str">
        <f>IF(DAY(B537)&gt;15,MONTH(B537)&amp;"-C",MONTH(B537)&amp;"-N")</f>
        <v>4-C</v>
      </c>
      <c r="W537" s="21">
        <v>5.5</v>
      </c>
      <c r="X537" s="2" t="b">
        <f t="shared" si="325"/>
        <v>1</v>
      </c>
    </row>
    <row r="538" spans="2:24" x14ac:dyDescent="0.2">
      <c r="B538" s="17">
        <v>44305</v>
      </c>
      <c r="C538" s="10" t="s">
        <v>25</v>
      </c>
      <c r="D538" s="11">
        <v>160790</v>
      </c>
      <c r="E538" s="26">
        <v>57381</v>
      </c>
      <c r="F538" s="10" t="s">
        <v>33</v>
      </c>
      <c r="G538" s="10" t="s">
        <v>27</v>
      </c>
      <c r="H538" s="27" t="s">
        <v>34</v>
      </c>
      <c r="I538" s="12"/>
      <c r="J538" s="12"/>
      <c r="K538" s="13">
        <v>3600</v>
      </c>
      <c r="L538" s="21">
        <v>6.75</v>
      </c>
      <c r="M538" s="14" t="s">
        <v>14</v>
      </c>
      <c r="N538" s="13">
        <v>24300</v>
      </c>
      <c r="O538" s="15">
        <f t="shared" si="324"/>
        <v>0</v>
      </c>
      <c r="P538" s="10" t="s">
        <v>78</v>
      </c>
      <c r="Q538" s="11" t="s">
        <v>1285</v>
      </c>
      <c r="R538" s="11" t="s">
        <v>1286</v>
      </c>
      <c r="S538" s="16" t="s">
        <v>1287</v>
      </c>
      <c r="T538" s="19" t="str">
        <f>MONTH(B538)&amp;"-"&amp;YEAR(B538)</f>
        <v>4-2021</v>
      </c>
      <c r="U538" s="2">
        <f>YEAR(B538)</f>
        <v>2021</v>
      </c>
      <c r="V538" s="2" t="str">
        <f>IF(DAY(B538)&gt;15,MONTH(B538)&amp;"-C",MONTH(B538)&amp;"-N")</f>
        <v>4-C</v>
      </c>
      <c r="W538" s="21">
        <v>6.75</v>
      </c>
      <c r="X538" s="2" t="b">
        <f t="shared" si="325"/>
        <v>1</v>
      </c>
    </row>
    <row r="539" spans="2:24" x14ac:dyDescent="0.2">
      <c r="B539" s="17">
        <v>44311</v>
      </c>
      <c r="C539" s="10" t="s">
        <v>107</v>
      </c>
      <c r="D539" s="11">
        <v>160895</v>
      </c>
      <c r="E539" s="26">
        <v>57454</v>
      </c>
      <c r="F539" s="10" t="s">
        <v>142</v>
      </c>
      <c r="G539" s="10" t="s">
        <v>46</v>
      </c>
      <c r="H539" s="27" t="s">
        <v>143</v>
      </c>
      <c r="I539" s="12"/>
      <c r="J539" s="12"/>
      <c r="K539" s="13">
        <v>2200</v>
      </c>
      <c r="L539" s="21">
        <v>9</v>
      </c>
      <c r="M539" s="14" t="s">
        <v>14</v>
      </c>
      <c r="N539" s="13">
        <v>19800</v>
      </c>
      <c r="O539" s="15">
        <f t="shared" ref="O539:O543" si="326">(N539/K539)-L539</f>
        <v>0</v>
      </c>
      <c r="P539" s="10" t="s">
        <v>84</v>
      </c>
      <c r="Q539" s="11" t="s">
        <v>1289</v>
      </c>
      <c r="R539" s="11" t="s">
        <v>1290</v>
      </c>
      <c r="S539" s="16" t="s">
        <v>1291</v>
      </c>
      <c r="T539" s="19" t="str">
        <f>MONTH(B539)&amp;"-"&amp;YEAR(B539)</f>
        <v>4-2021</v>
      </c>
      <c r="U539" s="2">
        <f>YEAR(B539)</f>
        <v>2021</v>
      </c>
      <c r="V539" s="2" t="str">
        <f>IF(DAY(B539)&gt;15,MONTH(B539)&amp;"-C",MONTH(B539)&amp;"-N")</f>
        <v>4-C</v>
      </c>
      <c r="W539" s="21">
        <v>9</v>
      </c>
      <c r="X539" s="2" t="b">
        <f t="shared" ref="X539:X543" si="327">+L539=W539</f>
        <v>1</v>
      </c>
    </row>
    <row r="540" spans="2:24" x14ac:dyDescent="0.2">
      <c r="B540" s="17">
        <v>44311</v>
      </c>
      <c r="C540" s="10" t="s">
        <v>107</v>
      </c>
      <c r="D540" s="11">
        <v>160895</v>
      </c>
      <c r="E540" s="26">
        <v>57454</v>
      </c>
      <c r="F540" s="10" t="s">
        <v>144</v>
      </c>
      <c r="G540" s="10" t="s">
        <v>46</v>
      </c>
      <c r="H540" s="27" t="s">
        <v>145</v>
      </c>
      <c r="I540" s="12"/>
      <c r="J540" s="12"/>
      <c r="K540" s="13">
        <v>340</v>
      </c>
      <c r="L540" s="21">
        <v>9</v>
      </c>
      <c r="M540" s="14" t="s">
        <v>14</v>
      </c>
      <c r="N540" s="13">
        <v>3060</v>
      </c>
      <c r="O540" s="15">
        <f t="shared" si="326"/>
        <v>0</v>
      </c>
      <c r="P540" s="10" t="s">
        <v>84</v>
      </c>
      <c r="Q540" s="11" t="s">
        <v>1289</v>
      </c>
      <c r="R540" s="11" t="s">
        <v>1290</v>
      </c>
      <c r="S540" s="16" t="s">
        <v>1291</v>
      </c>
      <c r="T540" s="19" t="str">
        <f>MONTH(B540)&amp;"-"&amp;YEAR(B540)</f>
        <v>4-2021</v>
      </c>
      <c r="U540" s="2">
        <f>YEAR(B540)</f>
        <v>2021</v>
      </c>
      <c r="V540" s="2" t="str">
        <f>IF(DAY(B540)&gt;15,MONTH(B540)&amp;"-C",MONTH(B540)&amp;"-N")</f>
        <v>4-C</v>
      </c>
      <c r="W540" s="21">
        <v>9</v>
      </c>
      <c r="X540" s="2" t="b">
        <f t="shared" si="327"/>
        <v>1</v>
      </c>
    </row>
    <row r="541" spans="2:24" x14ac:dyDescent="0.2">
      <c r="B541" s="17">
        <v>44311</v>
      </c>
      <c r="C541" s="10" t="s">
        <v>107</v>
      </c>
      <c r="D541" s="11">
        <v>160821</v>
      </c>
      <c r="E541" s="26">
        <v>57454</v>
      </c>
      <c r="F541" s="10" t="s">
        <v>103</v>
      </c>
      <c r="G541" s="10" t="s">
        <v>46</v>
      </c>
      <c r="H541" s="27" t="s">
        <v>104</v>
      </c>
      <c r="I541" s="12"/>
      <c r="J541" s="12"/>
      <c r="K541" s="13">
        <v>120</v>
      </c>
      <c r="L541" s="21">
        <v>37.200000000000003</v>
      </c>
      <c r="M541" s="14" t="s">
        <v>14</v>
      </c>
      <c r="N541" s="13">
        <v>4464</v>
      </c>
      <c r="O541" s="15">
        <f t="shared" si="326"/>
        <v>0</v>
      </c>
      <c r="P541" s="10" t="s">
        <v>84</v>
      </c>
      <c r="Q541" s="11" t="s">
        <v>1289</v>
      </c>
      <c r="R541" s="11" t="s">
        <v>1290</v>
      </c>
      <c r="S541" s="16" t="s">
        <v>1291</v>
      </c>
      <c r="T541" s="19" t="str">
        <f>MONTH(B541)&amp;"-"&amp;YEAR(B541)</f>
        <v>4-2021</v>
      </c>
      <c r="U541" s="2">
        <f>YEAR(B541)</f>
        <v>2021</v>
      </c>
      <c r="V541" s="2" t="str">
        <f>IF(DAY(B541)&gt;15,MONTH(B541)&amp;"-C",MONTH(B541)&amp;"-N")</f>
        <v>4-C</v>
      </c>
      <c r="W541" s="21">
        <v>37.200000000000003</v>
      </c>
      <c r="X541" s="2" t="b">
        <f t="shared" si="327"/>
        <v>1</v>
      </c>
    </row>
    <row r="542" spans="2:24" x14ac:dyDescent="0.2">
      <c r="B542" s="17">
        <v>44311</v>
      </c>
      <c r="C542" s="10" t="s">
        <v>107</v>
      </c>
      <c r="D542" s="11">
        <v>160821</v>
      </c>
      <c r="E542" s="26">
        <v>57454</v>
      </c>
      <c r="F542" s="10" t="s">
        <v>105</v>
      </c>
      <c r="G542" s="10" t="s">
        <v>46</v>
      </c>
      <c r="H542" s="27" t="s">
        <v>106</v>
      </c>
      <c r="I542" s="12"/>
      <c r="J542" s="12"/>
      <c r="K542" s="13">
        <v>3960</v>
      </c>
      <c r="L542" s="21">
        <v>12.3</v>
      </c>
      <c r="M542" s="14" t="s">
        <v>14</v>
      </c>
      <c r="N542" s="13">
        <v>48708</v>
      </c>
      <c r="O542" s="15">
        <f t="shared" si="326"/>
        <v>0</v>
      </c>
      <c r="P542" s="10" t="s">
        <v>84</v>
      </c>
      <c r="Q542" s="11" t="s">
        <v>1289</v>
      </c>
      <c r="R542" s="11" t="s">
        <v>1290</v>
      </c>
      <c r="S542" s="16" t="s">
        <v>1291</v>
      </c>
      <c r="T542" s="19" t="str">
        <f>MONTH(B542)&amp;"-"&amp;YEAR(B542)</f>
        <v>4-2021</v>
      </c>
      <c r="U542" s="2">
        <f>YEAR(B542)</f>
        <v>2021</v>
      </c>
      <c r="V542" s="2" t="str">
        <f>IF(DAY(B542)&gt;15,MONTH(B542)&amp;"-C",MONTH(B542)&amp;"-N")</f>
        <v>4-C</v>
      </c>
      <c r="W542" s="21">
        <v>12.3</v>
      </c>
      <c r="X542" s="2" t="b">
        <f t="shared" si="327"/>
        <v>1</v>
      </c>
    </row>
    <row r="543" spans="2:24" x14ac:dyDescent="0.2">
      <c r="B543" s="17">
        <v>44313</v>
      </c>
      <c r="C543" s="10" t="s">
        <v>48</v>
      </c>
      <c r="D543" s="11">
        <v>159585</v>
      </c>
      <c r="E543" s="26">
        <v>57494</v>
      </c>
      <c r="F543" s="10" t="s">
        <v>135</v>
      </c>
      <c r="G543" s="10" t="s">
        <v>46</v>
      </c>
      <c r="H543" s="27" t="s">
        <v>136</v>
      </c>
      <c r="I543" s="12"/>
      <c r="J543" s="12"/>
      <c r="K543" s="13">
        <v>6400</v>
      </c>
      <c r="L543" s="21">
        <v>10.183680000000001</v>
      </c>
      <c r="M543" s="14" t="s">
        <v>14</v>
      </c>
      <c r="N543" s="13">
        <v>65175.552000000003</v>
      </c>
      <c r="O543" s="15">
        <f t="shared" si="326"/>
        <v>0</v>
      </c>
      <c r="P543" s="10" t="s">
        <v>90</v>
      </c>
      <c r="Q543" s="11" t="s">
        <v>1293</v>
      </c>
      <c r="R543" s="11" t="s">
        <v>1294</v>
      </c>
      <c r="S543" s="16" t="s">
        <v>1292</v>
      </c>
      <c r="T543" s="19" t="str">
        <f>MONTH(B543)&amp;"-"&amp;YEAR(B543)</f>
        <v>4-2021</v>
      </c>
      <c r="U543" s="2">
        <f>YEAR(B543)</f>
        <v>2021</v>
      </c>
      <c r="V543" s="2" t="str">
        <f>IF(DAY(B543)&gt;15,MONTH(B543)&amp;"-C",MONTH(B543)&amp;"-N")</f>
        <v>4-C</v>
      </c>
      <c r="W543" s="21">
        <v>10.183680000000001</v>
      </c>
      <c r="X543" s="2" t="b">
        <f t="shared" si="327"/>
        <v>1</v>
      </c>
    </row>
    <row r="544" spans="2:24" x14ac:dyDescent="0.2">
      <c r="B544" s="17">
        <v>44313</v>
      </c>
      <c r="C544" s="10" t="s">
        <v>48</v>
      </c>
      <c r="D544" s="11">
        <v>159585</v>
      </c>
      <c r="E544" s="26">
        <v>57494</v>
      </c>
      <c r="F544" s="10" t="s">
        <v>71</v>
      </c>
      <c r="G544" s="10" t="s">
        <v>46</v>
      </c>
      <c r="H544" s="27" t="s">
        <v>72</v>
      </c>
      <c r="I544" s="12"/>
      <c r="J544" s="12"/>
      <c r="K544" s="13">
        <v>9600</v>
      </c>
      <c r="L544" s="21">
        <v>10.183679999999999</v>
      </c>
      <c r="M544" s="14" t="s">
        <v>14</v>
      </c>
      <c r="N544" s="13">
        <v>97763.327999999994</v>
      </c>
      <c r="O544" s="15">
        <f t="shared" ref="O544:O545" si="328">(N544/K544)-L544</f>
        <v>0</v>
      </c>
      <c r="P544" s="10" t="s">
        <v>90</v>
      </c>
      <c r="Q544" s="11" t="s">
        <v>1293</v>
      </c>
      <c r="R544" s="11" t="s">
        <v>1294</v>
      </c>
      <c r="S544" s="16" t="s">
        <v>1292</v>
      </c>
      <c r="T544" s="19" t="str">
        <f>MONTH(B544)&amp;"-"&amp;YEAR(B544)</f>
        <v>4-2021</v>
      </c>
      <c r="U544" s="2">
        <f>YEAR(B544)</f>
        <v>2021</v>
      </c>
      <c r="V544" s="2" t="str">
        <f>IF(DAY(B544)&gt;15,MONTH(B544)&amp;"-C",MONTH(B544)&amp;"-N")</f>
        <v>4-C</v>
      </c>
      <c r="W544" s="21">
        <v>10.183679999999999</v>
      </c>
      <c r="X544" s="2" t="b">
        <f t="shared" ref="X544:X545" si="329">+L544=W544</f>
        <v>1</v>
      </c>
    </row>
    <row r="545" spans="2:24" x14ac:dyDescent="0.2">
      <c r="B545" s="17">
        <v>44313</v>
      </c>
      <c r="C545" s="10" t="s">
        <v>94</v>
      </c>
      <c r="D545" s="11">
        <v>160430</v>
      </c>
      <c r="E545" s="26">
        <v>57476</v>
      </c>
      <c r="F545" s="10" t="s">
        <v>26</v>
      </c>
      <c r="G545" s="10" t="s">
        <v>27</v>
      </c>
      <c r="H545" s="27" t="s">
        <v>28</v>
      </c>
      <c r="I545" s="12"/>
      <c r="J545" s="12"/>
      <c r="K545" s="13">
        <v>18000</v>
      </c>
      <c r="L545" s="21">
        <v>5.4</v>
      </c>
      <c r="M545" s="14" t="s">
        <v>14</v>
      </c>
      <c r="N545" s="13">
        <v>97200</v>
      </c>
      <c r="O545" s="15">
        <f t="shared" si="328"/>
        <v>0</v>
      </c>
      <c r="P545" s="10" t="s">
        <v>78</v>
      </c>
      <c r="Q545" s="11" t="s">
        <v>1295</v>
      </c>
      <c r="R545" s="11" t="s">
        <v>1296</v>
      </c>
      <c r="S545" s="16" t="s">
        <v>1297</v>
      </c>
      <c r="T545" s="19" t="str">
        <f>MONTH(B545)&amp;"-"&amp;YEAR(B545)</f>
        <v>4-2021</v>
      </c>
      <c r="U545" s="2">
        <f>YEAR(B545)</f>
        <v>2021</v>
      </c>
      <c r="V545" s="2" t="str">
        <f>IF(DAY(B545)&gt;15,MONTH(B545)&amp;"-C",MONTH(B545)&amp;"-N")</f>
        <v>4-C</v>
      </c>
      <c r="W545" s="21">
        <v>5.4</v>
      </c>
      <c r="X545" s="2" t="b">
        <f t="shared" si="329"/>
        <v>1</v>
      </c>
    </row>
    <row r="546" spans="2:24" x14ac:dyDescent="0.2">
      <c r="B546" s="17">
        <v>44315</v>
      </c>
      <c r="C546" s="10" t="s">
        <v>88</v>
      </c>
      <c r="D546" s="11">
        <v>160421</v>
      </c>
      <c r="E546" s="26">
        <v>57537</v>
      </c>
      <c r="F546" s="10" t="s">
        <v>98</v>
      </c>
      <c r="G546" s="10" t="s">
        <v>46</v>
      </c>
      <c r="H546" s="27" t="s">
        <v>99</v>
      </c>
      <c r="I546" s="12"/>
      <c r="J546" s="12"/>
      <c r="K546" s="13">
        <v>48</v>
      </c>
      <c r="L546" s="21">
        <v>12.02</v>
      </c>
      <c r="M546" s="14" t="s">
        <v>14</v>
      </c>
      <c r="N546" s="13">
        <v>576.96</v>
      </c>
      <c r="O546" s="15">
        <f t="shared" ref="O546:O552" si="330">(N546/K546)-L546</f>
        <v>0</v>
      </c>
      <c r="P546" s="10" t="s">
        <v>84</v>
      </c>
      <c r="Q546" s="11" t="s">
        <v>1299</v>
      </c>
      <c r="R546" s="11" t="s">
        <v>1300</v>
      </c>
      <c r="S546" s="16" t="s">
        <v>1298</v>
      </c>
      <c r="T546" s="19" t="str">
        <f>MONTH(B546)&amp;"-"&amp;YEAR(B546)</f>
        <v>4-2021</v>
      </c>
      <c r="U546" s="2">
        <f>YEAR(B546)</f>
        <v>2021</v>
      </c>
      <c r="V546" s="2" t="str">
        <f>IF(DAY(B546)&gt;15,MONTH(B546)&amp;"-C",MONTH(B546)&amp;"-N")</f>
        <v>4-C</v>
      </c>
      <c r="W546" s="21">
        <v>12.02</v>
      </c>
      <c r="X546" s="2" t="b">
        <f t="shared" ref="X546:X552" si="331">+L546=W546</f>
        <v>1</v>
      </c>
    </row>
    <row r="547" spans="2:24" x14ac:dyDescent="0.2">
      <c r="B547" s="17">
        <v>44315</v>
      </c>
      <c r="C547" s="10" t="s">
        <v>88</v>
      </c>
      <c r="D547" s="11">
        <v>160421</v>
      </c>
      <c r="E547" s="26">
        <v>57537</v>
      </c>
      <c r="F547" s="10" t="s">
        <v>100</v>
      </c>
      <c r="G547" s="10" t="s">
        <v>46</v>
      </c>
      <c r="H547" s="27" t="s">
        <v>101</v>
      </c>
      <c r="I547" s="12"/>
      <c r="J547" s="12"/>
      <c r="K547" s="13">
        <v>1700</v>
      </c>
      <c r="L547" s="21">
        <v>12.14</v>
      </c>
      <c r="M547" s="14" t="s">
        <v>14</v>
      </c>
      <c r="N547" s="13">
        <v>20638</v>
      </c>
      <c r="O547" s="15">
        <f t="shared" si="330"/>
        <v>0</v>
      </c>
      <c r="P547" s="10" t="s">
        <v>84</v>
      </c>
      <c r="Q547" s="11" t="s">
        <v>1299</v>
      </c>
      <c r="R547" s="11" t="s">
        <v>1300</v>
      </c>
      <c r="S547" s="16" t="s">
        <v>1298</v>
      </c>
      <c r="T547" s="19" t="str">
        <f>MONTH(B547)&amp;"-"&amp;YEAR(B547)</f>
        <v>4-2021</v>
      </c>
      <c r="U547" s="2">
        <f>YEAR(B547)</f>
        <v>2021</v>
      </c>
      <c r="V547" s="2" t="str">
        <f>IF(DAY(B547)&gt;15,MONTH(B547)&amp;"-C",MONTH(B547)&amp;"-N")</f>
        <v>4-C</v>
      </c>
      <c r="W547" s="21">
        <v>12.14</v>
      </c>
      <c r="X547" s="2" t="b">
        <f t="shared" si="331"/>
        <v>1</v>
      </c>
    </row>
    <row r="548" spans="2:24" x14ac:dyDescent="0.2">
      <c r="B548" s="17">
        <v>44317</v>
      </c>
      <c r="C548" s="10" t="s">
        <v>48</v>
      </c>
      <c r="D548" s="11">
        <v>159585</v>
      </c>
      <c r="E548" s="26">
        <v>57554</v>
      </c>
      <c r="F548" s="10" t="s">
        <v>135</v>
      </c>
      <c r="G548" s="10" t="s">
        <v>46</v>
      </c>
      <c r="H548" s="27" t="s">
        <v>136</v>
      </c>
      <c r="I548" s="12"/>
      <c r="J548" s="12"/>
      <c r="K548" s="13">
        <v>6400</v>
      </c>
      <c r="L548" s="21">
        <v>10.345000000000001</v>
      </c>
      <c r="M548" s="14" t="s">
        <v>14</v>
      </c>
      <c r="N548" s="13">
        <v>66207.744000000006</v>
      </c>
      <c r="O548" s="15">
        <f t="shared" si="330"/>
        <v>-4.0000000000262048E-5</v>
      </c>
      <c r="P548" s="10" t="s">
        <v>90</v>
      </c>
      <c r="Q548" s="11" t="s">
        <v>1301</v>
      </c>
      <c r="R548" s="11" t="s">
        <v>1302</v>
      </c>
      <c r="S548" s="16" t="s">
        <v>41</v>
      </c>
      <c r="T548" s="19" t="str">
        <f>MONTH(B548)&amp;"-"&amp;YEAR(B548)</f>
        <v>5-2021</v>
      </c>
      <c r="U548" s="2">
        <f>YEAR(B548)</f>
        <v>2021</v>
      </c>
      <c r="V548" s="2" t="str">
        <f>IF(DAY(B548)&gt;15,MONTH(B548)&amp;"-C",MONTH(B548)&amp;"-N")</f>
        <v>5-N</v>
      </c>
      <c r="W548" s="21">
        <v>10.345000000000001</v>
      </c>
      <c r="X548" s="2" t="b">
        <f t="shared" si="331"/>
        <v>1</v>
      </c>
    </row>
    <row r="549" spans="2:24" x14ac:dyDescent="0.2">
      <c r="B549" s="17">
        <v>44317</v>
      </c>
      <c r="C549" s="10" t="s">
        <v>48</v>
      </c>
      <c r="D549" s="11">
        <v>159585</v>
      </c>
      <c r="E549" s="26">
        <v>57554</v>
      </c>
      <c r="F549" s="10" t="s">
        <v>71</v>
      </c>
      <c r="G549" s="10" t="s">
        <v>46</v>
      </c>
      <c r="H549" s="27" t="s">
        <v>72</v>
      </c>
      <c r="I549" s="12"/>
      <c r="J549" s="12"/>
      <c r="K549" s="13">
        <v>9600</v>
      </c>
      <c r="L549" s="21">
        <v>10.345000000000001</v>
      </c>
      <c r="M549" s="14" t="s">
        <v>14</v>
      </c>
      <c r="N549" s="13">
        <v>99311.615999999995</v>
      </c>
      <c r="O549" s="15">
        <f t="shared" si="330"/>
        <v>-4.0000000002038405E-5</v>
      </c>
      <c r="P549" s="10" t="s">
        <v>90</v>
      </c>
      <c r="Q549" s="11" t="s">
        <v>1301</v>
      </c>
      <c r="R549" s="11" t="s">
        <v>1302</v>
      </c>
      <c r="S549" s="16" t="s">
        <v>41</v>
      </c>
      <c r="T549" s="19" t="str">
        <f>MONTH(B549)&amp;"-"&amp;YEAR(B549)</f>
        <v>5-2021</v>
      </c>
      <c r="U549" s="2">
        <f>YEAR(B549)</f>
        <v>2021</v>
      </c>
      <c r="V549" s="2" t="str">
        <f>IF(DAY(B549)&gt;15,MONTH(B549)&amp;"-C",MONTH(B549)&amp;"-N")</f>
        <v>5-N</v>
      </c>
      <c r="W549" s="21">
        <v>10.345000000000001</v>
      </c>
      <c r="X549" s="2" t="b">
        <f t="shared" si="331"/>
        <v>1</v>
      </c>
    </row>
    <row r="550" spans="2:24" x14ac:dyDescent="0.2">
      <c r="B550" s="17">
        <v>44318</v>
      </c>
      <c r="C550" s="10" t="s">
        <v>73</v>
      </c>
      <c r="D550" s="11">
        <v>160454</v>
      </c>
      <c r="E550" s="26">
        <v>57553</v>
      </c>
      <c r="F550" s="10" t="s">
        <v>131</v>
      </c>
      <c r="G550" s="10" t="s">
        <v>46</v>
      </c>
      <c r="H550" s="27" t="s">
        <v>132</v>
      </c>
      <c r="I550" s="12"/>
      <c r="J550" s="12"/>
      <c r="K550" s="13">
        <v>320</v>
      </c>
      <c r="L550" s="21">
        <v>10.75</v>
      </c>
      <c r="M550" s="14" t="s">
        <v>14</v>
      </c>
      <c r="N550" s="13">
        <v>3440</v>
      </c>
      <c r="O550" s="15">
        <f t="shared" si="330"/>
        <v>0</v>
      </c>
      <c r="P550" s="10" t="s">
        <v>84</v>
      </c>
      <c r="Q550" s="11" t="s">
        <v>1303</v>
      </c>
      <c r="R550" s="11" t="s">
        <v>1304</v>
      </c>
      <c r="S550" s="16" t="s">
        <v>1305</v>
      </c>
      <c r="T550" s="19" t="str">
        <f>MONTH(B550)&amp;"-"&amp;YEAR(B550)</f>
        <v>5-2021</v>
      </c>
      <c r="U550" s="2">
        <f>YEAR(B550)</f>
        <v>2021</v>
      </c>
      <c r="V550" s="2" t="str">
        <f>IF(DAY(B550)&gt;15,MONTH(B550)&amp;"-C",MONTH(B550)&amp;"-N")</f>
        <v>5-N</v>
      </c>
      <c r="W550" s="21">
        <v>10.75</v>
      </c>
      <c r="X550" s="2" t="b">
        <f t="shared" si="331"/>
        <v>1</v>
      </c>
    </row>
    <row r="551" spans="2:24" x14ac:dyDescent="0.2">
      <c r="B551" s="17">
        <v>44318</v>
      </c>
      <c r="C551" s="10" t="s">
        <v>73</v>
      </c>
      <c r="D551" s="11">
        <v>160454</v>
      </c>
      <c r="E551" s="26">
        <v>57553</v>
      </c>
      <c r="F551" s="10" t="s">
        <v>133</v>
      </c>
      <c r="G551" s="10" t="s">
        <v>46</v>
      </c>
      <c r="H551" s="27" t="s">
        <v>134</v>
      </c>
      <c r="I551" s="12"/>
      <c r="J551" s="12"/>
      <c r="K551" s="13">
        <v>2000</v>
      </c>
      <c r="L551" s="21">
        <v>10.75</v>
      </c>
      <c r="M551" s="14" t="s">
        <v>14</v>
      </c>
      <c r="N551" s="13">
        <v>21500</v>
      </c>
      <c r="O551" s="15">
        <f t="shared" si="330"/>
        <v>0</v>
      </c>
      <c r="P551" s="10" t="s">
        <v>84</v>
      </c>
      <c r="Q551" s="11" t="s">
        <v>1303</v>
      </c>
      <c r="R551" s="11" t="s">
        <v>1304</v>
      </c>
      <c r="S551" s="16" t="s">
        <v>1305</v>
      </c>
      <c r="T551" s="19" t="str">
        <f>MONTH(B551)&amp;"-"&amp;YEAR(B551)</f>
        <v>5-2021</v>
      </c>
      <c r="U551" s="2">
        <f>YEAR(B551)</f>
        <v>2021</v>
      </c>
      <c r="V551" s="2" t="str">
        <f>IF(DAY(B551)&gt;15,MONTH(B551)&amp;"-C",MONTH(B551)&amp;"-N")</f>
        <v>5-N</v>
      </c>
      <c r="W551" s="21">
        <v>10.75</v>
      </c>
      <c r="X551" s="2" t="b">
        <f t="shared" si="331"/>
        <v>1</v>
      </c>
    </row>
    <row r="552" spans="2:24" x14ac:dyDescent="0.2">
      <c r="B552" s="17">
        <v>44318</v>
      </c>
      <c r="C552" s="10" t="s">
        <v>94</v>
      </c>
      <c r="D552" s="11">
        <v>160430</v>
      </c>
      <c r="E552" s="26">
        <v>57550</v>
      </c>
      <c r="F552" s="10" t="s">
        <v>26</v>
      </c>
      <c r="G552" s="10" t="s">
        <v>27</v>
      </c>
      <c r="H552" s="27" t="s">
        <v>28</v>
      </c>
      <c r="I552" s="12"/>
      <c r="J552" s="12"/>
      <c r="K552" s="13">
        <v>18900</v>
      </c>
      <c r="L552" s="21">
        <v>5.4</v>
      </c>
      <c r="M552" s="14" t="s">
        <v>14</v>
      </c>
      <c r="N552" s="13">
        <v>102060</v>
      </c>
      <c r="O552" s="15">
        <f t="shared" si="330"/>
        <v>0</v>
      </c>
      <c r="P552" s="10" t="s">
        <v>78</v>
      </c>
      <c r="Q552" s="11" t="s">
        <v>1306</v>
      </c>
      <c r="R552" s="11" t="s">
        <v>1307</v>
      </c>
      <c r="S552" s="16" t="s">
        <v>1308</v>
      </c>
      <c r="T552" s="19" t="str">
        <f>MONTH(B552)&amp;"-"&amp;YEAR(B552)</f>
        <v>5-2021</v>
      </c>
      <c r="U552" s="2">
        <f>YEAR(B552)</f>
        <v>2021</v>
      </c>
      <c r="V552" s="2" t="str">
        <f>IF(DAY(B552)&gt;15,MONTH(B552)&amp;"-C",MONTH(B552)&amp;"-N")</f>
        <v>5-N</v>
      </c>
      <c r="W552" s="21">
        <v>5.4</v>
      </c>
      <c r="X552" s="2" t="b">
        <f t="shared" si="331"/>
        <v>1</v>
      </c>
    </row>
    <row r="553" spans="2:24" x14ac:dyDescent="0.2">
      <c r="B553" s="17">
        <v>44321</v>
      </c>
      <c r="C553" s="10" t="s">
        <v>25</v>
      </c>
      <c r="D553" s="11">
        <v>160859</v>
      </c>
      <c r="E553" s="26">
        <v>57605</v>
      </c>
      <c r="F553" s="10" t="s">
        <v>26</v>
      </c>
      <c r="G553" s="10" t="s">
        <v>27</v>
      </c>
      <c r="H553" s="27" t="s">
        <v>28</v>
      </c>
      <c r="I553" s="12"/>
      <c r="J553" s="12"/>
      <c r="K553" s="13">
        <v>19800</v>
      </c>
      <c r="L553" s="21">
        <v>5.59</v>
      </c>
      <c r="M553" s="14" t="s">
        <v>14</v>
      </c>
      <c r="N553" s="13">
        <v>110682</v>
      </c>
      <c r="O553" s="15">
        <f t="shared" ref="O553" si="332">(N553/K553)-L553</f>
        <v>0</v>
      </c>
      <c r="P553" s="10" t="s">
        <v>78</v>
      </c>
      <c r="Q553" s="11" t="s">
        <v>1309</v>
      </c>
      <c r="R553" s="11" t="s">
        <v>1288</v>
      </c>
      <c r="S553" s="16" t="s">
        <v>1310</v>
      </c>
      <c r="T553" s="19" t="str">
        <f>MONTH(B553)&amp;"-"&amp;YEAR(B553)</f>
        <v>5-2021</v>
      </c>
      <c r="U553" s="2">
        <f>YEAR(B553)</f>
        <v>2021</v>
      </c>
      <c r="V553" s="2" t="str">
        <f>IF(DAY(B553)&gt;15,MONTH(B553)&amp;"-C",MONTH(B553)&amp;"-N")</f>
        <v>5-N</v>
      </c>
      <c r="W553" s="21">
        <v>5.59</v>
      </c>
      <c r="X553" s="2" t="b">
        <f t="shared" ref="X553" si="333">+L553=W553</f>
        <v>1</v>
      </c>
    </row>
    <row r="554" spans="2:24" x14ac:dyDescent="0.2">
      <c r="B554" s="17">
        <v>44333</v>
      </c>
      <c r="C554" s="10" t="s">
        <v>25</v>
      </c>
      <c r="D554" s="11">
        <v>160859</v>
      </c>
      <c r="E554" s="26">
        <v>57707</v>
      </c>
      <c r="F554" s="10" t="s">
        <v>26</v>
      </c>
      <c r="G554" s="10" t="s">
        <v>27</v>
      </c>
      <c r="H554" s="27" t="s">
        <v>28</v>
      </c>
      <c r="I554" s="12"/>
      <c r="J554" s="12"/>
      <c r="K554" s="13">
        <v>19800</v>
      </c>
      <c r="L554" s="21">
        <v>5.59</v>
      </c>
      <c r="M554" s="14" t="s">
        <v>14</v>
      </c>
      <c r="N554" s="13">
        <v>110682</v>
      </c>
      <c r="O554" s="15">
        <f t="shared" ref="O554:O558" si="334">(N554/K554)-L554</f>
        <v>0</v>
      </c>
      <c r="P554" s="10" t="s">
        <v>78</v>
      </c>
      <c r="Q554" s="11" t="s">
        <v>1311</v>
      </c>
      <c r="R554" s="11" t="s">
        <v>1312</v>
      </c>
      <c r="S554" s="16" t="s">
        <v>1313</v>
      </c>
      <c r="T554" s="19" t="str">
        <f>MONTH(B554)&amp;"-"&amp;YEAR(B554)</f>
        <v>5-2021</v>
      </c>
      <c r="U554" s="2">
        <f>YEAR(B554)</f>
        <v>2021</v>
      </c>
      <c r="V554" s="2" t="str">
        <f>IF(DAY(B554)&gt;15,MONTH(B554)&amp;"-C",MONTH(B554)&amp;"-N")</f>
        <v>5-C</v>
      </c>
      <c r="W554" s="21">
        <v>5.59</v>
      </c>
      <c r="X554" s="2" t="b">
        <f t="shared" ref="X554:X558" si="335">+L554=W554</f>
        <v>1</v>
      </c>
    </row>
    <row r="555" spans="2:24" x14ac:dyDescent="0.2">
      <c r="B555" s="17">
        <v>44333</v>
      </c>
      <c r="C555" s="10" t="s">
        <v>107</v>
      </c>
      <c r="D555" s="11">
        <v>160951</v>
      </c>
      <c r="E555" s="26">
        <v>57708</v>
      </c>
      <c r="F555" s="10" t="s">
        <v>142</v>
      </c>
      <c r="G555" s="10" t="s">
        <v>46</v>
      </c>
      <c r="H555" s="27" t="s">
        <v>143</v>
      </c>
      <c r="I555" s="12"/>
      <c r="J555" s="12"/>
      <c r="K555" s="13">
        <v>1100</v>
      </c>
      <c r="L555" s="21">
        <v>9</v>
      </c>
      <c r="M555" s="14" t="s">
        <v>14</v>
      </c>
      <c r="N555" s="13">
        <v>9900</v>
      </c>
      <c r="O555" s="15">
        <f t="shared" si="334"/>
        <v>0</v>
      </c>
      <c r="P555" s="10" t="s">
        <v>84</v>
      </c>
      <c r="Q555" s="11" t="s">
        <v>1314</v>
      </c>
      <c r="R555" s="11" t="s">
        <v>1315</v>
      </c>
      <c r="S555" s="16" t="s">
        <v>1316</v>
      </c>
      <c r="T555" s="19" t="str">
        <f>MONTH(B555)&amp;"-"&amp;YEAR(B555)</f>
        <v>5-2021</v>
      </c>
      <c r="U555" s="2">
        <f>YEAR(B555)</f>
        <v>2021</v>
      </c>
      <c r="V555" s="2" t="str">
        <f>IF(DAY(B555)&gt;15,MONTH(B555)&amp;"-C",MONTH(B555)&amp;"-N")</f>
        <v>5-C</v>
      </c>
      <c r="W555" s="21">
        <v>9</v>
      </c>
      <c r="X555" s="2" t="b">
        <f t="shared" si="335"/>
        <v>1</v>
      </c>
    </row>
    <row r="556" spans="2:24" x14ac:dyDescent="0.2">
      <c r="B556" s="17">
        <v>44333</v>
      </c>
      <c r="C556" s="10" t="s">
        <v>107</v>
      </c>
      <c r="D556" s="11">
        <v>160951</v>
      </c>
      <c r="E556" s="26">
        <v>57708</v>
      </c>
      <c r="F556" s="10" t="s">
        <v>144</v>
      </c>
      <c r="G556" s="10" t="s">
        <v>46</v>
      </c>
      <c r="H556" s="27" t="s">
        <v>145</v>
      </c>
      <c r="I556" s="12"/>
      <c r="J556" s="12"/>
      <c r="K556" s="13">
        <v>180</v>
      </c>
      <c r="L556" s="21">
        <v>9</v>
      </c>
      <c r="M556" s="14" t="s">
        <v>14</v>
      </c>
      <c r="N556" s="13">
        <v>1620</v>
      </c>
      <c r="O556" s="15">
        <f t="shared" si="334"/>
        <v>0</v>
      </c>
      <c r="P556" s="10" t="s">
        <v>84</v>
      </c>
      <c r="Q556" s="11" t="s">
        <v>1314</v>
      </c>
      <c r="R556" s="11" t="s">
        <v>1315</v>
      </c>
      <c r="S556" s="16" t="s">
        <v>1316</v>
      </c>
      <c r="T556" s="19" t="str">
        <f>MONTH(B556)&amp;"-"&amp;YEAR(B556)</f>
        <v>5-2021</v>
      </c>
      <c r="U556" s="2">
        <f>YEAR(B556)</f>
        <v>2021</v>
      </c>
      <c r="V556" s="2" t="str">
        <f>IF(DAY(B556)&gt;15,MONTH(B556)&amp;"-C",MONTH(B556)&amp;"-N")</f>
        <v>5-C</v>
      </c>
      <c r="W556" s="21">
        <v>9</v>
      </c>
      <c r="X556" s="2" t="b">
        <f t="shared" si="335"/>
        <v>1</v>
      </c>
    </row>
    <row r="557" spans="2:24" x14ac:dyDescent="0.2">
      <c r="B557" s="17">
        <v>44333</v>
      </c>
      <c r="C557" s="10" t="s">
        <v>107</v>
      </c>
      <c r="D557" s="11">
        <v>160951</v>
      </c>
      <c r="E557" s="26">
        <v>57708</v>
      </c>
      <c r="F557" s="10" t="s">
        <v>103</v>
      </c>
      <c r="G557" s="10" t="s">
        <v>46</v>
      </c>
      <c r="H557" s="27" t="s">
        <v>104</v>
      </c>
      <c r="I557" s="12"/>
      <c r="J557" s="12"/>
      <c r="K557" s="13">
        <v>140</v>
      </c>
      <c r="L557" s="21">
        <v>37.200000000000003</v>
      </c>
      <c r="M557" s="14" t="s">
        <v>14</v>
      </c>
      <c r="N557" s="13">
        <v>5208</v>
      </c>
      <c r="O557" s="15">
        <f t="shared" si="334"/>
        <v>0</v>
      </c>
      <c r="P557" s="10" t="s">
        <v>84</v>
      </c>
      <c r="Q557" s="11" t="s">
        <v>1314</v>
      </c>
      <c r="R557" s="11" t="s">
        <v>1315</v>
      </c>
      <c r="S557" s="16" t="s">
        <v>1316</v>
      </c>
      <c r="T557" s="19" t="str">
        <f>MONTH(B557)&amp;"-"&amp;YEAR(B557)</f>
        <v>5-2021</v>
      </c>
      <c r="U557" s="2">
        <f>YEAR(B557)</f>
        <v>2021</v>
      </c>
      <c r="V557" s="2" t="str">
        <f>IF(DAY(B557)&gt;15,MONTH(B557)&amp;"-C",MONTH(B557)&amp;"-N")</f>
        <v>5-C</v>
      </c>
      <c r="W557" s="21">
        <v>37.200000000000003</v>
      </c>
      <c r="X557" s="2" t="b">
        <f t="shared" si="335"/>
        <v>1</v>
      </c>
    </row>
    <row r="558" spans="2:24" x14ac:dyDescent="0.2">
      <c r="B558" s="17">
        <v>44333</v>
      </c>
      <c r="C558" s="10" t="s">
        <v>107</v>
      </c>
      <c r="D558" s="11">
        <v>160951</v>
      </c>
      <c r="E558" s="26">
        <v>57708</v>
      </c>
      <c r="F558" s="10" t="s">
        <v>105</v>
      </c>
      <c r="G558" s="10" t="s">
        <v>46</v>
      </c>
      <c r="H558" s="27" t="s">
        <v>106</v>
      </c>
      <c r="I558" s="12"/>
      <c r="J558" s="12"/>
      <c r="K558" s="13">
        <v>3960</v>
      </c>
      <c r="L558" s="21">
        <v>12.3</v>
      </c>
      <c r="M558" s="14" t="s">
        <v>14</v>
      </c>
      <c r="N558" s="13">
        <v>48708</v>
      </c>
      <c r="O558" s="15">
        <f t="shared" si="334"/>
        <v>0</v>
      </c>
      <c r="P558" s="10" t="s">
        <v>84</v>
      </c>
      <c r="Q558" s="11" t="s">
        <v>1314</v>
      </c>
      <c r="R558" s="11" t="s">
        <v>1315</v>
      </c>
      <c r="S558" s="16" t="s">
        <v>1316</v>
      </c>
      <c r="T558" s="19" t="str">
        <f>MONTH(B558)&amp;"-"&amp;YEAR(B558)</f>
        <v>5-2021</v>
      </c>
      <c r="U558" s="2">
        <f>YEAR(B558)</f>
        <v>2021</v>
      </c>
      <c r="V558" s="2" t="str">
        <f>IF(DAY(B558)&gt;15,MONTH(B558)&amp;"-C",MONTH(B558)&amp;"-N")</f>
        <v>5-C</v>
      </c>
      <c r="W558" s="21">
        <v>12.3</v>
      </c>
      <c r="X558" s="2" t="b">
        <f t="shared" si="335"/>
        <v>1</v>
      </c>
    </row>
    <row r="559" spans="2:24" x14ac:dyDescent="0.2">
      <c r="B559" s="17">
        <v>44336</v>
      </c>
      <c r="C559" s="10" t="s">
        <v>25</v>
      </c>
      <c r="D559" s="11">
        <v>160859</v>
      </c>
      <c r="E559" s="26">
        <v>57776</v>
      </c>
      <c r="F559" s="10" t="s">
        <v>26</v>
      </c>
      <c r="G559" s="10" t="s">
        <v>27</v>
      </c>
      <c r="H559" s="27" t="s">
        <v>28</v>
      </c>
      <c r="I559" s="12"/>
      <c r="J559" s="12"/>
      <c r="K559" s="13">
        <v>19800</v>
      </c>
      <c r="L559" s="21">
        <v>5.59</v>
      </c>
      <c r="M559" s="14" t="s">
        <v>14</v>
      </c>
      <c r="N559" s="13">
        <v>110682</v>
      </c>
      <c r="O559" s="15">
        <f t="shared" ref="O559" si="336">(N559/K559)-L559</f>
        <v>0</v>
      </c>
      <c r="P559" s="10" t="s">
        <v>78</v>
      </c>
      <c r="Q559" s="11" t="s">
        <v>1318</v>
      </c>
      <c r="R559" s="11" t="s">
        <v>1319</v>
      </c>
      <c r="S559" s="16" t="s">
        <v>1320</v>
      </c>
      <c r="T559" s="19" t="str">
        <f>MONTH(B559)&amp;"-"&amp;YEAR(B559)</f>
        <v>5-2021</v>
      </c>
      <c r="U559" s="2">
        <f>YEAR(B559)</f>
        <v>2021</v>
      </c>
      <c r="V559" s="2" t="str">
        <f>IF(DAY(B559)&gt;15,MONTH(B559)&amp;"-C",MONTH(B559)&amp;"-N")</f>
        <v>5-C</v>
      </c>
      <c r="W559" s="21">
        <v>5.59</v>
      </c>
      <c r="X559" s="2" t="b">
        <f t="shared" ref="X559" si="337">+L559=W559</f>
        <v>1</v>
      </c>
    </row>
    <row r="560" spans="2:24" x14ac:dyDescent="0.2">
      <c r="B560" s="17">
        <v>44339</v>
      </c>
      <c r="C560" s="10" t="s">
        <v>73</v>
      </c>
      <c r="D560" s="11">
        <v>161085</v>
      </c>
      <c r="E560" s="26">
        <v>57803</v>
      </c>
      <c r="F560" s="10" t="s">
        <v>399</v>
      </c>
      <c r="G560" s="10" t="s">
        <v>46</v>
      </c>
      <c r="H560" s="27" t="s">
        <v>149</v>
      </c>
      <c r="I560" s="12"/>
      <c r="J560" s="12"/>
      <c r="K560" s="13">
        <v>800</v>
      </c>
      <c r="L560" s="21">
        <v>18.5</v>
      </c>
      <c r="M560" s="14" t="s">
        <v>14</v>
      </c>
      <c r="N560" s="13">
        <v>14800</v>
      </c>
      <c r="O560" s="15">
        <f t="shared" ref="O560" si="338">(N560/K560)-L560</f>
        <v>0</v>
      </c>
      <c r="P560" s="10" t="s">
        <v>81</v>
      </c>
      <c r="Q560" s="11" t="s">
        <v>1321</v>
      </c>
      <c r="R560" s="11" t="s">
        <v>1322</v>
      </c>
      <c r="S560" s="16" t="s">
        <v>1323</v>
      </c>
      <c r="T560" s="19" t="str">
        <f>MONTH(B560)&amp;"-"&amp;YEAR(B560)</f>
        <v>5-2021</v>
      </c>
      <c r="U560" s="2">
        <f>YEAR(B560)</f>
        <v>2021</v>
      </c>
      <c r="V560" s="2" t="str">
        <f>IF(DAY(B560)&gt;15,MONTH(B560)&amp;"-C",MONTH(B560)&amp;"-N")</f>
        <v>5-C</v>
      </c>
      <c r="W560" s="21">
        <v>18.5</v>
      </c>
      <c r="X560" s="2" t="b">
        <f t="shared" ref="X560" si="339">+L560=W560</f>
        <v>1</v>
      </c>
    </row>
    <row r="561" spans="2:24" x14ac:dyDescent="0.2">
      <c r="B561" s="17">
        <v>44340</v>
      </c>
      <c r="C561" s="10" t="s">
        <v>88</v>
      </c>
      <c r="D561" s="11">
        <v>161059</v>
      </c>
      <c r="E561" s="26">
        <v>57833</v>
      </c>
      <c r="F561" s="10" t="s">
        <v>98</v>
      </c>
      <c r="G561" s="10" t="s">
        <v>46</v>
      </c>
      <c r="H561" s="27" t="s">
        <v>99</v>
      </c>
      <c r="I561" s="12"/>
      <c r="J561" s="12"/>
      <c r="K561" s="13">
        <v>60</v>
      </c>
      <c r="L561" s="21">
        <v>11.82</v>
      </c>
      <c r="M561" s="14" t="s">
        <v>14</v>
      </c>
      <c r="N561" s="13">
        <v>709.2</v>
      </c>
      <c r="O561" s="15">
        <f t="shared" ref="O561:O565" si="340">(N561/K561)-L561</f>
        <v>0</v>
      </c>
      <c r="P561" s="10" t="s">
        <v>84</v>
      </c>
      <c r="Q561" s="11" t="s">
        <v>1325</v>
      </c>
      <c r="R561" s="11" t="s">
        <v>1326</v>
      </c>
      <c r="S561" s="16" t="s">
        <v>1327</v>
      </c>
      <c r="T561" s="19" t="str">
        <f>MONTH(B561)&amp;"-"&amp;YEAR(B561)</f>
        <v>5-2021</v>
      </c>
      <c r="U561" s="2">
        <f>YEAR(B561)</f>
        <v>2021</v>
      </c>
      <c r="V561" s="2" t="str">
        <f>IF(DAY(B561)&gt;15,MONTH(B561)&amp;"-C",MONTH(B561)&amp;"-N")</f>
        <v>5-C</v>
      </c>
      <c r="W561" s="21">
        <v>11.82</v>
      </c>
      <c r="X561" s="2" t="b">
        <f t="shared" ref="X561:X565" si="341">+L561=W561</f>
        <v>1</v>
      </c>
    </row>
    <row r="562" spans="2:24" x14ac:dyDescent="0.2">
      <c r="B562" s="17">
        <v>44340</v>
      </c>
      <c r="C562" s="10" t="s">
        <v>88</v>
      </c>
      <c r="D562" s="11">
        <v>161059</v>
      </c>
      <c r="E562" s="26">
        <v>57833</v>
      </c>
      <c r="F562" s="10" t="s">
        <v>100</v>
      </c>
      <c r="G562" s="10" t="s">
        <v>46</v>
      </c>
      <c r="H562" s="27" t="s">
        <v>101</v>
      </c>
      <c r="I562" s="12"/>
      <c r="J562" s="12"/>
      <c r="K562" s="13">
        <v>3000</v>
      </c>
      <c r="L562" s="21">
        <v>14.3</v>
      </c>
      <c r="M562" s="14" t="s">
        <v>14</v>
      </c>
      <c r="N562" s="13">
        <v>42900</v>
      </c>
      <c r="O562" s="15">
        <f t="shared" si="340"/>
        <v>0</v>
      </c>
      <c r="P562" s="10" t="s">
        <v>84</v>
      </c>
      <c r="Q562" s="11" t="s">
        <v>1325</v>
      </c>
      <c r="R562" s="11" t="s">
        <v>1326</v>
      </c>
      <c r="S562" s="16" t="s">
        <v>1327</v>
      </c>
      <c r="T562" s="19" t="str">
        <f>MONTH(B562)&amp;"-"&amp;YEAR(B562)</f>
        <v>5-2021</v>
      </c>
      <c r="U562" s="2">
        <f>YEAR(B562)</f>
        <v>2021</v>
      </c>
      <c r="V562" s="2" t="str">
        <f>IF(DAY(B562)&gt;15,MONTH(B562)&amp;"-C",MONTH(B562)&amp;"-N")</f>
        <v>5-C</v>
      </c>
      <c r="W562" s="21">
        <v>14.3</v>
      </c>
      <c r="X562" s="2" t="b">
        <f t="shared" si="341"/>
        <v>1</v>
      </c>
    </row>
    <row r="563" spans="2:24" x14ac:dyDescent="0.2">
      <c r="B563" s="17">
        <v>44340</v>
      </c>
      <c r="C563" s="10" t="s">
        <v>88</v>
      </c>
      <c r="D563" s="11">
        <v>161125</v>
      </c>
      <c r="E563" s="26">
        <v>57833</v>
      </c>
      <c r="F563" s="10" t="s">
        <v>1328</v>
      </c>
      <c r="G563" s="10" t="s">
        <v>46</v>
      </c>
      <c r="H563" s="27" t="s">
        <v>1342</v>
      </c>
      <c r="I563" s="12" t="s">
        <v>41</v>
      </c>
      <c r="J563" s="12" t="s">
        <v>41</v>
      </c>
      <c r="K563" s="13">
        <v>175</v>
      </c>
      <c r="L563" s="21">
        <v>13.6</v>
      </c>
      <c r="M563" s="14" t="s">
        <v>14</v>
      </c>
      <c r="N563" s="13">
        <v>2380</v>
      </c>
      <c r="O563" s="15">
        <f t="shared" si="340"/>
        <v>0</v>
      </c>
      <c r="P563" s="10" t="s">
        <v>84</v>
      </c>
      <c r="Q563" s="11" t="s">
        <v>1325</v>
      </c>
      <c r="R563" s="11" t="s">
        <v>1326</v>
      </c>
      <c r="S563" s="16" t="s">
        <v>1327</v>
      </c>
      <c r="T563" s="19" t="str">
        <f>MONTH(B563)&amp;"-"&amp;YEAR(B563)</f>
        <v>5-2021</v>
      </c>
      <c r="U563" s="2">
        <f>YEAR(B563)</f>
        <v>2021</v>
      </c>
      <c r="V563" s="2" t="str">
        <f>IF(DAY(B563)&gt;15,MONTH(B563)&amp;"-C",MONTH(B563)&amp;"-N")</f>
        <v>5-C</v>
      </c>
      <c r="W563" s="21">
        <v>13.6</v>
      </c>
      <c r="X563" s="2" t="b">
        <f t="shared" si="341"/>
        <v>1</v>
      </c>
    </row>
    <row r="564" spans="2:24" x14ac:dyDescent="0.2">
      <c r="B564" s="17">
        <v>44340</v>
      </c>
      <c r="C564" s="10" t="s">
        <v>88</v>
      </c>
      <c r="D564" s="11">
        <v>161125</v>
      </c>
      <c r="E564" s="26">
        <v>57833</v>
      </c>
      <c r="F564" s="10" t="s">
        <v>1329</v>
      </c>
      <c r="G564" s="10" t="s">
        <v>46</v>
      </c>
      <c r="H564" s="27" t="s">
        <v>1343</v>
      </c>
      <c r="I564" s="12" t="s">
        <v>41</v>
      </c>
      <c r="J564" s="12" t="s">
        <v>41</v>
      </c>
      <c r="K564" s="13">
        <v>25</v>
      </c>
      <c r="L564" s="21">
        <v>20.98</v>
      </c>
      <c r="M564" s="14" t="s">
        <v>14</v>
      </c>
      <c r="N564" s="13">
        <v>524.5</v>
      </c>
      <c r="O564" s="15">
        <f t="shared" si="340"/>
        <v>0</v>
      </c>
      <c r="P564" s="10" t="s">
        <v>84</v>
      </c>
      <c r="Q564" s="11" t="s">
        <v>1325</v>
      </c>
      <c r="R564" s="11" t="s">
        <v>1326</v>
      </c>
      <c r="S564" s="16" t="s">
        <v>1327</v>
      </c>
      <c r="T564" s="19" t="str">
        <f>MONTH(B564)&amp;"-"&amp;YEAR(B564)</f>
        <v>5-2021</v>
      </c>
      <c r="U564" s="2">
        <f>YEAR(B564)</f>
        <v>2021</v>
      </c>
      <c r="V564" s="2" t="str">
        <f>IF(DAY(B564)&gt;15,MONTH(B564)&amp;"-C",MONTH(B564)&amp;"-N")</f>
        <v>5-C</v>
      </c>
      <c r="W564" s="21">
        <v>20.98</v>
      </c>
      <c r="X564" s="2" t="b">
        <f t="shared" si="341"/>
        <v>1</v>
      </c>
    </row>
    <row r="565" spans="2:24" x14ac:dyDescent="0.2">
      <c r="B565" s="17">
        <v>44341</v>
      </c>
      <c r="C565" s="10" t="s">
        <v>82</v>
      </c>
      <c r="D565" s="11">
        <v>161124</v>
      </c>
      <c r="E565" s="26">
        <v>57828</v>
      </c>
      <c r="F565" s="10" t="s">
        <v>29</v>
      </c>
      <c r="G565" s="10" t="s">
        <v>27</v>
      </c>
      <c r="H565" s="27" t="s">
        <v>30</v>
      </c>
      <c r="I565" s="12"/>
      <c r="J565" s="12"/>
      <c r="K565" s="13">
        <v>3300</v>
      </c>
      <c r="L565" s="21">
        <v>4</v>
      </c>
      <c r="M565" s="14" t="s">
        <v>14</v>
      </c>
      <c r="N565" s="13">
        <v>13200</v>
      </c>
      <c r="O565" s="15">
        <f t="shared" si="340"/>
        <v>0</v>
      </c>
      <c r="P565" s="10" t="s">
        <v>78</v>
      </c>
      <c r="Q565" s="11" t="s">
        <v>1330</v>
      </c>
      <c r="R565" s="11" t="s">
        <v>1331</v>
      </c>
      <c r="S565" s="16" t="s">
        <v>1332</v>
      </c>
      <c r="T565" s="19" t="str">
        <f>MONTH(B565)&amp;"-"&amp;YEAR(B565)</f>
        <v>5-2021</v>
      </c>
      <c r="U565" s="2">
        <f>YEAR(B565)</f>
        <v>2021</v>
      </c>
      <c r="V565" s="2" t="str">
        <f>IF(DAY(B565)&gt;15,MONTH(B565)&amp;"-C",MONTH(B565)&amp;"-N")</f>
        <v>5-C</v>
      </c>
      <c r="W565" s="21">
        <v>4</v>
      </c>
      <c r="X565" s="2" t="b">
        <f t="shared" si="341"/>
        <v>1</v>
      </c>
    </row>
    <row r="566" spans="2:24" x14ac:dyDescent="0.2">
      <c r="B566" s="17">
        <v>44343</v>
      </c>
      <c r="C566" s="10" t="s">
        <v>433</v>
      </c>
      <c r="D566" s="11">
        <v>159884</v>
      </c>
      <c r="E566" s="26">
        <v>57870</v>
      </c>
      <c r="F566" s="10" t="s">
        <v>26</v>
      </c>
      <c r="G566" s="10" t="s">
        <v>27</v>
      </c>
      <c r="H566" s="27" t="s">
        <v>28</v>
      </c>
      <c r="I566" s="12"/>
      <c r="J566" s="12"/>
      <c r="K566" s="13">
        <v>9000</v>
      </c>
      <c r="L566" s="21">
        <v>4.2</v>
      </c>
      <c r="M566" s="14" t="s">
        <v>14</v>
      </c>
      <c r="N566" s="13">
        <v>37800</v>
      </c>
      <c r="O566" s="15">
        <f t="shared" ref="O566:O569" si="342">(N566/K566)-L566</f>
        <v>0</v>
      </c>
      <c r="P566" s="10" t="s">
        <v>78</v>
      </c>
      <c r="Q566" s="11" t="s">
        <v>1333</v>
      </c>
      <c r="R566" s="11" t="s">
        <v>1334</v>
      </c>
      <c r="S566" s="16" t="s">
        <v>1335</v>
      </c>
      <c r="T566" s="19" t="str">
        <f>MONTH(B566)&amp;"-"&amp;YEAR(B566)</f>
        <v>5-2021</v>
      </c>
      <c r="U566" s="2">
        <f>YEAR(B566)</f>
        <v>2021</v>
      </c>
      <c r="V566" s="2" t="str">
        <f>IF(DAY(B566)&gt;15,MONTH(B566)&amp;"-C",MONTH(B566)&amp;"-N")</f>
        <v>5-C</v>
      </c>
      <c r="W566" s="21">
        <v>4.2</v>
      </c>
      <c r="X566" s="2" t="b">
        <f t="shared" ref="X566:X569" si="343">+L566=W566</f>
        <v>1</v>
      </c>
    </row>
    <row r="567" spans="2:24" x14ac:dyDescent="0.2">
      <c r="B567" s="17">
        <v>44343</v>
      </c>
      <c r="C567" s="10" t="s">
        <v>48</v>
      </c>
      <c r="D567" s="11">
        <v>159585</v>
      </c>
      <c r="E567" s="26">
        <v>57871</v>
      </c>
      <c r="F567" s="10" t="s">
        <v>135</v>
      </c>
      <c r="G567" s="10" t="s">
        <v>46</v>
      </c>
      <c r="H567" s="27" t="s">
        <v>136</v>
      </c>
      <c r="I567" s="12"/>
      <c r="J567" s="12"/>
      <c r="K567" s="13">
        <v>6400</v>
      </c>
      <c r="L567" s="21">
        <v>10.298999999999999</v>
      </c>
      <c r="M567" s="14" t="s">
        <v>14</v>
      </c>
      <c r="N567" s="13">
        <v>65912.831999999995</v>
      </c>
      <c r="O567" s="15">
        <f t="shared" si="342"/>
        <v>-1.2000000000078614E-4</v>
      </c>
      <c r="P567" s="10" t="s">
        <v>90</v>
      </c>
      <c r="Q567" s="11" t="s">
        <v>1336</v>
      </c>
      <c r="R567" s="11" t="s">
        <v>1337</v>
      </c>
      <c r="S567" s="16" t="s">
        <v>1338</v>
      </c>
      <c r="T567" s="19" t="str">
        <f>MONTH(B567)&amp;"-"&amp;YEAR(B567)</f>
        <v>5-2021</v>
      </c>
      <c r="U567" s="2">
        <f>YEAR(B567)</f>
        <v>2021</v>
      </c>
      <c r="V567" s="2" t="str">
        <f>IF(DAY(B567)&gt;15,MONTH(B567)&amp;"-C",MONTH(B567)&amp;"-N")</f>
        <v>5-C</v>
      </c>
      <c r="W567" s="21">
        <v>10.298999999999999</v>
      </c>
      <c r="X567" s="2" t="b">
        <f t="shared" si="343"/>
        <v>1</v>
      </c>
    </row>
    <row r="568" spans="2:24" x14ac:dyDescent="0.2">
      <c r="B568" s="17">
        <v>44343</v>
      </c>
      <c r="C568" s="10" t="s">
        <v>48</v>
      </c>
      <c r="D568" s="11">
        <v>159585</v>
      </c>
      <c r="E568" s="26">
        <v>57871</v>
      </c>
      <c r="F568" s="10" t="s">
        <v>71</v>
      </c>
      <c r="G568" s="10" t="s">
        <v>46</v>
      </c>
      <c r="H568" s="27" t="s">
        <v>72</v>
      </c>
      <c r="I568" s="12"/>
      <c r="J568" s="12"/>
      <c r="K568" s="13">
        <v>9600</v>
      </c>
      <c r="L568" s="21">
        <v>10.298999999999999</v>
      </c>
      <c r="M568" s="14" t="s">
        <v>14</v>
      </c>
      <c r="N568" s="13">
        <v>98869.248000000007</v>
      </c>
      <c r="O568" s="15">
        <f t="shared" si="342"/>
        <v>-1.1999999999900979E-4</v>
      </c>
      <c r="P568" s="10" t="s">
        <v>90</v>
      </c>
      <c r="Q568" s="11" t="s">
        <v>1336</v>
      </c>
      <c r="R568" s="11" t="s">
        <v>1337</v>
      </c>
      <c r="S568" s="16" t="s">
        <v>1338</v>
      </c>
      <c r="T568" s="19" t="str">
        <f>MONTH(B568)&amp;"-"&amp;YEAR(B568)</f>
        <v>5-2021</v>
      </c>
      <c r="U568" s="2">
        <f>YEAR(B568)</f>
        <v>2021</v>
      </c>
      <c r="V568" s="2" t="str">
        <f>IF(DAY(B568)&gt;15,MONTH(B568)&amp;"-C",MONTH(B568)&amp;"-N")</f>
        <v>5-C</v>
      </c>
      <c r="W568" s="21">
        <v>10.298999999999999</v>
      </c>
      <c r="X568" s="2" t="b">
        <f t="shared" si="343"/>
        <v>1</v>
      </c>
    </row>
    <row r="569" spans="2:24" x14ac:dyDescent="0.2">
      <c r="B569" s="17">
        <v>44345</v>
      </c>
      <c r="C569" s="10" t="s">
        <v>433</v>
      </c>
      <c r="D569" s="11">
        <v>161092</v>
      </c>
      <c r="E569" s="26">
        <v>57884</v>
      </c>
      <c r="F569" s="10" t="s">
        <v>26</v>
      </c>
      <c r="G569" s="10" t="s">
        <v>27</v>
      </c>
      <c r="H569" s="27" t="s">
        <v>28</v>
      </c>
      <c r="I569" s="12"/>
      <c r="J569" s="12"/>
      <c r="K569" s="13">
        <v>6300</v>
      </c>
      <c r="L569" s="21">
        <v>5.5</v>
      </c>
      <c r="M569" s="14" t="s">
        <v>14</v>
      </c>
      <c r="N569" s="13">
        <v>34650</v>
      </c>
      <c r="O569" s="15">
        <f t="shared" si="342"/>
        <v>0</v>
      </c>
      <c r="P569" s="10" t="s">
        <v>78</v>
      </c>
      <c r="Q569" s="11" t="s">
        <v>1339</v>
      </c>
      <c r="R569" s="11" t="s">
        <v>1340</v>
      </c>
      <c r="S569" s="16" t="s">
        <v>1341</v>
      </c>
      <c r="T569" s="19" t="str">
        <f>MONTH(B569)&amp;"-"&amp;YEAR(B569)</f>
        <v>5-2021</v>
      </c>
      <c r="U569" s="2">
        <f>YEAR(B569)</f>
        <v>2021</v>
      </c>
      <c r="V569" s="2" t="str">
        <f>IF(DAY(B569)&gt;15,MONTH(B569)&amp;"-C",MONTH(B569)&amp;"-N")</f>
        <v>5-C</v>
      </c>
      <c r="W569" s="21">
        <v>5.5</v>
      </c>
      <c r="X569" s="2" t="b">
        <f t="shared" si="343"/>
        <v>1</v>
      </c>
    </row>
    <row r="570" spans="2:24" x14ac:dyDescent="0.2">
      <c r="B570" s="17">
        <v>44348</v>
      </c>
      <c r="C570" s="10" t="s">
        <v>25</v>
      </c>
      <c r="D570" s="11">
        <v>160859</v>
      </c>
      <c r="E570" s="26">
        <v>57929</v>
      </c>
      <c r="F570" s="10" t="s">
        <v>26</v>
      </c>
      <c r="G570" s="10" t="s">
        <v>27</v>
      </c>
      <c r="H570" s="27" t="s">
        <v>28</v>
      </c>
      <c r="I570" s="12"/>
      <c r="J570" s="12"/>
      <c r="K570" s="13">
        <v>2700</v>
      </c>
      <c r="L570" s="21">
        <v>5.59</v>
      </c>
      <c r="M570" s="14" t="s">
        <v>14</v>
      </c>
      <c r="N570" s="13">
        <v>15093</v>
      </c>
      <c r="O570" s="15">
        <f t="shared" ref="O570:O573" si="344">(N570/K570)-L570</f>
        <v>0</v>
      </c>
      <c r="P570" s="10" t="s">
        <v>78</v>
      </c>
      <c r="Q570" s="11" t="s">
        <v>1344</v>
      </c>
      <c r="R570" s="11" t="s">
        <v>1345</v>
      </c>
      <c r="S570" s="16" t="s">
        <v>1346</v>
      </c>
      <c r="T570" s="19" t="str">
        <f>MONTH(B570)&amp;"-"&amp;YEAR(B570)</f>
        <v>6-2021</v>
      </c>
      <c r="U570" s="2">
        <f>YEAR(B570)</f>
        <v>2021</v>
      </c>
      <c r="V570" s="2" t="str">
        <f>IF(DAY(B570)&gt;15,MONTH(B570)&amp;"-C",MONTH(B570)&amp;"-N")</f>
        <v>6-N</v>
      </c>
      <c r="W570" s="21">
        <v>5.59</v>
      </c>
      <c r="X570" s="2" t="b">
        <f t="shared" ref="X570:X573" si="345">+L570=W570</f>
        <v>1</v>
      </c>
    </row>
    <row r="571" spans="2:24" x14ac:dyDescent="0.2">
      <c r="B571" s="17">
        <v>44349</v>
      </c>
      <c r="C571" s="10" t="s">
        <v>107</v>
      </c>
      <c r="D571" s="11">
        <v>161163</v>
      </c>
      <c r="E571" s="26">
        <v>57951</v>
      </c>
      <c r="F571" s="10" t="s">
        <v>103</v>
      </c>
      <c r="G571" s="10" t="s">
        <v>46</v>
      </c>
      <c r="H571" s="27" t="s">
        <v>104</v>
      </c>
      <c r="I571" s="12"/>
      <c r="J571" s="12"/>
      <c r="K571" s="13">
        <v>120</v>
      </c>
      <c r="L571" s="21">
        <v>40.18</v>
      </c>
      <c r="M571" s="14" t="s">
        <v>14</v>
      </c>
      <c r="N571" s="13">
        <v>4821.6000000000004</v>
      </c>
      <c r="O571" s="15">
        <f t="shared" si="344"/>
        <v>0</v>
      </c>
      <c r="P571" s="10" t="s">
        <v>84</v>
      </c>
      <c r="Q571" s="11" t="s">
        <v>1347</v>
      </c>
      <c r="R571" s="11" t="s">
        <v>1348</v>
      </c>
      <c r="S571" s="16" t="s">
        <v>1349</v>
      </c>
      <c r="T571" s="19" t="str">
        <f>MONTH(B571)&amp;"-"&amp;YEAR(B571)</f>
        <v>6-2021</v>
      </c>
      <c r="U571" s="2">
        <f>YEAR(B571)</f>
        <v>2021</v>
      </c>
      <c r="V571" s="2" t="str">
        <f>IF(DAY(B571)&gt;15,MONTH(B571)&amp;"-C",MONTH(B571)&amp;"-N")</f>
        <v>6-N</v>
      </c>
      <c r="W571" s="21">
        <v>40.18</v>
      </c>
      <c r="X571" s="2" t="b">
        <f t="shared" si="345"/>
        <v>1</v>
      </c>
    </row>
    <row r="572" spans="2:24" x14ac:dyDescent="0.2">
      <c r="B572" s="17">
        <v>44349</v>
      </c>
      <c r="C572" s="10" t="s">
        <v>107</v>
      </c>
      <c r="D572" s="11">
        <v>161163</v>
      </c>
      <c r="E572" s="26">
        <v>57951</v>
      </c>
      <c r="F572" s="10" t="s">
        <v>105</v>
      </c>
      <c r="G572" s="10" t="s">
        <v>46</v>
      </c>
      <c r="H572" s="27" t="s">
        <v>106</v>
      </c>
      <c r="I572" s="12"/>
      <c r="J572" s="12"/>
      <c r="K572" s="13">
        <v>3960</v>
      </c>
      <c r="L572" s="21">
        <v>13.29</v>
      </c>
      <c r="M572" s="14" t="s">
        <v>14</v>
      </c>
      <c r="N572" s="13">
        <v>52628.4</v>
      </c>
      <c r="O572" s="15">
        <f t="shared" si="344"/>
        <v>0</v>
      </c>
      <c r="P572" s="10" t="s">
        <v>84</v>
      </c>
      <c r="Q572" s="11" t="s">
        <v>1347</v>
      </c>
      <c r="R572" s="11" t="s">
        <v>1348</v>
      </c>
      <c r="S572" s="16" t="s">
        <v>1349</v>
      </c>
      <c r="T572" s="19" t="str">
        <f>MONTH(B572)&amp;"-"&amp;YEAR(B572)</f>
        <v>6-2021</v>
      </c>
      <c r="U572" s="2">
        <f>YEAR(B572)</f>
        <v>2021</v>
      </c>
      <c r="V572" s="2" t="str">
        <f>IF(DAY(B572)&gt;15,MONTH(B572)&amp;"-C",MONTH(B572)&amp;"-N")</f>
        <v>6-N</v>
      </c>
      <c r="W572" s="21">
        <v>13.29</v>
      </c>
      <c r="X572" s="2" t="b">
        <f t="shared" si="345"/>
        <v>1</v>
      </c>
    </row>
    <row r="573" spans="2:24" x14ac:dyDescent="0.2">
      <c r="B573" s="17">
        <v>44349</v>
      </c>
      <c r="C573" s="10" t="s">
        <v>433</v>
      </c>
      <c r="D573" s="11">
        <v>161092</v>
      </c>
      <c r="E573" s="26">
        <v>57952</v>
      </c>
      <c r="F573" s="10" t="s">
        <v>26</v>
      </c>
      <c r="G573" s="10" t="s">
        <v>27</v>
      </c>
      <c r="H573" s="27" t="s">
        <v>28</v>
      </c>
      <c r="I573" s="12"/>
      <c r="J573" s="12"/>
      <c r="K573" s="13">
        <v>16200</v>
      </c>
      <c r="L573" s="21">
        <v>5.5</v>
      </c>
      <c r="M573" s="14" t="s">
        <v>14</v>
      </c>
      <c r="N573" s="13">
        <v>89100</v>
      </c>
      <c r="O573" s="15">
        <f t="shared" si="344"/>
        <v>0</v>
      </c>
      <c r="P573" s="10" t="s">
        <v>78</v>
      </c>
      <c r="Q573" s="11" t="s">
        <v>1350</v>
      </c>
      <c r="R573" s="11" t="s">
        <v>1351</v>
      </c>
      <c r="S573" s="16" t="s">
        <v>1352</v>
      </c>
      <c r="T573" s="19" t="str">
        <f>MONTH(B573)&amp;"-"&amp;YEAR(B573)</f>
        <v>6-2021</v>
      </c>
      <c r="U573" s="2">
        <f>YEAR(B573)</f>
        <v>2021</v>
      </c>
      <c r="V573" s="2" t="str">
        <f>IF(DAY(B573)&gt;15,MONTH(B573)&amp;"-C",MONTH(B573)&amp;"-N")</f>
        <v>6-N</v>
      </c>
      <c r="W573" s="21">
        <v>5.5</v>
      </c>
      <c r="X573" s="2" t="b">
        <f t="shared" si="345"/>
        <v>1</v>
      </c>
    </row>
    <row r="574" spans="2:24" x14ac:dyDescent="0.2">
      <c r="B574" s="17">
        <v>44352</v>
      </c>
      <c r="C574" s="10" t="s">
        <v>73</v>
      </c>
      <c r="D574" s="11">
        <v>161204</v>
      </c>
      <c r="E574" s="26">
        <v>57972</v>
      </c>
      <c r="F574" s="10" t="s">
        <v>399</v>
      </c>
      <c r="G574" s="10" t="s">
        <v>46</v>
      </c>
      <c r="H574" s="27" t="s">
        <v>149</v>
      </c>
      <c r="I574" s="12"/>
      <c r="J574" s="12"/>
      <c r="K574" s="13">
        <v>800</v>
      </c>
      <c r="L574" s="21">
        <v>18.5</v>
      </c>
      <c r="M574" s="14" t="s">
        <v>14</v>
      </c>
      <c r="N574" s="13">
        <v>14800</v>
      </c>
      <c r="O574" s="15">
        <f t="shared" ref="O574" si="346">(N574/K574)-L574</f>
        <v>0</v>
      </c>
      <c r="P574" s="10" t="s">
        <v>84</v>
      </c>
      <c r="Q574" s="11" t="s">
        <v>1353</v>
      </c>
      <c r="R574" s="11" t="s">
        <v>1354</v>
      </c>
      <c r="S574" s="16" t="s">
        <v>1355</v>
      </c>
      <c r="T574" s="19" t="str">
        <f>MONTH(B574)&amp;"-"&amp;YEAR(B574)</f>
        <v>6-2021</v>
      </c>
      <c r="U574" s="2">
        <f>YEAR(B574)</f>
        <v>2021</v>
      </c>
      <c r="V574" s="2" t="str">
        <f>IF(DAY(B574)&gt;15,MONTH(B574)&amp;"-C",MONTH(B574)&amp;"-N")</f>
        <v>6-N</v>
      </c>
      <c r="W574" s="21">
        <v>18.5</v>
      </c>
      <c r="X574" s="2" t="b">
        <f t="shared" ref="X574" si="347">+L574=W574</f>
        <v>1</v>
      </c>
    </row>
    <row r="575" spans="2:24" x14ac:dyDescent="0.2">
      <c r="B575" s="17">
        <v>44354</v>
      </c>
      <c r="C575" s="10" t="s">
        <v>25</v>
      </c>
      <c r="D575" s="11">
        <v>160859</v>
      </c>
      <c r="E575" s="26">
        <v>58002</v>
      </c>
      <c r="F575" s="10" t="s">
        <v>26</v>
      </c>
      <c r="G575" s="10" t="s">
        <v>27</v>
      </c>
      <c r="H575" s="27" t="s">
        <v>28</v>
      </c>
      <c r="I575" s="12"/>
      <c r="J575" s="12"/>
      <c r="K575" s="13">
        <v>17000</v>
      </c>
      <c r="L575" s="21">
        <v>5.59</v>
      </c>
      <c r="M575" s="14" t="s">
        <v>14</v>
      </c>
      <c r="N575" s="13">
        <v>95030</v>
      </c>
      <c r="O575" s="15">
        <f t="shared" ref="O575" si="348">(N575/K575)-L575</f>
        <v>0</v>
      </c>
      <c r="P575" s="10" t="s">
        <v>78</v>
      </c>
      <c r="Q575" s="11" t="s">
        <v>1356</v>
      </c>
      <c r="R575" s="11" t="s">
        <v>1324</v>
      </c>
      <c r="S575" s="16" t="s">
        <v>1357</v>
      </c>
      <c r="T575" s="19" t="str">
        <f>MONTH(B575)&amp;"-"&amp;YEAR(B575)</f>
        <v>6-2021</v>
      </c>
      <c r="U575" s="2">
        <f>YEAR(B575)</f>
        <v>2021</v>
      </c>
      <c r="V575" s="2" t="str">
        <f>IF(DAY(B575)&gt;15,MONTH(B575)&amp;"-C",MONTH(B575)&amp;"-N")</f>
        <v>6-N</v>
      </c>
      <c r="W575" s="21">
        <v>5.59</v>
      </c>
      <c r="X575" s="2" t="b">
        <f t="shared" ref="X575" si="349">+L575=W575</f>
        <v>1</v>
      </c>
    </row>
    <row r="576" spans="2:24" x14ac:dyDescent="0.2">
      <c r="B576" s="17">
        <v>44355</v>
      </c>
      <c r="C576" s="10" t="s">
        <v>25</v>
      </c>
      <c r="D576" s="11">
        <v>160859</v>
      </c>
      <c r="E576" s="26">
        <v>58023</v>
      </c>
      <c r="F576" s="10" t="s">
        <v>26</v>
      </c>
      <c r="G576" s="10" t="s">
        <v>27</v>
      </c>
      <c r="H576" s="27" t="s">
        <v>28</v>
      </c>
      <c r="I576" s="12"/>
      <c r="J576" s="12"/>
      <c r="K576" s="13">
        <v>900</v>
      </c>
      <c r="L576" s="21">
        <v>5.59</v>
      </c>
      <c r="M576" s="14" t="s">
        <v>14</v>
      </c>
      <c r="N576" s="13">
        <v>5031</v>
      </c>
      <c r="O576" s="15">
        <f t="shared" ref="O576" si="350">(N576/K576)-L576</f>
        <v>0</v>
      </c>
      <c r="P576" s="10" t="s">
        <v>78</v>
      </c>
      <c r="Q576" s="11" t="s">
        <v>1358</v>
      </c>
      <c r="R576" s="11" t="s">
        <v>1317</v>
      </c>
      <c r="S576" s="16" t="s">
        <v>1359</v>
      </c>
      <c r="T576" s="19" t="str">
        <f>MONTH(B576)&amp;"-"&amp;YEAR(B576)</f>
        <v>6-2021</v>
      </c>
      <c r="U576" s="2">
        <f>YEAR(B576)</f>
        <v>2021</v>
      </c>
      <c r="V576" s="2" t="str">
        <f>IF(DAY(B576)&gt;15,MONTH(B576)&amp;"-C",MONTH(B576)&amp;"-N")</f>
        <v>6-N</v>
      </c>
      <c r="W576" s="21">
        <v>5.59</v>
      </c>
      <c r="X576" s="2" t="b">
        <f t="shared" ref="X576" si="351">+L576=W576</f>
        <v>1</v>
      </c>
    </row>
    <row r="577" spans="2:24" x14ac:dyDescent="0.2">
      <c r="B577" s="17">
        <v>44359</v>
      </c>
      <c r="C577" s="10" t="s">
        <v>433</v>
      </c>
      <c r="D577" s="11">
        <v>161092</v>
      </c>
      <c r="E577" s="26">
        <v>58073</v>
      </c>
      <c r="F577" s="10" t="s">
        <v>26</v>
      </c>
      <c r="G577" s="10" t="s">
        <v>27</v>
      </c>
      <c r="H577" s="27" t="s">
        <v>28</v>
      </c>
      <c r="I577" s="12"/>
      <c r="J577" s="12"/>
      <c r="K577" s="13">
        <v>8100</v>
      </c>
      <c r="L577" s="21">
        <v>5.5</v>
      </c>
      <c r="M577" s="14" t="s">
        <v>14</v>
      </c>
      <c r="N577" s="13">
        <v>44550</v>
      </c>
      <c r="O577" s="15">
        <f t="shared" ref="O577" si="352">(N577/K577)-L577</f>
        <v>0</v>
      </c>
      <c r="P577" s="10" t="s">
        <v>78</v>
      </c>
      <c r="Q577" s="11" t="s">
        <v>1362</v>
      </c>
      <c r="R577" s="11" t="s">
        <v>1363</v>
      </c>
      <c r="S577" s="16" t="s">
        <v>1364</v>
      </c>
      <c r="T577" s="19" t="str">
        <f>MONTH(B577)&amp;"-"&amp;YEAR(B577)</f>
        <v>6-2021</v>
      </c>
      <c r="U577" s="2">
        <f>YEAR(B577)</f>
        <v>2021</v>
      </c>
      <c r="V577" s="2" t="str">
        <f>IF(DAY(B577)&gt;15,MONTH(B577)&amp;"-C",MONTH(B577)&amp;"-N")</f>
        <v>6-N</v>
      </c>
      <c r="W577" s="21">
        <v>5.5</v>
      </c>
      <c r="X577" s="2" t="b">
        <f t="shared" ref="X577" si="353">+L577=W577</f>
        <v>1</v>
      </c>
    </row>
    <row r="578" spans="2:24" x14ac:dyDescent="0.2">
      <c r="B578" s="17">
        <v>44361</v>
      </c>
      <c r="C578" s="10" t="s">
        <v>25</v>
      </c>
      <c r="D578" s="11">
        <v>161165</v>
      </c>
      <c r="E578" s="26">
        <v>58103</v>
      </c>
      <c r="F578" s="10" t="s">
        <v>26</v>
      </c>
      <c r="G578" s="10" t="s">
        <v>27</v>
      </c>
      <c r="H578" s="27" t="s">
        <v>28</v>
      </c>
      <c r="I578" s="12"/>
      <c r="J578" s="12"/>
      <c r="K578" s="13">
        <v>19800</v>
      </c>
      <c r="L578" s="21">
        <v>5.9</v>
      </c>
      <c r="M578" s="14" t="s">
        <v>14</v>
      </c>
      <c r="N578" s="13">
        <v>116820</v>
      </c>
      <c r="O578" s="15">
        <f t="shared" ref="O578:O581" si="354">(N578/K578)-L578</f>
        <v>0</v>
      </c>
      <c r="P578" s="10" t="s">
        <v>78</v>
      </c>
      <c r="Q578" s="11" t="s">
        <v>1366</v>
      </c>
      <c r="R578" s="11" t="s">
        <v>1367</v>
      </c>
      <c r="S578" s="16" t="s">
        <v>1368</v>
      </c>
      <c r="T578" s="19" t="str">
        <f>MONTH(B578)&amp;"-"&amp;YEAR(B578)</f>
        <v>6-2021</v>
      </c>
      <c r="U578" s="2">
        <f>YEAR(B578)</f>
        <v>2021</v>
      </c>
      <c r="V578" s="2" t="str">
        <f>IF(DAY(B578)&gt;15,MONTH(B578)&amp;"-C",MONTH(B578)&amp;"-N")</f>
        <v>6-N</v>
      </c>
      <c r="W578" s="21">
        <v>5.9</v>
      </c>
      <c r="X578" s="2" t="b">
        <f t="shared" ref="X578:X581" si="355">+L578=W578</f>
        <v>1</v>
      </c>
    </row>
    <row r="579" spans="2:24" x14ac:dyDescent="0.2">
      <c r="B579" s="17">
        <v>44363</v>
      </c>
      <c r="C579" s="10" t="s">
        <v>107</v>
      </c>
      <c r="D579" s="11">
        <v>161339</v>
      </c>
      <c r="E579" s="26">
        <v>58127</v>
      </c>
      <c r="F579" s="10" t="s">
        <v>935</v>
      </c>
      <c r="G579" s="10" t="s">
        <v>46</v>
      </c>
      <c r="H579" s="27" t="s">
        <v>936</v>
      </c>
      <c r="I579" s="12"/>
      <c r="J579" s="12"/>
      <c r="K579" s="13">
        <v>200</v>
      </c>
      <c r="L579" s="21">
        <v>16</v>
      </c>
      <c r="M579" s="14" t="s">
        <v>14</v>
      </c>
      <c r="N579" s="13">
        <v>3200</v>
      </c>
      <c r="O579" s="15">
        <f t="shared" si="354"/>
        <v>0</v>
      </c>
      <c r="P579" s="10" t="s">
        <v>84</v>
      </c>
      <c r="Q579" s="11" t="s">
        <v>1369</v>
      </c>
      <c r="R579" s="11" t="s">
        <v>1370</v>
      </c>
      <c r="S579" s="16" t="s">
        <v>1371</v>
      </c>
      <c r="T579" s="19" t="str">
        <f>MONTH(B579)&amp;"-"&amp;YEAR(B579)</f>
        <v>6-2021</v>
      </c>
      <c r="U579" s="2">
        <f>YEAR(B579)</f>
        <v>2021</v>
      </c>
      <c r="V579" s="2" t="str">
        <f>IF(DAY(B579)&gt;15,MONTH(B579)&amp;"-C",MONTH(B579)&amp;"-N")</f>
        <v>6-C</v>
      </c>
      <c r="W579" s="21">
        <v>16</v>
      </c>
      <c r="X579" s="2" t="b">
        <f t="shared" si="355"/>
        <v>1</v>
      </c>
    </row>
    <row r="580" spans="2:24" x14ac:dyDescent="0.2">
      <c r="B580" s="17">
        <v>44363</v>
      </c>
      <c r="C580" s="10" t="s">
        <v>107</v>
      </c>
      <c r="D580" s="11">
        <v>161163</v>
      </c>
      <c r="E580" s="26">
        <v>58127</v>
      </c>
      <c r="F580" s="10" t="s">
        <v>103</v>
      </c>
      <c r="G580" s="10" t="s">
        <v>46</v>
      </c>
      <c r="H580" s="27" t="s">
        <v>104</v>
      </c>
      <c r="I580" s="12"/>
      <c r="J580" s="12"/>
      <c r="K580" s="13">
        <v>50</v>
      </c>
      <c r="L580" s="21">
        <v>40.18</v>
      </c>
      <c r="M580" s="14" t="s">
        <v>14</v>
      </c>
      <c r="N580" s="13">
        <v>2009</v>
      </c>
      <c r="O580" s="15">
        <f t="shared" si="354"/>
        <v>0</v>
      </c>
      <c r="P580" s="10" t="s">
        <v>84</v>
      </c>
      <c r="Q580" s="11" t="s">
        <v>1369</v>
      </c>
      <c r="R580" s="11" t="s">
        <v>1370</v>
      </c>
      <c r="S580" s="16" t="s">
        <v>1371</v>
      </c>
      <c r="T580" s="19" t="str">
        <f>MONTH(B580)&amp;"-"&amp;YEAR(B580)</f>
        <v>6-2021</v>
      </c>
      <c r="U580" s="2">
        <f>YEAR(B580)</f>
        <v>2021</v>
      </c>
      <c r="V580" s="2" t="str">
        <f>IF(DAY(B580)&gt;15,MONTH(B580)&amp;"-C",MONTH(B580)&amp;"-N")</f>
        <v>6-C</v>
      </c>
      <c r="W580" s="21">
        <v>40.18</v>
      </c>
      <c r="X580" s="2" t="b">
        <f t="shared" si="355"/>
        <v>1</v>
      </c>
    </row>
    <row r="581" spans="2:24" x14ac:dyDescent="0.2">
      <c r="B581" s="17">
        <v>44363</v>
      </c>
      <c r="C581" s="10" t="s">
        <v>107</v>
      </c>
      <c r="D581" s="11">
        <v>161163</v>
      </c>
      <c r="E581" s="26">
        <v>58127</v>
      </c>
      <c r="F581" s="10" t="s">
        <v>105</v>
      </c>
      <c r="G581" s="10" t="s">
        <v>46</v>
      </c>
      <c r="H581" s="27" t="s">
        <v>106</v>
      </c>
      <c r="I581" s="12"/>
      <c r="J581" s="12"/>
      <c r="K581" s="13">
        <v>1540</v>
      </c>
      <c r="L581" s="21">
        <v>13.29</v>
      </c>
      <c r="M581" s="14" t="s">
        <v>14</v>
      </c>
      <c r="N581" s="13">
        <v>20466.599999999999</v>
      </c>
      <c r="O581" s="15">
        <f t="shared" si="354"/>
        <v>0</v>
      </c>
      <c r="P581" s="10" t="s">
        <v>84</v>
      </c>
      <c r="Q581" s="11" t="s">
        <v>1369</v>
      </c>
      <c r="R581" s="11" t="s">
        <v>1370</v>
      </c>
      <c r="S581" s="16" t="s">
        <v>1371</v>
      </c>
      <c r="T581" s="19" t="str">
        <f>MONTH(B581)&amp;"-"&amp;YEAR(B581)</f>
        <v>6-2021</v>
      </c>
      <c r="U581" s="2">
        <f>YEAR(B581)</f>
        <v>2021</v>
      </c>
      <c r="V581" s="2" t="str">
        <f>IF(DAY(B581)&gt;15,MONTH(B581)&amp;"-C",MONTH(B581)&amp;"-N")</f>
        <v>6-C</v>
      </c>
      <c r="W581" s="21">
        <v>13.29</v>
      </c>
      <c r="X581" s="2" t="b">
        <f t="shared" si="355"/>
        <v>1</v>
      </c>
    </row>
    <row r="582" spans="2:24" x14ac:dyDescent="0.2">
      <c r="B582" s="17">
        <v>44368</v>
      </c>
      <c r="C582" s="10" t="s">
        <v>25</v>
      </c>
      <c r="D582" s="11">
        <v>161165</v>
      </c>
      <c r="E582" s="26">
        <v>58176</v>
      </c>
      <c r="F582" s="10" t="s">
        <v>26</v>
      </c>
      <c r="G582" s="10" t="s">
        <v>27</v>
      </c>
      <c r="H582" s="27" t="s">
        <v>28</v>
      </c>
      <c r="I582" s="12"/>
      <c r="J582" s="12"/>
      <c r="K582" s="13">
        <v>19800</v>
      </c>
      <c r="L582" s="21">
        <v>5.9</v>
      </c>
      <c r="M582" s="14" t="s">
        <v>14</v>
      </c>
      <c r="N582" s="13">
        <v>116820</v>
      </c>
      <c r="O582" s="15">
        <f t="shared" ref="O582" si="356">(N582/K582)-L582</f>
        <v>0</v>
      </c>
      <c r="P582" s="10" t="s">
        <v>78</v>
      </c>
      <c r="Q582" s="11" t="s">
        <v>1372</v>
      </c>
      <c r="R582" s="11" t="s">
        <v>1373</v>
      </c>
      <c r="S582" s="16" t="s">
        <v>1374</v>
      </c>
      <c r="T582" s="19" t="str">
        <f>MONTH(B582)&amp;"-"&amp;YEAR(B582)</f>
        <v>6-2021</v>
      </c>
      <c r="U582" s="2">
        <f>YEAR(B582)</f>
        <v>2021</v>
      </c>
      <c r="V582" s="2" t="str">
        <f>IF(DAY(B582)&gt;15,MONTH(B582)&amp;"-C",MONTH(B582)&amp;"-N")</f>
        <v>6-C</v>
      </c>
      <c r="W582" s="21">
        <v>5.9</v>
      </c>
      <c r="X582" s="2" t="b">
        <f t="shared" ref="X582" si="357">+L582=W582</f>
        <v>1</v>
      </c>
    </row>
    <row r="583" spans="2:24" x14ac:dyDescent="0.2">
      <c r="B583" s="17">
        <v>44370</v>
      </c>
      <c r="C583" s="10" t="s">
        <v>82</v>
      </c>
      <c r="D583" s="11">
        <v>161413</v>
      </c>
      <c r="E583" s="26">
        <v>58219</v>
      </c>
      <c r="F583" s="10" t="s">
        <v>29</v>
      </c>
      <c r="G583" s="10" t="s">
        <v>27</v>
      </c>
      <c r="H583" s="27" t="s">
        <v>30</v>
      </c>
      <c r="I583" s="12"/>
      <c r="J583" s="12"/>
      <c r="K583" s="13">
        <v>1980</v>
      </c>
      <c r="L583" s="21">
        <v>4</v>
      </c>
      <c r="M583" s="14" t="s">
        <v>14</v>
      </c>
      <c r="N583" s="13">
        <v>7920</v>
      </c>
      <c r="O583" s="15">
        <f t="shared" ref="O583:O586" si="358">(N583/K583)-L583</f>
        <v>0</v>
      </c>
      <c r="P583" s="10" t="s">
        <v>78</v>
      </c>
      <c r="Q583" s="11" t="s">
        <v>1375</v>
      </c>
      <c r="R583" s="11" t="s">
        <v>1376</v>
      </c>
      <c r="S583" s="16" t="s">
        <v>1377</v>
      </c>
      <c r="T583" s="19" t="str">
        <f>MONTH(B583)&amp;"-"&amp;YEAR(B583)</f>
        <v>6-2021</v>
      </c>
      <c r="U583" s="2">
        <f>YEAR(B583)</f>
        <v>2021</v>
      </c>
      <c r="V583" s="2" t="str">
        <f>IF(DAY(B583)&gt;15,MONTH(B583)&amp;"-C",MONTH(B583)&amp;"-N")</f>
        <v>6-C</v>
      </c>
      <c r="W583" s="21">
        <v>4</v>
      </c>
      <c r="X583" s="2" t="b">
        <f t="shared" ref="X583:X586" si="359">+L583=W583</f>
        <v>1</v>
      </c>
    </row>
    <row r="584" spans="2:24" x14ac:dyDescent="0.2">
      <c r="B584" s="17">
        <v>44370</v>
      </c>
      <c r="C584" s="10" t="s">
        <v>82</v>
      </c>
      <c r="D584" s="11">
        <v>161413</v>
      </c>
      <c r="E584" s="26">
        <v>58219</v>
      </c>
      <c r="F584" s="10" t="s">
        <v>31</v>
      </c>
      <c r="G584" s="10" t="s">
        <v>27</v>
      </c>
      <c r="H584" s="27" t="s">
        <v>32</v>
      </c>
      <c r="I584" s="12"/>
      <c r="J584" s="12"/>
      <c r="K584" s="13">
        <v>1920</v>
      </c>
      <c r="L584" s="21">
        <v>5</v>
      </c>
      <c r="M584" s="14" t="s">
        <v>14</v>
      </c>
      <c r="N584" s="13">
        <v>9600</v>
      </c>
      <c r="O584" s="15">
        <f t="shared" si="358"/>
        <v>0</v>
      </c>
      <c r="P584" s="10" t="s">
        <v>78</v>
      </c>
      <c r="Q584" s="11" t="s">
        <v>1375</v>
      </c>
      <c r="R584" s="11" t="s">
        <v>1376</v>
      </c>
      <c r="S584" s="16" t="s">
        <v>1377</v>
      </c>
      <c r="T584" s="19" t="str">
        <f>MONTH(B584)&amp;"-"&amp;YEAR(B584)</f>
        <v>6-2021</v>
      </c>
      <c r="U584" s="2">
        <f>YEAR(B584)</f>
        <v>2021</v>
      </c>
      <c r="V584" s="2" t="str">
        <f>IF(DAY(B584)&gt;15,MONTH(B584)&amp;"-C",MONTH(B584)&amp;"-N")</f>
        <v>6-C</v>
      </c>
      <c r="W584" s="21">
        <v>5</v>
      </c>
      <c r="X584" s="2" t="b">
        <f t="shared" si="359"/>
        <v>1</v>
      </c>
    </row>
    <row r="585" spans="2:24" x14ac:dyDescent="0.2">
      <c r="B585" s="17">
        <v>44372</v>
      </c>
      <c r="C585" s="10" t="s">
        <v>48</v>
      </c>
      <c r="D585" s="11">
        <v>160301</v>
      </c>
      <c r="E585" s="26">
        <v>58177</v>
      </c>
      <c r="F585" s="10" t="s">
        <v>135</v>
      </c>
      <c r="G585" s="10" t="s">
        <v>46</v>
      </c>
      <c r="H585" s="27" t="s">
        <v>136</v>
      </c>
      <c r="I585" s="12"/>
      <c r="J585" s="12"/>
      <c r="K585" s="13">
        <v>1400</v>
      </c>
      <c r="L585" s="21">
        <v>10.068</v>
      </c>
      <c r="M585" s="14" t="s">
        <v>14</v>
      </c>
      <c r="N585" s="13">
        <v>14095.871999999999</v>
      </c>
      <c r="O585" s="15">
        <f t="shared" si="358"/>
        <v>4.7999999999959186E-4</v>
      </c>
      <c r="P585" s="10" t="s">
        <v>90</v>
      </c>
      <c r="Q585" s="11" t="s">
        <v>1379</v>
      </c>
      <c r="R585" s="11" t="s">
        <v>1380</v>
      </c>
      <c r="S585" s="16" t="s">
        <v>1381</v>
      </c>
      <c r="T585" s="19" t="str">
        <f>MONTH(B585)&amp;"-"&amp;YEAR(B585)</f>
        <v>6-2021</v>
      </c>
      <c r="U585" s="2">
        <f>YEAR(B585)</f>
        <v>2021</v>
      </c>
      <c r="V585" s="2" t="str">
        <f>IF(DAY(B585)&gt;15,MONTH(B585)&amp;"-C",MONTH(B585)&amp;"-N")</f>
        <v>6-C</v>
      </c>
      <c r="W585" s="21">
        <v>10.068</v>
      </c>
      <c r="X585" s="2" t="b">
        <f t="shared" si="359"/>
        <v>1</v>
      </c>
    </row>
    <row r="586" spans="2:24" x14ac:dyDescent="0.2">
      <c r="B586" s="17">
        <v>44372</v>
      </c>
      <c r="C586" s="10" t="s">
        <v>48</v>
      </c>
      <c r="D586" s="11">
        <v>160301</v>
      </c>
      <c r="E586" s="26">
        <v>58177</v>
      </c>
      <c r="F586" s="10" t="s">
        <v>71</v>
      </c>
      <c r="G586" s="10" t="s">
        <v>46</v>
      </c>
      <c r="H586" s="27" t="s">
        <v>72</v>
      </c>
      <c r="I586" s="12"/>
      <c r="J586" s="12"/>
      <c r="K586" s="13">
        <v>14600</v>
      </c>
      <c r="L586" s="21">
        <v>10.068</v>
      </c>
      <c r="M586" s="14" t="s">
        <v>14</v>
      </c>
      <c r="N586" s="13">
        <v>146999.80799999999</v>
      </c>
      <c r="O586" s="15">
        <f t="shared" si="358"/>
        <v>4.7999999999959186E-4</v>
      </c>
      <c r="P586" s="10" t="s">
        <v>90</v>
      </c>
      <c r="Q586" s="11" t="s">
        <v>1379</v>
      </c>
      <c r="R586" s="11" t="s">
        <v>1380</v>
      </c>
      <c r="S586" s="16" t="s">
        <v>1381</v>
      </c>
      <c r="T586" s="19" t="str">
        <f>MONTH(B586)&amp;"-"&amp;YEAR(B586)</f>
        <v>6-2021</v>
      </c>
      <c r="U586" s="2">
        <f>YEAR(B586)</f>
        <v>2021</v>
      </c>
      <c r="V586" s="2" t="str">
        <f>IF(DAY(B586)&gt;15,MONTH(B586)&amp;"-C",MONTH(B586)&amp;"-N")</f>
        <v>6-C</v>
      </c>
      <c r="W586" s="21">
        <v>10.068</v>
      </c>
      <c r="X586" s="2" t="b">
        <f t="shared" si="359"/>
        <v>1</v>
      </c>
    </row>
    <row r="587" spans="2:24" x14ac:dyDescent="0.2">
      <c r="B587" s="17">
        <v>44373</v>
      </c>
      <c r="C587" s="10" t="s">
        <v>433</v>
      </c>
      <c r="D587" s="11">
        <v>161092</v>
      </c>
      <c r="E587" s="26">
        <v>58242</v>
      </c>
      <c r="F587" s="10" t="s">
        <v>26</v>
      </c>
      <c r="G587" s="10" t="s">
        <v>27</v>
      </c>
      <c r="H587" s="27" t="s">
        <v>28</v>
      </c>
      <c r="I587" s="12"/>
      <c r="J587" s="12"/>
      <c r="K587" s="13">
        <v>19800</v>
      </c>
      <c r="L587" s="21">
        <v>5.5</v>
      </c>
      <c r="M587" s="14" t="s">
        <v>14</v>
      </c>
      <c r="N587" s="13">
        <v>108900</v>
      </c>
      <c r="O587" s="15">
        <f t="shared" ref="O587" si="360">(N587/K587)-L587</f>
        <v>0</v>
      </c>
      <c r="P587" s="10" t="s">
        <v>78</v>
      </c>
      <c r="Q587" s="11" t="s">
        <v>1382</v>
      </c>
      <c r="R587" s="11" t="s">
        <v>1383</v>
      </c>
      <c r="S587" s="16" t="s">
        <v>1384</v>
      </c>
      <c r="T587" s="19" t="str">
        <f>MONTH(B587)&amp;"-"&amp;YEAR(B587)</f>
        <v>6-2021</v>
      </c>
      <c r="U587" s="2">
        <f>YEAR(B587)</f>
        <v>2021</v>
      </c>
      <c r="V587" s="2" t="str">
        <f>IF(DAY(B587)&gt;15,MONTH(B587)&amp;"-C",MONTH(B587)&amp;"-N")</f>
        <v>6-C</v>
      </c>
      <c r="W587" s="21">
        <v>5.5</v>
      </c>
      <c r="X587" s="2" t="b">
        <f t="shared" ref="X587" si="361">+L587=W587</f>
        <v>1</v>
      </c>
    </row>
    <row r="588" spans="2:24" x14ac:dyDescent="0.2">
      <c r="B588" s="17">
        <v>44375</v>
      </c>
      <c r="C588" s="10" t="s">
        <v>108</v>
      </c>
      <c r="D588" s="11">
        <v>161439</v>
      </c>
      <c r="E588" s="26">
        <v>58245</v>
      </c>
      <c r="F588" s="10" t="s">
        <v>121</v>
      </c>
      <c r="G588" s="10" t="s">
        <v>46</v>
      </c>
      <c r="H588" s="27" t="s">
        <v>122</v>
      </c>
      <c r="I588" s="12"/>
      <c r="J588" s="12"/>
      <c r="K588" s="13">
        <v>1150</v>
      </c>
      <c r="L588" s="21">
        <v>11.91</v>
      </c>
      <c r="M588" s="14" t="s">
        <v>14</v>
      </c>
      <c r="N588" s="13">
        <v>13696.5</v>
      </c>
      <c r="O588" s="15">
        <f t="shared" ref="O588:O591" si="362">(N588/K588)-L588</f>
        <v>0</v>
      </c>
      <c r="P588" s="10" t="s">
        <v>84</v>
      </c>
      <c r="Q588" s="11" t="s">
        <v>1386</v>
      </c>
      <c r="R588" s="11" t="s">
        <v>1385</v>
      </c>
      <c r="S588" s="16" t="s">
        <v>1387</v>
      </c>
      <c r="T588" s="19" t="str">
        <f>MONTH(B588)&amp;"-"&amp;YEAR(B588)</f>
        <v>6-2021</v>
      </c>
      <c r="U588" s="2">
        <f>YEAR(B588)</f>
        <v>2021</v>
      </c>
      <c r="V588" s="2" t="str">
        <f>IF(DAY(B588)&gt;15,MONTH(B588)&amp;"-C",MONTH(B588)&amp;"-N")</f>
        <v>6-C</v>
      </c>
      <c r="W588" s="21">
        <v>11.91</v>
      </c>
      <c r="X588" s="2" t="b">
        <f t="shared" ref="X588:X591" si="363">+L588=W588</f>
        <v>1</v>
      </c>
    </row>
    <row r="589" spans="2:24" x14ac:dyDescent="0.2">
      <c r="B589" s="17">
        <v>44375</v>
      </c>
      <c r="C589" s="10" t="s">
        <v>108</v>
      </c>
      <c r="D589" s="11">
        <v>161439</v>
      </c>
      <c r="E589" s="26">
        <v>58245</v>
      </c>
      <c r="F589" s="10" t="s">
        <v>123</v>
      </c>
      <c r="G589" s="10" t="s">
        <v>46</v>
      </c>
      <c r="H589" s="27" t="s">
        <v>124</v>
      </c>
      <c r="I589" s="12"/>
      <c r="J589" s="12"/>
      <c r="K589" s="13">
        <v>1840</v>
      </c>
      <c r="L589" s="21">
        <v>12.75</v>
      </c>
      <c r="M589" s="14" t="s">
        <v>14</v>
      </c>
      <c r="N589" s="13">
        <v>23460</v>
      </c>
      <c r="O589" s="15">
        <f t="shared" si="362"/>
        <v>0</v>
      </c>
      <c r="P589" s="10" t="s">
        <v>84</v>
      </c>
      <c r="Q589" s="11" t="s">
        <v>1386</v>
      </c>
      <c r="R589" s="11" t="s">
        <v>1385</v>
      </c>
      <c r="S589" s="16" t="s">
        <v>1387</v>
      </c>
      <c r="T589" s="19" t="str">
        <f>MONTH(B589)&amp;"-"&amp;YEAR(B589)</f>
        <v>6-2021</v>
      </c>
      <c r="U589" s="2">
        <f>YEAR(B589)</f>
        <v>2021</v>
      </c>
      <c r="V589" s="2" t="str">
        <f>IF(DAY(B589)&gt;15,MONTH(B589)&amp;"-C",MONTH(B589)&amp;"-N")</f>
        <v>6-C</v>
      </c>
      <c r="W589" s="21">
        <v>12.75</v>
      </c>
      <c r="X589" s="2" t="b">
        <f t="shared" si="363"/>
        <v>1</v>
      </c>
    </row>
    <row r="590" spans="2:24" x14ac:dyDescent="0.2">
      <c r="B590" s="17">
        <v>44378</v>
      </c>
      <c r="C590" s="10" t="s">
        <v>88</v>
      </c>
      <c r="D590" s="11">
        <v>161490</v>
      </c>
      <c r="E590" s="26">
        <v>58337</v>
      </c>
      <c r="F590" s="10" t="s">
        <v>98</v>
      </c>
      <c r="G590" s="10" t="s">
        <v>46</v>
      </c>
      <c r="H590" s="27" t="s">
        <v>99</v>
      </c>
      <c r="I590" s="12"/>
      <c r="J590" s="12"/>
      <c r="K590" s="13">
        <v>60</v>
      </c>
      <c r="L590" s="21">
        <v>11.82</v>
      </c>
      <c r="M590" s="14" t="s">
        <v>14</v>
      </c>
      <c r="N590" s="13">
        <v>709.2</v>
      </c>
      <c r="O590" s="15">
        <f t="shared" si="362"/>
        <v>0</v>
      </c>
      <c r="P590" s="10" t="s">
        <v>84</v>
      </c>
      <c r="Q590" s="11" t="s">
        <v>1388</v>
      </c>
      <c r="R590" s="11" t="s">
        <v>1389</v>
      </c>
      <c r="S590" s="16" t="s">
        <v>1390</v>
      </c>
      <c r="T590" s="19" t="str">
        <f>MONTH(B590)&amp;"-"&amp;YEAR(B590)</f>
        <v>7-2021</v>
      </c>
      <c r="U590" s="2">
        <f>YEAR(B590)</f>
        <v>2021</v>
      </c>
      <c r="V590" s="2" t="str">
        <f>IF(DAY(B590)&gt;15,MONTH(B590)&amp;"-C",MONTH(B590)&amp;"-N")</f>
        <v>7-N</v>
      </c>
      <c r="W590" s="21">
        <v>11.82</v>
      </c>
      <c r="X590" s="2" t="b">
        <f t="shared" si="363"/>
        <v>1</v>
      </c>
    </row>
    <row r="591" spans="2:24" x14ac:dyDescent="0.2">
      <c r="B591" s="17">
        <v>44378</v>
      </c>
      <c r="C591" s="10" t="s">
        <v>88</v>
      </c>
      <c r="D591" s="11">
        <v>161490</v>
      </c>
      <c r="E591" s="26">
        <v>58337</v>
      </c>
      <c r="F591" s="10" t="s">
        <v>100</v>
      </c>
      <c r="G591" s="10" t="s">
        <v>46</v>
      </c>
      <c r="H591" s="27" t="s">
        <v>101</v>
      </c>
      <c r="I591" s="12"/>
      <c r="J591" s="12"/>
      <c r="K591" s="13">
        <v>3000</v>
      </c>
      <c r="L591" s="21">
        <v>14.3</v>
      </c>
      <c r="M591" s="14" t="s">
        <v>14</v>
      </c>
      <c r="N591" s="13">
        <v>42900</v>
      </c>
      <c r="O591" s="15">
        <f t="shared" si="362"/>
        <v>0</v>
      </c>
      <c r="P591" s="10" t="s">
        <v>84</v>
      </c>
      <c r="Q591" s="11" t="s">
        <v>1388</v>
      </c>
      <c r="R591" s="11" t="s">
        <v>1389</v>
      </c>
      <c r="S591" s="16" t="s">
        <v>1390</v>
      </c>
      <c r="T591" s="19" t="str">
        <f>MONTH(B591)&amp;"-"&amp;YEAR(B591)</f>
        <v>7-2021</v>
      </c>
      <c r="U591" s="2">
        <f>YEAR(B591)</f>
        <v>2021</v>
      </c>
      <c r="V591" s="2" t="str">
        <f>IF(DAY(B591)&gt;15,MONTH(B591)&amp;"-C",MONTH(B591)&amp;"-N")</f>
        <v>7-N</v>
      </c>
      <c r="W591" s="21">
        <v>14.3</v>
      </c>
      <c r="X591" s="2" t="b">
        <f t="shared" si="363"/>
        <v>1</v>
      </c>
    </row>
    <row r="592" spans="2:24" x14ac:dyDescent="0.2">
      <c r="B592" s="17">
        <v>44381</v>
      </c>
      <c r="C592" s="10" t="s">
        <v>25</v>
      </c>
      <c r="D592" s="11">
        <v>161165</v>
      </c>
      <c r="E592" s="26">
        <v>58358</v>
      </c>
      <c r="F592" s="10" t="s">
        <v>26</v>
      </c>
      <c r="G592" s="10" t="s">
        <v>27</v>
      </c>
      <c r="H592" s="27" t="s">
        <v>28</v>
      </c>
      <c r="I592" s="12"/>
      <c r="J592" s="12"/>
      <c r="K592" s="13">
        <v>19800</v>
      </c>
      <c r="L592" s="21">
        <v>5.9</v>
      </c>
      <c r="M592" s="14" t="s">
        <v>14</v>
      </c>
      <c r="N592" s="13">
        <v>116820</v>
      </c>
      <c r="O592" s="15">
        <f t="shared" ref="O592" si="364">(N592/K592)-L592</f>
        <v>0</v>
      </c>
      <c r="P592" s="10" t="s">
        <v>78</v>
      </c>
      <c r="Q592" s="11" t="s">
        <v>1391</v>
      </c>
      <c r="R592" s="11" t="s">
        <v>1360</v>
      </c>
      <c r="S592" s="16" t="s">
        <v>1392</v>
      </c>
      <c r="T592" s="19" t="str">
        <f>MONTH(B592)&amp;"-"&amp;YEAR(B592)</f>
        <v>7-2021</v>
      </c>
      <c r="U592" s="2">
        <f>YEAR(B592)</f>
        <v>2021</v>
      </c>
      <c r="V592" s="2" t="str">
        <f>IF(DAY(B592)&gt;15,MONTH(B592)&amp;"-C",MONTH(B592)&amp;"-N")</f>
        <v>7-N</v>
      </c>
      <c r="W592" s="21">
        <v>5.9</v>
      </c>
      <c r="X592" s="2" t="b">
        <f t="shared" ref="X592" si="365">+L592=W592</f>
        <v>1</v>
      </c>
    </row>
    <row r="593" spans="2:24" x14ac:dyDescent="0.2">
      <c r="B593" s="17">
        <v>44383</v>
      </c>
      <c r="C593" s="10" t="s">
        <v>25</v>
      </c>
      <c r="D593" s="11">
        <v>161165</v>
      </c>
      <c r="E593" s="26">
        <v>58389</v>
      </c>
      <c r="F593" s="10" t="s">
        <v>26</v>
      </c>
      <c r="G593" s="10" t="s">
        <v>27</v>
      </c>
      <c r="H593" s="27" t="s">
        <v>28</v>
      </c>
      <c r="I593" s="12"/>
      <c r="J593" s="12"/>
      <c r="K593" s="13">
        <v>600</v>
      </c>
      <c r="L593" s="21">
        <v>5.9</v>
      </c>
      <c r="M593" s="14" t="s">
        <v>14</v>
      </c>
      <c r="N593" s="13">
        <v>3540</v>
      </c>
      <c r="O593" s="15">
        <f t="shared" ref="O593:O598" si="366">(N593/K593)-L593</f>
        <v>0</v>
      </c>
      <c r="P593" s="10" t="s">
        <v>78</v>
      </c>
      <c r="Q593" s="11" t="s">
        <v>1393</v>
      </c>
      <c r="R593" s="11" t="s">
        <v>1394</v>
      </c>
      <c r="S593" s="16" t="s">
        <v>1395</v>
      </c>
      <c r="T593" s="19" t="str">
        <f>MONTH(B593)&amp;"-"&amp;YEAR(B593)</f>
        <v>7-2021</v>
      </c>
      <c r="U593" s="2">
        <f>YEAR(B593)</f>
        <v>2021</v>
      </c>
      <c r="V593" s="2" t="str">
        <f>IF(DAY(B593)&gt;15,MONTH(B593)&amp;"-C",MONTH(B593)&amp;"-N")</f>
        <v>7-N</v>
      </c>
      <c r="W593" s="21">
        <v>5.9</v>
      </c>
      <c r="X593" s="2" t="b">
        <f t="shared" ref="X593:X598" si="367">+L593=W593</f>
        <v>1</v>
      </c>
    </row>
    <row r="594" spans="2:24" x14ac:dyDescent="0.2">
      <c r="B594" s="17">
        <v>44385</v>
      </c>
      <c r="C594" s="10" t="s">
        <v>82</v>
      </c>
      <c r="D594" s="11">
        <v>161569</v>
      </c>
      <c r="E594" s="26">
        <v>58418</v>
      </c>
      <c r="F594" s="10" t="s">
        <v>49</v>
      </c>
      <c r="G594" s="10" t="s">
        <v>27</v>
      </c>
      <c r="H594" s="27" t="s">
        <v>50</v>
      </c>
      <c r="I594" s="12"/>
      <c r="J594" s="12"/>
      <c r="K594" s="13">
        <v>380</v>
      </c>
      <c r="L594" s="21">
        <v>12.5</v>
      </c>
      <c r="M594" s="14" t="s">
        <v>14</v>
      </c>
      <c r="N594" s="13">
        <v>4750</v>
      </c>
      <c r="O594" s="15">
        <f t="shared" si="366"/>
        <v>0</v>
      </c>
      <c r="P594" s="10" t="s">
        <v>78</v>
      </c>
      <c r="Q594" s="11" t="s">
        <v>1396</v>
      </c>
      <c r="R594" s="11" t="s">
        <v>1397</v>
      </c>
      <c r="S594" s="16" t="s">
        <v>1398</v>
      </c>
      <c r="T594" s="19" t="str">
        <f>MONTH(B594)&amp;"-"&amp;YEAR(B594)</f>
        <v>7-2021</v>
      </c>
      <c r="U594" s="2">
        <f>YEAR(B594)</f>
        <v>2021</v>
      </c>
      <c r="V594" s="2" t="str">
        <f>IF(DAY(B594)&gt;15,MONTH(B594)&amp;"-C",MONTH(B594)&amp;"-N")</f>
        <v>7-N</v>
      </c>
      <c r="W594" s="21">
        <v>12.5</v>
      </c>
      <c r="X594" s="2" t="b">
        <f t="shared" si="367"/>
        <v>1</v>
      </c>
    </row>
    <row r="595" spans="2:24" x14ac:dyDescent="0.2">
      <c r="B595" s="17">
        <v>44387</v>
      </c>
      <c r="C595" s="10" t="s">
        <v>107</v>
      </c>
      <c r="D595" s="11">
        <v>161163</v>
      </c>
      <c r="E595" s="26">
        <v>58434</v>
      </c>
      <c r="F595" s="10" t="s">
        <v>103</v>
      </c>
      <c r="G595" s="10" t="s">
        <v>46</v>
      </c>
      <c r="H595" s="27" t="s">
        <v>104</v>
      </c>
      <c r="I595" s="12"/>
      <c r="J595" s="12"/>
      <c r="K595" s="13">
        <v>70</v>
      </c>
      <c r="L595" s="21">
        <v>40.18</v>
      </c>
      <c r="M595" s="14" t="s">
        <v>14</v>
      </c>
      <c r="N595" s="13">
        <v>2812.6</v>
      </c>
      <c r="O595" s="15">
        <f t="shared" si="366"/>
        <v>0</v>
      </c>
      <c r="P595" s="10" t="s">
        <v>84</v>
      </c>
      <c r="Q595" s="11" t="s">
        <v>1399</v>
      </c>
      <c r="R595" s="11" t="s">
        <v>1400</v>
      </c>
      <c r="S595" s="16" t="s">
        <v>1401</v>
      </c>
      <c r="T595" s="19" t="str">
        <f>MONTH(B595)&amp;"-"&amp;YEAR(B595)</f>
        <v>7-2021</v>
      </c>
      <c r="U595" s="2">
        <f>YEAR(B595)</f>
        <v>2021</v>
      </c>
      <c r="V595" s="2" t="str">
        <f>IF(DAY(B595)&gt;15,MONTH(B595)&amp;"-C",MONTH(B595)&amp;"-N")</f>
        <v>7-N</v>
      </c>
      <c r="W595" s="21">
        <v>40.18</v>
      </c>
      <c r="X595" s="2" t="b">
        <f t="shared" si="367"/>
        <v>1</v>
      </c>
    </row>
    <row r="596" spans="2:24" x14ac:dyDescent="0.2">
      <c r="B596" s="17">
        <v>44387</v>
      </c>
      <c r="C596" s="10" t="s">
        <v>107</v>
      </c>
      <c r="D596" s="11">
        <v>161563</v>
      </c>
      <c r="E596" s="26">
        <v>58434</v>
      </c>
      <c r="F596" s="10" t="s">
        <v>103</v>
      </c>
      <c r="G596" s="10" t="s">
        <v>46</v>
      </c>
      <c r="H596" s="27" t="s">
        <v>104</v>
      </c>
      <c r="I596" s="12"/>
      <c r="J596" s="12"/>
      <c r="K596" s="13">
        <v>40</v>
      </c>
      <c r="L596" s="21">
        <v>40.18</v>
      </c>
      <c r="M596" s="14" t="s">
        <v>14</v>
      </c>
      <c r="N596" s="13">
        <v>1607.2</v>
      </c>
      <c r="O596" s="15">
        <f t="shared" si="366"/>
        <v>0</v>
      </c>
      <c r="P596" s="10" t="s">
        <v>84</v>
      </c>
      <c r="Q596" s="11" t="s">
        <v>1399</v>
      </c>
      <c r="R596" s="11" t="s">
        <v>1400</v>
      </c>
      <c r="S596" s="16" t="s">
        <v>1401</v>
      </c>
      <c r="T596" s="19" t="str">
        <f>MONTH(B596)&amp;"-"&amp;YEAR(B596)</f>
        <v>7-2021</v>
      </c>
      <c r="U596" s="2">
        <f>YEAR(B596)</f>
        <v>2021</v>
      </c>
      <c r="V596" s="2" t="str">
        <f>IF(DAY(B596)&gt;15,MONTH(B596)&amp;"-C",MONTH(B596)&amp;"-N")</f>
        <v>7-N</v>
      </c>
      <c r="W596" s="21">
        <v>40.18</v>
      </c>
      <c r="X596" s="2" t="b">
        <f t="shared" si="367"/>
        <v>1</v>
      </c>
    </row>
    <row r="597" spans="2:24" x14ac:dyDescent="0.2">
      <c r="B597" s="17">
        <v>44387</v>
      </c>
      <c r="C597" s="10" t="s">
        <v>107</v>
      </c>
      <c r="D597" s="11">
        <v>161163</v>
      </c>
      <c r="E597" s="26">
        <v>58434</v>
      </c>
      <c r="F597" s="10" t="s">
        <v>105</v>
      </c>
      <c r="G597" s="10" t="s">
        <v>46</v>
      </c>
      <c r="H597" s="27" t="s">
        <v>106</v>
      </c>
      <c r="I597" s="12"/>
      <c r="J597" s="12"/>
      <c r="K597" s="13">
        <v>2420</v>
      </c>
      <c r="L597" s="21">
        <v>13.29</v>
      </c>
      <c r="M597" s="14" t="s">
        <v>14</v>
      </c>
      <c r="N597" s="13">
        <v>32161.8</v>
      </c>
      <c r="O597" s="15">
        <f t="shared" si="366"/>
        <v>0</v>
      </c>
      <c r="P597" s="10" t="s">
        <v>84</v>
      </c>
      <c r="Q597" s="11" t="s">
        <v>1399</v>
      </c>
      <c r="R597" s="11" t="s">
        <v>1400</v>
      </c>
      <c r="S597" s="16" t="s">
        <v>1401</v>
      </c>
      <c r="T597" s="19" t="str">
        <f>MONTH(B597)&amp;"-"&amp;YEAR(B597)</f>
        <v>7-2021</v>
      </c>
      <c r="U597" s="2">
        <f>YEAR(B597)</f>
        <v>2021</v>
      </c>
      <c r="V597" s="2" t="str">
        <f>IF(DAY(B597)&gt;15,MONTH(B597)&amp;"-C",MONTH(B597)&amp;"-N")</f>
        <v>7-N</v>
      </c>
      <c r="W597" s="21">
        <v>13.29</v>
      </c>
      <c r="X597" s="2" t="b">
        <f t="shared" si="367"/>
        <v>1</v>
      </c>
    </row>
    <row r="598" spans="2:24" x14ac:dyDescent="0.2">
      <c r="B598" s="17">
        <v>44387</v>
      </c>
      <c r="C598" s="10" t="s">
        <v>107</v>
      </c>
      <c r="D598" s="11">
        <v>161563</v>
      </c>
      <c r="E598" s="26">
        <v>58434</v>
      </c>
      <c r="F598" s="10" t="s">
        <v>105</v>
      </c>
      <c r="G598" s="10" t="s">
        <v>46</v>
      </c>
      <c r="H598" s="27" t="s">
        <v>106</v>
      </c>
      <c r="I598" s="12"/>
      <c r="J598" s="12"/>
      <c r="K598" s="13">
        <v>1100</v>
      </c>
      <c r="L598" s="21">
        <v>13.29</v>
      </c>
      <c r="M598" s="14" t="s">
        <v>14</v>
      </c>
      <c r="N598" s="13">
        <v>14619</v>
      </c>
      <c r="O598" s="15">
        <f t="shared" si="366"/>
        <v>0</v>
      </c>
      <c r="P598" s="10" t="s">
        <v>84</v>
      </c>
      <c r="Q598" s="11" t="s">
        <v>1399</v>
      </c>
      <c r="R598" s="11" t="s">
        <v>1400</v>
      </c>
      <c r="S598" s="16" t="s">
        <v>1401</v>
      </c>
      <c r="T598" s="19" t="str">
        <f>MONTH(B598)&amp;"-"&amp;YEAR(B598)</f>
        <v>7-2021</v>
      </c>
      <c r="U598" s="2">
        <f>YEAR(B598)</f>
        <v>2021</v>
      </c>
      <c r="V598" s="2" t="str">
        <f>IF(DAY(B598)&gt;15,MONTH(B598)&amp;"-C",MONTH(B598)&amp;"-N")</f>
        <v>7-N</v>
      </c>
      <c r="W598" s="21">
        <v>13.29</v>
      </c>
      <c r="X598" s="2" t="b">
        <f t="shared" si="367"/>
        <v>1</v>
      </c>
    </row>
    <row r="599" spans="2:24" x14ac:dyDescent="0.2">
      <c r="B599" s="17">
        <v>44388</v>
      </c>
      <c r="C599" s="10" t="s">
        <v>25</v>
      </c>
      <c r="D599" s="11">
        <v>161500</v>
      </c>
      <c r="E599" s="26">
        <v>58447</v>
      </c>
      <c r="F599" s="10" t="s">
        <v>26</v>
      </c>
      <c r="G599" s="10" t="s">
        <v>27</v>
      </c>
      <c r="H599" s="27" t="s">
        <v>28</v>
      </c>
      <c r="I599" s="12"/>
      <c r="J599" s="12"/>
      <c r="K599" s="13">
        <v>4500</v>
      </c>
      <c r="L599" s="21">
        <v>5.63</v>
      </c>
      <c r="M599" s="14" t="s">
        <v>14</v>
      </c>
      <c r="N599" s="13">
        <v>25335</v>
      </c>
      <c r="O599" s="15">
        <f t="shared" ref="O599:O600" si="368">(N599/K599)-L599</f>
        <v>0</v>
      </c>
      <c r="P599" s="10" t="s">
        <v>78</v>
      </c>
      <c r="Q599" s="11" t="s">
        <v>1402</v>
      </c>
      <c r="R599" s="11" t="s">
        <v>1365</v>
      </c>
      <c r="S599" s="16" t="s">
        <v>1403</v>
      </c>
      <c r="T599" s="19" t="str">
        <f>MONTH(B599)&amp;"-"&amp;YEAR(B599)</f>
        <v>7-2021</v>
      </c>
      <c r="U599" s="2">
        <f>YEAR(B599)</f>
        <v>2021</v>
      </c>
      <c r="V599" s="2" t="str">
        <f>IF(DAY(B599)&gt;15,MONTH(B599)&amp;"-C",MONTH(B599)&amp;"-N")</f>
        <v>7-N</v>
      </c>
      <c r="W599" s="21">
        <v>5.63</v>
      </c>
      <c r="X599" s="2" t="b">
        <f t="shared" ref="X599:X600" si="369">+L599=W599</f>
        <v>1</v>
      </c>
    </row>
    <row r="600" spans="2:24" x14ac:dyDescent="0.2">
      <c r="B600" s="17">
        <v>44390</v>
      </c>
      <c r="C600" s="10" t="s">
        <v>25</v>
      </c>
      <c r="D600" s="11">
        <v>161500</v>
      </c>
      <c r="E600" s="26">
        <v>58476</v>
      </c>
      <c r="F600" s="10" t="s">
        <v>26</v>
      </c>
      <c r="G600" s="10" t="s">
        <v>27</v>
      </c>
      <c r="H600" s="27" t="s">
        <v>28</v>
      </c>
      <c r="I600" s="12"/>
      <c r="J600" s="12"/>
      <c r="K600" s="13">
        <v>1800</v>
      </c>
      <c r="L600" s="21">
        <v>5.63</v>
      </c>
      <c r="M600" s="14" t="s">
        <v>14</v>
      </c>
      <c r="N600" s="13">
        <v>10134</v>
      </c>
      <c r="O600" s="15">
        <f t="shared" si="368"/>
        <v>0</v>
      </c>
      <c r="P600" s="10" t="s">
        <v>78</v>
      </c>
      <c r="Q600" s="11" t="s">
        <v>1404</v>
      </c>
      <c r="R600" s="11" t="s">
        <v>1361</v>
      </c>
      <c r="S600" s="16" t="s">
        <v>1405</v>
      </c>
      <c r="T600" s="19" t="str">
        <f>MONTH(B600)&amp;"-"&amp;YEAR(B600)</f>
        <v>7-2021</v>
      </c>
      <c r="U600" s="2">
        <f>YEAR(B600)</f>
        <v>2021</v>
      </c>
      <c r="V600" s="2" t="str">
        <f>IF(DAY(B600)&gt;15,MONTH(B600)&amp;"-C",MONTH(B600)&amp;"-N")</f>
        <v>7-N</v>
      </c>
      <c r="W600" s="21">
        <v>5.63</v>
      </c>
      <c r="X600" s="2" t="b">
        <f t="shared" si="369"/>
        <v>1</v>
      </c>
    </row>
    <row r="601" spans="2:24" x14ac:dyDescent="0.2">
      <c r="B601" s="17">
        <v>44391</v>
      </c>
      <c r="C601" s="10" t="s">
        <v>25</v>
      </c>
      <c r="D601" s="11">
        <v>161500</v>
      </c>
      <c r="E601" s="26">
        <v>58486</v>
      </c>
      <c r="F601" s="10" t="s">
        <v>26</v>
      </c>
      <c r="G601" s="10" t="s">
        <v>27</v>
      </c>
      <c r="H601" s="27" t="s">
        <v>28</v>
      </c>
      <c r="I601" s="12"/>
      <c r="J601" s="12"/>
      <c r="K601" s="13">
        <v>18000</v>
      </c>
      <c r="L601" s="21">
        <v>5.63</v>
      </c>
      <c r="M601" s="14" t="s">
        <v>14</v>
      </c>
      <c r="N601" s="13">
        <v>101340</v>
      </c>
      <c r="O601" s="15">
        <f t="shared" ref="O601:O605" si="370">(N601/K601)-L601</f>
        <v>0</v>
      </c>
      <c r="P601" s="10" t="s">
        <v>78</v>
      </c>
      <c r="Q601" s="11" t="s">
        <v>1406</v>
      </c>
      <c r="R601" s="11" t="s">
        <v>1407</v>
      </c>
      <c r="S601" s="16" t="s">
        <v>1408</v>
      </c>
      <c r="T601" s="19" t="str">
        <f>MONTH(B601)&amp;"-"&amp;YEAR(B601)</f>
        <v>7-2021</v>
      </c>
      <c r="U601" s="2">
        <f>YEAR(B601)</f>
        <v>2021</v>
      </c>
      <c r="V601" s="2" t="str">
        <f>IF(DAY(B601)&gt;15,MONTH(B601)&amp;"-C",MONTH(B601)&amp;"-N")</f>
        <v>7-N</v>
      </c>
      <c r="W601" s="21">
        <v>5.63</v>
      </c>
      <c r="X601" s="2" t="b">
        <f t="shared" ref="X601:X605" si="371">+L601=W601</f>
        <v>1</v>
      </c>
    </row>
    <row r="602" spans="2:24" x14ac:dyDescent="0.2">
      <c r="B602" s="17">
        <v>44391</v>
      </c>
      <c r="C602" s="10" t="s">
        <v>82</v>
      </c>
      <c r="D602" s="11">
        <v>161569</v>
      </c>
      <c r="E602" s="26">
        <v>58490</v>
      </c>
      <c r="F602" s="10" t="s">
        <v>49</v>
      </c>
      <c r="G602" s="10" t="s">
        <v>27</v>
      </c>
      <c r="H602" s="27" t="s">
        <v>50</v>
      </c>
      <c r="I602" s="12"/>
      <c r="J602" s="12"/>
      <c r="K602" s="13">
        <v>380</v>
      </c>
      <c r="L602" s="21">
        <v>12.5</v>
      </c>
      <c r="M602" s="14" t="s">
        <v>14</v>
      </c>
      <c r="N602" s="13">
        <v>4750</v>
      </c>
      <c r="O602" s="15">
        <f t="shared" si="370"/>
        <v>0</v>
      </c>
      <c r="P602" s="10" t="s">
        <v>78</v>
      </c>
      <c r="Q602" s="11" t="s">
        <v>1409</v>
      </c>
      <c r="R602" s="11" t="s">
        <v>1410</v>
      </c>
      <c r="S602" s="16" t="s">
        <v>1411</v>
      </c>
      <c r="T602" s="19" t="str">
        <f>MONTH(B602)&amp;"-"&amp;YEAR(B602)</f>
        <v>7-2021</v>
      </c>
      <c r="U602" s="2">
        <f>YEAR(B602)</f>
        <v>2021</v>
      </c>
      <c r="V602" s="2" t="str">
        <f>IF(DAY(B602)&gt;15,MONTH(B602)&amp;"-C",MONTH(B602)&amp;"-N")</f>
        <v>7-N</v>
      </c>
      <c r="W602" s="21">
        <v>12.5</v>
      </c>
      <c r="X602" s="2" t="b">
        <f t="shared" si="371"/>
        <v>1</v>
      </c>
    </row>
    <row r="603" spans="2:24" x14ac:dyDescent="0.2">
      <c r="B603" s="17">
        <v>44392</v>
      </c>
      <c r="C603" s="10" t="s">
        <v>82</v>
      </c>
      <c r="D603" s="11">
        <v>161569</v>
      </c>
      <c r="E603" s="26">
        <v>58512</v>
      </c>
      <c r="F603" s="10" t="s">
        <v>49</v>
      </c>
      <c r="G603" s="10" t="s">
        <v>27</v>
      </c>
      <c r="H603" s="27" t="s">
        <v>50</v>
      </c>
      <c r="I603" s="12"/>
      <c r="J603" s="12"/>
      <c r="K603" s="13">
        <v>760</v>
      </c>
      <c r="L603" s="21">
        <v>12.5</v>
      </c>
      <c r="M603" s="14" t="s">
        <v>14</v>
      </c>
      <c r="N603" s="13">
        <v>9500</v>
      </c>
      <c r="O603" s="15">
        <f t="shared" si="370"/>
        <v>0</v>
      </c>
      <c r="P603" s="10" t="s">
        <v>78</v>
      </c>
      <c r="Q603" s="11" t="s">
        <v>1412</v>
      </c>
      <c r="R603" s="11" t="s">
        <v>1413</v>
      </c>
      <c r="S603" s="16" t="s">
        <v>1414</v>
      </c>
      <c r="T603" s="19" t="str">
        <f>MONTH(B603)&amp;"-"&amp;YEAR(B603)</f>
        <v>7-2021</v>
      </c>
      <c r="U603" s="2">
        <f>YEAR(B603)</f>
        <v>2021</v>
      </c>
      <c r="V603" s="2" t="str">
        <f>IF(DAY(B603)&gt;15,MONTH(B603)&amp;"-C",MONTH(B603)&amp;"-N")</f>
        <v>7-N</v>
      </c>
      <c r="W603" s="21">
        <v>12.5</v>
      </c>
      <c r="X603" s="2" t="b">
        <f t="shared" si="371"/>
        <v>1</v>
      </c>
    </row>
    <row r="604" spans="2:24" x14ac:dyDescent="0.2">
      <c r="B604" s="17">
        <v>44392</v>
      </c>
      <c r="C604" s="10" t="s">
        <v>108</v>
      </c>
      <c r="D604" s="11">
        <v>161428</v>
      </c>
      <c r="E604" s="26">
        <v>58540</v>
      </c>
      <c r="F604" s="10" t="s">
        <v>121</v>
      </c>
      <c r="G604" s="10" t="s">
        <v>46</v>
      </c>
      <c r="H604" s="27" t="s">
        <v>122</v>
      </c>
      <c r="I604" s="12"/>
      <c r="J604" s="12"/>
      <c r="K604" s="13">
        <v>6900</v>
      </c>
      <c r="L604" s="21">
        <v>12.7</v>
      </c>
      <c r="M604" s="14" t="s">
        <v>14</v>
      </c>
      <c r="N604" s="13">
        <v>87630</v>
      </c>
      <c r="O604" s="15">
        <f t="shared" si="370"/>
        <v>0</v>
      </c>
      <c r="P604" s="10" t="s">
        <v>84</v>
      </c>
      <c r="Q604" s="11" t="s">
        <v>1416</v>
      </c>
      <c r="R604" s="11" t="s">
        <v>1417</v>
      </c>
      <c r="S604" s="16" t="s">
        <v>1415</v>
      </c>
      <c r="T604" s="19" t="str">
        <f>MONTH(B604)&amp;"-"&amp;YEAR(B604)</f>
        <v>7-2021</v>
      </c>
      <c r="U604" s="2">
        <f>YEAR(B604)</f>
        <v>2021</v>
      </c>
      <c r="V604" s="2" t="str">
        <f>IF(DAY(B604)&gt;15,MONTH(B604)&amp;"-C",MONTH(B604)&amp;"-N")</f>
        <v>7-N</v>
      </c>
      <c r="W604" s="21">
        <v>12.7</v>
      </c>
      <c r="X604" s="2" t="b">
        <f t="shared" si="371"/>
        <v>1</v>
      </c>
    </row>
    <row r="605" spans="2:24" x14ac:dyDescent="0.2">
      <c r="B605" s="17">
        <v>44392</v>
      </c>
      <c r="C605" s="10" t="s">
        <v>108</v>
      </c>
      <c r="D605" s="11">
        <v>161428</v>
      </c>
      <c r="E605" s="26">
        <v>58540</v>
      </c>
      <c r="F605" s="10" t="s">
        <v>123</v>
      </c>
      <c r="G605" s="10" t="s">
        <v>46</v>
      </c>
      <c r="H605" s="27" t="s">
        <v>124</v>
      </c>
      <c r="I605" s="12"/>
      <c r="J605" s="12"/>
      <c r="K605" s="13">
        <v>11500</v>
      </c>
      <c r="L605" s="21">
        <v>12.7</v>
      </c>
      <c r="M605" s="14" t="s">
        <v>14</v>
      </c>
      <c r="N605" s="13">
        <v>146050</v>
      </c>
      <c r="O605" s="15">
        <f t="shared" si="370"/>
        <v>0</v>
      </c>
      <c r="P605" s="10" t="s">
        <v>84</v>
      </c>
      <c r="Q605" s="11" t="s">
        <v>1416</v>
      </c>
      <c r="R605" s="11" t="s">
        <v>1417</v>
      </c>
      <c r="S605" s="16" t="s">
        <v>1415</v>
      </c>
      <c r="T605" s="19" t="str">
        <f>MONTH(B605)&amp;"-"&amp;YEAR(B605)</f>
        <v>7-2021</v>
      </c>
      <c r="U605" s="2">
        <f>YEAR(B605)</f>
        <v>2021</v>
      </c>
      <c r="V605" s="2" t="str">
        <f>IF(DAY(B605)&gt;15,MONTH(B605)&amp;"-C",MONTH(B605)&amp;"-N")</f>
        <v>7-N</v>
      </c>
      <c r="W605" s="21">
        <v>12.7</v>
      </c>
      <c r="X605" s="2" t="b">
        <f t="shared" si="371"/>
        <v>1</v>
      </c>
    </row>
    <row r="606" spans="2:24" x14ac:dyDescent="0.2">
      <c r="B606" s="17">
        <v>44394</v>
      </c>
      <c r="C606" s="10" t="s">
        <v>433</v>
      </c>
      <c r="D606" s="11">
        <v>161092</v>
      </c>
      <c r="E606" s="26">
        <v>58538</v>
      </c>
      <c r="F606" s="10" t="s">
        <v>26</v>
      </c>
      <c r="G606" s="10" t="s">
        <v>27</v>
      </c>
      <c r="H606" s="27" t="s">
        <v>28</v>
      </c>
      <c r="I606" s="12"/>
      <c r="J606" s="12"/>
      <c r="K606" s="13">
        <v>13600</v>
      </c>
      <c r="L606" s="21">
        <v>5.5</v>
      </c>
      <c r="M606" s="14" t="s">
        <v>14</v>
      </c>
      <c r="N606" s="13">
        <v>74800</v>
      </c>
      <c r="O606" s="15">
        <f t="shared" ref="O606:O608" si="372">(N606/K606)-L606</f>
        <v>0</v>
      </c>
      <c r="P606" s="10" t="s">
        <v>78</v>
      </c>
      <c r="Q606" s="11" t="s">
        <v>1418</v>
      </c>
      <c r="R606" s="11" t="s">
        <v>1419</v>
      </c>
      <c r="S606" s="16" t="s">
        <v>1420</v>
      </c>
      <c r="T606" s="19" t="str">
        <f>MONTH(B606)&amp;"-"&amp;YEAR(B606)</f>
        <v>7-2021</v>
      </c>
      <c r="U606" s="2">
        <f>YEAR(B606)</f>
        <v>2021</v>
      </c>
      <c r="V606" s="2" t="str">
        <f>IF(DAY(B606)&gt;15,MONTH(B606)&amp;"-C",MONTH(B606)&amp;"-N")</f>
        <v>7-C</v>
      </c>
      <c r="W606" s="21">
        <v>5.5</v>
      </c>
      <c r="X606" s="2" t="b">
        <f t="shared" ref="X606:X608" si="373">+L606=W606</f>
        <v>1</v>
      </c>
    </row>
    <row r="607" spans="2:24" x14ac:dyDescent="0.2">
      <c r="B607" s="17">
        <v>44394</v>
      </c>
      <c r="C607" s="10" t="s">
        <v>433</v>
      </c>
      <c r="D607" s="11">
        <v>161502</v>
      </c>
      <c r="E607" s="26">
        <v>58538</v>
      </c>
      <c r="F607" s="10" t="s">
        <v>26</v>
      </c>
      <c r="G607" s="10" t="s">
        <v>27</v>
      </c>
      <c r="H607" s="27" t="s">
        <v>28</v>
      </c>
      <c r="I607" s="12"/>
      <c r="J607" s="12"/>
      <c r="K607" s="13">
        <v>3500</v>
      </c>
      <c r="L607" s="21">
        <v>5.5</v>
      </c>
      <c r="M607" s="14" t="s">
        <v>14</v>
      </c>
      <c r="N607" s="13">
        <v>19250</v>
      </c>
      <c r="O607" s="15">
        <f t="shared" si="372"/>
        <v>0</v>
      </c>
      <c r="P607" s="10" t="s">
        <v>78</v>
      </c>
      <c r="Q607" s="11" t="s">
        <v>1418</v>
      </c>
      <c r="R607" s="11" t="s">
        <v>1419</v>
      </c>
      <c r="S607" s="16" t="s">
        <v>1420</v>
      </c>
      <c r="T607" s="19" t="str">
        <f>MONTH(B607)&amp;"-"&amp;YEAR(B607)</f>
        <v>7-2021</v>
      </c>
      <c r="U607" s="2">
        <f>YEAR(B607)</f>
        <v>2021</v>
      </c>
      <c r="V607" s="2" t="str">
        <f>IF(DAY(B607)&gt;15,MONTH(B607)&amp;"-C",MONTH(B607)&amp;"-N")</f>
        <v>7-C</v>
      </c>
      <c r="W607" s="21">
        <v>5.5</v>
      </c>
      <c r="X607" s="2" t="b">
        <f t="shared" si="373"/>
        <v>1</v>
      </c>
    </row>
    <row r="608" spans="2:24" x14ac:dyDescent="0.2">
      <c r="B608" s="17">
        <v>44395</v>
      </c>
      <c r="C608" s="10" t="s">
        <v>82</v>
      </c>
      <c r="D608" s="11">
        <v>161660</v>
      </c>
      <c r="E608" s="26">
        <v>58567</v>
      </c>
      <c r="F608" s="10" t="s">
        <v>33</v>
      </c>
      <c r="G608" s="10" t="s">
        <v>27</v>
      </c>
      <c r="H608" s="27" t="s">
        <v>34</v>
      </c>
      <c r="I608" s="12"/>
      <c r="J608" s="12"/>
      <c r="K608" s="13">
        <v>1440</v>
      </c>
      <c r="L608" s="21">
        <v>7.75</v>
      </c>
      <c r="M608" s="14" t="s">
        <v>14</v>
      </c>
      <c r="N608" s="13">
        <v>11160</v>
      </c>
      <c r="O608" s="15">
        <f t="shared" si="372"/>
        <v>0</v>
      </c>
      <c r="P608" s="10" t="s">
        <v>78</v>
      </c>
      <c r="Q608" s="11" t="s">
        <v>1421</v>
      </c>
      <c r="R608" s="11" t="s">
        <v>1422</v>
      </c>
      <c r="S608" s="16" t="s">
        <v>1423</v>
      </c>
      <c r="T608" s="19" t="str">
        <f>MONTH(B608)&amp;"-"&amp;YEAR(B608)</f>
        <v>7-2021</v>
      </c>
      <c r="U608" s="2">
        <f>YEAR(B608)</f>
        <v>2021</v>
      </c>
      <c r="V608" s="2" t="str">
        <f>IF(DAY(B608)&gt;15,MONTH(B608)&amp;"-C",MONTH(B608)&amp;"-N")</f>
        <v>7-C</v>
      </c>
      <c r="W608" s="21">
        <v>7.75</v>
      </c>
      <c r="X608" s="2" t="b">
        <f t="shared" si="373"/>
        <v>1</v>
      </c>
    </row>
    <row r="609" spans="2:24" x14ac:dyDescent="0.2">
      <c r="B609" s="17">
        <v>44402</v>
      </c>
      <c r="C609" s="10" t="s">
        <v>25</v>
      </c>
      <c r="D609" s="11">
        <v>161518</v>
      </c>
      <c r="E609" s="26">
        <v>58621</v>
      </c>
      <c r="F609" s="10" t="s">
        <v>29</v>
      </c>
      <c r="G609" s="10" t="s">
        <v>27</v>
      </c>
      <c r="H609" s="27" t="s">
        <v>30</v>
      </c>
      <c r="I609" s="12"/>
      <c r="J609" s="12"/>
      <c r="K609" s="13">
        <v>3300</v>
      </c>
      <c r="L609" s="21">
        <v>4</v>
      </c>
      <c r="M609" s="14" t="s">
        <v>14</v>
      </c>
      <c r="N609" s="13">
        <v>13200</v>
      </c>
      <c r="O609" s="15">
        <f t="shared" ref="O609:O610" si="374">(N609/K609)-L609</f>
        <v>0</v>
      </c>
      <c r="P609" s="10" t="s">
        <v>78</v>
      </c>
      <c r="Q609" s="11" t="s">
        <v>1425</v>
      </c>
      <c r="R609" s="11" t="s">
        <v>1424</v>
      </c>
      <c r="S609" s="16" t="s">
        <v>1426</v>
      </c>
      <c r="T609" s="19" t="str">
        <f>MONTH(B609)&amp;"-"&amp;YEAR(B609)</f>
        <v>7-2021</v>
      </c>
      <c r="U609" s="2">
        <f>YEAR(B609)</f>
        <v>2021</v>
      </c>
      <c r="V609" s="2" t="str">
        <f>IF(DAY(B609)&gt;15,MONTH(B609)&amp;"-C",MONTH(B609)&amp;"-N")</f>
        <v>7-C</v>
      </c>
      <c r="W609" s="21">
        <v>4</v>
      </c>
      <c r="X609" s="2" t="b">
        <f t="shared" ref="X609:X610" si="375">+L609=W609</f>
        <v>1</v>
      </c>
    </row>
    <row r="610" spans="2:24" x14ac:dyDescent="0.2">
      <c r="B610" s="17">
        <v>44402</v>
      </c>
      <c r="C610" s="10" t="s">
        <v>25</v>
      </c>
      <c r="D610" s="11">
        <v>161518</v>
      </c>
      <c r="E610" s="26">
        <v>58621</v>
      </c>
      <c r="F610" s="10" t="s">
        <v>31</v>
      </c>
      <c r="G610" s="10" t="s">
        <v>27</v>
      </c>
      <c r="H610" s="27" t="s">
        <v>32</v>
      </c>
      <c r="I610" s="12"/>
      <c r="J610" s="12"/>
      <c r="K610" s="13">
        <v>3200</v>
      </c>
      <c r="L610" s="21">
        <v>4.5</v>
      </c>
      <c r="M610" s="14" t="s">
        <v>14</v>
      </c>
      <c r="N610" s="13">
        <v>14400</v>
      </c>
      <c r="O610" s="15">
        <f t="shared" si="374"/>
        <v>0</v>
      </c>
      <c r="P610" s="10" t="s">
        <v>78</v>
      </c>
      <c r="Q610" s="11" t="s">
        <v>1425</v>
      </c>
      <c r="R610" s="11" t="s">
        <v>1424</v>
      </c>
      <c r="S610" s="16" t="s">
        <v>1426</v>
      </c>
      <c r="T610" s="19" t="str">
        <f>MONTH(B610)&amp;"-"&amp;YEAR(B610)</f>
        <v>7-2021</v>
      </c>
      <c r="U610" s="2">
        <f>YEAR(B610)</f>
        <v>2021</v>
      </c>
      <c r="V610" s="2" t="str">
        <f>IF(DAY(B610)&gt;15,MONTH(B610)&amp;"-C",MONTH(B610)&amp;"-N")</f>
        <v>7-C</v>
      </c>
      <c r="W610" s="21">
        <v>4.5</v>
      </c>
      <c r="X610" s="2" t="b">
        <f t="shared" si="375"/>
        <v>1</v>
      </c>
    </row>
    <row r="611" spans="2:24" x14ac:dyDescent="0.2">
      <c r="B611" s="17">
        <v>44403</v>
      </c>
      <c r="C611" s="10" t="s">
        <v>25</v>
      </c>
      <c r="D611" s="11">
        <v>161500</v>
      </c>
      <c r="E611" s="26">
        <v>58636</v>
      </c>
      <c r="F611" s="10" t="s">
        <v>26</v>
      </c>
      <c r="G611" s="10" t="s">
        <v>27</v>
      </c>
      <c r="H611" s="27" t="s">
        <v>28</v>
      </c>
      <c r="I611" s="12"/>
      <c r="J611" s="12"/>
      <c r="K611" s="13">
        <v>15300</v>
      </c>
      <c r="L611" s="21">
        <v>5.63</v>
      </c>
      <c r="M611" s="14" t="s">
        <v>14</v>
      </c>
      <c r="N611" s="13">
        <v>86139</v>
      </c>
      <c r="O611" s="15">
        <f t="shared" ref="O611" si="376">(N611/K611)-L611</f>
        <v>0</v>
      </c>
      <c r="P611" s="10" t="s">
        <v>78</v>
      </c>
      <c r="Q611" s="11" t="s">
        <v>1427</v>
      </c>
      <c r="R611" s="11" t="s">
        <v>1378</v>
      </c>
      <c r="S611" s="16" t="s">
        <v>1428</v>
      </c>
      <c r="T611" s="19" t="str">
        <f>MONTH(B611)&amp;"-"&amp;YEAR(B611)</f>
        <v>7-2021</v>
      </c>
      <c r="U611" s="2">
        <f>YEAR(B611)</f>
        <v>2021</v>
      </c>
      <c r="V611" s="2" t="str">
        <f>IF(DAY(B611)&gt;15,MONTH(B611)&amp;"-C",MONTH(B611)&amp;"-N")</f>
        <v>7-C</v>
      </c>
      <c r="W611" s="21">
        <v>5.63</v>
      </c>
      <c r="X611" s="2" t="b">
        <f t="shared" ref="X611" si="377">+L611=W611</f>
        <v>1</v>
      </c>
    </row>
    <row r="612" spans="2:24" x14ac:dyDescent="0.2">
      <c r="B612" s="17">
        <v>44406</v>
      </c>
      <c r="C612" s="10" t="s">
        <v>107</v>
      </c>
      <c r="D612" s="11">
        <v>161563</v>
      </c>
      <c r="E612" s="26">
        <v>58693</v>
      </c>
      <c r="F612" s="10" t="s">
        <v>103</v>
      </c>
      <c r="G612" s="10" t="s">
        <v>46</v>
      </c>
      <c r="H612" s="27" t="s">
        <v>104</v>
      </c>
      <c r="I612" s="12"/>
      <c r="J612" s="12"/>
      <c r="K612" s="13">
        <v>125</v>
      </c>
      <c r="L612" s="21">
        <v>40.18</v>
      </c>
      <c r="M612" s="14" t="s">
        <v>14</v>
      </c>
      <c r="N612" s="13">
        <v>5022.5</v>
      </c>
      <c r="O612" s="15">
        <f t="shared" ref="O612:O614" si="378">(N612/K612)-L612</f>
        <v>0</v>
      </c>
      <c r="P612" s="10" t="s">
        <v>84</v>
      </c>
      <c r="Q612" s="11" t="s">
        <v>1431</v>
      </c>
      <c r="R612" s="11" t="s">
        <v>1432</v>
      </c>
      <c r="S612" s="16" t="s">
        <v>1433</v>
      </c>
      <c r="T612" s="19" t="str">
        <f>MONTH(B612)&amp;"-"&amp;YEAR(B612)</f>
        <v>7-2021</v>
      </c>
      <c r="U612" s="2">
        <f>YEAR(B612)</f>
        <v>2021</v>
      </c>
      <c r="V612" s="2" t="str">
        <f>IF(DAY(B612)&gt;15,MONTH(B612)&amp;"-C",MONTH(B612)&amp;"-N")</f>
        <v>7-C</v>
      </c>
      <c r="W612" s="21">
        <v>40.18</v>
      </c>
      <c r="X612" s="2" t="b">
        <f t="shared" ref="X612:X614" si="379">+L612=W612</f>
        <v>1</v>
      </c>
    </row>
    <row r="613" spans="2:24" x14ac:dyDescent="0.2">
      <c r="B613" s="17">
        <v>44406</v>
      </c>
      <c r="C613" s="10" t="s">
        <v>107</v>
      </c>
      <c r="D613" s="11">
        <v>161563</v>
      </c>
      <c r="E613" s="26">
        <v>58693</v>
      </c>
      <c r="F613" s="10" t="s">
        <v>105</v>
      </c>
      <c r="G613" s="10" t="s">
        <v>46</v>
      </c>
      <c r="H613" s="27" t="s">
        <v>106</v>
      </c>
      <c r="I613" s="12"/>
      <c r="J613" s="12"/>
      <c r="K613" s="13">
        <v>3960</v>
      </c>
      <c r="L613" s="21">
        <v>13.29</v>
      </c>
      <c r="M613" s="14" t="s">
        <v>14</v>
      </c>
      <c r="N613" s="13">
        <v>52628.4</v>
      </c>
      <c r="O613" s="15">
        <f t="shared" si="378"/>
        <v>0</v>
      </c>
      <c r="P613" s="10" t="s">
        <v>84</v>
      </c>
      <c r="Q613" s="11" t="s">
        <v>1431</v>
      </c>
      <c r="R613" s="11" t="s">
        <v>1432</v>
      </c>
      <c r="S613" s="16" t="s">
        <v>1433</v>
      </c>
      <c r="T613" s="19" t="str">
        <f>MONTH(B613)&amp;"-"&amp;YEAR(B613)</f>
        <v>7-2021</v>
      </c>
      <c r="U613" s="2">
        <f>YEAR(B613)</f>
        <v>2021</v>
      </c>
      <c r="V613" s="2" t="str">
        <f>IF(DAY(B613)&gt;15,MONTH(B613)&amp;"-C",MONTH(B613)&amp;"-N")</f>
        <v>7-C</v>
      </c>
      <c r="W613" s="21">
        <v>13.29</v>
      </c>
      <c r="X613" s="2" t="b">
        <f t="shared" si="379"/>
        <v>1</v>
      </c>
    </row>
    <row r="614" spans="2:24" x14ac:dyDescent="0.2">
      <c r="B614" s="17">
        <v>44408</v>
      </c>
      <c r="C614" s="10" t="s">
        <v>433</v>
      </c>
      <c r="D614" s="11">
        <v>161502</v>
      </c>
      <c r="E614" s="26">
        <v>58706</v>
      </c>
      <c r="F614" s="10" t="s">
        <v>26</v>
      </c>
      <c r="G614" s="10" t="s">
        <v>27</v>
      </c>
      <c r="H614" s="27" t="s">
        <v>28</v>
      </c>
      <c r="I614" s="12"/>
      <c r="J614" s="12"/>
      <c r="K614" s="13">
        <v>19800</v>
      </c>
      <c r="L614" s="21">
        <v>5.5</v>
      </c>
      <c r="M614" s="14" t="s">
        <v>14</v>
      </c>
      <c r="N614" s="13">
        <v>108900</v>
      </c>
      <c r="O614" s="15">
        <f t="shared" si="378"/>
        <v>0</v>
      </c>
      <c r="P614" s="10" t="s">
        <v>78</v>
      </c>
      <c r="Q614" s="11" t="s">
        <v>1434</v>
      </c>
      <c r="R614" s="11" t="s">
        <v>1435</v>
      </c>
      <c r="S614" s="16" t="s">
        <v>1436</v>
      </c>
      <c r="T614" s="19" t="str">
        <f>MONTH(B614)&amp;"-"&amp;YEAR(B614)</f>
        <v>7-2021</v>
      </c>
      <c r="U614" s="2">
        <f>YEAR(B614)</f>
        <v>2021</v>
      </c>
      <c r="V614" s="2" t="str">
        <f>IF(DAY(B614)&gt;15,MONTH(B614)&amp;"-C",MONTH(B614)&amp;"-N")</f>
        <v>7-C</v>
      </c>
      <c r="W614" s="21">
        <v>5.5</v>
      </c>
      <c r="X614" s="2" t="b">
        <f t="shared" si="379"/>
        <v>1</v>
      </c>
    </row>
    <row r="615" spans="2:24" x14ac:dyDescent="0.2">
      <c r="B615" s="17">
        <v>44410</v>
      </c>
      <c r="C615" s="10" t="s">
        <v>25</v>
      </c>
      <c r="D615" s="11">
        <v>161518</v>
      </c>
      <c r="E615" s="26">
        <v>58727</v>
      </c>
      <c r="F615" s="10" t="s">
        <v>49</v>
      </c>
      <c r="G615" s="10" t="s">
        <v>27</v>
      </c>
      <c r="H615" s="27" t="s">
        <v>50</v>
      </c>
      <c r="I615" s="12"/>
      <c r="J615" s="12"/>
      <c r="K615" s="13">
        <v>3800</v>
      </c>
      <c r="L615" s="21">
        <v>11.6</v>
      </c>
      <c r="M615" s="14" t="s">
        <v>14</v>
      </c>
      <c r="N615" s="13">
        <v>44080</v>
      </c>
      <c r="O615" s="15">
        <f t="shared" ref="O615:O617" si="380">(N615/K615)-L615</f>
        <v>0</v>
      </c>
      <c r="P615" s="10" t="s">
        <v>78</v>
      </c>
      <c r="Q615" s="11" t="s">
        <v>1438</v>
      </c>
      <c r="R615" s="11" t="s">
        <v>1439</v>
      </c>
      <c r="S615" s="16" t="s">
        <v>1440</v>
      </c>
      <c r="T615" s="19" t="str">
        <f>MONTH(B615)&amp;"-"&amp;YEAR(B615)</f>
        <v>8-2021</v>
      </c>
      <c r="U615" s="2">
        <f>YEAR(B615)</f>
        <v>2021</v>
      </c>
      <c r="V615" s="2" t="str">
        <f>IF(DAY(B615)&gt;15,MONTH(B615)&amp;"-C",MONTH(B615)&amp;"-N")</f>
        <v>8-N</v>
      </c>
      <c r="W615" s="21">
        <v>11.6</v>
      </c>
      <c r="X615" s="2" t="b">
        <f t="shared" ref="X615:X617" si="381">+L615=W615</f>
        <v>1</v>
      </c>
    </row>
    <row r="616" spans="2:24" x14ac:dyDescent="0.2">
      <c r="B616" s="17">
        <v>44410</v>
      </c>
      <c r="C616" s="10" t="s">
        <v>48</v>
      </c>
      <c r="D616" s="11">
        <v>160301</v>
      </c>
      <c r="E616" s="26">
        <v>58751</v>
      </c>
      <c r="F616" s="10" t="s">
        <v>135</v>
      </c>
      <c r="G616" s="10" t="s">
        <v>46</v>
      </c>
      <c r="H616" s="27" t="s">
        <v>136</v>
      </c>
      <c r="I616" s="12"/>
      <c r="J616" s="12"/>
      <c r="K616" s="13">
        <v>1400</v>
      </c>
      <c r="L616" s="21">
        <v>10.44</v>
      </c>
      <c r="M616" s="14" t="s">
        <v>14</v>
      </c>
      <c r="N616" s="13">
        <v>14616</v>
      </c>
      <c r="O616" s="15">
        <f t="shared" si="380"/>
        <v>0</v>
      </c>
      <c r="P616" s="10" t="s">
        <v>90</v>
      </c>
      <c r="Q616" s="11" t="s">
        <v>1442</v>
      </c>
      <c r="R616" s="11" t="s">
        <v>1441</v>
      </c>
      <c r="S616" s="16" t="s">
        <v>1441</v>
      </c>
      <c r="T616" s="19" t="str">
        <f>MONTH(B616)&amp;"-"&amp;YEAR(B616)</f>
        <v>8-2021</v>
      </c>
      <c r="U616" s="2">
        <f>YEAR(B616)</f>
        <v>2021</v>
      </c>
      <c r="V616" s="2" t="str">
        <f>IF(DAY(B616)&gt;15,MONTH(B616)&amp;"-C",MONTH(B616)&amp;"-N")</f>
        <v>8-N</v>
      </c>
      <c r="W616" s="21">
        <v>10.44</v>
      </c>
      <c r="X616" s="2" t="b">
        <f t="shared" si="381"/>
        <v>1</v>
      </c>
    </row>
    <row r="617" spans="2:24" x14ac:dyDescent="0.2">
      <c r="B617" s="17">
        <v>44410</v>
      </c>
      <c r="C617" s="10" t="s">
        <v>48</v>
      </c>
      <c r="D617" s="11">
        <v>160301</v>
      </c>
      <c r="E617" s="26">
        <v>58751</v>
      </c>
      <c r="F617" s="10" t="s">
        <v>71</v>
      </c>
      <c r="G617" s="10" t="s">
        <v>46</v>
      </c>
      <c r="H617" s="27" t="s">
        <v>72</v>
      </c>
      <c r="I617" s="12"/>
      <c r="J617" s="12"/>
      <c r="K617" s="13">
        <v>14600</v>
      </c>
      <c r="L617" s="21">
        <v>10.44</v>
      </c>
      <c r="M617" s="14" t="s">
        <v>14</v>
      </c>
      <c r="N617" s="13">
        <v>152424</v>
      </c>
      <c r="O617" s="15">
        <f t="shared" si="380"/>
        <v>0</v>
      </c>
      <c r="P617" s="10" t="s">
        <v>90</v>
      </c>
      <c r="Q617" s="11" t="s">
        <v>1442</v>
      </c>
      <c r="R617" s="11" t="s">
        <v>1441</v>
      </c>
      <c r="S617" s="16" t="s">
        <v>1441</v>
      </c>
      <c r="T617" s="19" t="str">
        <f>MONTH(B617)&amp;"-"&amp;YEAR(B617)</f>
        <v>8-2021</v>
      </c>
      <c r="U617" s="2">
        <f>YEAR(B617)</f>
        <v>2021</v>
      </c>
      <c r="V617" s="2" t="str">
        <f>IF(DAY(B617)&gt;15,MONTH(B617)&amp;"-C",MONTH(B617)&amp;"-N")</f>
        <v>8-N</v>
      </c>
      <c r="W617" s="21">
        <v>10.44</v>
      </c>
      <c r="X617" s="2" t="b">
        <f t="shared" si="381"/>
        <v>1</v>
      </c>
    </row>
    <row r="618" spans="2:24" x14ac:dyDescent="0.2">
      <c r="B618" s="17">
        <v>44414</v>
      </c>
      <c r="C618" s="10" t="s">
        <v>433</v>
      </c>
      <c r="D618" s="11">
        <v>161502</v>
      </c>
      <c r="E618" s="26">
        <v>58781</v>
      </c>
      <c r="F618" s="10" t="s">
        <v>26</v>
      </c>
      <c r="G618" s="10" t="s">
        <v>27</v>
      </c>
      <c r="H618" s="27" t="s">
        <v>28</v>
      </c>
      <c r="I618" s="12"/>
      <c r="J618" s="12"/>
      <c r="K618" s="13">
        <v>19800</v>
      </c>
      <c r="L618" s="21">
        <v>5.5</v>
      </c>
      <c r="M618" s="14" t="s">
        <v>14</v>
      </c>
      <c r="N618" s="13">
        <v>108900</v>
      </c>
      <c r="O618" s="15">
        <f t="shared" ref="O618:O619" si="382">(N618/K618)-L618</f>
        <v>0</v>
      </c>
      <c r="P618" s="10" t="s">
        <v>78</v>
      </c>
      <c r="Q618" s="11" t="s">
        <v>1443</v>
      </c>
      <c r="R618" s="11" t="s">
        <v>1444</v>
      </c>
      <c r="S618" s="16" t="s">
        <v>1445</v>
      </c>
      <c r="T618" s="19" t="str">
        <f>MONTH(B618)&amp;"-"&amp;YEAR(B618)</f>
        <v>8-2021</v>
      </c>
      <c r="U618" s="2">
        <f>YEAR(B618)</f>
        <v>2021</v>
      </c>
      <c r="V618" s="2" t="str">
        <f>IF(DAY(B618)&gt;15,MONTH(B618)&amp;"-C",MONTH(B618)&amp;"-N")</f>
        <v>8-N</v>
      </c>
      <c r="W618" s="21">
        <v>5.5</v>
      </c>
      <c r="X618" s="2" t="b">
        <f t="shared" ref="X618:X619" si="383">+L618=W618</f>
        <v>1</v>
      </c>
    </row>
    <row r="619" spans="2:24" x14ac:dyDescent="0.2">
      <c r="B619" s="17">
        <v>44416</v>
      </c>
      <c r="C619" s="10" t="s">
        <v>82</v>
      </c>
      <c r="D619" s="11">
        <v>161858</v>
      </c>
      <c r="E619" s="26">
        <v>58813</v>
      </c>
      <c r="F619" s="10" t="s">
        <v>33</v>
      </c>
      <c r="G619" s="10" t="s">
        <v>27</v>
      </c>
      <c r="H619" s="27" t="s">
        <v>34</v>
      </c>
      <c r="I619" s="12"/>
      <c r="J619" s="12"/>
      <c r="K619" s="13">
        <v>1440</v>
      </c>
      <c r="L619" s="21">
        <v>7.85</v>
      </c>
      <c r="M619" s="14" t="s">
        <v>14</v>
      </c>
      <c r="N619" s="13">
        <v>11304</v>
      </c>
      <c r="O619" s="15">
        <f t="shared" si="382"/>
        <v>0</v>
      </c>
      <c r="P619" s="10" t="s">
        <v>78</v>
      </c>
      <c r="Q619" s="11" t="s">
        <v>1446</v>
      </c>
      <c r="R619" s="11" t="s">
        <v>1447</v>
      </c>
      <c r="S619" s="16" t="s">
        <v>1448</v>
      </c>
      <c r="T619" s="19" t="str">
        <f>MONTH(B619)&amp;"-"&amp;YEAR(B619)</f>
        <v>8-2021</v>
      </c>
      <c r="U619" s="2">
        <f>YEAR(B619)</f>
        <v>2021</v>
      </c>
      <c r="V619" s="2" t="str">
        <f>IF(DAY(B619)&gt;15,MONTH(B619)&amp;"-C",MONTH(B619)&amp;"-N")</f>
        <v>8-N</v>
      </c>
      <c r="W619" s="21">
        <v>7.85</v>
      </c>
      <c r="X619" s="2" t="b">
        <f t="shared" si="383"/>
        <v>1</v>
      </c>
    </row>
    <row r="620" spans="2:24" x14ac:dyDescent="0.2">
      <c r="B620" s="17">
        <v>44419</v>
      </c>
      <c r="C620" s="10" t="s">
        <v>25</v>
      </c>
      <c r="D620" s="11">
        <v>161500</v>
      </c>
      <c r="E620" s="26">
        <v>58860</v>
      </c>
      <c r="F620" s="10" t="s">
        <v>26</v>
      </c>
      <c r="G620" s="10" t="s">
        <v>27</v>
      </c>
      <c r="H620" s="27" t="s">
        <v>28</v>
      </c>
      <c r="I620" s="12"/>
      <c r="J620" s="12"/>
      <c r="K620" s="13">
        <v>16200</v>
      </c>
      <c r="L620" s="21">
        <v>5.63</v>
      </c>
      <c r="M620" s="14" t="s">
        <v>14</v>
      </c>
      <c r="N620" s="13">
        <v>91206</v>
      </c>
      <c r="O620" s="15">
        <f t="shared" ref="O620:O624" si="384">(N620/K620)-L620</f>
        <v>0</v>
      </c>
      <c r="P620" s="10" t="s">
        <v>78</v>
      </c>
      <c r="Q620" s="11" t="s">
        <v>1449</v>
      </c>
      <c r="R620" s="11" t="s">
        <v>1450</v>
      </c>
      <c r="S620" s="16" t="s">
        <v>1451</v>
      </c>
      <c r="T620" s="19" t="str">
        <f>MONTH(B620)&amp;"-"&amp;YEAR(B620)</f>
        <v>8-2021</v>
      </c>
      <c r="U620" s="2">
        <f>YEAR(B620)</f>
        <v>2021</v>
      </c>
      <c r="V620" s="2" t="str">
        <f>IF(DAY(B620)&gt;15,MONTH(B620)&amp;"-C",MONTH(B620)&amp;"-N")</f>
        <v>8-N</v>
      </c>
      <c r="W620" s="21">
        <v>5.63</v>
      </c>
      <c r="X620" s="2" t="b">
        <f t="shared" ref="X620:X624" si="385">+L620=W620</f>
        <v>1</v>
      </c>
    </row>
    <row r="621" spans="2:24" x14ac:dyDescent="0.2">
      <c r="B621" s="17">
        <v>44419</v>
      </c>
      <c r="C621" s="10" t="s">
        <v>107</v>
      </c>
      <c r="D621" s="11">
        <v>161872</v>
      </c>
      <c r="E621" s="26">
        <v>58861</v>
      </c>
      <c r="F621" s="10" t="s">
        <v>142</v>
      </c>
      <c r="G621" s="10" t="s">
        <v>46</v>
      </c>
      <c r="H621" s="27" t="s">
        <v>143</v>
      </c>
      <c r="I621" s="12"/>
      <c r="J621" s="12"/>
      <c r="K621" s="13">
        <v>2200</v>
      </c>
      <c r="L621" s="21">
        <v>8.6</v>
      </c>
      <c r="M621" s="14" t="s">
        <v>14</v>
      </c>
      <c r="N621" s="13">
        <v>18920</v>
      </c>
      <c r="O621" s="15">
        <f t="shared" si="384"/>
        <v>0</v>
      </c>
      <c r="P621" s="10" t="s">
        <v>81</v>
      </c>
      <c r="Q621" s="11" t="s">
        <v>1452</v>
      </c>
      <c r="R621" s="11" t="s">
        <v>1453</v>
      </c>
      <c r="S621" s="16" t="s">
        <v>1454</v>
      </c>
      <c r="T621" s="19" t="str">
        <f>MONTH(B621)&amp;"-"&amp;YEAR(B621)</f>
        <v>8-2021</v>
      </c>
      <c r="U621" s="2">
        <f>YEAR(B621)</f>
        <v>2021</v>
      </c>
      <c r="V621" s="2" t="str">
        <f>IF(DAY(B621)&gt;15,MONTH(B621)&amp;"-C",MONTH(B621)&amp;"-N")</f>
        <v>8-N</v>
      </c>
      <c r="W621" s="21">
        <v>8.6</v>
      </c>
      <c r="X621" s="2" t="b">
        <f t="shared" si="385"/>
        <v>1</v>
      </c>
    </row>
    <row r="622" spans="2:24" x14ac:dyDescent="0.2">
      <c r="B622" s="17">
        <v>44419</v>
      </c>
      <c r="C622" s="10" t="s">
        <v>107</v>
      </c>
      <c r="D622" s="11">
        <v>161872</v>
      </c>
      <c r="E622" s="26">
        <v>58861</v>
      </c>
      <c r="F622" s="10" t="s">
        <v>144</v>
      </c>
      <c r="G622" s="10" t="s">
        <v>46</v>
      </c>
      <c r="H622" s="27" t="s">
        <v>145</v>
      </c>
      <c r="I622" s="12"/>
      <c r="J622" s="12"/>
      <c r="K622" s="13">
        <v>340</v>
      </c>
      <c r="L622" s="21">
        <v>17.25</v>
      </c>
      <c r="M622" s="14" t="s">
        <v>14</v>
      </c>
      <c r="N622" s="13">
        <v>5865</v>
      </c>
      <c r="O622" s="15">
        <f t="shared" si="384"/>
        <v>0</v>
      </c>
      <c r="P622" s="10" t="s">
        <v>81</v>
      </c>
      <c r="Q622" s="11" t="s">
        <v>1452</v>
      </c>
      <c r="R622" s="11" t="s">
        <v>1453</v>
      </c>
      <c r="S622" s="16" t="s">
        <v>1454</v>
      </c>
      <c r="T622" s="19" t="str">
        <f>MONTH(B622)&amp;"-"&amp;YEAR(B622)</f>
        <v>8-2021</v>
      </c>
      <c r="U622" s="2">
        <f>YEAR(B622)</f>
        <v>2021</v>
      </c>
      <c r="V622" s="2" t="str">
        <f>IF(DAY(B622)&gt;15,MONTH(B622)&amp;"-C",MONTH(B622)&amp;"-N")</f>
        <v>8-N</v>
      </c>
      <c r="W622" s="21">
        <v>17.25</v>
      </c>
      <c r="X622" s="2" t="b">
        <f t="shared" si="385"/>
        <v>1</v>
      </c>
    </row>
    <row r="623" spans="2:24" x14ac:dyDescent="0.2">
      <c r="B623" s="17">
        <v>44419</v>
      </c>
      <c r="C623" s="10" t="s">
        <v>107</v>
      </c>
      <c r="D623" s="11">
        <v>161563</v>
      </c>
      <c r="E623" s="26">
        <v>58861</v>
      </c>
      <c r="F623" s="10" t="s">
        <v>103</v>
      </c>
      <c r="G623" s="10" t="s">
        <v>46</v>
      </c>
      <c r="H623" s="27" t="s">
        <v>104</v>
      </c>
      <c r="I623" s="12"/>
      <c r="J623" s="12"/>
      <c r="K623" s="13">
        <v>60</v>
      </c>
      <c r="L623" s="21">
        <v>40.18</v>
      </c>
      <c r="M623" s="14" t="s">
        <v>14</v>
      </c>
      <c r="N623" s="13">
        <v>2410.8000000000002</v>
      </c>
      <c r="O623" s="15">
        <f t="shared" si="384"/>
        <v>0</v>
      </c>
      <c r="P623" s="10" t="s">
        <v>81</v>
      </c>
      <c r="Q623" s="11" t="s">
        <v>1452</v>
      </c>
      <c r="R623" s="11" t="s">
        <v>1453</v>
      </c>
      <c r="S623" s="16" t="s">
        <v>1454</v>
      </c>
      <c r="T623" s="19" t="str">
        <f>MONTH(B623)&amp;"-"&amp;YEAR(B623)</f>
        <v>8-2021</v>
      </c>
      <c r="U623" s="2">
        <f>YEAR(B623)</f>
        <v>2021</v>
      </c>
      <c r="V623" s="2" t="str">
        <f>IF(DAY(B623)&gt;15,MONTH(B623)&amp;"-C",MONTH(B623)&amp;"-N")</f>
        <v>8-N</v>
      </c>
      <c r="W623" s="21">
        <v>40.18</v>
      </c>
      <c r="X623" s="2" t="b">
        <f t="shared" si="385"/>
        <v>1</v>
      </c>
    </row>
    <row r="624" spans="2:24" x14ac:dyDescent="0.2">
      <c r="B624" s="17">
        <v>44419</v>
      </c>
      <c r="C624" s="10" t="s">
        <v>107</v>
      </c>
      <c r="D624" s="11">
        <v>161563</v>
      </c>
      <c r="E624" s="26">
        <v>58861</v>
      </c>
      <c r="F624" s="10" t="s">
        <v>105</v>
      </c>
      <c r="G624" s="10" t="s">
        <v>46</v>
      </c>
      <c r="H624" s="27" t="s">
        <v>106</v>
      </c>
      <c r="I624" s="12"/>
      <c r="J624" s="12"/>
      <c r="K624" s="13">
        <v>1760</v>
      </c>
      <c r="L624" s="21">
        <v>13.29</v>
      </c>
      <c r="M624" s="14" t="s">
        <v>14</v>
      </c>
      <c r="N624" s="13">
        <v>23390.400000000001</v>
      </c>
      <c r="O624" s="15">
        <f t="shared" si="384"/>
        <v>0</v>
      </c>
      <c r="P624" s="10" t="s">
        <v>81</v>
      </c>
      <c r="Q624" s="11" t="s">
        <v>1452</v>
      </c>
      <c r="R624" s="11" t="s">
        <v>1453</v>
      </c>
      <c r="S624" s="16" t="s">
        <v>1454</v>
      </c>
      <c r="T624" s="19" t="str">
        <f>MONTH(B624)&amp;"-"&amp;YEAR(B624)</f>
        <v>8-2021</v>
      </c>
      <c r="U624" s="2">
        <f>YEAR(B624)</f>
        <v>2021</v>
      </c>
      <c r="V624" s="2" t="str">
        <f>IF(DAY(B624)&gt;15,MONTH(B624)&amp;"-C",MONTH(B624)&amp;"-N")</f>
        <v>8-N</v>
      </c>
      <c r="W624" s="21">
        <v>13.29</v>
      </c>
      <c r="X624" s="2" t="b">
        <f t="shared" si="385"/>
        <v>1</v>
      </c>
    </row>
    <row r="625" spans="2:24" x14ac:dyDescent="0.2">
      <c r="B625" s="17">
        <v>44424</v>
      </c>
      <c r="C625" s="10" t="s">
        <v>108</v>
      </c>
      <c r="D625" s="11">
        <v>161869</v>
      </c>
      <c r="E625" s="26">
        <v>58925</v>
      </c>
      <c r="F625" s="10" t="s">
        <v>139</v>
      </c>
      <c r="G625" s="10" t="s">
        <v>46</v>
      </c>
      <c r="H625" s="27" t="s">
        <v>140</v>
      </c>
      <c r="I625" s="12"/>
      <c r="J625" s="12"/>
      <c r="K625" s="13">
        <v>2760</v>
      </c>
      <c r="L625" s="21">
        <v>11.98</v>
      </c>
      <c r="M625" s="14" t="s">
        <v>14</v>
      </c>
      <c r="N625" s="13">
        <v>33064.800000000003</v>
      </c>
      <c r="O625" s="15">
        <f t="shared" ref="O625:O628" si="386">(N625/K625)-L625</f>
        <v>0</v>
      </c>
      <c r="P625" s="10" t="s">
        <v>84</v>
      </c>
      <c r="Q625" s="11" t="s">
        <v>1457</v>
      </c>
      <c r="R625" s="11" t="s">
        <v>1456</v>
      </c>
      <c r="S625" s="16" t="s">
        <v>1456</v>
      </c>
      <c r="T625" s="19" t="str">
        <f>MONTH(B625)&amp;"-"&amp;YEAR(B625)</f>
        <v>8-2021</v>
      </c>
      <c r="U625" s="2">
        <f>YEAR(B625)</f>
        <v>2021</v>
      </c>
      <c r="V625" s="2" t="str">
        <f>IF(DAY(B625)&gt;15,MONTH(B625)&amp;"-C",MONTH(B625)&amp;"-N")</f>
        <v>8-C</v>
      </c>
      <c r="W625" s="21">
        <v>11.98</v>
      </c>
      <c r="X625" s="2" t="b">
        <f t="shared" ref="X625:X628" si="387">+L625=W625</f>
        <v>1</v>
      </c>
    </row>
    <row r="626" spans="2:24" x14ac:dyDescent="0.2">
      <c r="B626" s="17">
        <v>44424</v>
      </c>
      <c r="C626" s="10" t="s">
        <v>108</v>
      </c>
      <c r="D626" s="11">
        <v>161869</v>
      </c>
      <c r="E626" s="26">
        <v>58925</v>
      </c>
      <c r="F626" s="10" t="s">
        <v>129</v>
      </c>
      <c r="G626" s="10" t="s">
        <v>46</v>
      </c>
      <c r="H626" s="27" t="s">
        <v>130</v>
      </c>
      <c r="I626" s="12"/>
      <c r="J626" s="12"/>
      <c r="K626" s="13">
        <v>4600</v>
      </c>
      <c r="L626" s="21">
        <v>12.53</v>
      </c>
      <c r="M626" s="14" t="s">
        <v>14</v>
      </c>
      <c r="N626" s="13">
        <v>57638</v>
      </c>
      <c r="O626" s="15">
        <f t="shared" si="386"/>
        <v>0</v>
      </c>
      <c r="P626" s="10" t="s">
        <v>84</v>
      </c>
      <c r="Q626" s="11" t="s">
        <v>1457</v>
      </c>
      <c r="R626" s="11" t="s">
        <v>1456</v>
      </c>
      <c r="S626" s="16" t="s">
        <v>1456</v>
      </c>
      <c r="T626" s="19" t="str">
        <f>MONTH(B626)&amp;"-"&amp;YEAR(B626)</f>
        <v>8-2021</v>
      </c>
      <c r="U626" s="2">
        <f>YEAR(B626)</f>
        <v>2021</v>
      </c>
      <c r="V626" s="2" t="str">
        <f>IF(DAY(B626)&gt;15,MONTH(B626)&amp;"-C",MONTH(B626)&amp;"-N")</f>
        <v>8-C</v>
      </c>
      <c r="W626" s="21">
        <v>12.53</v>
      </c>
      <c r="X626" s="2" t="b">
        <f t="shared" si="387"/>
        <v>1</v>
      </c>
    </row>
    <row r="627" spans="2:24" x14ac:dyDescent="0.2">
      <c r="B627" s="17">
        <v>44424</v>
      </c>
      <c r="C627" s="10" t="s">
        <v>80</v>
      </c>
      <c r="D627" s="11">
        <v>161843</v>
      </c>
      <c r="E627" s="26">
        <v>58923</v>
      </c>
      <c r="F627" s="10" t="s">
        <v>26</v>
      </c>
      <c r="G627" s="10" t="s">
        <v>27</v>
      </c>
      <c r="H627" s="27" t="s">
        <v>28</v>
      </c>
      <c r="I627" s="12"/>
      <c r="J627" s="12"/>
      <c r="K627" s="13">
        <v>3600</v>
      </c>
      <c r="L627" s="21">
        <v>5.08</v>
      </c>
      <c r="M627" s="14" t="s">
        <v>14</v>
      </c>
      <c r="N627" s="13">
        <v>18288</v>
      </c>
      <c r="O627" s="15">
        <f t="shared" si="386"/>
        <v>0</v>
      </c>
      <c r="P627" s="10" t="s">
        <v>78</v>
      </c>
      <c r="Q627" s="11" t="s">
        <v>1460</v>
      </c>
      <c r="R627" s="11" t="s">
        <v>1461</v>
      </c>
      <c r="S627" s="16" t="s">
        <v>1459</v>
      </c>
      <c r="T627" s="19" t="str">
        <f>MONTH(B627)&amp;"-"&amp;YEAR(B627)</f>
        <v>8-2021</v>
      </c>
      <c r="U627" s="2">
        <f>YEAR(B627)</f>
        <v>2021</v>
      </c>
      <c r="V627" s="2" t="str">
        <f>IF(DAY(B627)&gt;15,MONTH(B627)&amp;"-C",MONTH(B627)&amp;"-N")</f>
        <v>8-C</v>
      </c>
      <c r="W627" s="21">
        <v>5.08</v>
      </c>
      <c r="X627" s="2" t="b">
        <f t="shared" si="387"/>
        <v>1</v>
      </c>
    </row>
    <row r="628" spans="2:24" x14ac:dyDescent="0.2">
      <c r="B628" s="17">
        <v>44425</v>
      </c>
      <c r="C628" s="10" t="s">
        <v>80</v>
      </c>
      <c r="D628" s="11">
        <v>161843</v>
      </c>
      <c r="E628" s="26">
        <v>58944</v>
      </c>
      <c r="F628" s="10" t="s">
        <v>26</v>
      </c>
      <c r="G628" s="10" t="s">
        <v>27</v>
      </c>
      <c r="H628" s="27" t="s">
        <v>28</v>
      </c>
      <c r="I628" s="12"/>
      <c r="J628" s="12"/>
      <c r="K628" s="13">
        <v>5400</v>
      </c>
      <c r="L628" s="21">
        <v>5.08</v>
      </c>
      <c r="M628" s="14" t="s">
        <v>14</v>
      </c>
      <c r="N628" s="13">
        <v>27432</v>
      </c>
      <c r="O628" s="15">
        <f t="shared" si="386"/>
        <v>0</v>
      </c>
      <c r="P628" s="10" t="s">
        <v>78</v>
      </c>
      <c r="Q628" s="11" t="s">
        <v>1462</v>
      </c>
      <c r="R628" s="11" t="s">
        <v>1463</v>
      </c>
      <c r="S628" s="16" t="s">
        <v>1464</v>
      </c>
      <c r="T628" s="19" t="str">
        <f>MONTH(B628)&amp;"-"&amp;YEAR(B628)</f>
        <v>8-2021</v>
      </c>
      <c r="U628" s="2">
        <f>YEAR(B628)</f>
        <v>2021</v>
      </c>
      <c r="V628" s="2" t="str">
        <f>IF(DAY(B628)&gt;15,MONTH(B628)&amp;"-C",MONTH(B628)&amp;"-N")</f>
        <v>8-C</v>
      </c>
      <c r="W628" s="21">
        <v>5.08</v>
      </c>
      <c r="X628" s="2" t="b">
        <f t="shared" si="387"/>
        <v>1</v>
      </c>
    </row>
    <row r="629" spans="2:24" x14ac:dyDescent="0.2">
      <c r="B629" s="17">
        <v>44426</v>
      </c>
      <c r="C629" s="10" t="s">
        <v>107</v>
      </c>
      <c r="D629" s="11">
        <v>161563</v>
      </c>
      <c r="E629" s="26">
        <v>58974</v>
      </c>
      <c r="F629" s="10" t="s">
        <v>103</v>
      </c>
      <c r="G629" s="10" t="s">
        <v>46</v>
      </c>
      <c r="H629" s="27" t="s">
        <v>104</v>
      </c>
      <c r="I629" s="12"/>
      <c r="J629" s="12"/>
      <c r="K629" s="13">
        <v>20</v>
      </c>
      <c r="L629" s="21">
        <v>40.18</v>
      </c>
      <c r="M629" s="14" t="s">
        <v>14</v>
      </c>
      <c r="N629" s="13">
        <v>803.6</v>
      </c>
      <c r="O629" s="15">
        <f t="shared" ref="O629:O634" si="388">(N629/K629)-L629</f>
        <v>0</v>
      </c>
      <c r="P629" s="10" t="s">
        <v>84</v>
      </c>
      <c r="Q629" s="11" t="s">
        <v>1465</v>
      </c>
      <c r="R629" s="11" t="s">
        <v>1466</v>
      </c>
      <c r="S629" s="16" t="s">
        <v>1467</v>
      </c>
      <c r="T629" s="19" t="str">
        <f>MONTH(B629)&amp;"-"&amp;YEAR(B629)</f>
        <v>8-2021</v>
      </c>
      <c r="U629" s="2">
        <f>YEAR(B629)</f>
        <v>2021</v>
      </c>
      <c r="V629" s="2" t="str">
        <f>IF(DAY(B629)&gt;15,MONTH(B629)&amp;"-C",MONTH(B629)&amp;"-N")</f>
        <v>8-C</v>
      </c>
      <c r="W629" s="21">
        <v>40.18</v>
      </c>
      <c r="X629" s="2" t="b">
        <f t="shared" ref="X629:X634" si="389">+L629=W629</f>
        <v>1</v>
      </c>
    </row>
    <row r="630" spans="2:24" x14ac:dyDescent="0.2">
      <c r="B630" s="17">
        <v>44426</v>
      </c>
      <c r="C630" s="10" t="s">
        <v>107</v>
      </c>
      <c r="D630" s="11">
        <v>161696</v>
      </c>
      <c r="E630" s="26">
        <v>58974</v>
      </c>
      <c r="F630" s="10" t="s">
        <v>103</v>
      </c>
      <c r="G630" s="10" t="s">
        <v>46</v>
      </c>
      <c r="H630" s="27" t="s">
        <v>104</v>
      </c>
      <c r="I630" s="12"/>
      <c r="J630" s="12"/>
      <c r="K630" s="13">
        <v>70</v>
      </c>
      <c r="L630" s="21">
        <v>40.18</v>
      </c>
      <c r="M630" s="14" t="s">
        <v>14</v>
      </c>
      <c r="N630" s="13">
        <v>2812.6</v>
      </c>
      <c r="O630" s="15">
        <f t="shared" si="388"/>
        <v>0</v>
      </c>
      <c r="P630" s="10" t="s">
        <v>84</v>
      </c>
      <c r="Q630" s="11" t="s">
        <v>1465</v>
      </c>
      <c r="R630" s="11" t="s">
        <v>1466</v>
      </c>
      <c r="S630" s="16" t="s">
        <v>1467</v>
      </c>
      <c r="T630" s="19" t="str">
        <f>MONTH(B630)&amp;"-"&amp;YEAR(B630)</f>
        <v>8-2021</v>
      </c>
      <c r="U630" s="2">
        <f>YEAR(B630)</f>
        <v>2021</v>
      </c>
      <c r="V630" s="2" t="str">
        <f>IF(DAY(B630)&gt;15,MONTH(B630)&amp;"-C",MONTH(B630)&amp;"-N")</f>
        <v>8-C</v>
      </c>
      <c r="W630" s="21">
        <v>40.18</v>
      </c>
      <c r="X630" s="2" t="b">
        <f t="shared" si="389"/>
        <v>1</v>
      </c>
    </row>
    <row r="631" spans="2:24" x14ac:dyDescent="0.2">
      <c r="B631" s="17">
        <v>44426</v>
      </c>
      <c r="C631" s="10" t="s">
        <v>107</v>
      </c>
      <c r="D631" s="11">
        <v>161563</v>
      </c>
      <c r="E631" s="26">
        <v>58974</v>
      </c>
      <c r="F631" s="10" t="s">
        <v>105</v>
      </c>
      <c r="G631" s="10" t="s">
        <v>46</v>
      </c>
      <c r="H631" s="27" t="s">
        <v>106</v>
      </c>
      <c r="I631" s="12"/>
      <c r="J631" s="12"/>
      <c r="K631" s="13">
        <v>1100</v>
      </c>
      <c r="L631" s="21">
        <v>13.29</v>
      </c>
      <c r="M631" s="14" t="s">
        <v>14</v>
      </c>
      <c r="N631" s="13">
        <v>14619</v>
      </c>
      <c r="O631" s="15">
        <f t="shared" si="388"/>
        <v>0</v>
      </c>
      <c r="P631" s="10" t="s">
        <v>84</v>
      </c>
      <c r="Q631" s="11" t="s">
        <v>1465</v>
      </c>
      <c r="R631" s="11" t="s">
        <v>1466</v>
      </c>
      <c r="S631" s="16" t="s">
        <v>1467</v>
      </c>
      <c r="T631" s="19" t="str">
        <f>MONTH(B631)&amp;"-"&amp;YEAR(B631)</f>
        <v>8-2021</v>
      </c>
      <c r="U631" s="2">
        <f>YEAR(B631)</f>
        <v>2021</v>
      </c>
      <c r="V631" s="2" t="str">
        <f>IF(DAY(B631)&gt;15,MONTH(B631)&amp;"-C",MONTH(B631)&amp;"-N")</f>
        <v>8-C</v>
      </c>
      <c r="W631" s="21">
        <v>13.29</v>
      </c>
      <c r="X631" s="2" t="b">
        <f t="shared" si="389"/>
        <v>1</v>
      </c>
    </row>
    <row r="632" spans="2:24" x14ac:dyDescent="0.2">
      <c r="B632" s="17">
        <v>44426</v>
      </c>
      <c r="C632" s="10" t="s">
        <v>107</v>
      </c>
      <c r="D632" s="11">
        <v>161696</v>
      </c>
      <c r="E632" s="26">
        <v>58974</v>
      </c>
      <c r="F632" s="10" t="s">
        <v>105</v>
      </c>
      <c r="G632" s="10" t="s">
        <v>46</v>
      </c>
      <c r="H632" s="27" t="s">
        <v>106</v>
      </c>
      <c r="I632" s="12"/>
      <c r="J632" s="12"/>
      <c r="K632" s="13">
        <v>2200</v>
      </c>
      <c r="L632" s="21">
        <v>13.29</v>
      </c>
      <c r="M632" s="14" t="s">
        <v>14</v>
      </c>
      <c r="N632" s="13">
        <v>29238</v>
      </c>
      <c r="O632" s="15">
        <f t="shared" si="388"/>
        <v>0</v>
      </c>
      <c r="P632" s="10" t="s">
        <v>84</v>
      </c>
      <c r="Q632" s="11" t="s">
        <v>1465</v>
      </c>
      <c r="R632" s="11" t="s">
        <v>1466</v>
      </c>
      <c r="S632" s="16" t="s">
        <v>1467</v>
      </c>
      <c r="T632" s="19" t="str">
        <f>MONTH(B632)&amp;"-"&amp;YEAR(B632)</f>
        <v>8-2021</v>
      </c>
      <c r="U632" s="2">
        <f>YEAR(B632)</f>
        <v>2021</v>
      </c>
      <c r="V632" s="2" t="str">
        <f>IF(DAY(B632)&gt;15,MONTH(B632)&amp;"-C",MONTH(B632)&amp;"-N")</f>
        <v>8-C</v>
      </c>
      <c r="W632" s="21">
        <v>13.29</v>
      </c>
      <c r="X632" s="2" t="b">
        <f t="shared" si="389"/>
        <v>1</v>
      </c>
    </row>
    <row r="633" spans="2:24" x14ac:dyDescent="0.2">
      <c r="B633" s="17">
        <v>44426</v>
      </c>
      <c r="C633" s="10" t="s">
        <v>80</v>
      </c>
      <c r="D633" s="11">
        <v>161843</v>
      </c>
      <c r="E633" s="26">
        <v>58970</v>
      </c>
      <c r="F633" s="10" t="s">
        <v>26</v>
      </c>
      <c r="G633" s="10" t="s">
        <v>27</v>
      </c>
      <c r="H633" s="27" t="s">
        <v>28</v>
      </c>
      <c r="I633" s="12"/>
      <c r="J633" s="12"/>
      <c r="K633" s="13">
        <v>3600</v>
      </c>
      <c r="L633" s="21">
        <v>5.08</v>
      </c>
      <c r="M633" s="14" t="s">
        <v>14</v>
      </c>
      <c r="N633" s="13">
        <v>18288</v>
      </c>
      <c r="O633" s="15">
        <f t="shared" si="388"/>
        <v>0</v>
      </c>
      <c r="P633" s="10" t="s">
        <v>78</v>
      </c>
      <c r="Q633" s="11" t="s">
        <v>1468</v>
      </c>
      <c r="R633" s="11" t="s">
        <v>1469</v>
      </c>
      <c r="S633" s="16" t="s">
        <v>1470</v>
      </c>
      <c r="T633" s="19" t="str">
        <f>MONTH(B633)&amp;"-"&amp;YEAR(B633)</f>
        <v>8-2021</v>
      </c>
      <c r="U633" s="2">
        <f>YEAR(B633)</f>
        <v>2021</v>
      </c>
      <c r="V633" s="2" t="str">
        <f>IF(DAY(B633)&gt;15,MONTH(B633)&amp;"-C",MONTH(B633)&amp;"-N")</f>
        <v>8-C</v>
      </c>
      <c r="W633" s="21">
        <v>5.08</v>
      </c>
      <c r="X633" s="2" t="b">
        <f t="shared" si="389"/>
        <v>1</v>
      </c>
    </row>
    <row r="634" spans="2:24" x14ac:dyDescent="0.2">
      <c r="B634" s="17">
        <v>44426</v>
      </c>
      <c r="C634" s="10" t="s">
        <v>80</v>
      </c>
      <c r="D634" s="11">
        <v>161843</v>
      </c>
      <c r="E634" s="26">
        <v>58973</v>
      </c>
      <c r="F634" s="10" t="s">
        <v>26</v>
      </c>
      <c r="G634" s="10" t="s">
        <v>27</v>
      </c>
      <c r="H634" s="27" t="s">
        <v>28</v>
      </c>
      <c r="I634" s="12"/>
      <c r="J634" s="12"/>
      <c r="K634" s="13">
        <v>3600</v>
      </c>
      <c r="L634" s="21">
        <v>5.08</v>
      </c>
      <c r="M634" s="14" t="s">
        <v>14</v>
      </c>
      <c r="N634" s="13">
        <v>18288</v>
      </c>
      <c r="O634" s="15">
        <f t="shared" si="388"/>
        <v>0</v>
      </c>
      <c r="P634" s="10" t="s">
        <v>78</v>
      </c>
      <c r="Q634" s="11" t="s">
        <v>1471</v>
      </c>
      <c r="R634" s="11" t="s">
        <v>1472</v>
      </c>
      <c r="S634" s="16" t="s">
        <v>1473</v>
      </c>
      <c r="T634" s="19" t="str">
        <f>MONTH(B634)&amp;"-"&amp;YEAR(B634)</f>
        <v>8-2021</v>
      </c>
      <c r="U634" s="2">
        <f>YEAR(B634)</f>
        <v>2021</v>
      </c>
      <c r="V634" s="2" t="str">
        <f>IF(DAY(B634)&gt;15,MONTH(B634)&amp;"-C",MONTH(B634)&amp;"-N")</f>
        <v>8-C</v>
      </c>
      <c r="W634" s="21">
        <v>5.08</v>
      </c>
      <c r="X634" s="2" t="b">
        <f t="shared" si="389"/>
        <v>1</v>
      </c>
    </row>
    <row r="635" spans="2:24" x14ac:dyDescent="0.2">
      <c r="B635" s="17">
        <v>44427</v>
      </c>
      <c r="C635" s="10" t="s">
        <v>80</v>
      </c>
      <c r="D635" s="11">
        <v>161843</v>
      </c>
      <c r="E635" s="26">
        <v>58992</v>
      </c>
      <c r="F635" s="10" t="s">
        <v>26</v>
      </c>
      <c r="G635" s="10" t="s">
        <v>27</v>
      </c>
      <c r="H635" s="27" t="s">
        <v>28</v>
      </c>
      <c r="I635" s="12"/>
      <c r="J635" s="12"/>
      <c r="K635" s="13">
        <v>6300</v>
      </c>
      <c r="L635" s="21">
        <v>5.08</v>
      </c>
      <c r="M635" s="14" t="s">
        <v>14</v>
      </c>
      <c r="N635" s="13">
        <v>32004</v>
      </c>
      <c r="O635" s="15">
        <f t="shared" ref="O635" si="390">(N635/K635)-L635</f>
        <v>0</v>
      </c>
      <c r="P635" s="10" t="s">
        <v>78</v>
      </c>
      <c r="Q635" s="11" t="s">
        <v>1474</v>
      </c>
      <c r="R635" s="11" t="s">
        <v>1475</v>
      </c>
      <c r="S635" s="16" t="s">
        <v>1476</v>
      </c>
      <c r="T635" s="19" t="str">
        <f>MONTH(B635)&amp;"-"&amp;YEAR(B635)</f>
        <v>8-2021</v>
      </c>
      <c r="U635" s="2">
        <f>YEAR(B635)</f>
        <v>2021</v>
      </c>
      <c r="V635" s="2" t="str">
        <f>IF(DAY(B635)&gt;15,MONTH(B635)&amp;"-C",MONTH(B635)&amp;"-N")</f>
        <v>8-C</v>
      </c>
      <c r="W635" s="21">
        <v>5.08</v>
      </c>
      <c r="X635" s="2" t="b">
        <f t="shared" ref="X635" si="391">+L635=W635</f>
        <v>1</v>
      </c>
    </row>
    <row r="636" spans="2:24" x14ac:dyDescent="0.2">
      <c r="B636" s="17">
        <v>44429</v>
      </c>
      <c r="C636" s="10" t="s">
        <v>25</v>
      </c>
      <c r="D636" s="11">
        <v>161878</v>
      </c>
      <c r="E636" s="26">
        <v>59011</v>
      </c>
      <c r="F636" s="10" t="s">
        <v>26</v>
      </c>
      <c r="G636" s="10" t="s">
        <v>27</v>
      </c>
      <c r="H636" s="27" t="s">
        <v>28</v>
      </c>
      <c r="I636" s="12"/>
      <c r="J636" s="12"/>
      <c r="K636" s="13">
        <v>15300</v>
      </c>
      <c r="L636" s="21">
        <v>5.08</v>
      </c>
      <c r="M636" s="14" t="s">
        <v>14</v>
      </c>
      <c r="N636" s="13">
        <v>77724</v>
      </c>
      <c r="O636" s="15">
        <f t="shared" ref="O636" si="392">(N636/K636)-L636</f>
        <v>0</v>
      </c>
      <c r="P636" s="10" t="s">
        <v>78</v>
      </c>
      <c r="Q636" s="11" t="s">
        <v>1479</v>
      </c>
      <c r="R636" s="11" t="s">
        <v>1480</v>
      </c>
      <c r="S636" s="16" t="s">
        <v>1481</v>
      </c>
      <c r="T636" s="19" t="str">
        <f>MONTH(B636)&amp;"-"&amp;YEAR(B636)</f>
        <v>8-2021</v>
      </c>
      <c r="U636" s="2">
        <f>YEAR(B636)</f>
        <v>2021</v>
      </c>
      <c r="V636" s="2" t="str">
        <f>IF(DAY(B636)&gt;15,MONTH(B636)&amp;"-C",MONTH(B636)&amp;"-N")</f>
        <v>8-C</v>
      </c>
      <c r="W636" s="21">
        <v>5.08</v>
      </c>
      <c r="X636" s="2" t="b">
        <f t="shared" ref="X636" si="393">+L636=W636</f>
        <v>1</v>
      </c>
    </row>
    <row r="637" spans="2:24" x14ac:dyDescent="0.2">
      <c r="B637" s="17">
        <v>44432</v>
      </c>
      <c r="C637" s="10" t="s">
        <v>25</v>
      </c>
      <c r="D637" s="11">
        <v>161500</v>
      </c>
      <c r="E637" s="26">
        <v>59010</v>
      </c>
      <c r="F637" s="10" t="s">
        <v>26</v>
      </c>
      <c r="G637" s="10" t="s">
        <v>27</v>
      </c>
      <c r="H637" s="27" t="s">
        <v>28</v>
      </c>
      <c r="I637" s="12"/>
      <c r="J637" s="12"/>
      <c r="K637" s="13">
        <v>4200</v>
      </c>
      <c r="L637" s="21">
        <v>5.63</v>
      </c>
      <c r="M637" s="14" t="s">
        <v>14</v>
      </c>
      <c r="N637" s="13">
        <v>23646</v>
      </c>
      <c r="O637" s="15">
        <f t="shared" ref="O637:O638" si="394">(N637/K637)-L637</f>
        <v>0</v>
      </c>
      <c r="P637" s="10" t="s">
        <v>78</v>
      </c>
      <c r="Q637" s="11" t="s">
        <v>1482</v>
      </c>
      <c r="R637" s="11" t="s">
        <v>1483</v>
      </c>
      <c r="S637" s="16" t="s">
        <v>1484</v>
      </c>
      <c r="T637" s="19" t="str">
        <f>MONTH(B637)&amp;"-"&amp;YEAR(B637)</f>
        <v>8-2021</v>
      </c>
      <c r="U637" s="2">
        <f>YEAR(B637)</f>
        <v>2021</v>
      </c>
      <c r="V637" s="2" t="str">
        <f>IF(DAY(B637)&gt;15,MONTH(B637)&amp;"-C",MONTH(B637)&amp;"-N")</f>
        <v>8-C</v>
      </c>
      <c r="W637" s="21">
        <v>5.63</v>
      </c>
      <c r="X637" s="2" t="b">
        <f t="shared" ref="X637:X638" si="395">+L637=W637</f>
        <v>1</v>
      </c>
    </row>
    <row r="638" spans="2:24" x14ac:dyDescent="0.2">
      <c r="B638" s="17">
        <v>44433</v>
      </c>
      <c r="C638" s="10" t="s">
        <v>82</v>
      </c>
      <c r="D638" s="11">
        <v>162070</v>
      </c>
      <c r="E638" s="26">
        <v>59077</v>
      </c>
      <c r="F638" s="10" t="s">
        <v>33</v>
      </c>
      <c r="G638" s="10" t="s">
        <v>27</v>
      </c>
      <c r="H638" s="27" t="s">
        <v>34</v>
      </c>
      <c r="I638" s="12"/>
      <c r="J638" s="12"/>
      <c r="K638" s="13">
        <v>720</v>
      </c>
      <c r="L638" s="21">
        <v>7.85</v>
      </c>
      <c r="M638" s="14" t="s">
        <v>14</v>
      </c>
      <c r="N638" s="13">
        <v>5652</v>
      </c>
      <c r="O638" s="15">
        <f t="shared" si="394"/>
        <v>0</v>
      </c>
      <c r="P638" s="10" t="s">
        <v>78</v>
      </c>
      <c r="Q638" s="11" t="s">
        <v>1485</v>
      </c>
      <c r="R638" s="11" t="s">
        <v>1486</v>
      </c>
      <c r="S638" s="16" t="s">
        <v>1487</v>
      </c>
      <c r="T638" s="19" t="str">
        <f>MONTH(B638)&amp;"-"&amp;YEAR(B638)</f>
        <v>8-2021</v>
      </c>
      <c r="U638" s="2">
        <f>YEAR(B638)</f>
        <v>2021</v>
      </c>
      <c r="V638" s="2" t="str">
        <f>IF(DAY(B638)&gt;15,MONTH(B638)&amp;"-C",MONTH(B638)&amp;"-N")</f>
        <v>8-C</v>
      </c>
      <c r="W638" s="21">
        <v>7.85</v>
      </c>
      <c r="X638" s="2" t="b">
        <f t="shared" si="395"/>
        <v>1</v>
      </c>
    </row>
    <row r="639" spans="2:24" x14ac:dyDescent="0.2">
      <c r="B639" s="17">
        <v>44434</v>
      </c>
      <c r="C639" s="10" t="s">
        <v>25</v>
      </c>
      <c r="D639" s="11">
        <v>161878</v>
      </c>
      <c r="E639" s="26">
        <v>59095</v>
      </c>
      <c r="F639" s="10" t="s">
        <v>26</v>
      </c>
      <c r="G639" s="10" t="s">
        <v>27</v>
      </c>
      <c r="H639" s="27" t="s">
        <v>28</v>
      </c>
      <c r="I639" s="12"/>
      <c r="J639" s="12"/>
      <c r="K639" s="13">
        <v>19800</v>
      </c>
      <c r="L639" s="21">
        <v>5.08</v>
      </c>
      <c r="M639" s="14" t="s">
        <v>14</v>
      </c>
      <c r="N639" s="13">
        <v>100584</v>
      </c>
      <c r="O639" s="15">
        <f t="shared" ref="O639" si="396">(N639/K639)-L639</f>
        <v>0</v>
      </c>
      <c r="P639" s="10" t="s">
        <v>78</v>
      </c>
      <c r="Q639" s="11" t="s">
        <v>1488</v>
      </c>
      <c r="R639" s="11" t="s">
        <v>1437</v>
      </c>
      <c r="S639" s="16" t="s">
        <v>1489</v>
      </c>
      <c r="T639" s="19" t="str">
        <f>MONTH(B639)&amp;"-"&amp;YEAR(B639)</f>
        <v>8-2021</v>
      </c>
      <c r="U639" s="2">
        <f>YEAR(B639)</f>
        <v>2021</v>
      </c>
      <c r="V639" s="2" t="str">
        <f>IF(DAY(B639)&gt;15,MONTH(B639)&amp;"-C",MONTH(B639)&amp;"-N")</f>
        <v>8-C</v>
      </c>
      <c r="W639" s="21">
        <v>5.08</v>
      </c>
      <c r="X639" s="2" t="b">
        <f t="shared" ref="X639" si="397">+L639=W639</f>
        <v>1</v>
      </c>
    </row>
    <row r="640" spans="2:24" x14ac:dyDescent="0.2">
      <c r="B640" s="17">
        <v>44438</v>
      </c>
      <c r="C640" s="10" t="s">
        <v>80</v>
      </c>
      <c r="D640" s="11">
        <v>161843</v>
      </c>
      <c r="E640" s="26">
        <v>59161</v>
      </c>
      <c r="F640" s="10" t="s">
        <v>26</v>
      </c>
      <c r="G640" s="10" t="s">
        <v>27</v>
      </c>
      <c r="H640" s="27" t="s">
        <v>28</v>
      </c>
      <c r="I640" s="12"/>
      <c r="J640" s="12"/>
      <c r="K640" s="13">
        <v>5400</v>
      </c>
      <c r="L640" s="21">
        <v>5.08</v>
      </c>
      <c r="M640" s="14" t="s">
        <v>14</v>
      </c>
      <c r="N640" s="13">
        <v>27432</v>
      </c>
      <c r="O640" s="15">
        <f t="shared" ref="O640:O643" si="398">(N640/K640)-L640</f>
        <v>0</v>
      </c>
      <c r="P640" s="10" t="s">
        <v>78</v>
      </c>
      <c r="Q640" s="11" t="s">
        <v>1491</v>
      </c>
      <c r="R640" s="11" t="s">
        <v>1492</v>
      </c>
      <c r="S640" s="16" t="s">
        <v>1493</v>
      </c>
      <c r="T640" s="19" t="str">
        <f>MONTH(B640)&amp;"-"&amp;YEAR(B640)</f>
        <v>8-2021</v>
      </c>
      <c r="U640" s="2">
        <f>YEAR(B640)</f>
        <v>2021</v>
      </c>
      <c r="V640" s="2" t="str">
        <f>IF(DAY(B640)&gt;15,MONTH(B640)&amp;"-C",MONTH(B640)&amp;"-N")</f>
        <v>8-C</v>
      </c>
      <c r="W640" s="21">
        <v>5.08</v>
      </c>
      <c r="X640" s="2" t="b">
        <f t="shared" ref="X640:X643" si="399">+L640=W640</f>
        <v>1</v>
      </c>
    </row>
    <row r="641" spans="2:24" x14ac:dyDescent="0.2">
      <c r="B641" s="17">
        <v>44439</v>
      </c>
      <c r="C641" s="10" t="s">
        <v>80</v>
      </c>
      <c r="D641" s="11">
        <v>161843</v>
      </c>
      <c r="E641" s="26">
        <v>59174</v>
      </c>
      <c r="F641" s="10" t="s">
        <v>26</v>
      </c>
      <c r="G641" s="10" t="s">
        <v>27</v>
      </c>
      <c r="H641" s="27" t="s">
        <v>28</v>
      </c>
      <c r="I641" s="12"/>
      <c r="J641" s="12"/>
      <c r="K641" s="13">
        <v>6300</v>
      </c>
      <c r="L641" s="21">
        <v>5.08</v>
      </c>
      <c r="M641" s="14" t="s">
        <v>14</v>
      </c>
      <c r="N641" s="13">
        <v>32004</v>
      </c>
      <c r="O641" s="15">
        <f t="shared" si="398"/>
        <v>0</v>
      </c>
      <c r="P641" s="10" t="s">
        <v>78</v>
      </c>
      <c r="Q641" s="11" t="s">
        <v>1494</v>
      </c>
      <c r="R641" s="11" t="s">
        <v>1495</v>
      </c>
      <c r="S641" s="16" t="s">
        <v>1496</v>
      </c>
      <c r="T641" s="19" t="str">
        <f>MONTH(B641)&amp;"-"&amp;YEAR(B641)</f>
        <v>8-2021</v>
      </c>
      <c r="U641" s="2">
        <f>YEAR(B641)</f>
        <v>2021</v>
      </c>
      <c r="V641" s="2" t="str">
        <f>IF(DAY(B641)&gt;15,MONTH(B641)&amp;"-C",MONTH(B641)&amp;"-N")</f>
        <v>8-C</v>
      </c>
      <c r="W641" s="21">
        <v>5.08</v>
      </c>
      <c r="X641" s="2" t="b">
        <f t="shared" si="399"/>
        <v>1</v>
      </c>
    </row>
    <row r="642" spans="2:24" x14ac:dyDescent="0.2">
      <c r="B642" s="17">
        <v>44440</v>
      </c>
      <c r="C642" s="10" t="s">
        <v>107</v>
      </c>
      <c r="D642" s="11">
        <v>161696</v>
      </c>
      <c r="E642" s="26">
        <v>59191</v>
      </c>
      <c r="F642" s="10" t="s">
        <v>103</v>
      </c>
      <c r="G642" s="10" t="s">
        <v>46</v>
      </c>
      <c r="H642" s="27" t="s">
        <v>104</v>
      </c>
      <c r="I642" s="12"/>
      <c r="J642" s="12"/>
      <c r="K642" s="13">
        <v>120</v>
      </c>
      <c r="L642" s="21">
        <v>40.18</v>
      </c>
      <c r="M642" s="14" t="s">
        <v>14</v>
      </c>
      <c r="N642" s="13">
        <v>4821.6000000000004</v>
      </c>
      <c r="O642" s="15">
        <f t="shared" si="398"/>
        <v>0</v>
      </c>
      <c r="P642" s="10" t="s">
        <v>84</v>
      </c>
      <c r="Q642" s="11" t="s">
        <v>1497</v>
      </c>
      <c r="R642" s="11" t="s">
        <v>1498</v>
      </c>
      <c r="S642" s="16" t="s">
        <v>1499</v>
      </c>
      <c r="T642" s="19" t="str">
        <f>MONTH(B642)&amp;"-"&amp;YEAR(B642)</f>
        <v>9-2021</v>
      </c>
      <c r="U642" s="2">
        <f>YEAR(B642)</f>
        <v>2021</v>
      </c>
      <c r="V642" s="2" t="str">
        <f>IF(DAY(B642)&gt;15,MONTH(B642)&amp;"-C",MONTH(B642)&amp;"-N")</f>
        <v>9-N</v>
      </c>
      <c r="W642" s="21">
        <v>40.18</v>
      </c>
      <c r="X642" s="2" t="b">
        <f t="shared" si="399"/>
        <v>1</v>
      </c>
    </row>
    <row r="643" spans="2:24" x14ac:dyDescent="0.2">
      <c r="B643" s="17">
        <v>44440</v>
      </c>
      <c r="C643" s="10" t="s">
        <v>107</v>
      </c>
      <c r="D643" s="11">
        <v>161696</v>
      </c>
      <c r="E643" s="26">
        <v>59191</v>
      </c>
      <c r="F643" s="10" t="s">
        <v>105</v>
      </c>
      <c r="G643" s="10" t="s">
        <v>46</v>
      </c>
      <c r="H643" s="27" t="s">
        <v>106</v>
      </c>
      <c r="I643" s="12"/>
      <c r="J643" s="12"/>
      <c r="K643" s="13">
        <v>3740</v>
      </c>
      <c r="L643" s="21">
        <v>13.29</v>
      </c>
      <c r="M643" s="14" t="s">
        <v>14</v>
      </c>
      <c r="N643" s="13">
        <v>49704.6</v>
      </c>
      <c r="O643" s="15">
        <f t="shared" si="398"/>
        <v>0</v>
      </c>
      <c r="P643" s="10" t="s">
        <v>84</v>
      </c>
      <c r="Q643" s="11" t="s">
        <v>1497</v>
      </c>
      <c r="R643" s="11" t="s">
        <v>1498</v>
      </c>
      <c r="S643" s="16" t="s">
        <v>1499</v>
      </c>
      <c r="T643" s="19" t="str">
        <f>MONTH(B643)&amp;"-"&amp;YEAR(B643)</f>
        <v>9-2021</v>
      </c>
      <c r="U643" s="2">
        <f>YEAR(B643)</f>
        <v>2021</v>
      </c>
      <c r="V643" s="2" t="str">
        <f>IF(DAY(B643)&gt;15,MONTH(B643)&amp;"-C",MONTH(B643)&amp;"-N")</f>
        <v>9-N</v>
      </c>
      <c r="W643" s="21">
        <v>13.29</v>
      </c>
      <c r="X643" s="2" t="b">
        <f t="shared" si="399"/>
        <v>1</v>
      </c>
    </row>
    <row r="644" spans="2:24" x14ac:dyDescent="0.2">
      <c r="B644" s="17">
        <v>44441</v>
      </c>
      <c r="C644" s="10" t="s">
        <v>80</v>
      </c>
      <c r="D644" s="11">
        <v>161843</v>
      </c>
      <c r="E644" s="26">
        <v>59196</v>
      </c>
      <c r="F644" s="10" t="s">
        <v>26</v>
      </c>
      <c r="G644" s="10" t="s">
        <v>27</v>
      </c>
      <c r="H644" s="27" t="s">
        <v>28</v>
      </c>
      <c r="I644" s="12"/>
      <c r="J644" s="12"/>
      <c r="K644" s="13">
        <v>1800</v>
      </c>
      <c r="L644" s="21">
        <v>5.08</v>
      </c>
      <c r="M644" s="14" t="s">
        <v>14</v>
      </c>
      <c r="N644" s="13">
        <v>9144</v>
      </c>
      <c r="O644" s="15">
        <f t="shared" ref="O644:O645" si="400">(N644/K644)-L644</f>
        <v>0</v>
      </c>
      <c r="P644" s="10" t="s">
        <v>78</v>
      </c>
      <c r="Q644" s="11" t="s">
        <v>1500</v>
      </c>
      <c r="R644" s="11" t="s">
        <v>1501</v>
      </c>
      <c r="S644" s="16" t="s">
        <v>1502</v>
      </c>
      <c r="T644" s="19" t="str">
        <f>MONTH(B644)&amp;"-"&amp;YEAR(B644)</f>
        <v>9-2021</v>
      </c>
      <c r="U644" s="2">
        <f>YEAR(B644)</f>
        <v>2021</v>
      </c>
      <c r="V644" s="2" t="str">
        <f>IF(DAY(B644)&gt;15,MONTH(B644)&amp;"-C",MONTH(B644)&amp;"-N")</f>
        <v>9-N</v>
      </c>
      <c r="W644" s="21">
        <v>5.08</v>
      </c>
      <c r="X644" s="2" t="b">
        <f t="shared" ref="X644:X645" si="401">+L644=W644</f>
        <v>1</v>
      </c>
    </row>
    <row r="645" spans="2:24" x14ac:dyDescent="0.2">
      <c r="B645" s="17">
        <v>44441</v>
      </c>
      <c r="C645" s="10" t="s">
        <v>80</v>
      </c>
      <c r="D645" s="11">
        <v>161843</v>
      </c>
      <c r="E645" s="26">
        <v>59195</v>
      </c>
      <c r="F645" s="10" t="s">
        <v>26</v>
      </c>
      <c r="G645" s="10" t="s">
        <v>27</v>
      </c>
      <c r="H645" s="27" t="s">
        <v>28</v>
      </c>
      <c r="I645" s="12"/>
      <c r="J645" s="12"/>
      <c r="K645" s="13">
        <v>3600</v>
      </c>
      <c r="L645" s="21">
        <v>5.08</v>
      </c>
      <c r="M645" s="14" t="s">
        <v>14</v>
      </c>
      <c r="N645" s="13">
        <v>18288</v>
      </c>
      <c r="O645" s="15">
        <f t="shared" si="400"/>
        <v>0</v>
      </c>
      <c r="P645" s="10" t="s">
        <v>78</v>
      </c>
      <c r="Q645" s="11" t="s">
        <v>1503</v>
      </c>
      <c r="R645" s="11" t="s">
        <v>1504</v>
      </c>
      <c r="S645" s="16" t="s">
        <v>1505</v>
      </c>
      <c r="T645" s="19" t="str">
        <f>MONTH(B645)&amp;"-"&amp;YEAR(B645)</f>
        <v>9-2021</v>
      </c>
      <c r="U645" s="2">
        <f>YEAR(B645)</f>
        <v>2021</v>
      </c>
      <c r="V645" s="2" t="str">
        <f>IF(DAY(B645)&gt;15,MONTH(B645)&amp;"-C",MONTH(B645)&amp;"-N")</f>
        <v>9-N</v>
      </c>
      <c r="W645" s="21">
        <v>5.08</v>
      </c>
      <c r="X645" s="2" t="b">
        <f t="shared" si="401"/>
        <v>1</v>
      </c>
    </row>
    <row r="646" spans="2:24" x14ac:dyDescent="0.2">
      <c r="B646" s="17">
        <v>44444</v>
      </c>
      <c r="C646" s="10" t="s">
        <v>25</v>
      </c>
      <c r="D646" s="11">
        <v>161878</v>
      </c>
      <c r="E646" s="26">
        <v>59243</v>
      </c>
      <c r="F646" s="10" t="s">
        <v>26</v>
      </c>
      <c r="G646" s="10" t="s">
        <v>27</v>
      </c>
      <c r="H646" s="27" t="s">
        <v>28</v>
      </c>
      <c r="I646" s="12"/>
      <c r="J646" s="12"/>
      <c r="K646" s="13">
        <v>18000</v>
      </c>
      <c r="L646" s="21">
        <v>5.08</v>
      </c>
      <c r="M646" s="14" t="s">
        <v>14</v>
      </c>
      <c r="N646" s="13">
        <v>91440</v>
      </c>
      <c r="O646" s="15">
        <f t="shared" ref="O646:O648" si="402">(N646/K646)-L646</f>
        <v>0</v>
      </c>
      <c r="P646" s="10" t="s">
        <v>78</v>
      </c>
      <c r="Q646" s="11" t="s">
        <v>1506</v>
      </c>
      <c r="R646" s="11" t="s">
        <v>1430</v>
      </c>
      <c r="S646" s="16" t="s">
        <v>1507</v>
      </c>
      <c r="T646" s="19" t="str">
        <f>MONTH(B646)&amp;"-"&amp;YEAR(B646)</f>
        <v>9-2021</v>
      </c>
      <c r="U646" s="2">
        <f>YEAR(B646)</f>
        <v>2021</v>
      </c>
      <c r="V646" s="2" t="str">
        <f>IF(DAY(B646)&gt;15,MONTH(B646)&amp;"-C",MONTH(B646)&amp;"-N")</f>
        <v>9-N</v>
      </c>
      <c r="W646" s="21">
        <v>5.08</v>
      </c>
      <c r="X646" s="2" t="b">
        <f t="shared" ref="X646:X648" si="403">+L646=W646</f>
        <v>1</v>
      </c>
    </row>
    <row r="647" spans="2:24" x14ac:dyDescent="0.2">
      <c r="B647" s="17">
        <v>44445</v>
      </c>
      <c r="C647" s="10" t="s">
        <v>25</v>
      </c>
      <c r="D647" s="11">
        <v>162107</v>
      </c>
      <c r="E647" s="26">
        <v>59258</v>
      </c>
      <c r="F647" s="10" t="s">
        <v>31</v>
      </c>
      <c r="G647" s="10" t="s">
        <v>27</v>
      </c>
      <c r="H647" s="27" t="s">
        <v>32</v>
      </c>
      <c r="I647" s="12"/>
      <c r="J647" s="12"/>
      <c r="K647" s="13">
        <v>1920</v>
      </c>
      <c r="L647" s="21">
        <v>4</v>
      </c>
      <c r="M647" s="14" t="s">
        <v>14</v>
      </c>
      <c r="N647" s="13">
        <v>7680</v>
      </c>
      <c r="O647" s="15">
        <f t="shared" si="402"/>
        <v>0</v>
      </c>
      <c r="P647" s="10" t="s">
        <v>78</v>
      </c>
      <c r="Q647" s="11" t="s">
        <v>1508</v>
      </c>
      <c r="R647" s="11" t="s">
        <v>1429</v>
      </c>
      <c r="S647" s="16" t="s">
        <v>1509</v>
      </c>
      <c r="T647" s="19" t="str">
        <f>MONTH(B647)&amp;"-"&amp;YEAR(B647)</f>
        <v>9-2021</v>
      </c>
      <c r="U647" s="2">
        <f>YEAR(B647)</f>
        <v>2021</v>
      </c>
      <c r="V647" s="2" t="str">
        <f>IF(DAY(B647)&gt;15,MONTH(B647)&amp;"-C",MONTH(B647)&amp;"-N")</f>
        <v>9-N</v>
      </c>
      <c r="W647" s="21">
        <v>4</v>
      </c>
      <c r="X647" s="2" t="b">
        <f t="shared" si="403"/>
        <v>1</v>
      </c>
    </row>
    <row r="648" spans="2:24" x14ac:dyDescent="0.2">
      <c r="B648" s="17">
        <v>44445</v>
      </c>
      <c r="C648" s="10" t="s">
        <v>25</v>
      </c>
      <c r="D648" s="11">
        <v>162107</v>
      </c>
      <c r="E648" s="26">
        <v>59258</v>
      </c>
      <c r="F648" s="10" t="s">
        <v>33</v>
      </c>
      <c r="G648" s="10" t="s">
        <v>27</v>
      </c>
      <c r="H648" s="27" t="s">
        <v>34</v>
      </c>
      <c r="I648" s="12"/>
      <c r="J648" s="12"/>
      <c r="K648" s="13">
        <v>1440</v>
      </c>
      <c r="L648" s="21">
        <v>7.5</v>
      </c>
      <c r="M648" s="14" t="s">
        <v>14</v>
      </c>
      <c r="N648" s="13">
        <v>10800</v>
      </c>
      <c r="O648" s="15">
        <f t="shared" si="402"/>
        <v>0</v>
      </c>
      <c r="P648" s="10" t="s">
        <v>78</v>
      </c>
      <c r="Q648" s="11" t="s">
        <v>1508</v>
      </c>
      <c r="R648" s="11" t="s">
        <v>1429</v>
      </c>
      <c r="S648" s="16" t="s">
        <v>1509</v>
      </c>
      <c r="T648" s="19" t="str">
        <f>MONTH(B648)&amp;"-"&amp;YEAR(B648)</f>
        <v>9-2021</v>
      </c>
      <c r="U648" s="2">
        <f>YEAR(B648)</f>
        <v>2021</v>
      </c>
      <c r="V648" s="2" t="str">
        <f>IF(DAY(B648)&gt;15,MONTH(B648)&amp;"-C",MONTH(B648)&amp;"-N")</f>
        <v>9-N</v>
      </c>
      <c r="W648" s="21">
        <v>7.5</v>
      </c>
      <c r="X648" s="2" t="b">
        <f t="shared" si="403"/>
        <v>1</v>
      </c>
    </row>
    <row r="649" spans="2:24" x14ac:dyDescent="0.2">
      <c r="B649" s="17">
        <v>44448</v>
      </c>
      <c r="C649" s="10" t="s">
        <v>25</v>
      </c>
      <c r="D649" s="11">
        <v>161878</v>
      </c>
      <c r="E649" s="26">
        <v>59317</v>
      </c>
      <c r="F649" s="10" t="s">
        <v>26</v>
      </c>
      <c r="G649" s="10" t="s">
        <v>27</v>
      </c>
      <c r="H649" s="27" t="s">
        <v>28</v>
      </c>
      <c r="I649" s="12"/>
      <c r="J649" s="12"/>
      <c r="K649" s="13">
        <v>18000</v>
      </c>
      <c r="L649" s="21">
        <v>5.08</v>
      </c>
      <c r="M649" s="14" t="s">
        <v>14</v>
      </c>
      <c r="N649" s="13">
        <v>91440</v>
      </c>
      <c r="O649" s="15">
        <f t="shared" ref="O649" si="404">(N649/K649)-L649</f>
        <v>0</v>
      </c>
      <c r="P649" s="10" t="s">
        <v>78</v>
      </c>
      <c r="Q649" s="11" t="s">
        <v>1510</v>
      </c>
      <c r="R649" s="11" t="s">
        <v>1511</v>
      </c>
      <c r="S649" s="16" t="s">
        <v>1512</v>
      </c>
      <c r="T649" s="19" t="str">
        <f>MONTH(B649)&amp;"-"&amp;YEAR(B649)</f>
        <v>9-2021</v>
      </c>
      <c r="U649" s="2">
        <f>YEAR(B649)</f>
        <v>2021</v>
      </c>
      <c r="V649" s="2" t="str">
        <f>IF(DAY(B649)&gt;15,MONTH(B649)&amp;"-C",MONTH(B649)&amp;"-N")</f>
        <v>9-N</v>
      </c>
      <c r="W649" s="21">
        <v>5.08</v>
      </c>
      <c r="X649" s="2" t="b">
        <f t="shared" ref="X649" si="405">+L649=W649</f>
        <v>1</v>
      </c>
    </row>
    <row r="650" spans="2:24" x14ac:dyDescent="0.2">
      <c r="B650" s="17">
        <v>44451</v>
      </c>
      <c r="C650" s="10" t="s">
        <v>80</v>
      </c>
      <c r="D650" s="11">
        <v>162170</v>
      </c>
      <c r="E650" s="26">
        <v>59354</v>
      </c>
      <c r="F650" s="10" t="s">
        <v>26</v>
      </c>
      <c r="G650" s="10" t="s">
        <v>27</v>
      </c>
      <c r="H650" s="27" t="s">
        <v>28</v>
      </c>
      <c r="I650" s="12"/>
      <c r="J650" s="12"/>
      <c r="K650" s="13">
        <v>1800</v>
      </c>
      <c r="L650" s="21">
        <v>5.08</v>
      </c>
      <c r="M650" s="14" t="s">
        <v>14</v>
      </c>
      <c r="N650" s="13">
        <v>9144</v>
      </c>
      <c r="O650" s="15">
        <f t="shared" ref="O650:O651" si="406">(N650/K650)-L650</f>
        <v>0</v>
      </c>
      <c r="P650" s="10" t="s">
        <v>78</v>
      </c>
      <c r="Q650" s="11" t="s">
        <v>1515</v>
      </c>
      <c r="R650" s="11" t="s">
        <v>1516</v>
      </c>
      <c r="S650" s="16" t="s">
        <v>1517</v>
      </c>
      <c r="T650" s="19" t="str">
        <f>MONTH(B650)&amp;"-"&amp;YEAR(B650)</f>
        <v>9-2021</v>
      </c>
      <c r="U650" s="2">
        <f>YEAR(B650)</f>
        <v>2021</v>
      </c>
      <c r="V650" s="2" t="str">
        <f>IF(DAY(B650)&gt;15,MONTH(B650)&amp;"-C",MONTH(B650)&amp;"-N")</f>
        <v>9-N</v>
      </c>
      <c r="W650" s="21">
        <v>5.08</v>
      </c>
      <c r="X650" s="2" t="b">
        <f t="shared" ref="X650:X651" si="407">+L650=W650</f>
        <v>1</v>
      </c>
    </row>
    <row r="651" spans="2:24" x14ac:dyDescent="0.2">
      <c r="B651" s="17">
        <v>44451</v>
      </c>
      <c r="C651" s="10" t="s">
        <v>80</v>
      </c>
      <c r="D651" s="11">
        <v>162170</v>
      </c>
      <c r="E651" s="26">
        <v>59355</v>
      </c>
      <c r="F651" s="10" t="s">
        <v>26</v>
      </c>
      <c r="G651" s="10" t="s">
        <v>27</v>
      </c>
      <c r="H651" s="27" t="s">
        <v>28</v>
      </c>
      <c r="I651" s="12"/>
      <c r="J651" s="12"/>
      <c r="K651" s="13">
        <v>3600</v>
      </c>
      <c r="L651" s="21">
        <v>5.08</v>
      </c>
      <c r="M651" s="14" t="s">
        <v>14</v>
      </c>
      <c r="N651" s="13">
        <v>18288</v>
      </c>
      <c r="O651" s="15">
        <f t="shared" si="406"/>
        <v>0</v>
      </c>
      <c r="P651" s="10" t="s">
        <v>78</v>
      </c>
      <c r="Q651" s="11" t="s">
        <v>1518</v>
      </c>
      <c r="R651" s="11" t="s">
        <v>1519</v>
      </c>
      <c r="S651" s="16" t="s">
        <v>1520</v>
      </c>
      <c r="T651" s="19" t="str">
        <f>MONTH(B651)&amp;"-"&amp;YEAR(B651)</f>
        <v>9-2021</v>
      </c>
      <c r="U651" s="2">
        <f>YEAR(B651)</f>
        <v>2021</v>
      </c>
      <c r="V651" s="2" t="str">
        <f>IF(DAY(B651)&gt;15,MONTH(B651)&amp;"-C",MONTH(B651)&amp;"-N")</f>
        <v>9-N</v>
      </c>
      <c r="W651" s="21">
        <v>5.08</v>
      </c>
      <c r="X651" s="2" t="b">
        <f t="shared" si="407"/>
        <v>1</v>
      </c>
    </row>
    <row r="652" spans="2:24" x14ac:dyDescent="0.2">
      <c r="B652" s="17">
        <v>44453</v>
      </c>
      <c r="C652" s="10" t="s">
        <v>80</v>
      </c>
      <c r="D652" s="11">
        <v>161843</v>
      </c>
      <c r="E652" s="26">
        <v>59383</v>
      </c>
      <c r="F652" s="10" t="s">
        <v>26</v>
      </c>
      <c r="G652" s="10" t="s">
        <v>27</v>
      </c>
      <c r="H652" s="27" t="s">
        <v>28</v>
      </c>
      <c r="I652" s="12"/>
      <c r="J652" s="12"/>
      <c r="K652" s="13">
        <v>400</v>
      </c>
      <c r="L652" s="21">
        <v>5.08</v>
      </c>
      <c r="M652" s="14" t="s">
        <v>14</v>
      </c>
      <c r="N652" s="13">
        <v>2032</v>
      </c>
      <c r="O652" s="15">
        <f t="shared" ref="O652:O653" si="408">(N652/K652)-L652</f>
        <v>0</v>
      </c>
      <c r="P652" s="10" t="s">
        <v>78</v>
      </c>
      <c r="Q652" s="11" t="s">
        <v>1522</v>
      </c>
      <c r="R652" s="11" t="s">
        <v>1523</v>
      </c>
      <c r="S652" s="16" t="s">
        <v>1524</v>
      </c>
      <c r="T652" s="19" t="str">
        <f>MONTH(B652)&amp;"-"&amp;YEAR(B652)</f>
        <v>9-2021</v>
      </c>
      <c r="U652" s="2">
        <f>YEAR(B652)</f>
        <v>2021</v>
      </c>
      <c r="V652" s="2" t="str">
        <f>IF(DAY(B652)&gt;15,MONTH(B652)&amp;"-C",MONTH(B652)&amp;"-N")</f>
        <v>9-N</v>
      </c>
      <c r="W652" s="21">
        <v>5.08</v>
      </c>
      <c r="X652" s="2" t="b">
        <f t="shared" ref="X652:X653" si="409">+L652=W652</f>
        <v>1</v>
      </c>
    </row>
    <row r="653" spans="2:24" x14ac:dyDescent="0.2">
      <c r="B653" s="17">
        <v>44453</v>
      </c>
      <c r="C653" s="10" t="s">
        <v>80</v>
      </c>
      <c r="D653" s="11">
        <v>162170</v>
      </c>
      <c r="E653" s="26">
        <v>59382</v>
      </c>
      <c r="F653" s="10" t="s">
        <v>26</v>
      </c>
      <c r="G653" s="10" t="s">
        <v>27</v>
      </c>
      <c r="H653" s="27" t="s">
        <v>28</v>
      </c>
      <c r="I653" s="12"/>
      <c r="J653" s="12"/>
      <c r="K653" s="13">
        <v>4500</v>
      </c>
      <c r="L653" s="21">
        <v>5.08</v>
      </c>
      <c r="M653" s="14" t="s">
        <v>14</v>
      </c>
      <c r="N653" s="13">
        <v>22860</v>
      </c>
      <c r="O653" s="15">
        <f t="shared" si="408"/>
        <v>0</v>
      </c>
      <c r="P653" s="10" t="s">
        <v>78</v>
      </c>
      <c r="Q653" s="11" t="s">
        <v>1525</v>
      </c>
      <c r="R653" s="11" t="s">
        <v>1526</v>
      </c>
      <c r="S653" s="16" t="s">
        <v>1527</v>
      </c>
      <c r="T653" s="19" t="str">
        <f>MONTH(B653)&amp;"-"&amp;YEAR(B653)</f>
        <v>9-2021</v>
      </c>
      <c r="U653" s="2">
        <f>YEAR(B653)</f>
        <v>2021</v>
      </c>
      <c r="V653" s="2" t="str">
        <f>IF(DAY(B653)&gt;15,MONTH(B653)&amp;"-C",MONTH(B653)&amp;"-N")</f>
        <v>9-N</v>
      </c>
      <c r="W653" s="21">
        <v>5.08</v>
      </c>
      <c r="X653" s="2" t="b">
        <f t="shared" si="409"/>
        <v>1</v>
      </c>
    </row>
    <row r="654" spans="2:24" x14ac:dyDescent="0.2">
      <c r="B654" s="17">
        <v>44454</v>
      </c>
      <c r="C654" s="10" t="s">
        <v>80</v>
      </c>
      <c r="D654" s="11">
        <v>162170</v>
      </c>
      <c r="E654" s="26">
        <v>59412</v>
      </c>
      <c r="F654" s="10" t="s">
        <v>26</v>
      </c>
      <c r="G654" s="10" t="s">
        <v>27</v>
      </c>
      <c r="H654" s="27" t="s">
        <v>28</v>
      </c>
      <c r="I654" s="12"/>
      <c r="J654" s="12"/>
      <c r="K654" s="13">
        <v>3600</v>
      </c>
      <c r="L654" s="21">
        <v>5.08</v>
      </c>
      <c r="M654" s="14" t="s">
        <v>14</v>
      </c>
      <c r="N654" s="13">
        <v>18288</v>
      </c>
      <c r="O654" s="15">
        <f t="shared" ref="O654" si="410">(N654/K654)-L654</f>
        <v>0</v>
      </c>
      <c r="P654" s="10" t="s">
        <v>78</v>
      </c>
      <c r="Q654" s="11" t="s">
        <v>1528</v>
      </c>
      <c r="R654" s="11" t="s">
        <v>1529</v>
      </c>
      <c r="S654" s="16" t="s">
        <v>1530</v>
      </c>
      <c r="T654" s="19" t="str">
        <f>MONTH(B654)&amp;"-"&amp;YEAR(B654)</f>
        <v>9-2021</v>
      </c>
      <c r="U654" s="2">
        <f>YEAR(B654)</f>
        <v>2021</v>
      </c>
      <c r="V654" s="2" t="str">
        <f>IF(DAY(B654)&gt;15,MONTH(B654)&amp;"-C",MONTH(B654)&amp;"-N")</f>
        <v>9-N</v>
      </c>
      <c r="W654" s="21">
        <v>5.08</v>
      </c>
      <c r="X654" s="2" t="b">
        <f t="shared" ref="X654" si="411">+L654=W654</f>
        <v>1</v>
      </c>
    </row>
    <row r="655" spans="2:24" x14ac:dyDescent="0.2">
      <c r="B655" s="17">
        <v>44455</v>
      </c>
      <c r="C655" s="10" t="s">
        <v>80</v>
      </c>
      <c r="D655" s="11">
        <v>162170</v>
      </c>
      <c r="E655" s="26">
        <v>59427</v>
      </c>
      <c r="F655" s="10" t="s">
        <v>26</v>
      </c>
      <c r="G655" s="10" t="s">
        <v>27</v>
      </c>
      <c r="H655" s="27" t="s">
        <v>28</v>
      </c>
      <c r="I655" s="12"/>
      <c r="J655" s="12"/>
      <c r="K655" s="13">
        <v>9000</v>
      </c>
      <c r="L655" s="21">
        <v>5.08</v>
      </c>
      <c r="M655" s="14" t="s">
        <v>14</v>
      </c>
      <c r="N655" s="13">
        <v>45720</v>
      </c>
      <c r="O655" s="15">
        <f t="shared" ref="O655:O659" si="412">(N655/K655)-L655</f>
        <v>0</v>
      </c>
      <c r="P655" s="10" t="s">
        <v>78</v>
      </c>
      <c r="Q655" s="11" t="s">
        <v>1531</v>
      </c>
      <c r="R655" s="11" t="s">
        <v>1532</v>
      </c>
      <c r="S655" s="16" t="s">
        <v>1533</v>
      </c>
      <c r="T655" s="19" t="str">
        <f>MONTH(B655)&amp;"-"&amp;YEAR(B655)</f>
        <v>9-2021</v>
      </c>
      <c r="U655" s="2">
        <f>YEAR(B655)</f>
        <v>2021</v>
      </c>
      <c r="V655" s="2" t="str">
        <f>IF(DAY(B655)&gt;15,MONTH(B655)&amp;"-C",MONTH(B655)&amp;"-N")</f>
        <v>9-C</v>
      </c>
      <c r="W655" s="21">
        <v>5.08</v>
      </c>
      <c r="X655" s="2" t="b">
        <f t="shared" ref="X655:X659" si="413">+L655=W655</f>
        <v>1</v>
      </c>
    </row>
    <row r="656" spans="2:24" x14ac:dyDescent="0.2">
      <c r="B656" s="17">
        <v>44455</v>
      </c>
      <c r="C656" s="10" t="s">
        <v>88</v>
      </c>
      <c r="D656" s="11">
        <v>162237</v>
      </c>
      <c r="E656" s="26">
        <v>59428</v>
      </c>
      <c r="F656" s="10" t="s">
        <v>98</v>
      </c>
      <c r="G656" s="10" t="s">
        <v>46</v>
      </c>
      <c r="H656" s="27" t="s">
        <v>99</v>
      </c>
      <c r="I656" s="12"/>
      <c r="J656" s="12"/>
      <c r="K656" s="13">
        <v>40</v>
      </c>
      <c r="L656" s="21">
        <v>12.35</v>
      </c>
      <c r="M656" s="14" t="s">
        <v>14</v>
      </c>
      <c r="N656" s="13">
        <v>494</v>
      </c>
      <c r="O656" s="15">
        <f t="shared" si="412"/>
        <v>0</v>
      </c>
      <c r="P656" s="10" t="s">
        <v>84</v>
      </c>
      <c r="Q656" s="11" t="s">
        <v>1534</v>
      </c>
      <c r="R656" s="11" t="s">
        <v>1535</v>
      </c>
      <c r="S656" s="16" t="s">
        <v>1536</v>
      </c>
      <c r="T656" s="19" t="str">
        <f>MONTH(B656)&amp;"-"&amp;YEAR(B656)</f>
        <v>9-2021</v>
      </c>
      <c r="U656" s="2">
        <f>YEAR(B656)</f>
        <v>2021</v>
      </c>
      <c r="V656" s="2" t="str">
        <f>IF(DAY(B656)&gt;15,MONTH(B656)&amp;"-C",MONTH(B656)&amp;"-N")</f>
        <v>9-C</v>
      </c>
      <c r="W656" s="21">
        <v>12.35</v>
      </c>
      <c r="X656" s="2" t="b">
        <f t="shared" si="413"/>
        <v>1</v>
      </c>
    </row>
    <row r="657" spans="2:24" x14ac:dyDescent="0.2">
      <c r="B657" s="17">
        <v>44455</v>
      </c>
      <c r="C657" s="10" t="s">
        <v>88</v>
      </c>
      <c r="D657" s="11">
        <v>162237</v>
      </c>
      <c r="E657" s="26">
        <v>59428</v>
      </c>
      <c r="F657" s="10" t="s">
        <v>100</v>
      </c>
      <c r="G657" s="10" t="s">
        <v>46</v>
      </c>
      <c r="H657" s="27" t="s">
        <v>101</v>
      </c>
      <c r="I657" s="12"/>
      <c r="J657" s="12"/>
      <c r="K657" s="13">
        <v>2000</v>
      </c>
      <c r="L657" s="21">
        <v>15.91</v>
      </c>
      <c r="M657" s="14" t="s">
        <v>14</v>
      </c>
      <c r="N657" s="13">
        <v>31820</v>
      </c>
      <c r="O657" s="15">
        <f t="shared" si="412"/>
        <v>0</v>
      </c>
      <c r="P657" s="10" t="s">
        <v>84</v>
      </c>
      <c r="Q657" s="11" t="s">
        <v>1534</v>
      </c>
      <c r="R657" s="11" t="s">
        <v>1535</v>
      </c>
      <c r="S657" s="16" t="s">
        <v>1536</v>
      </c>
      <c r="T657" s="19" t="str">
        <f>MONTH(B657)&amp;"-"&amp;YEAR(B657)</f>
        <v>9-2021</v>
      </c>
      <c r="U657" s="2">
        <f>YEAR(B657)</f>
        <v>2021</v>
      </c>
      <c r="V657" s="2" t="str">
        <f>IF(DAY(B657)&gt;15,MONTH(B657)&amp;"-C",MONTH(B657)&amp;"-N")</f>
        <v>9-C</v>
      </c>
      <c r="W657" s="21">
        <v>15.91</v>
      </c>
      <c r="X657" s="2" t="b">
        <f t="shared" si="413"/>
        <v>1</v>
      </c>
    </row>
    <row r="658" spans="2:24" x14ac:dyDescent="0.2">
      <c r="B658" s="17">
        <v>44455</v>
      </c>
      <c r="C658" s="10" t="s">
        <v>88</v>
      </c>
      <c r="D658" s="11">
        <v>162237</v>
      </c>
      <c r="E658" s="26">
        <v>59428</v>
      </c>
      <c r="F658" s="10" t="s">
        <v>1328</v>
      </c>
      <c r="G658" s="10" t="s">
        <v>46</v>
      </c>
      <c r="H658" s="27" t="s">
        <v>1342</v>
      </c>
      <c r="I658" s="12" t="s">
        <v>41</v>
      </c>
      <c r="J658" s="12" t="s">
        <v>41</v>
      </c>
      <c r="K658" s="13">
        <v>1000</v>
      </c>
      <c r="L658" s="21">
        <v>13.6</v>
      </c>
      <c r="M658" s="14" t="s">
        <v>14</v>
      </c>
      <c r="N658" s="13">
        <v>13600</v>
      </c>
      <c r="O658" s="15">
        <f t="shared" si="412"/>
        <v>0</v>
      </c>
      <c r="P658" s="10" t="s">
        <v>84</v>
      </c>
      <c r="Q658" s="11" t="s">
        <v>1534</v>
      </c>
      <c r="R658" s="11" t="s">
        <v>1535</v>
      </c>
      <c r="S658" s="16" t="s">
        <v>1536</v>
      </c>
      <c r="T658" s="19" t="str">
        <f>MONTH(B658)&amp;"-"&amp;YEAR(B658)</f>
        <v>9-2021</v>
      </c>
      <c r="U658" s="2">
        <f>YEAR(B658)</f>
        <v>2021</v>
      </c>
      <c r="V658" s="2" t="str">
        <f>IF(DAY(B658)&gt;15,MONTH(B658)&amp;"-C",MONTH(B658)&amp;"-N")</f>
        <v>9-C</v>
      </c>
      <c r="W658" s="21">
        <v>13.6</v>
      </c>
      <c r="X658" s="2" t="b">
        <f t="shared" si="413"/>
        <v>1</v>
      </c>
    </row>
    <row r="659" spans="2:24" x14ac:dyDescent="0.2">
      <c r="B659" s="17">
        <v>44455</v>
      </c>
      <c r="C659" s="10" t="s">
        <v>88</v>
      </c>
      <c r="D659" s="11">
        <v>162237</v>
      </c>
      <c r="E659" s="26">
        <v>59428</v>
      </c>
      <c r="F659" s="10" t="s">
        <v>1329</v>
      </c>
      <c r="G659" s="10" t="s">
        <v>46</v>
      </c>
      <c r="H659" s="27" t="s">
        <v>1343</v>
      </c>
      <c r="I659" s="12" t="s">
        <v>41</v>
      </c>
      <c r="J659" s="12" t="s">
        <v>41</v>
      </c>
      <c r="K659" s="13">
        <v>100</v>
      </c>
      <c r="L659" s="21">
        <v>20.98</v>
      </c>
      <c r="M659" s="14" t="s">
        <v>14</v>
      </c>
      <c r="N659" s="13">
        <v>2098</v>
      </c>
      <c r="O659" s="15">
        <f t="shared" si="412"/>
        <v>0</v>
      </c>
      <c r="P659" s="10" t="s">
        <v>84</v>
      </c>
      <c r="Q659" s="11" t="s">
        <v>1534</v>
      </c>
      <c r="R659" s="11" t="s">
        <v>1535</v>
      </c>
      <c r="S659" s="16" t="s">
        <v>1536</v>
      </c>
      <c r="T659" s="19" t="str">
        <f>MONTH(B659)&amp;"-"&amp;YEAR(B659)</f>
        <v>9-2021</v>
      </c>
      <c r="U659" s="2">
        <f>YEAR(B659)</f>
        <v>2021</v>
      </c>
      <c r="V659" s="2" t="str">
        <f>IF(DAY(B659)&gt;15,MONTH(B659)&amp;"-C",MONTH(B659)&amp;"-N")</f>
        <v>9-C</v>
      </c>
      <c r="W659" s="21">
        <v>20.98</v>
      </c>
      <c r="X659" s="2" t="b">
        <f t="shared" si="413"/>
        <v>1</v>
      </c>
    </row>
    <row r="660" spans="2:24" x14ac:dyDescent="0.2">
      <c r="B660" s="17">
        <v>44458</v>
      </c>
      <c r="C660" s="10" t="s">
        <v>80</v>
      </c>
      <c r="D660" s="11">
        <v>162170</v>
      </c>
      <c r="E660" s="26">
        <v>59495</v>
      </c>
      <c r="F660" s="10" t="s">
        <v>26</v>
      </c>
      <c r="G660" s="10" t="s">
        <v>27</v>
      </c>
      <c r="H660" s="27" t="s">
        <v>28</v>
      </c>
      <c r="I660" s="12"/>
      <c r="J660" s="12"/>
      <c r="K660" s="13">
        <v>2700</v>
      </c>
      <c r="L660" s="21">
        <v>5.08</v>
      </c>
      <c r="M660" s="14" t="s">
        <v>14</v>
      </c>
      <c r="N660" s="13">
        <v>13716</v>
      </c>
      <c r="O660" s="15">
        <f t="shared" ref="O660:O663" si="414">(N660/K660)-L660</f>
        <v>0</v>
      </c>
      <c r="P660" s="10" t="s">
        <v>78</v>
      </c>
      <c r="Q660" s="11" t="s">
        <v>1537</v>
      </c>
      <c r="R660" s="11" t="s">
        <v>1538</v>
      </c>
      <c r="S660" s="16" t="s">
        <v>1539</v>
      </c>
      <c r="T660" s="19" t="str">
        <f>MONTH(B660)&amp;"-"&amp;YEAR(B660)</f>
        <v>9-2021</v>
      </c>
      <c r="U660" s="2">
        <f>YEAR(B660)</f>
        <v>2021</v>
      </c>
      <c r="V660" s="2" t="str">
        <f>IF(DAY(B660)&gt;15,MONTH(B660)&amp;"-C",MONTH(B660)&amp;"-N")</f>
        <v>9-C</v>
      </c>
      <c r="W660" s="21">
        <v>5.08</v>
      </c>
      <c r="X660" s="2" t="b">
        <f t="shared" ref="X660:X663" si="415">+L660=W660</f>
        <v>1</v>
      </c>
    </row>
    <row r="661" spans="2:24" x14ac:dyDescent="0.2">
      <c r="B661" s="17">
        <v>44458</v>
      </c>
      <c r="C661" s="10" t="s">
        <v>80</v>
      </c>
      <c r="D661" s="11">
        <v>162170</v>
      </c>
      <c r="E661" s="26">
        <v>59496</v>
      </c>
      <c r="F661" s="10" t="s">
        <v>26</v>
      </c>
      <c r="G661" s="10" t="s">
        <v>27</v>
      </c>
      <c r="H661" s="27" t="s">
        <v>28</v>
      </c>
      <c r="I661" s="12"/>
      <c r="J661" s="12"/>
      <c r="K661" s="13">
        <v>2700</v>
      </c>
      <c r="L661" s="21">
        <v>5.08</v>
      </c>
      <c r="M661" s="14" t="s">
        <v>14</v>
      </c>
      <c r="N661" s="13">
        <v>13716</v>
      </c>
      <c r="O661" s="15">
        <f t="shared" si="414"/>
        <v>0</v>
      </c>
      <c r="P661" s="10" t="s">
        <v>78</v>
      </c>
      <c r="Q661" s="11" t="s">
        <v>1540</v>
      </c>
      <c r="R661" s="11" t="s">
        <v>1541</v>
      </c>
      <c r="S661" s="16" t="s">
        <v>1542</v>
      </c>
      <c r="T661" s="19" t="str">
        <f>MONTH(B661)&amp;"-"&amp;YEAR(B661)</f>
        <v>9-2021</v>
      </c>
      <c r="U661" s="2">
        <f>YEAR(B661)</f>
        <v>2021</v>
      </c>
      <c r="V661" s="2" t="str">
        <f>IF(DAY(B661)&gt;15,MONTH(B661)&amp;"-C",MONTH(B661)&amp;"-N")</f>
        <v>9-C</v>
      </c>
      <c r="W661" s="21">
        <v>5.08</v>
      </c>
      <c r="X661" s="2" t="b">
        <f t="shared" si="415"/>
        <v>1</v>
      </c>
    </row>
    <row r="662" spans="2:24" x14ac:dyDescent="0.2">
      <c r="B662" s="17">
        <v>44458</v>
      </c>
      <c r="C662" s="10" t="s">
        <v>107</v>
      </c>
      <c r="D662" s="11">
        <v>161696</v>
      </c>
      <c r="E662" s="26">
        <v>59497</v>
      </c>
      <c r="F662" s="10" t="s">
        <v>103</v>
      </c>
      <c r="G662" s="10" t="s">
        <v>46</v>
      </c>
      <c r="H662" s="27" t="s">
        <v>104</v>
      </c>
      <c r="I662" s="12"/>
      <c r="J662" s="12"/>
      <c r="K662" s="13">
        <v>95</v>
      </c>
      <c r="L662" s="21">
        <v>40.18</v>
      </c>
      <c r="M662" s="14" t="s">
        <v>14</v>
      </c>
      <c r="N662" s="13">
        <v>3817.1</v>
      </c>
      <c r="O662" s="15">
        <f t="shared" si="414"/>
        <v>0</v>
      </c>
      <c r="P662" s="10" t="s">
        <v>84</v>
      </c>
      <c r="Q662" s="11" t="s">
        <v>1543</v>
      </c>
      <c r="R662" s="11" t="s">
        <v>1544</v>
      </c>
      <c r="S662" s="16" t="s">
        <v>1545</v>
      </c>
      <c r="T662" s="19" t="str">
        <f>MONTH(B662)&amp;"-"&amp;YEAR(B662)</f>
        <v>9-2021</v>
      </c>
      <c r="U662" s="2">
        <f>YEAR(B662)</f>
        <v>2021</v>
      </c>
      <c r="V662" s="2" t="str">
        <f>IF(DAY(B662)&gt;15,MONTH(B662)&amp;"-C",MONTH(B662)&amp;"-N")</f>
        <v>9-C</v>
      </c>
      <c r="W662" s="21">
        <v>40.18</v>
      </c>
      <c r="X662" s="2" t="b">
        <f t="shared" si="415"/>
        <v>1</v>
      </c>
    </row>
    <row r="663" spans="2:24" x14ac:dyDescent="0.2">
      <c r="B663" s="17">
        <v>44458</v>
      </c>
      <c r="C663" s="10" t="s">
        <v>107</v>
      </c>
      <c r="D663" s="11">
        <v>161696</v>
      </c>
      <c r="E663" s="26">
        <v>59497</v>
      </c>
      <c r="F663" s="10" t="s">
        <v>105</v>
      </c>
      <c r="G663" s="10" t="s">
        <v>46</v>
      </c>
      <c r="H663" s="27" t="s">
        <v>106</v>
      </c>
      <c r="I663" s="12"/>
      <c r="J663" s="12"/>
      <c r="K663" s="13">
        <v>3520</v>
      </c>
      <c r="L663" s="21">
        <v>13.29</v>
      </c>
      <c r="M663" s="14" t="s">
        <v>14</v>
      </c>
      <c r="N663" s="13">
        <v>46780.800000000003</v>
      </c>
      <c r="O663" s="15">
        <f t="shared" si="414"/>
        <v>0</v>
      </c>
      <c r="P663" s="10" t="s">
        <v>84</v>
      </c>
      <c r="Q663" s="11" t="s">
        <v>1543</v>
      </c>
      <c r="R663" s="11" t="s">
        <v>1544</v>
      </c>
      <c r="S663" s="16" t="s">
        <v>1545</v>
      </c>
      <c r="T663" s="19" t="str">
        <f>MONTH(B663)&amp;"-"&amp;YEAR(B663)</f>
        <v>9-2021</v>
      </c>
      <c r="U663" s="2">
        <f>YEAR(B663)</f>
        <v>2021</v>
      </c>
      <c r="V663" s="2" t="str">
        <f>IF(DAY(B663)&gt;15,MONTH(B663)&amp;"-C",MONTH(B663)&amp;"-N")</f>
        <v>9-C</v>
      </c>
      <c r="W663" s="21">
        <v>13.29</v>
      </c>
      <c r="X663" s="2" t="b">
        <f t="shared" si="415"/>
        <v>1</v>
      </c>
    </row>
    <row r="664" spans="2:24" x14ac:dyDescent="0.2">
      <c r="B664" s="17">
        <v>44459</v>
      </c>
      <c r="C664" s="10" t="s">
        <v>80</v>
      </c>
      <c r="D664" s="11">
        <v>162170</v>
      </c>
      <c r="E664" s="26">
        <v>59504</v>
      </c>
      <c r="F664" s="10" t="s">
        <v>26</v>
      </c>
      <c r="G664" s="10" t="s">
        <v>27</v>
      </c>
      <c r="H664" s="27" t="s">
        <v>28</v>
      </c>
      <c r="I664" s="12"/>
      <c r="J664" s="12"/>
      <c r="K664" s="13">
        <v>3600</v>
      </c>
      <c r="L664" s="21">
        <v>5.08</v>
      </c>
      <c r="M664" s="14" t="s">
        <v>14</v>
      </c>
      <c r="N664" s="13">
        <v>18288</v>
      </c>
      <c r="O664" s="15">
        <f t="shared" ref="O664:O668" si="416">(N664/K664)-L664</f>
        <v>0</v>
      </c>
      <c r="P664" s="10" t="s">
        <v>78</v>
      </c>
      <c r="Q664" s="11" t="s">
        <v>1547</v>
      </c>
      <c r="R664" s="11" t="s">
        <v>1548</v>
      </c>
      <c r="S664" s="16" t="s">
        <v>1549</v>
      </c>
      <c r="T664" s="19" t="str">
        <f>MONTH(B664)&amp;"-"&amp;YEAR(B664)</f>
        <v>9-2021</v>
      </c>
      <c r="U664" s="2">
        <f>YEAR(B664)</f>
        <v>2021</v>
      </c>
      <c r="V664" s="2" t="str">
        <f>IF(DAY(B664)&gt;15,MONTH(B664)&amp;"-C",MONTH(B664)&amp;"-N")</f>
        <v>9-C</v>
      </c>
      <c r="W664" s="21">
        <v>5.08</v>
      </c>
      <c r="X664" s="2" t="b">
        <f t="shared" ref="X664:X668" si="417">+L664=W664</f>
        <v>1</v>
      </c>
    </row>
    <row r="665" spans="2:24" x14ac:dyDescent="0.2">
      <c r="B665" s="17">
        <v>44459</v>
      </c>
      <c r="C665" s="10" t="s">
        <v>25</v>
      </c>
      <c r="D665" s="11">
        <v>162107</v>
      </c>
      <c r="E665" s="26">
        <v>59506</v>
      </c>
      <c r="F665" s="10" t="s">
        <v>31</v>
      </c>
      <c r="G665" s="10" t="s">
        <v>27</v>
      </c>
      <c r="H665" s="27" t="s">
        <v>32</v>
      </c>
      <c r="I665" s="12"/>
      <c r="J665" s="12"/>
      <c r="K665" s="13">
        <v>1280</v>
      </c>
      <c r="L665" s="21">
        <v>4</v>
      </c>
      <c r="M665" s="14" t="s">
        <v>14</v>
      </c>
      <c r="N665" s="13">
        <v>5120</v>
      </c>
      <c r="O665" s="15">
        <f t="shared" si="416"/>
        <v>0</v>
      </c>
      <c r="P665" s="10" t="s">
        <v>78</v>
      </c>
      <c r="Q665" s="11" t="s">
        <v>1550</v>
      </c>
      <c r="R665" s="11" t="s">
        <v>1521</v>
      </c>
      <c r="S665" s="16" t="s">
        <v>1551</v>
      </c>
      <c r="T665" s="19" t="str">
        <f>MONTH(B665)&amp;"-"&amp;YEAR(B665)</f>
        <v>9-2021</v>
      </c>
      <c r="U665" s="2">
        <f>YEAR(B665)</f>
        <v>2021</v>
      </c>
      <c r="V665" s="2" t="str">
        <f>IF(DAY(B665)&gt;15,MONTH(B665)&amp;"-C",MONTH(B665)&amp;"-N")</f>
        <v>9-C</v>
      </c>
      <c r="W665" s="21">
        <v>4</v>
      </c>
      <c r="X665" s="2" t="b">
        <f t="shared" si="417"/>
        <v>1</v>
      </c>
    </row>
    <row r="666" spans="2:24" x14ac:dyDescent="0.2">
      <c r="B666" s="17">
        <v>44459</v>
      </c>
      <c r="C666" s="10" t="s">
        <v>25</v>
      </c>
      <c r="D666" s="11">
        <v>162107</v>
      </c>
      <c r="E666" s="26">
        <v>59506</v>
      </c>
      <c r="F666" s="10" t="s">
        <v>33</v>
      </c>
      <c r="G666" s="10" t="s">
        <v>27</v>
      </c>
      <c r="H666" s="27" t="s">
        <v>34</v>
      </c>
      <c r="I666" s="12"/>
      <c r="J666" s="12"/>
      <c r="K666" s="13">
        <v>2160</v>
      </c>
      <c r="L666" s="21">
        <v>7.5</v>
      </c>
      <c r="M666" s="14" t="s">
        <v>14</v>
      </c>
      <c r="N666" s="13">
        <v>16200</v>
      </c>
      <c r="O666" s="15">
        <f t="shared" si="416"/>
        <v>0</v>
      </c>
      <c r="P666" s="10" t="s">
        <v>78</v>
      </c>
      <c r="Q666" s="11" t="s">
        <v>1550</v>
      </c>
      <c r="R666" s="11" t="s">
        <v>1521</v>
      </c>
      <c r="S666" s="16" t="s">
        <v>1551</v>
      </c>
      <c r="T666" s="19" t="str">
        <f>MONTH(B666)&amp;"-"&amp;YEAR(B666)</f>
        <v>9-2021</v>
      </c>
      <c r="U666" s="2">
        <f>YEAR(B666)</f>
        <v>2021</v>
      </c>
      <c r="V666" s="2" t="str">
        <f>IF(DAY(B666)&gt;15,MONTH(B666)&amp;"-C",MONTH(B666)&amp;"-N")</f>
        <v>9-C</v>
      </c>
      <c r="W666" s="21">
        <v>7.5</v>
      </c>
      <c r="X666" s="2" t="b">
        <f t="shared" si="417"/>
        <v>1</v>
      </c>
    </row>
    <row r="667" spans="2:24" x14ac:dyDescent="0.2">
      <c r="B667" s="17">
        <v>44459</v>
      </c>
      <c r="C667" s="10" t="s">
        <v>25</v>
      </c>
      <c r="D667" s="11">
        <v>162251</v>
      </c>
      <c r="E667" s="26">
        <v>59505</v>
      </c>
      <c r="F667" s="10" t="s">
        <v>29</v>
      </c>
      <c r="G667" s="10" t="s">
        <v>27</v>
      </c>
      <c r="H667" s="27" t="s">
        <v>30</v>
      </c>
      <c r="I667" s="12"/>
      <c r="J667" s="12"/>
      <c r="K667" s="13">
        <v>3300</v>
      </c>
      <c r="L667" s="21">
        <v>3.95</v>
      </c>
      <c r="M667" s="14" t="s">
        <v>14</v>
      </c>
      <c r="N667" s="13">
        <v>13035</v>
      </c>
      <c r="O667" s="15">
        <f t="shared" si="416"/>
        <v>0</v>
      </c>
      <c r="P667" s="10" t="s">
        <v>78</v>
      </c>
      <c r="Q667" s="11" t="s">
        <v>1552</v>
      </c>
      <c r="R667" s="11" t="s">
        <v>1553</v>
      </c>
      <c r="S667" s="16" t="s">
        <v>1554</v>
      </c>
      <c r="T667" s="19" t="str">
        <f>MONTH(B667)&amp;"-"&amp;YEAR(B667)</f>
        <v>9-2021</v>
      </c>
      <c r="U667" s="2">
        <f>YEAR(B667)</f>
        <v>2021</v>
      </c>
      <c r="V667" s="2" t="str">
        <f>IF(DAY(B667)&gt;15,MONTH(B667)&amp;"-C",MONTH(B667)&amp;"-N")</f>
        <v>9-C</v>
      </c>
      <c r="W667" s="21">
        <v>3.95</v>
      </c>
      <c r="X667" s="2" t="b">
        <f t="shared" si="417"/>
        <v>1</v>
      </c>
    </row>
    <row r="668" spans="2:24" x14ac:dyDescent="0.2">
      <c r="B668" s="17">
        <v>44460</v>
      </c>
      <c r="C668" s="10" t="s">
        <v>80</v>
      </c>
      <c r="D668" s="11">
        <v>162170</v>
      </c>
      <c r="E668" s="26">
        <v>59516</v>
      </c>
      <c r="F668" s="10" t="s">
        <v>26</v>
      </c>
      <c r="G668" s="10" t="s">
        <v>27</v>
      </c>
      <c r="H668" s="27" t="s">
        <v>28</v>
      </c>
      <c r="I668" s="12"/>
      <c r="J668" s="12"/>
      <c r="K668" s="13">
        <v>7200</v>
      </c>
      <c r="L668" s="21">
        <v>5.08</v>
      </c>
      <c r="M668" s="14" t="s">
        <v>14</v>
      </c>
      <c r="N668" s="13">
        <v>36576</v>
      </c>
      <c r="O668" s="15">
        <f t="shared" si="416"/>
        <v>0</v>
      </c>
      <c r="P668" s="10" t="s">
        <v>78</v>
      </c>
      <c r="Q668" s="11" t="s">
        <v>1555</v>
      </c>
      <c r="R668" s="11" t="s">
        <v>1556</v>
      </c>
      <c r="S668" s="16" t="s">
        <v>1557</v>
      </c>
      <c r="T668" s="19" t="str">
        <f>MONTH(B668)&amp;"-"&amp;YEAR(B668)</f>
        <v>9-2021</v>
      </c>
      <c r="U668" s="2">
        <f>YEAR(B668)</f>
        <v>2021</v>
      </c>
      <c r="V668" s="2" t="str">
        <f>IF(DAY(B668)&gt;15,MONTH(B668)&amp;"-C",MONTH(B668)&amp;"-N")</f>
        <v>9-C</v>
      </c>
      <c r="W668" s="21">
        <v>5.08</v>
      </c>
      <c r="X668" s="2" t="b">
        <f t="shared" si="417"/>
        <v>1</v>
      </c>
    </row>
    <row r="669" spans="2:24" x14ac:dyDescent="0.2">
      <c r="B669" s="17">
        <v>44461</v>
      </c>
      <c r="C669" s="10" t="s">
        <v>80</v>
      </c>
      <c r="D669" s="11">
        <v>162170</v>
      </c>
      <c r="E669" s="26">
        <v>59530</v>
      </c>
      <c r="F669" s="10" t="s">
        <v>26</v>
      </c>
      <c r="G669" s="10" t="s">
        <v>27</v>
      </c>
      <c r="H669" s="27" t="s">
        <v>28</v>
      </c>
      <c r="I669" s="12"/>
      <c r="J669" s="12"/>
      <c r="K669" s="13">
        <v>1300</v>
      </c>
      <c r="L669" s="21">
        <v>5.08</v>
      </c>
      <c r="M669" s="14" t="s">
        <v>14</v>
      </c>
      <c r="N669" s="13">
        <v>6604</v>
      </c>
      <c r="O669" s="15">
        <f t="shared" ref="O669:O672" si="418">(N669/K669)-L669</f>
        <v>0</v>
      </c>
      <c r="P669" s="10" t="s">
        <v>78</v>
      </c>
      <c r="Q669" s="11" t="s">
        <v>1559</v>
      </c>
      <c r="R669" s="11" t="s">
        <v>1560</v>
      </c>
      <c r="S669" s="16" t="s">
        <v>1561</v>
      </c>
      <c r="T669" s="19" t="str">
        <f>MONTH(B669)&amp;"-"&amp;YEAR(B669)</f>
        <v>9-2021</v>
      </c>
      <c r="U669" s="2">
        <f>YEAR(B669)</f>
        <v>2021</v>
      </c>
      <c r="V669" s="2" t="str">
        <f>IF(DAY(B669)&gt;15,MONTH(B669)&amp;"-C",MONTH(B669)&amp;"-N")</f>
        <v>9-C</v>
      </c>
      <c r="W669" s="21">
        <v>5.08</v>
      </c>
      <c r="X669" s="2" t="b">
        <f t="shared" ref="X669:X672" si="419">+L669=W669</f>
        <v>1</v>
      </c>
    </row>
    <row r="670" spans="2:24" x14ac:dyDescent="0.2">
      <c r="B670" s="17">
        <v>44461</v>
      </c>
      <c r="C670" s="10" t="s">
        <v>48</v>
      </c>
      <c r="D670" s="11">
        <v>160301</v>
      </c>
      <c r="E670" s="26">
        <v>59546</v>
      </c>
      <c r="F670" s="10" t="s">
        <v>135</v>
      </c>
      <c r="G670" s="10" t="s">
        <v>46</v>
      </c>
      <c r="H670" s="27" t="s">
        <v>136</v>
      </c>
      <c r="I670" s="12"/>
      <c r="J670" s="12"/>
      <c r="K670" s="13">
        <v>6400</v>
      </c>
      <c r="L670" s="21">
        <v>9.9160000000000004</v>
      </c>
      <c r="M670" s="14" t="s">
        <v>14</v>
      </c>
      <c r="N670" s="13">
        <v>63465.061999999998</v>
      </c>
      <c r="O670" s="15">
        <f t="shared" si="418"/>
        <v>4.1593749999968566E-4</v>
      </c>
      <c r="P670" s="10" t="s">
        <v>90</v>
      </c>
      <c r="Q670" s="11" t="s">
        <v>1562</v>
      </c>
      <c r="R670" s="11" t="s">
        <v>1563</v>
      </c>
      <c r="S670" s="16" t="s">
        <v>1564</v>
      </c>
      <c r="T670" s="19" t="str">
        <f>MONTH(B670)&amp;"-"&amp;YEAR(B670)</f>
        <v>9-2021</v>
      </c>
      <c r="U670" s="2">
        <f>YEAR(B670)</f>
        <v>2021</v>
      </c>
      <c r="V670" s="2" t="str">
        <f>IF(DAY(B670)&gt;15,MONTH(B670)&amp;"-C",MONTH(B670)&amp;"-N")</f>
        <v>9-C</v>
      </c>
      <c r="W670" s="21">
        <v>9.9160000000000004</v>
      </c>
      <c r="X670" s="2" t="b">
        <f t="shared" si="419"/>
        <v>1</v>
      </c>
    </row>
    <row r="671" spans="2:24" x14ac:dyDescent="0.2">
      <c r="B671" s="17">
        <v>44461</v>
      </c>
      <c r="C671" s="10" t="s">
        <v>48</v>
      </c>
      <c r="D671" s="11">
        <v>160301</v>
      </c>
      <c r="E671" s="26">
        <v>59546</v>
      </c>
      <c r="F671" s="10" t="s">
        <v>71</v>
      </c>
      <c r="G671" s="10" t="s">
        <v>46</v>
      </c>
      <c r="H671" s="27" t="s">
        <v>72</v>
      </c>
      <c r="I671" s="12"/>
      <c r="J671" s="12"/>
      <c r="K671" s="13">
        <v>9600</v>
      </c>
      <c r="L671" s="21">
        <v>9.8610000000000007</v>
      </c>
      <c r="M671" s="14" t="s">
        <v>14</v>
      </c>
      <c r="N671" s="13">
        <v>94666.751999999993</v>
      </c>
      <c r="O671" s="15">
        <f t="shared" si="418"/>
        <v>1.1999999999900979E-4</v>
      </c>
      <c r="P671" s="10" t="s">
        <v>90</v>
      </c>
      <c r="Q671" s="11" t="s">
        <v>1562</v>
      </c>
      <c r="R671" s="11" t="s">
        <v>1563</v>
      </c>
      <c r="S671" s="16" t="s">
        <v>1564</v>
      </c>
      <c r="T671" s="19" t="str">
        <f>MONTH(B671)&amp;"-"&amp;YEAR(B671)</f>
        <v>9-2021</v>
      </c>
      <c r="U671" s="2">
        <f>YEAR(B671)</f>
        <v>2021</v>
      </c>
      <c r="V671" s="2" t="str">
        <f>IF(DAY(B671)&gt;15,MONTH(B671)&amp;"-C",MONTH(B671)&amp;"-N")</f>
        <v>9-C</v>
      </c>
      <c r="W671" s="21">
        <v>9.8610000000000007</v>
      </c>
      <c r="X671" s="2" t="b">
        <f t="shared" si="419"/>
        <v>1</v>
      </c>
    </row>
    <row r="672" spans="2:24" x14ac:dyDescent="0.2">
      <c r="B672" s="17">
        <v>44461</v>
      </c>
      <c r="C672" s="10" t="s">
        <v>80</v>
      </c>
      <c r="D672" s="11">
        <v>162222</v>
      </c>
      <c r="E672" s="26">
        <v>59529</v>
      </c>
      <c r="F672" s="10" t="s">
        <v>26</v>
      </c>
      <c r="G672" s="10" t="s">
        <v>27</v>
      </c>
      <c r="H672" s="27" t="s">
        <v>28</v>
      </c>
      <c r="I672" s="12"/>
      <c r="J672" s="12"/>
      <c r="K672" s="13">
        <v>1800</v>
      </c>
      <c r="L672" s="21">
        <v>5.08</v>
      </c>
      <c r="M672" s="14" t="s">
        <v>14</v>
      </c>
      <c r="N672" s="13">
        <v>9144</v>
      </c>
      <c r="O672" s="15">
        <f t="shared" si="418"/>
        <v>0</v>
      </c>
      <c r="P672" s="10" t="s">
        <v>78</v>
      </c>
      <c r="Q672" s="11" t="s">
        <v>1565</v>
      </c>
      <c r="R672" s="11" t="s">
        <v>1566</v>
      </c>
      <c r="S672" s="16" t="s">
        <v>1567</v>
      </c>
      <c r="T672" s="19" t="str">
        <f>MONTH(B672)&amp;"-"&amp;YEAR(B672)</f>
        <v>9-2021</v>
      </c>
      <c r="U672" s="2">
        <f>YEAR(B672)</f>
        <v>2021</v>
      </c>
      <c r="V672" s="2" t="str">
        <f>IF(DAY(B672)&gt;15,MONTH(B672)&amp;"-C",MONTH(B672)&amp;"-N")</f>
        <v>9-C</v>
      </c>
      <c r="W672" s="21">
        <v>5.08</v>
      </c>
      <c r="X672" s="2" t="b">
        <f t="shared" si="419"/>
        <v>1</v>
      </c>
    </row>
    <row r="673" spans="2:24" x14ac:dyDescent="0.2">
      <c r="B673" s="17">
        <v>44462</v>
      </c>
      <c r="C673" s="10" t="s">
        <v>80</v>
      </c>
      <c r="D673" s="11">
        <v>162222</v>
      </c>
      <c r="E673" s="26">
        <v>59555</v>
      </c>
      <c r="F673" s="10" t="s">
        <v>26</v>
      </c>
      <c r="G673" s="10" t="s">
        <v>27</v>
      </c>
      <c r="H673" s="27" t="s">
        <v>28</v>
      </c>
      <c r="I673" s="12"/>
      <c r="J673" s="12"/>
      <c r="K673" s="13">
        <v>3600</v>
      </c>
      <c r="L673" s="21">
        <v>5.08</v>
      </c>
      <c r="M673" s="14" t="s">
        <v>14</v>
      </c>
      <c r="N673" s="13">
        <v>18288</v>
      </c>
      <c r="O673" s="15">
        <f t="shared" ref="O673:O674" si="420">(N673/K673)-L673</f>
        <v>0</v>
      </c>
      <c r="P673" s="10" t="s">
        <v>78</v>
      </c>
      <c r="Q673" s="11" t="s">
        <v>1568</v>
      </c>
      <c r="R673" s="11" t="s">
        <v>1569</v>
      </c>
      <c r="S673" s="16" t="s">
        <v>1570</v>
      </c>
      <c r="T673" s="19" t="str">
        <f>MONTH(B673)&amp;"-"&amp;YEAR(B673)</f>
        <v>9-2021</v>
      </c>
      <c r="U673" s="2">
        <f>YEAR(B673)</f>
        <v>2021</v>
      </c>
      <c r="V673" s="2" t="str">
        <f>IF(DAY(B673)&gt;15,MONTH(B673)&amp;"-C",MONTH(B673)&amp;"-N")</f>
        <v>9-C</v>
      </c>
      <c r="W673" s="21">
        <v>5.08</v>
      </c>
      <c r="X673" s="2" t="b">
        <f t="shared" ref="X673:X674" si="421">+L673=W673</f>
        <v>1</v>
      </c>
    </row>
    <row r="674" spans="2:24" x14ac:dyDescent="0.2">
      <c r="B674" s="17">
        <v>44464</v>
      </c>
      <c r="C674" s="10" t="s">
        <v>80</v>
      </c>
      <c r="D674" s="11">
        <v>162222</v>
      </c>
      <c r="E674" s="26">
        <v>59576</v>
      </c>
      <c r="F674" s="10" t="s">
        <v>26</v>
      </c>
      <c r="G674" s="10" t="s">
        <v>27</v>
      </c>
      <c r="H674" s="27" t="s">
        <v>28</v>
      </c>
      <c r="I674" s="12"/>
      <c r="J674" s="12"/>
      <c r="K674" s="13">
        <v>7200</v>
      </c>
      <c r="L674" s="21">
        <v>5.08</v>
      </c>
      <c r="M674" s="14" t="s">
        <v>14</v>
      </c>
      <c r="N674" s="13">
        <v>36576</v>
      </c>
      <c r="O674" s="15">
        <f t="shared" si="420"/>
        <v>0</v>
      </c>
      <c r="P674" s="10" t="s">
        <v>78</v>
      </c>
      <c r="Q674" s="11" t="s">
        <v>1571</v>
      </c>
      <c r="R674" s="11" t="s">
        <v>1572</v>
      </c>
      <c r="S674" s="16" t="s">
        <v>1573</v>
      </c>
      <c r="T674" s="19" t="str">
        <f>MONTH(B674)&amp;"-"&amp;YEAR(B674)</f>
        <v>9-2021</v>
      </c>
      <c r="U674" s="2">
        <f>YEAR(B674)</f>
        <v>2021</v>
      </c>
      <c r="V674" s="2" t="str">
        <f>IF(DAY(B674)&gt;15,MONTH(B674)&amp;"-C",MONTH(B674)&amp;"-N")</f>
        <v>9-C</v>
      </c>
      <c r="W674" s="21">
        <v>5.08</v>
      </c>
      <c r="X674" s="2" t="b">
        <f t="shared" si="421"/>
        <v>1</v>
      </c>
    </row>
    <row r="675" spans="2:24" x14ac:dyDescent="0.2">
      <c r="B675" s="17">
        <v>44465</v>
      </c>
      <c r="C675" s="10" t="s">
        <v>80</v>
      </c>
      <c r="D675" s="11">
        <v>162222</v>
      </c>
      <c r="E675" s="26">
        <v>59612</v>
      </c>
      <c r="F675" s="10" t="s">
        <v>26</v>
      </c>
      <c r="G675" s="10" t="s">
        <v>27</v>
      </c>
      <c r="H675" s="27" t="s">
        <v>28</v>
      </c>
      <c r="I675" s="12"/>
      <c r="J675" s="12"/>
      <c r="K675" s="13">
        <v>3600</v>
      </c>
      <c r="L675" s="21">
        <v>5.08</v>
      </c>
      <c r="M675" s="14" t="s">
        <v>14</v>
      </c>
      <c r="N675" s="13">
        <v>18288</v>
      </c>
      <c r="O675" s="15">
        <f t="shared" ref="O675" si="422">(N675/K675)-L675</f>
        <v>0</v>
      </c>
      <c r="P675" s="10" t="s">
        <v>78</v>
      </c>
      <c r="Q675" s="11" t="s">
        <v>1574</v>
      </c>
      <c r="R675" s="11" t="s">
        <v>1575</v>
      </c>
      <c r="S675" s="16" t="s">
        <v>1576</v>
      </c>
      <c r="T675" s="19" t="str">
        <f>MONTH(B675)&amp;"-"&amp;YEAR(B675)</f>
        <v>9-2021</v>
      </c>
      <c r="U675" s="2">
        <f>YEAR(B675)</f>
        <v>2021</v>
      </c>
      <c r="V675" s="2" t="str">
        <f>IF(DAY(B675)&gt;15,MONTH(B675)&amp;"-C",MONTH(B675)&amp;"-N")</f>
        <v>9-C</v>
      </c>
      <c r="W675" s="21">
        <v>5.08</v>
      </c>
      <c r="X675" s="2" t="b">
        <f t="shared" ref="X675" si="423">+L675=W675</f>
        <v>1</v>
      </c>
    </row>
    <row r="676" spans="2:24" x14ac:dyDescent="0.2">
      <c r="B676" s="17">
        <v>44466</v>
      </c>
      <c r="C676" s="10" t="s">
        <v>25</v>
      </c>
      <c r="D676" s="11">
        <v>161878</v>
      </c>
      <c r="E676" s="26">
        <v>59619</v>
      </c>
      <c r="F676" s="10" t="s">
        <v>26</v>
      </c>
      <c r="G676" s="10" t="s">
        <v>27</v>
      </c>
      <c r="H676" s="27" t="s">
        <v>28</v>
      </c>
      <c r="I676" s="12"/>
      <c r="J676" s="12"/>
      <c r="K676" s="13">
        <v>8900</v>
      </c>
      <c r="L676" s="21">
        <v>5.08</v>
      </c>
      <c r="M676" s="14" t="s">
        <v>14</v>
      </c>
      <c r="N676" s="13">
        <v>45212</v>
      </c>
      <c r="O676" s="15">
        <f t="shared" ref="O676:O677" si="424">(N676/K676)-L676</f>
        <v>0</v>
      </c>
      <c r="P676" s="10" t="s">
        <v>78</v>
      </c>
      <c r="Q676" s="11" t="s">
        <v>1577</v>
      </c>
      <c r="R676" s="11" t="s">
        <v>1490</v>
      </c>
      <c r="S676" s="16" t="s">
        <v>1578</v>
      </c>
      <c r="T676" s="19" t="str">
        <f>MONTH(B676)&amp;"-"&amp;YEAR(B676)</f>
        <v>9-2021</v>
      </c>
      <c r="U676" s="2">
        <f>YEAR(B676)</f>
        <v>2021</v>
      </c>
      <c r="V676" s="2" t="str">
        <f>IF(DAY(B676)&gt;15,MONTH(B676)&amp;"-C",MONTH(B676)&amp;"-N")</f>
        <v>9-C</v>
      </c>
      <c r="W676" s="21">
        <v>5.08</v>
      </c>
      <c r="X676" s="2" t="b">
        <f t="shared" ref="X676:X677" si="425">+L676=W676</f>
        <v>1</v>
      </c>
    </row>
    <row r="677" spans="2:24" x14ac:dyDescent="0.2">
      <c r="B677" s="17">
        <v>44466</v>
      </c>
      <c r="C677" s="10" t="s">
        <v>25</v>
      </c>
      <c r="D677" s="11">
        <v>162185</v>
      </c>
      <c r="E677" s="26">
        <v>59618</v>
      </c>
      <c r="F677" s="10" t="s">
        <v>26</v>
      </c>
      <c r="G677" s="10" t="s">
        <v>27</v>
      </c>
      <c r="H677" s="27" t="s">
        <v>28</v>
      </c>
      <c r="I677" s="12"/>
      <c r="J677" s="12"/>
      <c r="K677" s="13">
        <v>6400</v>
      </c>
      <c r="L677" s="21">
        <v>5.08</v>
      </c>
      <c r="M677" s="14" t="s">
        <v>14</v>
      </c>
      <c r="N677" s="13">
        <v>32512</v>
      </c>
      <c r="O677" s="15">
        <f t="shared" si="424"/>
        <v>0</v>
      </c>
      <c r="P677" s="10" t="s">
        <v>78</v>
      </c>
      <c r="Q677" s="11" t="s">
        <v>1579</v>
      </c>
      <c r="R677" s="11" t="s">
        <v>1458</v>
      </c>
      <c r="S677" s="16" t="s">
        <v>1580</v>
      </c>
      <c r="T677" s="19" t="str">
        <f>MONTH(B677)&amp;"-"&amp;YEAR(B677)</f>
        <v>9-2021</v>
      </c>
      <c r="U677" s="2">
        <f>YEAR(B677)</f>
        <v>2021</v>
      </c>
      <c r="V677" s="2" t="str">
        <f>IF(DAY(B677)&gt;15,MONTH(B677)&amp;"-C",MONTH(B677)&amp;"-N")</f>
        <v>9-C</v>
      </c>
      <c r="W677" s="21">
        <v>5.08</v>
      </c>
      <c r="X677" s="2" t="b">
        <f t="shared" si="425"/>
        <v>1</v>
      </c>
    </row>
    <row r="678" spans="2:24" x14ac:dyDescent="0.2">
      <c r="B678" s="17">
        <v>44467</v>
      </c>
      <c r="C678" s="10" t="s">
        <v>25</v>
      </c>
      <c r="D678" s="11">
        <v>162251</v>
      </c>
      <c r="E678" s="26">
        <v>59655</v>
      </c>
      <c r="F678" s="10" t="s">
        <v>49</v>
      </c>
      <c r="G678" s="10" t="s">
        <v>27</v>
      </c>
      <c r="H678" s="27" t="s">
        <v>50</v>
      </c>
      <c r="I678" s="12"/>
      <c r="J678" s="12"/>
      <c r="K678" s="13">
        <v>2280</v>
      </c>
      <c r="L678" s="21">
        <v>10.4</v>
      </c>
      <c r="M678" s="14" t="s">
        <v>14</v>
      </c>
      <c r="N678" s="13">
        <v>23712</v>
      </c>
      <c r="O678" s="15">
        <f t="shared" ref="O678:O679" si="426">(N678/K678)-L678</f>
        <v>0</v>
      </c>
      <c r="P678" s="10" t="s">
        <v>78</v>
      </c>
      <c r="Q678" s="11" t="s">
        <v>1581</v>
      </c>
      <c r="R678" s="11" t="s">
        <v>1455</v>
      </c>
      <c r="S678" s="16" t="s">
        <v>1582</v>
      </c>
      <c r="T678" s="19" t="str">
        <f>MONTH(B678)&amp;"-"&amp;YEAR(B678)</f>
        <v>9-2021</v>
      </c>
      <c r="U678" s="2">
        <f>YEAR(B678)</f>
        <v>2021</v>
      </c>
      <c r="V678" s="2" t="str">
        <f>IF(DAY(B678)&gt;15,MONTH(B678)&amp;"-C",MONTH(B678)&amp;"-N")</f>
        <v>9-C</v>
      </c>
      <c r="W678" s="21">
        <v>10.4</v>
      </c>
      <c r="X678" s="2" t="b">
        <f t="shared" ref="X678:X679" si="427">+L678=W678</f>
        <v>1</v>
      </c>
    </row>
    <row r="679" spans="2:24" x14ac:dyDescent="0.2">
      <c r="B679" s="17">
        <v>44467</v>
      </c>
      <c r="C679" s="10" t="s">
        <v>80</v>
      </c>
      <c r="D679" s="11">
        <v>162222</v>
      </c>
      <c r="E679" s="26">
        <v>59653</v>
      </c>
      <c r="F679" s="10" t="s">
        <v>26</v>
      </c>
      <c r="G679" s="10" t="s">
        <v>27</v>
      </c>
      <c r="H679" s="27" t="s">
        <v>28</v>
      </c>
      <c r="I679" s="12"/>
      <c r="J679" s="12"/>
      <c r="K679" s="13">
        <v>3600</v>
      </c>
      <c r="L679" s="21">
        <v>5.08</v>
      </c>
      <c r="M679" s="14" t="s">
        <v>14</v>
      </c>
      <c r="N679" s="13">
        <v>18288</v>
      </c>
      <c r="O679" s="15">
        <f t="shared" si="426"/>
        <v>0</v>
      </c>
      <c r="P679" s="10" t="s">
        <v>78</v>
      </c>
      <c r="Q679" s="11" t="s">
        <v>1583</v>
      </c>
      <c r="R679" s="11" t="s">
        <v>1584</v>
      </c>
      <c r="S679" s="16" t="s">
        <v>1585</v>
      </c>
      <c r="T679" s="19" t="str">
        <f>MONTH(B679)&amp;"-"&amp;YEAR(B679)</f>
        <v>9-2021</v>
      </c>
      <c r="U679" s="2">
        <f>YEAR(B679)</f>
        <v>2021</v>
      </c>
      <c r="V679" s="2" t="str">
        <f>IF(DAY(B679)&gt;15,MONTH(B679)&amp;"-C",MONTH(B679)&amp;"-N")</f>
        <v>9-C</v>
      </c>
      <c r="W679" s="21">
        <v>5.08</v>
      </c>
      <c r="X679" s="2" t="b">
        <f t="shared" si="427"/>
        <v>1</v>
      </c>
    </row>
    <row r="680" spans="2:24" x14ac:dyDescent="0.2">
      <c r="B680" s="17">
        <v>44468</v>
      </c>
      <c r="C680" s="10" t="s">
        <v>107</v>
      </c>
      <c r="D680" s="11">
        <v>162367</v>
      </c>
      <c r="E680" s="26">
        <v>59677</v>
      </c>
      <c r="F680" s="10" t="s">
        <v>142</v>
      </c>
      <c r="G680" s="10" t="s">
        <v>46</v>
      </c>
      <c r="H680" s="27" t="s">
        <v>143</v>
      </c>
      <c r="I680" s="12"/>
      <c r="J680" s="12"/>
      <c r="K680" s="13">
        <v>1760</v>
      </c>
      <c r="L680" s="21">
        <v>8.6</v>
      </c>
      <c r="M680" s="14" t="s">
        <v>14</v>
      </c>
      <c r="N680" s="13">
        <v>15136</v>
      </c>
      <c r="O680" s="15">
        <f t="shared" ref="O680:O684" si="428">(N680/K680)-L680</f>
        <v>0</v>
      </c>
      <c r="P680" s="10" t="s">
        <v>84</v>
      </c>
      <c r="Q680" s="11" t="s">
        <v>1587</v>
      </c>
      <c r="R680" s="11" t="s">
        <v>1588</v>
      </c>
      <c r="S680" s="16" t="s">
        <v>1586</v>
      </c>
      <c r="T680" s="19" t="str">
        <f>MONTH(B680)&amp;"-"&amp;YEAR(B680)</f>
        <v>9-2021</v>
      </c>
      <c r="U680" s="2">
        <f>YEAR(B680)</f>
        <v>2021</v>
      </c>
      <c r="V680" s="2" t="str">
        <f>IF(DAY(B680)&gt;15,MONTH(B680)&amp;"-C",MONTH(B680)&amp;"-N")</f>
        <v>9-C</v>
      </c>
      <c r="W680" s="21">
        <v>8.6</v>
      </c>
      <c r="X680" s="2" t="b">
        <f t="shared" ref="X680:X684" si="429">+L680=W680</f>
        <v>1</v>
      </c>
    </row>
    <row r="681" spans="2:24" x14ac:dyDescent="0.2">
      <c r="B681" s="17">
        <v>44468</v>
      </c>
      <c r="C681" s="10" t="s">
        <v>107</v>
      </c>
      <c r="D681" s="11">
        <v>162367</v>
      </c>
      <c r="E681" s="26">
        <v>59677</v>
      </c>
      <c r="F681" s="10" t="s">
        <v>144</v>
      </c>
      <c r="G681" s="10" t="s">
        <v>46</v>
      </c>
      <c r="H681" s="27" t="s">
        <v>145</v>
      </c>
      <c r="I681" s="12"/>
      <c r="J681" s="12"/>
      <c r="K681" s="13">
        <v>340</v>
      </c>
      <c r="L681" s="21">
        <v>17.25</v>
      </c>
      <c r="M681" s="14" t="s">
        <v>14</v>
      </c>
      <c r="N681" s="13">
        <v>5865</v>
      </c>
      <c r="O681" s="15">
        <f t="shared" si="428"/>
        <v>0</v>
      </c>
      <c r="P681" s="10" t="s">
        <v>84</v>
      </c>
      <c r="Q681" s="11" t="s">
        <v>1587</v>
      </c>
      <c r="R681" s="11" t="s">
        <v>1588</v>
      </c>
      <c r="S681" s="16" t="s">
        <v>1586</v>
      </c>
      <c r="T681" s="19" t="str">
        <f>MONTH(B681)&amp;"-"&amp;YEAR(B681)</f>
        <v>9-2021</v>
      </c>
      <c r="U681" s="2">
        <f>YEAR(B681)</f>
        <v>2021</v>
      </c>
      <c r="V681" s="2" t="str">
        <f>IF(DAY(B681)&gt;15,MONTH(B681)&amp;"-C",MONTH(B681)&amp;"-N")</f>
        <v>9-C</v>
      </c>
      <c r="W681" s="21">
        <v>17.25</v>
      </c>
      <c r="X681" s="2" t="b">
        <f t="shared" si="429"/>
        <v>1</v>
      </c>
    </row>
    <row r="682" spans="2:24" x14ac:dyDescent="0.2">
      <c r="B682" s="17">
        <v>44468</v>
      </c>
      <c r="C682" s="10" t="s">
        <v>107</v>
      </c>
      <c r="D682" s="11">
        <v>161696</v>
      </c>
      <c r="E682" s="26">
        <v>59677</v>
      </c>
      <c r="F682" s="10" t="s">
        <v>103</v>
      </c>
      <c r="G682" s="10" t="s">
        <v>46</v>
      </c>
      <c r="H682" s="27" t="s">
        <v>104</v>
      </c>
      <c r="I682" s="12"/>
      <c r="J682" s="12"/>
      <c r="K682" s="13">
        <v>80</v>
      </c>
      <c r="L682" s="21">
        <v>40.18</v>
      </c>
      <c r="M682" s="14" t="s">
        <v>14</v>
      </c>
      <c r="N682" s="13">
        <v>3214.4</v>
      </c>
      <c r="O682" s="15">
        <f t="shared" si="428"/>
        <v>0</v>
      </c>
      <c r="P682" s="10" t="s">
        <v>84</v>
      </c>
      <c r="Q682" s="11" t="s">
        <v>1587</v>
      </c>
      <c r="R682" s="11" t="s">
        <v>1588</v>
      </c>
      <c r="S682" s="16" t="s">
        <v>1586</v>
      </c>
      <c r="T682" s="19" t="str">
        <f>MONTH(B682)&amp;"-"&amp;YEAR(B682)</f>
        <v>9-2021</v>
      </c>
      <c r="U682" s="2">
        <f>YEAR(B682)</f>
        <v>2021</v>
      </c>
      <c r="V682" s="2" t="str">
        <f>IF(DAY(B682)&gt;15,MONTH(B682)&amp;"-C",MONTH(B682)&amp;"-N")</f>
        <v>9-C</v>
      </c>
      <c r="W682" s="21">
        <v>40.18</v>
      </c>
      <c r="X682" s="2" t="b">
        <f t="shared" si="429"/>
        <v>1</v>
      </c>
    </row>
    <row r="683" spans="2:24" x14ac:dyDescent="0.2">
      <c r="B683" s="17">
        <v>44468</v>
      </c>
      <c r="C683" s="10" t="s">
        <v>107</v>
      </c>
      <c r="D683" s="11">
        <v>161696</v>
      </c>
      <c r="E683" s="26">
        <v>59677</v>
      </c>
      <c r="F683" s="10" t="s">
        <v>105</v>
      </c>
      <c r="G683" s="10" t="s">
        <v>46</v>
      </c>
      <c r="H683" s="27" t="s">
        <v>106</v>
      </c>
      <c r="I683" s="12"/>
      <c r="J683" s="12"/>
      <c r="K683" s="13">
        <v>2640</v>
      </c>
      <c r="L683" s="21">
        <v>13.29</v>
      </c>
      <c r="M683" s="14" t="s">
        <v>14</v>
      </c>
      <c r="N683" s="13">
        <v>35085.599999999999</v>
      </c>
      <c r="O683" s="15">
        <f t="shared" si="428"/>
        <v>0</v>
      </c>
      <c r="P683" s="10" t="s">
        <v>84</v>
      </c>
      <c r="Q683" s="11" t="s">
        <v>1587</v>
      </c>
      <c r="R683" s="11" t="s">
        <v>1588</v>
      </c>
      <c r="S683" s="16" t="s">
        <v>1586</v>
      </c>
      <c r="T683" s="19" t="str">
        <f>MONTH(B683)&amp;"-"&amp;YEAR(B683)</f>
        <v>9-2021</v>
      </c>
      <c r="U683" s="2">
        <f>YEAR(B683)</f>
        <v>2021</v>
      </c>
      <c r="V683" s="2" t="str">
        <f>IF(DAY(B683)&gt;15,MONTH(B683)&amp;"-C",MONTH(B683)&amp;"-N")</f>
        <v>9-C</v>
      </c>
      <c r="W683" s="21">
        <v>13.29</v>
      </c>
      <c r="X683" s="2" t="b">
        <f t="shared" si="429"/>
        <v>1</v>
      </c>
    </row>
    <row r="684" spans="2:24" x14ac:dyDescent="0.2">
      <c r="B684" s="17">
        <v>44469</v>
      </c>
      <c r="C684" s="10" t="s">
        <v>80</v>
      </c>
      <c r="D684" s="11">
        <v>162222</v>
      </c>
      <c r="E684" s="26">
        <v>59691</v>
      </c>
      <c r="F684" s="10" t="s">
        <v>26</v>
      </c>
      <c r="G684" s="10" t="s">
        <v>27</v>
      </c>
      <c r="H684" s="27" t="s">
        <v>28</v>
      </c>
      <c r="I684" s="12"/>
      <c r="J684" s="12"/>
      <c r="K684" s="13">
        <v>7200</v>
      </c>
      <c r="L684" s="21">
        <v>5.08</v>
      </c>
      <c r="M684" s="14" t="s">
        <v>14</v>
      </c>
      <c r="N684" s="13">
        <v>36576</v>
      </c>
      <c r="O684" s="15">
        <f t="shared" si="428"/>
        <v>0</v>
      </c>
      <c r="P684" s="10" t="s">
        <v>78</v>
      </c>
      <c r="Q684" s="11" t="s">
        <v>1589</v>
      </c>
      <c r="R684" s="11" t="s">
        <v>1590</v>
      </c>
      <c r="S684" s="16" t="s">
        <v>1591</v>
      </c>
      <c r="T684" s="19" t="str">
        <f>MONTH(B684)&amp;"-"&amp;YEAR(B684)</f>
        <v>9-2021</v>
      </c>
      <c r="U684" s="2">
        <f>YEAR(B684)</f>
        <v>2021</v>
      </c>
      <c r="V684" s="2" t="str">
        <f>IF(DAY(B684)&gt;15,MONTH(B684)&amp;"-C",MONTH(B684)&amp;"-N")</f>
        <v>9-C</v>
      </c>
      <c r="W684" s="21">
        <v>5.08</v>
      </c>
      <c r="X684" s="2" t="b">
        <f t="shared" si="429"/>
        <v>1</v>
      </c>
    </row>
    <row r="685" spans="2:24" x14ac:dyDescent="0.2">
      <c r="B685" s="17">
        <v>44473</v>
      </c>
      <c r="C685" s="10" t="s">
        <v>80</v>
      </c>
      <c r="D685" s="11">
        <v>162222</v>
      </c>
      <c r="E685" s="26">
        <v>59741</v>
      </c>
      <c r="F685" s="10" t="s">
        <v>26</v>
      </c>
      <c r="G685" s="10" t="s">
        <v>27</v>
      </c>
      <c r="H685" s="27" t="s">
        <v>28</v>
      </c>
      <c r="I685" s="12"/>
      <c r="J685" s="12"/>
      <c r="K685" s="13">
        <v>3600</v>
      </c>
      <c r="L685" s="21">
        <v>5.08</v>
      </c>
      <c r="M685" s="14" t="s">
        <v>14</v>
      </c>
      <c r="N685" s="13">
        <v>18288</v>
      </c>
      <c r="O685" s="15">
        <f t="shared" ref="O685:O687" si="430">(N685/K685)-L685</f>
        <v>0</v>
      </c>
      <c r="P685" s="10" t="s">
        <v>78</v>
      </c>
      <c r="Q685" s="11" t="s">
        <v>1593</v>
      </c>
      <c r="R685" s="11" t="s">
        <v>1594</v>
      </c>
      <c r="S685" s="16" t="s">
        <v>1595</v>
      </c>
      <c r="T685" s="19" t="str">
        <f>MONTH(B685)&amp;"-"&amp;YEAR(B685)</f>
        <v>10-2021</v>
      </c>
      <c r="U685" s="2">
        <f>YEAR(B685)</f>
        <v>2021</v>
      </c>
      <c r="V685" s="2" t="str">
        <f>IF(DAY(B685)&gt;15,MONTH(B685)&amp;"-C",MONTH(B685)&amp;"-N")</f>
        <v>10-N</v>
      </c>
      <c r="W685" s="21">
        <v>5.08</v>
      </c>
      <c r="X685" s="2" t="b">
        <f t="shared" ref="X685:X687" si="431">+L685=W685</f>
        <v>1</v>
      </c>
    </row>
    <row r="686" spans="2:24" x14ac:dyDescent="0.2">
      <c r="B686" s="17">
        <v>44473</v>
      </c>
      <c r="C686" s="10" t="s">
        <v>80</v>
      </c>
      <c r="D686" s="11">
        <v>162222</v>
      </c>
      <c r="E686" s="26">
        <v>59743</v>
      </c>
      <c r="F686" s="10" t="s">
        <v>26</v>
      </c>
      <c r="G686" s="10" t="s">
        <v>27</v>
      </c>
      <c r="H686" s="27" t="s">
        <v>28</v>
      </c>
      <c r="I686" s="12"/>
      <c r="J686" s="12"/>
      <c r="K686" s="13">
        <v>3600</v>
      </c>
      <c r="L686" s="21">
        <v>5.08</v>
      </c>
      <c r="M686" s="14" t="s">
        <v>14</v>
      </c>
      <c r="N686" s="13">
        <v>18288</v>
      </c>
      <c r="O686" s="15">
        <f t="shared" si="430"/>
        <v>0</v>
      </c>
      <c r="P686" s="10" t="s">
        <v>78</v>
      </c>
      <c r="Q686" s="11" t="s">
        <v>1596</v>
      </c>
      <c r="R686" s="11" t="s">
        <v>1597</v>
      </c>
      <c r="S686" s="16" t="s">
        <v>1598</v>
      </c>
      <c r="T686" s="19" t="str">
        <f>MONTH(B686)&amp;"-"&amp;YEAR(B686)</f>
        <v>10-2021</v>
      </c>
      <c r="U686" s="2">
        <f>YEAR(B686)</f>
        <v>2021</v>
      </c>
      <c r="V686" s="2" t="str">
        <f>IF(DAY(B686)&gt;15,MONTH(B686)&amp;"-C",MONTH(B686)&amp;"-N")</f>
        <v>10-N</v>
      </c>
      <c r="W686" s="21">
        <v>5.08</v>
      </c>
      <c r="X686" s="2" t="b">
        <f t="shared" si="431"/>
        <v>1</v>
      </c>
    </row>
    <row r="687" spans="2:24" x14ac:dyDescent="0.2">
      <c r="B687" s="17">
        <v>44473</v>
      </c>
      <c r="C687" s="10" t="s">
        <v>25</v>
      </c>
      <c r="D687" s="11">
        <v>162107</v>
      </c>
      <c r="E687" s="26">
        <v>59742</v>
      </c>
      <c r="F687" s="10" t="s">
        <v>33</v>
      </c>
      <c r="G687" s="10" t="s">
        <v>27</v>
      </c>
      <c r="H687" s="27" t="s">
        <v>34</v>
      </c>
      <c r="I687" s="12"/>
      <c r="J687" s="12"/>
      <c r="K687" s="13">
        <v>2160</v>
      </c>
      <c r="L687" s="21">
        <v>7.5</v>
      </c>
      <c r="M687" s="14" t="s">
        <v>14</v>
      </c>
      <c r="N687" s="13">
        <v>16200</v>
      </c>
      <c r="O687" s="15">
        <f t="shared" si="430"/>
        <v>0</v>
      </c>
      <c r="P687" s="10" t="s">
        <v>78</v>
      </c>
      <c r="Q687" s="11" t="s">
        <v>1599</v>
      </c>
      <c r="R687" s="11" t="s">
        <v>1478</v>
      </c>
      <c r="S687" s="16" t="s">
        <v>1600</v>
      </c>
      <c r="T687" s="19" t="str">
        <f>MONTH(B687)&amp;"-"&amp;YEAR(B687)</f>
        <v>10-2021</v>
      </c>
      <c r="U687" s="2">
        <f>YEAR(B687)</f>
        <v>2021</v>
      </c>
      <c r="V687" s="2" t="str">
        <f>IF(DAY(B687)&gt;15,MONTH(B687)&amp;"-C",MONTH(B687)&amp;"-N")</f>
        <v>10-N</v>
      </c>
      <c r="W687" s="21">
        <v>7.5</v>
      </c>
      <c r="X687" s="2" t="b">
        <f t="shared" si="431"/>
        <v>1</v>
      </c>
    </row>
    <row r="688" spans="2:24" x14ac:dyDescent="0.2">
      <c r="B688" s="17">
        <v>44474</v>
      </c>
      <c r="C688" s="10" t="s">
        <v>80</v>
      </c>
      <c r="D688" s="11">
        <v>162222</v>
      </c>
      <c r="E688" s="26">
        <v>59763</v>
      </c>
      <c r="F688" s="10" t="s">
        <v>26</v>
      </c>
      <c r="G688" s="10" t="s">
        <v>27</v>
      </c>
      <c r="H688" s="27" t="s">
        <v>28</v>
      </c>
      <c r="I688" s="12"/>
      <c r="J688" s="12"/>
      <c r="K688" s="13">
        <v>3600</v>
      </c>
      <c r="L688" s="21">
        <v>5.08</v>
      </c>
      <c r="M688" s="14" t="s">
        <v>14</v>
      </c>
      <c r="N688" s="13">
        <v>18288</v>
      </c>
      <c r="O688" s="15">
        <f t="shared" ref="O688:O690" si="432">(N688/K688)-L688</f>
        <v>0</v>
      </c>
      <c r="P688" s="10" t="s">
        <v>78</v>
      </c>
      <c r="Q688" s="11" t="s">
        <v>1601</v>
      </c>
      <c r="R688" s="11" t="s">
        <v>1602</v>
      </c>
      <c r="S688" s="16" t="s">
        <v>1603</v>
      </c>
      <c r="T688" s="19" t="str">
        <f>MONTH(B688)&amp;"-"&amp;YEAR(B688)</f>
        <v>10-2021</v>
      </c>
      <c r="U688" s="2">
        <f>YEAR(B688)</f>
        <v>2021</v>
      </c>
      <c r="V688" s="2" t="str">
        <f>IF(DAY(B688)&gt;15,MONTH(B688)&amp;"-C",MONTH(B688)&amp;"-N")</f>
        <v>10-N</v>
      </c>
      <c r="W688" s="21">
        <v>5.08</v>
      </c>
      <c r="X688" s="2" t="b">
        <f t="shared" ref="X688:X690" si="433">+L688=W688</f>
        <v>1</v>
      </c>
    </row>
    <row r="689" spans="2:24" x14ac:dyDescent="0.2">
      <c r="B689" s="17">
        <v>44476</v>
      </c>
      <c r="C689" s="10" t="s">
        <v>25</v>
      </c>
      <c r="D689" s="11">
        <v>162185</v>
      </c>
      <c r="E689" s="26">
        <v>59787</v>
      </c>
      <c r="F689" s="10" t="s">
        <v>26</v>
      </c>
      <c r="G689" s="10" t="s">
        <v>27</v>
      </c>
      <c r="H689" s="27" t="s">
        <v>28</v>
      </c>
      <c r="I689" s="12"/>
      <c r="J689" s="12"/>
      <c r="K689" s="13">
        <v>16200</v>
      </c>
      <c r="L689" s="21">
        <v>5.08</v>
      </c>
      <c r="M689" s="14" t="s">
        <v>14</v>
      </c>
      <c r="N689" s="13">
        <v>82296</v>
      </c>
      <c r="O689" s="15">
        <f t="shared" si="432"/>
        <v>0</v>
      </c>
      <c r="P689" s="10" t="s">
        <v>78</v>
      </c>
      <c r="Q689" s="11" t="s">
        <v>1604</v>
      </c>
      <c r="R689" s="11" t="s">
        <v>1477</v>
      </c>
      <c r="S689" s="16" t="s">
        <v>1605</v>
      </c>
      <c r="T689" s="19" t="str">
        <f>MONTH(B689)&amp;"-"&amp;YEAR(B689)</f>
        <v>10-2021</v>
      </c>
      <c r="U689" s="2">
        <f>YEAR(B689)</f>
        <v>2021</v>
      </c>
      <c r="V689" s="2" t="str">
        <f>IF(DAY(B689)&gt;15,MONTH(B689)&amp;"-C",MONTH(B689)&amp;"-N")</f>
        <v>10-N</v>
      </c>
      <c r="W689" s="21">
        <v>5.08</v>
      </c>
      <c r="X689" s="2" t="b">
        <f t="shared" si="433"/>
        <v>1</v>
      </c>
    </row>
    <row r="690" spans="2:24" x14ac:dyDescent="0.2">
      <c r="B690" s="17">
        <v>44476</v>
      </c>
      <c r="C690" s="10" t="s">
        <v>80</v>
      </c>
      <c r="D690" s="11">
        <v>162222</v>
      </c>
      <c r="E690" s="26">
        <v>59786</v>
      </c>
      <c r="F690" s="10" t="s">
        <v>26</v>
      </c>
      <c r="G690" s="10" t="s">
        <v>27</v>
      </c>
      <c r="H690" s="27" t="s">
        <v>28</v>
      </c>
      <c r="I690" s="12"/>
      <c r="J690" s="12"/>
      <c r="K690" s="13">
        <v>1800</v>
      </c>
      <c r="L690" s="21">
        <v>5.08</v>
      </c>
      <c r="M690" s="14" t="s">
        <v>14</v>
      </c>
      <c r="N690" s="13">
        <v>9144</v>
      </c>
      <c r="O690" s="15">
        <f t="shared" si="432"/>
        <v>0</v>
      </c>
      <c r="P690" s="10" t="s">
        <v>78</v>
      </c>
      <c r="Q690" s="11" t="s">
        <v>1606</v>
      </c>
      <c r="R690" s="11" t="s">
        <v>1607</v>
      </c>
      <c r="S690" s="16" t="s">
        <v>1608</v>
      </c>
      <c r="T690" s="19" t="str">
        <f>MONTH(B690)&amp;"-"&amp;YEAR(B690)</f>
        <v>10-2021</v>
      </c>
      <c r="U690" s="2">
        <f>YEAR(B690)</f>
        <v>2021</v>
      </c>
      <c r="V690" s="2" t="str">
        <f>IF(DAY(B690)&gt;15,MONTH(B690)&amp;"-C",MONTH(B690)&amp;"-N")</f>
        <v>10-N</v>
      </c>
      <c r="W690" s="21">
        <v>5.08</v>
      </c>
      <c r="X690" s="2" t="b">
        <f t="shared" si="433"/>
        <v>1</v>
      </c>
    </row>
    <row r="691" spans="2:24" x14ac:dyDescent="0.2">
      <c r="B691" s="17">
        <v>44478</v>
      </c>
      <c r="C691" s="10" t="s">
        <v>48</v>
      </c>
      <c r="D691" s="11">
        <v>160301</v>
      </c>
      <c r="E691" s="26">
        <v>59850</v>
      </c>
      <c r="F691" s="10" t="s">
        <v>135</v>
      </c>
      <c r="G691" s="10" t="s">
        <v>46</v>
      </c>
      <c r="H691" s="27" t="s">
        <v>136</v>
      </c>
      <c r="I691" s="12"/>
      <c r="J691" s="12"/>
      <c r="K691" s="13">
        <v>6400</v>
      </c>
      <c r="L691" s="21">
        <v>9.7750000000000004</v>
      </c>
      <c r="M691" s="14" t="s">
        <v>14</v>
      </c>
      <c r="N691" s="13">
        <v>62560</v>
      </c>
      <c r="O691" s="15">
        <f t="shared" ref="O691:O694" si="434">(N691/K691)-L691</f>
        <v>0</v>
      </c>
      <c r="P691" s="10" t="s">
        <v>90</v>
      </c>
      <c r="Q691" s="11" t="s">
        <v>1610</v>
      </c>
      <c r="R691" s="11" t="s">
        <v>1611</v>
      </c>
      <c r="S691" s="16" t="s">
        <v>1609</v>
      </c>
      <c r="T691" s="19" t="str">
        <f>MONTH(B691)&amp;"-"&amp;YEAR(B691)</f>
        <v>10-2021</v>
      </c>
      <c r="U691" s="2">
        <f>YEAR(B691)</f>
        <v>2021</v>
      </c>
      <c r="V691" s="2" t="str">
        <f>IF(DAY(B691)&gt;15,MONTH(B691)&amp;"-C",MONTH(B691)&amp;"-N")</f>
        <v>10-N</v>
      </c>
      <c r="W691" s="21">
        <v>9.7750000000000004</v>
      </c>
      <c r="X691" s="2" t="b">
        <f t="shared" ref="X691:X694" si="435">+L691=W691</f>
        <v>1</v>
      </c>
    </row>
    <row r="692" spans="2:24" x14ac:dyDescent="0.2">
      <c r="B692" s="17">
        <v>44478</v>
      </c>
      <c r="C692" s="10" t="s">
        <v>48</v>
      </c>
      <c r="D692" s="11">
        <v>160301</v>
      </c>
      <c r="E692" s="26">
        <v>59850</v>
      </c>
      <c r="F692" s="10" t="s">
        <v>71</v>
      </c>
      <c r="G692" s="10" t="s">
        <v>46</v>
      </c>
      <c r="H692" s="27" t="s">
        <v>72</v>
      </c>
      <c r="I692" s="12"/>
      <c r="J692" s="12"/>
      <c r="K692" s="13">
        <v>9600</v>
      </c>
      <c r="L692" s="21">
        <v>9.7750000000000004</v>
      </c>
      <c r="M692" s="14" t="s">
        <v>14</v>
      </c>
      <c r="N692" s="13">
        <v>93840</v>
      </c>
      <c r="O692" s="15">
        <f t="shared" si="434"/>
        <v>0</v>
      </c>
      <c r="P692" s="10" t="s">
        <v>90</v>
      </c>
      <c r="Q692" s="11" t="s">
        <v>1610</v>
      </c>
      <c r="R692" s="11" t="s">
        <v>1611</v>
      </c>
      <c r="S692" s="16" t="s">
        <v>1609</v>
      </c>
      <c r="T692" s="19" t="str">
        <f>MONTH(B692)&amp;"-"&amp;YEAR(B692)</f>
        <v>10-2021</v>
      </c>
      <c r="U692" s="2">
        <f>YEAR(B692)</f>
        <v>2021</v>
      </c>
      <c r="V692" s="2" t="str">
        <f>IF(DAY(B692)&gt;15,MONTH(B692)&amp;"-C",MONTH(B692)&amp;"-N")</f>
        <v>10-N</v>
      </c>
      <c r="W692" s="21">
        <v>9.7750000000000004</v>
      </c>
      <c r="X692" s="2" t="b">
        <f t="shared" si="435"/>
        <v>1</v>
      </c>
    </row>
    <row r="693" spans="2:24" x14ac:dyDescent="0.2">
      <c r="B693" s="17">
        <v>44479</v>
      </c>
      <c r="C693" s="10" t="s">
        <v>108</v>
      </c>
      <c r="D693" s="11">
        <v>161428</v>
      </c>
      <c r="E693" s="26">
        <v>59835</v>
      </c>
      <c r="F693" s="10" t="s">
        <v>121</v>
      </c>
      <c r="G693" s="10" t="s">
        <v>46</v>
      </c>
      <c r="H693" s="27" t="s">
        <v>122</v>
      </c>
      <c r="I693" s="12"/>
      <c r="J693" s="12"/>
      <c r="K693" s="13">
        <v>6900</v>
      </c>
      <c r="L693" s="21">
        <v>12.7</v>
      </c>
      <c r="M693" s="14" t="s">
        <v>14</v>
      </c>
      <c r="N693" s="13">
        <v>87630</v>
      </c>
      <c r="O693" s="15">
        <f t="shared" si="434"/>
        <v>0</v>
      </c>
      <c r="P693" s="10" t="s">
        <v>84</v>
      </c>
      <c r="Q693" s="11" t="s">
        <v>1612</v>
      </c>
      <c r="R693" s="11" t="s">
        <v>1613</v>
      </c>
      <c r="S693" s="16" t="s">
        <v>1614</v>
      </c>
      <c r="T693" s="19" t="str">
        <f>MONTH(B693)&amp;"-"&amp;YEAR(B693)</f>
        <v>10-2021</v>
      </c>
      <c r="U693" s="2">
        <f>YEAR(B693)</f>
        <v>2021</v>
      </c>
      <c r="V693" s="2" t="str">
        <f>IF(DAY(B693)&gt;15,MONTH(B693)&amp;"-C",MONTH(B693)&amp;"-N")</f>
        <v>10-N</v>
      </c>
      <c r="W693" s="21">
        <v>12.7</v>
      </c>
      <c r="X693" s="2" t="b">
        <f t="shared" si="435"/>
        <v>1</v>
      </c>
    </row>
    <row r="694" spans="2:24" x14ac:dyDescent="0.2">
      <c r="B694" s="17">
        <v>44479</v>
      </c>
      <c r="C694" s="10" t="s">
        <v>108</v>
      </c>
      <c r="D694" s="11">
        <v>161428</v>
      </c>
      <c r="E694" s="26">
        <v>59835</v>
      </c>
      <c r="F694" s="10" t="s">
        <v>123</v>
      </c>
      <c r="G694" s="10" t="s">
        <v>46</v>
      </c>
      <c r="H694" s="27" t="s">
        <v>124</v>
      </c>
      <c r="I694" s="12"/>
      <c r="J694" s="12"/>
      <c r="K694" s="13">
        <v>11500</v>
      </c>
      <c r="L694" s="21">
        <v>12.7</v>
      </c>
      <c r="M694" s="14" t="s">
        <v>14</v>
      </c>
      <c r="N694" s="13">
        <v>146050</v>
      </c>
      <c r="O694" s="15">
        <f t="shared" si="434"/>
        <v>0</v>
      </c>
      <c r="P694" s="10" t="s">
        <v>84</v>
      </c>
      <c r="Q694" s="11" t="s">
        <v>1612</v>
      </c>
      <c r="R694" s="11" t="s">
        <v>1613</v>
      </c>
      <c r="S694" s="16" t="s">
        <v>1614</v>
      </c>
      <c r="T694" s="19" t="str">
        <f>MONTH(B694)&amp;"-"&amp;YEAR(B694)</f>
        <v>10-2021</v>
      </c>
      <c r="U694" s="2">
        <f>YEAR(B694)</f>
        <v>2021</v>
      </c>
      <c r="V694" s="2" t="str">
        <f>IF(DAY(B694)&gt;15,MONTH(B694)&amp;"-C",MONTH(B694)&amp;"-N")</f>
        <v>10-N</v>
      </c>
      <c r="W694" s="21">
        <v>12.7</v>
      </c>
      <c r="X694" s="2" t="b">
        <f t="shared" si="435"/>
        <v>1</v>
      </c>
    </row>
    <row r="695" spans="2:24" x14ac:dyDescent="0.2">
      <c r="B695" s="17">
        <v>44480</v>
      </c>
      <c r="C695" s="10" t="s">
        <v>107</v>
      </c>
      <c r="D695" s="11">
        <v>162328</v>
      </c>
      <c r="E695" s="26">
        <v>161696</v>
      </c>
      <c r="F695" s="10" t="s">
        <v>103</v>
      </c>
      <c r="G695" s="10" t="s">
        <v>46</v>
      </c>
      <c r="H695" s="27" t="s">
        <v>104</v>
      </c>
      <c r="I695" s="12"/>
      <c r="J695" s="12"/>
      <c r="K695" s="13">
        <v>100</v>
      </c>
      <c r="L695" s="21">
        <v>40.18</v>
      </c>
      <c r="M695" s="14" t="s">
        <v>14</v>
      </c>
      <c r="N695" s="13">
        <v>4018</v>
      </c>
      <c r="O695" s="15">
        <f t="shared" ref="O695:O699" si="436">(N695/K695)-L695</f>
        <v>0</v>
      </c>
      <c r="P695" s="10" t="s">
        <v>84</v>
      </c>
      <c r="Q695" s="11" t="s">
        <v>1615</v>
      </c>
      <c r="R695" s="11" t="s">
        <v>1616</v>
      </c>
      <c r="S695" s="16" t="s">
        <v>1617</v>
      </c>
      <c r="T695" s="19" t="str">
        <f>MONTH(B695)&amp;"-"&amp;YEAR(B695)</f>
        <v>10-2021</v>
      </c>
      <c r="U695" s="2">
        <f>YEAR(B695)</f>
        <v>2021</v>
      </c>
      <c r="V695" s="2" t="str">
        <f>IF(DAY(B695)&gt;15,MONTH(B695)&amp;"-C",MONTH(B695)&amp;"-N")</f>
        <v>10-N</v>
      </c>
      <c r="W695" s="21">
        <v>40.18</v>
      </c>
      <c r="X695" s="2" t="b">
        <f t="shared" ref="X695:X699" si="437">+L695=W695</f>
        <v>1</v>
      </c>
    </row>
    <row r="696" spans="2:24" x14ac:dyDescent="0.2">
      <c r="B696" s="17">
        <v>44480</v>
      </c>
      <c r="C696" s="10" t="s">
        <v>107</v>
      </c>
      <c r="D696" s="11">
        <v>161696</v>
      </c>
      <c r="E696" s="26">
        <v>59849</v>
      </c>
      <c r="F696" s="10" t="s">
        <v>103</v>
      </c>
      <c r="G696" s="10" t="s">
        <v>46</v>
      </c>
      <c r="H696" s="27" t="s">
        <v>104</v>
      </c>
      <c r="I696" s="12"/>
      <c r="J696" s="12"/>
      <c r="K696" s="13">
        <v>20</v>
      </c>
      <c r="L696" s="21">
        <v>40.18</v>
      </c>
      <c r="M696" s="14" t="s">
        <v>14</v>
      </c>
      <c r="N696" s="13">
        <v>803.6</v>
      </c>
      <c r="O696" s="15">
        <f t="shared" si="436"/>
        <v>0</v>
      </c>
      <c r="P696" s="10" t="s">
        <v>84</v>
      </c>
      <c r="Q696" s="11" t="s">
        <v>1615</v>
      </c>
      <c r="R696" s="11" t="s">
        <v>1616</v>
      </c>
      <c r="S696" s="16" t="s">
        <v>1617</v>
      </c>
      <c r="T696" s="19" t="str">
        <f>MONTH(B696)&amp;"-"&amp;YEAR(B696)</f>
        <v>10-2021</v>
      </c>
      <c r="U696" s="2">
        <f>YEAR(B696)</f>
        <v>2021</v>
      </c>
      <c r="V696" s="2" t="str">
        <f>IF(DAY(B696)&gt;15,MONTH(B696)&amp;"-C",MONTH(B696)&amp;"-N")</f>
        <v>10-N</v>
      </c>
      <c r="W696" s="21">
        <v>40.18</v>
      </c>
      <c r="X696" s="2" t="b">
        <f t="shared" si="437"/>
        <v>1</v>
      </c>
    </row>
    <row r="697" spans="2:24" x14ac:dyDescent="0.2">
      <c r="B697" s="17">
        <v>44480</v>
      </c>
      <c r="C697" s="10" t="s">
        <v>107</v>
      </c>
      <c r="D697" s="11">
        <v>161696</v>
      </c>
      <c r="E697" s="26">
        <v>59849</v>
      </c>
      <c r="F697" s="10" t="s">
        <v>105</v>
      </c>
      <c r="G697" s="10" t="s">
        <v>46</v>
      </c>
      <c r="H697" s="27" t="s">
        <v>106</v>
      </c>
      <c r="I697" s="12"/>
      <c r="J697" s="12"/>
      <c r="K697" s="13">
        <v>660</v>
      </c>
      <c r="L697" s="21">
        <v>13.29</v>
      </c>
      <c r="M697" s="14" t="s">
        <v>14</v>
      </c>
      <c r="N697" s="13">
        <v>8771.4</v>
      </c>
      <c r="O697" s="15">
        <f t="shared" si="436"/>
        <v>0</v>
      </c>
      <c r="P697" s="10" t="s">
        <v>84</v>
      </c>
      <c r="Q697" s="11" t="s">
        <v>1615</v>
      </c>
      <c r="R697" s="11" t="s">
        <v>1616</v>
      </c>
      <c r="S697" s="16" t="s">
        <v>1617</v>
      </c>
      <c r="T697" s="19" t="str">
        <f>MONTH(B697)&amp;"-"&amp;YEAR(B697)</f>
        <v>10-2021</v>
      </c>
      <c r="U697" s="2">
        <f>YEAR(B697)</f>
        <v>2021</v>
      </c>
      <c r="V697" s="2" t="str">
        <f>IF(DAY(B697)&gt;15,MONTH(B697)&amp;"-C",MONTH(B697)&amp;"-N")</f>
        <v>10-N</v>
      </c>
      <c r="W697" s="21">
        <v>13.29</v>
      </c>
      <c r="X697" s="2" t="b">
        <f t="shared" si="437"/>
        <v>1</v>
      </c>
    </row>
    <row r="698" spans="2:24" x14ac:dyDescent="0.2">
      <c r="B698" s="17">
        <v>44480</v>
      </c>
      <c r="C698" s="10" t="s">
        <v>107</v>
      </c>
      <c r="D698" s="11">
        <v>162328</v>
      </c>
      <c r="E698" s="26">
        <v>59849</v>
      </c>
      <c r="F698" s="10" t="s">
        <v>105</v>
      </c>
      <c r="G698" s="10" t="s">
        <v>46</v>
      </c>
      <c r="H698" s="27" t="s">
        <v>106</v>
      </c>
      <c r="I698" s="12"/>
      <c r="J698" s="12"/>
      <c r="K698" s="13">
        <v>3300</v>
      </c>
      <c r="L698" s="21">
        <v>13.29</v>
      </c>
      <c r="M698" s="14" t="s">
        <v>14</v>
      </c>
      <c r="N698" s="13">
        <v>43857</v>
      </c>
      <c r="O698" s="15">
        <f t="shared" si="436"/>
        <v>0</v>
      </c>
      <c r="P698" s="10" t="s">
        <v>84</v>
      </c>
      <c r="Q698" s="11" t="s">
        <v>1615</v>
      </c>
      <c r="R698" s="11" t="s">
        <v>1616</v>
      </c>
      <c r="S698" s="16" t="s">
        <v>1617</v>
      </c>
      <c r="T698" s="19" t="str">
        <f>MONTH(B698)&amp;"-"&amp;YEAR(B698)</f>
        <v>10-2021</v>
      </c>
      <c r="U698" s="2">
        <f>YEAR(B698)</f>
        <v>2021</v>
      </c>
      <c r="V698" s="2" t="str">
        <f>IF(DAY(B698)&gt;15,MONTH(B698)&amp;"-C",MONTH(B698)&amp;"-N")</f>
        <v>10-N</v>
      </c>
      <c r="W698" s="21">
        <v>13.29</v>
      </c>
      <c r="X698" s="2" t="b">
        <f t="shared" si="437"/>
        <v>1</v>
      </c>
    </row>
    <row r="699" spans="2:24" x14ac:dyDescent="0.2">
      <c r="B699" s="17">
        <v>44481</v>
      </c>
      <c r="C699" s="10" t="s">
        <v>25</v>
      </c>
      <c r="D699" s="11">
        <v>162185</v>
      </c>
      <c r="E699" s="26">
        <v>59852</v>
      </c>
      <c r="F699" s="10" t="s">
        <v>26</v>
      </c>
      <c r="G699" s="10" t="s">
        <v>27</v>
      </c>
      <c r="H699" s="27" t="s">
        <v>28</v>
      </c>
      <c r="I699" s="12"/>
      <c r="J699" s="12"/>
      <c r="K699" s="13">
        <v>17400</v>
      </c>
      <c r="L699" s="21">
        <v>5.08</v>
      </c>
      <c r="M699" s="14" t="s">
        <v>14</v>
      </c>
      <c r="N699" s="13">
        <v>88392</v>
      </c>
      <c r="O699" s="15">
        <f t="shared" si="436"/>
        <v>0</v>
      </c>
      <c r="P699" s="10" t="s">
        <v>78</v>
      </c>
      <c r="Q699" s="11" t="s">
        <v>1618</v>
      </c>
      <c r="R699" s="11" t="s">
        <v>1619</v>
      </c>
      <c r="S699" s="16" t="s">
        <v>1620</v>
      </c>
      <c r="T699" s="19" t="str">
        <f>MONTH(B699)&amp;"-"&amp;YEAR(B699)</f>
        <v>10-2021</v>
      </c>
      <c r="U699" s="2">
        <f>YEAR(B699)</f>
        <v>2021</v>
      </c>
      <c r="V699" s="2" t="str">
        <f>IF(DAY(B699)&gt;15,MONTH(B699)&amp;"-C",MONTH(B699)&amp;"-N")</f>
        <v>10-N</v>
      </c>
      <c r="W699" s="21">
        <v>5.08</v>
      </c>
      <c r="X699" s="2" t="b">
        <f t="shared" si="437"/>
        <v>1</v>
      </c>
    </row>
    <row r="700" spans="2:24" x14ac:dyDescent="0.2">
      <c r="B700" s="17">
        <v>44485</v>
      </c>
      <c r="C700" s="10" t="s">
        <v>94</v>
      </c>
      <c r="D700" s="11">
        <v>162536</v>
      </c>
      <c r="E700" s="26">
        <v>59908</v>
      </c>
      <c r="F700" s="10" t="s">
        <v>26</v>
      </c>
      <c r="G700" s="10" t="s">
        <v>27</v>
      </c>
      <c r="H700" s="27" t="s">
        <v>28</v>
      </c>
      <c r="I700" s="12"/>
      <c r="J700" s="12"/>
      <c r="K700" s="13">
        <v>18000</v>
      </c>
      <c r="L700" s="21">
        <v>6.4</v>
      </c>
      <c r="M700" s="14" t="s">
        <v>14</v>
      </c>
      <c r="N700" s="13">
        <v>115200</v>
      </c>
      <c r="O700" s="15">
        <f t="shared" ref="O700" si="438">(N700/K700)-L700</f>
        <v>0</v>
      </c>
      <c r="P700" s="10" t="s">
        <v>78</v>
      </c>
      <c r="Q700" s="11" t="s">
        <v>1623</v>
      </c>
      <c r="R700" s="11" t="s">
        <v>1624</v>
      </c>
      <c r="S700" s="16" t="s">
        <v>1625</v>
      </c>
      <c r="T700" s="19" t="str">
        <f>MONTH(B700)&amp;"-"&amp;YEAR(B700)</f>
        <v>10-2021</v>
      </c>
      <c r="U700" s="2">
        <f>YEAR(B700)</f>
        <v>2021</v>
      </c>
      <c r="V700" s="2" t="str">
        <f>IF(DAY(B700)&gt;15,MONTH(B700)&amp;"-C",MONTH(B700)&amp;"-N")</f>
        <v>10-C</v>
      </c>
      <c r="W700" s="21">
        <v>6.4</v>
      </c>
      <c r="X700" s="2" t="b">
        <f t="shared" ref="X700" si="439">+L700=W700</f>
        <v>1</v>
      </c>
    </row>
    <row r="701" spans="2:24" x14ac:dyDescent="0.2">
      <c r="B701" s="17">
        <v>44487</v>
      </c>
      <c r="C701" s="10" t="s">
        <v>108</v>
      </c>
      <c r="D701" s="11">
        <v>162542</v>
      </c>
      <c r="E701" s="26">
        <v>59951</v>
      </c>
      <c r="F701" s="10" t="s">
        <v>139</v>
      </c>
      <c r="G701" s="10" t="s">
        <v>46</v>
      </c>
      <c r="H701" s="27" t="s">
        <v>140</v>
      </c>
      <c r="I701" s="12"/>
      <c r="J701" s="12"/>
      <c r="K701" s="13">
        <v>4600</v>
      </c>
      <c r="L701" s="21">
        <v>12.2</v>
      </c>
      <c r="M701" s="14" t="s">
        <v>14</v>
      </c>
      <c r="N701" s="13">
        <v>56120</v>
      </c>
      <c r="O701" s="15">
        <f t="shared" ref="O701:O702" si="440">(N701/K701)-L701</f>
        <v>0</v>
      </c>
      <c r="P701" s="10" t="s">
        <v>84</v>
      </c>
      <c r="Q701" s="11" t="s">
        <v>1626</v>
      </c>
      <c r="R701" s="11" t="s">
        <v>1627</v>
      </c>
      <c r="S701" s="16" t="s">
        <v>1628</v>
      </c>
      <c r="T701" s="19" t="str">
        <f>MONTH(B701)&amp;"-"&amp;YEAR(B701)</f>
        <v>10-2021</v>
      </c>
      <c r="U701" s="2">
        <f>YEAR(B701)</f>
        <v>2021</v>
      </c>
      <c r="V701" s="2" t="str">
        <f>IF(DAY(B701)&gt;15,MONTH(B701)&amp;"-C",MONTH(B701)&amp;"-N")</f>
        <v>10-C</v>
      </c>
      <c r="W701" s="21">
        <v>12.2</v>
      </c>
      <c r="X701" s="2" t="b">
        <f t="shared" ref="X701:X702" si="441">+L701=W701</f>
        <v>1</v>
      </c>
    </row>
    <row r="702" spans="2:24" x14ac:dyDescent="0.2">
      <c r="B702" s="17">
        <v>44487</v>
      </c>
      <c r="C702" s="10" t="s">
        <v>108</v>
      </c>
      <c r="D702" s="11">
        <v>162542</v>
      </c>
      <c r="E702" s="26">
        <v>59951</v>
      </c>
      <c r="F702" s="10" t="s">
        <v>129</v>
      </c>
      <c r="G702" s="10" t="s">
        <v>46</v>
      </c>
      <c r="H702" s="27" t="s">
        <v>130</v>
      </c>
      <c r="I702" s="12"/>
      <c r="J702" s="12"/>
      <c r="K702" s="13">
        <v>4830</v>
      </c>
      <c r="L702" s="21">
        <v>12.72</v>
      </c>
      <c r="M702" s="14" t="s">
        <v>14</v>
      </c>
      <c r="N702" s="13">
        <v>61437.599999999999</v>
      </c>
      <c r="O702" s="15">
        <f t="shared" si="440"/>
        <v>0</v>
      </c>
      <c r="P702" s="10" t="s">
        <v>84</v>
      </c>
      <c r="Q702" s="11" t="s">
        <v>1626</v>
      </c>
      <c r="R702" s="11" t="s">
        <v>1627</v>
      </c>
      <c r="S702" s="16" t="s">
        <v>1628</v>
      </c>
      <c r="T702" s="19" t="str">
        <f>MONTH(B702)&amp;"-"&amp;YEAR(B702)</f>
        <v>10-2021</v>
      </c>
      <c r="U702" s="2">
        <f>YEAR(B702)</f>
        <v>2021</v>
      </c>
      <c r="V702" s="2" t="str">
        <f>IF(DAY(B702)&gt;15,MONTH(B702)&amp;"-C",MONTH(B702)&amp;"-N")</f>
        <v>10-C</v>
      </c>
      <c r="W702" s="21">
        <v>12.72</v>
      </c>
      <c r="X702" s="2" t="b">
        <f t="shared" si="441"/>
        <v>1</v>
      </c>
    </row>
    <row r="703" spans="2:24" x14ac:dyDescent="0.2">
      <c r="B703" s="17">
        <v>44492</v>
      </c>
      <c r="C703" s="10" t="s">
        <v>82</v>
      </c>
      <c r="D703" s="11">
        <v>162731</v>
      </c>
      <c r="E703" s="26">
        <v>60022</v>
      </c>
      <c r="F703" s="10" t="s">
        <v>26</v>
      </c>
      <c r="G703" s="10" t="s">
        <v>27</v>
      </c>
      <c r="H703" s="27" t="s">
        <v>28</v>
      </c>
      <c r="I703" s="12"/>
      <c r="J703" s="12"/>
      <c r="K703" s="13">
        <v>2160</v>
      </c>
      <c r="L703" s="21">
        <v>7.5</v>
      </c>
      <c r="M703" s="14" t="s">
        <v>14</v>
      </c>
      <c r="N703" s="13">
        <v>16200</v>
      </c>
      <c r="O703" s="15">
        <f t="shared" ref="O703" si="442">(N703/K703)-L703</f>
        <v>0</v>
      </c>
      <c r="P703" s="10" t="s">
        <v>78</v>
      </c>
      <c r="Q703" s="11" t="s">
        <v>1629</v>
      </c>
      <c r="R703" s="11" t="s">
        <v>1630</v>
      </c>
      <c r="S703" s="16" t="s">
        <v>1631</v>
      </c>
      <c r="T703" s="19" t="str">
        <f>MONTH(B703)&amp;"-"&amp;YEAR(B703)</f>
        <v>10-2021</v>
      </c>
      <c r="U703" s="2">
        <f>YEAR(B703)</f>
        <v>2021</v>
      </c>
      <c r="V703" s="2" t="str">
        <f>IF(DAY(B703)&gt;15,MONTH(B703)&amp;"-C",MONTH(B703)&amp;"-N")</f>
        <v>10-C</v>
      </c>
      <c r="W703" s="21">
        <v>7.5</v>
      </c>
      <c r="X703" s="2" t="b">
        <f t="shared" ref="X703" si="443">+L703=W703</f>
        <v>1</v>
      </c>
    </row>
    <row r="704" spans="2:24" x14ac:dyDescent="0.2">
      <c r="B704" s="17">
        <v>44493</v>
      </c>
      <c r="C704" s="10" t="s">
        <v>82</v>
      </c>
      <c r="D704" s="11">
        <v>162750</v>
      </c>
      <c r="E704" s="26">
        <v>60033</v>
      </c>
      <c r="F704" s="10" t="s">
        <v>26</v>
      </c>
      <c r="G704" s="10" t="s">
        <v>27</v>
      </c>
      <c r="H704" s="27" t="s">
        <v>28</v>
      </c>
      <c r="I704" s="12"/>
      <c r="J704" s="12"/>
      <c r="K704" s="13">
        <v>2160</v>
      </c>
      <c r="L704" s="21">
        <v>7.5</v>
      </c>
      <c r="M704" s="14" t="s">
        <v>14</v>
      </c>
      <c r="N704" s="13">
        <v>16200</v>
      </c>
      <c r="O704" s="15">
        <f t="shared" ref="O704" si="444">(N704/K704)-L704</f>
        <v>0</v>
      </c>
      <c r="P704" s="10" t="s">
        <v>78</v>
      </c>
      <c r="Q704" s="11" t="s">
        <v>1633</v>
      </c>
      <c r="R704" s="11" t="s">
        <v>1634</v>
      </c>
      <c r="S704" s="16" t="s">
        <v>1635</v>
      </c>
      <c r="T704" s="19" t="str">
        <f>MONTH(B704)&amp;"-"&amp;YEAR(B704)</f>
        <v>10-2021</v>
      </c>
      <c r="U704" s="2">
        <f>YEAR(B704)</f>
        <v>2021</v>
      </c>
      <c r="V704" s="2" t="str">
        <f>IF(DAY(B704)&gt;15,MONTH(B704)&amp;"-C",MONTH(B704)&amp;"-N")</f>
        <v>10-C</v>
      </c>
      <c r="W704" s="21">
        <v>7.5</v>
      </c>
      <c r="X704" s="2" t="b">
        <f t="shared" ref="X704" si="445">+L704=W704</f>
        <v>1</v>
      </c>
    </row>
    <row r="705" spans="2:24" x14ac:dyDescent="0.2">
      <c r="B705" s="17">
        <v>44494</v>
      </c>
      <c r="C705" s="10" t="s">
        <v>80</v>
      </c>
      <c r="D705" s="11">
        <v>162718</v>
      </c>
      <c r="E705" s="26">
        <v>60045</v>
      </c>
      <c r="F705" s="10" t="s">
        <v>31</v>
      </c>
      <c r="G705" s="10" t="s">
        <v>27</v>
      </c>
      <c r="H705" s="27" t="s">
        <v>32</v>
      </c>
      <c r="I705" s="12"/>
      <c r="J705" s="12"/>
      <c r="K705" s="13">
        <v>1920</v>
      </c>
      <c r="L705" s="21">
        <v>4.28</v>
      </c>
      <c r="M705" s="14" t="s">
        <v>14</v>
      </c>
      <c r="N705" s="13">
        <v>8217.6</v>
      </c>
      <c r="O705" s="15">
        <f t="shared" ref="O705:O706" si="446">(N705/K705)-L705</f>
        <v>0</v>
      </c>
      <c r="P705" s="10" t="s">
        <v>78</v>
      </c>
      <c r="Q705" s="11" t="s">
        <v>1636</v>
      </c>
      <c r="R705" s="11" t="s">
        <v>1637</v>
      </c>
      <c r="S705" s="16" t="s">
        <v>1638</v>
      </c>
      <c r="T705" s="19" t="str">
        <f>MONTH(B705)&amp;"-"&amp;YEAR(B705)</f>
        <v>10-2021</v>
      </c>
      <c r="U705" s="2">
        <f>YEAR(B705)</f>
        <v>2021</v>
      </c>
      <c r="V705" s="2" t="str">
        <f>IF(DAY(B705)&gt;15,MONTH(B705)&amp;"-C",MONTH(B705)&amp;"-N")</f>
        <v>10-C</v>
      </c>
      <c r="W705" s="21">
        <v>4.28</v>
      </c>
      <c r="X705" s="2" t="b">
        <f t="shared" ref="X705:X706" si="447">+L705=W705</f>
        <v>1</v>
      </c>
    </row>
    <row r="706" spans="2:24" x14ac:dyDescent="0.2">
      <c r="B706" s="17">
        <v>44494</v>
      </c>
      <c r="C706" s="10" t="s">
        <v>94</v>
      </c>
      <c r="D706" s="11">
        <v>162536</v>
      </c>
      <c r="E706" s="26">
        <v>60047</v>
      </c>
      <c r="F706" s="10" t="s">
        <v>26</v>
      </c>
      <c r="G706" s="10" t="s">
        <v>27</v>
      </c>
      <c r="H706" s="27" t="s">
        <v>28</v>
      </c>
      <c r="I706" s="12"/>
      <c r="J706" s="12"/>
      <c r="K706" s="13">
        <v>18000</v>
      </c>
      <c r="L706" s="21">
        <v>6.4</v>
      </c>
      <c r="M706" s="14" t="s">
        <v>14</v>
      </c>
      <c r="N706" s="13">
        <v>115200</v>
      </c>
      <c r="O706" s="15">
        <f t="shared" si="446"/>
        <v>0</v>
      </c>
      <c r="P706" s="10" t="s">
        <v>78</v>
      </c>
      <c r="Q706" s="11" t="s">
        <v>1639</v>
      </c>
      <c r="R706" s="11" t="s">
        <v>1640</v>
      </c>
      <c r="S706" s="16" t="s">
        <v>1641</v>
      </c>
      <c r="T706" s="19" t="str">
        <f>MONTH(B706)&amp;"-"&amp;YEAR(B706)</f>
        <v>10-2021</v>
      </c>
      <c r="U706" s="2">
        <f>YEAR(B706)</f>
        <v>2021</v>
      </c>
      <c r="V706" s="2" t="str">
        <f>IF(DAY(B706)&gt;15,MONTH(B706)&amp;"-C",MONTH(B706)&amp;"-N")</f>
        <v>10-C</v>
      </c>
      <c r="W706" s="21">
        <v>6.4</v>
      </c>
      <c r="X706" s="2" t="b">
        <f t="shared" si="447"/>
        <v>1</v>
      </c>
    </row>
    <row r="707" spans="2:24" x14ac:dyDescent="0.2">
      <c r="B707" s="17">
        <v>44497</v>
      </c>
      <c r="C707" s="10" t="s">
        <v>25</v>
      </c>
      <c r="D707" s="11">
        <v>162251</v>
      </c>
      <c r="E707" s="26">
        <v>60083</v>
      </c>
      <c r="F707" s="10" t="s">
        <v>29</v>
      </c>
      <c r="G707" s="10" t="s">
        <v>27</v>
      </c>
      <c r="H707" s="27" t="s">
        <v>30</v>
      </c>
      <c r="I707" s="12"/>
      <c r="J707" s="12"/>
      <c r="K707" s="13">
        <v>1980</v>
      </c>
      <c r="L707" s="21">
        <v>3.95</v>
      </c>
      <c r="M707" s="14" t="s">
        <v>14</v>
      </c>
      <c r="N707" s="13">
        <v>7821</v>
      </c>
      <c r="O707" s="15">
        <f t="shared" ref="O707:O708" si="448">(N707/K707)-L707</f>
        <v>0</v>
      </c>
      <c r="P707" s="10" t="s">
        <v>78</v>
      </c>
      <c r="Q707" s="11" t="s">
        <v>1642</v>
      </c>
      <c r="R707" s="11" t="s">
        <v>1513</v>
      </c>
      <c r="S707" s="16" t="s">
        <v>1643</v>
      </c>
      <c r="T707" s="19" t="str">
        <f>MONTH(B707)&amp;"-"&amp;YEAR(B707)</f>
        <v>10-2021</v>
      </c>
      <c r="U707" s="2">
        <f>YEAR(B707)</f>
        <v>2021</v>
      </c>
      <c r="V707" s="2" t="str">
        <f>IF(DAY(B707)&gt;15,MONTH(B707)&amp;"-C",MONTH(B707)&amp;"-N")</f>
        <v>10-C</v>
      </c>
      <c r="W707" s="21">
        <v>3.95</v>
      </c>
      <c r="X707" s="2" t="b">
        <f t="shared" ref="X707:X708" si="449">+L707=W707</f>
        <v>1</v>
      </c>
    </row>
    <row r="708" spans="2:24" x14ac:dyDescent="0.2">
      <c r="B708" s="17">
        <v>44497</v>
      </c>
      <c r="C708" s="10" t="s">
        <v>94</v>
      </c>
      <c r="D708" s="11">
        <v>162536</v>
      </c>
      <c r="E708" s="26">
        <v>60085</v>
      </c>
      <c r="F708" s="10" t="s">
        <v>26</v>
      </c>
      <c r="G708" s="10" t="s">
        <v>27</v>
      </c>
      <c r="H708" s="27" t="s">
        <v>28</v>
      </c>
      <c r="I708" s="12"/>
      <c r="J708" s="12"/>
      <c r="K708" s="13">
        <v>19800</v>
      </c>
      <c r="L708" s="21">
        <v>6.4</v>
      </c>
      <c r="M708" s="14" t="s">
        <v>14</v>
      </c>
      <c r="N708" s="13">
        <v>126720</v>
      </c>
      <c r="O708" s="15">
        <f t="shared" si="448"/>
        <v>0</v>
      </c>
      <c r="P708" s="10" t="s">
        <v>78</v>
      </c>
      <c r="Q708" s="11" t="s">
        <v>1644</v>
      </c>
      <c r="R708" s="11" t="s">
        <v>1645</v>
      </c>
      <c r="S708" s="16" t="s">
        <v>1646</v>
      </c>
      <c r="T708" s="19" t="str">
        <f>MONTH(B708)&amp;"-"&amp;YEAR(B708)</f>
        <v>10-2021</v>
      </c>
      <c r="U708" s="2">
        <f>YEAR(B708)</f>
        <v>2021</v>
      </c>
      <c r="V708" s="2" t="str">
        <f>IF(DAY(B708)&gt;15,MONTH(B708)&amp;"-C",MONTH(B708)&amp;"-N")</f>
        <v>10-C</v>
      </c>
      <c r="W708" s="21">
        <v>6.4</v>
      </c>
      <c r="X708" s="2" t="b">
        <f t="shared" si="449"/>
        <v>1</v>
      </c>
    </row>
    <row r="709" spans="2:24" x14ac:dyDescent="0.2">
      <c r="B709" s="17">
        <v>44502</v>
      </c>
      <c r="C709" s="10" t="s">
        <v>107</v>
      </c>
      <c r="D709" s="11">
        <v>162367</v>
      </c>
      <c r="E709" s="26">
        <v>60159</v>
      </c>
      <c r="F709" s="10" t="s">
        <v>142</v>
      </c>
      <c r="G709" s="10" t="s">
        <v>46</v>
      </c>
      <c r="H709" s="27" t="s">
        <v>143</v>
      </c>
      <c r="I709" s="12"/>
      <c r="J709" s="12"/>
      <c r="K709" s="13">
        <v>1980</v>
      </c>
      <c r="L709" s="21">
        <v>8.6</v>
      </c>
      <c r="M709" s="14" t="s">
        <v>14</v>
      </c>
      <c r="N709" s="13">
        <v>17028</v>
      </c>
      <c r="O709" s="15">
        <f t="shared" ref="O709:O714" si="450">(N709/K709)-L709</f>
        <v>0</v>
      </c>
      <c r="P709" s="10" t="s">
        <v>84</v>
      </c>
      <c r="Q709" s="11" t="s">
        <v>1647</v>
      </c>
      <c r="R709" s="11" t="s">
        <v>1648</v>
      </c>
      <c r="S709" s="16" t="s">
        <v>1649</v>
      </c>
      <c r="T709" s="19" t="str">
        <f>MONTH(B709)&amp;"-"&amp;YEAR(B709)</f>
        <v>11-2021</v>
      </c>
      <c r="U709" s="2">
        <f>YEAR(B709)</f>
        <v>2021</v>
      </c>
      <c r="V709" s="2" t="str">
        <f>IF(DAY(B709)&gt;15,MONTH(B709)&amp;"-C",MONTH(B709)&amp;"-N")</f>
        <v>11-N</v>
      </c>
      <c r="W709" s="21">
        <v>8.6</v>
      </c>
      <c r="X709" s="2" t="b">
        <f t="shared" ref="X709:X714" si="451">+L709=W709</f>
        <v>1</v>
      </c>
    </row>
    <row r="710" spans="2:24" x14ac:dyDescent="0.2">
      <c r="B710" s="17">
        <v>44502</v>
      </c>
      <c r="C710" s="10" t="s">
        <v>107</v>
      </c>
      <c r="D710" s="11">
        <v>162367</v>
      </c>
      <c r="E710" s="26">
        <v>60159</v>
      </c>
      <c r="F710" s="10" t="s">
        <v>144</v>
      </c>
      <c r="G710" s="10" t="s">
        <v>46</v>
      </c>
      <c r="H710" s="27" t="s">
        <v>145</v>
      </c>
      <c r="I710" s="12"/>
      <c r="J710" s="12"/>
      <c r="K710" s="13">
        <v>400</v>
      </c>
      <c r="L710" s="21">
        <v>17.25</v>
      </c>
      <c r="M710" s="14" t="s">
        <v>14</v>
      </c>
      <c r="N710" s="13">
        <v>6900</v>
      </c>
      <c r="O710" s="15">
        <f t="shared" si="450"/>
        <v>0</v>
      </c>
      <c r="P710" s="10" t="s">
        <v>84</v>
      </c>
      <c r="Q710" s="11" t="s">
        <v>1647</v>
      </c>
      <c r="R710" s="11" t="s">
        <v>1648</v>
      </c>
      <c r="S710" s="16" t="s">
        <v>1649</v>
      </c>
      <c r="T710" s="19" t="str">
        <f>MONTH(B710)&amp;"-"&amp;YEAR(B710)</f>
        <v>11-2021</v>
      </c>
      <c r="U710" s="2">
        <f>YEAR(B710)</f>
        <v>2021</v>
      </c>
      <c r="V710" s="2" t="str">
        <f>IF(DAY(B710)&gt;15,MONTH(B710)&amp;"-C",MONTH(B710)&amp;"-N")</f>
        <v>11-N</v>
      </c>
      <c r="W710" s="21">
        <v>17.25</v>
      </c>
      <c r="X710" s="2" t="b">
        <f t="shared" si="451"/>
        <v>1</v>
      </c>
    </row>
    <row r="711" spans="2:24" x14ac:dyDescent="0.2">
      <c r="B711" s="17">
        <v>44502</v>
      </c>
      <c r="C711" s="10" t="s">
        <v>107</v>
      </c>
      <c r="D711" s="11">
        <v>162328</v>
      </c>
      <c r="E711" s="26">
        <v>60159</v>
      </c>
      <c r="F711" s="10" t="s">
        <v>103</v>
      </c>
      <c r="G711" s="10" t="s">
        <v>46</v>
      </c>
      <c r="H711" s="27" t="s">
        <v>104</v>
      </c>
      <c r="I711" s="12"/>
      <c r="J711" s="12"/>
      <c r="K711" s="13">
        <v>60</v>
      </c>
      <c r="L711" s="21">
        <v>40.18</v>
      </c>
      <c r="M711" s="14" t="s">
        <v>14</v>
      </c>
      <c r="N711" s="13">
        <v>2410.8000000000002</v>
      </c>
      <c r="O711" s="15">
        <f t="shared" si="450"/>
        <v>0</v>
      </c>
      <c r="P711" s="10" t="s">
        <v>84</v>
      </c>
      <c r="Q711" s="11" t="s">
        <v>1647</v>
      </c>
      <c r="R711" s="11" t="s">
        <v>1648</v>
      </c>
      <c r="S711" s="16" t="s">
        <v>1649</v>
      </c>
      <c r="T711" s="19" t="str">
        <f>MONTH(B711)&amp;"-"&amp;YEAR(B711)</f>
        <v>11-2021</v>
      </c>
      <c r="U711" s="2">
        <f>YEAR(B711)</f>
        <v>2021</v>
      </c>
      <c r="V711" s="2" t="str">
        <f>IF(DAY(B711)&gt;15,MONTH(B711)&amp;"-C",MONTH(B711)&amp;"-N")</f>
        <v>11-N</v>
      </c>
      <c r="W711" s="21">
        <v>40.18</v>
      </c>
      <c r="X711" s="2" t="b">
        <f t="shared" si="451"/>
        <v>1</v>
      </c>
    </row>
    <row r="712" spans="2:24" x14ac:dyDescent="0.2">
      <c r="B712" s="17">
        <v>44502</v>
      </c>
      <c r="C712" s="10" t="s">
        <v>107</v>
      </c>
      <c r="D712" s="11">
        <v>162328</v>
      </c>
      <c r="E712" s="26">
        <v>60159</v>
      </c>
      <c r="F712" s="10" t="s">
        <v>105</v>
      </c>
      <c r="G712" s="10" t="s">
        <v>46</v>
      </c>
      <c r="H712" s="27" t="s">
        <v>106</v>
      </c>
      <c r="I712" s="12"/>
      <c r="J712" s="12"/>
      <c r="K712" s="13">
        <v>1980</v>
      </c>
      <c r="L712" s="21">
        <v>13.29</v>
      </c>
      <c r="M712" s="14" t="s">
        <v>14</v>
      </c>
      <c r="N712" s="13">
        <v>26314.2</v>
      </c>
      <c r="O712" s="15">
        <f t="shared" si="450"/>
        <v>0</v>
      </c>
      <c r="P712" s="10" t="s">
        <v>84</v>
      </c>
      <c r="Q712" s="11" t="s">
        <v>1647</v>
      </c>
      <c r="R712" s="11" t="s">
        <v>1648</v>
      </c>
      <c r="S712" s="16" t="s">
        <v>1649</v>
      </c>
      <c r="T712" s="19" t="str">
        <f>MONTH(B712)&amp;"-"&amp;YEAR(B712)</f>
        <v>11-2021</v>
      </c>
      <c r="U712" s="2">
        <f>YEAR(B712)</f>
        <v>2021</v>
      </c>
      <c r="V712" s="2" t="str">
        <f>IF(DAY(B712)&gt;15,MONTH(B712)&amp;"-C",MONTH(B712)&amp;"-N")</f>
        <v>11-N</v>
      </c>
      <c r="W712" s="21">
        <v>13.29</v>
      </c>
      <c r="X712" s="2" t="b">
        <f t="shared" si="451"/>
        <v>1</v>
      </c>
    </row>
    <row r="713" spans="2:24" x14ac:dyDescent="0.2">
      <c r="B713" s="17">
        <v>44503</v>
      </c>
      <c r="C713" s="10" t="s">
        <v>94</v>
      </c>
      <c r="D713" s="11">
        <v>162536</v>
      </c>
      <c r="E713" s="26">
        <v>60175</v>
      </c>
      <c r="F713" s="10" t="s">
        <v>26</v>
      </c>
      <c r="G713" s="10" t="s">
        <v>27</v>
      </c>
      <c r="H713" s="27" t="s">
        <v>28</v>
      </c>
      <c r="I713" s="12"/>
      <c r="J713" s="12"/>
      <c r="K713" s="13">
        <v>19800</v>
      </c>
      <c r="L713" s="21">
        <v>6.4</v>
      </c>
      <c r="M713" s="14" t="s">
        <v>14</v>
      </c>
      <c r="N713" s="13">
        <v>126720</v>
      </c>
      <c r="O713" s="15">
        <f t="shared" si="450"/>
        <v>0</v>
      </c>
      <c r="P713" s="10" t="s">
        <v>78</v>
      </c>
      <c r="Q713" s="11" t="s">
        <v>1650</v>
      </c>
      <c r="R713" s="11" t="s">
        <v>1651</v>
      </c>
      <c r="S713" s="16" t="s">
        <v>1652</v>
      </c>
      <c r="T713" s="19" t="str">
        <f>MONTH(B713)&amp;"-"&amp;YEAR(B713)</f>
        <v>11-2021</v>
      </c>
      <c r="U713" s="2">
        <f>YEAR(B713)</f>
        <v>2021</v>
      </c>
      <c r="V713" s="2" t="str">
        <f>IF(DAY(B713)&gt;15,MONTH(B713)&amp;"-C",MONTH(B713)&amp;"-N")</f>
        <v>11-N</v>
      </c>
      <c r="W713" s="21">
        <v>6.4</v>
      </c>
      <c r="X713" s="2" t="b">
        <f t="shared" si="451"/>
        <v>1</v>
      </c>
    </row>
    <row r="714" spans="2:24" x14ac:dyDescent="0.2">
      <c r="B714" s="17">
        <v>44506</v>
      </c>
      <c r="C714" s="10" t="s">
        <v>88</v>
      </c>
      <c r="D714" s="11">
        <v>162667</v>
      </c>
      <c r="E714" s="26">
        <v>60198</v>
      </c>
      <c r="F714" s="10" t="s">
        <v>98</v>
      </c>
      <c r="G714" s="10" t="s">
        <v>46</v>
      </c>
      <c r="H714" s="27" t="s">
        <v>99</v>
      </c>
      <c r="I714" s="12"/>
      <c r="J714" s="12"/>
      <c r="K714" s="13">
        <v>40</v>
      </c>
      <c r="L714" s="21">
        <v>12.35</v>
      </c>
      <c r="M714" s="14" t="s">
        <v>14</v>
      </c>
      <c r="N714" s="13">
        <v>494</v>
      </c>
      <c r="O714" s="15">
        <f t="shared" si="450"/>
        <v>0</v>
      </c>
      <c r="P714" s="10" t="s">
        <v>84</v>
      </c>
      <c r="Q714" s="11" t="s">
        <v>1653</v>
      </c>
      <c r="R714" s="11" t="s">
        <v>1654</v>
      </c>
      <c r="S714" s="16" t="s">
        <v>1655</v>
      </c>
      <c r="T714" s="19" t="str">
        <f>MONTH(B714)&amp;"-"&amp;YEAR(B714)</f>
        <v>11-2021</v>
      </c>
      <c r="U714" s="2">
        <f>YEAR(B714)</f>
        <v>2021</v>
      </c>
      <c r="V714" s="2" t="str">
        <f>IF(DAY(B714)&gt;15,MONTH(B714)&amp;"-C",MONTH(B714)&amp;"-N")</f>
        <v>11-N</v>
      </c>
      <c r="W714" s="21">
        <v>12.35</v>
      </c>
      <c r="X714" s="2" t="b">
        <f t="shared" si="451"/>
        <v>1</v>
      </c>
    </row>
    <row r="715" spans="2:24" x14ac:dyDescent="0.2">
      <c r="B715" s="17">
        <v>44506</v>
      </c>
      <c r="C715" s="10" t="s">
        <v>88</v>
      </c>
      <c r="D715" s="11">
        <v>162667</v>
      </c>
      <c r="E715" s="26">
        <v>60198</v>
      </c>
      <c r="F715" s="10" t="s">
        <v>100</v>
      </c>
      <c r="G715" s="10" t="s">
        <v>46</v>
      </c>
      <c r="H715" s="27" t="s">
        <v>101</v>
      </c>
      <c r="I715" s="12"/>
      <c r="J715" s="12"/>
      <c r="K715" s="13">
        <v>2000</v>
      </c>
      <c r="L715" s="21">
        <v>15.91</v>
      </c>
      <c r="M715" s="14" t="s">
        <v>14</v>
      </c>
      <c r="N715" s="13">
        <v>31820</v>
      </c>
      <c r="O715" s="15">
        <f t="shared" ref="O715:O719" si="452">(N715/K715)-L715</f>
        <v>0</v>
      </c>
      <c r="P715" s="10" t="s">
        <v>84</v>
      </c>
      <c r="Q715" s="11" t="s">
        <v>1653</v>
      </c>
      <c r="R715" s="11" t="s">
        <v>1654</v>
      </c>
      <c r="S715" s="16" t="s">
        <v>1655</v>
      </c>
      <c r="T715" s="19" t="str">
        <f>MONTH(B715)&amp;"-"&amp;YEAR(B715)</f>
        <v>11-2021</v>
      </c>
      <c r="U715" s="2">
        <f>YEAR(B715)</f>
        <v>2021</v>
      </c>
      <c r="V715" s="2" t="str">
        <f>IF(DAY(B715)&gt;15,MONTH(B715)&amp;"-C",MONTH(B715)&amp;"-N")</f>
        <v>11-N</v>
      </c>
      <c r="W715" s="21">
        <v>15.91</v>
      </c>
      <c r="X715" s="2" t="b">
        <f t="shared" ref="X715:X719" si="453">+L715=W715</f>
        <v>1</v>
      </c>
    </row>
    <row r="716" spans="2:24" x14ac:dyDescent="0.2">
      <c r="B716" s="17">
        <v>44507</v>
      </c>
      <c r="C716" s="10" t="s">
        <v>107</v>
      </c>
      <c r="D716" s="11">
        <v>162328</v>
      </c>
      <c r="E716" s="26">
        <v>60223</v>
      </c>
      <c r="F716" s="10" t="s">
        <v>103</v>
      </c>
      <c r="G716" s="10" t="s">
        <v>46</v>
      </c>
      <c r="H716" s="27" t="s">
        <v>104</v>
      </c>
      <c r="I716" s="12"/>
      <c r="J716" s="12"/>
      <c r="K716" s="13">
        <v>125</v>
      </c>
      <c r="L716" s="21">
        <v>40.18</v>
      </c>
      <c r="M716" s="14" t="s">
        <v>14</v>
      </c>
      <c r="N716" s="13">
        <v>5022.5</v>
      </c>
      <c r="O716" s="15">
        <f t="shared" si="452"/>
        <v>0</v>
      </c>
      <c r="P716" s="10" t="s">
        <v>84</v>
      </c>
      <c r="Q716" s="11" t="s">
        <v>1656</v>
      </c>
      <c r="R716" s="11" t="s">
        <v>1657</v>
      </c>
      <c r="S716" s="16" t="s">
        <v>1658</v>
      </c>
      <c r="T716" s="19" t="str">
        <f>MONTH(B716)&amp;"-"&amp;YEAR(B716)</f>
        <v>11-2021</v>
      </c>
      <c r="U716" s="2">
        <f>YEAR(B716)</f>
        <v>2021</v>
      </c>
      <c r="V716" s="2" t="str">
        <f>IF(DAY(B716)&gt;15,MONTH(B716)&amp;"-C",MONTH(B716)&amp;"-N")</f>
        <v>11-N</v>
      </c>
      <c r="W716" s="21">
        <v>40.18</v>
      </c>
      <c r="X716" s="2" t="b">
        <f t="shared" si="453"/>
        <v>1</v>
      </c>
    </row>
    <row r="717" spans="2:24" x14ac:dyDescent="0.2">
      <c r="B717" s="17">
        <v>44507</v>
      </c>
      <c r="C717" s="10" t="s">
        <v>107</v>
      </c>
      <c r="D717" s="11">
        <v>162328</v>
      </c>
      <c r="E717" s="26">
        <v>60223</v>
      </c>
      <c r="F717" s="10" t="s">
        <v>105</v>
      </c>
      <c r="G717" s="10" t="s">
        <v>46</v>
      </c>
      <c r="H717" s="27" t="s">
        <v>106</v>
      </c>
      <c r="I717" s="12"/>
      <c r="J717" s="12"/>
      <c r="K717" s="13">
        <v>3960</v>
      </c>
      <c r="L717" s="21">
        <v>13.29</v>
      </c>
      <c r="M717" s="14" t="s">
        <v>14</v>
      </c>
      <c r="N717" s="13">
        <v>52628.4</v>
      </c>
      <c r="O717" s="15">
        <f t="shared" si="452"/>
        <v>0</v>
      </c>
      <c r="P717" s="10" t="s">
        <v>84</v>
      </c>
      <c r="Q717" s="11" t="s">
        <v>1656</v>
      </c>
      <c r="R717" s="11" t="s">
        <v>1657</v>
      </c>
      <c r="S717" s="16" t="s">
        <v>1658</v>
      </c>
      <c r="T717" s="19" t="str">
        <f>MONTH(B717)&amp;"-"&amp;YEAR(B717)</f>
        <v>11-2021</v>
      </c>
      <c r="U717" s="2">
        <f>YEAR(B717)</f>
        <v>2021</v>
      </c>
      <c r="V717" s="2" t="str">
        <f>IF(DAY(B717)&gt;15,MONTH(B717)&amp;"-C",MONTH(B717)&amp;"-N")</f>
        <v>11-N</v>
      </c>
      <c r="W717" s="21">
        <v>13.29</v>
      </c>
      <c r="X717" s="2" t="b">
        <f t="shared" si="453"/>
        <v>1</v>
      </c>
    </row>
    <row r="718" spans="2:24" x14ac:dyDescent="0.2">
      <c r="B718" s="17">
        <v>44508</v>
      </c>
      <c r="C718" s="10" t="s">
        <v>48</v>
      </c>
      <c r="D718" s="11">
        <v>160301</v>
      </c>
      <c r="E718" s="26">
        <v>60230</v>
      </c>
      <c r="F718" s="10" t="s">
        <v>135</v>
      </c>
      <c r="G718" s="10" t="s">
        <v>46</v>
      </c>
      <c r="H718" s="27" t="s">
        <v>136</v>
      </c>
      <c r="I718" s="12"/>
      <c r="J718" s="12"/>
      <c r="K718" s="13">
        <v>6400</v>
      </c>
      <c r="L718" s="21">
        <v>9.5389999999999997</v>
      </c>
      <c r="M718" s="14" t="s">
        <v>14</v>
      </c>
      <c r="N718" s="13">
        <v>61046.784</v>
      </c>
      <c r="O718" s="15">
        <f t="shared" si="452"/>
        <v>-4.3999999999932982E-4</v>
      </c>
      <c r="P718" s="10" t="s">
        <v>84</v>
      </c>
      <c r="Q718" s="11" t="s">
        <v>1660</v>
      </c>
      <c r="R718" s="11" t="s">
        <v>1661</v>
      </c>
      <c r="S718" s="16" t="s">
        <v>1659</v>
      </c>
      <c r="T718" s="19" t="str">
        <f>MONTH(B718)&amp;"-"&amp;YEAR(B718)</f>
        <v>11-2021</v>
      </c>
      <c r="U718" s="2">
        <f>YEAR(B718)</f>
        <v>2021</v>
      </c>
      <c r="V718" s="2" t="str">
        <f>IF(DAY(B718)&gt;15,MONTH(B718)&amp;"-C",MONTH(B718)&amp;"-N")</f>
        <v>11-N</v>
      </c>
      <c r="W718" s="21">
        <v>9.5389999999999997</v>
      </c>
      <c r="X718" s="2" t="b">
        <f t="shared" si="453"/>
        <v>1</v>
      </c>
    </row>
    <row r="719" spans="2:24" x14ac:dyDescent="0.2">
      <c r="B719" s="17">
        <v>44508</v>
      </c>
      <c r="C719" s="10" t="s">
        <v>48</v>
      </c>
      <c r="D719" s="11">
        <v>160301</v>
      </c>
      <c r="E719" s="26">
        <v>60230</v>
      </c>
      <c r="F719" s="10" t="s">
        <v>71</v>
      </c>
      <c r="G719" s="10" t="s">
        <v>46</v>
      </c>
      <c r="H719" s="27" t="s">
        <v>72</v>
      </c>
      <c r="I719" s="12"/>
      <c r="J719" s="12"/>
      <c r="K719" s="13">
        <v>9600</v>
      </c>
      <c r="L719" s="21">
        <v>9.5389999999999997</v>
      </c>
      <c r="M719" s="14" t="s">
        <v>14</v>
      </c>
      <c r="N719" s="13">
        <v>91570.176000000007</v>
      </c>
      <c r="O719" s="15">
        <f t="shared" si="452"/>
        <v>-4.3999999999932982E-4</v>
      </c>
      <c r="P719" s="10" t="s">
        <v>84</v>
      </c>
      <c r="Q719" s="11" t="s">
        <v>1660</v>
      </c>
      <c r="R719" s="11" t="s">
        <v>1661</v>
      </c>
      <c r="S719" s="16" t="s">
        <v>1659</v>
      </c>
      <c r="T719" s="19" t="str">
        <f>MONTH(B719)&amp;"-"&amp;YEAR(B719)</f>
        <v>11-2021</v>
      </c>
      <c r="U719" s="2">
        <f>YEAR(B719)</f>
        <v>2021</v>
      </c>
      <c r="V719" s="2" t="str">
        <f>IF(DAY(B719)&gt;15,MONTH(B719)&amp;"-C",MONTH(B719)&amp;"-N")</f>
        <v>11-N</v>
      </c>
      <c r="W719" s="21">
        <v>9.5389999999999997</v>
      </c>
      <c r="X719" s="2" t="b">
        <f t="shared" si="453"/>
        <v>1</v>
      </c>
    </row>
    <row r="720" spans="2:24" x14ac:dyDescent="0.2">
      <c r="B720" s="17">
        <v>44511</v>
      </c>
      <c r="C720" s="10" t="s">
        <v>80</v>
      </c>
      <c r="D720" s="11">
        <v>162898</v>
      </c>
      <c r="E720" s="26">
        <v>60288</v>
      </c>
      <c r="F720" s="10" t="s">
        <v>26</v>
      </c>
      <c r="G720" s="10" t="s">
        <v>27</v>
      </c>
      <c r="H720" s="27" t="s">
        <v>28</v>
      </c>
      <c r="I720" s="12"/>
      <c r="J720" s="12"/>
      <c r="K720" s="13">
        <v>3600</v>
      </c>
      <c r="L720" s="21">
        <v>6.2</v>
      </c>
      <c r="M720" s="14" t="s">
        <v>14</v>
      </c>
      <c r="N720" s="13">
        <v>22320</v>
      </c>
      <c r="O720" s="15">
        <f t="shared" ref="O720:O724" si="454">(N720/K720)-L720</f>
        <v>0</v>
      </c>
      <c r="P720" s="10" t="s">
        <v>78</v>
      </c>
      <c r="Q720" s="11" t="s">
        <v>1662</v>
      </c>
      <c r="R720" s="11" t="s">
        <v>1663</v>
      </c>
      <c r="S720" s="16" t="s">
        <v>1664</v>
      </c>
      <c r="T720" s="19" t="str">
        <f>MONTH(B720)&amp;"-"&amp;YEAR(B720)</f>
        <v>11-2021</v>
      </c>
      <c r="U720" s="2">
        <f>YEAR(B720)</f>
        <v>2021</v>
      </c>
      <c r="V720" s="2" t="str">
        <f>IF(DAY(B720)&gt;15,MONTH(B720)&amp;"-C",MONTH(B720)&amp;"-N")</f>
        <v>11-N</v>
      </c>
      <c r="W720" s="21">
        <v>6.2</v>
      </c>
      <c r="X720" s="2" t="b">
        <f t="shared" ref="X720:X724" si="455">+L720=W720</f>
        <v>1</v>
      </c>
    </row>
    <row r="721" spans="2:24" x14ac:dyDescent="0.2">
      <c r="B721" s="17">
        <v>44511</v>
      </c>
      <c r="C721" s="10" t="s">
        <v>80</v>
      </c>
      <c r="D721" s="11">
        <v>162898</v>
      </c>
      <c r="E721" s="26">
        <v>60287</v>
      </c>
      <c r="F721" s="10" t="s">
        <v>26</v>
      </c>
      <c r="G721" s="10" t="s">
        <v>27</v>
      </c>
      <c r="H721" s="27" t="s">
        <v>28</v>
      </c>
      <c r="I721" s="12"/>
      <c r="J721" s="12"/>
      <c r="K721" s="13">
        <v>3600</v>
      </c>
      <c r="L721" s="21">
        <v>6.2</v>
      </c>
      <c r="M721" s="14" t="s">
        <v>14</v>
      </c>
      <c r="N721" s="13">
        <v>22320</v>
      </c>
      <c r="O721" s="15">
        <f t="shared" si="454"/>
        <v>0</v>
      </c>
      <c r="P721" s="10" t="s">
        <v>78</v>
      </c>
      <c r="Q721" s="11" t="s">
        <v>1665</v>
      </c>
      <c r="R721" s="11" t="s">
        <v>1666</v>
      </c>
      <c r="S721" s="16" t="s">
        <v>1667</v>
      </c>
      <c r="T721" s="19" t="str">
        <f>MONTH(B721)&amp;"-"&amp;YEAR(B721)</f>
        <v>11-2021</v>
      </c>
      <c r="U721" s="2">
        <f>YEAR(B721)</f>
        <v>2021</v>
      </c>
      <c r="V721" s="2" t="str">
        <f>IF(DAY(B721)&gt;15,MONTH(B721)&amp;"-C",MONTH(B721)&amp;"-N")</f>
        <v>11-N</v>
      </c>
      <c r="W721" s="21">
        <v>6.2</v>
      </c>
      <c r="X721" s="2" t="b">
        <f t="shared" si="455"/>
        <v>1</v>
      </c>
    </row>
    <row r="722" spans="2:24" x14ac:dyDescent="0.2">
      <c r="B722" s="17">
        <v>44511</v>
      </c>
      <c r="C722" s="10" t="s">
        <v>80</v>
      </c>
      <c r="D722" s="11">
        <v>162898</v>
      </c>
      <c r="E722" s="26">
        <v>60289</v>
      </c>
      <c r="F722" s="10" t="s">
        <v>26</v>
      </c>
      <c r="G722" s="10" t="s">
        <v>27</v>
      </c>
      <c r="H722" s="27" t="s">
        <v>28</v>
      </c>
      <c r="I722" s="12"/>
      <c r="J722" s="12"/>
      <c r="K722" s="13">
        <v>1800</v>
      </c>
      <c r="L722" s="21">
        <v>6.2</v>
      </c>
      <c r="M722" s="14" t="s">
        <v>14</v>
      </c>
      <c r="N722" s="13">
        <v>11160</v>
      </c>
      <c r="O722" s="15">
        <f t="shared" si="454"/>
        <v>0</v>
      </c>
      <c r="P722" s="10" t="s">
        <v>78</v>
      </c>
      <c r="Q722" s="11" t="s">
        <v>1668</v>
      </c>
      <c r="R722" s="11" t="s">
        <v>1669</v>
      </c>
      <c r="S722" s="16" t="s">
        <v>1670</v>
      </c>
      <c r="T722" s="19" t="str">
        <f>MONTH(B722)&amp;"-"&amp;YEAR(B722)</f>
        <v>11-2021</v>
      </c>
      <c r="U722" s="2">
        <f>YEAR(B722)</f>
        <v>2021</v>
      </c>
      <c r="V722" s="2" t="str">
        <f>IF(DAY(B722)&gt;15,MONTH(B722)&amp;"-C",MONTH(B722)&amp;"-N")</f>
        <v>11-N</v>
      </c>
      <c r="W722" s="21">
        <v>6.2</v>
      </c>
      <c r="X722" s="2" t="b">
        <f t="shared" si="455"/>
        <v>1</v>
      </c>
    </row>
    <row r="723" spans="2:24" x14ac:dyDescent="0.2">
      <c r="B723" s="17">
        <v>44511</v>
      </c>
      <c r="C723" s="10" t="s">
        <v>107</v>
      </c>
      <c r="D723" s="11">
        <v>162367</v>
      </c>
      <c r="E723" s="26">
        <v>60296</v>
      </c>
      <c r="F723" s="10" t="s">
        <v>142</v>
      </c>
      <c r="G723" s="10" t="s">
        <v>46</v>
      </c>
      <c r="H723" s="27" t="s">
        <v>143</v>
      </c>
      <c r="I723" s="12"/>
      <c r="J723" s="12"/>
      <c r="K723" s="13">
        <v>1540</v>
      </c>
      <c r="L723" s="21">
        <v>8.6</v>
      </c>
      <c r="M723" s="14" t="s">
        <v>14</v>
      </c>
      <c r="N723" s="13">
        <v>13244</v>
      </c>
      <c r="O723" s="15">
        <f t="shared" si="454"/>
        <v>0</v>
      </c>
      <c r="P723" s="10" t="s">
        <v>84</v>
      </c>
      <c r="Q723" s="11" t="s">
        <v>1671</v>
      </c>
      <c r="R723" s="11" t="s">
        <v>1672</v>
      </c>
      <c r="S723" s="16" t="s">
        <v>1673</v>
      </c>
      <c r="T723" s="19" t="str">
        <f>MONTH(B723)&amp;"-"&amp;YEAR(B723)</f>
        <v>11-2021</v>
      </c>
      <c r="U723" s="2">
        <f>YEAR(B723)</f>
        <v>2021</v>
      </c>
      <c r="V723" s="2" t="str">
        <f>IF(DAY(B723)&gt;15,MONTH(B723)&amp;"-C",MONTH(B723)&amp;"-N")</f>
        <v>11-N</v>
      </c>
      <c r="W723" s="21">
        <v>8.6</v>
      </c>
      <c r="X723" s="2" t="b">
        <f t="shared" si="455"/>
        <v>1</v>
      </c>
    </row>
    <row r="724" spans="2:24" x14ac:dyDescent="0.2">
      <c r="B724" s="17">
        <v>44511</v>
      </c>
      <c r="C724" s="10" t="s">
        <v>107</v>
      </c>
      <c r="D724" s="11">
        <v>162367</v>
      </c>
      <c r="E724" s="26">
        <v>60296</v>
      </c>
      <c r="F724" s="10" t="s">
        <v>144</v>
      </c>
      <c r="G724" s="10" t="s">
        <v>46</v>
      </c>
      <c r="H724" s="27" t="s">
        <v>145</v>
      </c>
      <c r="I724" s="12"/>
      <c r="J724" s="12"/>
      <c r="K724" s="13">
        <v>220</v>
      </c>
      <c r="L724" s="21">
        <v>17.25</v>
      </c>
      <c r="M724" s="14" t="s">
        <v>14</v>
      </c>
      <c r="N724" s="13">
        <v>3795</v>
      </c>
      <c r="O724" s="15">
        <f t="shared" si="454"/>
        <v>0</v>
      </c>
      <c r="P724" s="10" t="s">
        <v>84</v>
      </c>
      <c r="Q724" s="11" t="s">
        <v>1671</v>
      </c>
      <c r="R724" s="11" t="s">
        <v>1672</v>
      </c>
      <c r="S724" s="16" t="s">
        <v>1673</v>
      </c>
      <c r="T724" s="19" t="str">
        <f>MONTH(B724)&amp;"-"&amp;YEAR(B724)</f>
        <v>11-2021</v>
      </c>
      <c r="U724" s="2">
        <f>YEAR(B724)</f>
        <v>2021</v>
      </c>
      <c r="V724" s="2" t="str">
        <f>IF(DAY(B724)&gt;15,MONTH(B724)&amp;"-C",MONTH(B724)&amp;"-N")</f>
        <v>11-N</v>
      </c>
      <c r="W724" s="21">
        <v>17.25</v>
      </c>
      <c r="X724" s="2" t="b">
        <f t="shared" si="455"/>
        <v>1</v>
      </c>
    </row>
    <row r="725" spans="2:24" x14ac:dyDescent="0.2">
      <c r="B725" s="17">
        <v>44514</v>
      </c>
      <c r="C725" s="10" t="s">
        <v>82</v>
      </c>
      <c r="D725" s="11">
        <v>162927</v>
      </c>
      <c r="E725" s="26">
        <v>60319</v>
      </c>
      <c r="F725" s="10" t="s">
        <v>26</v>
      </c>
      <c r="G725" s="10" t="s">
        <v>27</v>
      </c>
      <c r="H725" s="27" t="s">
        <v>28</v>
      </c>
      <c r="I725" s="12"/>
      <c r="J725" s="12"/>
      <c r="K725" s="13">
        <v>1080</v>
      </c>
      <c r="L725" s="21">
        <v>6.61</v>
      </c>
      <c r="M725" s="14" t="s">
        <v>14</v>
      </c>
      <c r="N725" s="13">
        <v>7138.8</v>
      </c>
      <c r="O725" s="15">
        <f t="shared" ref="O725:O731" si="456">(N725/K725)-L725</f>
        <v>0</v>
      </c>
      <c r="P725" s="10" t="s">
        <v>78</v>
      </c>
      <c r="Q725" s="11" t="s">
        <v>1674</v>
      </c>
      <c r="R725" s="11" t="s">
        <v>1675</v>
      </c>
      <c r="S725" s="16" t="s">
        <v>1676</v>
      </c>
      <c r="T725" s="19" t="str">
        <f>MONTH(B725)&amp;"-"&amp;YEAR(B725)</f>
        <v>11-2021</v>
      </c>
      <c r="U725" s="2">
        <f>YEAR(B725)</f>
        <v>2021</v>
      </c>
      <c r="V725" s="2" t="str">
        <f>IF(DAY(B725)&gt;15,MONTH(B725)&amp;"-C",MONTH(B725)&amp;"-N")</f>
        <v>11-N</v>
      </c>
      <c r="W725" s="21">
        <v>6.61</v>
      </c>
      <c r="X725" s="2" t="b">
        <f t="shared" ref="X725:X731" si="457">+L725=W725</f>
        <v>1</v>
      </c>
    </row>
    <row r="726" spans="2:24" x14ac:dyDescent="0.2">
      <c r="B726" s="17">
        <v>44514</v>
      </c>
      <c r="C726" s="10" t="s">
        <v>82</v>
      </c>
      <c r="D726" s="11">
        <v>162927</v>
      </c>
      <c r="E726" s="26">
        <v>60319</v>
      </c>
      <c r="F726" s="10" t="s">
        <v>33</v>
      </c>
      <c r="G726" s="10" t="s">
        <v>27</v>
      </c>
      <c r="H726" s="27" t="s">
        <v>34</v>
      </c>
      <c r="I726" s="12"/>
      <c r="J726" s="12"/>
      <c r="K726" s="13">
        <v>2520</v>
      </c>
      <c r="L726" s="21">
        <v>8</v>
      </c>
      <c r="M726" s="14" t="s">
        <v>14</v>
      </c>
      <c r="N726" s="13">
        <v>20160</v>
      </c>
      <c r="O726" s="15">
        <f t="shared" si="456"/>
        <v>0</v>
      </c>
      <c r="P726" s="10" t="s">
        <v>78</v>
      </c>
      <c r="Q726" s="11" t="s">
        <v>1674</v>
      </c>
      <c r="R726" s="11" t="s">
        <v>1675</v>
      </c>
      <c r="S726" s="16" t="s">
        <v>1676</v>
      </c>
      <c r="T726" s="19" t="str">
        <f>MONTH(B726)&amp;"-"&amp;YEAR(B726)</f>
        <v>11-2021</v>
      </c>
      <c r="U726" s="2">
        <f>YEAR(B726)</f>
        <v>2021</v>
      </c>
      <c r="V726" s="2" t="str">
        <f>IF(DAY(B726)&gt;15,MONTH(B726)&amp;"-C",MONTH(B726)&amp;"-N")</f>
        <v>11-N</v>
      </c>
      <c r="W726" s="21">
        <v>8</v>
      </c>
      <c r="X726" s="2" t="b">
        <f t="shared" si="457"/>
        <v>1</v>
      </c>
    </row>
    <row r="727" spans="2:24" x14ac:dyDescent="0.2">
      <c r="B727" s="17">
        <v>44514</v>
      </c>
      <c r="C727" s="10" t="s">
        <v>80</v>
      </c>
      <c r="D727" s="11">
        <v>162718</v>
      </c>
      <c r="E727" s="26">
        <v>60318</v>
      </c>
      <c r="F727" s="10" t="s">
        <v>31</v>
      </c>
      <c r="G727" s="10" t="s">
        <v>27</v>
      </c>
      <c r="H727" s="27" t="s">
        <v>32</v>
      </c>
      <c r="I727" s="12"/>
      <c r="J727" s="12"/>
      <c r="K727" s="13">
        <v>1280</v>
      </c>
      <c r="L727" s="21">
        <v>4.28</v>
      </c>
      <c r="M727" s="14" t="s">
        <v>14</v>
      </c>
      <c r="N727" s="13">
        <v>5478.4</v>
      </c>
      <c r="O727" s="15">
        <f t="shared" si="456"/>
        <v>0</v>
      </c>
      <c r="P727" s="10" t="s">
        <v>78</v>
      </c>
      <c r="Q727" s="11" t="s">
        <v>1677</v>
      </c>
      <c r="R727" s="11" t="s">
        <v>1678</v>
      </c>
      <c r="S727" s="16" t="s">
        <v>1679</v>
      </c>
      <c r="T727" s="19" t="str">
        <f>MONTH(B727)&amp;"-"&amp;YEAR(B727)</f>
        <v>11-2021</v>
      </c>
      <c r="U727" s="2">
        <f>YEAR(B727)</f>
        <v>2021</v>
      </c>
      <c r="V727" s="2" t="str">
        <f>IF(DAY(B727)&gt;15,MONTH(B727)&amp;"-C",MONTH(B727)&amp;"-N")</f>
        <v>11-N</v>
      </c>
      <c r="W727" s="21">
        <v>4.28</v>
      </c>
      <c r="X727" s="2" t="b">
        <f t="shared" si="457"/>
        <v>1</v>
      </c>
    </row>
    <row r="728" spans="2:24" x14ac:dyDescent="0.2">
      <c r="B728" s="17">
        <v>44514</v>
      </c>
      <c r="C728" s="10" t="s">
        <v>80</v>
      </c>
      <c r="D728" s="11">
        <v>162898</v>
      </c>
      <c r="E728" s="26">
        <v>60321</v>
      </c>
      <c r="F728" s="10" t="s">
        <v>26</v>
      </c>
      <c r="G728" s="10" t="s">
        <v>27</v>
      </c>
      <c r="H728" s="27" t="s">
        <v>28</v>
      </c>
      <c r="I728" s="12"/>
      <c r="J728" s="12"/>
      <c r="K728" s="13">
        <v>3600</v>
      </c>
      <c r="L728" s="21">
        <v>6.2</v>
      </c>
      <c r="M728" s="14" t="s">
        <v>14</v>
      </c>
      <c r="N728" s="13">
        <v>22320</v>
      </c>
      <c r="O728" s="15">
        <f t="shared" si="456"/>
        <v>0</v>
      </c>
      <c r="P728" s="10" t="s">
        <v>78</v>
      </c>
      <c r="Q728" s="11" t="s">
        <v>1680</v>
      </c>
      <c r="R728" s="11" t="s">
        <v>1681</v>
      </c>
      <c r="S728" s="16" t="s">
        <v>1682</v>
      </c>
      <c r="T728" s="19" t="str">
        <f>MONTH(B728)&amp;"-"&amp;YEAR(B728)</f>
        <v>11-2021</v>
      </c>
      <c r="U728" s="2">
        <f>YEAR(B728)</f>
        <v>2021</v>
      </c>
      <c r="V728" s="2" t="str">
        <f>IF(DAY(B728)&gt;15,MONTH(B728)&amp;"-C",MONTH(B728)&amp;"-N")</f>
        <v>11-N</v>
      </c>
      <c r="W728" s="21">
        <v>6.2</v>
      </c>
      <c r="X728" s="2" t="b">
        <f t="shared" si="457"/>
        <v>1</v>
      </c>
    </row>
    <row r="729" spans="2:24" x14ac:dyDescent="0.2">
      <c r="B729" s="17">
        <v>44515</v>
      </c>
      <c r="C729" s="10" t="s">
        <v>82</v>
      </c>
      <c r="D729" s="11">
        <v>162927</v>
      </c>
      <c r="E729" s="26">
        <v>60348</v>
      </c>
      <c r="F729" s="10" t="s">
        <v>33</v>
      </c>
      <c r="G729" s="10" t="s">
        <v>27</v>
      </c>
      <c r="H729" s="27" t="s">
        <v>34</v>
      </c>
      <c r="I729" s="12"/>
      <c r="J729" s="12"/>
      <c r="K729" s="13">
        <v>1080</v>
      </c>
      <c r="L729" s="21">
        <v>8</v>
      </c>
      <c r="M729" s="14" t="s">
        <v>14</v>
      </c>
      <c r="N729" s="13">
        <v>8640</v>
      </c>
      <c r="O729" s="15">
        <f t="shared" si="456"/>
        <v>0</v>
      </c>
      <c r="P729" s="10" t="s">
        <v>78</v>
      </c>
      <c r="Q729" s="11" t="s">
        <v>1683</v>
      </c>
      <c r="R729" s="11" t="s">
        <v>1684</v>
      </c>
      <c r="S729" s="16" t="s">
        <v>1685</v>
      </c>
      <c r="T729" s="19" t="str">
        <f>MONTH(B729)&amp;"-"&amp;YEAR(B729)</f>
        <v>11-2021</v>
      </c>
      <c r="U729" s="2">
        <f>YEAR(B729)</f>
        <v>2021</v>
      </c>
      <c r="V729" s="2" t="str">
        <f>IF(DAY(B729)&gt;15,MONTH(B729)&amp;"-C",MONTH(B729)&amp;"-N")</f>
        <v>11-N</v>
      </c>
      <c r="W729" s="21">
        <v>8</v>
      </c>
      <c r="X729" s="2" t="b">
        <f t="shared" si="457"/>
        <v>1</v>
      </c>
    </row>
    <row r="730" spans="2:24" x14ac:dyDescent="0.2">
      <c r="B730" s="17">
        <v>44515</v>
      </c>
      <c r="C730" s="10" t="s">
        <v>80</v>
      </c>
      <c r="D730" s="11">
        <v>162898</v>
      </c>
      <c r="E730" s="26">
        <v>60346</v>
      </c>
      <c r="F730" s="10" t="s">
        <v>26</v>
      </c>
      <c r="G730" s="10" t="s">
        <v>27</v>
      </c>
      <c r="H730" s="27" t="s">
        <v>28</v>
      </c>
      <c r="I730" s="12"/>
      <c r="J730" s="12"/>
      <c r="K730" s="13">
        <v>2700</v>
      </c>
      <c r="L730" s="21">
        <v>6.2</v>
      </c>
      <c r="M730" s="14" t="s">
        <v>14</v>
      </c>
      <c r="N730" s="13">
        <v>16740</v>
      </c>
      <c r="O730" s="15">
        <f t="shared" si="456"/>
        <v>0</v>
      </c>
      <c r="P730" s="10" t="s">
        <v>78</v>
      </c>
      <c r="Q730" s="11" t="s">
        <v>1686</v>
      </c>
      <c r="R730" s="11" t="s">
        <v>1687</v>
      </c>
      <c r="S730" s="16" t="s">
        <v>1688</v>
      </c>
      <c r="T730" s="19" t="str">
        <f>MONTH(B730)&amp;"-"&amp;YEAR(B730)</f>
        <v>11-2021</v>
      </c>
      <c r="U730" s="2">
        <f>YEAR(B730)</f>
        <v>2021</v>
      </c>
      <c r="V730" s="2" t="str">
        <f>IF(DAY(B730)&gt;15,MONTH(B730)&amp;"-C",MONTH(B730)&amp;"-N")</f>
        <v>11-N</v>
      </c>
      <c r="W730" s="21">
        <v>6.2</v>
      </c>
      <c r="X730" s="2" t="b">
        <f t="shared" si="457"/>
        <v>1</v>
      </c>
    </row>
    <row r="731" spans="2:24" x14ac:dyDescent="0.2">
      <c r="B731" s="17">
        <v>44515</v>
      </c>
      <c r="C731" s="10" t="s">
        <v>80</v>
      </c>
      <c r="D731" s="11">
        <v>162898</v>
      </c>
      <c r="E731" s="26">
        <v>60345</v>
      </c>
      <c r="F731" s="10" t="s">
        <v>26</v>
      </c>
      <c r="G731" s="10" t="s">
        <v>27</v>
      </c>
      <c r="H731" s="27" t="s">
        <v>28</v>
      </c>
      <c r="I731" s="12"/>
      <c r="J731" s="12"/>
      <c r="K731" s="13">
        <v>4500</v>
      </c>
      <c r="L731" s="21">
        <v>6.2</v>
      </c>
      <c r="M731" s="14" t="s">
        <v>14</v>
      </c>
      <c r="N731" s="13">
        <v>27900</v>
      </c>
      <c r="O731" s="15">
        <f t="shared" si="456"/>
        <v>0</v>
      </c>
      <c r="P731" s="10" t="s">
        <v>78</v>
      </c>
      <c r="Q731" s="11" t="s">
        <v>1689</v>
      </c>
      <c r="R731" s="11" t="s">
        <v>1690</v>
      </c>
      <c r="S731" s="16" t="s">
        <v>1691</v>
      </c>
      <c r="T731" s="19" t="str">
        <f>MONTH(B731)&amp;"-"&amp;YEAR(B731)</f>
        <v>11-2021</v>
      </c>
      <c r="U731" s="2">
        <f>YEAR(B731)</f>
        <v>2021</v>
      </c>
      <c r="V731" s="2" t="str">
        <f>IF(DAY(B731)&gt;15,MONTH(B731)&amp;"-C",MONTH(B731)&amp;"-N")</f>
        <v>11-N</v>
      </c>
      <c r="W731" s="21">
        <v>6.2</v>
      </c>
      <c r="X731" s="2" t="b">
        <f t="shared" si="457"/>
        <v>1</v>
      </c>
    </row>
    <row r="732" spans="2:24" x14ac:dyDescent="0.2">
      <c r="B732" s="17">
        <v>44516</v>
      </c>
      <c r="C732" s="10" t="s">
        <v>25</v>
      </c>
      <c r="D732" s="11">
        <v>162251</v>
      </c>
      <c r="E732" s="26">
        <v>60362</v>
      </c>
      <c r="F732" s="10" t="s">
        <v>49</v>
      </c>
      <c r="G732" s="10" t="s">
        <v>27</v>
      </c>
      <c r="H732" s="27" t="s">
        <v>50</v>
      </c>
      <c r="I732" s="12"/>
      <c r="J732" s="12"/>
      <c r="K732" s="13">
        <v>3800</v>
      </c>
      <c r="L732" s="21">
        <v>10.4</v>
      </c>
      <c r="M732" s="14" t="s">
        <v>14</v>
      </c>
      <c r="N732" s="13">
        <v>39520</v>
      </c>
      <c r="O732" s="15">
        <f t="shared" ref="O732:O739" si="458">(N732/K732)-L732</f>
        <v>0</v>
      </c>
      <c r="P732" s="10" t="s">
        <v>78</v>
      </c>
      <c r="Q732" s="11" t="s">
        <v>1692</v>
      </c>
      <c r="R732" s="11" t="s">
        <v>1558</v>
      </c>
      <c r="S732" s="16" t="s">
        <v>1693</v>
      </c>
      <c r="T732" s="19" t="str">
        <f>MONTH(B732)&amp;"-"&amp;YEAR(B732)</f>
        <v>11-2021</v>
      </c>
      <c r="U732" s="2">
        <f>YEAR(B732)</f>
        <v>2021</v>
      </c>
      <c r="V732" s="2" t="str">
        <f>IF(DAY(B732)&gt;15,MONTH(B732)&amp;"-C",MONTH(B732)&amp;"-N")</f>
        <v>11-C</v>
      </c>
      <c r="W732" s="21">
        <v>10.4</v>
      </c>
      <c r="X732" s="2" t="b">
        <f t="shared" ref="X732:X739" si="459">+L732=W732</f>
        <v>1</v>
      </c>
    </row>
    <row r="733" spans="2:24" x14ac:dyDescent="0.2">
      <c r="B733" s="17">
        <v>44516</v>
      </c>
      <c r="C733" s="10" t="s">
        <v>80</v>
      </c>
      <c r="D733" s="11">
        <v>162898</v>
      </c>
      <c r="E733" s="26">
        <v>60359</v>
      </c>
      <c r="F733" s="10" t="s">
        <v>26</v>
      </c>
      <c r="G733" s="10" t="s">
        <v>27</v>
      </c>
      <c r="H733" s="27" t="s">
        <v>28</v>
      </c>
      <c r="I733" s="12"/>
      <c r="J733" s="12"/>
      <c r="K733" s="13">
        <v>3600</v>
      </c>
      <c r="L733" s="21">
        <v>6.2</v>
      </c>
      <c r="M733" s="14" t="s">
        <v>14</v>
      </c>
      <c r="N733" s="13">
        <v>22320</v>
      </c>
      <c r="O733" s="15">
        <f t="shared" si="458"/>
        <v>0</v>
      </c>
      <c r="P733" s="10" t="s">
        <v>78</v>
      </c>
      <c r="Q733" s="11" t="s">
        <v>1694</v>
      </c>
      <c r="R733" s="11" t="s">
        <v>1695</v>
      </c>
      <c r="S733" s="16" t="s">
        <v>1696</v>
      </c>
      <c r="T733" s="19" t="str">
        <f>MONTH(B733)&amp;"-"&amp;YEAR(B733)</f>
        <v>11-2021</v>
      </c>
      <c r="U733" s="2">
        <f>YEAR(B733)</f>
        <v>2021</v>
      </c>
      <c r="V733" s="2" t="str">
        <f>IF(DAY(B733)&gt;15,MONTH(B733)&amp;"-C",MONTH(B733)&amp;"-N")</f>
        <v>11-C</v>
      </c>
      <c r="W733" s="21">
        <v>6.2</v>
      </c>
      <c r="X733" s="2" t="b">
        <f t="shared" si="459"/>
        <v>1</v>
      </c>
    </row>
    <row r="734" spans="2:24" x14ac:dyDescent="0.2">
      <c r="B734" s="17">
        <v>44516</v>
      </c>
      <c r="C734" s="10" t="s">
        <v>80</v>
      </c>
      <c r="D734" s="11">
        <v>162898</v>
      </c>
      <c r="E734" s="26">
        <v>60358</v>
      </c>
      <c r="F734" s="10" t="s">
        <v>26</v>
      </c>
      <c r="G734" s="10" t="s">
        <v>27</v>
      </c>
      <c r="H734" s="27" t="s">
        <v>28</v>
      </c>
      <c r="I734" s="12"/>
      <c r="J734" s="12"/>
      <c r="K734" s="13">
        <v>3600</v>
      </c>
      <c r="L734" s="21">
        <v>6.2</v>
      </c>
      <c r="M734" s="14" t="s">
        <v>14</v>
      </c>
      <c r="N734" s="13">
        <v>22320</v>
      </c>
      <c r="O734" s="15">
        <f t="shared" si="458"/>
        <v>0</v>
      </c>
      <c r="P734" s="10" t="s">
        <v>78</v>
      </c>
      <c r="Q734" s="11" t="s">
        <v>1697</v>
      </c>
      <c r="R734" s="11" t="s">
        <v>1698</v>
      </c>
      <c r="S734" s="16" t="s">
        <v>1699</v>
      </c>
      <c r="T734" s="19" t="str">
        <f>MONTH(B734)&amp;"-"&amp;YEAR(B734)</f>
        <v>11-2021</v>
      </c>
      <c r="U734" s="2">
        <f>YEAR(B734)</f>
        <v>2021</v>
      </c>
      <c r="V734" s="2" t="str">
        <f>IF(DAY(B734)&gt;15,MONTH(B734)&amp;"-C",MONTH(B734)&amp;"-N")</f>
        <v>11-C</v>
      </c>
      <c r="W734" s="21">
        <v>6.2</v>
      </c>
      <c r="X734" s="2" t="b">
        <f t="shared" si="459"/>
        <v>1</v>
      </c>
    </row>
    <row r="735" spans="2:24" x14ac:dyDescent="0.2">
      <c r="B735" s="17">
        <v>44516</v>
      </c>
      <c r="C735" s="10" t="s">
        <v>25</v>
      </c>
      <c r="D735" s="11">
        <v>162945</v>
      </c>
      <c r="E735" s="26">
        <v>60361</v>
      </c>
      <c r="F735" s="10" t="s">
        <v>29</v>
      </c>
      <c r="G735" s="10" t="s">
        <v>27</v>
      </c>
      <c r="H735" s="27" t="s">
        <v>30</v>
      </c>
      <c r="I735" s="12"/>
      <c r="J735" s="12"/>
      <c r="K735" s="13">
        <v>3300</v>
      </c>
      <c r="L735" s="21">
        <v>4.2</v>
      </c>
      <c r="M735" s="14" t="s">
        <v>14</v>
      </c>
      <c r="N735" s="13">
        <v>13860</v>
      </c>
      <c r="O735" s="15">
        <f t="shared" si="458"/>
        <v>0</v>
      </c>
      <c r="P735" s="10" t="s">
        <v>78</v>
      </c>
      <c r="Q735" s="11" t="s">
        <v>1700</v>
      </c>
      <c r="R735" s="11" t="s">
        <v>1546</v>
      </c>
      <c r="S735" s="16" t="s">
        <v>1701</v>
      </c>
      <c r="T735" s="19" t="str">
        <f>MONTH(B735)&amp;"-"&amp;YEAR(B735)</f>
        <v>11-2021</v>
      </c>
      <c r="U735" s="2">
        <f>YEAR(B735)</f>
        <v>2021</v>
      </c>
      <c r="V735" s="2" t="str">
        <f>IF(DAY(B735)&gt;15,MONTH(B735)&amp;"-C",MONTH(B735)&amp;"-N")</f>
        <v>11-C</v>
      </c>
      <c r="W735" s="21">
        <v>4.2</v>
      </c>
      <c r="X735" s="2" t="b">
        <f t="shared" si="459"/>
        <v>1</v>
      </c>
    </row>
    <row r="736" spans="2:24" x14ac:dyDescent="0.2">
      <c r="B736" s="17">
        <v>44517</v>
      </c>
      <c r="C736" s="10" t="s">
        <v>107</v>
      </c>
      <c r="D736" s="11">
        <v>162367</v>
      </c>
      <c r="E736" s="26">
        <v>60369</v>
      </c>
      <c r="F736" s="10" t="s">
        <v>142</v>
      </c>
      <c r="G736" s="10" t="s">
        <v>46</v>
      </c>
      <c r="H736" s="27" t="s">
        <v>143</v>
      </c>
      <c r="I736" s="12"/>
      <c r="J736" s="12"/>
      <c r="K736" s="13">
        <v>1100</v>
      </c>
      <c r="L736" s="21">
        <v>8.6</v>
      </c>
      <c r="M736" s="14" t="s">
        <v>14</v>
      </c>
      <c r="N736" s="13">
        <v>9460</v>
      </c>
      <c r="O736" s="15">
        <f t="shared" si="458"/>
        <v>0</v>
      </c>
      <c r="P736" s="10" t="s">
        <v>84</v>
      </c>
      <c r="Q736" s="11" t="s">
        <v>1702</v>
      </c>
      <c r="R736" s="11" t="s">
        <v>1703</v>
      </c>
      <c r="S736" s="16" t="s">
        <v>1704</v>
      </c>
      <c r="T736" s="19" t="str">
        <f>MONTH(B736)&amp;"-"&amp;YEAR(B736)</f>
        <v>11-2021</v>
      </c>
      <c r="U736" s="2">
        <f>YEAR(B736)</f>
        <v>2021</v>
      </c>
      <c r="V736" s="2" t="str">
        <f>IF(DAY(B736)&gt;15,MONTH(B736)&amp;"-C",MONTH(B736)&amp;"-N")</f>
        <v>11-C</v>
      </c>
      <c r="W736" s="21">
        <v>8.6</v>
      </c>
      <c r="X736" s="2" t="b">
        <f t="shared" si="459"/>
        <v>1</v>
      </c>
    </row>
    <row r="737" spans="2:24" x14ac:dyDescent="0.2">
      <c r="B737" s="17">
        <v>44517</v>
      </c>
      <c r="C737" s="10" t="s">
        <v>107</v>
      </c>
      <c r="D737" s="11">
        <v>162328</v>
      </c>
      <c r="E737" s="26">
        <v>60369</v>
      </c>
      <c r="F737" s="10" t="s">
        <v>103</v>
      </c>
      <c r="G737" s="10" t="s">
        <v>46</v>
      </c>
      <c r="H737" s="27" t="s">
        <v>104</v>
      </c>
      <c r="I737" s="12"/>
      <c r="J737" s="12"/>
      <c r="K737" s="13">
        <v>160</v>
      </c>
      <c r="L737" s="21">
        <v>40.18</v>
      </c>
      <c r="M737" s="14" t="s">
        <v>14</v>
      </c>
      <c r="N737" s="13">
        <v>6428.8</v>
      </c>
      <c r="O737" s="15">
        <f t="shared" si="458"/>
        <v>0</v>
      </c>
      <c r="P737" s="10" t="s">
        <v>84</v>
      </c>
      <c r="Q737" s="11" t="s">
        <v>1702</v>
      </c>
      <c r="R737" s="11" t="s">
        <v>1703</v>
      </c>
      <c r="S737" s="16" t="s">
        <v>1704</v>
      </c>
      <c r="T737" s="19" t="str">
        <f>MONTH(B737)&amp;"-"&amp;YEAR(B737)</f>
        <v>11-2021</v>
      </c>
      <c r="U737" s="2">
        <f>YEAR(B737)</f>
        <v>2021</v>
      </c>
      <c r="V737" s="2" t="str">
        <f>IF(DAY(B737)&gt;15,MONTH(B737)&amp;"-C",MONTH(B737)&amp;"-N")</f>
        <v>11-C</v>
      </c>
      <c r="W737" s="21">
        <v>40.18</v>
      </c>
      <c r="X737" s="2" t="b">
        <f t="shared" si="459"/>
        <v>1</v>
      </c>
    </row>
    <row r="738" spans="2:24" x14ac:dyDescent="0.2">
      <c r="B738" s="17">
        <v>44517</v>
      </c>
      <c r="C738" s="10" t="s">
        <v>107</v>
      </c>
      <c r="D738" s="11">
        <v>162328</v>
      </c>
      <c r="E738" s="26">
        <v>60369</v>
      </c>
      <c r="F738" s="10" t="s">
        <v>105</v>
      </c>
      <c r="G738" s="10" t="s">
        <v>46</v>
      </c>
      <c r="H738" s="27" t="s">
        <v>106</v>
      </c>
      <c r="I738" s="12"/>
      <c r="J738" s="12"/>
      <c r="K738" s="13">
        <v>3960</v>
      </c>
      <c r="L738" s="21">
        <v>13.29</v>
      </c>
      <c r="M738" s="14" t="s">
        <v>14</v>
      </c>
      <c r="N738" s="13">
        <v>52628.4</v>
      </c>
      <c r="O738" s="15">
        <f t="shared" si="458"/>
        <v>0</v>
      </c>
      <c r="P738" s="10" t="s">
        <v>84</v>
      </c>
      <c r="Q738" s="11" t="s">
        <v>1702</v>
      </c>
      <c r="R738" s="11" t="s">
        <v>1703</v>
      </c>
      <c r="S738" s="16" t="s">
        <v>1704</v>
      </c>
      <c r="T738" s="19" t="str">
        <f>MONTH(B738)&amp;"-"&amp;YEAR(B738)</f>
        <v>11-2021</v>
      </c>
      <c r="U738" s="2">
        <f>YEAR(B738)</f>
        <v>2021</v>
      </c>
      <c r="V738" s="2" t="str">
        <f>IF(DAY(B738)&gt;15,MONTH(B738)&amp;"-C",MONTH(B738)&amp;"-N")</f>
        <v>11-C</v>
      </c>
      <c r="W738" s="21">
        <v>13.29</v>
      </c>
      <c r="X738" s="2" t="b">
        <f t="shared" si="459"/>
        <v>1</v>
      </c>
    </row>
    <row r="739" spans="2:24" x14ac:dyDescent="0.2">
      <c r="B739" s="17">
        <v>44518</v>
      </c>
      <c r="C739" s="10" t="s">
        <v>80</v>
      </c>
      <c r="D739" s="11">
        <v>162898</v>
      </c>
      <c r="E739" s="26">
        <v>60384</v>
      </c>
      <c r="F739" s="10" t="s">
        <v>26</v>
      </c>
      <c r="G739" s="10" t="s">
        <v>27</v>
      </c>
      <c r="H739" s="27" t="s">
        <v>28</v>
      </c>
      <c r="I739" s="12"/>
      <c r="J739" s="12"/>
      <c r="K739" s="13">
        <v>3600</v>
      </c>
      <c r="L739" s="21">
        <v>6.2</v>
      </c>
      <c r="M739" s="14" t="s">
        <v>14</v>
      </c>
      <c r="N739" s="13">
        <v>22320</v>
      </c>
      <c r="O739" s="15">
        <f t="shared" si="458"/>
        <v>0</v>
      </c>
      <c r="P739" s="10" t="s">
        <v>78</v>
      </c>
      <c r="Q739" s="11" t="s">
        <v>1706</v>
      </c>
      <c r="R739" s="11" t="s">
        <v>1707</v>
      </c>
      <c r="S739" s="16" t="s">
        <v>1708</v>
      </c>
      <c r="T739" s="19" t="str">
        <f>MONTH(B739)&amp;"-"&amp;YEAR(B739)</f>
        <v>11-2021</v>
      </c>
      <c r="U739" s="2">
        <f>YEAR(B739)</f>
        <v>2021</v>
      </c>
      <c r="V739" s="2" t="str">
        <f>IF(DAY(B739)&gt;15,MONTH(B739)&amp;"-C",MONTH(B739)&amp;"-N")</f>
        <v>11-C</v>
      </c>
      <c r="W739" s="21">
        <v>6.2</v>
      </c>
      <c r="X739" s="2" t="b">
        <f t="shared" si="459"/>
        <v>1</v>
      </c>
    </row>
    <row r="740" spans="2:24" x14ac:dyDescent="0.2">
      <c r="B740" s="17">
        <v>44520</v>
      </c>
      <c r="C740" s="10" t="s">
        <v>80</v>
      </c>
      <c r="D740" s="11">
        <v>162898</v>
      </c>
      <c r="E740" s="26">
        <v>60414</v>
      </c>
      <c r="F740" s="10" t="s">
        <v>26</v>
      </c>
      <c r="G740" s="10" t="s">
        <v>27</v>
      </c>
      <c r="H740" s="27" t="s">
        <v>28</v>
      </c>
      <c r="I740" s="12"/>
      <c r="J740" s="12"/>
      <c r="K740" s="13">
        <v>3600</v>
      </c>
      <c r="L740" s="21">
        <v>6.2</v>
      </c>
      <c r="M740" s="14" t="s">
        <v>14</v>
      </c>
      <c r="N740" s="13">
        <v>22320</v>
      </c>
      <c r="O740" s="15">
        <f t="shared" ref="O740:O743" si="460">(N740/K740)-L740</f>
        <v>0</v>
      </c>
      <c r="P740" s="10" t="s">
        <v>78</v>
      </c>
      <c r="Q740" s="11" t="s">
        <v>1709</v>
      </c>
      <c r="R740" s="11" t="s">
        <v>1710</v>
      </c>
      <c r="S740" s="16" t="s">
        <v>1711</v>
      </c>
      <c r="T740" s="19" t="str">
        <f>MONTH(B740)&amp;"-"&amp;YEAR(B740)</f>
        <v>11-2021</v>
      </c>
      <c r="U740" s="2">
        <f>YEAR(B740)</f>
        <v>2021</v>
      </c>
      <c r="V740" s="2" t="str">
        <f>IF(DAY(B740)&gt;15,MONTH(B740)&amp;"-C",MONTH(B740)&amp;"-N")</f>
        <v>11-C</v>
      </c>
      <c r="W740" s="21">
        <v>6.2</v>
      </c>
      <c r="X740" s="2" t="b">
        <f t="shared" ref="X740:X743" si="461">+L740=W740</f>
        <v>1</v>
      </c>
    </row>
    <row r="741" spans="2:24" x14ac:dyDescent="0.2">
      <c r="B741" s="17">
        <v>44520</v>
      </c>
      <c r="C741" s="10" t="s">
        <v>80</v>
      </c>
      <c r="D741" s="11">
        <v>162898</v>
      </c>
      <c r="E741" s="26">
        <v>60415</v>
      </c>
      <c r="F741" s="10" t="s">
        <v>26</v>
      </c>
      <c r="G741" s="10" t="s">
        <v>27</v>
      </c>
      <c r="H741" s="27" t="s">
        <v>28</v>
      </c>
      <c r="I741" s="12"/>
      <c r="J741" s="12"/>
      <c r="K741" s="13">
        <v>3600</v>
      </c>
      <c r="L741" s="21">
        <v>6.2</v>
      </c>
      <c r="M741" s="14" t="s">
        <v>14</v>
      </c>
      <c r="N741" s="13">
        <v>22320</v>
      </c>
      <c r="O741" s="15">
        <f t="shared" si="460"/>
        <v>0</v>
      </c>
      <c r="P741" s="10" t="s">
        <v>78</v>
      </c>
      <c r="Q741" s="11" t="s">
        <v>1712</v>
      </c>
      <c r="R741" s="11" t="s">
        <v>1713</v>
      </c>
      <c r="S741" s="16" t="s">
        <v>1714</v>
      </c>
      <c r="T741" s="19" t="str">
        <f>MONTH(B741)&amp;"-"&amp;YEAR(B741)</f>
        <v>11-2021</v>
      </c>
      <c r="U741" s="2">
        <f>YEAR(B741)</f>
        <v>2021</v>
      </c>
      <c r="V741" s="2" t="str">
        <f>IF(DAY(B741)&gt;15,MONTH(B741)&amp;"-C",MONTH(B741)&amp;"-N")</f>
        <v>11-C</v>
      </c>
      <c r="W741" s="21">
        <v>6.2</v>
      </c>
      <c r="X741" s="2" t="b">
        <f t="shared" si="461"/>
        <v>1</v>
      </c>
    </row>
    <row r="742" spans="2:24" x14ac:dyDescent="0.2">
      <c r="B742" s="17">
        <v>44521</v>
      </c>
      <c r="C742" s="10" t="s">
        <v>80</v>
      </c>
      <c r="D742" s="11">
        <v>162898</v>
      </c>
      <c r="E742" s="26">
        <v>60429</v>
      </c>
      <c r="F742" s="10" t="s">
        <v>26</v>
      </c>
      <c r="G742" s="10" t="s">
        <v>27</v>
      </c>
      <c r="H742" s="27" t="s">
        <v>28</v>
      </c>
      <c r="I742" s="12"/>
      <c r="J742" s="12"/>
      <c r="K742" s="13">
        <v>3600</v>
      </c>
      <c r="L742" s="21">
        <v>6.2</v>
      </c>
      <c r="M742" s="14" t="s">
        <v>14</v>
      </c>
      <c r="N742" s="13">
        <v>22320</v>
      </c>
      <c r="O742" s="15">
        <f t="shared" si="460"/>
        <v>0</v>
      </c>
      <c r="P742" s="10" t="s">
        <v>78</v>
      </c>
      <c r="Q742" s="11" t="s">
        <v>1715</v>
      </c>
      <c r="R742" s="11" t="s">
        <v>1716</v>
      </c>
      <c r="S742" s="16" t="s">
        <v>1717</v>
      </c>
      <c r="T742" s="19" t="str">
        <f>MONTH(B742)&amp;"-"&amp;YEAR(B742)</f>
        <v>11-2021</v>
      </c>
      <c r="U742" s="2">
        <f>YEAR(B742)</f>
        <v>2021</v>
      </c>
      <c r="V742" s="2" t="str">
        <f>IF(DAY(B742)&gt;15,MONTH(B742)&amp;"-C",MONTH(B742)&amp;"-N")</f>
        <v>11-C</v>
      </c>
      <c r="W742" s="21">
        <v>6.2</v>
      </c>
      <c r="X742" s="2" t="b">
        <f t="shared" si="461"/>
        <v>1</v>
      </c>
    </row>
    <row r="743" spans="2:24" x14ac:dyDescent="0.2">
      <c r="B743" s="17">
        <v>44521</v>
      </c>
      <c r="C743" s="10" t="s">
        <v>80</v>
      </c>
      <c r="D743" s="11">
        <v>162898</v>
      </c>
      <c r="E743" s="26">
        <v>60428</v>
      </c>
      <c r="F743" s="10" t="s">
        <v>26</v>
      </c>
      <c r="G743" s="10" t="s">
        <v>27</v>
      </c>
      <c r="H743" s="27" t="s">
        <v>28</v>
      </c>
      <c r="I743" s="12"/>
      <c r="J743" s="12"/>
      <c r="K743" s="13">
        <v>2700</v>
      </c>
      <c r="L743" s="21">
        <v>6.2</v>
      </c>
      <c r="M743" s="14" t="s">
        <v>14</v>
      </c>
      <c r="N743" s="13">
        <v>16740</v>
      </c>
      <c r="O743" s="15">
        <f t="shared" si="460"/>
        <v>0</v>
      </c>
      <c r="P743" s="10" t="s">
        <v>78</v>
      </c>
      <c r="Q743" s="11" t="s">
        <v>1718</v>
      </c>
      <c r="R743" s="11" t="s">
        <v>1719</v>
      </c>
      <c r="S743" s="16" t="s">
        <v>1720</v>
      </c>
      <c r="T743" s="19" t="str">
        <f>MONTH(B743)&amp;"-"&amp;YEAR(B743)</f>
        <v>11-2021</v>
      </c>
      <c r="U743" s="2">
        <f>YEAR(B743)</f>
        <v>2021</v>
      </c>
      <c r="V743" s="2" t="str">
        <f>IF(DAY(B743)&gt;15,MONTH(B743)&amp;"-C",MONTH(B743)&amp;"-N")</f>
        <v>11-C</v>
      </c>
      <c r="W743" s="21">
        <v>6.2</v>
      </c>
      <c r="X743" s="2" t="b">
        <f t="shared" si="461"/>
        <v>1</v>
      </c>
    </row>
    <row r="744" spans="2:24" x14ac:dyDescent="0.2">
      <c r="B744" s="17">
        <v>44522</v>
      </c>
      <c r="C744" s="10" t="s">
        <v>94</v>
      </c>
      <c r="D744" s="11">
        <v>162536</v>
      </c>
      <c r="E744" s="26">
        <v>60431</v>
      </c>
      <c r="F744" s="10" t="s">
        <v>26</v>
      </c>
      <c r="G744" s="10" t="s">
        <v>27</v>
      </c>
      <c r="H744" s="27" t="s">
        <v>28</v>
      </c>
      <c r="I744" s="12"/>
      <c r="J744" s="12"/>
      <c r="K744" s="13">
        <v>18000</v>
      </c>
      <c r="L744" s="21">
        <v>6.4</v>
      </c>
      <c r="M744" s="14" t="s">
        <v>14</v>
      </c>
      <c r="N744" s="13">
        <v>115200</v>
      </c>
      <c r="O744" s="15">
        <f t="shared" ref="O744" si="462">(N744/K744)-L744</f>
        <v>0</v>
      </c>
      <c r="P744" s="10" t="s">
        <v>78</v>
      </c>
      <c r="Q744" s="11" t="s">
        <v>1721</v>
      </c>
      <c r="R744" s="11" t="s">
        <v>1722</v>
      </c>
      <c r="S744" s="16" t="s">
        <v>1723</v>
      </c>
      <c r="T744" s="19" t="str">
        <f>MONTH(B744)&amp;"-"&amp;YEAR(B744)</f>
        <v>11-2021</v>
      </c>
      <c r="U744" s="2">
        <f>YEAR(B744)</f>
        <v>2021</v>
      </c>
      <c r="V744" s="2" t="str">
        <f>IF(DAY(B744)&gt;15,MONTH(B744)&amp;"-C",MONTH(B744)&amp;"-N")</f>
        <v>11-C</v>
      </c>
      <c r="W744" s="21">
        <v>6.4</v>
      </c>
      <c r="X744" s="2" t="b">
        <f t="shared" ref="X744" si="463">+L744=W744</f>
        <v>1</v>
      </c>
    </row>
    <row r="745" spans="2:24" x14ac:dyDescent="0.2">
      <c r="B745" s="17">
        <v>44525</v>
      </c>
      <c r="C745" s="10" t="s">
        <v>107</v>
      </c>
      <c r="D745" s="11">
        <v>162328</v>
      </c>
      <c r="E745" s="26">
        <v>60497</v>
      </c>
      <c r="F745" s="10" t="s">
        <v>103</v>
      </c>
      <c r="G745" s="10" t="s">
        <v>46</v>
      </c>
      <c r="H745" s="27" t="s">
        <v>104</v>
      </c>
      <c r="I745" s="12"/>
      <c r="J745" s="12"/>
      <c r="K745" s="13">
        <v>120</v>
      </c>
      <c r="L745" s="21">
        <v>40.18</v>
      </c>
      <c r="M745" s="14" t="s">
        <v>14</v>
      </c>
      <c r="N745" s="13">
        <v>4821.6000000000004</v>
      </c>
      <c r="O745" s="15">
        <f t="shared" ref="O745:O746" si="464">(N745/K745)-L745</f>
        <v>0</v>
      </c>
      <c r="P745" s="10" t="s">
        <v>84</v>
      </c>
      <c r="Q745" s="11" t="s">
        <v>1724</v>
      </c>
      <c r="R745" s="11" t="s">
        <v>1725</v>
      </c>
      <c r="S745" s="16" t="s">
        <v>1726</v>
      </c>
      <c r="T745" s="19" t="str">
        <f>MONTH(B745)&amp;"-"&amp;YEAR(B745)</f>
        <v>11-2021</v>
      </c>
      <c r="U745" s="2">
        <f>YEAR(B745)</f>
        <v>2021</v>
      </c>
      <c r="V745" s="2" t="str">
        <f>IF(DAY(B745)&gt;15,MONTH(B745)&amp;"-C",MONTH(B745)&amp;"-N")</f>
        <v>11-C</v>
      </c>
      <c r="W745" s="21">
        <v>40.18</v>
      </c>
      <c r="X745" s="2" t="b">
        <f t="shared" ref="X745:X746" si="465">+L745=W745</f>
        <v>1</v>
      </c>
    </row>
    <row r="746" spans="2:24" x14ac:dyDescent="0.2">
      <c r="B746" s="17">
        <v>44525</v>
      </c>
      <c r="C746" s="10" t="s">
        <v>107</v>
      </c>
      <c r="D746" s="11">
        <v>162328</v>
      </c>
      <c r="E746" s="26">
        <v>60497</v>
      </c>
      <c r="F746" s="10" t="s">
        <v>105</v>
      </c>
      <c r="G746" s="10" t="s">
        <v>46</v>
      </c>
      <c r="H746" s="27" t="s">
        <v>106</v>
      </c>
      <c r="I746" s="12"/>
      <c r="J746" s="12"/>
      <c r="K746" s="13">
        <v>4180</v>
      </c>
      <c r="L746" s="21">
        <v>13.29</v>
      </c>
      <c r="M746" s="14" t="s">
        <v>14</v>
      </c>
      <c r="N746" s="13">
        <v>55552.2</v>
      </c>
      <c r="O746" s="15">
        <f t="shared" si="464"/>
        <v>0</v>
      </c>
      <c r="P746" s="10" t="s">
        <v>84</v>
      </c>
      <c r="Q746" s="11" t="s">
        <v>1724</v>
      </c>
      <c r="R746" s="11" t="s">
        <v>1725</v>
      </c>
      <c r="S746" s="16" t="s">
        <v>1726</v>
      </c>
      <c r="T746" s="19" t="str">
        <f>MONTH(B746)&amp;"-"&amp;YEAR(B746)</f>
        <v>11-2021</v>
      </c>
      <c r="U746" s="2">
        <f>YEAR(B746)</f>
        <v>2021</v>
      </c>
      <c r="V746" s="2" t="str">
        <f>IF(DAY(B746)&gt;15,MONTH(B746)&amp;"-C",MONTH(B746)&amp;"-N")</f>
        <v>11-C</v>
      </c>
      <c r="W746" s="21">
        <v>13.29</v>
      </c>
      <c r="X746" s="2" t="b">
        <f t="shared" si="465"/>
        <v>1</v>
      </c>
    </row>
    <row r="747" spans="2:24" x14ac:dyDescent="0.2">
      <c r="B747" s="17">
        <v>44527</v>
      </c>
      <c r="C747" s="10" t="s">
        <v>80</v>
      </c>
      <c r="D747" s="11">
        <v>162898</v>
      </c>
      <c r="E747" s="26">
        <v>60517</v>
      </c>
      <c r="F747" s="10" t="s">
        <v>26</v>
      </c>
      <c r="G747" s="10" t="s">
        <v>27</v>
      </c>
      <c r="H747" s="27" t="s">
        <v>28</v>
      </c>
      <c r="I747" s="12"/>
      <c r="J747" s="12"/>
      <c r="K747" s="13">
        <v>3600</v>
      </c>
      <c r="L747" s="21">
        <v>6.2</v>
      </c>
      <c r="M747" s="14" t="s">
        <v>14</v>
      </c>
      <c r="N747" s="13">
        <v>22320</v>
      </c>
      <c r="O747" s="15">
        <f t="shared" ref="O747:O749" si="466">(N747/K747)-L747</f>
        <v>0</v>
      </c>
      <c r="P747" s="10" t="s">
        <v>78</v>
      </c>
      <c r="Q747" s="11" t="s">
        <v>1727</v>
      </c>
      <c r="R747" s="11" t="s">
        <v>1728</v>
      </c>
      <c r="S747" s="16" t="s">
        <v>1729</v>
      </c>
      <c r="T747" s="19" t="str">
        <f>MONTH(B747)&amp;"-"&amp;YEAR(B747)</f>
        <v>11-2021</v>
      </c>
      <c r="U747" s="2">
        <f>YEAR(B747)</f>
        <v>2021</v>
      </c>
      <c r="V747" s="2" t="str">
        <f>IF(DAY(B747)&gt;15,MONTH(B747)&amp;"-C",MONTH(B747)&amp;"-N")</f>
        <v>11-C</v>
      </c>
      <c r="W747" s="21">
        <v>6.2</v>
      </c>
      <c r="X747" s="2" t="b">
        <f t="shared" ref="X747:X749" si="467">+L747=W747</f>
        <v>1</v>
      </c>
    </row>
    <row r="748" spans="2:24" x14ac:dyDescent="0.2">
      <c r="B748" s="17">
        <v>44528</v>
      </c>
      <c r="C748" s="10" t="s">
        <v>80</v>
      </c>
      <c r="D748" s="11">
        <v>162898</v>
      </c>
      <c r="E748" s="26">
        <v>60535</v>
      </c>
      <c r="F748" s="10" t="s">
        <v>26</v>
      </c>
      <c r="G748" s="10" t="s">
        <v>27</v>
      </c>
      <c r="H748" s="27" t="s">
        <v>28</v>
      </c>
      <c r="I748" s="12"/>
      <c r="J748" s="12"/>
      <c r="K748" s="13">
        <v>3600</v>
      </c>
      <c r="L748" s="21">
        <v>6.2</v>
      </c>
      <c r="M748" s="14" t="s">
        <v>14</v>
      </c>
      <c r="N748" s="13">
        <v>22320</v>
      </c>
      <c r="O748" s="15">
        <f t="shared" si="466"/>
        <v>0</v>
      </c>
      <c r="P748" s="10" t="s">
        <v>78</v>
      </c>
      <c r="Q748" s="11" t="s">
        <v>1730</v>
      </c>
      <c r="R748" s="11" t="s">
        <v>1731</v>
      </c>
      <c r="S748" s="16" t="s">
        <v>1732</v>
      </c>
      <c r="T748" s="19" t="str">
        <f>MONTH(B748)&amp;"-"&amp;YEAR(B748)</f>
        <v>11-2021</v>
      </c>
      <c r="U748" s="2">
        <f>YEAR(B748)</f>
        <v>2021</v>
      </c>
      <c r="V748" s="2" t="str">
        <f>IF(DAY(B748)&gt;15,MONTH(B748)&amp;"-C",MONTH(B748)&amp;"-N")</f>
        <v>11-C</v>
      </c>
      <c r="W748" s="21">
        <v>6.2</v>
      </c>
      <c r="X748" s="2" t="b">
        <f t="shared" si="467"/>
        <v>1</v>
      </c>
    </row>
    <row r="749" spans="2:24" x14ac:dyDescent="0.2">
      <c r="B749" s="17">
        <v>44529</v>
      </c>
      <c r="C749" s="10" t="s">
        <v>25</v>
      </c>
      <c r="D749" s="11">
        <v>162900</v>
      </c>
      <c r="E749" s="26">
        <v>60555</v>
      </c>
      <c r="F749" s="10" t="s">
        <v>26</v>
      </c>
      <c r="G749" s="10" t="s">
        <v>27</v>
      </c>
      <c r="H749" s="27" t="s">
        <v>28</v>
      </c>
      <c r="I749" s="12"/>
      <c r="J749" s="12"/>
      <c r="K749" s="13">
        <v>19800</v>
      </c>
      <c r="L749" s="21">
        <v>6.18</v>
      </c>
      <c r="M749" s="14" t="s">
        <v>14</v>
      </c>
      <c r="N749" s="13">
        <v>122364</v>
      </c>
      <c r="O749" s="15">
        <f t="shared" si="466"/>
        <v>0</v>
      </c>
      <c r="P749" s="10" t="s">
        <v>78</v>
      </c>
      <c r="Q749" s="11" t="s">
        <v>1733</v>
      </c>
      <c r="R749" s="11" t="s">
        <v>1734</v>
      </c>
      <c r="S749" s="16" t="s">
        <v>1735</v>
      </c>
      <c r="T749" s="19" t="str">
        <f>MONTH(B749)&amp;"-"&amp;YEAR(B749)</f>
        <v>11-2021</v>
      </c>
      <c r="U749" s="2">
        <f>YEAR(B749)</f>
        <v>2021</v>
      </c>
      <c r="V749" s="2" t="str">
        <f>IF(DAY(B749)&gt;15,MONTH(B749)&amp;"-C",MONTH(B749)&amp;"-N")</f>
        <v>11-C</v>
      </c>
      <c r="W749" s="21">
        <v>6.18</v>
      </c>
      <c r="X749" s="2" t="b">
        <f t="shared" si="467"/>
        <v>1</v>
      </c>
    </row>
    <row r="750" spans="2:24" x14ac:dyDescent="0.2">
      <c r="B750" s="17">
        <v>44529</v>
      </c>
      <c r="C750" s="10" t="s">
        <v>88</v>
      </c>
      <c r="D750" s="11">
        <v>162667</v>
      </c>
      <c r="E750" s="26">
        <v>60556</v>
      </c>
      <c r="F750" s="10" t="s">
        <v>98</v>
      </c>
      <c r="G750" s="10" t="s">
        <v>46</v>
      </c>
      <c r="H750" s="27" t="s">
        <v>99</v>
      </c>
      <c r="I750" s="12"/>
      <c r="J750" s="12"/>
      <c r="K750" s="13">
        <v>40</v>
      </c>
      <c r="L750" s="21">
        <v>12.35</v>
      </c>
      <c r="M750" s="14" t="s">
        <v>14</v>
      </c>
      <c r="N750" s="13">
        <v>494</v>
      </c>
      <c r="O750" s="15">
        <f t="shared" ref="O750:O753" si="468">(N750/K750)-L750</f>
        <v>0</v>
      </c>
      <c r="P750" s="10" t="s">
        <v>84</v>
      </c>
      <c r="Q750" s="11" t="s">
        <v>1736</v>
      </c>
      <c r="R750" s="11" t="s">
        <v>1737</v>
      </c>
      <c r="S750" s="16" t="s">
        <v>1738</v>
      </c>
      <c r="T750" s="19" t="str">
        <f>MONTH(B750)&amp;"-"&amp;YEAR(B750)</f>
        <v>11-2021</v>
      </c>
      <c r="U750" s="2">
        <f>YEAR(B750)</f>
        <v>2021</v>
      </c>
      <c r="V750" s="2" t="str">
        <f>IF(DAY(B750)&gt;15,MONTH(B750)&amp;"-C",MONTH(B750)&amp;"-N")</f>
        <v>11-C</v>
      </c>
      <c r="W750" s="21">
        <v>12.35</v>
      </c>
      <c r="X750" s="2" t="b">
        <f t="shared" ref="X750:X753" si="469">+L750=W750</f>
        <v>1</v>
      </c>
    </row>
    <row r="751" spans="2:24" x14ac:dyDescent="0.2">
      <c r="B751" s="17">
        <v>44529</v>
      </c>
      <c r="C751" s="10" t="s">
        <v>88</v>
      </c>
      <c r="D751" s="11">
        <v>162667</v>
      </c>
      <c r="E751" s="26">
        <v>60556</v>
      </c>
      <c r="F751" s="10" t="s">
        <v>100</v>
      </c>
      <c r="G751" s="10" t="s">
        <v>46</v>
      </c>
      <c r="H751" s="27" t="s">
        <v>101</v>
      </c>
      <c r="I751" s="12"/>
      <c r="J751" s="12"/>
      <c r="K751" s="13">
        <v>2000</v>
      </c>
      <c r="L751" s="21">
        <v>15.91</v>
      </c>
      <c r="M751" s="14" t="s">
        <v>14</v>
      </c>
      <c r="N751" s="13">
        <v>31820</v>
      </c>
      <c r="O751" s="15">
        <f t="shared" si="468"/>
        <v>0</v>
      </c>
      <c r="P751" s="10" t="s">
        <v>84</v>
      </c>
      <c r="Q751" s="11" t="s">
        <v>1736</v>
      </c>
      <c r="R751" s="11" t="s">
        <v>1737</v>
      </c>
      <c r="S751" s="16" t="s">
        <v>1738</v>
      </c>
      <c r="T751" s="19" t="str">
        <f>MONTH(B751)&amp;"-"&amp;YEAR(B751)</f>
        <v>11-2021</v>
      </c>
      <c r="U751" s="2">
        <f>YEAR(B751)</f>
        <v>2021</v>
      </c>
      <c r="V751" s="2" t="str">
        <f>IF(DAY(B751)&gt;15,MONTH(B751)&amp;"-C",MONTH(B751)&amp;"-N")</f>
        <v>11-C</v>
      </c>
      <c r="W751" s="21">
        <v>15.91</v>
      </c>
      <c r="X751" s="2" t="b">
        <f t="shared" si="469"/>
        <v>1</v>
      </c>
    </row>
    <row r="752" spans="2:24" x14ac:dyDescent="0.2">
      <c r="B752" s="17">
        <v>44530</v>
      </c>
      <c r="C752" s="10" t="s">
        <v>80</v>
      </c>
      <c r="D752" s="11">
        <v>162898</v>
      </c>
      <c r="E752" s="26">
        <v>60574</v>
      </c>
      <c r="F752" s="10" t="s">
        <v>26</v>
      </c>
      <c r="G752" s="10" t="s">
        <v>27</v>
      </c>
      <c r="H752" s="27" t="s">
        <v>28</v>
      </c>
      <c r="I752" s="12"/>
      <c r="J752" s="12"/>
      <c r="K752" s="13">
        <v>3600</v>
      </c>
      <c r="L752" s="21">
        <v>6.2</v>
      </c>
      <c r="M752" s="14" t="s">
        <v>14</v>
      </c>
      <c r="N752" s="13">
        <v>22320</v>
      </c>
      <c r="O752" s="15">
        <f t="shared" si="468"/>
        <v>0</v>
      </c>
      <c r="P752" s="10" t="s">
        <v>78</v>
      </c>
      <c r="Q752" s="11" t="s">
        <v>1739</v>
      </c>
      <c r="R752" s="11" t="s">
        <v>1740</v>
      </c>
      <c r="S752" s="16" t="s">
        <v>1741</v>
      </c>
      <c r="T752" s="19" t="str">
        <f>MONTH(B752)&amp;"-"&amp;YEAR(B752)</f>
        <v>11-2021</v>
      </c>
      <c r="U752" s="2">
        <f>YEAR(B752)</f>
        <v>2021</v>
      </c>
      <c r="V752" s="2" t="str">
        <f>IF(DAY(B752)&gt;15,MONTH(B752)&amp;"-C",MONTH(B752)&amp;"-N")</f>
        <v>11-C</v>
      </c>
      <c r="W752" s="21">
        <v>6.2</v>
      </c>
      <c r="X752" s="2" t="b">
        <f t="shared" si="469"/>
        <v>1</v>
      </c>
    </row>
    <row r="753" spans="2:24" x14ac:dyDescent="0.2">
      <c r="B753" s="17">
        <v>44530</v>
      </c>
      <c r="C753" s="10" t="s">
        <v>80</v>
      </c>
      <c r="D753" s="11">
        <v>162898</v>
      </c>
      <c r="E753" s="26">
        <v>60583</v>
      </c>
      <c r="F753" s="10" t="s">
        <v>26</v>
      </c>
      <c r="G753" s="10" t="s">
        <v>27</v>
      </c>
      <c r="H753" s="27" t="s">
        <v>28</v>
      </c>
      <c r="I753" s="12"/>
      <c r="J753" s="12"/>
      <c r="K753" s="13">
        <v>4500</v>
      </c>
      <c r="L753" s="21">
        <v>6.2</v>
      </c>
      <c r="M753" s="14" t="s">
        <v>14</v>
      </c>
      <c r="N753" s="13">
        <v>27900</v>
      </c>
      <c r="O753" s="15">
        <f t="shared" si="468"/>
        <v>0</v>
      </c>
      <c r="P753" s="10" t="s">
        <v>78</v>
      </c>
      <c r="Q753" s="11" t="s">
        <v>1742</v>
      </c>
      <c r="R753" s="11" t="s">
        <v>1743</v>
      </c>
      <c r="S753" s="16" t="s">
        <v>1744</v>
      </c>
      <c r="T753" s="19" t="str">
        <f>MONTH(B753)&amp;"-"&amp;YEAR(B753)</f>
        <v>11-2021</v>
      </c>
      <c r="U753" s="2">
        <f>YEAR(B753)</f>
        <v>2021</v>
      </c>
      <c r="V753" s="2" t="str">
        <f>IF(DAY(B753)&gt;15,MONTH(B753)&amp;"-C",MONTH(B753)&amp;"-N")</f>
        <v>11-C</v>
      </c>
      <c r="W753" s="21">
        <v>6.2</v>
      </c>
      <c r="X753" s="2" t="b">
        <f t="shared" si="469"/>
        <v>1</v>
      </c>
    </row>
    <row r="754" spans="2:24" x14ac:dyDescent="0.2">
      <c r="B754" s="17">
        <v>44537</v>
      </c>
      <c r="C754" s="10" t="s">
        <v>25</v>
      </c>
      <c r="D754" s="11">
        <v>162900</v>
      </c>
      <c r="E754" s="26">
        <v>60640</v>
      </c>
      <c r="F754" s="10" t="s">
        <v>26</v>
      </c>
      <c r="G754" s="10" t="s">
        <v>27</v>
      </c>
      <c r="H754" s="27" t="s">
        <v>28</v>
      </c>
      <c r="I754" s="12">
        <v>0</v>
      </c>
      <c r="J754" s="12">
        <v>0</v>
      </c>
      <c r="K754" s="13">
        <v>19800</v>
      </c>
      <c r="L754" s="21">
        <v>6.18</v>
      </c>
      <c r="M754" s="14" t="s">
        <v>14</v>
      </c>
      <c r="N754" s="13">
        <v>122364</v>
      </c>
      <c r="O754" s="15">
        <f t="shared" ref="O754" si="470">(N754/K754)-L754</f>
        <v>0</v>
      </c>
      <c r="P754" s="10" t="s">
        <v>78</v>
      </c>
      <c r="Q754" s="11" t="s">
        <v>1748</v>
      </c>
      <c r="R754" s="11" t="s">
        <v>1592</v>
      </c>
      <c r="S754" s="16" t="s">
        <v>1749</v>
      </c>
      <c r="T754" s="19" t="str">
        <f>MONTH(B754)&amp;"-"&amp;YEAR(B754)</f>
        <v>12-2021</v>
      </c>
      <c r="U754" s="2">
        <f>YEAR(B754)</f>
        <v>2021</v>
      </c>
      <c r="V754" s="2" t="str">
        <f>IF(DAY(B754)&gt;15,MONTH(B754)&amp;"-C",MONTH(B754)&amp;"-N")</f>
        <v>12-N</v>
      </c>
      <c r="W754" s="21">
        <v>6.18</v>
      </c>
      <c r="X754" s="2" t="b">
        <f t="shared" ref="X754" si="471">+L754=W754</f>
        <v>1</v>
      </c>
    </row>
    <row r="755" spans="2:24" x14ac:dyDescent="0.2">
      <c r="B755" s="17">
        <v>44539</v>
      </c>
      <c r="C755" s="10" t="s">
        <v>108</v>
      </c>
      <c r="D755" s="11">
        <v>163192</v>
      </c>
      <c r="E755" s="26">
        <v>60679</v>
      </c>
      <c r="F755" s="10" t="s">
        <v>139</v>
      </c>
      <c r="G755" s="10" t="s">
        <v>46</v>
      </c>
      <c r="H755" s="27" t="s">
        <v>140</v>
      </c>
      <c r="I755" s="12"/>
      <c r="J755" s="12"/>
      <c r="K755" s="13">
        <v>552</v>
      </c>
      <c r="L755" s="21">
        <v>12.128</v>
      </c>
      <c r="M755" s="14" t="s">
        <v>14</v>
      </c>
      <c r="N755" s="13">
        <v>6694.6559999999999</v>
      </c>
      <c r="O755" s="15">
        <f t="shared" ref="O755:O756" si="472">(N755/K755)-L755</f>
        <v>0</v>
      </c>
      <c r="P755" s="10" t="s">
        <v>84</v>
      </c>
      <c r="Q755" s="11" t="s">
        <v>1758</v>
      </c>
      <c r="R755" s="11" t="s">
        <v>1759</v>
      </c>
      <c r="S755" s="16" t="s">
        <v>1757</v>
      </c>
      <c r="T755" s="19" t="str">
        <f>MONTH(B755)&amp;"-"&amp;YEAR(B755)</f>
        <v>12-2021</v>
      </c>
      <c r="U755" s="2">
        <f>YEAR(B755)</f>
        <v>2021</v>
      </c>
      <c r="V755" s="2" t="str">
        <f>IF(DAY(B755)&gt;15,MONTH(B755)&amp;"-C",MONTH(B755)&amp;"-N")</f>
        <v>12-N</v>
      </c>
      <c r="W755" s="21">
        <v>12.128</v>
      </c>
      <c r="X755" s="2" t="b">
        <f t="shared" ref="X755:X756" si="473">+L755=W755</f>
        <v>1</v>
      </c>
    </row>
    <row r="756" spans="2:24" x14ac:dyDescent="0.2">
      <c r="B756" s="17">
        <v>44539</v>
      </c>
      <c r="C756" s="10" t="s">
        <v>108</v>
      </c>
      <c r="D756" s="11">
        <v>163192</v>
      </c>
      <c r="E756" s="26">
        <v>60679</v>
      </c>
      <c r="F756" s="10" t="s">
        <v>129</v>
      </c>
      <c r="G756" s="10" t="s">
        <v>46</v>
      </c>
      <c r="H756" s="27" t="s">
        <v>130</v>
      </c>
      <c r="I756" s="12"/>
      <c r="J756" s="12"/>
      <c r="K756" s="13">
        <v>2530</v>
      </c>
      <c r="L756" s="21">
        <v>12.641999999999999</v>
      </c>
      <c r="M756" s="14" t="s">
        <v>14</v>
      </c>
      <c r="N756" s="13">
        <v>31984.26</v>
      </c>
      <c r="O756" s="15">
        <f t="shared" si="472"/>
        <v>0</v>
      </c>
      <c r="P756" s="10" t="s">
        <v>84</v>
      </c>
      <c r="Q756" s="11" t="s">
        <v>1758</v>
      </c>
      <c r="R756" s="11" t="s">
        <v>1759</v>
      </c>
      <c r="S756" s="16" t="s">
        <v>1757</v>
      </c>
      <c r="T756" s="19" t="str">
        <f>MONTH(B756)&amp;"-"&amp;YEAR(B756)</f>
        <v>12-2021</v>
      </c>
      <c r="U756" s="2">
        <f>YEAR(B756)</f>
        <v>2021</v>
      </c>
      <c r="V756" s="2" t="str">
        <f>IF(DAY(B756)&gt;15,MONTH(B756)&amp;"-C",MONTH(B756)&amp;"-N")</f>
        <v>12-N</v>
      </c>
      <c r="W756" s="21">
        <v>12.641999999999999</v>
      </c>
      <c r="X756" s="2" t="b">
        <f t="shared" si="473"/>
        <v>1</v>
      </c>
    </row>
    <row r="757" spans="2:24" x14ac:dyDescent="0.2">
      <c r="B757" s="17">
        <v>44542</v>
      </c>
      <c r="C757" s="10" t="s">
        <v>25</v>
      </c>
      <c r="D757" s="11">
        <v>162945</v>
      </c>
      <c r="E757" s="26">
        <v>60709</v>
      </c>
      <c r="F757" s="10" t="s">
        <v>29</v>
      </c>
      <c r="G757" s="10" t="s">
        <v>27</v>
      </c>
      <c r="H757" s="27" t="s">
        <v>30</v>
      </c>
      <c r="I757" s="12">
        <v>0</v>
      </c>
      <c r="J757" s="12">
        <v>0</v>
      </c>
      <c r="K757" s="13">
        <v>660</v>
      </c>
      <c r="L757" s="21">
        <v>4.2</v>
      </c>
      <c r="M757" s="14" t="s">
        <v>14</v>
      </c>
      <c r="N757" s="13">
        <v>2772</v>
      </c>
      <c r="O757" s="15">
        <f t="shared" ref="O757:O761" si="474">(N757/K757)-L757</f>
        <v>0</v>
      </c>
      <c r="P757" s="10" t="s">
        <v>78</v>
      </c>
      <c r="Q757" s="11" t="s">
        <v>1752</v>
      </c>
      <c r="R757" s="11" t="s">
        <v>1753</v>
      </c>
      <c r="S757" s="16" t="s">
        <v>1754</v>
      </c>
      <c r="T757" s="19" t="str">
        <f>MONTH(B757)&amp;"-"&amp;YEAR(B757)</f>
        <v>12-2021</v>
      </c>
      <c r="U757" s="2">
        <f>YEAR(B757)</f>
        <v>2021</v>
      </c>
      <c r="V757" s="2" t="str">
        <f>IF(DAY(B757)&gt;15,MONTH(B757)&amp;"-C",MONTH(B757)&amp;"-N")</f>
        <v>12-N</v>
      </c>
      <c r="W757" s="21">
        <v>4.2</v>
      </c>
      <c r="X757" s="2" t="b">
        <f t="shared" ref="X757:X761" si="475">+L757=W757</f>
        <v>1</v>
      </c>
    </row>
    <row r="758" spans="2:24" x14ac:dyDescent="0.2">
      <c r="B758" s="17">
        <v>44542</v>
      </c>
      <c r="C758" s="10" t="s">
        <v>107</v>
      </c>
      <c r="D758" s="11">
        <v>162328</v>
      </c>
      <c r="E758" s="26">
        <v>60710</v>
      </c>
      <c r="F758" s="10" t="s">
        <v>103</v>
      </c>
      <c r="G758" s="10" t="s">
        <v>46</v>
      </c>
      <c r="H758" s="27" t="s">
        <v>104</v>
      </c>
      <c r="I758" s="12"/>
      <c r="J758" s="12"/>
      <c r="K758" s="13">
        <v>35</v>
      </c>
      <c r="L758" s="21">
        <v>40.18</v>
      </c>
      <c r="M758" s="14" t="s">
        <v>14</v>
      </c>
      <c r="N758" s="13">
        <v>1406.3</v>
      </c>
      <c r="O758" s="15">
        <f t="shared" si="474"/>
        <v>0</v>
      </c>
      <c r="P758" s="10" t="s">
        <v>84</v>
      </c>
      <c r="Q758" s="11" t="s">
        <v>1760</v>
      </c>
      <c r="R758" s="11" t="s">
        <v>1761</v>
      </c>
      <c r="S758" s="16" t="s">
        <v>1762</v>
      </c>
      <c r="T758" s="19" t="str">
        <f>MONTH(B758)&amp;"-"&amp;YEAR(B758)</f>
        <v>12-2021</v>
      </c>
      <c r="U758" s="2">
        <f>YEAR(B758)</f>
        <v>2021</v>
      </c>
      <c r="V758" s="2" t="str">
        <f>IF(DAY(B758)&gt;15,MONTH(B758)&amp;"-C",MONTH(B758)&amp;"-N")</f>
        <v>12-N</v>
      </c>
      <c r="W758" s="21">
        <v>40.18</v>
      </c>
      <c r="X758" s="2" t="b">
        <f t="shared" si="475"/>
        <v>1</v>
      </c>
    </row>
    <row r="759" spans="2:24" x14ac:dyDescent="0.2">
      <c r="B759" s="17">
        <v>44542</v>
      </c>
      <c r="C759" s="10" t="s">
        <v>107</v>
      </c>
      <c r="D759" s="11">
        <v>163226</v>
      </c>
      <c r="E759" s="26">
        <v>60710</v>
      </c>
      <c r="F759" s="10" t="s">
        <v>103</v>
      </c>
      <c r="G759" s="10" t="s">
        <v>46</v>
      </c>
      <c r="H759" s="27" t="s">
        <v>104</v>
      </c>
      <c r="I759" s="12"/>
      <c r="J759" s="12"/>
      <c r="K759" s="13">
        <v>115</v>
      </c>
      <c r="L759" s="21">
        <v>40.18</v>
      </c>
      <c r="M759" s="14" t="s">
        <v>14</v>
      </c>
      <c r="N759" s="13">
        <v>4620.7</v>
      </c>
      <c r="O759" s="15">
        <f t="shared" si="474"/>
        <v>0</v>
      </c>
      <c r="P759" s="10" t="s">
        <v>84</v>
      </c>
      <c r="Q759" s="11" t="s">
        <v>1760</v>
      </c>
      <c r="R759" s="11" t="s">
        <v>1761</v>
      </c>
      <c r="S759" s="16" t="s">
        <v>1762</v>
      </c>
      <c r="T759" s="19" t="str">
        <f>MONTH(B759)&amp;"-"&amp;YEAR(B759)</f>
        <v>12-2021</v>
      </c>
      <c r="U759" s="2">
        <f>YEAR(B759)</f>
        <v>2021</v>
      </c>
      <c r="V759" s="2" t="str">
        <f>IF(DAY(B759)&gt;15,MONTH(B759)&amp;"-C",MONTH(B759)&amp;"-N")</f>
        <v>12-N</v>
      </c>
      <c r="W759" s="21">
        <v>40.18</v>
      </c>
      <c r="X759" s="2" t="b">
        <f t="shared" si="475"/>
        <v>1</v>
      </c>
    </row>
    <row r="760" spans="2:24" x14ac:dyDescent="0.2">
      <c r="B760" s="17">
        <v>44542</v>
      </c>
      <c r="C760" s="10" t="s">
        <v>107</v>
      </c>
      <c r="D760" s="11">
        <v>162328</v>
      </c>
      <c r="E760" s="26">
        <v>60710</v>
      </c>
      <c r="F760" s="10" t="s">
        <v>105</v>
      </c>
      <c r="G760" s="10" t="s">
        <v>46</v>
      </c>
      <c r="H760" s="27" t="s">
        <v>106</v>
      </c>
      <c r="I760" s="12"/>
      <c r="J760" s="12"/>
      <c r="K760" s="13">
        <v>2420</v>
      </c>
      <c r="L760" s="21">
        <v>13.29</v>
      </c>
      <c r="M760" s="14" t="s">
        <v>14</v>
      </c>
      <c r="N760" s="13">
        <v>32161.8</v>
      </c>
      <c r="O760" s="15">
        <f t="shared" si="474"/>
        <v>0</v>
      </c>
      <c r="P760" s="10" t="s">
        <v>84</v>
      </c>
      <c r="Q760" s="11" t="s">
        <v>1760</v>
      </c>
      <c r="R760" s="11" t="s">
        <v>1761</v>
      </c>
      <c r="S760" s="16" t="s">
        <v>1762</v>
      </c>
      <c r="T760" s="19" t="str">
        <f>MONTH(B760)&amp;"-"&amp;YEAR(B760)</f>
        <v>12-2021</v>
      </c>
      <c r="U760" s="2">
        <f>YEAR(B760)</f>
        <v>2021</v>
      </c>
      <c r="V760" s="2" t="str">
        <f>IF(DAY(B760)&gt;15,MONTH(B760)&amp;"-C",MONTH(B760)&amp;"-N")</f>
        <v>12-N</v>
      </c>
      <c r="W760" s="21">
        <v>13.29</v>
      </c>
      <c r="X760" s="2" t="b">
        <f t="shared" si="475"/>
        <v>1</v>
      </c>
    </row>
    <row r="761" spans="2:24" x14ac:dyDescent="0.2">
      <c r="B761" s="17">
        <v>44542</v>
      </c>
      <c r="C761" s="10" t="s">
        <v>107</v>
      </c>
      <c r="D761" s="11">
        <v>163226</v>
      </c>
      <c r="E761" s="26">
        <v>60710</v>
      </c>
      <c r="F761" s="10" t="s">
        <v>105</v>
      </c>
      <c r="G761" s="10" t="s">
        <v>46</v>
      </c>
      <c r="H761" s="27" t="s">
        <v>106</v>
      </c>
      <c r="I761" s="12"/>
      <c r="J761" s="12"/>
      <c r="K761" s="13">
        <v>2420</v>
      </c>
      <c r="L761" s="21">
        <v>13.29</v>
      </c>
      <c r="M761" s="14" t="s">
        <v>14</v>
      </c>
      <c r="N761" s="13">
        <v>32161.8</v>
      </c>
      <c r="O761" s="15">
        <f t="shared" si="474"/>
        <v>0</v>
      </c>
      <c r="P761" s="10" t="s">
        <v>84</v>
      </c>
      <c r="Q761" s="11" t="s">
        <v>1760</v>
      </c>
      <c r="R761" s="11" t="s">
        <v>1761</v>
      </c>
      <c r="S761" s="16" t="s">
        <v>1762</v>
      </c>
      <c r="T761" s="19" t="str">
        <f>MONTH(B761)&amp;"-"&amp;YEAR(B761)</f>
        <v>12-2021</v>
      </c>
      <c r="U761" s="2">
        <f>YEAR(B761)</f>
        <v>2021</v>
      </c>
      <c r="V761" s="2" t="str">
        <f>IF(DAY(B761)&gt;15,MONTH(B761)&amp;"-C",MONTH(B761)&amp;"-N")</f>
        <v>12-N</v>
      </c>
      <c r="W761" s="21">
        <v>13.29</v>
      </c>
      <c r="X761" s="2" t="b">
        <f t="shared" si="475"/>
        <v>1</v>
      </c>
    </row>
    <row r="762" spans="2:24" x14ac:dyDescent="0.2">
      <c r="B762" s="17">
        <v>44543</v>
      </c>
      <c r="C762" s="10" t="s">
        <v>25</v>
      </c>
      <c r="D762" s="11">
        <v>162900</v>
      </c>
      <c r="E762" s="26">
        <v>60732</v>
      </c>
      <c r="F762" s="10" t="s">
        <v>26</v>
      </c>
      <c r="G762" s="10" t="s">
        <v>27</v>
      </c>
      <c r="H762" s="27" t="s">
        <v>28</v>
      </c>
      <c r="I762" s="12">
        <v>0</v>
      </c>
      <c r="J762" s="12">
        <v>0</v>
      </c>
      <c r="K762" s="13">
        <v>18900</v>
      </c>
      <c r="L762" s="21">
        <v>6.18</v>
      </c>
      <c r="M762" s="14" t="s">
        <v>14</v>
      </c>
      <c r="N762" s="13">
        <v>116802</v>
      </c>
      <c r="O762" s="15">
        <f t="shared" ref="O762" si="476">(N762/K762)-L762</f>
        <v>0</v>
      </c>
      <c r="P762" s="10" t="s">
        <v>78</v>
      </c>
      <c r="Q762" s="11" t="s">
        <v>1750</v>
      </c>
      <c r="R762" s="11" t="s">
        <v>1632</v>
      </c>
      <c r="S762" s="16" t="s">
        <v>1751</v>
      </c>
      <c r="T762" s="19" t="str">
        <f>MONTH(B762)&amp;"-"&amp;YEAR(B762)</f>
        <v>12-2021</v>
      </c>
      <c r="U762" s="2">
        <f>YEAR(B762)</f>
        <v>2021</v>
      </c>
      <c r="V762" s="2" t="str">
        <f>IF(DAY(B762)&gt;15,MONTH(B762)&amp;"-C",MONTH(B762)&amp;"-N")</f>
        <v>12-N</v>
      </c>
      <c r="W762" s="21">
        <v>6.18</v>
      </c>
      <c r="X762" s="2" t="b">
        <f t="shared" ref="X762" si="477">+L762=W762</f>
        <v>1</v>
      </c>
    </row>
    <row r="763" spans="2:24" x14ac:dyDescent="0.2">
      <c r="B763" s="17">
        <v>44548</v>
      </c>
      <c r="C763" s="10" t="s">
        <v>73</v>
      </c>
      <c r="D763" s="11">
        <v>163262</v>
      </c>
      <c r="E763" s="26">
        <v>60811</v>
      </c>
      <c r="F763" s="10" t="s">
        <v>399</v>
      </c>
      <c r="G763" s="10" t="s">
        <v>46</v>
      </c>
      <c r="H763" s="27" t="s">
        <v>149</v>
      </c>
      <c r="I763" s="12">
        <v>0</v>
      </c>
      <c r="J763" s="12">
        <v>0</v>
      </c>
      <c r="K763" s="13">
        <v>1980</v>
      </c>
      <c r="L763" s="21">
        <v>16.8</v>
      </c>
      <c r="M763" s="14" t="s">
        <v>14</v>
      </c>
      <c r="N763" s="13">
        <v>33264</v>
      </c>
      <c r="O763" s="15">
        <f t="shared" ref="O763:O764" si="478">(N763/K763)-L763</f>
        <v>0</v>
      </c>
      <c r="P763" s="10" t="s">
        <v>84</v>
      </c>
      <c r="Q763" s="11" t="s">
        <v>1745</v>
      </c>
      <c r="R763" s="11" t="s">
        <v>1746</v>
      </c>
      <c r="S763" s="16" t="s">
        <v>1747</v>
      </c>
      <c r="T763" s="19" t="str">
        <f>MONTH(B763)&amp;"-"&amp;YEAR(B763)</f>
        <v>12-2021</v>
      </c>
      <c r="U763" s="2">
        <f>YEAR(B763)</f>
        <v>2021</v>
      </c>
      <c r="V763" s="2" t="str">
        <f>IF(DAY(B763)&gt;15,MONTH(B763)&amp;"-C",MONTH(B763)&amp;"-N")</f>
        <v>12-C</v>
      </c>
      <c r="W763" s="21">
        <v>16.8</v>
      </c>
      <c r="X763" s="2" t="b">
        <f t="shared" ref="X763:X764" si="479">+L763=W763</f>
        <v>1</v>
      </c>
    </row>
    <row r="764" spans="2:24" x14ac:dyDescent="0.2">
      <c r="B764" s="17">
        <v>44549</v>
      </c>
      <c r="C764" s="10" t="s">
        <v>25</v>
      </c>
      <c r="D764" s="11">
        <v>162900</v>
      </c>
      <c r="E764" s="26">
        <v>60816</v>
      </c>
      <c r="F764" s="10" t="s">
        <v>26</v>
      </c>
      <c r="G764" s="10" t="s">
        <v>27</v>
      </c>
      <c r="H764" s="27" t="s">
        <v>28</v>
      </c>
      <c r="I764" s="12">
        <v>0</v>
      </c>
      <c r="J764" s="12">
        <v>0</v>
      </c>
      <c r="K764" s="13">
        <v>19800</v>
      </c>
      <c r="L764" s="21">
        <v>6.18</v>
      </c>
      <c r="M764" s="14" t="s">
        <v>14</v>
      </c>
      <c r="N764" s="13">
        <v>122364</v>
      </c>
      <c r="O764" s="15">
        <f t="shared" si="478"/>
        <v>0</v>
      </c>
      <c r="P764" s="10" t="s">
        <v>78</v>
      </c>
      <c r="Q764" s="11" t="s">
        <v>1755</v>
      </c>
      <c r="R764" s="11" t="s">
        <v>1621</v>
      </c>
      <c r="S764" s="16" t="s">
        <v>1756</v>
      </c>
      <c r="T764" s="19" t="str">
        <f>MONTH(B764)&amp;"-"&amp;YEAR(B764)</f>
        <v>12-2021</v>
      </c>
      <c r="U764" s="2">
        <f>YEAR(B764)</f>
        <v>2021</v>
      </c>
      <c r="V764" s="2" t="str">
        <f>IF(DAY(B764)&gt;15,MONTH(B764)&amp;"-C",MONTH(B764)&amp;"-N")</f>
        <v>12-C</v>
      </c>
      <c r="W764" s="21">
        <v>6.18</v>
      </c>
      <c r="X764" s="2" t="b">
        <f t="shared" si="479"/>
        <v>1</v>
      </c>
    </row>
    <row r="765" spans="2:24" x14ac:dyDescent="0.2">
      <c r="B765" s="17">
        <v>44553</v>
      </c>
      <c r="C765" s="10" t="s">
        <v>25</v>
      </c>
      <c r="D765" s="11">
        <v>163300</v>
      </c>
      <c r="E765" s="26">
        <v>60919</v>
      </c>
      <c r="F765" s="10" t="s">
        <v>26</v>
      </c>
      <c r="G765" s="10" t="s">
        <v>27</v>
      </c>
      <c r="H765" s="27" t="s">
        <v>28</v>
      </c>
      <c r="I765" s="12">
        <v>0</v>
      </c>
      <c r="J765" s="12">
        <v>0</v>
      </c>
      <c r="K765" s="13">
        <v>18100</v>
      </c>
      <c r="L765" s="21">
        <v>5.48</v>
      </c>
      <c r="M765" s="14" t="s">
        <v>14</v>
      </c>
      <c r="N765" s="13">
        <v>99188</v>
      </c>
      <c r="O765" s="15">
        <f t="shared" ref="O765:O770" si="480">(N765/K765)-L765</f>
        <v>0</v>
      </c>
      <c r="P765" s="10" t="s">
        <v>78</v>
      </c>
      <c r="Q765" s="11" t="s">
        <v>1766</v>
      </c>
      <c r="R765" s="11" t="s">
        <v>1767</v>
      </c>
      <c r="S765" s="16" t="s">
        <v>1768</v>
      </c>
      <c r="T765" s="19" t="str">
        <f>MONTH(B765)&amp;"-"&amp;YEAR(B765)</f>
        <v>12-2021</v>
      </c>
      <c r="U765" s="2">
        <f>YEAR(B765)</f>
        <v>2021</v>
      </c>
      <c r="V765" s="2" t="str">
        <f>IF(DAY(B765)&gt;15,MONTH(B765)&amp;"-C",MONTH(B765)&amp;"-N")</f>
        <v>12-C</v>
      </c>
      <c r="W765" s="21">
        <v>5.48</v>
      </c>
      <c r="X765" s="2" t="b">
        <f t="shared" ref="X765:X770" si="481">+L765=W765</f>
        <v>1</v>
      </c>
    </row>
    <row r="766" spans="2:24" x14ac:dyDescent="0.2">
      <c r="B766" s="17">
        <v>44553</v>
      </c>
      <c r="C766" s="10" t="s">
        <v>25</v>
      </c>
      <c r="D766" s="11">
        <v>162900</v>
      </c>
      <c r="E766" s="26">
        <v>60920</v>
      </c>
      <c r="F766" s="10" t="s">
        <v>26</v>
      </c>
      <c r="G766" s="10" t="s">
        <v>27</v>
      </c>
      <c r="H766" s="27" t="s">
        <v>30</v>
      </c>
      <c r="I766" s="12">
        <v>0</v>
      </c>
      <c r="J766" s="12">
        <v>0</v>
      </c>
      <c r="K766" s="13">
        <v>1700</v>
      </c>
      <c r="L766" s="21">
        <v>6.18</v>
      </c>
      <c r="M766" s="14" t="s">
        <v>14</v>
      </c>
      <c r="N766" s="13">
        <v>10506</v>
      </c>
      <c r="O766" s="15">
        <f t="shared" si="480"/>
        <v>0</v>
      </c>
      <c r="P766" s="10" t="s">
        <v>78</v>
      </c>
      <c r="Q766" s="11" t="s">
        <v>1769</v>
      </c>
      <c r="R766" s="11" t="s">
        <v>1770</v>
      </c>
      <c r="S766" s="16" t="s">
        <v>1771</v>
      </c>
      <c r="T766" s="19" t="str">
        <f>MONTH(B766)&amp;"-"&amp;YEAR(B766)</f>
        <v>12-2021</v>
      </c>
      <c r="U766" s="2">
        <f>YEAR(B766)</f>
        <v>2021</v>
      </c>
      <c r="V766" s="2" t="str">
        <f>IF(DAY(B766)&gt;15,MONTH(B766)&amp;"-C",MONTH(B766)&amp;"-N")</f>
        <v>12-C</v>
      </c>
      <c r="W766" s="21">
        <v>6.18</v>
      </c>
      <c r="X766" s="2" t="b">
        <f t="shared" si="481"/>
        <v>1</v>
      </c>
    </row>
    <row r="767" spans="2:24" x14ac:dyDescent="0.2">
      <c r="B767" s="17">
        <v>44553</v>
      </c>
      <c r="C767" s="10" t="s">
        <v>107</v>
      </c>
      <c r="D767" s="11">
        <v>163059</v>
      </c>
      <c r="E767" s="26">
        <v>60914</v>
      </c>
      <c r="F767" s="10" t="s">
        <v>142</v>
      </c>
      <c r="G767" s="10" t="s">
        <v>46</v>
      </c>
      <c r="H767" s="27" t="s">
        <v>143</v>
      </c>
      <c r="I767" s="12">
        <v>0</v>
      </c>
      <c r="J767" s="12">
        <v>0</v>
      </c>
      <c r="K767" s="13">
        <v>2200</v>
      </c>
      <c r="L767" s="21">
        <v>8.6</v>
      </c>
      <c r="M767" s="14" t="s">
        <v>14</v>
      </c>
      <c r="N767" s="13">
        <v>18920</v>
      </c>
      <c r="O767" s="15">
        <f t="shared" si="480"/>
        <v>0</v>
      </c>
      <c r="P767" s="10" t="s">
        <v>84</v>
      </c>
      <c r="Q767" s="11" t="s">
        <v>1777</v>
      </c>
      <c r="R767" s="11" t="s">
        <v>1778</v>
      </c>
      <c r="S767" s="16" t="s">
        <v>1779</v>
      </c>
      <c r="T767" s="19" t="str">
        <f>MONTH(B767)&amp;"-"&amp;YEAR(B767)</f>
        <v>12-2021</v>
      </c>
      <c r="U767" s="2">
        <f>YEAR(B767)</f>
        <v>2021</v>
      </c>
      <c r="V767" s="2" t="str">
        <f>IF(DAY(B767)&gt;15,MONTH(B767)&amp;"-C",MONTH(B767)&amp;"-N")</f>
        <v>12-C</v>
      </c>
      <c r="W767" s="21">
        <v>8.6</v>
      </c>
      <c r="X767" s="2" t="b">
        <f t="shared" si="481"/>
        <v>1</v>
      </c>
    </row>
    <row r="768" spans="2:24" x14ac:dyDescent="0.2">
      <c r="B768" s="17">
        <v>44553</v>
      </c>
      <c r="C768" s="10" t="s">
        <v>107</v>
      </c>
      <c r="D768" s="11">
        <v>163059</v>
      </c>
      <c r="E768" s="26">
        <v>60914</v>
      </c>
      <c r="F768" s="10" t="s">
        <v>144</v>
      </c>
      <c r="G768" s="10" t="s">
        <v>46</v>
      </c>
      <c r="H768" s="27" t="s">
        <v>145</v>
      </c>
      <c r="I768" s="12">
        <v>0</v>
      </c>
      <c r="J768" s="12">
        <v>0</v>
      </c>
      <c r="K768" s="13">
        <v>340</v>
      </c>
      <c r="L768" s="21">
        <v>23</v>
      </c>
      <c r="M768" s="14" t="s">
        <v>14</v>
      </c>
      <c r="N768" s="13">
        <v>7820</v>
      </c>
      <c r="O768" s="15">
        <f t="shared" si="480"/>
        <v>0</v>
      </c>
      <c r="P768" s="10" t="s">
        <v>84</v>
      </c>
      <c r="Q768" s="11" t="s">
        <v>1777</v>
      </c>
      <c r="R768" s="11" t="s">
        <v>1778</v>
      </c>
      <c r="S768" s="16" t="s">
        <v>1779</v>
      </c>
      <c r="T768" s="19" t="str">
        <f>MONTH(B768)&amp;"-"&amp;YEAR(B768)</f>
        <v>12-2021</v>
      </c>
      <c r="U768" s="2">
        <f>YEAR(B768)</f>
        <v>2021</v>
      </c>
      <c r="V768" s="2" t="str">
        <f>IF(DAY(B768)&gt;15,MONTH(B768)&amp;"-C",MONTH(B768)&amp;"-N")</f>
        <v>12-C</v>
      </c>
      <c r="W768" s="21">
        <v>23</v>
      </c>
      <c r="X768" s="2" t="b">
        <f t="shared" si="481"/>
        <v>1</v>
      </c>
    </row>
    <row r="769" spans="2:24" x14ac:dyDescent="0.2">
      <c r="B769" s="17">
        <v>44553</v>
      </c>
      <c r="C769" s="10" t="s">
        <v>107</v>
      </c>
      <c r="D769" s="11">
        <v>163226</v>
      </c>
      <c r="E769" s="26">
        <v>60914</v>
      </c>
      <c r="F769" s="10" t="s">
        <v>103</v>
      </c>
      <c r="G769" s="10" t="s">
        <v>46</v>
      </c>
      <c r="H769" s="27" t="s">
        <v>104</v>
      </c>
      <c r="I769" s="12">
        <v>0</v>
      </c>
      <c r="J769" s="12">
        <v>0</v>
      </c>
      <c r="K769" s="13">
        <v>130</v>
      </c>
      <c r="L769" s="21">
        <v>40.18</v>
      </c>
      <c r="M769" s="14" t="s">
        <v>14</v>
      </c>
      <c r="N769" s="13">
        <v>5223.3999999999996</v>
      </c>
      <c r="O769" s="15">
        <f t="shared" si="480"/>
        <v>0</v>
      </c>
      <c r="P769" s="10" t="s">
        <v>84</v>
      </c>
      <c r="Q769" s="11" t="s">
        <v>1777</v>
      </c>
      <c r="R769" s="11" t="s">
        <v>1778</v>
      </c>
      <c r="S769" s="16" t="s">
        <v>1779</v>
      </c>
      <c r="T769" s="19" t="str">
        <f>MONTH(B769)&amp;"-"&amp;YEAR(B769)</f>
        <v>12-2021</v>
      </c>
      <c r="U769" s="2">
        <f>YEAR(B769)</f>
        <v>2021</v>
      </c>
      <c r="V769" s="2" t="str">
        <f>IF(DAY(B769)&gt;15,MONTH(B769)&amp;"-C",MONTH(B769)&amp;"-N")</f>
        <v>12-C</v>
      </c>
      <c r="W769" s="21">
        <v>40.18</v>
      </c>
      <c r="X769" s="2" t="b">
        <f t="shared" si="481"/>
        <v>1</v>
      </c>
    </row>
    <row r="770" spans="2:24" x14ac:dyDescent="0.2">
      <c r="B770" s="17">
        <v>44553</v>
      </c>
      <c r="C770" s="10" t="s">
        <v>107</v>
      </c>
      <c r="D770" s="11">
        <v>163226</v>
      </c>
      <c r="E770" s="26">
        <v>60914</v>
      </c>
      <c r="F770" s="10" t="s">
        <v>105</v>
      </c>
      <c r="G770" s="10" t="s">
        <v>46</v>
      </c>
      <c r="H770" s="27" t="s">
        <v>106</v>
      </c>
      <c r="I770" s="12">
        <v>0</v>
      </c>
      <c r="J770" s="12">
        <v>0</v>
      </c>
      <c r="K770" s="13">
        <v>4180</v>
      </c>
      <c r="L770" s="21">
        <v>13.29</v>
      </c>
      <c r="M770" s="14" t="s">
        <v>14</v>
      </c>
      <c r="N770" s="13">
        <v>55552.2</v>
      </c>
      <c r="O770" s="15">
        <f t="shared" si="480"/>
        <v>0</v>
      </c>
      <c r="P770" s="10" t="s">
        <v>84</v>
      </c>
      <c r="Q770" s="11" t="s">
        <v>1777</v>
      </c>
      <c r="R770" s="11" t="s">
        <v>1778</v>
      </c>
      <c r="S770" s="16" t="s">
        <v>1779</v>
      </c>
      <c r="T770" s="19" t="str">
        <f>MONTH(B770)&amp;"-"&amp;YEAR(B770)</f>
        <v>12-2021</v>
      </c>
      <c r="U770" s="2">
        <f>YEAR(B770)</f>
        <v>2021</v>
      </c>
      <c r="V770" s="2" t="str">
        <f>IF(DAY(B770)&gt;15,MONTH(B770)&amp;"-C",MONTH(B770)&amp;"-N")</f>
        <v>12-C</v>
      </c>
      <c r="W770" s="21">
        <v>13.29</v>
      </c>
      <c r="X770" s="2" t="b">
        <f t="shared" si="481"/>
        <v>1</v>
      </c>
    </row>
    <row r="771" spans="2:24" x14ac:dyDescent="0.2">
      <c r="B771" s="17">
        <v>44555</v>
      </c>
      <c r="C771" s="10" t="s">
        <v>108</v>
      </c>
      <c r="D771" s="11">
        <v>163331</v>
      </c>
      <c r="E771" s="26">
        <v>60934</v>
      </c>
      <c r="F771" s="10" t="s">
        <v>139</v>
      </c>
      <c r="G771" s="10" t="s">
        <v>46</v>
      </c>
      <c r="H771" s="27" t="s">
        <v>140</v>
      </c>
      <c r="I771" s="12">
        <v>0</v>
      </c>
      <c r="J771" s="12">
        <v>0</v>
      </c>
      <c r="K771" s="13">
        <v>1288</v>
      </c>
      <c r="L771" s="21">
        <v>12.128</v>
      </c>
      <c r="M771" s="14" t="s">
        <v>14</v>
      </c>
      <c r="N771" s="13">
        <v>15620.864</v>
      </c>
      <c r="O771" s="15">
        <f t="shared" ref="O771:O777" si="482">(N771/K771)-L771</f>
        <v>0</v>
      </c>
      <c r="P771" s="10" t="s">
        <v>84</v>
      </c>
      <c r="Q771" s="11" t="s">
        <v>1764</v>
      </c>
      <c r="R771" s="11" t="s">
        <v>1765</v>
      </c>
      <c r="S771" s="16" t="s">
        <v>1763</v>
      </c>
      <c r="T771" s="19" t="str">
        <f>MONTH(B771)&amp;"-"&amp;YEAR(B771)</f>
        <v>12-2021</v>
      </c>
      <c r="U771" s="2">
        <f>YEAR(B771)</f>
        <v>2021</v>
      </c>
      <c r="V771" s="2" t="str">
        <f>IF(DAY(B771)&gt;15,MONTH(B771)&amp;"-C",MONTH(B771)&amp;"-N")</f>
        <v>12-C</v>
      </c>
      <c r="W771" s="21">
        <v>12.128</v>
      </c>
      <c r="X771" s="2" t="b">
        <f t="shared" ref="X771:X777" si="483">+L771=W771</f>
        <v>1</v>
      </c>
    </row>
    <row r="772" spans="2:24" x14ac:dyDescent="0.2">
      <c r="B772" s="17">
        <v>44555</v>
      </c>
      <c r="C772" s="10" t="s">
        <v>108</v>
      </c>
      <c r="D772" s="11">
        <v>163331</v>
      </c>
      <c r="E772" s="26">
        <v>60934</v>
      </c>
      <c r="F772" s="10" t="s">
        <v>129</v>
      </c>
      <c r="G772" s="10" t="s">
        <v>46</v>
      </c>
      <c r="H772" s="27" t="s">
        <v>130</v>
      </c>
      <c r="I772" s="12">
        <v>0</v>
      </c>
      <c r="J772" s="12">
        <v>0</v>
      </c>
      <c r="K772" s="13">
        <v>2530</v>
      </c>
      <c r="L772" s="21">
        <v>12.641999999999999</v>
      </c>
      <c r="M772" s="14" t="s">
        <v>14</v>
      </c>
      <c r="N772" s="13">
        <v>31984.26</v>
      </c>
      <c r="O772" s="15">
        <f t="shared" si="482"/>
        <v>0</v>
      </c>
      <c r="P772" s="10" t="s">
        <v>84</v>
      </c>
      <c r="Q772" s="11" t="s">
        <v>1764</v>
      </c>
      <c r="R772" s="11" t="s">
        <v>1765</v>
      </c>
      <c r="S772" s="16" t="s">
        <v>1763</v>
      </c>
      <c r="T772" s="19" t="str">
        <f>MONTH(B772)&amp;"-"&amp;YEAR(B772)</f>
        <v>12-2021</v>
      </c>
      <c r="U772" s="2">
        <f>YEAR(B772)</f>
        <v>2021</v>
      </c>
      <c r="V772" s="2" t="str">
        <f>IF(DAY(B772)&gt;15,MONTH(B772)&amp;"-C",MONTH(B772)&amp;"-N")</f>
        <v>12-C</v>
      </c>
      <c r="W772" s="21">
        <v>12.641999999999999</v>
      </c>
      <c r="X772" s="2" t="b">
        <f t="shared" si="483"/>
        <v>1</v>
      </c>
    </row>
    <row r="773" spans="2:24" x14ac:dyDescent="0.2">
      <c r="B773" s="17">
        <v>44556</v>
      </c>
      <c r="C773" s="10" t="s">
        <v>25</v>
      </c>
      <c r="D773" s="11">
        <v>162945</v>
      </c>
      <c r="E773" s="26">
        <v>60952</v>
      </c>
      <c r="F773" s="10" t="s">
        <v>31</v>
      </c>
      <c r="G773" s="10" t="s">
        <v>27</v>
      </c>
      <c r="H773" s="27" t="s">
        <v>32</v>
      </c>
      <c r="I773" s="12">
        <v>0</v>
      </c>
      <c r="J773" s="12">
        <v>0</v>
      </c>
      <c r="K773" s="13">
        <v>3840</v>
      </c>
      <c r="L773" s="21">
        <v>4.2</v>
      </c>
      <c r="M773" s="14" t="s">
        <v>14</v>
      </c>
      <c r="N773" s="13">
        <v>16128</v>
      </c>
      <c r="O773" s="15">
        <f t="shared" si="482"/>
        <v>0</v>
      </c>
      <c r="P773" s="10" t="s">
        <v>78</v>
      </c>
      <c r="Q773" s="11" t="s">
        <v>1772</v>
      </c>
      <c r="R773" s="11" t="s">
        <v>1622</v>
      </c>
      <c r="S773" s="16" t="s">
        <v>1773</v>
      </c>
      <c r="T773" s="19" t="str">
        <f>MONTH(B773)&amp;"-"&amp;YEAR(B773)</f>
        <v>12-2021</v>
      </c>
      <c r="U773" s="2">
        <f>YEAR(B773)</f>
        <v>2021</v>
      </c>
      <c r="V773" s="2" t="str">
        <f>IF(DAY(B773)&gt;15,MONTH(B773)&amp;"-C",MONTH(B773)&amp;"-N")</f>
        <v>12-C</v>
      </c>
      <c r="W773" s="21">
        <v>4.2</v>
      </c>
      <c r="X773" s="2" t="b">
        <f t="shared" si="483"/>
        <v>1</v>
      </c>
    </row>
    <row r="774" spans="2:24" x14ac:dyDescent="0.2">
      <c r="B774" s="17">
        <v>44556</v>
      </c>
      <c r="C774" s="10" t="s">
        <v>88</v>
      </c>
      <c r="D774" s="11">
        <v>162667</v>
      </c>
      <c r="E774" s="26">
        <v>60957</v>
      </c>
      <c r="F774" s="10" t="s">
        <v>98</v>
      </c>
      <c r="G774" s="10" t="s">
        <v>46</v>
      </c>
      <c r="H774" s="27" t="s">
        <v>99</v>
      </c>
      <c r="I774" s="12">
        <v>0</v>
      </c>
      <c r="J774" s="12">
        <v>0</v>
      </c>
      <c r="K774" s="13">
        <v>40</v>
      </c>
      <c r="L774" s="21">
        <v>12.35</v>
      </c>
      <c r="M774" s="14" t="s">
        <v>14</v>
      </c>
      <c r="N774" s="13">
        <v>494</v>
      </c>
      <c r="O774" s="15">
        <f t="shared" si="482"/>
        <v>0</v>
      </c>
      <c r="P774" s="10" t="s">
        <v>84</v>
      </c>
      <c r="Q774" s="11" t="s">
        <v>1774</v>
      </c>
      <c r="R774" s="11" t="s">
        <v>1775</v>
      </c>
      <c r="S774" s="16" t="s">
        <v>1776</v>
      </c>
      <c r="T774" s="19" t="str">
        <f>MONTH(B774)&amp;"-"&amp;YEAR(B774)</f>
        <v>12-2021</v>
      </c>
      <c r="U774" s="2">
        <f>YEAR(B774)</f>
        <v>2021</v>
      </c>
      <c r="V774" s="2" t="str">
        <f>IF(DAY(B774)&gt;15,MONTH(B774)&amp;"-C",MONTH(B774)&amp;"-N")</f>
        <v>12-C</v>
      </c>
      <c r="W774" s="21">
        <v>12.35</v>
      </c>
      <c r="X774" s="2" t="b">
        <f t="shared" si="483"/>
        <v>1</v>
      </c>
    </row>
    <row r="775" spans="2:24" x14ac:dyDescent="0.2">
      <c r="B775" s="17">
        <v>44556</v>
      </c>
      <c r="C775" s="10" t="s">
        <v>88</v>
      </c>
      <c r="D775" s="11">
        <v>162667</v>
      </c>
      <c r="E775" s="26">
        <v>60957</v>
      </c>
      <c r="F775" s="10" t="s">
        <v>100</v>
      </c>
      <c r="G775" s="10" t="s">
        <v>46</v>
      </c>
      <c r="H775" s="27" t="s">
        <v>101</v>
      </c>
      <c r="I775" s="12">
        <v>0</v>
      </c>
      <c r="J775" s="12">
        <v>0</v>
      </c>
      <c r="K775" s="13">
        <v>2000</v>
      </c>
      <c r="L775" s="21">
        <v>15.91</v>
      </c>
      <c r="M775" s="14" t="s">
        <v>14</v>
      </c>
      <c r="N775" s="13">
        <v>31820</v>
      </c>
      <c r="O775" s="15">
        <f t="shared" si="482"/>
        <v>0</v>
      </c>
      <c r="P775" s="10" t="s">
        <v>84</v>
      </c>
      <c r="Q775" s="11" t="s">
        <v>1774</v>
      </c>
      <c r="R775" s="11" t="s">
        <v>1775</v>
      </c>
      <c r="S775" s="16" t="s">
        <v>1776</v>
      </c>
      <c r="T775" s="19" t="str">
        <f>MONTH(B775)&amp;"-"&amp;YEAR(B775)</f>
        <v>12-2021</v>
      </c>
      <c r="U775" s="2">
        <f>YEAR(B775)</f>
        <v>2021</v>
      </c>
      <c r="V775" s="2" t="str">
        <f>IF(DAY(B775)&gt;15,MONTH(B775)&amp;"-C",MONTH(B775)&amp;"-N")</f>
        <v>12-C</v>
      </c>
      <c r="W775" s="21">
        <v>15.91</v>
      </c>
      <c r="X775" s="2" t="b">
        <f t="shared" si="483"/>
        <v>1</v>
      </c>
    </row>
    <row r="776" spans="2:24" x14ac:dyDescent="0.2">
      <c r="B776" s="17">
        <v>44556</v>
      </c>
      <c r="C776" s="10" t="s">
        <v>88</v>
      </c>
      <c r="D776" s="11">
        <v>163332</v>
      </c>
      <c r="E776" s="26">
        <v>60957</v>
      </c>
      <c r="F776" s="10" t="s">
        <v>1328</v>
      </c>
      <c r="G776" s="10" t="s">
        <v>46</v>
      </c>
      <c r="H776" s="27" t="s">
        <v>1342</v>
      </c>
      <c r="I776" s="12" t="s">
        <v>41</v>
      </c>
      <c r="J776" s="12" t="s">
        <v>41</v>
      </c>
      <c r="K776" s="13">
        <v>1425</v>
      </c>
      <c r="L776" s="21">
        <v>13.6</v>
      </c>
      <c r="M776" s="14" t="s">
        <v>14</v>
      </c>
      <c r="N776" s="13">
        <v>19380</v>
      </c>
      <c r="O776" s="15">
        <f t="shared" si="482"/>
        <v>0</v>
      </c>
      <c r="P776" s="10" t="s">
        <v>84</v>
      </c>
      <c r="Q776" s="11" t="s">
        <v>1774</v>
      </c>
      <c r="R776" s="11" t="s">
        <v>1775</v>
      </c>
      <c r="S776" s="16" t="s">
        <v>1776</v>
      </c>
      <c r="T776" s="19" t="str">
        <f>MONTH(B776)&amp;"-"&amp;YEAR(B776)</f>
        <v>12-2021</v>
      </c>
      <c r="U776" s="2">
        <f>YEAR(B776)</f>
        <v>2021</v>
      </c>
      <c r="V776" s="2" t="str">
        <f>IF(DAY(B776)&gt;15,MONTH(B776)&amp;"-C",MONTH(B776)&amp;"-N")</f>
        <v>12-C</v>
      </c>
      <c r="W776" s="21">
        <v>13.6</v>
      </c>
      <c r="X776" s="2" t="b">
        <f t="shared" si="483"/>
        <v>1</v>
      </c>
    </row>
    <row r="777" spans="2:24" x14ac:dyDescent="0.2">
      <c r="B777" s="17">
        <v>44556</v>
      </c>
      <c r="C777" s="10" t="s">
        <v>88</v>
      </c>
      <c r="D777" s="11">
        <v>163332</v>
      </c>
      <c r="E777" s="26">
        <v>60957</v>
      </c>
      <c r="F777" s="10" t="s">
        <v>1329</v>
      </c>
      <c r="G777" s="10" t="s">
        <v>46</v>
      </c>
      <c r="H777" s="27" t="s">
        <v>1343</v>
      </c>
      <c r="I777" s="12" t="s">
        <v>41</v>
      </c>
      <c r="J777" s="12" t="s">
        <v>41</v>
      </c>
      <c r="K777" s="13">
        <v>150</v>
      </c>
      <c r="L777" s="21">
        <v>20.98</v>
      </c>
      <c r="M777" s="14" t="s">
        <v>14</v>
      </c>
      <c r="N777" s="13">
        <v>3147</v>
      </c>
      <c r="O777" s="15">
        <f t="shared" si="482"/>
        <v>0</v>
      </c>
      <c r="P777" s="10" t="s">
        <v>84</v>
      </c>
      <c r="Q777" s="11" t="s">
        <v>1774</v>
      </c>
      <c r="R777" s="11" t="s">
        <v>1775</v>
      </c>
      <c r="S777" s="16" t="s">
        <v>1776</v>
      </c>
      <c r="T777" s="19" t="str">
        <f>MONTH(B777)&amp;"-"&amp;YEAR(B777)</f>
        <v>12-2021</v>
      </c>
      <c r="U777" s="2">
        <f>YEAR(B777)</f>
        <v>2021</v>
      </c>
      <c r="V777" s="2" t="str">
        <f>IF(DAY(B777)&gt;15,MONTH(B777)&amp;"-C",MONTH(B777)&amp;"-N")</f>
        <v>12-C</v>
      </c>
      <c r="W777" s="21">
        <v>20.98</v>
      </c>
      <c r="X777" s="2" t="b">
        <f t="shared" si="483"/>
        <v>1</v>
      </c>
    </row>
    <row r="778" spans="2:24" x14ac:dyDescent="0.2">
      <c r="B778" s="17">
        <v>44558</v>
      </c>
      <c r="C778" s="10" t="s">
        <v>25</v>
      </c>
      <c r="D778" s="11">
        <v>163349</v>
      </c>
      <c r="E778" s="26">
        <v>60995</v>
      </c>
      <c r="F778" s="10" t="s">
        <v>29</v>
      </c>
      <c r="G778" s="10" t="s">
        <v>27</v>
      </c>
      <c r="H778" s="27" t="s">
        <v>30</v>
      </c>
      <c r="I778" s="12">
        <v>0</v>
      </c>
      <c r="J778" s="12">
        <v>0</v>
      </c>
      <c r="K778" s="13">
        <v>3960</v>
      </c>
      <c r="L778" s="21">
        <v>4.5</v>
      </c>
      <c r="M778" s="14" t="s">
        <v>14</v>
      </c>
      <c r="N778" s="13">
        <v>17820</v>
      </c>
      <c r="O778" s="15">
        <f t="shared" ref="O778" si="484">(N778/K778)-L778</f>
        <v>0</v>
      </c>
      <c r="P778" s="10" t="s">
        <v>78</v>
      </c>
      <c r="Q778" s="11" t="s">
        <v>1783</v>
      </c>
      <c r="R778" s="11" t="s">
        <v>1784</v>
      </c>
      <c r="S778" s="16" t="s">
        <v>1785</v>
      </c>
      <c r="T778" s="19" t="str">
        <f>MONTH(B778)&amp;"-"&amp;YEAR(B778)</f>
        <v>12-2021</v>
      </c>
      <c r="U778" s="2">
        <f>YEAR(B778)</f>
        <v>2021</v>
      </c>
      <c r="V778" s="2" t="str">
        <f>IF(DAY(B778)&gt;15,MONTH(B778)&amp;"-C",MONTH(B778)&amp;"-N")</f>
        <v>12-C</v>
      </c>
      <c r="W778" s="21">
        <v>4.5</v>
      </c>
      <c r="X778" s="2" t="b">
        <f t="shared" ref="X778" si="485">+L778=W778</f>
        <v>1</v>
      </c>
    </row>
    <row r="779" spans="2:24" x14ac:dyDescent="0.2">
      <c r="B779" s="17">
        <v>44560</v>
      </c>
      <c r="C779" s="10" t="s">
        <v>25</v>
      </c>
      <c r="D779" s="11">
        <v>163300</v>
      </c>
      <c r="E779" s="26">
        <v>61026</v>
      </c>
      <c r="F779" s="10" t="s">
        <v>26</v>
      </c>
      <c r="G779" s="10" t="s">
        <v>27</v>
      </c>
      <c r="H779" s="27" t="s">
        <v>28</v>
      </c>
      <c r="I779" s="12">
        <v>0</v>
      </c>
      <c r="J779" s="12">
        <v>0</v>
      </c>
      <c r="K779" s="13">
        <v>19800</v>
      </c>
      <c r="L779" s="21">
        <v>5.48</v>
      </c>
      <c r="M779" s="14" t="s">
        <v>14</v>
      </c>
      <c r="N779" s="13">
        <v>108504</v>
      </c>
      <c r="O779" s="15">
        <f t="shared" ref="O779" si="486">(N779/K779)-L779</f>
        <v>0</v>
      </c>
      <c r="P779" s="10" t="s">
        <v>78</v>
      </c>
      <c r="Q779" s="11" t="s">
        <v>1780</v>
      </c>
      <c r="R779" s="11" t="s">
        <v>1781</v>
      </c>
      <c r="S779" s="16" t="s">
        <v>1782</v>
      </c>
      <c r="T779" s="19" t="str">
        <f>MONTH(B779)&amp;"-"&amp;YEAR(B779)</f>
        <v>12-2021</v>
      </c>
      <c r="U779" s="2">
        <f>YEAR(B779)</f>
        <v>2021</v>
      </c>
      <c r="V779" s="2" t="str">
        <f>IF(DAY(B779)&gt;15,MONTH(B779)&amp;"-C",MONTH(B779)&amp;"-N")</f>
        <v>12-C</v>
      </c>
      <c r="W779" s="21">
        <v>5.48</v>
      </c>
      <c r="X779" s="2" t="b">
        <f t="shared" ref="X779" si="487">+L779=W779</f>
        <v>1</v>
      </c>
    </row>
    <row r="780" spans="2:24" x14ac:dyDescent="0.2">
      <c r="B780" s="17">
        <v>44564</v>
      </c>
      <c r="C780" s="10" t="s">
        <v>48</v>
      </c>
      <c r="D780" s="11">
        <v>159585</v>
      </c>
      <c r="E780" s="26">
        <v>61076</v>
      </c>
      <c r="F780" s="10" t="s">
        <v>135</v>
      </c>
      <c r="G780" s="10" t="s">
        <v>46</v>
      </c>
      <c r="H780" s="27" t="s">
        <v>136</v>
      </c>
      <c r="I780" s="12">
        <v>0</v>
      </c>
      <c r="J780" s="12">
        <v>0</v>
      </c>
      <c r="K780" s="13">
        <v>6400</v>
      </c>
      <c r="L780" s="21">
        <v>9.6310000000000002</v>
      </c>
      <c r="M780" s="14" t="s">
        <v>14</v>
      </c>
      <c r="N780" s="13">
        <v>61636.608</v>
      </c>
      <c r="O780" s="15">
        <f t="shared" ref="O780:O781" si="488">(N780/K780)-L780</f>
        <v>-2.8000000000005798E-4</v>
      </c>
      <c r="P780" s="10" t="s">
        <v>90</v>
      </c>
      <c r="Q780" s="11" t="s">
        <v>1838</v>
      </c>
      <c r="R780" s="11" t="s">
        <v>1839</v>
      </c>
      <c r="S780" s="16" t="s">
        <v>1840</v>
      </c>
      <c r="T780" s="19" t="str">
        <f>MONTH(B780)&amp;"-"&amp;YEAR(B780)</f>
        <v>1-2022</v>
      </c>
      <c r="U780" s="2">
        <f>YEAR(B780)</f>
        <v>2022</v>
      </c>
      <c r="V780" s="2" t="str">
        <f>IF(DAY(B780)&gt;15,MONTH(B780)&amp;"-C",MONTH(B780)&amp;"-N")</f>
        <v>1-N</v>
      </c>
      <c r="W780" s="21">
        <v>9.6310000000000002</v>
      </c>
      <c r="X780" s="2" t="b">
        <f t="shared" ref="X780:X781" si="489">+L780=W780</f>
        <v>1</v>
      </c>
    </row>
    <row r="781" spans="2:24" x14ac:dyDescent="0.2">
      <c r="B781" s="17">
        <v>44564</v>
      </c>
      <c r="C781" s="10" t="s">
        <v>48</v>
      </c>
      <c r="D781" s="11">
        <v>159585</v>
      </c>
      <c r="E781" s="26">
        <v>61076</v>
      </c>
      <c r="F781" s="10" t="s">
        <v>71</v>
      </c>
      <c r="G781" s="10" t="s">
        <v>46</v>
      </c>
      <c r="H781" s="27" t="s">
        <v>72</v>
      </c>
      <c r="I781" s="12">
        <v>0</v>
      </c>
      <c r="J781" s="12">
        <v>0</v>
      </c>
      <c r="K781" s="13">
        <v>9600</v>
      </c>
      <c r="L781" s="21">
        <v>9.6310000000000002</v>
      </c>
      <c r="M781" s="14" t="s">
        <v>14</v>
      </c>
      <c r="N781" s="13">
        <v>92454.911999999997</v>
      </c>
      <c r="O781" s="15">
        <f t="shared" si="488"/>
        <v>-2.8000000000005798E-4</v>
      </c>
      <c r="P781" s="10" t="s">
        <v>90</v>
      </c>
      <c r="Q781" s="11" t="s">
        <v>1838</v>
      </c>
      <c r="R781" s="11" t="s">
        <v>1839</v>
      </c>
      <c r="S781" s="16" t="s">
        <v>1840</v>
      </c>
      <c r="T781" s="19" t="str">
        <f>MONTH(B781)&amp;"-"&amp;YEAR(B781)</f>
        <v>1-2022</v>
      </c>
      <c r="U781" s="2">
        <f>YEAR(B781)</f>
        <v>2022</v>
      </c>
      <c r="V781" s="2" t="str">
        <f>IF(DAY(B781)&gt;15,MONTH(B781)&amp;"-C",MONTH(B781)&amp;"-N")</f>
        <v>1-N</v>
      </c>
      <c r="W781" s="21">
        <v>9.6310000000000002</v>
      </c>
      <c r="X781" s="2" t="b">
        <f t="shared" si="489"/>
        <v>1</v>
      </c>
    </row>
    <row r="782" spans="2:24" x14ac:dyDescent="0.2">
      <c r="B782" s="17">
        <v>44568</v>
      </c>
      <c r="C782" s="10" t="s">
        <v>25</v>
      </c>
      <c r="D782" s="11">
        <v>163300</v>
      </c>
      <c r="E782" s="26">
        <v>61109</v>
      </c>
      <c r="F782" s="10" t="s">
        <v>26</v>
      </c>
      <c r="G782" s="10" t="s">
        <v>27</v>
      </c>
      <c r="H782" s="27" t="s">
        <v>28</v>
      </c>
      <c r="I782" s="12"/>
      <c r="J782" s="12"/>
      <c r="K782" s="13">
        <v>19800</v>
      </c>
      <c r="L782" s="21">
        <v>5.48</v>
      </c>
      <c r="M782" s="14" t="s">
        <v>14</v>
      </c>
      <c r="N782" s="13">
        <v>108504</v>
      </c>
      <c r="O782" s="15">
        <f t="shared" ref="O782" si="490">(N782/K782)-L782</f>
        <v>0</v>
      </c>
      <c r="P782" s="10" t="s">
        <v>78</v>
      </c>
      <c r="Q782" s="11" t="s">
        <v>1831</v>
      </c>
      <c r="R782" s="11" t="s">
        <v>1832</v>
      </c>
      <c r="S782" s="16" t="s">
        <v>1833</v>
      </c>
      <c r="T782" s="19" t="str">
        <f>MONTH(B782)&amp;"-"&amp;YEAR(B782)</f>
        <v>1-2022</v>
      </c>
      <c r="U782" s="2">
        <f>YEAR(B782)</f>
        <v>2022</v>
      </c>
      <c r="V782" s="2" t="str">
        <f>IF(DAY(B782)&gt;15,MONTH(B782)&amp;"-C",MONTH(B782)&amp;"-N")</f>
        <v>1-N</v>
      </c>
      <c r="W782" s="21">
        <v>5.48</v>
      </c>
      <c r="X782" s="2" t="b">
        <f t="shared" ref="X782" si="491">+L782=W782</f>
        <v>1</v>
      </c>
    </row>
    <row r="783" spans="2:24" x14ac:dyDescent="0.2">
      <c r="B783" s="17">
        <v>44572</v>
      </c>
      <c r="C783" s="10" t="s">
        <v>107</v>
      </c>
      <c r="D783" s="11">
        <v>163226</v>
      </c>
      <c r="E783" s="26">
        <v>61159</v>
      </c>
      <c r="F783" s="10" t="s">
        <v>142</v>
      </c>
      <c r="G783" s="10" t="s">
        <v>46</v>
      </c>
      <c r="H783" s="27" t="s">
        <v>143</v>
      </c>
      <c r="I783" s="12">
        <v>0</v>
      </c>
      <c r="J783" s="12">
        <v>0</v>
      </c>
      <c r="K783" s="13">
        <v>2200</v>
      </c>
      <c r="L783" s="21">
        <v>8.6</v>
      </c>
      <c r="M783" s="14" t="s">
        <v>14</v>
      </c>
      <c r="N783" s="13">
        <v>18920</v>
      </c>
      <c r="O783" s="15">
        <f t="shared" ref="O783:O790" si="492">(N783/K783)-L783</f>
        <v>0</v>
      </c>
      <c r="P783" s="10" t="s">
        <v>84</v>
      </c>
      <c r="Q783" s="11" t="s">
        <v>1822</v>
      </c>
      <c r="R783" s="11" t="s">
        <v>1823</v>
      </c>
      <c r="S783" s="16" t="s">
        <v>1824</v>
      </c>
      <c r="T783" s="19" t="str">
        <f>MONTH(B783)&amp;"-"&amp;YEAR(B783)</f>
        <v>1-2022</v>
      </c>
      <c r="U783" s="2">
        <f>YEAR(B783)</f>
        <v>2022</v>
      </c>
      <c r="V783" s="2" t="str">
        <f>IF(DAY(B783)&gt;15,MONTH(B783)&amp;"-C",MONTH(B783)&amp;"-N")</f>
        <v>1-N</v>
      </c>
      <c r="W783" s="21">
        <v>8.6</v>
      </c>
      <c r="X783" s="2" t="b">
        <f t="shared" ref="X783:X790" si="493">+L783=W783</f>
        <v>1</v>
      </c>
    </row>
    <row r="784" spans="2:24" x14ac:dyDescent="0.2">
      <c r="B784" s="17">
        <v>44572</v>
      </c>
      <c r="C784" s="10" t="s">
        <v>107</v>
      </c>
      <c r="D784" s="11">
        <v>163226</v>
      </c>
      <c r="E784" s="26">
        <v>61159</v>
      </c>
      <c r="F784" s="10" t="s">
        <v>144</v>
      </c>
      <c r="G784" s="10" t="s">
        <v>46</v>
      </c>
      <c r="H784" s="27" t="s">
        <v>145</v>
      </c>
      <c r="I784" s="12">
        <v>0</v>
      </c>
      <c r="J784" s="12">
        <v>0</v>
      </c>
      <c r="K784" s="13">
        <v>340</v>
      </c>
      <c r="L784" s="21">
        <v>23</v>
      </c>
      <c r="M784" s="14" t="s">
        <v>14</v>
      </c>
      <c r="N784" s="13">
        <v>7820</v>
      </c>
      <c r="O784" s="15">
        <f t="shared" si="492"/>
        <v>0</v>
      </c>
      <c r="P784" s="10" t="s">
        <v>84</v>
      </c>
      <c r="Q784" s="11" t="s">
        <v>1822</v>
      </c>
      <c r="R784" s="11" t="s">
        <v>1823</v>
      </c>
      <c r="S784" s="16" t="s">
        <v>1824</v>
      </c>
      <c r="T784" s="19" t="str">
        <f>MONTH(B784)&amp;"-"&amp;YEAR(B784)</f>
        <v>1-2022</v>
      </c>
      <c r="U784" s="2">
        <f>YEAR(B784)</f>
        <v>2022</v>
      </c>
      <c r="V784" s="2" t="str">
        <f>IF(DAY(B784)&gt;15,MONTH(B784)&amp;"-C",MONTH(B784)&amp;"-N")</f>
        <v>1-N</v>
      </c>
      <c r="W784" s="21">
        <v>23</v>
      </c>
      <c r="X784" s="2" t="b">
        <f t="shared" si="493"/>
        <v>1</v>
      </c>
    </row>
    <row r="785" spans="2:24" x14ac:dyDescent="0.2">
      <c r="B785" s="17">
        <v>44572</v>
      </c>
      <c r="C785" s="10" t="s">
        <v>107</v>
      </c>
      <c r="D785" s="11">
        <v>163226</v>
      </c>
      <c r="E785" s="26">
        <v>61159</v>
      </c>
      <c r="F785" s="10" t="s">
        <v>103</v>
      </c>
      <c r="G785" s="10" t="s">
        <v>46</v>
      </c>
      <c r="H785" s="27" t="s">
        <v>104</v>
      </c>
      <c r="I785" s="12">
        <v>0</v>
      </c>
      <c r="J785" s="12">
        <v>0</v>
      </c>
      <c r="K785" s="13">
        <v>55</v>
      </c>
      <c r="L785" s="21">
        <v>40.18</v>
      </c>
      <c r="M785" s="14" t="s">
        <v>14</v>
      </c>
      <c r="N785" s="13">
        <v>2209.9</v>
      </c>
      <c r="O785" s="15">
        <f t="shared" si="492"/>
        <v>0</v>
      </c>
      <c r="P785" s="10" t="s">
        <v>84</v>
      </c>
      <c r="Q785" s="11" t="s">
        <v>1822</v>
      </c>
      <c r="R785" s="11" t="s">
        <v>1823</v>
      </c>
      <c r="S785" s="16" t="s">
        <v>1824</v>
      </c>
      <c r="T785" s="19" t="str">
        <f>MONTH(B785)&amp;"-"&amp;YEAR(B785)</f>
        <v>1-2022</v>
      </c>
      <c r="U785" s="2">
        <f>YEAR(B785)</f>
        <v>2022</v>
      </c>
      <c r="V785" s="2" t="str">
        <f>IF(DAY(B785)&gt;15,MONTH(B785)&amp;"-C",MONTH(B785)&amp;"-N")</f>
        <v>1-N</v>
      </c>
      <c r="W785" s="21">
        <v>40.18</v>
      </c>
      <c r="X785" s="2" t="b">
        <f t="shared" si="493"/>
        <v>1</v>
      </c>
    </row>
    <row r="786" spans="2:24" x14ac:dyDescent="0.2">
      <c r="B786" s="17">
        <v>44572</v>
      </c>
      <c r="C786" s="10" t="s">
        <v>107</v>
      </c>
      <c r="D786" s="11">
        <v>163226</v>
      </c>
      <c r="E786" s="26">
        <v>61159</v>
      </c>
      <c r="F786" s="10" t="s">
        <v>105</v>
      </c>
      <c r="G786" s="10" t="s">
        <v>46</v>
      </c>
      <c r="H786" s="27" t="s">
        <v>106</v>
      </c>
      <c r="I786" s="12">
        <v>0</v>
      </c>
      <c r="J786" s="12">
        <v>0</v>
      </c>
      <c r="K786" s="13">
        <v>2200</v>
      </c>
      <c r="L786" s="21">
        <v>13.29</v>
      </c>
      <c r="M786" s="14" t="s">
        <v>14</v>
      </c>
      <c r="N786" s="13">
        <v>29238</v>
      </c>
      <c r="O786" s="15">
        <f t="shared" si="492"/>
        <v>0</v>
      </c>
      <c r="P786" s="10" t="s">
        <v>84</v>
      </c>
      <c r="Q786" s="11" t="s">
        <v>1822</v>
      </c>
      <c r="R786" s="11" t="s">
        <v>1823</v>
      </c>
      <c r="S786" s="16" t="s">
        <v>1824</v>
      </c>
      <c r="T786" s="19" t="str">
        <f>MONTH(B786)&amp;"-"&amp;YEAR(B786)</f>
        <v>1-2022</v>
      </c>
      <c r="U786" s="2">
        <f>YEAR(B786)</f>
        <v>2022</v>
      </c>
      <c r="V786" s="2" t="str">
        <f>IF(DAY(B786)&gt;15,MONTH(B786)&amp;"-C",MONTH(B786)&amp;"-N")</f>
        <v>1-N</v>
      </c>
      <c r="W786" s="21">
        <v>13.29</v>
      </c>
      <c r="X786" s="2" t="b">
        <f t="shared" si="493"/>
        <v>1</v>
      </c>
    </row>
    <row r="787" spans="2:24" x14ac:dyDescent="0.2">
      <c r="B787" s="17">
        <v>44573</v>
      </c>
      <c r="C787" s="10" t="s">
        <v>108</v>
      </c>
      <c r="D787" s="11">
        <v>163067</v>
      </c>
      <c r="E787" s="26">
        <v>61181</v>
      </c>
      <c r="F787" s="10" t="s">
        <v>127</v>
      </c>
      <c r="G787" s="10" t="s">
        <v>46</v>
      </c>
      <c r="H787" s="27" t="s">
        <v>128</v>
      </c>
      <c r="I787" s="12">
        <v>0</v>
      </c>
      <c r="J787" s="12">
        <v>0</v>
      </c>
      <c r="K787" s="13">
        <v>1104</v>
      </c>
      <c r="L787" s="21">
        <v>13.22</v>
      </c>
      <c r="M787" s="14" t="s">
        <v>14</v>
      </c>
      <c r="N787" s="13">
        <v>14594.88</v>
      </c>
      <c r="O787" s="15">
        <f t="shared" si="492"/>
        <v>0</v>
      </c>
      <c r="P787" s="10" t="s">
        <v>84</v>
      </c>
      <c r="Q787" s="11" t="s">
        <v>1829</v>
      </c>
      <c r="R787" s="11" t="s">
        <v>1830</v>
      </c>
      <c r="S787" s="16" t="s">
        <v>1828</v>
      </c>
      <c r="T787" s="19" t="str">
        <f>MONTH(B787)&amp;"-"&amp;YEAR(B787)</f>
        <v>1-2022</v>
      </c>
      <c r="U787" s="2">
        <f>YEAR(B787)</f>
        <v>2022</v>
      </c>
      <c r="V787" s="2" t="str">
        <f>IF(DAY(B787)&gt;15,MONTH(B787)&amp;"-C",MONTH(B787)&amp;"-N")</f>
        <v>1-N</v>
      </c>
      <c r="W787" s="21">
        <v>13.22</v>
      </c>
      <c r="X787" s="2" t="b">
        <f t="shared" si="493"/>
        <v>1</v>
      </c>
    </row>
    <row r="788" spans="2:24" x14ac:dyDescent="0.2">
      <c r="B788" s="17">
        <v>44573</v>
      </c>
      <c r="C788" s="10" t="s">
        <v>108</v>
      </c>
      <c r="D788" s="11">
        <v>163067</v>
      </c>
      <c r="E788" s="26">
        <v>61181</v>
      </c>
      <c r="F788" s="10" t="s">
        <v>139</v>
      </c>
      <c r="G788" s="10" t="s">
        <v>46</v>
      </c>
      <c r="H788" s="27" t="s">
        <v>140</v>
      </c>
      <c r="I788" s="12">
        <v>0</v>
      </c>
      <c r="J788" s="12">
        <v>0</v>
      </c>
      <c r="K788" s="13">
        <v>5520</v>
      </c>
      <c r="L788" s="21">
        <v>11.75</v>
      </c>
      <c r="M788" s="14" t="s">
        <v>14</v>
      </c>
      <c r="N788" s="13">
        <v>64860</v>
      </c>
      <c r="O788" s="15">
        <f t="shared" si="492"/>
        <v>0</v>
      </c>
      <c r="P788" s="10" t="s">
        <v>84</v>
      </c>
      <c r="Q788" s="11" t="s">
        <v>1829</v>
      </c>
      <c r="R788" s="11" t="s">
        <v>1830</v>
      </c>
      <c r="S788" s="16" t="s">
        <v>1828</v>
      </c>
      <c r="T788" s="19" t="str">
        <f>MONTH(B788)&amp;"-"&amp;YEAR(B788)</f>
        <v>1-2022</v>
      </c>
      <c r="U788" s="2">
        <f>YEAR(B788)</f>
        <v>2022</v>
      </c>
      <c r="V788" s="2" t="str">
        <f>IF(DAY(B788)&gt;15,MONTH(B788)&amp;"-C",MONTH(B788)&amp;"-N")</f>
        <v>1-N</v>
      </c>
      <c r="W788" s="21">
        <v>11.75</v>
      </c>
      <c r="X788" s="2" t="b">
        <f t="shared" si="493"/>
        <v>1</v>
      </c>
    </row>
    <row r="789" spans="2:24" x14ac:dyDescent="0.2">
      <c r="B789" s="17">
        <v>44573</v>
      </c>
      <c r="C789" s="10" t="s">
        <v>108</v>
      </c>
      <c r="D789" s="11">
        <v>163067</v>
      </c>
      <c r="E789" s="26">
        <v>61181</v>
      </c>
      <c r="F789" s="10" t="s">
        <v>129</v>
      </c>
      <c r="G789" s="10" t="s">
        <v>46</v>
      </c>
      <c r="H789" s="27" t="s">
        <v>130</v>
      </c>
      <c r="I789" s="12">
        <v>0</v>
      </c>
      <c r="J789" s="12">
        <v>0</v>
      </c>
      <c r="K789" s="13">
        <v>9660</v>
      </c>
      <c r="L789" s="21">
        <v>13.22</v>
      </c>
      <c r="M789" s="14" t="s">
        <v>14</v>
      </c>
      <c r="N789" s="13">
        <v>115871.7</v>
      </c>
      <c r="O789" s="15">
        <f t="shared" si="492"/>
        <v>-1.2250000000000014</v>
      </c>
      <c r="P789" s="10" t="s">
        <v>84</v>
      </c>
      <c r="Q789" s="11" t="s">
        <v>1829</v>
      </c>
      <c r="R789" s="11" t="s">
        <v>1830</v>
      </c>
      <c r="S789" s="16" t="s">
        <v>1828</v>
      </c>
      <c r="T789" s="19" t="str">
        <f>MONTH(B789)&amp;"-"&amp;YEAR(B789)</f>
        <v>1-2022</v>
      </c>
      <c r="U789" s="2">
        <f>YEAR(B789)</f>
        <v>2022</v>
      </c>
      <c r="V789" s="2" t="str">
        <f>IF(DAY(B789)&gt;15,MONTH(B789)&amp;"-C",MONTH(B789)&amp;"-N")</f>
        <v>1-N</v>
      </c>
      <c r="W789" s="21">
        <v>13.22</v>
      </c>
      <c r="X789" s="2" t="b">
        <f t="shared" si="493"/>
        <v>1</v>
      </c>
    </row>
    <row r="790" spans="2:24" x14ac:dyDescent="0.2">
      <c r="B790" s="17">
        <v>44573</v>
      </c>
      <c r="C790" s="10" t="s">
        <v>108</v>
      </c>
      <c r="D790" s="11">
        <v>163067</v>
      </c>
      <c r="E790" s="26">
        <v>61181</v>
      </c>
      <c r="F790" s="10" t="s">
        <v>137</v>
      </c>
      <c r="G790" s="10" t="s">
        <v>46</v>
      </c>
      <c r="H790" s="27" t="s">
        <v>138</v>
      </c>
      <c r="I790" s="12">
        <v>0</v>
      </c>
      <c r="J790" s="12">
        <v>0</v>
      </c>
      <c r="K790" s="13">
        <v>400</v>
      </c>
      <c r="L790" s="21">
        <v>17.75</v>
      </c>
      <c r="M790" s="14" t="s">
        <v>14</v>
      </c>
      <c r="N790" s="13">
        <v>7100</v>
      </c>
      <c r="O790" s="15">
        <f t="shared" si="492"/>
        <v>0</v>
      </c>
      <c r="P790" s="10" t="s">
        <v>84</v>
      </c>
      <c r="Q790" s="11" t="s">
        <v>1829</v>
      </c>
      <c r="R790" s="11" t="s">
        <v>1830</v>
      </c>
      <c r="S790" s="16" t="s">
        <v>1828</v>
      </c>
      <c r="T790" s="19" t="str">
        <f>MONTH(B790)&amp;"-"&amp;YEAR(B790)</f>
        <v>1-2022</v>
      </c>
      <c r="U790" s="2">
        <f>YEAR(B790)</f>
        <v>2022</v>
      </c>
      <c r="V790" s="2" t="str">
        <f>IF(DAY(B790)&gt;15,MONTH(B790)&amp;"-C",MONTH(B790)&amp;"-N")</f>
        <v>1-N</v>
      </c>
      <c r="W790" s="21">
        <v>17.75</v>
      </c>
      <c r="X790" s="2" t="b">
        <f t="shared" si="493"/>
        <v>1</v>
      </c>
    </row>
    <row r="791" spans="2:24" x14ac:dyDescent="0.2">
      <c r="B791" s="17">
        <v>44574</v>
      </c>
      <c r="C791" s="10" t="s">
        <v>80</v>
      </c>
      <c r="D791" s="11">
        <v>163516</v>
      </c>
      <c r="E791" s="26">
        <v>61195</v>
      </c>
      <c r="F791" s="10" t="s">
        <v>26</v>
      </c>
      <c r="G791" s="10" t="s">
        <v>27</v>
      </c>
      <c r="H791" s="27" t="s">
        <v>28</v>
      </c>
      <c r="I791" s="12"/>
      <c r="J791" s="12"/>
      <c r="K791" s="13">
        <v>2700</v>
      </c>
      <c r="L791" s="21">
        <v>5.58</v>
      </c>
      <c r="M791" s="14" t="s">
        <v>14</v>
      </c>
      <c r="N791" s="13">
        <v>15066</v>
      </c>
      <c r="O791" s="15">
        <f t="shared" ref="O791" si="494">(N791/K791)-L791</f>
        <v>0</v>
      </c>
      <c r="P791" s="10" t="s">
        <v>78</v>
      </c>
      <c r="Q791" s="11" t="s">
        <v>1816</v>
      </c>
      <c r="R791" s="11" t="s">
        <v>1817</v>
      </c>
      <c r="S791" s="16" t="s">
        <v>1818</v>
      </c>
      <c r="T791" s="19" t="str">
        <f>MONTH(B791)&amp;"-"&amp;YEAR(B791)</f>
        <v>1-2022</v>
      </c>
      <c r="U791" s="2">
        <f>YEAR(B791)</f>
        <v>2022</v>
      </c>
      <c r="V791" s="2" t="str">
        <f>IF(DAY(B791)&gt;15,MONTH(B791)&amp;"-C",MONTH(B791)&amp;"-N")</f>
        <v>1-N</v>
      </c>
      <c r="W791" s="21">
        <v>5.58</v>
      </c>
      <c r="X791" s="2" t="b">
        <f t="shared" ref="X791" si="495">+L791=W791</f>
        <v>1</v>
      </c>
    </row>
    <row r="792" spans="2:24" x14ac:dyDescent="0.2">
      <c r="B792" s="17">
        <v>44575</v>
      </c>
      <c r="C792" s="10" t="s">
        <v>80</v>
      </c>
      <c r="D792" s="11">
        <v>163516</v>
      </c>
      <c r="E792" s="26">
        <v>61206</v>
      </c>
      <c r="F792" s="10" t="s">
        <v>26</v>
      </c>
      <c r="G792" s="10" t="s">
        <v>27</v>
      </c>
      <c r="H792" s="27" t="s">
        <v>28</v>
      </c>
      <c r="I792" s="12"/>
      <c r="J792" s="12"/>
      <c r="K792" s="13">
        <v>3600</v>
      </c>
      <c r="L792" s="21">
        <v>5.58</v>
      </c>
      <c r="M792" s="14" t="s">
        <v>14</v>
      </c>
      <c r="N792" s="13">
        <v>20088</v>
      </c>
      <c r="O792" s="15">
        <f t="shared" ref="O792:O795" si="496">(N792/K792)-L792</f>
        <v>0</v>
      </c>
      <c r="P792" s="10" t="s">
        <v>78</v>
      </c>
      <c r="Q792" s="11" t="s">
        <v>1813</v>
      </c>
      <c r="R792" s="11" t="s">
        <v>1814</v>
      </c>
      <c r="S792" s="16" t="s">
        <v>1815</v>
      </c>
      <c r="T792" s="19" t="str">
        <f>MONTH(B792)&amp;"-"&amp;YEAR(B792)</f>
        <v>1-2022</v>
      </c>
      <c r="U792" s="2">
        <f>YEAR(B792)</f>
        <v>2022</v>
      </c>
      <c r="V792" s="2" t="str">
        <f>IF(DAY(B792)&gt;15,MONTH(B792)&amp;"-C",MONTH(B792)&amp;"-N")</f>
        <v>1-N</v>
      </c>
      <c r="W792" s="21">
        <v>5.58</v>
      </c>
      <c r="X792" s="2" t="b">
        <f t="shared" ref="X792:X795" si="497">+L792=W792</f>
        <v>1</v>
      </c>
    </row>
    <row r="793" spans="2:24" x14ac:dyDescent="0.2">
      <c r="B793" s="17">
        <v>44576</v>
      </c>
      <c r="C793" s="10" t="s">
        <v>80</v>
      </c>
      <c r="D793" s="11">
        <v>163516</v>
      </c>
      <c r="E793" s="26">
        <v>61220</v>
      </c>
      <c r="F793" s="10" t="s">
        <v>26</v>
      </c>
      <c r="G793" s="10" t="s">
        <v>27</v>
      </c>
      <c r="H793" s="27" t="s">
        <v>28</v>
      </c>
      <c r="I793" s="12"/>
      <c r="J793" s="12"/>
      <c r="K793" s="13">
        <v>3600</v>
      </c>
      <c r="L793" s="21">
        <v>5.58</v>
      </c>
      <c r="M793" s="14" t="s">
        <v>14</v>
      </c>
      <c r="N793" s="13">
        <v>20088</v>
      </c>
      <c r="O793" s="15">
        <f t="shared" si="496"/>
        <v>0</v>
      </c>
      <c r="P793" s="10" t="s">
        <v>78</v>
      </c>
      <c r="Q793" s="11" t="s">
        <v>1807</v>
      </c>
      <c r="R793" s="11" t="s">
        <v>1808</v>
      </c>
      <c r="S793" s="16" t="s">
        <v>1809</v>
      </c>
      <c r="T793" s="19" t="str">
        <f>MONTH(B793)&amp;"-"&amp;YEAR(B793)</f>
        <v>1-2022</v>
      </c>
      <c r="U793" s="2">
        <f>YEAR(B793)</f>
        <v>2022</v>
      </c>
      <c r="V793" s="2" t="str">
        <f>IF(DAY(B793)&gt;15,MONTH(B793)&amp;"-C",MONTH(B793)&amp;"-N")</f>
        <v>1-N</v>
      </c>
      <c r="W793" s="21">
        <v>5.58</v>
      </c>
      <c r="X793" s="2" t="b">
        <f t="shared" si="497"/>
        <v>1</v>
      </c>
    </row>
    <row r="794" spans="2:24" x14ac:dyDescent="0.2">
      <c r="B794" s="17">
        <v>44576</v>
      </c>
      <c r="C794" s="10" t="s">
        <v>80</v>
      </c>
      <c r="D794" s="11">
        <v>163516</v>
      </c>
      <c r="E794" s="26">
        <v>61221</v>
      </c>
      <c r="F794" s="10" t="s">
        <v>26</v>
      </c>
      <c r="G794" s="10" t="s">
        <v>27</v>
      </c>
      <c r="H794" s="27" t="s">
        <v>28</v>
      </c>
      <c r="I794" s="12"/>
      <c r="J794" s="12"/>
      <c r="K794" s="13">
        <v>2700</v>
      </c>
      <c r="L794" s="21">
        <v>5.58</v>
      </c>
      <c r="M794" s="14" t="s">
        <v>14</v>
      </c>
      <c r="N794" s="13">
        <v>15066</v>
      </c>
      <c r="O794" s="15">
        <f t="shared" si="496"/>
        <v>0</v>
      </c>
      <c r="P794" s="10" t="s">
        <v>78</v>
      </c>
      <c r="Q794" s="11" t="s">
        <v>1810</v>
      </c>
      <c r="R794" s="11" t="s">
        <v>1811</v>
      </c>
      <c r="S794" s="16" t="s">
        <v>1812</v>
      </c>
      <c r="T794" s="19" t="str">
        <f>MONTH(B794)&amp;"-"&amp;YEAR(B794)</f>
        <v>1-2022</v>
      </c>
      <c r="U794" s="2">
        <f>YEAR(B794)</f>
        <v>2022</v>
      </c>
      <c r="V794" s="2" t="str">
        <f>IF(DAY(B794)&gt;15,MONTH(B794)&amp;"-C",MONTH(B794)&amp;"-N")</f>
        <v>1-N</v>
      </c>
      <c r="W794" s="21">
        <v>5.58</v>
      </c>
      <c r="X794" s="2" t="b">
        <f t="shared" si="497"/>
        <v>1</v>
      </c>
    </row>
    <row r="795" spans="2:24" x14ac:dyDescent="0.2">
      <c r="B795" s="17">
        <v>44578</v>
      </c>
      <c r="C795" s="10" t="s">
        <v>80</v>
      </c>
      <c r="D795" s="11">
        <v>163516</v>
      </c>
      <c r="E795" s="26">
        <v>61237</v>
      </c>
      <c r="F795" s="10" t="s">
        <v>26</v>
      </c>
      <c r="G795" s="10" t="s">
        <v>27</v>
      </c>
      <c r="H795" s="27" t="s">
        <v>28</v>
      </c>
      <c r="I795" s="12"/>
      <c r="J795" s="12"/>
      <c r="K795" s="13">
        <v>3600</v>
      </c>
      <c r="L795" s="21">
        <v>5.58</v>
      </c>
      <c r="M795" s="14" t="s">
        <v>14</v>
      </c>
      <c r="N795" s="13">
        <v>20088</v>
      </c>
      <c r="O795" s="15">
        <f t="shared" si="496"/>
        <v>0</v>
      </c>
      <c r="P795" s="10" t="s">
        <v>78</v>
      </c>
      <c r="Q795" s="11" t="s">
        <v>1804</v>
      </c>
      <c r="R795" s="11" t="s">
        <v>1805</v>
      </c>
      <c r="S795" s="16" t="s">
        <v>1806</v>
      </c>
      <c r="T795" s="19" t="str">
        <f>MONTH(B795)&amp;"-"&amp;YEAR(B795)</f>
        <v>1-2022</v>
      </c>
      <c r="U795" s="2">
        <f>YEAR(B795)</f>
        <v>2022</v>
      </c>
      <c r="V795" s="2" t="str">
        <f>IF(DAY(B795)&gt;15,MONTH(B795)&amp;"-C",MONTH(B795)&amp;"-N")</f>
        <v>1-C</v>
      </c>
      <c r="W795" s="21">
        <v>5.58</v>
      </c>
      <c r="X795" s="2" t="b">
        <f t="shared" si="497"/>
        <v>1</v>
      </c>
    </row>
    <row r="796" spans="2:24" x14ac:dyDescent="0.2">
      <c r="B796" s="17">
        <v>44579</v>
      </c>
      <c r="C796" s="10" t="s">
        <v>80</v>
      </c>
      <c r="D796" s="11">
        <v>163516</v>
      </c>
      <c r="E796" s="26">
        <v>61268</v>
      </c>
      <c r="F796" s="10" t="s">
        <v>26</v>
      </c>
      <c r="G796" s="10" t="s">
        <v>27</v>
      </c>
      <c r="H796" s="27" t="s">
        <v>28</v>
      </c>
      <c r="I796" s="12"/>
      <c r="J796" s="12"/>
      <c r="K796" s="13">
        <v>3600</v>
      </c>
      <c r="L796" s="21">
        <v>5.58</v>
      </c>
      <c r="M796" s="14" t="s">
        <v>14</v>
      </c>
      <c r="N796" s="13">
        <v>20088</v>
      </c>
      <c r="O796" s="15">
        <f t="shared" ref="O796:O804" si="498">(N796/K796)-L796</f>
        <v>0</v>
      </c>
      <c r="P796" s="10" t="s">
        <v>78</v>
      </c>
      <c r="Q796" s="11" t="s">
        <v>1801</v>
      </c>
      <c r="R796" s="11" t="s">
        <v>1802</v>
      </c>
      <c r="S796" s="16" t="s">
        <v>1803</v>
      </c>
      <c r="T796" s="19" t="str">
        <f>MONTH(B796)&amp;"-"&amp;YEAR(B796)</f>
        <v>1-2022</v>
      </c>
      <c r="U796" s="2">
        <f>YEAR(B796)</f>
        <v>2022</v>
      </c>
      <c r="V796" s="2" t="str">
        <f>IF(DAY(B796)&gt;15,MONTH(B796)&amp;"-C",MONTH(B796)&amp;"-N")</f>
        <v>1-C</v>
      </c>
      <c r="W796" s="21">
        <v>5.58</v>
      </c>
      <c r="X796" s="2" t="b">
        <f t="shared" ref="X796:X804" si="499">+L796=W796</f>
        <v>1</v>
      </c>
    </row>
    <row r="797" spans="2:24" x14ac:dyDescent="0.2">
      <c r="B797" s="17">
        <v>44579</v>
      </c>
      <c r="C797" s="10" t="s">
        <v>107</v>
      </c>
      <c r="D797" s="11">
        <v>163059</v>
      </c>
      <c r="E797" s="26">
        <v>61272</v>
      </c>
      <c r="F797" s="10" t="s">
        <v>142</v>
      </c>
      <c r="G797" s="10" t="s">
        <v>46</v>
      </c>
      <c r="H797" s="27" t="s">
        <v>143</v>
      </c>
      <c r="I797" s="12">
        <v>0</v>
      </c>
      <c r="J797" s="12">
        <v>0</v>
      </c>
      <c r="K797" s="13">
        <v>880</v>
      </c>
      <c r="L797" s="21">
        <v>8.6</v>
      </c>
      <c r="M797" s="14" t="s">
        <v>14</v>
      </c>
      <c r="N797" s="13">
        <v>7568</v>
      </c>
      <c r="O797" s="15">
        <f t="shared" si="498"/>
        <v>0</v>
      </c>
      <c r="P797" s="10" t="s">
        <v>84</v>
      </c>
      <c r="Q797" s="11" t="s">
        <v>1819</v>
      </c>
      <c r="R797" s="11" t="s">
        <v>1820</v>
      </c>
      <c r="S797" s="16" t="s">
        <v>1821</v>
      </c>
      <c r="T797" s="19" t="str">
        <f>MONTH(B797)&amp;"-"&amp;YEAR(B797)</f>
        <v>1-2022</v>
      </c>
      <c r="U797" s="2">
        <f>YEAR(B797)</f>
        <v>2022</v>
      </c>
      <c r="V797" s="2" t="str">
        <f>IF(DAY(B797)&gt;15,MONTH(B797)&amp;"-C",MONTH(B797)&amp;"-N")</f>
        <v>1-C</v>
      </c>
      <c r="W797" s="21">
        <v>8.6</v>
      </c>
      <c r="X797" s="2" t="b">
        <f t="shared" si="499"/>
        <v>1</v>
      </c>
    </row>
    <row r="798" spans="2:24" x14ac:dyDescent="0.2">
      <c r="B798" s="17">
        <v>44579</v>
      </c>
      <c r="C798" s="10" t="s">
        <v>107</v>
      </c>
      <c r="D798" s="11">
        <v>163226</v>
      </c>
      <c r="E798" s="26">
        <v>61272</v>
      </c>
      <c r="F798" s="10" t="s">
        <v>142</v>
      </c>
      <c r="G798" s="10" t="s">
        <v>46</v>
      </c>
      <c r="H798" s="27" t="s">
        <v>143</v>
      </c>
      <c r="I798" s="12">
        <v>0</v>
      </c>
      <c r="J798" s="12">
        <v>0</v>
      </c>
      <c r="K798" s="13">
        <v>1320</v>
      </c>
      <c r="L798" s="21">
        <v>8.6</v>
      </c>
      <c r="M798" s="14" t="s">
        <v>14</v>
      </c>
      <c r="N798" s="13">
        <v>11352</v>
      </c>
      <c r="O798" s="15">
        <f t="shared" si="498"/>
        <v>0</v>
      </c>
      <c r="P798" s="10" t="s">
        <v>84</v>
      </c>
      <c r="Q798" s="11" t="s">
        <v>1819</v>
      </c>
      <c r="R798" s="11" t="s">
        <v>1820</v>
      </c>
      <c r="S798" s="16" t="s">
        <v>1821</v>
      </c>
      <c r="T798" s="19" t="str">
        <f>MONTH(B798)&amp;"-"&amp;YEAR(B798)</f>
        <v>1-2022</v>
      </c>
      <c r="U798" s="2">
        <f>YEAR(B798)</f>
        <v>2022</v>
      </c>
      <c r="V798" s="2" t="str">
        <f>IF(DAY(B798)&gt;15,MONTH(B798)&amp;"-C",MONTH(B798)&amp;"-N")</f>
        <v>1-C</v>
      </c>
      <c r="W798" s="21">
        <v>8.6</v>
      </c>
      <c r="X798" s="2" t="b">
        <f t="shared" si="499"/>
        <v>1</v>
      </c>
    </row>
    <row r="799" spans="2:24" x14ac:dyDescent="0.2">
      <c r="B799" s="17">
        <v>44579</v>
      </c>
      <c r="C799" s="10" t="s">
        <v>107</v>
      </c>
      <c r="D799" s="11">
        <v>163059</v>
      </c>
      <c r="E799" s="26">
        <v>61272</v>
      </c>
      <c r="F799" s="10" t="s">
        <v>144</v>
      </c>
      <c r="G799" s="10" t="s">
        <v>46</v>
      </c>
      <c r="H799" s="27" t="s">
        <v>145</v>
      </c>
      <c r="I799" s="12">
        <v>0</v>
      </c>
      <c r="J799" s="12">
        <v>0</v>
      </c>
      <c r="K799" s="13">
        <v>140</v>
      </c>
      <c r="L799" s="21">
        <v>23</v>
      </c>
      <c r="M799" s="14" t="s">
        <v>14</v>
      </c>
      <c r="N799" s="13">
        <v>3220</v>
      </c>
      <c r="O799" s="15">
        <f t="shared" si="498"/>
        <v>0</v>
      </c>
      <c r="P799" s="10" t="s">
        <v>84</v>
      </c>
      <c r="Q799" s="11" t="s">
        <v>1819</v>
      </c>
      <c r="R799" s="11" t="s">
        <v>1820</v>
      </c>
      <c r="S799" s="16" t="s">
        <v>1821</v>
      </c>
      <c r="T799" s="19" t="str">
        <f>MONTH(B799)&amp;"-"&amp;YEAR(B799)</f>
        <v>1-2022</v>
      </c>
      <c r="U799" s="2">
        <f>YEAR(B799)</f>
        <v>2022</v>
      </c>
      <c r="V799" s="2" t="str">
        <f>IF(DAY(B799)&gt;15,MONTH(B799)&amp;"-C",MONTH(B799)&amp;"-N")</f>
        <v>1-C</v>
      </c>
      <c r="W799" s="21">
        <v>23</v>
      </c>
      <c r="X799" s="2" t="b">
        <f t="shared" si="499"/>
        <v>1</v>
      </c>
    </row>
    <row r="800" spans="2:24" x14ac:dyDescent="0.2">
      <c r="B800" s="17">
        <v>44579</v>
      </c>
      <c r="C800" s="10" t="s">
        <v>107</v>
      </c>
      <c r="D800" s="11">
        <v>163226</v>
      </c>
      <c r="E800" s="26">
        <v>61272</v>
      </c>
      <c r="F800" s="10" t="s">
        <v>144</v>
      </c>
      <c r="G800" s="10" t="s">
        <v>46</v>
      </c>
      <c r="H800" s="27" t="s">
        <v>145</v>
      </c>
      <c r="I800" s="12">
        <v>0</v>
      </c>
      <c r="J800" s="12">
        <v>0</v>
      </c>
      <c r="K800" s="13">
        <v>200</v>
      </c>
      <c r="L800" s="21">
        <v>23</v>
      </c>
      <c r="M800" s="14" t="s">
        <v>14</v>
      </c>
      <c r="N800" s="13">
        <v>4600</v>
      </c>
      <c r="O800" s="15">
        <f t="shared" si="498"/>
        <v>0</v>
      </c>
      <c r="P800" s="10" t="s">
        <v>84</v>
      </c>
      <c r="Q800" s="11" t="s">
        <v>1819</v>
      </c>
      <c r="R800" s="11" t="s">
        <v>1820</v>
      </c>
      <c r="S800" s="16" t="s">
        <v>1821</v>
      </c>
      <c r="T800" s="19" t="str">
        <f>MONTH(B800)&amp;"-"&amp;YEAR(B800)</f>
        <v>1-2022</v>
      </c>
      <c r="U800" s="2">
        <f>YEAR(B800)</f>
        <v>2022</v>
      </c>
      <c r="V800" s="2" t="str">
        <f>IF(DAY(B800)&gt;15,MONTH(B800)&amp;"-C",MONTH(B800)&amp;"-N")</f>
        <v>1-C</v>
      </c>
      <c r="W800" s="21">
        <v>23</v>
      </c>
      <c r="X800" s="2" t="b">
        <f t="shared" si="499"/>
        <v>1</v>
      </c>
    </row>
    <row r="801" spans="2:24" x14ac:dyDescent="0.2">
      <c r="B801" s="17">
        <v>44579</v>
      </c>
      <c r="C801" s="10" t="s">
        <v>107</v>
      </c>
      <c r="D801" s="11">
        <v>163582</v>
      </c>
      <c r="E801" s="26">
        <v>61272</v>
      </c>
      <c r="F801" s="10" t="s">
        <v>103</v>
      </c>
      <c r="G801" s="10" t="s">
        <v>46</v>
      </c>
      <c r="H801" s="27" t="s">
        <v>104</v>
      </c>
      <c r="I801" s="12">
        <v>0</v>
      </c>
      <c r="J801" s="12">
        <v>0</v>
      </c>
      <c r="K801" s="13">
        <v>40</v>
      </c>
      <c r="L801" s="21">
        <v>40.18</v>
      </c>
      <c r="M801" s="14" t="s">
        <v>14</v>
      </c>
      <c r="N801" s="13">
        <v>1607.2</v>
      </c>
      <c r="O801" s="15">
        <f t="shared" si="498"/>
        <v>0</v>
      </c>
      <c r="P801" s="10" t="s">
        <v>84</v>
      </c>
      <c r="Q801" s="11" t="s">
        <v>1819</v>
      </c>
      <c r="R801" s="11" t="s">
        <v>1820</v>
      </c>
      <c r="S801" s="16" t="s">
        <v>1821</v>
      </c>
      <c r="T801" s="19" t="str">
        <f>MONTH(B801)&amp;"-"&amp;YEAR(B801)</f>
        <v>1-2022</v>
      </c>
      <c r="U801" s="2">
        <f>YEAR(B801)</f>
        <v>2022</v>
      </c>
      <c r="V801" s="2" t="str">
        <f>IF(DAY(B801)&gt;15,MONTH(B801)&amp;"-C",MONTH(B801)&amp;"-N")</f>
        <v>1-C</v>
      </c>
      <c r="W801" s="21">
        <v>40.18</v>
      </c>
      <c r="X801" s="2" t="b">
        <f t="shared" si="499"/>
        <v>1</v>
      </c>
    </row>
    <row r="802" spans="2:24" x14ac:dyDescent="0.2">
      <c r="B802" s="17">
        <v>44579</v>
      </c>
      <c r="C802" s="10" t="s">
        <v>107</v>
      </c>
      <c r="D802" s="11">
        <v>163226</v>
      </c>
      <c r="E802" s="26">
        <v>61272</v>
      </c>
      <c r="F802" s="10" t="s">
        <v>105</v>
      </c>
      <c r="G802" s="10" t="s">
        <v>46</v>
      </c>
      <c r="H802" s="27" t="s">
        <v>106</v>
      </c>
      <c r="I802" s="12">
        <v>0</v>
      </c>
      <c r="J802" s="12">
        <v>0</v>
      </c>
      <c r="K802" s="13">
        <v>880</v>
      </c>
      <c r="L802" s="21">
        <v>13.29</v>
      </c>
      <c r="M802" s="14" t="s">
        <v>14</v>
      </c>
      <c r="N802" s="13">
        <v>11695.2</v>
      </c>
      <c r="O802" s="15">
        <f t="shared" si="498"/>
        <v>0</v>
      </c>
      <c r="P802" s="10" t="s">
        <v>84</v>
      </c>
      <c r="Q802" s="11" t="s">
        <v>1819</v>
      </c>
      <c r="R802" s="11" t="s">
        <v>1820</v>
      </c>
      <c r="S802" s="16" t="s">
        <v>1821</v>
      </c>
      <c r="T802" s="19" t="str">
        <f>MONTH(B802)&amp;"-"&amp;YEAR(B802)</f>
        <v>1-2022</v>
      </c>
      <c r="U802" s="2">
        <f>YEAR(B802)</f>
        <v>2022</v>
      </c>
      <c r="V802" s="2" t="str">
        <f>IF(DAY(B802)&gt;15,MONTH(B802)&amp;"-C",MONTH(B802)&amp;"-N")</f>
        <v>1-C</v>
      </c>
      <c r="W802" s="21">
        <v>13.29</v>
      </c>
      <c r="X802" s="2" t="b">
        <f t="shared" si="499"/>
        <v>1</v>
      </c>
    </row>
    <row r="803" spans="2:24" x14ac:dyDescent="0.2">
      <c r="B803" s="17">
        <v>44579</v>
      </c>
      <c r="C803" s="10" t="s">
        <v>107</v>
      </c>
      <c r="D803" s="11">
        <v>163582</v>
      </c>
      <c r="E803" s="26">
        <v>61272</v>
      </c>
      <c r="F803" s="10" t="s">
        <v>105</v>
      </c>
      <c r="G803" s="10" t="s">
        <v>46</v>
      </c>
      <c r="H803" s="27" t="s">
        <v>106</v>
      </c>
      <c r="I803" s="12">
        <v>0</v>
      </c>
      <c r="J803" s="12">
        <v>0</v>
      </c>
      <c r="K803" s="13">
        <v>1320</v>
      </c>
      <c r="L803" s="21">
        <v>13.29</v>
      </c>
      <c r="M803" s="14" t="s">
        <v>14</v>
      </c>
      <c r="N803" s="13">
        <v>17542.8</v>
      </c>
      <c r="O803" s="15">
        <f t="shared" si="498"/>
        <v>0</v>
      </c>
      <c r="P803" s="10" t="s">
        <v>84</v>
      </c>
      <c r="Q803" s="11" t="s">
        <v>1819</v>
      </c>
      <c r="R803" s="11" t="s">
        <v>1820</v>
      </c>
      <c r="S803" s="16" t="s">
        <v>1821</v>
      </c>
      <c r="T803" s="19" t="str">
        <f>MONTH(B803)&amp;"-"&amp;YEAR(B803)</f>
        <v>1-2022</v>
      </c>
      <c r="U803" s="2">
        <f>YEAR(B803)</f>
        <v>2022</v>
      </c>
      <c r="V803" s="2" t="str">
        <f>IF(DAY(B803)&gt;15,MONTH(B803)&amp;"-C",MONTH(B803)&amp;"-N")</f>
        <v>1-C</v>
      </c>
      <c r="W803" s="21">
        <v>13.29</v>
      </c>
      <c r="X803" s="2" t="b">
        <f t="shared" si="499"/>
        <v>1</v>
      </c>
    </row>
    <row r="804" spans="2:24" x14ac:dyDescent="0.2">
      <c r="B804" s="17">
        <v>44580</v>
      </c>
      <c r="C804" s="10" t="s">
        <v>80</v>
      </c>
      <c r="D804" s="11">
        <v>163516</v>
      </c>
      <c r="E804" s="26">
        <v>61278</v>
      </c>
      <c r="F804" s="10" t="s">
        <v>26</v>
      </c>
      <c r="G804" s="10" t="s">
        <v>27</v>
      </c>
      <c r="H804" s="27" t="s">
        <v>28</v>
      </c>
      <c r="I804" s="12"/>
      <c r="J804" s="12"/>
      <c r="K804" s="13">
        <v>3600</v>
      </c>
      <c r="L804" s="21">
        <v>5.58</v>
      </c>
      <c r="M804" s="14" t="s">
        <v>14</v>
      </c>
      <c r="N804" s="13">
        <v>20088</v>
      </c>
      <c r="O804" s="15">
        <f t="shared" si="498"/>
        <v>0</v>
      </c>
      <c r="P804" s="10" t="s">
        <v>78</v>
      </c>
      <c r="Q804" s="11" t="s">
        <v>1795</v>
      </c>
      <c r="R804" s="11" t="s">
        <v>1796</v>
      </c>
      <c r="S804" s="16" t="s">
        <v>1797</v>
      </c>
      <c r="T804" s="19" t="str">
        <f>MONTH(B804)&amp;"-"&amp;YEAR(B804)</f>
        <v>1-2022</v>
      </c>
      <c r="U804" s="2">
        <f>YEAR(B804)</f>
        <v>2022</v>
      </c>
      <c r="V804" s="2" t="str">
        <f>IF(DAY(B804)&gt;15,MONTH(B804)&amp;"-C",MONTH(B804)&amp;"-N")</f>
        <v>1-C</v>
      </c>
      <c r="W804" s="21">
        <v>5.58</v>
      </c>
      <c r="X804" s="2" t="b">
        <f t="shared" si="499"/>
        <v>1</v>
      </c>
    </row>
    <row r="805" spans="2:24" x14ac:dyDescent="0.2">
      <c r="B805" s="17">
        <v>44581</v>
      </c>
      <c r="C805" s="10" t="s">
        <v>80</v>
      </c>
      <c r="D805" s="11">
        <v>163516</v>
      </c>
      <c r="E805" s="26">
        <v>61293</v>
      </c>
      <c r="F805" s="10" t="s">
        <v>26</v>
      </c>
      <c r="G805" s="10" t="s">
        <v>27</v>
      </c>
      <c r="H805" s="27" t="s">
        <v>28</v>
      </c>
      <c r="I805" s="12"/>
      <c r="J805" s="12"/>
      <c r="K805" s="13">
        <v>5400</v>
      </c>
      <c r="L805" s="21">
        <v>5.58</v>
      </c>
      <c r="M805" s="14" t="s">
        <v>14</v>
      </c>
      <c r="N805" s="13">
        <v>30132</v>
      </c>
      <c r="O805" s="15">
        <f t="shared" ref="O805:O809" si="500">(N805/K805)-L805</f>
        <v>0</v>
      </c>
      <c r="P805" s="10" t="s">
        <v>78</v>
      </c>
      <c r="Q805" s="11" t="s">
        <v>1789</v>
      </c>
      <c r="R805" s="11" t="s">
        <v>1790</v>
      </c>
      <c r="S805" s="16" t="s">
        <v>1791</v>
      </c>
      <c r="T805" s="19" t="str">
        <f>MONTH(B805)&amp;"-"&amp;YEAR(B805)</f>
        <v>1-2022</v>
      </c>
      <c r="U805" s="2">
        <f>YEAR(B805)</f>
        <v>2022</v>
      </c>
      <c r="V805" s="2" t="str">
        <f>IF(DAY(B805)&gt;15,MONTH(B805)&amp;"-C",MONTH(B805)&amp;"-N")</f>
        <v>1-C</v>
      </c>
      <c r="W805" s="21">
        <v>5.58</v>
      </c>
      <c r="X805" s="2" t="b">
        <f t="shared" ref="X805:X809" si="501">+L805=W805</f>
        <v>1</v>
      </c>
    </row>
    <row r="806" spans="2:24" x14ac:dyDescent="0.2">
      <c r="B806" s="17">
        <v>44581</v>
      </c>
      <c r="C806" s="10" t="s">
        <v>80</v>
      </c>
      <c r="D806" s="11">
        <v>163516</v>
      </c>
      <c r="E806" s="26">
        <v>61297</v>
      </c>
      <c r="F806" s="10" t="s">
        <v>26</v>
      </c>
      <c r="G806" s="10" t="s">
        <v>27</v>
      </c>
      <c r="H806" s="27" t="s">
        <v>28</v>
      </c>
      <c r="I806" s="12"/>
      <c r="J806" s="12"/>
      <c r="K806" s="13">
        <v>7200</v>
      </c>
      <c r="L806" s="21">
        <v>5.58</v>
      </c>
      <c r="M806" s="14" t="s">
        <v>14</v>
      </c>
      <c r="N806" s="13">
        <v>40176</v>
      </c>
      <c r="O806" s="15">
        <f t="shared" si="500"/>
        <v>0</v>
      </c>
      <c r="P806" s="10" t="s">
        <v>78</v>
      </c>
      <c r="Q806" s="11" t="s">
        <v>1792</v>
      </c>
      <c r="R806" s="11" t="s">
        <v>1793</v>
      </c>
      <c r="S806" s="16" t="s">
        <v>1794</v>
      </c>
      <c r="T806" s="19" t="str">
        <f>MONTH(B806)&amp;"-"&amp;YEAR(B806)</f>
        <v>1-2022</v>
      </c>
      <c r="U806" s="2">
        <f>YEAR(B806)</f>
        <v>2022</v>
      </c>
      <c r="V806" s="2" t="str">
        <f>IF(DAY(B806)&gt;15,MONTH(B806)&amp;"-C",MONTH(B806)&amp;"-N")</f>
        <v>1-C</v>
      </c>
      <c r="W806" s="21">
        <v>5.58</v>
      </c>
      <c r="X806" s="2" t="b">
        <f t="shared" si="501"/>
        <v>1</v>
      </c>
    </row>
    <row r="807" spans="2:24" x14ac:dyDescent="0.2">
      <c r="B807" s="17">
        <v>44581</v>
      </c>
      <c r="C807" s="10" t="s">
        <v>80</v>
      </c>
      <c r="D807" s="11">
        <v>163516</v>
      </c>
      <c r="E807" s="26">
        <v>61284</v>
      </c>
      <c r="F807" s="10" t="s">
        <v>26</v>
      </c>
      <c r="G807" s="10" t="s">
        <v>27</v>
      </c>
      <c r="H807" s="27" t="s">
        <v>28</v>
      </c>
      <c r="I807" s="12"/>
      <c r="J807" s="12"/>
      <c r="K807" s="13">
        <v>3600</v>
      </c>
      <c r="L807" s="21">
        <v>5.58</v>
      </c>
      <c r="M807" s="14" t="s">
        <v>14</v>
      </c>
      <c r="N807" s="13">
        <v>20088</v>
      </c>
      <c r="O807" s="15">
        <f t="shared" si="500"/>
        <v>0</v>
      </c>
      <c r="P807" s="10" t="s">
        <v>78</v>
      </c>
      <c r="Q807" s="11" t="s">
        <v>1798</v>
      </c>
      <c r="R807" s="11" t="s">
        <v>1799</v>
      </c>
      <c r="S807" s="16" t="s">
        <v>1800</v>
      </c>
      <c r="T807" s="19" t="str">
        <f>MONTH(B807)&amp;"-"&amp;YEAR(B807)</f>
        <v>1-2022</v>
      </c>
      <c r="U807" s="2">
        <f>YEAR(B807)</f>
        <v>2022</v>
      </c>
      <c r="V807" s="2" t="str">
        <f>IF(DAY(B807)&gt;15,MONTH(B807)&amp;"-C",MONTH(B807)&amp;"-N")</f>
        <v>1-C</v>
      </c>
      <c r="W807" s="21">
        <v>5.58</v>
      </c>
      <c r="X807" s="2" t="b">
        <f t="shared" si="501"/>
        <v>1</v>
      </c>
    </row>
    <row r="808" spans="2:24" x14ac:dyDescent="0.2">
      <c r="B808" s="17">
        <v>44581</v>
      </c>
      <c r="C808" s="10" t="s">
        <v>107</v>
      </c>
      <c r="D808" s="11">
        <v>163582</v>
      </c>
      <c r="E808" s="26">
        <v>61296</v>
      </c>
      <c r="F808" s="10" t="s">
        <v>103</v>
      </c>
      <c r="G808" s="10" t="s">
        <v>46</v>
      </c>
      <c r="H808" s="27" t="s">
        <v>104</v>
      </c>
      <c r="I808" s="12">
        <v>0</v>
      </c>
      <c r="J808" s="12">
        <v>0</v>
      </c>
      <c r="K808" s="13">
        <v>240</v>
      </c>
      <c r="L808" s="21">
        <v>40.18</v>
      </c>
      <c r="M808" s="14" t="s">
        <v>14</v>
      </c>
      <c r="N808" s="13">
        <v>9643.2000000000007</v>
      </c>
      <c r="O808" s="15">
        <f t="shared" si="500"/>
        <v>0</v>
      </c>
      <c r="P808" s="10" t="s">
        <v>84</v>
      </c>
      <c r="Q808" s="11" t="s">
        <v>1825</v>
      </c>
      <c r="R808" s="11" t="s">
        <v>1826</v>
      </c>
      <c r="S808" s="16" t="s">
        <v>1827</v>
      </c>
      <c r="T808" s="19" t="str">
        <f>MONTH(B808)&amp;"-"&amp;YEAR(B808)</f>
        <v>1-2022</v>
      </c>
      <c r="U808" s="2">
        <f>YEAR(B808)</f>
        <v>2022</v>
      </c>
      <c r="V808" s="2" t="str">
        <f>IF(DAY(B808)&gt;15,MONTH(B808)&amp;"-C",MONTH(B808)&amp;"-N")</f>
        <v>1-C</v>
      </c>
      <c r="W808" s="21">
        <v>40.18</v>
      </c>
      <c r="X808" s="2" t="b">
        <f t="shared" si="501"/>
        <v>1</v>
      </c>
    </row>
    <row r="809" spans="2:24" x14ac:dyDescent="0.2">
      <c r="B809" s="17">
        <v>44581</v>
      </c>
      <c r="C809" s="10" t="s">
        <v>107</v>
      </c>
      <c r="D809" s="11">
        <v>163582</v>
      </c>
      <c r="E809" s="26">
        <v>61296</v>
      </c>
      <c r="F809" s="10" t="s">
        <v>105</v>
      </c>
      <c r="G809" s="10" t="s">
        <v>46</v>
      </c>
      <c r="H809" s="27" t="s">
        <v>106</v>
      </c>
      <c r="I809" s="12">
        <v>0</v>
      </c>
      <c r="J809" s="12">
        <v>0</v>
      </c>
      <c r="K809" s="13">
        <v>5940</v>
      </c>
      <c r="L809" s="21">
        <v>13.29</v>
      </c>
      <c r="M809" s="14" t="s">
        <v>14</v>
      </c>
      <c r="N809" s="13">
        <v>78942.600000000006</v>
      </c>
      <c r="O809" s="15">
        <f t="shared" si="500"/>
        <v>0</v>
      </c>
      <c r="P809" s="10" t="s">
        <v>84</v>
      </c>
      <c r="Q809" s="11" t="s">
        <v>1825</v>
      </c>
      <c r="R809" s="11" t="s">
        <v>1826</v>
      </c>
      <c r="S809" s="16" t="s">
        <v>1827</v>
      </c>
      <c r="T809" s="19" t="str">
        <f>MONTH(B809)&amp;"-"&amp;YEAR(B809)</f>
        <v>1-2022</v>
      </c>
      <c r="U809" s="2">
        <f>YEAR(B809)</f>
        <v>2022</v>
      </c>
      <c r="V809" s="2" t="str">
        <f>IF(DAY(B809)&gt;15,MONTH(B809)&amp;"-C",MONTH(B809)&amp;"-N")</f>
        <v>1-C</v>
      </c>
      <c r="W809" s="21">
        <v>13.29</v>
      </c>
      <c r="X809" s="2" t="b">
        <f t="shared" si="501"/>
        <v>1</v>
      </c>
    </row>
    <row r="810" spans="2:24" x14ac:dyDescent="0.2">
      <c r="B810" s="17">
        <v>44586</v>
      </c>
      <c r="C810" s="10" t="s">
        <v>25</v>
      </c>
      <c r="D810" s="11">
        <v>163300</v>
      </c>
      <c r="E810" s="26">
        <v>61355</v>
      </c>
      <c r="F810" s="10" t="s">
        <v>26</v>
      </c>
      <c r="G810" s="10" t="s">
        <v>27</v>
      </c>
      <c r="H810" s="27" t="s">
        <v>28</v>
      </c>
      <c r="I810" s="12"/>
      <c r="J810" s="12"/>
      <c r="K810" s="13">
        <v>19800</v>
      </c>
      <c r="L810" s="21">
        <v>5.48</v>
      </c>
      <c r="M810" s="14" t="s">
        <v>14</v>
      </c>
      <c r="N810" s="13">
        <v>108504</v>
      </c>
      <c r="O810" s="15">
        <f t="shared" ref="O810:O812" si="502">(N810/K810)-L810</f>
        <v>0</v>
      </c>
      <c r="P810" s="10" t="s">
        <v>78</v>
      </c>
      <c r="Q810" s="11" t="s">
        <v>1786</v>
      </c>
      <c r="R810" s="11" t="s">
        <v>1787</v>
      </c>
      <c r="S810" s="16" t="s">
        <v>1788</v>
      </c>
      <c r="T810" s="19" t="str">
        <f>MONTH(B810)&amp;"-"&amp;YEAR(B810)</f>
        <v>1-2022</v>
      </c>
      <c r="U810" s="2">
        <f>YEAR(B810)</f>
        <v>2022</v>
      </c>
      <c r="V810" s="2" t="str">
        <f>IF(DAY(B810)&gt;15,MONTH(B810)&amp;"-C",MONTH(B810)&amp;"-N")</f>
        <v>1-C</v>
      </c>
      <c r="W810" s="21">
        <v>5.48</v>
      </c>
      <c r="X810" s="2" t="b">
        <f t="shared" ref="X810:X812" si="503">+L810=W810</f>
        <v>1</v>
      </c>
    </row>
    <row r="811" spans="2:24" x14ac:dyDescent="0.2">
      <c r="B811" s="17">
        <v>44586</v>
      </c>
      <c r="C811" s="10" t="s">
        <v>48</v>
      </c>
      <c r="D811" s="11">
        <v>160301</v>
      </c>
      <c r="E811" s="26">
        <v>61357</v>
      </c>
      <c r="F811" s="10" t="s">
        <v>135</v>
      </c>
      <c r="G811" s="10" t="s">
        <v>46</v>
      </c>
      <c r="H811" s="27" t="s">
        <v>136</v>
      </c>
      <c r="I811" s="12">
        <v>0</v>
      </c>
      <c r="J811" s="12">
        <v>0</v>
      </c>
      <c r="K811" s="13">
        <v>6400</v>
      </c>
      <c r="L811" s="21">
        <v>9.5850000000000009</v>
      </c>
      <c r="M811" s="14" t="s">
        <v>14</v>
      </c>
      <c r="N811" s="13">
        <v>61341.696000000004</v>
      </c>
      <c r="O811" s="15">
        <f t="shared" si="502"/>
        <v>-3.6000000000058208E-4</v>
      </c>
      <c r="P811" s="10" t="s">
        <v>90</v>
      </c>
      <c r="Q811" s="11" t="s">
        <v>1834</v>
      </c>
      <c r="R811" s="11" t="s">
        <v>1835</v>
      </c>
      <c r="S811" s="16" t="s">
        <v>1836</v>
      </c>
      <c r="T811" s="19" t="str">
        <f>MONTH(B811)&amp;"-"&amp;YEAR(B811)</f>
        <v>1-2022</v>
      </c>
      <c r="U811" s="2">
        <f>YEAR(B811)</f>
        <v>2022</v>
      </c>
      <c r="V811" s="2" t="str">
        <f>IF(DAY(B811)&gt;15,MONTH(B811)&amp;"-C",MONTH(B811)&amp;"-N")</f>
        <v>1-C</v>
      </c>
      <c r="W811" s="21">
        <v>9.5850000000000009</v>
      </c>
      <c r="X811" s="2" t="b">
        <f t="shared" si="503"/>
        <v>1</v>
      </c>
    </row>
    <row r="812" spans="2:24" x14ac:dyDescent="0.2">
      <c r="B812" s="17">
        <v>44586</v>
      </c>
      <c r="C812" s="10" t="s">
        <v>48</v>
      </c>
      <c r="D812" s="11" t="s">
        <v>1837</v>
      </c>
      <c r="E812" s="26">
        <v>61357</v>
      </c>
      <c r="F812" s="10" t="s">
        <v>71</v>
      </c>
      <c r="G812" s="10" t="s">
        <v>46</v>
      </c>
      <c r="H812" s="27" t="s">
        <v>72</v>
      </c>
      <c r="I812" s="12">
        <v>0</v>
      </c>
      <c r="J812" s="12">
        <v>0</v>
      </c>
      <c r="K812" s="13">
        <v>9600</v>
      </c>
      <c r="L812" s="21">
        <v>9.5850000000000009</v>
      </c>
      <c r="M812" s="14" t="s">
        <v>14</v>
      </c>
      <c r="N812" s="13">
        <v>92012.543999999994</v>
      </c>
      <c r="O812" s="15">
        <f t="shared" si="502"/>
        <v>-3.6000000000058208E-4</v>
      </c>
      <c r="P812" s="10" t="s">
        <v>90</v>
      </c>
      <c r="Q812" s="11" t="s">
        <v>1834</v>
      </c>
      <c r="R812" s="11" t="s">
        <v>1835</v>
      </c>
      <c r="S812" s="16" t="s">
        <v>1836</v>
      </c>
      <c r="T812" s="19" t="str">
        <f>MONTH(B812)&amp;"-"&amp;YEAR(B812)</f>
        <v>1-2022</v>
      </c>
      <c r="U812" s="2">
        <f>YEAR(B812)</f>
        <v>2022</v>
      </c>
      <c r="V812" s="2" t="str">
        <f>IF(DAY(B812)&gt;15,MONTH(B812)&amp;"-C",MONTH(B812)&amp;"-N")</f>
        <v>1-C</v>
      </c>
      <c r="W812" s="21">
        <v>9.5850000000000009</v>
      </c>
      <c r="X812" s="2" t="b">
        <f t="shared" si="503"/>
        <v>1</v>
      </c>
    </row>
    <row r="813" spans="2:24" x14ac:dyDescent="0.2">
      <c r="B813" s="17">
        <v>44594</v>
      </c>
      <c r="C813" s="10" t="s">
        <v>25</v>
      </c>
      <c r="D813" s="11">
        <v>163300</v>
      </c>
      <c r="E813" s="26">
        <v>61457</v>
      </c>
      <c r="F813" s="10" t="s">
        <v>26</v>
      </c>
      <c r="G813" s="10" t="s">
        <v>27</v>
      </c>
      <c r="H813" s="27" t="s">
        <v>28</v>
      </c>
      <c r="I813" s="12"/>
      <c r="J813" s="12"/>
      <c r="K813" s="13">
        <v>19800</v>
      </c>
      <c r="L813" s="21">
        <v>5.48</v>
      </c>
      <c r="M813" s="14" t="s">
        <v>14</v>
      </c>
      <c r="N813" s="13">
        <v>108504</v>
      </c>
      <c r="O813" s="15">
        <f t="shared" ref="O813:O814" si="504">(N813/K813)-L813</f>
        <v>0</v>
      </c>
      <c r="P813" s="10" t="s">
        <v>78</v>
      </c>
      <c r="Q813" s="11" t="s">
        <v>1856</v>
      </c>
      <c r="R813" s="11" t="s">
        <v>1857</v>
      </c>
      <c r="S813" s="16" t="s">
        <v>1858</v>
      </c>
      <c r="T813" s="19" t="str">
        <f>MONTH(B813)&amp;"-"&amp;YEAR(B813)</f>
        <v>2-2022</v>
      </c>
      <c r="U813" s="2">
        <f>YEAR(B813)</f>
        <v>2022</v>
      </c>
      <c r="V813" s="2" t="str">
        <f>IF(DAY(B813)&gt;15,MONTH(B813)&amp;"-C",MONTH(B813)&amp;"-N")</f>
        <v>2-N</v>
      </c>
      <c r="W813" s="21">
        <v>5.48</v>
      </c>
      <c r="X813" s="2" t="b">
        <f t="shared" ref="X813:X814" si="505">+L813=W813</f>
        <v>1</v>
      </c>
    </row>
    <row r="814" spans="2:24" x14ac:dyDescent="0.2">
      <c r="B814" s="17">
        <v>44597</v>
      </c>
      <c r="C814" s="10" t="s">
        <v>25</v>
      </c>
      <c r="D814" s="11">
        <v>163300</v>
      </c>
      <c r="E814" s="26">
        <v>61498</v>
      </c>
      <c r="F814" s="10" t="s">
        <v>26</v>
      </c>
      <c r="G814" s="10" t="s">
        <v>27</v>
      </c>
      <c r="H814" s="27" t="s">
        <v>28</v>
      </c>
      <c r="I814" s="12"/>
      <c r="J814" s="12"/>
      <c r="K814" s="13">
        <v>2700</v>
      </c>
      <c r="L814" s="21">
        <v>5.48</v>
      </c>
      <c r="M814" s="14" t="s">
        <v>14</v>
      </c>
      <c r="N814" s="13">
        <v>14796</v>
      </c>
      <c r="O814" s="15">
        <f t="shared" si="504"/>
        <v>0</v>
      </c>
      <c r="P814" s="10" t="s">
        <v>78</v>
      </c>
      <c r="Q814" s="11" t="s">
        <v>1862</v>
      </c>
      <c r="R814" s="11" t="s">
        <v>1863</v>
      </c>
      <c r="S814" s="16" t="s">
        <v>1864</v>
      </c>
      <c r="T814" s="19" t="str">
        <f>MONTH(B814)&amp;"-"&amp;YEAR(B814)</f>
        <v>2-2022</v>
      </c>
      <c r="U814" s="2">
        <f>YEAR(B814)</f>
        <v>2022</v>
      </c>
      <c r="V814" s="2" t="str">
        <f>IF(DAY(B814)&gt;15,MONTH(B814)&amp;"-C",MONTH(B814)&amp;"-N")</f>
        <v>2-N</v>
      </c>
      <c r="W814" s="21">
        <v>5.48</v>
      </c>
      <c r="X814" s="2" t="b">
        <f t="shared" si="505"/>
        <v>1</v>
      </c>
    </row>
    <row r="815" spans="2:24" x14ac:dyDescent="0.2">
      <c r="B815" s="17">
        <v>44602</v>
      </c>
      <c r="C815" s="10" t="s">
        <v>107</v>
      </c>
      <c r="D815" s="11">
        <v>163582</v>
      </c>
      <c r="E815" s="26">
        <v>61580</v>
      </c>
      <c r="F815" s="10" t="s">
        <v>103</v>
      </c>
      <c r="G815" s="10" t="s">
        <v>46</v>
      </c>
      <c r="H815" s="27" t="s">
        <v>104</v>
      </c>
      <c r="I815" s="12"/>
      <c r="J815" s="12"/>
      <c r="K815" s="13">
        <v>150</v>
      </c>
      <c r="L815" s="21">
        <v>40.18</v>
      </c>
      <c r="M815" s="14" t="s">
        <v>14</v>
      </c>
      <c r="N815" s="13">
        <v>6027</v>
      </c>
      <c r="O815" s="15">
        <f t="shared" ref="O815:O816" si="506">(N815/K815)-L815</f>
        <v>0</v>
      </c>
      <c r="P815" s="10" t="s">
        <v>84</v>
      </c>
      <c r="Q815" s="11" t="s">
        <v>1874</v>
      </c>
      <c r="R815" s="11" t="s">
        <v>1875</v>
      </c>
      <c r="S815" s="16" t="s">
        <v>1876</v>
      </c>
      <c r="T815" s="19" t="str">
        <f>MONTH(B815)&amp;"-"&amp;YEAR(B815)</f>
        <v>2-2022</v>
      </c>
      <c r="U815" s="2">
        <f>YEAR(B815)</f>
        <v>2022</v>
      </c>
      <c r="V815" s="2" t="str">
        <f>IF(DAY(B815)&gt;15,MONTH(B815)&amp;"-C",MONTH(B815)&amp;"-N")</f>
        <v>2-N</v>
      </c>
      <c r="W815" s="21">
        <v>40.18</v>
      </c>
      <c r="X815" s="2" t="b">
        <f t="shared" ref="X815:X816" si="507">+L815=W815</f>
        <v>1</v>
      </c>
    </row>
    <row r="816" spans="2:24" x14ac:dyDescent="0.2">
      <c r="B816" s="17">
        <v>44602</v>
      </c>
      <c r="C816" s="10" t="s">
        <v>107</v>
      </c>
      <c r="D816" s="11">
        <v>163582</v>
      </c>
      <c r="E816" s="26">
        <v>61580</v>
      </c>
      <c r="F816" s="10" t="s">
        <v>105</v>
      </c>
      <c r="G816" s="10" t="s">
        <v>46</v>
      </c>
      <c r="H816" s="27" t="s">
        <v>106</v>
      </c>
      <c r="I816" s="12"/>
      <c r="J816" s="12"/>
      <c r="K816" s="13">
        <v>4840</v>
      </c>
      <c r="L816" s="21">
        <v>13.29</v>
      </c>
      <c r="M816" s="14" t="s">
        <v>14</v>
      </c>
      <c r="N816" s="13">
        <v>64323.6</v>
      </c>
      <c r="O816" s="15">
        <f t="shared" si="506"/>
        <v>0</v>
      </c>
      <c r="P816" s="10" t="s">
        <v>84</v>
      </c>
      <c r="Q816" s="11" t="s">
        <v>1874</v>
      </c>
      <c r="R816" s="11" t="s">
        <v>1875</v>
      </c>
      <c r="S816" s="16" t="s">
        <v>1876</v>
      </c>
      <c r="T816" s="19" t="str">
        <f>MONTH(B816)&amp;"-"&amp;YEAR(B816)</f>
        <v>2-2022</v>
      </c>
      <c r="U816" s="2">
        <f>YEAR(B816)</f>
        <v>2022</v>
      </c>
      <c r="V816" s="2" t="str">
        <f>IF(DAY(B816)&gt;15,MONTH(B816)&amp;"-C",MONTH(B816)&amp;"-N")</f>
        <v>2-N</v>
      </c>
      <c r="W816" s="21">
        <v>13.29</v>
      </c>
      <c r="X816" s="2" t="b">
        <f t="shared" si="507"/>
        <v>1</v>
      </c>
    </row>
    <row r="817" spans="2:24" x14ac:dyDescent="0.2">
      <c r="B817" s="17">
        <v>44603</v>
      </c>
      <c r="C817" s="10" t="s">
        <v>25</v>
      </c>
      <c r="D817" s="11">
        <v>163756</v>
      </c>
      <c r="E817" s="26">
        <v>61603</v>
      </c>
      <c r="F817" s="10" t="s">
        <v>26</v>
      </c>
      <c r="G817" s="10" t="s">
        <v>27</v>
      </c>
      <c r="H817" s="27" t="s">
        <v>28</v>
      </c>
      <c r="I817" s="12"/>
      <c r="J817" s="12"/>
      <c r="K817" s="13">
        <v>19800</v>
      </c>
      <c r="L817" s="21">
        <v>5.25</v>
      </c>
      <c r="M817" s="14" t="s">
        <v>14</v>
      </c>
      <c r="N817" s="13">
        <v>103950</v>
      </c>
      <c r="O817" s="15">
        <f t="shared" ref="O817:O820" si="508">(N817/K817)-L817</f>
        <v>0</v>
      </c>
      <c r="P817" s="10" t="s">
        <v>78</v>
      </c>
      <c r="Q817" s="11" t="s">
        <v>1868</v>
      </c>
      <c r="R817" s="11" t="s">
        <v>1869</v>
      </c>
      <c r="S817" s="16" t="s">
        <v>1870</v>
      </c>
      <c r="T817" s="19" t="str">
        <f>MONTH(B817)&amp;"-"&amp;YEAR(B817)</f>
        <v>2-2022</v>
      </c>
      <c r="U817" s="2">
        <f>YEAR(B817)</f>
        <v>2022</v>
      </c>
      <c r="V817" s="2" t="str">
        <f>IF(DAY(B817)&gt;15,MONTH(B817)&amp;"-C",MONTH(B817)&amp;"-N")</f>
        <v>2-N</v>
      </c>
      <c r="W817" s="21">
        <v>5.25</v>
      </c>
      <c r="X817" s="2" t="b">
        <f t="shared" ref="X817:X820" si="509">+L817=W817</f>
        <v>1</v>
      </c>
    </row>
    <row r="818" spans="2:24" x14ac:dyDescent="0.2">
      <c r="B818" s="17">
        <v>44606</v>
      </c>
      <c r="C818" s="10" t="s">
        <v>82</v>
      </c>
      <c r="D818" s="11">
        <v>163518</v>
      </c>
      <c r="E818" s="26">
        <v>61548</v>
      </c>
      <c r="F818" s="10" t="s">
        <v>26</v>
      </c>
      <c r="G818" s="10" t="s">
        <v>27</v>
      </c>
      <c r="H818" s="27" t="s">
        <v>28</v>
      </c>
      <c r="I818" s="12"/>
      <c r="J818" s="12"/>
      <c r="K818" s="13">
        <v>3600</v>
      </c>
      <c r="L818" s="21">
        <v>5.48</v>
      </c>
      <c r="M818" s="14" t="s">
        <v>14</v>
      </c>
      <c r="N818" s="13">
        <v>19728</v>
      </c>
      <c r="O818" s="15">
        <f t="shared" si="508"/>
        <v>0</v>
      </c>
      <c r="P818" s="10" t="s">
        <v>78</v>
      </c>
      <c r="Q818" s="11" t="s">
        <v>1847</v>
      </c>
      <c r="R818" s="11" t="s">
        <v>1848</v>
      </c>
      <c r="S818" s="16" t="s">
        <v>1849</v>
      </c>
      <c r="T818" s="19" t="str">
        <f>MONTH(B818)&amp;"-"&amp;YEAR(B818)</f>
        <v>2-2022</v>
      </c>
      <c r="U818" s="2">
        <f>YEAR(B818)</f>
        <v>2022</v>
      </c>
      <c r="V818" s="2" t="str">
        <f>IF(DAY(B818)&gt;15,MONTH(B818)&amp;"-C",MONTH(B818)&amp;"-N")</f>
        <v>2-N</v>
      </c>
      <c r="W818" s="21">
        <v>5.48</v>
      </c>
      <c r="X818" s="2" t="b">
        <f t="shared" si="509"/>
        <v>1</v>
      </c>
    </row>
    <row r="819" spans="2:24" x14ac:dyDescent="0.2">
      <c r="B819" s="17">
        <v>44606</v>
      </c>
      <c r="C819" s="10" t="s">
        <v>82</v>
      </c>
      <c r="D819" s="11">
        <v>163518</v>
      </c>
      <c r="E819" s="26">
        <v>61563</v>
      </c>
      <c r="F819" s="10" t="s">
        <v>26</v>
      </c>
      <c r="G819" s="10" t="s">
        <v>27</v>
      </c>
      <c r="H819" s="27" t="s">
        <v>28</v>
      </c>
      <c r="I819" s="12"/>
      <c r="J819" s="12"/>
      <c r="K819" s="13">
        <v>3600</v>
      </c>
      <c r="L819" s="21">
        <v>5.48</v>
      </c>
      <c r="M819" s="14" t="s">
        <v>14</v>
      </c>
      <c r="N819" s="13">
        <v>19728</v>
      </c>
      <c r="O819" s="15">
        <f t="shared" si="508"/>
        <v>0</v>
      </c>
      <c r="P819" s="10" t="s">
        <v>78</v>
      </c>
      <c r="Q819" s="11" t="s">
        <v>1847</v>
      </c>
      <c r="R819" s="11" t="s">
        <v>1848</v>
      </c>
      <c r="S819" s="16" t="s">
        <v>1849</v>
      </c>
      <c r="T819" s="19" t="str">
        <f>MONTH(B819)&amp;"-"&amp;YEAR(B819)</f>
        <v>2-2022</v>
      </c>
      <c r="U819" s="2">
        <f>YEAR(B819)</f>
        <v>2022</v>
      </c>
      <c r="V819" s="2" t="str">
        <f>IF(DAY(B819)&gt;15,MONTH(B819)&amp;"-C",MONTH(B819)&amp;"-N")</f>
        <v>2-N</v>
      </c>
      <c r="W819" s="21">
        <v>5.48</v>
      </c>
      <c r="X819" s="2" t="b">
        <f t="shared" si="509"/>
        <v>1</v>
      </c>
    </row>
    <row r="820" spans="2:24" x14ac:dyDescent="0.2">
      <c r="B820" s="17">
        <v>44606</v>
      </c>
      <c r="C820" s="10" t="s">
        <v>82</v>
      </c>
      <c r="D820" s="11">
        <v>163518</v>
      </c>
      <c r="E820" s="26">
        <v>61578</v>
      </c>
      <c r="F820" s="10" t="s">
        <v>26</v>
      </c>
      <c r="G820" s="10" t="s">
        <v>27</v>
      </c>
      <c r="H820" s="27" t="s">
        <v>28</v>
      </c>
      <c r="I820" s="12"/>
      <c r="J820" s="12"/>
      <c r="K820" s="13">
        <v>7200</v>
      </c>
      <c r="L820" s="21">
        <v>5.48</v>
      </c>
      <c r="M820" s="14" t="s">
        <v>14</v>
      </c>
      <c r="N820" s="13">
        <v>39456</v>
      </c>
      <c r="O820" s="15">
        <f t="shared" si="508"/>
        <v>0</v>
      </c>
      <c r="P820" s="10" t="s">
        <v>78</v>
      </c>
      <c r="Q820" s="11" t="s">
        <v>1847</v>
      </c>
      <c r="R820" s="11" t="s">
        <v>1848</v>
      </c>
      <c r="S820" s="16" t="s">
        <v>1849</v>
      </c>
      <c r="T820" s="19" t="str">
        <f>MONTH(B820)&amp;"-"&amp;YEAR(B820)</f>
        <v>2-2022</v>
      </c>
      <c r="U820" s="2">
        <f>YEAR(B820)</f>
        <v>2022</v>
      </c>
      <c r="V820" s="2" t="str">
        <f>IF(DAY(B820)&gt;15,MONTH(B820)&amp;"-C",MONTH(B820)&amp;"-N")</f>
        <v>2-N</v>
      </c>
      <c r="W820" s="21">
        <v>5.48</v>
      </c>
      <c r="X820" s="2" t="b">
        <f t="shared" si="509"/>
        <v>1</v>
      </c>
    </row>
    <row r="821" spans="2:24" x14ac:dyDescent="0.2">
      <c r="B821" s="17">
        <v>44606</v>
      </c>
      <c r="C821" s="10" t="s">
        <v>82</v>
      </c>
      <c r="D821" s="11">
        <v>163518</v>
      </c>
      <c r="E821" s="26">
        <v>61641</v>
      </c>
      <c r="F821" s="10" t="s">
        <v>26</v>
      </c>
      <c r="G821" s="10" t="s">
        <v>27</v>
      </c>
      <c r="H821" s="27" t="s">
        <v>28</v>
      </c>
      <c r="I821" s="12"/>
      <c r="J821" s="12"/>
      <c r="K821" s="13">
        <v>5400</v>
      </c>
      <c r="L821" s="21">
        <v>5.48</v>
      </c>
      <c r="M821" s="14" t="s">
        <v>14</v>
      </c>
      <c r="N821" s="13">
        <v>29592</v>
      </c>
      <c r="O821" s="15">
        <f t="shared" ref="O821:O823" si="510">(N821/K821)-L821</f>
        <v>0</v>
      </c>
      <c r="P821" s="10" t="s">
        <v>78</v>
      </c>
      <c r="Q821" s="11" t="s">
        <v>1847</v>
      </c>
      <c r="R821" s="11" t="s">
        <v>1848</v>
      </c>
      <c r="S821" s="16" t="s">
        <v>1849</v>
      </c>
      <c r="T821" s="19" t="str">
        <f>MONTH(B821)&amp;"-"&amp;YEAR(B821)</f>
        <v>2-2022</v>
      </c>
      <c r="U821" s="2">
        <f>YEAR(B821)</f>
        <v>2022</v>
      </c>
      <c r="V821" s="2" t="str">
        <f>IF(DAY(B821)&gt;15,MONTH(B821)&amp;"-C",MONTH(B821)&amp;"-N")</f>
        <v>2-N</v>
      </c>
      <c r="W821" s="21">
        <v>5.48</v>
      </c>
      <c r="X821" s="2" t="b">
        <f t="shared" ref="X821:X823" si="511">+L821=W821</f>
        <v>1</v>
      </c>
    </row>
    <row r="822" spans="2:24" x14ac:dyDescent="0.2">
      <c r="B822" s="17">
        <v>44607</v>
      </c>
      <c r="C822" s="10" t="s">
        <v>25</v>
      </c>
      <c r="D822" s="11">
        <v>163807</v>
      </c>
      <c r="E822" s="26">
        <v>61668</v>
      </c>
      <c r="F822" s="10" t="s">
        <v>33</v>
      </c>
      <c r="G822" s="10" t="s">
        <v>27</v>
      </c>
      <c r="H822" s="27" t="s">
        <v>34</v>
      </c>
      <c r="I822" s="12"/>
      <c r="J822" s="12"/>
      <c r="K822" s="13">
        <v>1080</v>
      </c>
      <c r="L822" s="21">
        <v>7.9</v>
      </c>
      <c r="M822" s="14" t="s">
        <v>14</v>
      </c>
      <c r="N822" s="13">
        <v>8532</v>
      </c>
      <c r="O822" s="15">
        <f t="shared" si="510"/>
        <v>0</v>
      </c>
      <c r="P822" s="10" t="s">
        <v>78</v>
      </c>
      <c r="Q822" s="11" t="s">
        <v>1859</v>
      </c>
      <c r="R822" s="11" t="s">
        <v>1860</v>
      </c>
      <c r="S822" s="16" t="s">
        <v>1861</v>
      </c>
      <c r="T822" s="19" t="str">
        <f>MONTH(B822)&amp;"-"&amp;YEAR(B822)</f>
        <v>2-2022</v>
      </c>
      <c r="U822" s="2">
        <f>YEAR(B822)</f>
        <v>2022</v>
      </c>
      <c r="V822" s="2" t="str">
        <f>IF(DAY(B822)&gt;15,MONTH(B822)&amp;"-C",MONTH(B822)&amp;"-N")</f>
        <v>2-N</v>
      </c>
      <c r="W822" s="21">
        <v>7.9</v>
      </c>
      <c r="X822" s="2" t="b">
        <f t="shared" si="511"/>
        <v>1</v>
      </c>
    </row>
    <row r="823" spans="2:24" x14ac:dyDescent="0.2">
      <c r="B823" s="17">
        <v>44607</v>
      </c>
      <c r="C823" s="10" t="s">
        <v>25</v>
      </c>
      <c r="D823" s="11">
        <v>163859</v>
      </c>
      <c r="E823" s="26">
        <v>61667</v>
      </c>
      <c r="F823" s="10" t="s">
        <v>29</v>
      </c>
      <c r="G823" s="10" t="s">
        <v>27</v>
      </c>
      <c r="H823" s="27" t="s">
        <v>30</v>
      </c>
      <c r="I823" s="12"/>
      <c r="J823" s="12"/>
      <c r="K823" s="13">
        <v>990</v>
      </c>
      <c r="L823" s="21">
        <v>5</v>
      </c>
      <c r="M823" s="14" t="s">
        <v>14</v>
      </c>
      <c r="N823" s="13">
        <v>4950</v>
      </c>
      <c r="O823" s="15">
        <f t="shared" si="510"/>
        <v>0</v>
      </c>
      <c r="P823" s="10" t="s">
        <v>78</v>
      </c>
      <c r="Q823" s="11" t="s">
        <v>1865</v>
      </c>
      <c r="R823" s="11" t="s">
        <v>1866</v>
      </c>
      <c r="S823" s="16" t="s">
        <v>1867</v>
      </c>
      <c r="T823" s="19" t="str">
        <f>MONTH(B823)&amp;"-"&amp;YEAR(B823)</f>
        <v>2-2022</v>
      </c>
      <c r="U823" s="2">
        <f>YEAR(B823)</f>
        <v>2022</v>
      </c>
      <c r="V823" s="2" t="str">
        <f>IF(DAY(B823)&gt;15,MONTH(B823)&amp;"-C",MONTH(B823)&amp;"-N")</f>
        <v>2-N</v>
      </c>
      <c r="W823" s="21">
        <v>5</v>
      </c>
      <c r="X823" s="2" t="b">
        <f t="shared" si="511"/>
        <v>1</v>
      </c>
    </row>
    <row r="824" spans="2:24" x14ac:dyDescent="0.2">
      <c r="B824" s="17">
        <v>44609</v>
      </c>
      <c r="C824" s="10" t="s">
        <v>73</v>
      </c>
      <c r="D824" s="11">
        <v>163818</v>
      </c>
      <c r="E824" s="26">
        <v>61700</v>
      </c>
      <c r="F824" s="10" t="s">
        <v>399</v>
      </c>
      <c r="G824" s="10" t="s">
        <v>46</v>
      </c>
      <c r="H824" s="27" t="s">
        <v>149</v>
      </c>
      <c r="I824" s="12"/>
      <c r="J824" s="12"/>
      <c r="K824" s="13">
        <v>1440</v>
      </c>
      <c r="L824" s="21">
        <v>16.8</v>
      </c>
      <c r="M824" s="14" t="s">
        <v>14</v>
      </c>
      <c r="N824" s="13">
        <v>24192</v>
      </c>
      <c r="O824" s="15">
        <f t="shared" ref="O824" si="512">(N824/K824)-L824</f>
        <v>0</v>
      </c>
      <c r="P824" s="10" t="s">
        <v>84</v>
      </c>
      <c r="Q824" s="11" t="s">
        <v>1844</v>
      </c>
      <c r="R824" s="11" t="s">
        <v>1845</v>
      </c>
      <c r="S824" s="16" t="s">
        <v>1846</v>
      </c>
      <c r="T824" s="19" t="str">
        <f>MONTH(B824)&amp;"-"&amp;YEAR(B824)</f>
        <v>2-2022</v>
      </c>
      <c r="U824" s="2">
        <f>YEAR(B824)</f>
        <v>2022</v>
      </c>
      <c r="V824" s="2" t="str">
        <f>IF(DAY(B824)&gt;15,MONTH(B824)&amp;"-C",MONTH(B824)&amp;"-N")</f>
        <v>2-C</v>
      </c>
      <c r="W824" s="21">
        <v>16.8</v>
      </c>
      <c r="X824" s="2" t="b">
        <f t="shared" ref="X824" si="513">+L824=W824</f>
        <v>1</v>
      </c>
    </row>
    <row r="825" spans="2:24" x14ac:dyDescent="0.2">
      <c r="B825" s="17">
        <v>44610</v>
      </c>
      <c r="C825" s="10" t="s">
        <v>107</v>
      </c>
      <c r="D825" s="11">
        <v>163315</v>
      </c>
      <c r="E825" s="26">
        <v>61733</v>
      </c>
      <c r="F825" s="10" t="s">
        <v>142</v>
      </c>
      <c r="G825" s="10" t="s">
        <v>46</v>
      </c>
      <c r="H825" s="27" t="s">
        <v>143</v>
      </c>
      <c r="I825" s="12"/>
      <c r="J825" s="12"/>
      <c r="K825" s="13">
        <v>880</v>
      </c>
      <c r="L825" s="21">
        <v>8.6</v>
      </c>
      <c r="M825" s="14" t="s">
        <v>14</v>
      </c>
      <c r="N825" s="13">
        <v>7568</v>
      </c>
      <c r="O825" s="15">
        <f t="shared" ref="O825:O834" si="514">(N825/K825)-L825</f>
        <v>0</v>
      </c>
      <c r="P825" s="10" t="s">
        <v>84</v>
      </c>
      <c r="Q825" s="11" t="s">
        <v>1877</v>
      </c>
      <c r="R825" s="11" t="s">
        <v>1878</v>
      </c>
      <c r="S825" s="16" t="s">
        <v>1879</v>
      </c>
      <c r="T825" s="19" t="str">
        <f>MONTH(B825)&amp;"-"&amp;YEAR(B825)</f>
        <v>2-2022</v>
      </c>
      <c r="U825" s="2">
        <f>YEAR(B825)</f>
        <v>2022</v>
      </c>
      <c r="V825" s="2" t="str">
        <f>IF(DAY(B825)&gt;15,MONTH(B825)&amp;"-C",MONTH(B825)&amp;"-N")</f>
        <v>2-C</v>
      </c>
      <c r="W825" s="21">
        <v>8.6</v>
      </c>
      <c r="X825" s="2" t="b">
        <f t="shared" ref="X825:X834" si="515">+L825=W825</f>
        <v>1</v>
      </c>
    </row>
    <row r="826" spans="2:24" x14ac:dyDescent="0.2">
      <c r="B826" s="17">
        <v>44610</v>
      </c>
      <c r="C826" s="10" t="s">
        <v>107</v>
      </c>
      <c r="D826" s="11">
        <v>163315</v>
      </c>
      <c r="E826" s="26">
        <v>61733</v>
      </c>
      <c r="F826" s="10" t="s">
        <v>144</v>
      </c>
      <c r="G826" s="10" t="s">
        <v>46</v>
      </c>
      <c r="H826" s="27" t="s">
        <v>145</v>
      </c>
      <c r="I826" s="12"/>
      <c r="J826" s="12"/>
      <c r="K826" s="13">
        <v>200</v>
      </c>
      <c r="L826" s="21">
        <v>23</v>
      </c>
      <c r="M826" s="14" t="s">
        <v>14</v>
      </c>
      <c r="N826" s="13">
        <v>4600</v>
      </c>
      <c r="O826" s="15">
        <f t="shared" si="514"/>
        <v>0</v>
      </c>
      <c r="P826" s="10" t="s">
        <v>84</v>
      </c>
      <c r="Q826" s="11" t="s">
        <v>1877</v>
      </c>
      <c r="R826" s="11" t="s">
        <v>1878</v>
      </c>
      <c r="S826" s="16" t="s">
        <v>1879</v>
      </c>
      <c r="T826" s="19" t="str">
        <f>MONTH(B826)&amp;"-"&amp;YEAR(B826)</f>
        <v>2-2022</v>
      </c>
      <c r="U826" s="2">
        <f>YEAR(B826)</f>
        <v>2022</v>
      </c>
      <c r="V826" s="2" t="str">
        <f>IF(DAY(B826)&gt;15,MONTH(B826)&amp;"-C",MONTH(B826)&amp;"-N")</f>
        <v>2-C</v>
      </c>
      <c r="W826" s="21">
        <v>23</v>
      </c>
      <c r="X826" s="2" t="b">
        <f t="shared" si="515"/>
        <v>1</v>
      </c>
    </row>
    <row r="827" spans="2:24" x14ac:dyDescent="0.2">
      <c r="B827" s="17">
        <v>44610</v>
      </c>
      <c r="C827" s="10" t="s">
        <v>107</v>
      </c>
      <c r="D827" s="11">
        <v>163582</v>
      </c>
      <c r="E827" s="26">
        <v>61733</v>
      </c>
      <c r="F827" s="10" t="s">
        <v>103</v>
      </c>
      <c r="G827" s="10" t="s">
        <v>46</v>
      </c>
      <c r="H827" s="27" t="s">
        <v>104</v>
      </c>
      <c r="I827" s="12"/>
      <c r="J827" s="12"/>
      <c r="K827" s="13">
        <v>50</v>
      </c>
      <c r="L827" s="21">
        <v>40.18</v>
      </c>
      <c r="M827" s="14" t="s">
        <v>14</v>
      </c>
      <c r="N827" s="13">
        <v>2009</v>
      </c>
      <c r="O827" s="15">
        <f t="shared" si="514"/>
        <v>0</v>
      </c>
      <c r="P827" s="10" t="s">
        <v>84</v>
      </c>
      <c r="Q827" s="11" t="s">
        <v>1877</v>
      </c>
      <c r="R827" s="11" t="s">
        <v>1878</v>
      </c>
      <c r="S827" s="16" t="s">
        <v>1879</v>
      </c>
      <c r="T827" s="19" t="str">
        <f>MONTH(B827)&amp;"-"&amp;YEAR(B827)</f>
        <v>2-2022</v>
      </c>
      <c r="U827" s="2">
        <f>YEAR(B827)</f>
        <v>2022</v>
      </c>
      <c r="V827" s="2" t="str">
        <f>IF(DAY(B827)&gt;15,MONTH(B827)&amp;"-C",MONTH(B827)&amp;"-N")</f>
        <v>2-C</v>
      </c>
      <c r="W827" s="21">
        <v>40.18</v>
      </c>
      <c r="X827" s="2" t="b">
        <f t="shared" si="515"/>
        <v>1</v>
      </c>
    </row>
    <row r="828" spans="2:24" x14ac:dyDescent="0.2">
      <c r="B828" s="17">
        <v>44610</v>
      </c>
      <c r="C828" s="10" t="s">
        <v>107</v>
      </c>
      <c r="D828" s="11">
        <v>163940</v>
      </c>
      <c r="E828" s="26">
        <v>61733</v>
      </c>
      <c r="F828" s="10" t="s">
        <v>103</v>
      </c>
      <c r="G828" s="10" t="s">
        <v>46</v>
      </c>
      <c r="H828" s="27" t="s">
        <v>104</v>
      </c>
      <c r="I828" s="12"/>
      <c r="J828" s="12"/>
      <c r="K828" s="13">
        <v>75</v>
      </c>
      <c r="L828" s="21">
        <v>40.18</v>
      </c>
      <c r="M828" s="14" t="s">
        <v>14</v>
      </c>
      <c r="N828" s="13">
        <v>3013.5</v>
      </c>
      <c r="O828" s="15">
        <f t="shared" si="514"/>
        <v>0</v>
      </c>
      <c r="P828" s="10" t="s">
        <v>84</v>
      </c>
      <c r="Q828" s="11" t="s">
        <v>1877</v>
      </c>
      <c r="R828" s="11" t="s">
        <v>1878</v>
      </c>
      <c r="S828" s="16" t="s">
        <v>1879</v>
      </c>
      <c r="T828" s="19" t="str">
        <f>MONTH(B828)&amp;"-"&amp;YEAR(B828)</f>
        <v>2-2022</v>
      </c>
      <c r="U828" s="2">
        <f>YEAR(B828)</f>
        <v>2022</v>
      </c>
      <c r="V828" s="2" t="str">
        <f>IF(DAY(B828)&gt;15,MONTH(B828)&amp;"-C",MONTH(B828)&amp;"-N")</f>
        <v>2-C</v>
      </c>
      <c r="W828" s="21">
        <v>40.18</v>
      </c>
      <c r="X828" s="2" t="b">
        <f t="shared" si="515"/>
        <v>1</v>
      </c>
    </row>
    <row r="829" spans="2:24" x14ac:dyDescent="0.2">
      <c r="B829" s="17">
        <v>44610</v>
      </c>
      <c r="C829" s="10" t="s">
        <v>107</v>
      </c>
      <c r="D829" s="11">
        <v>163582</v>
      </c>
      <c r="E829" s="26">
        <v>61733</v>
      </c>
      <c r="F829" s="10" t="s">
        <v>105</v>
      </c>
      <c r="G829" s="10" t="s">
        <v>46</v>
      </c>
      <c r="H829" s="27" t="s">
        <v>106</v>
      </c>
      <c r="I829" s="12"/>
      <c r="J829" s="12"/>
      <c r="K829" s="13">
        <v>3740</v>
      </c>
      <c r="L829" s="21">
        <v>13.29</v>
      </c>
      <c r="M829" s="14" t="s">
        <v>14</v>
      </c>
      <c r="N829" s="13">
        <v>49704.6</v>
      </c>
      <c r="O829" s="15">
        <f t="shared" si="514"/>
        <v>0</v>
      </c>
      <c r="P829" s="10" t="s">
        <v>84</v>
      </c>
      <c r="Q829" s="11" t="s">
        <v>1877</v>
      </c>
      <c r="R829" s="11" t="s">
        <v>1878</v>
      </c>
      <c r="S829" s="16" t="s">
        <v>1879</v>
      </c>
      <c r="T829" s="19" t="str">
        <f>MONTH(B829)&amp;"-"&amp;YEAR(B829)</f>
        <v>2-2022</v>
      </c>
      <c r="U829" s="2">
        <f>YEAR(B829)</f>
        <v>2022</v>
      </c>
      <c r="V829" s="2" t="str">
        <f>IF(DAY(B829)&gt;15,MONTH(B829)&amp;"-C",MONTH(B829)&amp;"-N")</f>
        <v>2-C</v>
      </c>
      <c r="W829" s="21">
        <v>13.29</v>
      </c>
      <c r="X829" s="2" t="b">
        <f t="shared" si="515"/>
        <v>1</v>
      </c>
    </row>
    <row r="830" spans="2:24" x14ac:dyDescent="0.2">
      <c r="B830" s="17">
        <v>44610</v>
      </c>
      <c r="C830" s="10" t="s">
        <v>108</v>
      </c>
      <c r="D830" s="11">
        <v>163067</v>
      </c>
      <c r="E830" s="26">
        <v>61732</v>
      </c>
      <c r="F830" s="10" t="s">
        <v>127</v>
      </c>
      <c r="G830" s="10" t="s">
        <v>46</v>
      </c>
      <c r="H830" s="27" t="s">
        <v>128</v>
      </c>
      <c r="I830" s="12"/>
      <c r="J830" s="12"/>
      <c r="K830" s="13">
        <v>368</v>
      </c>
      <c r="L830" s="21">
        <v>13.22</v>
      </c>
      <c r="M830" s="14" t="s">
        <v>14</v>
      </c>
      <c r="N830" s="13">
        <v>4864.96</v>
      </c>
      <c r="O830" s="15">
        <f t="shared" si="514"/>
        <v>0</v>
      </c>
      <c r="P830" s="10" t="s">
        <v>84</v>
      </c>
      <c r="Q830" s="11" t="s">
        <v>1881</v>
      </c>
      <c r="R830" s="11" t="s">
        <v>1880</v>
      </c>
      <c r="S830" s="16" t="s">
        <v>1880</v>
      </c>
      <c r="T830" s="19" t="str">
        <f>MONTH(B830)&amp;"-"&amp;YEAR(B830)</f>
        <v>2-2022</v>
      </c>
      <c r="U830" s="2">
        <f>YEAR(B830)</f>
        <v>2022</v>
      </c>
      <c r="V830" s="2" t="str">
        <f>IF(DAY(B830)&gt;15,MONTH(B830)&amp;"-C",MONTH(B830)&amp;"-N")</f>
        <v>2-C</v>
      </c>
      <c r="W830" s="21">
        <v>13.22</v>
      </c>
      <c r="X830" s="2" t="b">
        <f t="shared" si="515"/>
        <v>1</v>
      </c>
    </row>
    <row r="831" spans="2:24" x14ac:dyDescent="0.2">
      <c r="B831" s="17">
        <v>44610</v>
      </c>
      <c r="C831" s="10" t="s">
        <v>108</v>
      </c>
      <c r="D831" s="11">
        <v>163067</v>
      </c>
      <c r="E831" s="26">
        <v>61732</v>
      </c>
      <c r="F831" s="10" t="s">
        <v>121</v>
      </c>
      <c r="G831" s="10" t="s">
        <v>46</v>
      </c>
      <c r="H831" s="27" t="s">
        <v>122</v>
      </c>
      <c r="I831" s="12"/>
      <c r="J831" s="12"/>
      <c r="K831" s="13">
        <v>1150</v>
      </c>
      <c r="L831" s="21">
        <v>13.03</v>
      </c>
      <c r="M831" s="14" t="s">
        <v>14</v>
      </c>
      <c r="N831" s="13">
        <v>14984.5</v>
      </c>
      <c r="O831" s="15">
        <f t="shared" si="514"/>
        <v>0</v>
      </c>
      <c r="P831" s="10" t="s">
        <v>84</v>
      </c>
      <c r="Q831" s="11" t="s">
        <v>1881</v>
      </c>
      <c r="R831" s="11" t="s">
        <v>1880</v>
      </c>
      <c r="S831" s="16" t="s">
        <v>1880</v>
      </c>
      <c r="T831" s="19" t="str">
        <f>MONTH(B831)&amp;"-"&amp;YEAR(B831)</f>
        <v>2-2022</v>
      </c>
      <c r="U831" s="2">
        <f>YEAR(B831)</f>
        <v>2022</v>
      </c>
      <c r="V831" s="2" t="str">
        <f>IF(DAY(B831)&gt;15,MONTH(B831)&amp;"-C",MONTH(B831)&amp;"-N")</f>
        <v>2-C</v>
      </c>
      <c r="W831" s="21">
        <v>13.03</v>
      </c>
      <c r="X831" s="2" t="b">
        <f t="shared" si="515"/>
        <v>1</v>
      </c>
    </row>
    <row r="832" spans="2:24" x14ac:dyDescent="0.2">
      <c r="B832" s="17">
        <v>44610</v>
      </c>
      <c r="C832" s="10" t="s">
        <v>108</v>
      </c>
      <c r="D832" s="11">
        <v>163067</v>
      </c>
      <c r="E832" s="26">
        <v>61732</v>
      </c>
      <c r="F832" s="10" t="s">
        <v>123</v>
      </c>
      <c r="G832" s="10" t="s">
        <v>46</v>
      </c>
      <c r="H832" s="27" t="s">
        <v>124</v>
      </c>
      <c r="I832" s="12"/>
      <c r="J832" s="12"/>
      <c r="K832" s="13">
        <v>1380</v>
      </c>
      <c r="L832" s="21">
        <v>13.03</v>
      </c>
      <c r="M832" s="14" t="s">
        <v>14</v>
      </c>
      <c r="N832" s="13">
        <v>17981.400000000001</v>
      </c>
      <c r="O832" s="15">
        <f t="shared" si="514"/>
        <v>0</v>
      </c>
      <c r="P832" s="10" t="s">
        <v>84</v>
      </c>
      <c r="Q832" s="11" t="s">
        <v>1881</v>
      </c>
      <c r="R832" s="11" t="s">
        <v>1880</v>
      </c>
      <c r="S832" s="16" t="s">
        <v>1880</v>
      </c>
      <c r="T832" s="19" t="str">
        <f>MONTH(B832)&amp;"-"&amp;YEAR(B832)</f>
        <v>2-2022</v>
      </c>
      <c r="U832" s="2">
        <f>YEAR(B832)</f>
        <v>2022</v>
      </c>
      <c r="V832" s="2" t="str">
        <f>IF(DAY(B832)&gt;15,MONTH(B832)&amp;"-C",MONTH(B832)&amp;"-N")</f>
        <v>2-C</v>
      </c>
      <c r="W832" s="21">
        <v>13.03</v>
      </c>
      <c r="X832" s="2" t="b">
        <f t="shared" si="515"/>
        <v>1</v>
      </c>
    </row>
    <row r="833" spans="2:24" x14ac:dyDescent="0.2">
      <c r="B833" s="17">
        <v>44610</v>
      </c>
      <c r="C833" s="10" t="s">
        <v>108</v>
      </c>
      <c r="D833" s="11">
        <v>163067</v>
      </c>
      <c r="E833" s="26">
        <v>61732</v>
      </c>
      <c r="F833" s="10" t="s">
        <v>139</v>
      </c>
      <c r="G833" s="10" t="s">
        <v>46</v>
      </c>
      <c r="H833" s="27" t="s">
        <v>140</v>
      </c>
      <c r="I833" s="12"/>
      <c r="J833" s="12"/>
      <c r="K833" s="13">
        <v>5520</v>
      </c>
      <c r="L833" s="21">
        <v>11.75</v>
      </c>
      <c r="M833" s="14" t="s">
        <v>14</v>
      </c>
      <c r="N833" s="13">
        <v>64860</v>
      </c>
      <c r="O833" s="15">
        <f t="shared" si="514"/>
        <v>0</v>
      </c>
      <c r="P833" s="10" t="s">
        <v>84</v>
      </c>
      <c r="Q833" s="11" t="s">
        <v>1881</v>
      </c>
      <c r="R833" s="11" t="s">
        <v>1880</v>
      </c>
      <c r="S833" s="16" t="s">
        <v>1880</v>
      </c>
      <c r="T833" s="19" t="str">
        <f>MONTH(B833)&amp;"-"&amp;YEAR(B833)</f>
        <v>2-2022</v>
      </c>
      <c r="U833" s="2">
        <f>YEAR(B833)</f>
        <v>2022</v>
      </c>
      <c r="V833" s="2" t="str">
        <f>IF(DAY(B833)&gt;15,MONTH(B833)&amp;"-C",MONTH(B833)&amp;"-N")</f>
        <v>2-C</v>
      </c>
      <c r="W833" s="21">
        <v>11.75</v>
      </c>
      <c r="X833" s="2" t="b">
        <f t="shared" si="515"/>
        <v>1</v>
      </c>
    </row>
    <row r="834" spans="2:24" x14ac:dyDescent="0.2">
      <c r="B834" s="17">
        <v>44610</v>
      </c>
      <c r="C834" s="10" t="s">
        <v>108</v>
      </c>
      <c r="D834" s="11">
        <v>163067</v>
      </c>
      <c r="E834" s="26">
        <v>61732</v>
      </c>
      <c r="F834" s="10" t="s">
        <v>129</v>
      </c>
      <c r="G834" s="10" t="s">
        <v>46</v>
      </c>
      <c r="H834" s="27" t="s">
        <v>130</v>
      </c>
      <c r="I834" s="12"/>
      <c r="J834" s="12"/>
      <c r="K834" s="13">
        <v>8510</v>
      </c>
      <c r="L834" s="21">
        <v>13.22</v>
      </c>
      <c r="M834" s="14" t="s">
        <v>14</v>
      </c>
      <c r="N834" s="13">
        <v>112502.2</v>
      </c>
      <c r="O834" s="15">
        <f t="shared" si="514"/>
        <v>0</v>
      </c>
      <c r="P834" s="10" t="s">
        <v>84</v>
      </c>
      <c r="Q834" s="11" t="s">
        <v>1881</v>
      </c>
      <c r="R834" s="11" t="s">
        <v>1880</v>
      </c>
      <c r="S834" s="16" t="s">
        <v>1880</v>
      </c>
      <c r="T834" s="19" t="str">
        <f>MONTH(B834)&amp;"-"&amp;YEAR(B834)</f>
        <v>2-2022</v>
      </c>
      <c r="U834" s="2">
        <f>YEAR(B834)</f>
        <v>2022</v>
      </c>
      <c r="V834" s="2" t="str">
        <f>IF(DAY(B834)&gt;15,MONTH(B834)&amp;"-C",MONTH(B834)&amp;"-N")</f>
        <v>2-C</v>
      </c>
      <c r="W834" s="21">
        <v>13.22</v>
      </c>
      <c r="X834" s="2" t="b">
        <f t="shared" si="515"/>
        <v>1</v>
      </c>
    </row>
    <row r="835" spans="2:24" x14ac:dyDescent="0.2">
      <c r="B835" s="17">
        <v>44611</v>
      </c>
      <c r="C835" s="10" t="s">
        <v>80</v>
      </c>
      <c r="D835" s="11">
        <v>163822</v>
      </c>
      <c r="E835" s="26">
        <v>61746</v>
      </c>
      <c r="F835" s="10" t="s">
        <v>26</v>
      </c>
      <c r="G835" s="10" t="s">
        <v>27</v>
      </c>
      <c r="H835" s="27" t="s">
        <v>28</v>
      </c>
      <c r="I835" s="12"/>
      <c r="J835" s="12"/>
      <c r="K835" s="13">
        <v>3600</v>
      </c>
      <c r="L835" s="21">
        <v>5.25</v>
      </c>
      <c r="M835" s="14" t="s">
        <v>14</v>
      </c>
      <c r="N835" s="13">
        <v>18900</v>
      </c>
      <c r="O835" s="15">
        <f t="shared" ref="O835" si="516">(N835/K835)-L835</f>
        <v>0</v>
      </c>
      <c r="P835" s="10" t="s">
        <v>78</v>
      </c>
      <c r="Q835" s="11" t="s">
        <v>1850</v>
      </c>
      <c r="R835" s="11" t="s">
        <v>1851</v>
      </c>
      <c r="S835" s="16" t="s">
        <v>1852</v>
      </c>
      <c r="T835" s="19" t="str">
        <f>MONTH(B835)&amp;"-"&amp;YEAR(B835)</f>
        <v>2-2022</v>
      </c>
      <c r="U835" s="2">
        <f>YEAR(B835)</f>
        <v>2022</v>
      </c>
      <c r="V835" s="2" t="str">
        <f>IF(DAY(B835)&gt;15,MONTH(B835)&amp;"-C",MONTH(B835)&amp;"-N")</f>
        <v>2-C</v>
      </c>
      <c r="W835" s="21">
        <v>5.25</v>
      </c>
      <c r="X835" s="2" t="b">
        <f t="shared" ref="X835" si="517">+L835=W835</f>
        <v>1</v>
      </c>
    </row>
    <row r="836" spans="2:24" x14ac:dyDescent="0.2">
      <c r="B836" s="17">
        <v>44613</v>
      </c>
      <c r="C836" s="10" t="s">
        <v>80</v>
      </c>
      <c r="D836" s="11">
        <v>163822</v>
      </c>
      <c r="E836" s="26">
        <v>61778</v>
      </c>
      <c r="F836" s="10" t="s">
        <v>26</v>
      </c>
      <c r="G836" s="10" t="s">
        <v>27</v>
      </c>
      <c r="H836" s="27" t="s">
        <v>28</v>
      </c>
      <c r="I836" s="12"/>
      <c r="J836" s="12"/>
      <c r="K836" s="13">
        <v>3600</v>
      </c>
      <c r="L836" s="21">
        <v>5.25</v>
      </c>
      <c r="M836" s="14" t="s">
        <v>14</v>
      </c>
      <c r="N836" s="13">
        <v>18900</v>
      </c>
      <c r="O836" s="15">
        <f t="shared" ref="O836:O837" si="518">(N836/K836)-L836</f>
        <v>0</v>
      </c>
      <c r="P836" s="10" t="s">
        <v>78</v>
      </c>
      <c r="Q836" s="11" t="s">
        <v>1853</v>
      </c>
      <c r="R836" s="11" t="s">
        <v>1854</v>
      </c>
      <c r="S836" s="16" t="s">
        <v>1855</v>
      </c>
      <c r="T836" s="19" t="str">
        <f>MONTH(B836)&amp;"-"&amp;YEAR(B836)</f>
        <v>2-2022</v>
      </c>
      <c r="U836" s="2">
        <f>YEAR(B836)</f>
        <v>2022</v>
      </c>
      <c r="V836" s="2" t="str">
        <f>IF(DAY(B836)&gt;15,MONTH(B836)&amp;"-C",MONTH(B836)&amp;"-N")</f>
        <v>2-C</v>
      </c>
      <c r="W836" s="21">
        <v>5.25</v>
      </c>
      <c r="X836" s="2" t="b">
        <f t="shared" ref="X836:X837" si="519">+L836=W836</f>
        <v>1</v>
      </c>
    </row>
    <row r="837" spans="2:24" x14ac:dyDescent="0.2">
      <c r="B837" s="17">
        <v>44614</v>
      </c>
      <c r="C837" s="10" t="s">
        <v>25</v>
      </c>
      <c r="D837" s="11">
        <v>163756</v>
      </c>
      <c r="E837" s="26">
        <v>61787</v>
      </c>
      <c r="F837" s="10" t="s">
        <v>26</v>
      </c>
      <c r="G837" s="10" t="s">
        <v>27</v>
      </c>
      <c r="H837" s="27" t="s">
        <v>28</v>
      </c>
      <c r="I837" s="12"/>
      <c r="J837" s="12"/>
      <c r="K837" s="13">
        <v>18900</v>
      </c>
      <c r="L837" s="21">
        <v>5.25</v>
      </c>
      <c r="M837" s="14" t="s">
        <v>14</v>
      </c>
      <c r="N837" s="13">
        <v>99225</v>
      </c>
      <c r="O837" s="15">
        <f t="shared" si="518"/>
        <v>0</v>
      </c>
      <c r="P837" s="10" t="s">
        <v>78</v>
      </c>
      <c r="Q837" s="11" t="s">
        <v>1871</v>
      </c>
      <c r="R837" s="11" t="s">
        <v>1872</v>
      </c>
      <c r="S837" s="16" t="s">
        <v>1873</v>
      </c>
      <c r="T837" s="19" t="str">
        <f>MONTH(B837)&amp;"-"&amp;YEAR(B837)</f>
        <v>2-2022</v>
      </c>
      <c r="U837" s="2">
        <f>YEAR(B837)</f>
        <v>2022</v>
      </c>
      <c r="V837" s="2" t="str">
        <f>IF(DAY(B837)&gt;15,MONTH(B837)&amp;"-C",MONTH(B837)&amp;"-N")</f>
        <v>2-C</v>
      </c>
      <c r="W837" s="21">
        <v>5.25</v>
      </c>
      <c r="X837" s="2" t="b">
        <f t="shared" si="519"/>
        <v>1</v>
      </c>
    </row>
    <row r="838" spans="2:24" x14ac:dyDescent="0.2">
      <c r="B838" s="17">
        <v>44618</v>
      </c>
      <c r="C838" s="10" t="s">
        <v>86</v>
      </c>
      <c r="D838" s="11">
        <v>164006</v>
      </c>
      <c r="E838" s="26">
        <v>61857</v>
      </c>
      <c r="F838" s="10" t="s">
        <v>29</v>
      </c>
      <c r="G838" s="10" t="s">
        <v>27</v>
      </c>
      <c r="H838" s="27" t="s">
        <v>30</v>
      </c>
      <c r="I838" s="12"/>
      <c r="J838" s="12"/>
      <c r="K838" s="13">
        <v>1980</v>
      </c>
      <c r="L838" s="21">
        <v>5.25</v>
      </c>
      <c r="M838" s="14" t="s">
        <v>14</v>
      </c>
      <c r="N838" s="13">
        <v>10395</v>
      </c>
      <c r="O838" s="15">
        <f t="shared" ref="O838" si="520">(N838/K838)-L838</f>
        <v>0</v>
      </c>
      <c r="P838" s="10" t="s">
        <v>78</v>
      </c>
      <c r="Q838" s="11" t="s">
        <v>1885</v>
      </c>
      <c r="R838" s="11" t="s">
        <v>1886</v>
      </c>
      <c r="S838" s="16" t="s">
        <v>1887</v>
      </c>
      <c r="T838" s="19" t="str">
        <f>MONTH(B838)&amp;"-"&amp;YEAR(B838)</f>
        <v>2-2022</v>
      </c>
      <c r="U838" s="2">
        <f>YEAR(B838)</f>
        <v>2022</v>
      </c>
      <c r="V838" s="2" t="str">
        <f>IF(DAY(B838)&gt;15,MONTH(B838)&amp;"-C",MONTH(B838)&amp;"-N")</f>
        <v>2-C</v>
      </c>
      <c r="W838" s="21">
        <v>5.25</v>
      </c>
      <c r="X838" s="2" t="b">
        <f t="shared" ref="X838" si="521">+L838=W838</f>
        <v>1</v>
      </c>
    </row>
    <row r="839" spans="2:24" x14ac:dyDescent="0.2">
      <c r="B839" s="17">
        <v>44620</v>
      </c>
      <c r="C839" s="10" t="s">
        <v>80</v>
      </c>
      <c r="D839" s="11">
        <v>163822</v>
      </c>
      <c r="E839" s="26">
        <v>61870</v>
      </c>
      <c r="F839" s="10" t="s">
        <v>26</v>
      </c>
      <c r="G839" s="10" t="s">
        <v>27</v>
      </c>
      <c r="H839" s="27" t="s">
        <v>28</v>
      </c>
      <c r="I839" s="12"/>
      <c r="J839" s="12"/>
      <c r="K839" s="13">
        <v>9000</v>
      </c>
      <c r="L839" s="21">
        <v>5.25</v>
      </c>
      <c r="M839" s="14" t="s">
        <v>14</v>
      </c>
      <c r="N839" s="13">
        <v>47250</v>
      </c>
      <c r="O839" s="15">
        <f t="shared" ref="O839" si="522">(N839/K839)-L839</f>
        <v>0</v>
      </c>
      <c r="P839" s="10" t="s">
        <v>78</v>
      </c>
      <c r="Q839" s="11" t="s">
        <v>1882</v>
      </c>
      <c r="R839" s="11" t="s">
        <v>1883</v>
      </c>
      <c r="S839" s="16" t="s">
        <v>1884</v>
      </c>
      <c r="T839" s="19" t="str">
        <f>MONTH(B839)&amp;"-"&amp;YEAR(B839)</f>
        <v>2-2022</v>
      </c>
      <c r="U839" s="2">
        <f>YEAR(B839)</f>
        <v>2022</v>
      </c>
      <c r="V839" s="2" t="str">
        <f>IF(DAY(B839)&gt;15,MONTH(B839)&amp;"-C",MONTH(B839)&amp;"-N")</f>
        <v>2-C</v>
      </c>
      <c r="W839" s="21">
        <v>5.25</v>
      </c>
      <c r="X839" s="2" t="b">
        <f t="shared" ref="X839" si="523">+L839=W839</f>
        <v>1</v>
      </c>
    </row>
    <row r="840" spans="2:24" x14ac:dyDescent="0.2">
      <c r="B840" s="17">
        <v>44622</v>
      </c>
      <c r="C840" s="10" t="s">
        <v>80</v>
      </c>
      <c r="D840" s="11">
        <v>163822</v>
      </c>
      <c r="E840" s="26">
        <v>61891</v>
      </c>
      <c r="F840" s="10" t="s">
        <v>26</v>
      </c>
      <c r="G840" s="10" t="s">
        <v>27</v>
      </c>
      <c r="H840" s="27" t="s">
        <v>28</v>
      </c>
      <c r="I840" s="12"/>
      <c r="J840" s="12"/>
      <c r="K840" s="13">
        <v>5400</v>
      </c>
      <c r="L840" s="21">
        <v>5.25</v>
      </c>
      <c r="M840" s="14" t="s">
        <v>14</v>
      </c>
      <c r="N840" s="13">
        <v>28350</v>
      </c>
      <c r="O840" s="15">
        <f t="shared" ref="O840" si="524">(N840/K840)-L840</f>
        <v>0</v>
      </c>
      <c r="P840" s="10" t="s">
        <v>78</v>
      </c>
      <c r="Q840" s="11" t="s">
        <v>1912</v>
      </c>
      <c r="R840" s="11" t="s">
        <v>1913</v>
      </c>
      <c r="S840" s="16" t="s">
        <v>1914</v>
      </c>
      <c r="T840" s="19" t="str">
        <f>MONTH(B840)&amp;"-"&amp;YEAR(B840)</f>
        <v>3-2022</v>
      </c>
      <c r="U840" s="2">
        <f>YEAR(B840)</f>
        <v>2022</v>
      </c>
      <c r="V840" s="2" t="str">
        <f>IF(DAY(B840)&gt;15,MONTH(B840)&amp;"-C",MONTH(B840)&amp;"-N")</f>
        <v>3-N</v>
      </c>
      <c r="W840" s="21">
        <v>5.25</v>
      </c>
      <c r="X840" s="2" t="b">
        <f t="shared" ref="X840" si="525">+L840=W840</f>
        <v>1</v>
      </c>
    </row>
    <row r="841" spans="2:24" x14ac:dyDescent="0.2">
      <c r="B841" s="17">
        <v>44625</v>
      </c>
      <c r="C841" s="10" t="s">
        <v>25</v>
      </c>
      <c r="D841" s="11">
        <v>163756</v>
      </c>
      <c r="E841" s="26">
        <v>61910</v>
      </c>
      <c r="F841" s="10" t="s">
        <v>26</v>
      </c>
      <c r="G841" s="10" t="s">
        <v>27</v>
      </c>
      <c r="H841" s="27" t="s">
        <v>28</v>
      </c>
      <c r="I841" s="12"/>
      <c r="J841" s="12"/>
      <c r="K841" s="13">
        <v>18900</v>
      </c>
      <c r="L841" s="21">
        <v>5.25</v>
      </c>
      <c r="M841" s="14" t="s">
        <v>14</v>
      </c>
      <c r="N841" s="13">
        <v>99225</v>
      </c>
      <c r="O841" s="15">
        <f t="shared" ref="O841" si="526">(N841/K841)-L841</f>
        <v>0</v>
      </c>
      <c r="P841" s="10" t="s">
        <v>78</v>
      </c>
      <c r="Q841" s="11" t="s">
        <v>1918</v>
      </c>
      <c r="R841" s="11" t="s">
        <v>1919</v>
      </c>
      <c r="S841" s="16" t="s">
        <v>1920</v>
      </c>
      <c r="T841" s="19" t="str">
        <f>MONTH(B841)&amp;"-"&amp;YEAR(B841)</f>
        <v>3-2022</v>
      </c>
      <c r="U841" s="2">
        <f>YEAR(B841)</f>
        <v>2022</v>
      </c>
      <c r="V841" s="2" t="str">
        <f>IF(DAY(B841)&gt;15,MONTH(B841)&amp;"-C",MONTH(B841)&amp;"-N")</f>
        <v>3-N</v>
      </c>
      <c r="W841" s="21">
        <v>5.25</v>
      </c>
      <c r="X841" s="2" t="b">
        <f t="shared" ref="X841" si="527">+L841=W841</f>
        <v>1</v>
      </c>
    </row>
    <row r="842" spans="2:24" x14ac:dyDescent="0.2">
      <c r="B842" s="17">
        <v>44630</v>
      </c>
      <c r="C842" s="10" t="s">
        <v>80</v>
      </c>
      <c r="D842" s="11">
        <v>163822</v>
      </c>
      <c r="E842" s="26">
        <v>61987</v>
      </c>
      <c r="F842" s="10" t="s">
        <v>26</v>
      </c>
      <c r="G842" s="10" t="s">
        <v>27</v>
      </c>
      <c r="H842" s="27" t="s">
        <v>28</v>
      </c>
      <c r="I842" s="12"/>
      <c r="J842" s="12"/>
      <c r="K842" s="13">
        <v>3600</v>
      </c>
      <c r="L842" s="21">
        <v>5.25</v>
      </c>
      <c r="M842" s="14" t="s">
        <v>14</v>
      </c>
      <c r="N842" s="13">
        <v>18900</v>
      </c>
      <c r="O842" s="15">
        <f t="shared" ref="O842:O844" si="528">(N842/K842)-L842</f>
        <v>0</v>
      </c>
      <c r="P842" s="10" t="s">
        <v>78</v>
      </c>
      <c r="Q842" s="11" t="s">
        <v>1894</v>
      </c>
      <c r="R842" s="11" t="s">
        <v>1895</v>
      </c>
      <c r="S842" s="16" t="s">
        <v>1896</v>
      </c>
      <c r="T842" s="19" t="str">
        <f>MONTH(B842)&amp;"-"&amp;YEAR(B842)</f>
        <v>3-2022</v>
      </c>
      <c r="U842" s="2">
        <f>YEAR(B842)</f>
        <v>2022</v>
      </c>
      <c r="V842" s="2" t="str">
        <f>IF(DAY(B842)&gt;15,MONTH(B842)&amp;"-C",MONTH(B842)&amp;"-N")</f>
        <v>3-N</v>
      </c>
      <c r="W842" s="21">
        <v>5.25</v>
      </c>
      <c r="X842" s="2" t="b">
        <f t="shared" ref="X842:X844" si="529">+L842=W842</f>
        <v>1</v>
      </c>
    </row>
    <row r="843" spans="2:24" x14ac:dyDescent="0.2">
      <c r="B843" s="17">
        <v>44631</v>
      </c>
      <c r="C843" s="10" t="s">
        <v>80</v>
      </c>
      <c r="D843" s="11">
        <v>163822</v>
      </c>
      <c r="E843" s="26">
        <v>62001</v>
      </c>
      <c r="F843" s="10" t="s">
        <v>26</v>
      </c>
      <c r="G843" s="10" t="s">
        <v>27</v>
      </c>
      <c r="H843" s="27" t="s">
        <v>28</v>
      </c>
      <c r="I843" s="12"/>
      <c r="J843" s="12"/>
      <c r="K843" s="13">
        <v>3600</v>
      </c>
      <c r="L843" s="21">
        <v>5.25</v>
      </c>
      <c r="M843" s="14" t="s">
        <v>14</v>
      </c>
      <c r="N843" s="13">
        <v>18900</v>
      </c>
      <c r="O843" s="15">
        <f t="shared" si="528"/>
        <v>0</v>
      </c>
      <c r="P843" s="10" t="s">
        <v>78</v>
      </c>
      <c r="Q843" s="11" t="s">
        <v>1906</v>
      </c>
      <c r="R843" s="11" t="s">
        <v>1907</v>
      </c>
      <c r="S843" s="16" t="s">
        <v>1908</v>
      </c>
      <c r="T843" s="19" t="str">
        <f>MONTH(B843)&amp;"-"&amp;YEAR(B843)</f>
        <v>3-2022</v>
      </c>
      <c r="U843" s="2">
        <f>YEAR(B843)</f>
        <v>2022</v>
      </c>
      <c r="V843" s="2" t="str">
        <f>IF(DAY(B843)&gt;15,MONTH(B843)&amp;"-C",MONTH(B843)&amp;"-N")</f>
        <v>3-N</v>
      </c>
      <c r="W843" s="21">
        <v>5.25</v>
      </c>
      <c r="X843" s="2" t="b">
        <f t="shared" si="529"/>
        <v>1</v>
      </c>
    </row>
    <row r="844" spans="2:24" x14ac:dyDescent="0.2">
      <c r="B844" s="17">
        <v>44631</v>
      </c>
      <c r="C844" s="10" t="s">
        <v>80</v>
      </c>
      <c r="D844" s="11">
        <v>163822</v>
      </c>
      <c r="E844" s="26">
        <v>61990</v>
      </c>
      <c r="F844" s="10" t="s">
        <v>26</v>
      </c>
      <c r="G844" s="10" t="s">
        <v>27</v>
      </c>
      <c r="H844" s="27" t="s">
        <v>28</v>
      </c>
      <c r="I844" s="12"/>
      <c r="J844" s="12"/>
      <c r="K844" s="13">
        <v>1800</v>
      </c>
      <c r="L844" s="21">
        <v>5.25</v>
      </c>
      <c r="M844" s="14" t="s">
        <v>14</v>
      </c>
      <c r="N844" s="13">
        <v>9450</v>
      </c>
      <c r="O844" s="15">
        <f t="shared" si="528"/>
        <v>0</v>
      </c>
      <c r="P844" s="10" t="s">
        <v>78</v>
      </c>
      <c r="Q844" s="11" t="s">
        <v>1909</v>
      </c>
      <c r="R844" s="11" t="s">
        <v>1910</v>
      </c>
      <c r="S844" s="16" t="s">
        <v>1911</v>
      </c>
      <c r="T844" s="19" t="str">
        <f>MONTH(B844)&amp;"-"&amp;YEAR(B844)</f>
        <v>3-2022</v>
      </c>
      <c r="U844" s="2">
        <f>YEAR(B844)</f>
        <v>2022</v>
      </c>
      <c r="V844" s="2" t="str">
        <f>IF(DAY(B844)&gt;15,MONTH(B844)&amp;"-C",MONTH(B844)&amp;"-N")</f>
        <v>3-N</v>
      </c>
      <c r="W844" s="21">
        <v>5.25</v>
      </c>
      <c r="X844" s="2" t="b">
        <f t="shared" si="529"/>
        <v>1</v>
      </c>
    </row>
    <row r="845" spans="2:24" x14ac:dyDescent="0.2">
      <c r="B845" s="17">
        <v>44632</v>
      </c>
      <c r="C845" s="10" t="s">
        <v>80</v>
      </c>
      <c r="D845" s="11">
        <v>163822</v>
      </c>
      <c r="E845" s="26">
        <v>62026</v>
      </c>
      <c r="F845" s="10" t="s">
        <v>26</v>
      </c>
      <c r="G845" s="10" t="s">
        <v>27</v>
      </c>
      <c r="H845" s="27" t="s">
        <v>28</v>
      </c>
      <c r="I845" s="12"/>
      <c r="J845" s="12"/>
      <c r="K845" s="13">
        <v>3600</v>
      </c>
      <c r="L845" s="21">
        <v>5.25</v>
      </c>
      <c r="M845" s="14" t="s">
        <v>14</v>
      </c>
      <c r="N845" s="13">
        <v>18900</v>
      </c>
      <c r="O845" s="15">
        <f t="shared" ref="O845:O852" si="530">(N845/K845)-L845</f>
        <v>0</v>
      </c>
      <c r="P845" s="10" t="s">
        <v>78</v>
      </c>
      <c r="Q845" s="11" t="s">
        <v>1900</v>
      </c>
      <c r="R845" s="11" t="s">
        <v>1901</v>
      </c>
      <c r="S845" s="16" t="s">
        <v>1902</v>
      </c>
      <c r="T845" s="19" t="str">
        <f>MONTH(B845)&amp;"-"&amp;YEAR(B845)</f>
        <v>3-2022</v>
      </c>
      <c r="U845" s="2">
        <f>YEAR(B845)</f>
        <v>2022</v>
      </c>
      <c r="V845" s="2" t="str">
        <f>IF(DAY(B845)&gt;15,MONTH(B845)&amp;"-C",MONTH(B845)&amp;"-N")</f>
        <v>3-N</v>
      </c>
      <c r="W845" s="21">
        <v>5.25</v>
      </c>
      <c r="X845" s="2" t="b">
        <f t="shared" ref="X845:X852" si="531">+L845=W845</f>
        <v>1</v>
      </c>
    </row>
    <row r="846" spans="2:24" x14ac:dyDescent="0.2">
      <c r="B846" s="17">
        <v>44632</v>
      </c>
      <c r="C846" s="10" t="s">
        <v>80</v>
      </c>
      <c r="D846" s="11">
        <v>163822</v>
      </c>
      <c r="E846" s="26">
        <v>62025</v>
      </c>
      <c r="F846" s="10" t="s">
        <v>26</v>
      </c>
      <c r="G846" s="10" t="s">
        <v>27</v>
      </c>
      <c r="H846" s="27" t="s">
        <v>28</v>
      </c>
      <c r="I846" s="12"/>
      <c r="J846" s="12"/>
      <c r="K846" s="13">
        <v>3600</v>
      </c>
      <c r="L846" s="21">
        <v>5.25</v>
      </c>
      <c r="M846" s="14" t="s">
        <v>14</v>
      </c>
      <c r="N846" s="13">
        <v>18900</v>
      </c>
      <c r="O846" s="15">
        <f t="shared" si="530"/>
        <v>0</v>
      </c>
      <c r="P846" s="10" t="s">
        <v>78</v>
      </c>
      <c r="Q846" s="11" t="s">
        <v>1903</v>
      </c>
      <c r="R846" s="11" t="s">
        <v>1904</v>
      </c>
      <c r="S846" s="16" t="s">
        <v>1905</v>
      </c>
      <c r="T846" s="19" t="str">
        <f>MONTH(B846)&amp;"-"&amp;YEAR(B846)</f>
        <v>3-2022</v>
      </c>
      <c r="U846" s="2">
        <f>YEAR(B846)</f>
        <v>2022</v>
      </c>
      <c r="V846" s="2" t="str">
        <f>IF(DAY(B846)&gt;15,MONTH(B846)&amp;"-C",MONTH(B846)&amp;"-N")</f>
        <v>3-N</v>
      </c>
      <c r="W846" s="21">
        <v>5.25</v>
      </c>
      <c r="X846" s="2" t="b">
        <f t="shared" si="531"/>
        <v>1</v>
      </c>
    </row>
    <row r="847" spans="2:24" x14ac:dyDescent="0.2">
      <c r="B847" s="17">
        <v>44634</v>
      </c>
      <c r="C847" s="10" t="s">
        <v>80</v>
      </c>
      <c r="D847" s="11">
        <v>163822</v>
      </c>
      <c r="E847" s="26">
        <v>62038</v>
      </c>
      <c r="F847" s="10" t="s">
        <v>26</v>
      </c>
      <c r="G847" s="10" t="s">
        <v>27</v>
      </c>
      <c r="H847" s="27" t="s">
        <v>28</v>
      </c>
      <c r="I847" s="12"/>
      <c r="J847" s="12"/>
      <c r="K847" s="13">
        <v>1800</v>
      </c>
      <c r="L847" s="21">
        <v>5.25</v>
      </c>
      <c r="M847" s="14" t="s">
        <v>14</v>
      </c>
      <c r="N847" s="13">
        <v>9450</v>
      </c>
      <c r="O847" s="15">
        <f t="shared" si="530"/>
        <v>0</v>
      </c>
      <c r="P847" s="10" t="s">
        <v>78</v>
      </c>
      <c r="Q847" s="11" t="s">
        <v>1897</v>
      </c>
      <c r="R847" s="11" t="s">
        <v>1898</v>
      </c>
      <c r="S847" s="16" t="s">
        <v>1899</v>
      </c>
      <c r="T847" s="19" t="str">
        <f>MONTH(B847)&amp;"-"&amp;YEAR(B847)</f>
        <v>3-2022</v>
      </c>
      <c r="U847" s="2">
        <f>YEAR(B847)</f>
        <v>2022</v>
      </c>
      <c r="V847" s="2" t="str">
        <f>IF(DAY(B847)&gt;15,MONTH(B847)&amp;"-C",MONTH(B847)&amp;"-N")</f>
        <v>3-N</v>
      </c>
      <c r="W847" s="21">
        <v>5.25</v>
      </c>
      <c r="X847" s="2" t="b">
        <f t="shared" si="531"/>
        <v>1</v>
      </c>
    </row>
    <row r="848" spans="2:24" x14ac:dyDescent="0.2">
      <c r="B848" s="17">
        <v>44634</v>
      </c>
      <c r="C848" s="10" t="s">
        <v>25</v>
      </c>
      <c r="D848" s="11">
        <v>163807</v>
      </c>
      <c r="E848" s="26">
        <v>62039</v>
      </c>
      <c r="F848" s="10" t="s">
        <v>33</v>
      </c>
      <c r="G848" s="10" t="s">
        <v>27</v>
      </c>
      <c r="H848" s="27" t="s">
        <v>34</v>
      </c>
      <c r="I848" s="12"/>
      <c r="J848" s="12"/>
      <c r="K848" s="13">
        <v>2160</v>
      </c>
      <c r="L848" s="21">
        <v>7.9</v>
      </c>
      <c r="M848" s="14" t="s">
        <v>14</v>
      </c>
      <c r="N848" s="13">
        <v>17064</v>
      </c>
      <c r="O848" s="15">
        <f t="shared" si="530"/>
        <v>0</v>
      </c>
      <c r="P848" s="10" t="s">
        <v>78</v>
      </c>
      <c r="Q848" s="11" t="s">
        <v>1924</v>
      </c>
      <c r="R848" s="11" t="s">
        <v>1925</v>
      </c>
      <c r="S848" s="16" t="s">
        <v>1926</v>
      </c>
      <c r="T848" s="19" t="str">
        <f>MONTH(B848)&amp;"-"&amp;YEAR(B848)</f>
        <v>3-2022</v>
      </c>
      <c r="U848" s="2">
        <f>YEAR(B848)</f>
        <v>2022</v>
      </c>
      <c r="V848" s="2" t="str">
        <f>IF(DAY(B848)&gt;15,MONTH(B848)&amp;"-C",MONTH(B848)&amp;"-N")</f>
        <v>3-N</v>
      </c>
      <c r="W848" s="21">
        <v>7.9</v>
      </c>
      <c r="X848" s="2" t="b">
        <f t="shared" si="531"/>
        <v>1</v>
      </c>
    </row>
    <row r="849" spans="2:24" x14ac:dyDescent="0.2">
      <c r="B849" s="17">
        <v>44634</v>
      </c>
      <c r="C849" s="10" t="s">
        <v>107</v>
      </c>
      <c r="D849" s="11">
        <v>163940</v>
      </c>
      <c r="E849" s="26">
        <v>62046</v>
      </c>
      <c r="F849" s="10" t="s">
        <v>103</v>
      </c>
      <c r="G849" s="10" t="s">
        <v>46</v>
      </c>
      <c r="H849" s="27"/>
      <c r="I849" s="12"/>
      <c r="J849" s="12"/>
      <c r="K849" s="13">
        <v>150</v>
      </c>
      <c r="L849" s="21">
        <v>40.18</v>
      </c>
      <c r="M849" s="14" t="s">
        <v>14</v>
      </c>
      <c r="N849" s="13">
        <v>6027</v>
      </c>
      <c r="O849" s="15">
        <f t="shared" si="530"/>
        <v>0</v>
      </c>
      <c r="P849" s="10" t="s">
        <v>84</v>
      </c>
      <c r="Q849" s="11" t="s">
        <v>1954</v>
      </c>
      <c r="R849" s="11" t="s">
        <v>1955</v>
      </c>
      <c r="S849" s="16" t="s">
        <v>1956</v>
      </c>
      <c r="T849" s="19" t="str">
        <f>MONTH(B849)&amp;"-"&amp;YEAR(B849)</f>
        <v>3-2022</v>
      </c>
      <c r="U849" s="2">
        <f>YEAR(B849)</f>
        <v>2022</v>
      </c>
      <c r="V849" s="2" t="str">
        <f>IF(DAY(B849)&gt;15,MONTH(B849)&amp;"-C",MONTH(B849)&amp;"-N")</f>
        <v>3-N</v>
      </c>
      <c r="W849" s="21">
        <v>40.18</v>
      </c>
      <c r="X849" s="2" t="b">
        <f t="shared" si="531"/>
        <v>1</v>
      </c>
    </row>
    <row r="850" spans="2:24" x14ac:dyDescent="0.2">
      <c r="B850" s="17">
        <v>44634</v>
      </c>
      <c r="C850" s="10" t="s">
        <v>107</v>
      </c>
      <c r="D850" s="11">
        <v>163940</v>
      </c>
      <c r="E850" s="26">
        <v>62046</v>
      </c>
      <c r="F850" s="10" t="s">
        <v>105</v>
      </c>
      <c r="G850" s="10" t="s">
        <v>46</v>
      </c>
      <c r="H850" s="27"/>
      <c r="I850" s="12"/>
      <c r="J850" s="12"/>
      <c r="K850" s="13">
        <v>4840</v>
      </c>
      <c r="L850" s="21">
        <v>13.29</v>
      </c>
      <c r="M850" s="14" t="s">
        <v>14</v>
      </c>
      <c r="N850" s="13">
        <v>64323.6</v>
      </c>
      <c r="O850" s="15">
        <f t="shared" si="530"/>
        <v>0</v>
      </c>
      <c r="P850" s="10" t="s">
        <v>84</v>
      </c>
      <c r="Q850" s="11" t="s">
        <v>1954</v>
      </c>
      <c r="R850" s="11" t="s">
        <v>1955</v>
      </c>
      <c r="S850" s="16" t="s">
        <v>1956</v>
      </c>
      <c r="T850" s="19" t="str">
        <f>MONTH(B850)&amp;"-"&amp;YEAR(B850)</f>
        <v>3-2022</v>
      </c>
      <c r="U850" s="2">
        <f>YEAR(B850)</f>
        <v>2022</v>
      </c>
      <c r="V850" s="2" t="str">
        <f>IF(DAY(B850)&gt;15,MONTH(B850)&amp;"-C",MONTH(B850)&amp;"-N")</f>
        <v>3-N</v>
      </c>
      <c r="W850" s="21">
        <v>13.29</v>
      </c>
      <c r="X850" s="2" t="b">
        <f t="shared" si="531"/>
        <v>1</v>
      </c>
    </row>
    <row r="851" spans="2:24" x14ac:dyDescent="0.2">
      <c r="B851" s="17">
        <v>44635</v>
      </c>
      <c r="C851" s="10" t="s">
        <v>25</v>
      </c>
      <c r="D851" s="11">
        <v>163756</v>
      </c>
      <c r="E851" s="26">
        <v>62052</v>
      </c>
      <c r="F851" s="10" t="s">
        <v>26</v>
      </c>
      <c r="G851" s="10" t="s">
        <v>27</v>
      </c>
      <c r="H851" s="27" t="s">
        <v>28</v>
      </c>
      <c r="I851" s="12"/>
      <c r="J851" s="12"/>
      <c r="K851" s="13">
        <v>1800</v>
      </c>
      <c r="L851" s="21">
        <v>5.25</v>
      </c>
      <c r="M851" s="14" t="s">
        <v>14</v>
      </c>
      <c r="N851" s="13">
        <v>9450</v>
      </c>
      <c r="O851" s="15">
        <f t="shared" si="530"/>
        <v>0</v>
      </c>
      <c r="P851" s="10" t="s">
        <v>78</v>
      </c>
      <c r="Q851" s="11" t="s">
        <v>1921</v>
      </c>
      <c r="R851" s="11" t="s">
        <v>1922</v>
      </c>
      <c r="S851" s="16" t="s">
        <v>1923</v>
      </c>
      <c r="T851" s="19" t="str">
        <f>MONTH(B851)&amp;"-"&amp;YEAR(B851)</f>
        <v>3-2022</v>
      </c>
      <c r="U851" s="2">
        <f>YEAR(B851)</f>
        <v>2022</v>
      </c>
      <c r="V851" s="2" t="str">
        <f>IF(DAY(B851)&gt;15,MONTH(B851)&amp;"-C",MONTH(B851)&amp;"-N")</f>
        <v>3-N</v>
      </c>
      <c r="W851" s="21">
        <v>5.25</v>
      </c>
      <c r="X851" s="2" t="b">
        <f t="shared" si="531"/>
        <v>1</v>
      </c>
    </row>
    <row r="852" spans="2:24" x14ac:dyDescent="0.2">
      <c r="B852" s="17">
        <v>44635</v>
      </c>
      <c r="C852" s="10" t="s">
        <v>25</v>
      </c>
      <c r="D852" s="11">
        <v>163807</v>
      </c>
      <c r="E852" s="26">
        <v>62051</v>
      </c>
      <c r="F852" s="10" t="s">
        <v>33</v>
      </c>
      <c r="G852" s="10" t="s">
        <v>27</v>
      </c>
      <c r="H852" s="27" t="s">
        <v>34</v>
      </c>
      <c r="I852" s="12"/>
      <c r="J852" s="12"/>
      <c r="K852" s="13">
        <v>1080</v>
      </c>
      <c r="L852" s="21">
        <v>7.9</v>
      </c>
      <c r="M852" s="14" t="s">
        <v>14</v>
      </c>
      <c r="N852" s="13">
        <v>8532</v>
      </c>
      <c r="O852" s="15">
        <f t="shared" si="530"/>
        <v>0</v>
      </c>
      <c r="P852" s="10" t="s">
        <v>78</v>
      </c>
      <c r="Q852" s="11" t="s">
        <v>1927</v>
      </c>
      <c r="R852" s="11" t="s">
        <v>1928</v>
      </c>
      <c r="S852" s="16" t="s">
        <v>1929</v>
      </c>
      <c r="T852" s="19" t="str">
        <f>MONTH(B852)&amp;"-"&amp;YEAR(B852)</f>
        <v>3-2022</v>
      </c>
      <c r="U852" s="2">
        <f>YEAR(B852)</f>
        <v>2022</v>
      </c>
      <c r="V852" s="2" t="str">
        <f>IF(DAY(B852)&gt;15,MONTH(B852)&amp;"-C",MONTH(B852)&amp;"-N")</f>
        <v>3-N</v>
      </c>
      <c r="W852" s="21">
        <v>7.9</v>
      </c>
      <c r="X852" s="2" t="b">
        <f t="shared" si="531"/>
        <v>1</v>
      </c>
    </row>
    <row r="853" spans="2:24" x14ac:dyDescent="0.2">
      <c r="B853" s="17">
        <v>44636</v>
      </c>
      <c r="C853" s="10" t="s">
        <v>25</v>
      </c>
      <c r="D853" s="11">
        <v>163756</v>
      </c>
      <c r="E853" s="26">
        <v>62067</v>
      </c>
      <c r="F853" s="10" t="s">
        <v>26</v>
      </c>
      <c r="G853" s="10" t="s">
        <v>27</v>
      </c>
      <c r="H853" s="27" t="s">
        <v>28</v>
      </c>
      <c r="I853" s="12"/>
      <c r="J853" s="12"/>
      <c r="K853" s="13">
        <v>19800</v>
      </c>
      <c r="L853" s="21">
        <v>5.25</v>
      </c>
      <c r="M853" s="14" t="s">
        <v>14</v>
      </c>
      <c r="N853" s="13">
        <v>103950</v>
      </c>
      <c r="O853" s="15">
        <f t="shared" ref="O853" si="532">(N853/K853)-L853</f>
        <v>0</v>
      </c>
      <c r="P853" s="10" t="s">
        <v>78</v>
      </c>
      <c r="Q853" s="11" t="s">
        <v>1933</v>
      </c>
      <c r="R853" s="11" t="s">
        <v>1934</v>
      </c>
      <c r="S853" s="16" t="s">
        <v>1935</v>
      </c>
      <c r="T853" s="19" t="str">
        <f>MONTH(B853)&amp;"-"&amp;YEAR(B853)</f>
        <v>3-2022</v>
      </c>
      <c r="U853" s="2">
        <f>YEAR(B853)</f>
        <v>2022</v>
      </c>
      <c r="V853" s="2" t="str">
        <f>IF(DAY(B853)&gt;15,MONTH(B853)&amp;"-C",MONTH(B853)&amp;"-N")</f>
        <v>3-C</v>
      </c>
      <c r="W853" s="21">
        <v>5.25</v>
      </c>
      <c r="X853" s="2" t="b">
        <f t="shared" ref="X853" si="533">+L853=W853</f>
        <v>1</v>
      </c>
    </row>
    <row r="854" spans="2:24" x14ac:dyDescent="0.2">
      <c r="B854" s="17">
        <v>44637</v>
      </c>
      <c r="C854" s="10" t="s">
        <v>25</v>
      </c>
      <c r="D854" s="11">
        <v>163859</v>
      </c>
      <c r="E854" s="26">
        <v>62093</v>
      </c>
      <c r="F854" s="10" t="s">
        <v>29</v>
      </c>
      <c r="G854" s="10" t="s">
        <v>27</v>
      </c>
      <c r="H854" s="27"/>
      <c r="I854" s="12"/>
      <c r="J854" s="12"/>
      <c r="K854" s="13">
        <v>990</v>
      </c>
      <c r="L854" s="21">
        <v>5</v>
      </c>
      <c r="M854" s="14" t="s">
        <v>14</v>
      </c>
      <c r="N854" s="13">
        <v>4950</v>
      </c>
      <c r="O854" s="15">
        <f t="shared" ref="O854:O855" si="534">(N854/K854)-L854</f>
        <v>0</v>
      </c>
      <c r="P854" s="10" t="s">
        <v>78</v>
      </c>
      <c r="Q854" s="11" t="s">
        <v>1930</v>
      </c>
      <c r="R854" s="11" t="s">
        <v>1931</v>
      </c>
      <c r="S854" s="16" t="s">
        <v>1932</v>
      </c>
      <c r="T854" s="19" t="str">
        <f>MONTH(B854)&amp;"-"&amp;YEAR(B854)</f>
        <v>3-2022</v>
      </c>
      <c r="U854" s="2">
        <f>YEAR(B854)</f>
        <v>2022</v>
      </c>
      <c r="V854" s="2" t="str">
        <f>IF(DAY(B854)&gt;15,MONTH(B854)&amp;"-C",MONTH(B854)&amp;"-N")</f>
        <v>3-C</v>
      </c>
      <c r="W854" s="21">
        <v>5</v>
      </c>
      <c r="X854" s="2" t="b">
        <f t="shared" ref="X854:X855" si="535">+L854=W854</f>
        <v>1</v>
      </c>
    </row>
    <row r="855" spans="2:24" x14ac:dyDescent="0.2">
      <c r="B855" s="17">
        <v>44637</v>
      </c>
      <c r="C855" s="10" t="s">
        <v>25</v>
      </c>
      <c r="D855" s="11">
        <v>163807</v>
      </c>
      <c r="E855" s="26">
        <v>62094</v>
      </c>
      <c r="F855" s="10" t="s">
        <v>49</v>
      </c>
      <c r="G855" s="10" t="s">
        <v>27</v>
      </c>
      <c r="H855" s="27" t="s">
        <v>50</v>
      </c>
      <c r="I855" s="12"/>
      <c r="J855" s="12"/>
      <c r="K855" s="13">
        <v>1140</v>
      </c>
      <c r="L855" s="21">
        <v>10.25</v>
      </c>
      <c r="M855" s="14" t="s">
        <v>14</v>
      </c>
      <c r="N855" s="13">
        <v>11685</v>
      </c>
      <c r="O855" s="15">
        <f t="shared" si="534"/>
        <v>0</v>
      </c>
      <c r="P855" s="10" t="s">
        <v>78</v>
      </c>
      <c r="Q855" s="11" t="s">
        <v>1936</v>
      </c>
      <c r="R855" s="11" t="s">
        <v>1937</v>
      </c>
      <c r="S855" s="16" t="s">
        <v>1938</v>
      </c>
      <c r="T855" s="19" t="str">
        <f>MONTH(B855)&amp;"-"&amp;YEAR(B855)</f>
        <v>3-2022</v>
      </c>
      <c r="U855" s="2">
        <f>YEAR(B855)</f>
        <v>2022</v>
      </c>
      <c r="V855" s="2" t="str">
        <f>IF(DAY(B855)&gt;15,MONTH(B855)&amp;"-C",MONTH(B855)&amp;"-N")</f>
        <v>3-C</v>
      </c>
      <c r="W855" s="21">
        <v>10.25</v>
      </c>
      <c r="X855" s="2" t="b">
        <f t="shared" si="535"/>
        <v>1</v>
      </c>
    </row>
    <row r="856" spans="2:24" x14ac:dyDescent="0.2">
      <c r="B856" s="17">
        <v>44641</v>
      </c>
      <c r="C856" s="10" t="s">
        <v>25</v>
      </c>
      <c r="D856" s="11">
        <v>163807</v>
      </c>
      <c r="E856" s="26">
        <v>62166</v>
      </c>
      <c r="F856" s="10" t="s">
        <v>31</v>
      </c>
      <c r="G856" s="10" t="s">
        <v>27</v>
      </c>
      <c r="H856" s="27" t="s">
        <v>32</v>
      </c>
      <c r="I856" s="12"/>
      <c r="J856" s="12"/>
      <c r="K856" s="13">
        <v>960</v>
      </c>
      <c r="L856" s="21">
        <v>4.95</v>
      </c>
      <c r="M856" s="14" t="s">
        <v>14</v>
      </c>
      <c r="N856" s="13">
        <v>4752</v>
      </c>
      <c r="O856" s="15">
        <f t="shared" ref="O856:O858" si="536">(N856/K856)-L856</f>
        <v>0</v>
      </c>
      <c r="P856" s="10" t="s">
        <v>78</v>
      </c>
      <c r="Q856" s="11" t="s">
        <v>1948</v>
      </c>
      <c r="R856" s="11" t="s">
        <v>1949</v>
      </c>
      <c r="S856" s="16" t="s">
        <v>1950</v>
      </c>
      <c r="T856" s="19" t="str">
        <f>MONTH(B856)&amp;"-"&amp;YEAR(B856)</f>
        <v>3-2022</v>
      </c>
      <c r="U856" s="2">
        <f>YEAR(B856)</f>
        <v>2022</v>
      </c>
      <c r="V856" s="2" t="str">
        <f>IF(DAY(B856)&gt;15,MONTH(B856)&amp;"-C",MONTH(B856)&amp;"-N")</f>
        <v>3-C</v>
      </c>
      <c r="W856" s="21">
        <v>4.95</v>
      </c>
      <c r="X856" s="2" t="b">
        <f t="shared" ref="X856:X858" si="537">+L856=W856</f>
        <v>1</v>
      </c>
    </row>
    <row r="857" spans="2:24" x14ac:dyDescent="0.2">
      <c r="B857" s="17">
        <v>44641</v>
      </c>
      <c r="C857" s="10" t="s">
        <v>25</v>
      </c>
      <c r="D857" s="11">
        <v>163807</v>
      </c>
      <c r="E857" s="26">
        <v>62166</v>
      </c>
      <c r="F857" s="10" t="s">
        <v>49</v>
      </c>
      <c r="G857" s="10" t="s">
        <v>27</v>
      </c>
      <c r="H857" s="27" t="s">
        <v>50</v>
      </c>
      <c r="I857" s="12"/>
      <c r="J857" s="12"/>
      <c r="K857" s="13">
        <v>1140</v>
      </c>
      <c r="L857" s="21">
        <v>10.25</v>
      </c>
      <c r="M857" s="14" t="s">
        <v>14</v>
      </c>
      <c r="N857" s="13">
        <v>11685</v>
      </c>
      <c r="O857" s="15">
        <f t="shared" si="536"/>
        <v>0</v>
      </c>
      <c r="P857" s="10" t="s">
        <v>78</v>
      </c>
      <c r="Q857" s="11" t="s">
        <v>1948</v>
      </c>
      <c r="R857" s="11" t="s">
        <v>1949</v>
      </c>
      <c r="S857" s="16" t="s">
        <v>1950</v>
      </c>
      <c r="T857" s="19" t="str">
        <f>MONTH(B857)&amp;"-"&amp;YEAR(B857)</f>
        <v>3-2022</v>
      </c>
      <c r="U857" s="2">
        <f>YEAR(B857)</f>
        <v>2022</v>
      </c>
      <c r="V857" s="2" t="str">
        <f>IF(DAY(B857)&gt;15,MONTH(B857)&amp;"-C",MONTH(B857)&amp;"-N")</f>
        <v>3-C</v>
      </c>
      <c r="W857" s="21">
        <v>10.25</v>
      </c>
      <c r="X857" s="2" t="b">
        <f t="shared" si="537"/>
        <v>1</v>
      </c>
    </row>
    <row r="858" spans="2:24" x14ac:dyDescent="0.2">
      <c r="B858" s="17">
        <v>44642</v>
      </c>
      <c r="C858" s="10" t="s">
        <v>25</v>
      </c>
      <c r="D858" s="11">
        <v>163756</v>
      </c>
      <c r="E858" s="26">
        <v>62182</v>
      </c>
      <c r="F858" s="10" t="s">
        <v>26</v>
      </c>
      <c r="G858" s="10" t="s">
        <v>27</v>
      </c>
      <c r="H858" s="27" t="s">
        <v>28</v>
      </c>
      <c r="I858" s="12"/>
      <c r="J858" s="12"/>
      <c r="K858" s="13">
        <v>18900</v>
      </c>
      <c r="L858" s="21">
        <v>5.25</v>
      </c>
      <c r="M858" s="14" t="s">
        <v>14</v>
      </c>
      <c r="N858" s="13">
        <v>99225</v>
      </c>
      <c r="O858" s="15">
        <f t="shared" si="536"/>
        <v>0</v>
      </c>
      <c r="P858" s="10" t="s">
        <v>78</v>
      </c>
      <c r="Q858" s="11" t="s">
        <v>1942</v>
      </c>
      <c r="R858" s="11" t="s">
        <v>1943</v>
      </c>
      <c r="S858" s="16" t="s">
        <v>1944</v>
      </c>
      <c r="T858" s="19" t="str">
        <f>MONTH(B858)&amp;"-"&amp;YEAR(B858)</f>
        <v>3-2022</v>
      </c>
      <c r="U858" s="2">
        <f>YEAR(B858)</f>
        <v>2022</v>
      </c>
      <c r="V858" s="2" t="str">
        <f>IF(DAY(B858)&gt;15,MONTH(B858)&amp;"-C",MONTH(B858)&amp;"-N")</f>
        <v>3-C</v>
      </c>
      <c r="W858" s="21">
        <v>5.25</v>
      </c>
      <c r="X858" s="2" t="b">
        <f t="shared" si="537"/>
        <v>1</v>
      </c>
    </row>
    <row r="859" spans="2:24" x14ac:dyDescent="0.2">
      <c r="B859" s="17">
        <v>44643</v>
      </c>
      <c r="C859" s="10" t="s">
        <v>108</v>
      </c>
      <c r="D859" s="11">
        <v>163067</v>
      </c>
      <c r="E859" s="26">
        <v>62205</v>
      </c>
      <c r="F859" s="10" t="s">
        <v>127</v>
      </c>
      <c r="G859" s="10" t="s">
        <v>46</v>
      </c>
      <c r="H859" s="27"/>
      <c r="I859" s="12"/>
      <c r="J859" s="12"/>
      <c r="K859" s="13">
        <v>368</v>
      </c>
      <c r="L859" s="21">
        <v>13.22</v>
      </c>
      <c r="M859" s="14" t="s">
        <v>14</v>
      </c>
      <c r="N859" s="13">
        <v>4864.96</v>
      </c>
      <c r="O859" s="15">
        <f t="shared" ref="O859:O864" si="538">(N859/K859)-L859</f>
        <v>0</v>
      </c>
      <c r="P859" s="10" t="s">
        <v>84</v>
      </c>
      <c r="Q859" s="11" t="s">
        <v>1957</v>
      </c>
      <c r="R859" s="11" t="s">
        <v>1958</v>
      </c>
      <c r="S859" s="16" t="s">
        <v>1959</v>
      </c>
      <c r="T859" s="19" t="str">
        <f>MONTH(B859)&amp;"-"&amp;YEAR(B859)</f>
        <v>3-2022</v>
      </c>
      <c r="U859" s="2">
        <f>YEAR(B859)</f>
        <v>2022</v>
      </c>
      <c r="V859" s="2" t="str">
        <f>IF(DAY(B859)&gt;15,MONTH(B859)&amp;"-C",MONTH(B859)&amp;"-N")</f>
        <v>3-C</v>
      </c>
      <c r="W859" s="21">
        <v>13.22</v>
      </c>
      <c r="X859" s="2" t="b">
        <f t="shared" ref="X859:X864" si="539">+L859=W859</f>
        <v>1</v>
      </c>
    </row>
    <row r="860" spans="2:24" x14ac:dyDescent="0.2">
      <c r="B860" s="17">
        <v>44643</v>
      </c>
      <c r="C860" s="10" t="s">
        <v>108</v>
      </c>
      <c r="D860" s="11">
        <v>163067</v>
      </c>
      <c r="E860" s="26">
        <v>62205</v>
      </c>
      <c r="F860" s="10" t="s">
        <v>121</v>
      </c>
      <c r="G860" s="10" t="s">
        <v>46</v>
      </c>
      <c r="H860" s="27"/>
      <c r="I860" s="12"/>
      <c r="J860" s="12"/>
      <c r="K860" s="13">
        <v>460</v>
      </c>
      <c r="L860" s="21">
        <v>13.03</v>
      </c>
      <c r="M860" s="14" t="s">
        <v>14</v>
      </c>
      <c r="N860" s="13">
        <v>5993.8</v>
      </c>
      <c r="O860" s="15">
        <f t="shared" si="538"/>
        <v>0</v>
      </c>
      <c r="P860" s="10" t="s">
        <v>84</v>
      </c>
      <c r="Q860" s="11" t="s">
        <v>1957</v>
      </c>
      <c r="R860" s="11" t="s">
        <v>1958</v>
      </c>
      <c r="S860" s="16" t="s">
        <v>1959</v>
      </c>
      <c r="T860" s="19" t="str">
        <f>MONTH(B860)&amp;"-"&amp;YEAR(B860)</f>
        <v>3-2022</v>
      </c>
      <c r="U860" s="2">
        <f>YEAR(B860)</f>
        <v>2022</v>
      </c>
      <c r="V860" s="2" t="str">
        <f>IF(DAY(B860)&gt;15,MONTH(B860)&amp;"-C",MONTH(B860)&amp;"-N")</f>
        <v>3-C</v>
      </c>
      <c r="W860" s="21">
        <v>13.03</v>
      </c>
      <c r="X860" s="2" t="b">
        <f t="shared" si="539"/>
        <v>1</v>
      </c>
    </row>
    <row r="861" spans="2:24" x14ac:dyDescent="0.2">
      <c r="B861" s="17">
        <v>44643</v>
      </c>
      <c r="C861" s="10" t="s">
        <v>108</v>
      </c>
      <c r="D861" s="11">
        <v>163067</v>
      </c>
      <c r="E861" s="26">
        <v>62205</v>
      </c>
      <c r="F861" s="10" t="s">
        <v>123</v>
      </c>
      <c r="G861" s="10" t="s">
        <v>46</v>
      </c>
      <c r="H861" s="27"/>
      <c r="I861" s="12"/>
      <c r="J861" s="12"/>
      <c r="K861" s="13">
        <v>1150</v>
      </c>
      <c r="L861" s="21">
        <v>13.03</v>
      </c>
      <c r="M861" s="14" t="s">
        <v>14</v>
      </c>
      <c r="N861" s="13">
        <v>14984.5</v>
      </c>
      <c r="O861" s="15">
        <f t="shared" si="538"/>
        <v>0</v>
      </c>
      <c r="P861" s="10" t="s">
        <v>84</v>
      </c>
      <c r="Q861" s="11" t="s">
        <v>1957</v>
      </c>
      <c r="R861" s="11" t="s">
        <v>1958</v>
      </c>
      <c r="S861" s="16" t="s">
        <v>1959</v>
      </c>
      <c r="T861" s="19" t="str">
        <f>MONTH(B861)&amp;"-"&amp;YEAR(B861)</f>
        <v>3-2022</v>
      </c>
      <c r="U861" s="2">
        <f>YEAR(B861)</f>
        <v>2022</v>
      </c>
      <c r="V861" s="2" t="str">
        <f>IF(DAY(B861)&gt;15,MONTH(B861)&amp;"-C",MONTH(B861)&amp;"-N")</f>
        <v>3-C</v>
      </c>
      <c r="W861" s="21">
        <v>13.03</v>
      </c>
      <c r="X861" s="2" t="b">
        <f t="shared" si="539"/>
        <v>1</v>
      </c>
    </row>
    <row r="862" spans="2:24" x14ac:dyDescent="0.2">
      <c r="B862" s="17">
        <v>44643</v>
      </c>
      <c r="C862" s="10" t="s">
        <v>108</v>
      </c>
      <c r="D862" s="11">
        <v>163067</v>
      </c>
      <c r="E862" s="26">
        <v>62205</v>
      </c>
      <c r="F862" s="10" t="s">
        <v>139</v>
      </c>
      <c r="G862" s="10" t="s">
        <v>46</v>
      </c>
      <c r="H862" s="27"/>
      <c r="I862" s="12"/>
      <c r="J862" s="12"/>
      <c r="K862" s="13">
        <v>6072</v>
      </c>
      <c r="L862" s="21">
        <v>11.75</v>
      </c>
      <c r="M862" s="14" t="s">
        <v>14</v>
      </c>
      <c r="N862" s="13">
        <v>71346</v>
      </c>
      <c r="O862" s="15">
        <f t="shared" si="538"/>
        <v>0</v>
      </c>
      <c r="P862" s="10" t="s">
        <v>84</v>
      </c>
      <c r="Q862" s="11" t="s">
        <v>1957</v>
      </c>
      <c r="R862" s="11" t="s">
        <v>1958</v>
      </c>
      <c r="S862" s="16" t="s">
        <v>1959</v>
      </c>
      <c r="T862" s="19" t="str">
        <f>MONTH(B862)&amp;"-"&amp;YEAR(B862)</f>
        <v>3-2022</v>
      </c>
      <c r="U862" s="2">
        <f>YEAR(B862)</f>
        <v>2022</v>
      </c>
      <c r="V862" s="2" t="str">
        <f>IF(DAY(B862)&gt;15,MONTH(B862)&amp;"-C",MONTH(B862)&amp;"-N")</f>
        <v>3-C</v>
      </c>
      <c r="W862" s="21">
        <v>11.75</v>
      </c>
      <c r="X862" s="2" t="b">
        <f t="shared" si="539"/>
        <v>1</v>
      </c>
    </row>
    <row r="863" spans="2:24" x14ac:dyDescent="0.2">
      <c r="B863" s="17">
        <v>44643</v>
      </c>
      <c r="C863" s="10" t="s">
        <v>108</v>
      </c>
      <c r="D863" s="11">
        <v>163067</v>
      </c>
      <c r="E863" s="26">
        <v>62205</v>
      </c>
      <c r="F863" s="10" t="s">
        <v>129</v>
      </c>
      <c r="G863" s="10" t="s">
        <v>46</v>
      </c>
      <c r="H863" s="27"/>
      <c r="I863" s="12"/>
      <c r="J863" s="12"/>
      <c r="K863" s="13">
        <v>8740</v>
      </c>
      <c r="L863" s="21">
        <v>13.22</v>
      </c>
      <c r="M863" s="14" t="s">
        <v>14</v>
      </c>
      <c r="N863" s="13">
        <v>115542.8</v>
      </c>
      <c r="O863" s="15">
        <f t="shared" si="538"/>
        <v>0</v>
      </c>
      <c r="P863" s="10" t="s">
        <v>84</v>
      </c>
      <c r="Q863" s="11" t="s">
        <v>1957</v>
      </c>
      <c r="R863" s="11" t="s">
        <v>1958</v>
      </c>
      <c r="S863" s="16" t="s">
        <v>1959</v>
      </c>
      <c r="T863" s="19" t="str">
        <f>MONTH(B863)&amp;"-"&amp;YEAR(B863)</f>
        <v>3-2022</v>
      </c>
      <c r="U863" s="2">
        <f>YEAR(B863)</f>
        <v>2022</v>
      </c>
      <c r="V863" s="2" t="str">
        <f>IF(DAY(B863)&gt;15,MONTH(B863)&amp;"-C",MONTH(B863)&amp;"-N")</f>
        <v>3-C</v>
      </c>
      <c r="W863" s="21">
        <v>13.22</v>
      </c>
      <c r="X863" s="2" t="b">
        <f t="shared" si="539"/>
        <v>1</v>
      </c>
    </row>
    <row r="864" spans="2:24" x14ac:dyDescent="0.2">
      <c r="B864" s="17">
        <v>44643</v>
      </c>
      <c r="C864" s="10" t="s">
        <v>73</v>
      </c>
      <c r="D864" s="11">
        <v>164332</v>
      </c>
      <c r="E864" s="26">
        <v>62229</v>
      </c>
      <c r="F864" s="10" t="s">
        <v>1960</v>
      </c>
      <c r="G864" s="10" t="s">
        <v>46</v>
      </c>
      <c r="H864" s="27"/>
      <c r="I864" s="12"/>
      <c r="J864" s="12"/>
      <c r="K864" s="13">
        <v>4</v>
      </c>
      <c r="L864" s="21">
        <v>16</v>
      </c>
      <c r="M864" s="14" t="s">
        <v>14</v>
      </c>
      <c r="N864" s="13">
        <v>64</v>
      </c>
      <c r="O864" s="15">
        <f t="shared" si="538"/>
        <v>0</v>
      </c>
      <c r="P864" s="10" t="s">
        <v>84</v>
      </c>
      <c r="Q864" s="11" t="s">
        <v>1961</v>
      </c>
      <c r="R864" s="11" t="s">
        <v>1962</v>
      </c>
      <c r="S864" s="16" t="s">
        <v>1963</v>
      </c>
      <c r="T864" s="19" t="str">
        <f>MONTH(B864)&amp;"-"&amp;YEAR(B864)</f>
        <v>3-2022</v>
      </c>
      <c r="U864" s="2">
        <f>YEAR(B864)</f>
        <v>2022</v>
      </c>
      <c r="V864" s="2" t="str">
        <f>IF(DAY(B864)&gt;15,MONTH(B864)&amp;"-C",MONTH(B864)&amp;"-N")</f>
        <v>3-C</v>
      </c>
      <c r="W864" s="21">
        <v>16</v>
      </c>
      <c r="X864" s="2" t="b">
        <f t="shared" si="539"/>
        <v>1</v>
      </c>
    </row>
    <row r="865" spans="2:24" x14ac:dyDescent="0.2">
      <c r="B865" s="17">
        <v>44645</v>
      </c>
      <c r="C865" s="10" t="s">
        <v>25</v>
      </c>
      <c r="D865" s="11">
        <v>164152</v>
      </c>
      <c r="E865" s="26">
        <v>62239</v>
      </c>
      <c r="F865" s="10" t="s">
        <v>26</v>
      </c>
      <c r="G865" s="10" t="s">
        <v>27</v>
      </c>
      <c r="H865" s="27" t="s">
        <v>28</v>
      </c>
      <c r="I865" s="12"/>
      <c r="J865" s="12"/>
      <c r="K865" s="13">
        <v>17900</v>
      </c>
      <c r="L865" s="21">
        <v>5.0199999999999996</v>
      </c>
      <c r="M865" s="14" t="s">
        <v>14</v>
      </c>
      <c r="N865" s="13">
        <v>89858</v>
      </c>
      <c r="O865" s="15">
        <f t="shared" ref="O865:O869" si="540">(N865/K865)-L865</f>
        <v>0</v>
      </c>
      <c r="P865" s="10" t="s">
        <v>78</v>
      </c>
      <c r="Q865" s="11" t="s">
        <v>1939</v>
      </c>
      <c r="R865" s="11" t="s">
        <v>1940</v>
      </c>
      <c r="S865" s="16" t="s">
        <v>1941</v>
      </c>
      <c r="T865" s="19" t="str">
        <f>MONTH(B865)&amp;"-"&amp;YEAR(B865)</f>
        <v>3-2022</v>
      </c>
      <c r="U865" s="2">
        <f>YEAR(B865)</f>
        <v>2022</v>
      </c>
      <c r="V865" s="2" t="str">
        <f>IF(DAY(B865)&gt;15,MONTH(B865)&amp;"-C",MONTH(B865)&amp;"-N")</f>
        <v>3-C</v>
      </c>
      <c r="W865" s="21">
        <v>5.0199999999999996</v>
      </c>
      <c r="X865" s="2" t="b">
        <f t="shared" ref="X865:X869" si="541">+L865=W865</f>
        <v>1</v>
      </c>
    </row>
    <row r="866" spans="2:24" x14ac:dyDescent="0.2">
      <c r="B866" s="17">
        <v>44645</v>
      </c>
      <c r="C866" s="10" t="s">
        <v>25</v>
      </c>
      <c r="D866" s="11">
        <v>163756</v>
      </c>
      <c r="E866" s="26">
        <v>62238</v>
      </c>
      <c r="F866" s="10" t="s">
        <v>26</v>
      </c>
      <c r="G866" s="10" t="s">
        <v>27</v>
      </c>
      <c r="H866" s="27" t="s">
        <v>28</v>
      </c>
      <c r="I866" s="12"/>
      <c r="J866" s="12"/>
      <c r="K866" s="13">
        <v>1900</v>
      </c>
      <c r="L866" s="21">
        <v>5.25</v>
      </c>
      <c r="M866" s="14" t="s">
        <v>14</v>
      </c>
      <c r="N866" s="13">
        <v>9975</v>
      </c>
      <c r="O866" s="15">
        <f t="shared" si="540"/>
        <v>0</v>
      </c>
      <c r="P866" s="10" t="s">
        <v>78</v>
      </c>
      <c r="Q866" s="11" t="s">
        <v>1945</v>
      </c>
      <c r="R866" s="11" t="s">
        <v>1946</v>
      </c>
      <c r="S866" s="16" t="s">
        <v>1947</v>
      </c>
      <c r="T866" s="19" t="str">
        <f>MONTH(B866)&amp;"-"&amp;YEAR(B866)</f>
        <v>3-2022</v>
      </c>
      <c r="U866" s="2">
        <f>YEAR(B866)</f>
        <v>2022</v>
      </c>
      <c r="V866" s="2" t="str">
        <f>IF(DAY(B866)&gt;15,MONTH(B866)&amp;"-C",MONTH(B866)&amp;"-N")</f>
        <v>3-C</v>
      </c>
      <c r="W866" s="21">
        <v>5.25</v>
      </c>
      <c r="X866" s="2" t="b">
        <f t="shared" si="541"/>
        <v>1</v>
      </c>
    </row>
    <row r="867" spans="2:24" x14ac:dyDescent="0.2">
      <c r="B867" s="17">
        <v>44645</v>
      </c>
      <c r="C867" s="10" t="s">
        <v>25</v>
      </c>
      <c r="D867" s="11">
        <v>163807</v>
      </c>
      <c r="E867" s="26">
        <v>62243</v>
      </c>
      <c r="F867" s="10" t="s">
        <v>31</v>
      </c>
      <c r="G867" s="10" t="s">
        <v>27</v>
      </c>
      <c r="H867" s="27" t="s">
        <v>32</v>
      </c>
      <c r="I867" s="12"/>
      <c r="J867" s="12"/>
      <c r="K867" s="13">
        <v>960</v>
      </c>
      <c r="L867" s="21">
        <v>4.95</v>
      </c>
      <c r="M867" s="14" t="s">
        <v>14</v>
      </c>
      <c r="N867" s="13">
        <v>4752</v>
      </c>
      <c r="O867" s="15">
        <f t="shared" si="540"/>
        <v>0</v>
      </c>
      <c r="P867" s="10" t="s">
        <v>78</v>
      </c>
      <c r="Q867" s="11" t="s">
        <v>1951</v>
      </c>
      <c r="R867" s="11" t="s">
        <v>1952</v>
      </c>
      <c r="S867" s="16" t="s">
        <v>1953</v>
      </c>
      <c r="T867" s="19" t="str">
        <f>MONTH(B867)&amp;"-"&amp;YEAR(B867)</f>
        <v>3-2022</v>
      </c>
      <c r="U867" s="2">
        <f>YEAR(B867)</f>
        <v>2022</v>
      </c>
      <c r="V867" s="2" t="str">
        <f>IF(DAY(B867)&gt;15,MONTH(B867)&amp;"-C",MONTH(B867)&amp;"-N")</f>
        <v>3-C</v>
      </c>
      <c r="W867" s="21">
        <v>4.95</v>
      </c>
      <c r="X867" s="2" t="b">
        <f t="shared" si="541"/>
        <v>1</v>
      </c>
    </row>
    <row r="868" spans="2:24" x14ac:dyDescent="0.2">
      <c r="B868" s="17">
        <v>44645</v>
      </c>
      <c r="C868" s="10" t="s">
        <v>25</v>
      </c>
      <c r="D868" s="11">
        <v>163807</v>
      </c>
      <c r="E868" s="26">
        <v>62243</v>
      </c>
      <c r="F868" s="10" t="s">
        <v>49</v>
      </c>
      <c r="G868" s="10" t="s">
        <v>27</v>
      </c>
      <c r="H868" s="27" t="s">
        <v>50</v>
      </c>
      <c r="I868" s="12"/>
      <c r="J868" s="12"/>
      <c r="K868" s="13">
        <v>1140</v>
      </c>
      <c r="L868" s="21">
        <v>10.25</v>
      </c>
      <c r="M868" s="14" t="s">
        <v>14</v>
      </c>
      <c r="N868" s="13">
        <v>11685</v>
      </c>
      <c r="O868" s="15">
        <f t="shared" si="540"/>
        <v>0</v>
      </c>
      <c r="P868" s="10" t="s">
        <v>78</v>
      </c>
      <c r="Q868" s="11" t="s">
        <v>1951</v>
      </c>
      <c r="R868" s="11" t="s">
        <v>1952</v>
      </c>
      <c r="S868" s="16" t="s">
        <v>1953</v>
      </c>
      <c r="T868" s="19" t="str">
        <f>MONTH(B868)&amp;"-"&amp;YEAR(B868)</f>
        <v>3-2022</v>
      </c>
      <c r="U868" s="2">
        <f>YEAR(B868)</f>
        <v>2022</v>
      </c>
      <c r="V868" s="2" t="str">
        <f>IF(DAY(B868)&gt;15,MONTH(B868)&amp;"-C",MONTH(B868)&amp;"-N")</f>
        <v>3-C</v>
      </c>
      <c r="W868" s="21">
        <v>10.25</v>
      </c>
      <c r="X868" s="2" t="b">
        <f t="shared" si="541"/>
        <v>1</v>
      </c>
    </row>
    <row r="869" spans="2:24" x14ac:dyDescent="0.2">
      <c r="B869" s="17">
        <v>44646</v>
      </c>
      <c r="C869" s="10" t="s">
        <v>73</v>
      </c>
      <c r="D869" s="11">
        <v>164320</v>
      </c>
      <c r="E869" s="26">
        <v>62257</v>
      </c>
      <c r="F869" s="10" t="s">
        <v>399</v>
      </c>
      <c r="G869" s="10" t="s">
        <v>46</v>
      </c>
      <c r="H869" s="27"/>
      <c r="I869" s="12"/>
      <c r="J869" s="12"/>
      <c r="K869" s="13">
        <v>1440</v>
      </c>
      <c r="L869" s="21">
        <v>16.8</v>
      </c>
      <c r="M869" s="14" t="s">
        <v>14</v>
      </c>
      <c r="N869" s="13">
        <v>24192</v>
      </c>
      <c r="O869" s="15">
        <f t="shared" si="540"/>
        <v>0</v>
      </c>
      <c r="P869" s="10" t="s">
        <v>84</v>
      </c>
      <c r="Q869" s="11" t="s">
        <v>1891</v>
      </c>
      <c r="R869" s="11" t="s">
        <v>1892</v>
      </c>
      <c r="S869" s="16" t="s">
        <v>1893</v>
      </c>
      <c r="T869" s="19" t="str">
        <f>MONTH(B869)&amp;"-"&amp;YEAR(B869)</f>
        <v>3-2022</v>
      </c>
      <c r="U869" s="2">
        <f>YEAR(B869)</f>
        <v>2022</v>
      </c>
      <c r="V869" s="2" t="str">
        <f>IF(DAY(B869)&gt;15,MONTH(B869)&amp;"-C",MONTH(B869)&amp;"-N")</f>
        <v>3-C</v>
      </c>
      <c r="W869" s="21">
        <v>16.8</v>
      </c>
      <c r="X869" s="2" t="b">
        <f t="shared" si="541"/>
        <v>1</v>
      </c>
    </row>
    <row r="870" spans="2:24" x14ac:dyDescent="0.2">
      <c r="B870" s="17">
        <v>44651</v>
      </c>
      <c r="C870" s="10" t="s">
        <v>86</v>
      </c>
      <c r="D870" s="11">
        <v>164006</v>
      </c>
      <c r="E870" s="26">
        <v>62333</v>
      </c>
      <c r="F870" s="10" t="s">
        <v>29</v>
      </c>
      <c r="G870" s="10" t="s">
        <v>27</v>
      </c>
      <c r="H870" s="27"/>
      <c r="I870" s="12"/>
      <c r="J870" s="12"/>
      <c r="K870" s="13">
        <v>1320</v>
      </c>
      <c r="L870" s="21">
        <v>5.25</v>
      </c>
      <c r="M870" s="14" t="s">
        <v>14</v>
      </c>
      <c r="N870" s="13">
        <v>6930</v>
      </c>
      <c r="O870" s="15">
        <f t="shared" ref="O870" si="542">(N870/K870)-L870</f>
        <v>0</v>
      </c>
      <c r="P870" s="10" t="s">
        <v>78</v>
      </c>
      <c r="Q870" s="11" t="s">
        <v>1915</v>
      </c>
      <c r="R870" s="11" t="s">
        <v>1916</v>
      </c>
      <c r="S870" s="16" t="s">
        <v>1917</v>
      </c>
      <c r="T870" s="19" t="str">
        <f>MONTH(B870)&amp;"-"&amp;YEAR(B870)</f>
        <v>3-2022</v>
      </c>
      <c r="U870" s="2">
        <f>YEAR(B870)</f>
        <v>2022</v>
      </c>
      <c r="V870" s="2" t="str">
        <f>IF(DAY(B870)&gt;15,MONTH(B870)&amp;"-C",MONTH(B870)&amp;"-N")</f>
        <v>3-C</v>
      </c>
      <c r="W870" s="21">
        <v>5.25</v>
      </c>
      <c r="X870" s="2" t="b">
        <f t="shared" ref="X870" si="543">+L870=W870</f>
        <v>1</v>
      </c>
    </row>
    <row r="871" spans="2:24" x14ac:dyDescent="0.2">
      <c r="B871" s="17">
        <v>44652</v>
      </c>
      <c r="C871" s="10" t="s">
        <v>25</v>
      </c>
      <c r="D871" s="11">
        <v>164152</v>
      </c>
      <c r="E871" s="26">
        <v>62361</v>
      </c>
      <c r="F871" s="10" t="s">
        <v>26</v>
      </c>
      <c r="G871" s="10" t="s">
        <v>27</v>
      </c>
      <c r="H871" s="27" t="s">
        <v>28</v>
      </c>
      <c r="I871" s="12"/>
      <c r="J871" s="12"/>
      <c r="K871" s="13">
        <v>5400</v>
      </c>
      <c r="L871" s="21">
        <v>5.0199999999999996</v>
      </c>
      <c r="M871" s="14" t="s">
        <v>14</v>
      </c>
      <c r="N871" s="13">
        <v>27108</v>
      </c>
      <c r="O871" s="15">
        <f t="shared" ref="O871:O873" si="544">(N871/K871)-L871</f>
        <v>0</v>
      </c>
      <c r="P871" s="10" t="s">
        <v>78</v>
      </c>
      <c r="Q871" s="11" t="s">
        <v>1968</v>
      </c>
      <c r="R871" s="11" t="s">
        <v>1969</v>
      </c>
      <c r="S871" s="16" t="s">
        <v>1970</v>
      </c>
      <c r="T871" s="19" t="str">
        <f>MONTH(B871)&amp;"-"&amp;YEAR(B871)</f>
        <v>4-2022</v>
      </c>
      <c r="U871" s="2">
        <f>YEAR(B871)</f>
        <v>2022</v>
      </c>
      <c r="V871" s="2" t="str">
        <f>IF(DAY(B871)&gt;15,MONTH(B871)&amp;"-C",MONTH(B871)&amp;"-N")</f>
        <v>4-N</v>
      </c>
      <c r="W871" s="21">
        <v>5.0199999999999996</v>
      </c>
      <c r="X871" s="2" t="b">
        <f t="shared" ref="X871:X873" si="545">+L871=W871</f>
        <v>1</v>
      </c>
    </row>
    <row r="872" spans="2:24" x14ac:dyDescent="0.2">
      <c r="B872" s="17">
        <v>44653</v>
      </c>
      <c r="C872" s="10" t="s">
        <v>108</v>
      </c>
      <c r="D872" s="11">
        <v>164349</v>
      </c>
      <c r="E872" s="26">
        <v>62364</v>
      </c>
      <c r="F872" s="10" t="s">
        <v>121</v>
      </c>
      <c r="G872" s="10" t="s">
        <v>46</v>
      </c>
      <c r="H872" s="27" t="s">
        <v>122</v>
      </c>
      <c r="I872" s="12"/>
      <c r="J872" s="12"/>
      <c r="K872" s="13">
        <v>2300</v>
      </c>
      <c r="L872" s="21">
        <v>13.36</v>
      </c>
      <c r="M872" s="14" t="s">
        <v>14</v>
      </c>
      <c r="N872" s="13">
        <v>30728</v>
      </c>
      <c r="O872" s="15">
        <f t="shared" si="544"/>
        <v>0</v>
      </c>
      <c r="P872" s="10" t="s">
        <v>84</v>
      </c>
      <c r="Q872" s="11" t="s">
        <v>1996</v>
      </c>
      <c r="R872" s="11" t="s">
        <v>1997</v>
      </c>
      <c r="S872" s="16" t="s">
        <v>1995</v>
      </c>
      <c r="T872" s="19" t="str">
        <f>MONTH(B872)&amp;"-"&amp;YEAR(B872)</f>
        <v>4-2022</v>
      </c>
      <c r="U872" s="2">
        <f>YEAR(B872)</f>
        <v>2022</v>
      </c>
      <c r="V872" s="2" t="str">
        <f>IF(DAY(B872)&gt;15,MONTH(B872)&amp;"-C",MONTH(B872)&amp;"-N")</f>
        <v>4-N</v>
      </c>
      <c r="W872" s="21">
        <v>13.36</v>
      </c>
      <c r="X872" s="2" t="b">
        <f t="shared" si="545"/>
        <v>1</v>
      </c>
    </row>
    <row r="873" spans="2:24" x14ac:dyDescent="0.2">
      <c r="B873" s="17">
        <v>44653</v>
      </c>
      <c r="C873" s="10" t="s">
        <v>108</v>
      </c>
      <c r="D873" s="11">
        <v>164349</v>
      </c>
      <c r="E873" s="26">
        <v>62364</v>
      </c>
      <c r="F873" s="10" t="s">
        <v>123</v>
      </c>
      <c r="G873" s="10" t="s">
        <v>46</v>
      </c>
      <c r="H873" s="27" t="s">
        <v>124</v>
      </c>
      <c r="I873" s="12"/>
      <c r="J873" s="12"/>
      <c r="K873" s="13">
        <v>2990</v>
      </c>
      <c r="L873" s="21">
        <v>13.36</v>
      </c>
      <c r="M873" s="14" t="s">
        <v>14</v>
      </c>
      <c r="N873" s="13">
        <v>39946.400000000001</v>
      </c>
      <c r="O873" s="15">
        <f t="shared" si="544"/>
        <v>0</v>
      </c>
      <c r="P873" s="10" t="s">
        <v>84</v>
      </c>
      <c r="Q873" s="11" t="s">
        <v>1996</v>
      </c>
      <c r="R873" s="11" t="s">
        <v>1997</v>
      </c>
      <c r="S873" s="16" t="s">
        <v>1995</v>
      </c>
      <c r="T873" s="19" t="str">
        <f>MONTH(B873)&amp;"-"&amp;YEAR(B873)</f>
        <v>4-2022</v>
      </c>
      <c r="U873" s="2">
        <f>YEAR(B873)</f>
        <v>2022</v>
      </c>
      <c r="V873" s="2" t="str">
        <f>IF(DAY(B873)&gt;15,MONTH(B873)&amp;"-C",MONTH(B873)&amp;"-N")</f>
        <v>4-N</v>
      </c>
      <c r="W873" s="21">
        <v>13.36</v>
      </c>
      <c r="X873" s="2" t="b">
        <f t="shared" si="545"/>
        <v>1</v>
      </c>
    </row>
    <row r="874" spans="2:24" x14ac:dyDescent="0.2">
      <c r="B874" s="17">
        <v>44656</v>
      </c>
      <c r="C874" s="10" t="s">
        <v>25</v>
      </c>
      <c r="D874" s="11">
        <v>164152</v>
      </c>
      <c r="E874" s="26">
        <v>62412</v>
      </c>
      <c r="F874" s="10" t="s">
        <v>26</v>
      </c>
      <c r="G874" s="10" t="s">
        <v>27</v>
      </c>
      <c r="H874" s="27" t="s">
        <v>28</v>
      </c>
      <c r="I874" s="12"/>
      <c r="J874" s="12"/>
      <c r="K874" s="13">
        <v>19800</v>
      </c>
      <c r="L874" s="21">
        <v>5.0199999999999996</v>
      </c>
      <c r="M874" s="14" t="s">
        <v>14</v>
      </c>
      <c r="N874" s="13">
        <v>99396</v>
      </c>
      <c r="O874" s="15">
        <f t="shared" ref="O874:O876" si="546">(N874/K874)-L874</f>
        <v>0</v>
      </c>
      <c r="P874" s="10" t="s">
        <v>78</v>
      </c>
      <c r="Q874" s="11" t="s">
        <v>1971</v>
      </c>
      <c r="R874" s="11" t="s">
        <v>1972</v>
      </c>
      <c r="S874" s="16" t="s">
        <v>1973</v>
      </c>
      <c r="T874" s="19" t="str">
        <f>MONTH(B874)&amp;"-"&amp;YEAR(B874)</f>
        <v>4-2022</v>
      </c>
      <c r="U874" s="2">
        <f>YEAR(B874)</f>
        <v>2022</v>
      </c>
      <c r="V874" s="2" t="str">
        <f>IF(DAY(B874)&gt;15,MONTH(B874)&amp;"-C",MONTH(B874)&amp;"-N")</f>
        <v>4-N</v>
      </c>
      <c r="W874" s="21">
        <v>5.0199999999999996</v>
      </c>
      <c r="X874" s="2" t="b">
        <f t="shared" ref="X874:X876" si="547">+L874=W874</f>
        <v>1</v>
      </c>
    </row>
    <row r="875" spans="2:24" x14ac:dyDescent="0.2">
      <c r="B875" s="17">
        <v>44657</v>
      </c>
      <c r="C875" s="10" t="s">
        <v>107</v>
      </c>
      <c r="D875" s="11">
        <v>163940</v>
      </c>
      <c r="E875" s="26">
        <v>62425</v>
      </c>
      <c r="F875" s="10" t="s">
        <v>103</v>
      </c>
      <c r="G875" s="10" t="s">
        <v>46</v>
      </c>
      <c r="H875" s="27" t="s">
        <v>104</v>
      </c>
      <c r="I875" s="12"/>
      <c r="J875" s="12"/>
      <c r="K875" s="13">
        <v>115</v>
      </c>
      <c r="L875" s="21">
        <v>40.18</v>
      </c>
      <c r="M875" s="14" t="s">
        <v>14</v>
      </c>
      <c r="N875" s="13">
        <v>4620.7</v>
      </c>
      <c r="O875" s="15">
        <f t="shared" si="546"/>
        <v>0</v>
      </c>
      <c r="P875" s="10" t="s">
        <v>84</v>
      </c>
      <c r="Q875" s="11" t="s">
        <v>1989</v>
      </c>
      <c r="R875" s="11" t="s">
        <v>1990</v>
      </c>
      <c r="S875" s="16" t="s">
        <v>1991</v>
      </c>
      <c r="T875" s="19" t="str">
        <f>MONTH(B875)&amp;"-"&amp;YEAR(B875)</f>
        <v>4-2022</v>
      </c>
      <c r="U875" s="2">
        <f>YEAR(B875)</f>
        <v>2022</v>
      </c>
      <c r="V875" s="2" t="str">
        <f>IF(DAY(B875)&gt;15,MONTH(B875)&amp;"-C",MONTH(B875)&amp;"-N")</f>
        <v>4-N</v>
      </c>
      <c r="W875" s="21">
        <v>40.18</v>
      </c>
      <c r="X875" s="2" t="b">
        <f t="shared" si="547"/>
        <v>1</v>
      </c>
    </row>
    <row r="876" spans="2:24" x14ac:dyDescent="0.2">
      <c r="B876" s="17">
        <v>44657</v>
      </c>
      <c r="C876" s="10" t="s">
        <v>107</v>
      </c>
      <c r="D876" s="11">
        <v>163940</v>
      </c>
      <c r="E876" s="26">
        <v>62425</v>
      </c>
      <c r="F876" s="10" t="s">
        <v>105</v>
      </c>
      <c r="G876" s="10" t="s">
        <v>46</v>
      </c>
      <c r="H876" s="27" t="s">
        <v>106</v>
      </c>
      <c r="I876" s="12"/>
      <c r="J876" s="12"/>
      <c r="K876" s="13">
        <v>3740</v>
      </c>
      <c r="L876" s="21">
        <v>13.29</v>
      </c>
      <c r="M876" s="14" t="s">
        <v>14</v>
      </c>
      <c r="N876" s="13">
        <v>49704.6</v>
      </c>
      <c r="O876" s="15">
        <f t="shared" si="546"/>
        <v>0</v>
      </c>
      <c r="P876" s="10" t="s">
        <v>84</v>
      </c>
      <c r="Q876" s="11" t="s">
        <v>1989</v>
      </c>
      <c r="R876" s="11" t="s">
        <v>1990</v>
      </c>
      <c r="S876" s="16" t="s">
        <v>1991</v>
      </c>
      <c r="T876" s="19" t="str">
        <f>MONTH(B876)&amp;"-"&amp;YEAR(B876)</f>
        <v>4-2022</v>
      </c>
      <c r="U876" s="2">
        <f>YEAR(B876)</f>
        <v>2022</v>
      </c>
      <c r="V876" s="2" t="str">
        <f>IF(DAY(B876)&gt;15,MONTH(B876)&amp;"-C",MONTH(B876)&amp;"-N")</f>
        <v>4-N</v>
      </c>
      <c r="W876" s="21">
        <v>13.29</v>
      </c>
      <c r="X876" s="2" t="b">
        <f t="shared" si="547"/>
        <v>1</v>
      </c>
    </row>
    <row r="877" spans="2:24" x14ac:dyDescent="0.2">
      <c r="B877" s="17">
        <v>44659</v>
      </c>
      <c r="C877" s="10" t="s">
        <v>88</v>
      </c>
      <c r="D877" s="11">
        <v>164351</v>
      </c>
      <c r="E877" s="26">
        <v>62449</v>
      </c>
      <c r="F877" s="10" t="s">
        <v>1328</v>
      </c>
      <c r="G877" s="10" t="s">
        <v>46</v>
      </c>
      <c r="H877" s="27" t="s">
        <v>1342</v>
      </c>
      <c r="I877" s="12"/>
      <c r="J877" s="12"/>
      <c r="K877" s="13">
        <v>2000</v>
      </c>
      <c r="L877" s="21">
        <v>14.75</v>
      </c>
      <c r="M877" s="14" t="s">
        <v>14</v>
      </c>
      <c r="N877" s="13">
        <v>29500</v>
      </c>
      <c r="O877" s="15">
        <f t="shared" ref="O877:O878" si="548">(N877/K877)-L877</f>
        <v>0</v>
      </c>
      <c r="P877" s="10" t="s">
        <v>84</v>
      </c>
      <c r="Q877" s="11" t="s">
        <v>1998</v>
      </c>
      <c r="R877" s="11" t="s">
        <v>1999</v>
      </c>
      <c r="S877" s="16" t="s">
        <v>2000</v>
      </c>
      <c r="T877" s="19" t="str">
        <f>MONTH(B877)&amp;"-"&amp;YEAR(B877)</f>
        <v>4-2022</v>
      </c>
      <c r="U877" s="2">
        <f>YEAR(B877)</f>
        <v>2022</v>
      </c>
      <c r="V877" s="2" t="str">
        <f>IF(DAY(B877)&gt;15,MONTH(B877)&amp;"-C",MONTH(B877)&amp;"-N")</f>
        <v>4-N</v>
      </c>
      <c r="W877" s="21">
        <v>14.75</v>
      </c>
      <c r="X877" s="2" t="b">
        <f t="shared" ref="X877:X878" si="549">+L877=W877</f>
        <v>1</v>
      </c>
    </row>
    <row r="878" spans="2:24" x14ac:dyDescent="0.2">
      <c r="B878" s="17">
        <v>44659</v>
      </c>
      <c r="C878" s="10" t="s">
        <v>88</v>
      </c>
      <c r="D878" s="11">
        <v>164351</v>
      </c>
      <c r="E878" s="26">
        <v>62449</v>
      </c>
      <c r="F878" s="10" t="s">
        <v>1329</v>
      </c>
      <c r="G878" s="10" t="s">
        <v>46</v>
      </c>
      <c r="H878" s="27" t="s">
        <v>1343</v>
      </c>
      <c r="I878" s="12"/>
      <c r="J878" s="12"/>
      <c r="K878" s="13">
        <v>200</v>
      </c>
      <c r="L878" s="21">
        <v>20.350000000000001</v>
      </c>
      <c r="M878" s="14" t="s">
        <v>14</v>
      </c>
      <c r="N878" s="13">
        <v>4070</v>
      </c>
      <c r="O878" s="15">
        <f t="shared" si="548"/>
        <v>0</v>
      </c>
      <c r="P878" s="10" t="s">
        <v>84</v>
      </c>
      <c r="Q878" s="11" t="s">
        <v>1998</v>
      </c>
      <c r="R878" s="11" t="s">
        <v>1999</v>
      </c>
      <c r="S878" s="16" t="s">
        <v>2000</v>
      </c>
      <c r="T878" s="19" t="str">
        <f>MONTH(B878)&amp;"-"&amp;YEAR(B878)</f>
        <v>4-2022</v>
      </c>
      <c r="U878" s="2">
        <f>YEAR(B878)</f>
        <v>2022</v>
      </c>
      <c r="V878" s="2" t="str">
        <f>IF(DAY(B878)&gt;15,MONTH(B878)&amp;"-C",MONTH(B878)&amp;"-N")</f>
        <v>4-N</v>
      </c>
      <c r="W878" s="21">
        <v>20.350000000000001</v>
      </c>
      <c r="X878" s="2" t="b">
        <f t="shared" si="549"/>
        <v>1</v>
      </c>
    </row>
    <row r="879" spans="2:24" x14ac:dyDescent="0.2">
      <c r="B879" s="17">
        <v>44660</v>
      </c>
      <c r="C879" s="10" t="s">
        <v>48</v>
      </c>
      <c r="D879" s="11">
        <v>163403</v>
      </c>
      <c r="E879" s="26">
        <v>62461</v>
      </c>
      <c r="F879" s="10" t="s">
        <v>71</v>
      </c>
      <c r="G879" s="10" t="s">
        <v>46</v>
      </c>
      <c r="H879" s="27" t="s">
        <v>72</v>
      </c>
      <c r="I879" s="12"/>
      <c r="J879" s="12"/>
      <c r="K879" s="13">
        <v>16000</v>
      </c>
      <c r="L879" s="21">
        <v>11.579000000000001</v>
      </c>
      <c r="M879" s="14" t="s">
        <v>14</v>
      </c>
      <c r="N879" s="13">
        <v>185270.39999999999</v>
      </c>
      <c r="O879" s="15">
        <f t="shared" ref="O879" si="550">(N879/K879)-L879</f>
        <v>3.9999999999906777E-4</v>
      </c>
      <c r="P879" s="10" t="s">
        <v>90</v>
      </c>
      <c r="Q879" s="11" t="s">
        <v>1987</v>
      </c>
      <c r="R879" s="11" t="s">
        <v>1988</v>
      </c>
      <c r="S879" s="16" t="s">
        <v>1986</v>
      </c>
      <c r="T879" s="19" t="str">
        <f>MONTH(B879)&amp;"-"&amp;YEAR(B879)</f>
        <v>4-2022</v>
      </c>
      <c r="U879" s="2">
        <f>YEAR(B879)</f>
        <v>2022</v>
      </c>
      <c r="V879" s="2" t="str">
        <f>IF(DAY(B879)&gt;15,MONTH(B879)&amp;"-C",MONTH(B879)&amp;"-N")</f>
        <v>4-N</v>
      </c>
      <c r="W879" s="21">
        <v>11.579000000000001</v>
      </c>
      <c r="X879" s="2" t="b">
        <f t="shared" ref="X879" si="551">+L879=W879</f>
        <v>1</v>
      </c>
    </row>
    <row r="880" spans="2:24" x14ac:dyDescent="0.2">
      <c r="B880" s="17">
        <v>44662</v>
      </c>
      <c r="C880" s="10" t="s">
        <v>25</v>
      </c>
      <c r="D880" s="11">
        <v>164152</v>
      </c>
      <c r="E880" s="26">
        <v>62483</v>
      </c>
      <c r="F880" s="10" t="s">
        <v>26</v>
      </c>
      <c r="G880" s="10" t="s">
        <v>27</v>
      </c>
      <c r="H880" s="27" t="s">
        <v>28</v>
      </c>
      <c r="I880" s="12"/>
      <c r="J880" s="12"/>
      <c r="K880" s="13">
        <v>18900</v>
      </c>
      <c r="L880" s="21">
        <v>5.0199999999999996</v>
      </c>
      <c r="M880" s="14" t="s">
        <v>14</v>
      </c>
      <c r="N880" s="13">
        <v>94878</v>
      </c>
      <c r="O880" s="15">
        <f t="shared" ref="O880:O882" si="552">(N880/K880)-L880</f>
        <v>0</v>
      </c>
      <c r="P880" s="10" t="s">
        <v>78</v>
      </c>
      <c r="Q880" s="11" t="s">
        <v>1980</v>
      </c>
      <c r="R880" s="11" t="s">
        <v>1981</v>
      </c>
      <c r="S880" s="16" t="s">
        <v>1982</v>
      </c>
      <c r="T880" s="19" t="str">
        <f>MONTH(B880)&amp;"-"&amp;YEAR(B880)</f>
        <v>4-2022</v>
      </c>
      <c r="U880" s="2">
        <f>YEAR(B880)</f>
        <v>2022</v>
      </c>
      <c r="V880" s="2" t="str">
        <f>IF(DAY(B880)&gt;15,MONTH(B880)&amp;"-C",MONTH(B880)&amp;"-N")</f>
        <v>4-N</v>
      </c>
      <c r="W880" s="21">
        <v>5.0199999999999996</v>
      </c>
      <c r="X880" s="2" t="b">
        <f t="shared" ref="X880:X882" si="553">+L880=W880</f>
        <v>1</v>
      </c>
    </row>
    <row r="881" spans="2:24" x14ac:dyDescent="0.2">
      <c r="B881" s="17">
        <v>44663</v>
      </c>
      <c r="C881" s="10" t="s">
        <v>25</v>
      </c>
      <c r="D881" s="11">
        <v>163807</v>
      </c>
      <c r="E881" s="26">
        <v>62515</v>
      </c>
      <c r="F881" s="10" t="s">
        <v>31</v>
      </c>
      <c r="G881" s="10" t="s">
        <v>27</v>
      </c>
      <c r="H881" s="27" t="s">
        <v>32</v>
      </c>
      <c r="I881" s="12"/>
      <c r="J881" s="12"/>
      <c r="K881" s="13">
        <v>1920</v>
      </c>
      <c r="L881" s="21">
        <v>4.95</v>
      </c>
      <c r="M881" s="14" t="s">
        <v>14</v>
      </c>
      <c r="N881" s="13">
        <v>9504</v>
      </c>
      <c r="O881" s="15">
        <f t="shared" si="552"/>
        <v>0</v>
      </c>
      <c r="P881" s="10" t="s">
        <v>78</v>
      </c>
      <c r="Q881" s="11" t="s">
        <v>1974</v>
      </c>
      <c r="R881" s="11" t="s">
        <v>1975</v>
      </c>
      <c r="S881" s="16" t="s">
        <v>1976</v>
      </c>
      <c r="T881" s="19" t="str">
        <f>MONTH(B881)&amp;"-"&amp;YEAR(B881)</f>
        <v>4-2022</v>
      </c>
      <c r="U881" s="2">
        <f>YEAR(B881)</f>
        <v>2022</v>
      </c>
      <c r="V881" s="2" t="str">
        <f>IF(DAY(B881)&gt;15,MONTH(B881)&amp;"-C",MONTH(B881)&amp;"-N")</f>
        <v>4-N</v>
      </c>
      <c r="W881" s="21">
        <v>4.95</v>
      </c>
      <c r="X881" s="2" t="b">
        <f t="shared" si="553"/>
        <v>1</v>
      </c>
    </row>
    <row r="882" spans="2:24" x14ac:dyDescent="0.2">
      <c r="B882" s="17">
        <v>44663</v>
      </c>
      <c r="C882" s="10" t="s">
        <v>25</v>
      </c>
      <c r="D882" s="11">
        <v>163807</v>
      </c>
      <c r="E882" s="26">
        <v>62515</v>
      </c>
      <c r="F882" s="10" t="s">
        <v>49</v>
      </c>
      <c r="G882" s="10" t="s">
        <v>27</v>
      </c>
      <c r="H882" s="27" t="s">
        <v>50</v>
      </c>
      <c r="I882" s="12"/>
      <c r="J882" s="12"/>
      <c r="K882" s="13">
        <v>1140</v>
      </c>
      <c r="L882" s="21">
        <v>10.25</v>
      </c>
      <c r="M882" s="14" t="s">
        <v>14</v>
      </c>
      <c r="N882" s="13">
        <v>11685</v>
      </c>
      <c r="O882" s="15">
        <f t="shared" si="552"/>
        <v>0</v>
      </c>
      <c r="P882" s="10" t="s">
        <v>78</v>
      </c>
      <c r="Q882" s="11" t="s">
        <v>1974</v>
      </c>
      <c r="R882" s="11" t="s">
        <v>1975</v>
      </c>
      <c r="S882" s="16" t="s">
        <v>1976</v>
      </c>
      <c r="T882" s="19" t="str">
        <f>MONTH(B882)&amp;"-"&amp;YEAR(B882)</f>
        <v>4-2022</v>
      </c>
      <c r="U882" s="2">
        <f>YEAR(B882)</f>
        <v>2022</v>
      </c>
      <c r="V882" s="2" t="str">
        <f>IF(DAY(B882)&gt;15,MONTH(B882)&amp;"-C",MONTH(B882)&amp;"-N")</f>
        <v>4-N</v>
      </c>
      <c r="W882" s="21">
        <v>10.25</v>
      </c>
      <c r="X882" s="2" t="b">
        <f t="shared" si="553"/>
        <v>1</v>
      </c>
    </row>
    <row r="883" spans="2:24" x14ac:dyDescent="0.2">
      <c r="B883" s="17">
        <v>44666</v>
      </c>
      <c r="C883" s="10" t="s">
        <v>25</v>
      </c>
      <c r="D883" s="11">
        <v>164152</v>
      </c>
      <c r="E883" s="26">
        <v>62554</v>
      </c>
      <c r="F883" s="10" t="s">
        <v>26</v>
      </c>
      <c r="G883" s="10" t="s">
        <v>27</v>
      </c>
      <c r="H883" s="27" t="s">
        <v>28</v>
      </c>
      <c r="I883" s="12"/>
      <c r="J883" s="12"/>
      <c r="K883" s="13">
        <v>19800</v>
      </c>
      <c r="L883" s="21">
        <v>5.0199999999999996</v>
      </c>
      <c r="M883" s="14" t="s">
        <v>14</v>
      </c>
      <c r="N883" s="13">
        <v>99396</v>
      </c>
      <c r="O883" s="15">
        <f t="shared" ref="O883" si="554">(N883/K883)-L883</f>
        <v>0</v>
      </c>
      <c r="P883" s="10" t="s">
        <v>78</v>
      </c>
      <c r="Q883" s="11" t="s">
        <v>1977</v>
      </c>
      <c r="R883" s="11" t="s">
        <v>1978</v>
      </c>
      <c r="S883" s="16" t="s">
        <v>1979</v>
      </c>
      <c r="T883" s="19" t="str">
        <f>MONTH(B883)&amp;"-"&amp;YEAR(B883)</f>
        <v>4-2022</v>
      </c>
      <c r="U883" s="2">
        <f>YEAR(B883)</f>
        <v>2022</v>
      </c>
      <c r="V883" s="2" t="str">
        <f>IF(DAY(B883)&gt;15,MONTH(B883)&amp;"-C",MONTH(B883)&amp;"-N")</f>
        <v>4-N</v>
      </c>
      <c r="W883" s="21">
        <v>5.0199999999999996</v>
      </c>
      <c r="X883" s="2" t="b">
        <f t="shared" ref="X883" si="555">+L883=W883</f>
        <v>1</v>
      </c>
    </row>
    <row r="884" spans="2:24" x14ac:dyDescent="0.2">
      <c r="B884" s="17">
        <v>44671</v>
      </c>
      <c r="C884" s="10" t="s">
        <v>107</v>
      </c>
      <c r="D884" s="11">
        <v>163315</v>
      </c>
      <c r="E884" s="26">
        <v>62628</v>
      </c>
      <c r="F884" s="10" t="s">
        <v>142</v>
      </c>
      <c r="G884" s="10" t="s">
        <v>46</v>
      </c>
      <c r="H884" s="27" t="s">
        <v>143</v>
      </c>
      <c r="I884" s="12"/>
      <c r="J884" s="12"/>
      <c r="K884" s="13">
        <v>880</v>
      </c>
      <c r="L884" s="21">
        <v>8.6</v>
      </c>
      <c r="M884" s="14" t="s">
        <v>14</v>
      </c>
      <c r="N884" s="13">
        <v>7568</v>
      </c>
      <c r="O884" s="15">
        <f t="shared" ref="O884:O887" si="556">(N884/K884)-L884</f>
        <v>0</v>
      </c>
      <c r="P884" s="10" t="s">
        <v>84</v>
      </c>
      <c r="Q884" s="11" t="s">
        <v>1992</v>
      </c>
      <c r="R884" s="11" t="s">
        <v>1993</v>
      </c>
      <c r="S884" s="16" t="s">
        <v>1994</v>
      </c>
      <c r="T884" s="19" t="str">
        <f>MONTH(B884)&amp;"-"&amp;YEAR(B884)</f>
        <v>4-2022</v>
      </c>
      <c r="U884" s="2">
        <f>YEAR(B884)</f>
        <v>2022</v>
      </c>
      <c r="V884" s="2" t="str">
        <f>IF(DAY(B884)&gt;15,MONTH(B884)&amp;"-C",MONTH(B884)&amp;"-N")</f>
        <v>4-C</v>
      </c>
      <c r="W884" s="21">
        <v>8.6</v>
      </c>
      <c r="X884" s="2" t="b">
        <f t="shared" ref="X884:X887" si="557">+L884=W884</f>
        <v>1</v>
      </c>
    </row>
    <row r="885" spans="2:24" x14ac:dyDescent="0.2">
      <c r="B885" s="17">
        <v>44671</v>
      </c>
      <c r="C885" s="10" t="s">
        <v>107</v>
      </c>
      <c r="D885" s="11">
        <v>163315</v>
      </c>
      <c r="E885" s="26">
        <v>62628</v>
      </c>
      <c r="F885" s="10" t="s">
        <v>144</v>
      </c>
      <c r="G885" s="10" t="s">
        <v>46</v>
      </c>
      <c r="H885" s="27" t="s">
        <v>145</v>
      </c>
      <c r="I885" s="12"/>
      <c r="J885" s="12"/>
      <c r="K885" s="13">
        <v>200</v>
      </c>
      <c r="L885" s="21">
        <v>23</v>
      </c>
      <c r="M885" s="14" t="s">
        <v>14</v>
      </c>
      <c r="N885" s="13">
        <v>4600</v>
      </c>
      <c r="O885" s="15">
        <f t="shared" si="556"/>
        <v>0</v>
      </c>
      <c r="P885" s="10" t="s">
        <v>84</v>
      </c>
      <c r="Q885" s="11" t="s">
        <v>1992</v>
      </c>
      <c r="R885" s="11" t="s">
        <v>1993</v>
      </c>
      <c r="S885" s="16" t="s">
        <v>1994</v>
      </c>
      <c r="T885" s="19" t="str">
        <f>MONTH(B885)&amp;"-"&amp;YEAR(B885)</f>
        <v>4-2022</v>
      </c>
      <c r="U885" s="2">
        <f>YEAR(B885)</f>
        <v>2022</v>
      </c>
      <c r="V885" s="2" t="str">
        <f>IF(DAY(B885)&gt;15,MONTH(B885)&amp;"-C",MONTH(B885)&amp;"-N")</f>
        <v>4-C</v>
      </c>
      <c r="W885" s="21">
        <v>23</v>
      </c>
      <c r="X885" s="2" t="b">
        <f t="shared" si="557"/>
        <v>1</v>
      </c>
    </row>
    <row r="886" spans="2:24" x14ac:dyDescent="0.2">
      <c r="B886" s="17">
        <v>44671</v>
      </c>
      <c r="C886" s="10" t="s">
        <v>107</v>
      </c>
      <c r="D886" s="11">
        <v>163940</v>
      </c>
      <c r="E886" s="26">
        <v>62628</v>
      </c>
      <c r="F886" s="10" t="s">
        <v>103</v>
      </c>
      <c r="G886" s="10" t="s">
        <v>46</v>
      </c>
      <c r="H886" s="27" t="s">
        <v>104</v>
      </c>
      <c r="I886" s="12"/>
      <c r="J886" s="12"/>
      <c r="K886" s="13">
        <v>125</v>
      </c>
      <c r="L886" s="21">
        <v>40.18</v>
      </c>
      <c r="M886" s="14" t="s">
        <v>14</v>
      </c>
      <c r="N886" s="13">
        <v>5022.5</v>
      </c>
      <c r="O886" s="15">
        <f t="shared" si="556"/>
        <v>0</v>
      </c>
      <c r="P886" s="10" t="s">
        <v>84</v>
      </c>
      <c r="Q886" s="11" t="s">
        <v>1992</v>
      </c>
      <c r="R886" s="11" t="s">
        <v>1993</v>
      </c>
      <c r="S886" s="16" t="s">
        <v>1994</v>
      </c>
      <c r="T886" s="19" t="str">
        <f>MONTH(B886)&amp;"-"&amp;YEAR(B886)</f>
        <v>4-2022</v>
      </c>
      <c r="U886" s="2">
        <f>YEAR(B886)</f>
        <v>2022</v>
      </c>
      <c r="V886" s="2" t="str">
        <f>IF(DAY(B886)&gt;15,MONTH(B886)&amp;"-C",MONTH(B886)&amp;"-N")</f>
        <v>4-C</v>
      </c>
      <c r="W886" s="21">
        <v>40.18</v>
      </c>
      <c r="X886" s="2" t="b">
        <f t="shared" si="557"/>
        <v>1</v>
      </c>
    </row>
    <row r="887" spans="2:24" x14ac:dyDescent="0.2">
      <c r="B887" s="17">
        <v>44671</v>
      </c>
      <c r="C887" s="10" t="s">
        <v>107</v>
      </c>
      <c r="D887" s="11">
        <v>163940</v>
      </c>
      <c r="E887" s="26">
        <v>62628</v>
      </c>
      <c r="F887" s="10" t="s">
        <v>105</v>
      </c>
      <c r="G887" s="10" t="s">
        <v>46</v>
      </c>
      <c r="H887" s="27" t="s">
        <v>106</v>
      </c>
      <c r="I887" s="12"/>
      <c r="J887" s="12"/>
      <c r="K887" s="13">
        <v>3960</v>
      </c>
      <c r="L887" s="21">
        <v>13.29</v>
      </c>
      <c r="M887" s="14" t="s">
        <v>14</v>
      </c>
      <c r="N887" s="13">
        <v>52628.4</v>
      </c>
      <c r="O887" s="15">
        <f t="shared" si="556"/>
        <v>0</v>
      </c>
      <c r="P887" s="10" t="s">
        <v>84</v>
      </c>
      <c r="Q887" s="11" t="s">
        <v>1992</v>
      </c>
      <c r="R887" s="11" t="s">
        <v>1993</v>
      </c>
      <c r="S887" s="16" t="s">
        <v>1994</v>
      </c>
      <c r="T887" s="19" t="str">
        <f>MONTH(B887)&amp;"-"&amp;YEAR(B887)</f>
        <v>4-2022</v>
      </c>
      <c r="U887" s="2">
        <f>YEAR(B887)</f>
        <v>2022</v>
      </c>
      <c r="V887" s="2" t="str">
        <f>IF(DAY(B887)&gt;15,MONTH(B887)&amp;"-C",MONTH(B887)&amp;"-N")</f>
        <v>4-C</v>
      </c>
      <c r="W887" s="21">
        <v>13.29</v>
      </c>
      <c r="X887" s="2" t="b">
        <f t="shared" si="557"/>
        <v>1</v>
      </c>
    </row>
    <row r="888" spans="2:24" x14ac:dyDescent="0.2">
      <c r="B888" s="17">
        <v>44672</v>
      </c>
      <c r="C888" s="10" t="s">
        <v>94</v>
      </c>
      <c r="D888" s="11">
        <v>164495</v>
      </c>
      <c r="E888" s="26">
        <v>62641</v>
      </c>
      <c r="F888" s="10" t="s">
        <v>29</v>
      </c>
      <c r="G888" s="10" t="s">
        <v>27</v>
      </c>
      <c r="H888" s="27" t="s">
        <v>30</v>
      </c>
      <c r="I888" s="12"/>
      <c r="J888" s="12"/>
      <c r="K888" s="13">
        <v>3960</v>
      </c>
      <c r="L888" s="21">
        <v>4.75</v>
      </c>
      <c r="M888" s="14" t="s">
        <v>14</v>
      </c>
      <c r="N888" s="13">
        <v>18810</v>
      </c>
      <c r="O888" s="15">
        <f t="shared" ref="O888:O889" si="558">(N888/K888)-L888</f>
        <v>0</v>
      </c>
      <c r="P888" s="10" t="s">
        <v>84</v>
      </c>
      <c r="Q888" s="11" t="s">
        <v>1965</v>
      </c>
      <c r="R888" s="11" t="s">
        <v>1966</v>
      </c>
      <c r="S888" s="16" t="s">
        <v>1967</v>
      </c>
      <c r="T888" s="19" t="str">
        <f>MONTH(B888)&amp;"-"&amp;YEAR(B888)</f>
        <v>4-2022</v>
      </c>
      <c r="U888" s="2">
        <f>YEAR(B888)</f>
        <v>2022</v>
      </c>
      <c r="V888" s="2" t="str">
        <f>IF(DAY(B888)&gt;15,MONTH(B888)&amp;"-C",MONTH(B888)&amp;"-N")</f>
        <v>4-C</v>
      </c>
      <c r="W888" s="21">
        <v>4.75</v>
      </c>
      <c r="X888" s="2" t="b">
        <f t="shared" ref="X888:X889" si="559">+L888=W888</f>
        <v>1</v>
      </c>
    </row>
    <row r="889" spans="2:24" x14ac:dyDescent="0.2">
      <c r="B889" s="17">
        <v>44672</v>
      </c>
      <c r="C889" s="10" t="s">
        <v>25</v>
      </c>
      <c r="D889" s="11">
        <v>164152</v>
      </c>
      <c r="E889" s="26">
        <v>62644</v>
      </c>
      <c r="F889" s="10" t="s">
        <v>26</v>
      </c>
      <c r="G889" s="10" t="s">
        <v>27</v>
      </c>
      <c r="H889" s="27" t="s">
        <v>28</v>
      </c>
      <c r="I889" s="12"/>
      <c r="J889" s="12"/>
      <c r="K889" s="13">
        <v>18000</v>
      </c>
      <c r="L889" s="21">
        <v>5.0199999999999996</v>
      </c>
      <c r="M889" s="14" t="s">
        <v>14</v>
      </c>
      <c r="N889" s="13">
        <v>90360</v>
      </c>
      <c r="O889" s="15">
        <f t="shared" si="558"/>
        <v>0</v>
      </c>
      <c r="P889" s="10" t="s">
        <v>78</v>
      </c>
      <c r="Q889" s="11" t="s">
        <v>1983</v>
      </c>
      <c r="R889" s="11" t="s">
        <v>1984</v>
      </c>
      <c r="S889" s="16" t="s">
        <v>1985</v>
      </c>
      <c r="T889" s="19" t="str">
        <f>MONTH(B889)&amp;"-"&amp;YEAR(B889)</f>
        <v>4-2022</v>
      </c>
      <c r="U889" s="2">
        <f>YEAR(B889)</f>
        <v>2022</v>
      </c>
      <c r="V889" s="2" t="str">
        <f>IF(DAY(B889)&gt;15,MONTH(B889)&amp;"-C",MONTH(B889)&amp;"-N")</f>
        <v>4-C</v>
      </c>
      <c r="W889" s="21">
        <v>5.0199999999999996</v>
      </c>
      <c r="X889" s="2" t="b">
        <f t="shared" si="559"/>
        <v>1</v>
      </c>
    </row>
    <row r="890" spans="2:24" x14ac:dyDescent="0.2">
      <c r="B890" s="17">
        <v>44676</v>
      </c>
      <c r="C890" s="10" t="s">
        <v>108</v>
      </c>
      <c r="D890" s="11">
        <v>164353</v>
      </c>
      <c r="E890" s="26">
        <v>62706</v>
      </c>
      <c r="F890" s="10" t="s">
        <v>121</v>
      </c>
      <c r="G890" s="10" t="s">
        <v>46</v>
      </c>
      <c r="H890" s="27" t="s">
        <v>122</v>
      </c>
      <c r="I890" s="12"/>
      <c r="J890" s="12"/>
      <c r="K890" s="13">
        <v>2530</v>
      </c>
      <c r="L890" s="21">
        <v>13.36</v>
      </c>
      <c r="M890" s="14" t="s">
        <v>14</v>
      </c>
      <c r="N890" s="13">
        <v>33800.800000000003</v>
      </c>
      <c r="O890" s="15">
        <f t="shared" ref="O890:O896" si="560">(N890/K890)-L890</f>
        <v>0</v>
      </c>
      <c r="P890" s="10" t="s">
        <v>84</v>
      </c>
      <c r="Q890" s="11" t="s">
        <v>2002</v>
      </c>
      <c r="R890" s="11" t="s">
        <v>2003</v>
      </c>
      <c r="S890" s="16" t="s">
        <v>2001</v>
      </c>
      <c r="T890" s="19" t="str">
        <f>MONTH(B890)&amp;"-"&amp;YEAR(B890)</f>
        <v>4-2022</v>
      </c>
      <c r="U890" s="2">
        <f>YEAR(B890)</f>
        <v>2022</v>
      </c>
      <c r="V890" s="2" t="str">
        <f>IF(DAY(B890)&gt;15,MONTH(B890)&amp;"-C",MONTH(B890)&amp;"-N")</f>
        <v>4-C</v>
      </c>
      <c r="W890" s="21">
        <v>13.36</v>
      </c>
      <c r="X890" s="2" t="b">
        <f t="shared" ref="X890:X896" si="561">+L890=W890</f>
        <v>1</v>
      </c>
    </row>
    <row r="891" spans="2:24" x14ac:dyDescent="0.2">
      <c r="B891" s="17">
        <v>44676</v>
      </c>
      <c r="C891" s="10" t="s">
        <v>108</v>
      </c>
      <c r="D891" s="11">
        <v>164353</v>
      </c>
      <c r="E891" s="26">
        <v>62706</v>
      </c>
      <c r="F891" s="10" t="s">
        <v>123</v>
      </c>
      <c r="G891" s="10" t="s">
        <v>46</v>
      </c>
      <c r="H891" s="27" t="s">
        <v>124</v>
      </c>
      <c r="I891" s="12"/>
      <c r="J891" s="12"/>
      <c r="K891" s="13">
        <v>4140</v>
      </c>
      <c r="L891" s="21">
        <v>13.36</v>
      </c>
      <c r="M891" s="14" t="s">
        <v>14</v>
      </c>
      <c r="N891" s="13">
        <v>55310.400000000001</v>
      </c>
      <c r="O891" s="15">
        <f t="shared" si="560"/>
        <v>0</v>
      </c>
      <c r="P891" s="10" t="s">
        <v>84</v>
      </c>
      <c r="Q891" s="11" t="s">
        <v>2002</v>
      </c>
      <c r="R891" s="11" t="s">
        <v>2003</v>
      </c>
      <c r="S891" s="16" t="s">
        <v>2001</v>
      </c>
      <c r="T891" s="19" t="str">
        <f>MONTH(B891)&amp;"-"&amp;YEAR(B891)</f>
        <v>4-2022</v>
      </c>
      <c r="U891" s="2">
        <f>YEAR(B891)</f>
        <v>2022</v>
      </c>
      <c r="V891" s="2" t="str">
        <f>IF(DAY(B891)&gt;15,MONTH(B891)&amp;"-C",MONTH(B891)&amp;"-N")</f>
        <v>4-C</v>
      </c>
      <c r="W891" s="21">
        <v>13.36</v>
      </c>
      <c r="X891" s="2" t="b">
        <f t="shared" si="561"/>
        <v>1</v>
      </c>
    </row>
    <row r="892" spans="2:24" x14ac:dyDescent="0.2">
      <c r="B892" s="17">
        <v>44676</v>
      </c>
      <c r="C892" s="10" t="s">
        <v>108</v>
      </c>
      <c r="D892" s="11">
        <v>163067</v>
      </c>
      <c r="E892" s="26">
        <v>62706</v>
      </c>
      <c r="F892" s="10" t="s">
        <v>139</v>
      </c>
      <c r="G892" s="10" t="s">
        <v>46</v>
      </c>
      <c r="H892" s="27" t="s">
        <v>140</v>
      </c>
      <c r="I892" s="12"/>
      <c r="J892" s="12"/>
      <c r="K892" s="13">
        <v>3128</v>
      </c>
      <c r="L892" s="21">
        <v>11.75</v>
      </c>
      <c r="M892" s="14" t="s">
        <v>14</v>
      </c>
      <c r="N892" s="13">
        <v>36754</v>
      </c>
      <c r="O892" s="15">
        <f t="shared" si="560"/>
        <v>0</v>
      </c>
      <c r="P892" s="10" t="s">
        <v>84</v>
      </c>
      <c r="Q892" s="11" t="s">
        <v>2002</v>
      </c>
      <c r="R892" s="11" t="s">
        <v>2003</v>
      </c>
      <c r="S892" s="16" t="s">
        <v>2001</v>
      </c>
      <c r="T892" s="19" t="str">
        <f>MONTH(B892)&amp;"-"&amp;YEAR(B892)</f>
        <v>4-2022</v>
      </c>
      <c r="U892" s="2">
        <f>YEAR(B892)</f>
        <v>2022</v>
      </c>
      <c r="V892" s="2" t="str">
        <f>IF(DAY(B892)&gt;15,MONTH(B892)&amp;"-C",MONTH(B892)&amp;"-N")</f>
        <v>4-C</v>
      </c>
      <c r="W892" s="21">
        <v>11.75</v>
      </c>
      <c r="X892" s="2" t="b">
        <f t="shared" si="561"/>
        <v>1</v>
      </c>
    </row>
    <row r="893" spans="2:24" x14ac:dyDescent="0.2">
      <c r="B893" s="17">
        <v>44676</v>
      </c>
      <c r="C893" s="10" t="s">
        <v>108</v>
      </c>
      <c r="D893" s="11">
        <v>163067</v>
      </c>
      <c r="E893" s="26">
        <v>62706</v>
      </c>
      <c r="F893" s="10" t="s">
        <v>129</v>
      </c>
      <c r="G893" s="10" t="s">
        <v>46</v>
      </c>
      <c r="H893" s="27" t="s">
        <v>130</v>
      </c>
      <c r="I893" s="12"/>
      <c r="J893" s="12"/>
      <c r="K893" s="13">
        <v>10120</v>
      </c>
      <c r="L893" s="21">
        <v>13.22</v>
      </c>
      <c r="M893" s="14" t="s">
        <v>14</v>
      </c>
      <c r="N893" s="13">
        <v>133786.4</v>
      </c>
      <c r="O893" s="15">
        <f t="shared" si="560"/>
        <v>0</v>
      </c>
      <c r="P893" s="10" t="s">
        <v>84</v>
      </c>
      <c r="Q893" s="11" t="s">
        <v>2002</v>
      </c>
      <c r="R893" s="11" t="s">
        <v>2003</v>
      </c>
      <c r="S893" s="16" t="s">
        <v>2001</v>
      </c>
      <c r="T893" s="19" t="str">
        <f>MONTH(B893)&amp;"-"&amp;YEAR(B893)</f>
        <v>4-2022</v>
      </c>
      <c r="U893" s="2">
        <f>YEAR(B893)</f>
        <v>2022</v>
      </c>
      <c r="V893" s="2" t="str">
        <f>IF(DAY(B893)&gt;15,MONTH(B893)&amp;"-C",MONTH(B893)&amp;"-N")</f>
        <v>4-C</v>
      </c>
      <c r="W893" s="21">
        <v>13.22</v>
      </c>
      <c r="X893" s="2" t="b">
        <f t="shared" si="561"/>
        <v>1</v>
      </c>
    </row>
    <row r="894" spans="2:24" x14ac:dyDescent="0.2">
      <c r="B894" s="17">
        <v>44676</v>
      </c>
      <c r="C894" s="10" t="s">
        <v>108</v>
      </c>
      <c r="D894" s="11">
        <v>163067</v>
      </c>
      <c r="E894" s="26">
        <v>62706</v>
      </c>
      <c r="F894" s="10" t="s">
        <v>137</v>
      </c>
      <c r="G894" s="10" t="s">
        <v>46</v>
      </c>
      <c r="H894" s="27" t="s">
        <v>138</v>
      </c>
      <c r="I894" s="12"/>
      <c r="J894" s="12"/>
      <c r="K894" s="13">
        <v>600</v>
      </c>
      <c r="L894" s="21">
        <v>17.75</v>
      </c>
      <c r="M894" s="14" t="s">
        <v>14</v>
      </c>
      <c r="N894" s="13">
        <v>10650</v>
      </c>
      <c r="O894" s="15">
        <f t="shared" si="560"/>
        <v>0</v>
      </c>
      <c r="P894" s="10" t="s">
        <v>84</v>
      </c>
      <c r="Q894" s="11" t="s">
        <v>2002</v>
      </c>
      <c r="R894" s="11" t="s">
        <v>2003</v>
      </c>
      <c r="S894" s="16" t="s">
        <v>2001</v>
      </c>
      <c r="T894" s="19" t="str">
        <f>MONTH(B894)&amp;"-"&amp;YEAR(B894)</f>
        <v>4-2022</v>
      </c>
      <c r="U894" s="2">
        <f>YEAR(B894)</f>
        <v>2022</v>
      </c>
      <c r="V894" s="2" t="str">
        <f>IF(DAY(B894)&gt;15,MONTH(B894)&amp;"-C",MONTH(B894)&amp;"-N")</f>
        <v>4-C</v>
      </c>
      <c r="W894" s="21">
        <v>17.75</v>
      </c>
      <c r="X894" s="2" t="b">
        <f t="shared" si="561"/>
        <v>1</v>
      </c>
    </row>
    <row r="895" spans="2:24" x14ac:dyDescent="0.2">
      <c r="B895" s="17">
        <v>44676</v>
      </c>
      <c r="C895" s="10" t="s">
        <v>94</v>
      </c>
      <c r="D895" s="11">
        <v>164495</v>
      </c>
      <c r="E895" s="26">
        <v>62687</v>
      </c>
      <c r="F895" s="10" t="s">
        <v>26</v>
      </c>
      <c r="G895" s="10" t="s">
        <v>27</v>
      </c>
      <c r="H895" s="27" t="s">
        <v>28</v>
      </c>
      <c r="I895" s="12"/>
      <c r="J895" s="12"/>
      <c r="K895" s="13">
        <v>19800</v>
      </c>
      <c r="L895" s="21">
        <v>5.4</v>
      </c>
      <c r="M895" s="14" t="s">
        <v>14</v>
      </c>
      <c r="N895" s="13">
        <v>106920</v>
      </c>
      <c r="O895" s="15">
        <f t="shared" si="560"/>
        <v>0</v>
      </c>
      <c r="P895" s="10" t="s">
        <v>78</v>
      </c>
      <c r="Q895" s="11" t="s">
        <v>2007</v>
      </c>
      <c r="R895" s="11" t="s">
        <v>2008</v>
      </c>
      <c r="S895" s="16" t="s">
        <v>2009</v>
      </c>
      <c r="T895" s="19" t="str">
        <f>MONTH(B895)&amp;"-"&amp;YEAR(B895)</f>
        <v>4-2022</v>
      </c>
      <c r="U895" s="2">
        <f>YEAR(B895)</f>
        <v>2022</v>
      </c>
      <c r="V895" s="2" t="str">
        <f>IF(DAY(B895)&gt;15,MONTH(B895)&amp;"-C",MONTH(B895)&amp;"-N")</f>
        <v>4-C</v>
      </c>
      <c r="W895" s="21">
        <v>5.4</v>
      </c>
      <c r="X895" s="2" t="b">
        <f t="shared" si="561"/>
        <v>1</v>
      </c>
    </row>
    <row r="896" spans="2:24" x14ac:dyDescent="0.2">
      <c r="B896" s="17">
        <v>44677</v>
      </c>
      <c r="C896" s="10" t="s">
        <v>25</v>
      </c>
      <c r="D896" s="11">
        <v>164152</v>
      </c>
      <c r="E896" s="26">
        <v>62710</v>
      </c>
      <c r="F896" s="10" t="s">
        <v>26</v>
      </c>
      <c r="G896" s="10" t="s">
        <v>27</v>
      </c>
      <c r="H896" s="27" t="s">
        <v>28</v>
      </c>
      <c r="I896" s="12"/>
      <c r="J896" s="12"/>
      <c r="K896" s="13">
        <v>200</v>
      </c>
      <c r="L896" s="21">
        <v>5.0199999999999996</v>
      </c>
      <c r="M896" s="14" t="s">
        <v>14</v>
      </c>
      <c r="N896" s="13">
        <v>1004</v>
      </c>
      <c r="O896" s="15">
        <f t="shared" si="560"/>
        <v>0</v>
      </c>
      <c r="P896" s="10" t="s">
        <v>78</v>
      </c>
      <c r="Q896" s="11" t="s">
        <v>2004</v>
      </c>
      <c r="R896" s="11" t="s">
        <v>2005</v>
      </c>
      <c r="S896" s="16" t="s">
        <v>2006</v>
      </c>
      <c r="T896" s="19" t="str">
        <f>MONTH(B896)&amp;"-"&amp;YEAR(B896)</f>
        <v>4-2022</v>
      </c>
      <c r="U896" s="2">
        <f>YEAR(B896)</f>
        <v>2022</v>
      </c>
      <c r="V896" s="2" t="str">
        <f>IF(DAY(B896)&gt;15,MONTH(B896)&amp;"-C",MONTH(B896)&amp;"-N")</f>
        <v>4-C</v>
      </c>
      <c r="W896" s="21">
        <v>5.0199999999999996</v>
      </c>
      <c r="X896" s="2" t="b">
        <f t="shared" si="561"/>
        <v>1</v>
      </c>
    </row>
    <row r="897" spans="2:24" x14ac:dyDescent="0.2">
      <c r="B897" s="17">
        <v>44681</v>
      </c>
      <c r="C897" s="10" t="s">
        <v>94</v>
      </c>
      <c r="D897" s="11">
        <v>164495</v>
      </c>
      <c r="E897" s="26">
        <v>62772</v>
      </c>
      <c r="F897" s="10" t="s">
        <v>26</v>
      </c>
      <c r="G897" s="10" t="s">
        <v>27</v>
      </c>
      <c r="H897" s="27" t="s">
        <v>28</v>
      </c>
      <c r="I897" s="12"/>
      <c r="J897" s="12"/>
      <c r="K897" s="13">
        <v>19800</v>
      </c>
      <c r="L897" s="21">
        <v>5.4</v>
      </c>
      <c r="M897" s="14" t="s">
        <v>14</v>
      </c>
      <c r="N897" s="13">
        <v>106920</v>
      </c>
      <c r="O897" s="15">
        <f t="shared" ref="O897" si="562">(N897/K897)-L897</f>
        <v>0</v>
      </c>
      <c r="P897" s="10" t="s">
        <v>78</v>
      </c>
      <c r="Q897" s="11" t="s">
        <v>2010</v>
      </c>
      <c r="R897" s="11" t="s">
        <v>2011</v>
      </c>
      <c r="S897" s="16" t="s">
        <v>2012</v>
      </c>
      <c r="T897" s="19" t="str">
        <f>MONTH(B897)&amp;"-"&amp;YEAR(B897)</f>
        <v>4-2022</v>
      </c>
      <c r="U897" s="2">
        <f>YEAR(B897)</f>
        <v>2022</v>
      </c>
      <c r="V897" s="2" t="str">
        <f>IF(DAY(B897)&gt;15,MONTH(B897)&amp;"-C",MONTH(B897)&amp;"-N")</f>
        <v>4-C</v>
      </c>
      <c r="W897" s="21">
        <v>5.4</v>
      </c>
      <c r="X897" s="2" t="b">
        <f t="shared" ref="X897" si="563">+L897=W897</f>
        <v>1</v>
      </c>
    </row>
    <row r="898" spans="2:24" x14ac:dyDescent="0.2">
      <c r="B898" s="17">
        <v>44691</v>
      </c>
      <c r="C898" s="10" t="s">
        <v>94</v>
      </c>
      <c r="D898" s="11">
        <v>164495</v>
      </c>
      <c r="E898" s="26">
        <v>62828</v>
      </c>
      <c r="F898" s="10" t="s">
        <v>26</v>
      </c>
      <c r="G898" s="10" t="s">
        <v>27</v>
      </c>
      <c r="H898" s="27" t="s">
        <v>28</v>
      </c>
      <c r="I898" s="12" t="s">
        <v>41</v>
      </c>
      <c r="J898" s="12" t="s">
        <v>41</v>
      </c>
      <c r="K898" s="13">
        <v>19800</v>
      </c>
      <c r="L898" s="21">
        <v>5.4</v>
      </c>
      <c r="M898" s="14" t="s">
        <v>14</v>
      </c>
      <c r="N898" s="13">
        <v>106920</v>
      </c>
      <c r="O898" s="15">
        <f t="shared" ref="O898" si="564">(N898/K898)-L898</f>
        <v>0</v>
      </c>
      <c r="P898" s="10" t="s">
        <v>78</v>
      </c>
      <c r="Q898" s="11" t="s">
        <v>2013</v>
      </c>
      <c r="R898" s="11" t="s">
        <v>2014</v>
      </c>
      <c r="S898" s="16" t="s">
        <v>2015</v>
      </c>
      <c r="T898" s="19" t="str">
        <f>MONTH(B898)&amp;"-"&amp;YEAR(B898)</f>
        <v>5-2022</v>
      </c>
      <c r="U898" s="2">
        <f>YEAR(B898)</f>
        <v>2022</v>
      </c>
      <c r="V898" s="2" t="str">
        <f>IF(DAY(B898)&gt;15,MONTH(B898)&amp;"-C",MONTH(B898)&amp;"-N")</f>
        <v>5-N</v>
      </c>
      <c r="W898" s="21">
        <v>5.4</v>
      </c>
      <c r="X898" s="2" t="b">
        <f t="shared" ref="X898" si="565">+L898=W898</f>
        <v>1</v>
      </c>
    </row>
    <row r="899" spans="2:24" x14ac:dyDescent="0.2">
      <c r="B899" s="17">
        <v>44694</v>
      </c>
      <c r="C899" s="10" t="s">
        <v>107</v>
      </c>
      <c r="D899" s="11">
        <v>163315</v>
      </c>
      <c r="E899" s="26">
        <v>62899</v>
      </c>
      <c r="F899" s="10" t="s">
        <v>142</v>
      </c>
      <c r="G899" s="10" t="s">
        <v>46</v>
      </c>
      <c r="H899" s="27" t="s">
        <v>143</v>
      </c>
      <c r="I899" s="12" t="s">
        <v>41</v>
      </c>
      <c r="J899" s="12" t="s">
        <v>41</v>
      </c>
      <c r="K899" s="13">
        <v>1760</v>
      </c>
      <c r="L899" s="21">
        <v>8.6</v>
      </c>
      <c r="M899" s="14" t="s">
        <v>14</v>
      </c>
      <c r="N899" s="13">
        <v>15136</v>
      </c>
      <c r="O899" s="15">
        <f t="shared" ref="O899:O904" si="566">(N899/K899)-L899</f>
        <v>0</v>
      </c>
      <c r="P899" s="10" t="s">
        <v>84</v>
      </c>
      <c r="Q899" s="11" t="s">
        <v>2031</v>
      </c>
      <c r="R899" s="11" t="s">
        <v>2032</v>
      </c>
      <c r="S899" s="16" t="s">
        <v>2033</v>
      </c>
      <c r="T899" s="19" t="str">
        <f>MONTH(B899)&amp;"-"&amp;YEAR(B899)</f>
        <v>5-2022</v>
      </c>
      <c r="U899" s="2">
        <f>YEAR(B899)</f>
        <v>2022</v>
      </c>
      <c r="V899" s="2" t="str">
        <f>IF(DAY(B899)&gt;15,MONTH(B899)&amp;"-C",MONTH(B899)&amp;"-N")</f>
        <v>5-N</v>
      </c>
      <c r="W899" s="21">
        <v>8.6</v>
      </c>
      <c r="X899" s="2" t="b">
        <f t="shared" ref="X899:X904" si="567">+L899=W899</f>
        <v>1</v>
      </c>
    </row>
    <row r="900" spans="2:24" x14ac:dyDescent="0.2">
      <c r="B900" s="17">
        <v>44694</v>
      </c>
      <c r="C900" s="10" t="s">
        <v>107</v>
      </c>
      <c r="D900" s="11">
        <v>163315</v>
      </c>
      <c r="E900" s="26">
        <v>62899</v>
      </c>
      <c r="F900" s="10" t="s">
        <v>144</v>
      </c>
      <c r="G900" s="10" t="s">
        <v>46</v>
      </c>
      <c r="H900" s="27" t="s">
        <v>145</v>
      </c>
      <c r="I900" s="12" t="s">
        <v>41</v>
      </c>
      <c r="J900" s="12" t="s">
        <v>41</v>
      </c>
      <c r="K900" s="13">
        <v>360</v>
      </c>
      <c r="L900" s="21">
        <v>23</v>
      </c>
      <c r="M900" s="14" t="s">
        <v>14</v>
      </c>
      <c r="N900" s="13">
        <v>8280</v>
      </c>
      <c r="O900" s="15">
        <f t="shared" si="566"/>
        <v>0</v>
      </c>
      <c r="P900" s="10" t="s">
        <v>84</v>
      </c>
      <c r="Q900" s="11" t="s">
        <v>2031</v>
      </c>
      <c r="R900" s="11" t="s">
        <v>2032</v>
      </c>
      <c r="S900" s="16" t="s">
        <v>2033</v>
      </c>
      <c r="T900" s="19" t="str">
        <f>MONTH(B900)&amp;"-"&amp;YEAR(B900)</f>
        <v>5-2022</v>
      </c>
      <c r="U900" s="2">
        <f>YEAR(B900)</f>
        <v>2022</v>
      </c>
      <c r="V900" s="2" t="str">
        <f>IF(DAY(B900)&gt;15,MONTH(B900)&amp;"-C",MONTH(B900)&amp;"-N")</f>
        <v>5-N</v>
      </c>
      <c r="W900" s="21">
        <v>23</v>
      </c>
      <c r="X900" s="2" t="b">
        <f t="shared" si="567"/>
        <v>1</v>
      </c>
    </row>
    <row r="901" spans="2:24" x14ac:dyDescent="0.2">
      <c r="B901" s="17">
        <v>44694</v>
      </c>
      <c r="C901" s="10" t="s">
        <v>107</v>
      </c>
      <c r="D901" s="11">
        <v>163940</v>
      </c>
      <c r="E901" s="26">
        <v>62899</v>
      </c>
      <c r="F901" s="10" t="s">
        <v>103</v>
      </c>
      <c r="G901" s="10" t="s">
        <v>46</v>
      </c>
      <c r="H901" s="27" t="s">
        <v>104</v>
      </c>
      <c r="I901" s="12" t="s">
        <v>41</v>
      </c>
      <c r="J901" s="12" t="s">
        <v>41</v>
      </c>
      <c r="K901" s="13">
        <v>75</v>
      </c>
      <c r="L901" s="21">
        <v>40.18</v>
      </c>
      <c r="M901" s="14" t="s">
        <v>14</v>
      </c>
      <c r="N901" s="13">
        <v>3013.5</v>
      </c>
      <c r="O901" s="15">
        <f t="shared" si="566"/>
        <v>0</v>
      </c>
      <c r="P901" s="10" t="s">
        <v>84</v>
      </c>
      <c r="Q901" s="11" t="s">
        <v>2031</v>
      </c>
      <c r="R901" s="11" t="s">
        <v>2032</v>
      </c>
      <c r="S901" s="16" t="s">
        <v>2033</v>
      </c>
      <c r="T901" s="19" t="str">
        <f>MONTH(B901)&amp;"-"&amp;YEAR(B901)</f>
        <v>5-2022</v>
      </c>
      <c r="U901" s="2">
        <f>YEAR(B901)</f>
        <v>2022</v>
      </c>
      <c r="V901" s="2" t="str">
        <f>IF(DAY(B901)&gt;15,MONTH(B901)&amp;"-C",MONTH(B901)&amp;"-N")</f>
        <v>5-N</v>
      </c>
      <c r="W901" s="21">
        <v>40.18</v>
      </c>
      <c r="X901" s="2" t="b">
        <f t="shared" si="567"/>
        <v>1</v>
      </c>
    </row>
    <row r="902" spans="2:24" x14ac:dyDescent="0.2">
      <c r="B902" s="17">
        <v>44694</v>
      </c>
      <c r="C902" s="10" t="s">
        <v>107</v>
      </c>
      <c r="D902" s="11">
        <v>164585</v>
      </c>
      <c r="E902" s="26">
        <v>62899</v>
      </c>
      <c r="F902" s="10" t="s">
        <v>103</v>
      </c>
      <c r="G902" s="10" t="s">
        <v>46</v>
      </c>
      <c r="H902" s="27" t="s">
        <v>104</v>
      </c>
      <c r="I902" s="12" t="s">
        <v>41</v>
      </c>
      <c r="J902" s="12" t="s">
        <v>41</v>
      </c>
      <c r="K902" s="13">
        <v>75</v>
      </c>
      <c r="L902" s="21">
        <v>40.18</v>
      </c>
      <c r="M902" s="14" t="s">
        <v>14</v>
      </c>
      <c r="N902" s="13">
        <v>3013.5</v>
      </c>
      <c r="O902" s="15">
        <f t="shared" si="566"/>
        <v>0</v>
      </c>
      <c r="P902" s="10" t="s">
        <v>84</v>
      </c>
      <c r="Q902" s="11" t="s">
        <v>2031</v>
      </c>
      <c r="R902" s="11" t="s">
        <v>2032</v>
      </c>
      <c r="S902" s="16" t="s">
        <v>2033</v>
      </c>
      <c r="T902" s="19" t="str">
        <f>MONTH(B902)&amp;"-"&amp;YEAR(B902)</f>
        <v>5-2022</v>
      </c>
      <c r="U902" s="2">
        <f>YEAR(B902)</f>
        <v>2022</v>
      </c>
      <c r="V902" s="2" t="str">
        <f>IF(DAY(B902)&gt;15,MONTH(B902)&amp;"-C",MONTH(B902)&amp;"-N")</f>
        <v>5-N</v>
      </c>
      <c r="W902" s="21">
        <v>40.18</v>
      </c>
      <c r="X902" s="2" t="b">
        <f t="shared" si="567"/>
        <v>1</v>
      </c>
    </row>
    <row r="903" spans="2:24" x14ac:dyDescent="0.2">
      <c r="B903" s="17">
        <v>44694</v>
      </c>
      <c r="C903" s="10" t="s">
        <v>107</v>
      </c>
      <c r="D903" s="11">
        <v>163940</v>
      </c>
      <c r="E903" s="26">
        <v>62899</v>
      </c>
      <c r="F903" s="10" t="s">
        <v>105</v>
      </c>
      <c r="G903" s="10" t="s">
        <v>46</v>
      </c>
      <c r="H903" s="27" t="s">
        <v>106</v>
      </c>
      <c r="I903" s="12" t="s">
        <v>41</v>
      </c>
      <c r="J903" s="12" t="s">
        <v>41</v>
      </c>
      <c r="K903" s="13">
        <v>3300</v>
      </c>
      <c r="L903" s="21">
        <v>13.29</v>
      </c>
      <c r="M903" s="14" t="s">
        <v>14</v>
      </c>
      <c r="N903" s="13">
        <v>43857</v>
      </c>
      <c r="O903" s="15">
        <f t="shared" si="566"/>
        <v>0</v>
      </c>
      <c r="P903" s="10" t="s">
        <v>84</v>
      </c>
      <c r="Q903" s="11" t="s">
        <v>2031</v>
      </c>
      <c r="R903" s="11" t="s">
        <v>2032</v>
      </c>
      <c r="S903" s="16" t="s">
        <v>2033</v>
      </c>
      <c r="T903" s="19" t="str">
        <f>MONTH(B903)&amp;"-"&amp;YEAR(B903)</f>
        <v>5-2022</v>
      </c>
      <c r="U903" s="2">
        <f>YEAR(B903)</f>
        <v>2022</v>
      </c>
      <c r="V903" s="2" t="str">
        <f>IF(DAY(B903)&gt;15,MONTH(B903)&amp;"-C",MONTH(B903)&amp;"-N")</f>
        <v>5-N</v>
      </c>
      <c r="W903" s="21">
        <v>13.29</v>
      </c>
      <c r="X903" s="2" t="b">
        <f t="shared" si="567"/>
        <v>1</v>
      </c>
    </row>
    <row r="904" spans="2:24" x14ac:dyDescent="0.2">
      <c r="B904" s="17">
        <v>44694</v>
      </c>
      <c r="C904" s="10" t="s">
        <v>107</v>
      </c>
      <c r="D904" s="11">
        <v>164585</v>
      </c>
      <c r="E904" s="26">
        <v>62899</v>
      </c>
      <c r="F904" s="10" t="s">
        <v>105</v>
      </c>
      <c r="G904" s="10" t="s">
        <v>46</v>
      </c>
      <c r="H904" s="27" t="s">
        <v>106</v>
      </c>
      <c r="I904" s="12" t="s">
        <v>41</v>
      </c>
      <c r="J904" s="12" t="s">
        <v>41</v>
      </c>
      <c r="K904" s="13">
        <v>1100</v>
      </c>
      <c r="L904" s="21">
        <v>13.29</v>
      </c>
      <c r="M904" s="14" t="s">
        <v>14</v>
      </c>
      <c r="N904" s="13">
        <v>14619</v>
      </c>
      <c r="O904" s="15">
        <f t="shared" si="566"/>
        <v>0</v>
      </c>
      <c r="P904" s="10" t="s">
        <v>84</v>
      </c>
      <c r="Q904" s="11" t="s">
        <v>2031</v>
      </c>
      <c r="R904" s="11" t="s">
        <v>2032</v>
      </c>
      <c r="S904" s="16" t="s">
        <v>2033</v>
      </c>
      <c r="T904" s="19" t="str">
        <f>MONTH(B904)&amp;"-"&amp;YEAR(B904)</f>
        <v>5-2022</v>
      </c>
      <c r="U904" s="2">
        <f>YEAR(B904)</f>
        <v>2022</v>
      </c>
      <c r="V904" s="2" t="str">
        <f>IF(DAY(B904)&gt;15,MONTH(B904)&amp;"-C",MONTH(B904)&amp;"-N")</f>
        <v>5-N</v>
      </c>
      <c r="W904" s="21">
        <v>13.29</v>
      </c>
      <c r="X904" s="2" t="b">
        <f t="shared" si="567"/>
        <v>1</v>
      </c>
    </row>
    <row r="905" spans="2:24" x14ac:dyDescent="0.2">
      <c r="B905" s="17">
        <v>44698</v>
      </c>
      <c r="C905" s="10" t="s">
        <v>82</v>
      </c>
      <c r="D905" s="11">
        <v>164755</v>
      </c>
      <c r="E905" s="26">
        <v>62916</v>
      </c>
      <c r="F905" s="10" t="s">
        <v>26</v>
      </c>
      <c r="G905" s="10" t="s">
        <v>27</v>
      </c>
      <c r="H905" s="27" t="s">
        <v>28</v>
      </c>
      <c r="I905" s="12" t="s">
        <v>41</v>
      </c>
      <c r="J905" s="12" t="s">
        <v>41</v>
      </c>
      <c r="K905" s="13">
        <v>5040</v>
      </c>
      <c r="L905" s="21">
        <v>6.2</v>
      </c>
      <c r="M905" s="14" t="s">
        <v>14</v>
      </c>
      <c r="N905" s="13">
        <v>31248</v>
      </c>
      <c r="O905" s="15">
        <f t="shared" ref="O905" si="568">(N905/K905)-L905</f>
        <v>0</v>
      </c>
      <c r="P905" s="10" t="s">
        <v>78</v>
      </c>
      <c r="Q905" s="11" t="s">
        <v>2037</v>
      </c>
      <c r="R905" s="11" t="s">
        <v>2038</v>
      </c>
      <c r="S905" s="16" t="s">
        <v>2039</v>
      </c>
      <c r="T905" s="19" t="str">
        <f>MONTH(B905)&amp;"-"&amp;YEAR(B905)</f>
        <v>5-2022</v>
      </c>
      <c r="U905" s="2">
        <f>YEAR(B905)</f>
        <v>2022</v>
      </c>
      <c r="V905" s="2" t="str">
        <f>IF(DAY(B905)&gt;15,MONTH(B905)&amp;"-C",MONTH(B905)&amp;"-N")</f>
        <v>5-C</v>
      </c>
      <c r="W905" s="21">
        <v>6.2</v>
      </c>
      <c r="X905" s="2" t="b">
        <f t="shared" ref="X905" si="569">+L905=W905</f>
        <v>1</v>
      </c>
    </row>
    <row r="906" spans="2:24" x14ac:dyDescent="0.2">
      <c r="B906" s="17">
        <v>44699</v>
      </c>
      <c r="C906" s="10" t="s">
        <v>94</v>
      </c>
      <c r="D906" s="11">
        <v>164495</v>
      </c>
      <c r="E906" s="26">
        <v>62923</v>
      </c>
      <c r="F906" s="10" t="s">
        <v>26</v>
      </c>
      <c r="G906" s="10" t="s">
        <v>27</v>
      </c>
      <c r="H906" s="27" t="s">
        <v>28</v>
      </c>
      <c r="I906" s="12" t="s">
        <v>41</v>
      </c>
      <c r="J906" s="12" t="s">
        <v>41</v>
      </c>
      <c r="K906" s="13">
        <v>19800</v>
      </c>
      <c r="L906" s="21">
        <v>5.4</v>
      </c>
      <c r="M906" s="14" t="s">
        <v>14</v>
      </c>
      <c r="N906" s="13">
        <v>106920</v>
      </c>
      <c r="O906" s="15">
        <f t="shared" ref="O906:O910" si="570">(N906/K906)-L906</f>
        <v>0</v>
      </c>
      <c r="P906" s="10" t="s">
        <v>78</v>
      </c>
      <c r="Q906" s="11" t="s">
        <v>2016</v>
      </c>
      <c r="R906" s="11" t="s">
        <v>2017</v>
      </c>
      <c r="S906" s="16" t="s">
        <v>2018</v>
      </c>
      <c r="T906" s="19" t="str">
        <f>MONTH(B906)&amp;"-"&amp;YEAR(B906)</f>
        <v>5-2022</v>
      </c>
      <c r="U906" s="2">
        <f>YEAR(B906)</f>
        <v>2022</v>
      </c>
      <c r="V906" s="2" t="str">
        <f>IF(DAY(B906)&gt;15,MONTH(B906)&amp;"-C",MONTH(B906)&amp;"-N")</f>
        <v>5-C</v>
      </c>
      <c r="W906" s="21">
        <v>5.4</v>
      </c>
      <c r="X906" s="2" t="b">
        <f t="shared" ref="X906:X910" si="571">+L906=W906</f>
        <v>1</v>
      </c>
    </row>
    <row r="907" spans="2:24" x14ac:dyDescent="0.2">
      <c r="B907" s="17">
        <v>44699</v>
      </c>
      <c r="C907" s="10" t="s">
        <v>108</v>
      </c>
      <c r="D907" s="11">
        <v>164539</v>
      </c>
      <c r="E907" s="26">
        <v>62947</v>
      </c>
      <c r="F907" s="10" t="s">
        <v>127</v>
      </c>
      <c r="G907" s="10" t="s">
        <v>46</v>
      </c>
      <c r="H907" s="27" t="s">
        <v>128</v>
      </c>
      <c r="I907" s="12" t="s">
        <v>41</v>
      </c>
      <c r="J907" s="12" t="s">
        <v>41</v>
      </c>
      <c r="K907" s="13">
        <v>1840</v>
      </c>
      <c r="L907" s="21">
        <v>14.33</v>
      </c>
      <c r="M907" s="14" t="s">
        <v>14</v>
      </c>
      <c r="N907" s="13">
        <v>26367.200000000001</v>
      </c>
      <c r="O907" s="15">
        <f t="shared" si="570"/>
        <v>0</v>
      </c>
      <c r="P907" s="10" t="s">
        <v>84</v>
      </c>
      <c r="Q907" s="11" t="s">
        <v>2025</v>
      </c>
      <c r="R907" s="11" t="s">
        <v>2026</v>
      </c>
      <c r="S907" s="16" t="s">
        <v>2027</v>
      </c>
      <c r="T907" s="19" t="str">
        <f>MONTH(B907)&amp;"-"&amp;YEAR(B907)</f>
        <v>5-2022</v>
      </c>
      <c r="U907" s="2">
        <f>YEAR(B907)</f>
        <v>2022</v>
      </c>
      <c r="V907" s="2" t="str">
        <f>IF(DAY(B907)&gt;15,MONTH(B907)&amp;"-C",MONTH(B907)&amp;"-N")</f>
        <v>5-C</v>
      </c>
      <c r="W907" s="21">
        <v>14.33</v>
      </c>
      <c r="X907" s="2" t="b">
        <f t="shared" si="571"/>
        <v>1</v>
      </c>
    </row>
    <row r="908" spans="2:24" x14ac:dyDescent="0.2">
      <c r="B908" s="17">
        <v>44699</v>
      </c>
      <c r="C908" s="10" t="s">
        <v>108</v>
      </c>
      <c r="D908" s="11">
        <v>164539</v>
      </c>
      <c r="E908" s="26">
        <v>62947</v>
      </c>
      <c r="F908" s="10" t="s">
        <v>121</v>
      </c>
      <c r="G908" s="10" t="s">
        <v>46</v>
      </c>
      <c r="H908" s="27" t="s">
        <v>122</v>
      </c>
      <c r="I908" s="12" t="s">
        <v>41</v>
      </c>
      <c r="J908" s="12" t="s">
        <v>41</v>
      </c>
      <c r="K908" s="13">
        <v>4600</v>
      </c>
      <c r="L908" s="21">
        <v>14.15</v>
      </c>
      <c r="M908" s="14" t="s">
        <v>14</v>
      </c>
      <c r="N908" s="13">
        <v>65090</v>
      </c>
      <c r="O908" s="15">
        <f t="shared" si="570"/>
        <v>0</v>
      </c>
      <c r="P908" s="10" t="s">
        <v>84</v>
      </c>
      <c r="Q908" s="11" t="s">
        <v>2025</v>
      </c>
      <c r="R908" s="11" t="s">
        <v>2026</v>
      </c>
      <c r="S908" s="16" t="s">
        <v>2027</v>
      </c>
      <c r="T908" s="19" t="str">
        <f>MONTH(B908)&amp;"-"&amp;YEAR(B908)</f>
        <v>5-2022</v>
      </c>
      <c r="U908" s="2">
        <f>YEAR(B908)</f>
        <v>2022</v>
      </c>
      <c r="V908" s="2" t="str">
        <f>IF(DAY(B908)&gt;15,MONTH(B908)&amp;"-C",MONTH(B908)&amp;"-N")</f>
        <v>5-C</v>
      </c>
      <c r="W908" s="21">
        <v>14.15</v>
      </c>
      <c r="X908" s="2" t="b">
        <f t="shared" si="571"/>
        <v>1</v>
      </c>
    </row>
    <row r="909" spans="2:24" x14ac:dyDescent="0.2">
      <c r="B909" s="17">
        <v>44699</v>
      </c>
      <c r="C909" s="10" t="s">
        <v>108</v>
      </c>
      <c r="D909" s="11">
        <v>164539</v>
      </c>
      <c r="E909" s="26">
        <v>62947</v>
      </c>
      <c r="F909" s="10" t="s">
        <v>123</v>
      </c>
      <c r="G909" s="10" t="s">
        <v>46</v>
      </c>
      <c r="H909" s="27" t="s">
        <v>124</v>
      </c>
      <c r="I909" s="12" t="s">
        <v>41</v>
      </c>
      <c r="J909" s="12" t="s">
        <v>41</v>
      </c>
      <c r="K909" s="13">
        <v>7590</v>
      </c>
      <c r="L909" s="21">
        <v>14.15</v>
      </c>
      <c r="M909" s="14" t="s">
        <v>14</v>
      </c>
      <c r="N909" s="13">
        <v>107398.5</v>
      </c>
      <c r="O909" s="15">
        <f t="shared" si="570"/>
        <v>0</v>
      </c>
      <c r="P909" s="10" t="s">
        <v>84</v>
      </c>
      <c r="Q909" s="11" t="s">
        <v>2025</v>
      </c>
      <c r="R909" s="11" t="s">
        <v>2026</v>
      </c>
      <c r="S909" s="16" t="s">
        <v>2027</v>
      </c>
      <c r="T909" s="19" t="str">
        <f>MONTH(B909)&amp;"-"&amp;YEAR(B909)</f>
        <v>5-2022</v>
      </c>
      <c r="U909" s="2">
        <f>YEAR(B909)</f>
        <v>2022</v>
      </c>
      <c r="V909" s="2" t="str">
        <f>IF(DAY(B909)&gt;15,MONTH(B909)&amp;"-C",MONTH(B909)&amp;"-N")</f>
        <v>5-C</v>
      </c>
      <c r="W909" s="21">
        <v>14.15</v>
      </c>
      <c r="X909" s="2" t="b">
        <f t="shared" si="571"/>
        <v>1</v>
      </c>
    </row>
    <row r="910" spans="2:24" x14ac:dyDescent="0.2">
      <c r="B910" s="17">
        <v>44699</v>
      </c>
      <c r="C910" s="10" t="s">
        <v>108</v>
      </c>
      <c r="D910" s="11">
        <v>164539</v>
      </c>
      <c r="E910" s="26">
        <v>62947</v>
      </c>
      <c r="F910" s="10" t="s">
        <v>129</v>
      </c>
      <c r="G910" s="10" t="s">
        <v>46</v>
      </c>
      <c r="H910" s="27" t="s">
        <v>130</v>
      </c>
      <c r="I910" s="12" t="s">
        <v>41</v>
      </c>
      <c r="J910" s="12" t="s">
        <v>41</v>
      </c>
      <c r="K910" s="13">
        <v>2070</v>
      </c>
      <c r="L910" s="21">
        <v>14.33</v>
      </c>
      <c r="M910" s="14" t="s">
        <v>14</v>
      </c>
      <c r="N910" s="13">
        <v>29663.1</v>
      </c>
      <c r="O910" s="15">
        <f t="shared" si="570"/>
        <v>0</v>
      </c>
      <c r="P910" s="10" t="s">
        <v>84</v>
      </c>
      <c r="Q910" s="11" t="s">
        <v>2025</v>
      </c>
      <c r="R910" s="11" t="s">
        <v>2026</v>
      </c>
      <c r="S910" s="16" t="s">
        <v>2027</v>
      </c>
      <c r="T910" s="19" t="str">
        <f>MONTH(B910)&amp;"-"&amp;YEAR(B910)</f>
        <v>5-2022</v>
      </c>
      <c r="U910" s="2">
        <f>YEAR(B910)</f>
        <v>2022</v>
      </c>
      <c r="V910" s="2" t="str">
        <f>IF(DAY(B910)&gt;15,MONTH(B910)&amp;"-C",MONTH(B910)&amp;"-N")</f>
        <v>5-C</v>
      </c>
      <c r="W910" s="21">
        <v>14.33</v>
      </c>
      <c r="X910" s="2" t="b">
        <f t="shared" si="571"/>
        <v>1</v>
      </c>
    </row>
    <row r="911" spans="2:24" x14ac:dyDescent="0.2">
      <c r="B911" s="17">
        <v>44703</v>
      </c>
      <c r="C911" s="10" t="s">
        <v>94</v>
      </c>
      <c r="D911" s="11">
        <v>164495</v>
      </c>
      <c r="E911" s="26">
        <v>62994</v>
      </c>
      <c r="F911" s="10" t="s">
        <v>26</v>
      </c>
      <c r="G911" s="10" t="s">
        <v>27</v>
      </c>
      <c r="H911" s="27" t="s">
        <v>28</v>
      </c>
      <c r="I911" s="12" t="s">
        <v>41</v>
      </c>
      <c r="J911" s="12" t="s">
        <v>41</v>
      </c>
      <c r="K911" s="13">
        <v>19800</v>
      </c>
      <c r="L911" s="21">
        <v>5.4</v>
      </c>
      <c r="M911" s="14" t="s">
        <v>14</v>
      </c>
      <c r="N911" s="13">
        <v>106920</v>
      </c>
      <c r="O911" s="15">
        <f t="shared" ref="O911" si="572">(N911/K911)-L911</f>
        <v>0</v>
      </c>
      <c r="P911" s="10" t="s">
        <v>78</v>
      </c>
      <c r="Q911" s="11" t="s">
        <v>2019</v>
      </c>
      <c r="R911" s="11" t="s">
        <v>2020</v>
      </c>
      <c r="S911" s="16" t="s">
        <v>2021</v>
      </c>
      <c r="T911" s="19" t="str">
        <f>MONTH(B911)&amp;"-"&amp;YEAR(B911)</f>
        <v>5-2022</v>
      </c>
      <c r="U911" s="2">
        <f>YEAR(B911)</f>
        <v>2022</v>
      </c>
      <c r="V911" s="2" t="str">
        <f>IF(DAY(B911)&gt;15,MONTH(B911)&amp;"-C",MONTH(B911)&amp;"-N")</f>
        <v>5-C</v>
      </c>
      <c r="W911" s="21">
        <v>5.4</v>
      </c>
      <c r="X911" s="2" t="b">
        <f t="shared" ref="X911" si="573">+L911=W911</f>
        <v>1</v>
      </c>
    </row>
    <row r="912" spans="2:24" x14ac:dyDescent="0.2">
      <c r="B912" s="17">
        <v>44705</v>
      </c>
      <c r="C912" s="10" t="s">
        <v>48</v>
      </c>
      <c r="D912" s="11">
        <v>163633</v>
      </c>
      <c r="E912" s="26">
        <v>63013</v>
      </c>
      <c r="F912" s="10" t="s">
        <v>71</v>
      </c>
      <c r="G912" s="10" t="s">
        <v>46</v>
      </c>
      <c r="H912" s="27" t="s">
        <v>72</v>
      </c>
      <c r="I912" s="12" t="s">
        <v>41</v>
      </c>
      <c r="J912" s="12" t="s">
        <v>41</v>
      </c>
      <c r="K912" s="13">
        <v>16000</v>
      </c>
      <c r="L912" s="21">
        <v>11.579000000000001</v>
      </c>
      <c r="M912" s="14" t="s">
        <v>14</v>
      </c>
      <c r="N912" s="13">
        <v>185270.39999999999</v>
      </c>
      <c r="O912" s="15">
        <f t="shared" ref="O912" si="574">(N912/K912)-L912</f>
        <v>3.9999999999906777E-4</v>
      </c>
      <c r="P912" s="10" t="s">
        <v>90</v>
      </c>
      <c r="Q912" s="11" t="s">
        <v>2041</v>
      </c>
      <c r="R912" s="11" t="s">
        <v>2042</v>
      </c>
      <c r="S912" s="16" t="s">
        <v>2040</v>
      </c>
      <c r="T912" s="19" t="str">
        <f>MONTH(B912)&amp;"-"&amp;YEAR(B912)</f>
        <v>5-2022</v>
      </c>
      <c r="U912" s="2">
        <f>YEAR(B912)</f>
        <v>2022</v>
      </c>
      <c r="V912" s="2" t="str">
        <f>IF(DAY(B912)&gt;15,MONTH(B912)&amp;"-C",MONTH(B912)&amp;"-N")</f>
        <v>5-C</v>
      </c>
      <c r="W912" s="21">
        <v>11.579000000000001</v>
      </c>
      <c r="X912" s="2" t="b">
        <f t="shared" ref="X912" si="575">+L912=W912</f>
        <v>1</v>
      </c>
    </row>
    <row r="913" spans="2:24" x14ac:dyDescent="0.2">
      <c r="B913" s="17">
        <v>44707</v>
      </c>
      <c r="C913" s="10" t="s">
        <v>94</v>
      </c>
      <c r="D913" s="11">
        <v>164776</v>
      </c>
      <c r="E913" s="26">
        <v>63027</v>
      </c>
      <c r="F913" s="10" t="s">
        <v>26</v>
      </c>
      <c r="G913" s="10" t="s">
        <v>27</v>
      </c>
      <c r="H913" s="27" t="s">
        <v>28</v>
      </c>
      <c r="I913" s="12" t="s">
        <v>41</v>
      </c>
      <c r="J913" s="12" t="s">
        <v>41</v>
      </c>
      <c r="K913" s="13">
        <v>19800</v>
      </c>
      <c r="L913" s="21">
        <v>5.0999999999999996</v>
      </c>
      <c r="M913" s="14" t="s">
        <v>14</v>
      </c>
      <c r="N913" s="13">
        <v>100980</v>
      </c>
      <c r="O913" s="15">
        <f t="shared" ref="O913:O917" si="576">(N913/K913)-L913</f>
        <v>0</v>
      </c>
      <c r="P913" s="10" t="s">
        <v>78</v>
      </c>
      <c r="Q913" s="11" t="s">
        <v>2022</v>
      </c>
      <c r="R913" s="11" t="s">
        <v>2023</v>
      </c>
      <c r="S913" s="16" t="s">
        <v>2024</v>
      </c>
      <c r="T913" s="19" t="str">
        <f>MONTH(B913)&amp;"-"&amp;YEAR(B913)</f>
        <v>5-2022</v>
      </c>
      <c r="U913" s="2">
        <f>YEAR(B913)</f>
        <v>2022</v>
      </c>
      <c r="V913" s="2" t="str">
        <f>IF(DAY(B913)&gt;15,MONTH(B913)&amp;"-C",MONTH(B913)&amp;"-N")</f>
        <v>5-C</v>
      </c>
      <c r="W913" s="21">
        <v>5.0999999999999996</v>
      </c>
      <c r="X913" s="2" t="b">
        <f t="shared" ref="X913:X917" si="577">+L913=W913</f>
        <v>1</v>
      </c>
    </row>
    <row r="914" spans="2:24" x14ac:dyDescent="0.2">
      <c r="B914" s="17">
        <v>44707</v>
      </c>
      <c r="C914" s="10" t="s">
        <v>107</v>
      </c>
      <c r="D914" s="11">
        <v>163315</v>
      </c>
      <c r="E914" s="26">
        <v>63040</v>
      </c>
      <c r="F914" s="10" t="s">
        <v>142</v>
      </c>
      <c r="G914" s="10" t="s">
        <v>46</v>
      </c>
      <c r="H914" s="27" t="s">
        <v>143</v>
      </c>
      <c r="I914" s="12" t="s">
        <v>41</v>
      </c>
      <c r="J914" s="12" t="s">
        <v>41</v>
      </c>
      <c r="K914" s="13">
        <v>1760</v>
      </c>
      <c r="L914" s="21">
        <v>8.6</v>
      </c>
      <c r="M914" s="14" t="s">
        <v>14</v>
      </c>
      <c r="N914" s="13">
        <v>15136</v>
      </c>
      <c r="O914" s="15">
        <f t="shared" si="576"/>
        <v>0</v>
      </c>
      <c r="P914" s="10" t="s">
        <v>84</v>
      </c>
      <c r="Q914" s="11" t="s">
        <v>2028</v>
      </c>
      <c r="R914" s="11" t="s">
        <v>2029</v>
      </c>
      <c r="S914" s="16" t="s">
        <v>2030</v>
      </c>
      <c r="T914" s="19" t="str">
        <f>MONTH(B914)&amp;"-"&amp;YEAR(B914)</f>
        <v>5-2022</v>
      </c>
      <c r="U914" s="2">
        <f>YEAR(B914)</f>
        <v>2022</v>
      </c>
      <c r="V914" s="2" t="str">
        <f>IF(DAY(B914)&gt;15,MONTH(B914)&amp;"-C",MONTH(B914)&amp;"-N")</f>
        <v>5-C</v>
      </c>
      <c r="W914" s="21">
        <v>8.6</v>
      </c>
      <c r="X914" s="2" t="b">
        <f t="shared" si="577"/>
        <v>1</v>
      </c>
    </row>
    <row r="915" spans="2:24" x14ac:dyDescent="0.2">
      <c r="B915" s="17">
        <v>44707</v>
      </c>
      <c r="C915" s="10" t="s">
        <v>107</v>
      </c>
      <c r="D915" s="11">
        <v>163315</v>
      </c>
      <c r="E915" s="26">
        <v>63040</v>
      </c>
      <c r="F915" s="10" t="s">
        <v>144</v>
      </c>
      <c r="G915" s="10" t="s">
        <v>46</v>
      </c>
      <c r="H915" s="27" t="s">
        <v>145</v>
      </c>
      <c r="I915" s="12" t="s">
        <v>41</v>
      </c>
      <c r="J915" s="12" t="s">
        <v>41</v>
      </c>
      <c r="K915" s="13">
        <v>360</v>
      </c>
      <c r="L915" s="21">
        <v>23</v>
      </c>
      <c r="M915" s="14" t="s">
        <v>14</v>
      </c>
      <c r="N915" s="13">
        <v>8280</v>
      </c>
      <c r="O915" s="15">
        <f t="shared" si="576"/>
        <v>0</v>
      </c>
      <c r="P915" s="10" t="s">
        <v>84</v>
      </c>
      <c r="Q915" s="11" t="s">
        <v>2028</v>
      </c>
      <c r="R915" s="11" t="s">
        <v>2029</v>
      </c>
      <c r="S915" s="16" t="s">
        <v>2030</v>
      </c>
      <c r="T915" s="19" t="str">
        <f>MONTH(B915)&amp;"-"&amp;YEAR(B915)</f>
        <v>5-2022</v>
      </c>
      <c r="U915" s="2">
        <f>YEAR(B915)</f>
        <v>2022</v>
      </c>
      <c r="V915" s="2" t="str">
        <f>IF(DAY(B915)&gt;15,MONTH(B915)&amp;"-C",MONTH(B915)&amp;"-N")</f>
        <v>5-C</v>
      </c>
      <c r="W915" s="21">
        <v>23</v>
      </c>
      <c r="X915" s="2" t="b">
        <f t="shared" si="577"/>
        <v>1</v>
      </c>
    </row>
    <row r="916" spans="2:24" x14ac:dyDescent="0.2">
      <c r="B916" s="17">
        <v>44707</v>
      </c>
      <c r="C916" s="10" t="s">
        <v>107</v>
      </c>
      <c r="D916" s="11">
        <v>164585</v>
      </c>
      <c r="E916" s="26">
        <v>63040</v>
      </c>
      <c r="F916" s="10" t="s">
        <v>103</v>
      </c>
      <c r="G916" s="10" t="s">
        <v>46</v>
      </c>
      <c r="H916" s="27" t="s">
        <v>104</v>
      </c>
      <c r="I916" s="12" t="s">
        <v>41</v>
      </c>
      <c r="J916" s="12" t="s">
        <v>41</v>
      </c>
      <c r="K916" s="13">
        <v>185</v>
      </c>
      <c r="L916" s="21">
        <v>40.18</v>
      </c>
      <c r="M916" s="14" t="s">
        <v>14</v>
      </c>
      <c r="N916" s="13">
        <v>7433.3</v>
      </c>
      <c r="O916" s="15">
        <f t="shared" si="576"/>
        <v>0</v>
      </c>
      <c r="P916" s="10" t="s">
        <v>84</v>
      </c>
      <c r="Q916" s="11" t="s">
        <v>2028</v>
      </c>
      <c r="R916" s="11" t="s">
        <v>2029</v>
      </c>
      <c r="S916" s="16" t="s">
        <v>2030</v>
      </c>
      <c r="T916" s="19" t="str">
        <f>MONTH(B916)&amp;"-"&amp;YEAR(B916)</f>
        <v>5-2022</v>
      </c>
      <c r="U916" s="2">
        <f>YEAR(B916)</f>
        <v>2022</v>
      </c>
      <c r="V916" s="2" t="str">
        <f>IF(DAY(B916)&gt;15,MONTH(B916)&amp;"-C",MONTH(B916)&amp;"-N")</f>
        <v>5-C</v>
      </c>
      <c r="W916" s="21">
        <v>40.18</v>
      </c>
      <c r="X916" s="2" t="b">
        <f t="shared" si="577"/>
        <v>1</v>
      </c>
    </row>
    <row r="917" spans="2:24" x14ac:dyDescent="0.2">
      <c r="B917" s="17">
        <v>44707</v>
      </c>
      <c r="C917" s="10" t="s">
        <v>107</v>
      </c>
      <c r="D917" s="11">
        <v>164585</v>
      </c>
      <c r="E917" s="26">
        <v>63040</v>
      </c>
      <c r="F917" s="10" t="s">
        <v>105</v>
      </c>
      <c r="G917" s="10" t="s">
        <v>46</v>
      </c>
      <c r="H917" s="27" t="s">
        <v>106</v>
      </c>
      <c r="I917" s="12" t="s">
        <v>41</v>
      </c>
      <c r="J917" s="12" t="s">
        <v>41</v>
      </c>
      <c r="K917" s="13">
        <v>6160</v>
      </c>
      <c r="L917" s="21">
        <v>13.29</v>
      </c>
      <c r="M917" s="14" t="s">
        <v>14</v>
      </c>
      <c r="N917" s="13">
        <v>81866.399999999994</v>
      </c>
      <c r="O917" s="15">
        <f t="shared" si="576"/>
        <v>0</v>
      </c>
      <c r="P917" s="10" t="s">
        <v>84</v>
      </c>
      <c r="Q917" s="11" t="s">
        <v>2028</v>
      </c>
      <c r="R917" s="11" t="s">
        <v>2029</v>
      </c>
      <c r="S917" s="16" t="s">
        <v>2030</v>
      </c>
      <c r="T917" s="19" t="str">
        <f>MONTH(B917)&amp;"-"&amp;YEAR(B917)</f>
        <v>5-2022</v>
      </c>
      <c r="U917" s="2">
        <f>YEAR(B917)</f>
        <v>2022</v>
      </c>
      <c r="V917" s="2" t="str">
        <f>IF(DAY(B917)&gt;15,MONTH(B917)&amp;"-C",MONTH(B917)&amp;"-N")</f>
        <v>5-C</v>
      </c>
      <c r="W917" s="21">
        <v>13.29</v>
      </c>
      <c r="X917" s="2" t="b">
        <f t="shared" si="577"/>
        <v>1</v>
      </c>
    </row>
    <row r="918" spans="2:24" x14ac:dyDescent="0.2">
      <c r="B918" s="17">
        <v>44712</v>
      </c>
      <c r="C918" s="10" t="s">
        <v>108</v>
      </c>
      <c r="D918" s="11">
        <v>164541</v>
      </c>
      <c r="E918" s="26">
        <v>63101</v>
      </c>
      <c r="F918" s="10" t="s">
        <v>139</v>
      </c>
      <c r="G918" s="10" t="s">
        <v>46</v>
      </c>
      <c r="H918" s="27" t="s">
        <v>140</v>
      </c>
      <c r="I918" s="12" t="s">
        <v>41</v>
      </c>
      <c r="J918" s="12" t="s">
        <v>41</v>
      </c>
      <c r="K918" s="13">
        <v>6440</v>
      </c>
      <c r="L918" s="21">
        <v>12.87</v>
      </c>
      <c r="M918" s="14" t="s">
        <v>14</v>
      </c>
      <c r="N918" s="13">
        <v>82882.8</v>
      </c>
      <c r="O918" s="15">
        <f t="shared" ref="O918:O919" si="578">(N918/K918)-L918</f>
        <v>0</v>
      </c>
      <c r="P918" s="10" t="s">
        <v>84</v>
      </c>
      <c r="Q918" s="11" t="s">
        <v>2034</v>
      </c>
      <c r="R918" s="11" t="s">
        <v>2035</v>
      </c>
      <c r="S918" s="16" t="s">
        <v>2036</v>
      </c>
      <c r="T918" s="19" t="str">
        <f>MONTH(B918)&amp;"-"&amp;YEAR(B918)</f>
        <v>5-2022</v>
      </c>
      <c r="U918" s="2">
        <f>YEAR(B918)</f>
        <v>2022</v>
      </c>
      <c r="V918" s="2" t="str">
        <f>IF(DAY(B918)&gt;15,MONTH(B918)&amp;"-C",MONTH(B918)&amp;"-N")</f>
        <v>5-C</v>
      </c>
      <c r="W918" s="21">
        <v>12.87</v>
      </c>
      <c r="X918" s="2" t="b">
        <f t="shared" ref="X918:X919" si="579">+L918=W918</f>
        <v>1</v>
      </c>
    </row>
    <row r="919" spans="2:24" x14ac:dyDescent="0.2">
      <c r="B919" s="17">
        <v>44712</v>
      </c>
      <c r="C919" s="10" t="s">
        <v>108</v>
      </c>
      <c r="D919" s="11">
        <v>164541</v>
      </c>
      <c r="E919" s="26">
        <v>63101</v>
      </c>
      <c r="F919" s="10" t="s">
        <v>129</v>
      </c>
      <c r="G919" s="10" t="s">
        <v>46</v>
      </c>
      <c r="H919" s="27" t="s">
        <v>130</v>
      </c>
      <c r="I919" s="12" t="s">
        <v>41</v>
      </c>
      <c r="J919" s="12" t="s">
        <v>41</v>
      </c>
      <c r="K919" s="13">
        <v>10350</v>
      </c>
      <c r="L919" s="21">
        <v>12.87</v>
      </c>
      <c r="M919" s="14" t="s">
        <v>14</v>
      </c>
      <c r="N919" s="13">
        <v>133204.5</v>
      </c>
      <c r="O919" s="15">
        <f t="shared" si="578"/>
        <v>0</v>
      </c>
      <c r="P919" s="10" t="s">
        <v>84</v>
      </c>
      <c r="Q919" s="11" t="s">
        <v>2034</v>
      </c>
      <c r="R919" s="11" t="s">
        <v>2035</v>
      </c>
      <c r="S919" s="16" t="s">
        <v>2036</v>
      </c>
      <c r="T919" s="19" t="str">
        <f>MONTH(B919)&amp;"-"&amp;YEAR(B919)</f>
        <v>5-2022</v>
      </c>
      <c r="U919" s="2">
        <f>YEAR(B919)</f>
        <v>2022</v>
      </c>
      <c r="V919" s="2" t="str">
        <f>IF(DAY(B919)&gt;15,MONTH(B919)&amp;"-C",MONTH(B919)&amp;"-N")</f>
        <v>5-C</v>
      </c>
      <c r="W919" s="21">
        <v>12.87</v>
      </c>
      <c r="X919" s="2" t="b">
        <f t="shared" si="579"/>
        <v>1</v>
      </c>
    </row>
    <row r="920" spans="2:24" x14ac:dyDescent="0.2">
      <c r="B920" s="17">
        <v>44713</v>
      </c>
      <c r="C920" s="10" t="s">
        <v>25</v>
      </c>
      <c r="D920" s="11">
        <v>164774</v>
      </c>
      <c r="E920" s="26">
        <v>63117</v>
      </c>
      <c r="F920" s="10" t="s">
        <v>26</v>
      </c>
      <c r="G920" s="10" t="s">
        <v>27</v>
      </c>
      <c r="H920" s="27" t="s">
        <v>28</v>
      </c>
      <c r="I920" s="12" t="s">
        <v>41</v>
      </c>
      <c r="J920" s="12" t="s">
        <v>41</v>
      </c>
      <c r="K920" s="13">
        <v>3600</v>
      </c>
      <c r="L920" s="21">
        <v>5.0999999999999996</v>
      </c>
      <c r="M920" s="14" t="s">
        <v>14</v>
      </c>
      <c r="N920" s="13">
        <v>18360</v>
      </c>
      <c r="O920" s="15">
        <f t="shared" ref="O920:O921" si="580">(N920/K920)-L920</f>
        <v>0</v>
      </c>
      <c r="P920" s="10" t="s">
        <v>78</v>
      </c>
      <c r="Q920" s="11" t="s">
        <v>2043</v>
      </c>
      <c r="R920" s="11" t="s">
        <v>2044</v>
      </c>
      <c r="S920" s="16" t="s">
        <v>2045</v>
      </c>
      <c r="T920" s="19" t="str">
        <f>MONTH(B920)&amp;"-"&amp;YEAR(B920)</f>
        <v>6-2022</v>
      </c>
      <c r="U920" s="2">
        <f>YEAR(B920)</f>
        <v>2022</v>
      </c>
      <c r="V920" s="2" t="str">
        <f>IF(DAY(B920)&gt;15,MONTH(B920)&amp;"-C",MONTH(B920)&amp;"-N")</f>
        <v>6-N</v>
      </c>
      <c r="W920" s="21">
        <v>5.0999999999999996</v>
      </c>
      <c r="X920" s="2" t="b">
        <f t="shared" ref="X920:X921" si="581">+L920=W920</f>
        <v>1</v>
      </c>
    </row>
    <row r="921" spans="2:24" x14ac:dyDescent="0.2">
      <c r="B921" s="17">
        <v>44713</v>
      </c>
      <c r="C921" s="10" t="s">
        <v>25</v>
      </c>
      <c r="D921" s="11">
        <v>164875</v>
      </c>
      <c r="E921" s="26">
        <v>63118</v>
      </c>
      <c r="F921" s="10" t="s">
        <v>33</v>
      </c>
      <c r="G921" s="10" t="s">
        <v>27</v>
      </c>
      <c r="H921" s="27" t="s">
        <v>34</v>
      </c>
      <c r="I921" s="12" t="s">
        <v>41</v>
      </c>
      <c r="J921" s="12" t="s">
        <v>41</v>
      </c>
      <c r="K921" s="13">
        <v>2160</v>
      </c>
      <c r="L921" s="21">
        <v>7</v>
      </c>
      <c r="M921" s="14" t="s">
        <v>14</v>
      </c>
      <c r="N921" s="13">
        <v>15120</v>
      </c>
      <c r="O921" s="15">
        <f t="shared" si="580"/>
        <v>0</v>
      </c>
      <c r="P921" s="10" t="s">
        <v>78</v>
      </c>
      <c r="Q921" s="11" t="s">
        <v>2046</v>
      </c>
      <c r="R921" s="11" t="s">
        <v>2047</v>
      </c>
      <c r="S921" s="16" t="s">
        <v>2048</v>
      </c>
      <c r="T921" s="19" t="str">
        <f>MONTH(B921)&amp;"-"&amp;YEAR(B921)</f>
        <v>6-2022</v>
      </c>
      <c r="U921" s="2">
        <f>YEAR(B921)</f>
        <v>2022</v>
      </c>
      <c r="V921" s="2" t="str">
        <f>IF(DAY(B921)&gt;15,MONTH(B921)&amp;"-C",MONTH(B921)&amp;"-N")</f>
        <v>6-N</v>
      </c>
      <c r="W921" s="21">
        <v>7</v>
      </c>
      <c r="X921" s="2" t="b">
        <f t="shared" si="581"/>
        <v>1</v>
      </c>
    </row>
    <row r="922" spans="2:24" x14ac:dyDescent="0.2">
      <c r="B922" s="17">
        <v>44714</v>
      </c>
      <c r="C922" s="10" t="s">
        <v>25</v>
      </c>
      <c r="D922" s="11">
        <v>164774</v>
      </c>
      <c r="E922" s="26">
        <v>63145</v>
      </c>
      <c r="F922" s="10" t="s">
        <v>26</v>
      </c>
      <c r="G922" s="10" t="s">
        <v>27</v>
      </c>
      <c r="H922" s="27" t="s">
        <v>28</v>
      </c>
      <c r="I922" s="12" t="s">
        <v>41</v>
      </c>
      <c r="J922" s="12" t="s">
        <v>41</v>
      </c>
      <c r="K922" s="13">
        <v>16200</v>
      </c>
      <c r="L922" s="21">
        <v>5.0999999999999996</v>
      </c>
      <c r="M922" s="14" t="s">
        <v>14</v>
      </c>
      <c r="N922" s="13">
        <v>82620</v>
      </c>
      <c r="O922" s="15">
        <f t="shared" ref="O922" si="582">(N922/K922)-L922</f>
        <v>0</v>
      </c>
      <c r="P922" s="10" t="s">
        <v>78</v>
      </c>
      <c r="Q922" s="11" t="s">
        <v>2049</v>
      </c>
      <c r="R922" s="11" t="s">
        <v>2050</v>
      </c>
      <c r="S922" s="16" t="s">
        <v>2051</v>
      </c>
      <c r="T922" s="19" t="str">
        <f>MONTH(B922)&amp;"-"&amp;YEAR(B922)</f>
        <v>6-2022</v>
      </c>
      <c r="U922" s="2">
        <f>YEAR(B922)</f>
        <v>2022</v>
      </c>
      <c r="V922" s="2" t="str">
        <f>IF(DAY(B922)&gt;15,MONTH(B922)&amp;"-C",MONTH(B922)&amp;"-N")</f>
        <v>6-N</v>
      </c>
      <c r="W922" s="21">
        <v>5.0999999999999996</v>
      </c>
      <c r="X922" s="2" t="b">
        <f t="shared" ref="X922" si="583">+L922=W922</f>
        <v>1</v>
      </c>
    </row>
    <row r="923" spans="2:24" x14ac:dyDescent="0.2">
      <c r="B923" s="17">
        <v>44718</v>
      </c>
      <c r="C923" s="10" t="s">
        <v>94</v>
      </c>
      <c r="D923" s="11">
        <v>164776</v>
      </c>
      <c r="E923" s="26">
        <v>63171</v>
      </c>
      <c r="F923" s="10" t="s">
        <v>26</v>
      </c>
      <c r="G923" s="10" t="s">
        <v>27</v>
      </c>
      <c r="H923" s="27" t="s">
        <v>28</v>
      </c>
      <c r="I923" s="12" t="s">
        <v>41</v>
      </c>
      <c r="J923" s="12" t="s">
        <v>41</v>
      </c>
      <c r="K923" s="13">
        <v>19800</v>
      </c>
      <c r="L923" s="21">
        <v>5.0999999999999996</v>
      </c>
      <c r="M923" s="14" t="s">
        <v>14</v>
      </c>
      <c r="N923" s="13">
        <v>100980</v>
      </c>
      <c r="O923" s="15">
        <f t="shared" ref="O923" si="584">(N923/K923)-L923</f>
        <v>0</v>
      </c>
      <c r="P923" s="10" t="s">
        <v>78</v>
      </c>
      <c r="Q923" s="11" t="s">
        <v>2052</v>
      </c>
      <c r="R923" s="11" t="s">
        <v>2053</v>
      </c>
      <c r="S923" s="16" t="s">
        <v>2054</v>
      </c>
      <c r="T923" s="19" t="str">
        <f>MONTH(B923)&amp;"-"&amp;YEAR(B923)</f>
        <v>6-2022</v>
      </c>
      <c r="U923" s="2">
        <f>YEAR(B923)</f>
        <v>2022</v>
      </c>
      <c r="V923" s="2" t="str">
        <f>IF(DAY(B923)&gt;15,MONTH(B923)&amp;"-C",MONTH(B923)&amp;"-N")</f>
        <v>6-N</v>
      </c>
      <c r="W923" s="21">
        <v>5.0999999999999996</v>
      </c>
      <c r="X923" s="2" t="b">
        <f t="shared" ref="X923" si="585">+L923=W923</f>
        <v>1</v>
      </c>
    </row>
    <row r="924" spans="2:24" x14ac:dyDescent="0.2">
      <c r="B924" s="17">
        <v>44722</v>
      </c>
      <c r="C924" s="10" t="s">
        <v>107</v>
      </c>
      <c r="D924" s="11">
        <v>164585</v>
      </c>
      <c r="E924" s="26">
        <v>63245</v>
      </c>
      <c r="F924" s="10" t="s">
        <v>103</v>
      </c>
      <c r="G924" s="10" t="s">
        <v>46</v>
      </c>
      <c r="H924" s="27" t="s">
        <v>104</v>
      </c>
      <c r="I924" s="12" t="s">
        <v>41</v>
      </c>
      <c r="J924" s="12" t="s">
        <v>41</v>
      </c>
      <c r="K924" s="13">
        <v>60</v>
      </c>
      <c r="L924" s="21">
        <v>40.18</v>
      </c>
      <c r="M924" s="14" t="s">
        <v>14</v>
      </c>
      <c r="N924" s="13">
        <v>2410.8000000000002</v>
      </c>
      <c r="O924" s="15">
        <f t="shared" ref="O924:O925" si="586">(N924/K924)-L924</f>
        <v>0</v>
      </c>
      <c r="P924" s="10" t="s">
        <v>84</v>
      </c>
      <c r="Q924" s="11" t="s">
        <v>2055</v>
      </c>
      <c r="R924" s="11" t="s">
        <v>2056</v>
      </c>
      <c r="S924" s="16" t="s">
        <v>2057</v>
      </c>
      <c r="T924" s="19" t="str">
        <f>MONTH(B924)&amp;"-"&amp;YEAR(B924)</f>
        <v>6-2022</v>
      </c>
      <c r="U924" s="2">
        <f>YEAR(B924)</f>
        <v>2022</v>
      </c>
      <c r="V924" s="2" t="str">
        <f>IF(DAY(B924)&gt;15,MONTH(B924)&amp;"-C",MONTH(B924)&amp;"-N")</f>
        <v>6-N</v>
      </c>
      <c r="W924" s="21">
        <v>40.18</v>
      </c>
      <c r="X924" s="2" t="b">
        <f t="shared" ref="X924:X925" si="587">+L924=W924</f>
        <v>1</v>
      </c>
    </row>
    <row r="925" spans="2:24" x14ac:dyDescent="0.2">
      <c r="B925" s="17">
        <v>44722</v>
      </c>
      <c r="C925" s="10" t="s">
        <v>107</v>
      </c>
      <c r="D925" s="11">
        <v>164585</v>
      </c>
      <c r="E925" s="26">
        <v>63245</v>
      </c>
      <c r="F925" s="10" t="s">
        <v>105</v>
      </c>
      <c r="G925" s="10" t="s">
        <v>46</v>
      </c>
      <c r="H925" s="27" t="s">
        <v>106</v>
      </c>
      <c r="I925" s="12" t="s">
        <v>41</v>
      </c>
      <c r="J925" s="12" t="s">
        <v>41</v>
      </c>
      <c r="K925" s="13">
        <v>1980</v>
      </c>
      <c r="L925" s="21">
        <v>13.29</v>
      </c>
      <c r="M925" s="14" t="s">
        <v>14</v>
      </c>
      <c r="N925" s="13">
        <v>26314.2</v>
      </c>
      <c r="O925" s="15">
        <f t="shared" si="586"/>
        <v>0</v>
      </c>
      <c r="P925" s="10" t="s">
        <v>84</v>
      </c>
      <c r="Q925" s="11" t="s">
        <v>2055</v>
      </c>
      <c r="R925" s="11" t="s">
        <v>2056</v>
      </c>
      <c r="S925" s="16" t="s">
        <v>2057</v>
      </c>
      <c r="T925" s="19" t="str">
        <f>MONTH(B925)&amp;"-"&amp;YEAR(B925)</f>
        <v>6-2022</v>
      </c>
      <c r="U925" s="2">
        <f>YEAR(B925)</f>
        <v>2022</v>
      </c>
      <c r="V925" s="2" t="str">
        <f>IF(DAY(B925)&gt;15,MONTH(B925)&amp;"-C",MONTH(B925)&amp;"-N")</f>
        <v>6-N</v>
      </c>
      <c r="W925" s="21">
        <v>13.29</v>
      </c>
      <c r="X925" s="2" t="b">
        <f t="shared" si="587"/>
        <v>1</v>
      </c>
    </row>
    <row r="926" spans="2:24" x14ac:dyDescent="0.2">
      <c r="B926" s="17">
        <v>44725</v>
      </c>
      <c r="C926" s="10" t="s">
        <v>25</v>
      </c>
      <c r="D926" s="11">
        <v>164875</v>
      </c>
      <c r="E926" s="26">
        <v>63299</v>
      </c>
      <c r="F926" s="10" t="s">
        <v>31</v>
      </c>
      <c r="G926" s="10" t="s">
        <v>27</v>
      </c>
      <c r="H926" s="27" t="s">
        <v>32</v>
      </c>
      <c r="I926" s="12" t="s">
        <v>41</v>
      </c>
      <c r="J926" s="12" t="s">
        <v>41</v>
      </c>
      <c r="K926" s="13">
        <v>1280</v>
      </c>
      <c r="L926" s="21">
        <v>4.72</v>
      </c>
      <c r="M926" s="14" t="s">
        <v>14</v>
      </c>
      <c r="N926" s="13">
        <v>6041.6</v>
      </c>
      <c r="O926" s="15">
        <f t="shared" ref="O926:O928" si="588">(N926/K926)-L926</f>
        <v>0</v>
      </c>
      <c r="P926" s="10" t="s">
        <v>78</v>
      </c>
      <c r="Q926" s="11" t="s">
        <v>2058</v>
      </c>
      <c r="R926" s="11" t="s">
        <v>2059</v>
      </c>
      <c r="S926" s="16" t="s">
        <v>2060</v>
      </c>
      <c r="T926" s="19" t="str">
        <f>MONTH(B926)&amp;"-"&amp;YEAR(B926)</f>
        <v>6-2022</v>
      </c>
      <c r="U926" s="2">
        <f>YEAR(B926)</f>
        <v>2022</v>
      </c>
      <c r="V926" s="2" t="str">
        <f>IF(DAY(B926)&gt;15,MONTH(B926)&amp;"-C",MONTH(B926)&amp;"-N")</f>
        <v>6-N</v>
      </c>
      <c r="W926" s="21">
        <v>4.72</v>
      </c>
      <c r="X926" s="2" t="b">
        <f t="shared" ref="X926:X928" si="589">+L926=W926</f>
        <v>1</v>
      </c>
    </row>
    <row r="927" spans="2:24" x14ac:dyDescent="0.2">
      <c r="B927" s="17">
        <v>44725</v>
      </c>
      <c r="C927" s="10" t="s">
        <v>25</v>
      </c>
      <c r="D927" s="11">
        <v>165024</v>
      </c>
      <c r="E927" s="26">
        <v>63301</v>
      </c>
      <c r="F927" s="10" t="s">
        <v>29</v>
      </c>
      <c r="G927" s="10" t="s">
        <v>27</v>
      </c>
      <c r="H927" s="27" t="s">
        <v>30</v>
      </c>
      <c r="I927" s="12" t="s">
        <v>41</v>
      </c>
      <c r="J927" s="12" t="s">
        <v>41</v>
      </c>
      <c r="K927" s="13">
        <v>660</v>
      </c>
      <c r="L927" s="21">
        <v>4.9000000000000004</v>
      </c>
      <c r="M927" s="14" t="s">
        <v>14</v>
      </c>
      <c r="N927" s="13">
        <v>3234</v>
      </c>
      <c r="O927" s="15">
        <f t="shared" si="588"/>
        <v>0</v>
      </c>
      <c r="P927" s="10" t="s">
        <v>78</v>
      </c>
      <c r="Q927" s="11" t="s">
        <v>2061</v>
      </c>
      <c r="R927" s="11" t="s">
        <v>2062</v>
      </c>
      <c r="S927" s="16" t="s">
        <v>2063</v>
      </c>
      <c r="T927" s="19" t="str">
        <f>MONTH(B927)&amp;"-"&amp;YEAR(B927)</f>
        <v>6-2022</v>
      </c>
      <c r="U927" s="2">
        <f>YEAR(B927)</f>
        <v>2022</v>
      </c>
      <c r="V927" s="2" t="str">
        <f>IF(DAY(B927)&gt;15,MONTH(B927)&amp;"-C",MONTH(B927)&amp;"-N")</f>
        <v>6-N</v>
      </c>
      <c r="W927" s="21">
        <v>4.9000000000000004</v>
      </c>
      <c r="X927" s="2" t="b">
        <f t="shared" si="589"/>
        <v>1</v>
      </c>
    </row>
    <row r="928" spans="2:24" x14ac:dyDescent="0.2">
      <c r="B928" s="17">
        <v>44725</v>
      </c>
      <c r="C928" s="10" t="s">
        <v>94</v>
      </c>
      <c r="D928" s="11">
        <v>164776</v>
      </c>
      <c r="E928" s="26">
        <v>63261</v>
      </c>
      <c r="F928" s="10" t="s">
        <v>26</v>
      </c>
      <c r="G928" s="10" t="s">
        <v>27</v>
      </c>
      <c r="H928" s="27" t="s">
        <v>28</v>
      </c>
      <c r="I928" s="12" t="s">
        <v>41</v>
      </c>
      <c r="J928" s="12" t="s">
        <v>41</v>
      </c>
      <c r="K928" s="13">
        <v>18900</v>
      </c>
      <c r="L928" s="21">
        <v>5.0999999999999996</v>
      </c>
      <c r="M928" s="14" t="s">
        <v>14</v>
      </c>
      <c r="N928" s="13">
        <v>96390</v>
      </c>
      <c r="O928" s="15">
        <f t="shared" si="588"/>
        <v>0</v>
      </c>
      <c r="P928" s="10" t="s">
        <v>78</v>
      </c>
      <c r="Q928" s="11" t="s">
        <v>2064</v>
      </c>
      <c r="R928" s="11" t="s">
        <v>2065</v>
      </c>
      <c r="S928" s="16" t="s">
        <v>2066</v>
      </c>
      <c r="T928" s="19" t="str">
        <f>MONTH(B928)&amp;"-"&amp;YEAR(B928)</f>
        <v>6-2022</v>
      </c>
      <c r="U928" s="2">
        <f>YEAR(B928)</f>
        <v>2022</v>
      </c>
      <c r="V928" s="2" t="str">
        <f>IF(DAY(B928)&gt;15,MONTH(B928)&amp;"-C",MONTH(B928)&amp;"-N")</f>
        <v>6-N</v>
      </c>
      <c r="W928" s="21">
        <v>5.0999999999999996</v>
      </c>
      <c r="X928" s="2" t="b">
        <f t="shared" si="589"/>
        <v>1</v>
      </c>
    </row>
    <row r="929" spans="2:24" x14ac:dyDescent="0.2">
      <c r="B929" s="17">
        <v>44728</v>
      </c>
      <c r="C929" s="10" t="s">
        <v>107</v>
      </c>
      <c r="D929" s="11">
        <v>164585</v>
      </c>
      <c r="E929" s="26">
        <v>63352</v>
      </c>
      <c r="F929" s="10" t="s">
        <v>103</v>
      </c>
      <c r="G929" s="10" t="s">
        <v>46</v>
      </c>
      <c r="H929" s="27" t="s">
        <v>104</v>
      </c>
      <c r="I929" s="12" t="s">
        <v>41</v>
      </c>
      <c r="J929" s="12" t="s">
        <v>41</v>
      </c>
      <c r="K929" s="13">
        <v>110</v>
      </c>
      <c r="L929" s="21">
        <v>40.18</v>
      </c>
      <c r="M929" s="14" t="s">
        <v>14</v>
      </c>
      <c r="N929" s="13">
        <v>4419.8</v>
      </c>
      <c r="O929" s="15">
        <f t="shared" ref="O929:O930" si="590">(N929/K929)-L929</f>
        <v>0</v>
      </c>
      <c r="P929" s="10" t="s">
        <v>84</v>
      </c>
      <c r="Q929" s="11" t="s">
        <v>2067</v>
      </c>
      <c r="R929" s="11" t="s">
        <v>2068</v>
      </c>
      <c r="S929" s="16" t="s">
        <v>2069</v>
      </c>
      <c r="T929" s="19" t="str">
        <f>MONTH(B929)&amp;"-"&amp;YEAR(B929)</f>
        <v>6-2022</v>
      </c>
      <c r="U929" s="2">
        <f>YEAR(B929)</f>
        <v>2022</v>
      </c>
      <c r="V929" s="2" t="str">
        <f>IF(DAY(B929)&gt;15,MONTH(B929)&amp;"-C",MONTH(B929)&amp;"-N")</f>
        <v>6-C</v>
      </c>
      <c r="W929" s="21">
        <v>40.18</v>
      </c>
      <c r="X929" s="2" t="b">
        <f t="shared" ref="X929:X930" si="591">+L929=W929</f>
        <v>1</v>
      </c>
    </row>
    <row r="930" spans="2:24" x14ac:dyDescent="0.2">
      <c r="B930" s="17">
        <v>44728</v>
      </c>
      <c r="C930" s="10" t="s">
        <v>107</v>
      </c>
      <c r="D930" s="11">
        <v>164585</v>
      </c>
      <c r="E930" s="26">
        <v>63352</v>
      </c>
      <c r="F930" s="10" t="s">
        <v>105</v>
      </c>
      <c r="G930" s="10" t="s">
        <v>46</v>
      </c>
      <c r="H930" s="27" t="s">
        <v>106</v>
      </c>
      <c r="I930" s="12" t="s">
        <v>41</v>
      </c>
      <c r="J930" s="12" t="s">
        <v>41</v>
      </c>
      <c r="K930" s="13">
        <v>3520</v>
      </c>
      <c r="L930" s="21">
        <v>13.29</v>
      </c>
      <c r="M930" s="14" t="s">
        <v>14</v>
      </c>
      <c r="N930" s="13">
        <v>46780.800000000003</v>
      </c>
      <c r="O930" s="15">
        <f t="shared" si="590"/>
        <v>0</v>
      </c>
      <c r="P930" s="10" t="s">
        <v>84</v>
      </c>
      <c r="Q930" s="11" t="s">
        <v>2067</v>
      </c>
      <c r="R930" s="11" t="s">
        <v>2068</v>
      </c>
      <c r="S930" s="16" t="s">
        <v>2069</v>
      </c>
      <c r="T930" s="19" t="str">
        <f>MONTH(B930)&amp;"-"&amp;YEAR(B930)</f>
        <v>6-2022</v>
      </c>
      <c r="U930" s="2">
        <f>YEAR(B930)</f>
        <v>2022</v>
      </c>
      <c r="V930" s="2" t="str">
        <f>IF(DAY(B930)&gt;15,MONTH(B930)&amp;"-C",MONTH(B930)&amp;"-N")</f>
        <v>6-C</v>
      </c>
      <c r="W930" s="21">
        <v>13.29</v>
      </c>
      <c r="X930" s="2" t="b">
        <f t="shared" si="591"/>
        <v>1</v>
      </c>
    </row>
    <row r="931" spans="2:24" x14ac:dyDescent="0.2">
      <c r="B931" s="17">
        <v>44729</v>
      </c>
      <c r="C931" s="10" t="s">
        <v>25</v>
      </c>
      <c r="D931" s="11">
        <v>164774</v>
      </c>
      <c r="E931" s="26">
        <v>63361</v>
      </c>
      <c r="F931" s="10" t="s">
        <v>26</v>
      </c>
      <c r="G931" s="10" t="s">
        <v>27</v>
      </c>
      <c r="H931" s="27" t="s">
        <v>28</v>
      </c>
      <c r="I931" s="12" t="s">
        <v>41</v>
      </c>
      <c r="J931" s="12" t="s">
        <v>41</v>
      </c>
      <c r="K931" s="13">
        <v>19800</v>
      </c>
      <c r="L931" s="21">
        <v>5.0999999999999996</v>
      </c>
      <c r="M931" s="14" t="s">
        <v>14</v>
      </c>
      <c r="N931" s="13">
        <v>100980</v>
      </c>
      <c r="O931" s="15">
        <f t="shared" ref="O931" si="592">(N931/K931)-L931</f>
        <v>0</v>
      </c>
      <c r="P931" s="10" t="s">
        <v>78</v>
      </c>
      <c r="Q931" s="11" t="s">
        <v>2070</v>
      </c>
      <c r="R931" s="11" t="s">
        <v>2071</v>
      </c>
      <c r="S931" s="16" t="s">
        <v>2072</v>
      </c>
      <c r="T931" s="19" t="str">
        <f>MONTH(B931)&amp;"-"&amp;YEAR(B931)</f>
        <v>6-2022</v>
      </c>
      <c r="U931" s="2">
        <f>YEAR(B931)</f>
        <v>2022</v>
      </c>
      <c r="V931" s="2" t="str">
        <f>IF(DAY(B931)&gt;15,MONTH(B931)&amp;"-C",MONTH(B931)&amp;"-N")</f>
        <v>6-C</v>
      </c>
      <c r="W931" s="21">
        <v>5.0999999999999996</v>
      </c>
      <c r="X931" s="2" t="b">
        <f t="shared" ref="X931" si="593">+L931=W931</f>
        <v>1</v>
      </c>
    </row>
    <row r="932" spans="2:24" x14ac:dyDescent="0.2">
      <c r="B932" s="17">
        <v>44732</v>
      </c>
      <c r="C932" s="10" t="s">
        <v>25</v>
      </c>
      <c r="D932" s="11">
        <v>165024</v>
      </c>
      <c r="E932" s="26">
        <v>63409</v>
      </c>
      <c r="F932" s="10" t="s">
        <v>29</v>
      </c>
      <c r="G932" s="10" t="s">
        <v>27</v>
      </c>
      <c r="H932" s="27" t="s">
        <v>30</v>
      </c>
      <c r="I932" s="12" t="s">
        <v>41</v>
      </c>
      <c r="J932" s="12" t="s">
        <v>41</v>
      </c>
      <c r="K932" s="13">
        <v>1980</v>
      </c>
      <c r="L932" s="21">
        <v>4.9000000000000004</v>
      </c>
      <c r="M932" s="14" t="s">
        <v>14</v>
      </c>
      <c r="N932" s="13">
        <v>9702</v>
      </c>
      <c r="O932" s="15">
        <f t="shared" ref="O932:O933" si="594">(N932/K932)-L932</f>
        <v>0</v>
      </c>
      <c r="P932" s="10" t="s">
        <v>78</v>
      </c>
      <c r="Q932" s="11" t="s">
        <v>2073</v>
      </c>
      <c r="R932" s="11" t="s">
        <v>2074</v>
      </c>
      <c r="S932" s="16" t="s">
        <v>2075</v>
      </c>
      <c r="T932" s="19" t="str">
        <f>MONTH(B932)&amp;"-"&amp;YEAR(B932)</f>
        <v>6-2022</v>
      </c>
      <c r="U932" s="2">
        <f>YEAR(B932)</f>
        <v>2022</v>
      </c>
      <c r="V932" s="2" t="str">
        <f>IF(DAY(B932)&gt;15,MONTH(B932)&amp;"-C",MONTH(B932)&amp;"-N")</f>
        <v>6-C</v>
      </c>
      <c r="W932" s="21">
        <v>4.9000000000000004</v>
      </c>
      <c r="X932" s="2" t="b">
        <f t="shared" ref="X932:X933" si="595">+L932=W932</f>
        <v>1</v>
      </c>
    </row>
    <row r="933" spans="2:24" x14ac:dyDescent="0.2">
      <c r="B933" s="17">
        <v>44732</v>
      </c>
      <c r="C933" s="10" t="s">
        <v>25</v>
      </c>
      <c r="D933" s="11">
        <v>164875</v>
      </c>
      <c r="E933" s="26">
        <v>63408</v>
      </c>
      <c r="F933" s="10" t="s">
        <v>33</v>
      </c>
      <c r="G933" s="10" t="s">
        <v>27</v>
      </c>
      <c r="H933" s="27" t="s">
        <v>34</v>
      </c>
      <c r="I933" s="12" t="s">
        <v>41</v>
      </c>
      <c r="J933" s="12" t="s">
        <v>41</v>
      </c>
      <c r="K933" s="13">
        <v>1440</v>
      </c>
      <c r="L933" s="21">
        <v>7</v>
      </c>
      <c r="M933" s="14" t="s">
        <v>14</v>
      </c>
      <c r="N933" s="13">
        <v>10080</v>
      </c>
      <c r="O933" s="15">
        <f t="shared" si="594"/>
        <v>0</v>
      </c>
      <c r="P933" s="10" t="s">
        <v>78</v>
      </c>
      <c r="Q933" s="11" t="s">
        <v>2076</v>
      </c>
      <c r="R933" s="11" t="s">
        <v>2077</v>
      </c>
      <c r="S933" s="16" t="s">
        <v>2078</v>
      </c>
      <c r="T933" s="19" t="str">
        <f>MONTH(B933)&amp;"-"&amp;YEAR(B933)</f>
        <v>6-2022</v>
      </c>
      <c r="U933" s="2">
        <f>YEAR(B933)</f>
        <v>2022</v>
      </c>
      <c r="V933" s="2" t="str">
        <f>IF(DAY(B933)&gt;15,MONTH(B933)&amp;"-C",MONTH(B933)&amp;"-N")</f>
        <v>6-C</v>
      </c>
      <c r="W933" s="21">
        <v>7</v>
      </c>
      <c r="X933" s="2" t="b">
        <f t="shared" si="595"/>
        <v>1</v>
      </c>
    </row>
    <row r="934" spans="2:24" x14ac:dyDescent="0.2">
      <c r="B934" s="17">
        <v>44733</v>
      </c>
      <c r="C934" s="10" t="s">
        <v>80</v>
      </c>
      <c r="D934" s="11">
        <v>164855</v>
      </c>
      <c r="E934" s="26">
        <v>63429</v>
      </c>
      <c r="F934" s="10" t="s">
        <v>26</v>
      </c>
      <c r="G934" s="10" t="s">
        <v>27</v>
      </c>
      <c r="H934" s="27" t="s">
        <v>28</v>
      </c>
      <c r="I934" s="12" t="s">
        <v>41</v>
      </c>
      <c r="J934" s="12" t="s">
        <v>41</v>
      </c>
      <c r="K934" s="13">
        <v>10800</v>
      </c>
      <c r="L934" s="21">
        <v>5.0999999999999996</v>
      </c>
      <c r="M934" s="14" t="s">
        <v>14</v>
      </c>
      <c r="N934" s="13">
        <v>55080</v>
      </c>
      <c r="O934" s="15">
        <f t="shared" ref="O934:O936" si="596">(N934/K934)-L934</f>
        <v>0</v>
      </c>
      <c r="P934" s="10" t="s">
        <v>78</v>
      </c>
      <c r="Q934" s="11" t="s">
        <v>2079</v>
      </c>
      <c r="R934" s="11" t="s">
        <v>2080</v>
      </c>
      <c r="S934" s="16" t="s">
        <v>2081</v>
      </c>
      <c r="T934" s="19" t="str">
        <f>MONTH(B934)&amp;"-"&amp;YEAR(B934)</f>
        <v>6-2022</v>
      </c>
      <c r="U934" s="2">
        <f>YEAR(B934)</f>
        <v>2022</v>
      </c>
      <c r="V934" s="2" t="str">
        <f>IF(DAY(B934)&gt;15,MONTH(B934)&amp;"-C",MONTH(B934)&amp;"-N")</f>
        <v>6-C</v>
      </c>
      <c r="W934" s="21">
        <v>5.0999999999999996</v>
      </c>
      <c r="X934" s="2" t="b">
        <f t="shared" ref="X934:X936" si="597">+L934=W934</f>
        <v>1</v>
      </c>
    </row>
    <row r="935" spans="2:24" x14ac:dyDescent="0.2">
      <c r="B935" s="17">
        <v>44733</v>
      </c>
      <c r="C935" s="10" t="s">
        <v>48</v>
      </c>
      <c r="D935" s="11">
        <v>163635</v>
      </c>
      <c r="E935" s="26">
        <v>63444</v>
      </c>
      <c r="F935" s="10" t="s">
        <v>135</v>
      </c>
      <c r="G935" s="10" t="s">
        <v>46</v>
      </c>
      <c r="H935" s="27" t="s">
        <v>136</v>
      </c>
      <c r="I935" s="12" t="s">
        <v>41</v>
      </c>
      <c r="J935" s="12" t="s">
        <v>41</v>
      </c>
      <c r="K935" s="13">
        <v>4400</v>
      </c>
      <c r="L935" s="21">
        <v>12.204000000000001</v>
      </c>
      <c r="M935" s="14" t="s">
        <v>14</v>
      </c>
      <c r="N935" s="13">
        <v>53699.008000000002</v>
      </c>
      <c r="O935" s="15">
        <f t="shared" si="596"/>
        <v>3.2000000000032003E-4</v>
      </c>
      <c r="P935" s="10" t="s">
        <v>90</v>
      </c>
      <c r="Q935" s="11" t="s">
        <v>2082</v>
      </c>
      <c r="R935" s="11" t="s">
        <v>2083</v>
      </c>
      <c r="S935" s="16" t="s">
        <v>2084</v>
      </c>
      <c r="T935" s="19" t="str">
        <f>MONTH(B935)&amp;"-"&amp;YEAR(B935)</f>
        <v>6-2022</v>
      </c>
      <c r="U935" s="2">
        <f>YEAR(B935)</f>
        <v>2022</v>
      </c>
      <c r="V935" s="2" t="str">
        <f>IF(DAY(B935)&gt;15,MONTH(B935)&amp;"-C",MONTH(B935)&amp;"-N")</f>
        <v>6-C</v>
      </c>
      <c r="W935" s="21">
        <v>12.204000000000001</v>
      </c>
      <c r="X935" s="2" t="b">
        <f t="shared" si="597"/>
        <v>1</v>
      </c>
    </row>
    <row r="936" spans="2:24" x14ac:dyDescent="0.2">
      <c r="B936" s="17">
        <v>44733</v>
      </c>
      <c r="C936" s="10" t="s">
        <v>48</v>
      </c>
      <c r="D936" s="11">
        <v>163635</v>
      </c>
      <c r="E936" s="26">
        <v>63444</v>
      </c>
      <c r="F936" s="10" t="s">
        <v>71</v>
      </c>
      <c r="G936" s="10" t="s">
        <v>46</v>
      </c>
      <c r="H936" s="27" t="s">
        <v>72</v>
      </c>
      <c r="I936" s="12" t="s">
        <v>41</v>
      </c>
      <c r="J936" s="12" t="s">
        <v>41</v>
      </c>
      <c r="K936" s="13">
        <v>11600</v>
      </c>
      <c r="L936" s="21">
        <v>11.579000000000001</v>
      </c>
      <c r="M936" s="14" t="s">
        <v>14</v>
      </c>
      <c r="N936" s="13">
        <v>134321.04</v>
      </c>
      <c r="O936" s="15">
        <f t="shared" si="596"/>
        <v>4.0000000000084412E-4</v>
      </c>
      <c r="P936" s="10" t="s">
        <v>90</v>
      </c>
      <c r="Q936" s="11" t="s">
        <v>2082</v>
      </c>
      <c r="R936" s="11" t="s">
        <v>2083</v>
      </c>
      <c r="S936" s="16" t="s">
        <v>2084</v>
      </c>
      <c r="T936" s="19" t="str">
        <f>MONTH(B936)&amp;"-"&amp;YEAR(B936)</f>
        <v>6-2022</v>
      </c>
      <c r="U936" s="2">
        <f>YEAR(B936)</f>
        <v>2022</v>
      </c>
      <c r="V936" s="2" t="str">
        <f>IF(DAY(B936)&gt;15,MONTH(B936)&amp;"-C",MONTH(B936)&amp;"-N")</f>
        <v>6-C</v>
      </c>
      <c r="W936" s="21">
        <v>11.579000000000001</v>
      </c>
      <c r="X936" s="2" t="b">
        <f t="shared" si="597"/>
        <v>1</v>
      </c>
    </row>
    <row r="937" spans="2:24" x14ac:dyDescent="0.2">
      <c r="B937" s="17">
        <v>44735</v>
      </c>
      <c r="C937" s="10" t="s">
        <v>80</v>
      </c>
      <c r="D937" s="11">
        <v>164855</v>
      </c>
      <c r="E937" s="26">
        <v>63463</v>
      </c>
      <c r="F937" s="10" t="s">
        <v>26</v>
      </c>
      <c r="G937" s="10" t="s">
        <v>27</v>
      </c>
      <c r="H937" s="27" t="s">
        <v>28</v>
      </c>
      <c r="I937" s="12" t="s">
        <v>41</v>
      </c>
      <c r="J937" s="12" t="s">
        <v>41</v>
      </c>
      <c r="K937" s="13">
        <v>9000</v>
      </c>
      <c r="L937" s="21">
        <v>5.0999999999999996</v>
      </c>
      <c r="M937" s="14" t="s">
        <v>14</v>
      </c>
      <c r="N937" s="13">
        <v>45900</v>
      </c>
      <c r="O937" s="15">
        <f t="shared" ref="O937" si="598">(N937/K937)-L937</f>
        <v>0</v>
      </c>
      <c r="P937" s="10" t="s">
        <v>78</v>
      </c>
      <c r="Q937" s="11" t="s">
        <v>2085</v>
      </c>
      <c r="R937" s="11" t="s">
        <v>2086</v>
      </c>
      <c r="S937" s="16" t="s">
        <v>2087</v>
      </c>
      <c r="T937" s="19" t="str">
        <f>MONTH(B937)&amp;"-"&amp;YEAR(B937)</f>
        <v>6-2022</v>
      </c>
      <c r="U937" s="2">
        <f>YEAR(B937)</f>
        <v>2022</v>
      </c>
      <c r="V937" s="2" t="str">
        <f>IF(DAY(B937)&gt;15,MONTH(B937)&amp;"-C",MONTH(B937)&amp;"-N")</f>
        <v>6-C</v>
      </c>
      <c r="W937" s="21">
        <v>5.0999999999999996</v>
      </c>
      <c r="X937" s="2" t="b">
        <f t="shared" ref="X937" si="599">+L937=W937</f>
        <v>1</v>
      </c>
    </row>
    <row r="938" spans="2:24" x14ac:dyDescent="0.2">
      <c r="B938" s="17">
        <v>44736</v>
      </c>
      <c r="C938" s="10" t="s">
        <v>25</v>
      </c>
      <c r="D938" s="11">
        <v>165137</v>
      </c>
      <c r="E938" s="26">
        <v>63487</v>
      </c>
      <c r="F938" s="10" t="s">
        <v>26</v>
      </c>
      <c r="G938" s="10" t="s">
        <v>27</v>
      </c>
      <c r="H938" s="27" t="s">
        <v>28</v>
      </c>
      <c r="I938" s="12" t="s">
        <v>41</v>
      </c>
      <c r="J938" s="12" t="s">
        <v>41</v>
      </c>
      <c r="K938" s="13">
        <v>5400</v>
      </c>
      <c r="L938" s="21">
        <v>5.08</v>
      </c>
      <c r="M938" s="14" t="s">
        <v>14</v>
      </c>
      <c r="N938" s="13">
        <v>27432</v>
      </c>
      <c r="O938" s="15">
        <f t="shared" ref="O938" si="600">(N938/K938)-L938</f>
        <v>0</v>
      </c>
      <c r="P938" s="10" t="s">
        <v>78</v>
      </c>
      <c r="Q938" s="11" t="s">
        <v>2088</v>
      </c>
      <c r="R938" s="11" t="s">
        <v>2089</v>
      </c>
      <c r="S938" s="16" t="s">
        <v>2090</v>
      </c>
      <c r="T938" s="19" t="str">
        <f>MONTH(B938)&amp;"-"&amp;YEAR(B938)</f>
        <v>6-2022</v>
      </c>
      <c r="U938" s="2">
        <f>YEAR(B938)</f>
        <v>2022</v>
      </c>
      <c r="V938" s="2" t="str">
        <f>IF(DAY(B938)&gt;15,MONTH(B938)&amp;"-C",MONTH(B938)&amp;"-N")</f>
        <v>6-C</v>
      </c>
      <c r="W938" s="21">
        <v>5.08</v>
      </c>
      <c r="X938" s="2" t="b">
        <f t="shared" ref="X938" si="601">+L938=W938</f>
        <v>1</v>
      </c>
    </row>
    <row r="939" spans="2:24" x14ac:dyDescent="0.2">
      <c r="B939" s="17">
        <v>44740</v>
      </c>
      <c r="C939" s="10" t="s">
        <v>80</v>
      </c>
      <c r="D939" s="11">
        <v>165178</v>
      </c>
      <c r="E939" s="26">
        <v>63535</v>
      </c>
      <c r="F939" s="10" t="s">
        <v>26</v>
      </c>
      <c r="G939" s="10" t="s">
        <v>27</v>
      </c>
      <c r="H939" s="27" t="s">
        <v>28</v>
      </c>
      <c r="I939" s="12" t="s">
        <v>41</v>
      </c>
      <c r="J939" s="12" t="s">
        <v>41</v>
      </c>
      <c r="K939" s="13">
        <v>10800</v>
      </c>
      <c r="L939" s="21">
        <v>5.05</v>
      </c>
      <c r="M939" s="14" t="s">
        <v>14</v>
      </c>
      <c r="N939" s="13">
        <v>54540</v>
      </c>
      <c r="O939" s="15">
        <f t="shared" ref="O939" si="602">(N939/K939)-L939</f>
        <v>0</v>
      </c>
      <c r="P939" s="10" t="s">
        <v>78</v>
      </c>
      <c r="Q939" s="11" t="s">
        <v>2091</v>
      </c>
      <c r="R939" s="11" t="s">
        <v>2092</v>
      </c>
      <c r="S939" s="16" t="s">
        <v>2093</v>
      </c>
      <c r="T939" s="19" t="str">
        <f>MONTH(B939)&amp;"-"&amp;YEAR(B939)</f>
        <v>6-2022</v>
      </c>
      <c r="U939" s="2">
        <f>YEAR(B939)</f>
        <v>2022</v>
      </c>
      <c r="V939" s="2" t="str">
        <f>IF(DAY(B939)&gt;15,MONTH(B939)&amp;"-C",MONTH(B939)&amp;"-N")</f>
        <v>6-C</v>
      </c>
      <c r="W939" s="21">
        <v>5.05</v>
      </c>
      <c r="X939" s="2" t="b">
        <f t="shared" ref="X939" si="603">+L939=W939</f>
        <v>1</v>
      </c>
    </row>
    <row r="940" spans="2:24" x14ac:dyDescent="0.2">
      <c r="B940" s="17">
        <v>44741</v>
      </c>
      <c r="C940" s="10" t="s">
        <v>80</v>
      </c>
      <c r="D940" s="11">
        <v>165178</v>
      </c>
      <c r="E940" s="26">
        <v>63538</v>
      </c>
      <c r="F940" s="10" t="s">
        <v>26</v>
      </c>
      <c r="G940" s="10" t="s">
        <v>27</v>
      </c>
      <c r="H940" s="27" t="s">
        <v>28</v>
      </c>
      <c r="I940" s="12" t="s">
        <v>41</v>
      </c>
      <c r="J940" s="12" t="s">
        <v>41</v>
      </c>
      <c r="K940" s="13">
        <v>9000</v>
      </c>
      <c r="L940" s="21">
        <v>5.05</v>
      </c>
      <c r="M940" s="14" t="s">
        <v>14</v>
      </c>
      <c r="N940" s="13">
        <v>45450</v>
      </c>
      <c r="O940" s="15">
        <f t="shared" ref="O940" si="604">(N940/K940)-L940</f>
        <v>0</v>
      </c>
      <c r="P940" s="10" t="s">
        <v>78</v>
      </c>
      <c r="Q940" s="11" t="s">
        <v>2094</v>
      </c>
      <c r="R940" s="11" t="s">
        <v>2095</v>
      </c>
      <c r="S940" s="16" t="s">
        <v>2096</v>
      </c>
      <c r="T940" s="19" t="str">
        <f>MONTH(B940)&amp;"-"&amp;YEAR(B940)</f>
        <v>6-2022</v>
      </c>
      <c r="U940" s="2">
        <f>YEAR(B940)</f>
        <v>2022</v>
      </c>
      <c r="V940" s="2" t="str">
        <f>IF(DAY(B940)&gt;15,MONTH(B940)&amp;"-C",MONTH(B940)&amp;"-N")</f>
        <v>6-C</v>
      </c>
      <c r="W940" s="21">
        <v>5.05</v>
      </c>
      <c r="X940" s="2" t="b">
        <f t="shared" ref="X940" si="605">+L940=W940</f>
        <v>1</v>
      </c>
    </row>
    <row r="941" spans="2:24" x14ac:dyDescent="0.2">
      <c r="B941" s="17">
        <v>44743</v>
      </c>
      <c r="C941" s="10" t="s">
        <v>25</v>
      </c>
      <c r="D941" s="11">
        <v>165137</v>
      </c>
      <c r="E941" s="26">
        <v>63597</v>
      </c>
      <c r="F941" s="10" t="s">
        <v>26</v>
      </c>
      <c r="G941" s="10" t="s">
        <v>27</v>
      </c>
      <c r="H941" s="27" t="s">
        <v>28</v>
      </c>
      <c r="I941" s="12"/>
      <c r="J941" s="12"/>
      <c r="K941" s="13">
        <v>9000</v>
      </c>
      <c r="L941" s="21">
        <v>5.0999999999999996</v>
      </c>
      <c r="M941" s="14" t="s">
        <v>14</v>
      </c>
      <c r="N941" s="13">
        <v>45900</v>
      </c>
      <c r="O941" s="15">
        <f t="shared" ref="O941:O942" si="606">(N941/K941)-L941</f>
        <v>0</v>
      </c>
      <c r="P941" s="10" t="s">
        <v>78</v>
      </c>
      <c r="Q941" s="11" t="s">
        <v>2097</v>
      </c>
      <c r="R941" s="11" t="s">
        <v>2098</v>
      </c>
      <c r="S941" s="16" t="s">
        <v>2099</v>
      </c>
      <c r="T941" s="19" t="str">
        <f>MONTH(B941)&amp;"-"&amp;YEAR(B941)</f>
        <v>7-2022</v>
      </c>
      <c r="U941" s="2">
        <f>YEAR(B941)</f>
        <v>2022</v>
      </c>
      <c r="V941" s="2" t="str">
        <f>IF(DAY(B941)&gt;15,MONTH(B941)&amp;"-C",MONTH(B941)&amp;"-N")</f>
        <v>7-N</v>
      </c>
      <c r="W941" s="21">
        <v>5.0999999999999996</v>
      </c>
      <c r="X941" s="2" t="b">
        <f t="shared" ref="X941:X942" si="607">+L941=W941</f>
        <v>1</v>
      </c>
    </row>
    <row r="942" spans="2:24" x14ac:dyDescent="0.2">
      <c r="B942" s="17">
        <v>44747</v>
      </c>
      <c r="C942" s="10" t="s">
        <v>25</v>
      </c>
      <c r="D942" s="11">
        <v>165137</v>
      </c>
      <c r="E942" s="26">
        <v>63645</v>
      </c>
      <c r="F942" s="10" t="s">
        <v>26</v>
      </c>
      <c r="G942" s="10" t="s">
        <v>27</v>
      </c>
      <c r="H942" s="27" t="s">
        <v>28</v>
      </c>
      <c r="I942" s="12"/>
      <c r="J942" s="12"/>
      <c r="K942" s="13">
        <v>13800</v>
      </c>
      <c r="L942" s="21">
        <v>5.08</v>
      </c>
      <c r="M942" s="14" t="s">
        <v>14</v>
      </c>
      <c r="N942" s="13">
        <v>70104</v>
      </c>
      <c r="O942" s="15">
        <f t="shared" si="606"/>
        <v>0</v>
      </c>
      <c r="P942" s="10" t="s">
        <v>78</v>
      </c>
      <c r="Q942" s="11" t="s">
        <v>2100</v>
      </c>
      <c r="R942" s="11" t="s">
        <v>2101</v>
      </c>
      <c r="S942" s="16" t="s">
        <v>2102</v>
      </c>
      <c r="T942" s="19" t="str">
        <f>MONTH(B942)&amp;"-"&amp;YEAR(B942)</f>
        <v>7-2022</v>
      </c>
      <c r="U942" s="2">
        <f>YEAR(B942)</f>
        <v>2022</v>
      </c>
      <c r="V942" s="2" t="str">
        <f>IF(DAY(B942)&gt;15,MONTH(B942)&amp;"-C",MONTH(B942)&amp;"-N")</f>
        <v>7-N</v>
      </c>
      <c r="W942" s="21">
        <v>5.08</v>
      </c>
      <c r="X942" s="2" t="b">
        <f t="shared" si="607"/>
        <v>1</v>
      </c>
    </row>
    <row r="943" spans="2:24" x14ac:dyDescent="0.2">
      <c r="B943" s="17">
        <v>44747</v>
      </c>
      <c r="C943" s="10" t="s">
        <v>25</v>
      </c>
      <c r="D943" s="11">
        <v>165137</v>
      </c>
      <c r="E943" s="26">
        <v>63646</v>
      </c>
      <c r="F943" s="10" t="s">
        <v>26</v>
      </c>
      <c r="G943" s="10" t="s">
        <v>27</v>
      </c>
      <c r="H943" s="27" t="s">
        <v>28</v>
      </c>
      <c r="I943" s="12"/>
      <c r="J943" s="12"/>
      <c r="K943" s="13">
        <v>6000</v>
      </c>
      <c r="L943" s="21">
        <v>5.0999999999999996</v>
      </c>
      <c r="M943" s="14" t="s">
        <v>14</v>
      </c>
      <c r="N943" s="13">
        <v>30600</v>
      </c>
      <c r="O943" s="15">
        <f t="shared" ref="O943:O952" si="608">(N943/K943)-L943</f>
        <v>0</v>
      </c>
      <c r="P943" s="10" t="s">
        <v>78</v>
      </c>
      <c r="Q943" s="11" t="s">
        <v>2103</v>
      </c>
      <c r="R943" s="11" t="s">
        <v>2104</v>
      </c>
      <c r="S943" s="16" t="s">
        <v>2105</v>
      </c>
      <c r="T943" s="19" t="str">
        <f>MONTH(B943)&amp;"-"&amp;YEAR(B943)</f>
        <v>7-2022</v>
      </c>
      <c r="U943" s="2">
        <f>YEAR(B943)</f>
        <v>2022</v>
      </c>
      <c r="V943" s="2" t="str">
        <f>IF(DAY(B943)&gt;15,MONTH(B943)&amp;"-C",MONTH(B943)&amp;"-N")</f>
        <v>7-N</v>
      </c>
      <c r="W943" s="21">
        <v>5.0999999999999996</v>
      </c>
      <c r="X943" s="2" t="b">
        <f t="shared" ref="X943:X952" si="609">+L943=W943</f>
        <v>1</v>
      </c>
    </row>
    <row r="944" spans="2:24" x14ac:dyDescent="0.2">
      <c r="B944" s="17">
        <v>44748</v>
      </c>
      <c r="C944" s="10" t="s">
        <v>73</v>
      </c>
      <c r="D944" s="11">
        <v>165312</v>
      </c>
      <c r="E944" s="26">
        <v>63660</v>
      </c>
      <c r="F944" s="10" t="s">
        <v>399</v>
      </c>
      <c r="G944" s="10" t="s">
        <v>46</v>
      </c>
      <c r="H944" s="27" t="s">
        <v>149</v>
      </c>
      <c r="I944" s="12"/>
      <c r="J944" s="12"/>
      <c r="K944" s="13">
        <v>210</v>
      </c>
      <c r="L944" s="21">
        <v>16.8</v>
      </c>
      <c r="M944" s="14" t="s">
        <v>14</v>
      </c>
      <c r="N944" s="13">
        <v>3528</v>
      </c>
      <c r="O944" s="15">
        <f t="shared" si="608"/>
        <v>0</v>
      </c>
      <c r="P944" s="10" t="s">
        <v>84</v>
      </c>
      <c r="Q944" s="11" t="s">
        <v>2106</v>
      </c>
      <c r="R944" s="11" t="s">
        <v>2107</v>
      </c>
      <c r="S944" s="16" t="s">
        <v>2108</v>
      </c>
      <c r="T944" s="19" t="str">
        <f>MONTH(B944)&amp;"-"&amp;YEAR(B944)</f>
        <v>7-2022</v>
      </c>
      <c r="U944" s="2">
        <f>YEAR(B944)</f>
        <v>2022</v>
      </c>
      <c r="V944" s="2" t="str">
        <f>IF(DAY(B944)&gt;15,MONTH(B944)&amp;"-C",MONTH(B944)&amp;"-N")</f>
        <v>7-N</v>
      </c>
      <c r="W944" s="21">
        <v>16.8</v>
      </c>
      <c r="X944" s="2" t="b">
        <f t="shared" si="609"/>
        <v>1</v>
      </c>
    </row>
    <row r="945" spans="2:24" x14ac:dyDescent="0.2">
      <c r="B945" s="17">
        <v>44748</v>
      </c>
      <c r="C945" s="10" t="s">
        <v>107</v>
      </c>
      <c r="D945" s="11">
        <v>165074</v>
      </c>
      <c r="E945" s="26">
        <v>63662</v>
      </c>
      <c r="F945" s="10" t="s">
        <v>935</v>
      </c>
      <c r="G945" s="10" t="s">
        <v>46</v>
      </c>
      <c r="H945" s="27" t="s">
        <v>936</v>
      </c>
      <c r="I945" s="12"/>
      <c r="J945" s="12"/>
      <c r="K945" s="13">
        <v>200</v>
      </c>
      <c r="L945" s="21">
        <v>16</v>
      </c>
      <c r="M945" s="14" t="s">
        <v>14</v>
      </c>
      <c r="N945" s="13">
        <v>3200</v>
      </c>
      <c r="O945" s="15">
        <f t="shared" si="608"/>
        <v>0</v>
      </c>
      <c r="P945" s="10" t="s">
        <v>84</v>
      </c>
      <c r="Q945" s="11" t="s">
        <v>2109</v>
      </c>
      <c r="R945" s="11" t="s">
        <v>2110</v>
      </c>
      <c r="S945" s="16" t="s">
        <v>2111</v>
      </c>
      <c r="T945" s="19" t="str">
        <f>MONTH(B945)&amp;"-"&amp;YEAR(B945)</f>
        <v>7-2022</v>
      </c>
      <c r="U945" s="2">
        <f>YEAR(B945)</f>
        <v>2022</v>
      </c>
      <c r="V945" s="2" t="str">
        <f>IF(DAY(B945)&gt;15,MONTH(B945)&amp;"-C",MONTH(B945)&amp;"-N")</f>
        <v>7-N</v>
      </c>
      <c r="W945" s="21">
        <v>16</v>
      </c>
      <c r="X945" s="2" t="b">
        <f t="shared" si="609"/>
        <v>1</v>
      </c>
    </row>
    <row r="946" spans="2:24" x14ac:dyDescent="0.2">
      <c r="B946" s="17">
        <v>44748</v>
      </c>
      <c r="C946" s="10" t="s">
        <v>107</v>
      </c>
      <c r="D946" s="11">
        <v>164585</v>
      </c>
      <c r="E946" s="26">
        <v>63662</v>
      </c>
      <c r="F946" s="10" t="s">
        <v>103</v>
      </c>
      <c r="G946" s="10" t="s">
        <v>46</v>
      </c>
      <c r="H946" s="27" t="s">
        <v>104</v>
      </c>
      <c r="I946" s="12"/>
      <c r="J946" s="12"/>
      <c r="K946" s="13">
        <v>230</v>
      </c>
      <c r="L946" s="21">
        <v>40.18</v>
      </c>
      <c r="M946" s="14" t="s">
        <v>14</v>
      </c>
      <c r="N946" s="13">
        <v>9241.4</v>
      </c>
      <c r="O946" s="15">
        <f t="shared" si="608"/>
        <v>0</v>
      </c>
      <c r="P946" s="10" t="s">
        <v>84</v>
      </c>
      <c r="Q946" s="11" t="s">
        <v>2109</v>
      </c>
      <c r="R946" s="11" t="s">
        <v>2110</v>
      </c>
      <c r="S946" s="16" t="s">
        <v>2111</v>
      </c>
      <c r="T946" s="19" t="str">
        <f>MONTH(B946)&amp;"-"&amp;YEAR(B946)</f>
        <v>7-2022</v>
      </c>
      <c r="U946" s="2">
        <f>YEAR(B946)</f>
        <v>2022</v>
      </c>
      <c r="V946" s="2" t="str">
        <f>IF(DAY(B946)&gt;15,MONTH(B946)&amp;"-C",MONTH(B946)&amp;"-N")</f>
        <v>7-N</v>
      </c>
      <c r="W946" s="21">
        <v>40.18</v>
      </c>
      <c r="X946" s="2" t="b">
        <f t="shared" si="609"/>
        <v>1</v>
      </c>
    </row>
    <row r="947" spans="2:24" x14ac:dyDescent="0.2">
      <c r="B947" s="17">
        <v>44748</v>
      </c>
      <c r="C947" s="10" t="s">
        <v>107</v>
      </c>
      <c r="D947" s="11">
        <v>164585</v>
      </c>
      <c r="E947" s="26">
        <v>63662</v>
      </c>
      <c r="F947" s="10" t="s">
        <v>105</v>
      </c>
      <c r="G947" s="10" t="s">
        <v>46</v>
      </c>
      <c r="H947" s="27" t="s">
        <v>106</v>
      </c>
      <c r="I947" s="12"/>
      <c r="J947" s="12"/>
      <c r="K947" s="13">
        <v>7700</v>
      </c>
      <c r="L947" s="21">
        <v>13.29</v>
      </c>
      <c r="M947" s="14" t="s">
        <v>14</v>
      </c>
      <c r="N947" s="13">
        <v>102333</v>
      </c>
      <c r="O947" s="15">
        <f t="shared" si="608"/>
        <v>0</v>
      </c>
      <c r="P947" s="10" t="s">
        <v>84</v>
      </c>
      <c r="Q947" s="11" t="s">
        <v>2109</v>
      </c>
      <c r="R947" s="11" t="s">
        <v>2110</v>
      </c>
      <c r="S947" s="16" t="s">
        <v>2111</v>
      </c>
      <c r="T947" s="19" t="str">
        <f>MONTH(B947)&amp;"-"&amp;YEAR(B947)</f>
        <v>7-2022</v>
      </c>
      <c r="U947" s="2">
        <f>YEAR(B947)</f>
        <v>2022</v>
      </c>
      <c r="V947" s="2" t="str">
        <f>IF(DAY(B947)&gt;15,MONTH(B947)&amp;"-C",MONTH(B947)&amp;"-N")</f>
        <v>7-N</v>
      </c>
      <c r="W947" s="21">
        <v>13.29</v>
      </c>
      <c r="X947" s="2" t="b">
        <f t="shared" si="609"/>
        <v>1</v>
      </c>
    </row>
    <row r="948" spans="2:24" x14ac:dyDescent="0.2">
      <c r="B948" s="17">
        <v>44749</v>
      </c>
      <c r="C948" s="10" t="s">
        <v>25</v>
      </c>
      <c r="D948" s="11">
        <v>164875</v>
      </c>
      <c r="E948" s="26">
        <v>63684</v>
      </c>
      <c r="F948" s="10" t="s">
        <v>31</v>
      </c>
      <c r="G948" s="10" t="s">
        <v>27</v>
      </c>
      <c r="H948" s="27" t="s">
        <v>32</v>
      </c>
      <c r="I948" s="12"/>
      <c r="J948" s="12"/>
      <c r="K948" s="13">
        <v>1920</v>
      </c>
      <c r="L948" s="21">
        <v>4.72</v>
      </c>
      <c r="M948" s="14" t="s">
        <v>14</v>
      </c>
      <c r="N948" s="13">
        <v>9062.4</v>
      </c>
      <c r="O948" s="15">
        <f t="shared" si="608"/>
        <v>0</v>
      </c>
      <c r="P948" s="10" t="s">
        <v>78</v>
      </c>
      <c r="Q948" s="11" t="s">
        <v>2112</v>
      </c>
      <c r="R948" s="11" t="s">
        <v>2113</v>
      </c>
      <c r="S948" s="16" t="s">
        <v>2114</v>
      </c>
      <c r="T948" s="19" t="str">
        <f>MONTH(B948)&amp;"-"&amp;YEAR(B948)</f>
        <v>7-2022</v>
      </c>
      <c r="U948" s="2">
        <f>YEAR(B948)</f>
        <v>2022</v>
      </c>
      <c r="V948" s="2" t="str">
        <f>IF(DAY(B948)&gt;15,MONTH(B948)&amp;"-C",MONTH(B948)&amp;"-N")</f>
        <v>7-N</v>
      </c>
      <c r="W948" s="21">
        <v>4.72</v>
      </c>
      <c r="X948" s="2" t="b">
        <f t="shared" si="609"/>
        <v>1</v>
      </c>
    </row>
    <row r="949" spans="2:24" x14ac:dyDescent="0.2">
      <c r="B949" s="17">
        <v>44749</v>
      </c>
      <c r="C949" s="10" t="s">
        <v>25</v>
      </c>
      <c r="D949" s="11">
        <v>164875</v>
      </c>
      <c r="E949" s="26">
        <v>63684</v>
      </c>
      <c r="F949" s="10" t="s">
        <v>33</v>
      </c>
      <c r="G949" s="10" t="s">
        <v>27</v>
      </c>
      <c r="H949" s="27" t="s">
        <v>34</v>
      </c>
      <c r="I949" s="12"/>
      <c r="J949" s="12"/>
      <c r="K949" s="13">
        <v>720</v>
      </c>
      <c r="L949" s="21">
        <v>7</v>
      </c>
      <c r="M949" s="14" t="s">
        <v>14</v>
      </c>
      <c r="N949" s="13">
        <v>5040</v>
      </c>
      <c r="O949" s="15">
        <f t="shared" si="608"/>
        <v>0</v>
      </c>
      <c r="P949" s="10" t="s">
        <v>78</v>
      </c>
      <c r="Q949" s="11" t="s">
        <v>2112</v>
      </c>
      <c r="R949" s="11" t="s">
        <v>2113</v>
      </c>
      <c r="S949" s="16" t="s">
        <v>2114</v>
      </c>
      <c r="T949" s="19" t="str">
        <f>MONTH(B949)&amp;"-"&amp;YEAR(B949)</f>
        <v>7-2022</v>
      </c>
      <c r="U949" s="2">
        <f>YEAR(B949)</f>
        <v>2022</v>
      </c>
      <c r="V949" s="2" t="str">
        <f>IF(DAY(B949)&gt;15,MONTH(B949)&amp;"-C",MONTH(B949)&amp;"-N")</f>
        <v>7-N</v>
      </c>
      <c r="W949" s="21">
        <v>7</v>
      </c>
      <c r="X949" s="2" t="b">
        <f t="shared" si="609"/>
        <v>1</v>
      </c>
    </row>
    <row r="950" spans="2:24" x14ac:dyDescent="0.2">
      <c r="B950" s="17">
        <v>44749</v>
      </c>
      <c r="C950" s="10" t="s">
        <v>25</v>
      </c>
      <c r="D950" s="11">
        <v>165024</v>
      </c>
      <c r="E950" s="26">
        <v>63685</v>
      </c>
      <c r="F950" s="10" t="s">
        <v>29</v>
      </c>
      <c r="G950" s="10" t="s">
        <v>27</v>
      </c>
      <c r="H950" s="27" t="s">
        <v>30</v>
      </c>
      <c r="I950" s="12"/>
      <c r="J950" s="12"/>
      <c r="K950" s="13">
        <v>2310</v>
      </c>
      <c r="L950" s="21">
        <v>4.9000000000000004</v>
      </c>
      <c r="M950" s="14" t="s">
        <v>14</v>
      </c>
      <c r="N950" s="13">
        <v>11319</v>
      </c>
      <c r="O950" s="15">
        <f t="shared" si="608"/>
        <v>0</v>
      </c>
      <c r="P950" s="10" t="s">
        <v>78</v>
      </c>
      <c r="Q950" s="11" t="s">
        <v>2115</v>
      </c>
      <c r="R950" s="11" t="s">
        <v>2116</v>
      </c>
      <c r="S950" s="16" t="s">
        <v>2117</v>
      </c>
      <c r="T950" s="19" t="str">
        <f>MONTH(B950)&amp;"-"&amp;YEAR(B950)</f>
        <v>7-2022</v>
      </c>
      <c r="U950" s="2">
        <f>YEAR(B950)</f>
        <v>2022</v>
      </c>
      <c r="V950" s="2" t="str">
        <f>IF(DAY(B950)&gt;15,MONTH(B950)&amp;"-C",MONTH(B950)&amp;"-N")</f>
        <v>7-N</v>
      </c>
      <c r="W950" s="21">
        <v>4.9000000000000004</v>
      </c>
      <c r="X950" s="2" t="b">
        <f t="shared" si="609"/>
        <v>1</v>
      </c>
    </row>
    <row r="951" spans="2:24" x14ac:dyDescent="0.2">
      <c r="B951" s="17">
        <v>44749</v>
      </c>
      <c r="C951" s="10" t="s">
        <v>88</v>
      </c>
      <c r="D951" s="11">
        <v>164351</v>
      </c>
      <c r="E951" s="26">
        <v>63686</v>
      </c>
      <c r="F951" s="10" t="s">
        <v>1328</v>
      </c>
      <c r="G951" s="10" t="s">
        <v>46</v>
      </c>
      <c r="H951" s="27" t="s">
        <v>1342</v>
      </c>
      <c r="I951" s="12"/>
      <c r="J951" s="12"/>
      <c r="K951" s="13">
        <v>2000</v>
      </c>
      <c r="L951" s="21">
        <v>14.75</v>
      </c>
      <c r="M951" s="14" t="s">
        <v>14</v>
      </c>
      <c r="N951" s="13">
        <v>29500</v>
      </c>
      <c r="O951" s="15">
        <f t="shared" si="608"/>
        <v>0</v>
      </c>
      <c r="P951" s="10" t="s">
        <v>84</v>
      </c>
      <c r="Q951" s="11" t="s">
        <v>2118</v>
      </c>
      <c r="R951" s="11" t="s">
        <v>2119</v>
      </c>
      <c r="S951" s="16" t="s">
        <v>2120</v>
      </c>
      <c r="T951" s="19" t="str">
        <f>MONTH(B951)&amp;"-"&amp;YEAR(B951)</f>
        <v>7-2022</v>
      </c>
      <c r="U951" s="2">
        <f>YEAR(B951)</f>
        <v>2022</v>
      </c>
      <c r="V951" s="2" t="str">
        <f>IF(DAY(B951)&gt;15,MONTH(B951)&amp;"-C",MONTH(B951)&amp;"-N")</f>
        <v>7-N</v>
      </c>
      <c r="W951" s="21">
        <v>14.75</v>
      </c>
      <c r="X951" s="2" t="b">
        <f t="shared" si="609"/>
        <v>1</v>
      </c>
    </row>
    <row r="952" spans="2:24" x14ac:dyDescent="0.2">
      <c r="B952" s="17">
        <v>44749</v>
      </c>
      <c r="C952" s="10" t="s">
        <v>88</v>
      </c>
      <c r="D952" s="11">
        <v>164351</v>
      </c>
      <c r="E952" s="26">
        <v>63686</v>
      </c>
      <c r="F952" s="10" t="s">
        <v>1329</v>
      </c>
      <c r="G952" s="10" t="s">
        <v>46</v>
      </c>
      <c r="H952" s="27" t="s">
        <v>1343</v>
      </c>
      <c r="I952" s="12"/>
      <c r="J952" s="12"/>
      <c r="K952" s="13">
        <v>200</v>
      </c>
      <c r="L952" s="21">
        <v>20.350000000000001</v>
      </c>
      <c r="M952" s="14" t="s">
        <v>14</v>
      </c>
      <c r="N952" s="13">
        <v>4070</v>
      </c>
      <c r="O952" s="15">
        <f t="shared" si="608"/>
        <v>0</v>
      </c>
      <c r="P952" s="10" t="s">
        <v>84</v>
      </c>
      <c r="Q952" s="11" t="s">
        <v>2118</v>
      </c>
      <c r="R952" s="11" t="s">
        <v>2119</v>
      </c>
      <c r="S952" s="16" t="s">
        <v>2120</v>
      </c>
      <c r="T952" s="19" t="str">
        <f>MONTH(B952)&amp;"-"&amp;YEAR(B952)</f>
        <v>7-2022</v>
      </c>
      <c r="U952" s="2">
        <f>YEAR(B952)</f>
        <v>2022</v>
      </c>
      <c r="V952" s="2" t="str">
        <f>IF(DAY(B952)&gt;15,MONTH(B952)&amp;"-C",MONTH(B952)&amp;"-N")</f>
        <v>7-N</v>
      </c>
      <c r="W952" s="21">
        <v>20.350000000000001</v>
      </c>
      <c r="X952" s="2" t="b">
        <f t="shared" si="609"/>
        <v>1</v>
      </c>
    </row>
    <row r="953" spans="2:24" x14ac:dyDescent="0.2">
      <c r="B953" s="17">
        <v>44754</v>
      </c>
      <c r="C953" s="10" t="s">
        <v>48</v>
      </c>
      <c r="D953" s="11">
        <v>163636</v>
      </c>
      <c r="E953" s="26">
        <v>63731</v>
      </c>
      <c r="F953" s="10" t="s">
        <v>135</v>
      </c>
      <c r="G953" s="10" t="s">
        <v>46</v>
      </c>
      <c r="H953" s="27" t="s">
        <v>136</v>
      </c>
      <c r="I953" s="12"/>
      <c r="J953" s="12"/>
      <c r="K953" s="13">
        <v>4400</v>
      </c>
      <c r="L953" s="21">
        <v>12.204000000000001</v>
      </c>
      <c r="M953" s="14" t="s">
        <v>14</v>
      </c>
      <c r="N953" s="13">
        <v>53699.008000000002</v>
      </c>
      <c r="O953" s="15">
        <f t="shared" ref="O953:O957" si="610">(N953/K953)-L953</f>
        <v>3.2000000000032003E-4</v>
      </c>
      <c r="P953" s="10" t="s">
        <v>90</v>
      </c>
      <c r="Q953" s="11" t="s">
        <v>2122</v>
      </c>
      <c r="R953" s="11" t="s">
        <v>2121</v>
      </c>
      <c r="S953" s="16" t="s">
        <v>2121</v>
      </c>
      <c r="T953" s="19" t="str">
        <f>MONTH(B953)&amp;"-"&amp;YEAR(B953)</f>
        <v>7-2022</v>
      </c>
      <c r="U953" s="2">
        <f>YEAR(B953)</f>
        <v>2022</v>
      </c>
      <c r="V953" s="2" t="str">
        <f>IF(DAY(B953)&gt;15,MONTH(B953)&amp;"-C",MONTH(B953)&amp;"-N")</f>
        <v>7-N</v>
      </c>
      <c r="W953" s="21">
        <v>12.204000000000001</v>
      </c>
      <c r="X953" s="2" t="b">
        <f t="shared" ref="X953:X957" si="611">+L953=W953</f>
        <v>1</v>
      </c>
    </row>
    <row r="954" spans="2:24" x14ac:dyDescent="0.2">
      <c r="B954" s="17">
        <v>44754</v>
      </c>
      <c r="C954" s="10" t="s">
        <v>48</v>
      </c>
      <c r="D954" s="11">
        <v>163636</v>
      </c>
      <c r="E954" s="26">
        <v>63731</v>
      </c>
      <c r="F954" s="10" t="s">
        <v>71</v>
      </c>
      <c r="G954" s="10" t="s">
        <v>46</v>
      </c>
      <c r="H954" s="27" t="s">
        <v>72</v>
      </c>
      <c r="I954" s="12"/>
      <c r="J954" s="12"/>
      <c r="K954" s="13">
        <v>11600</v>
      </c>
      <c r="L954" s="21">
        <v>11.579000000000001</v>
      </c>
      <c r="M954" s="14" t="s">
        <v>14</v>
      </c>
      <c r="N954" s="13">
        <v>134321.04</v>
      </c>
      <c r="O954" s="15">
        <f t="shared" si="610"/>
        <v>4.0000000000084412E-4</v>
      </c>
      <c r="P954" s="10" t="s">
        <v>90</v>
      </c>
      <c r="Q954" s="11" t="s">
        <v>2122</v>
      </c>
      <c r="R954" s="11" t="s">
        <v>2121</v>
      </c>
      <c r="S954" s="16" t="s">
        <v>2121</v>
      </c>
      <c r="T954" s="19" t="str">
        <f>MONTH(B954)&amp;"-"&amp;YEAR(B954)</f>
        <v>7-2022</v>
      </c>
      <c r="U954" s="2">
        <f>YEAR(B954)</f>
        <v>2022</v>
      </c>
      <c r="V954" s="2" t="str">
        <f>IF(DAY(B954)&gt;15,MONTH(B954)&amp;"-C",MONTH(B954)&amp;"-N")</f>
        <v>7-N</v>
      </c>
      <c r="W954" s="21">
        <v>11.579000000000001</v>
      </c>
      <c r="X954" s="2" t="b">
        <f t="shared" si="611"/>
        <v>1</v>
      </c>
    </row>
    <row r="955" spans="2:24" x14ac:dyDescent="0.2">
      <c r="B955" s="17">
        <v>44755</v>
      </c>
      <c r="C955" s="10" t="s">
        <v>25</v>
      </c>
      <c r="D955" s="11">
        <v>165137</v>
      </c>
      <c r="E955" s="26">
        <v>63734</v>
      </c>
      <c r="F955" s="10" t="s">
        <v>26</v>
      </c>
      <c r="G955" s="10" t="s">
        <v>27</v>
      </c>
      <c r="H955" s="27" t="s">
        <v>28</v>
      </c>
      <c r="I955" s="12"/>
      <c r="J955" s="12"/>
      <c r="K955" s="13">
        <v>9000</v>
      </c>
      <c r="L955" s="21">
        <v>5.08</v>
      </c>
      <c r="M955" s="14" t="s">
        <v>14</v>
      </c>
      <c r="N955" s="13">
        <v>45720</v>
      </c>
      <c r="O955" s="15">
        <f t="shared" si="610"/>
        <v>0</v>
      </c>
      <c r="P955" s="10" t="s">
        <v>78</v>
      </c>
      <c r="Q955" s="11" t="s">
        <v>2123</v>
      </c>
      <c r="R955" s="11" t="s">
        <v>2124</v>
      </c>
      <c r="S955" s="16" t="s">
        <v>2125</v>
      </c>
      <c r="T955" s="19" t="str">
        <f>MONTH(B955)&amp;"-"&amp;YEAR(B955)</f>
        <v>7-2022</v>
      </c>
      <c r="U955" s="2">
        <f>YEAR(B955)</f>
        <v>2022</v>
      </c>
      <c r="V955" s="2" t="str">
        <f>IF(DAY(B955)&gt;15,MONTH(B955)&amp;"-C",MONTH(B955)&amp;"-N")</f>
        <v>7-N</v>
      </c>
      <c r="W955" s="21">
        <v>5.08</v>
      </c>
      <c r="X955" s="2" t="b">
        <f t="shared" si="611"/>
        <v>1</v>
      </c>
    </row>
    <row r="956" spans="2:24" x14ac:dyDescent="0.2">
      <c r="B956" s="17">
        <v>44756</v>
      </c>
      <c r="C956" s="10" t="s">
        <v>25</v>
      </c>
      <c r="D956" s="11">
        <v>165137</v>
      </c>
      <c r="E956" s="26">
        <v>63748</v>
      </c>
      <c r="F956" s="10" t="s">
        <v>26</v>
      </c>
      <c r="G956" s="10" t="s">
        <v>27</v>
      </c>
      <c r="H956" s="27" t="s">
        <v>28</v>
      </c>
      <c r="I956" s="12"/>
      <c r="J956" s="12"/>
      <c r="K956" s="13">
        <v>2700</v>
      </c>
      <c r="L956" s="21">
        <v>5.08</v>
      </c>
      <c r="M956" s="14" t="s">
        <v>14</v>
      </c>
      <c r="N956" s="13">
        <v>13716</v>
      </c>
      <c r="O956" s="15">
        <f t="shared" si="610"/>
        <v>0</v>
      </c>
      <c r="P956" s="10" t="s">
        <v>78</v>
      </c>
      <c r="Q956" s="11" t="s">
        <v>2126</v>
      </c>
      <c r="R956" s="11" t="s">
        <v>2127</v>
      </c>
      <c r="S956" s="16" t="s">
        <v>2128</v>
      </c>
      <c r="T956" s="19" t="str">
        <f>MONTH(B956)&amp;"-"&amp;YEAR(B956)</f>
        <v>7-2022</v>
      </c>
      <c r="U956" s="2">
        <f>YEAR(B956)</f>
        <v>2022</v>
      </c>
      <c r="V956" s="2" t="str">
        <f>IF(DAY(B956)&gt;15,MONTH(B956)&amp;"-C",MONTH(B956)&amp;"-N")</f>
        <v>7-N</v>
      </c>
      <c r="W956" s="21">
        <v>5.08</v>
      </c>
      <c r="X956" s="2" t="b">
        <f t="shared" si="611"/>
        <v>1</v>
      </c>
    </row>
    <row r="957" spans="2:24" x14ac:dyDescent="0.2">
      <c r="B957" s="17">
        <v>44756</v>
      </c>
      <c r="C957" s="10" t="s">
        <v>25</v>
      </c>
      <c r="D957" s="11">
        <v>165137</v>
      </c>
      <c r="E957" s="26">
        <v>63749</v>
      </c>
      <c r="F957" s="10" t="s">
        <v>26</v>
      </c>
      <c r="G957" s="10" t="s">
        <v>27</v>
      </c>
      <c r="H957" s="27" t="s">
        <v>28</v>
      </c>
      <c r="I957" s="12"/>
      <c r="J957" s="12"/>
      <c r="K957" s="13">
        <v>8100</v>
      </c>
      <c r="L957" s="21">
        <v>5.08</v>
      </c>
      <c r="M957" s="14" t="s">
        <v>14</v>
      </c>
      <c r="N957" s="13">
        <v>41148</v>
      </c>
      <c r="O957" s="15">
        <f t="shared" si="610"/>
        <v>0</v>
      </c>
      <c r="P957" s="10" t="s">
        <v>78</v>
      </c>
      <c r="Q957" s="11" t="s">
        <v>2129</v>
      </c>
      <c r="R957" s="11" t="s">
        <v>2130</v>
      </c>
      <c r="S957" s="16" t="s">
        <v>2131</v>
      </c>
      <c r="T957" s="19" t="str">
        <f>MONTH(B957)&amp;"-"&amp;YEAR(B957)</f>
        <v>7-2022</v>
      </c>
      <c r="U957" s="2">
        <f>YEAR(B957)</f>
        <v>2022</v>
      </c>
      <c r="V957" s="2" t="str">
        <f>IF(DAY(B957)&gt;15,MONTH(B957)&amp;"-C",MONTH(B957)&amp;"-N")</f>
        <v>7-N</v>
      </c>
      <c r="W957" s="21">
        <v>5.08</v>
      </c>
      <c r="X957" s="2" t="b">
        <f t="shared" si="611"/>
        <v>1</v>
      </c>
    </row>
    <row r="958" spans="2:24" x14ac:dyDescent="0.2">
      <c r="B958" s="17">
        <v>44760</v>
      </c>
      <c r="C958" s="10" t="s">
        <v>25</v>
      </c>
      <c r="D958" s="11">
        <v>164774</v>
      </c>
      <c r="E958" s="26">
        <v>63803</v>
      </c>
      <c r="F958" s="10" t="s">
        <v>26</v>
      </c>
      <c r="G958" s="10" t="s">
        <v>27</v>
      </c>
      <c r="H958" s="27" t="s">
        <v>28</v>
      </c>
      <c r="I958" s="12"/>
      <c r="J958" s="12"/>
      <c r="K958" s="13">
        <v>19800</v>
      </c>
      <c r="L958" s="21">
        <v>5.08</v>
      </c>
      <c r="M958" s="14" t="s">
        <v>14</v>
      </c>
      <c r="N958" s="13">
        <v>100584</v>
      </c>
      <c r="O958" s="15">
        <f t="shared" ref="O958:O960" si="612">(N958/K958)-L958</f>
        <v>0</v>
      </c>
      <c r="P958" s="10" t="s">
        <v>78</v>
      </c>
      <c r="Q958" s="11" t="s">
        <v>2132</v>
      </c>
      <c r="R958" s="11" t="s">
        <v>2133</v>
      </c>
      <c r="S958" s="16" t="s">
        <v>41</v>
      </c>
      <c r="T958" s="19" t="str">
        <f>MONTH(B958)&amp;"-"&amp;YEAR(B958)</f>
        <v>7-2022</v>
      </c>
      <c r="U958" s="2">
        <f>YEAR(B958)</f>
        <v>2022</v>
      </c>
      <c r="V958" s="2" t="str">
        <f>IF(DAY(B958)&gt;15,MONTH(B958)&amp;"-C",MONTH(B958)&amp;"-N")</f>
        <v>7-C</v>
      </c>
      <c r="W958" s="21">
        <v>5.08</v>
      </c>
      <c r="X958" s="2" t="b">
        <f t="shared" ref="X958:X960" si="613">+L958=W958</f>
        <v>1</v>
      </c>
    </row>
    <row r="959" spans="2:24" x14ac:dyDescent="0.2">
      <c r="B959" s="17">
        <v>44761</v>
      </c>
      <c r="C959" s="10" t="s">
        <v>108</v>
      </c>
      <c r="D959" s="11">
        <v>164542</v>
      </c>
      <c r="E959" s="26">
        <v>63827</v>
      </c>
      <c r="F959" s="10" t="s">
        <v>139</v>
      </c>
      <c r="G959" s="10" t="s">
        <v>46</v>
      </c>
      <c r="H959" s="27" t="s">
        <v>140</v>
      </c>
      <c r="I959" s="12"/>
      <c r="J959" s="12"/>
      <c r="K959" s="13">
        <v>6440</v>
      </c>
      <c r="L959" s="21">
        <v>12.87</v>
      </c>
      <c r="M959" s="14" t="s">
        <v>14</v>
      </c>
      <c r="N959" s="13">
        <v>82882.8</v>
      </c>
      <c r="O959" s="15">
        <f t="shared" si="612"/>
        <v>0</v>
      </c>
      <c r="P959" s="10" t="s">
        <v>84</v>
      </c>
      <c r="Q959" s="11" t="s">
        <v>2134</v>
      </c>
      <c r="R959" s="11" t="s">
        <v>2135</v>
      </c>
      <c r="S959" s="16" t="s">
        <v>2136</v>
      </c>
      <c r="T959" s="19" t="str">
        <f>MONTH(B959)&amp;"-"&amp;YEAR(B959)</f>
        <v>7-2022</v>
      </c>
      <c r="U959" s="2">
        <f>YEAR(B959)</f>
        <v>2022</v>
      </c>
      <c r="V959" s="2" t="str">
        <f>IF(DAY(B959)&gt;15,MONTH(B959)&amp;"-C",MONTH(B959)&amp;"-N")</f>
        <v>7-C</v>
      </c>
      <c r="W959" s="21">
        <v>12.87</v>
      </c>
      <c r="X959" s="2" t="b">
        <f t="shared" si="613"/>
        <v>1</v>
      </c>
    </row>
    <row r="960" spans="2:24" x14ac:dyDescent="0.2">
      <c r="B960" s="17">
        <v>44761</v>
      </c>
      <c r="C960" s="10" t="s">
        <v>108</v>
      </c>
      <c r="D960" s="11">
        <v>164542</v>
      </c>
      <c r="E960" s="26">
        <v>63827</v>
      </c>
      <c r="F960" s="10" t="s">
        <v>129</v>
      </c>
      <c r="G960" s="10" t="s">
        <v>46</v>
      </c>
      <c r="H960" s="27" t="s">
        <v>130</v>
      </c>
      <c r="I960" s="12"/>
      <c r="J960" s="12"/>
      <c r="K960" s="13">
        <v>10350</v>
      </c>
      <c r="L960" s="21">
        <v>12.87</v>
      </c>
      <c r="M960" s="14" t="s">
        <v>14</v>
      </c>
      <c r="N960" s="13">
        <v>133204.5</v>
      </c>
      <c r="O960" s="15">
        <f t="shared" si="612"/>
        <v>0</v>
      </c>
      <c r="P960" s="10" t="s">
        <v>84</v>
      </c>
      <c r="Q960" s="11" t="s">
        <v>2134</v>
      </c>
      <c r="R960" s="11" t="s">
        <v>2135</v>
      </c>
      <c r="S960" s="16" t="s">
        <v>2136</v>
      </c>
      <c r="T960" s="19" t="str">
        <f>MONTH(B960)&amp;"-"&amp;YEAR(B960)</f>
        <v>7-2022</v>
      </c>
      <c r="U960" s="2">
        <f>YEAR(B960)</f>
        <v>2022</v>
      </c>
      <c r="V960" s="2" t="str">
        <f>IF(DAY(B960)&gt;15,MONTH(B960)&amp;"-C",MONTH(B960)&amp;"-N")</f>
        <v>7-C</v>
      </c>
      <c r="W960" s="21">
        <v>12.87</v>
      </c>
      <c r="X960" s="2" t="b">
        <f t="shared" si="613"/>
        <v>1</v>
      </c>
    </row>
    <row r="961" spans="2:24" x14ac:dyDescent="0.2">
      <c r="B961" s="17">
        <v>44767</v>
      </c>
      <c r="C961" s="10" t="s">
        <v>107</v>
      </c>
      <c r="D961" s="11">
        <v>164585</v>
      </c>
      <c r="E961" s="26">
        <v>63917</v>
      </c>
      <c r="F961" s="10" t="s">
        <v>103</v>
      </c>
      <c r="G961" s="10" t="s">
        <v>46</v>
      </c>
      <c r="H961" s="27" t="s">
        <v>104</v>
      </c>
      <c r="I961" s="12"/>
      <c r="J961" s="12"/>
      <c r="K961" s="13">
        <v>260</v>
      </c>
      <c r="L961" s="21">
        <v>40.18</v>
      </c>
      <c r="M961" s="14" t="s">
        <v>14</v>
      </c>
      <c r="N961" s="13">
        <v>10446.799999999999</v>
      </c>
      <c r="O961" s="15">
        <f t="shared" ref="O961:O962" si="614">(N961/K961)-L961</f>
        <v>0</v>
      </c>
      <c r="P961" s="10" t="s">
        <v>84</v>
      </c>
      <c r="Q961" s="11" t="s">
        <v>2137</v>
      </c>
      <c r="R961" s="11" t="s">
        <v>2138</v>
      </c>
      <c r="S961" s="16" t="s">
        <v>2139</v>
      </c>
      <c r="T961" s="19" t="str">
        <f>MONTH(B961)&amp;"-"&amp;YEAR(B961)</f>
        <v>7-2022</v>
      </c>
      <c r="U961" s="2">
        <f>YEAR(B961)</f>
        <v>2022</v>
      </c>
      <c r="V961" s="2" t="str">
        <f>IF(DAY(B961)&gt;15,MONTH(B961)&amp;"-C",MONTH(B961)&amp;"-N")</f>
        <v>7-C</v>
      </c>
      <c r="W961" s="21">
        <v>40.18</v>
      </c>
      <c r="X961" s="2" t="b">
        <f t="shared" ref="X961:X962" si="615">+L961=W961</f>
        <v>1</v>
      </c>
    </row>
    <row r="962" spans="2:24" x14ac:dyDescent="0.2">
      <c r="B962" s="17">
        <v>44767</v>
      </c>
      <c r="C962" s="10" t="s">
        <v>107</v>
      </c>
      <c r="D962" s="11">
        <v>164585</v>
      </c>
      <c r="E962" s="26">
        <v>63917</v>
      </c>
      <c r="F962" s="10" t="s">
        <v>105</v>
      </c>
      <c r="G962" s="10" t="s">
        <v>46</v>
      </c>
      <c r="H962" s="27" t="s">
        <v>106</v>
      </c>
      <c r="I962" s="12"/>
      <c r="J962" s="12"/>
      <c r="K962" s="13">
        <v>7920</v>
      </c>
      <c r="L962" s="21">
        <v>13.29</v>
      </c>
      <c r="M962" s="14" t="s">
        <v>14</v>
      </c>
      <c r="N962" s="13">
        <v>105256.8</v>
      </c>
      <c r="O962" s="15">
        <f t="shared" si="614"/>
        <v>0</v>
      </c>
      <c r="P962" s="10" t="s">
        <v>84</v>
      </c>
      <c r="Q962" s="11" t="s">
        <v>2137</v>
      </c>
      <c r="R962" s="11" t="s">
        <v>2138</v>
      </c>
      <c r="S962" s="16" t="s">
        <v>2139</v>
      </c>
      <c r="T962" s="19" t="str">
        <f>MONTH(B962)&amp;"-"&amp;YEAR(B962)</f>
        <v>7-2022</v>
      </c>
      <c r="U962" s="2">
        <f>YEAR(B962)</f>
        <v>2022</v>
      </c>
      <c r="V962" s="2" t="str">
        <f>IF(DAY(B962)&gt;15,MONTH(B962)&amp;"-C",MONTH(B962)&amp;"-N")</f>
        <v>7-C</v>
      </c>
      <c r="W962" s="21">
        <v>13.29</v>
      </c>
      <c r="X962" s="2" t="b">
        <f t="shared" si="615"/>
        <v>1</v>
      </c>
    </row>
    <row r="963" spans="2:24" x14ac:dyDescent="0.2">
      <c r="B963" s="17">
        <v>44770</v>
      </c>
      <c r="C963" s="10" t="s">
        <v>88</v>
      </c>
      <c r="D963" s="11">
        <v>164351</v>
      </c>
      <c r="E963" s="26">
        <v>63967</v>
      </c>
      <c r="F963" s="10" t="s">
        <v>1328</v>
      </c>
      <c r="G963" s="10" t="s">
        <v>46</v>
      </c>
      <c r="H963" s="27" t="s">
        <v>1342</v>
      </c>
      <c r="I963" s="12"/>
      <c r="J963" s="12"/>
      <c r="K963" s="13">
        <v>2000</v>
      </c>
      <c r="L963" s="21">
        <v>14.75</v>
      </c>
      <c r="M963" s="14" t="s">
        <v>14</v>
      </c>
      <c r="N963" s="13">
        <v>29500</v>
      </c>
      <c r="O963" s="15">
        <f t="shared" ref="O963:O971" si="616">(N963/K963)-L963</f>
        <v>0</v>
      </c>
      <c r="P963" s="10" t="s">
        <v>84</v>
      </c>
      <c r="Q963" s="11" t="s">
        <v>2140</v>
      </c>
      <c r="R963" s="11" t="s">
        <v>2141</v>
      </c>
      <c r="S963" s="16" t="s">
        <v>2142</v>
      </c>
      <c r="T963" s="19" t="str">
        <f>MONTH(B963)&amp;"-"&amp;YEAR(B963)</f>
        <v>7-2022</v>
      </c>
      <c r="U963" s="2">
        <f>YEAR(B963)</f>
        <v>2022</v>
      </c>
      <c r="V963" s="2" t="str">
        <f>IF(DAY(B963)&gt;15,MONTH(B963)&amp;"-C",MONTH(B963)&amp;"-N")</f>
        <v>7-C</v>
      </c>
      <c r="W963" s="21">
        <v>14.75</v>
      </c>
      <c r="X963" s="2" t="b">
        <f t="shared" ref="X963:X971" si="617">+L963=W963</f>
        <v>1</v>
      </c>
    </row>
    <row r="964" spans="2:24" x14ac:dyDescent="0.2">
      <c r="B964" s="17">
        <v>44770</v>
      </c>
      <c r="C964" s="10" t="s">
        <v>88</v>
      </c>
      <c r="D964" s="11">
        <v>164351</v>
      </c>
      <c r="E964" s="26">
        <v>63967</v>
      </c>
      <c r="F964" s="10" t="s">
        <v>1329</v>
      </c>
      <c r="G964" s="10" t="s">
        <v>46</v>
      </c>
      <c r="H964" s="27" t="s">
        <v>1343</v>
      </c>
      <c r="I964" s="12"/>
      <c r="J964" s="12"/>
      <c r="K964" s="13">
        <v>200</v>
      </c>
      <c r="L964" s="21">
        <v>20.350000000000001</v>
      </c>
      <c r="M964" s="14" t="s">
        <v>14</v>
      </c>
      <c r="N964" s="13">
        <v>4070</v>
      </c>
      <c r="O964" s="15">
        <f t="shared" si="616"/>
        <v>0</v>
      </c>
      <c r="P964" s="10" t="s">
        <v>84</v>
      </c>
      <c r="Q964" s="11" t="s">
        <v>2140</v>
      </c>
      <c r="R964" s="11" t="s">
        <v>2141</v>
      </c>
      <c r="S964" s="16" t="s">
        <v>2142</v>
      </c>
      <c r="T964" s="19" t="str">
        <f>MONTH(B964)&amp;"-"&amp;YEAR(B964)</f>
        <v>7-2022</v>
      </c>
      <c r="U964" s="2">
        <f>YEAR(B964)</f>
        <v>2022</v>
      </c>
      <c r="V964" s="2" t="str">
        <f>IF(DAY(B964)&gt;15,MONTH(B964)&amp;"-C",MONTH(B964)&amp;"-N")</f>
        <v>7-C</v>
      </c>
      <c r="W964" s="21">
        <v>20.350000000000001</v>
      </c>
      <c r="X964" s="2" t="b">
        <f t="shared" si="617"/>
        <v>1</v>
      </c>
    </row>
    <row r="965" spans="2:24" x14ac:dyDescent="0.2">
      <c r="B965" s="17">
        <v>44771</v>
      </c>
      <c r="C965" s="10" t="s">
        <v>82</v>
      </c>
      <c r="D965" s="11">
        <v>165138</v>
      </c>
      <c r="E965" s="26">
        <v>63869</v>
      </c>
      <c r="F965" s="10" t="s">
        <v>26</v>
      </c>
      <c r="G965" s="10" t="s">
        <v>27</v>
      </c>
      <c r="H965" s="27" t="s">
        <v>28</v>
      </c>
      <c r="I965" s="12"/>
      <c r="J965" s="12"/>
      <c r="K965" s="13">
        <v>3600</v>
      </c>
      <c r="L965" s="21">
        <v>5.05</v>
      </c>
      <c r="M965" s="14" t="s">
        <v>14</v>
      </c>
      <c r="N965" s="13">
        <v>18180</v>
      </c>
      <c r="O965" s="15">
        <f t="shared" si="616"/>
        <v>0</v>
      </c>
      <c r="P965" s="10" t="s">
        <v>78</v>
      </c>
      <c r="Q965" s="11" t="s">
        <v>2143</v>
      </c>
      <c r="R965" s="11" t="s">
        <v>2144</v>
      </c>
      <c r="S965" s="16" t="s">
        <v>2145</v>
      </c>
      <c r="T965" s="19" t="str">
        <f>MONTH(B965)&amp;"-"&amp;YEAR(B965)</f>
        <v>7-2022</v>
      </c>
      <c r="U965" s="2">
        <f>YEAR(B965)</f>
        <v>2022</v>
      </c>
      <c r="V965" s="2" t="str">
        <f>IF(DAY(B965)&gt;15,MONTH(B965)&amp;"-C",MONTH(B965)&amp;"-N")</f>
        <v>7-C</v>
      </c>
      <c r="W965" s="21">
        <v>5.05</v>
      </c>
      <c r="X965" s="2" t="b">
        <f t="shared" si="617"/>
        <v>1</v>
      </c>
    </row>
    <row r="966" spans="2:24" x14ac:dyDescent="0.2">
      <c r="B966" s="17">
        <v>44771</v>
      </c>
      <c r="C966" s="10" t="s">
        <v>82</v>
      </c>
      <c r="D966" s="11">
        <v>165138</v>
      </c>
      <c r="E966" s="26">
        <v>63876</v>
      </c>
      <c r="F966" s="10" t="s">
        <v>26</v>
      </c>
      <c r="G966" s="10" t="s">
        <v>27</v>
      </c>
      <c r="H966" s="27" t="s">
        <v>28</v>
      </c>
      <c r="I966" s="12"/>
      <c r="J966" s="12"/>
      <c r="K966" s="13">
        <v>9000</v>
      </c>
      <c r="L966" s="21">
        <v>5.05</v>
      </c>
      <c r="M966" s="14" t="s">
        <v>14</v>
      </c>
      <c r="N966" s="13">
        <v>45450</v>
      </c>
      <c r="O966" s="15">
        <f t="shared" si="616"/>
        <v>0</v>
      </c>
      <c r="P966" s="10" t="s">
        <v>78</v>
      </c>
      <c r="Q966" s="11" t="s">
        <v>2143</v>
      </c>
      <c r="R966" s="11" t="s">
        <v>2144</v>
      </c>
      <c r="S966" s="16" t="s">
        <v>2145</v>
      </c>
      <c r="T966" s="19" t="str">
        <f>MONTH(B966)&amp;"-"&amp;YEAR(B966)</f>
        <v>7-2022</v>
      </c>
      <c r="U966" s="2">
        <f>YEAR(B966)</f>
        <v>2022</v>
      </c>
      <c r="V966" s="2" t="str">
        <f>IF(DAY(B966)&gt;15,MONTH(B966)&amp;"-C",MONTH(B966)&amp;"-N")</f>
        <v>7-C</v>
      </c>
      <c r="W966" s="21">
        <v>5.05</v>
      </c>
      <c r="X966" s="2" t="b">
        <f t="shared" si="617"/>
        <v>1</v>
      </c>
    </row>
    <row r="967" spans="2:24" x14ac:dyDescent="0.2">
      <c r="B967" s="17">
        <v>44771</v>
      </c>
      <c r="C967" s="10" t="s">
        <v>82</v>
      </c>
      <c r="D967" s="11">
        <v>165138</v>
      </c>
      <c r="E967" s="26">
        <v>63893</v>
      </c>
      <c r="F967" s="10" t="s">
        <v>26</v>
      </c>
      <c r="G967" s="10" t="s">
        <v>27</v>
      </c>
      <c r="H967" s="27" t="s">
        <v>28</v>
      </c>
      <c r="I967" s="12"/>
      <c r="J967" s="12"/>
      <c r="K967" s="13">
        <v>8100</v>
      </c>
      <c r="L967" s="21">
        <v>5.05</v>
      </c>
      <c r="M967" s="14" t="s">
        <v>14</v>
      </c>
      <c r="N967" s="13">
        <v>40905</v>
      </c>
      <c r="O967" s="15">
        <f t="shared" si="616"/>
        <v>0</v>
      </c>
      <c r="P967" s="10" t="s">
        <v>78</v>
      </c>
      <c r="Q967" s="11" t="s">
        <v>2143</v>
      </c>
      <c r="R967" s="11" t="s">
        <v>2144</v>
      </c>
      <c r="S967" s="16" t="s">
        <v>2145</v>
      </c>
      <c r="T967" s="19" t="str">
        <f>MONTH(B967)&amp;"-"&amp;YEAR(B967)</f>
        <v>7-2022</v>
      </c>
      <c r="U967" s="2">
        <f>YEAR(B967)</f>
        <v>2022</v>
      </c>
      <c r="V967" s="2" t="str">
        <f>IF(DAY(B967)&gt;15,MONTH(B967)&amp;"-C",MONTH(B967)&amp;"-N")</f>
        <v>7-C</v>
      </c>
      <c r="W967" s="21">
        <v>5.05</v>
      </c>
      <c r="X967" s="2" t="b">
        <f t="shared" si="617"/>
        <v>1</v>
      </c>
    </row>
    <row r="968" spans="2:24" x14ac:dyDescent="0.2">
      <c r="B968" s="17">
        <v>44771</v>
      </c>
      <c r="C968" s="10" t="s">
        <v>82</v>
      </c>
      <c r="D968" s="11">
        <v>165138</v>
      </c>
      <c r="E968" s="26">
        <v>63976</v>
      </c>
      <c r="F968" s="10" t="s">
        <v>26</v>
      </c>
      <c r="G968" s="10" t="s">
        <v>27</v>
      </c>
      <c r="H968" s="27" t="s">
        <v>28</v>
      </c>
      <c r="I968" s="12"/>
      <c r="J968" s="12"/>
      <c r="K968" s="13">
        <v>3600</v>
      </c>
      <c r="L968" s="21">
        <v>5.05</v>
      </c>
      <c r="M968" s="14" t="s">
        <v>14</v>
      </c>
      <c r="N968" s="13">
        <v>18180</v>
      </c>
      <c r="O968" s="15">
        <f t="shared" si="616"/>
        <v>0</v>
      </c>
      <c r="P968" s="10" t="s">
        <v>78</v>
      </c>
      <c r="Q968" s="11" t="s">
        <v>2143</v>
      </c>
      <c r="R968" s="11" t="s">
        <v>2144</v>
      </c>
      <c r="S968" s="16" t="s">
        <v>2145</v>
      </c>
      <c r="T968" s="19" t="str">
        <f>MONTH(B968)&amp;"-"&amp;YEAR(B968)</f>
        <v>7-2022</v>
      </c>
      <c r="U968" s="2">
        <f>YEAR(B968)</f>
        <v>2022</v>
      </c>
      <c r="V968" s="2" t="str">
        <f>IF(DAY(B968)&gt;15,MONTH(B968)&amp;"-C",MONTH(B968)&amp;"-N")</f>
        <v>7-C</v>
      </c>
      <c r="W968" s="21">
        <v>5.05</v>
      </c>
      <c r="X968" s="2" t="b">
        <f t="shared" si="617"/>
        <v>1</v>
      </c>
    </row>
    <row r="969" spans="2:24" x14ac:dyDescent="0.2">
      <c r="B969" s="17">
        <v>44771</v>
      </c>
      <c r="C969" s="10" t="s">
        <v>82</v>
      </c>
      <c r="D969" s="11">
        <v>165138</v>
      </c>
      <c r="E969" s="26">
        <v>63977</v>
      </c>
      <c r="F969" s="10" t="s">
        <v>26</v>
      </c>
      <c r="G969" s="10" t="s">
        <v>27</v>
      </c>
      <c r="H969" s="27" t="s">
        <v>28</v>
      </c>
      <c r="I969" s="12"/>
      <c r="J969" s="12"/>
      <c r="K969" s="13">
        <v>9000</v>
      </c>
      <c r="L969" s="21">
        <v>5.05</v>
      </c>
      <c r="M969" s="14" t="s">
        <v>14</v>
      </c>
      <c r="N969" s="13">
        <v>45450</v>
      </c>
      <c r="O969" s="15">
        <f t="shared" si="616"/>
        <v>0</v>
      </c>
      <c r="P969" s="10" t="s">
        <v>78</v>
      </c>
      <c r="Q969" s="11" t="s">
        <v>2143</v>
      </c>
      <c r="R969" s="11" t="s">
        <v>2144</v>
      </c>
      <c r="S969" s="16" t="s">
        <v>2145</v>
      </c>
      <c r="T969" s="19" t="str">
        <f>MONTH(B969)&amp;"-"&amp;YEAR(B969)</f>
        <v>7-2022</v>
      </c>
      <c r="U969" s="2">
        <f>YEAR(B969)</f>
        <v>2022</v>
      </c>
      <c r="V969" s="2" t="str">
        <f>IF(DAY(B969)&gt;15,MONTH(B969)&amp;"-C",MONTH(B969)&amp;"-N")</f>
        <v>7-C</v>
      </c>
      <c r="W969" s="21">
        <v>5.05</v>
      </c>
      <c r="X969" s="2" t="b">
        <f t="shared" si="617"/>
        <v>1</v>
      </c>
    </row>
    <row r="970" spans="2:24" x14ac:dyDescent="0.2">
      <c r="B970" s="17">
        <v>44771</v>
      </c>
      <c r="C970" s="10" t="s">
        <v>82</v>
      </c>
      <c r="D970" s="11">
        <v>165138</v>
      </c>
      <c r="E970" s="26">
        <v>63978</v>
      </c>
      <c r="F970" s="10" t="s">
        <v>26</v>
      </c>
      <c r="G970" s="10" t="s">
        <v>27</v>
      </c>
      <c r="H970" s="27" t="s">
        <v>28</v>
      </c>
      <c r="I970" s="12"/>
      <c r="J970" s="12"/>
      <c r="K970" s="13">
        <v>6280</v>
      </c>
      <c r="L970" s="21">
        <v>5.05</v>
      </c>
      <c r="M970" s="14" t="s">
        <v>14</v>
      </c>
      <c r="N970" s="13">
        <v>31714</v>
      </c>
      <c r="O970" s="15">
        <f t="shared" si="616"/>
        <v>0</v>
      </c>
      <c r="P970" s="10" t="s">
        <v>78</v>
      </c>
      <c r="Q970" s="11" t="s">
        <v>2143</v>
      </c>
      <c r="R970" s="11" t="s">
        <v>2144</v>
      </c>
      <c r="S970" s="16" t="s">
        <v>2145</v>
      </c>
      <c r="T970" s="19" t="str">
        <f>MONTH(B970)&amp;"-"&amp;YEAR(B970)</f>
        <v>7-2022</v>
      </c>
      <c r="U970" s="2">
        <f>YEAR(B970)</f>
        <v>2022</v>
      </c>
      <c r="V970" s="2" t="str">
        <f>IF(DAY(B970)&gt;15,MONTH(B970)&amp;"-C",MONTH(B970)&amp;"-N")</f>
        <v>7-C</v>
      </c>
      <c r="W970" s="21">
        <v>5.05</v>
      </c>
      <c r="X970" s="2" t="b">
        <f t="shared" si="617"/>
        <v>1</v>
      </c>
    </row>
    <row r="971" spans="2:24" x14ac:dyDescent="0.2">
      <c r="B971" s="17">
        <v>44771</v>
      </c>
      <c r="C971" s="10" t="s">
        <v>73</v>
      </c>
      <c r="D971" s="11">
        <v>165547</v>
      </c>
      <c r="E971" s="26">
        <v>63974</v>
      </c>
      <c r="F971" s="10" t="s">
        <v>399</v>
      </c>
      <c r="G971" s="10" t="s">
        <v>46</v>
      </c>
      <c r="H971" s="27" t="s">
        <v>149</v>
      </c>
      <c r="I971" s="12"/>
      <c r="J971" s="12"/>
      <c r="K971" s="13">
        <v>990</v>
      </c>
      <c r="L971" s="21">
        <v>16.8</v>
      </c>
      <c r="M971" s="14" t="s">
        <v>14</v>
      </c>
      <c r="N971" s="13">
        <v>16632</v>
      </c>
      <c r="O971" s="15">
        <f t="shared" si="616"/>
        <v>0</v>
      </c>
      <c r="P971" s="10" t="s">
        <v>84</v>
      </c>
      <c r="Q971" s="11" t="s">
        <v>2147</v>
      </c>
      <c r="R971" s="11" t="s">
        <v>2148</v>
      </c>
      <c r="S971" s="16" t="s">
        <v>2146</v>
      </c>
      <c r="T971" s="19" t="str">
        <f>MONTH(B971)&amp;"-"&amp;YEAR(B971)</f>
        <v>7-2022</v>
      </c>
      <c r="U971" s="2">
        <f>YEAR(B971)</f>
        <v>2022</v>
      </c>
      <c r="V971" s="2" t="str">
        <f>IF(DAY(B971)&gt;15,MONTH(B971)&amp;"-C",MONTH(B971)&amp;"-N")</f>
        <v>7-C</v>
      </c>
      <c r="W971" s="21">
        <v>16.8</v>
      </c>
      <c r="X971" s="2" t="b">
        <f t="shared" si="617"/>
        <v>1</v>
      </c>
    </row>
    <row r="972" spans="2:24" x14ac:dyDescent="0.2">
      <c r="B972" s="17">
        <v>44777</v>
      </c>
      <c r="C972" s="10" t="s">
        <v>25</v>
      </c>
      <c r="D972" s="11">
        <v>165137</v>
      </c>
      <c r="E972" s="26">
        <v>64063</v>
      </c>
      <c r="F972" s="10" t="s">
        <v>26</v>
      </c>
      <c r="G972" s="10" t="s">
        <v>27</v>
      </c>
      <c r="H972" s="27" t="s">
        <v>28</v>
      </c>
      <c r="I972" s="12"/>
      <c r="J972" s="12"/>
      <c r="K972" s="13">
        <v>13500</v>
      </c>
      <c r="L972" s="21">
        <v>5.08</v>
      </c>
      <c r="M972" s="14" t="s">
        <v>14</v>
      </c>
      <c r="N972" s="13">
        <v>68580</v>
      </c>
      <c r="O972" s="15">
        <f t="shared" ref="O972" si="618">(N972/K972)-L972</f>
        <v>0</v>
      </c>
      <c r="P972" s="10" t="s">
        <v>78</v>
      </c>
      <c r="Q972" s="11" t="s">
        <v>2155</v>
      </c>
      <c r="R972" s="11" t="s">
        <v>2156</v>
      </c>
      <c r="S972" s="16" t="s">
        <v>2157</v>
      </c>
      <c r="T972" s="19" t="str">
        <f>MONTH(B972)&amp;"-"&amp;YEAR(B972)</f>
        <v>8-2022</v>
      </c>
      <c r="U972" s="2">
        <f>YEAR(B972)</f>
        <v>2022</v>
      </c>
      <c r="V972" s="2" t="str">
        <f>IF(DAY(B972)&gt;15,MONTH(B972)&amp;"-C",MONTH(B972)&amp;"-N")</f>
        <v>8-N</v>
      </c>
      <c r="W972" s="21">
        <v>5.08</v>
      </c>
      <c r="X972" s="2" t="b">
        <f t="shared" ref="X972" si="619">+L972=W972</f>
        <v>1</v>
      </c>
    </row>
    <row r="973" spans="2:24" x14ac:dyDescent="0.2">
      <c r="B973" s="17">
        <v>44782</v>
      </c>
      <c r="C973" s="10" t="s">
        <v>25</v>
      </c>
      <c r="D973" s="11">
        <v>165137</v>
      </c>
      <c r="E973" s="26">
        <v>64125</v>
      </c>
      <c r="F973" s="10" t="s">
        <v>26</v>
      </c>
      <c r="G973" s="10" t="s">
        <v>27</v>
      </c>
      <c r="H973" s="27" t="s">
        <v>28</v>
      </c>
      <c r="I973" s="12"/>
      <c r="J973" s="12"/>
      <c r="K973" s="13">
        <v>9000</v>
      </c>
      <c r="L973" s="21">
        <v>5.08</v>
      </c>
      <c r="M973" s="14" t="s">
        <v>14</v>
      </c>
      <c r="N973" s="13">
        <v>45720</v>
      </c>
      <c r="O973" s="15">
        <f t="shared" ref="O973:O977" si="620">(N973/K973)-L973</f>
        <v>0</v>
      </c>
      <c r="P973" s="10" t="s">
        <v>78</v>
      </c>
      <c r="Q973" s="11" t="s">
        <v>2152</v>
      </c>
      <c r="R973" s="11" t="s">
        <v>2153</v>
      </c>
      <c r="S973" s="16" t="s">
        <v>2154</v>
      </c>
      <c r="T973" s="19" t="str">
        <f>MONTH(B973)&amp;"-"&amp;YEAR(B973)</f>
        <v>8-2022</v>
      </c>
      <c r="U973" s="2">
        <f>YEAR(B973)</f>
        <v>2022</v>
      </c>
      <c r="V973" s="2" t="str">
        <f>IF(DAY(B973)&gt;15,MONTH(B973)&amp;"-C",MONTH(B973)&amp;"-N")</f>
        <v>8-N</v>
      </c>
      <c r="W973" s="21">
        <v>5.08</v>
      </c>
      <c r="X973" s="2" t="b">
        <f t="shared" ref="X973:X977" si="621">+L973=W973</f>
        <v>1</v>
      </c>
    </row>
    <row r="974" spans="2:24" x14ac:dyDescent="0.2">
      <c r="B974" s="17">
        <v>44782</v>
      </c>
      <c r="C974" s="10" t="s">
        <v>2170</v>
      </c>
      <c r="D974" s="11">
        <v>165656</v>
      </c>
      <c r="E974" s="26">
        <v>64124</v>
      </c>
      <c r="F974" s="10" t="s">
        <v>2171</v>
      </c>
      <c r="G974" s="10" t="s">
        <v>46</v>
      </c>
      <c r="H974" s="27" t="s">
        <v>2172</v>
      </c>
      <c r="I974" s="12"/>
      <c r="J974" s="12"/>
      <c r="K974" s="13">
        <v>1000</v>
      </c>
      <c r="L974" s="21">
        <v>12</v>
      </c>
      <c r="M974" s="14" t="s">
        <v>14</v>
      </c>
      <c r="N974" s="13">
        <v>12000</v>
      </c>
      <c r="O974" s="15">
        <f t="shared" si="620"/>
        <v>0</v>
      </c>
      <c r="P974" s="10" t="s">
        <v>84</v>
      </c>
      <c r="Q974" s="11" t="s">
        <v>2173</v>
      </c>
      <c r="R974" s="11" t="s">
        <v>2174</v>
      </c>
      <c r="S974" s="16" t="s">
        <v>2175</v>
      </c>
      <c r="T974" s="19" t="str">
        <f>MONTH(B974)&amp;"-"&amp;YEAR(B974)</f>
        <v>8-2022</v>
      </c>
      <c r="U974" s="2">
        <f>YEAR(B974)</f>
        <v>2022</v>
      </c>
      <c r="V974" s="2" t="str">
        <f>IF(DAY(B974)&gt;15,MONTH(B974)&amp;"-C",MONTH(B974)&amp;"-N")</f>
        <v>8-N</v>
      </c>
      <c r="W974" s="21">
        <v>12</v>
      </c>
      <c r="X974" s="2" t="b">
        <f t="shared" si="621"/>
        <v>1</v>
      </c>
    </row>
    <row r="975" spans="2:24" x14ac:dyDescent="0.2">
      <c r="B975" s="17">
        <v>44782</v>
      </c>
      <c r="C975" s="10" t="s">
        <v>2170</v>
      </c>
      <c r="D975" s="11">
        <v>165656</v>
      </c>
      <c r="E975" s="26">
        <v>64124</v>
      </c>
      <c r="F975" s="10" t="s">
        <v>2176</v>
      </c>
      <c r="G975" s="10" t="s">
        <v>46</v>
      </c>
      <c r="H975" s="27" t="s">
        <v>2177</v>
      </c>
      <c r="I975" s="12"/>
      <c r="J975" s="12"/>
      <c r="K975" s="13">
        <v>1150</v>
      </c>
      <c r="L975" s="21">
        <v>12</v>
      </c>
      <c r="M975" s="14" t="s">
        <v>14</v>
      </c>
      <c r="N975" s="13">
        <v>13800</v>
      </c>
      <c r="O975" s="15">
        <f t="shared" si="620"/>
        <v>0</v>
      </c>
      <c r="P975" s="10" t="s">
        <v>84</v>
      </c>
      <c r="Q975" s="11" t="s">
        <v>2173</v>
      </c>
      <c r="R975" s="11" t="s">
        <v>2174</v>
      </c>
      <c r="S975" s="16" t="s">
        <v>2175</v>
      </c>
      <c r="T975" s="19" t="str">
        <f>MONTH(B975)&amp;"-"&amp;YEAR(B975)</f>
        <v>8-2022</v>
      </c>
      <c r="U975" s="2">
        <f>YEAR(B975)</f>
        <v>2022</v>
      </c>
      <c r="V975" s="2" t="str">
        <f>IF(DAY(B975)&gt;15,MONTH(B975)&amp;"-C",MONTH(B975)&amp;"-N")</f>
        <v>8-N</v>
      </c>
      <c r="W975" s="21">
        <v>12</v>
      </c>
      <c r="X975" s="2" t="b">
        <f t="shared" si="621"/>
        <v>1</v>
      </c>
    </row>
    <row r="976" spans="2:24" x14ac:dyDescent="0.2">
      <c r="B976" s="17">
        <v>44783</v>
      </c>
      <c r="C976" s="10" t="s">
        <v>108</v>
      </c>
      <c r="D976" s="11">
        <v>165587</v>
      </c>
      <c r="E976" s="26">
        <v>64134</v>
      </c>
      <c r="F976" s="10" t="s">
        <v>127</v>
      </c>
      <c r="G976" s="10" t="s">
        <v>46</v>
      </c>
      <c r="H976" s="27" t="s">
        <v>128</v>
      </c>
      <c r="I976" s="12"/>
      <c r="J976" s="12"/>
      <c r="K976" s="13">
        <v>920</v>
      </c>
      <c r="L976" s="21">
        <v>14.77</v>
      </c>
      <c r="M976" s="14" t="s">
        <v>14</v>
      </c>
      <c r="N976" s="13">
        <v>13588.4</v>
      </c>
      <c r="O976" s="15">
        <f t="shared" si="620"/>
        <v>0</v>
      </c>
      <c r="P976" s="10" t="s">
        <v>84</v>
      </c>
      <c r="Q976" s="11" t="s">
        <v>2178</v>
      </c>
      <c r="R976" s="11" t="s">
        <v>2179</v>
      </c>
      <c r="S976" s="16" t="s">
        <v>2180</v>
      </c>
      <c r="T976" s="19" t="str">
        <f>MONTH(B976)&amp;"-"&amp;YEAR(B976)</f>
        <v>8-2022</v>
      </c>
      <c r="U976" s="2">
        <f>YEAR(B976)</f>
        <v>2022</v>
      </c>
      <c r="V976" s="2" t="str">
        <f>IF(DAY(B976)&gt;15,MONTH(B976)&amp;"-C",MONTH(B976)&amp;"-N")</f>
        <v>8-N</v>
      </c>
      <c r="W976" s="21">
        <v>14.77</v>
      </c>
      <c r="X976" s="2" t="b">
        <f t="shared" si="621"/>
        <v>1</v>
      </c>
    </row>
    <row r="977" spans="2:24" x14ac:dyDescent="0.2">
      <c r="B977" s="17">
        <v>44783</v>
      </c>
      <c r="C977" s="10" t="s">
        <v>108</v>
      </c>
      <c r="D977" s="11">
        <v>165587</v>
      </c>
      <c r="E977" s="26">
        <v>64134</v>
      </c>
      <c r="F977" s="10" t="s">
        <v>129</v>
      </c>
      <c r="G977" s="10" t="s">
        <v>46</v>
      </c>
      <c r="H977" s="27" t="s">
        <v>130</v>
      </c>
      <c r="I977" s="12"/>
      <c r="J977" s="12"/>
      <c r="K977" s="13">
        <v>1380</v>
      </c>
      <c r="L977" s="21">
        <v>14.77</v>
      </c>
      <c r="M977" s="14" t="s">
        <v>14</v>
      </c>
      <c r="N977" s="13">
        <v>20382.599999999999</v>
      </c>
      <c r="O977" s="15">
        <f t="shared" si="620"/>
        <v>0</v>
      </c>
      <c r="P977" s="10" t="s">
        <v>84</v>
      </c>
      <c r="Q977" s="11" t="s">
        <v>2178</v>
      </c>
      <c r="R977" s="11" t="s">
        <v>2179</v>
      </c>
      <c r="S977" s="16" t="s">
        <v>2180</v>
      </c>
      <c r="T977" s="19" t="str">
        <f>MONTH(B977)&amp;"-"&amp;YEAR(B977)</f>
        <v>8-2022</v>
      </c>
      <c r="U977" s="2">
        <f>YEAR(B977)</f>
        <v>2022</v>
      </c>
      <c r="V977" s="2" t="str">
        <f>IF(DAY(B977)&gt;15,MONTH(B977)&amp;"-C",MONTH(B977)&amp;"-N")</f>
        <v>8-N</v>
      </c>
      <c r="W977" s="21">
        <v>14.77</v>
      </c>
      <c r="X977" s="2" t="b">
        <f t="shared" si="621"/>
        <v>1</v>
      </c>
    </row>
    <row r="978" spans="2:24" x14ac:dyDescent="0.2">
      <c r="B978" s="17">
        <v>44785</v>
      </c>
      <c r="C978" s="10" t="s">
        <v>107</v>
      </c>
      <c r="D978" s="11">
        <v>165696</v>
      </c>
      <c r="E978" s="26">
        <v>64162</v>
      </c>
      <c r="F978" s="10" t="s">
        <v>103</v>
      </c>
      <c r="G978" s="10" t="s">
        <v>46</v>
      </c>
      <c r="H978" s="27" t="s">
        <v>104</v>
      </c>
      <c r="I978" s="12"/>
      <c r="J978" s="12"/>
      <c r="K978" s="13">
        <v>255</v>
      </c>
      <c r="L978" s="21">
        <v>40.18</v>
      </c>
      <c r="M978" s="14" t="s">
        <v>14</v>
      </c>
      <c r="N978" s="13">
        <v>10245.9</v>
      </c>
      <c r="O978" s="15">
        <f t="shared" ref="O978:O981" si="622">(N978/K978)-L978</f>
        <v>0</v>
      </c>
      <c r="P978" s="10" t="s">
        <v>84</v>
      </c>
      <c r="Q978" s="11" t="s">
        <v>2167</v>
      </c>
      <c r="R978" s="11" t="s">
        <v>2168</v>
      </c>
      <c r="S978" s="16" t="s">
        <v>2169</v>
      </c>
      <c r="T978" s="19" t="str">
        <f>MONTH(B978)&amp;"-"&amp;YEAR(B978)</f>
        <v>8-2022</v>
      </c>
      <c r="U978" s="2">
        <f>YEAR(B978)</f>
        <v>2022</v>
      </c>
      <c r="V978" s="2" t="str">
        <f>IF(DAY(B978)&gt;15,MONTH(B978)&amp;"-C",MONTH(B978)&amp;"-N")</f>
        <v>8-N</v>
      </c>
      <c r="W978" s="21">
        <v>40.18</v>
      </c>
      <c r="X978" s="2" t="b">
        <f t="shared" ref="X978:X981" si="623">+L978=W978</f>
        <v>1</v>
      </c>
    </row>
    <row r="979" spans="2:24" x14ac:dyDescent="0.2">
      <c r="B979" s="17">
        <v>44785</v>
      </c>
      <c r="C979" s="10" t="s">
        <v>107</v>
      </c>
      <c r="D979" s="11">
        <v>164585</v>
      </c>
      <c r="E979" s="26">
        <v>64162</v>
      </c>
      <c r="F979" s="10" t="s">
        <v>105</v>
      </c>
      <c r="G979" s="10" t="s">
        <v>46</v>
      </c>
      <c r="H979" s="27" t="s">
        <v>106</v>
      </c>
      <c r="I979" s="12"/>
      <c r="J979" s="12"/>
      <c r="K979" s="13">
        <v>1540</v>
      </c>
      <c r="L979" s="21">
        <v>13.29</v>
      </c>
      <c r="M979" s="14" t="s">
        <v>14</v>
      </c>
      <c r="N979" s="13">
        <v>20466.599999999999</v>
      </c>
      <c r="O979" s="15">
        <f t="shared" si="622"/>
        <v>0</v>
      </c>
      <c r="P979" s="10" t="s">
        <v>84</v>
      </c>
      <c r="Q979" s="11" t="s">
        <v>2167</v>
      </c>
      <c r="R979" s="11" t="s">
        <v>2168</v>
      </c>
      <c r="S979" s="16" t="s">
        <v>2169</v>
      </c>
      <c r="T979" s="19" t="str">
        <f>MONTH(B979)&amp;"-"&amp;YEAR(B979)</f>
        <v>8-2022</v>
      </c>
      <c r="U979" s="2">
        <f>YEAR(B979)</f>
        <v>2022</v>
      </c>
      <c r="V979" s="2" t="str">
        <f>IF(DAY(B979)&gt;15,MONTH(B979)&amp;"-C",MONTH(B979)&amp;"-N")</f>
        <v>8-N</v>
      </c>
      <c r="W979" s="21">
        <v>13.29</v>
      </c>
      <c r="X979" s="2" t="b">
        <f t="shared" si="623"/>
        <v>1</v>
      </c>
    </row>
    <row r="980" spans="2:24" x14ac:dyDescent="0.2">
      <c r="B980" s="17">
        <v>44785</v>
      </c>
      <c r="C980" s="10" t="s">
        <v>107</v>
      </c>
      <c r="D980" s="11">
        <v>165696</v>
      </c>
      <c r="E980" s="26">
        <v>64162</v>
      </c>
      <c r="F980" s="10" t="s">
        <v>105</v>
      </c>
      <c r="G980" s="10" t="s">
        <v>46</v>
      </c>
      <c r="H980" s="27" t="s">
        <v>106</v>
      </c>
      <c r="I980" s="12"/>
      <c r="J980" s="12"/>
      <c r="K980" s="13">
        <v>6380</v>
      </c>
      <c r="L980" s="21">
        <v>13.29</v>
      </c>
      <c r="M980" s="14" t="s">
        <v>14</v>
      </c>
      <c r="N980" s="13">
        <v>84790.2</v>
      </c>
      <c r="O980" s="15">
        <f t="shared" si="622"/>
        <v>0</v>
      </c>
      <c r="P980" s="10" t="s">
        <v>84</v>
      </c>
      <c r="Q980" s="11" t="s">
        <v>2167</v>
      </c>
      <c r="R980" s="11" t="s">
        <v>2168</v>
      </c>
      <c r="S980" s="16" t="s">
        <v>2169</v>
      </c>
      <c r="T980" s="19" t="str">
        <f>MONTH(B980)&amp;"-"&amp;YEAR(B980)</f>
        <v>8-2022</v>
      </c>
      <c r="U980" s="2">
        <f>YEAR(B980)</f>
        <v>2022</v>
      </c>
      <c r="V980" s="2" t="str">
        <f>IF(DAY(B980)&gt;15,MONTH(B980)&amp;"-C",MONTH(B980)&amp;"-N")</f>
        <v>8-N</v>
      </c>
      <c r="W980" s="21">
        <v>13.29</v>
      </c>
      <c r="X980" s="2" t="b">
        <f t="shared" si="623"/>
        <v>1</v>
      </c>
    </row>
    <row r="981" spans="2:24" x14ac:dyDescent="0.2">
      <c r="B981" s="17">
        <v>44786</v>
      </c>
      <c r="C981" s="10" t="s">
        <v>94</v>
      </c>
      <c r="D981" s="11">
        <v>165584</v>
      </c>
      <c r="E981" s="26">
        <v>64186</v>
      </c>
      <c r="F981" s="10" t="s">
        <v>26</v>
      </c>
      <c r="G981" s="10" t="s">
        <v>27</v>
      </c>
      <c r="H981" s="27" t="s">
        <v>28</v>
      </c>
      <c r="I981" s="12"/>
      <c r="J981" s="12"/>
      <c r="K981" s="13">
        <v>19800</v>
      </c>
      <c r="L981" s="21">
        <v>4.4000000000000004</v>
      </c>
      <c r="M981" s="14" t="s">
        <v>14</v>
      </c>
      <c r="N981" s="13">
        <v>87120</v>
      </c>
      <c r="O981" s="15">
        <f t="shared" si="622"/>
        <v>0</v>
      </c>
      <c r="P981" s="10" t="s">
        <v>78</v>
      </c>
      <c r="Q981" s="11" t="s">
        <v>2161</v>
      </c>
      <c r="R981" s="11" t="s">
        <v>2162</v>
      </c>
      <c r="S981" s="16" t="s">
        <v>2163</v>
      </c>
      <c r="T981" s="19" t="str">
        <f>MONTH(B981)&amp;"-"&amp;YEAR(B981)</f>
        <v>8-2022</v>
      </c>
      <c r="U981" s="2">
        <f>YEAR(B981)</f>
        <v>2022</v>
      </c>
      <c r="V981" s="2" t="str">
        <f>IF(DAY(B981)&gt;15,MONTH(B981)&amp;"-C",MONTH(B981)&amp;"-N")</f>
        <v>8-N</v>
      </c>
      <c r="W981" s="21">
        <v>4.4000000000000004</v>
      </c>
      <c r="X981" s="2" t="b">
        <f t="shared" si="623"/>
        <v>1</v>
      </c>
    </row>
    <row r="982" spans="2:24" x14ac:dyDescent="0.2">
      <c r="B982" s="17">
        <v>44788</v>
      </c>
      <c r="C982" s="10" t="s">
        <v>73</v>
      </c>
      <c r="D982" s="11">
        <v>165717</v>
      </c>
      <c r="E982" s="26">
        <v>64202</v>
      </c>
      <c r="F982" s="10" t="s">
        <v>399</v>
      </c>
      <c r="G982" s="10" t="s">
        <v>46</v>
      </c>
      <c r="H982" s="27" t="s">
        <v>149</v>
      </c>
      <c r="I982" s="12"/>
      <c r="J982" s="12"/>
      <c r="K982" s="13">
        <v>300</v>
      </c>
      <c r="L982" s="21">
        <v>16.8</v>
      </c>
      <c r="M982" s="14" t="s">
        <v>14</v>
      </c>
      <c r="N982" s="13">
        <v>5040</v>
      </c>
      <c r="O982" s="15">
        <f t="shared" ref="O982:O988" si="624">(N982/K982)-L982</f>
        <v>0</v>
      </c>
      <c r="P982" s="10" t="s">
        <v>84</v>
      </c>
      <c r="Q982" s="11" t="s">
        <v>2149</v>
      </c>
      <c r="R982" s="11" t="s">
        <v>2150</v>
      </c>
      <c r="S982" s="16" t="s">
        <v>2151</v>
      </c>
      <c r="T982" s="19" t="str">
        <f>MONTH(B982)&amp;"-"&amp;YEAR(B982)</f>
        <v>8-2022</v>
      </c>
      <c r="U982" s="2">
        <f>YEAR(B982)</f>
        <v>2022</v>
      </c>
      <c r="V982" s="2" t="str">
        <f>IF(DAY(B982)&gt;15,MONTH(B982)&amp;"-C",MONTH(B982)&amp;"-N")</f>
        <v>8-N</v>
      </c>
      <c r="W982" s="21">
        <v>16.8</v>
      </c>
      <c r="X982" s="2" t="b">
        <f t="shared" ref="X982:X988" si="625">+L982=W982</f>
        <v>1</v>
      </c>
    </row>
    <row r="983" spans="2:24" x14ac:dyDescent="0.2">
      <c r="B983" s="17">
        <v>44788</v>
      </c>
      <c r="C983" s="10" t="s">
        <v>25</v>
      </c>
      <c r="D983" s="11">
        <v>165702</v>
      </c>
      <c r="E983" s="26">
        <v>64206</v>
      </c>
      <c r="F983" s="10" t="s">
        <v>31</v>
      </c>
      <c r="G983" s="10" t="s">
        <v>27</v>
      </c>
      <c r="H983" s="27" t="s">
        <v>32</v>
      </c>
      <c r="I983" s="12"/>
      <c r="J983" s="12"/>
      <c r="K983" s="13">
        <v>1600</v>
      </c>
      <c r="L983" s="21">
        <v>4.25</v>
      </c>
      <c r="M983" s="14" t="s">
        <v>14</v>
      </c>
      <c r="N983" s="13">
        <v>6800</v>
      </c>
      <c r="O983" s="15">
        <f t="shared" si="624"/>
        <v>0</v>
      </c>
      <c r="P983" s="10" t="s">
        <v>78</v>
      </c>
      <c r="Q983" s="11" t="s">
        <v>2158</v>
      </c>
      <c r="R983" s="11" t="s">
        <v>2159</v>
      </c>
      <c r="S983" s="16" t="s">
        <v>2160</v>
      </c>
      <c r="T983" s="19" t="str">
        <f>MONTH(B983)&amp;"-"&amp;YEAR(B983)</f>
        <v>8-2022</v>
      </c>
      <c r="U983" s="2">
        <f>YEAR(B983)</f>
        <v>2022</v>
      </c>
      <c r="V983" s="2" t="str">
        <f>IF(DAY(B983)&gt;15,MONTH(B983)&amp;"-C",MONTH(B983)&amp;"-N")</f>
        <v>8-N</v>
      </c>
      <c r="W983" s="21">
        <v>4.25</v>
      </c>
      <c r="X983" s="2" t="b">
        <f t="shared" si="625"/>
        <v>1</v>
      </c>
    </row>
    <row r="984" spans="2:24" x14ac:dyDescent="0.2">
      <c r="B984" s="17">
        <v>44788</v>
      </c>
      <c r="C984" s="10" t="s">
        <v>25</v>
      </c>
      <c r="D984" s="11">
        <v>165702</v>
      </c>
      <c r="E984" s="26">
        <v>64206</v>
      </c>
      <c r="F984" s="10" t="s">
        <v>33</v>
      </c>
      <c r="G984" s="10" t="s">
        <v>27</v>
      </c>
      <c r="H984" s="27" t="s">
        <v>34</v>
      </c>
      <c r="I984" s="12"/>
      <c r="J984" s="12"/>
      <c r="K984" s="13">
        <v>1800</v>
      </c>
      <c r="L984" s="21">
        <v>6.05</v>
      </c>
      <c r="M984" s="14" t="s">
        <v>14</v>
      </c>
      <c r="N984" s="13">
        <v>10890</v>
      </c>
      <c r="O984" s="15">
        <f t="shared" si="624"/>
        <v>0</v>
      </c>
      <c r="P984" s="10" t="s">
        <v>78</v>
      </c>
      <c r="Q984" s="11" t="s">
        <v>2158</v>
      </c>
      <c r="R984" s="11" t="s">
        <v>2159</v>
      </c>
      <c r="S984" s="16" t="s">
        <v>2160</v>
      </c>
      <c r="T984" s="19" t="str">
        <f>MONTH(B984)&amp;"-"&amp;YEAR(B984)</f>
        <v>8-2022</v>
      </c>
      <c r="U984" s="2">
        <f>YEAR(B984)</f>
        <v>2022</v>
      </c>
      <c r="V984" s="2" t="str">
        <f>IF(DAY(B984)&gt;15,MONTH(B984)&amp;"-C",MONTH(B984)&amp;"-N")</f>
        <v>8-N</v>
      </c>
      <c r="W984" s="21">
        <v>6.05</v>
      </c>
      <c r="X984" s="2" t="b">
        <f t="shared" si="625"/>
        <v>1</v>
      </c>
    </row>
    <row r="985" spans="2:24" x14ac:dyDescent="0.2">
      <c r="B985" s="17">
        <v>44788</v>
      </c>
      <c r="C985" s="10" t="s">
        <v>108</v>
      </c>
      <c r="D985" s="11">
        <v>164543</v>
      </c>
      <c r="E985" s="26">
        <v>64221</v>
      </c>
      <c r="F985" s="10" t="s">
        <v>121</v>
      </c>
      <c r="G985" s="10" t="s">
        <v>46</v>
      </c>
      <c r="H985" s="27" t="s">
        <v>122</v>
      </c>
      <c r="I985" s="12"/>
      <c r="J985" s="12"/>
      <c r="K985" s="13">
        <v>6900</v>
      </c>
      <c r="L985" s="21">
        <v>14.15</v>
      </c>
      <c r="M985" s="14" t="s">
        <v>14</v>
      </c>
      <c r="N985" s="13">
        <v>97635</v>
      </c>
      <c r="O985" s="15">
        <f t="shared" si="624"/>
        <v>0</v>
      </c>
      <c r="P985" s="10" t="s">
        <v>84</v>
      </c>
      <c r="Q985" s="11" t="s">
        <v>2182</v>
      </c>
      <c r="R985" s="11" t="s">
        <v>2183</v>
      </c>
      <c r="S985" s="16" t="s">
        <v>2181</v>
      </c>
      <c r="T985" s="19" t="str">
        <f>MONTH(B985)&amp;"-"&amp;YEAR(B985)</f>
        <v>8-2022</v>
      </c>
      <c r="U985" s="2">
        <f>YEAR(B985)</f>
        <v>2022</v>
      </c>
      <c r="V985" s="2" t="str">
        <f>IF(DAY(B985)&gt;15,MONTH(B985)&amp;"-C",MONTH(B985)&amp;"-N")</f>
        <v>8-N</v>
      </c>
      <c r="W985" s="21">
        <v>14.15</v>
      </c>
      <c r="X985" s="2" t="b">
        <f t="shared" si="625"/>
        <v>1</v>
      </c>
    </row>
    <row r="986" spans="2:24" x14ac:dyDescent="0.2">
      <c r="B986" s="17">
        <v>44788</v>
      </c>
      <c r="C986" s="10" t="s">
        <v>108</v>
      </c>
      <c r="D986" s="11">
        <v>164543</v>
      </c>
      <c r="E986" s="26">
        <v>64221</v>
      </c>
      <c r="F986" s="10" t="s">
        <v>123</v>
      </c>
      <c r="G986" s="10" t="s">
        <v>46</v>
      </c>
      <c r="H986" s="27" t="s">
        <v>124</v>
      </c>
      <c r="I986" s="12"/>
      <c r="J986" s="12"/>
      <c r="K986" s="13">
        <v>11500</v>
      </c>
      <c r="L986" s="21">
        <v>14.15</v>
      </c>
      <c r="M986" s="14" t="s">
        <v>14</v>
      </c>
      <c r="N986" s="13">
        <v>162725</v>
      </c>
      <c r="O986" s="15">
        <f t="shared" si="624"/>
        <v>0</v>
      </c>
      <c r="P986" s="10" t="s">
        <v>84</v>
      </c>
      <c r="Q986" s="11" t="s">
        <v>2182</v>
      </c>
      <c r="R986" s="11" t="s">
        <v>2183</v>
      </c>
      <c r="S986" s="16" t="s">
        <v>2181</v>
      </c>
      <c r="T986" s="19" t="str">
        <f>MONTH(B986)&amp;"-"&amp;YEAR(B986)</f>
        <v>8-2022</v>
      </c>
      <c r="U986" s="2">
        <f>YEAR(B986)</f>
        <v>2022</v>
      </c>
      <c r="V986" s="2" t="str">
        <f>IF(DAY(B986)&gt;15,MONTH(B986)&amp;"-C",MONTH(B986)&amp;"-N")</f>
        <v>8-N</v>
      </c>
      <c r="W986" s="21">
        <v>14.15</v>
      </c>
      <c r="X986" s="2" t="b">
        <f t="shared" si="625"/>
        <v>1</v>
      </c>
    </row>
    <row r="987" spans="2:24" x14ac:dyDescent="0.2">
      <c r="B987" s="17">
        <v>44788</v>
      </c>
      <c r="C987" s="10" t="s">
        <v>48</v>
      </c>
      <c r="D987" s="11">
        <v>163637</v>
      </c>
      <c r="E987" s="26">
        <v>64220</v>
      </c>
      <c r="F987" s="10" t="s">
        <v>135</v>
      </c>
      <c r="G987" s="10" t="s">
        <v>46</v>
      </c>
      <c r="H987" s="27" t="s">
        <v>136</v>
      </c>
      <c r="I987" s="12"/>
      <c r="J987" s="12"/>
      <c r="K987" s="13">
        <v>4400</v>
      </c>
      <c r="L987" s="21">
        <v>12.204000000000001</v>
      </c>
      <c r="M987" s="14" t="s">
        <v>14</v>
      </c>
      <c r="N987" s="13">
        <v>53699.008000000002</v>
      </c>
      <c r="O987" s="15">
        <f t="shared" si="624"/>
        <v>3.2000000000032003E-4</v>
      </c>
      <c r="P987" s="10" t="s">
        <v>90</v>
      </c>
      <c r="Q987" s="11" t="s">
        <v>2184</v>
      </c>
      <c r="R987" s="11" t="s">
        <v>2185</v>
      </c>
      <c r="S987" s="16" t="s">
        <v>41</v>
      </c>
      <c r="T987" s="19" t="str">
        <f>MONTH(B987)&amp;"-"&amp;YEAR(B987)</f>
        <v>8-2022</v>
      </c>
      <c r="U987" s="2">
        <f>YEAR(B987)</f>
        <v>2022</v>
      </c>
      <c r="V987" s="2" t="str">
        <f>IF(DAY(B987)&gt;15,MONTH(B987)&amp;"-C",MONTH(B987)&amp;"-N")</f>
        <v>8-N</v>
      </c>
      <c r="W987" s="21">
        <v>12.204000000000001</v>
      </c>
      <c r="X987" s="2" t="b">
        <f t="shared" si="625"/>
        <v>1</v>
      </c>
    </row>
    <row r="988" spans="2:24" x14ac:dyDescent="0.2">
      <c r="B988" s="17">
        <v>44788</v>
      </c>
      <c r="C988" s="10" t="s">
        <v>48</v>
      </c>
      <c r="D988" s="11">
        <v>163637</v>
      </c>
      <c r="E988" s="26">
        <v>64220</v>
      </c>
      <c r="F988" s="10" t="s">
        <v>71</v>
      </c>
      <c r="G988" s="10" t="s">
        <v>46</v>
      </c>
      <c r="H988" s="27" t="s">
        <v>72</v>
      </c>
      <c r="I988" s="12"/>
      <c r="J988" s="12"/>
      <c r="K988" s="13">
        <v>11600</v>
      </c>
      <c r="L988" s="21">
        <v>11.579000000000001</v>
      </c>
      <c r="M988" s="14" t="s">
        <v>14</v>
      </c>
      <c r="N988" s="13">
        <v>134321.04</v>
      </c>
      <c r="O988" s="15">
        <f t="shared" si="624"/>
        <v>4.0000000000084412E-4</v>
      </c>
      <c r="P988" s="10" t="s">
        <v>90</v>
      </c>
      <c r="Q988" s="11" t="s">
        <v>2184</v>
      </c>
      <c r="R988" s="11" t="s">
        <v>2185</v>
      </c>
      <c r="S988" s="16" t="s">
        <v>41</v>
      </c>
      <c r="T988" s="19" t="str">
        <f>MONTH(B988)&amp;"-"&amp;YEAR(B988)</f>
        <v>8-2022</v>
      </c>
      <c r="U988" s="2">
        <f>YEAR(B988)</f>
        <v>2022</v>
      </c>
      <c r="V988" s="2" t="str">
        <f>IF(DAY(B988)&gt;15,MONTH(B988)&amp;"-C",MONTH(B988)&amp;"-N")</f>
        <v>8-N</v>
      </c>
      <c r="W988" s="21">
        <v>11.579000000000001</v>
      </c>
      <c r="X988" s="2" t="b">
        <f t="shared" si="625"/>
        <v>1</v>
      </c>
    </row>
    <row r="989" spans="2:24" x14ac:dyDescent="0.2">
      <c r="B989" s="17">
        <v>44792</v>
      </c>
      <c r="C989" s="10" t="s">
        <v>94</v>
      </c>
      <c r="D989" s="11">
        <v>165584</v>
      </c>
      <c r="E989" s="26">
        <v>64293</v>
      </c>
      <c r="F989" s="10" t="s">
        <v>26</v>
      </c>
      <c r="G989" s="10" t="s">
        <v>27</v>
      </c>
      <c r="H989" s="27" t="s">
        <v>28</v>
      </c>
      <c r="I989" s="12"/>
      <c r="J989" s="12"/>
      <c r="K989" s="13">
        <v>17850</v>
      </c>
      <c r="L989" s="21">
        <v>4.4000000000000004</v>
      </c>
      <c r="M989" s="14" t="s">
        <v>14</v>
      </c>
      <c r="N989" s="13">
        <v>78540</v>
      </c>
      <c r="O989" s="15">
        <f t="shared" ref="O989" si="626">(N989/K989)-L989</f>
        <v>0</v>
      </c>
      <c r="P989" s="10" t="s">
        <v>78</v>
      </c>
      <c r="Q989" s="11" t="s">
        <v>2164</v>
      </c>
      <c r="R989" s="11" t="s">
        <v>2165</v>
      </c>
      <c r="S989" s="16" t="s">
        <v>2166</v>
      </c>
      <c r="T989" s="19" t="str">
        <f>MONTH(B989)&amp;"-"&amp;YEAR(B989)</f>
        <v>8-2022</v>
      </c>
      <c r="U989" s="2">
        <f>YEAR(B989)</f>
        <v>2022</v>
      </c>
      <c r="V989" s="2" t="str">
        <f>IF(DAY(B989)&gt;15,MONTH(B989)&amp;"-C",MONTH(B989)&amp;"-N")</f>
        <v>8-C</v>
      </c>
      <c r="W989" s="21">
        <v>4.4000000000000004</v>
      </c>
      <c r="X989" s="2" t="b">
        <f t="shared" ref="X989" si="627">+L989=W989</f>
        <v>1</v>
      </c>
    </row>
    <row r="990" spans="2:24" x14ac:dyDescent="0.2">
      <c r="B990" s="17">
        <v>44796</v>
      </c>
      <c r="C990" s="10" t="s">
        <v>25</v>
      </c>
      <c r="D990" s="11">
        <v>164774</v>
      </c>
      <c r="E990" s="26">
        <v>64347</v>
      </c>
      <c r="F990" s="10" t="s">
        <v>26</v>
      </c>
      <c r="G990" s="10" t="s">
        <v>27</v>
      </c>
      <c r="H990" s="27" t="s">
        <v>28</v>
      </c>
      <c r="I990" s="12"/>
      <c r="J990" s="12"/>
      <c r="K990" s="13">
        <v>4100</v>
      </c>
      <c r="L990" s="21">
        <v>5.08</v>
      </c>
      <c r="M990" s="14" t="s">
        <v>14</v>
      </c>
      <c r="N990" s="13">
        <v>20828</v>
      </c>
      <c r="O990" s="15">
        <f t="shared" ref="O990" si="628">(N990/K990)-L990</f>
        <v>0</v>
      </c>
      <c r="P990" s="10" t="s">
        <v>78</v>
      </c>
      <c r="Q990" s="11" t="s">
        <v>2186</v>
      </c>
      <c r="R990" s="11" t="s">
        <v>2187</v>
      </c>
      <c r="S990" s="16" t="s">
        <v>2188</v>
      </c>
      <c r="T990" s="19" t="str">
        <f>MONTH(B990)&amp;"-"&amp;YEAR(B990)</f>
        <v>8-2022</v>
      </c>
      <c r="U990" s="2">
        <f>YEAR(B990)</f>
        <v>2022</v>
      </c>
      <c r="V990" s="2" t="str">
        <f>IF(DAY(B990)&gt;15,MONTH(B990)&amp;"-C",MONTH(B990)&amp;"-N")</f>
        <v>8-C</v>
      </c>
      <c r="W990" s="21">
        <v>5.08</v>
      </c>
      <c r="X990" s="2" t="b">
        <f t="shared" ref="X990" si="629">+L990=W990</f>
        <v>1</v>
      </c>
    </row>
    <row r="991" spans="2:24" x14ac:dyDescent="0.2">
      <c r="B991" s="17">
        <v>44799</v>
      </c>
      <c r="C991" s="10" t="s">
        <v>25</v>
      </c>
      <c r="D991" s="11">
        <v>165585</v>
      </c>
      <c r="E991" s="26">
        <v>64372</v>
      </c>
      <c r="F991" s="10" t="s">
        <v>26</v>
      </c>
      <c r="G991" s="10" t="s">
        <v>27</v>
      </c>
      <c r="H991" s="27" t="s">
        <v>28</v>
      </c>
      <c r="I991" s="12"/>
      <c r="J991" s="12"/>
      <c r="K991" s="13">
        <v>19800</v>
      </c>
      <c r="L991" s="21">
        <v>4.4000000000000004</v>
      </c>
      <c r="M991" s="14" t="s">
        <v>14</v>
      </c>
      <c r="N991" s="13">
        <v>87120</v>
      </c>
      <c r="O991" s="15">
        <f t="shared" ref="O991" si="630">(N991/K991)-L991</f>
        <v>0</v>
      </c>
      <c r="P991" s="10" t="s">
        <v>78</v>
      </c>
      <c r="Q991" s="11" t="s">
        <v>2189</v>
      </c>
      <c r="R991" s="11" t="s">
        <v>2190</v>
      </c>
      <c r="S991" s="16" t="s">
        <v>2191</v>
      </c>
      <c r="T991" s="19" t="str">
        <f>MONTH(B991)&amp;"-"&amp;YEAR(B991)</f>
        <v>8-2022</v>
      </c>
      <c r="U991" s="2">
        <f>YEAR(B991)</f>
        <v>2022</v>
      </c>
      <c r="V991" s="2" t="str">
        <f>IF(DAY(B991)&gt;15,MONTH(B991)&amp;"-C",MONTH(B991)&amp;"-N")</f>
        <v>8-C</v>
      </c>
      <c r="W991" s="21">
        <v>4.4000000000000004</v>
      </c>
      <c r="X991" s="2" t="b">
        <f t="shared" ref="X991" si="631">+L991=W991</f>
        <v>1</v>
      </c>
    </row>
    <row r="992" spans="2:24" x14ac:dyDescent="0.2">
      <c r="B992" s="17">
        <v>44805</v>
      </c>
      <c r="C992" s="10" t="s">
        <v>25</v>
      </c>
      <c r="D992" s="11">
        <v>165585</v>
      </c>
      <c r="E992" s="26">
        <v>64441</v>
      </c>
      <c r="F992" s="10" t="s">
        <v>26</v>
      </c>
      <c r="G992" s="10" t="s">
        <v>27</v>
      </c>
      <c r="H992" s="27" t="s">
        <v>28</v>
      </c>
      <c r="I992" s="12" t="s">
        <v>1843</v>
      </c>
      <c r="J992" s="12" t="s">
        <v>1843</v>
      </c>
      <c r="K992" s="13">
        <v>14400</v>
      </c>
      <c r="L992" s="21">
        <v>4.4000000000000004</v>
      </c>
      <c r="M992" s="14" t="s">
        <v>14</v>
      </c>
      <c r="N992" s="13">
        <v>63360</v>
      </c>
      <c r="O992" s="15">
        <f t="shared" ref="O992:O994" si="632">(N992/K992)-L992</f>
        <v>0</v>
      </c>
      <c r="P992" s="10" t="s">
        <v>78</v>
      </c>
      <c r="Q992" s="11" t="s">
        <v>2218</v>
      </c>
      <c r="R992" s="11" t="s">
        <v>2216</v>
      </c>
      <c r="S992" s="16" t="s">
        <v>2217</v>
      </c>
      <c r="T992" s="19" t="str">
        <f>MONTH(B992)&amp;"-"&amp;YEAR(B992)</f>
        <v>9-2022</v>
      </c>
      <c r="U992" s="2">
        <f>YEAR(B992)</f>
        <v>2022</v>
      </c>
      <c r="V992" s="2" t="str">
        <f>IF(DAY(B992)&gt;15,MONTH(B992)&amp;"-C",MONTH(B992)&amp;"-N")</f>
        <v>9-N</v>
      </c>
      <c r="W992" s="21">
        <v>4.4000000000000004</v>
      </c>
      <c r="X992" s="2" t="b">
        <f t="shared" ref="X992:X994" si="633">+L992=W992</f>
        <v>1</v>
      </c>
    </row>
    <row r="993" spans="2:24" x14ac:dyDescent="0.2">
      <c r="B993" s="17">
        <v>44807</v>
      </c>
      <c r="C993" s="10" t="s">
        <v>80</v>
      </c>
      <c r="D993" s="11">
        <v>165973</v>
      </c>
      <c r="E993" s="26">
        <v>64475</v>
      </c>
      <c r="F993" s="10" t="s">
        <v>29</v>
      </c>
      <c r="G993" s="10" t="s">
        <v>27</v>
      </c>
      <c r="H993" s="27" t="s">
        <v>30</v>
      </c>
      <c r="I993" s="12" t="s">
        <v>1843</v>
      </c>
      <c r="J993" s="12" t="s">
        <v>1843</v>
      </c>
      <c r="K993" s="13">
        <v>1980</v>
      </c>
      <c r="L993" s="21">
        <v>4.43</v>
      </c>
      <c r="M993" s="14" t="s">
        <v>14</v>
      </c>
      <c r="N993" s="13">
        <v>8771.4</v>
      </c>
      <c r="O993" s="15">
        <f t="shared" si="632"/>
        <v>0</v>
      </c>
      <c r="P993" s="10" t="s">
        <v>78</v>
      </c>
      <c r="Q993" s="11" t="s">
        <v>2219</v>
      </c>
      <c r="R993" s="11" t="s">
        <v>2220</v>
      </c>
      <c r="S993" s="16" t="s">
        <v>2221</v>
      </c>
      <c r="T993" s="19" t="str">
        <f>MONTH(B993)&amp;"-"&amp;YEAR(B993)</f>
        <v>9-2022</v>
      </c>
      <c r="U993" s="2">
        <f>YEAR(B993)</f>
        <v>2022</v>
      </c>
      <c r="V993" s="2" t="str">
        <f>IF(DAY(B993)&gt;15,MONTH(B993)&amp;"-C",MONTH(B993)&amp;"-N")</f>
        <v>9-N</v>
      </c>
      <c r="W993" s="21">
        <v>4.43</v>
      </c>
      <c r="X993" s="2" t="b">
        <f t="shared" si="633"/>
        <v>1</v>
      </c>
    </row>
    <row r="994" spans="2:24" x14ac:dyDescent="0.2">
      <c r="B994" s="17">
        <v>44809</v>
      </c>
      <c r="C994" s="10" t="s">
        <v>80</v>
      </c>
      <c r="D994" s="11">
        <v>165966</v>
      </c>
      <c r="E994" s="26">
        <v>64491</v>
      </c>
      <c r="F994" s="10" t="s">
        <v>26</v>
      </c>
      <c r="G994" s="10" t="s">
        <v>27</v>
      </c>
      <c r="H994" s="27" t="s">
        <v>28</v>
      </c>
      <c r="I994" s="12" t="s">
        <v>1843</v>
      </c>
      <c r="J994" s="12" t="s">
        <v>1843</v>
      </c>
      <c r="K994" s="13">
        <v>12600</v>
      </c>
      <c r="L994" s="21">
        <v>4.1500000000000004</v>
      </c>
      <c r="M994" s="14" t="s">
        <v>14</v>
      </c>
      <c r="N994" s="13">
        <v>52290</v>
      </c>
      <c r="O994" s="15">
        <f t="shared" si="632"/>
        <v>0</v>
      </c>
      <c r="P994" s="10" t="s">
        <v>78</v>
      </c>
      <c r="Q994" s="11" t="s">
        <v>2222</v>
      </c>
      <c r="R994" s="11" t="s">
        <v>2223</v>
      </c>
      <c r="S994" s="16" t="s">
        <v>2224</v>
      </c>
      <c r="T994" s="19" t="str">
        <f>MONTH(B994)&amp;"-"&amp;YEAR(B994)</f>
        <v>9-2022</v>
      </c>
      <c r="U994" s="2">
        <f>YEAR(B994)</f>
        <v>2022</v>
      </c>
      <c r="V994" s="2" t="str">
        <f>IF(DAY(B994)&gt;15,MONTH(B994)&amp;"-C",MONTH(B994)&amp;"-N")</f>
        <v>9-N</v>
      </c>
      <c r="W994" s="21">
        <v>4.1500000000000004</v>
      </c>
      <c r="X994" s="2" t="b">
        <f t="shared" si="633"/>
        <v>1</v>
      </c>
    </row>
    <row r="995" spans="2:24" x14ac:dyDescent="0.2">
      <c r="B995" s="17">
        <v>44810</v>
      </c>
      <c r="C995" s="10" t="s">
        <v>25</v>
      </c>
      <c r="D995" s="11">
        <v>165585</v>
      </c>
      <c r="E995" s="26">
        <v>64506</v>
      </c>
      <c r="F995" s="10" t="s">
        <v>26</v>
      </c>
      <c r="G995" s="10" t="s">
        <v>27</v>
      </c>
      <c r="H995" s="27" t="s">
        <v>28</v>
      </c>
      <c r="I995" s="12" t="s">
        <v>1843</v>
      </c>
      <c r="J995" s="12" t="s">
        <v>1843</v>
      </c>
      <c r="K995" s="13">
        <v>900</v>
      </c>
      <c r="L995" s="21">
        <v>4.4000000000000004</v>
      </c>
      <c r="M995" s="14" t="s">
        <v>14</v>
      </c>
      <c r="N995" s="13">
        <v>3960</v>
      </c>
      <c r="O995" s="15">
        <f t="shared" ref="O995:O998" si="634">(N995/K995)-L995</f>
        <v>0</v>
      </c>
      <c r="P995" s="10" t="s">
        <v>78</v>
      </c>
      <c r="Q995" s="11" t="s">
        <v>2215</v>
      </c>
      <c r="R995" s="11" t="s">
        <v>2216</v>
      </c>
      <c r="S995" s="16" t="s">
        <v>2214</v>
      </c>
      <c r="T995" s="19" t="str">
        <f>MONTH(B995)&amp;"-"&amp;YEAR(B995)</f>
        <v>9-2022</v>
      </c>
      <c r="U995" s="2">
        <f>YEAR(B995)</f>
        <v>2022</v>
      </c>
      <c r="V995" s="2" t="str">
        <f>IF(DAY(B995)&gt;15,MONTH(B995)&amp;"-C",MONTH(B995)&amp;"-N")</f>
        <v>9-N</v>
      </c>
      <c r="W995" s="21">
        <v>4.4000000000000004</v>
      </c>
      <c r="X995" s="2" t="b">
        <f t="shared" ref="X995:X998" si="635">+L995=W995</f>
        <v>1</v>
      </c>
    </row>
    <row r="996" spans="2:24" x14ac:dyDescent="0.2">
      <c r="B996" s="17">
        <v>44811</v>
      </c>
      <c r="C996" s="10" t="s">
        <v>73</v>
      </c>
      <c r="D996" s="11">
        <v>165976</v>
      </c>
      <c r="E996" s="26">
        <v>64516</v>
      </c>
      <c r="F996" s="10" t="s">
        <v>399</v>
      </c>
      <c r="G996" s="10" t="s">
        <v>46</v>
      </c>
      <c r="H996" s="27" t="s">
        <v>149</v>
      </c>
      <c r="I996" s="12" t="s">
        <v>1843</v>
      </c>
      <c r="J996" s="12" t="s">
        <v>1843</v>
      </c>
      <c r="K996" s="13">
        <v>720</v>
      </c>
      <c r="L996" s="21">
        <v>16.8</v>
      </c>
      <c r="M996" s="14" t="s">
        <v>14</v>
      </c>
      <c r="N996" s="13">
        <v>12096</v>
      </c>
      <c r="O996" s="15">
        <f t="shared" si="634"/>
        <v>0</v>
      </c>
      <c r="P996" s="10" t="s">
        <v>84</v>
      </c>
      <c r="Q996" s="11" t="s">
        <v>2196</v>
      </c>
      <c r="R996" s="11" t="s">
        <v>2197</v>
      </c>
      <c r="S996" s="16" t="s">
        <v>2198</v>
      </c>
      <c r="T996" s="19" t="str">
        <f>MONTH(B996)&amp;"-"&amp;YEAR(B996)</f>
        <v>9-2022</v>
      </c>
      <c r="U996" s="2">
        <f>YEAR(B996)</f>
        <v>2022</v>
      </c>
      <c r="V996" s="2" t="str">
        <f>IF(DAY(B996)&gt;15,MONTH(B996)&amp;"-C",MONTH(B996)&amp;"-N")</f>
        <v>9-N</v>
      </c>
      <c r="W996" s="21">
        <v>16.8</v>
      </c>
      <c r="X996" s="2" t="b">
        <f t="shared" si="635"/>
        <v>1</v>
      </c>
    </row>
    <row r="997" spans="2:24" x14ac:dyDescent="0.2">
      <c r="B997" s="17">
        <v>44811</v>
      </c>
      <c r="C997" s="10" t="s">
        <v>80</v>
      </c>
      <c r="D997" s="11">
        <v>165966</v>
      </c>
      <c r="E997" s="26">
        <v>64525</v>
      </c>
      <c r="F997" s="10" t="s">
        <v>26</v>
      </c>
      <c r="G997" s="10" t="s">
        <v>27</v>
      </c>
      <c r="H997" s="27" t="s">
        <v>28</v>
      </c>
      <c r="I997" s="12" t="s">
        <v>1843</v>
      </c>
      <c r="J997" s="12" t="s">
        <v>1843</v>
      </c>
      <c r="K997" s="13">
        <v>3600</v>
      </c>
      <c r="L997" s="21">
        <v>4.1500000000000004</v>
      </c>
      <c r="M997" s="14" t="s">
        <v>14</v>
      </c>
      <c r="N997" s="13">
        <v>14940</v>
      </c>
      <c r="O997" s="15">
        <f t="shared" si="634"/>
        <v>0</v>
      </c>
      <c r="P997" s="10" t="s">
        <v>78</v>
      </c>
      <c r="Q997" s="11" t="s">
        <v>2225</v>
      </c>
      <c r="R997" s="11" t="s">
        <v>2226</v>
      </c>
      <c r="S997" s="16" t="s">
        <v>2227</v>
      </c>
      <c r="T997" s="19" t="str">
        <f>MONTH(B997)&amp;"-"&amp;YEAR(B997)</f>
        <v>9-2022</v>
      </c>
      <c r="U997" s="2">
        <f>YEAR(B997)</f>
        <v>2022</v>
      </c>
      <c r="V997" s="2" t="str">
        <f>IF(DAY(B997)&gt;15,MONTH(B997)&amp;"-C",MONTH(B997)&amp;"-N")</f>
        <v>9-N</v>
      </c>
      <c r="W997" s="21">
        <v>4.1500000000000004</v>
      </c>
      <c r="X997" s="2" t="b">
        <f t="shared" si="635"/>
        <v>1</v>
      </c>
    </row>
    <row r="998" spans="2:24" x14ac:dyDescent="0.2">
      <c r="B998" s="17">
        <v>44812</v>
      </c>
      <c r="C998" s="10" t="s">
        <v>73</v>
      </c>
      <c r="D998" s="11">
        <v>166052</v>
      </c>
      <c r="E998" s="26">
        <v>64527</v>
      </c>
      <c r="F998" s="10" t="s">
        <v>399</v>
      </c>
      <c r="G998" s="10" t="s">
        <v>46</v>
      </c>
      <c r="H998" s="27" t="s">
        <v>149</v>
      </c>
      <c r="I998" s="12" t="s">
        <v>1843</v>
      </c>
      <c r="J998" s="12" t="s">
        <v>1843</v>
      </c>
      <c r="K998" s="13">
        <v>720</v>
      </c>
      <c r="L998" s="21">
        <v>16.8</v>
      </c>
      <c r="M998" s="14" t="s">
        <v>14</v>
      </c>
      <c r="N998" s="13">
        <v>12096</v>
      </c>
      <c r="O998" s="15">
        <f t="shared" si="634"/>
        <v>0</v>
      </c>
      <c r="P998" s="10" t="s">
        <v>84</v>
      </c>
      <c r="Q998" s="11" t="s">
        <v>2193</v>
      </c>
      <c r="R998" s="11" t="s">
        <v>2194</v>
      </c>
      <c r="S998" s="16" t="s">
        <v>2195</v>
      </c>
      <c r="T998" s="19" t="str">
        <f>MONTH(B998)&amp;"-"&amp;YEAR(B998)</f>
        <v>9-2022</v>
      </c>
      <c r="U998" s="2">
        <f>YEAR(B998)</f>
        <v>2022</v>
      </c>
      <c r="V998" s="2" t="str">
        <f>IF(DAY(B998)&gt;15,MONTH(B998)&amp;"-C",MONTH(B998)&amp;"-N")</f>
        <v>9-N</v>
      </c>
      <c r="W998" s="21">
        <v>16.8</v>
      </c>
      <c r="X998" s="2" t="b">
        <f t="shared" si="635"/>
        <v>1</v>
      </c>
    </row>
    <row r="999" spans="2:24" x14ac:dyDescent="0.2">
      <c r="B999" s="17">
        <v>44814</v>
      </c>
      <c r="C999" s="10" t="s">
        <v>80</v>
      </c>
      <c r="D999" s="11">
        <v>165966</v>
      </c>
      <c r="E999" s="26">
        <v>64566</v>
      </c>
      <c r="F999" s="10" t="s">
        <v>26</v>
      </c>
      <c r="G999" s="10" t="s">
        <v>27</v>
      </c>
      <c r="H999" s="27" t="s">
        <v>28</v>
      </c>
      <c r="I999" s="12" t="s">
        <v>1843</v>
      </c>
      <c r="J999" s="12" t="s">
        <v>1843</v>
      </c>
      <c r="K999" s="13">
        <v>9900</v>
      </c>
      <c r="L999" s="21">
        <v>4.1500000000000004</v>
      </c>
      <c r="M999" s="14" t="s">
        <v>14</v>
      </c>
      <c r="N999" s="13">
        <v>41085</v>
      </c>
      <c r="O999" s="15">
        <f t="shared" ref="O999:O1001" si="636">(N999/K999)-L999</f>
        <v>0</v>
      </c>
      <c r="P999" s="10" t="s">
        <v>78</v>
      </c>
      <c r="Q999" s="11" t="s">
        <v>2228</v>
      </c>
      <c r="R999" s="11" t="s">
        <v>2229</v>
      </c>
      <c r="S999" s="16" t="s">
        <v>2230</v>
      </c>
      <c r="T999" s="19" t="str">
        <f>MONTH(B999)&amp;"-"&amp;YEAR(B999)</f>
        <v>9-2022</v>
      </c>
      <c r="U999" s="2">
        <f>YEAR(B999)</f>
        <v>2022</v>
      </c>
      <c r="V999" s="2" t="str">
        <f>IF(DAY(B999)&gt;15,MONTH(B999)&amp;"-C",MONTH(B999)&amp;"-N")</f>
        <v>9-N</v>
      </c>
      <c r="W999" s="21">
        <v>4.1500000000000004</v>
      </c>
      <c r="X999" s="2" t="b">
        <f t="shared" ref="X999:X1001" si="637">+L999=W999</f>
        <v>1</v>
      </c>
    </row>
    <row r="1000" spans="2:24" x14ac:dyDescent="0.2">
      <c r="B1000" s="17">
        <v>44816</v>
      </c>
      <c r="C1000" s="10" t="s">
        <v>107</v>
      </c>
      <c r="D1000" s="11">
        <v>165696</v>
      </c>
      <c r="E1000" s="26">
        <v>64594</v>
      </c>
      <c r="F1000" s="10" t="s">
        <v>103</v>
      </c>
      <c r="G1000" s="10" t="s">
        <v>46</v>
      </c>
      <c r="H1000" s="27" t="s">
        <v>104</v>
      </c>
      <c r="I1000" s="12" t="s">
        <v>1843</v>
      </c>
      <c r="J1000" s="12" t="s">
        <v>1843</v>
      </c>
      <c r="K1000" s="13">
        <v>240</v>
      </c>
      <c r="L1000" s="21">
        <v>40.18</v>
      </c>
      <c r="M1000" s="14" t="s">
        <v>14</v>
      </c>
      <c r="N1000" s="13">
        <v>9643.2000000000007</v>
      </c>
      <c r="O1000" s="15">
        <f t="shared" si="636"/>
        <v>0</v>
      </c>
      <c r="P1000" s="10" t="s">
        <v>84</v>
      </c>
      <c r="Q1000" s="11" t="s">
        <v>2202</v>
      </c>
      <c r="R1000" s="11" t="s">
        <v>2203</v>
      </c>
      <c r="S1000" s="16" t="s">
        <v>2204</v>
      </c>
      <c r="T1000" s="19" t="str">
        <f>MONTH(B1000)&amp;"-"&amp;YEAR(B1000)</f>
        <v>9-2022</v>
      </c>
      <c r="U1000" s="2">
        <f>YEAR(B1000)</f>
        <v>2022</v>
      </c>
      <c r="V1000" s="2" t="str">
        <f>IF(DAY(B1000)&gt;15,MONTH(B1000)&amp;"-C",MONTH(B1000)&amp;"-N")</f>
        <v>9-N</v>
      </c>
      <c r="W1000" s="21">
        <v>40.18</v>
      </c>
      <c r="X1000" s="2" t="b">
        <f t="shared" si="637"/>
        <v>1</v>
      </c>
    </row>
    <row r="1001" spans="2:24" x14ac:dyDescent="0.2">
      <c r="B1001" s="17">
        <v>44816</v>
      </c>
      <c r="C1001" s="10" t="s">
        <v>107</v>
      </c>
      <c r="D1001" s="11">
        <v>165696</v>
      </c>
      <c r="E1001" s="26">
        <v>64594</v>
      </c>
      <c r="F1001" s="10" t="s">
        <v>105</v>
      </c>
      <c r="G1001" s="10" t="s">
        <v>46</v>
      </c>
      <c r="H1001" s="27" t="s">
        <v>106</v>
      </c>
      <c r="I1001" s="12" t="s">
        <v>1843</v>
      </c>
      <c r="J1001" s="12" t="s">
        <v>1843</v>
      </c>
      <c r="K1001" s="13">
        <v>7920</v>
      </c>
      <c r="L1001" s="21">
        <v>13.29</v>
      </c>
      <c r="M1001" s="14" t="s">
        <v>14</v>
      </c>
      <c r="N1001" s="13">
        <v>105256.8</v>
      </c>
      <c r="O1001" s="15">
        <f t="shared" si="636"/>
        <v>0</v>
      </c>
      <c r="P1001" s="10" t="s">
        <v>84</v>
      </c>
      <c r="Q1001" s="11" t="s">
        <v>2202</v>
      </c>
      <c r="R1001" s="11" t="s">
        <v>2203</v>
      </c>
      <c r="S1001" s="16" t="s">
        <v>2204</v>
      </c>
      <c r="T1001" s="19" t="str">
        <f>MONTH(B1001)&amp;"-"&amp;YEAR(B1001)</f>
        <v>9-2022</v>
      </c>
      <c r="U1001" s="2">
        <f>YEAR(B1001)</f>
        <v>2022</v>
      </c>
      <c r="V1001" s="2" t="str">
        <f>IF(DAY(B1001)&gt;15,MONTH(B1001)&amp;"-C",MONTH(B1001)&amp;"-N")</f>
        <v>9-N</v>
      </c>
      <c r="W1001" s="21">
        <v>13.29</v>
      </c>
      <c r="X1001" s="2" t="b">
        <f t="shared" si="637"/>
        <v>1</v>
      </c>
    </row>
    <row r="1002" spans="2:24" x14ac:dyDescent="0.2">
      <c r="B1002" s="17">
        <v>44819</v>
      </c>
      <c r="C1002" s="10" t="s">
        <v>80</v>
      </c>
      <c r="D1002" s="11">
        <v>165966</v>
      </c>
      <c r="E1002" s="26">
        <v>64662</v>
      </c>
      <c r="F1002" s="10" t="s">
        <v>26</v>
      </c>
      <c r="G1002" s="10" t="s">
        <v>27</v>
      </c>
      <c r="H1002" s="27" t="s">
        <v>28</v>
      </c>
      <c r="I1002" s="12" t="s">
        <v>1843</v>
      </c>
      <c r="J1002" s="12" t="s">
        <v>1843</v>
      </c>
      <c r="K1002" s="13">
        <v>12600</v>
      </c>
      <c r="L1002" s="21">
        <v>4.1500000000000004</v>
      </c>
      <c r="M1002" s="14" t="s">
        <v>14</v>
      </c>
      <c r="N1002" s="13">
        <v>52290</v>
      </c>
      <c r="O1002" s="15">
        <f t="shared" ref="O1002" si="638">(N1002/K1002)-L1002</f>
        <v>0</v>
      </c>
      <c r="P1002" s="10" t="s">
        <v>78</v>
      </c>
      <c r="Q1002" s="11" t="s">
        <v>2231</v>
      </c>
      <c r="R1002" s="11" t="s">
        <v>2232</v>
      </c>
      <c r="S1002" s="16" t="s">
        <v>2233</v>
      </c>
      <c r="T1002" s="19" t="str">
        <f>MONTH(B1002)&amp;"-"&amp;YEAR(B1002)</f>
        <v>9-2022</v>
      </c>
      <c r="U1002" s="2">
        <f>YEAR(B1002)</f>
        <v>2022</v>
      </c>
      <c r="V1002" s="2" t="str">
        <f>IF(DAY(B1002)&gt;15,MONTH(B1002)&amp;"-C",MONTH(B1002)&amp;"-N")</f>
        <v>9-N</v>
      </c>
      <c r="W1002" s="21">
        <v>4.1500000000000004</v>
      </c>
      <c r="X1002" s="2" t="b">
        <f t="shared" ref="X1002" si="639">+L1002=W1002</f>
        <v>1</v>
      </c>
    </row>
    <row r="1003" spans="2:24" x14ac:dyDescent="0.2">
      <c r="B1003" s="17">
        <v>44820</v>
      </c>
      <c r="C1003" s="10" t="s">
        <v>82</v>
      </c>
      <c r="D1003" s="11">
        <v>166125</v>
      </c>
      <c r="E1003" s="26">
        <v>64676</v>
      </c>
      <c r="F1003" s="10" t="s">
        <v>33</v>
      </c>
      <c r="G1003" s="10" t="s">
        <v>27</v>
      </c>
      <c r="H1003" s="27" t="s">
        <v>34</v>
      </c>
      <c r="I1003" s="12" t="s">
        <v>1843</v>
      </c>
      <c r="J1003" s="12" t="s">
        <v>1843</v>
      </c>
      <c r="K1003" s="13">
        <v>1080</v>
      </c>
      <c r="L1003" s="21">
        <v>6.6</v>
      </c>
      <c r="M1003" s="14" t="s">
        <v>14</v>
      </c>
      <c r="N1003" s="13">
        <v>7128</v>
      </c>
      <c r="O1003" s="15">
        <f t="shared" ref="O1003:O1006" si="640">(N1003/K1003)-L1003</f>
        <v>0</v>
      </c>
      <c r="P1003" s="10" t="s">
        <v>78</v>
      </c>
      <c r="Q1003" s="11" t="s">
        <v>2208</v>
      </c>
      <c r="R1003" s="11" t="s">
        <v>2209</v>
      </c>
      <c r="S1003" s="16" t="s">
        <v>2210</v>
      </c>
      <c r="T1003" s="19" t="str">
        <f>MONTH(B1003)&amp;"-"&amp;YEAR(B1003)</f>
        <v>9-2022</v>
      </c>
      <c r="U1003" s="2">
        <f>YEAR(B1003)</f>
        <v>2022</v>
      </c>
      <c r="V1003" s="2" t="str">
        <f>IF(DAY(B1003)&gt;15,MONTH(B1003)&amp;"-C",MONTH(B1003)&amp;"-N")</f>
        <v>9-C</v>
      </c>
      <c r="W1003" s="21">
        <v>6.6</v>
      </c>
      <c r="X1003" s="2" t="b">
        <f t="shared" ref="X1003:X1006" si="641">+L1003=W1003</f>
        <v>1</v>
      </c>
    </row>
    <row r="1004" spans="2:24" x14ac:dyDescent="0.2">
      <c r="B1004" s="17">
        <v>44821</v>
      </c>
      <c r="C1004" s="10" t="s">
        <v>82</v>
      </c>
      <c r="D1004" s="11">
        <v>166125</v>
      </c>
      <c r="E1004" s="26">
        <v>64691</v>
      </c>
      <c r="F1004" s="10" t="s">
        <v>33</v>
      </c>
      <c r="G1004" s="10" t="s">
        <v>27</v>
      </c>
      <c r="H1004" s="27" t="s">
        <v>34</v>
      </c>
      <c r="I1004" s="12" t="s">
        <v>1843</v>
      </c>
      <c r="J1004" s="12" t="s">
        <v>1843</v>
      </c>
      <c r="K1004" s="13">
        <v>1080</v>
      </c>
      <c r="L1004" s="21">
        <v>6.6</v>
      </c>
      <c r="M1004" s="14" t="s">
        <v>14</v>
      </c>
      <c r="N1004" s="13">
        <v>7128</v>
      </c>
      <c r="O1004" s="15">
        <f t="shared" si="640"/>
        <v>0</v>
      </c>
      <c r="P1004" s="10" t="s">
        <v>78</v>
      </c>
      <c r="Q1004" s="11" t="s">
        <v>2205</v>
      </c>
      <c r="R1004" s="11" t="s">
        <v>2206</v>
      </c>
      <c r="S1004" s="16" t="s">
        <v>2207</v>
      </c>
      <c r="T1004" s="19" t="str">
        <f>MONTH(B1004)&amp;"-"&amp;YEAR(B1004)</f>
        <v>9-2022</v>
      </c>
      <c r="U1004" s="2">
        <f>YEAR(B1004)</f>
        <v>2022</v>
      </c>
      <c r="V1004" s="2" t="str">
        <f>IF(DAY(B1004)&gt;15,MONTH(B1004)&amp;"-C",MONTH(B1004)&amp;"-N")</f>
        <v>9-C</v>
      </c>
      <c r="W1004" s="21">
        <v>6.6</v>
      </c>
      <c r="X1004" s="2" t="b">
        <f t="shared" si="641"/>
        <v>1</v>
      </c>
    </row>
    <row r="1005" spans="2:24" x14ac:dyDescent="0.2">
      <c r="B1005" s="17">
        <v>44823</v>
      </c>
      <c r="C1005" s="10" t="s">
        <v>80</v>
      </c>
      <c r="D1005" s="11">
        <v>165966</v>
      </c>
      <c r="E1005" s="26">
        <v>64716</v>
      </c>
      <c r="F1005" s="10" t="s">
        <v>26</v>
      </c>
      <c r="G1005" s="10" t="s">
        <v>27</v>
      </c>
      <c r="H1005" s="27" t="s">
        <v>28</v>
      </c>
      <c r="I1005" s="12" t="s">
        <v>1843</v>
      </c>
      <c r="J1005" s="12" t="s">
        <v>1843</v>
      </c>
      <c r="K1005" s="13">
        <v>9900</v>
      </c>
      <c r="L1005" s="21">
        <v>4.1500000000000004</v>
      </c>
      <c r="M1005" s="14" t="s">
        <v>14</v>
      </c>
      <c r="N1005" s="13">
        <v>41085</v>
      </c>
      <c r="O1005" s="15">
        <f t="shared" si="640"/>
        <v>0</v>
      </c>
      <c r="P1005" s="10" t="s">
        <v>78</v>
      </c>
      <c r="Q1005" s="11" t="s">
        <v>2237</v>
      </c>
      <c r="R1005" s="11" t="s">
        <v>2238</v>
      </c>
      <c r="S1005" s="16" t="s">
        <v>2239</v>
      </c>
      <c r="T1005" s="19" t="str">
        <f>MONTH(B1005)&amp;"-"&amp;YEAR(B1005)</f>
        <v>9-2022</v>
      </c>
      <c r="U1005" s="2">
        <f>YEAR(B1005)</f>
        <v>2022</v>
      </c>
      <c r="V1005" s="2" t="str">
        <f>IF(DAY(B1005)&gt;15,MONTH(B1005)&amp;"-C",MONTH(B1005)&amp;"-N")</f>
        <v>9-C</v>
      </c>
      <c r="W1005" s="21">
        <v>4.1500000000000004</v>
      </c>
      <c r="X1005" s="2" t="b">
        <f t="shared" si="641"/>
        <v>1</v>
      </c>
    </row>
    <row r="1006" spans="2:24" x14ac:dyDescent="0.2">
      <c r="B1006" s="17">
        <v>44823</v>
      </c>
      <c r="C1006" s="10" t="s">
        <v>80</v>
      </c>
      <c r="D1006" s="11">
        <v>165973</v>
      </c>
      <c r="E1006" s="26">
        <v>64715</v>
      </c>
      <c r="F1006" s="10" t="s">
        <v>31</v>
      </c>
      <c r="G1006" s="10" t="s">
        <v>27</v>
      </c>
      <c r="H1006" s="27" t="s">
        <v>32</v>
      </c>
      <c r="I1006" s="12" t="s">
        <v>1843</v>
      </c>
      <c r="J1006" s="12" t="s">
        <v>1843</v>
      </c>
      <c r="K1006" s="13">
        <v>1920</v>
      </c>
      <c r="L1006" s="21">
        <v>4.01</v>
      </c>
      <c r="M1006" s="14" t="s">
        <v>14</v>
      </c>
      <c r="N1006" s="13">
        <v>7699.2</v>
      </c>
      <c r="O1006" s="15">
        <f t="shared" si="640"/>
        <v>0</v>
      </c>
      <c r="P1006" s="10" t="s">
        <v>78</v>
      </c>
      <c r="Q1006" s="11" t="s">
        <v>2240</v>
      </c>
      <c r="R1006" s="11" t="s">
        <v>2241</v>
      </c>
      <c r="S1006" s="16" t="s">
        <v>2242</v>
      </c>
      <c r="T1006" s="19" t="str">
        <f>MONTH(B1006)&amp;"-"&amp;YEAR(B1006)</f>
        <v>9-2022</v>
      </c>
      <c r="U1006" s="2">
        <f>YEAR(B1006)</f>
        <v>2022</v>
      </c>
      <c r="V1006" s="2" t="str">
        <f>IF(DAY(B1006)&gt;15,MONTH(B1006)&amp;"-C",MONTH(B1006)&amp;"-N")</f>
        <v>9-C</v>
      </c>
      <c r="W1006" s="21">
        <v>4.01</v>
      </c>
      <c r="X1006" s="2" t="b">
        <f t="shared" si="641"/>
        <v>1</v>
      </c>
    </row>
    <row r="1007" spans="2:24" x14ac:dyDescent="0.2">
      <c r="B1007" s="17">
        <v>44826</v>
      </c>
      <c r="C1007" s="10" t="s">
        <v>25</v>
      </c>
      <c r="D1007" s="11">
        <v>165585</v>
      </c>
      <c r="E1007" s="26">
        <v>64767</v>
      </c>
      <c r="F1007" s="10" t="s">
        <v>26</v>
      </c>
      <c r="G1007" s="10" t="s">
        <v>27</v>
      </c>
      <c r="H1007" s="27" t="s">
        <v>28</v>
      </c>
      <c r="I1007" s="12" t="s">
        <v>1843</v>
      </c>
      <c r="J1007" s="12" t="s">
        <v>1843</v>
      </c>
      <c r="K1007" s="13">
        <v>4900</v>
      </c>
      <c r="L1007" s="21">
        <v>4.4000000000000004</v>
      </c>
      <c r="M1007" s="14" t="s">
        <v>14</v>
      </c>
      <c r="N1007" s="13">
        <v>21560</v>
      </c>
      <c r="O1007" s="15">
        <f t="shared" ref="O1007:O1008" si="642">(N1007/K1007)-L1007</f>
        <v>0</v>
      </c>
      <c r="P1007" s="10" t="s">
        <v>78</v>
      </c>
      <c r="Q1007" s="11" t="s">
        <v>2211</v>
      </c>
      <c r="R1007" s="11" t="s">
        <v>2212</v>
      </c>
      <c r="S1007" s="16" t="s">
        <v>2213</v>
      </c>
      <c r="T1007" s="19" t="str">
        <f>MONTH(B1007)&amp;"-"&amp;YEAR(B1007)</f>
        <v>9-2022</v>
      </c>
      <c r="U1007" s="2">
        <f>YEAR(B1007)</f>
        <v>2022</v>
      </c>
      <c r="V1007" s="2" t="str">
        <f>IF(DAY(B1007)&gt;15,MONTH(B1007)&amp;"-C",MONTH(B1007)&amp;"-N")</f>
        <v>9-C</v>
      </c>
      <c r="W1007" s="21">
        <v>4.4000000000000004</v>
      </c>
      <c r="X1007" s="2" t="b">
        <f t="shared" ref="X1007:X1008" si="643">+L1007=W1007</f>
        <v>1</v>
      </c>
    </row>
    <row r="1008" spans="2:24" x14ac:dyDescent="0.2">
      <c r="B1008" s="17">
        <v>44826</v>
      </c>
      <c r="C1008" s="10" t="s">
        <v>80</v>
      </c>
      <c r="D1008" s="11">
        <v>165966</v>
      </c>
      <c r="E1008" s="26">
        <v>64765</v>
      </c>
      <c r="F1008" s="10" t="s">
        <v>26</v>
      </c>
      <c r="G1008" s="10" t="s">
        <v>27</v>
      </c>
      <c r="H1008" s="27" t="s">
        <v>28</v>
      </c>
      <c r="I1008" s="12" t="s">
        <v>1843</v>
      </c>
      <c r="J1008" s="12" t="s">
        <v>1843</v>
      </c>
      <c r="K1008" s="13">
        <v>12600</v>
      </c>
      <c r="L1008" s="21">
        <v>4.1500000000000004</v>
      </c>
      <c r="M1008" s="14" t="s">
        <v>14</v>
      </c>
      <c r="N1008" s="13">
        <v>52290</v>
      </c>
      <c r="O1008" s="15">
        <f t="shared" si="642"/>
        <v>0</v>
      </c>
      <c r="P1008" s="10" t="s">
        <v>78</v>
      </c>
      <c r="Q1008" s="11" t="s">
        <v>2234</v>
      </c>
      <c r="R1008" s="11" t="s">
        <v>2235</v>
      </c>
      <c r="S1008" s="16" t="s">
        <v>2236</v>
      </c>
      <c r="T1008" s="19" t="str">
        <f>MONTH(B1008)&amp;"-"&amp;YEAR(B1008)</f>
        <v>9-2022</v>
      </c>
      <c r="U1008" s="2">
        <f>YEAR(B1008)</f>
        <v>2022</v>
      </c>
      <c r="V1008" s="2" t="str">
        <f>IF(DAY(B1008)&gt;15,MONTH(B1008)&amp;"-C",MONTH(B1008)&amp;"-N")</f>
        <v>9-C</v>
      </c>
      <c r="W1008" s="21">
        <v>4.1500000000000004</v>
      </c>
      <c r="X1008" s="2" t="b">
        <f t="shared" si="643"/>
        <v>1</v>
      </c>
    </row>
    <row r="1009" spans="2:24" x14ac:dyDescent="0.2">
      <c r="B1009" s="17">
        <v>44830</v>
      </c>
      <c r="C1009" s="10" t="s">
        <v>80</v>
      </c>
      <c r="D1009" s="11">
        <v>165966</v>
      </c>
      <c r="E1009" s="26">
        <v>64825</v>
      </c>
      <c r="F1009" s="10" t="s">
        <v>26</v>
      </c>
      <c r="G1009" s="10" t="s">
        <v>27</v>
      </c>
      <c r="H1009" s="27" t="s">
        <v>28</v>
      </c>
      <c r="I1009" s="12" t="s">
        <v>1843</v>
      </c>
      <c r="J1009" s="12" t="s">
        <v>1843</v>
      </c>
      <c r="K1009" s="13">
        <v>7200</v>
      </c>
      <c r="L1009" s="21">
        <v>4.1500000000000004</v>
      </c>
      <c r="M1009" s="14" t="s">
        <v>14</v>
      </c>
      <c r="N1009" s="13">
        <v>29880</v>
      </c>
      <c r="O1009" s="15">
        <f t="shared" ref="O1009:O1015" si="644">(N1009/K1009)-L1009</f>
        <v>0</v>
      </c>
      <c r="P1009" s="10" t="s">
        <v>78</v>
      </c>
      <c r="Q1009" s="11" t="s">
        <v>2246</v>
      </c>
      <c r="R1009" s="11" t="s">
        <v>2247</v>
      </c>
      <c r="S1009" s="16" t="s">
        <v>2248</v>
      </c>
      <c r="T1009" s="19" t="str">
        <f>MONTH(B1009)&amp;"-"&amp;YEAR(B1009)</f>
        <v>9-2022</v>
      </c>
      <c r="U1009" s="2">
        <f>YEAR(B1009)</f>
        <v>2022</v>
      </c>
      <c r="V1009" s="2" t="str">
        <f>IF(DAY(B1009)&gt;15,MONTH(B1009)&amp;"-C",MONTH(B1009)&amp;"-N")</f>
        <v>9-C</v>
      </c>
      <c r="W1009" s="21">
        <v>4.1500000000000004</v>
      </c>
      <c r="X1009" s="2" t="b">
        <f t="shared" ref="X1009:X1015" si="645">+L1009=W1009</f>
        <v>1</v>
      </c>
    </row>
    <row r="1010" spans="2:24" x14ac:dyDescent="0.2">
      <c r="B1010" s="17">
        <v>44832</v>
      </c>
      <c r="C1010" s="10" t="s">
        <v>107</v>
      </c>
      <c r="D1010" s="11">
        <v>163315</v>
      </c>
      <c r="E1010" s="26">
        <v>64867</v>
      </c>
      <c r="F1010" s="10" t="s">
        <v>142</v>
      </c>
      <c r="G1010" s="10" t="s">
        <v>46</v>
      </c>
      <c r="H1010" s="27" t="s">
        <v>143</v>
      </c>
      <c r="I1010" s="12" t="s">
        <v>1843</v>
      </c>
      <c r="J1010" s="12" t="s">
        <v>1843</v>
      </c>
      <c r="K1010" s="13">
        <v>3960</v>
      </c>
      <c r="L1010" s="21">
        <v>8.6</v>
      </c>
      <c r="M1010" s="14" t="s">
        <v>14</v>
      </c>
      <c r="N1010" s="13">
        <v>34056</v>
      </c>
      <c r="O1010" s="15">
        <f t="shared" si="644"/>
        <v>0</v>
      </c>
      <c r="P1010" s="10" t="s">
        <v>84</v>
      </c>
      <c r="Q1010" s="11" t="s">
        <v>2199</v>
      </c>
      <c r="R1010" s="11" t="s">
        <v>2200</v>
      </c>
      <c r="S1010" s="16" t="s">
        <v>2201</v>
      </c>
      <c r="T1010" s="19" t="str">
        <f>MONTH(B1010)&amp;"-"&amp;YEAR(B1010)</f>
        <v>9-2022</v>
      </c>
      <c r="U1010" s="2">
        <f>YEAR(B1010)</f>
        <v>2022</v>
      </c>
      <c r="V1010" s="2" t="str">
        <f>IF(DAY(B1010)&gt;15,MONTH(B1010)&amp;"-C",MONTH(B1010)&amp;"-N")</f>
        <v>9-C</v>
      </c>
      <c r="W1010" s="21">
        <v>8.6</v>
      </c>
      <c r="X1010" s="2" t="b">
        <f t="shared" si="645"/>
        <v>1</v>
      </c>
    </row>
    <row r="1011" spans="2:24" x14ac:dyDescent="0.2">
      <c r="B1011" s="17">
        <v>44832</v>
      </c>
      <c r="C1011" s="10" t="s">
        <v>107</v>
      </c>
      <c r="D1011" s="11">
        <v>163315</v>
      </c>
      <c r="E1011" s="26">
        <v>64867</v>
      </c>
      <c r="F1011" s="10" t="s">
        <v>144</v>
      </c>
      <c r="G1011" s="10" t="s">
        <v>46</v>
      </c>
      <c r="H1011" s="27" t="s">
        <v>145</v>
      </c>
      <c r="I1011" s="12" t="s">
        <v>1843</v>
      </c>
      <c r="J1011" s="12" t="s">
        <v>1843</v>
      </c>
      <c r="K1011" s="13">
        <v>840</v>
      </c>
      <c r="L1011" s="21">
        <v>23</v>
      </c>
      <c r="M1011" s="14" t="s">
        <v>14</v>
      </c>
      <c r="N1011" s="13">
        <v>19320</v>
      </c>
      <c r="O1011" s="15">
        <f t="shared" si="644"/>
        <v>0</v>
      </c>
      <c r="P1011" s="10" t="s">
        <v>84</v>
      </c>
      <c r="Q1011" s="11" t="s">
        <v>2199</v>
      </c>
      <c r="R1011" s="11" t="s">
        <v>2200</v>
      </c>
      <c r="S1011" s="16" t="s">
        <v>2201</v>
      </c>
      <c r="T1011" s="19" t="str">
        <f>MONTH(B1011)&amp;"-"&amp;YEAR(B1011)</f>
        <v>9-2022</v>
      </c>
      <c r="U1011" s="2">
        <f>YEAR(B1011)</f>
        <v>2022</v>
      </c>
      <c r="V1011" s="2" t="str">
        <f>IF(DAY(B1011)&gt;15,MONTH(B1011)&amp;"-C",MONTH(B1011)&amp;"-N")</f>
        <v>9-C</v>
      </c>
      <c r="W1011" s="21">
        <v>23</v>
      </c>
      <c r="X1011" s="2" t="b">
        <f t="shared" si="645"/>
        <v>1</v>
      </c>
    </row>
    <row r="1012" spans="2:24" x14ac:dyDescent="0.2">
      <c r="B1012" s="17">
        <v>44832</v>
      </c>
      <c r="C1012" s="10" t="s">
        <v>107</v>
      </c>
      <c r="D1012" s="11">
        <v>165696</v>
      </c>
      <c r="E1012" s="26">
        <v>64867</v>
      </c>
      <c r="F1012" s="10" t="s">
        <v>103</v>
      </c>
      <c r="G1012" s="10" t="s">
        <v>46</v>
      </c>
      <c r="H1012" s="27" t="s">
        <v>104</v>
      </c>
      <c r="I1012" s="12" t="s">
        <v>1843</v>
      </c>
      <c r="J1012" s="12" t="s">
        <v>1843</v>
      </c>
      <c r="K1012" s="13">
        <v>55</v>
      </c>
      <c r="L1012" s="21">
        <v>40.18</v>
      </c>
      <c r="M1012" s="14" t="s">
        <v>14</v>
      </c>
      <c r="N1012" s="13">
        <v>2209.9</v>
      </c>
      <c r="O1012" s="15">
        <f t="shared" si="644"/>
        <v>0</v>
      </c>
      <c r="P1012" s="10" t="s">
        <v>84</v>
      </c>
      <c r="Q1012" s="11" t="s">
        <v>2199</v>
      </c>
      <c r="R1012" s="11" t="s">
        <v>2200</v>
      </c>
      <c r="S1012" s="16" t="s">
        <v>2201</v>
      </c>
      <c r="T1012" s="19" t="str">
        <f>MONTH(B1012)&amp;"-"&amp;YEAR(B1012)</f>
        <v>9-2022</v>
      </c>
      <c r="U1012" s="2">
        <f>YEAR(B1012)</f>
        <v>2022</v>
      </c>
      <c r="V1012" s="2" t="str">
        <f>IF(DAY(B1012)&gt;15,MONTH(B1012)&amp;"-C",MONTH(B1012)&amp;"-N")</f>
        <v>9-C</v>
      </c>
      <c r="W1012" s="21">
        <v>40.18</v>
      </c>
      <c r="X1012" s="2" t="b">
        <f t="shared" si="645"/>
        <v>1</v>
      </c>
    </row>
    <row r="1013" spans="2:24" x14ac:dyDescent="0.2">
      <c r="B1013" s="17">
        <v>44832</v>
      </c>
      <c r="C1013" s="10" t="s">
        <v>107</v>
      </c>
      <c r="D1013" s="11">
        <v>165696</v>
      </c>
      <c r="E1013" s="26">
        <v>64868</v>
      </c>
      <c r="F1013" s="10" t="s">
        <v>103</v>
      </c>
      <c r="G1013" s="10" t="s">
        <v>46</v>
      </c>
      <c r="H1013" s="27" t="s">
        <v>104</v>
      </c>
      <c r="I1013" s="12" t="s">
        <v>1843</v>
      </c>
      <c r="J1013" s="12" t="s">
        <v>1843</v>
      </c>
      <c r="K1013" s="13">
        <v>20</v>
      </c>
      <c r="L1013" s="21">
        <v>40.18</v>
      </c>
      <c r="M1013" s="14" t="s">
        <v>14</v>
      </c>
      <c r="N1013" s="13">
        <v>803.6</v>
      </c>
      <c r="O1013" s="15">
        <f t="shared" si="644"/>
        <v>0</v>
      </c>
      <c r="P1013" s="10" t="s">
        <v>84</v>
      </c>
      <c r="Q1013" s="11" t="s">
        <v>2199</v>
      </c>
      <c r="R1013" s="11" t="s">
        <v>2200</v>
      </c>
      <c r="S1013" s="16" t="s">
        <v>2201</v>
      </c>
      <c r="T1013" s="19" t="str">
        <f>MONTH(B1013)&amp;"-"&amp;YEAR(B1013)</f>
        <v>9-2022</v>
      </c>
      <c r="U1013" s="2">
        <f>YEAR(B1013)</f>
        <v>2022</v>
      </c>
      <c r="V1013" s="2" t="str">
        <f>IF(DAY(B1013)&gt;15,MONTH(B1013)&amp;"-C",MONTH(B1013)&amp;"-N")</f>
        <v>9-C</v>
      </c>
      <c r="W1013" s="21">
        <v>40.18</v>
      </c>
      <c r="X1013" s="2" t="b">
        <f t="shared" si="645"/>
        <v>1</v>
      </c>
    </row>
    <row r="1014" spans="2:24" x14ac:dyDescent="0.2">
      <c r="B1014" s="17">
        <v>44832</v>
      </c>
      <c r="C1014" s="10" t="s">
        <v>107</v>
      </c>
      <c r="D1014" s="11">
        <v>165696</v>
      </c>
      <c r="E1014" s="26">
        <v>64867</v>
      </c>
      <c r="F1014" s="10" t="s">
        <v>105</v>
      </c>
      <c r="G1014" s="10" t="s">
        <v>46</v>
      </c>
      <c r="H1014" s="27" t="s">
        <v>106</v>
      </c>
      <c r="I1014" s="12" t="s">
        <v>1843</v>
      </c>
      <c r="J1014" s="12" t="s">
        <v>1843</v>
      </c>
      <c r="K1014" s="13">
        <v>2420</v>
      </c>
      <c r="L1014" s="21">
        <v>13.29</v>
      </c>
      <c r="M1014" s="14" t="s">
        <v>14</v>
      </c>
      <c r="N1014" s="13">
        <v>32161.8</v>
      </c>
      <c r="O1014" s="15">
        <f t="shared" si="644"/>
        <v>0</v>
      </c>
      <c r="P1014" s="10" t="s">
        <v>84</v>
      </c>
      <c r="Q1014" s="11" t="s">
        <v>2199</v>
      </c>
      <c r="R1014" s="11" t="s">
        <v>2200</v>
      </c>
      <c r="S1014" s="16" t="s">
        <v>2201</v>
      </c>
      <c r="T1014" s="19" t="str">
        <f>MONTH(B1014)&amp;"-"&amp;YEAR(B1014)</f>
        <v>9-2022</v>
      </c>
      <c r="U1014" s="2">
        <f>YEAR(B1014)</f>
        <v>2022</v>
      </c>
      <c r="V1014" s="2" t="str">
        <f>IF(DAY(B1014)&gt;15,MONTH(B1014)&amp;"-C",MONTH(B1014)&amp;"-N")</f>
        <v>9-C</v>
      </c>
      <c r="W1014" s="21">
        <v>13.29</v>
      </c>
      <c r="X1014" s="2" t="b">
        <f t="shared" si="645"/>
        <v>1</v>
      </c>
    </row>
    <row r="1015" spans="2:24" x14ac:dyDescent="0.2">
      <c r="B1015" s="17">
        <v>44832</v>
      </c>
      <c r="C1015" s="10" t="s">
        <v>80</v>
      </c>
      <c r="D1015" s="11">
        <v>165966</v>
      </c>
      <c r="E1015" s="26">
        <v>64862</v>
      </c>
      <c r="F1015" s="10" t="s">
        <v>26</v>
      </c>
      <c r="G1015" s="10" t="s">
        <v>27</v>
      </c>
      <c r="H1015" s="27" t="s">
        <v>28</v>
      </c>
      <c r="I1015" s="12" t="s">
        <v>1843</v>
      </c>
      <c r="J1015" s="12" t="s">
        <v>1843</v>
      </c>
      <c r="K1015" s="13">
        <v>12600</v>
      </c>
      <c r="L1015" s="21">
        <v>4.1500000000000004</v>
      </c>
      <c r="M1015" s="14" t="s">
        <v>14</v>
      </c>
      <c r="N1015" s="13">
        <v>52290</v>
      </c>
      <c r="O1015" s="15">
        <f t="shared" si="644"/>
        <v>0</v>
      </c>
      <c r="P1015" s="10" t="s">
        <v>78</v>
      </c>
      <c r="Q1015" s="11" t="s">
        <v>2243</v>
      </c>
      <c r="R1015" s="11" t="s">
        <v>2244</v>
      </c>
      <c r="S1015" s="16" t="s">
        <v>2245</v>
      </c>
      <c r="T1015" s="19" t="str">
        <f>MONTH(B1015)&amp;"-"&amp;YEAR(B1015)</f>
        <v>9-2022</v>
      </c>
      <c r="U1015" s="2">
        <f>YEAR(B1015)</f>
        <v>2022</v>
      </c>
      <c r="V1015" s="2" t="str">
        <f>IF(DAY(B1015)&gt;15,MONTH(B1015)&amp;"-C",MONTH(B1015)&amp;"-N")</f>
        <v>9-C</v>
      </c>
      <c r="W1015" s="21">
        <v>4.1500000000000004</v>
      </c>
      <c r="X1015" s="2" t="b">
        <f t="shared" si="645"/>
        <v>1</v>
      </c>
    </row>
    <row r="1016" spans="2:24" x14ac:dyDescent="0.2">
      <c r="B1016" s="17">
        <v>44837</v>
      </c>
      <c r="C1016" s="10" t="s">
        <v>80</v>
      </c>
      <c r="D1016" s="11">
        <v>165966</v>
      </c>
      <c r="E1016" s="26">
        <v>64914</v>
      </c>
      <c r="F1016" s="10" t="s">
        <v>26</v>
      </c>
      <c r="G1016" s="10" t="s">
        <v>27</v>
      </c>
      <c r="H1016" s="27" t="s">
        <v>28</v>
      </c>
      <c r="I1016" s="12" t="s">
        <v>1843</v>
      </c>
      <c r="J1016" s="12" t="s">
        <v>1843</v>
      </c>
      <c r="K1016" s="13">
        <v>3600</v>
      </c>
      <c r="L1016" s="21">
        <v>4.1500000000000004</v>
      </c>
      <c r="M1016" s="14" t="s">
        <v>14</v>
      </c>
      <c r="N1016" s="13">
        <v>14940</v>
      </c>
      <c r="O1016" s="15">
        <f t="shared" ref="O1016:O1019" si="646">(N1016/K1016)-L1016</f>
        <v>0</v>
      </c>
      <c r="P1016" s="10" t="s">
        <v>78</v>
      </c>
      <c r="Q1016" s="11" t="s">
        <v>2249</v>
      </c>
      <c r="R1016" s="11" t="s">
        <v>2250</v>
      </c>
      <c r="S1016" s="16" t="s">
        <v>2251</v>
      </c>
      <c r="T1016" s="19" t="str">
        <f>MONTH(B1016)&amp;"-"&amp;YEAR(B1016)</f>
        <v>10-2022</v>
      </c>
      <c r="U1016" s="2">
        <f>YEAR(B1016)</f>
        <v>2022</v>
      </c>
      <c r="V1016" s="2" t="str">
        <f>IF(DAY(B1016)&gt;15,MONTH(B1016)&amp;"-C",MONTH(B1016)&amp;"-N")</f>
        <v>10-N</v>
      </c>
      <c r="W1016" s="21">
        <v>4.1500000000000004</v>
      </c>
      <c r="X1016" s="2" t="b">
        <f t="shared" ref="X1016:X1019" si="647">+L1016=W1016</f>
        <v>1</v>
      </c>
    </row>
    <row r="1017" spans="2:24" x14ac:dyDescent="0.2">
      <c r="B1017" s="17">
        <v>44837</v>
      </c>
      <c r="C1017" s="10" t="s">
        <v>80</v>
      </c>
      <c r="D1017" s="11">
        <v>165966</v>
      </c>
      <c r="E1017" s="26">
        <v>64924</v>
      </c>
      <c r="F1017" s="10" t="s">
        <v>26</v>
      </c>
      <c r="G1017" s="10" t="s">
        <v>27</v>
      </c>
      <c r="H1017" s="27" t="s">
        <v>28</v>
      </c>
      <c r="I1017" s="12" t="s">
        <v>1843</v>
      </c>
      <c r="J1017" s="12" t="s">
        <v>1843</v>
      </c>
      <c r="K1017" s="13">
        <v>3600</v>
      </c>
      <c r="L1017" s="21">
        <v>4.1500000000000004</v>
      </c>
      <c r="M1017" s="14" t="s">
        <v>14</v>
      </c>
      <c r="N1017" s="13">
        <v>14940</v>
      </c>
      <c r="O1017" s="15">
        <f t="shared" si="646"/>
        <v>0</v>
      </c>
      <c r="P1017" s="10" t="s">
        <v>78</v>
      </c>
      <c r="Q1017" s="11" t="s">
        <v>2252</v>
      </c>
      <c r="R1017" s="11" t="s">
        <v>2253</v>
      </c>
      <c r="S1017" s="16" t="s">
        <v>2254</v>
      </c>
      <c r="T1017" s="19" t="str">
        <f>MONTH(B1017)&amp;"-"&amp;YEAR(B1017)</f>
        <v>10-2022</v>
      </c>
      <c r="U1017" s="2">
        <f>YEAR(B1017)</f>
        <v>2022</v>
      </c>
      <c r="V1017" s="2" t="str">
        <f>IF(DAY(B1017)&gt;15,MONTH(B1017)&amp;"-C",MONTH(B1017)&amp;"-N")</f>
        <v>10-N</v>
      </c>
      <c r="W1017" s="21">
        <v>4.1500000000000004</v>
      </c>
      <c r="X1017" s="2" t="b">
        <f t="shared" si="647"/>
        <v>1</v>
      </c>
    </row>
    <row r="1018" spans="2:24" x14ac:dyDescent="0.2">
      <c r="B1018" s="17">
        <v>44838</v>
      </c>
      <c r="C1018" s="10" t="s">
        <v>25</v>
      </c>
      <c r="D1018" s="11">
        <v>165702</v>
      </c>
      <c r="E1018" s="26">
        <v>64941</v>
      </c>
      <c r="F1018" s="10" t="s">
        <v>31</v>
      </c>
      <c r="G1018" s="10" t="s">
        <v>27</v>
      </c>
      <c r="H1018" s="27" t="s">
        <v>32</v>
      </c>
      <c r="I1018" s="12" t="s">
        <v>1843</v>
      </c>
      <c r="J1018" s="12" t="s">
        <v>1843</v>
      </c>
      <c r="K1018" s="13">
        <v>1920</v>
      </c>
      <c r="L1018" s="21">
        <v>4.25</v>
      </c>
      <c r="M1018" s="14" t="s">
        <v>14</v>
      </c>
      <c r="N1018" s="13">
        <v>8160</v>
      </c>
      <c r="O1018" s="15">
        <f t="shared" si="646"/>
        <v>0</v>
      </c>
      <c r="P1018" s="10" t="s">
        <v>78</v>
      </c>
      <c r="Q1018" s="11" t="s">
        <v>2255</v>
      </c>
      <c r="R1018" s="11" t="s">
        <v>2256</v>
      </c>
      <c r="S1018" s="16" t="s">
        <v>2257</v>
      </c>
      <c r="T1018" s="19" t="str">
        <f>MONTH(B1018)&amp;"-"&amp;YEAR(B1018)</f>
        <v>10-2022</v>
      </c>
      <c r="U1018" s="2">
        <f>YEAR(B1018)</f>
        <v>2022</v>
      </c>
      <c r="V1018" s="2" t="str">
        <f>IF(DAY(B1018)&gt;15,MONTH(B1018)&amp;"-C",MONTH(B1018)&amp;"-N")</f>
        <v>10-N</v>
      </c>
      <c r="W1018" s="21">
        <v>4.25</v>
      </c>
      <c r="X1018" s="2" t="b">
        <f t="shared" si="647"/>
        <v>1</v>
      </c>
    </row>
    <row r="1019" spans="2:24" x14ac:dyDescent="0.2">
      <c r="B1019" s="17">
        <v>44839</v>
      </c>
      <c r="C1019" s="10" t="s">
        <v>80</v>
      </c>
      <c r="D1019" s="11">
        <v>165966</v>
      </c>
      <c r="E1019" s="26">
        <v>64963</v>
      </c>
      <c r="F1019" s="10" t="s">
        <v>26</v>
      </c>
      <c r="G1019" s="10" t="s">
        <v>27</v>
      </c>
      <c r="H1019" s="27" t="s">
        <v>28</v>
      </c>
      <c r="I1019" s="12" t="s">
        <v>1843</v>
      </c>
      <c r="J1019" s="12" t="s">
        <v>1843</v>
      </c>
      <c r="K1019" s="13">
        <v>10800</v>
      </c>
      <c r="L1019" s="21">
        <v>4.1500000000000004</v>
      </c>
      <c r="M1019" s="14" t="s">
        <v>14</v>
      </c>
      <c r="N1019" s="13">
        <v>44820</v>
      </c>
      <c r="O1019" s="15">
        <f t="shared" si="646"/>
        <v>0</v>
      </c>
      <c r="P1019" s="10" t="s">
        <v>78</v>
      </c>
      <c r="Q1019" s="11" t="s">
        <v>2258</v>
      </c>
      <c r="R1019" s="11" t="s">
        <v>2259</v>
      </c>
      <c r="S1019" s="16" t="s">
        <v>2260</v>
      </c>
      <c r="T1019" s="19" t="str">
        <f>MONTH(B1019)&amp;"-"&amp;YEAR(B1019)</f>
        <v>10-2022</v>
      </c>
      <c r="U1019" s="2">
        <f>YEAR(B1019)</f>
        <v>2022</v>
      </c>
      <c r="V1019" s="2" t="str">
        <f>IF(DAY(B1019)&gt;15,MONTH(B1019)&amp;"-C",MONTH(B1019)&amp;"-N")</f>
        <v>10-N</v>
      </c>
      <c r="W1019" s="21">
        <v>4.1500000000000004</v>
      </c>
      <c r="X1019" s="2" t="b">
        <f t="shared" si="647"/>
        <v>1</v>
      </c>
    </row>
    <row r="1020" spans="2:24" x14ac:dyDescent="0.2">
      <c r="B1020" s="17">
        <v>44840</v>
      </c>
      <c r="C1020" s="10" t="s">
        <v>73</v>
      </c>
      <c r="D1020" s="11">
        <v>166380</v>
      </c>
      <c r="E1020" s="26">
        <v>64978</v>
      </c>
      <c r="F1020" s="10" t="s">
        <v>399</v>
      </c>
      <c r="G1020" s="10" t="s">
        <v>46</v>
      </c>
      <c r="H1020" s="27" t="s">
        <v>149</v>
      </c>
      <c r="I1020" s="12" t="s">
        <v>1843</v>
      </c>
      <c r="J1020" s="12" t="s">
        <v>1843</v>
      </c>
      <c r="K1020" s="13">
        <v>990</v>
      </c>
      <c r="L1020" s="21">
        <v>16.8</v>
      </c>
      <c r="M1020" s="14" t="s">
        <v>14</v>
      </c>
      <c r="N1020" s="13">
        <v>16632</v>
      </c>
      <c r="O1020" s="15">
        <f t="shared" ref="O1020:O1025" si="648">(N1020/K1020)-L1020</f>
        <v>0</v>
      </c>
      <c r="P1020" s="10" t="s">
        <v>84</v>
      </c>
      <c r="Q1020" s="11" t="s">
        <v>2261</v>
      </c>
      <c r="R1020" s="11" t="s">
        <v>2262</v>
      </c>
      <c r="S1020" s="16" t="s">
        <v>2263</v>
      </c>
      <c r="T1020" s="19" t="str">
        <f>MONTH(B1020)&amp;"-"&amp;YEAR(B1020)</f>
        <v>10-2022</v>
      </c>
      <c r="U1020" s="2">
        <f>YEAR(B1020)</f>
        <v>2022</v>
      </c>
      <c r="V1020" s="2" t="str">
        <f>IF(DAY(B1020)&gt;15,MONTH(B1020)&amp;"-C",MONTH(B1020)&amp;"-N")</f>
        <v>10-N</v>
      </c>
      <c r="W1020" s="21">
        <v>16.8</v>
      </c>
      <c r="X1020" s="2" t="b">
        <f t="shared" ref="X1020:X1025" si="649">+L1020=W1020</f>
        <v>1</v>
      </c>
    </row>
    <row r="1021" spans="2:24" x14ac:dyDescent="0.2">
      <c r="B1021" s="17">
        <v>44840</v>
      </c>
      <c r="C1021" s="10" t="s">
        <v>48</v>
      </c>
      <c r="D1021" s="11">
        <v>163638</v>
      </c>
      <c r="E1021" s="26">
        <v>64992</v>
      </c>
      <c r="F1021" s="10" t="s">
        <v>135</v>
      </c>
      <c r="G1021" s="10" t="s">
        <v>46</v>
      </c>
      <c r="H1021" s="27" t="s">
        <v>136</v>
      </c>
      <c r="I1021" s="12" t="s">
        <v>1843</v>
      </c>
      <c r="J1021" s="12" t="s">
        <v>1843</v>
      </c>
      <c r="K1021" s="13">
        <v>4400</v>
      </c>
      <c r="L1021" s="21">
        <v>12.204000000000001</v>
      </c>
      <c r="M1021" s="14" t="s">
        <v>14</v>
      </c>
      <c r="N1021" s="13">
        <v>53699.008000000002</v>
      </c>
      <c r="O1021" s="15">
        <f t="shared" si="648"/>
        <v>3.2000000000032003E-4</v>
      </c>
      <c r="P1021" s="10" t="s">
        <v>90</v>
      </c>
      <c r="Q1021" s="11" t="s">
        <v>2264</v>
      </c>
      <c r="R1021" s="11" t="s">
        <v>2265</v>
      </c>
      <c r="S1021" s="16" t="s">
        <v>2266</v>
      </c>
      <c r="T1021" s="19" t="str">
        <f>MONTH(B1021)&amp;"-"&amp;YEAR(B1021)</f>
        <v>10-2022</v>
      </c>
      <c r="U1021" s="2">
        <f>YEAR(B1021)</f>
        <v>2022</v>
      </c>
      <c r="V1021" s="2" t="str">
        <f>IF(DAY(B1021)&gt;15,MONTH(B1021)&amp;"-C",MONTH(B1021)&amp;"-N")</f>
        <v>10-N</v>
      </c>
      <c r="W1021" s="21">
        <v>12.204000000000001</v>
      </c>
      <c r="X1021" s="2" t="b">
        <f t="shared" si="649"/>
        <v>1</v>
      </c>
    </row>
    <row r="1022" spans="2:24" x14ac:dyDescent="0.2">
      <c r="B1022" s="17">
        <v>44840</v>
      </c>
      <c r="C1022" s="10" t="s">
        <v>48</v>
      </c>
      <c r="D1022" s="11">
        <v>163638</v>
      </c>
      <c r="E1022" s="26">
        <v>64992</v>
      </c>
      <c r="F1022" s="10" t="s">
        <v>71</v>
      </c>
      <c r="G1022" s="10" t="s">
        <v>46</v>
      </c>
      <c r="H1022" s="27" t="s">
        <v>72</v>
      </c>
      <c r="I1022" s="12" t="s">
        <v>1843</v>
      </c>
      <c r="J1022" s="12" t="s">
        <v>1843</v>
      </c>
      <c r="K1022" s="13">
        <v>11000</v>
      </c>
      <c r="L1022" s="21">
        <v>11.579000000000001</v>
      </c>
      <c r="M1022" s="14" t="s">
        <v>14</v>
      </c>
      <c r="N1022" s="13">
        <v>127373.4</v>
      </c>
      <c r="O1022" s="15">
        <f t="shared" si="648"/>
        <v>3.9999999999906777E-4</v>
      </c>
      <c r="P1022" s="10" t="s">
        <v>90</v>
      </c>
      <c r="Q1022" s="11" t="s">
        <v>2264</v>
      </c>
      <c r="R1022" s="11" t="s">
        <v>2265</v>
      </c>
      <c r="S1022" s="16" t="s">
        <v>2266</v>
      </c>
      <c r="T1022" s="19" t="str">
        <f>MONTH(B1022)&amp;"-"&amp;YEAR(B1022)</f>
        <v>10-2022</v>
      </c>
      <c r="U1022" s="2">
        <f>YEAR(B1022)</f>
        <v>2022</v>
      </c>
      <c r="V1022" s="2" t="str">
        <f>IF(DAY(B1022)&gt;15,MONTH(B1022)&amp;"-C",MONTH(B1022)&amp;"-N")</f>
        <v>10-N</v>
      </c>
      <c r="W1022" s="21">
        <v>11.579000000000001</v>
      </c>
      <c r="X1022" s="2" t="b">
        <f t="shared" si="649"/>
        <v>1</v>
      </c>
    </row>
    <row r="1023" spans="2:24" x14ac:dyDescent="0.2">
      <c r="B1023" s="17">
        <v>44840</v>
      </c>
      <c r="C1023" s="10" t="s">
        <v>48</v>
      </c>
      <c r="D1023" s="11">
        <v>165244</v>
      </c>
      <c r="E1023" s="26">
        <v>64992</v>
      </c>
      <c r="F1023" s="10" t="s">
        <v>65</v>
      </c>
      <c r="G1023" s="10" t="s">
        <v>46</v>
      </c>
      <c r="H1023" s="27" t="s">
        <v>66</v>
      </c>
      <c r="I1023" s="12" t="s">
        <v>1843</v>
      </c>
      <c r="J1023" s="12" t="s">
        <v>1843</v>
      </c>
      <c r="K1023" s="13">
        <v>350</v>
      </c>
      <c r="L1023" s="21">
        <v>25.181000000000001</v>
      </c>
      <c r="M1023" s="14" t="s">
        <v>14</v>
      </c>
      <c r="N1023" s="13">
        <v>8813.2099999999991</v>
      </c>
      <c r="O1023" s="15">
        <f t="shared" si="648"/>
        <v>-4.0000000000262048E-4</v>
      </c>
      <c r="P1023" s="10" t="s">
        <v>90</v>
      </c>
      <c r="Q1023" s="11" t="s">
        <v>2264</v>
      </c>
      <c r="R1023" s="11" t="s">
        <v>2265</v>
      </c>
      <c r="S1023" s="16" t="s">
        <v>2266</v>
      </c>
      <c r="T1023" s="19" t="str">
        <f>MONTH(B1023)&amp;"-"&amp;YEAR(B1023)</f>
        <v>10-2022</v>
      </c>
      <c r="U1023" s="2">
        <f>YEAR(B1023)</f>
        <v>2022</v>
      </c>
      <c r="V1023" s="2" t="str">
        <f>IF(DAY(B1023)&gt;15,MONTH(B1023)&amp;"-C",MONTH(B1023)&amp;"-N")</f>
        <v>10-N</v>
      </c>
      <c r="W1023" s="21">
        <v>25.181000000000001</v>
      </c>
      <c r="X1023" s="2" t="b">
        <f t="shared" si="649"/>
        <v>1</v>
      </c>
    </row>
    <row r="1024" spans="2:24" x14ac:dyDescent="0.2">
      <c r="B1024" s="17">
        <v>44840</v>
      </c>
      <c r="C1024" s="10" t="s">
        <v>107</v>
      </c>
      <c r="D1024" s="11">
        <v>166387</v>
      </c>
      <c r="E1024" s="26">
        <v>64990</v>
      </c>
      <c r="F1024" s="10" t="s">
        <v>103</v>
      </c>
      <c r="G1024" s="10" t="s">
        <v>46</v>
      </c>
      <c r="H1024" s="27" t="s">
        <v>104</v>
      </c>
      <c r="I1024" s="12" t="s">
        <v>1843</v>
      </c>
      <c r="J1024" s="12" t="s">
        <v>1843</v>
      </c>
      <c r="K1024" s="13">
        <v>240</v>
      </c>
      <c r="L1024" s="21">
        <v>47.3</v>
      </c>
      <c r="M1024" s="14" t="s">
        <v>14</v>
      </c>
      <c r="N1024" s="13">
        <v>11352</v>
      </c>
      <c r="O1024" s="15">
        <f t="shared" si="648"/>
        <v>0</v>
      </c>
      <c r="P1024" s="10" t="s">
        <v>84</v>
      </c>
      <c r="Q1024" s="11" t="s">
        <v>2267</v>
      </c>
      <c r="R1024" s="11" t="s">
        <v>2268</v>
      </c>
      <c r="S1024" s="16" t="s">
        <v>2269</v>
      </c>
      <c r="T1024" s="19" t="str">
        <f>MONTH(B1024)&amp;"-"&amp;YEAR(B1024)</f>
        <v>10-2022</v>
      </c>
      <c r="U1024" s="2">
        <f>YEAR(B1024)</f>
        <v>2022</v>
      </c>
      <c r="V1024" s="2" t="str">
        <f>IF(DAY(B1024)&gt;15,MONTH(B1024)&amp;"-C",MONTH(B1024)&amp;"-N")</f>
        <v>10-N</v>
      </c>
      <c r="W1024" s="21">
        <v>47.3</v>
      </c>
      <c r="X1024" s="2" t="b">
        <f t="shared" si="649"/>
        <v>1</v>
      </c>
    </row>
    <row r="1025" spans="2:24" x14ac:dyDescent="0.2">
      <c r="B1025" s="17">
        <v>44840</v>
      </c>
      <c r="C1025" s="10" t="s">
        <v>107</v>
      </c>
      <c r="D1025" s="11">
        <v>166387</v>
      </c>
      <c r="E1025" s="26">
        <v>64990</v>
      </c>
      <c r="F1025" s="10" t="s">
        <v>105</v>
      </c>
      <c r="G1025" s="10" t="s">
        <v>46</v>
      </c>
      <c r="H1025" s="27" t="s">
        <v>106</v>
      </c>
      <c r="I1025" s="12" t="s">
        <v>1843</v>
      </c>
      <c r="J1025" s="12" t="s">
        <v>1843</v>
      </c>
      <c r="K1025" s="13">
        <v>6380</v>
      </c>
      <c r="L1025" s="21">
        <v>12.23</v>
      </c>
      <c r="M1025" s="14" t="s">
        <v>14</v>
      </c>
      <c r="N1025" s="13">
        <v>78027.399999999994</v>
      </c>
      <c r="O1025" s="15">
        <f t="shared" si="648"/>
        <v>0</v>
      </c>
      <c r="P1025" s="10" t="s">
        <v>84</v>
      </c>
      <c r="Q1025" s="11" t="s">
        <v>2267</v>
      </c>
      <c r="R1025" s="11" t="s">
        <v>2268</v>
      </c>
      <c r="S1025" s="16" t="s">
        <v>2269</v>
      </c>
      <c r="T1025" s="19" t="str">
        <f>MONTH(B1025)&amp;"-"&amp;YEAR(B1025)</f>
        <v>10-2022</v>
      </c>
      <c r="U1025" s="2">
        <f>YEAR(B1025)</f>
        <v>2022</v>
      </c>
      <c r="V1025" s="2" t="str">
        <f>IF(DAY(B1025)&gt;15,MONTH(B1025)&amp;"-C",MONTH(B1025)&amp;"-N")</f>
        <v>10-N</v>
      </c>
      <c r="W1025" s="21">
        <v>12.23</v>
      </c>
      <c r="X1025" s="2" t="b">
        <f t="shared" si="649"/>
        <v>1</v>
      </c>
    </row>
    <row r="1026" spans="2:24" x14ac:dyDescent="0.2">
      <c r="B1026" s="17">
        <v>44842</v>
      </c>
      <c r="C1026" s="10" t="s">
        <v>94</v>
      </c>
      <c r="D1026" s="11">
        <v>165584</v>
      </c>
      <c r="E1026" s="26">
        <v>65000</v>
      </c>
      <c r="F1026" s="10" t="s">
        <v>26</v>
      </c>
      <c r="G1026" s="10" t="s">
        <v>27</v>
      </c>
      <c r="H1026" s="27" t="s">
        <v>28</v>
      </c>
      <c r="I1026" s="12" t="s">
        <v>1843</v>
      </c>
      <c r="J1026" s="12" t="s">
        <v>1843</v>
      </c>
      <c r="K1026" s="13">
        <v>19800</v>
      </c>
      <c r="L1026" s="21">
        <v>4.4000000000000004</v>
      </c>
      <c r="M1026" s="14" t="s">
        <v>14</v>
      </c>
      <c r="N1026" s="13">
        <v>87120</v>
      </c>
      <c r="O1026" s="15">
        <f t="shared" ref="O1026" si="650">(N1026/K1026)-L1026</f>
        <v>0</v>
      </c>
      <c r="P1026" s="10" t="s">
        <v>78</v>
      </c>
      <c r="Q1026" s="11" t="s">
        <v>2270</v>
      </c>
      <c r="R1026" s="11" t="s">
        <v>2271</v>
      </c>
      <c r="S1026" s="16" t="s">
        <v>2272</v>
      </c>
      <c r="T1026" s="19" t="str">
        <f>MONTH(B1026)&amp;"-"&amp;YEAR(B1026)</f>
        <v>10-2022</v>
      </c>
      <c r="U1026" s="2">
        <f>YEAR(B1026)</f>
        <v>2022</v>
      </c>
      <c r="V1026" s="2" t="str">
        <f>IF(DAY(B1026)&gt;15,MONTH(B1026)&amp;"-C",MONTH(B1026)&amp;"-N")</f>
        <v>10-N</v>
      </c>
      <c r="W1026" s="21">
        <v>4.4000000000000004</v>
      </c>
      <c r="X1026" s="2" t="b">
        <f t="shared" ref="X1026" si="651">+L1026=W1026</f>
        <v>1</v>
      </c>
    </row>
    <row r="1027" spans="2:24" x14ac:dyDescent="0.2">
      <c r="B1027" s="17">
        <v>44850</v>
      </c>
      <c r="C1027" s="10" t="s">
        <v>94</v>
      </c>
      <c r="D1027" s="11">
        <v>165584</v>
      </c>
      <c r="E1027" s="26">
        <v>65115</v>
      </c>
      <c r="F1027" s="10" t="s">
        <v>26</v>
      </c>
      <c r="G1027" s="10" t="s">
        <v>27</v>
      </c>
      <c r="H1027" s="27" t="s">
        <v>28</v>
      </c>
      <c r="I1027" s="12" t="s">
        <v>1843</v>
      </c>
      <c r="J1027" s="12" t="s">
        <v>1843</v>
      </c>
      <c r="K1027" s="13">
        <v>1800</v>
      </c>
      <c r="L1027" s="21">
        <v>4.4000000000000004</v>
      </c>
      <c r="M1027" s="14" t="s">
        <v>14</v>
      </c>
      <c r="N1027" s="13">
        <v>7920</v>
      </c>
      <c r="O1027" s="15">
        <f t="shared" ref="O1027:O1030" si="652">(N1027/K1027)-L1027</f>
        <v>0</v>
      </c>
      <c r="P1027" s="10" t="s">
        <v>78</v>
      </c>
      <c r="Q1027" s="11" t="s">
        <v>2274</v>
      </c>
      <c r="R1027" s="11" t="s">
        <v>2275</v>
      </c>
      <c r="S1027" s="16" t="s">
        <v>2276</v>
      </c>
      <c r="T1027" s="19" t="str">
        <f>MONTH(B1027)&amp;"-"&amp;YEAR(B1027)</f>
        <v>10-2022</v>
      </c>
      <c r="U1027" s="2">
        <f>YEAR(B1027)</f>
        <v>2022</v>
      </c>
      <c r="V1027" s="2" t="str">
        <f>IF(DAY(B1027)&gt;15,MONTH(B1027)&amp;"-C",MONTH(B1027)&amp;"-N")</f>
        <v>10-C</v>
      </c>
      <c r="W1027" s="21">
        <v>4.4000000000000004</v>
      </c>
      <c r="X1027" s="2" t="b">
        <f t="shared" ref="X1027:X1030" si="653">+L1027=W1027</f>
        <v>1</v>
      </c>
    </row>
    <row r="1028" spans="2:24" x14ac:dyDescent="0.2">
      <c r="B1028" s="17">
        <v>44850</v>
      </c>
      <c r="C1028" s="10" t="s">
        <v>94</v>
      </c>
      <c r="D1028" s="11">
        <v>166388</v>
      </c>
      <c r="E1028" s="26">
        <v>65116</v>
      </c>
      <c r="F1028" s="10" t="s">
        <v>26</v>
      </c>
      <c r="G1028" s="10" t="s">
        <v>27</v>
      </c>
      <c r="H1028" s="27" t="s">
        <v>28</v>
      </c>
      <c r="I1028" s="12" t="s">
        <v>1843</v>
      </c>
      <c r="J1028" s="12" t="s">
        <v>1843</v>
      </c>
      <c r="K1028" s="13">
        <v>18000</v>
      </c>
      <c r="L1028" s="21">
        <v>4</v>
      </c>
      <c r="M1028" s="14" t="s">
        <v>14</v>
      </c>
      <c r="N1028" s="13">
        <v>72000</v>
      </c>
      <c r="O1028" s="15">
        <f t="shared" si="652"/>
        <v>0</v>
      </c>
      <c r="P1028" s="10" t="s">
        <v>78</v>
      </c>
      <c r="Q1028" s="11" t="s">
        <v>2277</v>
      </c>
      <c r="R1028" s="11" t="s">
        <v>2278</v>
      </c>
      <c r="S1028" s="16" t="s">
        <v>2279</v>
      </c>
      <c r="T1028" s="19" t="str">
        <f>MONTH(B1028)&amp;"-"&amp;YEAR(B1028)</f>
        <v>10-2022</v>
      </c>
      <c r="U1028" s="2">
        <f>YEAR(B1028)</f>
        <v>2022</v>
      </c>
      <c r="V1028" s="2" t="str">
        <f>IF(DAY(B1028)&gt;15,MONTH(B1028)&amp;"-C",MONTH(B1028)&amp;"-N")</f>
        <v>10-C</v>
      </c>
      <c r="W1028" s="21">
        <v>4</v>
      </c>
      <c r="X1028" s="2" t="b">
        <f t="shared" si="653"/>
        <v>1</v>
      </c>
    </row>
    <row r="1029" spans="2:24" x14ac:dyDescent="0.2">
      <c r="B1029" s="17">
        <v>44852</v>
      </c>
      <c r="C1029" s="10" t="s">
        <v>25</v>
      </c>
      <c r="D1029" s="11">
        <v>166497</v>
      </c>
      <c r="E1029" s="26">
        <v>65146</v>
      </c>
      <c r="F1029" s="10" t="s">
        <v>29</v>
      </c>
      <c r="G1029" s="10" t="s">
        <v>27</v>
      </c>
      <c r="H1029" s="27" t="s">
        <v>30</v>
      </c>
      <c r="I1029" s="12" t="s">
        <v>1843</v>
      </c>
      <c r="J1029" s="12" t="s">
        <v>1843</v>
      </c>
      <c r="K1029" s="13">
        <v>1980</v>
      </c>
      <c r="L1029" s="21">
        <v>4.4000000000000004</v>
      </c>
      <c r="M1029" s="14" t="s">
        <v>14</v>
      </c>
      <c r="N1029" s="13">
        <v>8712</v>
      </c>
      <c r="O1029" s="15">
        <f t="shared" si="652"/>
        <v>0</v>
      </c>
      <c r="P1029" s="10" t="s">
        <v>78</v>
      </c>
      <c r="Q1029" s="11" t="s">
        <v>2280</v>
      </c>
      <c r="R1029" s="11" t="s">
        <v>2281</v>
      </c>
      <c r="S1029" s="16" t="s">
        <v>2282</v>
      </c>
      <c r="T1029" s="19" t="str">
        <f>MONTH(B1029)&amp;"-"&amp;YEAR(B1029)</f>
        <v>10-2022</v>
      </c>
      <c r="U1029" s="2">
        <f>YEAR(B1029)</f>
        <v>2022</v>
      </c>
      <c r="V1029" s="2" t="str">
        <f>IF(DAY(B1029)&gt;15,MONTH(B1029)&amp;"-C",MONTH(B1029)&amp;"-N")</f>
        <v>10-C</v>
      </c>
      <c r="W1029" s="21">
        <v>4.4000000000000004</v>
      </c>
      <c r="X1029" s="2" t="b">
        <f t="shared" si="653"/>
        <v>1</v>
      </c>
    </row>
    <row r="1030" spans="2:24" x14ac:dyDescent="0.2">
      <c r="B1030" s="17">
        <v>44852</v>
      </c>
      <c r="C1030" s="10" t="s">
        <v>25</v>
      </c>
      <c r="D1030" s="11">
        <v>166497</v>
      </c>
      <c r="E1030" s="26">
        <v>65146</v>
      </c>
      <c r="F1030" s="10" t="s">
        <v>33</v>
      </c>
      <c r="G1030" s="10" t="s">
        <v>27</v>
      </c>
      <c r="H1030" s="27" t="s">
        <v>34</v>
      </c>
      <c r="I1030" s="12" t="s">
        <v>1843</v>
      </c>
      <c r="J1030" s="12" t="s">
        <v>1843</v>
      </c>
      <c r="K1030" s="13">
        <v>2160</v>
      </c>
      <c r="L1030" s="21">
        <v>6.5</v>
      </c>
      <c r="M1030" s="14" t="s">
        <v>14</v>
      </c>
      <c r="N1030" s="13">
        <v>14040</v>
      </c>
      <c r="O1030" s="15">
        <f t="shared" si="652"/>
        <v>0</v>
      </c>
      <c r="P1030" s="10" t="s">
        <v>78</v>
      </c>
      <c r="Q1030" s="11" t="s">
        <v>2280</v>
      </c>
      <c r="R1030" s="11" t="s">
        <v>2281</v>
      </c>
      <c r="S1030" s="16" t="s">
        <v>2282</v>
      </c>
      <c r="T1030" s="19" t="str">
        <f>MONTH(B1030)&amp;"-"&amp;YEAR(B1030)</f>
        <v>10-2022</v>
      </c>
      <c r="U1030" s="2">
        <f>YEAR(B1030)</f>
        <v>2022</v>
      </c>
      <c r="V1030" s="2" t="str">
        <f>IF(DAY(B1030)&gt;15,MONTH(B1030)&amp;"-C",MONTH(B1030)&amp;"-N")</f>
        <v>10-C</v>
      </c>
      <c r="W1030" s="21">
        <v>6.5</v>
      </c>
      <c r="X1030" s="2" t="b">
        <f t="shared" si="653"/>
        <v>1</v>
      </c>
    </row>
    <row r="1031" spans="2:24" x14ac:dyDescent="0.2">
      <c r="B1031" s="17">
        <v>44853</v>
      </c>
      <c r="C1031" s="10" t="s">
        <v>107</v>
      </c>
      <c r="D1031" s="11">
        <v>166387</v>
      </c>
      <c r="E1031" s="26">
        <v>65161</v>
      </c>
      <c r="F1031" s="10" t="s">
        <v>103</v>
      </c>
      <c r="G1031" s="10" t="s">
        <v>46</v>
      </c>
      <c r="H1031" s="27" t="s">
        <v>104</v>
      </c>
      <c r="I1031" s="12" t="s">
        <v>1843</v>
      </c>
      <c r="J1031" s="12" t="s">
        <v>1843</v>
      </c>
      <c r="K1031" s="13">
        <v>95</v>
      </c>
      <c r="L1031" s="21">
        <v>47.3</v>
      </c>
      <c r="M1031" s="14" t="s">
        <v>14</v>
      </c>
      <c r="N1031" s="13">
        <v>4493.5</v>
      </c>
      <c r="O1031" s="15">
        <f t="shared" ref="O1031:O1035" si="654">(N1031/K1031)-L1031</f>
        <v>0</v>
      </c>
      <c r="P1031" s="10" t="s">
        <v>84</v>
      </c>
      <c r="Q1031" s="11" t="s">
        <v>2283</v>
      </c>
      <c r="R1031" s="11" t="s">
        <v>2284</v>
      </c>
      <c r="S1031" s="16" t="s">
        <v>2285</v>
      </c>
      <c r="T1031" s="19" t="str">
        <f>MONTH(B1031)&amp;"-"&amp;YEAR(B1031)</f>
        <v>10-2022</v>
      </c>
      <c r="U1031" s="2">
        <f>YEAR(B1031)</f>
        <v>2022</v>
      </c>
      <c r="V1031" s="2" t="str">
        <f>IF(DAY(B1031)&gt;15,MONTH(B1031)&amp;"-C",MONTH(B1031)&amp;"-N")</f>
        <v>10-C</v>
      </c>
      <c r="W1031" s="21">
        <v>47.3</v>
      </c>
      <c r="X1031" s="2" t="b">
        <f t="shared" ref="X1031:X1035" si="655">+L1031=W1031</f>
        <v>1</v>
      </c>
    </row>
    <row r="1032" spans="2:24" x14ac:dyDescent="0.2">
      <c r="B1032" s="17">
        <v>44853</v>
      </c>
      <c r="C1032" s="10" t="s">
        <v>107</v>
      </c>
      <c r="D1032" s="11">
        <v>166546</v>
      </c>
      <c r="E1032" s="26">
        <v>65161</v>
      </c>
      <c r="F1032" s="10" t="s">
        <v>103</v>
      </c>
      <c r="G1032" s="10" t="s">
        <v>46</v>
      </c>
      <c r="H1032" s="27" t="s">
        <v>104</v>
      </c>
      <c r="I1032" s="12" t="s">
        <v>1843</v>
      </c>
      <c r="J1032" s="12" t="s">
        <v>1843</v>
      </c>
      <c r="K1032" s="13">
        <v>100</v>
      </c>
      <c r="L1032" s="21">
        <v>47.3</v>
      </c>
      <c r="M1032" s="14" t="s">
        <v>14</v>
      </c>
      <c r="N1032" s="13">
        <v>4730</v>
      </c>
      <c r="O1032" s="15">
        <f t="shared" si="654"/>
        <v>0</v>
      </c>
      <c r="P1032" s="10" t="s">
        <v>84</v>
      </c>
      <c r="Q1032" s="11" t="s">
        <v>2283</v>
      </c>
      <c r="R1032" s="11" t="s">
        <v>2284</v>
      </c>
      <c r="S1032" s="16" t="s">
        <v>2285</v>
      </c>
      <c r="T1032" s="19" t="str">
        <f>MONTH(B1032)&amp;"-"&amp;YEAR(B1032)</f>
        <v>10-2022</v>
      </c>
      <c r="U1032" s="2">
        <f>YEAR(B1032)</f>
        <v>2022</v>
      </c>
      <c r="V1032" s="2" t="str">
        <f>IF(DAY(B1032)&gt;15,MONTH(B1032)&amp;"-C",MONTH(B1032)&amp;"-N")</f>
        <v>10-C</v>
      </c>
      <c r="W1032" s="21">
        <v>47.3</v>
      </c>
      <c r="X1032" s="2" t="b">
        <f t="shared" si="655"/>
        <v>1</v>
      </c>
    </row>
    <row r="1033" spans="2:24" x14ac:dyDescent="0.2">
      <c r="B1033" s="17">
        <v>44853</v>
      </c>
      <c r="C1033" s="10" t="s">
        <v>107</v>
      </c>
      <c r="D1033" s="11">
        <v>166387</v>
      </c>
      <c r="E1033" s="26">
        <v>65161</v>
      </c>
      <c r="F1033" s="10" t="s">
        <v>105</v>
      </c>
      <c r="G1033" s="10" t="s">
        <v>46</v>
      </c>
      <c r="H1033" s="27" t="s">
        <v>106</v>
      </c>
      <c r="I1033" s="12" t="s">
        <v>1843</v>
      </c>
      <c r="J1033" s="12" t="s">
        <v>1843</v>
      </c>
      <c r="K1033" s="13">
        <v>3520</v>
      </c>
      <c r="L1033" s="21">
        <v>12.23</v>
      </c>
      <c r="M1033" s="14" t="s">
        <v>14</v>
      </c>
      <c r="N1033" s="13">
        <v>43049.599999999999</v>
      </c>
      <c r="O1033" s="15">
        <f t="shared" si="654"/>
        <v>0</v>
      </c>
      <c r="P1033" s="10" t="s">
        <v>84</v>
      </c>
      <c r="Q1033" s="11" t="s">
        <v>2283</v>
      </c>
      <c r="R1033" s="11" t="s">
        <v>2284</v>
      </c>
      <c r="S1033" s="16" t="s">
        <v>2285</v>
      </c>
      <c r="T1033" s="19" t="str">
        <f>MONTH(B1033)&amp;"-"&amp;YEAR(B1033)</f>
        <v>10-2022</v>
      </c>
      <c r="U1033" s="2">
        <f>YEAR(B1033)</f>
        <v>2022</v>
      </c>
      <c r="V1033" s="2" t="str">
        <f>IF(DAY(B1033)&gt;15,MONTH(B1033)&amp;"-C",MONTH(B1033)&amp;"-N")</f>
        <v>10-C</v>
      </c>
      <c r="W1033" s="21">
        <v>12.23</v>
      </c>
      <c r="X1033" s="2" t="b">
        <f t="shared" si="655"/>
        <v>1</v>
      </c>
    </row>
    <row r="1034" spans="2:24" x14ac:dyDescent="0.2">
      <c r="B1034" s="17">
        <v>44853</v>
      </c>
      <c r="C1034" s="10" t="s">
        <v>107</v>
      </c>
      <c r="D1034" s="11">
        <v>166546</v>
      </c>
      <c r="E1034" s="26">
        <v>65161</v>
      </c>
      <c r="F1034" s="10" t="s">
        <v>105</v>
      </c>
      <c r="G1034" s="10" t="s">
        <v>46</v>
      </c>
      <c r="H1034" s="27" t="s">
        <v>106</v>
      </c>
      <c r="I1034" s="12" t="s">
        <v>1843</v>
      </c>
      <c r="J1034" s="12" t="s">
        <v>1843</v>
      </c>
      <c r="K1034" s="13">
        <v>3080</v>
      </c>
      <c r="L1034" s="21">
        <v>12.23</v>
      </c>
      <c r="M1034" s="14" t="s">
        <v>14</v>
      </c>
      <c r="N1034" s="13">
        <v>37668.400000000001</v>
      </c>
      <c r="O1034" s="15">
        <f t="shared" si="654"/>
        <v>0</v>
      </c>
      <c r="P1034" s="10" t="s">
        <v>84</v>
      </c>
      <c r="Q1034" s="11" t="s">
        <v>2283</v>
      </c>
      <c r="R1034" s="11" t="s">
        <v>2284</v>
      </c>
      <c r="S1034" s="16" t="s">
        <v>2285</v>
      </c>
      <c r="T1034" s="19" t="str">
        <f>MONTH(B1034)&amp;"-"&amp;YEAR(B1034)</f>
        <v>10-2022</v>
      </c>
      <c r="U1034" s="2">
        <f>YEAR(B1034)</f>
        <v>2022</v>
      </c>
      <c r="V1034" s="2" t="str">
        <f>IF(DAY(B1034)&gt;15,MONTH(B1034)&amp;"-C",MONTH(B1034)&amp;"-N")</f>
        <v>10-C</v>
      </c>
      <c r="W1034" s="21">
        <v>12.23</v>
      </c>
      <c r="X1034" s="2" t="b">
        <f t="shared" si="655"/>
        <v>1</v>
      </c>
    </row>
    <row r="1035" spans="2:24" x14ac:dyDescent="0.2">
      <c r="B1035" s="17">
        <v>44854</v>
      </c>
      <c r="C1035" s="10" t="s">
        <v>94</v>
      </c>
      <c r="D1035" s="11">
        <v>166388</v>
      </c>
      <c r="E1035" s="26">
        <v>65185</v>
      </c>
      <c r="F1035" s="10" t="s">
        <v>26</v>
      </c>
      <c r="G1035" s="10" t="s">
        <v>27</v>
      </c>
      <c r="H1035" s="27" t="s">
        <v>28</v>
      </c>
      <c r="I1035" s="12" t="s">
        <v>1843</v>
      </c>
      <c r="J1035" s="12" t="s">
        <v>1843</v>
      </c>
      <c r="K1035" s="13">
        <v>19800</v>
      </c>
      <c r="L1035" s="21">
        <v>4</v>
      </c>
      <c r="M1035" s="14" t="s">
        <v>14</v>
      </c>
      <c r="N1035" s="13">
        <v>79200</v>
      </c>
      <c r="O1035" s="15">
        <f t="shared" si="654"/>
        <v>0</v>
      </c>
      <c r="P1035" s="10" t="s">
        <v>78</v>
      </c>
      <c r="Q1035" s="11" t="s">
        <v>2286</v>
      </c>
      <c r="R1035" s="11" t="s">
        <v>2287</v>
      </c>
      <c r="S1035" s="16" t="s">
        <v>2288</v>
      </c>
      <c r="T1035" s="19" t="str">
        <f>MONTH(B1035)&amp;"-"&amp;YEAR(B1035)</f>
        <v>10-2022</v>
      </c>
      <c r="U1035" s="2">
        <f>YEAR(B1035)</f>
        <v>2022</v>
      </c>
      <c r="V1035" s="2" t="str">
        <f>IF(DAY(B1035)&gt;15,MONTH(B1035)&amp;"-C",MONTH(B1035)&amp;"-N")</f>
        <v>10-C</v>
      </c>
      <c r="W1035" s="21">
        <v>4</v>
      </c>
      <c r="X1035" s="2" t="b">
        <f t="shared" si="655"/>
        <v>1</v>
      </c>
    </row>
    <row r="1036" spans="2:24" x14ac:dyDescent="0.2">
      <c r="B1036" s="17">
        <v>44855</v>
      </c>
      <c r="C1036" s="10" t="s">
        <v>108</v>
      </c>
      <c r="D1036" s="11">
        <v>166390</v>
      </c>
      <c r="E1036" s="26">
        <v>65215</v>
      </c>
      <c r="F1036" s="10" t="s">
        <v>139</v>
      </c>
      <c r="G1036" s="10" t="s">
        <v>46</v>
      </c>
      <c r="H1036" s="27" t="s">
        <v>140</v>
      </c>
      <c r="I1036" s="12" t="s">
        <v>1843</v>
      </c>
      <c r="J1036" s="12" t="s">
        <v>1843</v>
      </c>
      <c r="K1036" s="13">
        <v>2208</v>
      </c>
      <c r="L1036" s="21">
        <v>16.059999999999999</v>
      </c>
      <c r="M1036" s="14" t="s">
        <v>14</v>
      </c>
      <c r="N1036" s="13">
        <v>35460.480000000003</v>
      </c>
      <c r="O1036" s="15">
        <f t="shared" ref="O1036" si="656">(N1036/K1036)-L1036</f>
        <v>0</v>
      </c>
      <c r="P1036" s="10" t="s">
        <v>84</v>
      </c>
      <c r="Q1036" s="11" t="s">
        <v>2289</v>
      </c>
      <c r="R1036" s="11" t="s">
        <v>2290</v>
      </c>
      <c r="S1036" s="16" t="s">
        <v>2291</v>
      </c>
      <c r="T1036" s="19" t="str">
        <f>MONTH(B1036)&amp;"-"&amp;YEAR(B1036)</f>
        <v>10-2022</v>
      </c>
      <c r="U1036" s="2">
        <f>YEAR(B1036)</f>
        <v>2022</v>
      </c>
      <c r="V1036" s="2" t="str">
        <f>IF(DAY(B1036)&gt;15,MONTH(B1036)&amp;"-C",MONTH(B1036)&amp;"-N")</f>
        <v>10-C</v>
      </c>
      <c r="W1036" s="21">
        <v>16.059999999999999</v>
      </c>
      <c r="X1036" s="2" t="b">
        <f t="shared" ref="X1036" si="657">+L1036=W1036</f>
        <v>1</v>
      </c>
    </row>
    <row r="1037" spans="2:24" x14ac:dyDescent="0.2">
      <c r="B1037" s="17">
        <v>44860</v>
      </c>
      <c r="C1037" s="10" t="s">
        <v>94</v>
      </c>
      <c r="D1037" s="11">
        <v>166388</v>
      </c>
      <c r="E1037" s="26">
        <v>65275</v>
      </c>
      <c r="F1037" s="10" t="s">
        <v>26</v>
      </c>
      <c r="G1037" s="10" t="s">
        <v>27</v>
      </c>
      <c r="H1037" s="27" t="s">
        <v>28</v>
      </c>
      <c r="I1037" s="12" t="s">
        <v>1843</v>
      </c>
      <c r="J1037" s="12" t="s">
        <v>1843</v>
      </c>
      <c r="K1037" s="13">
        <v>19800</v>
      </c>
      <c r="L1037" s="21">
        <v>4</v>
      </c>
      <c r="M1037" s="14" t="s">
        <v>14</v>
      </c>
      <c r="N1037" s="13">
        <v>79200</v>
      </c>
      <c r="O1037" s="15">
        <f t="shared" ref="O1037" si="658">(N1037/K1037)-L1037</f>
        <v>0</v>
      </c>
      <c r="P1037" s="10" t="s">
        <v>78</v>
      </c>
      <c r="Q1037" s="11" t="s">
        <v>2292</v>
      </c>
      <c r="R1037" s="11" t="s">
        <v>2293</v>
      </c>
      <c r="S1037" s="16" t="s">
        <v>2294</v>
      </c>
      <c r="T1037" s="19" t="str">
        <f>MONTH(B1037)&amp;"-"&amp;YEAR(B1037)</f>
        <v>10-2022</v>
      </c>
      <c r="U1037" s="2">
        <f>YEAR(B1037)</f>
        <v>2022</v>
      </c>
      <c r="V1037" s="2" t="str">
        <f>IF(DAY(B1037)&gt;15,MONTH(B1037)&amp;"-C",MONTH(B1037)&amp;"-N")</f>
        <v>10-C</v>
      </c>
      <c r="W1037" s="21">
        <v>4</v>
      </c>
      <c r="X1037" s="2" t="b">
        <f t="shared" ref="X1037" si="659">+L1037=W1037</f>
        <v>1</v>
      </c>
    </row>
    <row r="1038" spans="2:24" x14ac:dyDescent="0.2">
      <c r="B1038" s="17">
        <v>44862</v>
      </c>
      <c r="C1038" s="10" t="s">
        <v>48</v>
      </c>
      <c r="D1038" s="11">
        <v>163639</v>
      </c>
      <c r="E1038" s="26">
        <v>65314</v>
      </c>
      <c r="F1038" s="10" t="s">
        <v>135</v>
      </c>
      <c r="G1038" s="10" t="s">
        <v>46</v>
      </c>
      <c r="H1038" s="27" t="s">
        <v>136</v>
      </c>
      <c r="I1038" s="12" t="s">
        <v>1843</v>
      </c>
      <c r="J1038" s="12" t="s">
        <v>1843</v>
      </c>
      <c r="K1038" s="13">
        <v>4400</v>
      </c>
      <c r="L1038" s="21">
        <v>12.204000000000001</v>
      </c>
      <c r="M1038" s="14" t="s">
        <v>14</v>
      </c>
      <c r="N1038" s="13">
        <v>53699.008000000002</v>
      </c>
      <c r="O1038" s="15">
        <f t="shared" ref="O1038:O1039" si="660">(N1038/K1038)-L1038</f>
        <v>3.2000000000032003E-4</v>
      </c>
      <c r="P1038" s="10" t="s">
        <v>84</v>
      </c>
      <c r="Q1038" s="11" t="s">
        <v>2295</v>
      </c>
      <c r="R1038" s="11" t="s">
        <v>2296</v>
      </c>
      <c r="S1038" s="16" t="s">
        <v>2297</v>
      </c>
      <c r="T1038" s="19" t="str">
        <f>MONTH(B1038)&amp;"-"&amp;YEAR(B1038)</f>
        <v>10-2022</v>
      </c>
      <c r="U1038" s="2">
        <f>YEAR(B1038)</f>
        <v>2022</v>
      </c>
      <c r="V1038" s="2" t="str">
        <f>IF(DAY(B1038)&gt;15,MONTH(B1038)&amp;"-C",MONTH(B1038)&amp;"-N")</f>
        <v>10-C</v>
      </c>
      <c r="W1038" s="21">
        <v>12.204000000000001</v>
      </c>
      <c r="X1038" s="2" t="b">
        <f t="shared" ref="X1038:X1039" si="661">+L1038=W1038</f>
        <v>1</v>
      </c>
    </row>
    <row r="1039" spans="2:24" x14ac:dyDescent="0.2">
      <c r="B1039" s="17">
        <v>44862</v>
      </c>
      <c r="C1039" s="10" t="s">
        <v>48</v>
      </c>
      <c r="D1039" s="11">
        <v>163639</v>
      </c>
      <c r="E1039" s="26">
        <v>65314</v>
      </c>
      <c r="F1039" s="10" t="s">
        <v>71</v>
      </c>
      <c r="G1039" s="10" t="s">
        <v>46</v>
      </c>
      <c r="H1039" s="27" t="s">
        <v>72</v>
      </c>
      <c r="I1039" s="12" t="s">
        <v>1843</v>
      </c>
      <c r="J1039" s="12" t="s">
        <v>1843</v>
      </c>
      <c r="K1039" s="13">
        <v>11600</v>
      </c>
      <c r="L1039" s="21">
        <v>11.579000000000001</v>
      </c>
      <c r="M1039" s="14" t="s">
        <v>14</v>
      </c>
      <c r="N1039" s="13">
        <v>134321.04</v>
      </c>
      <c r="O1039" s="15">
        <f t="shared" si="660"/>
        <v>4.0000000000084412E-4</v>
      </c>
      <c r="P1039" s="10" t="s">
        <v>84</v>
      </c>
      <c r="Q1039" s="11" t="s">
        <v>2295</v>
      </c>
      <c r="R1039" s="11" t="s">
        <v>2296</v>
      </c>
      <c r="S1039" s="16" t="s">
        <v>2297</v>
      </c>
      <c r="T1039" s="19" t="str">
        <f>MONTH(B1039)&amp;"-"&amp;YEAR(B1039)</f>
        <v>10-2022</v>
      </c>
      <c r="U1039" s="2">
        <f>YEAR(B1039)</f>
        <v>2022</v>
      </c>
      <c r="V1039" s="2" t="str">
        <f>IF(DAY(B1039)&gt;15,MONTH(B1039)&amp;"-C",MONTH(B1039)&amp;"-N")</f>
        <v>10-C</v>
      </c>
      <c r="W1039" s="21">
        <v>11.579000000000001</v>
      </c>
      <c r="X1039" s="2" t="b">
        <f t="shared" si="661"/>
        <v>1</v>
      </c>
    </row>
    <row r="1040" spans="2:24" x14ac:dyDescent="0.2">
      <c r="B1040" s="17">
        <v>44866</v>
      </c>
      <c r="C1040" s="10" t="s">
        <v>94</v>
      </c>
      <c r="D1040" s="11">
        <v>166388</v>
      </c>
      <c r="E1040" s="26">
        <v>65366</v>
      </c>
      <c r="F1040" s="10" t="s">
        <v>26</v>
      </c>
      <c r="G1040" s="10" t="s">
        <v>27</v>
      </c>
      <c r="H1040" s="27" t="s">
        <v>28</v>
      </c>
      <c r="I1040" s="12" t="s">
        <v>1843</v>
      </c>
      <c r="J1040" s="12" t="s">
        <v>1843</v>
      </c>
      <c r="K1040" s="13">
        <v>15300</v>
      </c>
      <c r="L1040" s="21">
        <v>4</v>
      </c>
      <c r="M1040" s="14" t="s">
        <v>14</v>
      </c>
      <c r="N1040" s="13">
        <v>61200</v>
      </c>
      <c r="O1040" s="15">
        <f t="shared" ref="O1040:O1041" si="662">(N1040/K1040)-L1040</f>
        <v>0</v>
      </c>
      <c r="P1040" s="10" t="s">
        <v>84</v>
      </c>
      <c r="Q1040" s="11" t="s">
        <v>2298</v>
      </c>
      <c r="R1040" s="11" t="s">
        <v>2299</v>
      </c>
      <c r="S1040" s="16" t="s">
        <v>2300</v>
      </c>
      <c r="T1040" s="19" t="str">
        <f>MONTH(B1040)&amp;"-"&amp;YEAR(B1040)</f>
        <v>11-2022</v>
      </c>
      <c r="U1040" s="2">
        <f>YEAR(B1040)</f>
        <v>2022</v>
      </c>
      <c r="V1040" s="2" t="str">
        <f>IF(DAY(B1040)&gt;15,MONTH(B1040)&amp;"-C",MONTH(B1040)&amp;"-N")</f>
        <v>11-N</v>
      </c>
      <c r="W1040" s="21">
        <v>4</v>
      </c>
      <c r="X1040" s="2" t="b">
        <f t="shared" ref="X1040:X1041" si="663">+L1040=W1040</f>
        <v>1</v>
      </c>
    </row>
    <row r="1041" spans="2:24" x14ac:dyDescent="0.2">
      <c r="B1041" s="17">
        <v>44867</v>
      </c>
      <c r="C1041" s="10" t="s">
        <v>73</v>
      </c>
      <c r="D1041" s="11">
        <v>166652</v>
      </c>
      <c r="E1041" s="26">
        <v>65376</v>
      </c>
      <c r="F1041" s="10" t="s">
        <v>399</v>
      </c>
      <c r="G1041" s="10" t="s">
        <v>46</v>
      </c>
      <c r="H1041" s="27" t="s">
        <v>149</v>
      </c>
      <c r="I1041" s="12" t="s">
        <v>1843</v>
      </c>
      <c r="J1041" s="12" t="s">
        <v>1843</v>
      </c>
      <c r="K1041" s="13">
        <v>570</v>
      </c>
      <c r="L1041" s="21">
        <v>16.8</v>
      </c>
      <c r="M1041" s="14" t="s">
        <v>14</v>
      </c>
      <c r="N1041" s="13">
        <v>9576</v>
      </c>
      <c r="O1041" s="15">
        <f t="shared" si="662"/>
        <v>0</v>
      </c>
      <c r="P1041" s="10" t="s">
        <v>84</v>
      </c>
      <c r="Q1041" s="11" t="s">
        <v>2301</v>
      </c>
      <c r="R1041" s="11" t="s">
        <v>2302</v>
      </c>
      <c r="S1041" s="16" t="s">
        <v>2303</v>
      </c>
      <c r="T1041" s="19" t="str">
        <f>MONTH(B1041)&amp;"-"&amp;YEAR(B1041)</f>
        <v>11-2022</v>
      </c>
      <c r="U1041" s="2">
        <f>YEAR(B1041)</f>
        <v>2022</v>
      </c>
      <c r="V1041" s="2" t="str">
        <f>IF(DAY(B1041)&gt;15,MONTH(B1041)&amp;"-C",MONTH(B1041)&amp;"-N")</f>
        <v>11-N</v>
      </c>
      <c r="W1041" s="21">
        <v>16.8</v>
      </c>
      <c r="X1041" s="2" t="b">
        <f t="shared" si="663"/>
        <v>1</v>
      </c>
    </row>
    <row r="1042" spans="2:24" x14ac:dyDescent="0.2">
      <c r="B1042" s="17">
        <v>44873</v>
      </c>
      <c r="C1042" s="10" t="s">
        <v>94</v>
      </c>
      <c r="D1042" s="11">
        <v>166388</v>
      </c>
      <c r="E1042" s="26">
        <v>65449</v>
      </c>
      <c r="F1042" s="10" t="s">
        <v>26</v>
      </c>
      <c r="G1042" s="10" t="s">
        <v>27</v>
      </c>
      <c r="H1042" s="27" t="s">
        <v>28</v>
      </c>
      <c r="I1042" s="12" t="s">
        <v>1843</v>
      </c>
      <c r="J1042" s="12" t="s">
        <v>1843</v>
      </c>
      <c r="K1042" s="13">
        <v>19800</v>
      </c>
      <c r="L1042" s="21">
        <v>4</v>
      </c>
      <c r="M1042" s="14" t="s">
        <v>14</v>
      </c>
      <c r="N1042" s="13">
        <v>79200</v>
      </c>
      <c r="O1042" s="15">
        <f t="shared" ref="O1042" si="664">(N1042/K1042)-L1042</f>
        <v>0</v>
      </c>
      <c r="P1042" s="10" t="s">
        <v>78</v>
      </c>
      <c r="Q1042" s="11" t="s">
        <v>2304</v>
      </c>
      <c r="R1042" s="11" t="s">
        <v>2305</v>
      </c>
      <c r="S1042" s="16" t="s">
        <v>2306</v>
      </c>
      <c r="T1042" s="19" t="str">
        <f>MONTH(B1042)&amp;"-"&amp;YEAR(B1042)</f>
        <v>11-2022</v>
      </c>
      <c r="U1042" s="2">
        <f>YEAR(B1042)</f>
        <v>2022</v>
      </c>
      <c r="V1042" s="2" t="str">
        <f>IF(DAY(B1042)&gt;15,MONTH(B1042)&amp;"-C",MONTH(B1042)&amp;"-N")</f>
        <v>11-N</v>
      </c>
      <c r="W1042" s="21">
        <v>4</v>
      </c>
      <c r="X1042" s="2" t="b">
        <f t="shared" ref="X1042" si="665">+L1042=W1042</f>
        <v>1</v>
      </c>
    </row>
    <row r="1043" spans="2:24" x14ac:dyDescent="0.2">
      <c r="B1043" s="17">
        <v>44877</v>
      </c>
      <c r="C1043" s="10" t="s">
        <v>73</v>
      </c>
      <c r="D1043" s="11">
        <v>166810</v>
      </c>
      <c r="E1043" s="26">
        <v>65514</v>
      </c>
      <c r="F1043" s="10" t="s">
        <v>399</v>
      </c>
      <c r="G1043" s="10" t="s">
        <v>46</v>
      </c>
      <c r="H1043" s="27" t="s">
        <v>149</v>
      </c>
      <c r="I1043" s="12" t="s">
        <v>1843</v>
      </c>
      <c r="J1043" s="12" t="s">
        <v>1843</v>
      </c>
      <c r="K1043" s="13">
        <v>1020</v>
      </c>
      <c r="L1043" s="21">
        <v>16.8</v>
      </c>
      <c r="M1043" s="14" t="s">
        <v>14</v>
      </c>
      <c r="N1043" s="13">
        <v>17136</v>
      </c>
      <c r="O1043" s="15">
        <f t="shared" ref="O1043:O1048" si="666">(N1043/K1043)-L1043</f>
        <v>0</v>
      </c>
      <c r="P1043" s="10" t="s">
        <v>84</v>
      </c>
      <c r="Q1043" s="11" t="s">
        <v>2307</v>
      </c>
      <c r="R1043" s="11" t="s">
        <v>2308</v>
      </c>
      <c r="S1043" s="16" t="s">
        <v>2309</v>
      </c>
      <c r="T1043" s="19" t="str">
        <f>MONTH(B1043)&amp;"-"&amp;YEAR(B1043)</f>
        <v>11-2022</v>
      </c>
      <c r="U1043" s="2">
        <f>YEAR(B1043)</f>
        <v>2022</v>
      </c>
      <c r="V1043" s="2" t="str">
        <f>IF(DAY(B1043)&gt;15,MONTH(B1043)&amp;"-C",MONTH(B1043)&amp;"-N")</f>
        <v>11-N</v>
      </c>
      <c r="W1043" s="21">
        <v>16.8</v>
      </c>
      <c r="X1043" s="2" t="b">
        <f t="shared" ref="X1043:X1048" si="667">+L1043=W1043</f>
        <v>1</v>
      </c>
    </row>
    <row r="1044" spans="2:24" x14ac:dyDescent="0.2">
      <c r="B1044" s="17">
        <v>44877</v>
      </c>
      <c r="C1044" s="10" t="s">
        <v>94</v>
      </c>
      <c r="D1044" s="11">
        <v>166388</v>
      </c>
      <c r="E1044" s="26">
        <v>65524</v>
      </c>
      <c r="F1044" s="10" t="s">
        <v>26</v>
      </c>
      <c r="G1044" s="10" t="s">
        <v>27</v>
      </c>
      <c r="H1044" s="27" t="s">
        <v>28</v>
      </c>
      <c r="I1044" s="12" t="s">
        <v>1843</v>
      </c>
      <c r="J1044" s="12" t="s">
        <v>1843</v>
      </c>
      <c r="K1044" s="13">
        <v>7200</v>
      </c>
      <c r="L1044" s="21">
        <v>4</v>
      </c>
      <c r="M1044" s="14" t="s">
        <v>14</v>
      </c>
      <c r="N1044" s="13">
        <v>28800</v>
      </c>
      <c r="O1044" s="15">
        <f t="shared" si="666"/>
        <v>0</v>
      </c>
      <c r="P1044" s="10" t="s">
        <v>78</v>
      </c>
      <c r="Q1044" s="11" t="s">
        <v>2310</v>
      </c>
      <c r="R1044" s="11" t="s">
        <v>2311</v>
      </c>
      <c r="S1044" s="16" t="s">
        <v>2312</v>
      </c>
      <c r="T1044" s="19" t="str">
        <f>MONTH(B1044)&amp;"-"&amp;YEAR(B1044)</f>
        <v>11-2022</v>
      </c>
      <c r="U1044" s="2">
        <f>YEAR(B1044)</f>
        <v>2022</v>
      </c>
      <c r="V1044" s="2" t="str">
        <f>IF(DAY(B1044)&gt;15,MONTH(B1044)&amp;"-C",MONTH(B1044)&amp;"-N")</f>
        <v>11-N</v>
      </c>
      <c r="W1044" s="21">
        <v>4</v>
      </c>
      <c r="X1044" s="2" t="b">
        <f t="shared" si="667"/>
        <v>1</v>
      </c>
    </row>
    <row r="1045" spans="2:24" x14ac:dyDescent="0.2">
      <c r="B1045" s="17">
        <v>44877</v>
      </c>
      <c r="C1045" s="10" t="s">
        <v>94</v>
      </c>
      <c r="D1045" s="11">
        <v>166651</v>
      </c>
      <c r="E1045" s="26">
        <v>65525</v>
      </c>
      <c r="F1045" s="10" t="s">
        <v>26</v>
      </c>
      <c r="G1045" s="10" t="s">
        <v>27</v>
      </c>
      <c r="H1045" s="27" t="s">
        <v>28</v>
      </c>
      <c r="I1045" s="12" t="s">
        <v>1843</v>
      </c>
      <c r="J1045" s="12" t="s">
        <v>1843</v>
      </c>
      <c r="K1045" s="13">
        <v>10800</v>
      </c>
      <c r="L1045" s="21">
        <v>4</v>
      </c>
      <c r="M1045" s="14" t="s">
        <v>14</v>
      </c>
      <c r="N1045" s="13">
        <v>43200</v>
      </c>
      <c r="O1045" s="15">
        <f t="shared" si="666"/>
        <v>0</v>
      </c>
      <c r="P1045" s="10" t="s">
        <v>78</v>
      </c>
      <c r="Q1045" s="11" t="s">
        <v>2313</v>
      </c>
      <c r="R1045" s="11" t="s">
        <v>2314</v>
      </c>
      <c r="S1045" s="16" t="s">
        <v>2315</v>
      </c>
      <c r="T1045" s="19" t="str">
        <f>MONTH(B1045)&amp;"-"&amp;YEAR(B1045)</f>
        <v>11-2022</v>
      </c>
      <c r="U1045" s="2">
        <f>YEAR(B1045)</f>
        <v>2022</v>
      </c>
      <c r="V1045" s="2" t="str">
        <f>IF(DAY(B1045)&gt;15,MONTH(B1045)&amp;"-C",MONTH(B1045)&amp;"-N")</f>
        <v>11-N</v>
      </c>
      <c r="W1045" s="21">
        <v>4</v>
      </c>
      <c r="X1045" s="2" t="b">
        <f t="shared" si="667"/>
        <v>1</v>
      </c>
    </row>
    <row r="1046" spans="2:24" x14ac:dyDescent="0.2">
      <c r="B1046" s="17">
        <v>44877</v>
      </c>
      <c r="C1046" s="10" t="s">
        <v>48</v>
      </c>
      <c r="D1046" s="11">
        <v>163641</v>
      </c>
      <c r="E1046" s="26">
        <v>65536</v>
      </c>
      <c r="F1046" s="10" t="s">
        <v>135</v>
      </c>
      <c r="G1046" s="10" t="s">
        <v>46</v>
      </c>
      <c r="H1046" s="27" t="s">
        <v>136</v>
      </c>
      <c r="I1046" s="12" t="s">
        <v>1843</v>
      </c>
      <c r="J1046" s="12" t="s">
        <v>1843</v>
      </c>
      <c r="K1046" s="13">
        <v>4600</v>
      </c>
      <c r="L1046" s="21">
        <v>12.204000000000001</v>
      </c>
      <c r="M1046" s="14" t="s">
        <v>14</v>
      </c>
      <c r="N1046" s="13">
        <v>56139.872000000003</v>
      </c>
      <c r="O1046" s="15">
        <f t="shared" si="666"/>
        <v>3.2000000000032003E-4</v>
      </c>
      <c r="P1046" s="10" t="s">
        <v>90</v>
      </c>
      <c r="Q1046" s="11" t="s">
        <v>2316</v>
      </c>
      <c r="R1046" s="11" t="s">
        <v>2317</v>
      </c>
      <c r="S1046" s="16" t="s">
        <v>2318</v>
      </c>
      <c r="T1046" s="19" t="str">
        <f>MONTH(B1046)&amp;"-"&amp;YEAR(B1046)</f>
        <v>11-2022</v>
      </c>
      <c r="U1046" s="2">
        <f>YEAR(B1046)</f>
        <v>2022</v>
      </c>
      <c r="V1046" s="2" t="str">
        <f>IF(DAY(B1046)&gt;15,MONTH(B1046)&amp;"-C",MONTH(B1046)&amp;"-N")</f>
        <v>11-N</v>
      </c>
      <c r="W1046" s="21">
        <v>12.204000000000001</v>
      </c>
      <c r="X1046" s="2" t="b">
        <f t="shared" si="667"/>
        <v>1</v>
      </c>
    </row>
    <row r="1047" spans="2:24" x14ac:dyDescent="0.2">
      <c r="B1047" s="17">
        <v>44877</v>
      </c>
      <c r="C1047" s="10" t="s">
        <v>48</v>
      </c>
      <c r="D1047" s="11">
        <v>163641</v>
      </c>
      <c r="E1047" s="26">
        <v>65536</v>
      </c>
      <c r="F1047" s="10" t="s">
        <v>71</v>
      </c>
      <c r="G1047" s="10" t="s">
        <v>46</v>
      </c>
      <c r="H1047" s="27" t="s">
        <v>72</v>
      </c>
      <c r="I1047" s="12" t="s">
        <v>1843</v>
      </c>
      <c r="J1047" s="12" t="s">
        <v>1843</v>
      </c>
      <c r="K1047" s="13">
        <v>11400</v>
      </c>
      <c r="L1047" s="21">
        <v>11.579000000000001</v>
      </c>
      <c r="M1047" s="14" t="s">
        <v>14</v>
      </c>
      <c r="N1047" s="13">
        <v>132005.16</v>
      </c>
      <c r="O1047" s="15">
        <f t="shared" si="666"/>
        <v>3.9999999999906777E-4</v>
      </c>
      <c r="P1047" s="10" t="s">
        <v>90</v>
      </c>
      <c r="Q1047" s="11" t="s">
        <v>2316</v>
      </c>
      <c r="R1047" s="11" t="s">
        <v>2317</v>
      </c>
      <c r="S1047" s="16" t="s">
        <v>2318</v>
      </c>
      <c r="T1047" s="19" t="str">
        <f>MONTH(B1047)&amp;"-"&amp;YEAR(B1047)</f>
        <v>11-2022</v>
      </c>
      <c r="U1047" s="2">
        <f>YEAR(B1047)</f>
        <v>2022</v>
      </c>
      <c r="V1047" s="2" t="str">
        <f>IF(DAY(B1047)&gt;15,MONTH(B1047)&amp;"-C",MONTH(B1047)&amp;"-N")</f>
        <v>11-N</v>
      </c>
      <c r="W1047" s="21">
        <v>11.579000000000001</v>
      </c>
      <c r="X1047" s="2" t="b">
        <f t="shared" si="667"/>
        <v>1</v>
      </c>
    </row>
    <row r="1048" spans="2:24" x14ac:dyDescent="0.2">
      <c r="B1048" s="17">
        <v>44880</v>
      </c>
      <c r="C1048" s="10" t="s">
        <v>73</v>
      </c>
      <c r="D1048" s="11">
        <v>166835</v>
      </c>
      <c r="E1048" s="26">
        <v>65557</v>
      </c>
      <c r="F1048" s="10" t="s">
        <v>399</v>
      </c>
      <c r="G1048" s="10" t="s">
        <v>46</v>
      </c>
      <c r="H1048" s="27" t="s">
        <v>149</v>
      </c>
      <c r="I1048" s="12" t="s">
        <v>1843</v>
      </c>
      <c r="J1048" s="12" t="s">
        <v>1843</v>
      </c>
      <c r="K1048" s="13">
        <v>1020</v>
      </c>
      <c r="L1048" s="21">
        <v>16.8</v>
      </c>
      <c r="M1048" s="14" t="s">
        <v>14</v>
      </c>
      <c r="N1048" s="13">
        <v>17136</v>
      </c>
      <c r="O1048" s="15">
        <f t="shared" si="666"/>
        <v>0</v>
      </c>
      <c r="P1048" s="10" t="s">
        <v>84</v>
      </c>
      <c r="Q1048" s="11" t="s">
        <v>2319</v>
      </c>
      <c r="R1048" s="11" t="s">
        <v>2320</v>
      </c>
      <c r="S1048" s="16" t="s">
        <v>2321</v>
      </c>
      <c r="T1048" s="19" t="str">
        <f>MONTH(B1048)&amp;"-"&amp;YEAR(B1048)</f>
        <v>11-2022</v>
      </c>
      <c r="U1048" s="2">
        <f>YEAR(B1048)</f>
        <v>2022</v>
      </c>
      <c r="V1048" s="2" t="str">
        <f>IF(DAY(B1048)&gt;15,MONTH(B1048)&amp;"-C",MONTH(B1048)&amp;"-N")</f>
        <v>11-N</v>
      </c>
      <c r="W1048" s="21">
        <v>16.8</v>
      </c>
      <c r="X1048" s="2" t="b">
        <f t="shared" si="667"/>
        <v>1</v>
      </c>
    </row>
    <row r="1049" spans="2:24" x14ac:dyDescent="0.2">
      <c r="B1049" s="17">
        <v>44880</v>
      </c>
      <c r="C1049" s="10" t="s">
        <v>107</v>
      </c>
      <c r="D1049" s="11">
        <v>166836</v>
      </c>
      <c r="E1049" s="26">
        <v>65558</v>
      </c>
      <c r="F1049" s="10" t="s">
        <v>103</v>
      </c>
      <c r="G1049" s="10" t="s">
        <v>46</v>
      </c>
      <c r="H1049" s="27" t="s">
        <v>104</v>
      </c>
      <c r="I1049" s="12" t="s">
        <v>1843</v>
      </c>
      <c r="J1049" s="12" t="s">
        <v>1843</v>
      </c>
      <c r="K1049" s="13">
        <v>160</v>
      </c>
      <c r="L1049" s="21">
        <v>47.3</v>
      </c>
      <c r="M1049" s="14" t="s">
        <v>14</v>
      </c>
      <c r="N1049" s="13">
        <v>7568</v>
      </c>
      <c r="O1049" s="15">
        <f t="shared" ref="O1049:O1050" si="668">(N1049/K1049)-L1049</f>
        <v>0</v>
      </c>
      <c r="P1049" s="10" t="s">
        <v>84</v>
      </c>
      <c r="Q1049" s="11" t="s">
        <v>2322</v>
      </c>
      <c r="R1049" s="11" t="s">
        <v>2323</v>
      </c>
      <c r="S1049" s="16" t="s">
        <v>2324</v>
      </c>
      <c r="T1049" s="19" t="str">
        <f>MONTH(B1049)&amp;"-"&amp;YEAR(B1049)</f>
        <v>11-2022</v>
      </c>
      <c r="U1049" s="2">
        <f>YEAR(B1049)</f>
        <v>2022</v>
      </c>
      <c r="V1049" s="2" t="str">
        <f>IF(DAY(B1049)&gt;15,MONTH(B1049)&amp;"-C",MONTH(B1049)&amp;"-N")</f>
        <v>11-N</v>
      </c>
      <c r="W1049" s="21">
        <v>47.3</v>
      </c>
      <c r="X1049" s="2" t="b">
        <f t="shared" ref="X1049:X1050" si="669">+L1049=W1049</f>
        <v>1</v>
      </c>
    </row>
    <row r="1050" spans="2:24" x14ac:dyDescent="0.2">
      <c r="B1050" s="17">
        <v>44880</v>
      </c>
      <c r="C1050" s="10" t="s">
        <v>107</v>
      </c>
      <c r="D1050" s="11">
        <v>166836</v>
      </c>
      <c r="E1050" s="26">
        <v>65558</v>
      </c>
      <c r="F1050" s="10" t="s">
        <v>105</v>
      </c>
      <c r="G1050" s="10" t="s">
        <v>46</v>
      </c>
      <c r="H1050" s="27" t="s">
        <v>106</v>
      </c>
      <c r="I1050" s="12" t="s">
        <v>1843</v>
      </c>
      <c r="J1050" s="12" t="s">
        <v>1843</v>
      </c>
      <c r="K1050" s="13">
        <v>5280</v>
      </c>
      <c r="L1050" s="21">
        <v>12.23</v>
      </c>
      <c r="M1050" s="14" t="s">
        <v>14</v>
      </c>
      <c r="N1050" s="13">
        <v>64574.400000000001</v>
      </c>
      <c r="O1050" s="15">
        <f t="shared" si="668"/>
        <v>0</v>
      </c>
      <c r="P1050" s="10" t="s">
        <v>84</v>
      </c>
      <c r="Q1050" s="11" t="s">
        <v>2322</v>
      </c>
      <c r="R1050" s="11" t="s">
        <v>2323</v>
      </c>
      <c r="S1050" s="16" t="s">
        <v>2324</v>
      </c>
      <c r="T1050" s="19" t="str">
        <f>MONTH(B1050)&amp;"-"&amp;YEAR(B1050)</f>
        <v>11-2022</v>
      </c>
      <c r="U1050" s="2">
        <f>YEAR(B1050)</f>
        <v>2022</v>
      </c>
      <c r="V1050" s="2" t="str">
        <f>IF(DAY(B1050)&gt;15,MONTH(B1050)&amp;"-C",MONTH(B1050)&amp;"-N")</f>
        <v>11-N</v>
      </c>
      <c r="W1050" s="21">
        <v>12.23</v>
      </c>
      <c r="X1050" s="2" t="b">
        <f t="shared" si="669"/>
        <v>1</v>
      </c>
    </row>
    <row r="1051" spans="2:24" x14ac:dyDescent="0.2">
      <c r="B1051" s="17">
        <v>44884</v>
      </c>
      <c r="C1051" s="10" t="s">
        <v>94</v>
      </c>
      <c r="D1051" s="11">
        <v>166651</v>
      </c>
      <c r="E1051" s="26">
        <v>65624</v>
      </c>
      <c r="F1051" s="10" t="s">
        <v>26</v>
      </c>
      <c r="G1051" s="10" t="s">
        <v>27</v>
      </c>
      <c r="H1051" s="27" t="s">
        <v>28</v>
      </c>
      <c r="I1051" s="12" t="s">
        <v>1843</v>
      </c>
      <c r="J1051" s="12" t="s">
        <v>1843</v>
      </c>
      <c r="K1051" s="13">
        <v>18000</v>
      </c>
      <c r="L1051" s="21">
        <v>4</v>
      </c>
      <c r="M1051" s="14" t="s">
        <v>14</v>
      </c>
      <c r="N1051" s="13">
        <v>72000</v>
      </c>
      <c r="O1051" s="15">
        <f t="shared" ref="O1051" si="670">(N1051/K1051)-L1051</f>
        <v>0</v>
      </c>
      <c r="P1051" s="10" t="s">
        <v>78</v>
      </c>
      <c r="Q1051" s="11" t="s">
        <v>2325</v>
      </c>
      <c r="R1051" s="11" t="s">
        <v>2326</v>
      </c>
      <c r="S1051" s="16" t="s">
        <v>2327</v>
      </c>
      <c r="T1051" s="19" t="str">
        <f>MONTH(B1051)&amp;"-"&amp;YEAR(B1051)</f>
        <v>11-2022</v>
      </c>
      <c r="U1051" s="2">
        <f>YEAR(B1051)</f>
        <v>2022</v>
      </c>
      <c r="V1051" s="2" t="str">
        <f>IF(DAY(B1051)&gt;15,MONTH(B1051)&amp;"-C",MONTH(B1051)&amp;"-N")</f>
        <v>11-C</v>
      </c>
      <c r="W1051" s="21">
        <v>4</v>
      </c>
      <c r="X1051" s="2" t="b">
        <f t="shared" ref="X1051" si="671">+L1051=W1051</f>
        <v>1</v>
      </c>
    </row>
    <row r="1052" spans="2:24" x14ac:dyDescent="0.2">
      <c r="B1052" s="17">
        <v>44888</v>
      </c>
      <c r="C1052" s="10" t="s">
        <v>74</v>
      </c>
      <c r="D1052" s="11">
        <v>166917</v>
      </c>
      <c r="E1052" s="26">
        <v>65695</v>
      </c>
      <c r="F1052" s="10" t="s">
        <v>127</v>
      </c>
      <c r="G1052" s="10" t="s">
        <v>46</v>
      </c>
      <c r="H1052" s="27" t="s">
        <v>128</v>
      </c>
      <c r="I1052" s="12" t="s">
        <v>1843</v>
      </c>
      <c r="J1052" s="12" t="s">
        <v>1843</v>
      </c>
      <c r="K1052" s="13">
        <v>920</v>
      </c>
      <c r="L1052" s="21">
        <v>14.77</v>
      </c>
      <c r="M1052" s="14" t="s">
        <v>14</v>
      </c>
      <c r="N1052" s="13">
        <v>13588.4</v>
      </c>
      <c r="O1052" s="15">
        <f t="shared" ref="O1052:O1053" si="672">(N1052/K1052)-L1052</f>
        <v>0</v>
      </c>
      <c r="P1052" s="10" t="s">
        <v>84</v>
      </c>
      <c r="Q1052" s="11" t="s">
        <v>2328</v>
      </c>
      <c r="R1052" s="11" t="s">
        <v>2329</v>
      </c>
      <c r="S1052" s="16" t="s">
        <v>2330</v>
      </c>
      <c r="T1052" s="19" t="str">
        <f>MONTH(B1052)&amp;"-"&amp;YEAR(B1052)</f>
        <v>11-2022</v>
      </c>
      <c r="U1052" s="2">
        <f>YEAR(B1052)</f>
        <v>2022</v>
      </c>
      <c r="V1052" s="2" t="str">
        <f>IF(DAY(B1052)&gt;15,MONTH(B1052)&amp;"-C",MONTH(B1052)&amp;"-N")</f>
        <v>11-C</v>
      </c>
      <c r="W1052" s="21">
        <v>14.77</v>
      </c>
      <c r="X1052" s="2" t="b">
        <f t="shared" ref="X1052:X1053" si="673">+L1052=W1052</f>
        <v>1</v>
      </c>
    </row>
    <row r="1053" spans="2:24" x14ac:dyDescent="0.2">
      <c r="B1053" s="17">
        <v>44888</v>
      </c>
      <c r="C1053" s="10" t="s">
        <v>74</v>
      </c>
      <c r="D1053" s="11">
        <v>166917</v>
      </c>
      <c r="E1053" s="26">
        <v>65695</v>
      </c>
      <c r="F1053" s="10" t="s">
        <v>2331</v>
      </c>
      <c r="G1053" s="10" t="s">
        <v>46</v>
      </c>
      <c r="H1053" s="27" t="s">
        <v>2332</v>
      </c>
      <c r="I1053" s="12" t="s">
        <v>1843</v>
      </c>
      <c r="J1053" s="12" t="s">
        <v>1843</v>
      </c>
      <c r="K1053" s="13">
        <v>1380</v>
      </c>
      <c r="L1053" s="21">
        <v>14.77</v>
      </c>
      <c r="M1053" s="14" t="s">
        <v>22</v>
      </c>
      <c r="N1053" s="13">
        <v>20382.599999999999</v>
      </c>
      <c r="O1053" s="15">
        <f t="shared" si="672"/>
        <v>0</v>
      </c>
      <c r="P1053" s="10" t="s">
        <v>84</v>
      </c>
      <c r="Q1053" s="11" t="s">
        <v>2328</v>
      </c>
      <c r="R1053" s="11" t="s">
        <v>2329</v>
      </c>
      <c r="S1053" s="16" t="s">
        <v>2330</v>
      </c>
      <c r="T1053" s="19" t="str">
        <f>MONTH(B1053)&amp;"-"&amp;YEAR(B1053)</f>
        <v>11-2022</v>
      </c>
      <c r="U1053" s="2">
        <f>YEAR(B1053)</f>
        <v>2022</v>
      </c>
      <c r="V1053" s="2" t="str">
        <f>IF(DAY(B1053)&gt;15,MONTH(B1053)&amp;"-C",MONTH(B1053)&amp;"-N")</f>
        <v>11-C</v>
      </c>
      <c r="W1053" s="21">
        <v>14.77</v>
      </c>
      <c r="X1053" s="2" t="b">
        <f t="shared" si="673"/>
        <v>1</v>
      </c>
    </row>
    <row r="1054" spans="2:24" x14ac:dyDescent="0.2">
      <c r="B1054" s="17">
        <v>44889</v>
      </c>
      <c r="C1054" s="10" t="s">
        <v>94</v>
      </c>
      <c r="D1054" s="11">
        <v>166651</v>
      </c>
      <c r="E1054" s="26">
        <v>65727</v>
      </c>
      <c r="F1054" s="10" t="s">
        <v>26</v>
      </c>
      <c r="G1054" s="10" t="s">
        <v>27</v>
      </c>
      <c r="H1054" s="27" t="s">
        <v>28</v>
      </c>
      <c r="I1054" s="12" t="s">
        <v>1843</v>
      </c>
      <c r="J1054" s="12" t="s">
        <v>1843</v>
      </c>
      <c r="K1054" s="13">
        <v>17100</v>
      </c>
      <c r="L1054" s="21">
        <v>4</v>
      </c>
      <c r="M1054" s="14" t="s">
        <v>14</v>
      </c>
      <c r="N1054" s="13">
        <v>68400</v>
      </c>
      <c r="O1054" s="15">
        <f t="shared" ref="O1054" si="674">(N1054/K1054)-L1054</f>
        <v>0</v>
      </c>
      <c r="P1054" s="10" t="s">
        <v>78</v>
      </c>
      <c r="Q1054" s="11" t="s">
        <v>2333</v>
      </c>
      <c r="R1054" s="11" t="s">
        <v>2334</v>
      </c>
      <c r="S1054" s="16" t="s">
        <v>2335</v>
      </c>
      <c r="T1054" s="19" t="str">
        <f>MONTH(B1054)&amp;"-"&amp;YEAR(B1054)</f>
        <v>11-2022</v>
      </c>
      <c r="U1054" s="2">
        <f>YEAR(B1054)</f>
        <v>2022</v>
      </c>
      <c r="V1054" s="2" t="str">
        <f>IF(DAY(B1054)&gt;15,MONTH(B1054)&amp;"-C",MONTH(B1054)&amp;"-N")</f>
        <v>11-C</v>
      </c>
      <c r="W1054" s="21">
        <v>4</v>
      </c>
      <c r="X1054" s="2" t="b">
        <f t="shared" ref="X1054" si="675">+L1054=W1054</f>
        <v>1</v>
      </c>
    </row>
    <row r="1055" spans="2:24" x14ac:dyDescent="0.2">
      <c r="B1055" s="17">
        <v>44895</v>
      </c>
      <c r="C1055" s="10" t="s">
        <v>73</v>
      </c>
      <c r="D1055" s="11">
        <v>167047</v>
      </c>
      <c r="E1055" s="26">
        <v>65800</v>
      </c>
      <c r="F1055" s="10" t="s">
        <v>399</v>
      </c>
      <c r="G1055" s="10" t="s">
        <v>46</v>
      </c>
      <c r="H1055" s="27" t="s">
        <v>149</v>
      </c>
      <c r="I1055" s="12">
        <v>0</v>
      </c>
      <c r="J1055" s="12">
        <v>0</v>
      </c>
      <c r="K1055" s="13">
        <v>210</v>
      </c>
      <c r="L1055" s="21">
        <v>16.8</v>
      </c>
      <c r="M1055" s="14" t="s">
        <v>14</v>
      </c>
      <c r="N1055" s="13">
        <v>3528</v>
      </c>
      <c r="O1055" s="15">
        <f t="shared" ref="O1055" si="676">(N1055/K1055)-L1055</f>
        <v>0</v>
      </c>
      <c r="P1055" s="10" t="s">
        <v>84</v>
      </c>
      <c r="Q1055" s="11" t="s">
        <v>2338</v>
      </c>
      <c r="R1055" s="11" t="s">
        <v>2337</v>
      </c>
      <c r="S1055" s="16" t="s">
        <v>2339</v>
      </c>
      <c r="T1055" s="19" t="str">
        <f>MONTH(B1055)&amp;"-"&amp;YEAR(B1055)</f>
        <v>11-2022</v>
      </c>
      <c r="U1055" s="2">
        <f>YEAR(B1055)</f>
        <v>2022</v>
      </c>
      <c r="V1055" s="2" t="str">
        <f>IF(DAY(B1055)&gt;15,MONTH(B1055)&amp;"-C",MONTH(B1055)&amp;"-N")</f>
        <v>11-C</v>
      </c>
      <c r="W1055" s="21">
        <v>16.8</v>
      </c>
      <c r="X1055" s="2" t="b">
        <f t="shared" ref="X1055" si="677">+L1055=W1055</f>
        <v>1</v>
      </c>
    </row>
    <row r="1056" spans="2:24" x14ac:dyDescent="0.2">
      <c r="B1056" s="17">
        <v>44896</v>
      </c>
      <c r="C1056" s="10" t="s">
        <v>94</v>
      </c>
      <c r="D1056" s="11">
        <v>166651</v>
      </c>
      <c r="E1056" s="26">
        <v>65798</v>
      </c>
      <c r="F1056" s="10" t="s">
        <v>26</v>
      </c>
      <c r="G1056" s="10" t="s">
        <v>27</v>
      </c>
      <c r="H1056" s="27" t="s">
        <v>28</v>
      </c>
      <c r="I1056" s="12">
        <v>0</v>
      </c>
      <c r="J1056" s="12">
        <v>0</v>
      </c>
      <c r="K1056" s="13">
        <v>18000</v>
      </c>
      <c r="L1056" s="21">
        <v>4</v>
      </c>
      <c r="M1056" s="14" t="s">
        <v>14</v>
      </c>
      <c r="N1056" s="13">
        <v>72000</v>
      </c>
      <c r="O1056" s="15">
        <f t="shared" ref="O1056" si="678">(N1056/K1056)-L1056</f>
        <v>0</v>
      </c>
      <c r="P1056" s="10" t="s">
        <v>78</v>
      </c>
      <c r="Q1056" s="11" t="s">
        <v>2349</v>
      </c>
      <c r="R1056" s="11" t="s">
        <v>2350</v>
      </c>
      <c r="S1056" s="16" t="s">
        <v>2351</v>
      </c>
      <c r="T1056" s="19" t="str">
        <f>MONTH(B1056)&amp;"-"&amp;YEAR(B1056)</f>
        <v>12-2022</v>
      </c>
      <c r="U1056" s="2">
        <f>YEAR(B1056)</f>
        <v>2022</v>
      </c>
      <c r="V1056" s="2" t="str">
        <f>IF(DAY(B1056)&gt;15,MONTH(B1056)&amp;"-C",MONTH(B1056)&amp;"-N")</f>
        <v>12-N</v>
      </c>
      <c r="W1056" s="21">
        <v>4</v>
      </c>
      <c r="X1056" s="2" t="b">
        <f t="shared" ref="X1056" si="679">+L1056=W1056</f>
        <v>1</v>
      </c>
    </row>
    <row r="1057" spans="2:24" x14ac:dyDescent="0.2">
      <c r="B1057" s="17">
        <v>44901</v>
      </c>
      <c r="C1057" s="10" t="s">
        <v>73</v>
      </c>
      <c r="D1057" s="11">
        <v>167056</v>
      </c>
      <c r="E1057" s="26">
        <v>65823</v>
      </c>
      <c r="F1057" s="10" t="s">
        <v>399</v>
      </c>
      <c r="G1057" s="10" t="s">
        <v>46</v>
      </c>
      <c r="H1057" s="27" t="s">
        <v>149</v>
      </c>
      <c r="I1057" s="12">
        <v>0</v>
      </c>
      <c r="J1057" s="12">
        <v>0</v>
      </c>
      <c r="K1057" s="13">
        <v>2010</v>
      </c>
      <c r="L1057" s="21">
        <v>16.8</v>
      </c>
      <c r="M1057" s="14" t="s">
        <v>14</v>
      </c>
      <c r="N1057" s="13">
        <v>33768</v>
      </c>
      <c r="O1057" s="15">
        <f t="shared" ref="O1057" si="680">(N1057/K1057)-L1057</f>
        <v>0</v>
      </c>
      <c r="P1057" s="10" t="s">
        <v>84</v>
      </c>
      <c r="Q1057" s="11" t="s">
        <v>2340</v>
      </c>
      <c r="R1057" s="11" t="s">
        <v>2341</v>
      </c>
      <c r="S1057" s="16" t="s">
        <v>2342</v>
      </c>
      <c r="T1057" s="19" t="str">
        <f>MONTH(B1057)&amp;"-"&amp;YEAR(B1057)</f>
        <v>12-2022</v>
      </c>
      <c r="U1057" s="2">
        <f>YEAR(B1057)</f>
        <v>2022</v>
      </c>
      <c r="V1057" s="2" t="str">
        <f>IF(DAY(B1057)&gt;15,MONTH(B1057)&amp;"-C",MONTH(B1057)&amp;"-N")</f>
        <v>12-N</v>
      </c>
      <c r="W1057" s="21">
        <v>16.8</v>
      </c>
      <c r="X1057" s="2" t="b">
        <f t="shared" ref="X1057" si="681">+L1057=W1057</f>
        <v>1</v>
      </c>
    </row>
    <row r="1058" spans="2:24" x14ac:dyDescent="0.2">
      <c r="B1058" s="17">
        <v>44903</v>
      </c>
      <c r="C1058" s="10" t="s">
        <v>94</v>
      </c>
      <c r="D1058" s="11">
        <v>166651</v>
      </c>
      <c r="E1058" s="26">
        <v>65872</v>
      </c>
      <c r="F1058" s="10" t="s">
        <v>26</v>
      </c>
      <c r="G1058" s="10" t="s">
        <v>27</v>
      </c>
      <c r="H1058" s="27" t="s">
        <v>28</v>
      </c>
      <c r="I1058" s="12">
        <v>0</v>
      </c>
      <c r="J1058" s="12">
        <v>0</v>
      </c>
      <c r="K1058" s="13">
        <v>13500</v>
      </c>
      <c r="L1058" s="21">
        <v>4</v>
      </c>
      <c r="M1058" s="14" t="s">
        <v>14</v>
      </c>
      <c r="N1058" s="13">
        <v>54000</v>
      </c>
      <c r="O1058" s="15">
        <f t="shared" ref="O1058:O1060" si="682">(N1058/K1058)-L1058</f>
        <v>0</v>
      </c>
      <c r="P1058" s="10" t="s">
        <v>78</v>
      </c>
      <c r="Q1058" s="11" t="s">
        <v>2343</v>
      </c>
      <c r="R1058" s="11" t="s">
        <v>2344</v>
      </c>
      <c r="S1058" s="16" t="s">
        <v>2345</v>
      </c>
      <c r="T1058" s="19" t="str">
        <f>MONTH(B1058)&amp;"-"&amp;YEAR(B1058)</f>
        <v>12-2022</v>
      </c>
      <c r="U1058" s="2">
        <f>YEAR(B1058)</f>
        <v>2022</v>
      </c>
      <c r="V1058" s="2" t="str">
        <f>IF(DAY(B1058)&gt;15,MONTH(B1058)&amp;"-C",MONTH(B1058)&amp;"-N")</f>
        <v>12-N</v>
      </c>
      <c r="W1058" s="21">
        <v>4</v>
      </c>
      <c r="X1058" s="2" t="b">
        <f t="shared" ref="X1058:X1060" si="683">+L1058=W1058</f>
        <v>1</v>
      </c>
    </row>
    <row r="1059" spans="2:24" x14ac:dyDescent="0.2">
      <c r="B1059" s="17">
        <v>44904</v>
      </c>
      <c r="C1059" s="10" t="s">
        <v>25</v>
      </c>
      <c r="D1059" s="11">
        <v>166497</v>
      </c>
      <c r="E1059" s="26">
        <v>65895</v>
      </c>
      <c r="F1059" s="10" t="s">
        <v>29</v>
      </c>
      <c r="G1059" s="10" t="s">
        <v>27</v>
      </c>
      <c r="H1059" s="27" t="s">
        <v>30</v>
      </c>
      <c r="I1059" s="12">
        <v>0</v>
      </c>
      <c r="J1059" s="12">
        <v>0</v>
      </c>
      <c r="K1059" s="13">
        <v>1320</v>
      </c>
      <c r="L1059" s="21">
        <v>4.4000000000000004</v>
      </c>
      <c r="M1059" s="14" t="s">
        <v>14</v>
      </c>
      <c r="N1059" s="13">
        <v>5808</v>
      </c>
      <c r="O1059" s="15">
        <f t="shared" si="682"/>
        <v>0</v>
      </c>
      <c r="P1059" s="10" t="s">
        <v>78</v>
      </c>
      <c r="Q1059" s="11" t="s">
        <v>2352</v>
      </c>
      <c r="R1059" s="11" t="s">
        <v>2353</v>
      </c>
      <c r="S1059" s="16" t="s">
        <v>2354</v>
      </c>
      <c r="T1059" s="19" t="str">
        <f>MONTH(B1059)&amp;"-"&amp;YEAR(B1059)</f>
        <v>12-2022</v>
      </c>
      <c r="U1059" s="2">
        <f>YEAR(B1059)</f>
        <v>2022</v>
      </c>
      <c r="V1059" s="2" t="str">
        <f>IF(DAY(B1059)&gt;15,MONTH(B1059)&amp;"-C",MONTH(B1059)&amp;"-N")</f>
        <v>12-N</v>
      </c>
      <c r="W1059" s="21">
        <v>4.4000000000000004</v>
      </c>
      <c r="X1059" s="2" t="b">
        <f t="shared" si="683"/>
        <v>1</v>
      </c>
    </row>
    <row r="1060" spans="2:24" x14ac:dyDescent="0.2">
      <c r="B1060" s="17">
        <v>44904</v>
      </c>
      <c r="C1060" s="10" t="s">
        <v>25</v>
      </c>
      <c r="D1060" s="11">
        <v>166497</v>
      </c>
      <c r="E1060" s="26">
        <v>65895</v>
      </c>
      <c r="F1060" s="10" t="s">
        <v>33</v>
      </c>
      <c r="G1060" s="10" t="s">
        <v>27</v>
      </c>
      <c r="H1060" s="27" t="s">
        <v>34</v>
      </c>
      <c r="I1060" s="12">
        <v>0</v>
      </c>
      <c r="J1060" s="12">
        <v>0</v>
      </c>
      <c r="K1060" s="13">
        <v>1080</v>
      </c>
      <c r="L1060" s="21">
        <v>6.5</v>
      </c>
      <c r="M1060" s="14" t="s">
        <v>14</v>
      </c>
      <c r="N1060" s="13">
        <v>7020</v>
      </c>
      <c r="O1060" s="15">
        <f t="shared" si="682"/>
        <v>0</v>
      </c>
      <c r="P1060" s="10" t="s">
        <v>78</v>
      </c>
      <c r="Q1060" s="11" t="s">
        <v>2352</v>
      </c>
      <c r="R1060" s="11" t="s">
        <v>2353</v>
      </c>
      <c r="S1060" s="16" t="s">
        <v>2354</v>
      </c>
      <c r="T1060" s="19" t="str">
        <f>MONTH(B1060)&amp;"-"&amp;YEAR(B1060)</f>
        <v>12-2022</v>
      </c>
      <c r="U1060" s="2">
        <f>YEAR(B1060)</f>
        <v>2022</v>
      </c>
      <c r="V1060" s="2" t="str">
        <f>IF(DAY(B1060)&gt;15,MONTH(B1060)&amp;"-C",MONTH(B1060)&amp;"-N")</f>
        <v>12-N</v>
      </c>
      <c r="W1060" s="21">
        <v>6.5</v>
      </c>
      <c r="X1060" s="2" t="b">
        <f t="shared" si="683"/>
        <v>1</v>
      </c>
    </row>
    <row r="1061" spans="2:24" x14ac:dyDescent="0.2">
      <c r="B1061" s="17">
        <v>44908</v>
      </c>
      <c r="C1061" s="10" t="s">
        <v>25</v>
      </c>
      <c r="D1061" s="11">
        <v>167140</v>
      </c>
      <c r="E1061" s="26">
        <v>65953</v>
      </c>
      <c r="F1061" s="10" t="s">
        <v>31</v>
      </c>
      <c r="G1061" s="10" t="s">
        <v>27</v>
      </c>
      <c r="H1061" s="27" t="s">
        <v>32</v>
      </c>
      <c r="I1061" s="12">
        <v>0</v>
      </c>
      <c r="J1061" s="12">
        <v>0</v>
      </c>
      <c r="K1061" s="13">
        <v>1920</v>
      </c>
      <c r="L1061" s="21">
        <v>4</v>
      </c>
      <c r="M1061" s="14" t="s">
        <v>14</v>
      </c>
      <c r="N1061" s="13">
        <v>7680</v>
      </c>
      <c r="O1061" s="15">
        <f t="shared" ref="O1061" si="684">(N1061/K1061)-L1061</f>
        <v>0</v>
      </c>
      <c r="P1061" s="10" t="s">
        <v>78</v>
      </c>
      <c r="Q1061" s="11" t="s">
        <v>2355</v>
      </c>
      <c r="R1061" s="11" t="s">
        <v>2356</v>
      </c>
      <c r="S1061" s="16" t="s">
        <v>2357</v>
      </c>
      <c r="T1061" s="19" t="str">
        <f>MONTH(B1061)&amp;"-"&amp;YEAR(B1061)</f>
        <v>12-2022</v>
      </c>
      <c r="U1061" s="2">
        <f>YEAR(B1061)</f>
        <v>2022</v>
      </c>
      <c r="V1061" s="2" t="str">
        <f>IF(DAY(B1061)&gt;15,MONTH(B1061)&amp;"-C",MONTH(B1061)&amp;"-N")</f>
        <v>12-N</v>
      </c>
      <c r="W1061" s="21">
        <v>4</v>
      </c>
      <c r="X1061" s="2" t="b">
        <f t="shared" ref="X1061" si="685">+L1061=W1061</f>
        <v>1</v>
      </c>
    </row>
    <row r="1062" spans="2:24" x14ac:dyDescent="0.2">
      <c r="B1062" s="17">
        <v>44909</v>
      </c>
      <c r="C1062" s="10" t="s">
        <v>94</v>
      </c>
      <c r="D1062" s="11">
        <v>166651</v>
      </c>
      <c r="E1062" s="26">
        <v>65950</v>
      </c>
      <c r="F1062" s="10" t="s">
        <v>26</v>
      </c>
      <c r="G1062" s="10" t="s">
        <v>27</v>
      </c>
      <c r="H1062" s="27" t="s">
        <v>28</v>
      </c>
      <c r="I1062" s="12">
        <v>0</v>
      </c>
      <c r="J1062" s="12">
        <v>0</v>
      </c>
      <c r="K1062" s="13">
        <v>17100</v>
      </c>
      <c r="L1062" s="21">
        <v>4</v>
      </c>
      <c r="M1062" s="14" t="s">
        <v>14</v>
      </c>
      <c r="N1062" s="13">
        <v>68400</v>
      </c>
      <c r="O1062" s="15">
        <f t="shared" ref="O1062:O1064" si="686">(N1062/K1062)-L1062</f>
        <v>0</v>
      </c>
      <c r="P1062" s="10" t="s">
        <v>78</v>
      </c>
      <c r="Q1062" s="11" t="s">
        <v>2346</v>
      </c>
      <c r="R1062" s="11" t="s">
        <v>2347</v>
      </c>
      <c r="S1062" s="16" t="s">
        <v>2348</v>
      </c>
      <c r="T1062" s="19" t="str">
        <f>MONTH(B1062)&amp;"-"&amp;YEAR(B1062)</f>
        <v>12-2022</v>
      </c>
      <c r="U1062" s="2">
        <f>YEAR(B1062)</f>
        <v>2022</v>
      </c>
      <c r="V1062" s="2" t="str">
        <f>IF(DAY(B1062)&gt;15,MONTH(B1062)&amp;"-C",MONTH(B1062)&amp;"-N")</f>
        <v>12-N</v>
      </c>
      <c r="W1062" s="21">
        <v>4</v>
      </c>
      <c r="X1062" s="2" t="b">
        <f t="shared" ref="X1062:X1064" si="687">+L1062=W1062</f>
        <v>1</v>
      </c>
    </row>
    <row r="1063" spans="2:24" x14ac:dyDescent="0.2">
      <c r="B1063" s="17">
        <v>44909</v>
      </c>
      <c r="C1063" s="10" t="s">
        <v>107</v>
      </c>
      <c r="D1063" s="11">
        <v>167137</v>
      </c>
      <c r="E1063" s="26">
        <v>65959</v>
      </c>
      <c r="F1063" s="10" t="s">
        <v>103</v>
      </c>
      <c r="G1063" s="10" t="s">
        <v>46</v>
      </c>
      <c r="H1063" s="27" t="s">
        <v>104</v>
      </c>
      <c r="I1063" s="12">
        <v>0</v>
      </c>
      <c r="J1063" s="12">
        <v>0</v>
      </c>
      <c r="K1063" s="13">
        <v>160</v>
      </c>
      <c r="L1063" s="21">
        <v>47.3</v>
      </c>
      <c r="M1063" s="14" t="s">
        <v>14</v>
      </c>
      <c r="N1063" s="13">
        <v>7568</v>
      </c>
      <c r="O1063" s="15">
        <f t="shared" si="686"/>
        <v>0</v>
      </c>
      <c r="P1063" s="10" t="s">
        <v>84</v>
      </c>
      <c r="Q1063" s="11" t="s">
        <v>2358</v>
      </c>
      <c r="R1063" s="11" t="s">
        <v>2359</v>
      </c>
      <c r="S1063" s="16" t="s">
        <v>2360</v>
      </c>
      <c r="T1063" s="19" t="str">
        <f>MONTH(B1063)&amp;"-"&amp;YEAR(B1063)</f>
        <v>12-2022</v>
      </c>
      <c r="U1063" s="2">
        <f>YEAR(B1063)</f>
        <v>2022</v>
      </c>
      <c r="V1063" s="2" t="str">
        <f>IF(DAY(B1063)&gt;15,MONTH(B1063)&amp;"-C",MONTH(B1063)&amp;"-N")</f>
        <v>12-N</v>
      </c>
      <c r="W1063" s="21">
        <v>47.3</v>
      </c>
      <c r="X1063" s="2" t="b">
        <f t="shared" si="687"/>
        <v>1</v>
      </c>
    </row>
    <row r="1064" spans="2:24" x14ac:dyDescent="0.2">
      <c r="B1064" s="17">
        <v>44909</v>
      </c>
      <c r="C1064" s="10" t="s">
        <v>107</v>
      </c>
      <c r="D1064" s="11">
        <v>167137</v>
      </c>
      <c r="E1064" s="26">
        <v>65959</v>
      </c>
      <c r="F1064" s="10" t="s">
        <v>105</v>
      </c>
      <c r="G1064" s="10" t="s">
        <v>46</v>
      </c>
      <c r="H1064" s="27" t="s">
        <v>106</v>
      </c>
      <c r="I1064" s="12">
        <v>0</v>
      </c>
      <c r="J1064" s="12">
        <v>0</v>
      </c>
      <c r="K1064" s="13">
        <v>5280</v>
      </c>
      <c r="L1064" s="21">
        <v>12.23</v>
      </c>
      <c r="M1064" s="14" t="s">
        <v>14</v>
      </c>
      <c r="N1064" s="13">
        <v>64574.400000000001</v>
      </c>
      <c r="O1064" s="15">
        <f t="shared" si="686"/>
        <v>0</v>
      </c>
      <c r="P1064" s="10" t="s">
        <v>84</v>
      </c>
      <c r="Q1064" s="11" t="s">
        <v>2358</v>
      </c>
      <c r="R1064" s="11" t="s">
        <v>2359</v>
      </c>
      <c r="S1064" s="16" t="s">
        <v>2360</v>
      </c>
      <c r="T1064" s="19" t="str">
        <f>MONTH(B1064)&amp;"-"&amp;YEAR(B1064)</f>
        <v>12-2022</v>
      </c>
      <c r="U1064" s="2">
        <f>YEAR(B1064)</f>
        <v>2022</v>
      </c>
      <c r="V1064" s="2" t="str">
        <f>IF(DAY(B1064)&gt;15,MONTH(B1064)&amp;"-C",MONTH(B1064)&amp;"-N")</f>
        <v>12-N</v>
      </c>
      <c r="W1064" s="21">
        <v>12.23</v>
      </c>
      <c r="X1064" s="2" t="b">
        <f t="shared" si="687"/>
        <v>1</v>
      </c>
    </row>
    <row r="1065" spans="2:24" x14ac:dyDescent="0.2">
      <c r="B1065" s="17">
        <v>44913</v>
      </c>
      <c r="C1065" s="10" t="s">
        <v>94</v>
      </c>
      <c r="D1065" s="11">
        <v>166651</v>
      </c>
      <c r="E1065" s="26">
        <v>66014</v>
      </c>
      <c r="F1065" s="10" t="s">
        <v>26</v>
      </c>
      <c r="G1065" s="10" t="s">
        <v>27</v>
      </c>
      <c r="H1065" s="27" t="s">
        <v>28</v>
      </c>
      <c r="I1065" s="12">
        <v>0</v>
      </c>
      <c r="J1065" s="12">
        <v>0</v>
      </c>
      <c r="K1065" s="13">
        <v>13500</v>
      </c>
      <c r="L1065" s="21">
        <v>4</v>
      </c>
      <c r="M1065" s="14" t="s">
        <v>14</v>
      </c>
      <c r="N1065" s="13">
        <v>54000</v>
      </c>
      <c r="O1065" s="15">
        <f t="shared" ref="O1065" si="688">(N1065/K1065)-L1065</f>
        <v>0</v>
      </c>
      <c r="P1065" s="10" t="s">
        <v>78</v>
      </c>
      <c r="Q1065" s="11" t="s">
        <v>2361</v>
      </c>
      <c r="R1065" s="11" t="s">
        <v>2362</v>
      </c>
      <c r="S1065" s="16" t="s">
        <v>2363</v>
      </c>
      <c r="T1065" s="19" t="str">
        <f>MONTH(B1065)&amp;"-"&amp;YEAR(B1065)</f>
        <v>12-2022</v>
      </c>
      <c r="U1065" s="2">
        <f>YEAR(B1065)</f>
        <v>2022</v>
      </c>
      <c r="V1065" s="2" t="str">
        <f>IF(DAY(B1065)&gt;15,MONTH(B1065)&amp;"-C",MONTH(B1065)&amp;"-N")</f>
        <v>12-C</v>
      </c>
      <c r="W1065" s="21">
        <v>4</v>
      </c>
      <c r="X1065" s="2" t="b">
        <f t="shared" ref="X1065" si="689">+L1065=W1065</f>
        <v>1</v>
      </c>
    </row>
    <row r="1066" spans="2:24" x14ac:dyDescent="0.2">
      <c r="B1066" s="17">
        <v>44916</v>
      </c>
      <c r="C1066" s="10" t="s">
        <v>94</v>
      </c>
      <c r="D1066" s="11">
        <v>166651</v>
      </c>
      <c r="E1066" s="26">
        <v>66083</v>
      </c>
      <c r="F1066" s="10" t="s">
        <v>26</v>
      </c>
      <c r="G1066" s="10" t="s">
        <v>27</v>
      </c>
      <c r="H1066" s="27" t="s">
        <v>28</v>
      </c>
      <c r="I1066" s="12">
        <v>0</v>
      </c>
      <c r="J1066" s="12">
        <v>0</v>
      </c>
      <c r="K1066" s="13">
        <v>13500</v>
      </c>
      <c r="L1066" s="21">
        <v>4</v>
      </c>
      <c r="M1066" s="14" t="s">
        <v>14</v>
      </c>
      <c r="N1066" s="13">
        <v>54000</v>
      </c>
      <c r="O1066" s="15">
        <f t="shared" ref="O1066" si="690">(N1066/K1066)-L1066</f>
        <v>0</v>
      </c>
      <c r="P1066" s="10" t="s">
        <v>78</v>
      </c>
      <c r="Q1066" s="11" t="s">
        <v>2364</v>
      </c>
      <c r="R1066" s="11" t="s">
        <v>2365</v>
      </c>
      <c r="S1066" s="16" t="s">
        <v>2366</v>
      </c>
      <c r="T1066" s="19" t="str">
        <f>MONTH(B1066)&amp;"-"&amp;YEAR(B1066)</f>
        <v>12-2022</v>
      </c>
      <c r="U1066" s="2">
        <f>YEAR(B1066)</f>
        <v>2022</v>
      </c>
      <c r="V1066" s="2" t="str">
        <f>IF(DAY(B1066)&gt;15,MONTH(B1066)&amp;"-C",MONTH(B1066)&amp;"-N")</f>
        <v>12-C</v>
      </c>
      <c r="W1066" s="21">
        <v>4</v>
      </c>
      <c r="X1066" s="2" t="b">
        <f t="shared" ref="X1066" si="691">+L1066=W1066</f>
        <v>1</v>
      </c>
    </row>
    <row r="1067" spans="2:24" x14ac:dyDescent="0.2">
      <c r="B1067" s="17">
        <v>44919</v>
      </c>
      <c r="C1067" s="10" t="s">
        <v>94</v>
      </c>
      <c r="D1067" s="11">
        <v>166651</v>
      </c>
      <c r="E1067" s="26">
        <v>66188</v>
      </c>
      <c r="F1067" s="10" t="s">
        <v>26</v>
      </c>
      <c r="G1067" s="10" t="s">
        <v>27</v>
      </c>
      <c r="H1067" s="27" t="s">
        <v>28</v>
      </c>
      <c r="I1067" s="12">
        <v>0</v>
      </c>
      <c r="J1067" s="12">
        <v>0</v>
      </c>
      <c r="K1067" s="13">
        <v>15300</v>
      </c>
      <c r="L1067" s="21">
        <v>4</v>
      </c>
      <c r="M1067" s="14" t="s">
        <v>14</v>
      </c>
      <c r="N1067" s="13">
        <v>61200</v>
      </c>
      <c r="O1067" s="15">
        <f t="shared" ref="O1067" si="692">(N1067/K1067)-L1067</f>
        <v>0</v>
      </c>
      <c r="P1067" s="10" t="s">
        <v>78</v>
      </c>
      <c r="Q1067" s="11" t="s">
        <v>2370</v>
      </c>
      <c r="R1067" s="11" t="s">
        <v>2371</v>
      </c>
      <c r="S1067" s="16" t="s">
        <v>2372</v>
      </c>
      <c r="T1067" s="19" t="str">
        <f>MONTH(B1067)&amp;"-"&amp;YEAR(B1067)</f>
        <v>12-2022</v>
      </c>
      <c r="U1067" s="2">
        <f>YEAR(B1067)</f>
        <v>2022</v>
      </c>
      <c r="V1067" s="2" t="str">
        <f>IF(DAY(B1067)&gt;15,MONTH(B1067)&amp;"-C",MONTH(B1067)&amp;"-N")</f>
        <v>12-C</v>
      </c>
      <c r="W1067" s="21">
        <v>4</v>
      </c>
      <c r="X1067" s="2" t="b">
        <f t="shared" ref="X1067" si="693">+L1067=W1067</f>
        <v>1</v>
      </c>
    </row>
    <row r="1068" spans="2:24" x14ac:dyDescent="0.2">
      <c r="B1068" s="17">
        <v>44921</v>
      </c>
      <c r="C1068" s="10" t="s">
        <v>73</v>
      </c>
      <c r="D1068" s="11">
        <v>167280</v>
      </c>
      <c r="E1068" s="26">
        <v>66150</v>
      </c>
      <c r="F1068" s="10" t="s">
        <v>399</v>
      </c>
      <c r="G1068" s="10" t="s">
        <v>46</v>
      </c>
      <c r="H1068" s="27" t="s">
        <v>149</v>
      </c>
      <c r="I1068" s="12">
        <v>0</v>
      </c>
      <c r="J1068" s="12">
        <v>0</v>
      </c>
      <c r="K1068" s="13">
        <v>2010</v>
      </c>
      <c r="L1068" s="21">
        <v>16.8</v>
      </c>
      <c r="M1068" s="14" t="s">
        <v>14</v>
      </c>
      <c r="N1068" s="13">
        <v>33768</v>
      </c>
      <c r="O1068" s="15">
        <f t="shared" ref="O1068" si="694">(N1068/K1068)-L1068</f>
        <v>0</v>
      </c>
      <c r="P1068" s="10" t="s">
        <v>84</v>
      </c>
      <c r="Q1068" s="11" t="s">
        <v>2367</v>
      </c>
      <c r="R1068" s="11" t="s">
        <v>2368</v>
      </c>
      <c r="S1068" s="16" t="s">
        <v>2369</v>
      </c>
      <c r="T1068" s="19" t="str">
        <f>MONTH(B1068)&amp;"-"&amp;YEAR(B1068)</f>
        <v>12-2022</v>
      </c>
      <c r="U1068" s="2">
        <f>YEAR(B1068)</f>
        <v>2022</v>
      </c>
      <c r="V1068" s="2" t="str">
        <f>IF(DAY(B1068)&gt;15,MONTH(B1068)&amp;"-C",MONTH(B1068)&amp;"-N")</f>
        <v>12-C</v>
      </c>
      <c r="W1068" s="21">
        <v>16.8</v>
      </c>
      <c r="X1068" s="2" t="b">
        <f t="shared" ref="X1068" si="695">+L1068=W1068</f>
        <v>1</v>
      </c>
    </row>
    <row r="1069" spans="2:24" x14ac:dyDescent="0.2">
      <c r="B1069" s="17">
        <v>44924</v>
      </c>
      <c r="C1069" s="10" t="s">
        <v>25</v>
      </c>
      <c r="D1069" s="11">
        <v>167339</v>
      </c>
      <c r="E1069" s="26">
        <v>66235</v>
      </c>
      <c r="F1069" s="10" t="s">
        <v>26</v>
      </c>
      <c r="G1069" s="10" t="s">
        <v>27</v>
      </c>
      <c r="H1069" s="27" t="s">
        <v>28</v>
      </c>
      <c r="I1069" s="12">
        <v>0</v>
      </c>
      <c r="J1069" s="12">
        <v>0</v>
      </c>
      <c r="K1069" s="13">
        <v>10800</v>
      </c>
      <c r="L1069" s="21">
        <v>4.1500000000000004</v>
      </c>
      <c r="M1069" s="14" t="s">
        <v>14</v>
      </c>
      <c r="N1069" s="13">
        <v>44820</v>
      </c>
      <c r="O1069" s="15">
        <f t="shared" ref="O1069" si="696">(N1069/K1069)-L1069</f>
        <v>0</v>
      </c>
      <c r="P1069" s="10" t="s">
        <v>78</v>
      </c>
      <c r="Q1069" s="11" t="s">
        <v>2373</v>
      </c>
      <c r="R1069" s="11" t="s">
        <v>2374</v>
      </c>
      <c r="S1069" s="16" t="s">
        <v>2375</v>
      </c>
      <c r="T1069" s="19" t="str">
        <f>MONTH(B1069)&amp;"-"&amp;YEAR(B1069)</f>
        <v>12-2022</v>
      </c>
      <c r="U1069" s="2">
        <f>YEAR(B1069)</f>
        <v>2022</v>
      </c>
      <c r="V1069" s="2" t="str">
        <f>IF(DAY(B1069)&gt;15,MONTH(B1069)&amp;"-C",MONTH(B1069)&amp;"-N")</f>
        <v>12-C</v>
      </c>
      <c r="W1069" s="21">
        <v>4.1500000000000004</v>
      </c>
      <c r="X1069" s="2" t="b">
        <f t="shared" ref="X1069" si="697">+L1069=W1069</f>
        <v>1</v>
      </c>
    </row>
    <row r="1070" spans="2:24" x14ac:dyDescent="0.2">
      <c r="B1070" s="17">
        <v>44929</v>
      </c>
      <c r="C1070" s="10" t="s">
        <v>25</v>
      </c>
      <c r="D1070" s="11" t="s">
        <v>2376</v>
      </c>
      <c r="E1070" s="26">
        <v>66297</v>
      </c>
      <c r="F1070" s="10" t="s">
        <v>33</v>
      </c>
      <c r="G1070" s="10" t="s">
        <v>27</v>
      </c>
      <c r="H1070" s="27" t="s">
        <v>34</v>
      </c>
      <c r="I1070" s="12" t="s">
        <v>1843</v>
      </c>
      <c r="J1070" s="12" t="s">
        <v>1843</v>
      </c>
      <c r="K1070" s="13">
        <v>360</v>
      </c>
      <c r="L1070" s="21">
        <v>6.5</v>
      </c>
      <c r="M1070" s="14" t="s">
        <v>14</v>
      </c>
      <c r="N1070" s="13">
        <v>2340</v>
      </c>
      <c r="O1070" s="15">
        <f t="shared" ref="O1070:O1071" si="698">(N1070/K1070)-L1070</f>
        <v>0</v>
      </c>
      <c r="P1070" s="10" t="s">
        <v>78</v>
      </c>
      <c r="Q1070" s="11" t="s">
        <v>2377</v>
      </c>
      <c r="R1070" s="11" t="s">
        <v>2378</v>
      </c>
      <c r="S1070" s="16" t="s">
        <v>2379</v>
      </c>
      <c r="T1070" s="19" t="str">
        <f>MONTH(B1070)&amp;"-"&amp;YEAR(B1070)</f>
        <v>1-2023</v>
      </c>
      <c r="U1070" s="2">
        <f>YEAR(B1070)</f>
        <v>2023</v>
      </c>
      <c r="V1070" s="2" t="str">
        <f>IF(DAY(B1070)&gt;15,MONTH(B1070)&amp;"-C",MONTH(B1070)&amp;"-N")</f>
        <v>1-N</v>
      </c>
      <c r="W1070" s="21">
        <v>6.5</v>
      </c>
      <c r="X1070" s="2" t="b">
        <f t="shared" ref="X1070:X1071" si="699">+L1070=W1070</f>
        <v>1</v>
      </c>
    </row>
    <row r="1071" spans="2:24" x14ac:dyDescent="0.2">
      <c r="B1071" s="17">
        <v>44929</v>
      </c>
      <c r="C1071" s="10" t="s">
        <v>82</v>
      </c>
      <c r="D1071" s="11" t="s">
        <v>2380</v>
      </c>
      <c r="E1071" s="26">
        <v>66295</v>
      </c>
      <c r="F1071" s="10" t="s">
        <v>33</v>
      </c>
      <c r="G1071" s="10" t="s">
        <v>27</v>
      </c>
      <c r="H1071" s="27" t="s">
        <v>34</v>
      </c>
      <c r="I1071" s="12" t="s">
        <v>1843</v>
      </c>
      <c r="J1071" s="12" t="s">
        <v>1843</v>
      </c>
      <c r="K1071" s="13">
        <v>720</v>
      </c>
      <c r="L1071" s="21">
        <v>6.75</v>
      </c>
      <c r="M1071" s="14" t="s">
        <v>14</v>
      </c>
      <c r="N1071" s="13">
        <v>4860</v>
      </c>
      <c r="O1071" s="15">
        <f t="shared" si="698"/>
        <v>0</v>
      </c>
      <c r="P1071" s="10" t="s">
        <v>78</v>
      </c>
      <c r="Q1071" s="11" t="s">
        <v>2381</v>
      </c>
      <c r="R1071" s="11" t="s">
        <v>2382</v>
      </c>
      <c r="S1071" s="16" t="s">
        <v>2383</v>
      </c>
      <c r="T1071" s="19" t="str">
        <f>MONTH(B1071)&amp;"-"&amp;YEAR(B1071)</f>
        <v>1-2023</v>
      </c>
      <c r="U1071" s="2">
        <f>YEAR(B1071)</f>
        <v>2023</v>
      </c>
      <c r="V1071" s="2" t="str">
        <f>IF(DAY(B1071)&gt;15,MONTH(B1071)&amp;"-C",MONTH(B1071)&amp;"-N")</f>
        <v>1-N</v>
      </c>
      <c r="W1071" s="21">
        <v>6.75</v>
      </c>
      <c r="X1071" s="2" t="b">
        <f t="shared" si="699"/>
        <v>1</v>
      </c>
    </row>
    <row r="1072" spans="2:24" x14ac:dyDescent="0.2">
      <c r="B1072" s="17">
        <v>44930</v>
      </c>
      <c r="C1072" s="10" t="s">
        <v>73</v>
      </c>
      <c r="D1072" s="11" t="s">
        <v>2384</v>
      </c>
      <c r="E1072" s="26">
        <v>66303</v>
      </c>
      <c r="F1072" s="10" t="s">
        <v>2385</v>
      </c>
      <c r="G1072" s="10" t="s">
        <v>46</v>
      </c>
      <c r="H1072" s="27" t="s">
        <v>2386</v>
      </c>
      <c r="I1072" s="12" t="s">
        <v>1843</v>
      </c>
      <c r="J1072" s="12" t="s">
        <v>1843</v>
      </c>
      <c r="K1072" s="13">
        <v>1400</v>
      </c>
      <c r="L1072" s="21">
        <v>12.55</v>
      </c>
      <c r="M1072" s="14" t="s">
        <v>14</v>
      </c>
      <c r="N1072" s="13">
        <v>17570</v>
      </c>
      <c r="O1072" s="15">
        <f t="shared" ref="O1072:O1075" si="700">(N1072/K1072)-L1072</f>
        <v>0</v>
      </c>
      <c r="P1072" s="10" t="s">
        <v>84</v>
      </c>
      <c r="Q1072" s="11" t="s">
        <v>2387</v>
      </c>
      <c r="R1072" s="11" t="s">
        <v>2388</v>
      </c>
      <c r="S1072" s="16" t="s">
        <v>2389</v>
      </c>
      <c r="T1072" s="19" t="str">
        <f>MONTH(B1072)&amp;"-"&amp;YEAR(B1072)</f>
        <v>1-2023</v>
      </c>
      <c r="U1072" s="2">
        <f>YEAR(B1072)</f>
        <v>2023</v>
      </c>
      <c r="V1072" s="2" t="str">
        <f>IF(DAY(B1072)&gt;15,MONTH(B1072)&amp;"-C",MONTH(B1072)&amp;"-N")</f>
        <v>1-N</v>
      </c>
      <c r="W1072" s="21">
        <v>12.55</v>
      </c>
      <c r="X1072" s="2" t="b">
        <f t="shared" ref="X1072:X1075" si="701">+L1072=W1072</f>
        <v>1</v>
      </c>
    </row>
    <row r="1073" spans="2:24" x14ac:dyDescent="0.2">
      <c r="B1073" s="17">
        <v>44930</v>
      </c>
      <c r="C1073" s="10" t="s">
        <v>73</v>
      </c>
      <c r="D1073" s="11" t="s">
        <v>2384</v>
      </c>
      <c r="E1073" s="26">
        <v>66303</v>
      </c>
      <c r="F1073" s="10" t="s">
        <v>158</v>
      </c>
      <c r="G1073" s="10" t="s">
        <v>46</v>
      </c>
      <c r="H1073" s="27" t="s">
        <v>159</v>
      </c>
      <c r="I1073" s="12" t="s">
        <v>1843</v>
      </c>
      <c r="J1073" s="12" t="s">
        <v>1843</v>
      </c>
      <c r="K1073" s="13">
        <v>1840</v>
      </c>
      <c r="L1073" s="21">
        <v>12.55</v>
      </c>
      <c r="M1073" s="14" t="s">
        <v>14</v>
      </c>
      <c r="N1073" s="13">
        <v>23092</v>
      </c>
      <c r="O1073" s="15">
        <f t="shared" si="700"/>
        <v>0</v>
      </c>
      <c r="P1073" s="10" t="s">
        <v>84</v>
      </c>
      <c r="Q1073" s="11" t="s">
        <v>2387</v>
      </c>
      <c r="R1073" s="11" t="s">
        <v>2388</v>
      </c>
      <c r="S1073" s="16" t="s">
        <v>2389</v>
      </c>
      <c r="T1073" s="19" t="str">
        <f>MONTH(B1073)&amp;"-"&amp;YEAR(B1073)</f>
        <v>1-2023</v>
      </c>
      <c r="U1073" s="2">
        <f>YEAR(B1073)</f>
        <v>2023</v>
      </c>
      <c r="V1073" s="2" t="str">
        <f>IF(DAY(B1073)&gt;15,MONTH(B1073)&amp;"-C",MONTH(B1073)&amp;"-N")</f>
        <v>1-N</v>
      </c>
      <c r="W1073" s="21">
        <v>12.55</v>
      </c>
      <c r="X1073" s="2" t="b">
        <f t="shared" si="701"/>
        <v>1</v>
      </c>
    </row>
    <row r="1074" spans="2:24" x14ac:dyDescent="0.2">
      <c r="B1074" s="17">
        <v>44930</v>
      </c>
      <c r="C1074" s="10" t="s">
        <v>25</v>
      </c>
      <c r="D1074" s="11" t="s">
        <v>2390</v>
      </c>
      <c r="E1074" s="26">
        <v>66311</v>
      </c>
      <c r="F1074" s="10" t="s">
        <v>26</v>
      </c>
      <c r="G1074" s="10" t="s">
        <v>27</v>
      </c>
      <c r="H1074" s="27" t="s">
        <v>28</v>
      </c>
      <c r="I1074" s="12" t="s">
        <v>1843</v>
      </c>
      <c r="J1074" s="12" t="s">
        <v>1843</v>
      </c>
      <c r="K1074" s="13">
        <v>2700</v>
      </c>
      <c r="L1074" s="21">
        <v>4.1500000000000004</v>
      </c>
      <c r="M1074" s="14" t="s">
        <v>14</v>
      </c>
      <c r="N1074" s="13">
        <v>11205</v>
      </c>
      <c r="O1074" s="15">
        <f t="shared" si="700"/>
        <v>0</v>
      </c>
      <c r="P1074" s="10" t="s">
        <v>78</v>
      </c>
      <c r="Q1074" s="11" t="s">
        <v>2391</v>
      </c>
      <c r="R1074" s="11" t="s">
        <v>2392</v>
      </c>
      <c r="S1074" s="16" t="s">
        <v>2393</v>
      </c>
      <c r="T1074" s="19" t="str">
        <f>MONTH(B1074)&amp;"-"&amp;YEAR(B1074)</f>
        <v>1-2023</v>
      </c>
      <c r="U1074" s="2">
        <f>YEAR(B1074)</f>
        <v>2023</v>
      </c>
      <c r="V1074" s="2" t="str">
        <f>IF(DAY(B1074)&gt;15,MONTH(B1074)&amp;"-C",MONTH(B1074)&amp;"-N")</f>
        <v>1-N</v>
      </c>
      <c r="W1074" s="21">
        <v>4.1500000000000004</v>
      </c>
      <c r="X1074" s="2" t="b">
        <f t="shared" si="701"/>
        <v>1</v>
      </c>
    </row>
    <row r="1075" spans="2:24" x14ac:dyDescent="0.2">
      <c r="B1075" s="17">
        <v>44930</v>
      </c>
      <c r="C1075" s="10" t="s">
        <v>25</v>
      </c>
      <c r="D1075" s="11" t="s">
        <v>2390</v>
      </c>
      <c r="E1075" s="26">
        <v>66310</v>
      </c>
      <c r="F1075" s="10" t="s">
        <v>26</v>
      </c>
      <c r="G1075" s="10" t="s">
        <v>27</v>
      </c>
      <c r="H1075" s="27" t="s">
        <v>28</v>
      </c>
      <c r="I1075" s="12" t="s">
        <v>1843</v>
      </c>
      <c r="J1075" s="12" t="s">
        <v>1843</v>
      </c>
      <c r="K1075" s="13">
        <v>17100</v>
      </c>
      <c r="L1075" s="21">
        <v>4.1500000000000004</v>
      </c>
      <c r="M1075" s="14" t="s">
        <v>14</v>
      </c>
      <c r="N1075" s="13">
        <v>70965</v>
      </c>
      <c r="O1075" s="15">
        <f t="shared" si="700"/>
        <v>0</v>
      </c>
      <c r="P1075" s="10" t="s">
        <v>78</v>
      </c>
      <c r="Q1075" s="11" t="s">
        <v>2394</v>
      </c>
      <c r="R1075" s="11" t="s">
        <v>2395</v>
      </c>
      <c r="S1075" s="16" t="s">
        <v>2396</v>
      </c>
      <c r="T1075" s="19" t="str">
        <f>MONTH(B1075)&amp;"-"&amp;YEAR(B1075)</f>
        <v>1-2023</v>
      </c>
      <c r="U1075" s="2">
        <f>YEAR(B1075)</f>
        <v>2023</v>
      </c>
      <c r="V1075" s="2" t="str">
        <f>IF(DAY(B1075)&gt;15,MONTH(B1075)&amp;"-C",MONTH(B1075)&amp;"-N")</f>
        <v>1-N</v>
      </c>
      <c r="W1075" s="21">
        <v>4.1500000000000004</v>
      </c>
      <c r="X1075" s="2" t="b">
        <f t="shared" si="701"/>
        <v>1</v>
      </c>
    </row>
    <row r="1076" spans="2:24" x14ac:dyDescent="0.2">
      <c r="B1076" s="17">
        <v>44935</v>
      </c>
      <c r="C1076" s="10" t="s">
        <v>25</v>
      </c>
      <c r="D1076" s="11" t="s">
        <v>2397</v>
      </c>
      <c r="E1076" s="26">
        <v>66379</v>
      </c>
      <c r="F1076" s="10" t="s">
        <v>26</v>
      </c>
      <c r="G1076" s="10" t="s">
        <v>27</v>
      </c>
      <c r="H1076" s="27" t="s">
        <v>28</v>
      </c>
      <c r="I1076" s="12" t="s">
        <v>1843</v>
      </c>
      <c r="J1076" s="12" t="s">
        <v>1843</v>
      </c>
      <c r="K1076" s="13">
        <v>2220</v>
      </c>
      <c r="L1076" s="21">
        <v>5</v>
      </c>
      <c r="M1076" s="14" t="s">
        <v>14</v>
      </c>
      <c r="N1076" s="13">
        <v>11100</v>
      </c>
      <c r="O1076" s="15">
        <f t="shared" ref="O1076:O1077" si="702">(N1076/K1076)-L1076</f>
        <v>0</v>
      </c>
      <c r="P1076" s="10" t="s">
        <v>78</v>
      </c>
      <c r="Q1076" s="11" t="s">
        <v>2398</v>
      </c>
      <c r="R1076" s="11" t="s">
        <v>2399</v>
      </c>
      <c r="S1076" s="16" t="s">
        <v>2400</v>
      </c>
      <c r="T1076" s="19" t="str">
        <f>MONTH(B1076)&amp;"-"&amp;YEAR(B1076)</f>
        <v>1-2023</v>
      </c>
      <c r="U1076" s="2">
        <f>YEAR(B1076)</f>
        <v>2023</v>
      </c>
      <c r="V1076" s="2" t="str">
        <f>IF(DAY(B1076)&gt;15,MONTH(B1076)&amp;"-C",MONTH(B1076)&amp;"-N")</f>
        <v>1-N</v>
      </c>
      <c r="W1076" s="21">
        <v>5</v>
      </c>
      <c r="X1076" s="2" t="b">
        <f t="shared" ref="X1076:X1077" si="703">+L1076=W1076</f>
        <v>1</v>
      </c>
    </row>
    <row r="1077" spans="2:24" x14ac:dyDescent="0.2">
      <c r="B1077" s="17">
        <v>44935</v>
      </c>
      <c r="C1077" s="10" t="s">
        <v>433</v>
      </c>
      <c r="D1077" s="11" t="s">
        <v>2401</v>
      </c>
      <c r="E1077" s="26">
        <v>66380</v>
      </c>
      <c r="F1077" s="10" t="s">
        <v>26</v>
      </c>
      <c r="G1077" s="10" t="s">
        <v>27</v>
      </c>
      <c r="H1077" s="27" t="s">
        <v>28</v>
      </c>
      <c r="I1077" s="12" t="s">
        <v>1843</v>
      </c>
      <c r="J1077" s="12" t="s">
        <v>1843</v>
      </c>
      <c r="K1077" s="13">
        <v>9900</v>
      </c>
      <c r="L1077" s="21">
        <v>4.3</v>
      </c>
      <c r="M1077" s="14" t="s">
        <v>14</v>
      </c>
      <c r="N1077" s="13">
        <v>42570</v>
      </c>
      <c r="O1077" s="15">
        <f t="shared" si="702"/>
        <v>0</v>
      </c>
      <c r="P1077" s="10" t="s">
        <v>78</v>
      </c>
      <c r="Q1077" s="11" t="s">
        <v>2402</v>
      </c>
      <c r="R1077" s="11" t="s">
        <v>2403</v>
      </c>
      <c r="S1077" s="16" t="s">
        <v>2404</v>
      </c>
      <c r="T1077" s="19" t="str">
        <f>MONTH(B1077)&amp;"-"&amp;YEAR(B1077)</f>
        <v>1-2023</v>
      </c>
      <c r="U1077" s="2">
        <f>YEAR(B1077)</f>
        <v>2023</v>
      </c>
      <c r="V1077" s="2" t="str">
        <f>IF(DAY(B1077)&gt;15,MONTH(B1077)&amp;"-C",MONTH(B1077)&amp;"-N")</f>
        <v>1-N</v>
      </c>
      <c r="W1077" s="21">
        <v>4.3</v>
      </c>
      <c r="X1077" s="2" t="b">
        <f t="shared" si="703"/>
        <v>1</v>
      </c>
    </row>
    <row r="1078" spans="2:24" x14ac:dyDescent="0.2">
      <c r="B1078" s="17">
        <v>44935</v>
      </c>
      <c r="C1078" s="10" t="s">
        <v>433</v>
      </c>
      <c r="D1078" s="11" t="s">
        <v>2401</v>
      </c>
      <c r="E1078" s="26">
        <v>66381</v>
      </c>
      <c r="F1078" s="10" t="s">
        <v>26</v>
      </c>
      <c r="G1078" s="10" t="s">
        <v>27</v>
      </c>
      <c r="H1078" s="27" t="s">
        <v>28</v>
      </c>
      <c r="I1078" s="12" t="s">
        <v>1843</v>
      </c>
      <c r="J1078" s="12" t="s">
        <v>1843</v>
      </c>
      <c r="K1078" s="13">
        <v>9900</v>
      </c>
      <c r="L1078" s="21">
        <v>4.3</v>
      </c>
      <c r="M1078" s="14" t="s">
        <v>14</v>
      </c>
      <c r="N1078" s="13">
        <v>42570</v>
      </c>
      <c r="O1078" s="15">
        <f t="shared" ref="O1078:O1080" si="704">(N1078/K1078)-L1078</f>
        <v>0</v>
      </c>
      <c r="P1078" s="10" t="s">
        <v>78</v>
      </c>
      <c r="Q1078" s="11" t="s">
        <v>2406</v>
      </c>
      <c r="R1078" s="11" t="s">
        <v>2407</v>
      </c>
      <c r="S1078" s="16" t="s">
        <v>2405</v>
      </c>
      <c r="T1078" s="19" t="str">
        <f>MONTH(B1078)&amp;"-"&amp;YEAR(B1078)</f>
        <v>1-2023</v>
      </c>
      <c r="U1078" s="2">
        <f>YEAR(B1078)</f>
        <v>2023</v>
      </c>
      <c r="V1078" s="2" t="str">
        <f>IF(DAY(B1078)&gt;15,MONTH(B1078)&amp;"-C",MONTH(B1078)&amp;"-N")</f>
        <v>1-N</v>
      </c>
      <c r="W1078" s="21">
        <v>4.3</v>
      </c>
      <c r="X1078" s="2" t="b">
        <f t="shared" ref="X1078:X1080" si="705">+L1078=W1078</f>
        <v>1</v>
      </c>
    </row>
    <row r="1079" spans="2:24" x14ac:dyDescent="0.2">
      <c r="B1079" s="17">
        <v>44935</v>
      </c>
      <c r="C1079" s="10" t="s">
        <v>107</v>
      </c>
      <c r="D1079" s="11" t="s">
        <v>2408</v>
      </c>
      <c r="E1079" s="26">
        <v>66376</v>
      </c>
      <c r="F1079" s="10" t="s">
        <v>103</v>
      </c>
      <c r="G1079" s="10" t="s">
        <v>46</v>
      </c>
      <c r="H1079" s="27" t="s">
        <v>104</v>
      </c>
      <c r="I1079" s="12" t="s">
        <v>1843</v>
      </c>
      <c r="J1079" s="12" t="s">
        <v>1843</v>
      </c>
      <c r="K1079" s="13">
        <v>150</v>
      </c>
      <c r="L1079" s="21">
        <v>47.3</v>
      </c>
      <c r="M1079" s="14" t="s">
        <v>14</v>
      </c>
      <c r="N1079" s="13">
        <v>7095</v>
      </c>
      <c r="O1079" s="15">
        <f t="shared" si="704"/>
        <v>0</v>
      </c>
      <c r="P1079" s="10" t="s">
        <v>84</v>
      </c>
      <c r="Q1079" s="11" t="s">
        <v>2409</v>
      </c>
      <c r="R1079" s="11" t="s">
        <v>2410</v>
      </c>
      <c r="S1079" s="16" t="s">
        <v>2411</v>
      </c>
      <c r="T1079" s="19" t="str">
        <f>MONTH(B1079)&amp;"-"&amp;YEAR(B1079)</f>
        <v>1-2023</v>
      </c>
      <c r="U1079" s="2">
        <f>YEAR(B1079)</f>
        <v>2023</v>
      </c>
      <c r="V1079" s="2" t="str">
        <f>IF(DAY(B1079)&gt;15,MONTH(B1079)&amp;"-C",MONTH(B1079)&amp;"-N")</f>
        <v>1-N</v>
      </c>
      <c r="W1079" s="21">
        <v>47.3</v>
      </c>
      <c r="X1079" s="2" t="b">
        <f t="shared" si="705"/>
        <v>1</v>
      </c>
    </row>
    <row r="1080" spans="2:24" x14ac:dyDescent="0.2">
      <c r="B1080" s="17">
        <v>44935</v>
      </c>
      <c r="C1080" s="10" t="s">
        <v>107</v>
      </c>
      <c r="D1080" s="11" t="s">
        <v>2408</v>
      </c>
      <c r="E1080" s="26">
        <v>66376</v>
      </c>
      <c r="F1080" s="10" t="s">
        <v>105</v>
      </c>
      <c r="G1080" s="10" t="s">
        <v>46</v>
      </c>
      <c r="H1080" s="27" t="s">
        <v>106</v>
      </c>
      <c r="I1080" s="12" t="s">
        <v>1843</v>
      </c>
      <c r="J1080" s="12" t="s">
        <v>1843</v>
      </c>
      <c r="K1080" s="13">
        <v>4840</v>
      </c>
      <c r="L1080" s="21">
        <v>12.23</v>
      </c>
      <c r="M1080" s="14" t="s">
        <v>14</v>
      </c>
      <c r="N1080" s="13">
        <v>59193.2</v>
      </c>
      <c r="O1080" s="15">
        <f t="shared" si="704"/>
        <v>0</v>
      </c>
      <c r="P1080" s="10" t="s">
        <v>84</v>
      </c>
      <c r="Q1080" s="11" t="s">
        <v>2409</v>
      </c>
      <c r="R1080" s="11" t="s">
        <v>2410</v>
      </c>
      <c r="S1080" s="16" t="s">
        <v>2411</v>
      </c>
      <c r="T1080" s="19" t="str">
        <f>MONTH(B1080)&amp;"-"&amp;YEAR(B1080)</f>
        <v>1-2023</v>
      </c>
      <c r="U1080" s="2">
        <f>YEAR(B1080)</f>
        <v>2023</v>
      </c>
      <c r="V1080" s="2" t="str">
        <f>IF(DAY(B1080)&gt;15,MONTH(B1080)&amp;"-C",MONTH(B1080)&amp;"-N")</f>
        <v>1-N</v>
      </c>
      <c r="W1080" s="21">
        <v>12.23</v>
      </c>
      <c r="X1080" s="2" t="b">
        <f t="shared" si="705"/>
        <v>1</v>
      </c>
    </row>
    <row r="1081" spans="2:24" x14ac:dyDescent="0.2">
      <c r="B1081" s="17">
        <v>44939</v>
      </c>
      <c r="C1081" s="10" t="s">
        <v>25</v>
      </c>
      <c r="D1081" s="11" t="s">
        <v>2390</v>
      </c>
      <c r="E1081" s="26">
        <v>66462</v>
      </c>
      <c r="F1081" s="10" t="s">
        <v>26</v>
      </c>
      <c r="G1081" s="10" t="s">
        <v>27</v>
      </c>
      <c r="H1081" s="27" t="s">
        <v>28</v>
      </c>
      <c r="I1081" s="12" t="s">
        <v>1843</v>
      </c>
      <c r="J1081" s="12" t="s">
        <v>1843</v>
      </c>
      <c r="K1081" s="13">
        <v>7200</v>
      </c>
      <c r="L1081" s="21">
        <v>4.1500000000000004</v>
      </c>
      <c r="M1081" s="14" t="s">
        <v>14</v>
      </c>
      <c r="N1081" s="13">
        <v>29880</v>
      </c>
      <c r="O1081" s="15">
        <f t="shared" ref="O1081:O1087" si="706">(N1081/K1081)-L1081</f>
        <v>0</v>
      </c>
      <c r="P1081" s="10" t="s">
        <v>78</v>
      </c>
      <c r="Q1081" s="11" t="s">
        <v>2412</v>
      </c>
      <c r="R1081" s="11" t="s">
        <v>2413</v>
      </c>
      <c r="S1081" s="16" t="s">
        <v>2414</v>
      </c>
      <c r="T1081" s="19" t="str">
        <f>MONTH(B1081)&amp;"-"&amp;YEAR(B1081)</f>
        <v>1-2023</v>
      </c>
      <c r="U1081" s="2">
        <f>YEAR(B1081)</f>
        <v>2023</v>
      </c>
      <c r="V1081" s="2" t="str">
        <f>IF(DAY(B1081)&gt;15,MONTH(B1081)&amp;"-C",MONTH(B1081)&amp;"-N")</f>
        <v>1-N</v>
      </c>
      <c r="W1081" s="21">
        <v>4.1500000000000004</v>
      </c>
      <c r="X1081" s="2" t="b">
        <f t="shared" ref="X1081:X1087" si="707">+L1081=W1081</f>
        <v>1</v>
      </c>
    </row>
    <row r="1082" spans="2:24" x14ac:dyDescent="0.2">
      <c r="B1082" s="17">
        <v>44939</v>
      </c>
      <c r="C1082" s="10" t="s">
        <v>25</v>
      </c>
      <c r="D1082" s="11" t="s">
        <v>2390</v>
      </c>
      <c r="E1082" s="26">
        <v>66518</v>
      </c>
      <c r="F1082" s="10" t="s">
        <v>26</v>
      </c>
      <c r="G1082" s="10" t="s">
        <v>27</v>
      </c>
      <c r="H1082" s="27" t="s">
        <v>28</v>
      </c>
      <c r="I1082" s="12" t="s">
        <v>1843</v>
      </c>
      <c r="J1082" s="12" t="s">
        <v>1843</v>
      </c>
      <c r="K1082" s="13">
        <v>2200</v>
      </c>
      <c r="L1082" s="21">
        <v>4.1500000000000004</v>
      </c>
      <c r="M1082" s="14" t="s">
        <v>14</v>
      </c>
      <c r="N1082" s="13">
        <v>9130</v>
      </c>
      <c r="O1082" s="15">
        <f t="shared" si="706"/>
        <v>0</v>
      </c>
      <c r="P1082" s="10" t="s">
        <v>78</v>
      </c>
      <c r="Q1082" s="11" t="s">
        <v>2415</v>
      </c>
      <c r="R1082" s="11" t="s">
        <v>2416</v>
      </c>
      <c r="S1082" s="16" t="s">
        <v>2417</v>
      </c>
      <c r="T1082" s="19" t="str">
        <f>MONTH(B1082)&amp;"-"&amp;YEAR(B1082)</f>
        <v>1-2023</v>
      </c>
      <c r="U1082" s="2">
        <f>YEAR(B1082)</f>
        <v>2023</v>
      </c>
      <c r="V1082" s="2" t="str">
        <f>IF(DAY(B1082)&gt;15,MONTH(B1082)&amp;"-C",MONTH(B1082)&amp;"-N")</f>
        <v>1-N</v>
      </c>
      <c r="W1082" s="21">
        <v>4.1500000000000004</v>
      </c>
      <c r="X1082" s="2" t="b">
        <f t="shared" si="707"/>
        <v>1</v>
      </c>
    </row>
    <row r="1083" spans="2:24" x14ac:dyDescent="0.2">
      <c r="B1083" s="17">
        <v>44940</v>
      </c>
      <c r="C1083" s="10" t="s">
        <v>88</v>
      </c>
      <c r="D1083" s="11" t="s">
        <v>2418</v>
      </c>
      <c r="E1083" s="26">
        <v>66474</v>
      </c>
      <c r="F1083" s="10" t="s">
        <v>98</v>
      </c>
      <c r="G1083" s="10" t="s">
        <v>46</v>
      </c>
      <c r="H1083" s="27" t="s">
        <v>99</v>
      </c>
      <c r="I1083" s="12" t="s">
        <v>1843</v>
      </c>
      <c r="J1083" s="12" t="s">
        <v>1843</v>
      </c>
      <c r="K1083" s="13">
        <v>40</v>
      </c>
      <c r="L1083" s="21">
        <v>11.63</v>
      </c>
      <c r="M1083" s="14" t="s">
        <v>14</v>
      </c>
      <c r="N1083" s="13">
        <v>465.2</v>
      </c>
      <c r="O1083" s="15">
        <f t="shared" si="706"/>
        <v>0</v>
      </c>
      <c r="P1083" s="10" t="s">
        <v>84</v>
      </c>
      <c r="Q1083" s="11" t="s">
        <v>2419</v>
      </c>
      <c r="R1083" s="11" t="s">
        <v>2420</v>
      </c>
      <c r="S1083" s="16" t="s">
        <v>2421</v>
      </c>
      <c r="T1083" s="19" t="str">
        <f>MONTH(B1083)&amp;"-"&amp;YEAR(B1083)</f>
        <v>1-2023</v>
      </c>
      <c r="U1083" s="2">
        <f>YEAR(B1083)</f>
        <v>2023</v>
      </c>
      <c r="V1083" s="2" t="str">
        <f>IF(DAY(B1083)&gt;15,MONTH(B1083)&amp;"-C",MONTH(B1083)&amp;"-N")</f>
        <v>1-N</v>
      </c>
      <c r="W1083" s="21">
        <v>11.63</v>
      </c>
      <c r="X1083" s="2" t="b">
        <f t="shared" si="707"/>
        <v>1</v>
      </c>
    </row>
    <row r="1084" spans="2:24" x14ac:dyDescent="0.2">
      <c r="B1084" s="17">
        <v>44940</v>
      </c>
      <c r="C1084" s="10" t="s">
        <v>88</v>
      </c>
      <c r="D1084" s="11" t="s">
        <v>2418</v>
      </c>
      <c r="E1084" s="26">
        <v>66474</v>
      </c>
      <c r="F1084" s="10" t="s">
        <v>100</v>
      </c>
      <c r="G1084" s="10" t="s">
        <v>46</v>
      </c>
      <c r="H1084" s="27" t="s">
        <v>101</v>
      </c>
      <c r="I1084" s="12" t="s">
        <v>1843</v>
      </c>
      <c r="J1084" s="12" t="s">
        <v>1843</v>
      </c>
      <c r="K1084" s="13">
        <v>2000</v>
      </c>
      <c r="L1084" s="21">
        <v>13.54</v>
      </c>
      <c r="M1084" s="14" t="s">
        <v>14</v>
      </c>
      <c r="N1084" s="13">
        <v>27080</v>
      </c>
      <c r="O1084" s="15">
        <f t="shared" si="706"/>
        <v>0</v>
      </c>
      <c r="P1084" s="10" t="s">
        <v>84</v>
      </c>
      <c r="Q1084" s="11" t="s">
        <v>2419</v>
      </c>
      <c r="R1084" s="11" t="s">
        <v>2420</v>
      </c>
      <c r="S1084" s="16" t="s">
        <v>2421</v>
      </c>
      <c r="T1084" s="19" t="str">
        <f>MONTH(B1084)&amp;"-"&amp;YEAR(B1084)</f>
        <v>1-2023</v>
      </c>
      <c r="U1084" s="2">
        <f>YEAR(B1084)</f>
        <v>2023</v>
      </c>
      <c r="V1084" s="2" t="str">
        <f>IF(DAY(B1084)&gt;15,MONTH(B1084)&amp;"-C",MONTH(B1084)&amp;"-N")</f>
        <v>1-N</v>
      </c>
      <c r="W1084" s="21">
        <v>13.54</v>
      </c>
      <c r="X1084" s="2" t="b">
        <f t="shared" si="707"/>
        <v>1</v>
      </c>
    </row>
    <row r="1085" spans="2:24" x14ac:dyDescent="0.2">
      <c r="B1085" s="17">
        <v>44940</v>
      </c>
      <c r="C1085" s="10" t="s">
        <v>88</v>
      </c>
      <c r="D1085" s="11" t="s">
        <v>2418</v>
      </c>
      <c r="E1085" s="26">
        <v>66474</v>
      </c>
      <c r="F1085" s="10" t="s">
        <v>2422</v>
      </c>
      <c r="G1085" s="10" t="s">
        <v>46</v>
      </c>
      <c r="H1085" s="27" t="s">
        <v>2423</v>
      </c>
      <c r="I1085" s="12" t="s">
        <v>1843</v>
      </c>
      <c r="J1085" s="12" t="s">
        <v>1843</v>
      </c>
      <c r="K1085" s="13">
        <v>1000</v>
      </c>
      <c r="L1085" s="21">
        <v>9.11</v>
      </c>
      <c r="M1085" s="14" t="s">
        <v>14</v>
      </c>
      <c r="N1085" s="13">
        <v>9110</v>
      </c>
      <c r="O1085" s="15">
        <f t="shared" si="706"/>
        <v>0</v>
      </c>
      <c r="P1085" s="10" t="s">
        <v>84</v>
      </c>
      <c r="Q1085" s="11" t="s">
        <v>2419</v>
      </c>
      <c r="R1085" s="11" t="s">
        <v>2420</v>
      </c>
      <c r="S1085" s="16" t="s">
        <v>2421</v>
      </c>
      <c r="T1085" s="19" t="str">
        <f>MONTH(B1085)&amp;"-"&amp;YEAR(B1085)</f>
        <v>1-2023</v>
      </c>
      <c r="U1085" s="2">
        <f>YEAR(B1085)</f>
        <v>2023</v>
      </c>
      <c r="V1085" s="2" t="str">
        <f>IF(DAY(B1085)&gt;15,MONTH(B1085)&amp;"-C",MONTH(B1085)&amp;"-N")</f>
        <v>1-N</v>
      </c>
      <c r="W1085" s="21">
        <v>9.11</v>
      </c>
      <c r="X1085" s="2" t="b">
        <f t="shared" si="707"/>
        <v>1</v>
      </c>
    </row>
    <row r="1086" spans="2:24" x14ac:dyDescent="0.2">
      <c r="B1086" s="17">
        <v>44940</v>
      </c>
      <c r="C1086" s="10" t="s">
        <v>88</v>
      </c>
      <c r="D1086" s="11" t="s">
        <v>2418</v>
      </c>
      <c r="E1086" s="26">
        <v>66474</v>
      </c>
      <c r="F1086" s="10" t="s">
        <v>1329</v>
      </c>
      <c r="G1086" s="10" t="s">
        <v>46</v>
      </c>
      <c r="H1086" s="27" t="s">
        <v>1343</v>
      </c>
      <c r="I1086" s="12" t="s">
        <v>1843</v>
      </c>
      <c r="J1086" s="12" t="s">
        <v>1843</v>
      </c>
      <c r="K1086" s="13">
        <v>225</v>
      </c>
      <c r="L1086" s="21">
        <v>19.8</v>
      </c>
      <c r="M1086" s="14" t="s">
        <v>14</v>
      </c>
      <c r="N1086" s="13">
        <v>4455</v>
      </c>
      <c r="O1086" s="15">
        <f t="shared" si="706"/>
        <v>0</v>
      </c>
      <c r="P1086" s="10" t="s">
        <v>84</v>
      </c>
      <c r="Q1086" s="11" t="s">
        <v>2419</v>
      </c>
      <c r="R1086" s="11" t="s">
        <v>2420</v>
      </c>
      <c r="S1086" s="16" t="s">
        <v>2421</v>
      </c>
      <c r="T1086" s="19" t="str">
        <f>MONTH(B1086)&amp;"-"&amp;YEAR(B1086)</f>
        <v>1-2023</v>
      </c>
      <c r="U1086" s="2">
        <f>YEAR(B1086)</f>
        <v>2023</v>
      </c>
      <c r="V1086" s="2" t="str">
        <f>IF(DAY(B1086)&gt;15,MONTH(B1086)&amp;"-C",MONTH(B1086)&amp;"-N")</f>
        <v>1-N</v>
      </c>
      <c r="W1086" s="21">
        <v>19.8</v>
      </c>
      <c r="X1086" s="2" t="b">
        <f t="shared" si="707"/>
        <v>1</v>
      </c>
    </row>
    <row r="1087" spans="2:24" x14ac:dyDescent="0.2">
      <c r="B1087" s="17">
        <v>44940</v>
      </c>
      <c r="C1087" s="10" t="s">
        <v>88</v>
      </c>
      <c r="D1087" s="11" t="s">
        <v>2424</v>
      </c>
      <c r="E1087" s="26">
        <v>66473</v>
      </c>
      <c r="F1087" s="10" t="s">
        <v>2425</v>
      </c>
      <c r="G1087" s="10" t="s">
        <v>46</v>
      </c>
      <c r="H1087" s="27" t="s">
        <v>2426</v>
      </c>
      <c r="I1087" s="12" t="s">
        <v>1843</v>
      </c>
      <c r="J1087" s="12" t="s">
        <v>1843</v>
      </c>
      <c r="K1087" s="13">
        <v>330</v>
      </c>
      <c r="L1087" s="21">
        <v>15.87</v>
      </c>
      <c r="M1087" s="14" t="s">
        <v>14</v>
      </c>
      <c r="N1087" s="13">
        <v>5237.1000000000004</v>
      </c>
      <c r="O1087" s="15">
        <f t="shared" si="706"/>
        <v>0</v>
      </c>
      <c r="P1087" s="10" t="s">
        <v>84</v>
      </c>
      <c r="Q1087" s="11" t="s">
        <v>2427</v>
      </c>
      <c r="R1087" s="11" t="s">
        <v>2428</v>
      </c>
      <c r="S1087" s="16" t="s">
        <v>2429</v>
      </c>
      <c r="T1087" s="19" t="str">
        <f>MONTH(B1087)&amp;"-"&amp;YEAR(B1087)</f>
        <v>1-2023</v>
      </c>
      <c r="U1087" s="2">
        <f>YEAR(B1087)</f>
        <v>2023</v>
      </c>
      <c r="V1087" s="2" t="str">
        <f>IF(DAY(B1087)&gt;15,MONTH(B1087)&amp;"-C",MONTH(B1087)&amp;"-N")</f>
        <v>1-N</v>
      </c>
      <c r="W1087" s="21">
        <v>15.87</v>
      </c>
      <c r="X1087" s="2" t="b">
        <f t="shared" si="707"/>
        <v>1</v>
      </c>
    </row>
    <row r="1088" spans="2:24" x14ac:dyDescent="0.2">
      <c r="B1088" s="17">
        <v>44941</v>
      </c>
      <c r="C1088" s="10" t="s">
        <v>94</v>
      </c>
      <c r="D1088" s="11" t="s">
        <v>2430</v>
      </c>
      <c r="E1088" s="26">
        <v>66497</v>
      </c>
      <c r="F1088" s="10" t="s">
        <v>26</v>
      </c>
      <c r="G1088" s="10" t="s">
        <v>27</v>
      </c>
      <c r="H1088" s="27" t="s">
        <v>28</v>
      </c>
      <c r="I1088" s="12" t="s">
        <v>1843</v>
      </c>
      <c r="J1088" s="12" t="s">
        <v>1843</v>
      </c>
      <c r="K1088" s="13">
        <v>14400</v>
      </c>
      <c r="L1088" s="21">
        <v>3.9</v>
      </c>
      <c r="M1088" s="14" t="s">
        <v>14</v>
      </c>
      <c r="N1088" s="13">
        <v>56160</v>
      </c>
      <c r="O1088" s="15">
        <f t="shared" ref="O1088:O1089" si="708">(N1088/K1088)-L1088</f>
        <v>0</v>
      </c>
      <c r="P1088" s="10" t="s">
        <v>78</v>
      </c>
      <c r="Q1088" s="11" t="s">
        <v>2432</v>
      </c>
      <c r="R1088" s="11" t="s">
        <v>2433</v>
      </c>
      <c r="S1088" s="16" t="s">
        <v>2431</v>
      </c>
      <c r="T1088" s="19" t="str">
        <f>MONTH(B1088)&amp;"-"&amp;YEAR(B1088)</f>
        <v>1-2023</v>
      </c>
      <c r="U1088" s="2">
        <f>YEAR(B1088)</f>
        <v>2023</v>
      </c>
      <c r="V1088" s="2" t="str">
        <f>IF(DAY(B1088)&gt;15,MONTH(B1088)&amp;"-C",MONTH(B1088)&amp;"-N")</f>
        <v>1-N</v>
      </c>
      <c r="W1088" s="21">
        <v>3.9</v>
      </c>
      <c r="X1088" s="2" t="b">
        <f t="shared" ref="X1088:X1089" si="709">+L1088=W1088</f>
        <v>1</v>
      </c>
    </row>
    <row r="1089" spans="2:24" x14ac:dyDescent="0.2">
      <c r="B1089" s="17">
        <v>44943</v>
      </c>
      <c r="C1089" s="10" t="s">
        <v>25</v>
      </c>
      <c r="D1089" s="11" t="s">
        <v>2397</v>
      </c>
      <c r="E1089" s="26">
        <v>66508</v>
      </c>
      <c r="F1089" s="10" t="s">
        <v>29</v>
      </c>
      <c r="G1089" s="10" t="s">
        <v>27</v>
      </c>
      <c r="H1089" s="27" t="s">
        <v>30</v>
      </c>
      <c r="I1089" s="12" t="s">
        <v>1843</v>
      </c>
      <c r="J1089" s="12" t="s">
        <v>1843</v>
      </c>
      <c r="K1089" s="13">
        <v>1320</v>
      </c>
      <c r="L1089" s="21">
        <v>4.0999999999999996</v>
      </c>
      <c r="M1089" s="14" t="s">
        <v>14</v>
      </c>
      <c r="N1089" s="13">
        <v>5412</v>
      </c>
      <c r="O1089" s="15">
        <f t="shared" si="708"/>
        <v>0</v>
      </c>
      <c r="P1089" s="10" t="s">
        <v>78</v>
      </c>
      <c r="Q1089" s="11" t="s">
        <v>2434</v>
      </c>
      <c r="R1089" s="11" t="s">
        <v>2435</v>
      </c>
      <c r="S1089" s="16" t="s">
        <v>2436</v>
      </c>
      <c r="T1089" s="19" t="str">
        <f>MONTH(B1089)&amp;"-"&amp;YEAR(B1089)</f>
        <v>1-2023</v>
      </c>
      <c r="U1089" s="2">
        <f>YEAR(B1089)</f>
        <v>2023</v>
      </c>
      <c r="V1089" s="2" t="str">
        <f>IF(DAY(B1089)&gt;15,MONTH(B1089)&amp;"-C",MONTH(B1089)&amp;"-N")</f>
        <v>1-C</v>
      </c>
      <c r="W1089" s="21">
        <v>4.0999999999999996</v>
      </c>
      <c r="X1089" s="2" t="b">
        <f t="shared" si="709"/>
        <v>1</v>
      </c>
    </row>
    <row r="1090" spans="2:24" x14ac:dyDescent="0.2">
      <c r="B1090" s="17">
        <v>44943</v>
      </c>
      <c r="C1090" s="10" t="s">
        <v>25</v>
      </c>
      <c r="D1090" s="11" t="s">
        <v>2397</v>
      </c>
      <c r="E1090" s="26">
        <v>66508</v>
      </c>
      <c r="F1090" s="10" t="s">
        <v>33</v>
      </c>
      <c r="G1090" s="10" t="s">
        <v>27</v>
      </c>
      <c r="H1090" s="27" t="s">
        <v>34</v>
      </c>
      <c r="I1090" s="12" t="s">
        <v>1843</v>
      </c>
      <c r="J1090" s="12" t="s">
        <v>1843</v>
      </c>
      <c r="K1090" s="13">
        <v>1440</v>
      </c>
      <c r="L1090" s="21">
        <v>5.65</v>
      </c>
      <c r="M1090" s="14" t="s">
        <v>14</v>
      </c>
      <c r="N1090" s="13">
        <v>8136</v>
      </c>
      <c r="O1090" s="15">
        <f t="shared" ref="O1090" si="710">(N1090/K1090)-L1090</f>
        <v>0</v>
      </c>
      <c r="P1090" s="10" t="s">
        <v>78</v>
      </c>
      <c r="Q1090" s="11" t="s">
        <v>2434</v>
      </c>
      <c r="R1090" s="11" t="s">
        <v>2435</v>
      </c>
      <c r="S1090" s="16" t="s">
        <v>2436</v>
      </c>
      <c r="T1090" s="19" t="str">
        <f>MONTH(B1090)&amp;"-"&amp;YEAR(B1090)</f>
        <v>1-2023</v>
      </c>
      <c r="U1090" s="2">
        <f>YEAR(B1090)</f>
        <v>2023</v>
      </c>
      <c r="V1090" s="2" t="str">
        <f>IF(DAY(B1090)&gt;15,MONTH(B1090)&amp;"-C",MONTH(B1090)&amp;"-N")</f>
        <v>1-C</v>
      </c>
      <c r="W1090" s="21">
        <v>5.65</v>
      </c>
      <c r="X1090" s="2" t="b">
        <f t="shared" ref="X1090" si="711">+L1090=W1090</f>
        <v>1</v>
      </c>
    </row>
    <row r="1091" spans="2:24" x14ac:dyDescent="0.2">
      <c r="B1091" s="17">
        <v>44945</v>
      </c>
      <c r="C1091" s="10" t="s">
        <v>48</v>
      </c>
      <c r="D1091" s="11" t="s">
        <v>2437</v>
      </c>
      <c r="E1091" s="26">
        <v>66560</v>
      </c>
      <c r="F1091" s="10" t="s">
        <v>135</v>
      </c>
      <c r="G1091" s="10" t="s">
        <v>46</v>
      </c>
      <c r="H1091" s="27" t="s">
        <v>136</v>
      </c>
      <c r="I1091" s="12" t="s">
        <v>1843</v>
      </c>
      <c r="J1091" s="12" t="s">
        <v>1843</v>
      </c>
      <c r="K1091" s="13">
        <v>5200</v>
      </c>
      <c r="L1091" s="21">
        <v>12.204000000000001</v>
      </c>
      <c r="M1091" s="14" t="s">
        <v>14</v>
      </c>
      <c r="N1091" s="13">
        <v>63462.464</v>
      </c>
      <c r="O1091" s="15">
        <f t="shared" ref="O1091:O1097" si="712">(N1091/K1091)-L1091</f>
        <v>3.1999999999854367E-4</v>
      </c>
      <c r="P1091" s="10" t="s">
        <v>84</v>
      </c>
      <c r="Q1091" s="11" t="s">
        <v>2438</v>
      </c>
      <c r="R1091" s="11" t="s">
        <v>2439</v>
      </c>
      <c r="S1091" s="16" t="s">
        <v>2440</v>
      </c>
      <c r="T1091" s="19" t="str">
        <f>MONTH(B1091)&amp;"-"&amp;YEAR(B1091)</f>
        <v>1-2023</v>
      </c>
      <c r="U1091" s="2">
        <f>YEAR(B1091)</f>
        <v>2023</v>
      </c>
      <c r="V1091" s="2" t="str">
        <f>IF(DAY(B1091)&gt;15,MONTH(B1091)&amp;"-C",MONTH(B1091)&amp;"-N")</f>
        <v>1-C</v>
      </c>
      <c r="W1091" s="21">
        <v>12.204000000000001</v>
      </c>
      <c r="X1091" s="2" t="b">
        <f t="shared" ref="X1091:X1097" si="713">+L1091=W1091</f>
        <v>1</v>
      </c>
    </row>
    <row r="1092" spans="2:24" x14ac:dyDescent="0.2">
      <c r="B1092" s="17">
        <v>44945</v>
      </c>
      <c r="C1092" s="10" t="s">
        <v>48</v>
      </c>
      <c r="D1092" s="11" t="s">
        <v>2437</v>
      </c>
      <c r="E1092" s="26">
        <v>66560</v>
      </c>
      <c r="F1092" s="10" t="s">
        <v>71</v>
      </c>
      <c r="G1092" s="10" t="s">
        <v>46</v>
      </c>
      <c r="H1092" s="27" t="s">
        <v>72</v>
      </c>
      <c r="I1092" s="12" t="s">
        <v>1843</v>
      </c>
      <c r="J1092" s="12" t="s">
        <v>1843</v>
      </c>
      <c r="K1092" s="13">
        <v>10800</v>
      </c>
      <c r="L1092" s="21">
        <v>11.579000000000001</v>
      </c>
      <c r="M1092" s="14" t="s">
        <v>14</v>
      </c>
      <c r="N1092" s="13">
        <v>125057.52</v>
      </c>
      <c r="O1092" s="15">
        <f t="shared" si="712"/>
        <v>3.9999999999906777E-4</v>
      </c>
      <c r="P1092" s="10" t="s">
        <v>84</v>
      </c>
      <c r="Q1092" s="11" t="s">
        <v>2438</v>
      </c>
      <c r="R1092" s="11" t="s">
        <v>2439</v>
      </c>
      <c r="S1092" s="16" t="s">
        <v>2440</v>
      </c>
      <c r="T1092" s="19" t="str">
        <f>MONTH(B1092)&amp;"-"&amp;YEAR(B1092)</f>
        <v>1-2023</v>
      </c>
      <c r="U1092" s="2">
        <f>YEAR(B1092)</f>
        <v>2023</v>
      </c>
      <c r="V1092" s="2" t="str">
        <f>IF(DAY(B1092)&gt;15,MONTH(B1092)&amp;"-C",MONTH(B1092)&amp;"-N")</f>
        <v>1-C</v>
      </c>
      <c r="W1092" s="21">
        <v>11.579000000000001</v>
      </c>
      <c r="X1092" s="2" t="b">
        <f t="shared" si="713"/>
        <v>1</v>
      </c>
    </row>
    <row r="1093" spans="2:24" x14ac:dyDescent="0.2">
      <c r="B1093" s="17">
        <v>44946</v>
      </c>
      <c r="C1093" s="10" t="s">
        <v>73</v>
      </c>
      <c r="D1093" s="11" t="s">
        <v>2441</v>
      </c>
      <c r="E1093" s="26">
        <v>66544</v>
      </c>
      <c r="F1093" s="10" t="s">
        <v>399</v>
      </c>
      <c r="G1093" s="10" t="s">
        <v>46</v>
      </c>
      <c r="H1093" s="27" t="s">
        <v>149</v>
      </c>
      <c r="I1093" s="12" t="s">
        <v>1843</v>
      </c>
      <c r="J1093" s="12" t="s">
        <v>1843</v>
      </c>
      <c r="K1093" s="13">
        <v>2010</v>
      </c>
      <c r="L1093" s="21">
        <v>16.8</v>
      </c>
      <c r="M1093" s="14" t="s">
        <v>14</v>
      </c>
      <c r="N1093" s="13">
        <v>33768</v>
      </c>
      <c r="O1093" s="15">
        <f t="shared" si="712"/>
        <v>0</v>
      </c>
      <c r="P1093" s="10" t="s">
        <v>84</v>
      </c>
      <c r="Q1093" s="11" t="s">
        <v>2442</v>
      </c>
      <c r="R1093" s="11" t="s">
        <v>2443</v>
      </c>
      <c r="S1093" s="16" t="s">
        <v>2444</v>
      </c>
      <c r="T1093" s="19" t="str">
        <f>MONTH(B1093)&amp;"-"&amp;YEAR(B1093)</f>
        <v>1-2023</v>
      </c>
      <c r="U1093" s="2">
        <f>YEAR(B1093)</f>
        <v>2023</v>
      </c>
      <c r="V1093" s="2" t="str">
        <f>IF(DAY(B1093)&gt;15,MONTH(B1093)&amp;"-C",MONTH(B1093)&amp;"-N")</f>
        <v>1-C</v>
      </c>
      <c r="W1093" s="21">
        <v>16.8</v>
      </c>
      <c r="X1093" s="2" t="b">
        <f t="shared" si="713"/>
        <v>1</v>
      </c>
    </row>
    <row r="1094" spans="2:24" x14ac:dyDescent="0.2">
      <c r="B1094" s="17">
        <v>44946</v>
      </c>
      <c r="C1094" s="10" t="s">
        <v>48</v>
      </c>
      <c r="D1094" s="11" t="s">
        <v>2445</v>
      </c>
      <c r="E1094" s="26">
        <v>66597</v>
      </c>
      <c r="F1094" s="10" t="s">
        <v>135</v>
      </c>
      <c r="G1094" s="10" t="s">
        <v>46</v>
      </c>
      <c r="H1094" s="27" t="s">
        <v>136</v>
      </c>
      <c r="I1094" s="12" t="s">
        <v>1843</v>
      </c>
      <c r="J1094" s="12" t="s">
        <v>1843</v>
      </c>
      <c r="K1094" s="13">
        <v>5000</v>
      </c>
      <c r="L1094" s="21">
        <v>12.497999999999999</v>
      </c>
      <c r="M1094" s="14" t="s">
        <v>14</v>
      </c>
      <c r="N1094" s="13">
        <v>62492</v>
      </c>
      <c r="O1094" s="15">
        <f t="shared" si="712"/>
        <v>4.0000000000084412E-4</v>
      </c>
      <c r="P1094" s="10" t="s">
        <v>90</v>
      </c>
      <c r="Q1094" s="11" t="s">
        <v>2446</v>
      </c>
      <c r="R1094" s="11" t="s">
        <v>2447</v>
      </c>
      <c r="S1094" s="16" t="s">
        <v>2448</v>
      </c>
      <c r="T1094" s="19" t="str">
        <f>MONTH(B1094)&amp;"-"&amp;YEAR(B1094)</f>
        <v>1-2023</v>
      </c>
      <c r="U1094" s="2">
        <f>YEAR(B1094)</f>
        <v>2023</v>
      </c>
      <c r="V1094" s="2" t="str">
        <f>IF(DAY(B1094)&gt;15,MONTH(B1094)&amp;"-C",MONTH(B1094)&amp;"-N")</f>
        <v>1-C</v>
      </c>
      <c r="W1094" s="21">
        <v>12.497999999999999</v>
      </c>
      <c r="X1094" s="2" t="b">
        <f t="shared" si="713"/>
        <v>1</v>
      </c>
    </row>
    <row r="1095" spans="2:24" x14ac:dyDescent="0.2">
      <c r="B1095" s="17">
        <v>44946</v>
      </c>
      <c r="C1095" s="10" t="s">
        <v>48</v>
      </c>
      <c r="D1095" s="11" t="s">
        <v>2445</v>
      </c>
      <c r="E1095" s="26">
        <v>66597</v>
      </c>
      <c r="F1095" s="10" t="s">
        <v>71</v>
      </c>
      <c r="G1095" s="10" t="s">
        <v>46</v>
      </c>
      <c r="H1095" s="27" t="s">
        <v>72</v>
      </c>
      <c r="I1095" s="12" t="s">
        <v>1843</v>
      </c>
      <c r="J1095" s="12" t="s">
        <v>1843</v>
      </c>
      <c r="K1095" s="13">
        <v>11000</v>
      </c>
      <c r="L1095" s="21">
        <v>11.946999999999999</v>
      </c>
      <c r="M1095" s="14" t="s">
        <v>14</v>
      </c>
      <c r="N1095" s="13">
        <v>131417</v>
      </c>
      <c r="O1095" s="15">
        <f t="shared" si="712"/>
        <v>0</v>
      </c>
      <c r="P1095" s="10" t="s">
        <v>90</v>
      </c>
      <c r="Q1095" s="11" t="s">
        <v>2446</v>
      </c>
      <c r="R1095" s="11" t="s">
        <v>2447</v>
      </c>
      <c r="S1095" s="16" t="s">
        <v>2448</v>
      </c>
      <c r="T1095" s="19" t="str">
        <f>MONTH(B1095)&amp;"-"&amp;YEAR(B1095)</f>
        <v>1-2023</v>
      </c>
      <c r="U1095" s="2">
        <f>YEAR(B1095)</f>
        <v>2023</v>
      </c>
      <c r="V1095" s="2" t="str">
        <f>IF(DAY(B1095)&gt;15,MONTH(B1095)&amp;"-C",MONTH(B1095)&amp;"-N")</f>
        <v>1-C</v>
      </c>
      <c r="W1095" s="21">
        <v>11.946999999999999</v>
      </c>
      <c r="X1095" s="2" t="b">
        <f t="shared" si="713"/>
        <v>1</v>
      </c>
    </row>
    <row r="1096" spans="2:24" x14ac:dyDescent="0.2">
      <c r="B1096" s="17">
        <v>44946</v>
      </c>
      <c r="C1096" s="10" t="s">
        <v>107</v>
      </c>
      <c r="D1096" s="11" t="s">
        <v>2449</v>
      </c>
      <c r="E1096" s="26">
        <v>66557</v>
      </c>
      <c r="F1096" s="10" t="s">
        <v>103</v>
      </c>
      <c r="G1096" s="10" t="s">
        <v>46</v>
      </c>
      <c r="H1096" s="27" t="s">
        <v>104</v>
      </c>
      <c r="I1096" s="12" t="s">
        <v>1843</v>
      </c>
      <c r="J1096" s="12" t="s">
        <v>1843</v>
      </c>
      <c r="K1096" s="13">
        <v>200</v>
      </c>
      <c r="L1096" s="21">
        <v>47.3</v>
      </c>
      <c r="M1096" s="14" t="s">
        <v>14</v>
      </c>
      <c r="N1096" s="13">
        <v>9460</v>
      </c>
      <c r="O1096" s="15">
        <f t="shared" si="712"/>
        <v>0</v>
      </c>
      <c r="P1096" s="10" t="s">
        <v>84</v>
      </c>
      <c r="Q1096" s="11" t="s">
        <v>2450</v>
      </c>
      <c r="R1096" s="11" t="s">
        <v>2451</v>
      </c>
      <c r="S1096" s="16" t="s">
        <v>2452</v>
      </c>
      <c r="T1096" s="19" t="str">
        <f>MONTH(B1096)&amp;"-"&amp;YEAR(B1096)</f>
        <v>1-2023</v>
      </c>
      <c r="U1096" s="2">
        <f>YEAR(B1096)</f>
        <v>2023</v>
      </c>
      <c r="V1096" s="2" t="str">
        <f>IF(DAY(B1096)&gt;15,MONTH(B1096)&amp;"-C",MONTH(B1096)&amp;"-N")</f>
        <v>1-C</v>
      </c>
      <c r="W1096" s="21">
        <v>47.3</v>
      </c>
      <c r="X1096" s="2" t="b">
        <f t="shared" si="713"/>
        <v>1</v>
      </c>
    </row>
    <row r="1097" spans="2:24" x14ac:dyDescent="0.2">
      <c r="B1097" s="17">
        <v>44946</v>
      </c>
      <c r="C1097" s="10" t="s">
        <v>107</v>
      </c>
      <c r="D1097" s="11" t="s">
        <v>2449</v>
      </c>
      <c r="E1097" s="26">
        <v>66557</v>
      </c>
      <c r="F1097" s="10" t="s">
        <v>105</v>
      </c>
      <c r="G1097" s="10" t="s">
        <v>46</v>
      </c>
      <c r="H1097" s="27" t="s">
        <v>106</v>
      </c>
      <c r="I1097" s="12" t="s">
        <v>1843</v>
      </c>
      <c r="J1097" s="12" t="s">
        <v>1843</v>
      </c>
      <c r="K1097" s="13">
        <v>6160</v>
      </c>
      <c r="L1097" s="21">
        <v>12.23</v>
      </c>
      <c r="M1097" s="14" t="s">
        <v>14</v>
      </c>
      <c r="N1097" s="13">
        <v>75336.800000000003</v>
      </c>
      <c r="O1097" s="15">
        <f t="shared" si="712"/>
        <v>0</v>
      </c>
      <c r="P1097" s="10" t="s">
        <v>84</v>
      </c>
      <c r="Q1097" s="11" t="s">
        <v>2450</v>
      </c>
      <c r="R1097" s="11" t="s">
        <v>2451</v>
      </c>
      <c r="S1097" s="16" t="s">
        <v>2452</v>
      </c>
      <c r="T1097" s="19" t="str">
        <f>MONTH(B1097)&amp;"-"&amp;YEAR(B1097)</f>
        <v>1-2023</v>
      </c>
      <c r="U1097" s="2">
        <f>YEAR(B1097)</f>
        <v>2023</v>
      </c>
      <c r="V1097" s="2" t="str">
        <f>IF(DAY(B1097)&gt;15,MONTH(B1097)&amp;"-C",MONTH(B1097)&amp;"-N")</f>
        <v>1-C</v>
      </c>
      <c r="W1097" s="21">
        <v>12.23</v>
      </c>
      <c r="X1097" s="2" t="b">
        <f t="shared" si="713"/>
        <v>1</v>
      </c>
    </row>
    <row r="1098" spans="2:24" x14ac:dyDescent="0.2">
      <c r="B1098" s="17">
        <v>44947</v>
      </c>
      <c r="C1098" s="10" t="s">
        <v>94</v>
      </c>
      <c r="D1098" s="11" t="s">
        <v>2430</v>
      </c>
      <c r="E1098" s="26">
        <v>66575</v>
      </c>
      <c r="F1098" s="10" t="s">
        <v>26</v>
      </c>
      <c r="G1098" s="10" t="s">
        <v>27</v>
      </c>
      <c r="H1098" s="27" t="s">
        <v>28</v>
      </c>
      <c r="I1098" s="12" t="s">
        <v>1843</v>
      </c>
      <c r="J1098" s="12" t="s">
        <v>1843</v>
      </c>
      <c r="K1098" s="13">
        <v>19800</v>
      </c>
      <c r="L1098" s="21">
        <v>3.9</v>
      </c>
      <c r="M1098" s="14" t="s">
        <v>14</v>
      </c>
      <c r="N1098" s="13">
        <v>77220</v>
      </c>
      <c r="O1098" s="15">
        <f t="shared" ref="O1098" si="714">(N1098/K1098)-L1098</f>
        <v>0</v>
      </c>
      <c r="P1098" s="10" t="s">
        <v>78</v>
      </c>
      <c r="Q1098" s="11" t="s">
        <v>2453</v>
      </c>
      <c r="R1098" s="11" t="s">
        <v>2454</v>
      </c>
      <c r="S1098" s="16" t="s">
        <v>2455</v>
      </c>
      <c r="T1098" s="19" t="str">
        <f>MONTH(B1098)&amp;"-"&amp;YEAR(B1098)</f>
        <v>1-2023</v>
      </c>
      <c r="U1098" s="2">
        <f>YEAR(B1098)</f>
        <v>2023</v>
      </c>
      <c r="V1098" s="2" t="str">
        <f>IF(DAY(B1098)&gt;15,MONTH(B1098)&amp;"-C",MONTH(B1098)&amp;"-N")</f>
        <v>1-C</v>
      </c>
      <c r="W1098" s="21">
        <v>3.9</v>
      </c>
      <c r="X1098" s="2" t="b">
        <f t="shared" ref="X1098" si="715">+L1098=W1098</f>
        <v>1</v>
      </c>
    </row>
    <row r="1099" spans="2:24" x14ac:dyDescent="0.2">
      <c r="B1099" s="17">
        <v>44950</v>
      </c>
      <c r="C1099" s="10" t="s">
        <v>73</v>
      </c>
      <c r="D1099" s="11" t="s">
        <v>2456</v>
      </c>
      <c r="E1099" s="26">
        <v>66608</v>
      </c>
      <c r="F1099" s="10" t="s">
        <v>399</v>
      </c>
      <c r="G1099" s="10" t="s">
        <v>46</v>
      </c>
      <c r="H1099" s="27" t="s">
        <v>149</v>
      </c>
      <c r="I1099" s="12" t="s">
        <v>1843</v>
      </c>
      <c r="J1099" s="12" t="s">
        <v>1843</v>
      </c>
      <c r="K1099" s="13">
        <v>870</v>
      </c>
      <c r="L1099" s="21">
        <v>16.8</v>
      </c>
      <c r="M1099" s="14" t="s">
        <v>14</v>
      </c>
      <c r="N1099" s="13">
        <v>14616</v>
      </c>
      <c r="O1099" s="15">
        <f t="shared" ref="O1099:O1102" si="716">(N1099/K1099)-L1099</f>
        <v>0</v>
      </c>
      <c r="P1099" s="10" t="s">
        <v>84</v>
      </c>
      <c r="Q1099" s="11" t="s">
        <v>2457</v>
      </c>
      <c r="R1099" s="11" t="s">
        <v>2458</v>
      </c>
      <c r="S1099" s="16" t="s">
        <v>2459</v>
      </c>
      <c r="T1099" s="19" t="str">
        <f>MONTH(B1099)&amp;"-"&amp;YEAR(B1099)</f>
        <v>1-2023</v>
      </c>
      <c r="U1099" s="2">
        <f>YEAR(B1099)</f>
        <v>2023</v>
      </c>
      <c r="V1099" s="2" t="str">
        <f>IF(DAY(B1099)&gt;15,MONTH(B1099)&amp;"-C",MONTH(B1099)&amp;"-N")</f>
        <v>1-C</v>
      </c>
      <c r="W1099" s="21">
        <v>16.8</v>
      </c>
      <c r="X1099" s="2" t="b">
        <f t="shared" ref="X1099:X1102" si="717">+L1099=W1099</f>
        <v>1</v>
      </c>
    </row>
    <row r="1100" spans="2:24" x14ac:dyDescent="0.2">
      <c r="B1100" s="17">
        <v>44950</v>
      </c>
      <c r="C1100" s="10" t="s">
        <v>73</v>
      </c>
      <c r="D1100" s="11" t="s">
        <v>2384</v>
      </c>
      <c r="E1100" s="26">
        <v>66608</v>
      </c>
      <c r="F1100" s="10" t="s">
        <v>2385</v>
      </c>
      <c r="G1100" s="10" t="s">
        <v>46</v>
      </c>
      <c r="H1100" s="27" t="s">
        <v>2386</v>
      </c>
      <c r="I1100" s="12" t="s">
        <v>1843</v>
      </c>
      <c r="J1100" s="12" t="s">
        <v>1843</v>
      </c>
      <c r="K1100" s="13">
        <v>2000</v>
      </c>
      <c r="L1100" s="21">
        <v>12.55</v>
      </c>
      <c r="M1100" s="14" t="s">
        <v>14</v>
      </c>
      <c r="N1100" s="13">
        <v>25100</v>
      </c>
      <c r="O1100" s="15">
        <f t="shared" si="716"/>
        <v>0</v>
      </c>
      <c r="P1100" s="10" t="s">
        <v>84</v>
      </c>
      <c r="Q1100" s="11" t="s">
        <v>2457</v>
      </c>
      <c r="R1100" s="11" t="s">
        <v>2458</v>
      </c>
      <c r="S1100" s="16" t="s">
        <v>2459</v>
      </c>
      <c r="T1100" s="19" t="str">
        <f>MONTH(B1100)&amp;"-"&amp;YEAR(B1100)</f>
        <v>1-2023</v>
      </c>
      <c r="U1100" s="2">
        <f>YEAR(B1100)</f>
        <v>2023</v>
      </c>
      <c r="V1100" s="2" t="str">
        <f>IF(DAY(B1100)&gt;15,MONTH(B1100)&amp;"-C",MONTH(B1100)&amp;"-N")</f>
        <v>1-C</v>
      </c>
      <c r="W1100" s="21">
        <v>12.55</v>
      </c>
      <c r="X1100" s="2" t="b">
        <f t="shared" si="717"/>
        <v>1</v>
      </c>
    </row>
    <row r="1101" spans="2:24" x14ac:dyDescent="0.2">
      <c r="B1101" s="17">
        <v>44950</v>
      </c>
      <c r="C1101" s="10" t="s">
        <v>73</v>
      </c>
      <c r="D1101" s="11" t="s">
        <v>2384</v>
      </c>
      <c r="E1101" s="26">
        <v>66608</v>
      </c>
      <c r="F1101" s="10" t="s">
        <v>158</v>
      </c>
      <c r="G1101" s="10" t="s">
        <v>46</v>
      </c>
      <c r="H1101" s="27" t="s">
        <v>159</v>
      </c>
      <c r="I1101" s="12" t="s">
        <v>1843</v>
      </c>
      <c r="J1101" s="12" t="s">
        <v>1843</v>
      </c>
      <c r="K1101" s="13">
        <v>2760</v>
      </c>
      <c r="L1101" s="21">
        <v>12.55</v>
      </c>
      <c r="M1101" s="14" t="s">
        <v>14</v>
      </c>
      <c r="N1101" s="13">
        <v>34638</v>
      </c>
      <c r="O1101" s="15">
        <f t="shared" si="716"/>
        <v>0</v>
      </c>
      <c r="P1101" s="10" t="s">
        <v>84</v>
      </c>
      <c r="Q1101" s="11" t="s">
        <v>2457</v>
      </c>
      <c r="R1101" s="11" t="s">
        <v>2458</v>
      </c>
      <c r="S1101" s="16" t="s">
        <v>2459</v>
      </c>
      <c r="T1101" s="19" t="str">
        <f>MONTH(B1101)&amp;"-"&amp;YEAR(B1101)</f>
        <v>1-2023</v>
      </c>
      <c r="U1101" s="2">
        <f>YEAR(B1101)</f>
        <v>2023</v>
      </c>
      <c r="V1101" s="2" t="str">
        <f>IF(DAY(B1101)&gt;15,MONTH(B1101)&amp;"-C",MONTH(B1101)&amp;"-N")</f>
        <v>1-C</v>
      </c>
      <c r="W1101" s="21">
        <v>12.55</v>
      </c>
      <c r="X1101" s="2" t="b">
        <f t="shared" si="717"/>
        <v>1</v>
      </c>
    </row>
    <row r="1102" spans="2:24" x14ac:dyDescent="0.2">
      <c r="B1102" s="17">
        <v>44951</v>
      </c>
      <c r="C1102" s="10" t="s">
        <v>94</v>
      </c>
      <c r="D1102" s="11" t="s">
        <v>2430</v>
      </c>
      <c r="E1102" s="26">
        <v>66642</v>
      </c>
      <c r="F1102" s="10" t="s">
        <v>26</v>
      </c>
      <c r="G1102" s="10" t="s">
        <v>27</v>
      </c>
      <c r="H1102" s="27" t="s">
        <v>28</v>
      </c>
      <c r="I1102" s="12" t="s">
        <v>1843</v>
      </c>
      <c r="J1102" s="12" t="s">
        <v>1843</v>
      </c>
      <c r="K1102" s="13">
        <v>19800</v>
      </c>
      <c r="L1102" s="21">
        <v>3.9</v>
      </c>
      <c r="M1102" s="14" t="s">
        <v>14</v>
      </c>
      <c r="N1102" s="13">
        <v>77220</v>
      </c>
      <c r="O1102" s="15">
        <f t="shared" si="716"/>
        <v>0</v>
      </c>
      <c r="P1102" s="10" t="s">
        <v>78</v>
      </c>
      <c r="Q1102" s="11" t="s">
        <v>2461</v>
      </c>
      <c r="R1102" s="11" t="s">
        <v>2462</v>
      </c>
      <c r="S1102" s="16" t="s">
        <v>2460</v>
      </c>
      <c r="T1102" s="19" t="str">
        <f>MONTH(B1102)&amp;"-"&amp;YEAR(B1102)</f>
        <v>1-2023</v>
      </c>
      <c r="U1102" s="2">
        <f>YEAR(B1102)</f>
        <v>2023</v>
      </c>
      <c r="V1102" s="2" t="str">
        <f>IF(DAY(B1102)&gt;15,MONTH(B1102)&amp;"-C",MONTH(B1102)&amp;"-N")</f>
        <v>1-C</v>
      </c>
      <c r="W1102" s="21">
        <v>3.9</v>
      </c>
      <c r="X1102" s="2" t="b">
        <f t="shared" si="717"/>
        <v>1</v>
      </c>
    </row>
    <row r="1103" spans="2:24" x14ac:dyDescent="0.2">
      <c r="B1103" s="17">
        <v>44956</v>
      </c>
      <c r="C1103" s="10" t="s">
        <v>94</v>
      </c>
      <c r="D1103" s="11" t="s">
        <v>2430</v>
      </c>
      <c r="E1103" s="26">
        <v>66711</v>
      </c>
      <c r="F1103" s="10" t="s">
        <v>26</v>
      </c>
      <c r="G1103" s="10" t="s">
        <v>27</v>
      </c>
      <c r="H1103" s="27" t="s">
        <v>28</v>
      </c>
      <c r="I1103" s="12" t="s">
        <v>1843</v>
      </c>
      <c r="J1103" s="12" t="s">
        <v>1843</v>
      </c>
      <c r="K1103" s="13">
        <v>16200</v>
      </c>
      <c r="L1103" s="21">
        <v>3.9</v>
      </c>
      <c r="M1103" s="14" t="s">
        <v>14</v>
      </c>
      <c r="N1103" s="13">
        <v>63180</v>
      </c>
      <c r="O1103" s="15">
        <f t="shared" ref="O1103" si="718">(N1103/K1103)-L1103</f>
        <v>0</v>
      </c>
      <c r="P1103" s="10" t="s">
        <v>78</v>
      </c>
      <c r="Q1103" s="11" t="s">
        <v>2464</v>
      </c>
      <c r="R1103" s="11" t="s">
        <v>2463</v>
      </c>
      <c r="S1103" s="16" t="s">
        <v>2465</v>
      </c>
      <c r="T1103" s="19" t="str">
        <f>MONTH(B1103)&amp;"-"&amp;YEAR(B1103)</f>
        <v>1-2023</v>
      </c>
      <c r="U1103" s="2">
        <f>YEAR(B1103)</f>
        <v>2023</v>
      </c>
      <c r="V1103" s="2" t="str">
        <f>IF(DAY(B1103)&gt;15,MONTH(B1103)&amp;"-C",MONTH(B1103)&amp;"-N")</f>
        <v>1-C</v>
      </c>
      <c r="W1103" s="21">
        <v>3.9</v>
      </c>
      <c r="X1103" s="2" t="b">
        <f t="shared" ref="X1103" si="719">+L1103=W1103</f>
        <v>1</v>
      </c>
    </row>
    <row r="1104" spans="2:24" x14ac:dyDescent="0.2">
      <c r="B1104" s="17">
        <v>44957</v>
      </c>
      <c r="C1104" s="10" t="s">
        <v>74</v>
      </c>
      <c r="D1104" s="11" t="s">
        <v>2466</v>
      </c>
      <c r="E1104" s="26">
        <v>66738</v>
      </c>
      <c r="F1104" s="10" t="s">
        <v>127</v>
      </c>
      <c r="G1104" s="10" t="s">
        <v>46</v>
      </c>
      <c r="H1104" s="27" t="s">
        <v>128</v>
      </c>
      <c r="I1104" s="12" t="s">
        <v>1843</v>
      </c>
      <c r="J1104" s="12" t="s">
        <v>1843</v>
      </c>
      <c r="K1104" s="13">
        <v>552</v>
      </c>
      <c r="L1104" s="21">
        <v>14.7</v>
      </c>
      <c r="M1104" s="14" t="s">
        <v>14</v>
      </c>
      <c r="N1104" s="13">
        <v>8114.4</v>
      </c>
      <c r="O1104" s="15">
        <f t="shared" ref="O1104:O1107" si="720">(N1104/K1104)-L1104</f>
        <v>0</v>
      </c>
      <c r="P1104" s="10" t="s">
        <v>84</v>
      </c>
      <c r="Q1104" s="11" t="s">
        <v>2467</v>
      </c>
      <c r="R1104" s="11" t="s">
        <v>2468</v>
      </c>
      <c r="S1104" s="16" t="s">
        <v>2469</v>
      </c>
      <c r="T1104" s="19" t="str">
        <f>MONTH(B1104)&amp;"-"&amp;YEAR(B1104)</f>
        <v>1-2023</v>
      </c>
      <c r="U1104" s="2">
        <f>YEAR(B1104)</f>
        <v>2023</v>
      </c>
      <c r="V1104" s="2" t="str">
        <f>IF(DAY(B1104)&gt;15,MONTH(B1104)&amp;"-C",MONTH(B1104)&amp;"-N")</f>
        <v>1-C</v>
      </c>
      <c r="W1104" s="21">
        <v>14.7</v>
      </c>
      <c r="X1104" s="2" t="b">
        <f t="shared" ref="X1104:X1107" si="721">+L1104=W1104</f>
        <v>1</v>
      </c>
    </row>
    <row r="1105" spans="2:24" x14ac:dyDescent="0.2">
      <c r="B1105" s="17">
        <v>44957</v>
      </c>
      <c r="C1105" s="10" t="s">
        <v>74</v>
      </c>
      <c r="D1105" s="11" t="s">
        <v>2466</v>
      </c>
      <c r="E1105" s="26">
        <v>66738</v>
      </c>
      <c r="F1105" s="10" t="s">
        <v>2331</v>
      </c>
      <c r="G1105" s="10" t="s">
        <v>46</v>
      </c>
      <c r="H1105" s="27" t="s">
        <v>2332</v>
      </c>
      <c r="I1105" s="12" t="s">
        <v>1843</v>
      </c>
      <c r="J1105" s="12" t="s">
        <v>1843</v>
      </c>
      <c r="K1105" s="13">
        <v>1380</v>
      </c>
      <c r="L1105" s="21">
        <v>13.87</v>
      </c>
      <c r="M1105" s="14" t="s">
        <v>22</v>
      </c>
      <c r="N1105" s="13">
        <v>19140.599999999999</v>
      </c>
      <c r="O1105" s="15">
        <f t="shared" si="720"/>
        <v>0</v>
      </c>
      <c r="P1105" s="10" t="s">
        <v>84</v>
      </c>
      <c r="Q1105" s="11" t="s">
        <v>2467</v>
      </c>
      <c r="R1105" s="11" t="s">
        <v>2468</v>
      </c>
      <c r="S1105" s="16" t="s">
        <v>2469</v>
      </c>
      <c r="T1105" s="19" t="str">
        <f>MONTH(B1105)&amp;"-"&amp;YEAR(B1105)</f>
        <v>1-2023</v>
      </c>
      <c r="U1105" s="2">
        <f>YEAR(B1105)</f>
        <v>2023</v>
      </c>
      <c r="V1105" s="2" t="str">
        <f>IF(DAY(B1105)&gt;15,MONTH(B1105)&amp;"-C",MONTH(B1105)&amp;"-N")</f>
        <v>1-C</v>
      </c>
      <c r="W1105" s="21">
        <v>13.87</v>
      </c>
      <c r="X1105" s="2" t="b">
        <f t="shared" si="721"/>
        <v>1</v>
      </c>
    </row>
    <row r="1106" spans="2:24" x14ac:dyDescent="0.2">
      <c r="B1106" s="17">
        <v>44957</v>
      </c>
      <c r="C1106" s="10" t="s">
        <v>74</v>
      </c>
      <c r="D1106" s="11" t="s">
        <v>2466</v>
      </c>
      <c r="E1106" s="26">
        <v>66738</v>
      </c>
      <c r="F1106" s="10" t="s">
        <v>2470</v>
      </c>
      <c r="G1106" s="10" t="s">
        <v>46</v>
      </c>
      <c r="H1106" s="27" t="s">
        <v>2471</v>
      </c>
      <c r="I1106" s="12" t="s">
        <v>1843</v>
      </c>
      <c r="J1106" s="12" t="s">
        <v>1843</v>
      </c>
      <c r="K1106" s="13">
        <v>920</v>
      </c>
      <c r="L1106" s="21">
        <v>11.78</v>
      </c>
      <c r="M1106" s="14" t="s">
        <v>14</v>
      </c>
      <c r="N1106" s="13">
        <v>10837.6</v>
      </c>
      <c r="O1106" s="15">
        <f t="shared" si="720"/>
        <v>0</v>
      </c>
      <c r="P1106" s="10" t="s">
        <v>84</v>
      </c>
      <c r="Q1106" s="11" t="s">
        <v>2467</v>
      </c>
      <c r="R1106" s="11" t="s">
        <v>2468</v>
      </c>
      <c r="S1106" s="16" t="s">
        <v>2469</v>
      </c>
      <c r="T1106" s="19" t="str">
        <f>MONTH(B1106)&amp;"-"&amp;YEAR(B1106)</f>
        <v>1-2023</v>
      </c>
      <c r="U1106" s="2">
        <f>YEAR(B1106)</f>
        <v>2023</v>
      </c>
      <c r="V1106" s="2" t="str">
        <f>IF(DAY(B1106)&gt;15,MONTH(B1106)&amp;"-C",MONTH(B1106)&amp;"-N")</f>
        <v>1-C</v>
      </c>
      <c r="W1106" s="21">
        <v>11.78</v>
      </c>
      <c r="X1106" s="2" t="b">
        <f t="shared" si="721"/>
        <v>1</v>
      </c>
    </row>
    <row r="1107" spans="2:24" x14ac:dyDescent="0.2">
      <c r="B1107" s="17">
        <v>44957</v>
      </c>
      <c r="C1107" s="10" t="s">
        <v>74</v>
      </c>
      <c r="D1107" s="11" t="s">
        <v>2466</v>
      </c>
      <c r="E1107" s="26">
        <v>66738</v>
      </c>
      <c r="F1107" s="10" t="s">
        <v>129</v>
      </c>
      <c r="G1107" s="10" t="s">
        <v>46</v>
      </c>
      <c r="H1107" s="27" t="s">
        <v>130</v>
      </c>
      <c r="I1107" s="12" t="s">
        <v>1843</v>
      </c>
      <c r="J1107" s="12" t="s">
        <v>1843</v>
      </c>
      <c r="K1107" s="13">
        <v>230</v>
      </c>
      <c r="L1107" s="21">
        <v>14.07</v>
      </c>
      <c r="M1107" s="14" t="s">
        <v>14</v>
      </c>
      <c r="N1107" s="13">
        <v>3236.1</v>
      </c>
      <c r="O1107" s="15">
        <f t="shared" si="720"/>
        <v>0</v>
      </c>
      <c r="P1107" s="10" t="s">
        <v>84</v>
      </c>
      <c r="Q1107" s="11" t="s">
        <v>2467</v>
      </c>
      <c r="R1107" s="11" t="s">
        <v>2468</v>
      </c>
      <c r="S1107" s="16" t="s">
        <v>2469</v>
      </c>
      <c r="T1107" s="19" t="str">
        <f>MONTH(B1107)&amp;"-"&amp;YEAR(B1107)</f>
        <v>1-2023</v>
      </c>
      <c r="U1107" s="2">
        <f>YEAR(B1107)</f>
        <v>2023</v>
      </c>
      <c r="V1107" s="2" t="str">
        <f>IF(DAY(B1107)&gt;15,MONTH(B1107)&amp;"-C",MONTH(B1107)&amp;"-N")</f>
        <v>1-C</v>
      </c>
      <c r="W1107" s="21">
        <v>14.07</v>
      </c>
      <c r="X1107" s="2" t="b">
        <f t="shared" si="721"/>
        <v>1</v>
      </c>
    </row>
    <row r="1108" spans="2:24" x14ac:dyDescent="0.2">
      <c r="B1108" s="17">
        <v>44962</v>
      </c>
      <c r="C1108" s="10" t="s">
        <v>94</v>
      </c>
      <c r="D1108" s="11">
        <v>167205</v>
      </c>
      <c r="E1108" s="26">
        <v>66793</v>
      </c>
      <c r="F1108" s="10" t="s">
        <v>26</v>
      </c>
      <c r="G1108" s="10" t="s">
        <v>27</v>
      </c>
      <c r="H1108" s="27" t="s">
        <v>28</v>
      </c>
      <c r="I1108" s="12" t="s">
        <v>1843</v>
      </c>
      <c r="J1108" s="12" t="s">
        <v>1843</v>
      </c>
      <c r="K1108" s="13">
        <v>18900</v>
      </c>
      <c r="L1108" s="21">
        <v>3.9</v>
      </c>
      <c r="M1108" s="14" t="s">
        <v>14</v>
      </c>
      <c r="N1108" s="13">
        <v>73710</v>
      </c>
      <c r="O1108" s="15">
        <f t="shared" ref="O1108:O1109" si="722">(N1108/K1108)-L1108</f>
        <v>0</v>
      </c>
      <c r="P1108" s="10" t="s">
        <v>78</v>
      </c>
      <c r="Q1108" s="11" t="s">
        <v>2472</v>
      </c>
      <c r="R1108" s="11" t="s">
        <v>2473</v>
      </c>
      <c r="S1108" s="16" t="s">
        <v>2474</v>
      </c>
      <c r="T1108" s="19" t="str">
        <f>MONTH(B1108)&amp;"-"&amp;YEAR(B1108)</f>
        <v>2-2023</v>
      </c>
      <c r="U1108" s="2">
        <f>YEAR(B1108)</f>
        <v>2023</v>
      </c>
      <c r="V1108" s="2" t="str">
        <f>IF(DAY(B1108)&gt;15,MONTH(B1108)&amp;"-C",MONTH(B1108)&amp;"-N")</f>
        <v>2-N</v>
      </c>
      <c r="W1108" s="21">
        <v>3.9</v>
      </c>
      <c r="X1108" s="2" t="b">
        <f t="shared" ref="X1108:X1109" si="723">+L1108=W1108</f>
        <v>1</v>
      </c>
    </row>
    <row r="1109" spans="2:24" x14ac:dyDescent="0.2">
      <c r="B1109" s="17">
        <v>44963</v>
      </c>
      <c r="C1109" s="10" t="s">
        <v>82</v>
      </c>
      <c r="D1109" s="11">
        <v>167372</v>
      </c>
      <c r="E1109" s="26">
        <v>66809</v>
      </c>
      <c r="F1109" s="10" t="s">
        <v>33</v>
      </c>
      <c r="G1109" s="10" t="s">
        <v>27</v>
      </c>
      <c r="H1109" s="27" t="s">
        <v>34</v>
      </c>
      <c r="I1109" s="12" t="s">
        <v>1843</v>
      </c>
      <c r="J1109" s="12" t="s">
        <v>1843</v>
      </c>
      <c r="K1109" s="13">
        <v>1440</v>
      </c>
      <c r="L1109" s="21">
        <v>6.75</v>
      </c>
      <c r="M1109" s="14" t="s">
        <v>14</v>
      </c>
      <c r="N1109" s="13">
        <v>9720</v>
      </c>
      <c r="O1109" s="15">
        <f t="shared" si="722"/>
        <v>0</v>
      </c>
      <c r="P1109" s="10" t="s">
        <v>78</v>
      </c>
      <c r="Q1109" s="11" t="s">
        <v>2475</v>
      </c>
      <c r="R1109" s="11" t="s">
        <v>2476</v>
      </c>
      <c r="S1109" s="16" t="s">
        <v>2477</v>
      </c>
      <c r="T1109" s="19" t="str">
        <f>MONTH(B1109)&amp;"-"&amp;YEAR(B1109)</f>
        <v>2-2023</v>
      </c>
      <c r="U1109" s="2">
        <f>YEAR(B1109)</f>
        <v>2023</v>
      </c>
      <c r="V1109" s="2" t="str">
        <f>IF(DAY(B1109)&gt;15,MONTH(B1109)&amp;"-C",MONTH(B1109)&amp;"-N")</f>
        <v>2-N</v>
      </c>
      <c r="W1109" s="21">
        <v>6.75</v>
      </c>
      <c r="X1109" s="2" t="b">
        <f t="shared" si="723"/>
        <v>1</v>
      </c>
    </row>
    <row r="1110" spans="2:24" x14ac:dyDescent="0.2">
      <c r="B1110" s="17">
        <v>44965</v>
      </c>
      <c r="C1110" s="10" t="s">
        <v>25</v>
      </c>
      <c r="D1110" s="11">
        <v>167438</v>
      </c>
      <c r="E1110" s="26">
        <v>66858</v>
      </c>
      <c r="F1110" s="10" t="s">
        <v>29</v>
      </c>
      <c r="G1110" s="10" t="s">
        <v>27</v>
      </c>
      <c r="H1110" s="27" t="s">
        <v>30</v>
      </c>
      <c r="I1110" s="12" t="s">
        <v>1843</v>
      </c>
      <c r="J1110" s="12" t="s">
        <v>1843</v>
      </c>
      <c r="K1110" s="13">
        <v>1980</v>
      </c>
      <c r="L1110" s="21">
        <v>4.0999999999999996</v>
      </c>
      <c r="M1110" s="14" t="s">
        <v>14</v>
      </c>
      <c r="N1110" s="13">
        <v>8118</v>
      </c>
      <c r="O1110" s="15">
        <f t="shared" ref="O1110:O1111" si="724">(N1110/K1110)-L1110</f>
        <v>0</v>
      </c>
      <c r="P1110" s="10" t="s">
        <v>78</v>
      </c>
      <c r="Q1110" s="11" t="s">
        <v>2478</v>
      </c>
      <c r="R1110" s="11" t="s">
        <v>2479</v>
      </c>
      <c r="S1110" s="16" t="s">
        <v>2480</v>
      </c>
      <c r="T1110" s="19" t="str">
        <f>MONTH(B1110)&amp;"-"&amp;YEAR(B1110)</f>
        <v>2-2023</v>
      </c>
      <c r="U1110" s="2">
        <f>YEAR(B1110)</f>
        <v>2023</v>
      </c>
      <c r="V1110" s="2" t="str">
        <f>IF(DAY(B1110)&gt;15,MONTH(B1110)&amp;"-C",MONTH(B1110)&amp;"-N")</f>
        <v>2-N</v>
      </c>
      <c r="W1110" s="21">
        <v>4.0999999999999996</v>
      </c>
      <c r="X1110" s="2" t="b">
        <f t="shared" ref="X1110:X1111" si="725">+L1110=W1110</f>
        <v>1</v>
      </c>
    </row>
    <row r="1111" spans="2:24" x14ac:dyDescent="0.2">
      <c r="B1111" s="17">
        <v>44965</v>
      </c>
      <c r="C1111" s="10" t="s">
        <v>25</v>
      </c>
      <c r="D1111" s="11">
        <v>167438</v>
      </c>
      <c r="E1111" s="26">
        <v>66858</v>
      </c>
      <c r="F1111" s="10" t="s">
        <v>33</v>
      </c>
      <c r="G1111" s="10" t="s">
        <v>27</v>
      </c>
      <c r="H1111" s="27" t="s">
        <v>34</v>
      </c>
      <c r="I1111" s="12" t="s">
        <v>1843</v>
      </c>
      <c r="J1111" s="12" t="s">
        <v>1843</v>
      </c>
      <c r="K1111" s="13">
        <v>2160</v>
      </c>
      <c r="L1111" s="21">
        <v>5.65</v>
      </c>
      <c r="M1111" s="14" t="s">
        <v>14</v>
      </c>
      <c r="N1111" s="13">
        <v>12204</v>
      </c>
      <c r="O1111" s="15">
        <f t="shared" si="724"/>
        <v>0</v>
      </c>
      <c r="P1111" s="10" t="s">
        <v>78</v>
      </c>
      <c r="Q1111" s="11" t="s">
        <v>2478</v>
      </c>
      <c r="R1111" s="11" t="s">
        <v>2479</v>
      </c>
      <c r="S1111" s="16" t="s">
        <v>2480</v>
      </c>
      <c r="T1111" s="19" t="str">
        <f>MONTH(B1111)&amp;"-"&amp;YEAR(B1111)</f>
        <v>2-2023</v>
      </c>
      <c r="U1111" s="2">
        <f>YEAR(B1111)</f>
        <v>2023</v>
      </c>
      <c r="V1111" s="2" t="str">
        <f>IF(DAY(B1111)&gt;15,MONTH(B1111)&amp;"-C",MONTH(B1111)&amp;"-N")</f>
        <v>2-N</v>
      </c>
      <c r="W1111" s="21">
        <v>5.65</v>
      </c>
      <c r="X1111" s="2" t="b">
        <f t="shared" si="725"/>
        <v>1</v>
      </c>
    </row>
    <row r="1112" spans="2:24" x14ac:dyDescent="0.2">
      <c r="B1112" s="17">
        <v>44968</v>
      </c>
      <c r="C1112" s="10" t="s">
        <v>73</v>
      </c>
      <c r="D1112" s="11">
        <v>167787</v>
      </c>
      <c r="E1112" s="26">
        <v>66907</v>
      </c>
      <c r="F1112" s="10" t="s">
        <v>399</v>
      </c>
      <c r="G1112" s="10" t="s">
        <v>46</v>
      </c>
      <c r="H1112" s="27" t="s">
        <v>149</v>
      </c>
      <c r="I1112" s="12" t="s">
        <v>1843</v>
      </c>
      <c r="J1112" s="12" t="s">
        <v>1843</v>
      </c>
      <c r="K1112" s="13">
        <v>1500</v>
      </c>
      <c r="L1112" s="21">
        <v>16.8</v>
      </c>
      <c r="M1112" s="14" t="s">
        <v>14</v>
      </c>
      <c r="N1112" s="13">
        <v>25200</v>
      </c>
      <c r="O1112" s="15">
        <f t="shared" ref="O1112:O1116" si="726">(N1112/K1112)-L1112</f>
        <v>0</v>
      </c>
      <c r="P1112" s="10" t="s">
        <v>84</v>
      </c>
      <c r="Q1112" s="11" t="s">
        <v>2481</v>
      </c>
      <c r="R1112" s="11" t="s">
        <v>2482</v>
      </c>
      <c r="S1112" s="16" t="s">
        <v>2483</v>
      </c>
      <c r="T1112" s="19" t="str">
        <f>MONTH(B1112)&amp;"-"&amp;YEAR(B1112)</f>
        <v>2-2023</v>
      </c>
      <c r="U1112" s="2">
        <f>YEAR(B1112)</f>
        <v>2023</v>
      </c>
      <c r="V1112" s="2" t="str">
        <f>IF(DAY(B1112)&gt;15,MONTH(B1112)&amp;"-C",MONTH(B1112)&amp;"-N")</f>
        <v>2-N</v>
      </c>
      <c r="W1112" s="21">
        <v>16.8</v>
      </c>
      <c r="X1112" s="2" t="b">
        <f t="shared" ref="X1112:X1116" si="727">+L1112=W1112</f>
        <v>1</v>
      </c>
    </row>
    <row r="1113" spans="2:24" x14ac:dyDescent="0.2">
      <c r="B1113" s="17">
        <v>44970</v>
      </c>
      <c r="C1113" s="10" t="s">
        <v>682</v>
      </c>
      <c r="D1113" s="11">
        <v>167494</v>
      </c>
      <c r="E1113" s="26">
        <v>66891</v>
      </c>
      <c r="F1113" s="10" t="s">
        <v>26</v>
      </c>
      <c r="G1113" s="10" t="s">
        <v>27</v>
      </c>
      <c r="H1113" s="27" t="s">
        <v>28</v>
      </c>
      <c r="I1113" s="12" t="s">
        <v>1843</v>
      </c>
      <c r="J1113" s="12" t="s">
        <v>1843</v>
      </c>
      <c r="K1113" s="13">
        <v>10800</v>
      </c>
      <c r="L1113" s="21">
        <v>4.0999999999999996</v>
      </c>
      <c r="M1113" s="14" t="s">
        <v>14</v>
      </c>
      <c r="N1113" s="13">
        <v>44280</v>
      </c>
      <c r="O1113" s="15">
        <f t="shared" si="726"/>
        <v>0</v>
      </c>
      <c r="P1113" s="10" t="s">
        <v>78</v>
      </c>
      <c r="Q1113" s="11" t="s">
        <v>2484</v>
      </c>
      <c r="R1113" s="11" t="s">
        <v>2485</v>
      </c>
      <c r="S1113" s="16" t="s">
        <v>2486</v>
      </c>
      <c r="T1113" s="19" t="str">
        <f>MONTH(B1113)&amp;"-"&amp;YEAR(B1113)</f>
        <v>2-2023</v>
      </c>
      <c r="U1113" s="2">
        <f>YEAR(B1113)</f>
        <v>2023</v>
      </c>
      <c r="V1113" s="2" t="str">
        <f>IF(DAY(B1113)&gt;15,MONTH(B1113)&amp;"-C",MONTH(B1113)&amp;"-N")</f>
        <v>2-N</v>
      </c>
      <c r="W1113" s="21">
        <v>4.0999999999999996</v>
      </c>
      <c r="X1113" s="2" t="b">
        <f t="shared" si="727"/>
        <v>1</v>
      </c>
    </row>
    <row r="1114" spans="2:24" x14ac:dyDescent="0.2">
      <c r="B1114" s="17">
        <v>44970</v>
      </c>
      <c r="C1114" s="10" t="s">
        <v>682</v>
      </c>
      <c r="D1114" s="11">
        <v>167494</v>
      </c>
      <c r="E1114" s="26">
        <v>66914</v>
      </c>
      <c r="F1114" s="10" t="s">
        <v>26</v>
      </c>
      <c r="G1114" s="10" t="s">
        <v>27</v>
      </c>
      <c r="H1114" s="27" t="s">
        <v>28</v>
      </c>
      <c r="I1114" s="12" t="s">
        <v>1843</v>
      </c>
      <c r="J1114" s="12" t="s">
        <v>1843</v>
      </c>
      <c r="K1114" s="13">
        <v>9210</v>
      </c>
      <c r="L1114" s="21">
        <v>4.0999999999999996</v>
      </c>
      <c r="M1114" s="14" t="s">
        <v>14</v>
      </c>
      <c r="N1114" s="13">
        <v>37761</v>
      </c>
      <c r="O1114" s="15">
        <f t="shared" si="726"/>
        <v>0</v>
      </c>
      <c r="P1114" s="10" t="s">
        <v>78</v>
      </c>
      <c r="Q1114" s="11" t="s">
        <v>2484</v>
      </c>
      <c r="R1114" s="11" t="s">
        <v>2485</v>
      </c>
      <c r="S1114" s="16" t="s">
        <v>2486</v>
      </c>
      <c r="T1114" s="19" t="str">
        <f>MONTH(B1114)&amp;"-"&amp;YEAR(B1114)</f>
        <v>2-2023</v>
      </c>
      <c r="U1114" s="2">
        <f>YEAR(B1114)</f>
        <v>2023</v>
      </c>
      <c r="V1114" s="2" t="str">
        <f>IF(DAY(B1114)&gt;15,MONTH(B1114)&amp;"-C",MONTH(B1114)&amp;"-N")</f>
        <v>2-N</v>
      </c>
      <c r="W1114" s="21">
        <v>4.0999999999999996</v>
      </c>
      <c r="X1114" s="2" t="b">
        <f t="shared" si="727"/>
        <v>1</v>
      </c>
    </row>
    <row r="1115" spans="2:24" x14ac:dyDescent="0.2">
      <c r="B1115" s="17">
        <v>44970</v>
      </c>
      <c r="C1115" s="10" t="s">
        <v>88</v>
      </c>
      <c r="D1115" s="11">
        <v>167716</v>
      </c>
      <c r="E1115" s="26">
        <v>66915</v>
      </c>
      <c r="F1115" s="10" t="s">
        <v>2422</v>
      </c>
      <c r="G1115" s="10" t="s">
        <v>46</v>
      </c>
      <c r="H1115" s="27" t="s">
        <v>2423</v>
      </c>
      <c r="I1115" s="12" t="s">
        <v>1843</v>
      </c>
      <c r="J1115" s="12" t="s">
        <v>1843</v>
      </c>
      <c r="K1115" s="13">
        <v>1500</v>
      </c>
      <c r="L1115" s="21">
        <v>9.11</v>
      </c>
      <c r="M1115" s="14" t="s">
        <v>14</v>
      </c>
      <c r="N1115" s="13">
        <v>13665</v>
      </c>
      <c r="O1115" s="15">
        <f t="shared" si="726"/>
        <v>0</v>
      </c>
      <c r="P1115" s="10" t="s">
        <v>84</v>
      </c>
      <c r="Q1115" s="11" t="s">
        <v>2487</v>
      </c>
      <c r="R1115" s="11" t="s">
        <v>2488</v>
      </c>
      <c r="S1115" s="16" t="s">
        <v>2489</v>
      </c>
      <c r="T1115" s="19" t="str">
        <f>MONTH(B1115)&amp;"-"&amp;YEAR(B1115)</f>
        <v>2-2023</v>
      </c>
      <c r="U1115" s="2">
        <f>YEAR(B1115)</f>
        <v>2023</v>
      </c>
      <c r="V1115" s="2" t="str">
        <f>IF(DAY(B1115)&gt;15,MONTH(B1115)&amp;"-C",MONTH(B1115)&amp;"-N")</f>
        <v>2-N</v>
      </c>
      <c r="W1115" s="21">
        <v>9.11</v>
      </c>
      <c r="X1115" s="2" t="b">
        <f t="shared" si="727"/>
        <v>1</v>
      </c>
    </row>
    <row r="1116" spans="2:24" x14ac:dyDescent="0.2">
      <c r="B1116" s="17">
        <v>44970</v>
      </c>
      <c r="C1116" s="10" t="s">
        <v>88</v>
      </c>
      <c r="D1116" s="11">
        <v>167716</v>
      </c>
      <c r="E1116" s="26">
        <v>66915</v>
      </c>
      <c r="F1116" s="10" t="s">
        <v>1329</v>
      </c>
      <c r="G1116" s="10" t="s">
        <v>46</v>
      </c>
      <c r="H1116" s="27" t="s">
        <v>1343</v>
      </c>
      <c r="I1116" s="12" t="s">
        <v>1843</v>
      </c>
      <c r="J1116" s="12" t="s">
        <v>1843</v>
      </c>
      <c r="K1116" s="13">
        <v>225</v>
      </c>
      <c r="L1116" s="21">
        <v>19.8</v>
      </c>
      <c r="M1116" s="14" t="s">
        <v>14</v>
      </c>
      <c r="N1116" s="13">
        <v>4455</v>
      </c>
      <c r="O1116" s="15">
        <f t="shared" si="726"/>
        <v>0</v>
      </c>
      <c r="P1116" s="10" t="s">
        <v>84</v>
      </c>
      <c r="Q1116" s="11" t="s">
        <v>2487</v>
      </c>
      <c r="R1116" s="11" t="s">
        <v>2488</v>
      </c>
      <c r="S1116" s="16" t="s">
        <v>2489</v>
      </c>
      <c r="T1116" s="19" t="str">
        <f>MONTH(B1116)&amp;"-"&amp;YEAR(B1116)</f>
        <v>2-2023</v>
      </c>
      <c r="U1116" s="2">
        <f>YEAR(B1116)</f>
        <v>2023</v>
      </c>
      <c r="V1116" s="2" t="str">
        <f>IF(DAY(B1116)&gt;15,MONTH(B1116)&amp;"-C",MONTH(B1116)&amp;"-N")</f>
        <v>2-N</v>
      </c>
      <c r="W1116" s="21">
        <v>19.8</v>
      </c>
      <c r="X1116" s="2" t="b">
        <f t="shared" si="727"/>
        <v>1</v>
      </c>
    </row>
    <row r="1117" spans="2:24" x14ac:dyDescent="0.2">
      <c r="B1117" s="17">
        <v>44975</v>
      </c>
      <c r="C1117" s="10" t="s">
        <v>682</v>
      </c>
      <c r="D1117" s="11">
        <v>167494</v>
      </c>
      <c r="E1117" s="26">
        <v>66983</v>
      </c>
      <c r="F1117" s="10" t="s">
        <v>26</v>
      </c>
      <c r="G1117" s="10" t="s">
        <v>27</v>
      </c>
      <c r="H1117" s="27" t="s">
        <v>28</v>
      </c>
      <c r="I1117" s="12" t="s">
        <v>1843</v>
      </c>
      <c r="J1117" s="12" t="s">
        <v>1843</v>
      </c>
      <c r="K1117" s="13">
        <v>10800</v>
      </c>
      <c r="L1117" s="21">
        <v>4.0999999999999996</v>
      </c>
      <c r="M1117" s="14" t="s">
        <v>14</v>
      </c>
      <c r="N1117" s="13">
        <v>44280</v>
      </c>
      <c r="O1117" s="15">
        <f t="shared" ref="O1117:O1118" si="728">(N1117/K1117)-L1117</f>
        <v>0</v>
      </c>
      <c r="P1117" s="10" t="s">
        <v>78</v>
      </c>
      <c r="Q1117" s="11" t="s">
        <v>2490</v>
      </c>
      <c r="R1117" s="11" t="s">
        <v>2491</v>
      </c>
      <c r="S1117" s="16" t="s">
        <v>2492</v>
      </c>
      <c r="T1117" s="19" t="str">
        <f>MONTH(B1117)&amp;"-"&amp;YEAR(B1117)</f>
        <v>2-2023</v>
      </c>
      <c r="U1117" s="2">
        <f>YEAR(B1117)</f>
        <v>2023</v>
      </c>
      <c r="V1117" s="2" t="str">
        <f>IF(DAY(B1117)&gt;15,MONTH(B1117)&amp;"-C",MONTH(B1117)&amp;"-N")</f>
        <v>2-C</v>
      </c>
      <c r="W1117" s="21">
        <v>4.0999999999999996</v>
      </c>
      <c r="X1117" s="2" t="b">
        <f t="shared" ref="X1117:X1118" si="729">+L1117=W1117</f>
        <v>1</v>
      </c>
    </row>
    <row r="1118" spans="2:24" x14ac:dyDescent="0.2">
      <c r="B1118" s="17">
        <v>44975</v>
      </c>
      <c r="C1118" s="10" t="s">
        <v>682</v>
      </c>
      <c r="D1118" s="11">
        <v>167494</v>
      </c>
      <c r="E1118" s="26">
        <v>66997</v>
      </c>
      <c r="F1118" s="10" t="s">
        <v>26</v>
      </c>
      <c r="G1118" s="10" t="s">
        <v>27</v>
      </c>
      <c r="H1118" s="27" t="s">
        <v>28</v>
      </c>
      <c r="I1118" s="12" t="s">
        <v>1843</v>
      </c>
      <c r="J1118" s="12" t="s">
        <v>1843</v>
      </c>
      <c r="K1118" s="13">
        <v>9000</v>
      </c>
      <c r="L1118" s="21">
        <v>4.0999999999999996</v>
      </c>
      <c r="M1118" s="14" t="s">
        <v>14</v>
      </c>
      <c r="N1118" s="13">
        <v>36900</v>
      </c>
      <c r="O1118" s="15">
        <f t="shared" si="728"/>
        <v>0</v>
      </c>
      <c r="P1118" s="10" t="s">
        <v>78</v>
      </c>
      <c r="Q1118" s="11" t="s">
        <v>2490</v>
      </c>
      <c r="R1118" s="11" t="s">
        <v>2491</v>
      </c>
      <c r="S1118" s="16" t="s">
        <v>2492</v>
      </c>
      <c r="T1118" s="19" t="str">
        <f>MONTH(B1118)&amp;"-"&amp;YEAR(B1118)</f>
        <v>2-2023</v>
      </c>
      <c r="U1118" s="2">
        <f>YEAR(B1118)</f>
        <v>2023</v>
      </c>
      <c r="V1118" s="2" t="str">
        <f>IF(DAY(B1118)&gt;15,MONTH(B1118)&amp;"-C",MONTH(B1118)&amp;"-N")</f>
        <v>2-C</v>
      </c>
      <c r="W1118" s="21">
        <v>4.0999999999999996</v>
      </c>
      <c r="X1118" s="2" t="b">
        <f t="shared" si="729"/>
        <v>1</v>
      </c>
    </row>
    <row r="1119" spans="2:24" x14ac:dyDescent="0.2">
      <c r="B1119" s="17">
        <v>44978</v>
      </c>
      <c r="C1119" s="10" t="s">
        <v>94</v>
      </c>
      <c r="D1119" s="11">
        <v>167205</v>
      </c>
      <c r="E1119" s="26">
        <v>67047</v>
      </c>
      <c r="F1119" s="10" t="s">
        <v>26</v>
      </c>
      <c r="G1119" s="10" t="s">
        <v>27</v>
      </c>
      <c r="H1119" s="27" t="s">
        <v>28</v>
      </c>
      <c r="I1119" s="12" t="s">
        <v>1843</v>
      </c>
      <c r="J1119" s="12" t="s">
        <v>1843</v>
      </c>
      <c r="K1119" s="13">
        <v>15300</v>
      </c>
      <c r="L1119" s="21">
        <v>3.9</v>
      </c>
      <c r="M1119" s="14" t="s">
        <v>14</v>
      </c>
      <c r="N1119" s="13">
        <v>59670</v>
      </c>
      <c r="O1119" s="15">
        <f t="shared" ref="O1119" si="730">(N1119/K1119)-L1119</f>
        <v>0</v>
      </c>
      <c r="P1119" s="10" t="s">
        <v>78</v>
      </c>
      <c r="Q1119" s="11" t="s">
        <v>2493</v>
      </c>
      <c r="R1119" s="11" t="s">
        <v>2494</v>
      </c>
      <c r="S1119" s="16" t="s">
        <v>2495</v>
      </c>
      <c r="T1119" s="19" t="str">
        <f>MONTH(B1119)&amp;"-"&amp;YEAR(B1119)</f>
        <v>2-2023</v>
      </c>
      <c r="U1119" s="2">
        <f>YEAR(B1119)</f>
        <v>2023</v>
      </c>
      <c r="V1119" s="2" t="str">
        <f>IF(DAY(B1119)&gt;15,MONTH(B1119)&amp;"-C",MONTH(B1119)&amp;"-N")</f>
        <v>2-C</v>
      </c>
      <c r="W1119" s="21">
        <v>3.9</v>
      </c>
      <c r="X1119" s="2" t="b">
        <f t="shared" ref="X1119" si="731">+L1119=W1119</f>
        <v>1</v>
      </c>
    </row>
    <row r="1120" spans="2:24" x14ac:dyDescent="0.2">
      <c r="B1120" s="17">
        <v>44981</v>
      </c>
      <c r="C1120" s="10" t="s">
        <v>682</v>
      </c>
      <c r="D1120" s="11">
        <v>167494</v>
      </c>
      <c r="E1120" s="26">
        <v>67094</v>
      </c>
      <c r="F1120" s="10" t="s">
        <v>26</v>
      </c>
      <c r="G1120" s="10" t="s">
        <v>27</v>
      </c>
      <c r="H1120" s="27" t="s">
        <v>28</v>
      </c>
      <c r="I1120" s="12" t="s">
        <v>1843</v>
      </c>
      <c r="J1120" s="12" t="s">
        <v>1843</v>
      </c>
      <c r="K1120" s="13">
        <v>10</v>
      </c>
      <c r="L1120" s="21">
        <v>4.0999999999999996</v>
      </c>
      <c r="M1120" s="14" t="s">
        <v>14</v>
      </c>
      <c r="N1120" s="13">
        <v>41</v>
      </c>
      <c r="O1120" s="15">
        <f t="shared" ref="O1120" si="732">(N1120/K1120)-L1120</f>
        <v>0</v>
      </c>
      <c r="P1120" s="10" t="s">
        <v>78</v>
      </c>
      <c r="Q1120" s="11" t="s">
        <v>2496</v>
      </c>
      <c r="R1120" s="11" t="s">
        <v>2491</v>
      </c>
      <c r="S1120" s="16" t="s">
        <v>2497</v>
      </c>
      <c r="T1120" s="19" t="str">
        <f>MONTH(B1120)&amp;"-"&amp;YEAR(B1120)</f>
        <v>2-2023</v>
      </c>
      <c r="U1120" s="2">
        <f>YEAR(B1120)</f>
        <v>2023</v>
      </c>
      <c r="V1120" s="2" t="str">
        <f>IF(DAY(B1120)&gt;15,MONTH(B1120)&amp;"-C",MONTH(B1120)&amp;"-N")</f>
        <v>2-C</v>
      </c>
      <c r="W1120" s="21">
        <v>4.0999999999999996</v>
      </c>
      <c r="X1120" s="2" t="b">
        <f t="shared" ref="X1120" si="733">+L1120=W1120</f>
        <v>1</v>
      </c>
    </row>
    <row r="1121" spans="2:24" x14ac:dyDescent="0.2">
      <c r="B1121" s="17">
        <v>44982</v>
      </c>
      <c r="C1121" s="10" t="s">
        <v>73</v>
      </c>
      <c r="D1121" s="11">
        <v>167888</v>
      </c>
      <c r="E1121" s="26">
        <v>67125</v>
      </c>
      <c r="F1121" s="10" t="s">
        <v>399</v>
      </c>
      <c r="G1121" s="10" t="s">
        <v>46</v>
      </c>
      <c r="H1121" s="27" t="s">
        <v>149</v>
      </c>
      <c r="I1121" s="12" t="s">
        <v>1843</v>
      </c>
      <c r="J1121" s="12" t="s">
        <v>1843</v>
      </c>
      <c r="K1121" s="13">
        <v>1050</v>
      </c>
      <c r="L1121" s="21">
        <v>16.8</v>
      </c>
      <c r="M1121" s="14" t="s">
        <v>14</v>
      </c>
      <c r="N1121" s="13">
        <v>17640</v>
      </c>
      <c r="O1121" s="15">
        <f t="shared" ref="O1121:O1124" si="734">(N1121/K1121)-L1121</f>
        <v>0</v>
      </c>
      <c r="P1121" s="10" t="s">
        <v>84</v>
      </c>
      <c r="Q1121" s="11" t="s">
        <v>2498</v>
      </c>
      <c r="R1121" s="11" t="s">
        <v>2499</v>
      </c>
      <c r="S1121" s="16" t="s">
        <v>2500</v>
      </c>
      <c r="T1121" s="19" t="str">
        <f>MONTH(B1121)&amp;"-"&amp;YEAR(B1121)</f>
        <v>2-2023</v>
      </c>
      <c r="U1121" s="2">
        <f>YEAR(B1121)</f>
        <v>2023</v>
      </c>
      <c r="V1121" s="2" t="str">
        <f>IF(DAY(B1121)&gt;15,MONTH(B1121)&amp;"-C",MONTH(B1121)&amp;"-N")</f>
        <v>2-C</v>
      </c>
      <c r="W1121" s="21">
        <v>16.8</v>
      </c>
      <c r="X1121" s="2" t="b">
        <f t="shared" ref="X1121:X1124" si="735">+L1121=W1121</f>
        <v>1</v>
      </c>
    </row>
    <row r="1122" spans="2:24" x14ac:dyDescent="0.2">
      <c r="B1122" s="17">
        <v>44982</v>
      </c>
      <c r="C1122" s="10" t="s">
        <v>73</v>
      </c>
      <c r="D1122" s="11">
        <v>167342</v>
      </c>
      <c r="E1122" s="26">
        <v>67125</v>
      </c>
      <c r="F1122" s="10" t="s">
        <v>2385</v>
      </c>
      <c r="G1122" s="10" t="s">
        <v>46</v>
      </c>
      <c r="H1122" s="27" t="s">
        <v>2386</v>
      </c>
      <c r="I1122" s="12" t="s">
        <v>1843</v>
      </c>
      <c r="J1122" s="12" t="s">
        <v>1843</v>
      </c>
      <c r="K1122" s="13">
        <v>2000</v>
      </c>
      <c r="L1122" s="21">
        <v>12.55</v>
      </c>
      <c r="M1122" s="14" t="s">
        <v>14</v>
      </c>
      <c r="N1122" s="13">
        <v>25100</v>
      </c>
      <c r="O1122" s="15">
        <f t="shared" si="734"/>
        <v>0</v>
      </c>
      <c r="P1122" s="10" t="s">
        <v>84</v>
      </c>
      <c r="Q1122" s="11" t="s">
        <v>2498</v>
      </c>
      <c r="R1122" s="11" t="s">
        <v>2499</v>
      </c>
      <c r="S1122" s="16" t="s">
        <v>2500</v>
      </c>
      <c r="T1122" s="19" t="str">
        <f>MONTH(B1122)&amp;"-"&amp;YEAR(B1122)</f>
        <v>2-2023</v>
      </c>
      <c r="U1122" s="2">
        <f>YEAR(B1122)</f>
        <v>2023</v>
      </c>
      <c r="V1122" s="2" t="str">
        <f>IF(DAY(B1122)&gt;15,MONTH(B1122)&amp;"-C",MONTH(B1122)&amp;"-N")</f>
        <v>2-C</v>
      </c>
      <c r="W1122" s="21">
        <v>12.55</v>
      </c>
      <c r="X1122" s="2" t="b">
        <f t="shared" si="735"/>
        <v>1</v>
      </c>
    </row>
    <row r="1123" spans="2:24" x14ac:dyDescent="0.2">
      <c r="B1123" s="17">
        <v>44982</v>
      </c>
      <c r="C1123" s="10" t="s">
        <v>73</v>
      </c>
      <c r="D1123" s="11">
        <v>167342</v>
      </c>
      <c r="E1123" s="26">
        <v>67125</v>
      </c>
      <c r="F1123" s="10" t="s">
        <v>158</v>
      </c>
      <c r="G1123" s="10" t="s">
        <v>46</v>
      </c>
      <c r="H1123" s="27" t="s">
        <v>159</v>
      </c>
      <c r="I1123" s="12" t="s">
        <v>1843</v>
      </c>
      <c r="J1123" s="12" t="s">
        <v>1843</v>
      </c>
      <c r="K1123" s="13">
        <v>2760</v>
      </c>
      <c r="L1123" s="21">
        <v>12.55</v>
      </c>
      <c r="M1123" s="14" t="s">
        <v>14</v>
      </c>
      <c r="N1123" s="13">
        <v>34638</v>
      </c>
      <c r="O1123" s="15">
        <f t="shared" si="734"/>
        <v>0</v>
      </c>
      <c r="P1123" s="10" t="s">
        <v>84</v>
      </c>
      <c r="Q1123" s="11" t="s">
        <v>2498</v>
      </c>
      <c r="R1123" s="11" t="s">
        <v>2499</v>
      </c>
      <c r="S1123" s="16" t="s">
        <v>2500</v>
      </c>
      <c r="T1123" s="19" t="str">
        <f>MONTH(B1123)&amp;"-"&amp;YEAR(B1123)</f>
        <v>2-2023</v>
      </c>
      <c r="U1123" s="2">
        <f>YEAR(B1123)</f>
        <v>2023</v>
      </c>
      <c r="V1123" s="2" t="str">
        <f>IF(DAY(B1123)&gt;15,MONTH(B1123)&amp;"-C",MONTH(B1123)&amp;"-N")</f>
        <v>2-C</v>
      </c>
      <c r="W1123" s="21">
        <v>12.55</v>
      </c>
      <c r="X1123" s="2" t="b">
        <f t="shared" si="735"/>
        <v>1</v>
      </c>
    </row>
    <row r="1124" spans="2:24" x14ac:dyDescent="0.2">
      <c r="B1124" s="17">
        <v>44982</v>
      </c>
      <c r="C1124" s="10" t="s">
        <v>94</v>
      </c>
      <c r="D1124" s="11">
        <v>167205</v>
      </c>
      <c r="E1124" s="26">
        <v>67115</v>
      </c>
      <c r="F1124" s="10" t="s">
        <v>26</v>
      </c>
      <c r="G1124" s="10" t="s">
        <v>27</v>
      </c>
      <c r="H1124" s="27" t="s">
        <v>28</v>
      </c>
      <c r="I1124" s="12" t="s">
        <v>1843</v>
      </c>
      <c r="J1124" s="12" t="s">
        <v>1843</v>
      </c>
      <c r="K1124" s="13">
        <v>16200</v>
      </c>
      <c r="L1124" s="21">
        <v>3.9</v>
      </c>
      <c r="M1124" s="14" t="s">
        <v>14</v>
      </c>
      <c r="N1124" s="13">
        <v>63180</v>
      </c>
      <c r="O1124" s="15">
        <f t="shared" si="734"/>
        <v>0</v>
      </c>
      <c r="P1124" s="10" t="s">
        <v>78</v>
      </c>
      <c r="Q1124" s="11" t="s">
        <v>2501</v>
      </c>
      <c r="R1124" s="11" t="s">
        <v>2502</v>
      </c>
      <c r="S1124" s="16" t="s">
        <v>2503</v>
      </c>
      <c r="T1124" s="19" t="str">
        <f>MONTH(B1124)&amp;"-"&amp;YEAR(B1124)</f>
        <v>2-2023</v>
      </c>
      <c r="U1124" s="2">
        <f>YEAR(B1124)</f>
        <v>2023</v>
      </c>
      <c r="V1124" s="2" t="str">
        <f>IF(DAY(B1124)&gt;15,MONTH(B1124)&amp;"-C",MONTH(B1124)&amp;"-N")</f>
        <v>2-C</v>
      </c>
      <c r="W1124" s="21">
        <v>3.9</v>
      </c>
      <c r="X1124" s="2" t="b">
        <f t="shared" si="735"/>
        <v>1</v>
      </c>
    </row>
    <row r="1125" spans="2:24" x14ac:dyDescent="0.2">
      <c r="B1125" s="17">
        <v>44984</v>
      </c>
      <c r="C1125" s="10" t="s">
        <v>73</v>
      </c>
      <c r="D1125" s="11">
        <v>167888</v>
      </c>
      <c r="E1125" s="26">
        <v>67131</v>
      </c>
      <c r="F1125" s="10" t="s">
        <v>399</v>
      </c>
      <c r="G1125" s="10" t="s">
        <v>46</v>
      </c>
      <c r="H1125" s="27" t="s">
        <v>149</v>
      </c>
      <c r="I1125" s="12" t="s">
        <v>1843</v>
      </c>
      <c r="J1125" s="12" t="s">
        <v>1843</v>
      </c>
      <c r="K1125" s="13">
        <v>1050</v>
      </c>
      <c r="L1125" s="21">
        <v>16.8</v>
      </c>
      <c r="M1125" s="14" t="s">
        <v>14</v>
      </c>
      <c r="N1125" s="13">
        <v>17640</v>
      </c>
      <c r="O1125" s="15">
        <f t="shared" ref="O1125" si="736">(N1125/K1125)-L1125</f>
        <v>0</v>
      </c>
      <c r="P1125" s="10" t="s">
        <v>84</v>
      </c>
      <c r="Q1125" s="11" t="s">
        <v>2504</v>
      </c>
      <c r="R1125" s="11" t="s">
        <v>2505</v>
      </c>
      <c r="S1125" s="16" t="s">
        <v>2506</v>
      </c>
      <c r="T1125" s="19" t="str">
        <f>MONTH(B1125)&amp;"-"&amp;YEAR(B1125)</f>
        <v>2-2023</v>
      </c>
      <c r="U1125" s="2">
        <f>YEAR(B1125)</f>
        <v>2023</v>
      </c>
      <c r="V1125" s="2" t="str">
        <f>IF(DAY(B1125)&gt;15,MONTH(B1125)&amp;"-C",MONTH(B1125)&amp;"-N")</f>
        <v>2-C</v>
      </c>
      <c r="W1125" s="21">
        <v>16.8</v>
      </c>
      <c r="X1125" s="2" t="b">
        <f t="shared" ref="X1125" si="737">+L1125=W1125</f>
        <v>1</v>
      </c>
    </row>
    <row r="1126" spans="2:24" x14ac:dyDescent="0.2">
      <c r="B1126" s="17">
        <v>44988</v>
      </c>
      <c r="C1126" s="10" t="s">
        <v>94</v>
      </c>
      <c r="D1126" s="11" t="s">
        <v>2534</v>
      </c>
      <c r="E1126" s="26">
        <v>67209</v>
      </c>
      <c r="F1126" s="10" t="s">
        <v>26</v>
      </c>
      <c r="G1126" s="10" t="s">
        <v>27</v>
      </c>
      <c r="H1126" s="27" t="s">
        <v>28</v>
      </c>
      <c r="I1126" s="12" t="s">
        <v>1843</v>
      </c>
      <c r="J1126" s="12" t="s">
        <v>1843</v>
      </c>
      <c r="K1126" s="13">
        <v>16200</v>
      </c>
      <c r="L1126" s="21">
        <v>4.05</v>
      </c>
      <c r="M1126" s="14" t="s">
        <v>14</v>
      </c>
      <c r="N1126" s="13">
        <v>65610</v>
      </c>
      <c r="O1126" s="15">
        <f t="shared" ref="O1126" si="738">(N1126/K1126)-L1126</f>
        <v>0</v>
      </c>
      <c r="P1126" s="10" t="s">
        <v>78</v>
      </c>
      <c r="Q1126" s="11" t="s">
        <v>2535</v>
      </c>
      <c r="R1126" s="11" t="s">
        <v>2536</v>
      </c>
      <c r="S1126" s="16" t="s">
        <v>2537</v>
      </c>
      <c r="T1126" s="19" t="str">
        <f>MONTH(B1126)&amp;"-"&amp;YEAR(B1126)</f>
        <v>3-2023</v>
      </c>
      <c r="U1126" s="2">
        <f>YEAR(B1126)</f>
        <v>2023</v>
      </c>
      <c r="V1126" s="2" t="str">
        <f>IF(DAY(B1126)&gt;15,MONTH(B1126)&amp;"-C",MONTH(B1126)&amp;"-N")</f>
        <v>3-N</v>
      </c>
      <c r="W1126" s="21">
        <v>4.05</v>
      </c>
      <c r="X1126" s="2" t="b">
        <f t="shared" ref="X1126" si="739">+L1126=W1126</f>
        <v>1</v>
      </c>
    </row>
    <row r="1127" spans="2:24" x14ac:dyDescent="0.2">
      <c r="B1127" s="17">
        <v>44991</v>
      </c>
      <c r="C1127" s="10" t="s">
        <v>88</v>
      </c>
      <c r="D1127" s="11" t="s">
        <v>2522</v>
      </c>
      <c r="E1127" s="26">
        <v>67240</v>
      </c>
      <c r="F1127" s="10" t="s">
        <v>98</v>
      </c>
      <c r="G1127" s="10" t="s">
        <v>46</v>
      </c>
      <c r="H1127" s="27" t="s">
        <v>99</v>
      </c>
      <c r="I1127" s="12" t="s">
        <v>1843</v>
      </c>
      <c r="J1127" s="12" t="s">
        <v>1843</v>
      </c>
      <c r="K1127" s="13">
        <v>40</v>
      </c>
      <c r="L1127" s="21">
        <v>11.63</v>
      </c>
      <c r="M1127" s="14" t="s">
        <v>14</v>
      </c>
      <c r="N1127" s="13">
        <v>465.2</v>
      </c>
      <c r="O1127" s="15">
        <f t="shared" ref="O1127:O1130" si="740">(N1127/K1127)-L1127</f>
        <v>0</v>
      </c>
      <c r="P1127" s="10" t="s">
        <v>84</v>
      </c>
      <c r="Q1127" s="11" t="s">
        <v>2523</v>
      </c>
      <c r="R1127" s="11" t="s">
        <v>2524</v>
      </c>
      <c r="S1127" s="16" t="s">
        <v>2525</v>
      </c>
      <c r="T1127" s="19" t="str">
        <f>MONTH(B1127)&amp;"-"&amp;YEAR(B1127)</f>
        <v>3-2023</v>
      </c>
      <c r="U1127" s="2">
        <f>YEAR(B1127)</f>
        <v>2023</v>
      </c>
      <c r="V1127" s="2" t="str">
        <f>IF(DAY(B1127)&gt;15,MONTH(B1127)&amp;"-C",MONTH(B1127)&amp;"-N")</f>
        <v>3-N</v>
      </c>
      <c r="W1127" s="21">
        <v>11.63</v>
      </c>
      <c r="X1127" s="2" t="b">
        <f t="shared" ref="X1127:X1130" si="741">+L1127=W1127</f>
        <v>1</v>
      </c>
    </row>
    <row r="1128" spans="2:24" x14ac:dyDescent="0.2">
      <c r="B1128" s="17">
        <v>44991</v>
      </c>
      <c r="C1128" s="10" t="s">
        <v>88</v>
      </c>
      <c r="D1128" s="11" t="s">
        <v>2522</v>
      </c>
      <c r="E1128" s="26">
        <v>67240</v>
      </c>
      <c r="F1128" s="10" t="s">
        <v>100</v>
      </c>
      <c r="G1128" s="10" t="s">
        <v>46</v>
      </c>
      <c r="H1128" s="27" t="s">
        <v>101</v>
      </c>
      <c r="I1128" s="12" t="s">
        <v>1843</v>
      </c>
      <c r="J1128" s="12" t="s">
        <v>1843</v>
      </c>
      <c r="K1128" s="13">
        <v>2000</v>
      </c>
      <c r="L1128" s="21">
        <v>13.54</v>
      </c>
      <c r="M1128" s="14" t="s">
        <v>14</v>
      </c>
      <c r="N1128" s="13">
        <v>27080</v>
      </c>
      <c r="O1128" s="15">
        <f t="shared" si="740"/>
        <v>0</v>
      </c>
      <c r="P1128" s="10" t="s">
        <v>84</v>
      </c>
      <c r="Q1128" s="11" t="s">
        <v>2523</v>
      </c>
      <c r="R1128" s="11" t="s">
        <v>2524</v>
      </c>
      <c r="S1128" s="16" t="s">
        <v>2525</v>
      </c>
      <c r="T1128" s="19" t="str">
        <f>MONTH(B1128)&amp;"-"&amp;YEAR(B1128)</f>
        <v>3-2023</v>
      </c>
      <c r="U1128" s="2">
        <f>YEAR(B1128)</f>
        <v>2023</v>
      </c>
      <c r="V1128" s="2" t="str">
        <f>IF(DAY(B1128)&gt;15,MONTH(B1128)&amp;"-C",MONTH(B1128)&amp;"-N")</f>
        <v>3-N</v>
      </c>
      <c r="W1128" s="21">
        <v>13.54</v>
      </c>
      <c r="X1128" s="2" t="b">
        <f t="shared" si="741"/>
        <v>1</v>
      </c>
    </row>
    <row r="1129" spans="2:24" x14ac:dyDescent="0.2">
      <c r="B1129" s="17">
        <v>44991</v>
      </c>
      <c r="C1129" s="10" t="s">
        <v>88</v>
      </c>
      <c r="D1129" s="11" t="s">
        <v>2522</v>
      </c>
      <c r="E1129" s="26">
        <v>67240</v>
      </c>
      <c r="F1129" s="10" t="s">
        <v>2422</v>
      </c>
      <c r="G1129" s="10" t="s">
        <v>46</v>
      </c>
      <c r="H1129" s="27" t="s">
        <v>2423</v>
      </c>
      <c r="I1129" s="12" t="s">
        <v>1843</v>
      </c>
      <c r="J1129" s="12" t="s">
        <v>1843</v>
      </c>
      <c r="K1129" s="13">
        <v>1000</v>
      </c>
      <c r="L1129" s="21">
        <v>9.11</v>
      </c>
      <c r="M1129" s="14" t="s">
        <v>14</v>
      </c>
      <c r="N1129" s="13">
        <v>9110</v>
      </c>
      <c r="O1129" s="15">
        <f t="shared" si="740"/>
        <v>0</v>
      </c>
      <c r="P1129" s="10" t="s">
        <v>84</v>
      </c>
      <c r="Q1129" s="11" t="s">
        <v>2523</v>
      </c>
      <c r="R1129" s="11" t="s">
        <v>2524</v>
      </c>
      <c r="S1129" s="16" t="s">
        <v>2525</v>
      </c>
      <c r="T1129" s="19" t="str">
        <f>MONTH(B1129)&amp;"-"&amp;YEAR(B1129)</f>
        <v>3-2023</v>
      </c>
      <c r="U1129" s="2">
        <f>YEAR(B1129)</f>
        <v>2023</v>
      </c>
      <c r="V1129" s="2" t="str">
        <f>IF(DAY(B1129)&gt;15,MONTH(B1129)&amp;"-C",MONTH(B1129)&amp;"-N")</f>
        <v>3-N</v>
      </c>
      <c r="W1129" s="21">
        <v>9.11</v>
      </c>
      <c r="X1129" s="2" t="b">
        <f t="shared" si="741"/>
        <v>1</v>
      </c>
    </row>
    <row r="1130" spans="2:24" x14ac:dyDescent="0.2">
      <c r="B1130" s="17">
        <v>44991</v>
      </c>
      <c r="C1130" s="10" t="s">
        <v>88</v>
      </c>
      <c r="D1130" s="11" t="s">
        <v>2522</v>
      </c>
      <c r="E1130" s="26">
        <v>67240</v>
      </c>
      <c r="F1130" s="10" t="s">
        <v>1329</v>
      </c>
      <c r="G1130" s="10" t="s">
        <v>46</v>
      </c>
      <c r="H1130" s="27" t="s">
        <v>1343</v>
      </c>
      <c r="I1130" s="12" t="s">
        <v>1843</v>
      </c>
      <c r="J1130" s="12" t="s">
        <v>1843</v>
      </c>
      <c r="K1130" s="13">
        <v>150</v>
      </c>
      <c r="L1130" s="21">
        <v>19.8</v>
      </c>
      <c r="M1130" s="14" t="s">
        <v>14</v>
      </c>
      <c r="N1130" s="13">
        <v>2970</v>
      </c>
      <c r="O1130" s="15">
        <f t="shared" si="740"/>
        <v>0</v>
      </c>
      <c r="P1130" s="10" t="s">
        <v>84</v>
      </c>
      <c r="Q1130" s="11" t="s">
        <v>2523</v>
      </c>
      <c r="R1130" s="11" t="s">
        <v>2524</v>
      </c>
      <c r="S1130" s="16" t="s">
        <v>2525</v>
      </c>
      <c r="T1130" s="19" t="str">
        <f>MONTH(B1130)&amp;"-"&amp;YEAR(B1130)</f>
        <v>3-2023</v>
      </c>
      <c r="U1130" s="2">
        <f>YEAR(B1130)</f>
        <v>2023</v>
      </c>
      <c r="V1130" s="2" t="str">
        <f>IF(DAY(B1130)&gt;15,MONTH(B1130)&amp;"-C",MONTH(B1130)&amp;"-N")</f>
        <v>3-N</v>
      </c>
      <c r="W1130" s="21">
        <v>19.8</v>
      </c>
      <c r="X1130" s="2" t="b">
        <f t="shared" si="741"/>
        <v>1</v>
      </c>
    </row>
    <row r="1131" spans="2:24" x14ac:dyDescent="0.2">
      <c r="B1131" s="17">
        <v>44993</v>
      </c>
      <c r="C1131" s="10" t="s">
        <v>73</v>
      </c>
      <c r="D1131" s="11" t="s">
        <v>2384</v>
      </c>
      <c r="E1131" s="26">
        <v>67281</v>
      </c>
      <c r="F1131" s="10" t="s">
        <v>2385</v>
      </c>
      <c r="G1131" s="10" t="s">
        <v>46</v>
      </c>
      <c r="H1131" s="27" t="s">
        <v>2386</v>
      </c>
      <c r="I1131" s="12" t="s">
        <v>1843</v>
      </c>
      <c r="J1131" s="12" t="s">
        <v>1843</v>
      </c>
      <c r="K1131" s="13">
        <v>2000</v>
      </c>
      <c r="L1131" s="21">
        <v>12.55</v>
      </c>
      <c r="M1131" s="14" t="s">
        <v>14</v>
      </c>
      <c r="N1131" s="13">
        <v>25100</v>
      </c>
      <c r="O1131" s="15">
        <f t="shared" ref="O1131:O1135" si="742">(N1131/K1131)-L1131</f>
        <v>0</v>
      </c>
      <c r="P1131" s="10" t="s">
        <v>84</v>
      </c>
      <c r="Q1131" s="11" t="s">
        <v>2507</v>
      </c>
      <c r="R1131" s="11" t="s">
        <v>2508</v>
      </c>
      <c r="S1131" s="16" t="s">
        <v>2509</v>
      </c>
      <c r="T1131" s="19" t="str">
        <f>MONTH(B1131)&amp;"-"&amp;YEAR(B1131)</f>
        <v>3-2023</v>
      </c>
      <c r="U1131" s="2">
        <f>YEAR(B1131)</f>
        <v>2023</v>
      </c>
      <c r="V1131" s="2" t="str">
        <f>IF(DAY(B1131)&gt;15,MONTH(B1131)&amp;"-C",MONTH(B1131)&amp;"-N")</f>
        <v>3-N</v>
      </c>
      <c r="W1131" s="21">
        <v>12.55</v>
      </c>
      <c r="X1131" s="2" t="b">
        <f t="shared" ref="X1131:X1135" si="743">+L1131=W1131</f>
        <v>1</v>
      </c>
    </row>
    <row r="1132" spans="2:24" x14ac:dyDescent="0.2">
      <c r="B1132" s="17">
        <v>44993</v>
      </c>
      <c r="C1132" s="10" t="s">
        <v>73</v>
      </c>
      <c r="D1132" s="11" t="s">
        <v>2384</v>
      </c>
      <c r="E1132" s="26">
        <v>67281</v>
      </c>
      <c r="F1132" s="10" t="s">
        <v>158</v>
      </c>
      <c r="G1132" s="10" t="s">
        <v>46</v>
      </c>
      <c r="H1132" s="27" t="s">
        <v>159</v>
      </c>
      <c r="I1132" s="12" t="s">
        <v>1843</v>
      </c>
      <c r="J1132" s="12" t="s">
        <v>1843</v>
      </c>
      <c r="K1132" s="13">
        <v>2760</v>
      </c>
      <c r="L1132" s="21">
        <v>12.55</v>
      </c>
      <c r="M1132" s="14" t="s">
        <v>14</v>
      </c>
      <c r="N1132" s="13">
        <v>34638</v>
      </c>
      <c r="O1132" s="15">
        <f t="shared" si="742"/>
        <v>0</v>
      </c>
      <c r="P1132" s="10" t="s">
        <v>84</v>
      </c>
      <c r="Q1132" s="11" t="s">
        <v>2507</v>
      </c>
      <c r="R1132" s="11" t="s">
        <v>2508</v>
      </c>
      <c r="S1132" s="16" t="s">
        <v>2509</v>
      </c>
      <c r="T1132" s="19" t="str">
        <f>MONTH(B1132)&amp;"-"&amp;YEAR(B1132)</f>
        <v>3-2023</v>
      </c>
      <c r="U1132" s="2">
        <f>YEAR(B1132)</f>
        <v>2023</v>
      </c>
      <c r="V1132" s="2" t="str">
        <f>IF(DAY(B1132)&gt;15,MONTH(B1132)&amp;"-C",MONTH(B1132)&amp;"-N")</f>
        <v>3-N</v>
      </c>
      <c r="W1132" s="21">
        <v>12.55</v>
      </c>
      <c r="X1132" s="2" t="b">
        <f t="shared" si="743"/>
        <v>1</v>
      </c>
    </row>
    <row r="1133" spans="2:24" x14ac:dyDescent="0.2">
      <c r="B1133" s="17">
        <v>44993</v>
      </c>
      <c r="C1133" s="10" t="s">
        <v>107</v>
      </c>
      <c r="D1133" s="11" t="s">
        <v>2526</v>
      </c>
      <c r="E1133" s="26">
        <v>67280</v>
      </c>
      <c r="F1133" s="10" t="s">
        <v>103</v>
      </c>
      <c r="G1133" s="10" t="s">
        <v>46</v>
      </c>
      <c r="H1133" s="27" t="s">
        <v>104</v>
      </c>
      <c r="I1133" s="12" t="s">
        <v>1843</v>
      </c>
      <c r="J1133" s="12" t="s">
        <v>1843</v>
      </c>
      <c r="K1133" s="13">
        <v>160</v>
      </c>
      <c r="L1133" s="21">
        <v>47.51</v>
      </c>
      <c r="M1133" s="14" t="s">
        <v>14</v>
      </c>
      <c r="N1133" s="13">
        <v>7601.6</v>
      </c>
      <c r="O1133" s="15">
        <f t="shared" si="742"/>
        <v>0</v>
      </c>
      <c r="P1133" s="10" t="s">
        <v>84</v>
      </c>
      <c r="Q1133" s="11" t="s">
        <v>2527</v>
      </c>
      <c r="R1133" s="11" t="s">
        <v>2528</v>
      </c>
      <c r="S1133" s="16" t="s">
        <v>2529</v>
      </c>
      <c r="T1133" s="19" t="str">
        <f>MONTH(B1133)&amp;"-"&amp;YEAR(B1133)</f>
        <v>3-2023</v>
      </c>
      <c r="U1133" s="2">
        <f>YEAR(B1133)</f>
        <v>2023</v>
      </c>
      <c r="V1133" s="2" t="str">
        <f>IF(DAY(B1133)&gt;15,MONTH(B1133)&amp;"-C",MONTH(B1133)&amp;"-N")</f>
        <v>3-N</v>
      </c>
      <c r="W1133" s="21">
        <v>47.51</v>
      </c>
      <c r="X1133" s="2" t="b">
        <f t="shared" si="743"/>
        <v>1</v>
      </c>
    </row>
    <row r="1134" spans="2:24" x14ac:dyDescent="0.2">
      <c r="B1134" s="17">
        <v>44993</v>
      </c>
      <c r="C1134" s="10" t="s">
        <v>107</v>
      </c>
      <c r="D1134" s="11" t="s">
        <v>2526</v>
      </c>
      <c r="E1134" s="26">
        <v>67280</v>
      </c>
      <c r="F1134" s="10" t="s">
        <v>105</v>
      </c>
      <c r="G1134" s="10" t="s">
        <v>46</v>
      </c>
      <c r="H1134" s="27" t="s">
        <v>106</v>
      </c>
      <c r="I1134" s="12" t="s">
        <v>1843</v>
      </c>
      <c r="J1134" s="12" t="s">
        <v>1843</v>
      </c>
      <c r="K1134" s="13">
        <v>5280</v>
      </c>
      <c r="L1134" s="21">
        <v>11.81</v>
      </c>
      <c r="M1134" s="14" t="s">
        <v>14</v>
      </c>
      <c r="N1134" s="13">
        <v>62356.800000000003</v>
      </c>
      <c r="O1134" s="15">
        <f t="shared" si="742"/>
        <v>0</v>
      </c>
      <c r="P1134" s="10" t="s">
        <v>84</v>
      </c>
      <c r="Q1134" s="11" t="s">
        <v>2527</v>
      </c>
      <c r="R1134" s="11" t="s">
        <v>2528</v>
      </c>
      <c r="S1134" s="16" t="s">
        <v>2529</v>
      </c>
      <c r="T1134" s="19" t="str">
        <f>MONTH(B1134)&amp;"-"&amp;YEAR(B1134)</f>
        <v>3-2023</v>
      </c>
      <c r="U1134" s="2">
        <f>YEAR(B1134)</f>
        <v>2023</v>
      </c>
      <c r="V1134" s="2" t="str">
        <f>IF(DAY(B1134)&gt;15,MONTH(B1134)&amp;"-C",MONTH(B1134)&amp;"-N")</f>
        <v>3-N</v>
      </c>
      <c r="W1134" s="21">
        <v>11.81</v>
      </c>
      <c r="X1134" s="2" t="b">
        <f t="shared" si="743"/>
        <v>1</v>
      </c>
    </row>
    <row r="1135" spans="2:24" x14ac:dyDescent="0.2">
      <c r="B1135" s="17">
        <v>44993</v>
      </c>
      <c r="C1135" s="10" t="s">
        <v>25</v>
      </c>
      <c r="D1135" s="11" t="s">
        <v>2530</v>
      </c>
      <c r="E1135" s="26">
        <v>67287</v>
      </c>
      <c r="F1135" s="10" t="s">
        <v>26</v>
      </c>
      <c r="G1135" s="10" t="s">
        <v>27</v>
      </c>
      <c r="H1135" s="27" t="s">
        <v>28</v>
      </c>
      <c r="I1135" s="12" t="s">
        <v>1843</v>
      </c>
      <c r="J1135" s="12" t="s">
        <v>1843</v>
      </c>
      <c r="K1135" s="13">
        <v>19800</v>
      </c>
      <c r="L1135" s="21">
        <v>4.0999999999999996</v>
      </c>
      <c r="M1135" s="14" t="s">
        <v>14</v>
      </c>
      <c r="N1135" s="13">
        <v>81180</v>
      </c>
      <c r="O1135" s="15">
        <f t="shared" si="742"/>
        <v>0</v>
      </c>
      <c r="P1135" s="10" t="s">
        <v>78</v>
      </c>
      <c r="Q1135" s="11" t="s">
        <v>2531</v>
      </c>
      <c r="R1135" s="11" t="s">
        <v>2532</v>
      </c>
      <c r="S1135" s="16" t="s">
        <v>2533</v>
      </c>
      <c r="T1135" s="19" t="str">
        <f>MONTH(B1135)&amp;"-"&amp;YEAR(B1135)</f>
        <v>3-2023</v>
      </c>
      <c r="U1135" s="2">
        <f>YEAR(B1135)</f>
        <v>2023</v>
      </c>
      <c r="V1135" s="2" t="str">
        <f>IF(DAY(B1135)&gt;15,MONTH(B1135)&amp;"-C",MONTH(B1135)&amp;"-N")</f>
        <v>3-N</v>
      </c>
      <c r="W1135" s="21">
        <v>4.0999999999999996</v>
      </c>
      <c r="X1135" s="2" t="b">
        <f t="shared" si="743"/>
        <v>1</v>
      </c>
    </row>
    <row r="1136" spans="2:24" x14ac:dyDescent="0.2">
      <c r="B1136" s="17">
        <v>44994</v>
      </c>
      <c r="C1136" s="10" t="s">
        <v>74</v>
      </c>
      <c r="D1136" s="11" t="s">
        <v>2514</v>
      </c>
      <c r="E1136" s="26">
        <v>67319</v>
      </c>
      <c r="F1136" s="10" t="s">
        <v>121</v>
      </c>
      <c r="G1136" s="10" t="s">
        <v>46</v>
      </c>
      <c r="H1136" s="27" t="s">
        <v>122</v>
      </c>
      <c r="I1136" s="12" t="s">
        <v>1843</v>
      </c>
      <c r="J1136" s="12" t="s">
        <v>1843</v>
      </c>
      <c r="K1136" s="13">
        <v>920</v>
      </c>
      <c r="L1136" s="21">
        <v>12.83</v>
      </c>
      <c r="M1136" s="14" t="s">
        <v>14</v>
      </c>
      <c r="N1136" s="13">
        <v>11803.6</v>
      </c>
      <c r="O1136" s="15">
        <f t="shared" ref="O1136:O1141" si="744">(N1136/K1136)-L1136</f>
        <v>0</v>
      </c>
      <c r="P1136" s="10" t="s">
        <v>84</v>
      </c>
      <c r="Q1136" s="11" t="s">
        <v>2516</v>
      </c>
      <c r="R1136" s="11" t="s">
        <v>2517</v>
      </c>
      <c r="S1136" s="16" t="s">
        <v>2515</v>
      </c>
      <c r="T1136" s="19" t="str">
        <f>MONTH(B1136)&amp;"-"&amp;YEAR(B1136)</f>
        <v>3-2023</v>
      </c>
      <c r="U1136" s="2">
        <f>YEAR(B1136)</f>
        <v>2023</v>
      </c>
      <c r="V1136" s="2" t="str">
        <f>IF(DAY(B1136)&gt;15,MONTH(B1136)&amp;"-C",MONTH(B1136)&amp;"-N")</f>
        <v>3-N</v>
      </c>
      <c r="W1136" s="21">
        <v>12.83</v>
      </c>
      <c r="X1136" s="2" t="b">
        <f t="shared" ref="X1136:X1141" si="745">+L1136=W1136</f>
        <v>1</v>
      </c>
    </row>
    <row r="1137" spans="2:24" x14ac:dyDescent="0.2">
      <c r="B1137" s="17">
        <v>44994</v>
      </c>
      <c r="C1137" s="10" t="s">
        <v>74</v>
      </c>
      <c r="D1137" s="11" t="s">
        <v>2514</v>
      </c>
      <c r="E1137" s="26">
        <v>67319</v>
      </c>
      <c r="F1137" s="10" t="s">
        <v>123</v>
      </c>
      <c r="G1137" s="10" t="s">
        <v>46</v>
      </c>
      <c r="H1137" s="27" t="s">
        <v>124</v>
      </c>
      <c r="I1137" s="12" t="s">
        <v>1843</v>
      </c>
      <c r="J1137" s="12" t="s">
        <v>1843</v>
      </c>
      <c r="K1137" s="13">
        <v>1840</v>
      </c>
      <c r="L1137" s="21">
        <v>14.55</v>
      </c>
      <c r="M1137" s="14" t="s">
        <v>14</v>
      </c>
      <c r="N1137" s="13">
        <v>26772</v>
      </c>
      <c r="O1137" s="15">
        <f t="shared" si="744"/>
        <v>0</v>
      </c>
      <c r="P1137" s="10" t="s">
        <v>84</v>
      </c>
      <c r="Q1137" s="11" t="s">
        <v>2516</v>
      </c>
      <c r="R1137" s="11" t="s">
        <v>2517</v>
      </c>
      <c r="S1137" s="16" t="s">
        <v>2515</v>
      </c>
      <c r="T1137" s="19" t="str">
        <f>MONTH(B1137)&amp;"-"&amp;YEAR(B1137)</f>
        <v>3-2023</v>
      </c>
      <c r="U1137" s="2">
        <f>YEAR(B1137)</f>
        <v>2023</v>
      </c>
      <c r="V1137" s="2" t="str">
        <f>IF(DAY(B1137)&gt;15,MONTH(B1137)&amp;"-C",MONTH(B1137)&amp;"-N")</f>
        <v>3-N</v>
      </c>
      <c r="W1137" s="21">
        <v>14.55</v>
      </c>
      <c r="X1137" s="2" t="b">
        <f t="shared" si="745"/>
        <v>1</v>
      </c>
    </row>
    <row r="1138" spans="2:24" x14ac:dyDescent="0.2">
      <c r="B1138" s="17">
        <v>44994</v>
      </c>
      <c r="C1138" s="10" t="s">
        <v>74</v>
      </c>
      <c r="D1138" s="11" t="s">
        <v>2514</v>
      </c>
      <c r="E1138" s="26">
        <v>67320</v>
      </c>
      <c r="F1138" s="10" t="s">
        <v>127</v>
      </c>
      <c r="G1138" s="10" t="s">
        <v>46</v>
      </c>
      <c r="H1138" s="27" t="s">
        <v>128</v>
      </c>
      <c r="I1138" s="12" t="s">
        <v>1843</v>
      </c>
      <c r="J1138" s="12" t="s">
        <v>1843</v>
      </c>
      <c r="K1138" s="13">
        <v>736</v>
      </c>
      <c r="L1138" s="21">
        <v>14.55</v>
      </c>
      <c r="M1138" s="14" t="s">
        <v>14</v>
      </c>
      <c r="N1138" s="13">
        <v>10708.8</v>
      </c>
      <c r="O1138" s="15">
        <f t="shared" si="744"/>
        <v>0</v>
      </c>
      <c r="P1138" s="10" t="s">
        <v>84</v>
      </c>
      <c r="Q1138" s="11" t="s">
        <v>2518</v>
      </c>
      <c r="R1138" s="11" t="s">
        <v>2519</v>
      </c>
      <c r="S1138" s="16" t="s">
        <v>2520</v>
      </c>
      <c r="T1138" s="19" t="str">
        <f>MONTH(B1138)&amp;"-"&amp;YEAR(B1138)</f>
        <v>3-2023</v>
      </c>
      <c r="U1138" s="2">
        <f>YEAR(B1138)</f>
        <v>2023</v>
      </c>
      <c r="V1138" s="2" t="str">
        <f>IF(DAY(B1138)&gt;15,MONTH(B1138)&amp;"-C",MONTH(B1138)&amp;"-N")</f>
        <v>3-N</v>
      </c>
      <c r="W1138" s="21">
        <v>14.55</v>
      </c>
      <c r="X1138" s="2" t="b">
        <f t="shared" si="745"/>
        <v>1</v>
      </c>
    </row>
    <row r="1139" spans="2:24" x14ac:dyDescent="0.2">
      <c r="B1139" s="17">
        <v>44994</v>
      </c>
      <c r="C1139" s="10" t="s">
        <v>74</v>
      </c>
      <c r="D1139" s="11" t="s">
        <v>2514</v>
      </c>
      <c r="E1139" s="26">
        <v>67320</v>
      </c>
      <c r="F1139" s="10" t="s">
        <v>121</v>
      </c>
      <c r="G1139" s="10" t="s">
        <v>46</v>
      </c>
      <c r="H1139" s="27" t="s">
        <v>122</v>
      </c>
      <c r="I1139" s="12" t="s">
        <v>1843</v>
      </c>
      <c r="J1139" s="12" t="s">
        <v>1843</v>
      </c>
      <c r="K1139" s="13">
        <v>230</v>
      </c>
      <c r="L1139" s="21">
        <v>12.83</v>
      </c>
      <c r="M1139" s="14" t="s">
        <v>14</v>
      </c>
      <c r="N1139" s="13">
        <v>2950.9</v>
      </c>
      <c r="O1139" s="15">
        <f t="shared" si="744"/>
        <v>0</v>
      </c>
      <c r="P1139" s="10" t="s">
        <v>84</v>
      </c>
      <c r="Q1139" s="11" t="s">
        <v>2518</v>
      </c>
      <c r="R1139" s="11" t="s">
        <v>2519</v>
      </c>
      <c r="S1139" s="16" t="s">
        <v>2520</v>
      </c>
      <c r="T1139" s="19" t="str">
        <f>MONTH(B1139)&amp;"-"&amp;YEAR(B1139)</f>
        <v>3-2023</v>
      </c>
      <c r="U1139" s="2">
        <f>YEAR(B1139)</f>
        <v>2023</v>
      </c>
      <c r="V1139" s="2" t="str">
        <f>IF(DAY(B1139)&gt;15,MONTH(B1139)&amp;"-C",MONTH(B1139)&amp;"-N")</f>
        <v>3-N</v>
      </c>
      <c r="W1139" s="21">
        <v>12.83</v>
      </c>
      <c r="X1139" s="2" t="b">
        <f t="shared" si="745"/>
        <v>1</v>
      </c>
    </row>
    <row r="1140" spans="2:24" x14ac:dyDescent="0.2">
      <c r="B1140" s="17">
        <v>44994</v>
      </c>
      <c r="C1140" s="10" t="s">
        <v>74</v>
      </c>
      <c r="D1140" s="11" t="s">
        <v>2514</v>
      </c>
      <c r="E1140" s="26">
        <v>67320</v>
      </c>
      <c r="F1140" s="10" t="s">
        <v>2521</v>
      </c>
      <c r="G1140" s="10" t="s">
        <v>46</v>
      </c>
      <c r="H1140" s="27" t="s">
        <v>2332</v>
      </c>
      <c r="I1140" s="12" t="s">
        <v>1843</v>
      </c>
      <c r="J1140" s="12" t="s">
        <v>1843</v>
      </c>
      <c r="K1140" s="13">
        <v>1150</v>
      </c>
      <c r="L1140" s="21">
        <v>14.37</v>
      </c>
      <c r="M1140" s="14" t="s">
        <v>22</v>
      </c>
      <c r="N1140" s="13">
        <v>16525.5</v>
      </c>
      <c r="O1140" s="15">
        <f t="shared" si="744"/>
        <v>0</v>
      </c>
      <c r="P1140" s="10" t="s">
        <v>84</v>
      </c>
      <c r="Q1140" s="11" t="s">
        <v>2518</v>
      </c>
      <c r="R1140" s="11" t="s">
        <v>2519</v>
      </c>
      <c r="S1140" s="16" t="s">
        <v>2520</v>
      </c>
      <c r="T1140" s="19" t="str">
        <f>MONTH(B1140)&amp;"-"&amp;YEAR(B1140)</f>
        <v>3-2023</v>
      </c>
      <c r="U1140" s="2">
        <f>YEAR(B1140)</f>
        <v>2023</v>
      </c>
      <c r="V1140" s="2" t="str">
        <f>IF(DAY(B1140)&gt;15,MONTH(B1140)&amp;"-C",MONTH(B1140)&amp;"-N")</f>
        <v>3-N</v>
      </c>
      <c r="W1140" s="21">
        <v>14.37</v>
      </c>
      <c r="X1140" s="2" t="b">
        <f t="shared" si="745"/>
        <v>1</v>
      </c>
    </row>
    <row r="1141" spans="2:24" x14ac:dyDescent="0.2">
      <c r="B1141" s="17">
        <v>44996</v>
      </c>
      <c r="C1141" s="10" t="s">
        <v>73</v>
      </c>
      <c r="D1141" s="11" t="s">
        <v>2510</v>
      </c>
      <c r="E1141" s="26">
        <v>67349</v>
      </c>
      <c r="F1141" s="10" t="s">
        <v>399</v>
      </c>
      <c r="G1141" s="10" t="s">
        <v>46</v>
      </c>
      <c r="H1141" s="27" t="s">
        <v>149</v>
      </c>
      <c r="I1141" s="12" t="s">
        <v>1843</v>
      </c>
      <c r="J1141" s="12" t="s">
        <v>1843</v>
      </c>
      <c r="K1141" s="13">
        <v>2880</v>
      </c>
      <c r="L1141" s="21">
        <v>16.8</v>
      </c>
      <c r="M1141" s="14" t="s">
        <v>14</v>
      </c>
      <c r="N1141" s="13">
        <v>48384</v>
      </c>
      <c r="O1141" s="15">
        <f t="shared" si="744"/>
        <v>0</v>
      </c>
      <c r="P1141" s="10" t="s">
        <v>84</v>
      </c>
      <c r="Q1141" s="11" t="s">
        <v>2511</v>
      </c>
      <c r="R1141" s="11" t="s">
        <v>2512</v>
      </c>
      <c r="S1141" s="16" t="s">
        <v>2513</v>
      </c>
      <c r="T1141" s="19" t="str">
        <f>MONTH(B1141)&amp;"-"&amp;YEAR(B1141)</f>
        <v>3-2023</v>
      </c>
      <c r="U1141" s="2">
        <f>YEAR(B1141)</f>
        <v>2023</v>
      </c>
      <c r="V1141" s="2" t="str">
        <f>IF(DAY(B1141)&gt;15,MONTH(B1141)&amp;"-C",MONTH(B1141)&amp;"-N")</f>
        <v>3-N</v>
      </c>
      <c r="W1141" s="21">
        <v>16.8</v>
      </c>
      <c r="X1141" s="2" t="b">
        <f t="shared" si="745"/>
        <v>1</v>
      </c>
    </row>
    <row r="1142" spans="2:24" x14ac:dyDescent="0.2">
      <c r="B1142" s="17">
        <v>44998</v>
      </c>
      <c r="C1142" s="10" t="s">
        <v>94</v>
      </c>
      <c r="D1142" s="11" t="s">
        <v>2534</v>
      </c>
      <c r="E1142" s="26">
        <v>67363</v>
      </c>
      <c r="F1142" s="10" t="s">
        <v>26</v>
      </c>
      <c r="G1142" s="10" t="s">
        <v>27</v>
      </c>
      <c r="H1142" s="27" t="s">
        <v>28</v>
      </c>
      <c r="I1142" s="12" t="s">
        <v>1843</v>
      </c>
      <c r="J1142" s="12" t="s">
        <v>1843</v>
      </c>
      <c r="K1142" s="13">
        <v>18000</v>
      </c>
      <c r="L1142" s="21">
        <v>4.05</v>
      </c>
      <c r="M1142" s="14" t="s">
        <v>14</v>
      </c>
      <c r="N1142" s="13">
        <v>72900</v>
      </c>
      <c r="O1142" s="15">
        <f t="shared" ref="O1142" si="746">(N1142/K1142)-L1142</f>
        <v>0</v>
      </c>
      <c r="P1142" s="10" t="s">
        <v>78</v>
      </c>
      <c r="Q1142" s="11" t="s">
        <v>2542</v>
      </c>
      <c r="R1142" s="11" t="s">
        <v>2543</v>
      </c>
      <c r="S1142" s="16" t="s">
        <v>2544</v>
      </c>
      <c r="T1142" s="19" t="str">
        <f>MONTH(B1142)&amp;"-"&amp;YEAR(B1142)</f>
        <v>3-2023</v>
      </c>
      <c r="U1142" s="2">
        <f>YEAR(B1142)</f>
        <v>2023</v>
      </c>
      <c r="V1142" s="2" t="str">
        <f>IF(DAY(B1142)&gt;15,MONTH(B1142)&amp;"-C",MONTH(B1142)&amp;"-N")</f>
        <v>3-N</v>
      </c>
      <c r="W1142" s="21">
        <v>4.05</v>
      </c>
      <c r="X1142" s="2" t="b">
        <f t="shared" ref="X1142" si="747">+L1142=W1142</f>
        <v>1</v>
      </c>
    </row>
    <row r="1143" spans="2:24" x14ac:dyDescent="0.2">
      <c r="B1143" s="17">
        <v>45000</v>
      </c>
      <c r="C1143" s="10" t="s">
        <v>25</v>
      </c>
      <c r="D1143" s="11" t="s">
        <v>2538</v>
      </c>
      <c r="E1143" s="26">
        <v>67408</v>
      </c>
      <c r="F1143" s="10" t="s">
        <v>29</v>
      </c>
      <c r="G1143" s="10" t="s">
        <v>27</v>
      </c>
      <c r="H1143" s="27" t="s">
        <v>30</v>
      </c>
      <c r="I1143" s="12" t="s">
        <v>1843</v>
      </c>
      <c r="J1143" s="12" t="s">
        <v>1843</v>
      </c>
      <c r="K1143" s="13">
        <v>1320</v>
      </c>
      <c r="L1143" s="21">
        <v>4.25</v>
      </c>
      <c r="M1143" s="14" t="s">
        <v>14</v>
      </c>
      <c r="N1143" s="13">
        <v>5610</v>
      </c>
      <c r="O1143" s="15">
        <f t="shared" ref="O1143:O1144" si="748">(N1143/K1143)-L1143</f>
        <v>0</v>
      </c>
      <c r="P1143" s="10" t="s">
        <v>78</v>
      </c>
      <c r="Q1143" s="11" t="s">
        <v>2539</v>
      </c>
      <c r="R1143" s="11" t="s">
        <v>2540</v>
      </c>
      <c r="S1143" s="16" t="s">
        <v>2541</v>
      </c>
      <c r="T1143" s="19" t="str">
        <f>MONTH(B1143)&amp;"-"&amp;YEAR(B1143)</f>
        <v>3-2023</v>
      </c>
      <c r="U1143" s="2">
        <f>YEAR(B1143)</f>
        <v>2023</v>
      </c>
      <c r="V1143" s="2" t="str">
        <f>IF(DAY(B1143)&gt;15,MONTH(B1143)&amp;"-C",MONTH(B1143)&amp;"-N")</f>
        <v>3-N</v>
      </c>
      <c r="W1143" s="21">
        <v>4.25</v>
      </c>
      <c r="X1143" s="2" t="b">
        <f t="shared" ref="X1143:X1144" si="749">+L1143=W1143</f>
        <v>1</v>
      </c>
    </row>
    <row r="1144" spans="2:24" x14ac:dyDescent="0.2">
      <c r="B1144" s="17">
        <v>45000</v>
      </c>
      <c r="C1144" s="10" t="s">
        <v>25</v>
      </c>
      <c r="D1144" s="11" t="s">
        <v>2538</v>
      </c>
      <c r="E1144" s="26">
        <v>67408</v>
      </c>
      <c r="F1144" s="10" t="s">
        <v>49</v>
      </c>
      <c r="G1144" s="10" t="s">
        <v>27</v>
      </c>
      <c r="H1144" s="27" t="s">
        <v>50</v>
      </c>
      <c r="I1144" s="12" t="s">
        <v>1843</v>
      </c>
      <c r="J1144" s="12" t="s">
        <v>1843</v>
      </c>
      <c r="K1144" s="13">
        <v>760</v>
      </c>
      <c r="L1144" s="21">
        <v>5.27</v>
      </c>
      <c r="M1144" s="14" t="s">
        <v>14</v>
      </c>
      <c r="N1144" s="13">
        <v>4005.2</v>
      </c>
      <c r="O1144" s="15">
        <f t="shared" si="748"/>
        <v>0</v>
      </c>
      <c r="P1144" s="10" t="s">
        <v>78</v>
      </c>
      <c r="Q1144" s="11" t="s">
        <v>2539</v>
      </c>
      <c r="R1144" s="11" t="s">
        <v>2540</v>
      </c>
      <c r="S1144" s="16" t="s">
        <v>2541</v>
      </c>
      <c r="T1144" s="19" t="str">
        <f>MONTH(B1144)&amp;"-"&amp;YEAR(B1144)</f>
        <v>3-2023</v>
      </c>
      <c r="U1144" s="2">
        <f>YEAR(B1144)</f>
        <v>2023</v>
      </c>
      <c r="V1144" s="2" t="str">
        <f>IF(DAY(B1144)&gt;15,MONTH(B1144)&amp;"-C",MONTH(B1144)&amp;"-N")</f>
        <v>3-N</v>
      </c>
      <c r="W1144" s="21">
        <v>5.27</v>
      </c>
      <c r="X1144" s="2" t="b">
        <f t="shared" si="749"/>
        <v>1</v>
      </c>
    </row>
    <row r="1145" spans="2:24" x14ac:dyDescent="0.2">
      <c r="B1145" s="17">
        <v>45002</v>
      </c>
      <c r="C1145" s="10" t="s">
        <v>94</v>
      </c>
      <c r="D1145" s="11" t="s">
        <v>2534</v>
      </c>
      <c r="E1145" s="26">
        <v>67455</v>
      </c>
      <c r="F1145" s="10" t="s">
        <v>26</v>
      </c>
      <c r="G1145" s="10" t="s">
        <v>27</v>
      </c>
      <c r="H1145" s="27" t="s">
        <v>28</v>
      </c>
      <c r="I1145" s="12" t="s">
        <v>1843</v>
      </c>
      <c r="J1145" s="12" t="s">
        <v>1843</v>
      </c>
      <c r="K1145" s="13">
        <v>14400</v>
      </c>
      <c r="L1145" s="21">
        <v>4.05</v>
      </c>
      <c r="M1145" s="14" t="s">
        <v>14</v>
      </c>
      <c r="N1145" s="13">
        <v>58320</v>
      </c>
      <c r="O1145" s="15">
        <f t="shared" ref="O1145:O1147" si="750">(N1145/K1145)-L1145</f>
        <v>0</v>
      </c>
      <c r="P1145" s="10" t="s">
        <v>78</v>
      </c>
      <c r="Q1145" s="11" t="s">
        <v>2545</v>
      </c>
      <c r="R1145" s="11" t="s">
        <v>2546</v>
      </c>
      <c r="S1145" s="16" t="s">
        <v>2547</v>
      </c>
      <c r="T1145" s="19" t="str">
        <f>MONTH(B1145)&amp;"-"&amp;YEAR(B1145)</f>
        <v>3-2023</v>
      </c>
      <c r="U1145" s="2">
        <f>YEAR(B1145)</f>
        <v>2023</v>
      </c>
      <c r="V1145" s="2" t="str">
        <f>IF(DAY(B1145)&gt;15,MONTH(B1145)&amp;"-C",MONTH(B1145)&amp;"-N")</f>
        <v>3-C</v>
      </c>
      <c r="W1145" s="21">
        <v>4.05</v>
      </c>
      <c r="X1145" s="2" t="b">
        <f t="shared" ref="X1145:X1147" si="751">+L1145=W1145</f>
        <v>1</v>
      </c>
    </row>
    <row r="1146" spans="2:24" x14ac:dyDescent="0.2">
      <c r="B1146" s="17">
        <v>45002</v>
      </c>
      <c r="C1146" s="10" t="s">
        <v>48</v>
      </c>
      <c r="D1146" s="11" t="s">
        <v>2548</v>
      </c>
      <c r="E1146" s="26">
        <v>67454</v>
      </c>
      <c r="F1146" s="10" t="s">
        <v>71</v>
      </c>
      <c r="G1146" s="10" t="s">
        <v>46</v>
      </c>
      <c r="H1146" s="27" t="s">
        <v>72</v>
      </c>
      <c r="I1146" s="12" t="s">
        <v>1843</v>
      </c>
      <c r="J1146" s="12" t="s">
        <v>1843</v>
      </c>
      <c r="K1146" s="13">
        <v>3200</v>
      </c>
      <c r="L1146" s="21">
        <v>12.315</v>
      </c>
      <c r="M1146" s="14" t="s">
        <v>14</v>
      </c>
      <c r="N1146" s="13">
        <v>39406.720000000001</v>
      </c>
      <c r="O1146" s="15">
        <f t="shared" si="750"/>
        <v>-3.9999999999906777E-4</v>
      </c>
      <c r="P1146" s="10" t="s">
        <v>84</v>
      </c>
      <c r="Q1146" s="11" t="s">
        <v>2549</v>
      </c>
      <c r="R1146" s="11" t="s">
        <v>2550</v>
      </c>
      <c r="S1146" s="16" t="s">
        <v>2551</v>
      </c>
      <c r="T1146" s="19" t="str">
        <f>MONTH(B1146)&amp;"-"&amp;YEAR(B1146)</f>
        <v>3-2023</v>
      </c>
      <c r="U1146" s="2">
        <f>YEAR(B1146)</f>
        <v>2023</v>
      </c>
      <c r="V1146" s="2" t="str">
        <f>IF(DAY(B1146)&gt;15,MONTH(B1146)&amp;"-C",MONTH(B1146)&amp;"-N")</f>
        <v>3-C</v>
      </c>
      <c r="W1146" s="21">
        <v>12.315</v>
      </c>
      <c r="X1146" s="2" t="b">
        <f t="shared" si="751"/>
        <v>1</v>
      </c>
    </row>
    <row r="1147" spans="2:24" x14ac:dyDescent="0.2">
      <c r="B1147" s="17">
        <v>45002</v>
      </c>
      <c r="C1147" s="10" t="s">
        <v>48</v>
      </c>
      <c r="D1147" s="11" t="s">
        <v>2548</v>
      </c>
      <c r="E1147" s="26">
        <v>67454</v>
      </c>
      <c r="F1147" s="10" t="s">
        <v>2552</v>
      </c>
      <c r="G1147" s="10" t="s">
        <v>46</v>
      </c>
      <c r="H1147" s="27" t="s">
        <v>2553</v>
      </c>
      <c r="I1147" s="12" t="s">
        <v>1843</v>
      </c>
      <c r="J1147" s="12" t="s">
        <v>1843</v>
      </c>
      <c r="K1147" s="13">
        <v>1800</v>
      </c>
      <c r="L1147" s="21">
        <v>12.497999999999999</v>
      </c>
      <c r="M1147" s="14" t="s">
        <v>14</v>
      </c>
      <c r="N1147" s="13">
        <v>22497.119999999999</v>
      </c>
      <c r="O1147" s="15">
        <f t="shared" si="750"/>
        <v>4.0000000000084412E-4</v>
      </c>
      <c r="P1147" s="10" t="s">
        <v>84</v>
      </c>
      <c r="Q1147" s="11" t="s">
        <v>2549</v>
      </c>
      <c r="R1147" s="11" t="s">
        <v>2550</v>
      </c>
      <c r="S1147" s="16" t="s">
        <v>2551</v>
      </c>
      <c r="T1147" s="19" t="str">
        <f>MONTH(B1147)&amp;"-"&amp;YEAR(B1147)</f>
        <v>3-2023</v>
      </c>
      <c r="U1147" s="2">
        <f>YEAR(B1147)</f>
        <v>2023</v>
      </c>
      <c r="V1147" s="2" t="str">
        <f>IF(DAY(B1147)&gt;15,MONTH(B1147)&amp;"-C",MONTH(B1147)&amp;"-N")</f>
        <v>3-C</v>
      </c>
      <c r="W1147" s="21">
        <v>12.497999999999999</v>
      </c>
      <c r="X1147" s="2" t="b">
        <f t="shared" si="751"/>
        <v>1</v>
      </c>
    </row>
    <row r="1148" spans="2:24" x14ac:dyDescent="0.2">
      <c r="B1148" s="17">
        <v>45005</v>
      </c>
      <c r="C1148" s="10" t="s">
        <v>88</v>
      </c>
      <c r="D1148" s="11" t="s">
        <v>2554</v>
      </c>
      <c r="E1148" s="26">
        <v>67507</v>
      </c>
      <c r="F1148" s="10" t="s">
        <v>2422</v>
      </c>
      <c r="G1148" s="10" t="s">
        <v>46</v>
      </c>
      <c r="H1148" s="27" t="s">
        <v>2423</v>
      </c>
      <c r="I1148" s="12" t="s">
        <v>1843</v>
      </c>
      <c r="J1148" s="12" t="s">
        <v>1843</v>
      </c>
      <c r="K1148" s="13">
        <v>1500</v>
      </c>
      <c r="L1148" s="21">
        <v>9.11</v>
      </c>
      <c r="M1148" s="14" t="s">
        <v>14</v>
      </c>
      <c r="N1148" s="13">
        <v>13665</v>
      </c>
      <c r="O1148" s="15">
        <f t="shared" ref="O1148:O1149" si="752">(N1148/K1148)-L1148</f>
        <v>0</v>
      </c>
      <c r="P1148" s="10" t="s">
        <v>84</v>
      </c>
      <c r="Q1148" s="11" t="s">
        <v>2555</v>
      </c>
      <c r="R1148" s="11" t="s">
        <v>2556</v>
      </c>
      <c r="S1148" s="16" t="s">
        <v>2557</v>
      </c>
      <c r="T1148" s="19" t="str">
        <f>MONTH(B1148)&amp;"-"&amp;YEAR(B1148)</f>
        <v>3-2023</v>
      </c>
      <c r="U1148" s="2">
        <f>YEAR(B1148)</f>
        <v>2023</v>
      </c>
      <c r="V1148" s="2" t="str">
        <f>IF(DAY(B1148)&gt;15,MONTH(B1148)&amp;"-C",MONTH(B1148)&amp;"-N")</f>
        <v>3-C</v>
      </c>
      <c r="W1148" s="21">
        <v>9.11</v>
      </c>
      <c r="X1148" s="2" t="b">
        <f t="shared" ref="X1148:X1149" si="753">+L1148=W1148</f>
        <v>1</v>
      </c>
    </row>
    <row r="1149" spans="2:24" x14ac:dyDescent="0.2">
      <c r="B1149" s="17">
        <v>45005</v>
      </c>
      <c r="C1149" s="10" t="s">
        <v>88</v>
      </c>
      <c r="D1149" s="11" t="s">
        <v>2554</v>
      </c>
      <c r="E1149" s="26">
        <v>67507</v>
      </c>
      <c r="F1149" s="10" t="s">
        <v>1329</v>
      </c>
      <c r="G1149" s="10" t="s">
        <v>46</v>
      </c>
      <c r="H1149" s="27" t="s">
        <v>1343</v>
      </c>
      <c r="I1149" s="12" t="s">
        <v>1843</v>
      </c>
      <c r="J1149" s="12" t="s">
        <v>1843</v>
      </c>
      <c r="K1149" s="13">
        <v>250</v>
      </c>
      <c r="L1149" s="21">
        <v>19.8</v>
      </c>
      <c r="M1149" s="14" t="s">
        <v>14</v>
      </c>
      <c r="N1149" s="13">
        <v>4950</v>
      </c>
      <c r="O1149" s="15">
        <f t="shared" si="752"/>
        <v>0</v>
      </c>
      <c r="P1149" s="10" t="s">
        <v>84</v>
      </c>
      <c r="Q1149" s="11" t="s">
        <v>2555</v>
      </c>
      <c r="R1149" s="11" t="s">
        <v>2556</v>
      </c>
      <c r="S1149" s="16" t="s">
        <v>2557</v>
      </c>
      <c r="T1149" s="19" t="str">
        <f>MONTH(B1149)&amp;"-"&amp;YEAR(B1149)</f>
        <v>3-2023</v>
      </c>
      <c r="U1149" s="2">
        <f>YEAR(B1149)</f>
        <v>2023</v>
      </c>
      <c r="V1149" s="2" t="str">
        <f>IF(DAY(B1149)&gt;15,MONTH(B1149)&amp;"-C",MONTH(B1149)&amp;"-N")</f>
        <v>3-C</v>
      </c>
      <c r="W1149" s="21">
        <v>19.8</v>
      </c>
      <c r="X1149" s="2" t="b">
        <f t="shared" si="753"/>
        <v>1</v>
      </c>
    </row>
    <row r="1150" spans="2:24" x14ac:dyDescent="0.2">
      <c r="B1150" s="17">
        <v>45006</v>
      </c>
      <c r="C1150" s="10" t="s">
        <v>25</v>
      </c>
      <c r="D1150" s="11" t="s">
        <v>2530</v>
      </c>
      <c r="E1150" s="26">
        <v>67519</v>
      </c>
      <c r="F1150" s="10" t="s">
        <v>26</v>
      </c>
      <c r="G1150" s="10" t="s">
        <v>27</v>
      </c>
      <c r="H1150" s="27" t="s">
        <v>28</v>
      </c>
      <c r="I1150" s="12" t="s">
        <v>1843</v>
      </c>
      <c r="J1150" s="12" t="s">
        <v>1843</v>
      </c>
      <c r="K1150" s="13">
        <v>17100</v>
      </c>
      <c r="L1150" s="21">
        <v>4.0999999999999996</v>
      </c>
      <c r="M1150" s="14" t="s">
        <v>14</v>
      </c>
      <c r="N1150" s="13">
        <v>70110</v>
      </c>
      <c r="O1150" s="15">
        <f t="shared" ref="O1150" si="754">(N1150/K1150)-L1150</f>
        <v>0</v>
      </c>
      <c r="P1150" s="10" t="s">
        <v>78</v>
      </c>
      <c r="Q1150" s="11" t="s">
        <v>2558</v>
      </c>
      <c r="R1150" s="11" t="s">
        <v>2559</v>
      </c>
      <c r="S1150" s="16" t="s">
        <v>2560</v>
      </c>
      <c r="T1150" s="19" t="str">
        <f>MONTH(B1150)&amp;"-"&amp;YEAR(B1150)</f>
        <v>3-2023</v>
      </c>
      <c r="U1150" s="2">
        <f>YEAR(B1150)</f>
        <v>2023</v>
      </c>
      <c r="V1150" s="2" t="str">
        <f>IF(DAY(B1150)&gt;15,MONTH(B1150)&amp;"-C",MONTH(B1150)&amp;"-N")</f>
        <v>3-C</v>
      </c>
      <c r="W1150" s="21">
        <v>4.0999999999999996</v>
      </c>
      <c r="X1150" s="2" t="b">
        <f t="shared" ref="X1150" si="755">+L1150=W1150</f>
        <v>1</v>
      </c>
    </row>
    <row r="1151" spans="2:24" x14ac:dyDescent="0.2">
      <c r="B1151" s="17">
        <v>45009</v>
      </c>
      <c r="C1151" s="10" t="s">
        <v>73</v>
      </c>
      <c r="D1151" s="11" t="s">
        <v>2384</v>
      </c>
      <c r="E1151" s="26">
        <v>67590</v>
      </c>
      <c r="F1151" s="10" t="s">
        <v>2385</v>
      </c>
      <c r="G1151" s="10" t="s">
        <v>46</v>
      </c>
      <c r="H1151" s="27" t="s">
        <v>2386</v>
      </c>
      <c r="I1151" s="12" t="s">
        <v>1843</v>
      </c>
      <c r="J1151" s="12" t="s">
        <v>1843</v>
      </c>
      <c r="K1151" s="13">
        <v>3400</v>
      </c>
      <c r="L1151" s="21">
        <v>12.55</v>
      </c>
      <c r="M1151" s="14" t="s">
        <v>14</v>
      </c>
      <c r="N1151" s="13">
        <v>42670</v>
      </c>
      <c r="O1151" s="15">
        <f t="shared" ref="O1151:O1152" si="756">(N1151/K1151)-L1151</f>
        <v>0</v>
      </c>
      <c r="P1151" s="10" t="s">
        <v>84</v>
      </c>
      <c r="Q1151" s="11" t="s">
        <v>2561</v>
      </c>
      <c r="R1151" s="11" t="s">
        <v>2562</v>
      </c>
      <c r="S1151" s="16" t="s">
        <v>2563</v>
      </c>
      <c r="T1151" s="19" t="str">
        <f>MONTH(B1151)&amp;"-"&amp;YEAR(B1151)</f>
        <v>3-2023</v>
      </c>
      <c r="U1151" s="2">
        <f>YEAR(B1151)</f>
        <v>2023</v>
      </c>
      <c r="V1151" s="2" t="str">
        <f>IF(DAY(B1151)&gt;15,MONTH(B1151)&amp;"-C",MONTH(B1151)&amp;"-N")</f>
        <v>3-C</v>
      </c>
      <c r="W1151" s="21">
        <v>12.55</v>
      </c>
      <c r="X1151" s="2" t="b">
        <f t="shared" ref="X1151:X1152" si="757">+L1151=W1151</f>
        <v>1</v>
      </c>
    </row>
    <row r="1152" spans="2:24" x14ac:dyDescent="0.2">
      <c r="B1152" s="17">
        <v>45009</v>
      </c>
      <c r="C1152" s="10" t="s">
        <v>73</v>
      </c>
      <c r="D1152" s="11" t="s">
        <v>2384</v>
      </c>
      <c r="E1152" s="26">
        <v>67590</v>
      </c>
      <c r="F1152" s="10" t="s">
        <v>158</v>
      </c>
      <c r="G1152" s="10" t="s">
        <v>46</v>
      </c>
      <c r="H1152" s="27" t="s">
        <v>159</v>
      </c>
      <c r="I1152" s="12" t="s">
        <v>1843</v>
      </c>
      <c r="J1152" s="12" t="s">
        <v>1843</v>
      </c>
      <c r="K1152" s="13">
        <v>4140</v>
      </c>
      <c r="L1152" s="21">
        <v>12.55</v>
      </c>
      <c r="M1152" s="14" t="s">
        <v>14</v>
      </c>
      <c r="N1152" s="13">
        <v>51957</v>
      </c>
      <c r="O1152" s="15">
        <f t="shared" si="756"/>
        <v>0</v>
      </c>
      <c r="P1152" s="10" t="s">
        <v>84</v>
      </c>
      <c r="Q1152" s="11" t="s">
        <v>2561</v>
      </c>
      <c r="R1152" s="11" t="s">
        <v>2562</v>
      </c>
      <c r="S1152" s="16" t="s">
        <v>2563</v>
      </c>
      <c r="T1152" s="19" t="str">
        <f>MONTH(B1152)&amp;"-"&amp;YEAR(B1152)</f>
        <v>3-2023</v>
      </c>
      <c r="U1152" s="2">
        <f>YEAR(B1152)</f>
        <v>2023</v>
      </c>
      <c r="V1152" s="2" t="str">
        <f>IF(DAY(B1152)&gt;15,MONTH(B1152)&amp;"-C",MONTH(B1152)&amp;"-N")</f>
        <v>3-C</v>
      </c>
      <c r="W1152" s="21">
        <v>12.55</v>
      </c>
      <c r="X1152" s="2" t="b">
        <f t="shared" si="757"/>
        <v>1</v>
      </c>
    </row>
    <row r="1153" spans="2:24" x14ac:dyDescent="0.2">
      <c r="B1153" s="17">
        <v>45010</v>
      </c>
      <c r="C1153" s="10" t="s">
        <v>107</v>
      </c>
      <c r="D1153" s="11" t="s">
        <v>2567</v>
      </c>
      <c r="E1153" s="26">
        <v>67636</v>
      </c>
      <c r="F1153" s="10" t="s">
        <v>103</v>
      </c>
      <c r="G1153" s="10" t="s">
        <v>46</v>
      </c>
      <c r="H1153" s="27" t="s">
        <v>104</v>
      </c>
      <c r="I1153" s="12" t="s">
        <v>1843</v>
      </c>
      <c r="J1153" s="12" t="s">
        <v>1843</v>
      </c>
      <c r="K1153" s="13">
        <v>160</v>
      </c>
      <c r="L1153" s="21">
        <v>47.51</v>
      </c>
      <c r="M1153" s="14" t="s">
        <v>14</v>
      </c>
      <c r="N1153" s="13">
        <v>7601.6</v>
      </c>
      <c r="O1153" s="15">
        <f t="shared" ref="O1153:O1157" si="758">(N1153/K1153)-L1153</f>
        <v>0</v>
      </c>
      <c r="P1153" s="10" t="s">
        <v>84</v>
      </c>
      <c r="Q1153" s="11" t="s">
        <v>2568</v>
      </c>
      <c r="R1153" s="11" t="s">
        <v>2569</v>
      </c>
      <c r="S1153" s="16" t="s">
        <v>2570</v>
      </c>
      <c r="T1153" s="19" t="str">
        <f>MONTH(B1153)&amp;"-"&amp;YEAR(B1153)</f>
        <v>3-2023</v>
      </c>
      <c r="U1153" s="2">
        <f>YEAR(B1153)</f>
        <v>2023</v>
      </c>
      <c r="V1153" s="2" t="str">
        <f>IF(DAY(B1153)&gt;15,MONTH(B1153)&amp;"-C",MONTH(B1153)&amp;"-N")</f>
        <v>3-C</v>
      </c>
      <c r="W1153" s="21">
        <v>47.51</v>
      </c>
      <c r="X1153" s="2" t="b">
        <f t="shared" ref="X1153:X1157" si="759">+L1153=W1153</f>
        <v>1</v>
      </c>
    </row>
    <row r="1154" spans="2:24" x14ac:dyDescent="0.2">
      <c r="B1154" s="17">
        <v>45010</v>
      </c>
      <c r="C1154" s="10" t="s">
        <v>107</v>
      </c>
      <c r="D1154" s="11" t="s">
        <v>2567</v>
      </c>
      <c r="E1154" s="26">
        <v>67636</v>
      </c>
      <c r="F1154" s="10" t="s">
        <v>105</v>
      </c>
      <c r="G1154" s="10" t="s">
        <v>46</v>
      </c>
      <c r="H1154" s="27" t="s">
        <v>106</v>
      </c>
      <c r="I1154" s="12" t="s">
        <v>1843</v>
      </c>
      <c r="J1154" s="12" t="s">
        <v>1843</v>
      </c>
      <c r="K1154" s="13">
        <v>5280</v>
      </c>
      <c r="L1154" s="21">
        <v>11.81</v>
      </c>
      <c r="M1154" s="14" t="s">
        <v>14</v>
      </c>
      <c r="N1154" s="13">
        <v>62356.800000000003</v>
      </c>
      <c r="O1154" s="15">
        <f t="shared" si="758"/>
        <v>0</v>
      </c>
      <c r="P1154" s="10" t="s">
        <v>84</v>
      </c>
      <c r="Q1154" s="11" t="s">
        <v>2568</v>
      </c>
      <c r="R1154" s="11" t="s">
        <v>2569</v>
      </c>
      <c r="S1154" s="16" t="s">
        <v>2570</v>
      </c>
      <c r="T1154" s="19" t="str">
        <f>MONTH(B1154)&amp;"-"&amp;YEAR(B1154)</f>
        <v>3-2023</v>
      </c>
      <c r="U1154" s="2">
        <f>YEAR(B1154)</f>
        <v>2023</v>
      </c>
      <c r="V1154" s="2" t="str">
        <f>IF(DAY(B1154)&gt;15,MONTH(B1154)&amp;"-C",MONTH(B1154)&amp;"-N")</f>
        <v>3-C</v>
      </c>
      <c r="W1154" s="21">
        <v>11.81</v>
      </c>
      <c r="X1154" s="2" t="b">
        <f t="shared" si="759"/>
        <v>1</v>
      </c>
    </row>
    <row r="1155" spans="2:24" x14ac:dyDescent="0.2">
      <c r="B1155" s="17">
        <v>45012</v>
      </c>
      <c r="C1155" s="10" t="s">
        <v>25</v>
      </c>
      <c r="D1155" s="11" t="s">
        <v>2538</v>
      </c>
      <c r="E1155" s="26">
        <v>67633</v>
      </c>
      <c r="F1155" s="10" t="s">
        <v>29</v>
      </c>
      <c r="G1155" s="10" t="s">
        <v>27</v>
      </c>
      <c r="H1155" s="27" t="s">
        <v>30</v>
      </c>
      <c r="I1155" s="12" t="s">
        <v>1843</v>
      </c>
      <c r="J1155" s="12" t="s">
        <v>1843</v>
      </c>
      <c r="K1155" s="13">
        <v>1980</v>
      </c>
      <c r="L1155" s="21">
        <v>4.25</v>
      </c>
      <c r="M1155" s="14" t="s">
        <v>14</v>
      </c>
      <c r="N1155" s="13">
        <v>8415</v>
      </c>
      <c r="O1155" s="15">
        <f t="shared" si="758"/>
        <v>0</v>
      </c>
      <c r="P1155" s="10" t="s">
        <v>78</v>
      </c>
      <c r="Q1155" s="11" t="s">
        <v>2564</v>
      </c>
      <c r="R1155" s="11" t="s">
        <v>2565</v>
      </c>
      <c r="S1155" s="16" t="s">
        <v>2566</v>
      </c>
      <c r="T1155" s="19" t="str">
        <f>MONTH(B1155)&amp;"-"&amp;YEAR(B1155)</f>
        <v>3-2023</v>
      </c>
      <c r="U1155" s="2">
        <f>YEAR(B1155)</f>
        <v>2023</v>
      </c>
      <c r="V1155" s="2" t="str">
        <f>IF(DAY(B1155)&gt;15,MONTH(B1155)&amp;"-C",MONTH(B1155)&amp;"-N")</f>
        <v>3-C</v>
      </c>
      <c r="W1155" s="21">
        <v>4.25</v>
      </c>
      <c r="X1155" s="2" t="b">
        <f t="shared" si="759"/>
        <v>1</v>
      </c>
    </row>
    <row r="1156" spans="2:24" x14ac:dyDescent="0.2">
      <c r="B1156" s="17">
        <v>45012</v>
      </c>
      <c r="C1156" s="10" t="s">
        <v>25</v>
      </c>
      <c r="D1156" s="11" t="s">
        <v>2538</v>
      </c>
      <c r="E1156" s="26">
        <v>67633</v>
      </c>
      <c r="F1156" s="10" t="s">
        <v>49</v>
      </c>
      <c r="G1156" s="10" t="s">
        <v>27</v>
      </c>
      <c r="H1156" s="27" t="s">
        <v>50</v>
      </c>
      <c r="I1156" s="12" t="s">
        <v>1843</v>
      </c>
      <c r="J1156" s="12" t="s">
        <v>1843</v>
      </c>
      <c r="K1156" s="13">
        <v>760</v>
      </c>
      <c r="L1156" s="21">
        <v>5.27</v>
      </c>
      <c r="M1156" s="14" t="s">
        <v>14</v>
      </c>
      <c r="N1156" s="13">
        <v>4005.2</v>
      </c>
      <c r="O1156" s="15">
        <f t="shared" si="758"/>
        <v>0</v>
      </c>
      <c r="P1156" s="10" t="s">
        <v>78</v>
      </c>
      <c r="Q1156" s="11" t="s">
        <v>2564</v>
      </c>
      <c r="R1156" s="11" t="s">
        <v>2565</v>
      </c>
      <c r="S1156" s="16" t="s">
        <v>2566</v>
      </c>
      <c r="T1156" s="19" t="str">
        <f>MONTH(B1156)&amp;"-"&amp;YEAR(B1156)</f>
        <v>3-2023</v>
      </c>
      <c r="U1156" s="2">
        <f>YEAR(B1156)</f>
        <v>2023</v>
      </c>
      <c r="V1156" s="2" t="str">
        <f>IF(DAY(B1156)&gt;15,MONTH(B1156)&amp;"-C",MONTH(B1156)&amp;"-N")</f>
        <v>3-C</v>
      </c>
      <c r="W1156" s="21">
        <v>5.27</v>
      </c>
      <c r="X1156" s="2" t="b">
        <f t="shared" si="759"/>
        <v>1</v>
      </c>
    </row>
    <row r="1157" spans="2:24" x14ac:dyDescent="0.2">
      <c r="B1157" s="17">
        <v>45012</v>
      </c>
      <c r="C1157" s="10" t="s">
        <v>94</v>
      </c>
      <c r="D1157" s="11" t="s">
        <v>2534</v>
      </c>
      <c r="E1157" s="26">
        <v>67630</v>
      </c>
      <c r="F1157" s="10" t="s">
        <v>26</v>
      </c>
      <c r="G1157" s="10" t="s">
        <v>27</v>
      </c>
      <c r="H1157" s="27" t="s">
        <v>28</v>
      </c>
      <c r="I1157" s="12" t="s">
        <v>1843</v>
      </c>
      <c r="J1157" s="12" t="s">
        <v>1843</v>
      </c>
      <c r="K1157" s="13">
        <v>19800</v>
      </c>
      <c r="L1157" s="21">
        <v>4.05</v>
      </c>
      <c r="M1157" s="14" t="s">
        <v>14</v>
      </c>
      <c r="N1157" s="13">
        <v>80190</v>
      </c>
      <c r="O1157" s="15">
        <f t="shared" si="758"/>
        <v>0</v>
      </c>
      <c r="P1157" s="10" t="s">
        <v>78</v>
      </c>
      <c r="Q1157" s="11" t="s">
        <v>2582</v>
      </c>
      <c r="R1157" s="11" t="s">
        <v>2583</v>
      </c>
      <c r="S1157" s="16" t="s">
        <v>2584</v>
      </c>
      <c r="T1157" s="19" t="str">
        <f>MONTH(B1157)&amp;"-"&amp;YEAR(B1157)</f>
        <v>3-2023</v>
      </c>
      <c r="U1157" s="2">
        <f>YEAR(B1157)</f>
        <v>2023</v>
      </c>
      <c r="V1157" s="2" t="str">
        <f>IF(DAY(B1157)&gt;15,MONTH(B1157)&amp;"-C",MONTH(B1157)&amp;"-N")</f>
        <v>3-C</v>
      </c>
      <c r="W1157" s="21">
        <v>4.05</v>
      </c>
      <c r="X1157" s="2" t="b">
        <f t="shared" si="759"/>
        <v>1</v>
      </c>
    </row>
    <row r="1158" spans="2:24" x14ac:dyDescent="0.2">
      <c r="B1158" s="17">
        <v>45016</v>
      </c>
      <c r="C1158" s="10" t="s">
        <v>1104</v>
      </c>
      <c r="D1158" s="11" t="s">
        <v>2574</v>
      </c>
      <c r="E1158" s="26">
        <v>67733</v>
      </c>
      <c r="F1158" s="10" t="s">
        <v>2575</v>
      </c>
      <c r="G1158" s="10" t="s">
        <v>46</v>
      </c>
      <c r="H1158" s="27" t="s">
        <v>2576</v>
      </c>
      <c r="I1158" s="12" t="s">
        <v>1843</v>
      </c>
      <c r="J1158" s="12" t="s">
        <v>1843</v>
      </c>
      <c r="K1158" s="13">
        <v>215</v>
      </c>
      <c r="L1158" s="21">
        <v>10.3</v>
      </c>
      <c r="M1158" s="14" t="s">
        <v>14</v>
      </c>
      <c r="N1158" s="13">
        <v>2214.5</v>
      </c>
      <c r="O1158" s="15">
        <f t="shared" ref="O1158:O1159" si="760">(N1158/K1158)-L1158</f>
        <v>0</v>
      </c>
      <c r="P1158" s="10" t="s">
        <v>84</v>
      </c>
      <c r="Q1158" s="11" t="s">
        <v>2577</v>
      </c>
      <c r="R1158" s="11" t="s">
        <v>2578</v>
      </c>
      <c r="S1158" s="16" t="s">
        <v>2579</v>
      </c>
      <c r="T1158" s="19" t="str">
        <f>MONTH(B1158)&amp;"-"&amp;YEAR(B1158)</f>
        <v>3-2023</v>
      </c>
      <c r="U1158" s="2">
        <f>YEAR(B1158)</f>
        <v>2023</v>
      </c>
      <c r="V1158" s="2" t="str">
        <f>IF(DAY(B1158)&gt;15,MONTH(B1158)&amp;"-C",MONTH(B1158)&amp;"-N")</f>
        <v>3-C</v>
      </c>
      <c r="W1158" s="21">
        <v>10.3</v>
      </c>
      <c r="X1158" s="2" t="b">
        <f t="shared" ref="X1158:X1159" si="761">+L1158=W1158</f>
        <v>1</v>
      </c>
    </row>
    <row r="1159" spans="2:24" x14ac:dyDescent="0.2">
      <c r="B1159" s="17">
        <v>45016</v>
      </c>
      <c r="C1159" s="10" t="s">
        <v>1104</v>
      </c>
      <c r="D1159" s="11" t="s">
        <v>2574</v>
      </c>
      <c r="E1159" s="26">
        <v>67733</v>
      </c>
      <c r="F1159" s="10" t="s">
        <v>2580</v>
      </c>
      <c r="G1159" s="10" t="s">
        <v>46</v>
      </c>
      <c r="H1159" s="27" t="s">
        <v>2581</v>
      </c>
      <c r="I1159" s="12" t="s">
        <v>1843</v>
      </c>
      <c r="J1159" s="12" t="s">
        <v>1843</v>
      </c>
      <c r="K1159" s="13">
        <v>230</v>
      </c>
      <c r="L1159" s="21">
        <v>13.6</v>
      </c>
      <c r="M1159" s="14" t="s">
        <v>14</v>
      </c>
      <c r="N1159" s="13">
        <v>3128</v>
      </c>
      <c r="O1159" s="15">
        <f t="shared" si="760"/>
        <v>0</v>
      </c>
      <c r="P1159" s="10" t="s">
        <v>84</v>
      </c>
      <c r="Q1159" s="11" t="s">
        <v>2577</v>
      </c>
      <c r="R1159" s="11" t="s">
        <v>2578</v>
      </c>
      <c r="S1159" s="16" t="s">
        <v>2579</v>
      </c>
      <c r="T1159" s="19" t="str">
        <f>MONTH(B1159)&amp;"-"&amp;YEAR(B1159)</f>
        <v>3-2023</v>
      </c>
      <c r="U1159" s="2">
        <f>YEAR(B1159)</f>
        <v>2023</v>
      </c>
      <c r="V1159" s="2" t="str">
        <f>IF(DAY(B1159)&gt;15,MONTH(B1159)&amp;"-C",MONTH(B1159)&amp;"-N")</f>
        <v>3-C</v>
      </c>
      <c r="W1159" s="21">
        <v>13.6</v>
      </c>
      <c r="X1159" s="2" t="b">
        <f t="shared" si="761"/>
        <v>1</v>
      </c>
    </row>
    <row r="1160" spans="2:24" x14ac:dyDescent="0.2">
      <c r="B1160" s="17">
        <v>45019</v>
      </c>
      <c r="C1160" s="10" t="s">
        <v>82</v>
      </c>
      <c r="D1160" s="11" t="s">
        <v>2585</v>
      </c>
      <c r="E1160" s="26">
        <v>67738</v>
      </c>
      <c r="F1160" s="10" t="s">
        <v>26</v>
      </c>
      <c r="G1160" s="10" t="s">
        <v>27</v>
      </c>
      <c r="H1160" s="27" t="s">
        <v>28</v>
      </c>
      <c r="I1160" s="12">
        <v>0</v>
      </c>
      <c r="J1160" s="12">
        <v>0</v>
      </c>
      <c r="K1160" s="13">
        <v>9900</v>
      </c>
      <c r="L1160" s="21">
        <v>4.05</v>
      </c>
      <c r="M1160" s="14" t="s">
        <v>14</v>
      </c>
      <c r="N1160" s="13">
        <v>40095</v>
      </c>
      <c r="O1160" s="15">
        <f t="shared" ref="O1160:O1162" si="762">(N1160/K1160)-L1160</f>
        <v>0</v>
      </c>
      <c r="P1160" s="10" t="s">
        <v>78</v>
      </c>
      <c r="Q1160" s="11" t="s">
        <v>2586</v>
      </c>
      <c r="R1160" s="11" t="s">
        <v>2587</v>
      </c>
      <c r="S1160" s="16" t="s">
        <v>2588</v>
      </c>
      <c r="T1160" s="19" t="str">
        <f>MONTH(B1160)&amp;"-"&amp;YEAR(B1160)</f>
        <v>4-2023</v>
      </c>
      <c r="U1160" s="2">
        <f>YEAR(B1160)</f>
        <v>2023</v>
      </c>
      <c r="V1160" s="2" t="str">
        <f>IF(DAY(B1160)&gt;15,MONTH(B1160)&amp;"-C",MONTH(B1160)&amp;"-N")</f>
        <v>4-N</v>
      </c>
      <c r="W1160" s="21">
        <v>4.05</v>
      </c>
      <c r="X1160" s="2" t="b">
        <f t="shared" ref="X1160:X1162" si="763">+L1160=W1160</f>
        <v>1</v>
      </c>
    </row>
    <row r="1161" spans="2:24" x14ac:dyDescent="0.2">
      <c r="B1161" s="17">
        <v>45019</v>
      </c>
      <c r="C1161" s="10" t="s">
        <v>82</v>
      </c>
      <c r="D1161" s="11" t="s">
        <v>2585</v>
      </c>
      <c r="E1161" s="26">
        <v>67758</v>
      </c>
      <c r="F1161" s="10" t="s">
        <v>26</v>
      </c>
      <c r="G1161" s="10" t="s">
        <v>27</v>
      </c>
      <c r="H1161" s="27" t="s">
        <v>28</v>
      </c>
      <c r="I1161" s="12">
        <v>0</v>
      </c>
      <c r="J1161" s="12">
        <v>0</v>
      </c>
      <c r="K1161" s="13">
        <v>9900</v>
      </c>
      <c r="L1161" s="21">
        <v>4.05</v>
      </c>
      <c r="M1161" s="14" t="s">
        <v>14</v>
      </c>
      <c r="N1161" s="13">
        <v>40095</v>
      </c>
      <c r="O1161" s="15">
        <f t="shared" si="762"/>
        <v>0</v>
      </c>
      <c r="P1161" s="10" t="s">
        <v>78</v>
      </c>
      <c r="Q1161" s="11" t="s">
        <v>2586</v>
      </c>
      <c r="R1161" s="11" t="s">
        <v>2587</v>
      </c>
      <c r="S1161" s="16" t="s">
        <v>2588</v>
      </c>
      <c r="T1161" s="19" t="str">
        <f>MONTH(B1161)&amp;"-"&amp;YEAR(B1161)</f>
        <v>4-2023</v>
      </c>
      <c r="U1161" s="2">
        <f>YEAR(B1161)</f>
        <v>2023</v>
      </c>
      <c r="V1161" s="2" t="str">
        <f>IF(DAY(B1161)&gt;15,MONTH(B1161)&amp;"-C",MONTH(B1161)&amp;"-N")</f>
        <v>4-N</v>
      </c>
      <c r="W1161" s="21">
        <v>4.05</v>
      </c>
      <c r="X1161" s="2" t="b">
        <f t="shared" si="763"/>
        <v>1</v>
      </c>
    </row>
    <row r="1162" spans="2:24" x14ac:dyDescent="0.2">
      <c r="B1162" s="17">
        <v>45021</v>
      </c>
      <c r="C1162" s="10" t="s">
        <v>73</v>
      </c>
      <c r="D1162" s="11" t="s">
        <v>2589</v>
      </c>
      <c r="E1162" s="26">
        <v>67779</v>
      </c>
      <c r="F1162" s="10" t="s">
        <v>399</v>
      </c>
      <c r="G1162" s="10" t="s">
        <v>46</v>
      </c>
      <c r="H1162" s="27" t="s">
        <v>149</v>
      </c>
      <c r="I1162" s="12">
        <v>0</v>
      </c>
      <c r="J1162" s="12">
        <v>0</v>
      </c>
      <c r="K1162" s="13">
        <v>2000</v>
      </c>
      <c r="L1162" s="21">
        <v>16.8</v>
      </c>
      <c r="M1162" s="14" t="s">
        <v>14</v>
      </c>
      <c r="N1162" s="13">
        <v>33600</v>
      </c>
      <c r="O1162" s="15">
        <f t="shared" si="762"/>
        <v>0</v>
      </c>
      <c r="P1162" s="10" t="s">
        <v>84</v>
      </c>
      <c r="Q1162" s="11" t="s">
        <v>2590</v>
      </c>
      <c r="R1162" s="11" t="s">
        <v>2591</v>
      </c>
      <c r="S1162" s="16" t="s">
        <v>2592</v>
      </c>
      <c r="T1162" s="19" t="str">
        <f>MONTH(B1162)&amp;"-"&amp;YEAR(B1162)</f>
        <v>4-2023</v>
      </c>
      <c r="U1162" s="2">
        <f>YEAR(B1162)</f>
        <v>2023</v>
      </c>
      <c r="V1162" s="2" t="str">
        <f>IF(DAY(B1162)&gt;15,MONTH(B1162)&amp;"-C",MONTH(B1162)&amp;"-N")</f>
        <v>4-N</v>
      </c>
      <c r="W1162" s="21">
        <v>16.8</v>
      </c>
      <c r="X1162" s="2" t="b">
        <f t="shared" si="763"/>
        <v>1</v>
      </c>
    </row>
    <row r="1163" spans="2:24" x14ac:dyDescent="0.2">
      <c r="B1163" s="17">
        <v>45023</v>
      </c>
      <c r="C1163" s="10" t="s">
        <v>48</v>
      </c>
      <c r="D1163" s="11" t="s">
        <v>2593</v>
      </c>
      <c r="E1163" s="26">
        <v>67802</v>
      </c>
      <c r="F1163" s="10" t="s">
        <v>135</v>
      </c>
      <c r="G1163" s="10" t="s">
        <v>46</v>
      </c>
      <c r="H1163" s="27" t="s">
        <v>136</v>
      </c>
      <c r="I1163" s="12">
        <v>0</v>
      </c>
      <c r="J1163" s="12">
        <v>0</v>
      </c>
      <c r="K1163" s="13">
        <v>4800</v>
      </c>
      <c r="L1163" s="21">
        <v>12.497999999999999</v>
      </c>
      <c r="M1163" s="14" t="s">
        <v>14</v>
      </c>
      <c r="N1163" s="13">
        <v>59992.32</v>
      </c>
      <c r="O1163" s="15">
        <f t="shared" ref="O1163:O1165" si="764">(N1163/K1163)-L1163</f>
        <v>4.0000000000084412E-4</v>
      </c>
      <c r="P1163" s="10" t="s">
        <v>90</v>
      </c>
      <c r="Q1163" s="11" t="s">
        <v>2595</v>
      </c>
      <c r="R1163" s="11" t="s">
        <v>2594</v>
      </c>
      <c r="S1163" s="16" t="s">
        <v>2596</v>
      </c>
      <c r="T1163" s="19" t="str">
        <f>MONTH(B1163)&amp;"-"&amp;YEAR(B1163)</f>
        <v>4-2023</v>
      </c>
      <c r="U1163" s="2">
        <f>YEAR(B1163)</f>
        <v>2023</v>
      </c>
      <c r="V1163" s="2" t="str">
        <f>IF(DAY(B1163)&gt;15,MONTH(B1163)&amp;"-C",MONTH(B1163)&amp;"-N")</f>
        <v>4-N</v>
      </c>
      <c r="W1163" s="21">
        <v>12.497999999999999</v>
      </c>
      <c r="X1163" s="2" t="b">
        <f t="shared" ref="X1163:X1165" si="765">+L1163=W1163</f>
        <v>1</v>
      </c>
    </row>
    <row r="1164" spans="2:24" x14ac:dyDescent="0.2">
      <c r="B1164" s="17">
        <v>45023</v>
      </c>
      <c r="C1164" s="10" t="s">
        <v>48</v>
      </c>
      <c r="D1164" s="11" t="s">
        <v>2593</v>
      </c>
      <c r="E1164" s="26">
        <v>67802</v>
      </c>
      <c r="F1164" s="10" t="s">
        <v>71</v>
      </c>
      <c r="G1164" s="10" t="s">
        <v>46</v>
      </c>
      <c r="H1164" s="27" t="s">
        <v>72</v>
      </c>
      <c r="I1164" s="12">
        <v>0</v>
      </c>
      <c r="J1164" s="12">
        <v>0</v>
      </c>
      <c r="K1164" s="13">
        <v>11200</v>
      </c>
      <c r="L1164" s="21">
        <v>12.241</v>
      </c>
      <c r="M1164" s="14" t="s">
        <v>14</v>
      </c>
      <c r="N1164" s="13">
        <v>137100.09599999999</v>
      </c>
      <c r="O1164" s="15">
        <f t="shared" si="764"/>
        <v>7.9999999998747739E-5</v>
      </c>
      <c r="P1164" s="10" t="s">
        <v>90</v>
      </c>
      <c r="Q1164" s="11" t="s">
        <v>2595</v>
      </c>
      <c r="R1164" s="11" t="s">
        <v>2594</v>
      </c>
      <c r="S1164" s="16" t="s">
        <v>2596</v>
      </c>
      <c r="T1164" s="19" t="str">
        <f>MONTH(B1164)&amp;"-"&amp;YEAR(B1164)</f>
        <v>4-2023</v>
      </c>
      <c r="U1164" s="2">
        <f>YEAR(B1164)</f>
        <v>2023</v>
      </c>
      <c r="V1164" s="2" t="str">
        <f>IF(DAY(B1164)&gt;15,MONTH(B1164)&amp;"-C",MONTH(B1164)&amp;"-N")</f>
        <v>4-N</v>
      </c>
      <c r="W1164" s="21">
        <v>12.241</v>
      </c>
      <c r="X1164" s="2" t="b">
        <f t="shared" si="765"/>
        <v>1</v>
      </c>
    </row>
    <row r="1165" spans="2:24" x14ac:dyDescent="0.2">
      <c r="B1165" s="17">
        <v>45024</v>
      </c>
      <c r="C1165" s="10" t="s">
        <v>73</v>
      </c>
      <c r="D1165" s="11" t="s">
        <v>2597</v>
      </c>
      <c r="E1165" s="26">
        <v>67840</v>
      </c>
      <c r="F1165" s="10" t="s">
        <v>399</v>
      </c>
      <c r="G1165" s="10" t="s">
        <v>46</v>
      </c>
      <c r="H1165" s="27" t="s">
        <v>149</v>
      </c>
      <c r="I1165" s="12">
        <v>0</v>
      </c>
      <c r="J1165" s="12">
        <v>0</v>
      </c>
      <c r="K1165" s="13">
        <v>2010</v>
      </c>
      <c r="L1165" s="21">
        <v>16.8</v>
      </c>
      <c r="M1165" s="14" t="s">
        <v>14</v>
      </c>
      <c r="N1165" s="13">
        <v>33768</v>
      </c>
      <c r="O1165" s="15">
        <f t="shared" si="764"/>
        <v>0</v>
      </c>
      <c r="P1165" s="10" t="s">
        <v>84</v>
      </c>
      <c r="Q1165" s="11" t="s">
        <v>2598</v>
      </c>
      <c r="R1165" s="11" t="s">
        <v>2599</v>
      </c>
      <c r="S1165" s="16" t="s">
        <v>2600</v>
      </c>
      <c r="T1165" s="19" t="str">
        <f>MONTH(B1165)&amp;"-"&amp;YEAR(B1165)</f>
        <v>4-2023</v>
      </c>
      <c r="U1165" s="2">
        <f>YEAR(B1165)</f>
        <v>2023</v>
      </c>
      <c r="V1165" s="2" t="str">
        <f>IF(DAY(B1165)&gt;15,MONTH(B1165)&amp;"-C",MONTH(B1165)&amp;"-N")</f>
        <v>4-N</v>
      </c>
      <c r="W1165" s="21">
        <v>16.8</v>
      </c>
      <c r="X1165" s="2" t="b">
        <f t="shared" si="765"/>
        <v>1</v>
      </c>
    </row>
    <row r="1166" spans="2:24" x14ac:dyDescent="0.2">
      <c r="B1166" s="17">
        <v>45026</v>
      </c>
      <c r="C1166" s="10" t="s">
        <v>82</v>
      </c>
      <c r="D1166" s="11" t="s">
        <v>2585</v>
      </c>
      <c r="E1166" s="26">
        <v>67838</v>
      </c>
      <c r="F1166" s="10" t="s">
        <v>26</v>
      </c>
      <c r="G1166" s="10" t="s">
        <v>27</v>
      </c>
      <c r="H1166" s="27" t="s">
        <v>28</v>
      </c>
      <c r="I1166" s="12">
        <v>0</v>
      </c>
      <c r="J1166" s="12">
        <v>0</v>
      </c>
      <c r="K1166" s="13">
        <v>1800</v>
      </c>
      <c r="L1166" s="21">
        <v>4.05</v>
      </c>
      <c r="M1166" s="14" t="s">
        <v>14</v>
      </c>
      <c r="N1166" s="13">
        <v>7290</v>
      </c>
      <c r="O1166" s="15">
        <f t="shared" ref="O1166:O1168" si="766">(N1166/K1166)-L1166</f>
        <v>0</v>
      </c>
      <c r="P1166" s="10" t="s">
        <v>78</v>
      </c>
      <c r="Q1166" s="11" t="s">
        <v>2601</v>
      </c>
      <c r="R1166" s="11" t="s">
        <v>2602</v>
      </c>
      <c r="S1166" s="16" t="s">
        <v>2603</v>
      </c>
      <c r="T1166" s="19" t="str">
        <f>MONTH(B1166)&amp;"-"&amp;YEAR(B1166)</f>
        <v>4-2023</v>
      </c>
      <c r="U1166" s="2">
        <f>YEAR(B1166)</f>
        <v>2023</v>
      </c>
      <c r="V1166" s="2" t="str">
        <f>IF(DAY(B1166)&gt;15,MONTH(B1166)&amp;"-C",MONTH(B1166)&amp;"-N")</f>
        <v>4-N</v>
      </c>
      <c r="W1166" s="21">
        <v>4.05</v>
      </c>
      <c r="X1166" s="2" t="b">
        <f t="shared" ref="X1166:X1168" si="767">+L1166=W1166</f>
        <v>1</v>
      </c>
    </row>
    <row r="1167" spans="2:24" x14ac:dyDescent="0.2">
      <c r="B1167" s="17">
        <v>45026</v>
      </c>
      <c r="C1167" s="10" t="s">
        <v>82</v>
      </c>
      <c r="D1167" s="11" t="s">
        <v>2585</v>
      </c>
      <c r="E1167" s="26">
        <v>67839</v>
      </c>
      <c r="F1167" s="10" t="s">
        <v>26</v>
      </c>
      <c r="G1167" s="10" t="s">
        <v>27</v>
      </c>
      <c r="H1167" s="27" t="s">
        <v>28</v>
      </c>
      <c r="I1167" s="12">
        <v>0</v>
      </c>
      <c r="J1167" s="12">
        <v>0</v>
      </c>
      <c r="K1167" s="13">
        <v>9000</v>
      </c>
      <c r="L1167" s="21">
        <v>4.05</v>
      </c>
      <c r="M1167" s="14" t="s">
        <v>14</v>
      </c>
      <c r="N1167" s="13">
        <v>36450</v>
      </c>
      <c r="O1167" s="15">
        <f t="shared" si="766"/>
        <v>0</v>
      </c>
      <c r="P1167" s="10" t="s">
        <v>78</v>
      </c>
      <c r="Q1167" s="11" t="s">
        <v>2601</v>
      </c>
      <c r="R1167" s="11" t="s">
        <v>2602</v>
      </c>
      <c r="S1167" s="16" t="s">
        <v>2603</v>
      </c>
      <c r="T1167" s="19" t="str">
        <f>MONTH(B1167)&amp;"-"&amp;YEAR(B1167)</f>
        <v>4-2023</v>
      </c>
      <c r="U1167" s="2">
        <f>YEAR(B1167)</f>
        <v>2023</v>
      </c>
      <c r="V1167" s="2" t="str">
        <f>IF(DAY(B1167)&gt;15,MONTH(B1167)&amp;"-C",MONTH(B1167)&amp;"-N")</f>
        <v>4-N</v>
      </c>
      <c r="W1167" s="21">
        <v>4.05</v>
      </c>
      <c r="X1167" s="2" t="b">
        <f t="shared" si="767"/>
        <v>1</v>
      </c>
    </row>
    <row r="1168" spans="2:24" x14ac:dyDescent="0.2">
      <c r="B1168" s="17">
        <v>45026</v>
      </c>
      <c r="C1168" s="10" t="s">
        <v>82</v>
      </c>
      <c r="D1168" s="11" t="s">
        <v>2585</v>
      </c>
      <c r="E1168" s="26">
        <v>67874</v>
      </c>
      <c r="F1168" s="10" t="s">
        <v>26</v>
      </c>
      <c r="G1168" s="10" t="s">
        <v>27</v>
      </c>
      <c r="H1168" s="27" t="s">
        <v>28</v>
      </c>
      <c r="I1168" s="12">
        <v>0</v>
      </c>
      <c r="J1168" s="12">
        <v>0</v>
      </c>
      <c r="K1168" s="13">
        <v>7200</v>
      </c>
      <c r="L1168" s="21">
        <v>4.05</v>
      </c>
      <c r="M1168" s="14" t="s">
        <v>14</v>
      </c>
      <c r="N1168" s="13">
        <v>29160</v>
      </c>
      <c r="O1168" s="15">
        <f t="shared" si="766"/>
        <v>0</v>
      </c>
      <c r="P1168" s="10" t="s">
        <v>78</v>
      </c>
      <c r="Q1168" s="11" t="s">
        <v>2601</v>
      </c>
      <c r="R1168" s="11" t="s">
        <v>2602</v>
      </c>
      <c r="S1168" s="16" t="s">
        <v>2603</v>
      </c>
      <c r="T1168" s="19" t="str">
        <f>MONTH(B1168)&amp;"-"&amp;YEAR(B1168)</f>
        <v>4-2023</v>
      </c>
      <c r="U1168" s="2">
        <f>YEAR(B1168)</f>
        <v>2023</v>
      </c>
      <c r="V1168" s="2" t="str">
        <f>IF(DAY(B1168)&gt;15,MONTH(B1168)&amp;"-C",MONTH(B1168)&amp;"-N")</f>
        <v>4-N</v>
      </c>
      <c r="W1168" s="21">
        <v>4.05</v>
      </c>
      <c r="X1168" s="2" t="b">
        <f t="shared" si="767"/>
        <v>1</v>
      </c>
    </row>
    <row r="1169" spans="2:24" x14ac:dyDescent="0.2">
      <c r="B1169" s="17">
        <v>45029</v>
      </c>
      <c r="C1169" s="10" t="s">
        <v>74</v>
      </c>
      <c r="D1169" s="11" t="s">
        <v>2604</v>
      </c>
      <c r="E1169" s="26">
        <v>67921</v>
      </c>
      <c r="F1169" s="10" t="s">
        <v>127</v>
      </c>
      <c r="G1169" s="10" t="s">
        <v>46</v>
      </c>
      <c r="H1169" s="27" t="s">
        <v>128</v>
      </c>
      <c r="I1169" s="12">
        <v>0</v>
      </c>
      <c r="J1169" s="12">
        <v>0</v>
      </c>
      <c r="K1169" s="13">
        <v>1288</v>
      </c>
      <c r="L1169" s="21">
        <v>14.26</v>
      </c>
      <c r="M1169" s="14" t="s">
        <v>14</v>
      </c>
      <c r="N1169" s="13">
        <v>18366.88</v>
      </c>
      <c r="O1169" s="15">
        <f t="shared" ref="O1169:O1173" si="768">(N1169/K1169)-L1169</f>
        <v>0</v>
      </c>
      <c r="P1169" s="10" t="s">
        <v>84</v>
      </c>
      <c r="Q1169" s="11" t="s">
        <v>2605</v>
      </c>
      <c r="R1169" s="11" t="s">
        <v>2606</v>
      </c>
      <c r="S1169" s="16" t="s">
        <v>2607</v>
      </c>
      <c r="T1169" s="19" t="str">
        <f>MONTH(B1169)&amp;"-"&amp;YEAR(B1169)</f>
        <v>4-2023</v>
      </c>
      <c r="U1169" s="2">
        <f>YEAR(B1169)</f>
        <v>2023</v>
      </c>
      <c r="V1169" s="2" t="str">
        <f>IF(DAY(B1169)&gt;15,MONTH(B1169)&amp;"-C",MONTH(B1169)&amp;"-N")</f>
        <v>4-N</v>
      </c>
      <c r="W1169" s="21">
        <v>14.26</v>
      </c>
      <c r="X1169" s="2" t="b">
        <f t="shared" ref="X1169:X1173" si="769">+L1169=W1169</f>
        <v>1</v>
      </c>
    </row>
    <row r="1170" spans="2:24" x14ac:dyDescent="0.2">
      <c r="B1170" s="17">
        <v>45029</v>
      </c>
      <c r="C1170" s="10" t="s">
        <v>74</v>
      </c>
      <c r="D1170" s="11" t="s">
        <v>2604</v>
      </c>
      <c r="E1170" s="26">
        <v>67921</v>
      </c>
      <c r="F1170" s="10" t="s">
        <v>121</v>
      </c>
      <c r="G1170" s="10" t="s">
        <v>46</v>
      </c>
      <c r="H1170" s="27" t="s">
        <v>122</v>
      </c>
      <c r="I1170" s="12">
        <v>0</v>
      </c>
      <c r="J1170" s="12">
        <v>0</v>
      </c>
      <c r="K1170" s="13">
        <v>5750</v>
      </c>
      <c r="L1170" s="21">
        <v>13.97</v>
      </c>
      <c r="M1170" s="14" t="s">
        <v>14</v>
      </c>
      <c r="N1170" s="13">
        <v>80327.5</v>
      </c>
      <c r="O1170" s="15">
        <f t="shared" si="768"/>
        <v>0</v>
      </c>
      <c r="P1170" s="10" t="s">
        <v>84</v>
      </c>
      <c r="Q1170" s="11" t="s">
        <v>2605</v>
      </c>
      <c r="R1170" s="11" t="s">
        <v>2606</v>
      </c>
      <c r="S1170" s="16" t="s">
        <v>2607</v>
      </c>
      <c r="T1170" s="19" t="str">
        <f>MONTH(B1170)&amp;"-"&amp;YEAR(B1170)</f>
        <v>4-2023</v>
      </c>
      <c r="U1170" s="2">
        <f>YEAR(B1170)</f>
        <v>2023</v>
      </c>
      <c r="V1170" s="2" t="str">
        <f>IF(DAY(B1170)&gt;15,MONTH(B1170)&amp;"-C",MONTH(B1170)&amp;"-N")</f>
        <v>4-N</v>
      </c>
      <c r="W1170" s="21">
        <v>13.97</v>
      </c>
      <c r="X1170" s="2" t="b">
        <f t="shared" si="769"/>
        <v>1</v>
      </c>
    </row>
    <row r="1171" spans="2:24" x14ac:dyDescent="0.2">
      <c r="B1171" s="17">
        <v>45029</v>
      </c>
      <c r="C1171" s="10" t="s">
        <v>74</v>
      </c>
      <c r="D1171" s="11" t="s">
        <v>2604</v>
      </c>
      <c r="E1171" s="26">
        <v>67921</v>
      </c>
      <c r="F1171" s="10" t="s">
        <v>2331</v>
      </c>
      <c r="G1171" s="10" t="s">
        <v>46</v>
      </c>
      <c r="H1171" s="27" t="s">
        <v>2332</v>
      </c>
      <c r="I1171" s="12">
        <v>0</v>
      </c>
      <c r="J1171" s="12">
        <v>0</v>
      </c>
      <c r="K1171" s="13">
        <v>2070</v>
      </c>
      <c r="L1171" s="21">
        <v>12.86</v>
      </c>
      <c r="M1171" s="14" t="s">
        <v>14</v>
      </c>
      <c r="N1171" s="13">
        <v>26620.2</v>
      </c>
      <c r="O1171" s="15">
        <f t="shared" si="768"/>
        <v>0</v>
      </c>
      <c r="P1171" s="10" t="s">
        <v>84</v>
      </c>
      <c r="Q1171" s="11" t="s">
        <v>2605</v>
      </c>
      <c r="R1171" s="11" t="s">
        <v>2606</v>
      </c>
      <c r="S1171" s="16" t="s">
        <v>2607</v>
      </c>
      <c r="T1171" s="19" t="str">
        <f>MONTH(B1171)&amp;"-"&amp;YEAR(B1171)</f>
        <v>4-2023</v>
      </c>
      <c r="U1171" s="2">
        <f>YEAR(B1171)</f>
        <v>2023</v>
      </c>
      <c r="V1171" s="2" t="str">
        <f>IF(DAY(B1171)&gt;15,MONTH(B1171)&amp;"-C",MONTH(B1171)&amp;"-N")</f>
        <v>4-N</v>
      </c>
      <c r="W1171" s="21">
        <v>12.86</v>
      </c>
      <c r="X1171" s="2" t="b">
        <f t="shared" si="769"/>
        <v>1</v>
      </c>
    </row>
    <row r="1172" spans="2:24" x14ac:dyDescent="0.2">
      <c r="B1172" s="17">
        <v>45029</v>
      </c>
      <c r="C1172" s="10" t="s">
        <v>74</v>
      </c>
      <c r="D1172" s="11" t="s">
        <v>2604</v>
      </c>
      <c r="E1172" s="26">
        <v>67921</v>
      </c>
      <c r="F1172" s="10" t="s">
        <v>123</v>
      </c>
      <c r="G1172" s="10" t="s">
        <v>46</v>
      </c>
      <c r="H1172" s="27" t="s">
        <v>124</v>
      </c>
      <c r="I1172" s="12">
        <v>0</v>
      </c>
      <c r="J1172" s="12">
        <v>0</v>
      </c>
      <c r="K1172" s="13">
        <v>8970</v>
      </c>
      <c r="L1172" s="21">
        <v>13.41</v>
      </c>
      <c r="M1172" s="14" t="s">
        <v>14</v>
      </c>
      <c r="N1172" s="13">
        <v>120287.7</v>
      </c>
      <c r="O1172" s="15">
        <f t="shared" si="768"/>
        <v>0</v>
      </c>
      <c r="P1172" s="10" t="s">
        <v>84</v>
      </c>
      <c r="Q1172" s="11" t="s">
        <v>2605</v>
      </c>
      <c r="R1172" s="11" t="s">
        <v>2606</v>
      </c>
      <c r="S1172" s="16" t="s">
        <v>2607</v>
      </c>
      <c r="T1172" s="19" t="str">
        <f>MONTH(B1172)&amp;"-"&amp;YEAR(B1172)</f>
        <v>4-2023</v>
      </c>
      <c r="U1172" s="2">
        <f>YEAR(B1172)</f>
        <v>2023</v>
      </c>
      <c r="V1172" s="2" t="str">
        <f>IF(DAY(B1172)&gt;15,MONTH(B1172)&amp;"-C",MONTH(B1172)&amp;"-N")</f>
        <v>4-N</v>
      </c>
      <c r="W1172" s="21">
        <v>13.41</v>
      </c>
      <c r="X1172" s="2" t="b">
        <f t="shared" si="769"/>
        <v>1</v>
      </c>
    </row>
    <row r="1173" spans="2:24" x14ac:dyDescent="0.2">
      <c r="B1173" s="17">
        <v>45029</v>
      </c>
      <c r="C1173" s="10" t="s">
        <v>25</v>
      </c>
      <c r="D1173" s="11" t="s">
        <v>2530</v>
      </c>
      <c r="E1173" s="26">
        <v>67914</v>
      </c>
      <c r="F1173" s="10" t="s">
        <v>26</v>
      </c>
      <c r="G1173" s="10" t="s">
        <v>27</v>
      </c>
      <c r="H1173" s="27" t="s">
        <v>28</v>
      </c>
      <c r="I1173" s="12">
        <v>0</v>
      </c>
      <c r="J1173" s="12">
        <v>0</v>
      </c>
      <c r="K1173" s="13">
        <v>18000</v>
      </c>
      <c r="L1173" s="21">
        <v>4.0999999999999996</v>
      </c>
      <c r="M1173" s="14" t="s">
        <v>14</v>
      </c>
      <c r="N1173" s="13">
        <v>73800</v>
      </c>
      <c r="O1173" s="15">
        <f t="shared" si="768"/>
        <v>0</v>
      </c>
      <c r="P1173" s="10" t="s">
        <v>78</v>
      </c>
      <c r="Q1173" s="11" t="s">
        <v>2608</v>
      </c>
      <c r="R1173" s="11" t="s">
        <v>2609</v>
      </c>
      <c r="S1173" s="16" t="s">
        <v>2610</v>
      </c>
      <c r="T1173" s="19" t="str">
        <f>MONTH(B1173)&amp;"-"&amp;YEAR(B1173)</f>
        <v>4-2023</v>
      </c>
      <c r="U1173" s="2">
        <f>YEAR(B1173)</f>
        <v>2023</v>
      </c>
      <c r="V1173" s="2" t="str">
        <f>IF(DAY(B1173)&gt;15,MONTH(B1173)&amp;"-C",MONTH(B1173)&amp;"-N")</f>
        <v>4-N</v>
      </c>
      <c r="W1173" s="21">
        <v>4.0999999999999996</v>
      </c>
      <c r="X1173" s="2" t="b">
        <f t="shared" si="769"/>
        <v>1</v>
      </c>
    </row>
    <row r="1174" spans="2:24" x14ac:dyDescent="0.2">
      <c r="B1174" s="17">
        <v>45033</v>
      </c>
      <c r="C1174" s="10" t="s">
        <v>107</v>
      </c>
      <c r="D1174" s="11" t="s">
        <v>2611</v>
      </c>
      <c r="E1174" s="26">
        <v>67950</v>
      </c>
      <c r="F1174" s="10" t="s">
        <v>103</v>
      </c>
      <c r="G1174" s="10" t="s">
        <v>46</v>
      </c>
      <c r="H1174" s="27" t="s">
        <v>104</v>
      </c>
      <c r="I1174" s="12">
        <v>0</v>
      </c>
      <c r="J1174" s="12">
        <v>0</v>
      </c>
      <c r="K1174" s="13">
        <v>190</v>
      </c>
      <c r="L1174" s="21">
        <v>47.51</v>
      </c>
      <c r="M1174" s="14" t="s">
        <v>14</v>
      </c>
      <c r="N1174" s="13">
        <v>9026.9</v>
      </c>
      <c r="O1174" s="15">
        <f t="shared" ref="O1174:O1177" si="770">(N1174/K1174)-L1174</f>
        <v>0</v>
      </c>
      <c r="P1174" s="10" t="s">
        <v>84</v>
      </c>
      <c r="Q1174" s="11" t="s">
        <v>2612</v>
      </c>
      <c r="R1174" s="11" t="s">
        <v>2613</v>
      </c>
      <c r="S1174" s="16" t="s">
        <v>2614</v>
      </c>
      <c r="T1174" s="19" t="str">
        <f>MONTH(B1174)&amp;"-"&amp;YEAR(B1174)</f>
        <v>4-2023</v>
      </c>
      <c r="U1174" s="2">
        <f>YEAR(B1174)</f>
        <v>2023</v>
      </c>
      <c r="V1174" s="2" t="str">
        <f>IF(DAY(B1174)&gt;15,MONTH(B1174)&amp;"-C",MONTH(B1174)&amp;"-N")</f>
        <v>4-C</v>
      </c>
      <c r="W1174" s="21">
        <v>47.51</v>
      </c>
      <c r="X1174" s="2" t="b">
        <f t="shared" ref="X1174:X1177" si="771">+L1174=W1174</f>
        <v>1</v>
      </c>
    </row>
    <row r="1175" spans="2:24" x14ac:dyDescent="0.2">
      <c r="B1175" s="17">
        <v>45033</v>
      </c>
      <c r="C1175" s="10" t="s">
        <v>107</v>
      </c>
      <c r="D1175" s="11" t="s">
        <v>2611</v>
      </c>
      <c r="E1175" s="26">
        <v>67950</v>
      </c>
      <c r="F1175" s="10" t="s">
        <v>105</v>
      </c>
      <c r="G1175" s="10" t="s">
        <v>46</v>
      </c>
      <c r="H1175" s="27" t="s">
        <v>106</v>
      </c>
      <c r="I1175" s="12">
        <v>0</v>
      </c>
      <c r="J1175" s="12">
        <v>0</v>
      </c>
      <c r="K1175" s="13">
        <v>4840</v>
      </c>
      <c r="L1175" s="21">
        <v>11.81</v>
      </c>
      <c r="M1175" s="14" t="s">
        <v>14</v>
      </c>
      <c r="N1175" s="13">
        <v>57160.4</v>
      </c>
      <c r="O1175" s="15">
        <f t="shared" si="770"/>
        <v>0</v>
      </c>
      <c r="P1175" s="10" t="s">
        <v>84</v>
      </c>
      <c r="Q1175" s="11" t="s">
        <v>2612</v>
      </c>
      <c r="R1175" s="11" t="s">
        <v>2613</v>
      </c>
      <c r="S1175" s="16" t="s">
        <v>2614</v>
      </c>
      <c r="T1175" s="19" t="str">
        <f>MONTH(B1175)&amp;"-"&amp;YEAR(B1175)</f>
        <v>4-2023</v>
      </c>
      <c r="U1175" s="2">
        <f>YEAR(B1175)</f>
        <v>2023</v>
      </c>
      <c r="V1175" s="2" t="str">
        <f>IF(DAY(B1175)&gt;15,MONTH(B1175)&amp;"-C",MONTH(B1175)&amp;"-N")</f>
        <v>4-C</v>
      </c>
      <c r="W1175" s="21">
        <v>11.81</v>
      </c>
      <c r="X1175" s="2" t="b">
        <f t="shared" si="771"/>
        <v>1</v>
      </c>
    </row>
    <row r="1176" spans="2:24" x14ac:dyDescent="0.2">
      <c r="B1176" s="17">
        <v>45033</v>
      </c>
      <c r="C1176" s="10" t="s">
        <v>94</v>
      </c>
      <c r="D1176" s="11" t="s">
        <v>2534</v>
      </c>
      <c r="E1176" s="26">
        <v>67949</v>
      </c>
      <c r="F1176" s="10" t="s">
        <v>26</v>
      </c>
      <c r="G1176" s="10" t="s">
        <v>27</v>
      </c>
      <c r="H1176" s="27" t="s">
        <v>28</v>
      </c>
      <c r="I1176" s="12">
        <v>0</v>
      </c>
      <c r="J1176" s="12">
        <v>0</v>
      </c>
      <c r="K1176" s="13">
        <v>12600</v>
      </c>
      <c r="L1176" s="21">
        <v>4.05</v>
      </c>
      <c r="M1176" s="14" t="s">
        <v>14</v>
      </c>
      <c r="N1176" s="13">
        <v>51030</v>
      </c>
      <c r="O1176" s="15">
        <f t="shared" si="770"/>
        <v>0</v>
      </c>
      <c r="P1176" s="10" t="s">
        <v>78</v>
      </c>
      <c r="Q1176" s="11" t="s">
        <v>2616</v>
      </c>
      <c r="R1176" s="11" t="s">
        <v>2615</v>
      </c>
      <c r="S1176" s="16" t="s">
        <v>2617</v>
      </c>
      <c r="T1176" s="19" t="str">
        <f>MONTH(B1176)&amp;"-"&amp;YEAR(B1176)</f>
        <v>4-2023</v>
      </c>
      <c r="U1176" s="2">
        <f>YEAR(B1176)</f>
        <v>2023</v>
      </c>
      <c r="V1176" s="2" t="str">
        <f>IF(DAY(B1176)&gt;15,MONTH(B1176)&amp;"-C",MONTH(B1176)&amp;"-N")</f>
        <v>4-C</v>
      </c>
      <c r="W1176" s="21">
        <v>4.05</v>
      </c>
      <c r="X1176" s="2" t="b">
        <f t="shared" si="771"/>
        <v>1</v>
      </c>
    </row>
    <row r="1177" spans="2:24" x14ac:dyDescent="0.2">
      <c r="B1177" s="17">
        <v>45033</v>
      </c>
      <c r="C1177" s="10" t="s">
        <v>25</v>
      </c>
      <c r="D1177" s="11" t="s">
        <v>2618</v>
      </c>
      <c r="E1177" s="26">
        <v>67948</v>
      </c>
      <c r="F1177" s="10" t="s">
        <v>33</v>
      </c>
      <c r="G1177" s="10" t="s">
        <v>27</v>
      </c>
      <c r="H1177" s="27" t="s">
        <v>34</v>
      </c>
      <c r="I1177" s="12">
        <v>0</v>
      </c>
      <c r="J1177" s="12">
        <v>0</v>
      </c>
      <c r="K1177" s="13">
        <v>1800</v>
      </c>
      <c r="L1177" s="21">
        <v>6.05</v>
      </c>
      <c r="M1177" s="14" t="s">
        <v>14</v>
      </c>
      <c r="N1177" s="13">
        <v>10890</v>
      </c>
      <c r="O1177" s="15">
        <f t="shared" si="770"/>
        <v>0</v>
      </c>
      <c r="P1177" s="10" t="s">
        <v>78</v>
      </c>
      <c r="Q1177" s="11" t="s">
        <v>2619</v>
      </c>
      <c r="R1177" s="11" t="s">
        <v>2620</v>
      </c>
      <c r="S1177" s="16" t="s">
        <v>2621</v>
      </c>
      <c r="T1177" s="19" t="str">
        <f>MONTH(B1177)&amp;"-"&amp;YEAR(B1177)</f>
        <v>4-2023</v>
      </c>
      <c r="U1177" s="2">
        <f>YEAR(B1177)</f>
        <v>2023</v>
      </c>
      <c r="V1177" s="2" t="str">
        <f>IF(DAY(B1177)&gt;15,MONTH(B1177)&amp;"-C",MONTH(B1177)&amp;"-N")</f>
        <v>4-C</v>
      </c>
      <c r="W1177" s="21">
        <v>6.05</v>
      </c>
      <c r="X1177" s="2" t="b">
        <f t="shared" si="771"/>
        <v>1</v>
      </c>
    </row>
    <row r="1178" spans="2:24" x14ac:dyDescent="0.2">
      <c r="B1178" s="17">
        <v>45034</v>
      </c>
      <c r="C1178" s="10" t="s">
        <v>88</v>
      </c>
      <c r="D1178" s="11" t="s">
        <v>2622</v>
      </c>
      <c r="E1178" s="26">
        <v>67978</v>
      </c>
      <c r="F1178" s="10" t="s">
        <v>98</v>
      </c>
      <c r="G1178" s="10" t="s">
        <v>46</v>
      </c>
      <c r="H1178" s="27" t="s">
        <v>99</v>
      </c>
      <c r="I1178" s="12">
        <v>0</v>
      </c>
      <c r="J1178" s="12">
        <v>0</v>
      </c>
      <c r="K1178" s="13">
        <v>60</v>
      </c>
      <c r="L1178" s="21">
        <v>11.63</v>
      </c>
      <c r="M1178" s="14" t="s">
        <v>14</v>
      </c>
      <c r="N1178" s="13">
        <v>697.8</v>
      </c>
      <c r="O1178" s="15">
        <f t="shared" ref="O1178:O1184" si="772">(N1178/K1178)-L1178</f>
        <v>0</v>
      </c>
      <c r="P1178" s="10" t="s">
        <v>84</v>
      </c>
      <c r="Q1178" s="11" t="s">
        <v>2623</v>
      </c>
      <c r="R1178" s="11" t="s">
        <v>2624</v>
      </c>
      <c r="S1178" s="16" t="s">
        <v>2625</v>
      </c>
      <c r="T1178" s="19" t="str">
        <f>MONTH(B1178)&amp;"-"&amp;YEAR(B1178)</f>
        <v>4-2023</v>
      </c>
      <c r="U1178" s="2">
        <f>YEAR(B1178)</f>
        <v>2023</v>
      </c>
      <c r="V1178" s="2" t="str">
        <f>IF(DAY(B1178)&gt;15,MONTH(B1178)&amp;"-C",MONTH(B1178)&amp;"-N")</f>
        <v>4-C</v>
      </c>
      <c r="W1178" s="21">
        <v>11.63</v>
      </c>
      <c r="X1178" s="2" t="b">
        <f t="shared" ref="X1178:X1184" si="773">+L1178=W1178</f>
        <v>1</v>
      </c>
    </row>
    <row r="1179" spans="2:24" x14ac:dyDescent="0.2">
      <c r="B1179" s="17">
        <v>45034</v>
      </c>
      <c r="C1179" s="10" t="s">
        <v>88</v>
      </c>
      <c r="D1179" s="11" t="s">
        <v>2622</v>
      </c>
      <c r="E1179" s="26">
        <v>67978</v>
      </c>
      <c r="F1179" s="10" t="s">
        <v>100</v>
      </c>
      <c r="G1179" s="10" t="s">
        <v>46</v>
      </c>
      <c r="H1179" s="27" t="s">
        <v>101</v>
      </c>
      <c r="I1179" s="12">
        <v>0</v>
      </c>
      <c r="J1179" s="12">
        <v>0</v>
      </c>
      <c r="K1179" s="13">
        <v>3000</v>
      </c>
      <c r="L1179" s="21">
        <v>13.54</v>
      </c>
      <c r="M1179" s="14" t="s">
        <v>14</v>
      </c>
      <c r="N1179" s="13">
        <v>40620</v>
      </c>
      <c r="O1179" s="15">
        <f t="shared" si="772"/>
        <v>0</v>
      </c>
      <c r="P1179" s="10" t="s">
        <v>84</v>
      </c>
      <c r="Q1179" s="11" t="s">
        <v>2623</v>
      </c>
      <c r="R1179" s="11" t="s">
        <v>2624</v>
      </c>
      <c r="S1179" s="16" t="s">
        <v>2625</v>
      </c>
      <c r="T1179" s="19" t="str">
        <f>MONTH(B1179)&amp;"-"&amp;YEAR(B1179)</f>
        <v>4-2023</v>
      </c>
      <c r="U1179" s="2">
        <f>YEAR(B1179)</f>
        <v>2023</v>
      </c>
      <c r="V1179" s="2" t="str">
        <f>IF(DAY(B1179)&gt;15,MONTH(B1179)&amp;"-C",MONTH(B1179)&amp;"-N")</f>
        <v>4-C</v>
      </c>
      <c r="W1179" s="21">
        <v>13.54</v>
      </c>
      <c r="X1179" s="2" t="b">
        <f t="shared" si="773"/>
        <v>1</v>
      </c>
    </row>
    <row r="1180" spans="2:24" x14ac:dyDescent="0.2">
      <c r="B1180" s="17">
        <v>45034</v>
      </c>
      <c r="C1180" s="10" t="s">
        <v>88</v>
      </c>
      <c r="D1180" s="11" t="s">
        <v>2622</v>
      </c>
      <c r="E1180" s="26">
        <v>67978</v>
      </c>
      <c r="F1180" s="10" t="s">
        <v>2422</v>
      </c>
      <c r="G1180" s="10" t="s">
        <v>46</v>
      </c>
      <c r="H1180" s="27" t="s">
        <v>2423</v>
      </c>
      <c r="I1180" s="12">
        <v>0</v>
      </c>
      <c r="J1180" s="12">
        <v>0</v>
      </c>
      <c r="K1180" s="13">
        <v>1000</v>
      </c>
      <c r="L1180" s="21">
        <v>9.11</v>
      </c>
      <c r="M1180" s="14" t="s">
        <v>14</v>
      </c>
      <c r="N1180" s="13">
        <v>9110</v>
      </c>
      <c r="O1180" s="15">
        <f t="shared" si="772"/>
        <v>0</v>
      </c>
      <c r="P1180" s="10" t="s">
        <v>84</v>
      </c>
      <c r="Q1180" s="11" t="s">
        <v>2623</v>
      </c>
      <c r="R1180" s="11" t="s">
        <v>2624</v>
      </c>
      <c r="S1180" s="16" t="s">
        <v>2625</v>
      </c>
      <c r="T1180" s="19" t="str">
        <f>MONTH(B1180)&amp;"-"&amp;YEAR(B1180)</f>
        <v>4-2023</v>
      </c>
      <c r="U1180" s="2">
        <f>YEAR(B1180)</f>
        <v>2023</v>
      </c>
      <c r="V1180" s="2" t="str">
        <f>IF(DAY(B1180)&gt;15,MONTH(B1180)&amp;"-C",MONTH(B1180)&amp;"-N")</f>
        <v>4-C</v>
      </c>
      <c r="W1180" s="21">
        <v>9.11</v>
      </c>
      <c r="X1180" s="2" t="b">
        <f t="shared" si="773"/>
        <v>1</v>
      </c>
    </row>
    <row r="1181" spans="2:24" x14ac:dyDescent="0.2">
      <c r="B1181" s="17">
        <v>45034</v>
      </c>
      <c r="C1181" s="10" t="s">
        <v>88</v>
      </c>
      <c r="D1181" s="11" t="s">
        <v>2622</v>
      </c>
      <c r="E1181" s="26">
        <v>67978</v>
      </c>
      <c r="F1181" s="10" t="s">
        <v>1329</v>
      </c>
      <c r="G1181" s="10" t="s">
        <v>46</v>
      </c>
      <c r="H1181" s="27" t="s">
        <v>1343</v>
      </c>
      <c r="I1181" s="12">
        <v>0</v>
      </c>
      <c r="J1181" s="12">
        <v>0</v>
      </c>
      <c r="K1181" s="13">
        <v>150</v>
      </c>
      <c r="L1181" s="21">
        <v>19.8</v>
      </c>
      <c r="M1181" s="14" t="s">
        <v>14</v>
      </c>
      <c r="N1181" s="13">
        <v>2970</v>
      </c>
      <c r="O1181" s="15">
        <f t="shared" si="772"/>
        <v>0</v>
      </c>
      <c r="P1181" s="10" t="s">
        <v>84</v>
      </c>
      <c r="Q1181" s="11" t="s">
        <v>2623</v>
      </c>
      <c r="R1181" s="11" t="s">
        <v>2624</v>
      </c>
      <c r="S1181" s="16" t="s">
        <v>2625</v>
      </c>
      <c r="T1181" s="19" t="str">
        <f>MONTH(B1181)&amp;"-"&amp;YEAR(B1181)</f>
        <v>4-2023</v>
      </c>
      <c r="U1181" s="2">
        <f>YEAR(B1181)</f>
        <v>2023</v>
      </c>
      <c r="V1181" s="2" t="str">
        <f>IF(DAY(B1181)&gt;15,MONTH(B1181)&amp;"-C",MONTH(B1181)&amp;"-N")</f>
        <v>4-C</v>
      </c>
      <c r="W1181" s="21">
        <v>19.8</v>
      </c>
      <c r="X1181" s="2" t="b">
        <f t="shared" si="773"/>
        <v>1</v>
      </c>
    </row>
    <row r="1182" spans="2:24" x14ac:dyDescent="0.2">
      <c r="B1182" s="17">
        <v>45034</v>
      </c>
      <c r="C1182" s="10" t="s">
        <v>48</v>
      </c>
      <c r="D1182" s="11" t="s">
        <v>2626</v>
      </c>
      <c r="E1182" s="26">
        <v>68033</v>
      </c>
      <c r="F1182" s="10" t="s">
        <v>135</v>
      </c>
      <c r="G1182" s="10" t="s">
        <v>46</v>
      </c>
      <c r="H1182" s="27" t="s">
        <v>136</v>
      </c>
      <c r="I1182" s="12">
        <v>0</v>
      </c>
      <c r="J1182" s="12">
        <v>0</v>
      </c>
      <c r="K1182" s="13">
        <v>4800</v>
      </c>
      <c r="L1182" s="21">
        <v>12.497999999999999</v>
      </c>
      <c r="M1182" s="14" t="s">
        <v>14</v>
      </c>
      <c r="N1182" s="13">
        <v>59992.32</v>
      </c>
      <c r="O1182" s="15">
        <f t="shared" si="772"/>
        <v>4.0000000000084412E-4</v>
      </c>
      <c r="P1182" s="10" t="s">
        <v>90</v>
      </c>
      <c r="Q1182" s="11" t="s">
        <v>2628</v>
      </c>
      <c r="R1182" s="11" t="s">
        <v>2627</v>
      </c>
      <c r="S1182" s="16" t="s">
        <v>2629</v>
      </c>
      <c r="T1182" s="19" t="str">
        <f>MONTH(B1182)&amp;"-"&amp;YEAR(B1182)</f>
        <v>4-2023</v>
      </c>
      <c r="U1182" s="2">
        <f>YEAR(B1182)</f>
        <v>2023</v>
      </c>
      <c r="V1182" s="2" t="str">
        <f>IF(DAY(B1182)&gt;15,MONTH(B1182)&amp;"-C",MONTH(B1182)&amp;"-N")</f>
        <v>4-C</v>
      </c>
      <c r="W1182" s="21">
        <v>12.497999999999999</v>
      </c>
      <c r="X1182" s="2" t="b">
        <f t="shared" si="773"/>
        <v>1</v>
      </c>
    </row>
    <row r="1183" spans="2:24" x14ac:dyDescent="0.2">
      <c r="B1183" s="17">
        <v>45034</v>
      </c>
      <c r="C1183" s="10" t="s">
        <v>48</v>
      </c>
      <c r="D1183" s="11" t="s">
        <v>2626</v>
      </c>
      <c r="E1183" s="26">
        <v>68033</v>
      </c>
      <c r="F1183" s="10" t="s">
        <v>71</v>
      </c>
      <c r="G1183" s="10" t="s">
        <v>46</v>
      </c>
      <c r="H1183" s="27" t="s">
        <v>72</v>
      </c>
      <c r="I1183" s="12">
        <v>0</v>
      </c>
      <c r="J1183" s="12">
        <v>0</v>
      </c>
      <c r="K1183" s="13">
        <v>11200</v>
      </c>
      <c r="L1183" s="21">
        <v>12.241</v>
      </c>
      <c r="M1183" s="14" t="s">
        <v>14</v>
      </c>
      <c r="N1183" s="13">
        <v>137100.09599999999</v>
      </c>
      <c r="O1183" s="15">
        <f t="shared" si="772"/>
        <v>7.9999999998747739E-5</v>
      </c>
      <c r="P1183" s="10" t="s">
        <v>90</v>
      </c>
      <c r="Q1183" s="11" t="s">
        <v>2628</v>
      </c>
      <c r="R1183" s="11" t="s">
        <v>2627</v>
      </c>
      <c r="S1183" s="16" t="s">
        <v>2629</v>
      </c>
      <c r="T1183" s="19" t="str">
        <f>MONTH(B1183)&amp;"-"&amp;YEAR(B1183)</f>
        <v>4-2023</v>
      </c>
      <c r="U1183" s="2">
        <f>YEAR(B1183)</f>
        <v>2023</v>
      </c>
      <c r="V1183" s="2" t="str">
        <f>IF(DAY(B1183)&gt;15,MONTH(B1183)&amp;"-C",MONTH(B1183)&amp;"-N")</f>
        <v>4-C</v>
      </c>
      <c r="W1183" s="21">
        <v>12.241</v>
      </c>
      <c r="X1183" s="2" t="b">
        <f t="shared" si="773"/>
        <v>1</v>
      </c>
    </row>
    <row r="1184" spans="2:24" x14ac:dyDescent="0.2">
      <c r="B1184" s="17">
        <v>45034</v>
      </c>
      <c r="C1184" s="10" t="s">
        <v>2630</v>
      </c>
      <c r="D1184" s="11" t="s">
        <v>2631</v>
      </c>
      <c r="E1184" s="26">
        <v>67968</v>
      </c>
      <c r="F1184" s="10" t="s">
        <v>29</v>
      </c>
      <c r="G1184" s="10" t="s">
        <v>27</v>
      </c>
      <c r="H1184" s="27" t="s">
        <v>30</v>
      </c>
      <c r="I1184" s="12">
        <v>0</v>
      </c>
      <c r="J1184" s="12">
        <v>0</v>
      </c>
      <c r="K1184" s="13">
        <v>3960</v>
      </c>
      <c r="L1184" s="21">
        <v>3.6</v>
      </c>
      <c r="M1184" s="14" t="s">
        <v>14</v>
      </c>
      <c r="N1184" s="13">
        <v>14256</v>
      </c>
      <c r="O1184" s="15">
        <f t="shared" si="772"/>
        <v>0</v>
      </c>
      <c r="P1184" s="10" t="s">
        <v>78</v>
      </c>
      <c r="Q1184" s="11" t="s">
        <v>2633</v>
      </c>
      <c r="R1184" s="11" t="s">
        <v>2632</v>
      </c>
      <c r="S1184" s="16" t="s">
        <v>2634</v>
      </c>
      <c r="T1184" s="19" t="str">
        <f>MONTH(B1184)&amp;"-"&amp;YEAR(B1184)</f>
        <v>4-2023</v>
      </c>
      <c r="U1184" s="2">
        <f>YEAR(B1184)</f>
        <v>2023</v>
      </c>
      <c r="V1184" s="2" t="str">
        <f>IF(DAY(B1184)&gt;15,MONTH(B1184)&amp;"-C",MONTH(B1184)&amp;"-N")</f>
        <v>4-C</v>
      </c>
      <c r="W1184" s="21">
        <v>3.6</v>
      </c>
      <c r="X1184" s="2" t="b">
        <f t="shared" si="773"/>
        <v>1</v>
      </c>
    </row>
    <row r="1185" spans="2:24" x14ac:dyDescent="0.2">
      <c r="B1185" s="17">
        <v>45036</v>
      </c>
      <c r="C1185" s="10" t="s">
        <v>94</v>
      </c>
      <c r="D1185" s="11" t="s">
        <v>2534</v>
      </c>
      <c r="E1185" s="26">
        <v>68016</v>
      </c>
      <c r="F1185" s="10" t="s">
        <v>26</v>
      </c>
      <c r="G1185" s="10" t="s">
        <v>27</v>
      </c>
      <c r="H1185" s="27" t="s">
        <v>28</v>
      </c>
      <c r="I1185" s="12">
        <v>0</v>
      </c>
      <c r="J1185" s="12">
        <v>0</v>
      </c>
      <c r="K1185" s="13">
        <v>19800</v>
      </c>
      <c r="L1185" s="21">
        <v>4.05</v>
      </c>
      <c r="M1185" s="14" t="s">
        <v>14</v>
      </c>
      <c r="N1185" s="13">
        <v>80190</v>
      </c>
      <c r="O1185" s="15">
        <f t="shared" ref="O1185" si="774">(N1185/K1185)-L1185</f>
        <v>0</v>
      </c>
      <c r="P1185" s="10" t="s">
        <v>78</v>
      </c>
      <c r="Q1185" s="11" t="s">
        <v>2635</v>
      </c>
      <c r="R1185" s="11" t="s">
        <v>2636</v>
      </c>
      <c r="S1185" s="16" t="s">
        <v>2637</v>
      </c>
      <c r="T1185" s="19" t="str">
        <f>MONTH(B1185)&amp;"-"&amp;YEAR(B1185)</f>
        <v>4-2023</v>
      </c>
      <c r="U1185" s="2">
        <f>YEAR(B1185)</f>
        <v>2023</v>
      </c>
      <c r="V1185" s="2" t="str">
        <f>IF(DAY(B1185)&gt;15,MONTH(B1185)&amp;"-C",MONTH(B1185)&amp;"-N")</f>
        <v>4-C</v>
      </c>
      <c r="W1185" s="21">
        <v>4.05</v>
      </c>
      <c r="X1185" s="2" t="b">
        <f t="shared" ref="X1185" si="775">+L1185=W1185</f>
        <v>1</v>
      </c>
    </row>
    <row r="1186" spans="2:24" x14ac:dyDescent="0.2">
      <c r="B1186" s="17">
        <v>45040</v>
      </c>
      <c r="C1186" s="10" t="s">
        <v>25</v>
      </c>
      <c r="D1186" s="11" t="s">
        <v>2638</v>
      </c>
      <c r="E1186" s="26">
        <v>68036</v>
      </c>
      <c r="F1186" s="10" t="s">
        <v>26</v>
      </c>
      <c r="G1186" s="10" t="s">
        <v>27</v>
      </c>
      <c r="H1186" s="27" t="s">
        <v>28</v>
      </c>
      <c r="I1186" s="12">
        <v>0</v>
      </c>
      <c r="J1186" s="12">
        <v>0</v>
      </c>
      <c r="K1186" s="13">
        <v>16500</v>
      </c>
      <c r="L1186" s="21">
        <v>4.05</v>
      </c>
      <c r="M1186" s="14" t="s">
        <v>14</v>
      </c>
      <c r="N1186" s="13">
        <v>66825</v>
      </c>
      <c r="O1186" s="15">
        <f t="shared" ref="O1186:O1188" si="776">(N1186/K1186)-L1186</f>
        <v>0</v>
      </c>
      <c r="P1186" s="10" t="s">
        <v>78</v>
      </c>
      <c r="Q1186" s="11" t="s">
        <v>2639</v>
      </c>
      <c r="R1186" s="11" t="s">
        <v>2640</v>
      </c>
      <c r="S1186" s="16" t="s">
        <v>2641</v>
      </c>
      <c r="T1186" s="19" t="str">
        <f>MONTH(B1186)&amp;"-"&amp;YEAR(B1186)</f>
        <v>4-2023</v>
      </c>
      <c r="U1186" s="2">
        <f>YEAR(B1186)</f>
        <v>2023</v>
      </c>
      <c r="V1186" s="2" t="str">
        <f>IF(DAY(B1186)&gt;15,MONTH(B1186)&amp;"-C",MONTH(B1186)&amp;"-N")</f>
        <v>4-C</v>
      </c>
      <c r="W1186" s="21">
        <v>4.05</v>
      </c>
      <c r="X1186" s="2" t="b">
        <f t="shared" ref="X1186:X1188" si="777">+L1186=W1186</f>
        <v>1</v>
      </c>
    </row>
    <row r="1187" spans="2:24" x14ac:dyDescent="0.2">
      <c r="B1187" s="17">
        <v>45040</v>
      </c>
      <c r="C1187" s="10" t="s">
        <v>25</v>
      </c>
      <c r="D1187" s="11" t="s">
        <v>2530</v>
      </c>
      <c r="E1187" s="26">
        <v>68035</v>
      </c>
      <c r="F1187" s="10" t="s">
        <v>26</v>
      </c>
      <c r="G1187" s="10" t="s">
        <v>27</v>
      </c>
      <c r="H1187" s="27" t="s">
        <v>28</v>
      </c>
      <c r="I1187" s="12">
        <v>0</v>
      </c>
      <c r="J1187" s="12">
        <v>0</v>
      </c>
      <c r="K1187" s="13">
        <v>5100</v>
      </c>
      <c r="L1187" s="21">
        <v>4.0999999999999996</v>
      </c>
      <c r="M1187" s="14" t="s">
        <v>14</v>
      </c>
      <c r="N1187" s="13">
        <v>20910</v>
      </c>
      <c r="O1187" s="15">
        <f t="shared" si="776"/>
        <v>0</v>
      </c>
      <c r="P1187" s="10" t="s">
        <v>78</v>
      </c>
      <c r="Q1187" s="11" t="s">
        <v>2642</v>
      </c>
      <c r="R1187" s="11" t="s">
        <v>2643</v>
      </c>
      <c r="S1187" s="16" t="s">
        <v>2644</v>
      </c>
      <c r="T1187" s="19" t="str">
        <f>MONTH(B1187)&amp;"-"&amp;YEAR(B1187)</f>
        <v>4-2023</v>
      </c>
      <c r="U1187" s="2">
        <f>YEAR(B1187)</f>
        <v>2023</v>
      </c>
      <c r="V1187" s="2" t="str">
        <f>IF(DAY(B1187)&gt;15,MONTH(B1187)&amp;"-C",MONTH(B1187)&amp;"-N")</f>
        <v>4-C</v>
      </c>
      <c r="W1187" s="21">
        <v>4.0999999999999996</v>
      </c>
      <c r="X1187" s="2" t="b">
        <f t="shared" si="777"/>
        <v>1</v>
      </c>
    </row>
    <row r="1188" spans="2:24" x14ac:dyDescent="0.2">
      <c r="B1188" s="17">
        <v>45041</v>
      </c>
      <c r="C1188" s="10" t="s">
        <v>25</v>
      </c>
      <c r="D1188" s="11" t="s">
        <v>2645</v>
      </c>
      <c r="E1188" s="26">
        <v>68045</v>
      </c>
      <c r="F1188" s="10" t="s">
        <v>31</v>
      </c>
      <c r="G1188" s="10" t="s">
        <v>27</v>
      </c>
      <c r="H1188" s="27" t="s">
        <v>32</v>
      </c>
      <c r="I1188" s="12">
        <v>0</v>
      </c>
      <c r="J1188" s="12">
        <v>0</v>
      </c>
      <c r="K1188" s="13">
        <v>1920</v>
      </c>
      <c r="L1188" s="21">
        <v>3.75</v>
      </c>
      <c r="M1188" s="14" t="s">
        <v>14</v>
      </c>
      <c r="N1188" s="13">
        <v>7200</v>
      </c>
      <c r="O1188" s="15">
        <f t="shared" si="776"/>
        <v>0</v>
      </c>
      <c r="P1188" s="10" t="s">
        <v>78</v>
      </c>
      <c r="Q1188" s="11" t="s">
        <v>2646</v>
      </c>
      <c r="R1188" s="11" t="s">
        <v>2647</v>
      </c>
      <c r="S1188" s="16" t="s">
        <v>2648</v>
      </c>
      <c r="T1188" s="19" t="str">
        <f>MONTH(B1188)&amp;"-"&amp;YEAR(B1188)</f>
        <v>4-2023</v>
      </c>
      <c r="U1188" s="2">
        <f>YEAR(B1188)</f>
        <v>2023</v>
      </c>
      <c r="V1188" s="2" t="str">
        <f>IF(DAY(B1188)&gt;15,MONTH(B1188)&amp;"-C",MONTH(B1188)&amp;"-N")</f>
        <v>4-C</v>
      </c>
      <c r="W1188" s="21">
        <v>3.75</v>
      </c>
      <c r="X1188" s="2" t="b">
        <f t="shared" si="777"/>
        <v>1</v>
      </c>
    </row>
    <row r="1189" spans="2:24" x14ac:dyDescent="0.2">
      <c r="B1189" s="17">
        <v>45043</v>
      </c>
      <c r="C1189" s="10" t="s">
        <v>82</v>
      </c>
      <c r="D1189" s="11" t="s">
        <v>2585</v>
      </c>
      <c r="E1189" s="26">
        <v>68077</v>
      </c>
      <c r="F1189" s="10" t="s">
        <v>26</v>
      </c>
      <c r="G1189" s="10" t="s">
        <v>27</v>
      </c>
      <c r="H1189" s="27" t="s">
        <v>28</v>
      </c>
      <c r="I1189" s="12">
        <v>0</v>
      </c>
      <c r="J1189" s="12">
        <v>0</v>
      </c>
      <c r="K1189" s="13">
        <v>2840</v>
      </c>
      <c r="L1189" s="21">
        <v>4.05</v>
      </c>
      <c r="M1189" s="14" t="s">
        <v>14</v>
      </c>
      <c r="N1189" s="13">
        <v>11502</v>
      </c>
      <c r="O1189" s="15">
        <f t="shared" ref="O1189" si="778">(N1189/K1189)-L1189</f>
        <v>0</v>
      </c>
      <c r="P1189" s="10" t="s">
        <v>78</v>
      </c>
      <c r="Q1189" s="11" t="s">
        <v>2649</v>
      </c>
      <c r="R1189" s="11" t="s">
        <v>2650</v>
      </c>
      <c r="S1189" s="16" t="s">
        <v>2651</v>
      </c>
      <c r="T1189" s="19" t="str">
        <f>MONTH(B1189)&amp;"-"&amp;YEAR(B1189)</f>
        <v>4-2023</v>
      </c>
      <c r="U1189" s="2">
        <f>YEAR(B1189)</f>
        <v>2023</v>
      </c>
      <c r="V1189" s="2" t="str">
        <f>IF(DAY(B1189)&gt;15,MONTH(B1189)&amp;"-C",MONTH(B1189)&amp;"-N")</f>
        <v>4-C</v>
      </c>
      <c r="W1189" s="21">
        <v>4.05</v>
      </c>
      <c r="X1189" s="2" t="b">
        <f t="shared" ref="X1189" si="779">+L1189=W1189</f>
        <v>1</v>
      </c>
    </row>
    <row r="1190" spans="2:24" x14ac:dyDescent="0.2">
      <c r="B1190" s="17">
        <v>45046</v>
      </c>
      <c r="C1190" s="10" t="s">
        <v>94</v>
      </c>
      <c r="D1190" s="11" t="s">
        <v>2534</v>
      </c>
      <c r="E1190" s="26">
        <v>68147</v>
      </c>
      <c r="F1190" s="10" t="s">
        <v>26</v>
      </c>
      <c r="G1190" s="10" t="s">
        <v>27</v>
      </c>
      <c r="H1190" s="27" t="s">
        <v>28</v>
      </c>
      <c r="I1190" s="12">
        <v>0</v>
      </c>
      <c r="J1190" s="12">
        <v>0</v>
      </c>
      <c r="K1190" s="13">
        <v>19200</v>
      </c>
      <c r="L1190" s="21">
        <v>4.05</v>
      </c>
      <c r="M1190" s="14" t="s">
        <v>14</v>
      </c>
      <c r="N1190" s="13">
        <v>77760</v>
      </c>
      <c r="O1190" s="15">
        <f t="shared" ref="O1190" si="780">(N1190/K1190)-L1190</f>
        <v>0</v>
      </c>
      <c r="P1190" s="10" t="s">
        <v>78</v>
      </c>
      <c r="Q1190" s="11" t="s">
        <v>2652</v>
      </c>
      <c r="R1190" s="11" t="s">
        <v>2653</v>
      </c>
      <c r="S1190" s="16" t="s">
        <v>2654</v>
      </c>
      <c r="T1190" s="19" t="str">
        <f>MONTH(B1190)&amp;"-"&amp;YEAR(B1190)</f>
        <v>4-2023</v>
      </c>
      <c r="U1190" s="2">
        <f>YEAR(B1190)</f>
        <v>2023</v>
      </c>
      <c r="V1190" s="2" t="str">
        <f>IF(DAY(B1190)&gt;15,MONTH(B1190)&amp;"-C",MONTH(B1190)&amp;"-N")</f>
        <v>4-C</v>
      </c>
      <c r="W1190" s="21">
        <v>4.05</v>
      </c>
      <c r="X1190" s="2" t="b">
        <f t="shared" ref="X1190" si="781">+L1190=W1190</f>
        <v>1</v>
      </c>
    </row>
    <row r="1191" spans="2:24" x14ac:dyDescent="0.2">
      <c r="B1191" s="17">
        <v>45049</v>
      </c>
      <c r="C1191" s="10" t="s">
        <v>25</v>
      </c>
      <c r="D1191" s="11" t="s">
        <v>2638</v>
      </c>
      <c r="E1191" s="26">
        <v>68209</v>
      </c>
      <c r="F1191" s="10" t="s">
        <v>26</v>
      </c>
      <c r="G1191" s="10" t="s">
        <v>27</v>
      </c>
      <c r="H1191" s="27" t="s">
        <v>28</v>
      </c>
      <c r="I1191" s="12" t="s">
        <v>1843</v>
      </c>
      <c r="J1191" s="12" t="s">
        <v>1843</v>
      </c>
      <c r="K1191" s="13">
        <v>10800</v>
      </c>
      <c r="L1191" s="21">
        <v>4.05</v>
      </c>
      <c r="M1191" s="14" t="s">
        <v>14</v>
      </c>
      <c r="N1191" s="13">
        <v>43740</v>
      </c>
      <c r="O1191" s="15">
        <f t="shared" ref="O1191:O1194" si="782">(N1191/K1191)-L1191</f>
        <v>0</v>
      </c>
      <c r="P1191" s="10" t="s">
        <v>78</v>
      </c>
      <c r="Q1191" s="11" t="s">
        <v>2668</v>
      </c>
      <c r="R1191" s="11" t="s">
        <v>2669</v>
      </c>
      <c r="S1191" s="16" t="s">
        <v>2670</v>
      </c>
      <c r="T1191" s="19" t="str">
        <f>MONTH(B1191)&amp;"-"&amp;YEAR(B1191)</f>
        <v>5-2023</v>
      </c>
      <c r="U1191" s="2">
        <f>YEAR(B1191)</f>
        <v>2023</v>
      </c>
      <c r="V1191" s="2" t="str">
        <f>IF(DAY(B1191)&gt;15,MONTH(B1191)&amp;"-C",MONTH(B1191)&amp;"-N")</f>
        <v>5-N</v>
      </c>
      <c r="W1191" s="21">
        <v>4.05</v>
      </c>
      <c r="X1191" s="2" t="b">
        <f t="shared" ref="X1191:X1194" si="783">+L1191=W1191</f>
        <v>1</v>
      </c>
    </row>
    <row r="1192" spans="2:24" x14ac:dyDescent="0.2">
      <c r="B1192" s="17">
        <v>45049</v>
      </c>
      <c r="C1192" s="10" t="s">
        <v>48</v>
      </c>
      <c r="D1192" s="11" t="s">
        <v>2712</v>
      </c>
      <c r="E1192" s="26">
        <v>68208</v>
      </c>
      <c r="F1192" s="10" t="s">
        <v>71</v>
      </c>
      <c r="G1192" s="10" t="s">
        <v>46</v>
      </c>
      <c r="H1192" s="27" t="s">
        <v>72</v>
      </c>
      <c r="I1192" s="12" t="s">
        <v>1843</v>
      </c>
      <c r="J1192" s="12" t="s">
        <v>1843</v>
      </c>
      <c r="K1192" s="13">
        <v>10600</v>
      </c>
      <c r="L1192" s="21">
        <v>12.131</v>
      </c>
      <c r="M1192" s="14" t="s">
        <v>14</v>
      </c>
      <c r="N1192" s="13">
        <v>128586.48</v>
      </c>
      <c r="O1192" s="15">
        <f t="shared" si="782"/>
        <v>-2.0000000000131024E-4</v>
      </c>
      <c r="P1192" s="10" t="s">
        <v>90</v>
      </c>
      <c r="Q1192" s="11" t="s">
        <v>2713</v>
      </c>
      <c r="R1192" s="11" t="s">
        <v>2714</v>
      </c>
      <c r="S1192" s="16" t="s">
        <v>2715</v>
      </c>
      <c r="T1192" s="19" t="str">
        <f>MONTH(B1192)&amp;"-"&amp;YEAR(B1192)</f>
        <v>5-2023</v>
      </c>
      <c r="U1192" s="2">
        <f>YEAR(B1192)</f>
        <v>2023</v>
      </c>
      <c r="V1192" s="2" t="str">
        <f>IF(DAY(B1192)&gt;15,MONTH(B1192)&amp;"-C",MONTH(B1192)&amp;"-N")</f>
        <v>5-N</v>
      </c>
      <c r="W1192" s="21">
        <v>12.131</v>
      </c>
      <c r="X1192" s="2" t="b">
        <f t="shared" si="783"/>
        <v>1</v>
      </c>
    </row>
    <row r="1193" spans="2:24" x14ac:dyDescent="0.2">
      <c r="B1193" s="17">
        <v>45049</v>
      </c>
      <c r="C1193" s="10" t="s">
        <v>48</v>
      </c>
      <c r="D1193" s="11" t="s">
        <v>2712</v>
      </c>
      <c r="E1193" s="26">
        <v>68208</v>
      </c>
      <c r="F1193" s="10" t="s">
        <v>2552</v>
      </c>
      <c r="G1193" s="10" t="s">
        <v>46</v>
      </c>
      <c r="H1193" s="27" t="s">
        <v>2553</v>
      </c>
      <c r="I1193" s="12" t="s">
        <v>1843</v>
      </c>
      <c r="J1193" s="12" t="s">
        <v>1843</v>
      </c>
      <c r="K1193" s="13">
        <v>5400</v>
      </c>
      <c r="L1193" s="21">
        <v>12.131</v>
      </c>
      <c r="M1193" s="14" t="s">
        <v>14</v>
      </c>
      <c r="N1193" s="13">
        <v>65506.32</v>
      </c>
      <c r="O1193" s="15">
        <f t="shared" si="782"/>
        <v>-1.9999999999953388E-4</v>
      </c>
      <c r="P1193" s="10" t="s">
        <v>90</v>
      </c>
      <c r="Q1193" s="11" t="s">
        <v>2713</v>
      </c>
      <c r="R1193" s="11" t="s">
        <v>2714</v>
      </c>
      <c r="S1193" s="16" t="s">
        <v>2715</v>
      </c>
      <c r="T1193" s="19" t="str">
        <f>MONTH(B1193)&amp;"-"&amp;YEAR(B1193)</f>
        <v>5-2023</v>
      </c>
      <c r="U1193" s="2">
        <f>YEAR(B1193)</f>
        <v>2023</v>
      </c>
      <c r="V1193" s="2" t="str">
        <f>IF(DAY(B1193)&gt;15,MONTH(B1193)&amp;"-C",MONTH(B1193)&amp;"-N")</f>
        <v>5-N</v>
      </c>
      <c r="W1193" s="21">
        <v>12.131</v>
      </c>
      <c r="X1193" s="2" t="b">
        <f t="shared" si="783"/>
        <v>1</v>
      </c>
    </row>
    <row r="1194" spans="2:24" x14ac:dyDescent="0.2">
      <c r="B1194" s="17">
        <v>45050</v>
      </c>
      <c r="C1194" s="10" t="s">
        <v>73</v>
      </c>
      <c r="D1194" s="11" t="s">
        <v>2656</v>
      </c>
      <c r="E1194" s="26">
        <v>68224</v>
      </c>
      <c r="F1194" s="10" t="s">
        <v>158</v>
      </c>
      <c r="G1194" s="10" t="s">
        <v>46</v>
      </c>
      <c r="H1194" s="27" t="s">
        <v>159</v>
      </c>
      <c r="I1194" s="12" t="s">
        <v>1843</v>
      </c>
      <c r="J1194" s="12" t="s">
        <v>1843</v>
      </c>
      <c r="K1194" s="13">
        <v>460</v>
      </c>
      <c r="L1194" s="21">
        <v>12.55</v>
      </c>
      <c r="M1194" s="14" t="s">
        <v>14</v>
      </c>
      <c r="N1194" s="13">
        <v>5773</v>
      </c>
      <c r="O1194" s="15">
        <f t="shared" si="782"/>
        <v>0</v>
      </c>
      <c r="P1194" s="10" t="s">
        <v>81</v>
      </c>
      <c r="Q1194" s="11" t="s">
        <v>2657</v>
      </c>
      <c r="R1194" s="11" t="s">
        <v>2658</v>
      </c>
      <c r="S1194" s="16" t="s">
        <v>2659</v>
      </c>
      <c r="T1194" s="19" t="str">
        <f>MONTH(B1194)&amp;"-"&amp;YEAR(B1194)</f>
        <v>5-2023</v>
      </c>
      <c r="U1194" s="2">
        <f>YEAR(B1194)</f>
        <v>2023</v>
      </c>
      <c r="V1194" s="2" t="str">
        <f>IF(DAY(B1194)&gt;15,MONTH(B1194)&amp;"-C",MONTH(B1194)&amp;"-N")</f>
        <v>5-N</v>
      </c>
      <c r="W1194" s="21">
        <v>12.55</v>
      </c>
      <c r="X1194" s="2" t="b">
        <f t="shared" si="783"/>
        <v>1</v>
      </c>
    </row>
    <row r="1195" spans="2:24" x14ac:dyDescent="0.2">
      <c r="B1195" s="17">
        <v>45051</v>
      </c>
      <c r="C1195" s="10" t="s">
        <v>107</v>
      </c>
      <c r="D1195" s="11" t="s">
        <v>2664</v>
      </c>
      <c r="E1195" s="26">
        <v>68238</v>
      </c>
      <c r="F1195" s="10" t="s">
        <v>103</v>
      </c>
      <c r="G1195" s="10" t="s">
        <v>46</v>
      </c>
      <c r="H1195" s="27" t="s">
        <v>104</v>
      </c>
      <c r="I1195" s="12" t="s">
        <v>1843</v>
      </c>
      <c r="J1195" s="12" t="s">
        <v>1843</v>
      </c>
      <c r="K1195" s="13">
        <v>190</v>
      </c>
      <c r="L1195" s="21">
        <v>47.51</v>
      </c>
      <c r="M1195" s="14" t="s">
        <v>14</v>
      </c>
      <c r="N1195" s="13">
        <v>9026.9</v>
      </c>
      <c r="O1195" s="15">
        <f t="shared" ref="O1195:O1196" si="784">(N1195/K1195)-L1195</f>
        <v>0</v>
      </c>
      <c r="P1195" s="10" t="s">
        <v>84</v>
      </c>
      <c r="Q1195" s="11" t="s">
        <v>2665</v>
      </c>
      <c r="R1195" s="11" t="s">
        <v>2666</v>
      </c>
      <c r="S1195" s="16" t="s">
        <v>2667</v>
      </c>
      <c r="T1195" s="19" t="str">
        <f>MONTH(B1195)&amp;"-"&amp;YEAR(B1195)</f>
        <v>5-2023</v>
      </c>
      <c r="U1195" s="2">
        <f>YEAR(B1195)</f>
        <v>2023</v>
      </c>
      <c r="V1195" s="2" t="str">
        <f>IF(DAY(B1195)&gt;15,MONTH(B1195)&amp;"-C",MONTH(B1195)&amp;"-N")</f>
        <v>5-N</v>
      </c>
      <c r="W1195" s="21">
        <v>47.51</v>
      </c>
      <c r="X1195" s="2" t="b">
        <f t="shared" ref="X1195:X1196" si="785">+L1195=W1195</f>
        <v>1</v>
      </c>
    </row>
    <row r="1196" spans="2:24" x14ac:dyDescent="0.2">
      <c r="B1196" s="17">
        <v>45051</v>
      </c>
      <c r="C1196" s="10" t="s">
        <v>107</v>
      </c>
      <c r="D1196" s="11" t="s">
        <v>2664</v>
      </c>
      <c r="E1196" s="26">
        <v>68238</v>
      </c>
      <c r="F1196" s="10" t="s">
        <v>105</v>
      </c>
      <c r="G1196" s="10" t="s">
        <v>46</v>
      </c>
      <c r="H1196" s="27" t="s">
        <v>106</v>
      </c>
      <c r="I1196" s="12" t="s">
        <v>1843</v>
      </c>
      <c r="J1196" s="12" t="s">
        <v>1843</v>
      </c>
      <c r="K1196" s="13">
        <v>4840</v>
      </c>
      <c r="L1196" s="21">
        <v>11.81</v>
      </c>
      <c r="M1196" s="14" t="s">
        <v>14</v>
      </c>
      <c r="N1196" s="13">
        <v>57160.4</v>
      </c>
      <c r="O1196" s="15">
        <f t="shared" si="784"/>
        <v>0</v>
      </c>
      <c r="P1196" s="10" t="s">
        <v>84</v>
      </c>
      <c r="Q1196" s="11" t="s">
        <v>2665</v>
      </c>
      <c r="R1196" s="11" t="s">
        <v>2666</v>
      </c>
      <c r="S1196" s="16" t="s">
        <v>2667</v>
      </c>
      <c r="T1196" s="19" t="str">
        <f>MONTH(B1196)&amp;"-"&amp;YEAR(B1196)</f>
        <v>5-2023</v>
      </c>
      <c r="U1196" s="2">
        <f>YEAR(B1196)</f>
        <v>2023</v>
      </c>
      <c r="V1196" s="2" t="str">
        <f>IF(DAY(B1196)&gt;15,MONTH(B1196)&amp;"-C",MONTH(B1196)&amp;"-N")</f>
        <v>5-N</v>
      </c>
      <c r="W1196" s="21">
        <v>11.81</v>
      </c>
      <c r="X1196" s="2" t="b">
        <f t="shared" si="785"/>
        <v>1</v>
      </c>
    </row>
    <row r="1197" spans="2:24" x14ac:dyDescent="0.2">
      <c r="B1197" s="17">
        <v>45054</v>
      </c>
      <c r="C1197" s="10" t="s">
        <v>73</v>
      </c>
      <c r="D1197" s="11" t="s">
        <v>2660</v>
      </c>
      <c r="E1197" s="26">
        <v>68274</v>
      </c>
      <c r="F1197" s="10" t="s">
        <v>399</v>
      </c>
      <c r="G1197" s="10" t="s">
        <v>46</v>
      </c>
      <c r="H1197" s="27" t="s">
        <v>149</v>
      </c>
      <c r="I1197" s="12" t="s">
        <v>1843</v>
      </c>
      <c r="J1197" s="12" t="s">
        <v>1843</v>
      </c>
      <c r="K1197" s="13">
        <v>3000</v>
      </c>
      <c r="L1197" s="21">
        <v>16.8</v>
      </c>
      <c r="M1197" s="14" t="s">
        <v>14</v>
      </c>
      <c r="N1197" s="13">
        <v>50400</v>
      </c>
      <c r="O1197" s="15">
        <f t="shared" ref="O1197:O1199" si="786">(N1197/K1197)-L1197</f>
        <v>0</v>
      </c>
      <c r="P1197" s="10" t="s">
        <v>84</v>
      </c>
      <c r="Q1197" s="11" t="s">
        <v>2661</v>
      </c>
      <c r="R1197" s="11" t="s">
        <v>2662</v>
      </c>
      <c r="S1197" s="16" t="s">
        <v>2663</v>
      </c>
      <c r="T1197" s="19" t="str">
        <f>MONTH(B1197)&amp;"-"&amp;YEAR(B1197)</f>
        <v>5-2023</v>
      </c>
      <c r="U1197" s="2">
        <f>YEAR(B1197)</f>
        <v>2023</v>
      </c>
      <c r="V1197" s="2" t="str">
        <f>IF(DAY(B1197)&gt;15,MONTH(B1197)&amp;"-C",MONTH(B1197)&amp;"-N")</f>
        <v>5-N</v>
      </c>
      <c r="W1197" s="21">
        <v>16.8</v>
      </c>
      <c r="X1197" s="2" t="b">
        <f t="shared" ref="X1197:X1199" si="787">+L1197=W1197</f>
        <v>1</v>
      </c>
    </row>
    <row r="1198" spans="2:24" x14ac:dyDescent="0.2">
      <c r="B1198" s="17">
        <v>45055</v>
      </c>
      <c r="C1198" s="10" t="s">
        <v>25</v>
      </c>
      <c r="D1198" s="11" t="s">
        <v>2638</v>
      </c>
      <c r="E1198" s="26">
        <v>68291</v>
      </c>
      <c r="F1198" s="10" t="s">
        <v>26</v>
      </c>
      <c r="G1198" s="10" t="s">
        <v>27</v>
      </c>
      <c r="H1198" s="27" t="s">
        <v>28</v>
      </c>
      <c r="I1198" s="12" t="s">
        <v>1843</v>
      </c>
      <c r="J1198" s="12" t="s">
        <v>1843</v>
      </c>
      <c r="K1198" s="13">
        <v>2700</v>
      </c>
      <c r="L1198" s="21">
        <v>4.05</v>
      </c>
      <c r="M1198" s="14" t="s">
        <v>14</v>
      </c>
      <c r="N1198" s="13">
        <v>10935</v>
      </c>
      <c r="O1198" s="15">
        <f t="shared" si="786"/>
        <v>0</v>
      </c>
      <c r="P1198" s="10" t="s">
        <v>78</v>
      </c>
      <c r="Q1198" s="11" t="s">
        <v>2675</v>
      </c>
      <c r="R1198" s="11" t="s">
        <v>2676</v>
      </c>
      <c r="S1198" s="16" t="s">
        <v>2677</v>
      </c>
      <c r="T1198" s="19" t="str">
        <f>MONTH(B1198)&amp;"-"&amp;YEAR(B1198)</f>
        <v>5-2023</v>
      </c>
      <c r="U1198" s="2">
        <f>YEAR(B1198)</f>
        <v>2023</v>
      </c>
      <c r="V1198" s="2" t="str">
        <f>IF(DAY(B1198)&gt;15,MONTH(B1198)&amp;"-C",MONTH(B1198)&amp;"-N")</f>
        <v>5-N</v>
      </c>
      <c r="W1198" s="21">
        <v>4.05</v>
      </c>
      <c r="X1198" s="2" t="b">
        <f t="shared" si="787"/>
        <v>1</v>
      </c>
    </row>
    <row r="1199" spans="2:24" x14ac:dyDescent="0.2">
      <c r="B1199" s="17">
        <v>45055</v>
      </c>
      <c r="C1199" s="10" t="s">
        <v>25</v>
      </c>
      <c r="D1199" s="11" t="s">
        <v>2638</v>
      </c>
      <c r="E1199" s="26">
        <v>68292</v>
      </c>
      <c r="F1199" s="10" t="s">
        <v>26</v>
      </c>
      <c r="G1199" s="10" t="s">
        <v>27</v>
      </c>
      <c r="H1199" s="27" t="s">
        <v>28</v>
      </c>
      <c r="I1199" s="12" t="s">
        <v>1843</v>
      </c>
      <c r="J1199" s="12" t="s">
        <v>1843</v>
      </c>
      <c r="K1199" s="13">
        <v>9000</v>
      </c>
      <c r="L1199" s="21">
        <v>4.05</v>
      </c>
      <c r="M1199" s="14" t="s">
        <v>14</v>
      </c>
      <c r="N1199" s="13">
        <v>36450</v>
      </c>
      <c r="O1199" s="15">
        <f t="shared" si="786"/>
        <v>0</v>
      </c>
      <c r="P1199" s="10" t="s">
        <v>78</v>
      </c>
      <c r="Q1199" s="11" t="s">
        <v>2684</v>
      </c>
      <c r="R1199" s="11" t="s">
        <v>2685</v>
      </c>
      <c r="S1199" s="16" t="s">
        <v>2686</v>
      </c>
      <c r="T1199" s="19" t="str">
        <f>MONTH(B1199)&amp;"-"&amp;YEAR(B1199)</f>
        <v>5-2023</v>
      </c>
      <c r="U1199" s="2">
        <f>YEAR(B1199)</f>
        <v>2023</v>
      </c>
      <c r="V1199" s="2" t="str">
        <f>IF(DAY(B1199)&gt;15,MONTH(B1199)&amp;"-C",MONTH(B1199)&amp;"-N")</f>
        <v>5-N</v>
      </c>
      <c r="W1199" s="21">
        <v>4.05</v>
      </c>
      <c r="X1199" s="2" t="b">
        <f t="shared" si="787"/>
        <v>1</v>
      </c>
    </row>
    <row r="1200" spans="2:24" x14ac:dyDescent="0.2">
      <c r="B1200" s="17">
        <v>45056</v>
      </c>
      <c r="C1200" s="10" t="s">
        <v>25</v>
      </c>
      <c r="D1200" s="11" t="s">
        <v>2638</v>
      </c>
      <c r="E1200" s="26">
        <v>68311</v>
      </c>
      <c r="F1200" s="10" t="s">
        <v>26</v>
      </c>
      <c r="G1200" s="10" t="s">
        <v>27</v>
      </c>
      <c r="H1200" s="27" t="s">
        <v>28</v>
      </c>
      <c r="I1200" s="12" t="s">
        <v>1843</v>
      </c>
      <c r="J1200" s="12" t="s">
        <v>1843</v>
      </c>
      <c r="K1200" s="13">
        <v>1000</v>
      </c>
      <c r="L1200" s="21">
        <v>4.05</v>
      </c>
      <c r="M1200" s="14" t="s">
        <v>14</v>
      </c>
      <c r="N1200" s="13">
        <v>4050</v>
      </c>
      <c r="O1200" s="15">
        <f t="shared" ref="O1200:O1202" si="788">(N1200/K1200)-L1200</f>
        <v>0</v>
      </c>
      <c r="P1200" s="10" t="s">
        <v>78</v>
      </c>
      <c r="Q1200" s="11" t="s">
        <v>2678</v>
      </c>
      <c r="R1200" s="11" t="s">
        <v>2679</v>
      </c>
      <c r="S1200" s="16" t="s">
        <v>2680</v>
      </c>
      <c r="T1200" s="19" t="str">
        <f>MONTH(B1200)&amp;"-"&amp;YEAR(B1200)</f>
        <v>5-2023</v>
      </c>
      <c r="U1200" s="2">
        <f>YEAR(B1200)</f>
        <v>2023</v>
      </c>
      <c r="V1200" s="2" t="str">
        <f>IF(DAY(B1200)&gt;15,MONTH(B1200)&amp;"-C",MONTH(B1200)&amp;"-N")</f>
        <v>5-N</v>
      </c>
      <c r="W1200" s="21">
        <v>4.05</v>
      </c>
      <c r="X1200" s="2" t="b">
        <f t="shared" ref="X1200:X1202" si="789">+L1200=W1200</f>
        <v>1</v>
      </c>
    </row>
    <row r="1201" spans="2:24" x14ac:dyDescent="0.2">
      <c r="B1201" s="17">
        <v>45056</v>
      </c>
      <c r="C1201" s="10" t="s">
        <v>25</v>
      </c>
      <c r="D1201" s="11" t="s">
        <v>2671</v>
      </c>
      <c r="E1201" s="26">
        <v>68312</v>
      </c>
      <c r="F1201" s="10" t="s">
        <v>26</v>
      </c>
      <c r="G1201" s="10" t="s">
        <v>27</v>
      </c>
      <c r="H1201" s="27" t="s">
        <v>28</v>
      </c>
      <c r="I1201" s="12" t="s">
        <v>1843</v>
      </c>
      <c r="J1201" s="12" t="s">
        <v>1843</v>
      </c>
      <c r="K1201" s="13">
        <v>7100</v>
      </c>
      <c r="L1201" s="21">
        <v>3.95</v>
      </c>
      <c r="M1201" s="14" t="s">
        <v>14</v>
      </c>
      <c r="N1201" s="13">
        <v>28045</v>
      </c>
      <c r="O1201" s="15">
        <f t="shared" si="788"/>
        <v>0</v>
      </c>
      <c r="P1201" s="10" t="s">
        <v>78</v>
      </c>
      <c r="Q1201" s="11" t="s">
        <v>2681</v>
      </c>
      <c r="R1201" s="11" t="s">
        <v>2682</v>
      </c>
      <c r="S1201" s="16" t="s">
        <v>2683</v>
      </c>
      <c r="T1201" s="19" t="str">
        <f>MONTH(B1201)&amp;"-"&amp;YEAR(B1201)</f>
        <v>5-2023</v>
      </c>
      <c r="U1201" s="2">
        <f>YEAR(B1201)</f>
        <v>2023</v>
      </c>
      <c r="V1201" s="2" t="str">
        <f>IF(DAY(B1201)&gt;15,MONTH(B1201)&amp;"-C",MONTH(B1201)&amp;"-N")</f>
        <v>5-N</v>
      </c>
      <c r="W1201" s="21">
        <v>3.95</v>
      </c>
      <c r="X1201" s="2" t="b">
        <f t="shared" si="789"/>
        <v>1</v>
      </c>
    </row>
    <row r="1202" spans="2:24" x14ac:dyDescent="0.2">
      <c r="B1202" s="17">
        <v>45058</v>
      </c>
      <c r="C1202" s="10" t="s">
        <v>25</v>
      </c>
      <c r="D1202" s="11" t="s">
        <v>2671</v>
      </c>
      <c r="E1202" s="26">
        <v>68339</v>
      </c>
      <c r="F1202" s="10" t="s">
        <v>26</v>
      </c>
      <c r="G1202" s="10" t="s">
        <v>27</v>
      </c>
      <c r="H1202" s="27" t="s">
        <v>28</v>
      </c>
      <c r="I1202" s="12" t="s">
        <v>1843</v>
      </c>
      <c r="J1202" s="12" t="s">
        <v>1843</v>
      </c>
      <c r="K1202" s="13">
        <v>18000</v>
      </c>
      <c r="L1202" s="21">
        <v>3.95</v>
      </c>
      <c r="M1202" s="14" t="s">
        <v>14</v>
      </c>
      <c r="N1202" s="13">
        <v>71100</v>
      </c>
      <c r="O1202" s="15">
        <f t="shared" si="788"/>
        <v>0</v>
      </c>
      <c r="P1202" s="10" t="s">
        <v>78</v>
      </c>
      <c r="Q1202" s="11" t="s">
        <v>2672</v>
      </c>
      <c r="R1202" s="11" t="s">
        <v>2673</v>
      </c>
      <c r="S1202" s="16" t="s">
        <v>2674</v>
      </c>
      <c r="T1202" s="19" t="str">
        <f>MONTH(B1202)&amp;"-"&amp;YEAR(B1202)</f>
        <v>5-2023</v>
      </c>
      <c r="U1202" s="2">
        <f>YEAR(B1202)</f>
        <v>2023</v>
      </c>
      <c r="V1202" s="2" t="str">
        <f>IF(DAY(B1202)&gt;15,MONTH(B1202)&amp;"-C",MONTH(B1202)&amp;"-N")</f>
        <v>5-N</v>
      </c>
      <c r="W1202" s="21">
        <v>3.95</v>
      </c>
      <c r="X1202" s="2" t="b">
        <f t="shared" si="789"/>
        <v>1</v>
      </c>
    </row>
    <row r="1203" spans="2:24" x14ac:dyDescent="0.2">
      <c r="B1203" s="17">
        <v>45061</v>
      </c>
      <c r="C1203" s="10" t="s">
        <v>2630</v>
      </c>
      <c r="D1203" s="11" t="s">
        <v>2708</v>
      </c>
      <c r="E1203" s="26">
        <v>68374</v>
      </c>
      <c r="F1203" s="10" t="s">
        <v>29</v>
      </c>
      <c r="G1203" s="10" t="s">
        <v>27</v>
      </c>
      <c r="H1203" s="27" t="s">
        <v>30</v>
      </c>
      <c r="I1203" s="12" t="s">
        <v>1843</v>
      </c>
      <c r="J1203" s="12" t="s">
        <v>1843</v>
      </c>
      <c r="K1203" s="13">
        <v>1980</v>
      </c>
      <c r="L1203" s="21">
        <v>3.5</v>
      </c>
      <c r="M1203" s="14" t="s">
        <v>14</v>
      </c>
      <c r="N1203" s="13">
        <v>6930</v>
      </c>
      <c r="O1203" s="15">
        <f t="shared" ref="O1203" si="790">(N1203/K1203)-L1203</f>
        <v>0</v>
      </c>
      <c r="P1203" s="10" t="s">
        <v>78</v>
      </c>
      <c r="Q1203" s="11" t="s">
        <v>2724</v>
      </c>
      <c r="R1203" s="11" t="s">
        <v>2723</v>
      </c>
      <c r="S1203" s="16" t="s">
        <v>2723</v>
      </c>
      <c r="T1203" s="19" t="str">
        <f>MONTH(B1203)&amp;"-"&amp;YEAR(B1203)</f>
        <v>5-2023</v>
      </c>
      <c r="U1203" s="2">
        <f>YEAR(B1203)</f>
        <v>2023</v>
      </c>
      <c r="V1203" s="2" t="str">
        <f>IF(DAY(B1203)&gt;15,MONTH(B1203)&amp;"-C",MONTH(B1203)&amp;"-N")</f>
        <v>5-N</v>
      </c>
      <c r="W1203" s="21">
        <v>3.5</v>
      </c>
      <c r="X1203" s="2" t="b">
        <f t="shared" ref="X1203" si="791">+L1203=W1203</f>
        <v>1</v>
      </c>
    </row>
    <row r="1204" spans="2:24" x14ac:dyDescent="0.2">
      <c r="B1204" s="17">
        <v>45062</v>
      </c>
      <c r="C1204" s="10" t="s">
        <v>73</v>
      </c>
      <c r="D1204" s="11" t="s">
        <v>2687</v>
      </c>
      <c r="E1204" s="26">
        <v>68389</v>
      </c>
      <c r="F1204" s="10" t="s">
        <v>399</v>
      </c>
      <c r="G1204" s="10" t="s">
        <v>46</v>
      </c>
      <c r="H1204" s="27" t="s">
        <v>149</v>
      </c>
      <c r="I1204" s="12" t="s">
        <v>1843</v>
      </c>
      <c r="J1204" s="12" t="s">
        <v>1843</v>
      </c>
      <c r="K1204" s="13">
        <v>2300</v>
      </c>
      <c r="L1204" s="21">
        <v>16.8</v>
      </c>
      <c r="M1204" s="14" t="s">
        <v>14</v>
      </c>
      <c r="N1204" s="13">
        <v>38640</v>
      </c>
      <c r="O1204" s="15">
        <f t="shared" ref="O1204:O1208" si="792">(N1204/K1204)-L1204</f>
        <v>0</v>
      </c>
      <c r="P1204" s="10" t="s">
        <v>84</v>
      </c>
      <c r="Q1204" s="11" t="s">
        <v>2688</v>
      </c>
      <c r="R1204" s="11" t="s">
        <v>2689</v>
      </c>
      <c r="S1204" s="16" t="s">
        <v>2690</v>
      </c>
      <c r="T1204" s="19" t="str">
        <f>MONTH(B1204)&amp;"-"&amp;YEAR(B1204)</f>
        <v>5-2023</v>
      </c>
      <c r="U1204" s="2">
        <f>YEAR(B1204)</f>
        <v>2023</v>
      </c>
      <c r="V1204" s="2" t="str">
        <f>IF(DAY(B1204)&gt;15,MONTH(B1204)&amp;"-C",MONTH(B1204)&amp;"-N")</f>
        <v>5-C</v>
      </c>
      <c r="W1204" s="21">
        <v>16.8</v>
      </c>
      <c r="X1204" s="2" t="b">
        <f t="shared" ref="X1204:X1208" si="793">+L1204=W1204</f>
        <v>1</v>
      </c>
    </row>
    <row r="1205" spans="2:24" x14ac:dyDescent="0.2">
      <c r="B1205" s="17">
        <v>45063</v>
      </c>
      <c r="C1205" s="10" t="s">
        <v>2630</v>
      </c>
      <c r="D1205" s="11" t="s">
        <v>2708</v>
      </c>
      <c r="E1205" s="26">
        <v>68399</v>
      </c>
      <c r="F1205" s="10" t="s">
        <v>29</v>
      </c>
      <c r="G1205" s="10" t="s">
        <v>27</v>
      </c>
      <c r="H1205" s="27" t="s">
        <v>30</v>
      </c>
      <c r="I1205" s="12" t="s">
        <v>1843</v>
      </c>
      <c r="J1205" s="12" t="s">
        <v>1843</v>
      </c>
      <c r="K1205" s="13">
        <v>1980</v>
      </c>
      <c r="L1205" s="21">
        <v>3.5</v>
      </c>
      <c r="M1205" s="14" t="s">
        <v>14</v>
      </c>
      <c r="N1205" s="13">
        <v>6930</v>
      </c>
      <c r="O1205" s="15">
        <f t="shared" si="792"/>
        <v>0</v>
      </c>
      <c r="P1205" s="10" t="s">
        <v>78</v>
      </c>
      <c r="Q1205" s="11" t="s">
        <v>2709</v>
      </c>
      <c r="R1205" s="11" t="s">
        <v>2710</v>
      </c>
      <c r="S1205" s="16" t="s">
        <v>2711</v>
      </c>
      <c r="T1205" s="19" t="str">
        <f>MONTH(B1205)&amp;"-"&amp;YEAR(B1205)</f>
        <v>5-2023</v>
      </c>
      <c r="U1205" s="2">
        <f>YEAR(B1205)</f>
        <v>2023</v>
      </c>
      <c r="V1205" s="2" t="str">
        <f>IF(DAY(B1205)&gt;15,MONTH(B1205)&amp;"-C",MONTH(B1205)&amp;"-N")</f>
        <v>5-C</v>
      </c>
      <c r="W1205" s="21">
        <v>3.5</v>
      </c>
      <c r="X1205" s="2" t="b">
        <f t="shared" si="793"/>
        <v>1</v>
      </c>
    </row>
    <row r="1206" spans="2:24" x14ac:dyDescent="0.2">
      <c r="B1206" s="17">
        <v>45064</v>
      </c>
      <c r="C1206" s="10" t="s">
        <v>25</v>
      </c>
      <c r="D1206" s="11" t="s">
        <v>2671</v>
      </c>
      <c r="E1206" s="26">
        <v>68425</v>
      </c>
      <c r="F1206" s="10" t="s">
        <v>26</v>
      </c>
      <c r="G1206" s="10" t="s">
        <v>27</v>
      </c>
      <c r="H1206" s="27" t="s">
        <v>28</v>
      </c>
      <c r="I1206" s="12" t="s">
        <v>1843</v>
      </c>
      <c r="J1206" s="12" t="s">
        <v>1843</v>
      </c>
      <c r="K1206" s="13">
        <v>18900</v>
      </c>
      <c r="L1206" s="21">
        <v>3.95</v>
      </c>
      <c r="M1206" s="14" t="s">
        <v>14</v>
      </c>
      <c r="N1206" s="13">
        <v>74655</v>
      </c>
      <c r="O1206" s="15">
        <f t="shared" si="792"/>
        <v>0</v>
      </c>
      <c r="P1206" s="10" t="s">
        <v>78</v>
      </c>
      <c r="Q1206" s="11" t="s">
        <v>2705</v>
      </c>
      <c r="R1206" s="11" t="s">
        <v>2706</v>
      </c>
      <c r="S1206" s="16" t="s">
        <v>2707</v>
      </c>
      <c r="T1206" s="19" t="str">
        <f>MONTH(B1206)&amp;"-"&amp;YEAR(B1206)</f>
        <v>5-2023</v>
      </c>
      <c r="U1206" s="2">
        <f>YEAR(B1206)</f>
        <v>2023</v>
      </c>
      <c r="V1206" s="2" t="str">
        <f>IF(DAY(B1206)&gt;15,MONTH(B1206)&amp;"-C",MONTH(B1206)&amp;"-N")</f>
        <v>5-C</v>
      </c>
      <c r="W1206" s="21">
        <v>3.95</v>
      </c>
      <c r="X1206" s="2" t="b">
        <f t="shared" si="793"/>
        <v>1</v>
      </c>
    </row>
    <row r="1207" spans="2:24" x14ac:dyDescent="0.2">
      <c r="B1207" s="17">
        <v>45064</v>
      </c>
      <c r="C1207" s="10" t="s">
        <v>25</v>
      </c>
      <c r="D1207" s="11" t="s">
        <v>2645</v>
      </c>
      <c r="E1207" s="26">
        <v>68432</v>
      </c>
      <c r="F1207" s="10" t="s">
        <v>31</v>
      </c>
      <c r="G1207" s="10" t="s">
        <v>27</v>
      </c>
      <c r="H1207" s="27" t="s">
        <v>32</v>
      </c>
      <c r="I1207" s="12" t="s">
        <v>1843</v>
      </c>
      <c r="J1207" s="12" t="s">
        <v>1843</v>
      </c>
      <c r="K1207" s="13">
        <v>1280</v>
      </c>
      <c r="L1207" s="21">
        <v>3.75</v>
      </c>
      <c r="M1207" s="14" t="s">
        <v>14</v>
      </c>
      <c r="N1207" s="13">
        <v>4800</v>
      </c>
      <c r="O1207" s="15">
        <f t="shared" si="792"/>
        <v>0</v>
      </c>
      <c r="P1207" s="10" t="s">
        <v>78</v>
      </c>
      <c r="Q1207" s="11" t="s">
        <v>2720</v>
      </c>
      <c r="R1207" s="11" t="s">
        <v>2721</v>
      </c>
      <c r="S1207" s="16" t="s">
        <v>2722</v>
      </c>
      <c r="T1207" s="19" t="str">
        <f>MONTH(B1207)&amp;"-"&amp;YEAR(B1207)</f>
        <v>5-2023</v>
      </c>
      <c r="U1207" s="2">
        <f>YEAR(B1207)</f>
        <v>2023</v>
      </c>
      <c r="V1207" s="2" t="str">
        <f>IF(DAY(B1207)&gt;15,MONTH(B1207)&amp;"-C",MONTH(B1207)&amp;"-N")</f>
        <v>5-C</v>
      </c>
      <c r="W1207" s="21">
        <v>3.75</v>
      </c>
      <c r="X1207" s="2" t="b">
        <f t="shared" si="793"/>
        <v>1</v>
      </c>
    </row>
    <row r="1208" spans="2:24" x14ac:dyDescent="0.2">
      <c r="B1208" s="17">
        <v>45064</v>
      </c>
      <c r="C1208" s="10" t="s">
        <v>25</v>
      </c>
      <c r="D1208" s="11" t="s">
        <v>2645</v>
      </c>
      <c r="E1208" s="26">
        <v>68432</v>
      </c>
      <c r="F1208" s="10" t="s">
        <v>33</v>
      </c>
      <c r="G1208" s="10" t="s">
        <v>27</v>
      </c>
      <c r="H1208" s="27" t="s">
        <v>34</v>
      </c>
      <c r="I1208" s="12" t="s">
        <v>1843</v>
      </c>
      <c r="J1208" s="12" t="s">
        <v>1843</v>
      </c>
      <c r="K1208" s="13">
        <v>2160</v>
      </c>
      <c r="L1208" s="21">
        <v>5.5</v>
      </c>
      <c r="M1208" s="14" t="s">
        <v>14</v>
      </c>
      <c r="N1208" s="13">
        <v>11880</v>
      </c>
      <c r="O1208" s="15">
        <f t="shared" si="792"/>
        <v>0</v>
      </c>
      <c r="P1208" s="10" t="s">
        <v>78</v>
      </c>
      <c r="Q1208" s="11" t="s">
        <v>2720</v>
      </c>
      <c r="R1208" s="11" t="s">
        <v>2721</v>
      </c>
      <c r="S1208" s="16" t="s">
        <v>2722</v>
      </c>
      <c r="T1208" s="19" t="str">
        <f>MONTH(B1208)&amp;"-"&amp;YEAR(B1208)</f>
        <v>5-2023</v>
      </c>
      <c r="U1208" s="2">
        <f>YEAR(B1208)</f>
        <v>2023</v>
      </c>
      <c r="V1208" s="2" t="str">
        <f>IF(DAY(B1208)&gt;15,MONTH(B1208)&amp;"-C",MONTH(B1208)&amp;"-N")</f>
        <v>5-C</v>
      </c>
      <c r="W1208" s="21">
        <v>5.5</v>
      </c>
      <c r="X1208" s="2" t="b">
        <f t="shared" si="793"/>
        <v>1</v>
      </c>
    </row>
    <row r="1209" spans="2:24" x14ac:dyDescent="0.2">
      <c r="B1209" s="17">
        <v>45066</v>
      </c>
      <c r="C1209" s="10" t="s">
        <v>88</v>
      </c>
      <c r="D1209" s="11" t="s">
        <v>2695</v>
      </c>
      <c r="E1209" s="26">
        <v>68466</v>
      </c>
      <c r="F1209" s="10" t="s">
        <v>98</v>
      </c>
      <c r="G1209" s="10" t="s">
        <v>46</v>
      </c>
      <c r="H1209" s="27" t="s">
        <v>99</v>
      </c>
      <c r="I1209" s="12" t="s">
        <v>1843</v>
      </c>
      <c r="J1209" s="12" t="s">
        <v>1843</v>
      </c>
      <c r="K1209" s="13">
        <v>20</v>
      </c>
      <c r="L1209" s="21">
        <v>11.63</v>
      </c>
      <c r="M1209" s="14" t="s">
        <v>14</v>
      </c>
      <c r="N1209" s="13">
        <v>232.6</v>
      </c>
      <c r="O1209" s="15">
        <f t="shared" ref="O1209" si="794">(N1209/K1209)-L1209</f>
        <v>0</v>
      </c>
      <c r="P1209" s="10" t="s">
        <v>84</v>
      </c>
      <c r="Q1209" s="11" t="s">
        <v>2696</v>
      </c>
      <c r="R1209" s="11" t="s">
        <v>2697</v>
      </c>
      <c r="S1209" s="16" t="s">
        <v>2698</v>
      </c>
      <c r="T1209" s="19" t="str">
        <f>MONTH(B1209)&amp;"-"&amp;YEAR(B1209)</f>
        <v>5-2023</v>
      </c>
      <c r="U1209" s="2">
        <f>YEAR(B1209)</f>
        <v>2023</v>
      </c>
      <c r="V1209" s="2" t="str">
        <f>IF(DAY(B1209)&gt;15,MONTH(B1209)&amp;"-C",MONTH(B1209)&amp;"-N")</f>
        <v>5-C</v>
      </c>
      <c r="W1209" s="21">
        <v>11.63</v>
      </c>
      <c r="X1209" s="2" t="b">
        <f t="shared" ref="X1209" si="795">+L1209=W1209</f>
        <v>1</v>
      </c>
    </row>
    <row r="1210" spans="2:24" x14ac:dyDescent="0.2">
      <c r="B1210" s="17">
        <v>45066</v>
      </c>
      <c r="C1210" s="10" t="s">
        <v>88</v>
      </c>
      <c r="D1210" s="11" t="s">
        <v>2695</v>
      </c>
      <c r="E1210" s="26">
        <v>68466</v>
      </c>
      <c r="F1210" s="10" t="s">
        <v>100</v>
      </c>
      <c r="G1210" s="10" t="s">
        <v>46</v>
      </c>
      <c r="H1210" s="27" t="s">
        <v>101</v>
      </c>
      <c r="I1210" s="12" t="s">
        <v>1843</v>
      </c>
      <c r="J1210" s="12" t="s">
        <v>1843</v>
      </c>
      <c r="K1210" s="13">
        <v>1000</v>
      </c>
      <c r="L1210" s="21">
        <v>13.54</v>
      </c>
      <c r="M1210" s="14" t="s">
        <v>14</v>
      </c>
      <c r="N1210" s="13">
        <v>13540</v>
      </c>
      <c r="O1210" s="15">
        <f t="shared" ref="O1210:O1212" si="796">(N1210/K1210)-L1210</f>
        <v>0</v>
      </c>
      <c r="P1210" s="10" t="s">
        <v>84</v>
      </c>
      <c r="Q1210" s="11" t="s">
        <v>2696</v>
      </c>
      <c r="R1210" s="11" t="s">
        <v>2697</v>
      </c>
      <c r="S1210" s="16" t="s">
        <v>2698</v>
      </c>
      <c r="T1210" s="19" t="str">
        <f>MONTH(B1210)&amp;"-"&amp;YEAR(B1210)</f>
        <v>5-2023</v>
      </c>
      <c r="U1210" s="2">
        <f>YEAR(B1210)</f>
        <v>2023</v>
      </c>
      <c r="V1210" s="2" t="str">
        <f>IF(DAY(B1210)&gt;15,MONTH(B1210)&amp;"-C",MONTH(B1210)&amp;"-N")</f>
        <v>5-C</v>
      </c>
      <c r="W1210" s="21">
        <v>13.54</v>
      </c>
      <c r="X1210" s="2" t="b">
        <f t="shared" ref="X1210:X1212" si="797">+L1210=W1210</f>
        <v>1</v>
      </c>
    </row>
    <row r="1211" spans="2:24" x14ac:dyDescent="0.2">
      <c r="B1211" s="17">
        <v>45066</v>
      </c>
      <c r="C1211" s="10" t="s">
        <v>88</v>
      </c>
      <c r="D1211" s="11" t="s">
        <v>2695</v>
      </c>
      <c r="E1211" s="26">
        <v>68466</v>
      </c>
      <c r="F1211" s="10" t="s">
        <v>2422</v>
      </c>
      <c r="G1211" s="10" t="s">
        <v>46</v>
      </c>
      <c r="H1211" s="27" t="s">
        <v>2423</v>
      </c>
      <c r="I1211" s="12" t="s">
        <v>1843</v>
      </c>
      <c r="J1211" s="12" t="s">
        <v>1843</v>
      </c>
      <c r="K1211" s="13">
        <v>2000</v>
      </c>
      <c r="L1211" s="21">
        <v>9.11</v>
      </c>
      <c r="M1211" s="14" t="s">
        <v>14</v>
      </c>
      <c r="N1211" s="13">
        <v>18220</v>
      </c>
      <c r="O1211" s="15">
        <f t="shared" si="796"/>
        <v>0</v>
      </c>
      <c r="P1211" s="10" t="s">
        <v>84</v>
      </c>
      <c r="Q1211" s="11" t="s">
        <v>2696</v>
      </c>
      <c r="R1211" s="11" t="s">
        <v>2697</v>
      </c>
      <c r="S1211" s="16" t="s">
        <v>2698</v>
      </c>
      <c r="T1211" s="19" t="str">
        <f>MONTH(B1211)&amp;"-"&amp;YEAR(B1211)</f>
        <v>5-2023</v>
      </c>
      <c r="U1211" s="2">
        <f>YEAR(B1211)</f>
        <v>2023</v>
      </c>
      <c r="V1211" s="2" t="str">
        <f>IF(DAY(B1211)&gt;15,MONTH(B1211)&amp;"-C",MONTH(B1211)&amp;"-N")</f>
        <v>5-C</v>
      </c>
      <c r="W1211" s="21">
        <v>9.11</v>
      </c>
      <c r="X1211" s="2" t="b">
        <f t="shared" si="797"/>
        <v>1</v>
      </c>
    </row>
    <row r="1212" spans="2:24" x14ac:dyDescent="0.2">
      <c r="B1212" s="17">
        <v>45066</v>
      </c>
      <c r="C1212" s="10" t="s">
        <v>88</v>
      </c>
      <c r="D1212" s="11" t="s">
        <v>2695</v>
      </c>
      <c r="E1212" s="26">
        <v>68466</v>
      </c>
      <c r="F1212" s="10" t="s">
        <v>1329</v>
      </c>
      <c r="G1212" s="10" t="s">
        <v>46</v>
      </c>
      <c r="H1212" s="27" t="s">
        <v>1343</v>
      </c>
      <c r="I1212" s="12" t="s">
        <v>1843</v>
      </c>
      <c r="J1212" s="12" t="s">
        <v>1843</v>
      </c>
      <c r="K1212" s="13">
        <v>300</v>
      </c>
      <c r="L1212" s="21">
        <v>19.8</v>
      </c>
      <c r="M1212" s="14" t="s">
        <v>14</v>
      </c>
      <c r="N1212" s="13">
        <v>5940</v>
      </c>
      <c r="O1212" s="15">
        <f t="shared" si="796"/>
        <v>0</v>
      </c>
      <c r="P1212" s="10" t="s">
        <v>84</v>
      </c>
      <c r="Q1212" s="11" t="s">
        <v>2696</v>
      </c>
      <c r="R1212" s="11" t="s">
        <v>2697</v>
      </c>
      <c r="S1212" s="16" t="s">
        <v>2698</v>
      </c>
      <c r="T1212" s="19" t="str">
        <f>MONTH(B1212)&amp;"-"&amp;YEAR(B1212)</f>
        <v>5-2023</v>
      </c>
      <c r="U1212" s="2">
        <f>YEAR(B1212)</f>
        <v>2023</v>
      </c>
      <c r="V1212" s="2" t="str">
        <f>IF(DAY(B1212)&gt;15,MONTH(B1212)&amp;"-C",MONTH(B1212)&amp;"-N")</f>
        <v>5-C</v>
      </c>
      <c r="W1212" s="21">
        <v>19.8</v>
      </c>
      <c r="X1212" s="2" t="b">
        <f t="shared" si="797"/>
        <v>1</v>
      </c>
    </row>
    <row r="1213" spans="2:24" x14ac:dyDescent="0.2">
      <c r="B1213" s="17">
        <v>45069</v>
      </c>
      <c r="C1213" s="10" t="s">
        <v>25</v>
      </c>
      <c r="D1213" s="11" t="s">
        <v>2671</v>
      </c>
      <c r="E1213" s="26">
        <v>68501</v>
      </c>
      <c r="F1213" s="10" t="s">
        <v>26</v>
      </c>
      <c r="G1213" s="10" t="s">
        <v>27</v>
      </c>
      <c r="H1213" s="27" t="s">
        <v>28</v>
      </c>
      <c r="I1213" s="12" t="s">
        <v>1843</v>
      </c>
      <c r="J1213" s="12" t="s">
        <v>1843</v>
      </c>
      <c r="K1213" s="13">
        <v>19800</v>
      </c>
      <c r="L1213" s="21">
        <v>3.95</v>
      </c>
      <c r="M1213" s="14" t="s">
        <v>14</v>
      </c>
      <c r="N1213" s="13">
        <v>78210</v>
      </c>
      <c r="O1213" s="15">
        <f t="shared" ref="O1213:O1220" si="798">(N1213/K1213)-L1213</f>
        <v>0</v>
      </c>
      <c r="P1213" s="10" t="s">
        <v>78</v>
      </c>
      <c r="Q1213" s="11" t="s">
        <v>2699</v>
      </c>
      <c r="R1213" s="11" t="s">
        <v>2700</v>
      </c>
      <c r="S1213" s="16" t="s">
        <v>2701</v>
      </c>
      <c r="T1213" s="19" t="str">
        <f>MONTH(B1213)&amp;"-"&amp;YEAR(B1213)</f>
        <v>5-2023</v>
      </c>
      <c r="U1213" s="2">
        <f>YEAR(B1213)</f>
        <v>2023</v>
      </c>
      <c r="V1213" s="2" t="str">
        <f>IF(DAY(B1213)&gt;15,MONTH(B1213)&amp;"-C",MONTH(B1213)&amp;"-N")</f>
        <v>5-C</v>
      </c>
      <c r="W1213" s="21">
        <v>3.95</v>
      </c>
      <c r="X1213" s="2" t="b">
        <f t="shared" ref="X1213:X1220" si="799">+L1213=W1213</f>
        <v>1</v>
      </c>
    </row>
    <row r="1214" spans="2:24" x14ac:dyDescent="0.2">
      <c r="B1214" s="17">
        <v>45070</v>
      </c>
      <c r="C1214" s="10" t="s">
        <v>107</v>
      </c>
      <c r="D1214" s="11" t="s">
        <v>2691</v>
      </c>
      <c r="E1214" s="26">
        <v>68522</v>
      </c>
      <c r="F1214" s="10" t="s">
        <v>103</v>
      </c>
      <c r="G1214" s="10" t="s">
        <v>46</v>
      </c>
      <c r="H1214" s="27" t="s">
        <v>104</v>
      </c>
      <c r="I1214" s="12" t="s">
        <v>1843</v>
      </c>
      <c r="J1214" s="12" t="s">
        <v>1843</v>
      </c>
      <c r="K1214" s="13">
        <v>160</v>
      </c>
      <c r="L1214" s="21">
        <v>47.51</v>
      </c>
      <c r="M1214" s="14" t="s">
        <v>14</v>
      </c>
      <c r="N1214" s="13">
        <v>7601.6</v>
      </c>
      <c r="O1214" s="15">
        <f t="shared" si="798"/>
        <v>0</v>
      </c>
      <c r="P1214" s="10" t="s">
        <v>84</v>
      </c>
      <c r="Q1214" s="11" t="s">
        <v>2692</v>
      </c>
      <c r="R1214" s="11" t="s">
        <v>2693</v>
      </c>
      <c r="S1214" s="16" t="s">
        <v>2694</v>
      </c>
      <c r="T1214" s="19" t="str">
        <f>MONTH(B1214)&amp;"-"&amp;YEAR(B1214)</f>
        <v>5-2023</v>
      </c>
      <c r="U1214" s="2">
        <f>YEAR(B1214)</f>
        <v>2023</v>
      </c>
      <c r="V1214" s="2" t="str">
        <f>IF(DAY(B1214)&gt;15,MONTH(B1214)&amp;"-C",MONTH(B1214)&amp;"-N")</f>
        <v>5-C</v>
      </c>
      <c r="W1214" s="21">
        <v>47.51</v>
      </c>
      <c r="X1214" s="2" t="b">
        <f t="shared" si="799"/>
        <v>1</v>
      </c>
    </row>
    <row r="1215" spans="2:24" x14ac:dyDescent="0.2">
      <c r="B1215" s="17">
        <v>45070</v>
      </c>
      <c r="C1215" s="10" t="s">
        <v>107</v>
      </c>
      <c r="D1215" s="11" t="s">
        <v>2611</v>
      </c>
      <c r="E1215" s="26">
        <v>68522</v>
      </c>
      <c r="F1215" s="10" t="s">
        <v>105</v>
      </c>
      <c r="G1215" s="10" t="s">
        <v>46</v>
      </c>
      <c r="H1215" s="27" t="s">
        <v>106</v>
      </c>
      <c r="I1215" s="12" t="s">
        <v>1843</v>
      </c>
      <c r="J1215" s="12" t="s">
        <v>1843</v>
      </c>
      <c r="K1215" s="13">
        <v>440</v>
      </c>
      <c r="L1215" s="21">
        <v>11.81</v>
      </c>
      <c r="M1215" s="14" t="s">
        <v>14</v>
      </c>
      <c r="N1215" s="13">
        <v>5196.3999999999996</v>
      </c>
      <c r="O1215" s="15">
        <f t="shared" si="798"/>
        <v>0</v>
      </c>
      <c r="P1215" s="10" t="s">
        <v>84</v>
      </c>
      <c r="Q1215" s="11" t="s">
        <v>2692</v>
      </c>
      <c r="R1215" s="11" t="s">
        <v>2693</v>
      </c>
      <c r="S1215" s="16" t="s">
        <v>2694</v>
      </c>
      <c r="T1215" s="19" t="str">
        <f>MONTH(B1215)&amp;"-"&amp;YEAR(B1215)</f>
        <v>5-2023</v>
      </c>
      <c r="U1215" s="2">
        <f>YEAR(B1215)</f>
        <v>2023</v>
      </c>
      <c r="V1215" s="2" t="str">
        <f>IF(DAY(B1215)&gt;15,MONTH(B1215)&amp;"-C",MONTH(B1215)&amp;"-N")</f>
        <v>5-C</v>
      </c>
      <c r="W1215" s="21">
        <v>11.81</v>
      </c>
      <c r="X1215" s="2" t="b">
        <f t="shared" si="799"/>
        <v>1</v>
      </c>
    </row>
    <row r="1216" spans="2:24" x14ac:dyDescent="0.2">
      <c r="B1216" s="17">
        <v>45070</v>
      </c>
      <c r="C1216" s="10" t="s">
        <v>107</v>
      </c>
      <c r="D1216" s="11" t="s">
        <v>2664</v>
      </c>
      <c r="E1216" s="26">
        <v>68522</v>
      </c>
      <c r="F1216" s="10" t="s">
        <v>105</v>
      </c>
      <c r="G1216" s="10" t="s">
        <v>46</v>
      </c>
      <c r="H1216" s="27" t="s">
        <v>106</v>
      </c>
      <c r="I1216" s="12" t="s">
        <v>1843</v>
      </c>
      <c r="J1216" s="12" t="s">
        <v>1843</v>
      </c>
      <c r="K1216" s="13">
        <v>440</v>
      </c>
      <c r="L1216" s="21">
        <v>11.81</v>
      </c>
      <c r="M1216" s="14" t="s">
        <v>14</v>
      </c>
      <c r="N1216" s="13">
        <v>5196.3999999999996</v>
      </c>
      <c r="O1216" s="15">
        <f t="shared" si="798"/>
        <v>0</v>
      </c>
      <c r="P1216" s="10" t="s">
        <v>84</v>
      </c>
      <c r="Q1216" s="11" t="s">
        <v>2692</v>
      </c>
      <c r="R1216" s="11" t="s">
        <v>2693</v>
      </c>
      <c r="S1216" s="16" t="s">
        <v>2694</v>
      </c>
      <c r="T1216" s="19" t="str">
        <f>MONTH(B1216)&amp;"-"&amp;YEAR(B1216)</f>
        <v>5-2023</v>
      </c>
      <c r="U1216" s="2">
        <f>YEAR(B1216)</f>
        <v>2023</v>
      </c>
      <c r="V1216" s="2" t="str">
        <f>IF(DAY(B1216)&gt;15,MONTH(B1216)&amp;"-C",MONTH(B1216)&amp;"-N")</f>
        <v>5-C</v>
      </c>
      <c r="W1216" s="21">
        <v>11.81</v>
      </c>
      <c r="X1216" s="2" t="b">
        <f t="shared" si="799"/>
        <v>1</v>
      </c>
    </row>
    <row r="1217" spans="2:24" x14ac:dyDescent="0.2">
      <c r="B1217" s="17">
        <v>45070</v>
      </c>
      <c r="C1217" s="10" t="s">
        <v>107</v>
      </c>
      <c r="D1217" s="11" t="s">
        <v>2691</v>
      </c>
      <c r="E1217" s="26">
        <v>68522</v>
      </c>
      <c r="F1217" s="10" t="s">
        <v>105</v>
      </c>
      <c r="G1217" s="10" t="s">
        <v>46</v>
      </c>
      <c r="H1217" s="27" t="s">
        <v>106</v>
      </c>
      <c r="I1217" s="12" t="s">
        <v>1843</v>
      </c>
      <c r="J1217" s="12" t="s">
        <v>1843</v>
      </c>
      <c r="K1217" s="13">
        <v>5280</v>
      </c>
      <c r="L1217" s="21">
        <v>11.81</v>
      </c>
      <c r="M1217" s="14" t="s">
        <v>14</v>
      </c>
      <c r="N1217" s="13">
        <v>62356.800000000003</v>
      </c>
      <c r="O1217" s="15">
        <f t="shared" si="798"/>
        <v>0</v>
      </c>
      <c r="P1217" s="10" t="s">
        <v>84</v>
      </c>
      <c r="Q1217" s="11" t="s">
        <v>2692</v>
      </c>
      <c r="R1217" s="11" t="s">
        <v>2693</v>
      </c>
      <c r="S1217" s="16" t="s">
        <v>2694</v>
      </c>
      <c r="T1217" s="19" t="str">
        <f>MONTH(B1217)&amp;"-"&amp;YEAR(B1217)</f>
        <v>5-2023</v>
      </c>
      <c r="U1217" s="2">
        <f>YEAR(B1217)</f>
        <v>2023</v>
      </c>
      <c r="V1217" s="2" t="str">
        <f>IF(DAY(B1217)&gt;15,MONTH(B1217)&amp;"-C",MONTH(B1217)&amp;"-N")</f>
        <v>5-C</v>
      </c>
      <c r="W1217" s="21">
        <v>11.81</v>
      </c>
      <c r="X1217" s="2" t="b">
        <f t="shared" si="799"/>
        <v>1</v>
      </c>
    </row>
    <row r="1218" spans="2:24" x14ac:dyDescent="0.2">
      <c r="B1218" s="17">
        <v>45071</v>
      </c>
      <c r="C1218" s="10" t="s">
        <v>48</v>
      </c>
      <c r="D1218" s="11" t="s">
        <v>2716</v>
      </c>
      <c r="E1218" s="26">
        <v>68549</v>
      </c>
      <c r="F1218" s="10" t="s">
        <v>71</v>
      </c>
      <c r="G1218" s="10" t="s">
        <v>46</v>
      </c>
      <c r="H1218" s="27" t="s">
        <v>72</v>
      </c>
      <c r="I1218" s="12" t="s">
        <v>1843</v>
      </c>
      <c r="J1218" s="12" t="s">
        <v>1843</v>
      </c>
      <c r="K1218" s="13">
        <v>10400</v>
      </c>
      <c r="L1218" s="21">
        <v>12.131</v>
      </c>
      <c r="M1218" s="14" t="s">
        <v>14</v>
      </c>
      <c r="N1218" s="13">
        <v>126160.32000000001</v>
      </c>
      <c r="O1218" s="15">
        <f t="shared" si="798"/>
        <v>-1.9999999999953388E-4</v>
      </c>
      <c r="P1218" s="10" t="s">
        <v>90</v>
      </c>
      <c r="Q1218" s="11" t="s">
        <v>2717</v>
      </c>
      <c r="R1218" s="11" t="s">
        <v>2718</v>
      </c>
      <c r="S1218" s="16" t="s">
        <v>2719</v>
      </c>
      <c r="T1218" s="19" t="str">
        <f>MONTH(B1218)&amp;"-"&amp;YEAR(B1218)</f>
        <v>5-2023</v>
      </c>
      <c r="U1218" s="2">
        <f>YEAR(B1218)</f>
        <v>2023</v>
      </c>
      <c r="V1218" s="2" t="str">
        <f>IF(DAY(B1218)&gt;15,MONTH(B1218)&amp;"-C",MONTH(B1218)&amp;"-N")</f>
        <v>5-C</v>
      </c>
      <c r="W1218" s="21">
        <v>12.131</v>
      </c>
      <c r="X1218" s="2" t="b">
        <f t="shared" si="799"/>
        <v>1</v>
      </c>
    </row>
    <row r="1219" spans="2:24" x14ac:dyDescent="0.2">
      <c r="B1219" s="17">
        <v>45071</v>
      </c>
      <c r="C1219" s="10" t="s">
        <v>48</v>
      </c>
      <c r="D1219" s="11" t="s">
        <v>2716</v>
      </c>
      <c r="E1219" s="26">
        <v>68549</v>
      </c>
      <c r="F1219" s="10" t="s">
        <v>2552</v>
      </c>
      <c r="G1219" s="10" t="s">
        <v>46</v>
      </c>
      <c r="H1219" s="27" t="s">
        <v>2553</v>
      </c>
      <c r="I1219" s="12" t="s">
        <v>1843</v>
      </c>
      <c r="J1219" s="12" t="s">
        <v>1843</v>
      </c>
      <c r="K1219" s="13">
        <v>5600</v>
      </c>
      <c r="L1219" s="21">
        <v>12.131</v>
      </c>
      <c r="M1219" s="14" t="s">
        <v>14</v>
      </c>
      <c r="N1219" s="13">
        <v>67932.479999999996</v>
      </c>
      <c r="O1219" s="15">
        <f t="shared" si="798"/>
        <v>-2.0000000000131024E-4</v>
      </c>
      <c r="P1219" s="10" t="s">
        <v>90</v>
      </c>
      <c r="Q1219" s="11" t="s">
        <v>2717</v>
      </c>
      <c r="R1219" s="11" t="s">
        <v>2718</v>
      </c>
      <c r="S1219" s="16" t="s">
        <v>2719</v>
      </c>
      <c r="T1219" s="19" t="str">
        <f>MONTH(B1219)&amp;"-"&amp;YEAR(B1219)</f>
        <v>5-2023</v>
      </c>
      <c r="U1219" s="2">
        <f>YEAR(B1219)</f>
        <v>2023</v>
      </c>
      <c r="V1219" s="2" t="str">
        <f>IF(DAY(B1219)&gt;15,MONTH(B1219)&amp;"-C",MONTH(B1219)&amp;"-N")</f>
        <v>5-C</v>
      </c>
      <c r="W1219" s="21">
        <v>12.131</v>
      </c>
      <c r="X1219" s="2" t="b">
        <f t="shared" si="799"/>
        <v>1</v>
      </c>
    </row>
    <row r="1220" spans="2:24" x14ac:dyDescent="0.2">
      <c r="B1220" s="17">
        <v>45072</v>
      </c>
      <c r="C1220" s="10" t="s">
        <v>25</v>
      </c>
      <c r="D1220" s="11" t="s">
        <v>2671</v>
      </c>
      <c r="E1220" s="26">
        <v>68564</v>
      </c>
      <c r="F1220" s="10" t="s">
        <v>26</v>
      </c>
      <c r="G1220" s="10" t="s">
        <v>27</v>
      </c>
      <c r="H1220" s="27" t="s">
        <v>28</v>
      </c>
      <c r="I1220" s="12" t="s">
        <v>1843</v>
      </c>
      <c r="J1220" s="12" t="s">
        <v>1843</v>
      </c>
      <c r="K1220" s="13">
        <v>16200</v>
      </c>
      <c r="L1220" s="21">
        <v>3.95</v>
      </c>
      <c r="M1220" s="14" t="s">
        <v>14</v>
      </c>
      <c r="N1220" s="13">
        <v>63990</v>
      </c>
      <c r="O1220" s="15">
        <f t="shared" si="798"/>
        <v>0</v>
      </c>
      <c r="P1220" s="10" t="s">
        <v>78</v>
      </c>
      <c r="Q1220" s="11" t="s">
        <v>2702</v>
      </c>
      <c r="R1220" s="11" t="s">
        <v>2703</v>
      </c>
      <c r="S1220" s="16" t="s">
        <v>2704</v>
      </c>
      <c r="T1220" s="19" t="str">
        <f>MONTH(B1220)&amp;"-"&amp;YEAR(B1220)</f>
        <v>5-2023</v>
      </c>
      <c r="U1220" s="2">
        <f>YEAR(B1220)</f>
        <v>2023</v>
      </c>
      <c r="V1220" s="2" t="str">
        <f>IF(DAY(B1220)&gt;15,MONTH(B1220)&amp;"-C",MONTH(B1220)&amp;"-N")</f>
        <v>5-C</v>
      </c>
      <c r="W1220" s="21">
        <v>3.95</v>
      </c>
      <c r="X1220" s="2" t="b">
        <f t="shared" si="799"/>
        <v>1</v>
      </c>
    </row>
    <row r="1221" spans="2:24" x14ac:dyDescent="0.2">
      <c r="B1221" s="17">
        <v>45078</v>
      </c>
      <c r="C1221" s="10" t="s">
        <v>25</v>
      </c>
      <c r="D1221" s="11" t="s">
        <v>2671</v>
      </c>
      <c r="E1221" s="26">
        <v>68676</v>
      </c>
      <c r="F1221" s="10" t="s">
        <v>26</v>
      </c>
      <c r="G1221" s="10" t="s">
        <v>27</v>
      </c>
      <c r="H1221" s="27" t="s">
        <v>28</v>
      </c>
      <c r="I1221" s="12" t="s">
        <v>1843</v>
      </c>
      <c r="J1221" s="12" t="s">
        <v>1843</v>
      </c>
      <c r="K1221" s="13">
        <v>19800</v>
      </c>
      <c r="L1221" s="21">
        <v>3.95</v>
      </c>
      <c r="M1221" s="14" t="s">
        <v>14</v>
      </c>
      <c r="N1221" s="13">
        <v>78210</v>
      </c>
      <c r="O1221" s="15">
        <f t="shared" ref="O1221" si="800">(N1221/K1221)-L1221</f>
        <v>0</v>
      </c>
      <c r="P1221" s="10" t="s">
        <v>78</v>
      </c>
      <c r="Q1221" s="11" t="s">
        <v>2729</v>
      </c>
      <c r="R1221" s="11" t="s">
        <v>2730</v>
      </c>
      <c r="S1221" s="16" t="s">
        <v>2731</v>
      </c>
      <c r="T1221" s="19" t="str">
        <f>MONTH(B1221)&amp;"-"&amp;YEAR(B1221)</f>
        <v>6-2023</v>
      </c>
      <c r="U1221" s="2">
        <f>YEAR(B1221)</f>
        <v>2023</v>
      </c>
      <c r="V1221" s="2" t="str">
        <f>IF(DAY(B1221)&gt;15,MONTH(B1221)&amp;"-C",MONTH(B1221)&amp;"-N")</f>
        <v>6-N</v>
      </c>
      <c r="W1221" s="21">
        <v>3.95</v>
      </c>
      <c r="X1221" s="2" t="b">
        <f t="shared" ref="X1221" si="801">+L1221=W1221</f>
        <v>1</v>
      </c>
    </row>
    <row r="1222" spans="2:24" x14ac:dyDescent="0.2">
      <c r="B1222" s="17">
        <v>45083</v>
      </c>
      <c r="C1222" s="10" t="s">
        <v>25</v>
      </c>
      <c r="D1222" s="11" t="s">
        <v>2725</v>
      </c>
      <c r="E1222" s="26">
        <v>68742</v>
      </c>
      <c r="F1222" s="10" t="s">
        <v>31</v>
      </c>
      <c r="G1222" s="10" t="s">
        <v>27</v>
      </c>
      <c r="H1222" s="27" t="s">
        <v>32</v>
      </c>
      <c r="I1222" s="12" t="s">
        <v>1843</v>
      </c>
      <c r="J1222" s="12" t="s">
        <v>1843</v>
      </c>
      <c r="K1222" s="13">
        <v>1920</v>
      </c>
      <c r="L1222" s="21">
        <v>3.52</v>
      </c>
      <c r="M1222" s="14" t="s">
        <v>14</v>
      </c>
      <c r="N1222" s="13">
        <v>6758.4</v>
      </c>
      <c r="O1222" s="15">
        <f t="shared" ref="O1222:O1227" si="802">(N1222/K1222)-L1222</f>
        <v>0</v>
      </c>
      <c r="P1222" s="10" t="s">
        <v>78</v>
      </c>
      <c r="Q1222" s="11" t="s">
        <v>2726</v>
      </c>
      <c r="R1222" s="11" t="s">
        <v>2727</v>
      </c>
      <c r="S1222" s="16" t="s">
        <v>2728</v>
      </c>
      <c r="T1222" s="19" t="str">
        <f>MONTH(B1222)&amp;"-"&amp;YEAR(B1222)</f>
        <v>6-2023</v>
      </c>
      <c r="U1222" s="2">
        <f>YEAR(B1222)</f>
        <v>2023</v>
      </c>
      <c r="V1222" s="2" t="str">
        <f>IF(DAY(B1222)&gt;15,MONTH(B1222)&amp;"-C",MONTH(B1222)&amp;"-N")</f>
        <v>6-N</v>
      </c>
      <c r="W1222" s="21">
        <v>3.52</v>
      </c>
      <c r="X1222" s="2" t="b">
        <f t="shared" ref="X1222:X1227" si="803">+L1222=W1222</f>
        <v>1</v>
      </c>
    </row>
    <row r="1223" spans="2:24" x14ac:dyDescent="0.2">
      <c r="B1223" s="17">
        <v>45083</v>
      </c>
      <c r="C1223" s="10" t="s">
        <v>25</v>
      </c>
      <c r="D1223" s="11" t="s">
        <v>2671</v>
      </c>
      <c r="E1223" s="26">
        <v>68744</v>
      </c>
      <c r="F1223" s="10" t="s">
        <v>26</v>
      </c>
      <c r="G1223" s="10" t="s">
        <v>27</v>
      </c>
      <c r="H1223" s="27" t="s">
        <v>28</v>
      </c>
      <c r="I1223" s="12" t="s">
        <v>1843</v>
      </c>
      <c r="J1223" s="12" t="s">
        <v>1843</v>
      </c>
      <c r="K1223" s="13">
        <v>200</v>
      </c>
      <c r="L1223" s="21">
        <v>3.95</v>
      </c>
      <c r="M1223" s="14" t="s">
        <v>14</v>
      </c>
      <c r="N1223" s="13">
        <v>790</v>
      </c>
      <c r="O1223" s="15">
        <f t="shared" si="802"/>
        <v>0</v>
      </c>
      <c r="P1223" s="10" t="s">
        <v>78</v>
      </c>
      <c r="Q1223" s="11" t="s">
        <v>2732</v>
      </c>
      <c r="R1223" s="11" t="s">
        <v>2733</v>
      </c>
      <c r="S1223" s="16" t="s">
        <v>2734</v>
      </c>
      <c r="T1223" s="19" t="str">
        <f>MONTH(B1223)&amp;"-"&amp;YEAR(B1223)</f>
        <v>6-2023</v>
      </c>
      <c r="U1223" s="2">
        <f>YEAR(B1223)</f>
        <v>2023</v>
      </c>
      <c r="V1223" s="2" t="str">
        <f>IF(DAY(B1223)&gt;15,MONTH(B1223)&amp;"-C",MONTH(B1223)&amp;"-N")</f>
        <v>6-N</v>
      </c>
      <c r="W1223" s="21">
        <v>3.95</v>
      </c>
      <c r="X1223" s="2" t="b">
        <f t="shared" si="803"/>
        <v>1</v>
      </c>
    </row>
    <row r="1224" spans="2:24" x14ac:dyDescent="0.2">
      <c r="B1224" s="17">
        <v>45083</v>
      </c>
      <c r="C1224" s="10" t="s">
        <v>25</v>
      </c>
      <c r="D1224" s="11" t="s">
        <v>2645</v>
      </c>
      <c r="E1224" s="26">
        <v>68741</v>
      </c>
      <c r="F1224" s="10" t="s">
        <v>33</v>
      </c>
      <c r="G1224" s="10" t="s">
        <v>27</v>
      </c>
      <c r="H1224" s="27" t="s">
        <v>34</v>
      </c>
      <c r="I1224" s="12" t="s">
        <v>1843</v>
      </c>
      <c r="J1224" s="12" t="s">
        <v>1843</v>
      </c>
      <c r="K1224" s="13">
        <v>1440</v>
      </c>
      <c r="L1224" s="21">
        <v>5.5</v>
      </c>
      <c r="M1224" s="14" t="s">
        <v>14</v>
      </c>
      <c r="N1224" s="13">
        <v>7920</v>
      </c>
      <c r="O1224" s="15">
        <f t="shared" si="802"/>
        <v>0</v>
      </c>
      <c r="P1224" s="10" t="s">
        <v>78</v>
      </c>
      <c r="Q1224" s="11" t="s">
        <v>2735</v>
      </c>
      <c r="R1224" s="11" t="s">
        <v>2736</v>
      </c>
      <c r="S1224" s="16" t="s">
        <v>2737</v>
      </c>
      <c r="T1224" s="19" t="str">
        <f>MONTH(B1224)&amp;"-"&amp;YEAR(B1224)</f>
        <v>6-2023</v>
      </c>
      <c r="U1224" s="2">
        <f>YEAR(B1224)</f>
        <v>2023</v>
      </c>
      <c r="V1224" s="2" t="str">
        <f>IF(DAY(B1224)&gt;15,MONTH(B1224)&amp;"-C",MONTH(B1224)&amp;"-N")</f>
        <v>6-N</v>
      </c>
      <c r="W1224" s="21">
        <v>5.5</v>
      </c>
      <c r="X1224" s="2" t="b">
        <f t="shared" si="803"/>
        <v>1</v>
      </c>
    </row>
    <row r="1225" spans="2:24" x14ac:dyDescent="0.2">
      <c r="B1225" s="17">
        <v>45083</v>
      </c>
      <c r="C1225" s="10" t="s">
        <v>25</v>
      </c>
      <c r="D1225" s="11" t="s">
        <v>2738</v>
      </c>
      <c r="E1225" s="26">
        <v>68743</v>
      </c>
      <c r="F1225" s="10" t="s">
        <v>26</v>
      </c>
      <c r="G1225" s="10" t="s">
        <v>27</v>
      </c>
      <c r="H1225" s="27" t="s">
        <v>28</v>
      </c>
      <c r="I1225" s="12" t="s">
        <v>1843</v>
      </c>
      <c r="J1225" s="12" t="s">
        <v>1843</v>
      </c>
      <c r="K1225" s="13">
        <v>19600</v>
      </c>
      <c r="L1225" s="21">
        <v>3.5</v>
      </c>
      <c r="M1225" s="14" t="s">
        <v>14</v>
      </c>
      <c r="N1225" s="13">
        <v>68600</v>
      </c>
      <c r="O1225" s="15">
        <f t="shared" si="802"/>
        <v>0</v>
      </c>
      <c r="P1225" s="10" t="s">
        <v>78</v>
      </c>
      <c r="Q1225" s="11" t="s">
        <v>2739</v>
      </c>
      <c r="R1225" s="11" t="s">
        <v>2740</v>
      </c>
      <c r="S1225" s="16" t="s">
        <v>2741</v>
      </c>
      <c r="T1225" s="19" t="str">
        <f>MONTH(B1225)&amp;"-"&amp;YEAR(B1225)</f>
        <v>6-2023</v>
      </c>
      <c r="U1225" s="2">
        <f>YEAR(B1225)</f>
        <v>2023</v>
      </c>
      <c r="V1225" s="2" t="str">
        <f>IF(DAY(B1225)&gt;15,MONTH(B1225)&amp;"-C",MONTH(B1225)&amp;"-N")</f>
        <v>6-N</v>
      </c>
      <c r="W1225" s="21">
        <v>3.5</v>
      </c>
      <c r="X1225" s="2" t="b">
        <f t="shared" si="803"/>
        <v>1</v>
      </c>
    </row>
    <row r="1226" spans="2:24" x14ac:dyDescent="0.2">
      <c r="B1226" s="17">
        <v>45083</v>
      </c>
      <c r="C1226" s="10" t="s">
        <v>74</v>
      </c>
      <c r="D1226" s="11" t="s">
        <v>2742</v>
      </c>
      <c r="E1226" s="26">
        <v>68745</v>
      </c>
      <c r="F1226" s="10" t="s">
        <v>2331</v>
      </c>
      <c r="G1226" s="10" t="s">
        <v>46</v>
      </c>
      <c r="H1226" s="27" t="s">
        <v>2332</v>
      </c>
      <c r="I1226" s="12" t="s">
        <v>1843</v>
      </c>
      <c r="J1226" s="12" t="s">
        <v>1843</v>
      </c>
      <c r="K1226" s="13">
        <v>9890</v>
      </c>
      <c r="L1226" s="21">
        <v>12.86</v>
      </c>
      <c r="M1226" s="14" t="s">
        <v>14</v>
      </c>
      <c r="N1226" s="13">
        <v>127185.4</v>
      </c>
      <c r="O1226" s="15">
        <f t="shared" si="802"/>
        <v>0</v>
      </c>
      <c r="P1226" s="10" t="s">
        <v>84</v>
      </c>
      <c r="Q1226" s="11" t="s">
        <v>2743</v>
      </c>
      <c r="R1226" s="11" t="s">
        <v>2744</v>
      </c>
      <c r="S1226" s="16" t="s">
        <v>2745</v>
      </c>
      <c r="T1226" s="19" t="str">
        <f>MONTH(B1226)&amp;"-"&amp;YEAR(B1226)</f>
        <v>6-2023</v>
      </c>
      <c r="U1226" s="2">
        <f>YEAR(B1226)</f>
        <v>2023</v>
      </c>
      <c r="V1226" s="2" t="str">
        <f>IF(DAY(B1226)&gt;15,MONTH(B1226)&amp;"-C",MONTH(B1226)&amp;"-N")</f>
        <v>6-N</v>
      </c>
      <c r="W1226" s="21">
        <v>12.86</v>
      </c>
      <c r="X1226" s="2" t="b">
        <f t="shared" si="803"/>
        <v>1</v>
      </c>
    </row>
    <row r="1227" spans="2:24" x14ac:dyDescent="0.2">
      <c r="B1227" s="17">
        <v>45083</v>
      </c>
      <c r="C1227" s="10" t="s">
        <v>74</v>
      </c>
      <c r="D1227" s="11" t="s">
        <v>2742</v>
      </c>
      <c r="E1227" s="26">
        <v>68745</v>
      </c>
      <c r="F1227" s="10" t="s">
        <v>2470</v>
      </c>
      <c r="G1227" s="10" t="s">
        <v>46</v>
      </c>
      <c r="H1227" s="27" t="s">
        <v>2471</v>
      </c>
      <c r="I1227" s="12" t="s">
        <v>1843</v>
      </c>
      <c r="J1227" s="12" t="s">
        <v>1843</v>
      </c>
      <c r="K1227" s="13">
        <v>6808</v>
      </c>
      <c r="L1227" s="21">
        <v>10.220000000000001</v>
      </c>
      <c r="M1227" s="14" t="s">
        <v>14</v>
      </c>
      <c r="N1227" s="13">
        <v>69577.759999999995</v>
      </c>
      <c r="O1227" s="15">
        <f t="shared" si="802"/>
        <v>0</v>
      </c>
      <c r="P1227" s="10" t="s">
        <v>84</v>
      </c>
      <c r="Q1227" s="11" t="s">
        <v>2743</v>
      </c>
      <c r="R1227" s="11" t="s">
        <v>2744</v>
      </c>
      <c r="S1227" s="16" t="s">
        <v>2745</v>
      </c>
      <c r="T1227" s="19" t="str">
        <f>MONTH(B1227)&amp;"-"&amp;YEAR(B1227)</f>
        <v>6-2023</v>
      </c>
      <c r="U1227" s="2">
        <f>YEAR(B1227)</f>
        <v>2023</v>
      </c>
      <c r="V1227" s="2" t="str">
        <f>IF(DAY(B1227)&gt;15,MONTH(B1227)&amp;"-C",MONTH(B1227)&amp;"-N")</f>
        <v>6-N</v>
      </c>
      <c r="W1227" s="21">
        <v>10.220000000000001</v>
      </c>
      <c r="X1227" s="2" t="b">
        <f t="shared" si="803"/>
        <v>1</v>
      </c>
    </row>
    <row r="1228" spans="2:24" x14ac:dyDescent="0.2">
      <c r="B1228" s="17">
        <v>45087</v>
      </c>
      <c r="C1228" s="10" t="s">
        <v>2630</v>
      </c>
      <c r="D1228" s="11" t="s">
        <v>2757</v>
      </c>
      <c r="E1228" s="26">
        <v>68808</v>
      </c>
      <c r="F1228" s="10" t="s">
        <v>29</v>
      </c>
      <c r="G1228" s="10" t="s">
        <v>27</v>
      </c>
      <c r="H1228" s="27" t="s">
        <v>30</v>
      </c>
      <c r="I1228" s="12" t="s">
        <v>1843</v>
      </c>
      <c r="J1228" s="12" t="s">
        <v>1843</v>
      </c>
      <c r="K1228" s="13">
        <v>4950</v>
      </c>
      <c r="L1228" s="21">
        <v>3.65</v>
      </c>
      <c r="M1228" s="14" t="s">
        <v>14</v>
      </c>
      <c r="N1228" s="13">
        <v>18067.5</v>
      </c>
      <c r="O1228" s="15">
        <f t="shared" ref="O1228" si="804">(N1228/K1228)-L1228</f>
        <v>0</v>
      </c>
      <c r="P1228" s="10" t="s">
        <v>78</v>
      </c>
      <c r="Q1228" s="11" t="s">
        <v>2759</v>
      </c>
      <c r="R1228" s="11" t="s">
        <v>2760</v>
      </c>
      <c r="S1228" s="16" t="s">
        <v>2758</v>
      </c>
      <c r="T1228" s="19" t="str">
        <f>MONTH(B1228)&amp;"-"&amp;YEAR(B1228)</f>
        <v>6-2023</v>
      </c>
      <c r="U1228" s="2">
        <f>YEAR(B1228)</f>
        <v>2023</v>
      </c>
      <c r="V1228" s="2" t="str">
        <f>IF(DAY(B1228)&gt;15,MONTH(B1228)&amp;"-C",MONTH(B1228)&amp;"-N")</f>
        <v>6-N</v>
      </c>
      <c r="W1228" s="21">
        <v>3.65</v>
      </c>
      <c r="X1228" s="2" t="b">
        <f t="shared" ref="X1228" si="805">+L1228=W1228</f>
        <v>1</v>
      </c>
    </row>
    <row r="1229" spans="2:24" x14ac:dyDescent="0.2">
      <c r="B1229" s="17">
        <v>45089</v>
      </c>
      <c r="C1229" s="10" t="s">
        <v>94</v>
      </c>
      <c r="D1229" s="11" t="s">
        <v>2753</v>
      </c>
      <c r="E1229" s="26">
        <v>68816</v>
      </c>
      <c r="F1229" s="10" t="s">
        <v>26</v>
      </c>
      <c r="G1229" s="10" t="s">
        <v>27</v>
      </c>
      <c r="H1229" s="27" t="s">
        <v>28</v>
      </c>
      <c r="I1229" s="12" t="s">
        <v>1843</v>
      </c>
      <c r="J1229" s="12" t="s">
        <v>1843</v>
      </c>
      <c r="K1229" s="13">
        <v>18900</v>
      </c>
      <c r="L1229" s="21">
        <v>3.5</v>
      </c>
      <c r="M1229" s="14" t="s">
        <v>14</v>
      </c>
      <c r="N1229" s="13">
        <v>66150</v>
      </c>
      <c r="O1229" s="15">
        <f t="shared" ref="O1229" si="806">(N1229/K1229)-L1229</f>
        <v>0</v>
      </c>
      <c r="P1229" s="10" t="s">
        <v>78</v>
      </c>
      <c r="Q1229" s="11" t="s">
        <v>2755</v>
      </c>
      <c r="R1229" s="11" t="s">
        <v>2756</v>
      </c>
      <c r="S1229" s="16" t="s">
        <v>2754</v>
      </c>
      <c r="T1229" s="19" t="str">
        <f>MONTH(B1229)&amp;"-"&amp;YEAR(B1229)</f>
        <v>6-2023</v>
      </c>
      <c r="U1229" s="2">
        <f>YEAR(B1229)</f>
        <v>2023</v>
      </c>
      <c r="V1229" s="2" t="str">
        <f>IF(DAY(B1229)&gt;15,MONTH(B1229)&amp;"-C",MONTH(B1229)&amp;"-N")</f>
        <v>6-N</v>
      </c>
      <c r="W1229" s="21">
        <v>3.5</v>
      </c>
      <c r="X1229" s="2" t="b">
        <f t="shared" ref="X1229" si="807">+L1229=W1229</f>
        <v>1</v>
      </c>
    </row>
    <row r="1230" spans="2:24" x14ac:dyDescent="0.2">
      <c r="B1230" s="17">
        <v>45093</v>
      </c>
      <c r="C1230" s="10" t="s">
        <v>107</v>
      </c>
      <c r="D1230" s="11" t="s">
        <v>2746</v>
      </c>
      <c r="E1230" s="26">
        <v>68889</v>
      </c>
      <c r="F1230" s="10" t="s">
        <v>103</v>
      </c>
      <c r="G1230" s="10" t="s">
        <v>46</v>
      </c>
      <c r="H1230" s="27" t="s">
        <v>104</v>
      </c>
      <c r="I1230" s="12" t="s">
        <v>1843</v>
      </c>
      <c r="J1230" s="12" t="s">
        <v>1843</v>
      </c>
      <c r="K1230" s="13">
        <v>160</v>
      </c>
      <c r="L1230" s="21">
        <v>47.51</v>
      </c>
      <c r="M1230" s="14" t="s">
        <v>14</v>
      </c>
      <c r="N1230" s="13">
        <v>7601.6</v>
      </c>
      <c r="O1230" s="15">
        <f t="shared" ref="O1230:O1232" si="808">(N1230/K1230)-L1230</f>
        <v>0</v>
      </c>
      <c r="P1230" s="10" t="s">
        <v>84</v>
      </c>
      <c r="Q1230" s="11" t="s">
        <v>2747</v>
      </c>
      <c r="R1230" s="11" t="s">
        <v>2748</v>
      </c>
      <c r="S1230" s="16" t="s">
        <v>2749</v>
      </c>
      <c r="T1230" s="19" t="str">
        <f>MONTH(B1230)&amp;"-"&amp;YEAR(B1230)</f>
        <v>6-2023</v>
      </c>
      <c r="U1230" s="2">
        <f>YEAR(B1230)</f>
        <v>2023</v>
      </c>
      <c r="V1230" s="2" t="str">
        <f>IF(DAY(B1230)&gt;15,MONTH(B1230)&amp;"-C",MONTH(B1230)&amp;"-N")</f>
        <v>6-C</v>
      </c>
      <c r="W1230" s="21">
        <v>47.51</v>
      </c>
      <c r="X1230" s="2" t="b">
        <f t="shared" ref="X1230:X1232" si="809">+L1230=W1230</f>
        <v>1</v>
      </c>
    </row>
    <row r="1231" spans="2:24" x14ac:dyDescent="0.2">
      <c r="B1231" s="17">
        <v>45093</v>
      </c>
      <c r="C1231" s="10" t="s">
        <v>107</v>
      </c>
      <c r="D1231" s="11" t="s">
        <v>2746</v>
      </c>
      <c r="E1231" s="26">
        <v>68889</v>
      </c>
      <c r="F1231" s="10" t="s">
        <v>105</v>
      </c>
      <c r="G1231" s="10" t="s">
        <v>46</v>
      </c>
      <c r="H1231" s="27" t="s">
        <v>106</v>
      </c>
      <c r="I1231" s="12" t="s">
        <v>1843</v>
      </c>
      <c r="J1231" s="12" t="s">
        <v>1843</v>
      </c>
      <c r="K1231" s="13">
        <v>5280</v>
      </c>
      <c r="L1231" s="21">
        <v>11.81</v>
      </c>
      <c r="M1231" s="14" t="s">
        <v>14</v>
      </c>
      <c r="N1231" s="13">
        <v>62356.800000000003</v>
      </c>
      <c r="O1231" s="15">
        <f t="shared" si="808"/>
        <v>0</v>
      </c>
      <c r="P1231" s="10" t="s">
        <v>84</v>
      </c>
      <c r="Q1231" s="11" t="s">
        <v>2747</v>
      </c>
      <c r="R1231" s="11" t="s">
        <v>2748</v>
      </c>
      <c r="S1231" s="16" t="s">
        <v>2749</v>
      </c>
      <c r="T1231" s="19" t="str">
        <f>MONTH(B1231)&amp;"-"&amp;YEAR(B1231)</f>
        <v>6-2023</v>
      </c>
      <c r="U1231" s="2">
        <f>YEAR(B1231)</f>
        <v>2023</v>
      </c>
      <c r="V1231" s="2" t="str">
        <f>IF(DAY(B1231)&gt;15,MONTH(B1231)&amp;"-C",MONTH(B1231)&amp;"-N")</f>
        <v>6-C</v>
      </c>
      <c r="W1231" s="21">
        <v>11.81</v>
      </c>
      <c r="X1231" s="2" t="b">
        <f t="shared" si="809"/>
        <v>1</v>
      </c>
    </row>
    <row r="1232" spans="2:24" x14ac:dyDescent="0.2">
      <c r="B1232" s="17">
        <v>45093</v>
      </c>
      <c r="C1232" s="10" t="s">
        <v>25</v>
      </c>
      <c r="D1232" s="11" t="s">
        <v>2738</v>
      </c>
      <c r="E1232" s="26">
        <v>68890</v>
      </c>
      <c r="F1232" s="10" t="s">
        <v>26</v>
      </c>
      <c r="G1232" s="10" t="s">
        <v>27</v>
      </c>
      <c r="H1232" s="27" t="s">
        <v>28</v>
      </c>
      <c r="I1232" s="12" t="s">
        <v>1843</v>
      </c>
      <c r="J1232" s="12" t="s">
        <v>1843</v>
      </c>
      <c r="K1232" s="13">
        <v>19800</v>
      </c>
      <c r="L1232" s="21">
        <v>3.5</v>
      </c>
      <c r="M1232" s="14" t="s">
        <v>14</v>
      </c>
      <c r="N1232" s="13">
        <v>69300</v>
      </c>
      <c r="O1232" s="15">
        <f t="shared" si="808"/>
        <v>0</v>
      </c>
      <c r="P1232" s="10" t="s">
        <v>78</v>
      </c>
      <c r="Q1232" s="11" t="s">
        <v>2750</v>
      </c>
      <c r="R1232" s="11" t="s">
        <v>2751</v>
      </c>
      <c r="S1232" s="16" t="s">
        <v>2752</v>
      </c>
      <c r="T1232" s="19" t="str">
        <f>MONTH(B1232)&amp;"-"&amp;YEAR(B1232)</f>
        <v>6-2023</v>
      </c>
      <c r="U1232" s="2">
        <f>YEAR(B1232)</f>
        <v>2023</v>
      </c>
      <c r="V1232" s="2" t="str">
        <f>IF(DAY(B1232)&gt;15,MONTH(B1232)&amp;"-C",MONTH(B1232)&amp;"-N")</f>
        <v>6-C</v>
      </c>
      <c r="W1232" s="21">
        <v>3.5</v>
      </c>
      <c r="X1232" s="2" t="b">
        <f t="shared" si="809"/>
        <v>1</v>
      </c>
    </row>
    <row r="1233" spans="2:24" x14ac:dyDescent="0.2">
      <c r="B1233" s="17">
        <v>45097</v>
      </c>
      <c r="C1233" s="10" t="s">
        <v>48</v>
      </c>
      <c r="D1233" s="11" t="s">
        <v>2761</v>
      </c>
      <c r="E1233" s="26">
        <v>68969</v>
      </c>
      <c r="F1233" s="10" t="s">
        <v>135</v>
      </c>
      <c r="G1233" s="10" t="s">
        <v>46</v>
      </c>
      <c r="H1233" s="27" t="s">
        <v>136</v>
      </c>
      <c r="I1233" s="12" t="s">
        <v>1843</v>
      </c>
      <c r="J1233" s="12" t="s">
        <v>1843</v>
      </c>
      <c r="K1233" s="13">
        <v>4800</v>
      </c>
      <c r="L1233" s="21">
        <v>12.204000000000001</v>
      </c>
      <c r="M1233" s="14" t="s">
        <v>14</v>
      </c>
      <c r="N1233" s="13">
        <v>58580.735999999997</v>
      </c>
      <c r="O1233" s="15">
        <f t="shared" ref="O1233:O1235" si="810">(N1233/K1233)-L1233</f>
        <v>3.1999999999854367E-4</v>
      </c>
      <c r="P1233" s="10" t="s">
        <v>84</v>
      </c>
      <c r="Q1233" s="11" t="s">
        <v>2762</v>
      </c>
      <c r="R1233" s="11" t="s">
        <v>2763</v>
      </c>
      <c r="S1233" s="16" t="s">
        <v>41</v>
      </c>
      <c r="T1233" s="19" t="str">
        <f>MONTH(B1233)&amp;"-"&amp;YEAR(B1233)</f>
        <v>6-2023</v>
      </c>
      <c r="U1233" s="2">
        <f>YEAR(B1233)</f>
        <v>2023</v>
      </c>
      <c r="V1233" s="2" t="str">
        <f>IF(DAY(B1233)&gt;15,MONTH(B1233)&amp;"-C",MONTH(B1233)&amp;"-N")</f>
        <v>6-C</v>
      </c>
      <c r="W1233" s="21">
        <v>12.204000000000001</v>
      </c>
      <c r="X1233" s="2" t="b">
        <f t="shared" ref="X1233:X1235" si="811">+L1233=W1233</f>
        <v>1</v>
      </c>
    </row>
    <row r="1234" spans="2:24" x14ac:dyDescent="0.2">
      <c r="B1234" s="17">
        <v>45097</v>
      </c>
      <c r="C1234" s="10" t="s">
        <v>48</v>
      </c>
      <c r="D1234" s="11" t="s">
        <v>2761</v>
      </c>
      <c r="E1234" s="26">
        <v>68969</v>
      </c>
      <c r="F1234" s="10" t="s">
        <v>71</v>
      </c>
      <c r="G1234" s="10" t="s">
        <v>46</v>
      </c>
      <c r="H1234" s="27" t="s">
        <v>72</v>
      </c>
      <c r="I1234" s="12" t="s">
        <v>1843</v>
      </c>
      <c r="J1234" s="12" t="s">
        <v>1843</v>
      </c>
      <c r="K1234" s="13">
        <v>11200</v>
      </c>
      <c r="L1234" s="21">
        <v>12.131</v>
      </c>
      <c r="M1234" s="14" t="s">
        <v>14</v>
      </c>
      <c r="N1234" s="13">
        <v>135864.95999999999</v>
      </c>
      <c r="O1234" s="15">
        <f t="shared" si="810"/>
        <v>-2.0000000000131024E-4</v>
      </c>
      <c r="P1234" s="10" t="s">
        <v>84</v>
      </c>
      <c r="Q1234" s="11" t="s">
        <v>2762</v>
      </c>
      <c r="R1234" s="11" t="s">
        <v>2763</v>
      </c>
      <c r="S1234" s="16" t="s">
        <v>41</v>
      </c>
      <c r="T1234" s="19" t="str">
        <f>MONTH(B1234)&amp;"-"&amp;YEAR(B1234)</f>
        <v>6-2023</v>
      </c>
      <c r="U1234" s="2">
        <f>YEAR(B1234)</f>
        <v>2023</v>
      </c>
      <c r="V1234" s="2" t="str">
        <f>IF(DAY(B1234)&gt;15,MONTH(B1234)&amp;"-C",MONTH(B1234)&amp;"-N")</f>
        <v>6-C</v>
      </c>
      <c r="W1234" s="21">
        <v>12.131</v>
      </c>
      <c r="X1234" s="2" t="b">
        <f t="shared" si="811"/>
        <v>1</v>
      </c>
    </row>
    <row r="1235" spans="2:24" x14ac:dyDescent="0.2">
      <c r="B1235" s="17">
        <v>45098</v>
      </c>
      <c r="C1235" s="10" t="s">
        <v>25</v>
      </c>
      <c r="D1235" s="11" t="s">
        <v>2738</v>
      </c>
      <c r="E1235" s="26">
        <v>68989</v>
      </c>
      <c r="F1235" s="10" t="s">
        <v>26</v>
      </c>
      <c r="G1235" s="10" t="s">
        <v>27</v>
      </c>
      <c r="H1235" s="27" t="s">
        <v>28</v>
      </c>
      <c r="I1235" s="12" t="s">
        <v>1843</v>
      </c>
      <c r="J1235" s="12" t="s">
        <v>1843</v>
      </c>
      <c r="K1235" s="13">
        <v>19800</v>
      </c>
      <c r="L1235" s="21">
        <v>3.5</v>
      </c>
      <c r="M1235" s="14" t="s">
        <v>14</v>
      </c>
      <c r="N1235" s="13">
        <v>69300</v>
      </c>
      <c r="O1235" s="15">
        <f t="shared" si="810"/>
        <v>0</v>
      </c>
      <c r="P1235" s="10" t="s">
        <v>78</v>
      </c>
      <c r="Q1235" s="11" t="s">
        <v>2764</v>
      </c>
      <c r="R1235" s="11" t="s">
        <v>2765</v>
      </c>
      <c r="S1235" s="16" t="s">
        <v>2766</v>
      </c>
      <c r="T1235" s="19" t="str">
        <f>MONTH(B1235)&amp;"-"&amp;YEAR(B1235)</f>
        <v>6-2023</v>
      </c>
      <c r="U1235" s="2">
        <f>YEAR(B1235)</f>
        <v>2023</v>
      </c>
      <c r="V1235" s="2" t="str">
        <f>IF(DAY(B1235)&gt;15,MONTH(B1235)&amp;"-C",MONTH(B1235)&amp;"-N")</f>
        <v>6-C</v>
      </c>
      <c r="W1235" s="21">
        <v>3.5</v>
      </c>
      <c r="X1235" s="2" t="b">
        <f t="shared" si="811"/>
        <v>1</v>
      </c>
    </row>
    <row r="1236" spans="2:24" x14ac:dyDescent="0.2">
      <c r="B1236" s="17">
        <v>45100</v>
      </c>
      <c r="C1236" s="10" t="s">
        <v>25</v>
      </c>
      <c r="D1236" s="11" t="s">
        <v>2538</v>
      </c>
      <c r="E1236" s="26">
        <v>69046</v>
      </c>
      <c r="F1236" s="10" t="s">
        <v>49</v>
      </c>
      <c r="G1236" s="10" t="s">
        <v>27</v>
      </c>
      <c r="H1236" s="27" t="s">
        <v>50</v>
      </c>
      <c r="I1236" s="12" t="s">
        <v>1843</v>
      </c>
      <c r="J1236" s="12" t="s">
        <v>1843</v>
      </c>
      <c r="K1236" s="13">
        <v>1520</v>
      </c>
      <c r="L1236" s="21">
        <v>5.27</v>
      </c>
      <c r="M1236" s="14" t="s">
        <v>14</v>
      </c>
      <c r="N1236" s="13">
        <v>8010.4</v>
      </c>
      <c r="O1236" s="15">
        <f t="shared" ref="O1236:O1243" si="812">(N1236/K1236)-L1236</f>
        <v>0</v>
      </c>
      <c r="P1236" s="10" t="s">
        <v>78</v>
      </c>
      <c r="Q1236" s="11" t="s">
        <v>2767</v>
      </c>
      <c r="R1236" s="11" t="s">
        <v>2768</v>
      </c>
      <c r="S1236" s="16" t="s">
        <v>2769</v>
      </c>
      <c r="T1236" s="19" t="str">
        <f>MONTH(B1236)&amp;"-"&amp;YEAR(B1236)</f>
        <v>6-2023</v>
      </c>
      <c r="U1236" s="2">
        <f>YEAR(B1236)</f>
        <v>2023</v>
      </c>
      <c r="V1236" s="2" t="str">
        <f>IF(DAY(B1236)&gt;15,MONTH(B1236)&amp;"-C",MONTH(B1236)&amp;"-N")</f>
        <v>6-C</v>
      </c>
      <c r="W1236" s="21">
        <v>5.27</v>
      </c>
      <c r="X1236" s="2" t="b">
        <f t="shared" ref="X1236:X1243" si="813">+L1236=W1236</f>
        <v>1</v>
      </c>
    </row>
    <row r="1237" spans="2:24" x14ac:dyDescent="0.2">
      <c r="B1237" s="17">
        <v>45100</v>
      </c>
      <c r="C1237" s="10" t="s">
        <v>25</v>
      </c>
      <c r="D1237" s="11" t="s">
        <v>2725</v>
      </c>
      <c r="E1237" s="26">
        <v>69047</v>
      </c>
      <c r="F1237" s="10" t="s">
        <v>31</v>
      </c>
      <c r="G1237" s="10" t="s">
        <v>27</v>
      </c>
      <c r="H1237" s="27" t="s">
        <v>32</v>
      </c>
      <c r="I1237" s="12" t="s">
        <v>1843</v>
      </c>
      <c r="J1237" s="12" t="s">
        <v>1843</v>
      </c>
      <c r="K1237" s="13">
        <v>640</v>
      </c>
      <c r="L1237" s="21">
        <v>3.52</v>
      </c>
      <c r="M1237" s="14" t="s">
        <v>14</v>
      </c>
      <c r="N1237" s="13">
        <v>2252.8000000000002</v>
      </c>
      <c r="O1237" s="15">
        <f t="shared" si="812"/>
        <v>0</v>
      </c>
      <c r="P1237" s="10" t="s">
        <v>78</v>
      </c>
      <c r="Q1237" s="11" t="s">
        <v>2770</v>
      </c>
      <c r="R1237" s="11" t="s">
        <v>2771</v>
      </c>
      <c r="S1237" s="16" t="s">
        <v>2772</v>
      </c>
      <c r="T1237" s="19" t="str">
        <f>MONTH(B1237)&amp;"-"&amp;YEAR(B1237)</f>
        <v>6-2023</v>
      </c>
      <c r="U1237" s="2">
        <f>YEAR(B1237)</f>
        <v>2023</v>
      </c>
      <c r="V1237" s="2" t="str">
        <f>IF(DAY(B1237)&gt;15,MONTH(B1237)&amp;"-C",MONTH(B1237)&amp;"-N")</f>
        <v>6-C</v>
      </c>
      <c r="W1237" s="21">
        <v>3.52</v>
      </c>
      <c r="X1237" s="2" t="b">
        <f t="shared" si="813"/>
        <v>1</v>
      </c>
    </row>
    <row r="1238" spans="2:24" x14ac:dyDescent="0.2">
      <c r="B1238" s="17">
        <v>45100</v>
      </c>
      <c r="C1238" s="10" t="s">
        <v>107</v>
      </c>
      <c r="D1238" s="11" t="s">
        <v>2773</v>
      </c>
      <c r="E1238" s="26">
        <v>69041</v>
      </c>
      <c r="F1238" s="10" t="s">
        <v>103</v>
      </c>
      <c r="G1238" s="10" t="s">
        <v>46</v>
      </c>
      <c r="H1238" s="27" t="s">
        <v>104</v>
      </c>
      <c r="I1238" s="12" t="s">
        <v>1843</v>
      </c>
      <c r="J1238" s="12" t="s">
        <v>1843</v>
      </c>
      <c r="K1238" s="13">
        <v>250</v>
      </c>
      <c r="L1238" s="21">
        <v>47.46</v>
      </c>
      <c r="M1238" s="14" t="s">
        <v>14</v>
      </c>
      <c r="N1238" s="13">
        <v>11865</v>
      </c>
      <c r="O1238" s="15">
        <f t="shared" si="812"/>
        <v>0</v>
      </c>
      <c r="P1238" s="10" t="s">
        <v>84</v>
      </c>
      <c r="Q1238" s="11" t="s">
        <v>2774</v>
      </c>
      <c r="R1238" s="11" t="s">
        <v>2775</v>
      </c>
      <c r="S1238" s="16" t="s">
        <v>2776</v>
      </c>
      <c r="T1238" s="19" t="str">
        <f>MONTH(B1238)&amp;"-"&amp;YEAR(B1238)</f>
        <v>6-2023</v>
      </c>
      <c r="U1238" s="2">
        <f>YEAR(B1238)</f>
        <v>2023</v>
      </c>
      <c r="V1238" s="2" t="str">
        <f>IF(DAY(B1238)&gt;15,MONTH(B1238)&amp;"-C",MONTH(B1238)&amp;"-N")</f>
        <v>6-C</v>
      </c>
      <c r="W1238" s="21">
        <v>47.46</v>
      </c>
      <c r="X1238" s="2" t="b">
        <f t="shared" si="813"/>
        <v>1</v>
      </c>
    </row>
    <row r="1239" spans="2:24" x14ac:dyDescent="0.2">
      <c r="B1239" s="17">
        <v>45100</v>
      </c>
      <c r="C1239" s="10" t="s">
        <v>107</v>
      </c>
      <c r="D1239" s="11" t="s">
        <v>2773</v>
      </c>
      <c r="E1239" s="26">
        <v>69041</v>
      </c>
      <c r="F1239" s="10" t="s">
        <v>105</v>
      </c>
      <c r="G1239" s="10" t="s">
        <v>46</v>
      </c>
      <c r="H1239" s="27" t="s">
        <v>106</v>
      </c>
      <c r="I1239" s="12" t="s">
        <v>1843</v>
      </c>
      <c r="J1239" s="12" t="s">
        <v>1843</v>
      </c>
      <c r="K1239" s="13">
        <v>7040</v>
      </c>
      <c r="L1239" s="21">
        <v>11.72</v>
      </c>
      <c r="M1239" s="14" t="s">
        <v>14</v>
      </c>
      <c r="N1239" s="13">
        <v>82508.800000000003</v>
      </c>
      <c r="O1239" s="15">
        <f t="shared" si="812"/>
        <v>0</v>
      </c>
      <c r="P1239" s="10" t="s">
        <v>84</v>
      </c>
      <c r="Q1239" s="11" t="s">
        <v>2774</v>
      </c>
      <c r="R1239" s="11" t="s">
        <v>2775</v>
      </c>
      <c r="S1239" s="16" t="s">
        <v>2776</v>
      </c>
      <c r="T1239" s="19" t="str">
        <f>MONTH(B1239)&amp;"-"&amp;YEAR(B1239)</f>
        <v>6-2023</v>
      </c>
      <c r="U1239" s="2">
        <f>YEAR(B1239)</f>
        <v>2023</v>
      </c>
      <c r="V1239" s="2" t="str">
        <f>IF(DAY(B1239)&gt;15,MONTH(B1239)&amp;"-C",MONTH(B1239)&amp;"-N")</f>
        <v>6-C</v>
      </c>
      <c r="W1239" s="21">
        <v>11.72</v>
      </c>
      <c r="X1239" s="2" t="b">
        <f t="shared" si="813"/>
        <v>1</v>
      </c>
    </row>
    <row r="1240" spans="2:24" x14ac:dyDescent="0.2">
      <c r="B1240" s="17">
        <v>45100</v>
      </c>
      <c r="C1240" s="10" t="s">
        <v>88</v>
      </c>
      <c r="D1240" s="11" t="s">
        <v>2777</v>
      </c>
      <c r="E1240" s="26">
        <v>69045</v>
      </c>
      <c r="F1240" s="10" t="s">
        <v>2422</v>
      </c>
      <c r="G1240" s="10" t="s">
        <v>46</v>
      </c>
      <c r="H1240" s="27" t="s">
        <v>2423</v>
      </c>
      <c r="I1240" s="12" t="s">
        <v>1843</v>
      </c>
      <c r="J1240" s="12" t="s">
        <v>1843</v>
      </c>
      <c r="K1240" s="13">
        <v>2000</v>
      </c>
      <c r="L1240" s="21">
        <v>9.11</v>
      </c>
      <c r="M1240" s="14" t="s">
        <v>14</v>
      </c>
      <c r="N1240" s="13">
        <v>18220</v>
      </c>
      <c r="O1240" s="15">
        <f t="shared" si="812"/>
        <v>0</v>
      </c>
      <c r="P1240" s="10" t="s">
        <v>84</v>
      </c>
      <c r="Q1240" s="11" t="s">
        <v>2778</v>
      </c>
      <c r="R1240" s="11" t="s">
        <v>2779</v>
      </c>
      <c r="S1240" s="16" t="s">
        <v>2780</v>
      </c>
      <c r="T1240" s="19" t="str">
        <f>MONTH(B1240)&amp;"-"&amp;YEAR(B1240)</f>
        <v>6-2023</v>
      </c>
      <c r="U1240" s="2">
        <f>YEAR(B1240)</f>
        <v>2023</v>
      </c>
      <c r="V1240" s="2" t="str">
        <f>IF(DAY(B1240)&gt;15,MONTH(B1240)&amp;"-C",MONTH(B1240)&amp;"-N")</f>
        <v>6-C</v>
      </c>
      <c r="W1240" s="21">
        <v>9.11</v>
      </c>
      <c r="X1240" s="2" t="b">
        <f t="shared" si="813"/>
        <v>1</v>
      </c>
    </row>
    <row r="1241" spans="2:24" x14ac:dyDescent="0.2">
      <c r="B1241" s="17">
        <v>45100</v>
      </c>
      <c r="C1241" s="10" t="s">
        <v>88</v>
      </c>
      <c r="D1241" s="11" t="s">
        <v>2777</v>
      </c>
      <c r="E1241" s="26">
        <v>69045</v>
      </c>
      <c r="F1241" s="10" t="s">
        <v>1329</v>
      </c>
      <c r="G1241" s="10" t="s">
        <v>46</v>
      </c>
      <c r="H1241" s="27" t="s">
        <v>1343</v>
      </c>
      <c r="I1241" s="12" t="s">
        <v>1843</v>
      </c>
      <c r="J1241" s="12" t="s">
        <v>1843</v>
      </c>
      <c r="K1241" s="13">
        <v>300</v>
      </c>
      <c r="L1241" s="21">
        <v>19.8</v>
      </c>
      <c r="M1241" s="14" t="s">
        <v>14</v>
      </c>
      <c r="N1241" s="13">
        <v>5940</v>
      </c>
      <c r="O1241" s="15">
        <f t="shared" si="812"/>
        <v>0</v>
      </c>
      <c r="P1241" s="10" t="s">
        <v>84</v>
      </c>
      <c r="Q1241" s="11" t="s">
        <v>2778</v>
      </c>
      <c r="R1241" s="11" t="s">
        <v>2779</v>
      </c>
      <c r="S1241" s="16" t="s">
        <v>2780</v>
      </c>
      <c r="T1241" s="19" t="str">
        <f>MONTH(B1241)&amp;"-"&amp;YEAR(B1241)</f>
        <v>6-2023</v>
      </c>
      <c r="U1241" s="2">
        <f>YEAR(B1241)</f>
        <v>2023</v>
      </c>
      <c r="V1241" s="2" t="str">
        <f>IF(DAY(B1241)&gt;15,MONTH(B1241)&amp;"-C",MONTH(B1241)&amp;"-N")</f>
        <v>6-C</v>
      </c>
      <c r="W1241" s="21">
        <v>19.8</v>
      </c>
      <c r="X1241" s="2" t="b">
        <f t="shared" si="813"/>
        <v>1</v>
      </c>
    </row>
    <row r="1242" spans="2:24" x14ac:dyDescent="0.2">
      <c r="B1242" s="17">
        <v>45100</v>
      </c>
      <c r="C1242" s="10" t="s">
        <v>1224</v>
      </c>
      <c r="D1242" s="11" t="s">
        <v>2784</v>
      </c>
      <c r="E1242" s="26">
        <v>69040</v>
      </c>
      <c r="F1242" s="10" t="s">
        <v>2575</v>
      </c>
      <c r="G1242" s="10" t="s">
        <v>46</v>
      </c>
      <c r="H1242" s="27" t="s">
        <v>2576</v>
      </c>
      <c r="I1242" s="12" t="s">
        <v>1843</v>
      </c>
      <c r="J1242" s="12" t="s">
        <v>1843</v>
      </c>
      <c r="K1242" s="13">
        <v>7955</v>
      </c>
      <c r="L1242" s="21">
        <v>10.66</v>
      </c>
      <c r="M1242" s="14" t="s">
        <v>14</v>
      </c>
      <c r="N1242" s="13">
        <v>84803.482000000004</v>
      </c>
      <c r="O1242" s="15">
        <f t="shared" si="812"/>
        <v>4.0000000000084412E-4</v>
      </c>
      <c r="P1242" s="10" t="s">
        <v>90</v>
      </c>
      <c r="Q1242" s="11" t="s">
        <v>2786</v>
      </c>
      <c r="R1242" s="11" t="s">
        <v>2785</v>
      </c>
      <c r="S1242" s="16" t="s">
        <v>2787</v>
      </c>
      <c r="T1242" s="19" t="str">
        <f>MONTH(B1242)&amp;"-"&amp;YEAR(B1242)</f>
        <v>6-2023</v>
      </c>
      <c r="U1242" s="2">
        <f>YEAR(B1242)</f>
        <v>2023</v>
      </c>
      <c r="V1242" s="2" t="str">
        <f>IF(DAY(B1242)&gt;15,MONTH(B1242)&amp;"-C",MONTH(B1242)&amp;"-N")</f>
        <v>6-C</v>
      </c>
      <c r="W1242" s="21">
        <v>10.66</v>
      </c>
      <c r="X1242" s="2" t="b">
        <f t="shared" si="813"/>
        <v>1</v>
      </c>
    </row>
    <row r="1243" spans="2:24" x14ac:dyDescent="0.2">
      <c r="B1243" s="17">
        <v>45100</v>
      </c>
      <c r="C1243" s="10" t="s">
        <v>1224</v>
      </c>
      <c r="D1243" s="11" t="s">
        <v>2784</v>
      </c>
      <c r="E1243" s="26">
        <v>69040</v>
      </c>
      <c r="F1243" s="10" t="s">
        <v>2580</v>
      </c>
      <c r="G1243" s="10" t="s">
        <v>46</v>
      </c>
      <c r="H1243" s="27" t="s">
        <v>2581</v>
      </c>
      <c r="I1243" s="12" t="s">
        <v>1843</v>
      </c>
      <c r="J1243" s="12" t="s">
        <v>1843</v>
      </c>
      <c r="K1243" s="13">
        <v>9890</v>
      </c>
      <c r="L1243" s="21">
        <v>10.66</v>
      </c>
      <c r="M1243" s="14" t="s">
        <v>14</v>
      </c>
      <c r="N1243" s="13">
        <v>105431.356</v>
      </c>
      <c r="O1243" s="15">
        <f t="shared" si="812"/>
        <v>3.9999999999906777E-4</v>
      </c>
      <c r="P1243" s="10" t="s">
        <v>90</v>
      </c>
      <c r="Q1243" s="11" t="s">
        <v>2786</v>
      </c>
      <c r="R1243" s="11" t="s">
        <v>2785</v>
      </c>
      <c r="S1243" s="16" t="s">
        <v>2787</v>
      </c>
      <c r="T1243" s="19" t="str">
        <f>MONTH(B1243)&amp;"-"&amp;YEAR(B1243)</f>
        <v>6-2023</v>
      </c>
      <c r="U1243" s="2">
        <f>YEAR(B1243)</f>
        <v>2023</v>
      </c>
      <c r="V1243" s="2" t="str">
        <f>IF(DAY(B1243)&gt;15,MONTH(B1243)&amp;"-C",MONTH(B1243)&amp;"-N")</f>
        <v>6-C</v>
      </c>
      <c r="W1243" s="21">
        <v>10.66</v>
      </c>
      <c r="X1243" s="2" t="b">
        <f t="shared" si="813"/>
        <v>1</v>
      </c>
    </row>
    <row r="1244" spans="2:24" x14ac:dyDescent="0.2">
      <c r="B1244" s="17">
        <v>45103</v>
      </c>
      <c r="C1244" s="10" t="s">
        <v>94</v>
      </c>
      <c r="D1244" s="11" t="s">
        <v>2753</v>
      </c>
      <c r="E1244" s="26">
        <v>69091</v>
      </c>
      <c r="F1244" s="10" t="s">
        <v>26</v>
      </c>
      <c r="G1244" s="10" t="s">
        <v>27</v>
      </c>
      <c r="H1244" s="27" t="s">
        <v>28</v>
      </c>
      <c r="I1244" s="12" t="s">
        <v>1843</v>
      </c>
      <c r="J1244" s="12" t="s">
        <v>1843</v>
      </c>
      <c r="K1244" s="13">
        <v>18000</v>
      </c>
      <c r="L1244" s="21">
        <v>3.5</v>
      </c>
      <c r="M1244" s="14" t="s">
        <v>14</v>
      </c>
      <c r="N1244" s="13">
        <v>63000</v>
      </c>
      <c r="O1244" s="15">
        <f t="shared" ref="O1244" si="814">(N1244/K1244)-L1244</f>
        <v>0</v>
      </c>
      <c r="P1244" s="10" t="s">
        <v>78</v>
      </c>
      <c r="Q1244" s="11" t="s">
        <v>2782</v>
      </c>
      <c r="R1244" s="11" t="s">
        <v>2781</v>
      </c>
      <c r="S1244" s="16" t="s">
        <v>2783</v>
      </c>
      <c r="T1244" s="19" t="str">
        <f>MONTH(B1244)&amp;"-"&amp;YEAR(B1244)</f>
        <v>6-2023</v>
      </c>
      <c r="U1244" s="2">
        <f>YEAR(B1244)</f>
        <v>2023</v>
      </c>
      <c r="V1244" s="2" t="str">
        <f>IF(DAY(B1244)&gt;15,MONTH(B1244)&amp;"-C",MONTH(B1244)&amp;"-N")</f>
        <v>6-C</v>
      </c>
      <c r="W1244" s="21">
        <v>3.5</v>
      </c>
      <c r="X1244" s="2" t="b">
        <f t="shared" ref="X1244" si="815">+L1244=W1244</f>
        <v>1</v>
      </c>
    </row>
    <row r="1245" spans="2:24" x14ac:dyDescent="0.2">
      <c r="B1245" s="17">
        <v>45108</v>
      </c>
      <c r="C1245" s="10" t="s">
        <v>82</v>
      </c>
      <c r="D1245" s="11" t="s">
        <v>2826</v>
      </c>
      <c r="E1245" s="26">
        <v>69182</v>
      </c>
      <c r="F1245" s="10" t="s">
        <v>31</v>
      </c>
      <c r="G1245" s="10" t="s">
        <v>27</v>
      </c>
      <c r="H1245" s="27" t="s">
        <v>32</v>
      </c>
      <c r="I1245" s="12" t="s">
        <v>1843</v>
      </c>
      <c r="J1245" s="12" t="s">
        <v>1843</v>
      </c>
      <c r="K1245" s="13">
        <v>1280</v>
      </c>
      <c r="L1245" s="21">
        <v>4.5</v>
      </c>
      <c r="M1245" s="14" t="s">
        <v>14</v>
      </c>
      <c r="N1245" s="13">
        <v>5760</v>
      </c>
      <c r="O1245" s="15">
        <f t="shared" ref="O1245" si="816">(N1245/K1245)-L1245</f>
        <v>0</v>
      </c>
      <c r="P1245" s="10" t="s">
        <v>78</v>
      </c>
      <c r="Q1245" s="11" t="s">
        <v>2827</v>
      </c>
      <c r="R1245" s="11" t="s">
        <v>2828</v>
      </c>
      <c r="S1245" s="16" t="s">
        <v>2829</v>
      </c>
      <c r="T1245" s="19" t="str">
        <f>MONTH(B1245)&amp;"-"&amp;YEAR(B1245)</f>
        <v>7-2023</v>
      </c>
      <c r="U1245" s="2">
        <f>YEAR(B1245)</f>
        <v>2023</v>
      </c>
      <c r="V1245" s="2" t="str">
        <f>IF(DAY(B1245)&gt;15,MONTH(B1245)&amp;"-C",MONTH(B1245)&amp;"-N")</f>
        <v>7-N</v>
      </c>
      <c r="W1245" s="21">
        <v>4.5</v>
      </c>
      <c r="X1245" s="2" t="b">
        <f t="shared" ref="X1245" si="817">+L1245=W1245</f>
        <v>1</v>
      </c>
    </row>
    <row r="1246" spans="2:24" x14ac:dyDescent="0.2">
      <c r="B1246" s="17">
        <v>45111</v>
      </c>
      <c r="C1246" s="10" t="s">
        <v>94</v>
      </c>
      <c r="D1246" s="11" t="s">
        <v>2753</v>
      </c>
      <c r="E1246" s="26">
        <v>69192</v>
      </c>
      <c r="F1246" s="10" t="s">
        <v>26</v>
      </c>
      <c r="G1246" s="10" t="s">
        <v>27</v>
      </c>
      <c r="H1246" s="27" t="s">
        <v>28</v>
      </c>
      <c r="I1246" s="12" t="s">
        <v>1843</v>
      </c>
      <c r="J1246" s="12" t="s">
        <v>1843</v>
      </c>
      <c r="K1246" s="13">
        <v>18900</v>
      </c>
      <c r="L1246" s="21">
        <v>3.5</v>
      </c>
      <c r="M1246" s="14" t="s">
        <v>14</v>
      </c>
      <c r="N1246" s="13">
        <v>66150</v>
      </c>
      <c r="O1246" s="15">
        <f t="shared" ref="O1246" si="818">(N1246/K1246)-L1246</f>
        <v>0</v>
      </c>
      <c r="P1246" s="10" t="s">
        <v>78</v>
      </c>
      <c r="Q1246" s="11" t="s">
        <v>2823</v>
      </c>
      <c r="R1246" s="11" t="s">
        <v>2824</v>
      </c>
      <c r="S1246" s="16" t="s">
        <v>2825</v>
      </c>
      <c r="T1246" s="19" t="str">
        <f>MONTH(B1246)&amp;"-"&amp;YEAR(B1246)</f>
        <v>7-2023</v>
      </c>
      <c r="U1246" s="2">
        <f>YEAR(B1246)</f>
        <v>2023</v>
      </c>
      <c r="V1246" s="2" t="str">
        <f>IF(DAY(B1246)&gt;15,MONTH(B1246)&amp;"-C",MONTH(B1246)&amp;"-N")</f>
        <v>7-N</v>
      </c>
      <c r="W1246" s="21">
        <v>3.5</v>
      </c>
      <c r="X1246" s="2" t="b">
        <f t="shared" ref="X1246" si="819">+L1246=W1246</f>
        <v>1</v>
      </c>
    </row>
    <row r="1247" spans="2:24" x14ac:dyDescent="0.2">
      <c r="B1247" s="17">
        <v>45113</v>
      </c>
      <c r="C1247" s="10" t="s">
        <v>73</v>
      </c>
      <c r="D1247" s="11" t="s">
        <v>2788</v>
      </c>
      <c r="E1247" s="26">
        <v>69236</v>
      </c>
      <c r="F1247" s="10" t="s">
        <v>399</v>
      </c>
      <c r="G1247" s="10" t="s">
        <v>46</v>
      </c>
      <c r="H1247" s="27" t="s">
        <v>149</v>
      </c>
      <c r="I1247" s="12" t="s">
        <v>1843</v>
      </c>
      <c r="J1247" s="12" t="s">
        <v>1843</v>
      </c>
      <c r="K1247" s="13">
        <v>2500</v>
      </c>
      <c r="L1247" s="21">
        <v>16.8</v>
      </c>
      <c r="M1247" s="14" t="s">
        <v>14</v>
      </c>
      <c r="N1247" s="13">
        <v>42000</v>
      </c>
      <c r="O1247" s="15">
        <f t="shared" ref="O1247:O1248" si="820">(N1247/K1247)-L1247</f>
        <v>0</v>
      </c>
      <c r="P1247" s="10" t="s">
        <v>84</v>
      </c>
      <c r="Q1247" s="11" t="s">
        <v>2789</v>
      </c>
      <c r="R1247" s="11" t="s">
        <v>2790</v>
      </c>
      <c r="S1247" s="16" t="s">
        <v>2791</v>
      </c>
      <c r="T1247" s="19" t="str">
        <f>MONTH(B1247)&amp;"-"&amp;YEAR(B1247)</f>
        <v>7-2023</v>
      </c>
      <c r="U1247" s="2">
        <f>YEAR(B1247)</f>
        <v>2023</v>
      </c>
      <c r="V1247" s="2" t="str">
        <f>IF(DAY(B1247)&gt;15,MONTH(B1247)&amp;"-C",MONTH(B1247)&amp;"-N")</f>
        <v>7-N</v>
      </c>
      <c r="W1247" s="21">
        <v>16.8</v>
      </c>
      <c r="X1247" s="2" t="b">
        <f t="shared" ref="X1247:X1248" si="821">+L1247=W1247</f>
        <v>1</v>
      </c>
    </row>
    <row r="1248" spans="2:24" x14ac:dyDescent="0.2">
      <c r="B1248" s="17">
        <v>45113</v>
      </c>
      <c r="C1248" s="10" t="s">
        <v>80</v>
      </c>
      <c r="D1248" s="11" t="s">
        <v>2792</v>
      </c>
      <c r="E1248" s="26">
        <v>69237</v>
      </c>
      <c r="F1248" s="10" t="s">
        <v>26</v>
      </c>
      <c r="G1248" s="10" t="s">
        <v>27</v>
      </c>
      <c r="H1248" s="27" t="s">
        <v>28</v>
      </c>
      <c r="I1248" s="12" t="s">
        <v>1843</v>
      </c>
      <c r="J1248" s="12" t="s">
        <v>1843</v>
      </c>
      <c r="K1248" s="13">
        <v>3600</v>
      </c>
      <c r="L1248" s="21">
        <v>3.5</v>
      </c>
      <c r="M1248" s="14" t="s">
        <v>14</v>
      </c>
      <c r="N1248" s="13">
        <v>12600</v>
      </c>
      <c r="O1248" s="15">
        <f t="shared" si="820"/>
        <v>0</v>
      </c>
      <c r="P1248" s="10" t="s">
        <v>78</v>
      </c>
      <c r="Q1248" s="11" t="s">
        <v>2811</v>
      </c>
      <c r="R1248" s="11" t="s">
        <v>2812</v>
      </c>
      <c r="S1248" s="16" t="s">
        <v>2813</v>
      </c>
      <c r="T1248" s="19" t="str">
        <f>MONTH(B1248)&amp;"-"&amp;YEAR(B1248)</f>
        <v>7-2023</v>
      </c>
      <c r="U1248" s="2">
        <f>YEAR(B1248)</f>
        <v>2023</v>
      </c>
      <c r="V1248" s="2" t="str">
        <f>IF(DAY(B1248)&gt;15,MONTH(B1248)&amp;"-C",MONTH(B1248)&amp;"-N")</f>
        <v>7-N</v>
      </c>
      <c r="W1248" s="21">
        <v>3.5</v>
      </c>
      <c r="X1248" s="2" t="b">
        <f t="shared" si="821"/>
        <v>1</v>
      </c>
    </row>
    <row r="1249" spans="2:24" x14ac:dyDescent="0.2">
      <c r="B1249" s="17">
        <v>45114</v>
      </c>
      <c r="C1249" s="10" t="s">
        <v>88</v>
      </c>
      <c r="D1249" s="11" t="s">
        <v>2838</v>
      </c>
      <c r="E1249" s="26">
        <v>69272</v>
      </c>
      <c r="F1249" s="10" t="s">
        <v>98</v>
      </c>
      <c r="G1249" s="10" t="s">
        <v>46</v>
      </c>
      <c r="H1249" s="27" t="s">
        <v>99</v>
      </c>
      <c r="I1249" s="12" t="s">
        <v>1843</v>
      </c>
      <c r="J1249" s="12" t="s">
        <v>1843</v>
      </c>
      <c r="K1249" s="13">
        <v>44</v>
      </c>
      <c r="L1249" s="21">
        <v>11.63</v>
      </c>
      <c r="M1249" s="14" t="s">
        <v>14</v>
      </c>
      <c r="N1249" s="13">
        <v>511.72</v>
      </c>
      <c r="O1249" s="15">
        <f t="shared" ref="O1249:O1252" si="822">(N1249/K1249)-L1249</f>
        <v>0</v>
      </c>
      <c r="P1249" s="10" t="s">
        <v>84</v>
      </c>
      <c r="Q1249" s="11" t="s">
        <v>2839</v>
      </c>
      <c r="R1249" s="11" t="s">
        <v>2840</v>
      </c>
      <c r="S1249" s="16" t="s">
        <v>2841</v>
      </c>
      <c r="T1249" s="19" t="str">
        <f>MONTH(B1249)&amp;"-"&amp;YEAR(B1249)</f>
        <v>7-2023</v>
      </c>
      <c r="U1249" s="2">
        <f>YEAR(B1249)</f>
        <v>2023</v>
      </c>
      <c r="V1249" s="2" t="str">
        <f>IF(DAY(B1249)&gt;15,MONTH(B1249)&amp;"-C",MONTH(B1249)&amp;"-N")</f>
        <v>7-N</v>
      </c>
      <c r="W1249" s="21">
        <v>11.63</v>
      </c>
      <c r="X1249" s="2" t="b">
        <f t="shared" ref="X1249:X1252" si="823">+L1249=W1249</f>
        <v>1</v>
      </c>
    </row>
    <row r="1250" spans="2:24" x14ac:dyDescent="0.2">
      <c r="B1250" s="17">
        <v>45114</v>
      </c>
      <c r="C1250" s="10" t="s">
        <v>88</v>
      </c>
      <c r="D1250" s="11" t="s">
        <v>2838</v>
      </c>
      <c r="E1250" s="26">
        <v>69272</v>
      </c>
      <c r="F1250" s="10" t="s">
        <v>100</v>
      </c>
      <c r="G1250" s="10" t="s">
        <v>46</v>
      </c>
      <c r="H1250" s="27" t="s">
        <v>101</v>
      </c>
      <c r="I1250" s="12" t="s">
        <v>1843</v>
      </c>
      <c r="J1250" s="12" t="s">
        <v>1843</v>
      </c>
      <c r="K1250" s="13">
        <v>2000</v>
      </c>
      <c r="L1250" s="21">
        <v>13.54</v>
      </c>
      <c r="M1250" s="14" t="s">
        <v>14</v>
      </c>
      <c r="N1250" s="13">
        <v>27080</v>
      </c>
      <c r="O1250" s="15">
        <f t="shared" si="822"/>
        <v>0</v>
      </c>
      <c r="P1250" s="10" t="s">
        <v>84</v>
      </c>
      <c r="Q1250" s="11" t="s">
        <v>2839</v>
      </c>
      <c r="R1250" s="11" t="s">
        <v>2840</v>
      </c>
      <c r="S1250" s="16" t="s">
        <v>2841</v>
      </c>
      <c r="T1250" s="19" t="str">
        <f>MONTH(B1250)&amp;"-"&amp;YEAR(B1250)</f>
        <v>7-2023</v>
      </c>
      <c r="U1250" s="2">
        <f>YEAR(B1250)</f>
        <v>2023</v>
      </c>
      <c r="V1250" s="2" t="str">
        <f>IF(DAY(B1250)&gt;15,MONTH(B1250)&amp;"-C",MONTH(B1250)&amp;"-N")</f>
        <v>7-N</v>
      </c>
      <c r="W1250" s="21">
        <v>13.54</v>
      </c>
      <c r="X1250" s="2" t="b">
        <f t="shared" si="823"/>
        <v>1</v>
      </c>
    </row>
    <row r="1251" spans="2:24" x14ac:dyDescent="0.2">
      <c r="B1251" s="17">
        <v>45115</v>
      </c>
      <c r="C1251" s="10" t="s">
        <v>80</v>
      </c>
      <c r="D1251" s="11" t="s">
        <v>2792</v>
      </c>
      <c r="E1251" s="26">
        <v>69284</v>
      </c>
      <c r="F1251" s="10" t="s">
        <v>26</v>
      </c>
      <c r="G1251" s="10" t="s">
        <v>27</v>
      </c>
      <c r="H1251" s="27" t="s">
        <v>28</v>
      </c>
      <c r="I1251" s="12" t="s">
        <v>1843</v>
      </c>
      <c r="J1251" s="12" t="s">
        <v>1843</v>
      </c>
      <c r="K1251" s="13">
        <v>3600</v>
      </c>
      <c r="L1251" s="21">
        <v>3.5</v>
      </c>
      <c r="M1251" s="14" t="s">
        <v>14</v>
      </c>
      <c r="N1251" s="13">
        <v>12600</v>
      </c>
      <c r="O1251" s="15">
        <f t="shared" si="822"/>
        <v>0</v>
      </c>
      <c r="P1251" s="10" t="s">
        <v>78</v>
      </c>
      <c r="Q1251" s="11" t="s">
        <v>2805</v>
      </c>
      <c r="R1251" s="11" t="s">
        <v>2806</v>
      </c>
      <c r="S1251" s="16" t="s">
        <v>2807</v>
      </c>
      <c r="T1251" s="19" t="str">
        <f>MONTH(B1251)&amp;"-"&amp;YEAR(B1251)</f>
        <v>7-2023</v>
      </c>
      <c r="U1251" s="2">
        <f>YEAR(B1251)</f>
        <v>2023</v>
      </c>
      <c r="V1251" s="2" t="str">
        <f>IF(DAY(B1251)&gt;15,MONTH(B1251)&amp;"-C",MONTH(B1251)&amp;"-N")</f>
        <v>7-N</v>
      </c>
      <c r="W1251" s="21">
        <v>3.5</v>
      </c>
      <c r="X1251" s="2" t="b">
        <f t="shared" si="823"/>
        <v>1</v>
      </c>
    </row>
    <row r="1252" spans="2:24" x14ac:dyDescent="0.2">
      <c r="B1252" s="17">
        <v>45117</v>
      </c>
      <c r="C1252" s="10" t="s">
        <v>80</v>
      </c>
      <c r="D1252" s="11" t="s">
        <v>2792</v>
      </c>
      <c r="E1252" s="26">
        <v>69298</v>
      </c>
      <c r="F1252" s="10" t="s">
        <v>26</v>
      </c>
      <c r="G1252" s="10" t="s">
        <v>27</v>
      </c>
      <c r="H1252" s="27" t="s">
        <v>28</v>
      </c>
      <c r="I1252" s="12" t="s">
        <v>1843</v>
      </c>
      <c r="J1252" s="12" t="s">
        <v>1843</v>
      </c>
      <c r="K1252" s="13">
        <v>2700</v>
      </c>
      <c r="L1252" s="21">
        <v>3.5</v>
      </c>
      <c r="M1252" s="14" t="s">
        <v>14</v>
      </c>
      <c r="N1252" s="13">
        <v>9450</v>
      </c>
      <c r="O1252" s="15">
        <f t="shared" si="822"/>
        <v>0</v>
      </c>
      <c r="P1252" s="10" t="s">
        <v>78</v>
      </c>
      <c r="Q1252" s="11" t="s">
        <v>2808</v>
      </c>
      <c r="R1252" s="11" t="s">
        <v>2809</v>
      </c>
      <c r="S1252" s="16" t="s">
        <v>2810</v>
      </c>
      <c r="T1252" s="19" t="str">
        <f>MONTH(B1252)&amp;"-"&amp;YEAR(B1252)</f>
        <v>7-2023</v>
      </c>
      <c r="U1252" s="2">
        <f>YEAR(B1252)</f>
        <v>2023</v>
      </c>
      <c r="V1252" s="2" t="str">
        <f>IF(DAY(B1252)&gt;15,MONTH(B1252)&amp;"-C",MONTH(B1252)&amp;"-N")</f>
        <v>7-N</v>
      </c>
      <c r="W1252" s="21">
        <v>3.5</v>
      </c>
      <c r="X1252" s="2" t="b">
        <f t="shared" si="823"/>
        <v>1</v>
      </c>
    </row>
    <row r="1253" spans="2:24" x14ac:dyDescent="0.2">
      <c r="B1253" s="17">
        <v>45119</v>
      </c>
      <c r="C1253" s="10" t="s">
        <v>80</v>
      </c>
      <c r="D1253" s="11" t="s">
        <v>2792</v>
      </c>
      <c r="E1253" s="26">
        <v>69329</v>
      </c>
      <c r="F1253" s="10" t="s">
        <v>26</v>
      </c>
      <c r="G1253" s="10" t="s">
        <v>27</v>
      </c>
      <c r="H1253" s="27" t="s">
        <v>28</v>
      </c>
      <c r="I1253" s="12" t="s">
        <v>1843</v>
      </c>
      <c r="J1253" s="12" t="s">
        <v>1843</v>
      </c>
      <c r="K1253" s="13">
        <v>3600</v>
      </c>
      <c r="L1253" s="21">
        <v>3.5</v>
      </c>
      <c r="M1253" s="14" t="s">
        <v>14</v>
      </c>
      <c r="N1253" s="13">
        <v>12600</v>
      </c>
      <c r="O1253" s="15">
        <f t="shared" ref="O1253" si="824">(N1253/K1253)-L1253</f>
        <v>0</v>
      </c>
      <c r="P1253" s="10" t="s">
        <v>78</v>
      </c>
      <c r="Q1253" s="11" t="s">
        <v>2796</v>
      </c>
      <c r="R1253" s="11" t="s">
        <v>2797</v>
      </c>
      <c r="S1253" s="16" t="s">
        <v>2798</v>
      </c>
      <c r="T1253" s="19" t="str">
        <f>MONTH(B1253)&amp;"-"&amp;YEAR(B1253)</f>
        <v>7-2023</v>
      </c>
      <c r="U1253" s="2">
        <f>YEAR(B1253)</f>
        <v>2023</v>
      </c>
      <c r="V1253" s="2" t="str">
        <f>IF(DAY(B1253)&gt;15,MONTH(B1253)&amp;"-C",MONTH(B1253)&amp;"-N")</f>
        <v>7-N</v>
      </c>
      <c r="W1253" s="21">
        <v>3.5</v>
      </c>
      <c r="X1253" s="2" t="b">
        <f t="shared" ref="X1253" si="825">+L1253=W1253</f>
        <v>1</v>
      </c>
    </row>
    <row r="1254" spans="2:24" x14ac:dyDescent="0.2">
      <c r="B1254" s="17">
        <v>45120</v>
      </c>
      <c r="C1254" s="10" t="s">
        <v>80</v>
      </c>
      <c r="D1254" s="11" t="s">
        <v>2792</v>
      </c>
      <c r="E1254" s="26">
        <v>69359</v>
      </c>
      <c r="F1254" s="10" t="s">
        <v>26</v>
      </c>
      <c r="G1254" s="10" t="s">
        <v>27</v>
      </c>
      <c r="H1254" s="27" t="s">
        <v>28</v>
      </c>
      <c r="I1254" s="12" t="s">
        <v>1843</v>
      </c>
      <c r="J1254" s="12" t="s">
        <v>1843</v>
      </c>
      <c r="K1254" s="13">
        <v>3600</v>
      </c>
      <c r="L1254" s="21">
        <v>3.5</v>
      </c>
      <c r="M1254" s="14" t="s">
        <v>14</v>
      </c>
      <c r="N1254" s="13">
        <v>12600</v>
      </c>
      <c r="O1254" s="15">
        <f t="shared" ref="O1254:O1257" si="826">(N1254/K1254)-L1254</f>
        <v>0</v>
      </c>
      <c r="P1254" s="10" t="s">
        <v>78</v>
      </c>
      <c r="Q1254" s="11" t="s">
        <v>2802</v>
      </c>
      <c r="R1254" s="11" t="s">
        <v>2803</v>
      </c>
      <c r="S1254" s="16" t="s">
        <v>2804</v>
      </c>
      <c r="T1254" s="19" t="str">
        <f>MONTH(B1254)&amp;"-"&amp;YEAR(B1254)</f>
        <v>7-2023</v>
      </c>
      <c r="U1254" s="2">
        <f>YEAR(B1254)</f>
        <v>2023</v>
      </c>
      <c r="V1254" s="2" t="str">
        <f>IF(DAY(B1254)&gt;15,MONTH(B1254)&amp;"-C",MONTH(B1254)&amp;"-N")</f>
        <v>7-N</v>
      </c>
      <c r="W1254" s="21">
        <v>3.5</v>
      </c>
      <c r="X1254" s="2" t="b">
        <f t="shared" ref="X1254:X1257" si="827">+L1254=W1254</f>
        <v>1</v>
      </c>
    </row>
    <row r="1255" spans="2:24" x14ac:dyDescent="0.2">
      <c r="B1255" s="17">
        <v>45121</v>
      </c>
      <c r="C1255" s="10" t="s">
        <v>80</v>
      </c>
      <c r="D1255" s="11" t="s">
        <v>2792</v>
      </c>
      <c r="E1255" s="26">
        <v>69373</v>
      </c>
      <c r="F1255" s="10" t="s">
        <v>26</v>
      </c>
      <c r="G1255" s="10" t="s">
        <v>27</v>
      </c>
      <c r="H1255" s="27" t="s">
        <v>28</v>
      </c>
      <c r="I1255" s="12" t="s">
        <v>1843</v>
      </c>
      <c r="J1255" s="12" t="s">
        <v>1843</v>
      </c>
      <c r="K1255" s="13">
        <v>3600</v>
      </c>
      <c r="L1255" s="21">
        <v>3.5</v>
      </c>
      <c r="M1255" s="14" t="s">
        <v>14</v>
      </c>
      <c r="N1255" s="13">
        <v>12600</v>
      </c>
      <c r="O1255" s="15">
        <f t="shared" si="826"/>
        <v>0</v>
      </c>
      <c r="P1255" s="10" t="s">
        <v>78</v>
      </c>
      <c r="Q1255" s="11" t="s">
        <v>2799</v>
      </c>
      <c r="R1255" s="11" t="s">
        <v>2800</v>
      </c>
      <c r="S1255" s="16" t="s">
        <v>2801</v>
      </c>
      <c r="T1255" s="19" t="str">
        <f>MONTH(B1255)&amp;"-"&amp;YEAR(B1255)</f>
        <v>7-2023</v>
      </c>
      <c r="U1255" s="2">
        <f>YEAR(B1255)</f>
        <v>2023</v>
      </c>
      <c r="V1255" s="2" t="str">
        <f>IF(DAY(B1255)&gt;15,MONTH(B1255)&amp;"-C",MONTH(B1255)&amp;"-N")</f>
        <v>7-N</v>
      </c>
      <c r="W1255" s="21">
        <v>3.5</v>
      </c>
      <c r="X1255" s="2" t="b">
        <f t="shared" si="827"/>
        <v>1</v>
      </c>
    </row>
    <row r="1256" spans="2:24" x14ac:dyDescent="0.2">
      <c r="B1256" s="17">
        <v>45122</v>
      </c>
      <c r="C1256" s="10" t="s">
        <v>80</v>
      </c>
      <c r="D1256" s="11" t="s">
        <v>2792</v>
      </c>
      <c r="E1256" s="26">
        <v>69407</v>
      </c>
      <c r="F1256" s="10" t="s">
        <v>26</v>
      </c>
      <c r="G1256" s="10" t="s">
        <v>27</v>
      </c>
      <c r="H1256" s="27" t="s">
        <v>28</v>
      </c>
      <c r="I1256" s="12" t="s">
        <v>1843</v>
      </c>
      <c r="J1256" s="12" t="s">
        <v>1843</v>
      </c>
      <c r="K1256" s="13">
        <v>3600</v>
      </c>
      <c r="L1256" s="21">
        <v>3.5</v>
      </c>
      <c r="M1256" s="14" t="s">
        <v>14</v>
      </c>
      <c r="N1256" s="13">
        <v>12600</v>
      </c>
      <c r="O1256" s="15">
        <f t="shared" si="826"/>
        <v>0</v>
      </c>
      <c r="P1256" s="10" t="s">
        <v>78</v>
      </c>
      <c r="Q1256" s="11" t="s">
        <v>2814</v>
      </c>
      <c r="R1256" s="11" t="s">
        <v>2815</v>
      </c>
      <c r="S1256" s="16" t="s">
        <v>2816</v>
      </c>
      <c r="T1256" s="19" t="str">
        <f>MONTH(B1256)&amp;"-"&amp;YEAR(B1256)</f>
        <v>7-2023</v>
      </c>
      <c r="U1256" s="2">
        <f>YEAR(B1256)</f>
        <v>2023</v>
      </c>
      <c r="V1256" s="2" t="str">
        <f>IF(DAY(B1256)&gt;15,MONTH(B1256)&amp;"-C",MONTH(B1256)&amp;"-N")</f>
        <v>7-N</v>
      </c>
      <c r="W1256" s="21">
        <v>3.5</v>
      </c>
      <c r="X1256" s="2" t="b">
        <f t="shared" si="827"/>
        <v>1</v>
      </c>
    </row>
    <row r="1257" spans="2:24" x14ac:dyDescent="0.2">
      <c r="B1257" s="17">
        <v>45122</v>
      </c>
      <c r="C1257" s="10" t="s">
        <v>80</v>
      </c>
      <c r="D1257" s="11" t="s">
        <v>2792</v>
      </c>
      <c r="E1257" s="26">
        <v>69406</v>
      </c>
      <c r="F1257" s="10" t="s">
        <v>26</v>
      </c>
      <c r="G1257" s="10" t="s">
        <v>27</v>
      </c>
      <c r="H1257" s="27" t="s">
        <v>28</v>
      </c>
      <c r="I1257" s="12" t="s">
        <v>1843</v>
      </c>
      <c r="J1257" s="12" t="s">
        <v>1843</v>
      </c>
      <c r="K1257" s="13">
        <v>2700</v>
      </c>
      <c r="L1257" s="21">
        <v>3.5</v>
      </c>
      <c r="M1257" s="14" t="s">
        <v>14</v>
      </c>
      <c r="N1257" s="13">
        <v>9450</v>
      </c>
      <c r="O1257" s="15">
        <f t="shared" si="826"/>
        <v>0</v>
      </c>
      <c r="P1257" s="10" t="s">
        <v>78</v>
      </c>
      <c r="Q1257" s="11" t="s">
        <v>2817</v>
      </c>
      <c r="R1257" s="11" t="s">
        <v>2818</v>
      </c>
      <c r="S1257" s="16" t="s">
        <v>2819</v>
      </c>
      <c r="T1257" s="19" t="str">
        <f>MONTH(B1257)&amp;"-"&amp;YEAR(B1257)</f>
        <v>7-2023</v>
      </c>
      <c r="U1257" s="2">
        <f>YEAR(B1257)</f>
        <v>2023</v>
      </c>
      <c r="V1257" s="2" t="str">
        <f>IF(DAY(B1257)&gt;15,MONTH(B1257)&amp;"-C",MONTH(B1257)&amp;"-N")</f>
        <v>7-N</v>
      </c>
      <c r="W1257" s="21">
        <v>3.5</v>
      </c>
      <c r="X1257" s="2" t="b">
        <f t="shared" si="827"/>
        <v>1</v>
      </c>
    </row>
    <row r="1258" spans="2:24" x14ac:dyDescent="0.2">
      <c r="B1258" s="17">
        <v>45124</v>
      </c>
      <c r="C1258" s="10" t="s">
        <v>80</v>
      </c>
      <c r="D1258" s="11" t="s">
        <v>2792</v>
      </c>
      <c r="E1258" s="26">
        <v>69412</v>
      </c>
      <c r="F1258" s="10" t="s">
        <v>26</v>
      </c>
      <c r="G1258" s="10" t="s">
        <v>27</v>
      </c>
      <c r="H1258" s="27" t="s">
        <v>28</v>
      </c>
      <c r="I1258" s="28" t="s">
        <v>1843</v>
      </c>
      <c r="J1258" s="12" t="s">
        <v>1843</v>
      </c>
      <c r="K1258" s="13">
        <v>3600</v>
      </c>
      <c r="L1258" s="21">
        <v>3.5</v>
      </c>
      <c r="M1258" s="14" t="s">
        <v>14</v>
      </c>
      <c r="N1258" s="13">
        <v>12600</v>
      </c>
      <c r="O1258" s="15">
        <f t="shared" ref="O1258:O1260" si="828">(N1258/K1258)-L1258</f>
        <v>0</v>
      </c>
      <c r="P1258" s="10" t="s">
        <v>78</v>
      </c>
      <c r="Q1258" s="11" t="s">
        <v>2820</v>
      </c>
      <c r="R1258" s="11" t="s">
        <v>2821</v>
      </c>
      <c r="S1258" s="16" t="s">
        <v>2822</v>
      </c>
      <c r="T1258" s="19" t="str">
        <f>MONTH(B1258)&amp;"-"&amp;YEAR(B1258)</f>
        <v>7-2023</v>
      </c>
      <c r="U1258" s="2">
        <f>YEAR(B1258)</f>
        <v>2023</v>
      </c>
      <c r="V1258" s="2" t="str">
        <f>IF(DAY(B1258)&gt;15,MONTH(B1258)&amp;"-C",MONTH(B1258)&amp;"-N")</f>
        <v>7-C</v>
      </c>
      <c r="W1258" s="21">
        <v>3.5</v>
      </c>
      <c r="X1258" s="2" t="b">
        <f t="shared" ref="X1258:X1260" si="829">+L1258=W1258</f>
        <v>1</v>
      </c>
    </row>
    <row r="1259" spans="2:24" x14ac:dyDescent="0.2">
      <c r="B1259" s="17">
        <v>45124</v>
      </c>
      <c r="C1259" s="10" t="s">
        <v>107</v>
      </c>
      <c r="D1259" s="11" t="s">
        <v>2834</v>
      </c>
      <c r="E1259" s="26">
        <v>69413</v>
      </c>
      <c r="F1259" s="10" t="s">
        <v>103</v>
      </c>
      <c r="G1259" s="10" t="s">
        <v>46</v>
      </c>
      <c r="H1259" s="27" t="s">
        <v>104</v>
      </c>
      <c r="I1259" s="28" t="s">
        <v>1843</v>
      </c>
      <c r="J1259" s="12" t="s">
        <v>1843</v>
      </c>
      <c r="K1259" s="13">
        <v>220</v>
      </c>
      <c r="L1259" s="21">
        <v>47.46</v>
      </c>
      <c r="M1259" s="14" t="s">
        <v>14</v>
      </c>
      <c r="N1259" s="13">
        <v>10441.200000000001</v>
      </c>
      <c r="O1259" s="15">
        <f t="shared" si="828"/>
        <v>0</v>
      </c>
      <c r="P1259" s="10" t="s">
        <v>84</v>
      </c>
      <c r="Q1259" s="11" t="s">
        <v>2835</v>
      </c>
      <c r="R1259" s="11" t="s">
        <v>2836</v>
      </c>
      <c r="S1259" s="16" t="s">
        <v>2837</v>
      </c>
      <c r="T1259" s="19" t="str">
        <f>MONTH(B1259)&amp;"-"&amp;YEAR(B1259)</f>
        <v>7-2023</v>
      </c>
      <c r="U1259" s="2">
        <f>YEAR(B1259)</f>
        <v>2023</v>
      </c>
      <c r="V1259" s="2" t="str">
        <f>IF(DAY(B1259)&gt;15,MONTH(B1259)&amp;"-C",MONTH(B1259)&amp;"-N")</f>
        <v>7-C</v>
      </c>
      <c r="W1259" s="21">
        <v>47.46</v>
      </c>
      <c r="X1259" s="2" t="b">
        <f t="shared" si="829"/>
        <v>1</v>
      </c>
    </row>
    <row r="1260" spans="2:24" x14ac:dyDescent="0.2">
      <c r="B1260" s="17">
        <v>45124</v>
      </c>
      <c r="C1260" s="10" t="s">
        <v>107</v>
      </c>
      <c r="D1260" s="11" t="s">
        <v>2834</v>
      </c>
      <c r="E1260" s="26">
        <v>69413</v>
      </c>
      <c r="F1260" s="10" t="s">
        <v>105</v>
      </c>
      <c r="G1260" s="10" t="s">
        <v>46</v>
      </c>
      <c r="H1260" s="27" t="s">
        <v>106</v>
      </c>
      <c r="I1260" s="28" t="s">
        <v>1843</v>
      </c>
      <c r="J1260" s="12" t="s">
        <v>1843</v>
      </c>
      <c r="K1260" s="13">
        <v>7040</v>
      </c>
      <c r="L1260" s="21">
        <v>11.72</v>
      </c>
      <c r="M1260" s="14" t="s">
        <v>14</v>
      </c>
      <c r="N1260" s="13">
        <v>82508.800000000003</v>
      </c>
      <c r="O1260" s="15">
        <f t="shared" si="828"/>
        <v>0</v>
      </c>
      <c r="P1260" s="10" t="s">
        <v>84</v>
      </c>
      <c r="Q1260" s="11" t="s">
        <v>2835</v>
      </c>
      <c r="R1260" s="11" t="s">
        <v>2836</v>
      </c>
      <c r="S1260" s="16" t="s">
        <v>2837</v>
      </c>
      <c r="T1260" s="19" t="str">
        <f>MONTH(B1260)&amp;"-"&amp;YEAR(B1260)</f>
        <v>7-2023</v>
      </c>
      <c r="U1260" s="2">
        <f>YEAR(B1260)</f>
        <v>2023</v>
      </c>
      <c r="V1260" s="2" t="str">
        <f>IF(DAY(B1260)&gt;15,MONTH(B1260)&amp;"-C",MONTH(B1260)&amp;"-N")</f>
        <v>7-C</v>
      </c>
      <c r="W1260" s="21">
        <v>11.72</v>
      </c>
      <c r="X1260" s="2" t="b">
        <f t="shared" si="829"/>
        <v>1</v>
      </c>
    </row>
    <row r="1261" spans="2:24" x14ac:dyDescent="0.2">
      <c r="B1261" s="17">
        <v>45124</v>
      </c>
      <c r="C1261" s="10" t="s">
        <v>107</v>
      </c>
      <c r="D1261" s="11" t="s">
        <v>2878</v>
      </c>
      <c r="E1261" s="26">
        <v>69424</v>
      </c>
      <c r="F1261" s="10" t="s">
        <v>142</v>
      </c>
      <c r="G1261" s="10" t="s">
        <v>46</v>
      </c>
      <c r="H1261" s="27" t="s">
        <v>143</v>
      </c>
      <c r="I1261" s="28" t="s">
        <v>1843</v>
      </c>
      <c r="J1261" s="12" t="s">
        <v>1843</v>
      </c>
      <c r="K1261" s="13">
        <v>440</v>
      </c>
      <c r="L1261" s="21">
        <v>10.08</v>
      </c>
      <c r="M1261" s="14" t="s">
        <v>14</v>
      </c>
      <c r="N1261" s="13">
        <v>4435.2</v>
      </c>
      <c r="O1261" s="15">
        <f t="shared" ref="O1261:O1263" si="830">(N1261/K1261)-L1261</f>
        <v>0</v>
      </c>
      <c r="P1261" s="10" t="s">
        <v>84</v>
      </c>
      <c r="Q1261" s="11" t="s">
        <v>2879</v>
      </c>
      <c r="R1261" s="11" t="s">
        <v>2880</v>
      </c>
      <c r="S1261" s="16" t="s">
        <v>2881</v>
      </c>
      <c r="T1261" s="19" t="str">
        <f>MONTH(B1261)&amp;"-"&amp;YEAR(B1261)</f>
        <v>7-2023</v>
      </c>
      <c r="U1261" s="2">
        <f>YEAR(B1261)</f>
        <v>2023</v>
      </c>
      <c r="V1261" s="2" t="str">
        <f>IF(DAY(B1261)&gt;15,MONTH(B1261)&amp;"-C",MONTH(B1261)&amp;"-N")</f>
        <v>7-C</v>
      </c>
      <c r="W1261" s="21">
        <v>10.08</v>
      </c>
      <c r="X1261" s="2" t="b">
        <f t="shared" ref="X1261:X1263" si="831">+L1261=W1261</f>
        <v>1</v>
      </c>
    </row>
    <row r="1262" spans="2:24" x14ac:dyDescent="0.2">
      <c r="B1262" s="17">
        <v>45124</v>
      </c>
      <c r="C1262" s="10" t="s">
        <v>107</v>
      </c>
      <c r="D1262" s="11" t="s">
        <v>2878</v>
      </c>
      <c r="E1262" s="26">
        <v>69424</v>
      </c>
      <c r="F1262" s="10" t="s">
        <v>2882</v>
      </c>
      <c r="G1262" s="10" t="s">
        <v>46</v>
      </c>
      <c r="H1262" s="27" t="s">
        <v>2883</v>
      </c>
      <c r="I1262" s="28" t="s">
        <v>1843</v>
      </c>
      <c r="J1262" s="12" t="s">
        <v>1843</v>
      </c>
      <c r="K1262" s="13">
        <v>100</v>
      </c>
      <c r="L1262" s="21">
        <v>11.11</v>
      </c>
      <c r="M1262" s="14" t="s">
        <v>14</v>
      </c>
      <c r="N1262" s="13">
        <v>1111</v>
      </c>
      <c r="O1262" s="15">
        <f t="shared" si="830"/>
        <v>0</v>
      </c>
      <c r="P1262" s="10" t="s">
        <v>84</v>
      </c>
      <c r="Q1262" s="11" t="s">
        <v>2879</v>
      </c>
      <c r="R1262" s="11" t="s">
        <v>2880</v>
      </c>
      <c r="S1262" s="16" t="s">
        <v>2881</v>
      </c>
      <c r="T1262" s="19" t="str">
        <f>MONTH(B1262)&amp;"-"&amp;YEAR(B1262)</f>
        <v>7-2023</v>
      </c>
      <c r="U1262" s="2">
        <f>YEAR(B1262)</f>
        <v>2023</v>
      </c>
      <c r="V1262" s="2" t="str">
        <f>IF(DAY(B1262)&gt;15,MONTH(B1262)&amp;"-C",MONTH(B1262)&amp;"-N")</f>
        <v>7-C</v>
      </c>
      <c r="W1262" s="21">
        <v>11.11</v>
      </c>
      <c r="X1262" s="2" t="b">
        <f t="shared" si="831"/>
        <v>1</v>
      </c>
    </row>
    <row r="1263" spans="2:24" x14ac:dyDescent="0.2">
      <c r="B1263" s="17">
        <v>45125</v>
      </c>
      <c r="C1263" s="10" t="s">
        <v>80</v>
      </c>
      <c r="D1263" s="11" t="s">
        <v>2792</v>
      </c>
      <c r="E1263" s="26">
        <v>69430</v>
      </c>
      <c r="F1263" s="10" t="s">
        <v>26</v>
      </c>
      <c r="G1263" s="10" t="s">
        <v>27</v>
      </c>
      <c r="H1263" s="27" t="s">
        <v>28</v>
      </c>
      <c r="I1263" s="28" t="s">
        <v>1843</v>
      </c>
      <c r="J1263" s="12" t="s">
        <v>1843</v>
      </c>
      <c r="K1263" s="13">
        <v>4500</v>
      </c>
      <c r="L1263" s="21">
        <v>3.5</v>
      </c>
      <c r="M1263" s="14" t="s">
        <v>14</v>
      </c>
      <c r="N1263" s="13">
        <v>15750</v>
      </c>
      <c r="O1263" s="15">
        <f t="shared" si="830"/>
        <v>0</v>
      </c>
      <c r="P1263" s="10" t="s">
        <v>78</v>
      </c>
      <c r="Q1263" s="11" t="s">
        <v>2842</v>
      </c>
      <c r="R1263" s="11" t="s">
        <v>2843</v>
      </c>
      <c r="S1263" s="16" t="s">
        <v>2844</v>
      </c>
      <c r="T1263" s="19" t="str">
        <f>MONTH(B1263)&amp;"-"&amp;YEAR(B1263)</f>
        <v>7-2023</v>
      </c>
      <c r="U1263" s="2">
        <f>YEAR(B1263)</f>
        <v>2023</v>
      </c>
      <c r="V1263" s="2" t="str">
        <f>IF(DAY(B1263)&gt;15,MONTH(B1263)&amp;"-C",MONTH(B1263)&amp;"-N")</f>
        <v>7-C</v>
      </c>
      <c r="W1263" s="21">
        <v>3.5</v>
      </c>
      <c r="X1263" s="2" t="b">
        <f t="shared" si="831"/>
        <v>1</v>
      </c>
    </row>
    <row r="1264" spans="2:24" x14ac:dyDescent="0.2">
      <c r="B1264" s="17">
        <v>45126</v>
      </c>
      <c r="C1264" s="10" t="s">
        <v>80</v>
      </c>
      <c r="D1264" s="11" t="s">
        <v>2792</v>
      </c>
      <c r="E1264" s="26">
        <v>69411</v>
      </c>
      <c r="F1264" s="10" t="s">
        <v>26</v>
      </c>
      <c r="G1264" s="10" t="s">
        <v>27</v>
      </c>
      <c r="H1264" s="27" t="s">
        <v>28</v>
      </c>
      <c r="I1264" s="28" t="s">
        <v>1843</v>
      </c>
      <c r="J1264" s="12" t="s">
        <v>1843</v>
      </c>
      <c r="K1264" s="13">
        <v>4500</v>
      </c>
      <c r="L1264" s="21">
        <v>3.5</v>
      </c>
      <c r="M1264" s="14" t="s">
        <v>14</v>
      </c>
      <c r="N1264" s="13">
        <v>15750</v>
      </c>
      <c r="O1264" s="15">
        <f t="shared" ref="O1264:O1270" si="832">(N1264/K1264)-L1264</f>
        <v>0</v>
      </c>
      <c r="P1264" s="10" t="s">
        <v>78</v>
      </c>
      <c r="Q1264" s="11" t="s">
        <v>2793</v>
      </c>
      <c r="R1264" s="11" t="s">
        <v>2794</v>
      </c>
      <c r="S1264" s="16" t="s">
        <v>2795</v>
      </c>
      <c r="T1264" s="19" t="str">
        <f>MONTH(B1264)&amp;"-"&amp;YEAR(B1264)</f>
        <v>7-2023</v>
      </c>
      <c r="U1264" s="2">
        <f>YEAR(B1264)</f>
        <v>2023</v>
      </c>
      <c r="V1264" s="2" t="str">
        <f>IF(DAY(B1264)&gt;15,MONTH(B1264)&amp;"-C",MONTH(B1264)&amp;"-N")</f>
        <v>7-C</v>
      </c>
      <c r="W1264" s="21">
        <v>3.5</v>
      </c>
      <c r="X1264" s="2" t="b">
        <f t="shared" ref="X1264:X1270" si="833">+L1264=W1264</f>
        <v>1</v>
      </c>
    </row>
    <row r="1265" spans="2:24" x14ac:dyDescent="0.2">
      <c r="B1265" s="17">
        <v>45126</v>
      </c>
      <c r="C1265" s="10" t="s">
        <v>48</v>
      </c>
      <c r="D1265" s="11" t="s">
        <v>2830</v>
      </c>
      <c r="E1265" s="26">
        <v>69453</v>
      </c>
      <c r="F1265" s="10" t="s">
        <v>71</v>
      </c>
      <c r="G1265" s="10" t="s">
        <v>46</v>
      </c>
      <c r="H1265" s="27" t="s">
        <v>72</v>
      </c>
      <c r="I1265" s="28" t="s">
        <v>1843</v>
      </c>
      <c r="J1265" s="12" t="s">
        <v>1843</v>
      </c>
      <c r="K1265" s="13">
        <v>10200</v>
      </c>
      <c r="L1265" s="21">
        <v>12.131</v>
      </c>
      <c r="M1265" s="14" t="s">
        <v>14</v>
      </c>
      <c r="N1265" s="13">
        <v>123734.16</v>
      </c>
      <c r="O1265" s="15">
        <f t="shared" si="832"/>
        <v>-1.9999999999953388E-4</v>
      </c>
      <c r="P1265" s="10" t="s">
        <v>90</v>
      </c>
      <c r="Q1265" s="11" t="s">
        <v>2831</v>
      </c>
      <c r="R1265" s="11" t="s">
        <v>2832</v>
      </c>
      <c r="S1265" s="16" t="s">
        <v>2833</v>
      </c>
      <c r="T1265" s="19" t="str">
        <f>MONTH(B1265)&amp;"-"&amp;YEAR(B1265)</f>
        <v>7-2023</v>
      </c>
      <c r="U1265" s="2">
        <f>YEAR(B1265)</f>
        <v>2023</v>
      </c>
      <c r="V1265" s="2" t="str">
        <f>IF(DAY(B1265)&gt;15,MONTH(B1265)&amp;"-C",MONTH(B1265)&amp;"-N")</f>
        <v>7-C</v>
      </c>
      <c r="W1265" s="21">
        <v>12.131</v>
      </c>
      <c r="X1265" s="2" t="b">
        <f t="shared" si="833"/>
        <v>1</v>
      </c>
    </row>
    <row r="1266" spans="2:24" x14ac:dyDescent="0.2">
      <c r="B1266" s="17">
        <v>45126</v>
      </c>
      <c r="C1266" s="10" t="s">
        <v>48</v>
      </c>
      <c r="D1266" s="11" t="s">
        <v>2830</v>
      </c>
      <c r="E1266" s="26">
        <v>69453</v>
      </c>
      <c r="F1266" s="10" t="s">
        <v>2552</v>
      </c>
      <c r="G1266" s="10" t="s">
        <v>46</v>
      </c>
      <c r="H1266" s="27" t="s">
        <v>2553</v>
      </c>
      <c r="I1266" s="28" t="s">
        <v>1843</v>
      </c>
      <c r="J1266" s="12" t="s">
        <v>1843</v>
      </c>
      <c r="K1266" s="13">
        <v>5800</v>
      </c>
      <c r="L1266" s="21">
        <v>12.131</v>
      </c>
      <c r="M1266" s="14" t="s">
        <v>14</v>
      </c>
      <c r="N1266" s="13">
        <v>70358.64</v>
      </c>
      <c r="O1266" s="15">
        <f t="shared" si="832"/>
        <v>-1.9999999999953388E-4</v>
      </c>
      <c r="P1266" s="10" t="s">
        <v>90</v>
      </c>
      <c r="Q1266" s="11" t="s">
        <v>2831</v>
      </c>
      <c r="R1266" s="11" t="s">
        <v>2832</v>
      </c>
      <c r="S1266" s="16" t="s">
        <v>2833</v>
      </c>
      <c r="T1266" s="19" t="str">
        <f>MONTH(B1266)&amp;"-"&amp;YEAR(B1266)</f>
        <v>7-2023</v>
      </c>
      <c r="U1266" s="2">
        <f>YEAR(B1266)</f>
        <v>2023</v>
      </c>
      <c r="V1266" s="2" t="str">
        <f>IF(DAY(B1266)&gt;15,MONTH(B1266)&amp;"-C",MONTH(B1266)&amp;"-N")</f>
        <v>7-C</v>
      </c>
      <c r="W1266" s="21">
        <v>12.131</v>
      </c>
      <c r="X1266" s="2" t="b">
        <f t="shared" si="833"/>
        <v>1</v>
      </c>
    </row>
    <row r="1267" spans="2:24" x14ac:dyDescent="0.2">
      <c r="B1267" s="17">
        <v>45126</v>
      </c>
      <c r="C1267" s="10" t="s">
        <v>80</v>
      </c>
      <c r="D1267" s="11" t="s">
        <v>2792</v>
      </c>
      <c r="E1267" s="26">
        <v>69452</v>
      </c>
      <c r="F1267" s="10" t="s">
        <v>26</v>
      </c>
      <c r="G1267" s="10" t="s">
        <v>27</v>
      </c>
      <c r="H1267" s="27" t="s">
        <v>28</v>
      </c>
      <c r="I1267" s="28" t="s">
        <v>1843</v>
      </c>
      <c r="J1267" s="12" t="s">
        <v>1843</v>
      </c>
      <c r="K1267" s="13">
        <v>11700</v>
      </c>
      <c r="L1267" s="21">
        <v>3.5</v>
      </c>
      <c r="M1267" s="14" t="s">
        <v>14</v>
      </c>
      <c r="N1267" s="13">
        <v>40950</v>
      </c>
      <c r="O1267" s="15">
        <f t="shared" si="832"/>
        <v>0</v>
      </c>
      <c r="P1267" s="10" t="s">
        <v>78</v>
      </c>
      <c r="Q1267" s="11" t="s">
        <v>2851</v>
      </c>
      <c r="R1267" s="11" t="s">
        <v>2852</v>
      </c>
      <c r="S1267" s="16" t="s">
        <v>2853</v>
      </c>
      <c r="T1267" s="19" t="str">
        <f>MONTH(B1267)&amp;"-"&amp;YEAR(B1267)</f>
        <v>7-2023</v>
      </c>
      <c r="U1267" s="2">
        <f>YEAR(B1267)</f>
        <v>2023</v>
      </c>
      <c r="V1267" s="2" t="str">
        <f>IF(DAY(B1267)&gt;15,MONTH(B1267)&amp;"-C",MONTH(B1267)&amp;"-N")</f>
        <v>7-C</v>
      </c>
      <c r="W1267" s="21">
        <v>3.5</v>
      </c>
      <c r="X1267" s="2" t="b">
        <f t="shared" si="833"/>
        <v>1</v>
      </c>
    </row>
    <row r="1268" spans="2:24" x14ac:dyDescent="0.2">
      <c r="B1268" s="17">
        <v>45126</v>
      </c>
      <c r="C1268" s="10" t="s">
        <v>25</v>
      </c>
      <c r="D1268" s="11" t="s">
        <v>2538</v>
      </c>
      <c r="E1268" s="26">
        <v>69454</v>
      </c>
      <c r="F1268" s="10" t="s">
        <v>49</v>
      </c>
      <c r="G1268" s="10" t="s">
        <v>27</v>
      </c>
      <c r="H1268" s="27" t="s">
        <v>50</v>
      </c>
      <c r="I1268" s="28" t="s">
        <v>1843</v>
      </c>
      <c r="J1268" s="12" t="s">
        <v>1843</v>
      </c>
      <c r="K1268" s="13">
        <v>760</v>
      </c>
      <c r="L1268" s="21">
        <v>5.27</v>
      </c>
      <c r="M1268" s="14" t="s">
        <v>14</v>
      </c>
      <c r="N1268" s="13">
        <v>4005.2</v>
      </c>
      <c r="O1268" s="15">
        <f t="shared" si="832"/>
        <v>0</v>
      </c>
      <c r="P1268" s="10" t="s">
        <v>78</v>
      </c>
      <c r="Q1268" s="11" t="s">
        <v>2868</v>
      </c>
      <c r="R1268" s="11" t="s">
        <v>2869</v>
      </c>
      <c r="S1268" s="16" t="s">
        <v>2870</v>
      </c>
      <c r="T1268" s="19" t="str">
        <f>MONTH(B1268)&amp;"-"&amp;YEAR(B1268)</f>
        <v>7-2023</v>
      </c>
      <c r="U1268" s="2">
        <f>YEAR(B1268)</f>
        <v>2023</v>
      </c>
      <c r="V1268" s="2" t="str">
        <f>IF(DAY(B1268)&gt;15,MONTH(B1268)&amp;"-C",MONTH(B1268)&amp;"-N")</f>
        <v>7-C</v>
      </c>
      <c r="W1268" s="21">
        <v>5.27</v>
      </c>
      <c r="X1268" s="2" t="b">
        <f t="shared" si="833"/>
        <v>1</v>
      </c>
    </row>
    <row r="1269" spans="2:24" x14ac:dyDescent="0.2">
      <c r="B1269" s="17">
        <v>45126</v>
      </c>
      <c r="C1269" s="10" t="s">
        <v>25</v>
      </c>
      <c r="D1269" s="11" t="s">
        <v>2725</v>
      </c>
      <c r="E1269" s="26">
        <v>69456</v>
      </c>
      <c r="F1269" s="10" t="s">
        <v>31</v>
      </c>
      <c r="G1269" s="10" t="s">
        <v>27</v>
      </c>
      <c r="H1269" s="27" t="s">
        <v>32</v>
      </c>
      <c r="I1269" s="28" t="s">
        <v>1843</v>
      </c>
      <c r="J1269" s="12" t="s">
        <v>1843</v>
      </c>
      <c r="K1269" s="13">
        <v>1280</v>
      </c>
      <c r="L1269" s="21">
        <v>3.52</v>
      </c>
      <c r="M1269" s="14" t="s">
        <v>14</v>
      </c>
      <c r="N1269" s="13">
        <v>4505.6000000000004</v>
      </c>
      <c r="O1269" s="15">
        <f t="shared" si="832"/>
        <v>0</v>
      </c>
      <c r="P1269" s="10" t="s">
        <v>78</v>
      </c>
      <c r="Q1269" s="11" t="s">
        <v>2871</v>
      </c>
      <c r="R1269" s="11" t="s">
        <v>2872</v>
      </c>
      <c r="S1269" s="16" t="s">
        <v>2873</v>
      </c>
      <c r="T1269" s="19" t="str">
        <f>MONTH(B1269)&amp;"-"&amp;YEAR(B1269)</f>
        <v>7-2023</v>
      </c>
      <c r="U1269" s="2">
        <f>YEAR(B1269)</f>
        <v>2023</v>
      </c>
      <c r="V1269" s="2" t="str">
        <f>IF(DAY(B1269)&gt;15,MONTH(B1269)&amp;"-C",MONTH(B1269)&amp;"-N")</f>
        <v>7-C</v>
      </c>
      <c r="W1269" s="21">
        <v>3.52</v>
      </c>
      <c r="X1269" s="2" t="b">
        <f t="shared" si="833"/>
        <v>1</v>
      </c>
    </row>
    <row r="1270" spans="2:24" x14ac:dyDescent="0.2">
      <c r="B1270" s="17">
        <v>45126</v>
      </c>
      <c r="C1270" s="10" t="s">
        <v>25</v>
      </c>
      <c r="D1270" s="11" t="s">
        <v>2874</v>
      </c>
      <c r="E1270" s="26">
        <v>69455</v>
      </c>
      <c r="F1270" s="10" t="s">
        <v>33</v>
      </c>
      <c r="G1270" s="10" t="s">
        <v>27</v>
      </c>
      <c r="H1270" s="27" t="s">
        <v>34</v>
      </c>
      <c r="I1270" s="28" t="s">
        <v>1843</v>
      </c>
      <c r="J1270" s="12" t="s">
        <v>1843</v>
      </c>
      <c r="K1270" s="13">
        <v>3600</v>
      </c>
      <c r="L1270" s="21">
        <v>5.25</v>
      </c>
      <c r="M1270" s="14" t="s">
        <v>14</v>
      </c>
      <c r="N1270" s="13">
        <v>18900</v>
      </c>
      <c r="O1270" s="15">
        <f t="shared" si="832"/>
        <v>0</v>
      </c>
      <c r="P1270" s="10" t="s">
        <v>78</v>
      </c>
      <c r="Q1270" s="11" t="s">
        <v>2875</v>
      </c>
      <c r="R1270" s="11" t="s">
        <v>2876</v>
      </c>
      <c r="S1270" s="16" t="s">
        <v>2877</v>
      </c>
      <c r="T1270" s="19" t="str">
        <f>MONTH(B1270)&amp;"-"&amp;YEAR(B1270)</f>
        <v>7-2023</v>
      </c>
      <c r="U1270" s="2">
        <f>YEAR(B1270)</f>
        <v>2023</v>
      </c>
      <c r="V1270" s="2" t="str">
        <f>IF(DAY(B1270)&gt;15,MONTH(B1270)&amp;"-C",MONTH(B1270)&amp;"-N")</f>
        <v>7-C</v>
      </c>
      <c r="W1270" s="21">
        <v>5.25</v>
      </c>
      <c r="X1270" s="2" t="b">
        <f t="shared" si="833"/>
        <v>1</v>
      </c>
    </row>
    <row r="1271" spans="2:24" x14ac:dyDescent="0.2">
      <c r="B1271" s="17">
        <v>45129</v>
      </c>
      <c r="C1271" s="10" t="s">
        <v>80</v>
      </c>
      <c r="D1271" s="11" t="s">
        <v>2792</v>
      </c>
      <c r="E1271" s="26">
        <v>69481</v>
      </c>
      <c r="F1271" s="10" t="s">
        <v>26</v>
      </c>
      <c r="G1271" s="10" t="s">
        <v>27</v>
      </c>
      <c r="H1271" s="27" t="s">
        <v>28</v>
      </c>
      <c r="I1271" s="28" t="s">
        <v>1843</v>
      </c>
      <c r="J1271" s="12" t="s">
        <v>1843</v>
      </c>
      <c r="K1271" s="13">
        <v>2700</v>
      </c>
      <c r="L1271" s="21">
        <v>3.5</v>
      </c>
      <c r="M1271" s="14" t="s">
        <v>14</v>
      </c>
      <c r="N1271" s="13">
        <v>9450</v>
      </c>
      <c r="O1271" s="15">
        <f t="shared" ref="O1271:O1274" si="834">(N1271/K1271)-L1271</f>
        <v>0</v>
      </c>
      <c r="P1271" s="10" t="s">
        <v>78</v>
      </c>
      <c r="Q1271" s="11" t="s">
        <v>2848</v>
      </c>
      <c r="R1271" s="11" t="s">
        <v>2849</v>
      </c>
      <c r="S1271" s="16" t="s">
        <v>2850</v>
      </c>
      <c r="T1271" s="19" t="str">
        <f>MONTH(B1271)&amp;"-"&amp;YEAR(B1271)</f>
        <v>7-2023</v>
      </c>
      <c r="U1271" s="2">
        <f>YEAR(B1271)</f>
        <v>2023</v>
      </c>
      <c r="V1271" s="2" t="str">
        <f>IF(DAY(B1271)&gt;15,MONTH(B1271)&amp;"-C",MONTH(B1271)&amp;"-N")</f>
        <v>7-C</v>
      </c>
      <c r="W1271" s="21">
        <v>3.5</v>
      </c>
      <c r="X1271" s="2" t="b">
        <f t="shared" ref="X1271:X1274" si="835">+L1271=W1271</f>
        <v>1</v>
      </c>
    </row>
    <row r="1272" spans="2:24" x14ac:dyDescent="0.2">
      <c r="B1272" s="17">
        <v>45131</v>
      </c>
      <c r="C1272" s="10" t="s">
        <v>80</v>
      </c>
      <c r="D1272" s="11" t="s">
        <v>2792</v>
      </c>
      <c r="E1272" s="26">
        <v>69516</v>
      </c>
      <c r="F1272" s="10" t="s">
        <v>26</v>
      </c>
      <c r="G1272" s="10" t="s">
        <v>27</v>
      </c>
      <c r="H1272" s="27" t="s">
        <v>28</v>
      </c>
      <c r="I1272" s="28" t="s">
        <v>1843</v>
      </c>
      <c r="J1272" s="12" t="s">
        <v>1843</v>
      </c>
      <c r="K1272" s="13">
        <v>5400</v>
      </c>
      <c r="L1272" s="21">
        <v>3.5</v>
      </c>
      <c r="M1272" s="14" t="s">
        <v>14</v>
      </c>
      <c r="N1272" s="13">
        <v>18900</v>
      </c>
      <c r="O1272" s="15">
        <f t="shared" si="834"/>
        <v>0</v>
      </c>
      <c r="P1272" s="10" t="s">
        <v>78</v>
      </c>
      <c r="Q1272" s="11" t="s">
        <v>2845</v>
      </c>
      <c r="R1272" s="11" t="s">
        <v>2846</v>
      </c>
      <c r="S1272" s="16" t="s">
        <v>2847</v>
      </c>
      <c r="T1272" s="19" t="str">
        <f>MONTH(B1272)&amp;"-"&amp;YEAR(B1272)</f>
        <v>7-2023</v>
      </c>
      <c r="U1272" s="2">
        <f>YEAR(B1272)</f>
        <v>2023</v>
      </c>
      <c r="V1272" s="2" t="str">
        <f>IF(DAY(B1272)&gt;15,MONTH(B1272)&amp;"-C",MONTH(B1272)&amp;"-N")</f>
        <v>7-C</v>
      </c>
      <c r="W1272" s="21">
        <v>3.5</v>
      </c>
      <c r="X1272" s="2" t="b">
        <f t="shared" si="835"/>
        <v>1</v>
      </c>
    </row>
    <row r="1273" spans="2:24" x14ac:dyDescent="0.2">
      <c r="B1273" s="17">
        <v>45131</v>
      </c>
      <c r="C1273" s="10" t="s">
        <v>88</v>
      </c>
      <c r="D1273" s="11" t="s">
        <v>2864</v>
      </c>
      <c r="E1273" s="26">
        <v>69517</v>
      </c>
      <c r="F1273" s="10" t="s">
        <v>98</v>
      </c>
      <c r="G1273" s="10" t="s">
        <v>46</v>
      </c>
      <c r="H1273" s="27" t="s">
        <v>99</v>
      </c>
      <c r="I1273" s="28" t="s">
        <v>1843</v>
      </c>
      <c r="J1273" s="12" t="s">
        <v>1843</v>
      </c>
      <c r="K1273" s="13">
        <v>52</v>
      </c>
      <c r="L1273" s="21">
        <v>11.63</v>
      </c>
      <c r="M1273" s="14" t="s">
        <v>14</v>
      </c>
      <c r="N1273" s="13">
        <v>604.76</v>
      </c>
      <c r="O1273" s="15">
        <f t="shared" si="834"/>
        <v>0</v>
      </c>
      <c r="P1273" s="10" t="s">
        <v>84</v>
      </c>
      <c r="Q1273" s="11" t="s">
        <v>2865</v>
      </c>
      <c r="R1273" s="11" t="s">
        <v>2866</v>
      </c>
      <c r="S1273" s="16" t="s">
        <v>2867</v>
      </c>
      <c r="T1273" s="19" t="str">
        <f>MONTH(B1273)&amp;"-"&amp;YEAR(B1273)</f>
        <v>7-2023</v>
      </c>
      <c r="U1273" s="2">
        <f>YEAR(B1273)</f>
        <v>2023</v>
      </c>
      <c r="V1273" s="2" t="str">
        <f>IF(DAY(B1273)&gt;15,MONTH(B1273)&amp;"-C",MONTH(B1273)&amp;"-N")</f>
        <v>7-C</v>
      </c>
      <c r="W1273" s="21">
        <v>11.63</v>
      </c>
      <c r="X1273" s="2" t="b">
        <f t="shared" si="835"/>
        <v>1</v>
      </c>
    </row>
    <row r="1274" spans="2:24" x14ac:dyDescent="0.2">
      <c r="B1274" s="17">
        <v>45131</v>
      </c>
      <c r="C1274" s="10" t="s">
        <v>88</v>
      </c>
      <c r="D1274" s="11" t="s">
        <v>2864</v>
      </c>
      <c r="E1274" s="26">
        <v>69517</v>
      </c>
      <c r="F1274" s="10" t="s">
        <v>100</v>
      </c>
      <c r="G1274" s="10" t="s">
        <v>46</v>
      </c>
      <c r="H1274" s="27" t="s">
        <v>101</v>
      </c>
      <c r="I1274" s="28" t="s">
        <v>1843</v>
      </c>
      <c r="J1274" s="12" t="s">
        <v>1843</v>
      </c>
      <c r="K1274" s="13">
        <v>2000</v>
      </c>
      <c r="L1274" s="21">
        <v>13.54</v>
      </c>
      <c r="M1274" s="14" t="s">
        <v>14</v>
      </c>
      <c r="N1274" s="13">
        <v>27080</v>
      </c>
      <c r="O1274" s="15">
        <f t="shared" si="834"/>
        <v>0</v>
      </c>
      <c r="P1274" s="10" t="s">
        <v>84</v>
      </c>
      <c r="Q1274" s="11" t="s">
        <v>2865</v>
      </c>
      <c r="R1274" s="11" t="s">
        <v>2866</v>
      </c>
      <c r="S1274" s="16" t="s">
        <v>2867</v>
      </c>
      <c r="T1274" s="19" t="str">
        <f>MONTH(B1274)&amp;"-"&amp;YEAR(B1274)</f>
        <v>7-2023</v>
      </c>
      <c r="U1274" s="2">
        <f>YEAR(B1274)</f>
        <v>2023</v>
      </c>
      <c r="V1274" s="2" t="str">
        <f>IF(DAY(B1274)&gt;15,MONTH(B1274)&amp;"-C",MONTH(B1274)&amp;"-N")</f>
        <v>7-C</v>
      </c>
      <c r="W1274" s="21">
        <v>13.54</v>
      </c>
      <c r="X1274" s="2" t="b">
        <f t="shared" si="835"/>
        <v>1</v>
      </c>
    </row>
    <row r="1275" spans="2:24" x14ac:dyDescent="0.2">
      <c r="B1275" s="17">
        <v>45133</v>
      </c>
      <c r="C1275" s="10" t="s">
        <v>94</v>
      </c>
      <c r="D1275" s="11" t="s">
        <v>2753</v>
      </c>
      <c r="E1275" s="26">
        <v>69568</v>
      </c>
      <c r="F1275" s="10" t="s">
        <v>26</v>
      </c>
      <c r="G1275" s="10" t="s">
        <v>27</v>
      </c>
      <c r="H1275" s="27" t="s">
        <v>28</v>
      </c>
      <c r="I1275" s="28" t="s">
        <v>1843</v>
      </c>
      <c r="J1275" s="12" t="s">
        <v>1843</v>
      </c>
      <c r="K1275" s="13">
        <v>2700</v>
      </c>
      <c r="L1275" s="21">
        <v>3.5</v>
      </c>
      <c r="M1275" s="14" t="s">
        <v>14</v>
      </c>
      <c r="N1275" s="13">
        <v>9450</v>
      </c>
      <c r="O1275" s="15">
        <f t="shared" ref="O1275:O1276" si="836">(N1275/K1275)-L1275</f>
        <v>0</v>
      </c>
      <c r="P1275" s="10" t="s">
        <v>78</v>
      </c>
      <c r="Q1275" s="11" t="s">
        <v>2854</v>
      </c>
      <c r="R1275" s="11" t="s">
        <v>2855</v>
      </c>
      <c r="S1275" s="16" t="s">
        <v>2856</v>
      </c>
      <c r="T1275" s="19" t="str">
        <f>MONTH(B1275)&amp;"-"&amp;YEAR(B1275)</f>
        <v>7-2023</v>
      </c>
      <c r="U1275" s="2">
        <f>YEAR(B1275)</f>
        <v>2023</v>
      </c>
      <c r="V1275" s="2" t="str">
        <f>IF(DAY(B1275)&gt;15,MONTH(B1275)&amp;"-C",MONTH(B1275)&amp;"-N")</f>
        <v>7-C</v>
      </c>
      <c r="W1275" s="21">
        <v>3.5</v>
      </c>
      <c r="X1275" s="2" t="b">
        <f t="shared" ref="X1275:X1276" si="837">+L1275=W1275</f>
        <v>1</v>
      </c>
    </row>
    <row r="1276" spans="2:24" x14ac:dyDescent="0.2">
      <c r="B1276" s="17">
        <v>45133</v>
      </c>
      <c r="C1276" s="10" t="s">
        <v>74</v>
      </c>
      <c r="D1276" s="11" t="s">
        <v>2860</v>
      </c>
      <c r="E1276" s="26">
        <v>69566</v>
      </c>
      <c r="F1276" s="10" t="s">
        <v>127</v>
      </c>
      <c r="G1276" s="10" t="s">
        <v>46</v>
      </c>
      <c r="H1276" s="27" t="s">
        <v>128</v>
      </c>
      <c r="I1276" s="28" t="s">
        <v>1843</v>
      </c>
      <c r="J1276" s="12" t="s">
        <v>1843</v>
      </c>
      <c r="K1276" s="13">
        <v>368</v>
      </c>
      <c r="L1276" s="21">
        <v>14.63</v>
      </c>
      <c r="M1276" s="14" t="s">
        <v>14</v>
      </c>
      <c r="N1276" s="13">
        <v>5383.84</v>
      </c>
      <c r="O1276" s="15">
        <f t="shared" si="836"/>
        <v>0</v>
      </c>
      <c r="P1276" s="10" t="s">
        <v>84</v>
      </c>
      <c r="Q1276" s="11" t="s">
        <v>2861</v>
      </c>
      <c r="R1276" s="11" t="s">
        <v>2862</v>
      </c>
      <c r="S1276" s="16" t="s">
        <v>2863</v>
      </c>
      <c r="T1276" s="19" t="str">
        <f>MONTH(B1276)&amp;"-"&amp;YEAR(B1276)</f>
        <v>7-2023</v>
      </c>
      <c r="U1276" s="2">
        <f>YEAR(B1276)</f>
        <v>2023</v>
      </c>
      <c r="V1276" s="2" t="str">
        <f>IF(DAY(B1276)&gt;15,MONTH(B1276)&amp;"-C",MONTH(B1276)&amp;"-N")</f>
        <v>7-C</v>
      </c>
      <c r="W1276" s="21">
        <v>14.63</v>
      </c>
      <c r="X1276" s="2" t="b">
        <f t="shared" si="837"/>
        <v>1</v>
      </c>
    </row>
    <row r="1277" spans="2:24" x14ac:dyDescent="0.2">
      <c r="B1277" s="17">
        <v>45134</v>
      </c>
      <c r="C1277" s="10" t="s">
        <v>94</v>
      </c>
      <c r="D1277" s="11" t="s">
        <v>2753</v>
      </c>
      <c r="E1277" s="26">
        <v>69581</v>
      </c>
      <c r="F1277" s="10" t="s">
        <v>26</v>
      </c>
      <c r="G1277" s="10" t="s">
        <v>27</v>
      </c>
      <c r="H1277" s="27" t="s">
        <v>28</v>
      </c>
      <c r="I1277" s="28" t="s">
        <v>1843</v>
      </c>
      <c r="J1277" s="12" t="s">
        <v>1843</v>
      </c>
      <c r="K1277" s="13">
        <v>15300</v>
      </c>
      <c r="L1277" s="21">
        <v>3.5</v>
      </c>
      <c r="M1277" s="14" t="s">
        <v>14</v>
      </c>
      <c r="N1277" s="13">
        <v>53550</v>
      </c>
      <c r="O1277" s="15">
        <f t="shared" ref="O1277" si="838">(N1277/K1277)-L1277</f>
        <v>0</v>
      </c>
      <c r="P1277" s="10" t="s">
        <v>78</v>
      </c>
      <c r="Q1277" s="11" t="s">
        <v>2857</v>
      </c>
      <c r="R1277" s="11" t="s">
        <v>2858</v>
      </c>
      <c r="S1277" s="16" t="s">
        <v>2859</v>
      </c>
      <c r="T1277" s="19" t="str">
        <f>MONTH(B1277)&amp;"-"&amp;YEAR(B1277)</f>
        <v>7-2023</v>
      </c>
      <c r="U1277" s="2">
        <f>YEAR(B1277)</f>
        <v>2023</v>
      </c>
      <c r="V1277" s="2" t="str">
        <f>IF(DAY(B1277)&gt;15,MONTH(B1277)&amp;"-C",MONTH(B1277)&amp;"-N")</f>
        <v>7-C</v>
      </c>
      <c r="W1277" s="21">
        <v>3.5</v>
      </c>
      <c r="X1277" s="2" t="b">
        <f t="shared" ref="X1277" si="839">+L1277=W1277</f>
        <v>1</v>
      </c>
    </row>
    <row r="1278" spans="2:24" x14ac:dyDescent="0.2">
      <c r="B1278" s="17">
        <v>45135</v>
      </c>
      <c r="C1278" s="10" t="s">
        <v>2630</v>
      </c>
      <c r="D1278" s="11" t="s">
        <v>2884</v>
      </c>
      <c r="E1278" s="26">
        <v>69615</v>
      </c>
      <c r="F1278" s="10" t="s">
        <v>29</v>
      </c>
      <c r="G1278" s="10" t="s">
        <v>27</v>
      </c>
      <c r="H1278" s="27" t="s">
        <v>30</v>
      </c>
      <c r="I1278" s="28" t="s">
        <v>1843</v>
      </c>
      <c r="J1278" s="12" t="s">
        <v>1843</v>
      </c>
      <c r="K1278" s="13">
        <v>4950</v>
      </c>
      <c r="L1278" s="21">
        <v>3.7</v>
      </c>
      <c r="M1278" s="14" t="s">
        <v>14</v>
      </c>
      <c r="N1278" s="13">
        <v>18315</v>
      </c>
      <c r="O1278" s="15">
        <f t="shared" ref="O1278" si="840">(N1278/K1278)-L1278</f>
        <v>0</v>
      </c>
      <c r="P1278" s="10" t="s">
        <v>78</v>
      </c>
      <c r="Q1278" s="11" t="s">
        <v>2885</v>
      </c>
      <c r="R1278" s="11" t="s">
        <v>2886</v>
      </c>
      <c r="S1278" s="16" t="s">
        <v>2887</v>
      </c>
      <c r="T1278" s="19" t="str">
        <f>MONTH(B1278)&amp;"-"&amp;YEAR(B1278)</f>
        <v>7-2023</v>
      </c>
      <c r="U1278" s="2">
        <f>YEAR(B1278)</f>
        <v>2023</v>
      </c>
      <c r="V1278" s="2" t="str">
        <f>IF(DAY(B1278)&gt;15,MONTH(B1278)&amp;"-C",MONTH(B1278)&amp;"-N")</f>
        <v>7-C</v>
      </c>
      <c r="W1278" s="21">
        <v>3.7</v>
      </c>
      <c r="X1278" s="2" t="b">
        <f t="shared" ref="X1278" si="841">+L1278=W1278</f>
        <v>1</v>
      </c>
    </row>
    <row r="1279" spans="2:24" x14ac:dyDescent="0.2">
      <c r="B1279" s="17">
        <v>45139</v>
      </c>
      <c r="C1279" s="10" t="s">
        <v>94</v>
      </c>
      <c r="D1279" s="11" t="s">
        <v>2753</v>
      </c>
      <c r="E1279" s="26">
        <v>69655</v>
      </c>
      <c r="F1279" s="10" t="s">
        <v>26</v>
      </c>
      <c r="G1279" s="10" t="s">
        <v>27</v>
      </c>
      <c r="H1279" s="27" t="s">
        <v>28</v>
      </c>
      <c r="I1279" s="28"/>
      <c r="J1279" s="12"/>
      <c r="K1279" s="13">
        <v>18900</v>
      </c>
      <c r="L1279" s="21">
        <v>3.5</v>
      </c>
      <c r="M1279" s="14" t="s">
        <v>14</v>
      </c>
      <c r="N1279" s="13">
        <v>66150</v>
      </c>
      <c r="O1279" s="15">
        <f t="shared" ref="O1279" si="842">(N1279/K1279)-L1279</f>
        <v>0</v>
      </c>
      <c r="P1279" s="10" t="s">
        <v>78</v>
      </c>
      <c r="Q1279" s="11" t="s">
        <v>2910</v>
      </c>
      <c r="R1279" s="11" t="s">
        <v>2911</v>
      </c>
      <c r="S1279" s="16" t="s">
        <v>2912</v>
      </c>
      <c r="T1279" s="19" t="str">
        <f>MONTH(B1279)&amp;"-"&amp;YEAR(B1279)</f>
        <v>8-2023</v>
      </c>
      <c r="U1279" s="2">
        <f>YEAR(B1279)</f>
        <v>2023</v>
      </c>
      <c r="V1279" s="2" t="str">
        <f>IF(DAY(B1279)&gt;15,MONTH(B1279)&amp;"-C",MONTH(B1279)&amp;"-N")</f>
        <v>8-N</v>
      </c>
      <c r="W1279" s="21">
        <v>3.5</v>
      </c>
      <c r="X1279" s="2" t="b">
        <f t="shared" ref="X1279" si="843">+L1279=W1279</f>
        <v>1</v>
      </c>
    </row>
    <row r="1280" spans="2:24" x14ac:dyDescent="0.2">
      <c r="B1280" s="17">
        <v>45144</v>
      </c>
      <c r="C1280" s="10" t="s">
        <v>94</v>
      </c>
      <c r="D1280" s="11" t="s">
        <v>2753</v>
      </c>
      <c r="E1280" s="26">
        <v>69717</v>
      </c>
      <c r="F1280" s="10" t="s">
        <v>26</v>
      </c>
      <c r="G1280" s="10" t="s">
        <v>27</v>
      </c>
      <c r="H1280" s="27" t="s">
        <v>28</v>
      </c>
      <c r="I1280" s="28"/>
      <c r="J1280" s="12"/>
      <c r="K1280" s="13">
        <v>7200</v>
      </c>
      <c r="L1280" s="21">
        <v>3.5</v>
      </c>
      <c r="M1280" s="14" t="s">
        <v>14</v>
      </c>
      <c r="N1280" s="13">
        <v>25200</v>
      </c>
      <c r="O1280" s="15">
        <f t="shared" ref="O1280:O1281" si="844">(N1280/K1280)-L1280</f>
        <v>0</v>
      </c>
      <c r="P1280" s="10" t="s">
        <v>78</v>
      </c>
      <c r="Q1280" s="11" t="s">
        <v>2907</v>
      </c>
      <c r="R1280" s="11" t="s">
        <v>2908</v>
      </c>
      <c r="S1280" s="16" t="s">
        <v>2909</v>
      </c>
      <c r="T1280" s="19" t="str">
        <f>MONTH(B1280)&amp;"-"&amp;YEAR(B1280)</f>
        <v>8-2023</v>
      </c>
      <c r="U1280" s="2">
        <f>YEAR(B1280)</f>
        <v>2023</v>
      </c>
      <c r="V1280" s="2" t="str">
        <f>IF(DAY(B1280)&gt;15,MONTH(B1280)&amp;"-C",MONTH(B1280)&amp;"-N")</f>
        <v>8-N</v>
      </c>
      <c r="W1280" s="21">
        <v>3.5</v>
      </c>
      <c r="X1280" s="2" t="b">
        <f t="shared" ref="X1280:X1281" si="845">+L1280=W1280</f>
        <v>1</v>
      </c>
    </row>
    <row r="1281" spans="2:24" x14ac:dyDescent="0.2">
      <c r="B1281" s="17">
        <v>45144</v>
      </c>
      <c r="C1281" s="10" t="s">
        <v>94</v>
      </c>
      <c r="D1281" s="11" t="s">
        <v>2900</v>
      </c>
      <c r="E1281" s="26">
        <v>69717</v>
      </c>
      <c r="F1281" s="10" t="s">
        <v>26</v>
      </c>
      <c r="G1281" s="10" t="s">
        <v>27</v>
      </c>
      <c r="H1281" s="27" t="s">
        <v>28</v>
      </c>
      <c r="I1281" s="28"/>
      <c r="J1281" s="12"/>
      <c r="K1281" s="13">
        <v>9900</v>
      </c>
      <c r="L1281" s="21">
        <v>3.5</v>
      </c>
      <c r="M1281" s="14" t="s">
        <v>14</v>
      </c>
      <c r="N1281" s="13">
        <v>34650</v>
      </c>
      <c r="O1281" s="15">
        <f t="shared" si="844"/>
        <v>0</v>
      </c>
      <c r="P1281" s="10" t="s">
        <v>78</v>
      </c>
      <c r="Q1281" s="11" t="s">
        <v>2907</v>
      </c>
      <c r="R1281" s="11" t="s">
        <v>2908</v>
      </c>
      <c r="S1281" s="16" t="s">
        <v>2909</v>
      </c>
      <c r="T1281" s="19" t="str">
        <f>MONTH(B1281)&amp;"-"&amp;YEAR(B1281)</f>
        <v>8-2023</v>
      </c>
      <c r="U1281" s="2">
        <f>YEAR(B1281)</f>
        <v>2023</v>
      </c>
      <c r="V1281" s="2" t="str">
        <f>IF(DAY(B1281)&gt;15,MONTH(B1281)&amp;"-C",MONTH(B1281)&amp;"-N")</f>
        <v>8-N</v>
      </c>
      <c r="W1281" s="21">
        <v>3.5</v>
      </c>
      <c r="X1281" s="2" t="b">
        <f t="shared" si="845"/>
        <v>1</v>
      </c>
    </row>
    <row r="1282" spans="2:24" x14ac:dyDescent="0.2">
      <c r="B1282" s="17">
        <v>45147</v>
      </c>
      <c r="C1282" s="10" t="s">
        <v>48</v>
      </c>
      <c r="D1282" s="11" t="s">
        <v>2888</v>
      </c>
      <c r="E1282" s="26">
        <v>69778</v>
      </c>
      <c r="F1282" s="10" t="s">
        <v>71</v>
      </c>
      <c r="G1282" s="10" t="s">
        <v>46</v>
      </c>
      <c r="H1282" s="27" t="s">
        <v>72</v>
      </c>
      <c r="I1282" s="28"/>
      <c r="J1282" s="12"/>
      <c r="K1282" s="13">
        <v>10000</v>
      </c>
      <c r="L1282" s="21">
        <v>10.292999999999999</v>
      </c>
      <c r="M1282" s="14" t="s">
        <v>14</v>
      </c>
      <c r="N1282" s="13">
        <v>102928</v>
      </c>
      <c r="O1282" s="15">
        <f t="shared" ref="O1282:O1284" si="846">(N1282/K1282)-L1282</f>
        <v>-1.9999999999953388E-4</v>
      </c>
      <c r="P1282" s="10" t="s">
        <v>90</v>
      </c>
      <c r="Q1282" s="11" t="s">
        <v>2894</v>
      </c>
      <c r="R1282" s="11" t="s">
        <v>2895</v>
      </c>
      <c r="S1282" s="16" t="s">
        <v>2893</v>
      </c>
      <c r="T1282" s="19" t="str">
        <f>MONTH(B1282)&amp;"-"&amp;YEAR(B1282)</f>
        <v>8-2023</v>
      </c>
      <c r="U1282" s="2">
        <f>YEAR(B1282)</f>
        <v>2023</v>
      </c>
      <c r="V1282" s="2" t="str">
        <f>IF(DAY(B1282)&gt;15,MONTH(B1282)&amp;"-C",MONTH(B1282)&amp;"-N")</f>
        <v>8-N</v>
      </c>
      <c r="W1282" s="21">
        <v>10.292999999999999</v>
      </c>
      <c r="X1282" s="2" t="b">
        <f t="shared" ref="X1282:X1284" si="847">+L1282=W1282</f>
        <v>1</v>
      </c>
    </row>
    <row r="1283" spans="2:24" x14ac:dyDescent="0.2">
      <c r="B1283" s="17">
        <v>45147</v>
      </c>
      <c r="C1283" s="10" t="s">
        <v>48</v>
      </c>
      <c r="D1283" s="11" t="s">
        <v>2888</v>
      </c>
      <c r="E1283" s="26">
        <v>69778</v>
      </c>
      <c r="F1283" s="10" t="s">
        <v>2552</v>
      </c>
      <c r="G1283" s="10" t="s">
        <v>46</v>
      </c>
      <c r="H1283" s="27" t="s">
        <v>2553</v>
      </c>
      <c r="I1283" s="28"/>
      <c r="J1283" s="12"/>
      <c r="K1283" s="13">
        <v>6000</v>
      </c>
      <c r="L1283" s="21">
        <v>10.292999999999999</v>
      </c>
      <c r="M1283" s="14" t="s">
        <v>14</v>
      </c>
      <c r="N1283" s="13">
        <v>61756.800000000003</v>
      </c>
      <c r="O1283" s="15">
        <f t="shared" si="846"/>
        <v>-1.9999999999953388E-4</v>
      </c>
      <c r="P1283" s="10" t="s">
        <v>90</v>
      </c>
      <c r="Q1283" s="11" t="s">
        <v>2894</v>
      </c>
      <c r="R1283" s="11" t="s">
        <v>2895</v>
      </c>
      <c r="S1283" s="16" t="s">
        <v>2893</v>
      </c>
      <c r="T1283" s="19" t="str">
        <f>MONTH(B1283)&amp;"-"&amp;YEAR(B1283)</f>
        <v>8-2023</v>
      </c>
      <c r="U1283" s="2">
        <f>YEAR(B1283)</f>
        <v>2023</v>
      </c>
      <c r="V1283" s="2" t="str">
        <f>IF(DAY(B1283)&gt;15,MONTH(B1283)&amp;"-C",MONTH(B1283)&amp;"-N")</f>
        <v>8-N</v>
      </c>
      <c r="W1283" s="21">
        <v>10.292999999999999</v>
      </c>
      <c r="X1283" s="2" t="b">
        <f t="shared" si="847"/>
        <v>1</v>
      </c>
    </row>
    <row r="1284" spans="2:24" x14ac:dyDescent="0.2">
      <c r="B1284" s="17">
        <v>45147</v>
      </c>
      <c r="C1284" s="10" t="s">
        <v>25</v>
      </c>
      <c r="D1284" s="11" t="s">
        <v>2874</v>
      </c>
      <c r="E1284" s="26">
        <v>69769</v>
      </c>
      <c r="F1284" s="10" t="s">
        <v>31</v>
      </c>
      <c r="G1284" s="10" t="s">
        <v>27</v>
      </c>
      <c r="H1284" s="27" t="s">
        <v>32</v>
      </c>
      <c r="I1284" s="28"/>
      <c r="J1284" s="12"/>
      <c r="K1284" s="13">
        <v>3200</v>
      </c>
      <c r="L1284" s="21">
        <v>3.55</v>
      </c>
      <c r="M1284" s="14" t="s">
        <v>14</v>
      </c>
      <c r="N1284" s="13">
        <v>11360</v>
      </c>
      <c r="O1284" s="15">
        <f t="shared" si="846"/>
        <v>0</v>
      </c>
      <c r="P1284" s="10" t="s">
        <v>78</v>
      </c>
      <c r="Q1284" s="11" t="s">
        <v>2913</v>
      </c>
      <c r="R1284" s="11" t="s">
        <v>2914</v>
      </c>
      <c r="S1284" s="16" t="s">
        <v>2915</v>
      </c>
      <c r="T1284" s="19" t="str">
        <f>MONTH(B1284)&amp;"-"&amp;YEAR(B1284)</f>
        <v>8-2023</v>
      </c>
      <c r="U1284" s="2">
        <f>YEAR(B1284)</f>
        <v>2023</v>
      </c>
      <c r="V1284" s="2" t="str">
        <f>IF(DAY(B1284)&gt;15,MONTH(B1284)&amp;"-C",MONTH(B1284)&amp;"-N")</f>
        <v>8-N</v>
      </c>
      <c r="W1284" s="21">
        <v>3.55</v>
      </c>
      <c r="X1284" s="2" t="b">
        <f t="shared" si="847"/>
        <v>1</v>
      </c>
    </row>
    <row r="1285" spans="2:24" x14ac:dyDescent="0.2">
      <c r="B1285" s="17">
        <v>45149</v>
      </c>
      <c r="C1285" s="10" t="s">
        <v>48</v>
      </c>
      <c r="D1285" s="11" t="s">
        <v>2888</v>
      </c>
      <c r="E1285" s="26">
        <v>69825</v>
      </c>
      <c r="F1285" s="10" t="s">
        <v>135</v>
      </c>
      <c r="G1285" s="10" t="s">
        <v>46</v>
      </c>
      <c r="H1285" s="27" t="s">
        <v>2889</v>
      </c>
      <c r="I1285" s="28"/>
      <c r="J1285" s="12"/>
      <c r="K1285" s="13">
        <v>4800</v>
      </c>
      <c r="L1285" s="21">
        <v>10.292999999999999</v>
      </c>
      <c r="M1285" s="14" t="s">
        <v>14</v>
      </c>
      <c r="N1285" s="13">
        <v>49405.440000000002</v>
      </c>
      <c r="O1285" s="15">
        <f t="shared" ref="O1285:O1287" si="848">(N1285/K1285)-L1285</f>
        <v>-1.9999999999953388E-4</v>
      </c>
      <c r="P1285" s="10" t="s">
        <v>90</v>
      </c>
      <c r="Q1285" s="11" t="s">
        <v>2890</v>
      </c>
      <c r="R1285" s="11" t="s">
        <v>2891</v>
      </c>
      <c r="S1285" s="16" t="s">
        <v>2892</v>
      </c>
      <c r="T1285" s="19" t="str">
        <f>MONTH(B1285)&amp;"-"&amp;YEAR(B1285)</f>
        <v>8-2023</v>
      </c>
      <c r="U1285" s="2">
        <f>YEAR(B1285)</f>
        <v>2023</v>
      </c>
      <c r="V1285" s="2" t="str">
        <f>IF(DAY(B1285)&gt;15,MONTH(B1285)&amp;"-C",MONTH(B1285)&amp;"-N")</f>
        <v>8-N</v>
      </c>
      <c r="W1285" s="21">
        <v>10.292999999999999</v>
      </c>
      <c r="X1285" s="2" t="b">
        <f t="shared" ref="X1285:X1287" si="849">+L1285=W1285</f>
        <v>1</v>
      </c>
    </row>
    <row r="1286" spans="2:24" x14ac:dyDescent="0.2">
      <c r="B1286" s="17">
        <v>45149</v>
      </c>
      <c r="C1286" s="10" t="s">
        <v>48</v>
      </c>
      <c r="D1286" s="11" t="s">
        <v>2888</v>
      </c>
      <c r="E1286" s="26">
        <v>69825</v>
      </c>
      <c r="F1286" s="10" t="s">
        <v>71</v>
      </c>
      <c r="G1286" s="10" t="s">
        <v>46</v>
      </c>
      <c r="H1286" s="27" t="s">
        <v>72</v>
      </c>
      <c r="I1286" s="28"/>
      <c r="J1286" s="12"/>
      <c r="K1286" s="13">
        <v>11200</v>
      </c>
      <c r="L1286" s="21">
        <v>10.292999999999999</v>
      </c>
      <c r="M1286" s="14" t="s">
        <v>14</v>
      </c>
      <c r="N1286" s="13">
        <v>115279.36</v>
      </c>
      <c r="O1286" s="15">
        <f t="shared" si="848"/>
        <v>-1.9999999999953388E-4</v>
      </c>
      <c r="P1286" s="10" t="s">
        <v>90</v>
      </c>
      <c r="Q1286" s="11" t="s">
        <v>2890</v>
      </c>
      <c r="R1286" s="11" t="s">
        <v>2891</v>
      </c>
      <c r="S1286" s="16" t="s">
        <v>2892</v>
      </c>
      <c r="T1286" s="19" t="str">
        <f>MONTH(B1286)&amp;"-"&amp;YEAR(B1286)</f>
        <v>8-2023</v>
      </c>
      <c r="U1286" s="2">
        <f>YEAR(B1286)</f>
        <v>2023</v>
      </c>
      <c r="V1286" s="2" t="str">
        <f>IF(DAY(B1286)&gt;15,MONTH(B1286)&amp;"-C",MONTH(B1286)&amp;"-N")</f>
        <v>8-N</v>
      </c>
      <c r="W1286" s="21">
        <v>10.292999999999999</v>
      </c>
      <c r="X1286" s="2" t="b">
        <f t="shared" si="849"/>
        <v>1</v>
      </c>
    </row>
    <row r="1287" spans="2:24" x14ac:dyDescent="0.2">
      <c r="B1287" s="17">
        <v>45149</v>
      </c>
      <c r="C1287" s="10" t="s">
        <v>107</v>
      </c>
      <c r="D1287" s="11" t="s">
        <v>2916</v>
      </c>
      <c r="E1287" s="26">
        <v>69828</v>
      </c>
      <c r="F1287" s="10" t="s">
        <v>103</v>
      </c>
      <c r="G1287" s="10" t="s">
        <v>46</v>
      </c>
      <c r="H1287" s="27" t="s">
        <v>104</v>
      </c>
      <c r="I1287" s="28"/>
      <c r="J1287" s="12"/>
      <c r="K1287" s="13">
        <v>220</v>
      </c>
      <c r="L1287" s="21">
        <v>47.46</v>
      </c>
      <c r="M1287" s="14" t="s">
        <v>14</v>
      </c>
      <c r="N1287" s="13">
        <v>10441.200000000001</v>
      </c>
      <c r="O1287" s="15">
        <f t="shared" si="848"/>
        <v>0</v>
      </c>
      <c r="P1287" s="10" t="s">
        <v>84</v>
      </c>
      <c r="Q1287" s="11" t="s">
        <v>2917</v>
      </c>
      <c r="R1287" s="11" t="s">
        <v>2918</v>
      </c>
      <c r="S1287" s="16" t="s">
        <v>2919</v>
      </c>
      <c r="T1287" s="19" t="str">
        <f>MONTH(B1287)&amp;"-"&amp;YEAR(B1287)</f>
        <v>8-2023</v>
      </c>
      <c r="U1287" s="2">
        <f>YEAR(B1287)</f>
        <v>2023</v>
      </c>
      <c r="V1287" s="2" t="str">
        <f>IF(DAY(B1287)&gt;15,MONTH(B1287)&amp;"-C",MONTH(B1287)&amp;"-N")</f>
        <v>8-N</v>
      </c>
      <c r="W1287" s="21">
        <v>47.46</v>
      </c>
      <c r="X1287" s="2" t="b">
        <f t="shared" si="849"/>
        <v>1</v>
      </c>
    </row>
    <row r="1288" spans="2:24" x14ac:dyDescent="0.2">
      <c r="B1288" s="17">
        <v>45149</v>
      </c>
      <c r="C1288" s="10" t="s">
        <v>107</v>
      </c>
      <c r="D1288" s="11" t="s">
        <v>2916</v>
      </c>
      <c r="E1288" s="26">
        <v>69828</v>
      </c>
      <c r="F1288" s="10" t="s">
        <v>105</v>
      </c>
      <c r="G1288" s="10" t="s">
        <v>46</v>
      </c>
      <c r="H1288" s="27" t="s">
        <v>106</v>
      </c>
      <c r="I1288" s="28"/>
      <c r="J1288" s="12"/>
      <c r="K1288" s="13">
        <v>7040</v>
      </c>
      <c r="L1288" s="21">
        <v>11.72</v>
      </c>
      <c r="M1288" s="14" t="s">
        <v>14</v>
      </c>
      <c r="N1288" s="13">
        <v>82508.800000000003</v>
      </c>
      <c r="O1288" s="15">
        <f t="shared" ref="O1288:O1289" si="850">(N1288/K1288)-L1288</f>
        <v>0</v>
      </c>
      <c r="P1288" s="10" t="s">
        <v>84</v>
      </c>
      <c r="Q1288" s="11" t="s">
        <v>2917</v>
      </c>
      <c r="R1288" s="11" t="s">
        <v>2918</v>
      </c>
      <c r="S1288" s="16" t="s">
        <v>2919</v>
      </c>
      <c r="T1288" s="19" t="str">
        <f>MONTH(B1288)&amp;"-"&amp;YEAR(B1288)</f>
        <v>8-2023</v>
      </c>
      <c r="U1288" s="2">
        <f>YEAR(B1288)</f>
        <v>2023</v>
      </c>
      <c r="V1288" s="2" t="str">
        <f>IF(DAY(B1288)&gt;15,MONTH(B1288)&amp;"-C",MONTH(B1288)&amp;"-N")</f>
        <v>8-N</v>
      </c>
      <c r="W1288" s="21">
        <v>11.72</v>
      </c>
      <c r="X1288" s="2" t="b">
        <f t="shared" ref="X1288:X1289" si="851">+L1288=W1288</f>
        <v>1</v>
      </c>
    </row>
    <row r="1289" spans="2:24" x14ac:dyDescent="0.2">
      <c r="B1289" s="17">
        <v>45150</v>
      </c>
      <c r="C1289" s="10" t="s">
        <v>94</v>
      </c>
      <c r="D1289" s="11" t="s">
        <v>2900</v>
      </c>
      <c r="E1289" s="26">
        <v>69836</v>
      </c>
      <c r="F1289" s="10" t="s">
        <v>26</v>
      </c>
      <c r="G1289" s="10" t="s">
        <v>27</v>
      </c>
      <c r="H1289" s="27" t="s">
        <v>28</v>
      </c>
      <c r="I1289" s="28"/>
      <c r="J1289" s="12"/>
      <c r="K1289" s="13">
        <v>14400</v>
      </c>
      <c r="L1289" s="21">
        <v>3.5</v>
      </c>
      <c r="M1289" s="14" t="s">
        <v>14</v>
      </c>
      <c r="N1289" s="13">
        <v>50400</v>
      </c>
      <c r="O1289" s="15">
        <f t="shared" si="850"/>
        <v>0</v>
      </c>
      <c r="P1289" s="10" t="s">
        <v>78</v>
      </c>
      <c r="Q1289" s="11" t="s">
        <v>2936</v>
      </c>
      <c r="R1289" s="11" t="s">
        <v>2937</v>
      </c>
      <c r="S1289" s="16" t="s">
        <v>2935</v>
      </c>
      <c r="T1289" s="19" t="str">
        <f>MONTH(B1289)&amp;"-"&amp;YEAR(B1289)</f>
        <v>8-2023</v>
      </c>
      <c r="U1289" s="2">
        <f>YEAR(B1289)</f>
        <v>2023</v>
      </c>
      <c r="V1289" s="2" t="str">
        <f>IF(DAY(B1289)&gt;15,MONTH(B1289)&amp;"-C",MONTH(B1289)&amp;"-N")</f>
        <v>8-N</v>
      </c>
      <c r="W1289" s="21">
        <v>3.5</v>
      </c>
      <c r="X1289" s="2" t="b">
        <f t="shared" si="851"/>
        <v>1</v>
      </c>
    </row>
    <row r="1290" spans="2:24" x14ac:dyDescent="0.2">
      <c r="B1290" s="17">
        <v>45153</v>
      </c>
      <c r="C1290" s="10" t="s">
        <v>73</v>
      </c>
      <c r="D1290" s="11" t="s">
        <v>2927</v>
      </c>
      <c r="E1290" s="26">
        <v>69878</v>
      </c>
      <c r="F1290" s="10" t="s">
        <v>399</v>
      </c>
      <c r="G1290" s="10" t="s">
        <v>46</v>
      </c>
      <c r="H1290" s="27" t="s">
        <v>149</v>
      </c>
      <c r="I1290" s="28"/>
      <c r="J1290" s="12"/>
      <c r="K1290" s="13">
        <v>990</v>
      </c>
      <c r="L1290" s="21">
        <v>16.8</v>
      </c>
      <c r="M1290" s="14" t="s">
        <v>14</v>
      </c>
      <c r="N1290" s="13">
        <v>16632</v>
      </c>
      <c r="O1290" s="15">
        <f t="shared" ref="O1290" si="852">(N1290/K1290)-L1290</f>
        <v>0</v>
      </c>
      <c r="P1290" s="10" t="s">
        <v>84</v>
      </c>
      <c r="Q1290" s="11" t="s">
        <v>2928</v>
      </c>
      <c r="R1290" s="11" t="s">
        <v>2929</v>
      </c>
      <c r="S1290" s="16" t="s">
        <v>2930</v>
      </c>
      <c r="T1290" s="19" t="str">
        <f>MONTH(B1290)&amp;"-"&amp;YEAR(B1290)</f>
        <v>8-2023</v>
      </c>
      <c r="U1290" s="2">
        <f>YEAR(B1290)</f>
        <v>2023</v>
      </c>
      <c r="V1290" s="2" t="str">
        <f>IF(DAY(B1290)&gt;15,MONTH(B1290)&amp;"-C",MONTH(B1290)&amp;"-N")</f>
        <v>8-N</v>
      </c>
      <c r="W1290" s="21">
        <v>16.8</v>
      </c>
      <c r="X1290" s="2" t="b">
        <f t="shared" ref="X1290" si="853">+L1290=W1290</f>
        <v>1</v>
      </c>
    </row>
    <row r="1291" spans="2:24" x14ac:dyDescent="0.2">
      <c r="B1291" s="17">
        <v>45156</v>
      </c>
      <c r="C1291" s="10" t="s">
        <v>108</v>
      </c>
      <c r="D1291" s="11" t="s">
        <v>2896</v>
      </c>
      <c r="E1291" s="26">
        <v>69935</v>
      </c>
      <c r="F1291" s="10" t="s">
        <v>127</v>
      </c>
      <c r="G1291" s="10" t="s">
        <v>46</v>
      </c>
      <c r="H1291" s="27" t="s">
        <v>128</v>
      </c>
      <c r="I1291" s="28"/>
      <c r="J1291" s="12"/>
      <c r="K1291" s="13">
        <v>1840</v>
      </c>
      <c r="L1291" s="21">
        <v>12.34</v>
      </c>
      <c r="M1291" s="14" t="s">
        <v>14</v>
      </c>
      <c r="N1291" s="13">
        <v>22705.599999999999</v>
      </c>
      <c r="O1291" s="15">
        <f t="shared" ref="O1291:O1295" si="854">(N1291/K1291)-L1291</f>
        <v>0</v>
      </c>
      <c r="P1291" s="10" t="s">
        <v>84</v>
      </c>
      <c r="Q1291" s="11" t="s">
        <v>2897</v>
      </c>
      <c r="R1291" s="11" t="s">
        <v>2898</v>
      </c>
      <c r="S1291" s="16" t="s">
        <v>2899</v>
      </c>
      <c r="T1291" s="19" t="str">
        <f>MONTH(B1291)&amp;"-"&amp;YEAR(B1291)</f>
        <v>8-2023</v>
      </c>
      <c r="U1291" s="2">
        <f>YEAR(B1291)</f>
        <v>2023</v>
      </c>
      <c r="V1291" s="2" t="str">
        <f>IF(DAY(B1291)&gt;15,MONTH(B1291)&amp;"-C",MONTH(B1291)&amp;"-N")</f>
        <v>8-C</v>
      </c>
      <c r="W1291" s="21">
        <v>12.34</v>
      </c>
      <c r="X1291" s="2" t="b">
        <f t="shared" ref="X1291:X1295" si="855">+L1291=W1291</f>
        <v>1</v>
      </c>
    </row>
    <row r="1292" spans="2:24" x14ac:dyDescent="0.2">
      <c r="B1292" s="17">
        <v>45156</v>
      </c>
      <c r="C1292" s="10" t="s">
        <v>108</v>
      </c>
      <c r="D1292" s="11" t="s">
        <v>2896</v>
      </c>
      <c r="E1292" s="26">
        <v>69935</v>
      </c>
      <c r="F1292" s="10" t="s">
        <v>121</v>
      </c>
      <c r="G1292" s="10" t="s">
        <v>46</v>
      </c>
      <c r="H1292" s="27" t="s">
        <v>122</v>
      </c>
      <c r="I1292" s="28"/>
      <c r="J1292" s="12"/>
      <c r="K1292" s="13">
        <v>5060</v>
      </c>
      <c r="L1292" s="21">
        <v>12.45</v>
      </c>
      <c r="M1292" s="14" t="s">
        <v>14</v>
      </c>
      <c r="N1292" s="13">
        <v>62997</v>
      </c>
      <c r="O1292" s="15">
        <f t="shared" si="854"/>
        <v>0</v>
      </c>
      <c r="P1292" s="10" t="s">
        <v>84</v>
      </c>
      <c r="Q1292" s="11" t="s">
        <v>2897</v>
      </c>
      <c r="R1292" s="11" t="s">
        <v>2898</v>
      </c>
      <c r="S1292" s="16" t="s">
        <v>2899</v>
      </c>
      <c r="T1292" s="19" t="str">
        <f>MONTH(B1292)&amp;"-"&amp;YEAR(B1292)</f>
        <v>8-2023</v>
      </c>
      <c r="U1292" s="2">
        <f>YEAR(B1292)</f>
        <v>2023</v>
      </c>
      <c r="V1292" s="2" t="str">
        <f>IF(DAY(B1292)&gt;15,MONTH(B1292)&amp;"-C",MONTH(B1292)&amp;"-N")</f>
        <v>8-C</v>
      </c>
      <c r="W1292" s="21">
        <v>12.45</v>
      </c>
      <c r="X1292" s="2" t="b">
        <f t="shared" si="855"/>
        <v>1</v>
      </c>
    </row>
    <row r="1293" spans="2:24" x14ac:dyDescent="0.2">
      <c r="B1293" s="17">
        <v>45156</v>
      </c>
      <c r="C1293" s="10" t="s">
        <v>108</v>
      </c>
      <c r="D1293" s="11" t="s">
        <v>2896</v>
      </c>
      <c r="E1293" s="26">
        <v>69935</v>
      </c>
      <c r="F1293" s="10" t="s">
        <v>2331</v>
      </c>
      <c r="G1293" s="10" t="s">
        <v>46</v>
      </c>
      <c r="H1293" s="27" t="s">
        <v>2332</v>
      </c>
      <c r="I1293" s="28"/>
      <c r="J1293" s="12"/>
      <c r="K1293" s="13">
        <v>2760</v>
      </c>
      <c r="L1293" s="21">
        <v>12.34</v>
      </c>
      <c r="M1293" s="14" t="s">
        <v>14</v>
      </c>
      <c r="N1293" s="13">
        <v>34058.400000000001</v>
      </c>
      <c r="O1293" s="15">
        <f t="shared" si="854"/>
        <v>0</v>
      </c>
      <c r="P1293" s="10" t="s">
        <v>84</v>
      </c>
      <c r="Q1293" s="11" t="s">
        <v>2897</v>
      </c>
      <c r="R1293" s="11" t="s">
        <v>2898</v>
      </c>
      <c r="S1293" s="16" t="s">
        <v>2899</v>
      </c>
      <c r="T1293" s="19" t="str">
        <f>MONTH(B1293)&amp;"-"&amp;YEAR(B1293)</f>
        <v>8-2023</v>
      </c>
      <c r="U1293" s="2">
        <f>YEAR(B1293)</f>
        <v>2023</v>
      </c>
      <c r="V1293" s="2" t="str">
        <f>IF(DAY(B1293)&gt;15,MONTH(B1293)&amp;"-C",MONTH(B1293)&amp;"-N")</f>
        <v>8-C</v>
      </c>
      <c r="W1293" s="21">
        <v>12.34</v>
      </c>
      <c r="X1293" s="2" t="b">
        <f t="shared" si="855"/>
        <v>1</v>
      </c>
    </row>
    <row r="1294" spans="2:24" x14ac:dyDescent="0.2">
      <c r="B1294" s="17">
        <v>45156</v>
      </c>
      <c r="C1294" s="10" t="s">
        <v>108</v>
      </c>
      <c r="D1294" s="11" t="s">
        <v>2896</v>
      </c>
      <c r="E1294" s="26">
        <v>69935</v>
      </c>
      <c r="F1294" s="10" t="s">
        <v>123</v>
      </c>
      <c r="G1294" s="10" t="s">
        <v>46</v>
      </c>
      <c r="H1294" s="27" t="s">
        <v>124</v>
      </c>
      <c r="I1294" s="28"/>
      <c r="J1294" s="12"/>
      <c r="K1294" s="13">
        <v>8280</v>
      </c>
      <c r="L1294" s="21">
        <v>12.45</v>
      </c>
      <c r="M1294" s="14" t="s">
        <v>14</v>
      </c>
      <c r="N1294" s="13">
        <v>103086</v>
      </c>
      <c r="O1294" s="15">
        <f t="shared" si="854"/>
        <v>0</v>
      </c>
      <c r="P1294" s="10" t="s">
        <v>84</v>
      </c>
      <c r="Q1294" s="11" t="s">
        <v>2897</v>
      </c>
      <c r="R1294" s="11" t="s">
        <v>2898</v>
      </c>
      <c r="S1294" s="16" t="s">
        <v>2899</v>
      </c>
      <c r="T1294" s="19" t="str">
        <f>MONTH(B1294)&amp;"-"&amp;YEAR(B1294)</f>
        <v>8-2023</v>
      </c>
      <c r="U1294" s="2">
        <f>YEAR(B1294)</f>
        <v>2023</v>
      </c>
      <c r="V1294" s="2" t="str">
        <f>IF(DAY(B1294)&gt;15,MONTH(B1294)&amp;"-C",MONTH(B1294)&amp;"-N")</f>
        <v>8-C</v>
      </c>
      <c r="W1294" s="21">
        <v>12.45</v>
      </c>
      <c r="X1294" s="2" t="b">
        <f t="shared" si="855"/>
        <v>1</v>
      </c>
    </row>
    <row r="1295" spans="2:24" x14ac:dyDescent="0.2">
      <c r="B1295" s="17">
        <v>45156</v>
      </c>
      <c r="C1295" s="10" t="s">
        <v>94</v>
      </c>
      <c r="D1295" s="11" t="s">
        <v>2900</v>
      </c>
      <c r="E1295" s="26">
        <v>69919</v>
      </c>
      <c r="F1295" s="10" t="s">
        <v>26</v>
      </c>
      <c r="G1295" s="10" t="s">
        <v>27</v>
      </c>
      <c r="H1295" s="27" t="s">
        <v>28</v>
      </c>
      <c r="I1295" s="28"/>
      <c r="J1295" s="12"/>
      <c r="K1295" s="13">
        <v>13500</v>
      </c>
      <c r="L1295" s="21">
        <v>3.5</v>
      </c>
      <c r="M1295" s="14" t="s">
        <v>14</v>
      </c>
      <c r="N1295" s="13">
        <v>47250</v>
      </c>
      <c r="O1295" s="15">
        <f t="shared" si="854"/>
        <v>0</v>
      </c>
      <c r="P1295" s="10" t="s">
        <v>78</v>
      </c>
      <c r="Q1295" s="11" t="s">
        <v>2904</v>
      </c>
      <c r="R1295" s="11" t="s">
        <v>2905</v>
      </c>
      <c r="S1295" s="16" t="s">
        <v>2906</v>
      </c>
      <c r="T1295" s="19" t="str">
        <f>MONTH(B1295)&amp;"-"&amp;YEAR(B1295)</f>
        <v>8-2023</v>
      </c>
      <c r="U1295" s="2">
        <f>YEAR(B1295)</f>
        <v>2023</v>
      </c>
      <c r="V1295" s="2" t="str">
        <f>IF(DAY(B1295)&gt;15,MONTH(B1295)&amp;"-C",MONTH(B1295)&amp;"-N")</f>
        <v>8-C</v>
      </c>
      <c r="W1295" s="21">
        <v>3.5</v>
      </c>
      <c r="X1295" s="2" t="b">
        <f t="shared" si="855"/>
        <v>1</v>
      </c>
    </row>
    <row r="1296" spans="2:24" x14ac:dyDescent="0.2">
      <c r="B1296" s="17">
        <v>45161</v>
      </c>
      <c r="C1296" s="10" t="s">
        <v>94</v>
      </c>
      <c r="D1296" s="11" t="s">
        <v>2900</v>
      </c>
      <c r="E1296" s="26">
        <v>70001</v>
      </c>
      <c r="F1296" s="10" t="s">
        <v>26</v>
      </c>
      <c r="G1296" s="10" t="s">
        <v>27</v>
      </c>
      <c r="H1296" s="27" t="s">
        <v>28</v>
      </c>
      <c r="I1296" s="28"/>
      <c r="J1296" s="12"/>
      <c r="K1296" s="13">
        <v>15300</v>
      </c>
      <c r="L1296" s="21">
        <v>3.5</v>
      </c>
      <c r="M1296" s="14" t="s">
        <v>14</v>
      </c>
      <c r="N1296" s="13">
        <v>53550</v>
      </c>
      <c r="O1296" s="15">
        <f t="shared" ref="O1296:O1298" si="856">(N1296/K1296)-L1296</f>
        <v>0</v>
      </c>
      <c r="P1296" s="10" t="s">
        <v>78</v>
      </c>
      <c r="Q1296" s="11" t="s">
        <v>2901</v>
      </c>
      <c r="R1296" s="11" t="s">
        <v>2902</v>
      </c>
      <c r="S1296" s="16" t="s">
        <v>2903</v>
      </c>
      <c r="T1296" s="19" t="str">
        <f>MONTH(B1296)&amp;"-"&amp;YEAR(B1296)</f>
        <v>8-2023</v>
      </c>
      <c r="U1296" s="2">
        <f>YEAR(B1296)</f>
        <v>2023</v>
      </c>
      <c r="V1296" s="2" t="str">
        <f>IF(DAY(B1296)&gt;15,MONTH(B1296)&amp;"-C",MONTH(B1296)&amp;"-N")</f>
        <v>8-C</v>
      </c>
      <c r="W1296" s="21">
        <v>3.5</v>
      </c>
      <c r="X1296" s="2" t="b">
        <f t="shared" ref="X1296:X1298" si="857">+L1296=W1296</f>
        <v>1</v>
      </c>
    </row>
    <row r="1297" spans="2:24" x14ac:dyDescent="0.2">
      <c r="B1297" s="17">
        <v>45162</v>
      </c>
      <c r="C1297" s="10" t="s">
        <v>88</v>
      </c>
      <c r="D1297" s="11" t="s">
        <v>2920</v>
      </c>
      <c r="E1297" s="26">
        <v>70026</v>
      </c>
      <c r="F1297" s="10" t="s">
        <v>98</v>
      </c>
      <c r="G1297" s="10" t="s">
        <v>46</v>
      </c>
      <c r="H1297" s="27" t="s">
        <v>99</v>
      </c>
      <c r="I1297" s="28"/>
      <c r="J1297" s="12"/>
      <c r="K1297" s="13">
        <v>40</v>
      </c>
      <c r="L1297" s="21">
        <v>11.25</v>
      </c>
      <c r="M1297" s="14" t="s">
        <v>14</v>
      </c>
      <c r="N1297" s="13">
        <v>450</v>
      </c>
      <c r="O1297" s="15">
        <f t="shared" si="856"/>
        <v>0</v>
      </c>
      <c r="P1297" s="10" t="s">
        <v>84</v>
      </c>
      <c r="Q1297" s="11" t="s">
        <v>2921</v>
      </c>
      <c r="R1297" s="11" t="s">
        <v>2922</v>
      </c>
      <c r="S1297" s="16" t="s">
        <v>2923</v>
      </c>
      <c r="T1297" s="19" t="str">
        <f>MONTH(B1297)&amp;"-"&amp;YEAR(B1297)</f>
        <v>8-2023</v>
      </c>
      <c r="U1297" s="2">
        <f>YEAR(B1297)</f>
        <v>2023</v>
      </c>
      <c r="V1297" s="2" t="str">
        <f>IF(DAY(B1297)&gt;15,MONTH(B1297)&amp;"-C",MONTH(B1297)&amp;"-N")</f>
        <v>8-C</v>
      </c>
      <c r="W1297" s="21">
        <v>11.25</v>
      </c>
      <c r="X1297" s="2" t="b">
        <f t="shared" si="857"/>
        <v>1</v>
      </c>
    </row>
    <row r="1298" spans="2:24" x14ac:dyDescent="0.2">
      <c r="B1298" s="17">
        <v>45162</v>
      </c>
      <c r="C1298" s="10" t="s">
        <v>88</v>
      </c>
      <c r="D1298" s="11" t="s">
        <v>2920</v>
      </c>
      <c r="E1298" s="26">
        <v>70026</v>
      </c>
      <c r="F1298" s="10" t="s">
        <v>100</v>
      </c>
      <c r="G1298" s="10" t="s">
        <v>46</v>
      </c>
      <c r="H1298" s="27" t="s">
        <v>101</v>
      </c>
      <c r="I1298" s="28"/>
      <c r="J1298" s="12"/>
      <c r="K1298" s="13">
        <v>2000</v>
      </c>
      <c r="L1298" s="21">
        <v>13.22</v>
      </c>
      <c r="M1298" s="14" t="s">
        <v>14</v>
      </c>
      <c r="N1298" s="13">
        <v>26440</v>
      </c>
      <c r="O1298" s="15">
        <f t="shared" si="856"/>
        <v>0</v>
      </c>
      <c r="P1298" s="10" t="s">
        <v>84</v>
      </c>
      <c r="Q1298" s="11" t="s">
        <v>2921</v>
      </c>
      <c r="R1298" s="11" t="s">
        <v>2922</v>
      </c>
      <c r="S1298" s="16" t="s">
        <v>2923</v>
      </c>
      <c r="T1298" s="19" t="str">
        <f>MONTH(B1298)&amp;"-"&amp;YEAR(B1298)</f>
        <v>8-2023</v>
      </c>
      <c r="U1298" s="2">
        <f>YEAR(B1298)</f>
        <v>2023</v>
      </c>
      <c r="V1298" s="2" t="str">
        <f>IF(DAY(B1298)&gt;15,MONTH(B1298)&amp;"-C",MONTH(B1298)&amp;"-N")</f>
        <v>8-C</v>
      </c>
      <c r="W1298" s="21">
        <v>13.22</v>
      </c>
      <c r="X1298" s="2" t="b">
        <f t="shared" si="857"/>
        <v>1</v>
      </c>
    </row>
    <row r="1299" spans="2:24" x14ac:dyDescent="0.2">
      <c r="B1299" s="17">
        <v>45164</v>
      </c>
      <c r="C1299" s="10" t="s">
        <v>94</v>
      </c>
      <c r="D1299" s="11" t="s">
        <v>2900</v>
      </c>
      <c r="E1299" s="26">
        <v>70073</v>
      </c>
      <c r="F1299" s="10" t="s">
        <v>26</v>
      </c>
      <c r="G1299" s="10" t="s">
        <v>27</v>
      </c>
      <c r="H1299" s="27" t="s">
        <v>28</v>
      </c>
      <c r="I1299" s="28"/>
      <c r="J1299" s="12"/>
      <c r="K1299" s="13">
        <v>16200</v>
      </c>
      <c r="L1299" s="21">
        <v>3.5</v>
      </c>
      <c r="M1299" s="14" t="s">
        <v>14</v>
      </c>
      <c r="N1299" s="13">
        <v>56700</v>
      </c>
      <c r="O1299" s="15">
        <f t="shared" ref="O1299:O1301" si="858">(N1299/K1299)-L1299</f>
        <v>0</v>
      </c>
      <c r="P1299" s="10" t="s">
        <v>78</v>
      </c>
      <c r="Q1299" s="11" t="s">
        <v>2924</v>
      </c>
      <c r="R1299" s="11" t="s">
        <v>2925</v>
      </c>
      <c r="S1299" s="16" t="s">
        <v>2926</v>
      </c>
      <c r="T1299" s="19" t="str">
        <f>MONTH(B1299)&amp;"-"&amp;YEAR(B1299)</f>
        <v>8-2023</v>
      </c>
      <c r="U1299" s="2">
        <f>YEAR(B1299)</f>
        <v>2023</v>
      </c>
      <c r="V1299" s="2" t="str">
        <f>IF(DAY(B1299)&gt;15,MONTH(B1299)&amp;"-C",MONTH(B1299)&amp;"-N")</f>
        <v>8-C</v>
      </c>
      <c r="W1299" s="21">
        <v>3.5</v>
      </c>
      <c r="X1299" s="2" t="b">
        <f t="shared" ref="X1299:X1301" si="859">+L1299=W1299</f>
        <v>1</v>
      </c>
    </row>
    <row r="1300" spans="2:24" x14ac:dyDescent="0.2">
      <c r="B1300" s="17">
        <v>45166</v>
      </c>
      <c r="C1300" s="10" t="s">
        <v>107</v>
      </c>
      <c r="D1300" s="11" t="s">
        <v>2931</v>
      </c>
      <c r="E1300" s="26">
        <v>70075</v>
      </c>
      <c r="F1300" s="10" t="s">
        <v>103</v>
      </c>
      <c r="G1300" s="10" t="s">
        <v>46</v>
      </c>
      <c r="H1300" s="27" t="s">
        <v>104</v>
      </c>
      <c r="I1300" s="28"/>
      <c r="J1300" s="12"/>
      <c r="K1300" s="13">
        <v>220</v>
      </c>
      <c r="L1300" s="21">
        <v>47.46</v>
      </c>
      <c r="M1300" s="14" t="s">
        <v>14</v>
      </c>
      <c r="N1300" s="13">
        <v>10441.200000000001</v>
      </c>
      <c r="O1300" s="15">
        <f t="shared" si="858"/>
        <v>0</v>
      </c>
      <c r="P1300" s="10" t="s">
        <v>84</v>
      </c>
      <c r="Q1300" s="11" t="s">
        <v>2932</v>
      </c>
      <c r="R1300" s="11" t="s">
        <v>2933</v>
      </c>
      <c r="S1300" s="16" t="s">
        <v>2934</v>
      </c>
      <c r="T1300" s="19" t="str">
        <f>MONTH(B1300)&amp;"-"&amp;YEAR(B1300)</f>
        <v>8-2023</v>
      </c>
      <c r="U1300" s="2">
        <f>YEAR(B1300)</f>
        <v>2023</v>
      </c>
      <c r="V1300" s="2" t="str">
        <f>IF(DAY(B1300)&gt;15,MONTH(B1300)&amp;"-C",MONTH(B1300)&amp;"-N")</f>
        <v>8-C</v>
      </c>
      <c r="W1300" s="21">
        <v>47.46</v>
      </c>
      <c r="X1300" s="2" t="b">
        <f t="shared" si="859"/>
        <v>1</v>
      </c>
    </row>
    <row r="1301" spans="2:24" x14ac:dyDescent="0.2">
      <c r="B1301" s="17">
        <v>45166</v>
      </c>
      <c r="C1301" s="10" t="s">
        <v>107</v>
      </c>
      <c r="D1301" s="11" t="s">
        <v>2931</v>
      </c>
      <c r="E1301" s="26">
        <v>70075</v>
      </c>
      <c r="F1301" s="10" t="s">
        <v>105</v>
      </c>
      <c r="G1301" s="10" t="s">
        <v>46</v>
      </c>
      <c r="H1301" s="27" t="s">
        <v>106</v>
      </c>
      <c r="I1301" s="28"/>
      <c r="J1301" s="12"/>
      <c r="K1301" s="13">
        <v>7040</v>
      </c>
      <c r="L1301" s="21">
        <v>11.72</v>
      </c>
      <c r="M1301" s="14" t="s">
        <v>14</v>
      </c>
      <c r="N1301" s="13">
        <v>82508.800000000003</v>
      </c>
      <c r="O1301" s="15">
        <f t="shared" si="858"/>
        <v>0</v>
      </c>
      <c r="P1301" s="10" t="s">
        <v>84</v>
      </c>
      <c r="Q1301" s="11" t="s">
        <v>2932</v>
      </c>
      <c r="R1301" s="11" t="s">
        <v>2933</v>
      </c>
      <c r="S1301" s="16" t="s">
        <v>2934</v>
      </c>
      <c r="T1301" s="19" t="str">
        <f>MONTH(B1301)&amp;"-"&amp;YEAR(B1301)</f>
        <v>8-2023</v>
      </c>
      <c r="U1301" s="2">
        <f>YEAR(B1301)</f>
        <v>2023</v>
      </c>
      <c r="V1301" s="2" t="str">
        <f>IF(DAY(B1301)&gt;15,MONTH(B1301)&amp;"-C",MONTH(B1301)&amp;"-N")</f>
        <v>8-C</v>
      </c>
      <c r="W1301" s="21">
        <v>11.72</v>
      </c>
      <c r="X1301" s="2" t="b">
        <f t="shared" si="859"/>
        <v>1</v>
      </c>
    </row>
    <row r="1302" spans="2:24" x14ac:dyDescent="0.2">
      <c r="B1302" s="17">
        <v>45173</v>
      </c>
      <c r="C1302" s="10" t="s">
        <v>73</v>
      </c>
      <c r="D1302" s="11" t="s">
        <v>2938</v>
      </c>
      <c r="E1302" s="26">
        <v>70166</v>
      </c>
      <c r="F1302" s="10" t="s">
        <v>399</v>
      </c>
      <c r="G1302" s="10" t="s">
        <v>46</v>
      </c>
      <c r="H1302" s="27" t="s">
        <v>149</v>
      </c>
      <c r="I1302" s="28" t="s">
        <v>1843</v>
      </c>
      <c r="J1302" s="12" t="s">
        <v>1843</v>
      </c>
      <c r="K1302" s="13">
        <v>510</v>
      </c>
      <c r="L1302" s="21">
        <v>16.8</v>
      </c>
      <c r="M1302" s="14" t="s">
        <v>14</v>
      </c>
      <c r="N1302" s="13">
        <v>8568</v>
      </c>
      <c r="O1302" s="15">
        <f t="shared" ref="O1302" si="860">(N1302/K1302)-L1302</f>
        <v>0</v>
      </c>
      <c r="P1302" s="10" t="s">
        <v>84</v>
      </c>
      <c r="Q1302" s="11" t="s">
        <v>2939</v>
      </c>
      <c r="R1302" s="11" t="s">
        <v>2940</v>
      </c>
      <c r="S1302" s="16" t="s">
        <v>2941</v>
      </c>
      <c r="T1302" s="19" t="str">
        <f>MONTH(B1302)&amp;"-"&amp;YEAR(B1302)</f>
        <v>9-2023</v>
      </c>
      <c r="U1302" s="2">
        <f>YEAR(B1302)</f>
        <v>2023</v>
      </c>
      <c r="V1302" s="2" t="str">
        <f>IF(DAY(B1302)&gt;15,MONTH(B1302)&amp;"-C",MONTH(B1302)&amp;"-N")</f>
        <v>9-N</v>
      </c>
      <c r="W1302" s="21">
        <v>16.8</v>
      </c>
      <c r="X1302" s="2" t="b">
        <f t="shared" ref="X1302" si="861">+L1302=W1302</f>
        <v>1</v>
      </c>
    </row>
    <row r="1303" spans="2:24" x14ac:dyDescent="0.2">
      <c r="B1303" s="17">
        <v>45176</v>
      </c>
      <c r="C1303" s="10" t="s">
        <v>94</v>
      </c>
      <c r="D1303" s="11" t="s">
        <v>2900</v>
      </c>
      <c r="E1303" s="26">
        <v>70206</v>
      </c>
      <c r="F1303" s="10" t="s">
        <v>26</v>
      </c>
      <c r="G1303" s="10" t="s">
        <v>27</v>
      </c>
      <c r="H1303" s="27" t="s">
        <v>28</v>
      </c>
      <c r="I1303" s="28" t="s">
        <v>1843</v>
      </c>
      <c r="J1303" s="12" t="s">
        <v>1843</v>
      </c>
      <c r="K1303" s="13">
        <v>18000</v>
      </c>
      <c r="L1303" s="21">
        <v>3.5</v>
      </c>
      <c r="M1303" s="14" t="s">
        <v>14</v>
      </c>
      <c r="N1303" s="13">
        <v>63000</v>
      </c>
      <c r="O1303" s="15">
        <f t="shared" ref="O1303:O1304" si="862">(N1303/K1303)-L1303</f>
        <v>0</v>
      </c>
      <c r="P1303" s="10" t="s">
        <v>78</v>
      </c>
      <c r="Q1303" s="11" t="s">
        <v>2960</v>
      </c>
      <c r="R1303" s="11" t="s">
        <v>2961</v>
      </c>
      <c r="S1303" s="16" t="s">
        <v>2962</v>
      </c>
      <c r="T1303" s="19" t="str">
        <f>MONTH(B1303)&amp;"-"&amp;YEAR(B1303)</f>
        <v>9-2023</v>
      </c>
      <c r="U1303" s="2">
        <f>YEAR(B1303)</f>
        <v>2023</v>
      </c>
      <c r="V1303" s="2" t="str">
        <f>IF(DAY(B1303)&gt;15,MONTH(B1303)&amp;"-C",MONTH(B1303)&amp;"-N")</f>
        <v>9-N</v>
      </c>
      <c r="W1303" s="21">
        <v>3.5</v>
      </c>
      <c r="X1303" s="2" t="b">
        <f t="shared" ref="X1303:X1304" si="863">+L1303=W1303</f>
        <v>1</v>
      </c>
    </row>
    <row r="1304" spans="2:24" x14ac:dyDescent="0.2">
      <c r="B1304" s="17">
        <v>45177</v>
      </c>
      <c r="C1304" s="10" t="s">
        <v>73</v>
      </c>
      <c r="D1304" s="11" t="s">
        <v>2938</v>
      </c>
      <c r="E1304" s="26">
        <v>70222</v>
      </c>
      <c r="F1304" s="10" t="s">
        <v>399</v>
      </c>
      <c r="G1304" s="10" t="s">
        <v>46</v>
      </c>
      <c r="H1304" s="27" t="s">
        <v>149</v>
      </c>
      <c r="I1304" s="28" t="s">
        <v>1843</v>
      </c>
      <c r="J1304" s="12" t="s">
        <v>1843</v>
      </c>
      <c r="K1304" s="13">
        <v>2010</v>
      </c>
      <c r="L1304" s="21">
        <v>16.8</v>
      </c>
      <c r="M1304" s="14" t="s">
        <v>14</v>
      </c>
      <c r="N1304" s="13">
        <v>33768</v>
      </c>
      <c r="O1304" s="15">
        <f t="shared" si="862"/>
        <v>0</v>
      </c>
      <c r="P1304" s="10" t="s">
        <v>84</v>
      </c>
      <c r="Q1304" s="11" t="s">
        <v>2942</v>
      </c>
      <c r="R1304" s="11" t="s">
        <v>2943</v>
      </c>
      <c r="S1304" s="16" t="s">
        <v>2944</v>
      </c>
      <c r="T1304" s="19" t="str">
        <f>MONTH(B1304)&amp;"-"&amp;YEAR(B1304)</f>
        <v>9-2023</v>
      </c>
      <c r="U1304" s="2">
        <f>YEAR(B1304)</f>
        <v>2023</v>
      </c>
      <c r="V1304" s="2" t="str">
        <f>IF(DAY(B1304)&gt;15,MONTH(B1304)&amp;"-C",MONTH(B1304)&amp;"-N")</f>
        <v>9-N</v>
      </c>
      <c r="W1304" s="21">
        <v>16.8</v>
      </c>
      <c r="X1304" s="2" t="b">
        <f t="shared" si="863"/>
        <v>1</v>
      </c>
    </row>
    <row r="1305" spans="2:24" x14ac:dyDescent="0.2">
      <c r="B1305" s="17">
        <v>45178</v>
      </c>
      <c r="C1305" s="10" t="s">
        <v>107</v>
      </c>
      <c r="D1305" s="11" t="s">
        <v>2952</v>
      </c>
      <c r="E1305" s="26">
        <v>70254</v>
      </c>
      <c r="F1305" s="10" t="s">
        <v>142</v>
      </c>
      <c r="G1305" s="10" t="s">
        <v>46</v>
      </c>
      <c r="H1305" s="27" t="s">
        <v>143</v>
      </c>
      <c r="I1305" s="28" t="s">
        <v>1843</v>
      </c>
      <c r="J1305" s="12" t="s">
        <v>1843</v>
      </c>
      <c r="K1305" s="13">
        <v>2200</v>
      </c>
      <c r="L1305" s="21">
        <v>10.08</v>
      </c>
      <c r="M1305" s="14" t="s">
        <v>14</v>
      </c>
      <c r="N1305" s="13">
        <v>22176</v>
      </c>
      <c r="O1305" s="15">
        <f t="shared" ref="O1305:O1308" si="864">(N1305/K1305)-L1305</f>
        <v>0</v>
      </c>
      <c r="P1305" s="10" t="s">
        <v>84</v>
      </c>
      <c r="Q1305" s="11" t="s">
        <v>2953</v>
      </c>
      <c r="R1305" s="11" t="s">
        <v>2954</v>
      </c>
      <c r="S1305" s="16" t="s">
        <v>2955</v>
      </c>
      <c r="T1305" s="19" t="str">
        <f>MONTH(B1305)&amp;"-"&amp;YEAR(B1305)</f>
        <v>9-2023</v>
      </c>
      <c r="U1305" s="2">
        <f>YEAR(B1305)</f>
        <v>2023</v>
      </c>
      <c r="V1305" s="2" t="str">
        <f>IF(DAY(B1305)&gt;15,MONTH(B1305)&amp;"-C",MONTH(B1305)&amp;"-N")</f>
        <v>9-N</v>
      </c>
      <c r="W1305" s="21">
        <v>10.08</v>
      </c>
      <c r="X1305" s="2" t="b">
        <f t="shared" ref="X1305:X1308" si="865">+L1305=W1305</f>
        <v>1</v>
      </c>
    </row>
    <row r="1306" spans="2:24" x14ac:dyDescent="0.2">
      <c r="B1306" s="17">
        <v>45178</v>
      </c>
      <c r="C1306" s="10" t="s">
        <v>107</v>
      </c>
      <c r="D1306" s="11" t="s">
        <v>2952</v>
      </c>
      <c r="E1306" s="26">
        <v>70254</v>
      </c>
      <c r="F1306" s="10" t="s">
        <v>103</v>
      </c>
      <c r="G1306" s="10" t="s">
        <v>46</v>
      </c>
      <c r="H1306" s="27" t="s">
        <v>104</v>
      </c>
      <c r="I1306" s="28" t="s">
        <v>1843</v>
      </c>
      <c r="J1306" s="12" t="s">
        <v>1843</v>
      </c>
      <c r="K1306" s="13">
        <v>35</v>
      </c>
      <c r="L1306" s="21">
        <v>47.46</v>
      </c>
      <c r="M1306" s="14" t="s">
        <v>14</v>
      </c>
      <c r="N1306" s="13">
        <v>1661.1</v>
      </c>
      <c r="O1306" s="15">
        <f t="shared" si="864"/>
        <v>0</v>
      </c>
      <c r="P1306" s="10" t="s">
        <v>84</v>
      </c>
      <c r="Q1306" s="11" t="s">
        <v>2953</v>
      </c>
      <c r="R1306" s="11" t="s">
        <v>2954</v>
      </c>
      <c r="S1306" s="16" t="s">
        <v>2955</v>
      </c>
      <c r="T1306" s="19" t="str">
        <f>MONTH(B1306)&amp;"-"&amp;YEAR(B1306)</f>
        <v>9-2023</v>
      </c>
      <c r="U1306" s="2">
        <f>YEAR(B1306)</f>
        <v>2023</v>
      </c>
      <c r="V1306" s="2" t="str">
        <f>IF(DAY(B1306)&gt;15,MONTH(B1306)&amp;"-C",MONTH(B1306)&amp;"-N")</f>
        <v>9-N</v>
      </c>
      <c r="W1306" s="21">
        <v>47.46</v>
      </c>
      <c r="X1306" s="2" t="b">
        <f t="shared" si="865"/>
        <v>1</v>
      </c>
    </row>
    <row r="1307" spans="2:24" x14ac:dyDescent="0.2">
      <c r="B1307" s="17">
        <v>45178</v>
      </c>
      <c r="C1307" s="10" t="s">
        <v>107</v>
      </c>
      <c r="D1307" s="11" t="s">
        <v>2952</v>
      </c>
      <c r="E1307" s="26">
        <v>70254</v>
      </c>
      <c r="F1307" s="10" t="s">
        <v>105</v>
      </c>
      <c r="G1307" s="10" t="s">
        <v>46</v>
      </c>
      <c r="H1307" s="27" t="s">
        <v>106</v>
      </c>
      <c r="I1307" s="28" t="s">
        <v>1843</v>
      </c>
      <c r="J1307" s="12" t="s">
        <v>1843</v>
      </c>
      <c r="K1307" s="13">
        <v>1100</v>
      </c>
      <c r="L1307" s="21">
        <v>11.72</v>
      </c>
      <c r="M1307" s="14" t="s">
        <v>14</v>
      </c>
      <c r="N1307" s="13">
        <v>12892</v>
      </c>
      <c r="O1307" s="15">
        <f t="shared" si="864"/>
        <v>0</v>
      </c>
      <c r="P1307" s="10" t="s">
        <v>84</v>
      </c>
      <c r="Q1307" s="11" t="s">
        <v>2953</v>
      </c>
      <c r="R1307" s="11" t="s">
        <v>2954</v>
      </c>
      <c r="S1307" s="16" t="s">
        <v>2955</v>
      </c>
      <c r="T1307" s="19" t="str">
        <f>MONTH(B1307)&amp;"-"&amp;YEAR(B1307)</f>
        <v>9-2023</v>
      </c>
      <c r="U1307" s="2">
        <f>YEAR(B1307)</f>
        <v>2023</v>
      </c>
      <c r="V1307" s="2" t="str">
        <f>IF(DAY(B1307)&gt;15,MONTH(B1307)&amp;"-C",MONTH(B1307)&amp;"-N")</f>
        <v>9-N</v>
      </c>
      <c r="W1307" s="21">
        <v>11.72</v>
      </c>
      <c r="X1307" s="2" t="b">
        <f t="shared" si="865"/>
        <v>1</v>
      </c>
    </row>
    <row r="1308" spans="2:24" x14ac:dyDescent="0.2">
      <c r="B1308" s="17">
        <v>45178</v>
      </c>
      <c r="C1308" s="10" t="s">
        <v>107</v>
      </c>
      <c r="D1308" s="11" t="s">
        <v>2952</v>
      </c>
      <c r="E1308" s="26">
        <v>70254</v>
      </c>
      <c r="F1308" s="10" t="s">
        <v>2882</v>
      </c>
      <c r="G1308" s="10" t="s">
        <v>46</v>
      </c>
      <c r="H1308" s="27" t="s">
        <v>2883</v>
      </c>
      <c r="I1308" s="28" t="s">
        <v>1843</v>
      </c>
      <c r="J1308" s="12" t="s">
        <v>1843</v>
      </c>
      <c r="K1308" s="13">
        <v>440</v>
      </c>
      <c r="L1308" s="21">
        <v>11.11</v>
      </c>
      <c r="M1308" s="14" t="s">
        <v>14</v>
      </c>
      <c r="N1308" s="13">
        <v>4888.3999999999996</v>
      </c>
      <c r="O1308" s="15">
        <f t="shared" si="864"/>
        <v>0</v>
      </c>
      <c r="P1308" s="10" t="s">
        <v>84</v>
      </c>
      <c r="Q1308" s="11" t="s">
        <v>2953</v>
      </c>
      <c r="R1308" s="11" t="s">
        <v>2954</v>
      </c>
      <c r="S1308" s="16" t="s">
        <v>2955</v>
      </c>
      <c r="T1308" s="19" t="str">
        <f>MONTH(B1308)&amp;"-"&amp;YEAR(B1308)</f>
        <v>9-2023</v>
      </c>
      <c r="U1308" s="2">
        <f>YEAR(B1308)</f>
        <v>2023</v>
      </c>
      <c r="V1308" s="2" t="str">
        <f>IF(DAY(B1308)&gt;15,MONTH(B1308)&amp;"-C",MONTH(B1308)&amp;"-N")</f>
        <v>9-N</v>
      </c>
      <c r="W1308" s="21">
        <v>11.11</v>
      </c>
      <c r="X1308" s="2" t="b">
        <f t="shared" si="865"/>
        <v>1</v>
      </c>
    </row>
    <row r="1309" spans="2:24" x14ac:dyDescent="0.2">
      <c r="B1309" s="17">
        <v>45180</v>
      </c>
      <c r="C1309" s="10" t="s">
        <v>94</v>
      </c>
      <c r="D1309" s="11" t="s">
        <v>2900</v>
      </c>
      <c r="E1309" s="26">
        <v>70255</v>
      </c>
      <c r="F1309" s="10" t="s">
        <v>26</v>
      </c>
      <c r="G1309" s="10" t="s">
        <v>27</v>
      </c>
      <c r="H1309" s="27" t="s">
        <v>28</v>
      </c>
      <c r="I1309" s="28" t="s">
        <v>1843</v>
      </c>
      <c r="J1309" s="12" t="s">
        <v>1843</v>
      </c>
      <c r="K1309" s="13">
        <v>15000</v>
      </c>
      <c r="L1309" s="21">
        <v>3.5</v>
      </c>
      <c r="M1309" s="14" t="s">
        <v>14</v>
      </c>
      <c r="N1309" s="13">
        <v>52500</v>
      </c>
      <c r="O1309" s="15">
        <f t="shared" ref="O1309:O1313" si="866">(N1309/K1309)-L1309</f>
        <v>0</v>
      </c>
      <c r="P1309" s="10" t="s">
        <v>78</v>
      </c>
      <c r="Q1309" s="11" t="s">
        <v>2967</v>
      </c>
      <c r="R1309" s="11" t="s">
        <v>2968</v>
      </c>
      <c r="S1309" s="16" t="s">
        <v>2969</v>
      </c>
      <c r="T1309" s="19" t="str">
        <f>MONTH(B1309)&amp;"-"&amp;YEAR(B1309)</f>
        <v>9-2023</v>
      </c>
      <c r="U1309" s="2">
        <f>YEAR(B1309)</f>
        <v>2023</v>
      </c>
      <c r="V1309" s="2" t="str">
        <f>IF(DAY(B1309)&gt;15,MONTH(B1309)&amp;"-C",MONTH(B1309)&amp;"-N")</f>
        <v>9-N</v>
      </c>
      <c r="W1309" s="21">
        <v>3.5</v>
      </c>
      <c r="X1309" s="2" t="b">
        <f t="shared" ref="X1309:X1313" si="867">+L1309=W1309</f>
        <v>1</v>
      </c>
    </row>
    <row r="1310" spans="2:24" x14ac:dyDescent="0.2">
      <c r="B1310" s="17">
        <v>45180</v>
      </c>
      <c r="C1310" s="10" t="s">
        <v>94</v>
      </c>
      <c r="D1310" s="11" t="s">
        <v>2963</v>
      </c>
      <c r="E1310" s="26">
        <v>70255</v>
      </c>
      <c r="F1310" s="10" t="s">
        <v>26</v>
      </c>
      <c r="G1310" s="10" t="s">
        <v>27</v>
      </c>
      <c r="H1310" s="27" t="s">
        <v>28</v>
      </c>
      <c r="I1310" s="28" t="s">
        <v>1843</v>
      </c>
      <c r="J1310" s="12" t="s">
        <v>1843</v>
      </c>
      <c r="K1310" s="13">
        <v>4800</v>
      </c>
      <c r="L1310" s="21">
        <v>3.5</v>
      </c>
      <c r="M1310" s="14" t="s">
        <v>14</v>
      </c>
      <c r="N1310" s="13">
        <v>16800</v>
      </c>
      <c r="O1310" s="15">
        <f t="shared" si="866"/>
        <v>0</v>
      </c>
      <c r="P1310" s="10" t="s">
        <v>78</v>
      </c>
      <c r="Q1310" s="11" t="s">
        <v>2967</v>
      </c>
      <c r="R1310" s="11" t="s">
        <v>2968</v>
      </c>
      <c r="S1310" s="16" t="s">
        <v>2969</v>
      </c>
      <c r="T1310" s="19" t="str">
        <f>MONTH(B1310)&amp;"-"&amp;YEAR(B1310)</f>
        <v>9-2023</v>
      </c>
      <c r="U1310" s="2">
        <f>YEAR(B1310)</f>
        <v>2023</v>
      </c>
      <c r="V1310" s="2" t="str">
        <f>IF(DAY(B1310)&gt;15,MONTH(B1310)&amp;"-C",MONTH(B1310)&amp;"-N")</f>
        <v>9-N</v>
      </c>
      <c r="W1310" s="21">
        <v>3.5</v>
      </c>
      <c r="X1310" s="2" t="b">
        <f t="shared" si="867"/>
        <v>1</v>
      </c>
    </row>
    <row r="1311" spans="2:24" x14ac:dyDescent="0.2">
      <c r="B1311" s="17">
        <v>45181</v>
      </c>
      <c r="C1311" s="10" t="s">
        <v>2630</v>
      </c>
      <c r="D1311" s="11" t="s">
        <v>2956</v>
      </c>
      <c r="E1311" s="26">
        <v>70266</v>
      </c>
      <c r="F1311" s="10" t="s">
        <v>29</v>
      </c>
      <c r="G1311" s="10" t="s">
        <v>27</v>
      </c>
      <c r="H1311" s="27" t="s">
        <v>30</v>
      </c>
      <c r="I1311" s="28" t="s">
        <v>1843</v>
      </c>
      <c r="J1311" s="12" t="s">
        <v>1843</v>
      </c>
      <c r="K1311" s="13">
        <v>4950</v>
      </c>
      <c r="L1311" s="21">
        <v>3.7</v>
      </c>
      <c r="M1311" s="14" t="s">
        <v>14</v>
      </c>
      <c r="N1311" s="13">
        <v>18315</v>
      </c>
      <c r="O1311" s="15">
        <f t="shared" si="866"/>
        <v>0</v>
      </c>
      <c r="P1311" s="10" t="s">
        <v>78</v>
      </c>
      <c r="Q1311" s="11" t="s">
        <v>2957</v>
      </c>
      <c r="R1311" s="11" t="s">
        <v>2958</v>
      </c>
      <c r="S1311" s="16" t="s">
        <v>2959</v>
      </c>
      <c r="T1311" s="19" t="str">
        <f>MONTH(B1311)&amp;"-"&amp;YEAR(B1311)</f>
        <v>9-2023</v>
      </c>
      <c r="U1311" s="2">
        <f>YEAR(B1311)</f>
        <v>2023</v>
      </c>
      <c r="V1311" s="2" t="str">
        <f>IF(DAY(B1311)&gt;15,MONTH(B1311)&amp;"-C",MONTH(B1311)&amp;"-N")</f>
        <v>9-N</v>
      </c>
      <c r="W1311" s="21">
        <v>3.7</v>
      </c>
      <c r="X1311" s="2" t="b">
        <f t="shared" si="867"/>
        <v>1</v>
      </c>
    </row>
    <row r="1312" spans="2:24" x14ac:dyDescent="0.2">
      <c r="B1312" s="17">
        <v>45181</v>
      </c>
      <c r="C1312" s="10" t="s">
        <v>88</v>
      </c>
      <c r="D1312" s="11" t="s">
        <v>2920</v>
      </c>
      <c r="E1312" s="26">
        <v>70286</v>
      </c>
      <c r="F1312" s="10" t="s">
        <v>98</v>
      </c>
      <c r="G1312" s="10" t="s">
        <v>46</v>
      </c>
      <c r="H1312" s="27" t="s">
        <v>99</v>
      </c>
      <c r="I1312" s="28" t="s">
        <v>1843</v>
      </c>
      <c r="J1312" s="12" t="s">
        <v>1843</v>
      </c>
      <c r="K1312" s="13">
        <v>40</v>
      </c>
      <c r="L1312" s="21">
        <v>11.25</v>
      </c>
      <c r="M1312" s="14" t="s">
        <v>14</v>
      </c>
      <c r="N1312" s="13">
        <v>450</v>
      </c>
      <c r="O1312" s="15">
        <f t="shared" si="866"/>
        <v>0</v>
      </c>
      <c r="P1312" s="10" t="s">
        <v>84</v>
      </c>
      <c r="Q1312" s="11" t="s">
        <v>2970</v>
      </c>
      <c r="R1312" s="11" t="s">
        <v>2971</v>
      </c>
      <c r="S1312" s="16" t="s">
        <v>2972</v>
      </c>
      <c r="T1312" s="19" t="str">
        <f>MONTH(B1312)&amp;"-"&amp;YEAR(B1312)</f>
        <v>9-2023</v>
      </c>
      <c r="U1312" s="2">
        <f>YEAR(B1312)</f>
        <v>2023</v>
      </c>
      <c r="V1312" s="2" t="str">
        <f>IF(DAY(B1312)&gt;15,MONTH(B1312)&amp;"-C",MONTH(B1312)&amp;"-N")</f>
        <v>9-N</v>
      </c>
      <c r="W1312" s="21">
        <v>11.25</v>
      </c>
      <c r="X1312" s="2" t="b">
        <f t="shared" si="867"/>
        <v>1</v>
      </c>
    </row>
    <row r="1313" spans="2:24" x14ac:dyDescent="0.2">
      <c r="B1313" s="17">
        <v>45181</v>
      </c>
      <c r="C1313" s="10" t="s">
        <v>88</v>
      </c>
      <c r="D1313" s="11" t="s">
        <v>2920</v>
      </c>
      <c r="E1313" s="26">
        <v>70286</v>
      </c>
      <c r="F1313" s="10" t="s">
        <v>100</v>
      </c>
      <c r="G1313" s="10" t="s">
        <v>46</v>
      </c>
      <c r="H1313" s="27" t="s">
        <v>101</v>
      </c>
      <c r="I1313" s="28" t="s">
        <v>1843</v>
      </c>
      <c r="J1313" s="12" t="s">
        <v>1843</v>
      </c>
      <c r="K1313" s="13">
        <v>2000</v>
      </c>
      <c r="L1313" s="21">
        <v>13.22</v>
      </c>
      <c r="M1313" s="14" t="s">
        <v>14</v>
      </c>
      <c r="N1313" s="13">
        <v>26440</v>
      </c>
      <c r="O1313" s="15">
        <f t="shared" si="866"/>
        <v>0</v>
      </c>
      <c r="P1313" s="10" t="s">
        <v>84</v>
      </c>
      <c r="Q1313" s="11" t="s">
        <v>2970</v>
      </c>
      <c r="R1313" s="11" t="s">
        <v>2971</v>
      </c>
      <c r="S1313" s="16" t="s">
        <v>2972</v>
      </c>
      <c r="T1313" s="19" t="str">
        <f>MONTH(B1313)&amp;"-"&amp;YEAR(B1313)</f>
        <v>9-2023</v>
      </c>
      <c r="U1313" s="2">
        <f>YEAR(B1313)</f>
        <v>2023</v>
      </c>
      <c r="V1313" s="2" t="str">
        <f>IF(DAY(B1313)&gt;15,MONTH(B1313)&amp;"-C",MONTH(B1313)&amp;"-N")</f>
        <v>9-N</v>
      </c>
      <c r="W1313" s="21">
        <v>13.22</v>
      </c>
      <c r="X1313" s="2" t="b">
        <f t="shared" si="867"/>
        <v>1</v>
      </c>
    </row>
    <row r="1314" spans="2:24" x14ac:dyDescent="0.2">
      <c r="B1314" s="17">
        <v>45186</v>
      </c>
      <c r="C1314" s="10" t="s">
        <v>94</v>
      </c>
      <c r="D1314" s="11" t="s">
        <v>2963</v>
      </c>
      <c r="E1314" s="26">
        <v>70367</v>
      </c>
      <c r="F1314" s="10" t="s">
        <v>26</v>
      </c>
      <c r="G1314" s="10" t="s">
        <v>27</v>
      </c>
      <c r="H1314" s="27" t="s">
        <v>28</v>
      </c>
      <c r="I1314" s="28" t="s">
        <v>1843</v>
      </c>
      <c r="J1314" s="12" t="s">
        <v>1843</v>
      </c>
      <c r="K1314" s="13">
        <v>18900</v>
      </c>
      <c r="L1314" s="21">
        <v>3.5</v>
      </c>
      <c r="M1314" s="14" t="s">
        <v>14</v>
      </c>
      <c r="N1314" s="13">
        <v>66150</v>
      </c>
      <c r="O1314" s="15">
        <f t="shared" ref="O1314" si="868">(N1314/K1314)-L1314</f>
        <v>0</v>
      </c>
      <c r="P1314" s="10" t="s">
        <v>78</v>
      </c>
      <c r="Q1314" s="11" t="s">
        <v>2964</v>
      </c>
      <c r="R1314" s="11" t="s">
        <v>2965</v>
      </c>
      <c r="S1314" s="16" t="s">
        <v>2966</v>
      </c>
      <c r="T1314" s="19" t="str">
        <f>MONTH(B1314)&amp;"-"&amp;YEAR(B1314)</f>
        <v>9-2023</v>
      </c>
      <c r="U1314" s="2">
        <f>YEAR(B1314)</f>
        <v>2023</v>
      </c>
      <c r="V1314" s="2" t="str">
        <f>IF(DAY(B1314)&gt;15,MONTH(B1314)&amp;"-C",MONTH(B1314)&amp;"-N")</f>
        <v>9-C</v>
      </c>
      <c r="W1314" s="21">
        <v>3.5</v>
      </c>
      <c r="X1314" s="2" t="b">
        <f t="shared" ref="X1314" si="869">+L1314=W1314</f>
        <v>1</v>
      </c>
    </row>
    <row r="1315" spans="2:24" x14ac:dyDescent="0.2">
      <c r="B1315" s="17">
        <v>45188</v>
      </c>
      <c r="C1315" s="10" t="s">
        <v>73</v>
      </c>
      <c r="D1315" s="11" t="s">
        <v>2948</v>
      </c>
      <c r="E1315" s="26">
        <v>70404</v>
      </c>
      <c r="F1315" s="10" t="s">
        <v>399</v>
      </c>
      <c r="G1315" s="10" t="s">
        <v>46</v>
      </c>
      <c r="H1315" s="27" t="s">
        <v>149</v>
      </c>
      <c r="I1315" s="28" t="s">
        <v>1843</v>
      </c>
      <c r="J1315" s="12" t="s">
        <v>1843</v>
      </c>
      <c r="K1315" s="13">
        <v>2010</v>
      </c>
      <c r="L1315" s="21">
        <v>16.8</v>
      </c>
      <c r="M1315" s="14" t="s">
        <v>14</v>
      </c>
      <c r="N1315" s="13">
        <v>33768</v>
      </c>
      <c r="O1315" s="15">
        <f t="shared" ref="O1315" si="870">(N1315/K1315)-L1315</f>
        <v>0</v>
      </c>
      <c r="P1315" s="10" t="s">
        <v>84</v>
      </c>
      <c r="Q1315" s="11" t="s">
        <v>2949</v>
      </c>
      <c r="R1315" s="11" t="s">
        <v>2950</v>
      </c>
      <c r="S1315" s="16" t="s">
        <v>2951</v>
      </c>
      <c r="T1315" s="19" t="str">
        <f>MONTH(B1315)&amp;"-"&amp;YEAR(B1315)</f>
        <v>9-2023</v>
      </c>
      <c r="U1315" s="2">
        <f>YEAR(B1315)</f>
        <v>2023</v>
      </c>
      <c r="V1315" s="2" t="str">
        <f>IF(DAY(B1315)&gt;15,MONTH(B1315)&amp;"-C",MONTH(B1315)&amp;"-N")</f>
        <v>9-C</v>
      </c>
      <c r="W1315" s="21">
        <v>16.8</v>
      </c>
      <c r="X1315" s="2" t="b">
        <f t="shared" ref="X1315" si="871">+L1315=W1315</f>
        <v>1</v>
      </c>
    </row>
    <row r="1316" spans="2:24" x14ac:dyDescent="0.2">
      <c r="B1316" s="17">
        <v>45189</v>
      </c>
      <c r="C1316" s="10" t="s">
        <v>73</v>
      </c>
      <c r="D1316" s="11" t="s">
        <v>2938</v>
      </c>
      <c r="E1316" s="26">
        <v>70424</v>
      </c>
      <c r="F1316" s="10" t="s">
        <v>399</v>
      </c>
      <c r="G1316" s="10" t="s">
        <v>46</v>
      </c>
      <c r="H1316" s="27" t="s">
        <v>149</v>
      </c>
      <c r="I1316" s="28" t="s">
        <v>1843</v>
      </c>
      <c r="J1316" s="12" t="s">
        <v>1843</v>
      </c>
      <c r="K1316" s="13">
        <v>450</v>
      </c>
      <c r="L1316" s="21">
        <v>16.8</v>
      </c>
      <c r="M1316" s="14" t="s">
        <v>14</v>
      </c>
      <c r="N1316" s="13">
        <v>7560</v>
      </c>
      <c r="O1316" s="15">
        <f t="shared" ref="O1316:O1317" si="872">(N1316/K1316)-L1316</f>
        <v>0</v>
      </c>
      <c r="P1316" s="10" t="s">
        <v>84</v>
      </c>
      <c r="Q1316" s="11" t="s">
        <v>2945</v>
      </c>
      <c r="R1316" s="11" t="s">
        <v>2946</v>
      </c>
      <c r="S1316" s="16" t="s">
        <v>2947</v>
      </c>
      <c r="T1316" s="19" t="str">
        <f>MONTH(B1316)&amp;"-"&amp;YEAR(B1316)</f>
        <v>9-2023</v>
      </c>
      <c r="U1316" s="2">
        <f>YEAR(B1316)</f>
        <v>2023</v>
      </c>
      <c r="V1316" s="2" t="str">
        <f>IF(DAY(B1316)&gt;15,MONTH(B1316)&amp;"-C",MONTH(B1316)&amp;"-N")</f>
        <v>9-C</v>
      </c>
      <c r="W1316" s="21">
        <v>16.8</v>
      </c>
      <c r="X1316" s="2" t="b">
        <f t="shared" ref="X1316:X1317" si="873">+L1316=W1316</f>
        <v>1</v>
      </c>
    </row>
    <row r="1317" spans="2:24" x14ac:dyDescent="0.2">
      <c r="B1317" s="17">
        <v>45189</v>
      </c>
      <c r="C1317" s="10" t="s">
        <v>73</v>
      </c>
      <c r="D1317" s="11" t="s">
        <v>2948</v>
      </c>
      <c r="E1317" s="26">
        <v>70424</v>
      </c>
      <c r="F1317" s="10" t="s">
        <v>399</v>
      </c>
      <c r="G1317" s="10" t="s">
        <v>46</v>
      </c>
      <c r="H1317" s="27" t="s">
        <v>149</v>
      </c>
      <c r="I1317" s="28" t="s">
        <v>1843</v>
      </c>
      <c r="J1317" s="12" t="s">
        <v>1843</v>
      </c>
      <c r="K1317" s="13">
        <v>990</v>
      </c>
      <c r="L1317" s="21">
        <v>16.8</v>
      </c>
      <c r="M1317" s="14" t="s">
        <v>14</v>
      </c>
      <c r="N1317" s="13">
        <v>16632</v>
      </c>
      <c r="O1317" s="15">
        <f t="shared" si="872"/>
        <v>0</v>
      </c>
      <c r="P1317" s="10" t="s">
        <v>84</v>
      </c>
      <c r="Q1317" s="11" t="s">
        <v>2945</v>
      </c>
      <c r="R1317" s="11" t="s">
        <v>2946</v>
      </c>
      <c r="S1317" s="16" t="s">
        <v>2947</v>
      </c>
      <c r="T1317" s="19" t="str">
        <f>MONTH(B1317)&amp;"-"&amp;YEAR(B1317)</f>
        <v>9-2023</v>
      </c>
      <c r="U1317" s="2">
        <f>YEAR(B1317)</f>
        <v>2023</v>
      </c>
      <c r="V1317" s="2" t="str">
        <f>IF(DAY(B1317)&gt;15,MONTH(B1317)&amp;"-C",MONTH(B1317)&amp;"-N")</f>
        <v>9-C</v>
      </c>
      <c r="W1317" s="21">
        <v>16.8</v>
      </c>
      <c r="X1317" s="2" t="b">
        <f t="shared" si="873"/>
        <v>1</v>
      </c>
    </row>
    <row r="1318" spans="2:24" x14ac:dyDescent="0.2">
      <c r="B1318" s="17">
        <v>45191</v>
      </c>
      <c r="C1318" s="10" t="s">
        <v>107</v>
      </c>
      <c r="D1318" s="11" t="s">
        <v>2977</v>
      </c>
      <c r="E1318" s="26">
        <v>70470</v>
      </c>
      <c r="F1318" s="10" t="s">
        <v>103</v>
      </c>
      <c r="G1318" s="10" t="s">
        <v>46</v>
      </c>
      <c r="H1318" s="27" t="s">
        <v>104</v>
      </c>
      <c r="I1318" s="28" t="s">
        <v>1843</v>
      </c>
      <c r="J1318" s="12" t="s">
        <v>1843</v>
      </c>
      <c r="K1318" s="13">
        <v>220</v>
      </c>
      <c r="L1318" s="21">
        <v>47.46</v>
      </c>
      <c r="M1318" s="14" t="s">
        <v>14</v>
      </c>
      <c r="N1318" s="13">
        <v>10441.200000000001</v>
      </c>
      <c r="O1318" s="15">
        <f t="shared" ref="O1318:O1319" si="874">(N1318/K1318)-L1318</f>
        <v>0</v>
      </c>
      <c r="P1318" s="10" t="s">
        <v>84</v>
      </c>
      <c r="Q1318" s="11" t="s">
        <v>2978</v>
      </c>
      <c r="R1318" s="11" t="s">
        <v>2979</v>
      </c>
      <c r="S1318" s="16" t="s">
        <v>2980</v>
      </c>
      <c r="T1318" s="19" t="str">
        <f>MONTH(B1318)&amp;"-"&amp;YEAR(B1318)</f>
        <v>9-2023</v>
      </c>
      <c r="U1318" s="2">
        <f>YEAR(B1318)</f>
        <v>2023</v>
      </c>
      <c r="V1318" s="2" t="str">
        <f>IF(DAY(B1318)&gt;15,MONTH(B1318)&amp;"-C",MONTH(B1318)&amp;"-N")</f>
        <v>9-C</v>
      </c>
      <c r="W1318" s="21">
        <v>47.46</v>
      </c>
      <c r="X1318" s="2" t="b">
        <f t="shared" ref="X1318:X1319" si="875">+L1318=W1318</f>
        <v>1</v>
      </c>
    </row>
    <row r="1319" spans="2:24" x14ac:dyDescent="0.2">
      <c r="B1319" s="17">
        <v>45191</v>
      </c>
      <c r="C1319" s="10" t="s">
        <v>107</v>
      </c>
      <c r="D1319" s="11" t="s">
        <v>2977</v>
      </c>
      <c r="E1319" s="26">
        <v>70470</v>
      </c>
      <c r="F1319" s="10" t="s">
        <v>105</v>
      </c>
      <c r="G1319" s="10" t="s">
        <v>46</v>
      </c>
      <c r="H1319" s="27" t="s">
        <v>106</v>
      </c>
      <c r="I1319" s="28" t="s">
        <v>1843</v>
      </c>
      <c r="J1319" s="12" t="s">
        <v>1843</v>
      </c>
      <c r="K1319" s="13">
        <v>7040</v>
      </c>
      <c r="L1319" s="21">
        <v>11.72</v>
      </c>
      <c r="M1319" s="14" t="s">
        <v>14</v>
      </c>
      <c r="N1319" s="13">
        <v>82508.800000000003</v>
      </c>
      <c r="O1319" s="15">
        <f t="shared" si="874"/>
        <v>0</v>
      </c>
      <c r="P1319" s="10" t="s">
        <v>84</v>
      </c>
      <c r="Q1319" s="11" t="s">
        <v>2978</v>
      </c>
      <c r="R1319" s="11" t="s">
        <v>2979</v>
      </c>
      <c r="S1319" s="16" t="s">
        <v>2980</v>
      </c>
      <c r="T1319" s="19" t="str">
        <f>MONTH(B1319)&amp;"-"&amp;YEAR(B1319)</f>
        <v>9-2023</v>
      </c>
      <c r="U1319" s="2">
        <f>YEAR(B1319)</f>
        <v>2023</v>
      </c>
      <c r="V1319" s="2" t="str">
        <f>IF(DAY(B1319)&gt;15,MONTH(B1319)&amp;"-C",MONTH(B1319)&amp;"-N")</f>
        <v>9-C</v>
      </c>
      <c r="W1319" s="21">
        <v>11.72</v>
      </c>
      <c r="X1319" s="2" t="b">
        <f t="shared" si="875"/>
        <v>1</v>
      </c>
    </row>
    <row r="1320" spans="2:24" x14ac:dyDescent="0.2">
      <c r="B1320" s="17">
        <v>45192</v>
      </c>
      <c r="C1320" s="10" t="s">
        <v>94</v>
      </c>
      <c r="D1320" s="11" t="s">
        <v>2963</v>
      </c>
      <c r="E1320" s="26">
        <v>70485</v>
      </c>
      <c r="F1320" s="10" t="s">
        <v>26</v>
      </c>
      <c r="G1320" s="10" t="s">
        <v>27</v>
      </c>
      <c r="H1320" s="27" t="s">
        <v>28</v>
      </c>
      <c r="I1320" s="28" t="s">
        <v>1843</v>
      </c>
      <c r="J1320" s="12" t="s">
        <v>1843</v>
      </c>
      <c r="K1320" s="13">
        <v>19800</v>
      </c>
      <c r="L1320" s="21">
        <v>3.5</v>
      </c>
      <c r="M1320" s="14" t="s">
        <v>14</v>
      </c>
      <c r="N1320" s="13">
        <v>69300</v>
      </c>
      <c r="O1320" s="15">
        <f t="shared" ref="O1320" si="876">(N1320/K1320)-L1320</f>
        <v>0</v>
      </c>
      <c r="P1320" s="10" t="s">
        <v>78</v>
      </c>
      <c r="Q1320" s="11" t="s">
        <v>2981</v>
      </c>
      <c r="R1320" s="11" t="s">
        <v>2982</v>
      </c>
      <c r="S1320" s="16" t="s">
        <v>2983</v>
      </c>
      <c r="T1320" s="19" t="str">
        <f>MONTH(B1320)&amp;"-"&amp;YEAR(B1320)</f>
        <v>9-2023</v>
      </c>
      <c r="U1320" s="2">
        <f>YEAR(B1320)</f>
        <v>2023</v>
      </c>
      <c r="V1320" s="2" t="str">
        <f>IF(DAY(B1320)&gt;15,MONTH(B1320)&amp;"-C",MONTH(B1320)&amp;"-N")</f>
        <v>9-C</v>
      </c>
      <c r="W1320" s="21">
        <v>3.5</v>
      </c>
      <c r="X1320" s="2" t="b">
        <f t="shared" ref="X1320" si="877">+L1320=W1320</f>
        <v>1</v>
      </c>
    </row>
    <row r="1321" spans="2:24" x14ac:dyDescent="0.2">
      <c r="B1321" s="17">
        <v>45195</v>
      </c>
      <c r="C1321" s="10" t="s">
        <v>25</v>
      </c>
      <c r="D1321" s="11" t="s">
        <v>2973</v>
      </c>
      <c r="E1321" s="26">
        <v>70529</v>
      </c>
      <c r="F1321" s="10" t="s">
        <v>33</v>
      </c>
      <c r="G1321" s="10" t="s">
        <v>27</v>
      </c>
      <c r="H1321" s="27" t="s">
        <v>34</v>
      </c>
      <c r="I1321" s="28" t="s">
        <v>1843</v>
      </c>
      <c r="J1321" s="12" t="s">
        <v>1843</v>
      </c>
      <c r="K1321" s="13">
        <v>360</v>
      </c>
      <c r="L1321" s="21">
        <v>5.0999999999999996</v>
      </c>
      <c r="M1321" s="14" t="s">
        <v>14</v>
      </c>
      <c r="N1321" s="13">
        <v>1836</v>
      </c>
      <c r="O1321" s="15">
        <f t="shared" ref="O1321:O1322" si="878">(N1321/K1321)-L1321</f>
        <v>0</v>
      </c>
      <c r="P1321" s="10" t="s">
        <v>78</v>
      </c>
      <c r="Q1321" s="11" t="s">
        <v>2974</v>
      </c>
      <c r="R1321" s="11" t="s">
        <v>2975</v>
      </c>
      <c r="S1321" s="16" t="s">
        <v>2976</v>
      </c>
      <c r="T1321" s="19" t="str">
        <f>MONTH(B1321)&amp;"-"&amp;YEAR(B1321)</f>
        <v>9-2023</v>
      </c>
      <c r="U1321" s="2">
        <f>YEAR(B1321)</f>
        <v>2023</v>
      </c>
      <c r="V1321" s="2" t="str">
        <f>IF(DAY(B1321)&gt;15,MONTH(B1321)&amp;"-C",MONTH(B1321)&amp;"-N")</f>
        <v>9-C</v>
      </c>
      <c r="W1321" s="21">
        <v>5.0999999999999996</v>
      </c>
      <c r="X1321" s="2" t="b">
        <f t="shared" ref="X1321:X1322" si="879">+L1321=W1321</f>
        <v>1</v>
      </c>
    </row>
    <row r="1322" spans="2:24" x14ac:dyDescent="0.2">
      <c r="B1322" s="17">
        <v>45196</v>
      </c>
      <c r="C1322" s="10" t="s">
        <v>25</v>
      </c>
      <c r="D1322" s="11" t="s">
        <v>2984</v>
      </c>
      <c r="E1322" s="26">
        <v>70549</v>
      </c>
      <c r="F1322" s="10" t="s">
        <v>26</v>
      </c>
      <c r="G1322" s="10" t="s">
        <v>27</v>
      </c>
      <c r="H1322" s="27" t="s">
        <v>28</v>
      </c>
      <c r="I1322" s="28" t="s">
        <v>1843</v>
      </c>
      <c r="J1322" s="12" t="s">
        <v>1843</v>
      </c>
      <c r="K1322" s="13">
        <v>19800</v>
      </c>
      <c r="L1322" s="21">
        <v>4.08</v>
      </c>
      <c r="M1322" s="14" t="s">
        <v>14</v>
      </c>
      <c r="N1322" s="13">
        <v>80784</v>
      </c>
      <c r="O1322" s="15">
        <f t="shared" si="878"/>
        <v>0</v>
      </c>
      <c r="P1322" s="10" t="s">
        <v>78</v>
      </c>
      <c r="Q1322" s="11" t="s">
        <v>2985</v>
      </c>
      <c r="R1322" s="11" t="s">
        <v>2986</v>
      </c>
      <c r="S1322" s="16" t="s">
        <v>2987</v>
      </c>
      <c r="T1322" s="19" t="str">
        <f>MONTH(B1322)&amp;"-"&amp;YEAR(B1322)</f>
        <v>9-2023</v>
      </c>
      <c r="U1322" s="2">
        <f>YEAR(B1322)</f>
        <v>2023</v>
      </c>
      <c r="V1322" s="2" t="str">
        <f>IF(DAY(B1322)&gt;15,MONTH(B1322)&amp;"-C",MONTH(B1322)&amp;"-N")</f>
        <v>9-C</v>
      </c>
      <c r="W1322" s="21">
        <v>4.08</v>
      </c>
      <c r="X1322" s="2" t="b">
        <f t="shared" si="879"/>
        <v>1</v>
      </c>
    </row>
    <row r="1323" spans="2:24" x14ac:dyDescent="0.2">
      <c r="B1323" s="17">
        <v>45202</v>
      </c>
      <c r="C1323" s="10" t="s">
        <v>25</v>
      </c>
      <c r="D1323" s="11">
        <v>169866</v>
      </c>
      <c r="E1323" s="26">
        <v>70618</v>
      </c>
      <c r="F1323" s="10" t="s">
        <v>31</v>
      </c>
      <c r="G1323" s="10" t="s">
        <v>27</v>
      </c>
      <c r="H1323" s="27" t="s">
        <v>32</v>
      </c>
      <c r="I1323" s="28"/>
      <c r="J1323" s="12"/>
      <c r="K1323" s="13">
        <v>1920</v>
      </c>
      <c r="L1323" s="21">
        <v>3.9</v>
      </c>
      <c r="M1323" s="14" t="s">
        <v>14</v>
      </c>
      <c r="N1323" s="13">
        <v>7488</v>
      </c>
      <c r="O1323" s="15">
        <f t="shared" ref="O1323:O1335" si="880">(N1323/K1323)-L1323</f>
        <v>0</v>
      </c>
      <c r="P1323" s="10" t="s">
        <v>78</v>
      </c>
      <c r="Q1323" s="11" t="s">
        <v>2988</v>
      </c>
      <c r="R1323" s="11" t="s">
        <v>2989</v>
      </c>
      <c r="S1323" s="16" t="s">
        <v>2990</v>
      </c>
      <c r="T1323" s="19" t="str">
        <f>MONTH(B1323)&amp;"-"&amp;YEAR(B1323)</f>
        <v>10-2023</v>
      </c>
      <c r="U1323" s="2">
        <f>YEAR(B1323)</f>
        <v>2023</v>
      </c>
      <c r="V1323" s="2" t="str">
        <f>IF(DAY(B1323)&gt;15,MONTH(B1323)&amp;"-C",MONTH(B1323)&amp;"-N")</f>
        <v>10-N</v>
      </c>
      <c r="W1323" s="21">
        <v>3.9</v>
      </c>
      <c r="X1323" s="2" t="b">
        <f t="shared" ref="X1323:X1335" si="881">+L1323=W1323</f>
        <v>1</v>
      </c>
    </row>
    <row r="1324" spans="2:24" x14ac:dyDescent="0.2">
      <c r="B1324" s="17">
        <v>45202</v>
      </c>
      <c r="C1324" s="10" t="s">
        <v>25</v>
      </c>
      <c r="D1324" s="11">
        <v>169866</v>
      </c>
      <c r="E1324" s="26">
        <v>70618</v>
      </c>
      <c r="F1324" s="10" t="s">
        <v>33</v>
      </c>
      <c r="G1324" s="10" t="s">
        <v>27</v>
      </c>
      <c r="H1324" s="27" t="s">
        <v>34</v>
      </c>
      <c r="I1324" s="28"/>
      <c r="J1324" s="12"/>
      <c r="K1324" s="13">
        <v>2160</v>
      </c>
      <c r="L1324" s="21">
        <v>5.0999999999999996</v>
      </c>
      <c r="M1324" s="14" t="s">
        <v>14</v>
      </c>
      <c r="N1324" s="13">
        <v>11016</v>
      </c>
      <c r="O1324" s="15">
        <f t="shared" si="880"/>
        <v>0</v>
      </c>
      <c r="P1324" s="10" t="s">
        <v>78</v>
      </c>
      <c r="Q1324" s="11" t="s">
        <v>2988</v>
      </c>
      <c r="R1324" s="11" t="s">
        <v>2989</v>
      </c>
      <c r="S1324" s="16" t="s">
        <v>2990</v>
      </c>
      <c r="T1324" s="19" t="str">
        <f>MONTH(B1324)&amp;"-"&amp;YEAR(B1324)</f>
        <v>10-2023</v>
      </c>
      <c r="U1324" s="2">
        <f>YEAR(B1324)</f>
        <v>2023</v>
      </c>
      <c r="V1324" s="2" t="str">
        <f>IF(DAY(B1324)&gt;15,MONTH(B1324)&amp;"-C",MONTH(B1324)&amp;"-N")</f>
        <v>10-N</v>
      </c>
      <c r="W1324" s="21">
        <v>5.0999999999999996</v>
      </c>
      <c r="X1324" s="2" t="b">
        <f t="shared" si="881"/>
        <v>1</v>
      </c>
    </row>
    <row r="1325" spans="2:24" x14ac:dyDescent="0.2">
      <c r="B1325" s="17">
        <v>45202</v>
      </c>
      <c r="C1325" s="10" t="s">
        <v>25</v>
      </c>
      <c r="D1325" s="11">
        <v>169830</v>
      </c>
      <c r="E1325" s="26">
        <v>70620</v>
      </c>
      <c r="F1325" s="10" t="s">
        <v>26</v>
      </c>
      <c r="G1325" s="10" t="s">
        <v>27</v>
      </c>
      <c r="H1325" s="27" t="s">
        <v>28</v>
      </c>
      <c r="I1325" s="28"/>
      <c r="J1325" s="12"/>
      <c r="K1325" s="13">
        <v>19800</v>
      </c>
      <c r="L1325" s="21">
        <v>4.08</v>
      </c>
      <c r="M1325" s="14" t="s">
        <v>14</v>
      </c>
      <c r="N1325" s="13">
        <v>80784</v>
      </c>
      <c r="O1325" s="15">
        <f t="shared" si="880"/>
        <v>0</v>
      </c>
      <c r="P1325" s="10" t="s">
        <v>78</v>
      </c>
      <c r="Q1325" s="11" t="s">
        <v>2991</v>
      </c>
      <c r="R1325" s="11" t="s">
        <v>2992</v>
      </c>
      <c r="S1325" s="16" t="s">
        <v>2993</v>
      </c>
      <c r="T1325" s="19" t="str">
        <f>MONTH(B1325)&amp;"-"&amp;YEAR(B1325)</f>
        <v>10-2023</v>
      </c>
      <c r="U1325" s="2">
        <f>YEAR(B1325)</f>
        <v>2023</v>
      </c>
      <c r="V1325" s="2" t="str">
        <f>IF(DAY(B1325)&gt;15,MONTH(B1325)&amp;"-C",MONTH(B1325)&amp;"-N")</f>
        <v>10-N</v>
      </c>
      <c r="W1325" s="21">
        <v>4.08</v>
      </c>
      <c r="X1325" s="2" t="b">
        <f t="shared" si="881"/>
        <v>1</v>
      </c>
    </row>
    <row r="1326" spans="2:24" x14ac:dyDescent="0.2">
      <c r="B1326" s="17">
        <v>45203</v>
      </c>
      <c r="C1326" s="10" t="s">
        <v>107</v>
      </c>
      <c r="D1326" s="11">
        <v>169900</v>
      </c>
      <c r="E1326" s="26">
        <v>70653</v>
      </c>
      <c r="F1326" s="10" t="s">
        <v>142</v>
      </c>
      <c r="G1326" s="10" t="s">
        <v>46</v>
      </c>
      <c r="H1326" s="27" t="s">
        <v>143</v>
      </c>
      <c r="I1326" s="28"/>
      <c r="J1326" s="12"/>
      <c r="K1326" s="13">
        <v>2000</v>
      </c>
      <c r="L1326" s="21">
        <v>10.08</v>
      </c>
      <c r="M1326" s="14" t="s">
        <v>14</v>
      </c>
      <c r="N1326" s="13">
        <v>20160</v>
      </c>
      <c r="O1326" s="15">
        <f t="shared" si="880"/>
        <v>0</v>
      </c>
      <c r="P1326" s="10" t="s">
        <v>84</v>
      </c>
      <c r="Q1326" s="11" t="s">
        <v>2994</v>
      </c>
      <c r="R1326" s="11" t="s">
        <v>2995</v>
      </c>
      <c r="S1326" s="16" t="s">
        <v>2996</v>
      </c>
      <c r="T1326" s="19" t="str">
        <f>MONTH(B1326)&amp;"-"&amp;YEAR(B1326)</f>
        <v>10-2023</v>
      </c>
      <c r="U1326" s="2">
        <f>YEAR(B1326)</f>
        <v>2023</v>
      </c>
      <c r="V1326" s="2" t="str">
        <f>IF(DAY(B1326)&gt;15,MONTH(B1326)&amp;"-C",MONTH(B1326)&amp;"-N")</f>
        <v>10-N</v>
      </c>
      <c r="W1326" s="21">
        <v>10.08</v>
      </c>
      <c r="X1326" s="2" t="b">
        <f t="shared" si="881"/>
        <v>1</v>
      </c>
    </row>
    <row r="1327" spans="2:24" x14ac:dyDescent="0.2">
      <c r="B1327" s="17">
        <v>45203</v>
      </c>
      <c r="C1327" s="10" t="s">
        <v>107</v>
      </c>
      <c r="D1327" s="11">
        <v>169955</v>
      </c>
      <c r="E1327" s="26">
        <v>70653</v>
      </c>
      <c r="F1327" s="10" t="s">
        <v>142</v>
      </c>
      <c r="G1327" s="10" t="s">
        <v>46</v>
      </c>
      <c r="H1327" s="27" t="s">
        <v>143</v>
      </c>
      <c r="I1327" s="28"/>
      <c r="J1327" s="12"/>
      <c r="K1327" s="13">
        <v>1000</v>
      </c>
      <c r="L1327" s="21">
        <v>10.08</v>
      </c>
      <c r="M1327" s="14" t="s">
        <v>14</v>
      </c>
      <c r="N1327" s="13">
        <v>10080</v>
      </c>
      <c r="O1327" s="15">
        <f t="shared" si="880"/>
        <v>0</v>
      </c>
      <c r="P1327" s="10" t="s">
        <v>84</v>
      </c>
      <c r="Q1327" s="11" t="s">
        <v>2994</v>
      </c>
      <c r="R1327" s="11" t="s">
        <v>2995</v>
      </c>
      <c r="S1327" s="16" t="s">
        <v>2996</v>
      </c>
      <c r="T1327" s="19" t="str">
        <f>MONTH(B1327)&amp;"-"&amp;YEAR(B1327)</f>
        <v>10-2023</v>
      </c>
      <c r="U1327" s="2">
        <f>YEAR(B1327)</f>
        <v>2023</v>
      </c>
      <c r="V1327" s="2" t="str">
        <f>IF(DAY(B1327)&gt;15,MONTH(B1327)&amp;"-C",MONTH(B1327)&amp;"-N")</f>
        <v>10-N</v>
      </c>
      <c r="W1327" s="21">
        <v>10.08</v>
      </c>
      <c r="X1327" s="2" t="b">
        <f t="shared" si="881"/>
        <v>1</v>
      </c>
    </row>
    <row r="1328" spans="2:24" x14ac:dyDescent="0.2">
      <c r="B1328" s="17">
        <v>45203</v>
      </c>
      <c r="C1328" s="10" t="s">
        <v>107</v>
      </c>
      <c r="D1328" s="11">
        <v>169984</v>
      </c>
      <c r="E1328" s="26">
        <v>70653</v>
      </c>
      <c r="F1328" s="10" t="s">
        <v>142</v>
      </c>
      <c r="G1328" s="10" t="s">
        <v>46</v>
      </c>
      <c r="H1328" s="27" t="s">
        <v>143</v>
      </c>
      <c r="I1328" s="28"/>
      <c r="J1328" s="12"/>
      <c r="K1328" s="13">
        <v>300</v>
      </c>
      <c r="L1328" s="21">
        <v>10.08</v>
      </c>
      <c r="M1328" s="14" t="s">
        <v>14</v>
      </c>
      <c r="N1328" s="13">
        <v>3024</v>
      </c>
      <c r="O1328" s="15">
        <f t="shared" si="880"/>
        <v>0</v>
      </c>
      <c r="P1328" s="10" t="s">
        <v>84</v>
      </c>
      <c r="Q1328" s="11" t="s">
        <v>2994</v>
      </c>
      <c r="R1328" s="11" t="s">
        <v>2995</v>
      </c>
      <c r="S1328" s="16" t="s">
        <v>2996</v>
      </c>
      <c r="T1328" s="19" t="str">
        <f>MONTH(B1328)&amp;"-"&amp;YEAR(B1328)</f>
        <v>10-2023</v>
      </c>
      <c r="U1328" s="2">
        <f>YEAR(B1328)</f>
        <v>2023</v>
      </c>
      <c r="V1328" s="2" t="str">
        <f>IF(DAY(B1328)&gt;15,MONTH(B1328)&amp;"-C",MONTH(B1328)&amp;"-N")</f>
        <v>10-N</v>
      </c>
      <c r="W1328" s="21">
        <v>10.08</v>
      </c>
      <c r="X1328" s="2" t="b">
        <f t="shared" si="881"/>
        <v>1</v>
      </c>
    </row>
    <row r="1329" spans="2:24" x14ac:dyDescent="0.2">
      <c r="B1329" s="17">
        <v>45203</v>
      </c>
      <c r="C1329" s="10" t="s">
        <v>107</v>
      </c>
      <c r="D1329" s="11">
        <v>169900</v>
      </c>
      <c r="E1329" s="26">
        <v>70653</v>
      </c>
      <c r="F1329" s="10" t="s">
        <v>103</v>
      </c>
      <c r="G1329" s="10" t="s">
        <v>46</v>
      </c>
      <c r="H1329" s="27" t="s">
        <v>104</v>
      </c>
      <c r="I1329" s="28"/>
      <c r="J1329" s="12"/>
      <c r="K1329" s="13">
        <v>30</v>
      </c>
      <c r="L1329" s="21">
        <v>47.46</v>
      </c>
      <c r="M1329" s="14" t="s">
        <v>14</v>
      </c>
      <c r="N1329" s="13">
        <v>1423.8</v>
      </c>
      <c r="O1329" s="15">
        <f t="shared" si="880"/>
        <v>0</v>
      </c>
      <c r="P1329" s="10" t="s">
        <v>84</v>
      </c>
      <c r="Q1329" s="11" t="s">
        <v>2994</v>
      </c>
      <c r="R1329" s="11" t="s">
        <v>2995</v>
      </c>
      <c r="S1329" s="16" t="s">
        <v>2996</v>
      </c>
      <c r="T1329" s="19" t="str">
        <f>MONTH(B1329)&amp;"-"&amp;YEAR(B1329)</f>
        <v>10-2023</v>
      </c>
      <c r="U1329" s="2">
        <f>YEAR(B1329)</f>
        <v>2023</v>
      </c>
      <c r="V1329" s="2" t="str">
        <f>IF(DAY(B1329)&gt;15,MONTH(B1329)&amp;"-C",MONTH(B1329)&amp;"-N")</f>
        <v>10-N</v>
      </c>
      <c r="W1329" s="21">
        <v>47.46</v>
      </c>
      <c r="X1329" s="2" t="b">
        <f t="shared" si="881"/>
        <v>1</v>
      </c>
    </row>
    <row r="1330" spans="2:24" x14ac:dyDescent="0.2">
      <c r="B1330" s="17">
        <v>45203</v>
      </c>
      <c r="C1330" s="10" t="s">
        <v>107</v>
      </c>
      <c r="D1330" s="11">
        <v>169984</v>
      </c>
      <c r="E1330" s="26">
        <v>70653</v>
      </c>
      <c r="F1330" s="10" t="s">
        <v>103</v>
      </c>
      <c r="G1330" s="10" t="s">
        <v>46</v>
      </c>
      <c r="H1330" s="27" t="s">
        <v>104</v>
      </c>
      <c r="I1330" s="28"/>
      <c r="J1330" s="12"/>
      <c r="K1330" s="13">
        <v>5</v>
      </c>
      <c r="L1330" s="21">
        <v>47.46</v>
      </c>
      <c r="M1330" s="14" t="s">
        <v>14</v>
      </c>
      <c r="N1330" s="13">
        <v>237.3</v>
      </c>
      <c r="O1330" s="15">
        <f t="shared" si="880"/>
        <v>0</v>
      </c>
      <c r="P1330" s="10" t="s">
        <v>84</v>
      </c>
      <c r="Q1330" s="11" t="s">
        <v>2994</v>
      </c>
      <c r="R1330" s="11" t="s">
        <v>2995</v>
      </c>
      <c r="S1330" s="16" t="s">
        <v>2996</v>
      </c>
      <c r="T1330" s="19" t="str">
        <f>MONTH(B1330)&amp;"-"&amp;YEAR(B1330)</f>
        <v>10-2023</v>
      </c>
      <c r="U1330" s="2">
        <f>YEAR(B1330)</f>
        <v>2023</v>
      </c>
      <c r="V1330" s="2" t="str">
        <f>IF(DAY(B1330)&gt;15,MONTH(B1330)&amp;"-C",MONTH(B1330)&amp;"-N")</f>
        <v>10-N</v>
      </c>
      <c r="W1330" s="21">
        <v>47.46</v>
      </c>
      <c r="X1330" s="2" t="b">
        <f t="shared" si="881"/>
        <v>1</v>
      </c>
    </row>
    <row r="1331" spans="2:24" x14ac:dyDescent="0.2">
      <c r="B1331" s="17">
        <v>45203</v>
      </c>
      <c r="C1331" s="10" t="s">
        <v>107</v>
      </c>
      <c r="D1331" s="11">
        <v>169900</v>
      </c>
      <c r="E1331" s="26">
        <v>70653</v>
      </c>
      <c r="F1331" s="10" t="s">
        <v>105</v>
      </c>
      <c r="G1331" s="10" t="s">
        <v>46</v>
      </c>
      <c r="H1331" s="27" t="s">
        <v>106</v>
      </c>
      <c r="I1331" s="28"/>
      <c r="J1331" s="12"/>
      <c r="K1331" s="13">
        <v>1000</v>
      </c>
      <c r="L1331" s="21">
        <v>11.72</v>
      </c>
      <c r="M1331" s="14" t="s">
        <v>14</v>
      </c>
      <c r="N1331" s="13">
        <v>11720</v>
      </c>
      <c r="O1331" s="15">
        <f t="shared" si="880"/>
        <v>0</v>
      </c>
      <c r="P1331" s="10" t="s">
        <v>84</v>
      </c>
      <c r="Q1331" s="11" t="s">
        <v>2994</v>
      </c>
      <c r="R1331" s="11" t="s">
        <v>2995</v>
      </c>
      <c r="S1331" s="16" t="s">
        <v>2996</v>
      </c>
      <c r="T1331" s="19" t="str">
        <f>MONTH(B1331)&amp;"-"&amp;YEAR(B1331)</f>
        <v>10-2023</v>
      </c>
      <c r="U1331" s="2">
        <f>YEAR(B1331)</f>
        <v>2023</v>
      </c>
      <c r="V1331" s="2" t="str">
        <f>IF(DAY(B1331)&gt;15,MONTH(B1331)&amp;"-C",MONTH(B1331)&amp;"-N")</f>
        <v>10-N</v>
      </c>
      <c r="W1331" s="21">
        <v>11.72</v>
      </c>
      <c r="X1331" s="2" t="b">
        <f t="shared" si="881"/>
        <v>1</v>
      </c>
    </row>
    <row r="1332" spans="2:24" x14ac:dyDescent="0.2">
      <c r="B1332" s="17">
        <v>45203</v>
      </c>
      <c r="C1332" s="10" t="s">
        <v>107</v>
      </c>
      <c r="D1332" s="11">
        <v>169984</v>
      </c>
      <c r="E1332" s="26">
        <v>70653</v>
      </c>
      <c r="F1332" s="10" t="s">
        <v>105</v>
      </c>
      <c r="G1332" s="10" t="s">
        <v>46</v>
      </c>
      <c r="H1332" s="27" t="s">
        <v>106</v>
      </c>
      <c r="I1332" s="28"/>
      <c r="J1332" s="12"/>
      <c r="K1332" s="13">
        <v>100</v>
      </c>
      <c r="L1332" s="21">
        <v>11.72</v>
      </c>
      <c r="M1332" s="14" t="s">
        <v>14</v>
      </c>
      <c r="N1332" s="13">
        <v>1172</v>
      </c>
      <c r="O1332" s="15">
        <f t="shared" si="880"/>
        <v>0</v>
      </c>
      <c r="P1332" s="10" t="s">
        <v>84</v>
      </c>
      <c r="Q1332" s="11" t="s">
        <v>2994</v>
      </c>
      <c r="R1332" s="11" t="s">
        <v>2995</v>
      </c>
      <c r="S1332" s="16" t="s">
        <v>2996</v>
      </c>
      <c r="T1332" s="19" t="str">
        <f>MONTH(B1332)&amp;"-"&amp;YEAR(B1332)</f>
        <v>10-2023</v>
      </c>
      <c r="U1332" s="2">
        <f>YEAR(B1332)</f>
        <v>2023</v>
      </c>
      <c r="V1332" s="2" t="str">
        <f>IF(DAY(B1332)&gt;15,MONTH(B1332)&amp;"-C",MONTH(B1332)&amp;"-N")</f>
        <v>10-N</v>
      </c>
      <c r="W1332" s="21">
        <v>11.72</v>
      </c>
      <c r="X1332" s="2" t="b">
        <f t="shared" si="881"/>
        <v>1</v>
      </c>
    </row>
    <row r="1333" spans="2:24" x14ac:dyDescent="0.2">
      <c r="B1333" s="17">
        <v>45203</v>
      </c>
      <c r="C1333" s="10" t="s">
        <v>107</v>
      </c>
      <c r="D1333" s="11">
        <v>169900</v>
      </c>
      <c r="E1333" s="26">
        <v>70653</v>
      </c>
      <c r="F1333" s="10" t="s">
        <v>2882</v>
      </c>
      <c r="G1333" s="10" t="s">
        <v>46</v>
      </c>
      <c r="H1333" s="27" t="s">
        <v>2883</v>
      </c>
      <c r="I1333" s="28"/>
      <c r="J1333" s="12"/>
      <c r="K1333" s="13">
        <v>400</v>
      </c>
      <c r="L1333" s="21">
        <v>11.11</v>
      </c>
      <c r="M1333" s="14" t="s">
        <v>14</v>
      </c>
      <c r="N1333" s="13">
        <v>4444</v>
      </c>
      <c r="O1333" s="15">
        <f t="shared" si="880"/>
        <v>0</v>
      </c>
      <c r="P1333" s="10" t="s">
        <v>84</v>
      </c>
      <c r="Q1333" s="11" t="s">
        <v>2994</v>
      </c>
      <c r="R1333" s="11" t="s">
        <v>2995</v>
      </c>
      <c r="S1333" s="16" t="s">
        <v>2996</v>
      </c>
      <c r="T1333" s="19" t="str">
        <f>MONTH(B1333)&amp;"-"&amp;YEAR(B1333)</f>
        <v>10-2023</v>
      </c>
      <c r="U1333" s="2">
        <f>YEAR(B1333)</f>
        <v>2023</v>
      </c>
      <c r="V1333" s="2" t="str">
        <f>IF(DAY(B1333)&gt;15,MONTH(B1333)&amp;"-C",MONTH(B1333)&amp;"-N")</f>
        <v>10-N</v>
      </c>
      <c r="W1333" s="21">
        <v>11.11</v>
      </c>
      <c r="X1333" s="2" t="b">
        <f t="shared" si="881"/>
        <v>1</v>
      </c>
    </row>
    <row r="1334" spans="2:24" x14ac:dyDescent="0.2">
      <c r="B1334" s="17">
        <v>45203</v>
      </c>
      <c r="C1334" s="10" t="s">
        <v>107</v>
      </c>
      <c r="D1334" s="11">
        <v>169955</v>
      </c>
      <c r="E1334" s="26">
        <v>70653</v>
      </c>
      <c r="F1334" s="10" t="s">
        <v>2882</v>
      </c>
      <c r="G1334" s="10" t="s">
        <v>46</v>
      </c>
      <c r="H1334" s="27" t="s">
        <v>2883</v>
      </c>
      <c r="I1334" s="28"/>
      <c r="J1334" s="12"/>
      <c r="K1334" s="13">
        <v>200</v>
      </c>
      <c r="L1334" s="21">
        <v>11.11</v>
      </c>
      <c r="M1334" s="14" t="s">
        <v>14</v>
      </c>
      <c r="N1334" s="13">
        <v>2222</v>
      </c>
      <c r="O1334" s="15">
        <f t="shared" si="880"/>
        <v>0</v>
      </c>
      <c r="P1334" s="10" t="s">
        <v>84</v>
      </c>
      <c r="Q1334" s="11" t="s">
        <v>2994</v>
      </c>
      <c r="R1334" s="11" t="s">
        <v>2995</v>
      </c>
      <c r="S1334" s="16" t="s">
        <v>2996</v>
      </c>
      <c r="T1334" s="19" t="str">
        <f>MONTH(B1334)&amp;"-"&amp;YEAR(B1334)</f>
        <v>10-2023</v>
      </c>
      <c r="U1334" s="2">
        <f>YEAR(B1334)</f>
        <v>2023</v>
      </c>
      <c r="V1334" s="2" t="str">
        <f>IF(DAY(B1334)&gt;15,MONTH(B1334)&amp;"-C",MONTH(B1334)&amp;"-N")</f>
        <v>10-N</v>
      </c>
      <c r="W1334" s="21">
        <v>11.11</v>
      </c>
      <c r="X1334" s="2" t="b">
        <f t="shared" si="881"/>
        <v>1</v>
      </c>
    </row>
    <row r="1335" spans="2:24" x14ac:dyDescent="0.2">
      <c r="B1335" s="17">
        <v>45203</v>
      </c>
      <c r="C1335" s="10" t="s">
        <v>107</v>
      </c>
      <c r="D1335" s="11">
        <v>169984</v>
      </c>
      <c r="E1335" s="26">
        <v>70653</v>
      </c>
      <c r="F1335" s="10" t="s">
        <v>2882</v>
      </c>
      <c r="G1335" s="10" t="s">
        <v>46</v>
      </c>
      <c r="H1335" s="27" t="s">
        <v>2883</v>
      </c>
      <c r="I1335" s="28"/>
      <c r="J1335" s="12"/>
      <c r="K1335" s="13">
        <v>60</v>
      </c>
      <c r="L1335" s="21">
        <v>11.11</v>
      </c>
      <c r="M1335" s="14" t="s">
        <v>14</v>
      </c>
      <c r="N1335" s="13">
        <v>666.6</v>
      </c>
      <c r="O1335" s="15">
        <f t="shared" si="880"/>
        <v>0</v>
      </c>
      <c r="P1335" s="10" t="s">
        <v>84</v>
      </c>
      <c r="Q1335" s="11" t="s">
        <v>2994</v>
      </c>
      <c r="R1335" s="11" t="s">
        <v>2995</v>
      </c>
      <c r="S1335" s="16" t="s">
        <v>2996</v>
      </c>
      <c r="T1335" s="19" t="str">
        <f>MONTH(B1335)&amp;"-"&amp;YEAR(B1335)</f>
        <v>10-2023</v>
      </c>
      <c r="U1335" s="2">
        <f>YEAR(B1335)</f>
        <v>2023</v>
      </c>
      <c r="V1335" s="2" t="str">
        <f>IF(DAY(B1335)&gt;15,MONTH(B1335)&amp;"-C",MONTH(B1335)&amp;"-N")</f>
        <v>10-N</v>
      </c>
      <c r="W1335" s="21">
        <v>11.11</v>
      </c>
      <c r="X1335" s="2" t="b">
        <f t="shared" si="881"/>
        <v>1</v>
      </c>
    </row>
    <row r="1336" spans="2:24" x14ac:dyDescent="0.2">
      <c r="B1336" s="17">
        <v>45208</v>
      </c>
      <c r="C1336" s="10" t="s">
        <v>125</v>
      </c>
      <c r="D1336" s="11">
        <v>169992</v>
      </c>
      <c r="E1336" s="26">
        <v>70720</v>
      </c>
      <c r="F1336" s="10" t="s">
        <v>126</v>
      </c>
      <c r="G1336" s="10" t="s">
        <v>46</v>
      </c>
      <c r="H1336" s="27" t="s">
        <v>2997</v>
      </c>
      <c r="I1336" s="28"/>
      <c r="J1336" s="12"/>
      <c r="K1336" s="13">
        <v>5</v>
      </c>
      <c r="L1336" s="21">
        <v>310</v>
      </c>
      <c r="M1336" s="14" t="s">
        <v>14</v>
      </c>
      <c r="N1336" s="13">
        <v>1550</v>
      </c>
      <c r="O1336" s="15">
        <f t="shared" ref="O1336" si="882">(N1336/K1336)-L1336</f>
        <v>0</v>
      </c>
      <c r="P1336" s="10" t="s">
        <v>84</v>
      </c>
      <c r="Q1336" s="11" t="s">
        <v>2998</v>
      </c>
      <c r="R1336" s="11" t="s">
        <v>2999</v>
      </c>
      <c r="S1336" s="16" t="s">
        <v>3000</v>
      </c>
      <c r="T1336" s="19" t="str">
        <f>MONTH(B1336)&amp;"-"&amp;YEAR(B1336)</f>
        <v>10-2023</v>
      </c>
      <c r="U1336" s="2">
        <f>YEAR(B1336)</f>
        <v>2023</v>
      </c>
      <c r="V1336" s="2" t="str">
        <f>IF(DAY(B1336)&gt;15,MONTH(B1336)&amp;"-C",MONTH(B1336)&amp;"-N")</f>
        <v>10-N</v>
      </c>
      <c r="W1336" s="21">
        <v>310</v>
      </c>
      <c r="X1336" s="2" t="b">
        <f t="shared" ref="X1336" si="883">+L1336=W1336</f>
        <v>1</v>
      </c>
    </row>
    <row r="1337" spans="2:24" x14ac:dyDescent="0.2">
      <c r="B1337" s="17">
        <v>45209</v>
      </c>
      <c r="C1337" s="10" t="s">
        <v>73</v>
      </c>
      <c r="D1337" s="11">
        <v>169832</v>
      </c>
      <c r="E1337" s="26">
        <v>70727</v>
      </c>
      <c r="F1337" s="10" t="s">
        <v>399</v>
      </c>
      <c r="G1337" s="10" t="s">
        <v>46</v>
      </c>
      <c r="H1337" s="27" t="s">
        <v>149</v>
      </c>
      <c r="I1337" s="28"/>
      <c r="J1337" s="12"/>
      <c r="K1337" s="13">
        <v>2880</v>
      </c>
      <c r="L1337" s="21">
        <v>16.8</v>
      </c>
      <c r="M1337" s="14" t="s">
        <v>14</v>
      </c>
      <c r="N1337" s="13">
        <v>48384</v>
      </c>
      <c r="O1337" s="15">
        <f t="shared" ref="O1337:O1340" si="884">(N1337/K1337)-L1337</f>
        <v>0</v>
      </c>
      <c r="P1337" s="10" t="s">
        <v>84</v>
      </c>
      <c r="Q1337" s="11" t="s">
        <v>3001</v>
      </c>
      <c r="R1337" s="11" t="s">
        <v>3002</v>
      </c>
      <c r="S1337" s="16" t="s">
        <v>3003</v>
      </c>
      <c r="T1337" s="19" t="str">
        <f>MONTH(B1337)&amp;"-"&amp;YEAR(B1337)</f>
        <v>10-2023</v>
      </c>
      <c r="U1337" s="2">
        <f>YEAR(B1337)</f>
        <v>2023</v>
      </c>
      <c r="V1337" s="2" t="str">
        <f>IF(DAY(B1337)&gt;15,MONTH(B1337)&amp;"-C",MONTH(B1337)&amp;"-N")</f>
        <v>10-N</v>
      </c>
      <c r="W1337" s="21">
        <v>16.8</v>
      </c>
      <c r="X1337" s="2" t="b">
        <f t="shared" ref="X1337:X1340" si="885">+L1337=W1337</f>
        <v>1</v>
      </c>
    </row>
    <row r="1338" spans="2:24" x14ac:dyDescent="0.2">
      <c r="B1338" s="17">
        <v>45209</v>
      </c>
      <c r="C1338" s="10" t="s">
        <v>48</v>
      </c>
      <c r="D1338" s="11">
        <v>168995</v>
      </c>
      <c r="E1338" s="26">
        <v>70736</v>
      </c>
      <c r="F1338" s="10" t="s">
        <v>135</v>
      </c>
      <c r="G1338" s="10" t="s">
        <v>46</v>
      </c>
      <c r="H1338" s="27" t="s">
        <v>136</v>
      </c>
      <c r="I1338" s="28"/>
      <c r="J1338" s="12"/>
      <c r="K1338" s="13">
        <v>4800</v>
      </c>
      <c r="L1338" s="21">
        <v>10.292999999999999</v>
      </c>
      <c r="M1338" s="14" t="s">
        <v>14</v>
      </c>
      <c r="N1338" s="13">
        <v>49405.440000000002</v>
      </c>
      <c r="O1338" s="15">
        <f t="shared" si="884"/>
        <v>-1.9999999999953388E-4</v>
      </c>
      <c r="P1338" s="10" t="s">
        <v>90</v>
      </c>
      <c r="Q1338" s="11" t="s">
        <v>3004</v>
      </c>
      <c r="R1338" s="11" t="s">
        <v>3005</v>
      </c>
      <c r="S1338" s="16" t="s">
        <v>3006</v>
      </c>
      <c r="T1338" s="19" t="str">
        <f>MONTH(B1338)&amp;"-"&amp;YEAR(B1338)</f>
        <v>10-2023</v>
      </c>
      <c r="U1338" s="2">
        <f>YEAR(B1338)</f>
        <v>2023</v>
      </c>
      <c r="V1338" s="2" t="str">
        <f>IF(DAY(B1338)&gt;15,MONTH(B1338)&amp;"-C",MONTH(B1338)&amp;"-N")</f>
        <v>10-N</v>
      </c>
      <c r="W1338" s="21">
        <v>10.292999999999999</v>
      </c>
      <c r="X1338" s="2" t="b">
        <f t="shared" si="885"/>
        <v>1</v>
      </c>
    </row>
    <row r="1339" spans="2:24" x14ac:dyDescent="0.2">
      <c r="B1339" s="17">
        <v>45209</v>
      </c>
      <c r="C1339" s="10" t="s">
        <v>48</v>
      </c>
      <c r="D1339" s="11">
        <v>168995</v>
      </c>
      <c r="E1339" s="26">
        <v>70736</v>
      </c>
      <c r="F1339" s="10" t="s">
        <v>71</v>
      </c>
      <c r="G1339" s="10" t="s">
        <v>46</v>
      </c>
      <c r="H1339" s="27" t="s">
        <v>3007</v>
      </c>
      <c r="I1339" s="28"/>
      <c r="J1339" s="12"/>
      <c r="K1339" s="13">
        <v>11200</v>
      </c>
      <c r="L1339" s="21">
        <v>10.292999999999999</v>
      </c>
      <c r="M1339" s="14" t="s">
        <v>14</v>
      </c>
      <c r="N1339" s="13">
        <v>115279.36</v>
      </c>
      <c r="O1339" s="15">
        <f t="shared" si="884"/>
        <v>-1.9999999999953388E-4</v>
      </c>
      <c r="P1339" s="10" t="s">
        <v>90</v>
      </c>
      <c r="Q1339" s="11" t="s">
        <v>3004</v>
      </c>
      <c r="R1339" s="11" t="s">
        <v>3005</v>
      </c>
      <c r="S1339" s="16" t="s">
        <v>3006</v>
      </c>
      <c r="T1339" s="19" t="str">
        <f>MONTH(B1339)&amp;"-"&amp;YEAR(B1339)</f>
        <v>10-2023</v>
      </c>
      <c r="U1339" s="2">
        <f>YEAR(B1339)</f>
        <v>2023</v>
      </c>
      <c r="V1339" s="2" t="str">
        <f>IF(DAY(B1339)&gt;15,MONTH(B1339)&amp;"-C",MONTH(B1339)&amp;"-N")</f>
        <v>10-N</v>
      </c>
      <c r="W1339" s="21">
        <v>10.292999999999999</v>
      </c>
      <c r="X1339" s="2" t="b">
        <f t="shared" si="885"/>
        <v>1</v>
      </c>
    </row>
    <row r="1340" spans="2:24" x14ac:dyDescent="0.2">
      <c r="B1340" s="17">
        <v>45209</v>
      </c>
      <c r="C1340" s="10" t="s">
        <v>94</v>
      </c>
      <c r="D1340" s="11">
        <v>169398</v>
      </c>
      <c r="E1340" s="26">
        <v>70734</v>
      </c>
      <c r="F1340" s="10" t="s">
        <v>26</v>
      </c>
      <c r="G1340" s="10" t="s">
        <v>27</v>
      </c>
      <c r="H1340" s="27" t="s">
        <v>28</v>
      </c>
      <c r="I1340" s="28"/>
      <c r="J1340" s="12"/>
      <c r="K1340" s="13">
        <v>14200</v>
      </c>
      <c r="L1340" s="21">
        <v>3.5</v>
      </c>
      <c r="M1340" s="14" t="s">
        <v>14</v>
      </c>
      <c r="N1340" s="13">
        <v>49700</v>
      </c>
      <c r="O1340" s="15">
        <f t="shared" si="884"/>
        <v>0</v>
      </c>
      <c r="P1340" s="10" t="s">
        <v>78</v>
      </c>
      <c r="Q1340" s="11" t="s">
        <v>3008</v>
      </c>
      <c r="R1340" s="11" t="s">
        <v>3009</v>
      </c>
      <c r="S1340" s="16" t="s">
        <v>3010</v>
      </c>
      <c r="T1340" s="19" t="str">
        <f>MONTH(B1340)&amp;"-"&amp;YEAR(B1340)</f>
        <v>10-2023</v>
      </c>
      <c r="U1340" s="2">
        <f>YEAR(B1340)</f>
        <v>2023</v>
      </c>
      <c r="V1340" s="2" t="str">
        <f>IF(DAY(B1340)&gt;15,MONTH(B1340)&amp;"-C",MONTH(B1340)&amp;"-N")</f>
        <v>10-N</v>
      </c>
      <c r="W1340" s="21">
        <v>3.5</v>
      </c>
      <c r="X1340" s="2" t="b">
        <f t="shared" si="885"/>
        <v>1</v>
      </c>
    </row>
    <row r="1341" spans="2:24" x14ac:dyDescent="0.2">
      <c r="B1341" s="17">
        <v>45211</v>
      </c>
      <c r="C1341" s="10" t="s">
        <v>25</v>
      </c>
      <c r="D1341" s="11">
        <v>169830</v>
      </c>
      <c r="E1341" s="26">
        <v>70764</v>
      </c>
      <c r="F1341" s="10" t="s">
        <v>26</v>
      </c>
      <c r="G1341" s="10" t="s">
        <v>27</v>
      </c>
      <c r="H1341" s="27" t="s">
        <v>28</v>
      </c>
      <c r="I1341" s="28"/>
      <c r="J1341" s="12"/>
      <c r="K1341" s="13">
        <v>19800</v>
      </c>
      <c r="L1341" s="21">
        <v>4.08</v>
      </c>
      <c r="M1341" s="14" t="s">
        <v>14</v>
      </c>
      <c r="N1341" s="13">
        <v>80784</v>
      </c>
      <c r="O1341" s="15">
        <f t="shared" ref="O1341:O1343" si="886">(N1341/K1341)-L1341</f>
        <v>0</v>
      </c>
      <c r="P1341" s="10" t="s">
        <v>78</v>
      </c>
      <c r="Q1341" s="11" t="s">
        <v>3011</v>
      </c>
      <c r="R1341" s="11" t="s">
        <v>3012</v>
      </c>
      <c r="S1341" s="16" t="s">
        <v>3013</v>
      </c>
      <c r="T1341" s="19" t="str">
        <f>MONTH(B1341)&amp;"-"&amp;YEAR(B1341)</f>
        <v>10-2023</v>
      </c>
      <c r="U1341" s="2">
        <f>YEAR(B1341)</f>
        <v>2023</v>
      </c>
      <c r="V1341" s="2" t="str">
        <f>IF(DAY(B1341)&gt;15,MONTH(B1341)&amp;"-C",MONTH(B1341)&amp;"-N")</f>
        <v>10-N</v>
      </c>
      <c r="W1341" s="21">
        <v>4.08</v>
      </c>
      <c r="X1341" s="2" t="b">
        <f t="shared" ref="X1341:X1343" si="887">+L1341=W1341</f>
        <v>1</v>
      </c>
    </row>
    <row r="1342" spans="2:24" x14ac:dyDescent="0.2">
      <c r="B1342" s="17">
        <v>45212</v>
      </c>
      <c r="C1342" s="10" t="s">
        <v>48</v>
      </c>
      <c r="D1342" s="11">
        <v>168995</v>
      </c>
      <c r="E1342" s="26">
        <v>70786</v>
      </c>
      <c r="F1342" s="10" t="s">
        <v>71</v>
      </c>
      <c r="G1342" s="10" t="s">
        <v>46</v>
      </c>
      <c r="H1342" s="27" t="s">
        <v>3007</v>
      </c>
      <c r="I1342" s="28"/>
      <c r="J1342" s="12"/>
      <c r="K1342" s="13">
        <v>10200</v>
      </c>
      <c r="L1342" s="21">
        <v>10.292999999999999</v>
      </c>
      <c r="M1342" s="14" t="s">
        <v>14</v>
      </c>
      <c r="N1342" s="13">
        <v>104986.56</v>
      </c>
      <c r="O1342" s="15">
        <f t="shared" si="886"/>
        <v>-1.9999999999953388E-4</v>
      </c>
      <c r="P1342" s="10" t="s">
        <v>90</v>
      </c>
      <c r="Q1342" s="11" t="s">
        <v>3014</v>
      </c>
      <c r="R1342" s="11" t="s">
        <v>3015</v>
      </c>
      <c r="S1342" s="16" t="s">
        <v>3016</v>
      </c>
      <c r="T1342" s="19" t="str">
        <f>MONTH(B1342)&amp;"-"&amp;YEAR(B1342)</f>
        <v>10-2023</v>
      </c>
      <c r="U1342" s="2">
        <f>YEAR(B1342)</f>
        <v>2023</v>
      </c>
      <c r="V1342" s="2" t="str">
        <f>IF(DAY(B1342)&gt;15,MONTH(B1342)&amp;"-C",MONTH(B1342)&amp;"-N")</f>
        <v>10-N</v>
      </c>
      <c r="W1342" s="21">
        <v>10.292999999999999</v>
      </c>
      <c r="X1342" s="2" t="b">
        <f t="shared" si="887"/>
        <v>1</v>
      </c>
    </row>
    <row r="1343" spans="2:24" x14ac:dyDescent="0.2">
      <c r="B1343" s="17">
        <v>45212</v>
      </c>
      <c r="C1343" s="10" t="s">
        <v>48</v>
      </c>
      <c r="D1343" s="11">
        <v>168995</v>
      </c>
      <c r="E1343" s="26">
        <v>70786</v>
      </c>
      <c r="F1343" s="10" t="s">
        <v>2552</v>
      </c>
      <c r="G1343" s="10" t="s">
        <v>46</v>
      </c>
      <c r="H1343" s="27" t="s">
        <v>3017</v>
      </c>
      <c r="I1343" s="28"/>
      <c r="J1343" s="12"/>
      <c r="K1343" s="13">
        <v>5800</v>
      </c>
      <c r="L1343" s="21">
        <v>10.292999999999999</v>
      </c>
      <c r="M1343" s="14" t="s">
        <v>14</v>
      </c>
      <c r="N1343" s="13">
        <v>59698.239999999998</v>
      </c>
      <c r="O1343" s="15">
        <f t="shared" si="886"/>
        <v>-1.9999999999953388E-4</v>
      </c>
      <c r="P1343" s="10" t="s">
        <v>90</v>
      </c>
      <c r="Q1343" s="11" t="s">
        <v>3014</v>
      </c>
      <c r="R1343" s="11" t="s">
        <v>3015</v>
      </c>
      <c r="S1343" s="16" t="s">
        <v>3016</v>
      </c>
      <c r="T1343" s="19" t="str">
        <f>MONTH(B1343)&amp;"-"&amp;YEAR(B1343)</f>
        <v>10-2023</v>
      </c>
      <c r="U1343" s="2">
        <f>YEAR(B1343)</f>
        <v>2023</v>
      </c>
      <c r="V1343" s="2" t="str">
        <f>IF(DAY(B1343)&gt;15,MONTH(B1343)&amp;"-C",MONTH(B1343)&amp;"-N")</f>
        <v>10-N</v>
      </c>
      <c r="W1343" s="21">
        <v>10.292999999999999</v>
      </c>
      <c r="X1343" s="2" t="b">
        <f t="shared" si="887"/>
        <v>1</v>
      </c>
    </row>
    <row r="1344" spans="2:24" x14ac:dyDescent="0.2">
      <c r="B1344" s="17">
        <v>45216</v>
      </c>
      <c r="C1344" s="10" t="s">
        <v>25</v>
      </c>
      <c r="D1344" s="11">
        <v>169830</v>
      </c>
      <c r="E1344" s="26">
        <v>70823</v>
      </c>
      <c r="F1344" s="10" t="s">
        <v>26</v>
      </c>
      <c r="G1344" s="10" t="s">
        <v>27</v>
      </c>
      <c r="H1344" s="27" t="s">
        <v>28</v>
      </c>
      <c r="I1344" s="28"/>
      <c r="J1344" s="12"/>
      <c r="K1344" s="13">
        <v>19800</v>
      </c>
      <c r="L1344" s="21">
        <v>4.08</v>
      </c>
      <c r="M1344" s="14" t="s">
        <v>14</v>
      </c>
      <c r="N1344" s="13">
        <v>80784</v>
      </c>
      <c r="O1344" s="15">
        <f t="shared" ref="O1344" si="888">(N1344/K1344)-L1344</f>
        <v>0</v>
      </c>
      <c r="P1344" s="10" t="s">
        <v>78</v>
      </c>
      <c r="Q1344" s="11" t="s">
        <v>3018</v>
      </c>
      <c r="R1344" s="11" t="s">
        <v>3019</v>
      </c>
      <c r="S1344" s="16" t="s">
        <v>3020</v>
      </c>
      <c r="T1344" s="19" t="str">
        <f>MONTH(B1344)&amp;"-"&amp;YEAR(B1344)</f>
        <v>10-2023</v>
      </c>
      <c r="U1344" s="2">
        <f>YEAR(B1344)</f>
        <v>2023</v>
      </c>
      <c r="V1344" s="2" t="str">
        <f>IF(DAY(B1344)&gt;15,MONTH(B1344)&amp;"-C",MONTH(B1344)&amp;"-N")</f>
        <v>10-C</v>
      </c>
      <c r="W1344" s="21">
        <v>4.08</v>
      </c>
      <c r="X1344" s="2" t="b">
        <f t="shared" ref="X1344" si="889">+L1344=W1344</f>
        <v>1</v>
      </c>
    </row>
    <row r="1345" spans="2:24" x14ac:dyDescent="0.2">
      <c r="B1345" s="17">
        <v>45219</v>
      </c>
      <c r="C1345" s="10" t="s">
        <v>73</v>
      </c>
      <c r="D1345" s="11">
        <v>169832</v>
      </c>
      <c r="E1345" s="26">
        <v>70887</v>
      </c>
      <c r="F1345" s="10" t="s">
        <v>399</v>
      </c>
      <c r="G1345" s="10" t="s">
        <v>46</v>
      </c>
      <c r="H1345" s="27" t="s">
        <v>149</v>
      </c>
      <c r="I1345" s="28"/>
      <c r="J1345" s="12"/>
      <c r="K1345" s="13">
        <v>2160</v>
      </c>
      <c r="L1345" s="21">
        <v>16.8</v>
      </c>
      <c r="M1345" s="14" t="s">
        <v>14</v>
      </c>
      <c r="N1345" s="13">
        <v>36288</v>
      </c>
      <c r="O1345" s="15">
        <f t="shared" ref="O1345" si="890">(N1345/K1345)-L1345</f>
        <v>0</v>
      </c>
      <c r="P1345" s="10" t="s">
        <v>84</v>
      </c>
      <c r="Q1345" s="11" t="s">
        <v>3021</v>
      </c>
      <c r="R1345" s="11" t="s">
        <v>3022</v>
      </c>
      <c r="S1345" s="16" t="s">
        <v>3023</v>
      </c>
      <c r="T1345" s="19" t="str">
        <f>MONTH(B1345)&amp;"-"&amp;YEAR(B1345)</f>
        <v>10-2023</v>
      </c>
      <c r="U1345" s="2">
        <f>YEAR(B1345)</f>
        <v>2023</v>
      </c>
      <c r="V1345" s="2" t="str">
        <f>IF(DAY(B1345)&gt;15,MONTH(B1345)&amp;"-C",MONTH(B1345)&amp;"-N")</f>
        <v>10-C</v>
      </c>
      <c r="W1345" s="21">
        <v>16.8</v>
      </c>
      <c r="X1345" s="2" t="b">
        <f t="shared" ref="X1345" si="891">+L1345=W1345</f>
        <v>1</v>
      </c>
    </row>
    <row r="1346" spans="2:24" x14ac:dyDescent="0.2">
      <c r="B1346" s="17">
        <v>45222</v>
      </c>
      <c r="C1346" s="10" t="s">
        <v>2630</v>
      </c>
      <c r="D1346" s="11">
        <v>170127</v>
      </c>
      <c r="E1346" s="26">
        <v>70911</v>
      </c>
      <c r="F1346" s="10" t="s">
        <v>29</v>
      </c>
      <c r="G1346" s="10" t="s">
        <v>27</v>
      </c>
      <c r="H1346" s="27" t="s">
        <v>30</v>
      </c>
      <c r="I1346" s="28"/>
      <c r="J1346" s="12"/>
      <c r="K1346" s="13">
        <v>3960</v>
      </c>
      <c r="L1346" s="21">
        <v>3.7</v>
      </c>
      <c r="M1346" s="14" t="s">
        <v>14</v>
      </c>
      <c r="N1346" s="13">
        <v>14652</v>
      </c>
      <c r="O1346" s="15">
        <f t="shared" ref="O1346" si="892">(N1346/K1346)-L1346</f>
        <v>0</v>
      </c>
      <c r="P1346" s="10" t="s">
        <v>78</v>
      </c>
      <c r="Q1346" s="11" t="s">
        <v>3025</v>
      </c>
      <c r="R1346" s="11" t="s">
        <v>3024</v>
      </c>
      <c r="S1346" s="16" t="s">
        <v>3026</v>
      </c>
      <c r="T1346" s="19" t="str">
        <f>MONTH(B1346)&amp;"-"&amp;YEAR(B1346)</f>
        <v>10-2023</v>
      </c>
      <c r="U1346" s="2">
        <f>YEAR(B1346)</f>
        <v>2023</v>
      </c>
      <c r="V1346" s="2" t="str">
        <f>IF(DAY(B1346)&gt;15,MONTH(B1346)&amp;"-C",MONTH(B1346)&amp;"-N")</f>
        <v>10-C</v>
      </c>
      <c r="W1346" s="21">
        <v>3.7</v>
      </c>
      <c r="X1346" s="2" t="b">
        <f t="shared" ref="X1346" si="893">+L1346=W1346</f>
        <v>1</v>
      </c>
    </row>
    <row r="1347" spans="2:24" x14ac:dyDescent="0.2">
      <c r="B1347" s="17">
        <v>45224</v>
      </c>
      <c r="C1347" s="10" t="s">
        <v>107</v>
      </c>
      <c r="D1347" s="11">
        <v>170039</v>
      </c>
      <c r="E1347" s="26">
        <v>70961</v>
      </c>
      <c r="F1347" s="10" t="s">
        <v>103</v>
      </c>
      <c r="G1347" s="10" t="s">
        <v>46</v>
      </c>
      <c r="H1347" s="27" t="s">
        <v>104</v>
      </c>
      <c r="I1347" s="28"/>
      <c r="J1347" s="12"/>
      <c r="K1347" s="13">
        <v>220</v>
      </c>
      <c r="L1347" s="21">
        <v>47.46</v>
      </c>
      <c r="M1347" s="14" t="s">
        <v>14</v>
      </c>
      <c r="N1347" s="13">
        <v>10441.200000000001</v>
      </c>
      <c r="O1347" s="15">
        <f t="shared" ref="O1347:O1354" si="894">(N1347/K1347)-L1347</f>
        <v>0</v>
      </c>
      <c r="P1347" s="10" t="s">
        <v>84</v>
      </c>
      <c r="Q1347" s="11" t="s">
        <v>3027</v>
      </c>
      <c r="R1347" s="11" t="s">
        <v>3028</v>
      </c>
      <c r="S1347" s="16" t="s">
        <v>3029</v>
      </c>
      <c r="T1347" s="19" t="str">
        <f>MONTH(B1347)&amp;"-"&amp;YEAR(B1347)</f>
        <v>10-2023</v>
      </c>
      <c r="U1347" s="2">
        <f>YEAR(B1347)</f>
        <v>2023</v>
      </c>
      <c r="V1347" s="2" t="str">
        <f>IF(DAY(B1347)&gt;15,MONTH(B1347)&amp;"-C",MONTH(B1347)&amp;"-N")</f>
        <v>10-C</v>
      </c>
      <c r="W1347" s="21">
        <v>47.46</v>
      </c>
      <c r="X1347" s="2" t="b">
        <f t="shared" ref="X1347:X1354" si="895">+L1347=W1347</f>
        <v>1</v>
      </c>
    </row>
    <row r="1348" spans="2:24" x14ac:dyDescent="0.2">
      <c r="B1348" s="17">
        <v>45224</v>
      </c>
      <c r="C1348" s="10" t="s">
        <v>107</v>
      </c>
      <c r="D1348" s="11">
        <v>170039</v>
      </c>
      <c r="E1348" s="26">
        <v>70961</v>
      </c>
      <c r="F1348" s="10" t="s">
        <v>105</v>
      </c>
      <c r="G1348" s="10" t="s">
        <v>46</v>
      </c>
      <c r="H1348" s="27" t="s">
        <v>106</v>
      </c>
      <c r="I1348" s="28"/>
      <c r="J1348" s="12"/>
      <c r="K1348" s="13">
        <v>7040</v>
      </c>
      <c r="L1348" s="21">
        <v>11.72</v>
      </c>
      <c r="M1348" s="14" t="s">
        <v>14</v>
      </c>
      <c r="N1348" s="13">
        <v>82508.800000000003</v>
      </c>
      <c r="O1348" s="15">
        <f t="shared" si="894"/>
        <v>0</v>
      </c>
      <c r="P1348" s="10" t="s">
        <v>84</v>
      </c>
      <c r="Q1348" s="11" t="s">
        <v>3027</v>
      </c>
      <c r="R1348" s="11" t="s">
        <v>3028</v>
      </c>
      <c r="S1348" s="16" t="s">
        <v>3029</v>
      </c>
      <c r="T1348" s="19" t="str">
        <f>MONTH(B1348)&amp;"-"&amp;YEAR(B1348)</f>
        <v>10-2023</v>
      </c>
      <c r="U1348" s="2">
        <f>YEAR(B1348)</f>
        <v>2023</v>
      </c>
      <c r="V1348" s="2" t="str">
        <f>IF(DAY(B1348)&gt;15,MONTH(B1348)&amp;"-C",MONTH(B1348)&amp;"-N")</f>
        <v>10-C</v>
      </c>
      <c r="W1348" s="21">
        <v>11.72</v>
      </c>
      <c r="X1348" s="2" t="b">
        <f t="shared" si="895"/>
        <v>1</v>
      </c>
    </row>
    <row r="1349" spans="2:24" x14ac:dyDescent="0.2">
      <c r="B1349" s="17">
        <v>45224</v>
      </c>
      <c r="C1349" s="10" t="s">
        <v>88</v>
      </c>
      <c r="D1349" s="11">
        <v>169569</v>
      </c>
      <c r="E1349" s="26">
        <v>70962</v>
      </c>
      <c r="F1349" s="10" t="s">
        <v>98</v>
      </c>
      <c r="G1349" s="10" t="s">
        <v>46</v>
      </c>
      <c r="H1349" s="27" t="s">
        <v>99</v>
      </c>
      <c r="I1349" s="28"/>
      <c r="J1349" s="12"/>
      <c r="K1349" s="13">
        <v>40</v>
      </c>
      <c r="L1349" s="21">
        <v>11.25</v>
      </c>
      <c r="M1349" s="14" t="s">
        <v>14</v>
      </c>
      <c r="N1349" s="13">
        <v>450</v>
      </c>
      <c r="O1349" s="15">
        <f t="shared" si="894"/>
        <v>0</v>
      </c>
      <c r="P1349" s="10" t="s">
        <v>84</v>
      </c>
      <c r="Q1349" s="11" t="s">
        <v>3030</v>
      </c>
      <c r="R1349" s="11" t="s">
        <v>3031</v>
      </c>
      <c r="S1349" s="16" t="s">
        <v>3032</v>
      </c>
      <c r="T1349" s="19" t="str">
        <f>MONTH(B1349)&amp;"-"&amp;YEAR(B1349)</f>
        <v>10-2023</v>
      </c>
      <c r="U1349" s="2">
        <f>YEAR(B1349)</f>
        <v>2023</v>
      </c>
      <c r="V1349" s="2" t="str">
        <f>IF(DAY(B1349)&gt;15,MONTH(B1349)&amp;"-C",MONTH(B1349)&amp;"-N")</f>
        <v>10-C</v>
      </c>
      <c r="W1349" s="21">
        <v>11.25</v>
      </c>
      <c r="X1349" s="2" t="b">
        <f t="shared" si="895"/>
        <v>1</v>
      </c>
    </row>
    <row r="1350" spans="2:24" x14ac:dyDescent="0.2">
      <c r="B1350" s="17">
        <v>45224</v>
      </c>
      <c r="C1350" s="10" t="s">
        <v>88</v>
      </c>
      <c r="D1350" s="11">
        <v>170107</v>
      </c>
      <c r="E1350" s="26">
        <v>70962</v>
      </c>
      <c r="F1350" s="10" t="s">
        <v>98</v>
      </c>
      <c r="G1350" s="10" t="s">
        <v>46</v>
      </c>
      <c r="H1350" s="27" t="s">
        <v>99</v>
      </c>
      <c r="I1350" s="28"/>
      <c r="J1350" s="12"/>
      <c r="K1350" s="13">
        <v>20</v>
      </c>
      <c r="L1350" s="21">
        <v>11.25</v>
      </c>
      <c r="M1350" s="14" t="s">
        <v>14</v>
      </c>
      <c r="N1350" s="13">
        <v>225</v>
      </c>
      <c r="O1350" s="15">
        <f t="shared" si="894"/>
        <v>0</v>
      </c>
      <c r="P1350" s="10" t="s">
        <v>84</v>
      </c>
      <c r="Q1350" s="11" t="s">
        <v>3030</v>
      </c>
      <c r="R1350" s="11" t="s">
        <v>3031</v>
      </c>
      <c r="S1350" s="16" t="s">
        <v>3032</v>
      </c>
      <c r="T1350" s="19" t="str">
        <f>MONTH(B1350)&amp;"-"&amp;YEAR(B1350)</f>
        <v>10-2023</v>
      </c>
      <c r="U1350" s="2">
        <f>YEAR(B1350)</f>
        <v>2023</v>
      </c>
      <c r="V1350" s="2" t="str">
        <f>IF(DAY(B1350)&gt;15,MONTH(B1350)&amp;"-C",MONTH(B1350)&amp;"-N")</f>
        <v>10-C</v>
      </c>
      <c r="W1350" s="21">
        <v>11.25</v>
      </c>
      <c r="X1350" s="2" t="b">
        <f t="shared" si="895"/>
        <v>1</v>
      </c>
    </row>
    <row r="1351" spans="2:24" x14ac:dyDescent="0.2">
      <c r="B1351" s="17">
        <v>45224</v>
      </c>
      <c r="C1351" s="10" t="s">
        <v>88</v>
      </c>
      <c r="D1351" s="11">
        <v>169569</v>
      </c>
      <c r="E1351" s="26">
        <v>70962</v>
      </c>
      <c r="F1351" s="10" t="s">
        <v>100</v>
      </c>
      <c r="G1351" s="10" t="s">
        <v>46</v>
      </c>
      <c r="H1351" s="27" t="s">
        <v>101</v>
      </c>
      <c r="I1351" s="28"/>
      <c r="J1351" s="12"/>
      <c r="K1351" s="13">
        <v>1000</v>
      </c>
      <c r="L1351" s="21">
        <v>13.22</v>
      </c>
      <c r="M1351" s="14" t="s">
        <v>14</v>
      </c>
      <c r="N1351" s="13">
        <v>13220</v>
      </c>
      <c r="O1351" s="15">
        <f t="shared" si="894"/>
        <v>0</v>
      </c>
      <c r="P1351" s="10" t="s">
        <v>84</v>
      </c>
      <c r="Q1351" s="11" t="s">
        <v>3030</v>
      </c>
      <c r="R1351" s="11" t="s">
        <v>3031</v>
      </c>
      <c r="S1351" s="16" t="s">
        <v>3032</v>
      </c>
      <c r="T1351" s="19" t="str">
        <f>MONTH(B1351)&amp;"-"&amp;YEAR(B1351)</f>
        <v>10-2023</v>
      </c>
      <c r="U1351" s="2">
        <f>YEAR(B1351)</f>
        <v>2023</v>
      </c>
      <c r="V1351" s="2" t="str">
        <f>IF(DAY(B1351)&gt;15,MONTH(B1351)&amp;"-C",MONTH(B1351)&amp;"-N")</f>
        <v>10-C</v>
      </c>
      <c r="W1351" s="21">
        <v>13.22</v>
      </c>
      <c r="X1351" s="2" t="b">
        <f t="shared" si="895"/>
        <v>1</v>
      </c>
    </row>
    <row r="1352" spans="2:24" x14ac:dyDescent="0.2">
      <c r="B1352" s="17">
        <v>45224</v>
      </c>
      <c r="C1352" s="10" t="s">
        <v>88</v>
      </c>
      <c r="D1352" s="11">
        <v>170107</v>
      </c>
      <c r="E1352" s="26">
        <v>70962</v>
      </c>
      <c r="F1352" s="10" t="s">
        <v>100</v>
      </c>
      <c r="G1352" s="10" t="s">
        <v>46</v>
      </c>
      <c r="H1352" s="27" t="s">
        <v>101</v>
      </c>
      <c r="I1352" s="28"/>
      <c r="J1352" s="12"/>
      <c r="K1352" s="13">
        <v>2000</v>
      </c>
      <c r="L1352" s="21">
        <v>13.22</v>
      </c>
      <c r="M1352" s="14" t="s">
        <v>14</v>
      </c>
      <c r="N1352" s="13">
        <v>26440</v>
      </c>
      <c r="O1352" s="15">
        <f t="shared" si="894"/>
        <v>0</v>
      </c>
      <c r="P1352" s="10" t="s">
        <v>84</v>
      </c>
      <c r="Q1352" s="11" t="s">
        <v>3030</v>
      </c>
      <c r="R1352" s="11" t="s">
        <v>3031</v>
      </c>
      <c r="S1352" s="16" t="s">
        <v>3032</v>
      </c>
      <c r="T1352" s="19" t="str">
        <f>MONTH(B1352)&amp;"-"&amp;YEAR(B1352)</f>
        <v>10-2023</v>
      </c>
      <c r="U1352" s="2">
        <f>YEAR(B1352)</f>
        <v>2023</v>
      </c>
      <c r="V1352" s="2" t="str">
        <f>IF(DAY(B1352)&gt;15,MONTH(B1352)&amp;"-C",MONTH(B1352)&amp;"-N")</f>
        <v>10-C</v>
      </c>
      <c r="W1352" s="21">
        <v>13.22</v>
      </c>
      <c r="X1352" s="2" t="b">
        <f t="shared" si="895"/>
        <v>1</v>
      </c>
    </row>
    <row r="1353" spans="2:24" x14ac:dyDescent="0.2">
      <c r="B1353" s="17">
        <v>45225</v>
      </c>
      <c r="C1353" s="10" t="s">
        <v>82</v>
      </c>
      <c r="D1353" s="11">
        <v>170095</v>
      </c>
      <c r="E1353" s="26">
        <v>70946</v>
      </c>
      <c r="F1353" s="10" t="s">
        <v>26</v>
      </c>
      <c r="G1353" s="10" t="s">
        <v>27</v>
      </c>
      <c r="H1353" s="27" t="s">
        <v>28</v>
      </c>
      <c r="I1353" s="28"/>
      <c r="J1353" s="12"/>
      <c r="K1353" s="13">
        <v>9900</v>
      </c>
      <c r="L1353" s="21">
        <v>3.9</v>
      </c>
      <c r="M1353" s="14" t="s">
        <v>14</v>
      </c>
      <c r="N1353" s="13">
        <v>38610</v>
      </c>
      <c r="O1353" s="15">
        <f t="shared" si="894"/>
        <v>0</v>
      </c>
      <c r="P1353" s="10" t="s">
        <v>78</v>
      </c>
      <c r="Q1353" s="11" t="s">
        <v>3033</v>
      </c>
      <c r="R1353" s="11" t="s">
        <v>3034</v>
      </c>
      <c r="S1353" s="16" t="s">
        <v>3035</v>
      </c>
      <c r="T1353" s="19" t="str">
        <f>MONTH(B1353)&amp;"-"&amp;YEAR(B1353)</f>
        <v>10-2023</v>
      </c>
      <c r="U1353" s="2">
        <f>YEAR(B1353)</f>
        <v>2023</v>
      </c>
      <c r="V1353" s="2" t="str">
        <f>IF(DAY(B1353)&gt;15,MONTH(B1353)&amp;"-C",MONTH(B1353)&amp;"-N")</f>
        <v>10-C</v>
      </c>
      <c r="W1353" s="21">
        <v>3.9</v>
      </c>
      <c r="X1353" s="2" t="b">
        <f t="shared" si="895"/>
        <v>1</v>
      </c>
    </row>
    <row r="1354" spans="2:24" x14ac:dyDescent="0.2">
      <c r="B1354" s="17">
        <v>45225</v>
      </c>
      <c r="C1354" s="10" t="s">
        <v>82</v>
      </c>
      <c r="D1354" s="11">
        <v>170095</v>
      </c>
      <c r="E1354" s="26">
        <v>70987</v>
      </c>
      <c r="F1354" s="10" t="s">
        <v>26</v>
      </c>
      <c r="G1354" s="10" t="s">
        <v>27</v>
      </c>
      <c r="H1354" s="27" t="s">
        <v>28</v>
      </c>
      <c r="I1354" s="28"/>
      <c r="J1354" s="12"/>
      <c r="K1354" s="13">
        <v>9000</v>
      </c>
      <c r="L1354" s="21">
        <v>3.9</v>
      </c>
      <c r="M1354" s="14" t="s">
        <v>14</v>
      </c>
      <c r="N1354" s="13">
        <v>35100</v>
      </c>
      <c r="O1354" s="15">
        <f t="shared" si="894"/>
        <v>0</v>
      </c>
      <c r="P1354" s="10" t="s">
        <v>78</v>
      </c>
      <c r="Q1354" s="11" t="s">
        <v>3033</v>
      </c>
      <c r="R1354" s="11" t="s">
        <v>3034</v>
      </c>
      <c r="S1354" s="16" t="s">
        <v>3035</v>
      </c>
      <c r="T1354" s="19" t="str">
        <f>MONTH(B1354)&amp;"-"&amp;YEAR(B1354)</f>
        <v>10-2023</v>
      </c>
      <c r="U1354" s="2">
        <f>YEAR(B1354)</f>
        <v>2023</v>
      </c>
      <c r="V1354" s="2" t="str">
        <f>IF(DAY(B1354)&gt;15,MONTH(B1354)&amp;"-C",MONTH(B1354)&amp;"-N")</f>
        <v>10-C</v>
      </c>
      <c r="W1354" s="21">
        <v>3.9</v>
      </c>
      <c r="X1354" s="2" t="b">
        <f t="shared" si="895"/>
        <v>1</v>
      </c>
    </row>
    <row r="1355" spans="2:24" x14ac:dyDescent="0.2">
      <c r="B1355" s="17">
        <v>45226</v>
      </c>
      <c r="C1355" s="10" t="s">
        <v>25</v>
      </c>
      <c r="D1355" s="11">
        <v>170101</v>
      </c>
      <c r="E1355" s="26">
        <v>71010</v>
      </c>
      <c r="F1355" s="10" t="s">
        <v>26</v>
      </c>
      <c r="G1355" s="10" t="s">
        <v>27</v>
      </c>
      <c r="H1355" s="27" t="s">
        <v>28</v>
      </c>
      <c r="I1355" s="28"/>
      <c r="J1355" s="12"/>
      <c r="K1355" s="13">
        <v>19800</v>
      </c>
      <c r="L1355" s="21">
        <v>3.9</v>
      </c>
      <c r="M1355" s="14" t="s">
        <v>14</v>
      </c>
      <c r="N1355" s="13">
        <v>77220</v>
      </c>
      <c r="O1355" s="15">
        <f t="shared" ref="O1355" si="896">(N1355/K1355)-L1355</f>
        <v>0</v>
      </c>
      <c r="P1355" s="10" t="s">
        <v>78</v>
      </c>
      <c r="Q1355" s="11" t="s">
        <v>3036</v>
      </c>
      <c r="R1355" s="11" t="s">
        <v>3037</v>
      </c>
      <c r="S1355" s="16" t="s">
        <v>3038</v>
      </c>
      <c r="T1355" s="19" t="str">
        <f>MONTH(B1355)&amp;"-"&amp;YEAR(B1355)</f>
        <v>10-2023</v>
      </c>
      <c r="U1355" s="2">
        <f>YEAR(B1355)</f>
        <v>2023</v>
      </c>
      <c r="V1355" s="2" t="str">
        <f>IF(DAY(B1355)&gt;15,MONTH(B1355)&amp;"-C",MONTH(B1355)&amp;"-N")</f>
        <v>10-C</v>
      </c>
      <c r="W1355" s="21">
        <v>3.9</v>
      </c>
      <c r="X1355" s="2" t="b">
        <f t="shared" ref="X1355" si="897">+L1355=W1355</f>
        <v>1</v>
      </c>
    </row>
    <row r="1356" spans="2:24" x14ac:dyDescent="0.2">
      <c r="B1356" s="17">
        <v>45229</v>
      </c>
      <c r="C1356" s="10" t="s">
        <v>82</v>
      </c>
      <c r="D1356" s="11">
        <v>170217</v>
      </c>
      <c r="E1356" s="26">
        <v>71089</v>
      </c>
      <c r="F1356" s="10" t="s">
        <v>49</v>
      </c>
      <c r="G1356" s="10" t="s">
        <v>27</v>
      </c>
      <c r="H1356" s="27" t="s">
        <v>50</v>
      </c>
      <c r="I1356" s="28"/>
      <c r="J1356" s="12"/>
      <c r="K1356" s="13">
        <v>20</v>
      </c>
      <c r="L1356" s="21">
        <v>9.5</v>
      </c>
      <c r="M1356" s="14" t="s">
        <v>14</v>
      </c>
      <c r="N1356" s="13">
        <v>190</v>
      </c>
      <c r="O1356" s="15">
        <f t="shared" ref="O1356:O1357" si="898">(N1356/K1356)-L1356</f>
        <v>0</v>
      </c>
      <c r="P1356" s="10" t="s">
        <v>78</v>
      </c>
      <c r="Q1356" s="11" t="s">
        <v>3039</v>
      </c>
      <c r="R1356" s="11" t="s">
        <v>3040</v>
      </c>
      <c r="S1356" s="16" t="s">
        <v>3041</v>
      </c>
      <c r="T1356" s="19" t="str">
        <f>MONTH(B1356)&amp;"-"&amp;YEAR(B1356)</f>
        <v>10-2023</v>
      </c>
      <c r="U1356" s="2">
        <f>YEAR(B1356)</f>
        <v>2023</v>
      </c>
      <c r="V1356" s="2" t="str">
        <f>IF(DAY(B1356)&gt;15,MONTH(B1356)&amp;"-C",MONTH(B1356)&amp;"-N")</f>
        <v>10-C</v>
      </c>
      <c r="W1356" s="21">
        <v>9.5</v>
      </c>
      <c r="X1356" s="2" t="b">
        <f t="shared" ref="X1356:X1357" si="899">+L1356=W1356</f>
        <v>1</v>
      </c>
    </row>
    <row r="1357" spans="2:24" x14ac:dyDescent="0.2">
      <c r="B1357" s="17">
        <v>45229</v>
      </c>
      <c r="C1357" s="10" t="s">
        <v>82</v>
      </c>
      <c r="D1357" s="11">
        <v>170217</v>
      </c>
      <c r="E1357" s="26">
        <v>71089</v>
      </c>
      <c r="F1357" s="10" t="s">
        <v>33</v>
      </c>
      <c r="G1357" s="10" t="s">
        <v>27</v>
      </c>
      <c r="H1357" s="27" t="s">
        <v>34</v>
      </c>
      <c r="I1357" s="28"/>
      <c r="J1357" s="12"/>
      <c r="K1357" s="13">
        <v>20</v>
      </c>
      <c r="L1357" s="21">
        <v>7.5</v>
      </c>
      <c r="M1357" s="14" t="s">
        <v>14</v>
      </c>
      <c r="N1357" s="13">
        <v>150</v>
      </c>
      <c r="O1357" s="15">
        <f t="shared" si="898"/>
        <v>0</v>
      </c>
      <c r="P1357" s="10" t="s">
        <v>78</v>
      </c>
      <c r="Q1357" s="11" t="s">
        <v>3039</v>
      </c>
      <c r="R1357" s="11" t="s">
        <v>3040</v>
      </c>
      <c r="S1357" s="16" t="s">
        <v>3041</v>
      </c>
      <c r="T1357" s="19" t="str">
        <f>MONTH(B1357)&amp;"-"&amp;YEAR(B1357)</f>
        <v>10-2023</v>
      </c>
      <c r="U1357" s="2">
        <f>YEAR(B1357)</f>
        <v>2023</v>
      </c>
      <c r="V1357" s="2" t="str">
        <f>IF(DAY(B1357)&gt;15,MONTH(B1357)&amp;"-C",MONTH(B1357)&amp;"-N")</f>
        <v>10-C</v>
      </c>
      <c r="W1357" s="21">
        <v>7.5</v>
      </c>
      <c r="X1357" s="2" t="b">
        <f t="shared" si="899"/>
        <v>1</v>
      </c>
    </row>
    <row r="1358" spans="2:24" x14ac:dyDescent="0.2">
      <c r="B1358" s="17">
        <v>45230</v>
      </c>
      <c r="C1358" s="10" t="s">
        <v>25</v>
      </c>
      <c r="D1358" s="11">
        <v>169866</v>
      </c>
      <c r="E1358" s="26">
        <v>71090</v>
      </c>
      <c r="F1358" s="10" t="s">
        <v>31</v>
      </c>
      <c r="G1358" s="10" t="s">
        <v>27</v>
      </c>
      <c r="H1358" s="27" t="s">
        <v>32</v>
      </c>
      <c r="I1358" s="28"/>
      <c r="J1358" s="12"/>
      <c r="K1358" s="13">
        <v>960</v>
      </c>
      <c r="L1358" s="21">
        <v>3.9</v>
      </c>
      <c r="M1358" s="14" t="s">
        <v>14</v>
      </c>
      <c r="N1358" s="13">
        <v>3744</v>
      </c>
      <c r="O1358" s="15">
        <f t="shared" ref="O1358:O1359" si="900">(N1358/K1358)-L1358</f>
        <v>0</v>
      </c>
      <c r="P1358" s="10" t="s">
        <v>78</v>
      </c>
      <c r="Q1358" s="11" t="s">
        <v>3042</v>
      </c>
      <c r="R1358" s="11" t="s">
        <v>3043</v>
      </c>
      <c r="S1358" s="16" t="s">
        <v>3044</v>
      </c>
      <c r="T1358" s="19" t="str">
        <f>MONTH(B1358)&amp;"-"&amp;YEAR(B1358)</f>
        <v>10-2023</v>
      </c>
      <c r="U1358" s="2">
        <f>YEAR(B1358)</f>
        <v>2023</v>
      </c>
      <c r="V1358" s="2" t="str">
        <f>IF(DAY(B1358)&gt;15,MONTH(B1358)&amp;"-C",MONTH(B1358)&amp;"-N")</f>
        <v>10-C</v>
      </c>
      <c r="W1358" s="21">
        <v>3.9</v>
      </c>
      <c r="X1358" s="2" t="b">
        <f t="shared" ref="X1358:X1359" si="901">+L1358=W1358</f>
        <v>1</v>
      </c>
    </row>
    <row r="1359" spans="2:24" x14ac:dyDescent="0.2">
      <c r="B1359" s="17">
        <v>45230</v>
      </c>
      <c r="C1359" s="10" t="s">
        <v>25</v>
      </c>
      <c r="D1359" s="11">
        <v>169866</v>
      </c>
      <c r="E1359" s="26">
        <v>71090</v>
      </c>
      <c r="F1359" s="10" t="s">
        <v>33</v>
      </c>
      <c r="G1359" s="10" t="s">
        <v>27</v>
      </c>
      <c r="H1359" s="27" t="s">
        <v>34</v>
      </c>
      <c r="I1359" s="28"/>
      <c r="J1359" s="12"/>
      <c r="K1359" s="13">
        <v>1080</v>
      </c>
      <c r="L1359" s="21">
        <v>5.0999999999999996</v>
      </c>
      <c r="M1359" s="14" t="s">
        <v>14</v>
      </c>
      <c r="N1359" s="13">
        <v>5508</v>
      </c>
      <c r="O1359" s="15">
        <f t="shared" si="900"/>
        <v>0</v>
      </c>
      <c r="P1359" s="10" t="s">
        <v>78</v>
      </c>
      <c r="Q1359" s="11" t="s">
        <v>3042</v>
      </c>
      <c r="R1359" s="11" t="s">
        <v>3043</v>
      </c>
      <c r="S1359" s="16" t="s">
        <v>3044</v>
      </c>
      <c r="T1359" s="19" t="str">
        <f>MONTH(B1359)&amp;"-"&amp;YEAR(B1359)</f>
        <v>10-2023</v>
      </c>
      <c r="U1359" s="2">
        <f>YEAR(B1359)</f>
        <v>2023</v>
      </c>
      <c r="V1359" s="2" t="str">
        <f>IF(DAY(B1359)&gt;15,MONTH(B1359)&amp;"-C",MONTH(B1359)&amp;"-N")</f>
        <v>10-C</v>
      </c>
      <c r="W1359" s="21">
        <v>5.0999999999999996</v>
      </c>
      <c r="X1359" s="2" t="b">
        <f t="shared" si="901"/>
        <v>1</v>
      </c>
    </row>
    <row r="1360" spans="2:24" x14ac:dyDescent="0.2">
      <c r="B1360" s="17">
        <v>45233</v>
      </c>
      <c r="C1360" s="10" t="s">
        <v>25</v>
      </c>
      <c r="D1360" s="11">
        <v>169830</v>
      </c>
      <c r="E1360" s="26">
        <v>71149</v>
      </c>
      <c r="F1360" s="10" t="s">
        <v>26</v>
      </c>
      <c r="G1360" s="10" t="s">
        <v>27</v>
      </c>
      <c r="H1360" s="27" t="s">
        <v>28</v>
      </c>
      <c r="I1360" s="28"/>
      <c r="J1360" s="12"/>
      <c r="K1360" s="13">
        <v>800</v>
      </c>
      <c r="L1360" s="21">
        <v>4.08</v>
      </c>
      <c r="M1360" s="14" t="s">
        <v>14</v>
      </c>
      <c r="N1360" s="13">
        <v>3264</v>
      </c>
      <c r="O1360" s="15">
        <f t="shared" ref="O1360:O1361" si="902">(N1360/K1360)-L1360</f>
        <v>0</v>
      </c>
      <c r="P1360" s="10" t="s">
        <v>78</v>
      </c>
      <c r="Q1360" s="11" t="s">
        <v>3045</v>
      </c>
      <c r="R1360" s="11" t="s">
        <v>3046</v>
      </c>
      <c r="S1360" s="16" t="s">
        <v>3047</v>
      </c>
      <c r="T1360" s="19" t="str">
        <f>MONTH(B1360)&amp;"-"&amp;YEAR(B1360)</f>
        <v>11-2023</v>
      </c>
      <c r="U1360" s="2">
        <f>YEAR(B1360)</f>
        <v>2023</v>
      </c>
      <c r="V1360" s="2" t="str">
        <f>IF(DAY(B1360)&gt;15,MONTH(B1360)&amp;"-C",MONTH(B1360)&amp;"-N")</f>
        <v>11-N</v>
      </c>
      <c r="W1360" s="21">
        <v>4.08</v>
      </c>
      <c r="X1360" s="2" t="b">
        <f t="shared" ref="X1360:X1361" si="903">+L1360=W1360</f>
        <v>1</v>
      </c>
    </row>
    <row r="1361" spans="2:24" x14ac:dyDescent="0.2">
      <c r="B1361" s="17">
        <v>45233</v>
      </c>
      <c r="C1361" s="10" t="s">
        <v>25</v>
      </c>
      <c r="D1361" s="11">
        <v>170101</v>
      </c>
      <c r="E1361" s="26">
        <v>71148</v>
      </c>
      <c r="F1361" s="10" t="s">
        <v>26</v>
      </c>
      <c r="G1361" s="10" t="s">
        <v>27</v>
      </c>
      <c r="H1361" s="27" t="s">
        <v>28</v>
      </c>
      <c r="I1361" s="28"/>
      <c r="J1361" s="12"/>
      <c r="K1361" s="13">
        <v>19000</v>
      </c>
      <c r="L1361" s="21">
        <v>3.9</v>
      </c>
      <c r="M1361" s="14" t="s">
        <v>14</v>
      </c>
      <c r="N1361" s="13">
        <v>74100</v>
      </c>
      <c r="O1361" s="15">
        <f t="shared" si="902"/>
        <v>0</v>
      </c>
      <c r="P1361" s="10" t="s">
        <v>78</v>
      </c>
      <c r="Q1361" s="11" t="s">
        <v>3048</v>
      </c>
      <c r="R1361" s="11" t="s">
        <v>3049</v>
      </c>
      <c r="S1361" s="16" t="s">
        <v>3050</v>
      </c>
      <c r="T1361" s="19" t="str">
        <f>MONTH(B1361)&amp;"-"&amp;YEAR(B1361)</f>
        <v>11-2023</v>
      </c>
      <c r="U1361" s="2">
        <f>YEAR(B1361)</f>
        <v>2023</v>
      </c>
      <c r="V1361" s="2" t="str">
        <f>IF(DAY(B1361)&gt;15,MONTH(B1361)&amp;"-C",MONTH(B1361)&amp;"-N")</f>
        <v>11-N</v>
      </c>
      <c r="W1361" s="21">
        <v>3.9</v>
      </c>
      <c r="X1361" s="2" t="b">
        <f t="shared" si="903"/>
        <v>1</v>
      </c>
    </row>
    <row r="1362" spans="2:24" x14ac:dyDescent="0.2">
      <c r="B1362" s="17">
        <v>45239</v>
      </c>
      <c r="C1362" s="10" t="s">
        <v>82</v>
      </c>
      <c r="D1362" s="11">
        <v>170095</v>
      </c>
      <c r="E1362" s="26">
        <v>71218</v>
      </c>
      <c r="F1362" s="10" t="s">
        <v>26</v>
      </c>
      <c r="G1362" s="10" t="s">
        <v>27</v>
      </c>
      <c r="H1362" s="27" t="s">
        <v>28</v>
      </c>
      <c r="I1362" s="28"/>
      <c r="J1362" s="12"/>
      <c r="K1362" s="13">
        <v>10800</v>
      </c>
      <c r="L1362" s="21">
        <v>3.9</v>
      </c>
      <c r="M1362" s="14" t="s">
        <v>14</v>
      </c>
      <c r="N1362" s="13">
        <v>42120</v>
      </c>
      <c r="O1362" s="15">
        <f t="shared" ref="O1362" si="904">(N1362/K1362)-L1362</f>
        <v>0</v>
      </c>
      <c r="P1362" s="10" t="s">
        <v>78</v>
      </c>
      <c r="Q1362" s="11" t="s">
        <v>3051</v>
      </c>
      <c r="R1362" s="11" t="s">
        <v>3052</v>
      </c>
      <c r="S1362" s="16" t="s">
        <v>3053</v>
      </c>
      <c r="T1362" s="19" t="str">
        <f>MONTH(B1362)&amp;"-"&amp;YEAR(B1362)</f>
        <v>11-2023</v>
      </c>
      <c r="U1362" s="2">
        <f>YEAR(B1362)</f>
        <v>2023</v>
      </c>
      <c r="V1362" s="2" t="str">
        <f>IF(DAY(B1362)&gt;15,MONTH(B1362)&amp;"-C",MONTH(B1362)&amp;"-N")</f>
        <v>11-N</v>
      </c>
      <c r="W1362" s="21">
        <v>3.9</v>
      </c>
      <c r="X1362" s="2" t="b">
        <f t="shared" ref="X1362" si="905">+L1362=W1362</f>
        <v>1</v>
      </c>
    </row>
    <row r="1363" spans="2:24" x14ac:dyDescent="0.2">
      <c r="B1363" s="17">
        <v>45240</v>
      </c>
      <c r="C1363" s="10" t="s">
        <v>82</v>
      </c>
      <c r="D1363" s="11">
        <v>170310</v>
      </c>
      <c r="E1363" s="26">
        <v>71232</v>
      </c>
      <c r="F1363" s="10" t="s">
        <v>3054</v>
      </c>
      <c r="G1363" s="10" t="s">
        <v>27</v>
      </c>
      <c r="H1363" s="27" t="s">
        <v>3055</v>
      </c>
      <c r="I1363" s="28"/>
      <c r="J1363" s="12"/>
      <c r="K1363" s="13">
        <v>160</v>
      </c>
      <c r="L1363" s="21">
        <v>4.75</v>
      </c>
      <c r="M1363" s="14" t="s">
        <v>14</v>
      </c>
      <c r="N1363" s="13">
        <v>760</v>
      </c>
      <c r="O1363" s="15">
        <f t="shared" ref="O1363:O1365" si="906">(N1363/K1363)-L1363</f>
        <v>0</v>
      </c>
      <c r="P1363" s="10" t="s">
        <v>78</v>
      </c>
      <c r="Q1363" s="11" t="s">
        <v>3056</v>
      </c>
      <c r="R1363" s="11" t="s">
        <v>3057</v>
      </c>
      <c r="S1363" s="16" t="s">
        <v>3058</v>
      </c>
      <c r="T1363" s="19" t="str">
        <f>MONTH(B1363)&amp;"-"&amp;YEAR(B1363)</f>
        <v>11-2023</v>
      </c>
      <c r="U1363" s="2">
        <f>YEAR(B1363)</f>
        <v>2023</v>
      </c>
      <c r="V1363" s="2" t="str">
        <f>IF(DAY(B1363)&gt;15,MONTH(B1363)&amp;"-C",MONTH(B1363)&amp;"-N")</f>
        <v>11-N</v>
      </c>
      <c r="W1363" s="21">
        <v>4.75</v>
      </c>
      <c r="X1363" s="2" t="b">
        <f t="shared" ref="X1363:X1365" si="907">+L1363=W1363</f>
        <v>1</v>
      </c>
    </row>
    <row r="1364" spans="2:24" x14ac:dyDescent="0.2">
      <c r="B1364" s="17">
        <v>45241</v>
      </c>
      <c r="C1364" s="10" t="s">
        <v>82</v>
      </c>
      <c r="D1364" s="11">
        <v>170095</v>
      </c>
      <c r="E1364" s="26">
        <v>71244</v>
      </c>
      <c r="F1364" s="10" t="s">
        <v>26</v>
      </c>
      <c r="G1364" s="10" t="s">
        <v>27</v>
      </c>
      <c r="H1364" s="27" t="s">
        <v>28</v>
      </c>
      <c r="I1364" s="28"/>
      <c r="J1364" s="12"/>
      <c r="K1364" s="13">
        <v>4500</v>
      </c>
      <c r="L1364" s="21">
        <v>3.9</v>
      </c>
      <c r="M1364" s="14" t="s">
        <v>14</v>
      </c>
      <c r="N1364" s="13">
        <v>17550</v>
      </c>
      <c r="O1364" s="15">
        <f t="shared" si="906"/>
        <v>0</v>
      </c>
      <c r="P1364" s="10" t="s">
        <v>78</v>
      </c>
      <c r="Q1364" s="11" t="s">
        <v>3059</v>
      </c>
      <c r="R1364" s="11" t="s">
        <v>3060</v>
      </c>
      <c r="S1364" s="16" t="s">
        <v>3061</v>
      </c>
      <c r="T1364" s="19" t="str">
        <f>MONTH(B1364)&amp;"-"&amp;YEAR(B1364)</f>
        <v>11-2023</v>
      </c>
      <c r="U1364" s="2">
        <f>YEAR(B1364)</f>
        <v>2023</v>
      </c>
      <c r="V1364" s="2" t="str">
        <f>IF(DAY(B1364)&gt;15,MONTH(B1364)&amp;"-C",MONTH(B1364)&amp;"-N")</f>
        <v>11-N</v>
      </c>
      <c r="W1364" s="21">
        <v>3.9</v>
      </c>
      <c r="X1364" s="2" t="b">
        <f t="shared" si="907"/>
        <v>1</v>
      </c>
    </row>
    <row r="1365" spans="2:24" x14ac:dyDescent="0.2">
      <c r="B1365" s="17">
        <v>45241</v>
      </c>
      <c r="C1365" s="10" t="s">
        <v>82</v>
      </c>
      <c r="D1365" s="11">
        <v>170095</v>
      </c>
      <c r="E1365" s="26">
        <v>71245</v>
      </c>
      <c r="F1365" s="10" t="s">
        <v>26</v>
      </c>
      <c r="G1365" s="10" t="s">
        <v>27</v>
      </c>
      <c r="H1365" s="27" t="s">
        <v>28</v>
      </c>
      <c r="I1365" s="28"/>
      <c r="J1365" s="12"/>
      <c r="K1365" s="13">
        <v>4500</v>
      </c>
      <c r="L1365" s="21">
        <v>3.9</v>
      </c>
      <c r="M1365" s="14" t="s">
        <v>14</v>
      </c>
      <c r="N1365" s="13">
        <v>17550</v>
      </c>
      <c r="O1365" s="15">
        <f t="shared" si="906"/>
        <v>0</v>
      </c>
      <c r="P1365" s="10" t="s">
        <v>78</v>
      </c>
      <c r="Q1365" s="11" t="s">
        <v>3059</v>
      </c>
      <c r="R1365" s="11" t="s">
        <v>3060</v>
      </c>
      <c r="S1365" s="16" t="s">
        <v>3061</v>
      </c>
      <c r="T1365" s="19" t="str">
        <f>MONTH(B1365)&amp;"-"&amp;YEAR(B1365)</f>
        <v>11-2023</v>
      </c>
      <c r="U1365" s="2">
        <f>YEAR(B1365)</f>
        <v>2023</v>
      </c>
      <c r="V1365" s="2" t="str">
        <f>IF(DAY(B1365)&gt;15,MONTH(B1365)&amp;"-C",MONTH(B1365)&amp;"-N")</f>
        <v>11-N</v>
      </c>
      <c r="W1365" s="21">
        <v>3.9</v>
      </c>
      <c r="X1365" s="2" t="b">
        <f t="shared" si="907"/>
        <v>1</v>
      </c>
    </row>
    <row r="1366" spans="2:24" x14ac:dyDescent="0.2">
      <c r="B1366" s="17">
        <v>45244</v>
      </c>
      <c r="C1366" s="10" t="s">
        <v>107</v>
      </c>
      <c r="D1366" s="11">
        <v>170320</v>
      </c>
      <c r="E1366" s="26">
        <v>71281</v>
      </c>
      <c r="F1366" s="10" t="s">
        <v>142</v>
      </c>
      <c r="G1366" s="10" t="s">
        <v>46</v>
      </c>
      <c r="H1366" s="27" t="s">
        <v>143</v>
      </c>
      <c r="I1366" s="28"/>
      <c r="J1366" s="12"/>
      <c r="K1366" s="13">
        <v>2500</v>
      </c>
      <c r="L1366" s="21">
        <v>10.08</v>
      </c>
      <c r="M1366" s="14" t="s">
        <v>14</v>
      </c>
      <c r="N1366" s="13">
        <v>25200</v>
      </c>
      <c r="O1366" s="15">
        <f t="shared" ref="O1366:O1370" si="908">(N1366/K1366)-L1366</f>
        <v>0</v>
      </c>
      <c r="P1366" s="10" t="s">
        <v>84</v>
      </c>
      <c r="Q1366" s="11" t="s">
        <v>3062</v>
      </c>
      <c r="R1366" s="11" t="s">
        <v>3063</v>
      </c>
      <c r="S1366" s="16" t="s">
        <v>3064</v>
      </c>
      <c r="T1366" s="19" t="str">
        <f>MONTH(B1366)&amp;"-"&amp;YEAR(B1366)</f>
        <v>11-2023</v>
      </c>
      <c r="U1366" s="2">
        <f>YEAR(B1366)</f>
        <v>2023</v>
      </c>
      <c r="V1366" s="2" t="str">
        <f>IF(DAY(B1366)&gt;15,MONTH(B1366)&amp;"-C",MONTH(B1366)&amp;"-N")</f>
        <v>11-N</v>
      </c>
      <c r="W1366" s="21">
        <v>10.08</v>
      </c>
      <c r="X1366" s="2" t="b">
        <f t="shared" ref="X1366:X1370" si="909">+L1366=W1366</f>
        <v>1</v>
      </c>
    </row>
    <row r="1367" spans="2:24" x14ac:dyDescent="0.2">
      <c r="B1367" s="17">
        <v>45244</v>
      </c>
      <c r="C1367" s="10" t="s">
        <v>107</v>
      </c>
      <c r="D1367" s="11">
        <v>170340</v>
      </c>
      <c r="E1367" s="26">
        <v>71281</v>
      </c>
      <c r="F1367" s="10" t="s">
        <v>142</v>
      </c>
      <c r="G1367" s="10" t="s">
        <v>46</v>
      </c>
      <c r="H1367" s="27" t="s">
        <v>143</v>
      </c>
      <c r="I1367" s="28"/>
      <c r="J1367" s="12"/>
      <c r="K1367" s="13">
        <v>140</v>
      </c>
      <c r="L1367" s="21">
        <v>10.08</v>
      </c>
      <c r="M1367" s="14" t="s">
        <v>14</v>
      </c>
      <c r="N1367" s="13">
        <v>1411.2</v>
      </c>
      <c r="O1367" s="15">
        <f t="shared" si="908"/>
        <v>0</v>
      </c>
      <c r="P1367" s="10" t="s">
        <v>84</v>
      </c>
      <c r="Q1367" s="11" t="s">
        <v>3062</v>
      </c>
      <c r="R1367" s="11" t="s">
        <v>3063</v>
      </c>
      <c r="S1367" s="16" t="s">
        <v>3064</v>
      </c>
      <c r="T1367" s="19" t="str">
        <f>MONTH(B1367)&amp;"-"&amp;YEAR(B1367)</f>
        <v>11-2023</v>
      </c>
      <c r="U1367" s="2">
        <f>YEAR(B1367)</f>
        <v>2023</v>
      </c>
      <c r="V1367" s="2" t="str">
        <f>IF(DAY(B1367)&gt;15,MONTH(B1367)&amp;"-C",MONTH(B1367)&amp;"-N")</f>
        <v>11-N</v>
      </c>
      <c r="W1367" s="21">
        <v>10.08</v>
      </c>
      <c r="X1367" s="2" t="b">
        <f t="shared" si="909"/>
        <v>1</v>
      </c>
    </row>
    <row r="1368" spans="2:24" x14ac:dyDescent="0.2">
      <c r="B1368" s="17">
        <v>45244</v>
      </c>
      <c r="C1368" s="10" t="s">
        <v>107</v>
      </c>
      <c r="D1368" s="11">
        <v>170340</v>
      </c>
      <c r="E1368" s="26">
        <v>71281</v>
      </c>
      <c r="F1368" s="10" t="s">
        <v>103</v>
      </c>
      <c r="G1368" s="10" t="s">
        <v>46</v>
      </c>
      <c r="H1368" s="27" t="s">
        <v>104</v>
      </c>
      <c r="I1368" s="28"/>
      <c r="J1368" s="12"/>
      <c r="K1368" s="13">
        <v>50</v>
      </c>
      <c r="L1368" s="21">
        <v>47.46</v>
      </c>
      <c r="M1368" s="14" t="s">
        <v>14</v>
      </c>
      <c r="N1368" s="13">
        <v>2373</v>
      </c>
      <c r="O1368" s="15">
        <f t="shared" si="908"/>
        <v>0</v>
      </c>
      <c r="P1368" s="10" t="s">
        <v>84</v>
      </c>
      <c r="Q1368" s="11" t="s">
        <v>3062</v>
      </c>
      <c r="R1368" s="11" t="s">
        <v>3063</v>
      </c>
      <c r="S1368" s="16" t="s">
        <v>3064</v>
      </c>
      <c r="T1368" s="19" t="str">
        <f>MONTH(B1368)&amp;"-"&amp;YEAR(B1368)</f>
        <v>11-2023</v>
      </c>
      <c r="U1368" s="2">
        <f>YEAR(B1368)</f>
        <v>2023</v>
      </c>
      <c r="V1368" s="2" t="str">
        <f>IF(DAY(B1368)&gt;15,MONTH(B1368)&amp;"-C",MONTH(B1368)&amp;"-N")</f>
        <v>11-N</v>
      </c>
      <c r="W1368" s="21">
        <v>47.46</v>
      </c>
      <c r="X1368" s="2" t="b">
        <f t="shared" si="909"/>
        <v>1</v>
      </c>
    </row>
    <row r="1369" spans="2:24" x14ac:dyDescent="0.2">
      <c r="B1369" s="17">
        <v>45244</v>
      </c>
      <c r="C1369" s="10" t="s">
        <v>107</v>
      </c>
      <c r="D1369" s="11">
        <v>170340</v>
      </c>
      <c r="E1369" s="26">
        <v>71281</v>
      </c>
      <c r="F1369" s="10" t="s">
        <v>105</v>
      </c>
      <c r="G1369" s="10" t="s">
        <v>46</v>
      </c>
      <c r="H1369" s="27" t="s">
        <v>106</v>
      </c>
      <c r="I1369" s="28"/>
      <c r="J1369" s="12"/>
      <c r="K1369" s="13">
        <v>1540</v>
      </c>
      <c r="L1369" s="21">
        <v>11.72</v>
      </c>
      <c r="M1369" s="14" t="s">
        <v>14</v>
      </c>
      <c r="N1369" s="13">
        <v>18048.8</v>
      </c>
      <c r="O1369" s="15">
        <f t="shared" si="908"/>
        <v>0</v>
      </c>
      <c r="P1369" s="10" t="s">
        <v>84</v>
      </c>
      <c r="Q1369" s="11" t="s">
        <v>3062</v>
      </c>
      <c r="R1369" s="11" t="s">
        <v>3063</v>
      </c>
      <c r="S1369" s="16" t="s">
        <v>3064</v>
      </c>
      <c r="T1369" s="19" t="str">
        <f>MONTH(B1369)&amp;"-"&amp;YEAR(B1369)</f>
        <v>11-2023</v>
      </c>
      <c r="U1369" s="2">
        <f>YEAR(B1369)</f>
        <v>2023</v>
      </c>
      <c r="V1369" s="2" t="str">
        <f>IF(DAY(B1369)&gt;15,MONTH(B1369)&amp;"-C",MONTH(B1369)&amp;"-N")</f>
        <v>11-N</v>
      </c>
      <c r="W1369" s="21">
        <v>11.72</v>
      </c>
      <c r="X1369" s="2" t="b">
        <f t="shared" si="909"/>
        <v>1</v>
      </c>
    </row>
    <row r="1370" spans="2:24" x14ac:dyDescent="0.2">
      <c r="B1370" s="17">
        <v>45244</v>
      </c>
      <c r="C1370" s="10" t="s">
        <v>107</v>
      </c>
      <c r="D1370" s="11">
        <v>170320</v>
      </c>
      <c r="E1370" s="26">
        <v>71281</v>
      </c>
      <c r="F1370" s="10" t="s">
        <v>2882</v>
      </c>
      <c r="G1370" s="10" t="s">
        <v>46</v>
      </c>
      <c r="H1370" s="27" t="s">
        <v>2883</v>
      </c>
      <c r="I1370" s="28"/>
      <c r="J1370" s="12"/>
      <c r="K1370" s="13">
        <v>500</v>
      </c>
      <c r="L1370" s="21">
        <v>11.11</v>
      </c>
      <c r="M1370" s="14" t="s">
        <v>14</v>
      </c>
      <c r="N1370" s="13">
        <v>5555</v>
      </c>
      <c r="O1370" s="15">
        <f t="shared" si="908"/>
        <v>0</v>
      </c>
      <c r="P1370" s="10" t="s">
        <v>84</v>
      </c>
      <c r="Q1370" s="11" t="s">
        <v>3062</v>
      </c>
      <c r="R1370" s="11" t="s">
        <v>3063</v>
      </c>
      <c r="S1370" s="16" t="s">
        <v>3064</v>
      </c>
      <c r="T1370" s="19" t="str">
        <f>MONTH(B1370)&amp;"-"&amp;YEAR(B1370)</f>
        <v>11-2023</v>
      </c>
      <c r="U1370" s="2">
        <f>YEAR(B1370)</f>
        <v>2023</v>
      </c>
      <c r="V1370" s="2" t="str">
        <f>IF(DAY(B1370)&gt;15,MONTH(B1370)&amp;"-C",MONTH(B1370)&amp;"-N")</f>
        <v>11-N</v>
      </c>
      <c r="W1370" s="21">
        <v>11.11</v>
      </c>
      <c r="X1370" s="2" t="b">
        <f t="shared" si="909"/>
        <v>1</v>
      </c>
    </row>
    <row r="1371" spans="2:24" x14ac:dyDescent="0.2">
      <c r="B1371" s="17">
        <v>45247</v>
      </c>
      <c r="C1371" s="10" t="s">
        <v>25</v>
      </c>
      <c r="D1371" s="11">
        <v>170101</v>
      </c>
      <c r="E1371" s="26">
        <v>71340</v>
      </c>
      <c r="F1371" s="10" t="s">
        <v>26</v>
      </c>
      <c r="G1371" s="10" t="s">
        <v>27</v>
      </c>
      <c r="H1371" s="27" t="s">
        <v>28</v>
      </c>
      <c r="I1371" s="28"/>
      <c r="J1371" s="12"/>
      <c r="K1371" s="13">
        <v>18900</v>
      </c>
      <c r="L1371" s="21">
        <v>3.9</v>
      </c>
      <c r="M1371" s="14" t="s">
        <v>14</v>
      </c>
      <c r="N1371" s="13">
        <v>73710</v>
      </c>
      <c r="O1371" s="15">
        <f t="shared" ref="O1371" si="910">(N1371/K1371)-L1371</f>
        <v>0</v>
      </c>
      <c r="P1371" s="10" t="s">
        <v>78</v>
      </c>
      <c r="Q1371" s="11" t="s">
        <v>3065</v>
      </c>
      <c r="R1371" s="11" t="s">
        <v>3066</v>
      </c>
      <c r="S1371" s="16" t="s">
        <v>3067</v>
      </c>
      <c r="T1371" s="19" t="str">
        <f>MONTH(B1371)&amp;"-"&amp;YEAR(B1371)</f>
        <v>11-2023</v>
      </c>
      <c r="U1371" s="2">
        <f>YEAR(B1371)</f>
        <v>2023</v>
      </c>
      <c r="V1371" s="2" t="str">
        <f>IF(DAY(B1371)&gt;15,MONTH(B1371)&amp;"-C",MONTH(B1371)&amp;"-N")</f>
        <v>11-C</v>
      </c>
      <c r="W1371" s="21">
        <v>3.9</v>
      </c>
      <c r="X1371" s="2" t="b">
        <f t="shared" ref="X1371" si="911">+L1371=W1371</f>
        <v>1</v>
      </c>
    </row>
    <row r="1372" spans="2:24" x14ac:dyDescent="0.2">
      <c r="B1372" s="17">
        <v>45251</v>
      </c>
      <c r="C1372" s="10" t="s">
        <v>73</v>
      </c>
      <c r="D1372" s="11">
        <v>169832</v>
      </c>
      <c r="E1372" s="26">
        <v>71368</v>
      </c>
      <c r="F1372" s="10" t="s">
        <v>399</v>
      </c>
      <c r="G1372" s="10" t="s">
        <v>46</v>
      </c>
      <c r="H1372" s="27" t="s">
        <v>149</v>
      </c>
      <c r="I1372" s="28"/>
      <c r="J1372" s="12"/>
      <c r="K1372" s="13">
        <v>1960</v>
      </c>
      <c r="L1372" s="21">
        <v>16.8</v>
      </c>
      <c r="M1372" s="14" t="s">
        <v>14</v>
      </c>
      <c r="N1372" s="13">
        <v>32928</v>
      </c>
      <c r="O1372" s="15">
        <f t="shared" ref="O1372:O1382" si="912">(N1372/K1372)-L1372</f>
        <v>0</v>
      </c>
      <c r="P1372" s="10" t="s">
        <v>84</v>
      </c>
      <c r="Q1372" s="11" t="s">
        <v>3068</v>
      </c>
      <c r="R1372" s="11" t="s">
        <v>3069</v>
      </c>
      <c r="S1372" s="16" t="s">
        <v>3070</v>
      </c>
      <c r="T1372" s="19" t="str">
        <f>MONTH(B1372)&amp;"-"&amp;YEAR(B1372)</f>
        <v>11-2023</v>
      </c>
      <c r="U1372" s="2">
        <f>YEAR(B1372)</f>
        <v>2023</v>
      </c>
      <c r="V1372" s="2" t="str">
        <f>IF(DAY(B1372)&gt;15,MONTH(B1372)&amp;"-C",MONTH(B1372)&amp;"-N")</f>
        <v>11-C</v>
      </c>
      <c r="W1372" s="21">
        <v>16.8</v>
      </c>
      <c r="X1372" s="2" t="b">
        <f t="shared" ref="X1372:X1382" si="913">+L1372=W1372</f>
        <v>1</v>
      </c>
    </row>
    <row r="1373" spans="2:24" x14ac:dyDescent="0.2">
      <c r="B1373" s="17">
        <v>45251</v>
      </c>
      <c r="C1373" s="10" t="s">
        <v>73</v>
      </c>
      <c r="D1373" s="11">
        <v>170190</v>
      </c>
      <c r="E1373" s="26">
        <v>71368</v>
      </c>
      <c r="F1373" s="10" t="s">
        <v>399</v>
      </c>
      <c r="G1373" s="10" t="s">
        <v>46</v>
      </c>
      <c r="H1373" s="27" t="s">
        <v>149</v>
      </c>
      <c r="I1373" s="28"/>
      <c r="J1373" s="12"/>
      <c r="K1373" s="13">
        <v>200</v>
      </c>
      <c r="L1373" s="21">
        <v>16.8</v>
      </c>
      <c r="M1373" s="14" t="s">
        <v>14</v>
      </c>
      <c r="N1373" s="13">
        <v>3360</v>
      </c>
      <c r="O1373" s="15">
        <f t="shared" si="912"/>
        <v>0</v>
      </c>
      <c r="P1373" s="10" t="s">
        <v>84</v>
      </c>
      <c r="Q1373" s="11" t="s">
        <v>3068</v>
      </c>
      <c r="R1373" s="11" t="s">
        <v>3069</v>
      </c>
      <c r="S1373" s="16" t="s">
        <v>3070</v>
      </c>
      <c r="T1373" s="19" t="str">
        <f>MONTH(B1373)&amp;"-"&amp;YEAR(B1373)</f>
        <v>11-2023</v>
      </c>
      <c r="U1373" s="2">
        <f>YEAR(B1373)</f>
        <v>2023</v>
      </c>
      <c r="V1373" s="2" t="str">
        <f>IF(DAY(B1373)&gt;15,MONTH(B1373)&amp;"-C",MONTH(B1373)&amp;"-N")</f>
        <v>11-C</v>
      </c>
      <c r="W1373" s="21">
        <v>16.8</v>
      </c>
      <c r="X1373" s="2" t="b">
        <f t="shared" si="913"/>
        <v>1</v>
      </c>
    </row>
    <row r="1374" spans="2:24" x14ac:dyDescent="0.2">
      <c r="B1374" s="17">
        <v>45251</v>
      </c>
      <c r="C1374" s="10" t="s">
        <v>25</v>
      </c>
      <c r="D1374" s="11">
        <v>169866</v>
      </c>
      <c r="E1374" s="26">
        <v>71373</v>
      </c>
      <c r="F1374" s="10" t="s">
        <v>31</v>
      </c>
      <c r="G1374" s="10" t="s">
        <v>27</v>
      </c>
      <c r="H1374" s="27" t="s">
        <v>32</v>
      </c>
      <c r="I1374" s="28"/>
      <c r="J1374" s="12"/>
      <c r="K1374" s="13">
        <v>960</v>
      </c>
      <c r="L1374" s="21">
        <v>3.9</v>
      </c>
      <c r="M1374" s="14" t="s">
        <v>14</v>
      </c>
      <c r="N1374" s="13">
        <v>3744</v>
      </c>
      <c r="O1374" s="15">
        <f t="shared" si="912"/>
        <v>0</v>
      </c>
      <c r="P1374" s="10" t="s">
        <v>78</v>
      </c>
      <c r="Q1374" s="11" t="s">
        <v>3071</v>
      </c>
      <c r="R1374" s="11" t="s">
        <v>3072</v>
      </c>
      <c r="S1374" s="16" t="s">
        <v>3073</v>
      </c>
      <c r="T1374" s="19" t="str">
        <f>MONTH(B1374)&amp;"-"&amp;YEAR(B1374)</f>
        <v>11-2023</v>
      </c>
      <c r="U1374" s="2">
        <f>YEAR(B1374)</f>
        <v>2023</v>
      </c>
      <c r="V1374" s="2" t="str">
        <f>IF(DAY(B1374)&gt;15,MONTH(B1374)&amp;"-C",MONTH(B1374)&amp;"-N")</f>
        <v>11-C</v>
      </c>
      <c r="W1374" s="21">
        <v>3.9</v>
      </c>
      <c r="X1374" s="2" t="b">
        <f t="shared" si="913"/>
        <v>1</v>
      </c>
    </row>
    <row r="1375" spans="2:24" x14ac:dyDescent="0.2">
      <c r="B1375" s="17">
        <v>45251</v>
      </c>
      <c r="C1375" s="10" t="s">
        <v>25</v>
      </c>
      <c r="D1375" s="11">
        <v>169866</v>
      </c>
      <c r="E1375" s="26">
        <v>71373</v>
      </c>
      <c r="F1375" s="10" t="s">
        <v>33</v>
      </c>
      <c r="G1375" s="10" t="s">
        <v>27</v>
      </c>
      <c r="H1375" s="27" t="s">
        <v>34</v>
      </c>
      <c r="I1375" s="28"/>
      <c r="J1375" s="12"/>
      <c r="K1375" s="13">
        <v>720</v>
      </c>
      <c r="L1375" s="21">
        <v>5.0999999999999996</v>
      </c>
      <c r="M1375" s="14" t="s">
        <v>14</v>
      </c>
      <c r="N1375" s="13">
        <v>3672</v>
      </c>
      <c r="O1375" s="15">
        <f t="shared" si="912"/>
        <v>0</v>
      </c>
      <c r="P1375" s="10" t="s">
        <v>78</v>
      </c>
      <c r="Q1375" s="11" t="s">
        <v>3071</v>
      </c>
      <c r="R1375" s="11" t="s">
        <v>3072</v>
      </c>
      <c r="S1375" s="16" t="s">
        <v>3073</v>
      </c>
      <c r="T1375" s="19" t="str">
        <f>MONTH(B1375)&amp;"-"&amp;YEAR(B1375)</f>
        <v>11-2023</v>
      </c>
      <c r="U1375" s="2">
        <f>YEAR(B1375)</f>
        <v>2023</v>
      </c>
      <c r="V1375" s="2" t="str">
        <f>IF(DAY(B1375)&gt;15,MONTH(B1375)&amp;"-C",MONTH(B1375)&amp;"-N")</f>
        <v>11-C</v>
      </c>
      <c r="W1375" s="21">
        <v>5.0999999999999996</v>
      </c>
      <c r="X1375" s="2" t="b">
        <f t="shared" si="913"/>
        <v>1</v>
      </c>
    </row>
    <row r="1376" spans="2:24" x14ac:dyDescent="0.2">
      <c r="B1376" s="17">
        <v>45252</v>
      </c>
      <c r="C1376" s="10" t="s">
        <v>88</v>
      </c>
      <c r="D1376" s="11">
        <v>170107</v>
      </c>
      <c r="E1376" s="26">
        <v>71380</v>
      </c>
      <c r="F1376" s="10" t="s">
        <v>98</v>
      </c>
      <c r="G1376" s="10" t="s">
        <v>46</v>
      </c>
      <c r="H1376" s="27" t="s">
        <v>99</v>
      </c>
      <c r="I1376" s="28"/>
      <c r="J1376" s="12"/>
      <c r="K1376" s="13">
        <v>40</v>
      </c>
      <c r="L1376" s="21">
        <v>11.25</v>
      </c>
      <c r="M1376" s="14" t="s">
        <v>14</v>
      </c>
      <c r="N1376" s="13">
        <v>450</v>
      </c>
      <c r="O1376" s="15">
        <f t="shared" si="912"/>
        <v>0</v>
      </c>
      <c r="P1376" s="10" t="s">
        <v>84</v>
      </c>
      <c r="Q1376" s="11" t="s">
        <v>3074</v>
      </c>
      <c r="R1376" s="11" t="s">
        <v>3075</v>
      </c>
      <c r="S1376" s="16" t="s">
        <v>3076</v>
      </c>
      <c r="T1376" s="19" t="str">
        <f>MONTH(B1376)&amp;"-"&amp;YEAR(B1376)</f>
        <v>11-2023</v>
      </c>
      <c r="U1376" s="2">
        <f>YEAR(B1376)</f>
        <v>2023</v>
      </c>
      <c r="V1376" s="2" t="str">
        <f>IF(DAY(B1376)&gt;15,MONTH(B1376)&amp;"-C",MONTH(B1376)&amp;"-N")</f>
        <v>11-C</v>
      </c>
      <c r="W1376" s="21">
        <v>11.25</v>
      </c>
      <c r="X1376" s="2" t="b">
        <f t="shared" si="913"/>
        <v>1</v>
      </c>
    </row>
    <row r="1377" spans="2:24" x14ac:dyDescent="0.2">
      <c r="B1377" s="17">
        <v>45252</v>
      </c>
      <c r="C1377" s="10" t="s">
        <v>88</v>
      </c>
      <c r="D1377" s="11">
        <v>170107</v>
      </c>
      <c r="E1377" s="26">
        <v>71380</v>
      </c>
      <c r="F1377" s="10" t="s">
        <v>100</v>
      </c>
      <c r="G1377" s="10" t="s">
        <v>46</v>
      </c>
      <c r="H1377" s="27" t="s">
        <v>101</v>
      </c>
      <c r="I1377" s="28"/>
      <c r="J1377" s="12"/>
      <c r="K1377" s="13">
        <v>2000</v>
      </c>
      <c r="L1377" s="21">
        <v>13.22</v>
      </c>
      <c r="M1377" s="14" t="s">
        <v>14</v>
      </c>
      <c r="N1377" s="13">
        <v>26440</v>
      </c>
      <c r="O1377" s="15">
        <f t="shared" si="912"/>
        <v>0</v>
      </c>
      <c r="P1377" s="10" t="s">
        <v>84</v>
      </c>
      <c r="Q1377" s="11" t="s">
        <v>3074</v>
      </c>
      <c r="R1377" s="11" t="s">
        <v>3075</v>
      </c>
      <c r="S1377" s="16" t="s">
        <v>3076</v>
      </c>
      <c r="T1377" s="19" t="str">
        <f>MONTH(B1377)&amp;"-"&amp;YEAR(B1377)</f>
        <v>11-2023</v>
      </c>
      <c r="U1377" s="2">
        <f>YEAR(B1377)</f>
        <v>2023</v>
      </c>
      <c r="V1377" s="2" t="str">
        <f>IF(DAY(B1377)&gt;15,MONTH(B1377)&amp;"-C",MONTH(B1377)&amp;"-N")</f>
        <v>11-C</v>
      </c>
      <c r="W1377" s="21">
        <v>13.22</v>
      </c>
      <c r="X1377" s="2" t="b">
        <f t="shared" si="913"/>
        <v>1</v>
      </c>
    </row>
    <row r="1378" spans="2:24" x14ac:dyDescent="0.2">
      <c r="B1378" s="17">
        <v>45252</v>
      </c>
      <c r="C1378" s="10" t="s">
        <v>88</v>
      </c>
      <c r="D1378" s="11">
        <v>170407</v>
      </c>
      <c r="E1378" s="26">
        <v>71380</v>
      </c>
      <c r="F1378" s="10" t="s">
        <v>1329</v>
      </c>
      <c r="G1378" s="10" t="s">
        <v>46</v>
      </c>
      <c r="H1378" s="27" t="s">
        <v>1343</v>
      </c>
      <c r="I1378" s="28"/>
      <c r="J1378" s="12"/>
      <c r="K1378" s="13">
        <v>62</v>
      </c>
      <c r="L1378" s="21">
        <v>19.600000000000001</v>
      </c>
      <c r="M1378" s="14" t="s">
        <v>14</v>
      </c>
      <c r="N1378" s="13">
        <v>1215.2</v>
      </c>
      <c r="O1378" s="15">
        <f t="shared" si="912"/>
        <v>0</v>
      </c>
      <c r="P1378" s="10" t="s">
        <v>84</v>
      </c>
      <c r="Q1378" s="11" t="s">
        <v>3074</v>
      </c>
      <c r="R1378" s="11" t="s">
        <v>3075</v>
      </c>
      <c r="S1378" s="16" t="s">
        <v>3076</v>
      </c>
      <c r="T1378" s="19" t="str">
        <f>MONTH(B1378)&amp;"-"&amp;YEAR(B1378)</f>
        <v>11-2023</v>
      </c>
      <c r="U1378" s="2">
        <f>YEAR(B1378)</f>
        <v>2023</v>
      </c>
      <c r="V1378" s="2" t="str">
        <f>IF(DAY(B1378)&gt;15,MONTH(B1378)&amp;"-C",MONTH(B1378)&amp;"-N")</f>
        <v>11-C</v>
      </c>
      <c r="W1378" s="21">
        <v>19.600000000000001</v>
      </c>
      <c r="X1378" s="2" t="b">
        <f t="shared" si="913"/>
        <v>1</v>
      </c>
    </row>
    <row r="1379" spans="2:24" x14ac:dyDescent="0.2">
      <c r="B1379" s="17">
        <v>45252</v>
      </c>
      <c r="C1379" s="10" t="s">
        <v>82</v>
      </c>
      <c r="D1379" s="11">
        <v>170095</v>
      </c>
      <c r="E1379" s="26">
        <v>71381</v>
      </c>
      <c r="F1379" s="10" t="s">
        <v>26</v>
      </c>
      <c r="G1379" s="10" t="s">
        <v>27</v>
      </c>
      <c r="H1379" s="27" t="s">
        <v>28</v>
      </c>
      <c r="I1379" s="28"/>
      <c r="J1379" s="12"/>
      <c r="K1379" s="13">
        <v>900</v>
      </c>
      <c r="L1379" s="21">
        <v>3.9</v>
      </c>
      <c r="M1379" s="14" t="s">
        <v>14</v>
      </c>
      <c r="N1379" s="13">
        <v>3510</v>
      </c>
      <c r="O1379" s="15">
        <f t="shared" si="912"/>
        <v>0</v>
      </c>
      <c r="P1379" s="10" t="s">
        <v>78</v>
      </c>
      <c r="Q1379" s="11" t="s">
        <v>3077</v>
      </c>
      <c r="R1379" s="11" t="s">
        <v>3078</v>
      </c>
      <c r="S1379" s="16" t="s">
        <v>3079</v>
      </c>
      <c r="T1379" s="19" t="str">
        <f>MONTH(B1379)&amp;"-"&amp;YEAR(B1379)</f>
        <v>11-2023</v>
      </c>
      <c r="U1379" s="2">
        <f>YEAR(B1379)</f>
        <v>2023</v>
      </c>
      <c r="V1379" s="2" t="str">
        <f>IF(DAY(B1379)&gt;15,MONTH(B1379)&amp;"-C",MONTH(B1379)&amp;"-N")</f>
        <v>11-C</v>
      </c>
      <c r="W1379" s="21">
        <v>3.9</v>
      </c>
      <c r="X1379" s="2" t="b">
        <f t="shared" si="913"/>
        <v>1</v>
      </c>
    </row>
    <row r="1380" spans="2:24" x14ac:dyDescent="0.2">
      <c r="B1380" s="17">
        <v>45252</v>
      </c>
      <c r="C1380" s="10" t="s">
        <v>48</v>
      </c>
      <c r="D1380" s="11">
        <v>169916</v>
      </c>
      <c r="E1380" s="26">
        <v>71399</v>
      </c>
      <c r="F1380" s="10" t="s">
        <v>135</v>
      </c>
      <c r="G1380" s="10" t="s">
        <v>46</v>
      </c>
      <c r="H1380" s="27" t="s">
        <v>136</v>
      </c>
      <c r="I1380" s="28"/>
      <c r="J1380" s="12"/>
      <c r="K1380" s="13">
        <v>4400</v>
      </c>
      <c r="L1380" s="21">
        <v>10.292999999999999</v>
      </c>
      <c r="M1380" s="14" t="s">
        <v>14</v>
      </c>
      <c r="N1380" s="13">
        <v>45288.32</v>
      </c>
      <c r="O1380" s="15">
        <f t="shared" si="912"/>
        <v>-1.9999999999953388E-4</v>
      </c>
      <c r="P1380" s="10" t="s">
        <v>90</v>
      </c>
      <c r="Q1380" s="11" t="s">
        <v>3080</v>
      </c>
      <c r="R1380" s="11" t="s">
        <v>3081</v>
      </c>
      <c r="S1380" s="16" t="s">
        <v>3082</v>
      </c>
      <c r="T1380" s="19" t="str">
        <f>MONTH(B1380)&amp;"-"&amp;YEAR(B1380)</f>
        <v>11-2023</v>
      </c>
      <c r="U1380" s="2">
        <f>YEAR(B1380)</f>
        <v>2023</v>
      </c>
      <c r="V1380" s="2" t="str">
        <f>IF(DAY(B1380)&gt;15,MONTH(B1380)&amp;"-C",MONTH(B1380)&amp;"-N")</f>
        <v>11-C</v>
      </c>
      <c r="W1380" s="21">
        <v>10.292999999999999</v>
      </c>
      <c r="X1380" s="2" t="b">
        <f t="shared" si="913"/>
        <v>1</v>
      </c>
    </row>
    <row r="1381" spans="2:24" x14ac:dyDescent="0.2">
      <c r="B1381" s="17">
        <v>45252</v>
      </c>
      <c r="C1381" s="10" t="s">
        <v>48</v>
      </c>
      <c r="D1381" s="11">
        <v>169916</v>
      </c>
      <c r="E1381" s="26">
        <v>71399</v>
      </c>
      <c r="F1381" s="10" t="s">
        <v>71</v>
      </c>
      <c r="G1381" s="10" t="s">
        <v>46</v>
      </c>
      <c r="H1381" s="27" t="s">
        <v>72</v>
      </c>
      <c r="I1381" s="28"/>
      <c r="J1381" s="12"/>
      <c r="K1381" s="13">
        <v>11600</v>
      </c>
      <c r="L1381" s="21">
        <v>10.292999999999999</v>
      </c>
      <c r="M1381" s="14" t="s">
        <v>14</v>
      </c>
      <c r="N1381" s="13">
        <v>119396.48</v>
      </c>
      <c r="O1381" s="15">
        <f t="shared" si="912"/>
        <v>-1.9999999999953388E-4</v>
      </c>
      <c r="P1381" s="10" t="s">
        <v>90</v>
      </c>
      <c r="Q1381" s="11" t="s">
        <v>3080</v>
      </c>
      <c r="R1381" s="11" t="s">
        <v>3081</v>
      </c>
      <c r="S1381" s="16" t="s">
        <v>3082</v>
      </c>
      <c r="T1381" s="19" t="str">
        <f>MONTH(B1381)&amp;"-"&amp;YEAR(B1381)</f>
        <v>11-2023</v>
      </c>
      <c r="U1381" s="2">
        <f>YEAR(B1381)</f>
        <v>2023</v>
      </c>
      <c r="V1381" s="2" t="str">
        <f>IF(DAY(B1381)&gt;15,MONTH(B1381)&amp;"-C",MONTH(B1381)&amp;"-N")</f>
        <v>11-C</v>
      </c>
      <c r="W1381" s="21">
        <v>10.292999999999999</v>
      </c>
      <c r="X1381" s="2" t="b">
        <f t="shared" si="913"/>
        <v>1</v>
      </c>
    </row>
    <row r="1382" spans="2:24" x14ac:dyDescent="0.2">
      <c r="B1382" s="17">
        <v>45252</v>
      </c>
      <c r="C1382" s="10" t="s">
        <v>25</v>
      </c>
      <c r="D1382" s="11">
        <v>170101</v>
      </c>
      <c r="E1382" s="26">
        <v>71393</v>
      </c>
      <c r="F1382" s="10" t="s">
        <v>26</v>
      </c>
      <c r="G1382" s="10" t="s">
        <v>27</v>
      </c>
      <c r="H1382" s="27" t="s">
        <v>28</v>
      </c>
      <c r="I1382" s="28"/>
      <c r="J1382" s="12"/>
      <c r="K1382" s="13">
        <v>18000</v>
      </c>
      <c r="L1382" s="21">
        <v>3.9</v>
      </c>
      <c r="M1382" s="14" t="s">
        <v>14</v>
      </c>
      <c r="N1382" s="13">
        <v>70200</v>
      </c>
      <c r="O1382" s="15">
        <f t="shared" si="912"/>
        <v>0</v>
      </c>
      <c r="P1382" s="10" t="s">
        <v>78</v>
      </c>
      <c r="Q1382" s="11" t="s">
        <v>3083</v>
      </c>
      <c r="R1382" s="11" t="s">
        <v>3084</v>
      </c>
      <c r="S1382" s="16" t="s">
        <v>3085</v>
      </c>
      <c r="T1382" s="19" t="str">
        <f>MONTH(B1382)&amp;"-"&amp;YEAR(B1382)</f>
        <v>11-2023</v>
      </c>
      <c r="U1382" s="2">
        <f>YEAR(B1382)</f>
        <v>2023</v>
      </c>
      <c r="V1382" s="2" t="str">
        <f>IF(DAY(B1382)&gt;15,MONTH(B1382)&amp;"-C",MONTH(B1382)&amp;"-N")</f>
        <v>11-C</v>
      </c>
      <c r="W1382" s="21">
        <v>3.9</v>
      </c>
      <c r="X1382" s="2" t="b">
        <f t="shared" si="913"/>
        <v>1</v>
      </c>
    </row>
    <row r="1383" spans="2:24" x14ac:dyDescent="0.2">
      <c r="B1383" s="17">
        <v>45252</v>
      </c>
      <c r="C1383" s="10" t="s">
        <v>2630</v>
      </c>
      <c r="D1383" s="11">
        <v>170404</v>
      </c>
      <c r="E1383" s="26">
        <v>71382</v>
      </c>
      <c r="F1383" s="10" t="s">
        <v>29</v>
      </c>
      <c r="G1383" s="10" t="s">
        <v>27</v>
      </c>
      <c r="H1383" s="27" t="s">
        <v>30</v>
      </c>
      <c r="I1383" s="28"/>
      <c r="J1383" s="12"/>
      <c r="K1383" s="13">
        <v>3960</v>
      </c>
      <c r="L1383" s="21">
        <v>3.7</v>
      </c>
      <c r="M1383" s="14" t="s">
        <v>14</v>
      </c>
      <c r="N1383" s="13">
        <v>14652</v>
      </c>
      <c r="O1383" s="15">
        <f t="shared" ref="O1383" si="914">(N1383/K1383)-L1383</f>
        <v>0</v>
      </c>
      <c r="P1383" s="10" t="s">
        <v>78</v>
      </c>
      <c r="Q1383" s="11" t="s">
        <v>3086</v>
      </c>
      <c r="R1383" s="11" t="s">
        <v>3087</v>
      </c>
      <c r="S1383" s="16" t="s">
        <v>3088</v>
      </c>
      <c r="T1383" s="19" t="str">
        <f>MONTH(B1383)&amp;"-"&amp;YEAR(B1383)</f>
        <v>11-2023</v>
      </c>
      <c r="U1383" s="2">
        <f>YEAR(B1383)</f>
        <v>2023</v>
      </c>
      <c r="V1383" s="2" t="str">
        <f>IF(DAY(B1383)&gt;15,MONTH(B1383)&amp;"-C",MONTH(B1383)&amp;"-N")</f>
        <v>11-C</v>
      </c>
      <c r="W1383" s="21">
        <v>3.7</v>
      </c>
      <c r="X1383" s="2" t="b">
        <f t="shared" ref="X1383" si="915">+L1383=W1383</f>
        <v>1</v>
      </c>
    </row>
    <row r="1384" spans="2:24" x14ac:dyDescent="0.2">
      <c r="B1384" s="17">
        <v>45258</v>
      </c>
      <c r="C1384" s="10" t="s">
        <v>25</v>
      </c>
      <c r="D1384" s="11">
        <v>170101</v>
      </c>
      <c r="E1384" s="26">
        <v>71503</v>
      </c>
      <c r="F1384" s="10" t="s">
        <v>26</v>
      </c>
      <c r="G1384" s="10" t="s">
        <v>27</v>
      </c>
      <c r="H1384" s="27" t="s">
        <v>28</v>
      </c>
      <c r="I1384" s="28"/>
      <c r="J1384" s="12"/>
      <c r="K1384" s="13">
        <v>19800</v>
      </c>
      <c r="L1384" s="21">
        <v>3.9</v>
      </c>
      <c r="M1384" s="14" t="s">
        <v>14</v>
      </c>
      <c r="N1384" s="13">
        <v>77220</v>
      </c>
      <c r="O1384" s="15">
        <f t="shared" ref="O1384" si="916">(N1384/K1384)-L1384</f>
        <v>0</v>
      </c>
      <c r="P1384" s="10" t="s">
        <v>78</v>
      </c>
      <c r="Q1384" s="11" t="s">
        <v>3089</v>
      </c>
      <c r="R1384" s="11" t="s">
        <v>3090</v>
      </c>
      <c r="S1384" s="16" t="s">
        <v>3091</v>
      </c>
      <c r="T1384" s="19" t="str">
        <f>MONTH(B1384)&amp;"-"&amp;YEAR(B1384)</f>
        <v>11-2023</v>
      </c>
      <c r="U1384" s="2">
        <f>YEAR(B1384)</f>
        <v>2023</v>
      </c>
      <c r="V1384" s="2" t="str">
        <f>IF(DAY(B1384)&gt;15,MONTH(B1384)&amp;"-C",MONTH(B1384)&amp;"-N")</f>
        <v>11-C</v>
      </c>
      <c r="W1384" s="21">
        <v>3.9</v>
      </c>
      <c r="X1384" s="2" t="b">
        <f t="shared" ref="X1384" si="917">+L1384=W1384</f>
        <v>1</v>
      </c>
    </row>
    <row r="1385" spans="2:24" x14ac:dyDescent="0.2">
      <c r="B1385" s="17">
        <v>45260</v>
      </c>
      <c r="C1385" s="10" t="s">
        <v>82</v>
      </c>
      <c r="D1385" s="11">
        <v>170504</v>
      </c>
      <c r="E1385" s="26">
        <v>71557</v>
      </c>
      <c r="F1385" s="10" t="s">
        <v>31</v>
      </c>
      <c r="G1385" s="10" t="s">
        <v>27</v>
      </c>
      <c r="H1385" s="27" t="s">
        <v>32</v>
      </c>
      <c r="I1385" s="28"/>
      <c r="J1385" s="12"/>
      <c r="K1385" s="13">
        <v>960</v>
      </c>
      <c r="L1385" s="21">
        <v>4.3</v>
      </c>
      <c r="M1385" s="14" t="s">
        <v>14</v>
      </c>
      <c r="N1385" s="13">
        <v>4128</v>
      </c>
      <c r="O1385" s="15">
        <f t="shared" ref="O1385:O1391" si="918">(N1385/K1385)-L1385</f>
        <v>0</v>
      </c>
      <c r="P1385" s="10" t="s">
        <v>78</v>
      </c>
      <c r="Q1385" s="11" t="s">
        <v>3092</v>
      </c>
      <c r="R1385" s="11" t="s">
        <v>3093</v>
      </c>
      <c r="S1385" s="16" t="s">
        <v>3094</v>
      </c>
      <c r="T1385" s="19" t="str">
        <f>MONTH(B1385)&amp;"-"&amp;YEAR(B1385)</f>
        <v>11-2023</v>
      </c>
      <c r="U1385" s="2">
        <f>YEAR(B1385)</f>
        <v>2023</v>
      </c>
      <c r="V1385" s="2" t="str">
        <f>IF(DAY(B1385)&gt;15,MONTH(B1385)&amp;"-C",MONTH(B1385)&amp;"-N")</f>
        <v>11-C</v>
      </c>
      <c r="W1385" s="21">
        <v>4.3</v>
      </c>
      <c r="X1385" s="2" t="b">
        <f t="shared" ref="X1385:X1391" si="919">+L1385=W1385</f>
        <v>1</v>
      </c>
    </row>
    <row r="1386" spans="2:24" x14ac:dyDescent="0.2">
      <c r="B1386" s="17">
        <v>45260</v>
      </c>
      <c r="C1386" s="10" t="s">
        <v>82</v>
      </c>
      <c r="D1386" s="11">
        <v>170501</v>
      </c>
      <c r="E1386" s="26">
        <v>71558</v>
      </c>
      <c r="F1386" s="10" t="s">
        <v>3054</v>
      </c>
      <c r="G1386" s="10" t="s">
        <v>27</v>
      </c>
      <c r="H1386" s="27" t="s">
        <v>3055</v>
      </c>
      <c r="I1386" s="28"/>
      <c r="J1386" s="12"/>
      <c r="K1386" s="13">
        <v>320</v>
      </c>
      <c r="L1386" s="21">
        <v>4.75</v>
      </c>
      <c r="M1386" s="14" t="s">
        <v>14</v>
      </c>
      <c r="N1386" s="13">
        <v>1520</v>
      </c>
      <c r="O1386" s="15">
        <f t="shared" si="918"/>
        <v>0</v>
      </c>
      <c r="P1386" s="10" t="s">
        <v>78</v>
      </c>
      <c r="Q1386" s="11" t="s">
        <v>3095</v>
      </c>
      <c r="R1386" s="11" t="s">
        <v>3096</v>
      </c>
      <c r="S1386" s="16" t="s">
        <v>3097</v>
      </c>
      <c r="T1386" s="19" t="str">
        <f>MONTH(B1386)&amp;"-"&amp;YEAR(B1386)</f>
        <v>11-2023</v>
      </c>
      <c r="U1386" s="2">
        <f>YEAR(B1386)</f>
        <v>2023</v>
      </c>
      <c r="V1386" s="2" t="str">
        <f>IF(DAY(B1386)&gt;15,MONTH(B1386)&amp;"-C",MONTH(B1386)&amp;"-N")</f>
        <v>11-C</v>
      </c>
      <c r="W1386" s="21">
        <v>4.75</v>
      </c>
      <c r="X1386" s="2" t="b">
        <f t="shared" si="919"/>
        <v>1</v>
      </c>
    </row>
    <row r="1387" spans="2:24" x14ac:dyDescent="0.2">
      <c r="B1387" s="17">
        <v>45261</v>
      </c>
      <c r="C1387" s="10" t="s">
        <v>73</v>
      </c>
      <c r="D1387" s="11" t="s">
        <v>3098</v>
      </c>
      <c r="E1387" s="26">
        <v>71574</v>
      </c>
      <c r="F1387" s="10" t="s">
        <v>399</v>
      </c>
      <c r="G1387" s="10" t="s">
        <v>46</v>
      </c>
      <c r="H1387" s="27" t="s">
        <v>149</v>
      </c>
      <c r="I1387" s="28"/>
      <c r="J1387" s="12"/>
      <c r="K1387" s="13">
        <v>2160</v>
      </c>
      <c r="L1387" s="21">
        <v>16.8</v>
      </c>
      <c r="M1387" s="14" t="s">
        <v>14</v>
      </c>
      <c r="N1387" s="13">
        <v>36288</v>
      </c>
      <c r="O1387" s="15">
        <f t="shared" si="918"/>
        <v>0</v>
      </c>
      <c r="P1387" s="10" t="s">
        <v>84</v>
      </c>
      <c r="Q1387" s="11" t="s">
        <v>3099</v>
      </c>
      <c r="R1387" s="11" t="s">
        <v>3100</v>
      </c>
      <c r="S1387" s="16" t="s">
        <v>3101</v>
      </c>
      <c r="T1387" s="19" t="str">
        <f>MONTH(B1387)&amp;"-"&amp;YEAR(B1387)</f>
        <v>12-2023</v>
      </c>
      <c r="U1387" s="2">
        <f>YEAR(B1387)</f>
        <v>2023</v>
      </c>
      <c r="V1387" s="2" t="str">
        <f>IF(DAY(B1387)&gt;15,MONTH(B1387)&amp;"-C",MONTH(B1387)&amp;"-N")</f>
        <v>12-N</v>
      </c>
      <c r="W1387" s="21">
        <v>16.8</v>
      </c>
      <c r="X1387" s="2" t="b">
        <f t="shared" si="919"/>
        <v>1</v>
      </c>
    </row>
    <row r="1388" spans="2:24" x14ac:dyDescent="0.2">
      <c r="B1388" s="17">
        <v>45261</v>
      </c>
      <c r="C1388" s="10" t="s">
        <v>2630</v>
      </c>
      <c r="D1388" s="11" t="s">
        <v>3127</v>
      </c>
      <c r="E1388" s="26">
        <v>71570</v>
      </c>
      <c r="F1388" s="10" t="s">
        <v>49</v>
      </c>
      <c r="G1388" s="10" t="s">
        <v>27</v>
      </c>
      <c r="H1388" s="27" t="s">
        <v>50</v>
      </c>
      <c r="I1388" s="28"/>
      <c r="J1388" s="12"/>
      <c r="K1388" s="13">
        <v>2280</v>
      </c>
      <c r="L1388" s="21">
        <v>5.0999999999999996</v>
      </c>
      <c r="M1388" s="14" t="s">
        <v>14</v>
      </c>
      <c r="N1388" s="13">
        <v>11628</v>
      </c>
      <c r="O1388" s="15">
        <f t="shared" si="918"/>
        <v>0</v>
      </c>
      <c r="P1388" s="10" t="s">
        <v>78</v>
      </c>
      <c r="Q1388" s="11" t="s">
        <v>3129</v>
      </c>
      <c r="R1388" s="11" t="s">
        <v>3128</v>
      </c>
      <c r="S1388" s="16" t="s">
        <v>3130</v>
      </c>
      <c r="T1388" s="19" t="str">
        <f>MONTH(B1388)&amp;"-"&amp;YEAR(B1388)</f>
        <v>12-2023</v>
      </c>
      <c r="U1388" s="2">
        <f>YEAR(B1388)</f>
        <v>2023</v>
      </c>
      <c r="V1388" s="2" t="str">
        <f>IF(DAY(B1388)&gt;15,MONTH(B1388)&amp;"-C",MONTH(B1388)&amp;"-N")</f>
        <v>12-N</v>
      </c>
      <c r="W1388" s="21">
        <v>5.0999999999999996</v>
      </c>
      <c r="X1388" s="2" t="b">
        <f t="shared" si="919"/>
        <v>1</v>
      </c>
    </row>
    <row r="1389" spans="2:24" x14ac:dyDescent="0.2">
      <c r="B1389" s="17">
        <v>45261</v>
      </c>
      <c r="C1389" s="10" t="s">
        <v>88</v>
      </c>
      <c r="D1389" s="11" t="s">
        <v>3139</v>
      </c>
      <c r="E1389" s="26">
        <v>71569</v>
      </c>
      <c r="F1389" s="10" t="s">
        <v>98</v>
      </c>
      <c r="G1389" s="10" t="s">
        <v>46</v>
      </c>
      <c r="H1389" s="27" t="s">
        <v>99</v>
      </c>
      <c r="I1389" s="28"/>
      <c r="J1389" s="12"/>
      <c r="K1389" s="13">
        <v>40</v>
      </c>
      <c r="L1389" s="21">
        <v>11.25</v>
      </c>
      <c r="M1389" s="14" t="s">
        <v>14</v>
      </c>
      <c r="N1389" s="13">
        <v>450</v>
      </c>
      <c r="O1389" s="15">
        <f t="shared" si="918"/>
        <v>0</v>
      </c>
      <c r="P1389" s="10" t="s">
        <v>84</v>
      </c>
      <c r="Q1389" s="11" t="s">
        <v>3140</v>
      </c>
      <c r="R1389" s="11" t="s">
        <v>3141</v>
      </c>
      <c r="S1389" s="16" t="s">
        <v>3142</v>
      </c>
      <c r="T1389" s="19" t="str">
        <f>MONTH(B1389)&amp;"-"&amp;YEAR(B1389)</f>
        <v>12-2023</v>
      </c>
      <c r="U1389" s="2">
        <f>YEAR(B1389)</f>
        <v>2023</v>
      </c>
      <c r="V1389" s="2" t="str">
        <f>IF(DAY(B1389)&gt;15,MONTH(B1389)&amp;"-C",MONTH(B1389)&amp;"-N")</f>
        <v>12-N</v>
      </c>
      <c r="W1389" s="21">
        <v>11.25</v>
      </c>
      <c r="X1389" s="2" t="b">
        <f t="shared" si="919"/>
        <v>1</v>
      </c>
    </row>
    <row r="1390" spans="2:24" x14ac:dyDescent="0.2">
      <c r="B1390" s="17">
        <v>45261</v>
      </c>
      <c r="C1390" s="10" t="s">
        <v>88</v>
      </c>
      <c r="D1390" s="11" t="s">
        <v>3139</v>
      </c>
      <c r="E1390" s="26">
        <v>71569</v>
      </c>
      <c r="F1390" s="10" t="s">
        <v>100</v>
      </c>
      <c r="G1390" s="10" t="s">
        <v>46</v>
      </c>
      <c r="H1390" s="27" t="s">
        <v>101</v>
      </c>
      <c r="I1390" s="28"/>
      <c r="J1390" s="12"/>
      <c r="K1390" s="13">
        <v>1000</v>
      </c>
      <c r="L1390" s="21">
        <v>13.22</v>
      </c>
      <c r="M1390" s="14" t="s">
        <v>14</v>
      </c>
      <c r="N1390" s="13">
        <v>13220</v>
      </c>
      <c r="O1390" s="15">
        <f t="shared" si="918"/>
        <v>0</v>
      </c>
      <c r="P1390" s="10" t="s">
        <v>84</v>
      </c>
      <c r="Q1390" s="11" t="s">
        <v>3140</v>
      </c>
      <c r="R1390" s="11" t="s">
        <v>3141</v>
      </c>
      <c r="S1390" s="16" t="s">
        <v>3142</v>
      </c>
      <c r="T1390" s="19" t="str">
        <f>MONTH(B1390)&amp;"-"&amp;YEAR(B1390)</f>
        <v>12-2023</v>
      </c>
      <c r="U1390" s="2">
        <f>YEAR(B1390)</f>
        <v>2023</v>
      </c>
      <c r="V1390" s="2" t="str">
        <f>IF(DAY(B1390)&gt;15,MONTH(B1390)&amp;"-C",MONTH(B1390)&amp;"-N")</f>
        <v>12-N</v>
      </c>
      <c r="W1390" s="21">
        <v>13.22</v>
      </c>
      <c r="X1390" s="2" t="b">
        <f t="shared" si="919"/>
        <v>1</v>
      </c>
    </row>
    <row r="1391" spans="2:24" x14ac:dyDescent="0.2">
      <c r="B1391" s="17">
        <v>45261</v>
      </c>
      <c r="C1391" s="10" t="s">
        <v>88</v>
      </c>
      <c r="D1391" s="11" t="s">
        <v>3143</v>
      </c>
      <c r="E1391" s="26">
        <v>71569</v>
      </c>
      <c r="F1391" s="10" t="s">
        <v>100</v>
      </c>
      <c r="G1391" s="10" t="s">
        <v>46</v>
      </c>
      <c r="H1391" s="27" t="s">
        <v>101</v>
      </c>
      <c r="I1391" s="28"/>
      <c r="J1391" s="12"/>
      <c r="K1391" s="13">
        <v>1000</v>
      </c>
      <c r="L1391" s="21">
        <v>13.22</v>
      </c>
      <c r="M1391" s="14" t="s">
        <v>14</v>
      </c>
      <c r="N1391" s="13">
        <v>13220</v>
      </c>
      <c r="O1391" s="15">
        <f t="shared" si="918"/>
        <v>0</v>
      </c>
      <c r="P1391" s="10" t="s">
        <v>84</v>
      </c>
      <c r="Q1391" s="11" t="s">
        <v>3140</v>
      </c>
      <c r="R1391" s="11" t="s">
        <v>3141</v>
      </c>
      <c r="S1391" s="16" t="s">
        <v>3142</v>
      </c>
      <c r="T1391" s="19" t="str">
        <f>MONTH(B1391)&amp;"-"&amp;YEAR(B1391)</f>
        <v>12-2023</v>
      </c>
      <c r="U1391" s="2">
        <f>YEAR(B1391)</f>
        <v>2023</v>
      </c>
      <c r="V1391" s="2" t="str">
        <f>IF(DAY(B1391)&gt;15,MONTH(B1391)&amp;"-C",MONTH(B1391)&amp;"-N")</f>
        <v>12-N</v>
      </c>
      <c r="W1391" s="21">
        <v>13.22</v>
      </c>
      <c r="X1391" s="2" t="b">
        <f t="shared" si="919"/>
        <v>1</v>
      </c>
    </row>
    <row r="1392" spans="2:24" x14ac:dyDescent="0.2">
      <c r="B1392" s="17">
        <v>45265</v>
      </c>
      <c r="C1392" s="10" t="s">
        <v>82</v>
      </c>
      <c r="D1392" s="11" t="s">
        <v>3113</v>
      </c>
      <c r="E1392" s="26">
        <v>71624</v>
      </c>
      <c r="F1392" s="10" t="s">
        <v>26</v>
      </c>
      <c r="G1392" s="10" t="s">
        <v>27</v>
      </c>
      <c r="H1392" s="27" t="s">
        <v>28</v>
      </c>
      <c r="I1392" s="28"/>
      <c r="J1392" s="12"/>
      <c r="K1392" s="13">
        <v>9000</v>
      </c>
      <c r="L1392" s="21">
        <v>3.9</v>
      </c>
      <c r="M1392" s="14" t="s">
        <v>14</v>
      </c>
      <c r="N1392" s="13">
        <v>35100</v>
      </c>
      <c r="O1392" s="15">
        <f t="shared" ref="O1392:O1394" si="920">(N1392/K1392)-L1392</f>
        <v>0</v>
      </c>
      <c r="P1392" s="10" t="s">
        <v>78</v>
      </c>
      <c r="Q1392" s="11" t="s">
        <v>3120</v>
      </c>
      <c r="R1392" s="11" t="s">
        <v>3121</v>
      </c>
      <c r="S1392" s="16" t="s">
        <v>3122</v>
      </c>
      <c r="T1392" s="19" t="str">
        <f>MONTH(B1392)&amp;"-"&amp;YEAR(B1392)</f>
        <v>12-2023</v>
      </c>
      <c r="U1392" s="2">
        <f>YEAR(B1392)</f>
        <v>2023</v>
      </c>
      <c r="V1392" s="2" t="str">
        <f>IF(DAY(B1392)&gt;15,MONTH(B1392)&amp;"-C",MONTH(B1392)&amp;"-N")</f>
        <v>12-N</v>
      </c>
      <c r="W1392" s="21">
        <v>3.9</v>
      </c>
      <c r="X1392" s="2" t="b">
        <f t="shared" ref="X1392:X1394" si="921">+L1392=W1392</f>
        <v>1</v>
      </c>
    </row>
    <row r="1393" spans="2:24" x14ac:dyDescent="0.2">
      <c r="B1393" s="17">
        <v>45267</v>
      </c>
      <c r="C1393" s="10" t="s">
        <v>82</v>
      </c>
      <c r="D1393" s="11" t="s">
        <v>3113</v>
      </c>
      <c r="E1393" s="26">
        <v>71648</v>
      </c>
      <c r="F1393" s="10" t="s">
        <v>26</v>
      </c>
      <c r="G1393" s="10" t="s">
        <v>27</v>
      </c>
      <c r="H1393" s="27" t="s">
        <v>28</v>
      </c>
      <c r="I1393" s="28"/>
      <c r="J1393" s="12"/>
      <c r="K1393" s="13">
        <v>3600</v>
      </c>
      <c r="L1393" s="21">
        <v>3.9</v>
      </c>
      <c r="M1393" s="14" t="s">
        <v>14</v>
      </c>
      <c r="N1393" s="13">
        <v>14040</v>
      </c>
      <c r="O1393" s="15">
        <f t="shared" si="920"/>
        <v>0</v>
      </c>
      <c r="P1393" s="10" t="s">
        <v>78</v>
      </c>
      <c r="Q1393" s="11" t="s">
        <v>3123</v>
      </c>
      <c r="R1393" s="11" t="s">
        <v>3124</v>
      </c>
      <c r="S1393" s="16" t="s">
        <v>3125</v>
      </c>
      <c r="T1393" s="19" t="str">
        <f>MONTH(B1393)&amp;"-"&amp;YEAR(B1393)</f>
        <v>12-2023</v>
      </c>
      <c r="U1393" s="2">
        <f>YEAR(B1393)</f>
        <v>2023</v>
      </c>
      <c r="V1393" s="2" t="str">
        <f>IF(DAY(B1393)&gt;15,MONTH(B1393)&amp;"-C",MONTH(B1393)&amp;"-N")</f>
        <v>12-N</v>
      </c>
      <c r="W1393" s="21">
        <v>3.9</v>
      </c>
      <c r="X1393" s="2" t="b">
        <f t="shared" si="921"/>
        <v>1</v>
      </c>
    </row>
    <row r="1394" spans="2:24" x14ac:dyDescent="0.2">
      <c r="B1394" s="17">
        <v>45267</v>
      </c>
      <c r="C1394" s="10" t="s">
        <v>82</v>
      </c>
      <c r="D1394" s="11" t="s">
        <v>3126</v>
      </c>
      <c r="E1394" s="26">
        <v>71648</v>
      </c>
      <c r="F1394" s="10" t="s">
        <v>3054</v>
      </c>
      <c r="G1394" s="10" t="s">
        <v>27</v>
      </c>
      <c r="H1394" s="27" t="s">
        <v>3055</v>
      </c>
      <c r="I1394" s="28"/>
      <c r="J1394" s="12"/>
      <c r="K1394" s="13">
        <v>640</v>
      </c>
      <c r="L1394" s="21">
        <v>4.75</v>
      </c>
      <c r="M1394" s="14" t="s">
        <v>14</v>
      </c>
      <c r="N1394" s="13">
        <v>3040</v>
      </c>
      <c r="O1394" s="15">
        <f t="shared" si="920"/>
        <v>0</v>
      </c>
      <c r="P1394" s="10" t="s">
        <v>78</v>
      </c>
      <c r="Q1394" s="11" t="s">
        <v>3123</v>
      </c>
      <c r="R1394" s="11" t="s">
        <v>3124</v>
      </c>
      <c r="S1394" s="16" t="s">
        <v>3125</v>
      </c>
      <c r="T1394" s="19" t="str">
        <f>MONTH(B1394)&amp;"-"&amp;YEAR(B1394)</f>
        <v>12-2023</v>
      </c>
      <c r="U1394" s="2">
        <f>YEAR(B1394)</f>
        <v>2023</v>
      </c>
      <c r="V1394" s="2" t="str">
        <f>IF(DAY(B1394)&gt;15,MONTH(B1394)&amp;"-C",MONTH(B1394)&amp;"-N")</f>
        <v>12-N</v>
      </c>
      <c r="W1394" s="21">
        <v>4.75</v>
      </c>
      <c r="X1394" s="2" t="b">
        <f t="shared" si="921"/>
        <v>1</v>
      </c>
    </row>
    <row r="1395" spans="2:24" x14ac:dyDescent="0.2">
      <c r="B1395" s="17">
        <v>45267</v>
      </c>
      <c r="C1395" s="10" t="s">
        <v>107</v>
      </c>
      <c r="D1395" s="11" t="s">
        <v>3154</v>
      </c>
      <c r="E1395" s="26">
        <v>71725</v>
      </c>
      <c r="F1395" s="10" t="s">
        <v>103</v>
      </c>
      <c r="G1395" s="10" t="s">
        <v>46</v>
      </c>
      <c r="H1395" s="27" t="s">
        <v>104</v>
      </c>
      <c r="I1395" s="28"/>
      <c r="J1395" s="12"/>
      <c r="K1395" s="13">
        <v>170</v>
      </c>
      <c r="L1395" s="21">
        <v>47.46</v>
      </c>
      <c r="M1395" s="14" t="s">
        <v>14</v>
      </c>
      <c r="N1395" s="13">
        <v>8068.2</v>
      </c>
      <c r="O1395" s="15">
        <f t="shared" ref="O1395:O1400" si="922">(N1395/K1395)-L1395</f>
        <v>0</v>
      </c>
      <c r="P1395" s="10" t="s">
        <v>84</v>
      </c>
      <c r="Q1395" s="11" t="s">
        <v>3155</v>
      </c>
      <c r="R1395" s="11" t="s">
        <v>3156</v>
      </c>
      <c r="S1395" s="16" t="s">
        <v>3157</v>
      </c>
      <c r="T1395" s="19" t="str">
        <f>MONTH(B1395)&amp;"-"&amp;YEAR(B1395)</f>
        <v>12-2023</v>
      </c>
      <c r="U1395" s="2">
        <f>YEAR(B1395)</f>
        <v>2023</v>
      </c>
      <c r="V1395" s="2" t="str">
        <f>IF(DAY(B1395)&gt;15,MONTH(B1395)&amp;"-C",MONTH(B1395)&amp;"-N")</f>
        <v>12-N</v>
      </c>
      <c r="W1395" s="21">
        <v>47.46</v>
      </c>
      <c r="X1395" s="2" t="b">
        <f t="shared" ref="X1395:X1400" si="923">+L1395=W1395</f>
        <v>1</v>
      </c>
    </row>
    <row r="1396" spans="2:24" x14ac:dyDescent="0.2">
      <c r="B1396" s="17">
        <v>45267</v>
      </c>
      <c r="C1396" s="10" t="s">
        <v>107</v>
      </c>
      <c r="D1396" s="11" t="s">
        <v>3154</v>
      </c>
      <c r="E1396" s="26">
        <v>71725</v>
      </c>
      <c r="F1396" s="10" t="s">
        <v>105</v>
      </c>
      <c r="G1396" s="10" t="s">
        <v>46</v>
      </c>
      <c r="H1396" s="27" t="s">
        <v>106</v>
      </c>
      <c r="I1396" s="28"/>
      <c r="J1396" s="12"/>
      <c r="K1396" s="13">
        <v>5280</v>
      </c>
      <c r="L1396" s="21">
        <v>11.72</v>
      </c>
      <c r="M1396" s="14" t="s">
        <v>14</v>
      </c>
      <c r="N1396" s="13">
        <v>61881.599999999999</v>
      </c>
      <c r="O1396" s="15">
        <f t="shared" si="922"/>
        <v>0</v>
      </c>
      <c r="P1396" s="10" t="s">
        <v>84</v>
      </c>
      <c r="Q1396" s="11" t="s">
        <v>3155</v>
      </c>
      <c r="R1396" s="11" t="s">
        <v>3156</v>
      </c>
      <c r="S1396" s="16" t="s">
        <v>3157</v>
      </c>
      <c r="T1396" s="19" t="str">
        <f>MONTH(B1396)&amp;"-"&amp;YEAR(B1396)</f>
        <v>12-2023</v>
      </c>
      <c r="U1396" s="2">
        <f>YEAR(B1396)</f>
        <v>2023</v>
      </c>
      <c r="V1396" s="2" t="str">
        <f>IF(DAY(B1396)&gt;15,MONTH(B1396)&amp;"-C",MONTH(B1396)&amp;"-N")</f>
        <v>12-N</v>
      </c>
      <c r="W1396" s="21">
        <v>11.72</v>
      </c>
      <c r="X1396" s="2" t="b">
        <f t="shared" si="923"/>
        <v>1</v>
      </c>
    </row>
    <row r="1397" spans="2:24" x14ac:dyDescent="0.2">
      <c r="B1397" s="17">
        <v>45269</v>
      </c>
      <c r="C1397" s="10" t="s">
        <v>82</v>
      </c>
      <c r="D1397" s="11" t="s">
        <v>3113</v>
      </c>
      <c r="E1397" s="26">
        <v>71666</v>
      </c>
      <c r="F1397" s="10" t="s">
        <v>26</v>
      </c>
      <c r="G1397" s="10" t="s">
        <v>27</v>
      </c>
      <c r="H1397" s="27" t="s">
        <v>28</v>
      </c>
      <c r="I1397" s="28"/>
      <c r="J1397" s="12"/>
      <c r="K1397" s="13">
        <v>4500</v>
      </c>
      <c r="L1397" s="21">
        <v>3.9</v>
      </c>
      <c r="M1397" s="14" t="s">
        <v>14</v>
      </c>
      <c r="N1397" s="13">
        <v>17550</v>
      </c>
      <c r="O1397" s="15">
        <f t="shared" si="922"/>
        <v>0</v>
      </c>
      <c r="P1397" s="10" t="s">
        <v>78</v>
      </c>
      <c r="Q1397" s="11" t="s">
        <v>3114</v>
      </c>
      <c r="R1397" s="11" t="s">
        <v>3115</v>
      </c>
      <c r="S1397" s="16" t="s">
        <v>3116</v>
      </c>
      <c r="T1397" s="19" t="str">
        <f>MONTH(B1397)&amp;"-"&amp;YEAR(B1397)</f>
        <v>12-2023</v>
      </c>
      <c r="U1397" s="2">
        <f>YEAR(B1397)</f>
        <v>2023</v>
      </c>
      <c r="V1397" s="2" t="str">
        <f>IF(DAY(B1397)&gt;15,MONTH(B1397)&amp;"-C",MONTH(B1397)&amp;"-N")</f>
        <v>12-N</v>
      </c>
      <c r="W1397" s="21">
        <v>3.9</v>
      </c>
      <c r="X1397" s="2" t="b">
        <f t="shared" si="923"/>
        <v>1</v>
      </c>
    </row>
    <row r="1398" spans="2:24" x14ac:dyDescent="0.2">
      <c r="B1398" s="17">
        <v>45271</v>
      </c>
      <c r="C1398" s="10" t="s">
        <v>74</v>
      </c>
      <c r="D1398" s="11" t="s">
        <v>3105</v>
      </c>
      <c r="E1398" s="26">
        <v>71699</v>
      </c>
      <c r="F1398" s="10" t="s">
        <v>127</v>
      </c>
      <c r="G1398" s="10" t="s">
        <v>46</v>
      </c>
      <c r="H1398" s="27" t="s">
        <v>128</v>
      </c>
      <c r="I1398" s="28"/>
      <c r="J1398" s="12"/>
      <c r="K1398" s="13">
        <v>1472</v>
      </c>
      <c r="L1398" s="21">
        <v>11.21</v>
      </c>
      <c r="M1398" s="14" t="s">
        <v>14</v>
      </c>
      <c r="N1398" s="13">
        <v>16501.12</v>
      </c>
      <c r="O1398" s="15">
        <f t="shared" si="922"/>
        <v>0</v>
      </c>
      <c r="P1398" s="10" t="s">
        <v>84</v>
      </c>
      <c r="Q1398" s="11" t="s">
        <v>3106</v>
      </c>
      <c r="R1398" s="11" t="s">
        <v>3107</v>
      </c>
      <c r="S1398" s="16" t="s">
        <v>3108</v>
      </c>
      <c r="T1398" s="19" t="str">
        <f>MONTH(B1398)&amp;"-"&amp;YEAR(B1398)</f>
        <v>12-2023</v>
      </c>
      <c r="U1398" s="2">
        <f>YEAR(B1398)</f>
        <v>2023</v>
      </c>
      <c r="V1398" s="2" t="str">
        <f>IF(DAY(B1398)&gt;15,MONTH(B1398)&amp;"-C",MONTH(B1398)&amp;"-N")</f>
        <v>12-N</v>
      </c>
      <c r="W1398" s="21">
        <v>11.21</v>
      </c>
      <c r="X1398" s="2" t="b">
        <f t="shared" si="923"/>
        <v>1</v>
      </c>
    </row>
    <row r="1399" spans="2:24" x14ac:dyDescent="0.2">
      <c r="B1399" s="17">
        <v>45271</v>
      </c>
      <c r="C1399" s="10" t="s">
        <v>74</v>
      </c>
      <c r="D1399" s="11" t="s">
        <v>3105</v>
      </c>
      <c r="E1399" s="26">
        <v>71699</v>
      </c>
      <c r="F1399" s="10" t="s">
        <v>2331</v>
      </c>
      <c r="G1399" s="10" t="s">
        <v>46</v>
      </c>
      <c r="H1399" s="27" t="s">
        <v>2332</v>
      </c>
      <c r="I1399" s="28"/>
      <c r="J1399" s="12"/>
      <c r="K1399" s="13">
        <v>3450</v>
      </c>
      <c r="L1399" s="21">
        <v>12.79</v>
      </c>
      <c r="M1399" s="14" t="s">
        <v>14</v>
      </c>
      <c r="N1399" s="13">
        <v>44125.5</v>
      </c>
      <c r="O1399" s="15">
        <f t="shared" si="922"/>
        <v>0</v>
      </c>
      <c r="P1399" s="10" t="s">
        <v>84</v>
      </c>
      <c r="Q1399" s="11" t="s">
        <v>3106</v>
      </c>
      <c r="R1399" s="11" t="s">
        <v>3107</v>
      </c>
      <c r="S1399" s="16" t="s">
        <v>3108</v>
      </c>
      <c r="T1399" s="19" t="str">
        <f>MONTH(B1399)&amp;"-"&amp;YEAR(B1399)</f>
        <v>12-2023</v>
      </c>
      <c r="U1399" s="2">
        <f>YEAR(B1399)</f>
        <v>2023</v>
      </c>
      <c r="V1399" s="2" t="str">
        <f>IF(DAY(B1399)&gt;15,MONTH(B1399)&amp;"-C",MONTH(B1399)&amp;"-N")</f>
        <v>12-N</v>
      </c>
      <c r="W1399" s="21">
        <v>12.79</v>
      </c>
      <c r="X1399" s="2" t="b">
        <f t="shared" si="923"/>
        <v>1</v>
      </c>
    </row>
    <row r="1400" spans="2:24" x14ac:dyDescent="0.2">
      <c r="B1400" s="17">
        <v>45271</v>
      </c>
      <c r="C1400" s="10" t="s">
        <v>82</v>
      </c>
      <c r="D1400" s="11" t="s">
        <v>3113</v>
      </c>
      <c r="E1400" s="26">
        <v>71700</v>
      </c>
      <c r="F1400" s="10" t="s">
        <v>26</v>
      </c>
      <c r="G1400" s="10" t="s">
        <v>27</v>
      </c>
      <c r="H1400" s="27" t="s">
        <v>28</v>
      </c>
      <c r="I1400" s="28"/>
      <c r="J1400" s="12"/>
      <c r="K1400" s="13">
        <v>3300</v>
      </c>
      <c r="L1400" s="21">
        <v>3.9</v>
      </c>
      <c r="M1400" s="14" t="s">
        <v>14</v>
      </c>
      <c r="N1400" s="13">
        <v>12870</v>
      </c>
      <c r="O1400" s="15">
        <f t="shared" si="922"/>
        <v>0</v>
      </c>
      <c r="P1400" s="10" t="s">
        <v>78</v>
      </c>
      <c r="Q1400" s="11" t="s">
        <v>3117</v>
      </c>
      <c r="R1400" s="11" t="s">
        <v>3118</v>
      </c>
      <c r="S1400" s="16" t="s">
        <v>3119</v>
      </c>
      <c r="T1400" s="19" t="str">
        <f>MONTH(B1400)&amp;"-"&amp;YEAR(B1400)</f>
        <v>12-2023</v>
      </c>
      <c r="U1400" s="2">
        <f>YEAR(B1400)</f>
        <v>2023</v>
      </c>
      <c r="V1400" s="2" t="str">
        <f>IF(DAY(B1400)&gt;15,MONTH(B1400)&amp;"-C",MONTH(B1400)&amp;"-N")</f>
        <v>12-N</v>
      </c>
      <c r="W1400" s="21">
        <v>3.9</v>
      </c>
      <c r="X1400" s="2" t="b">
        <f t="shared" si="923"/>
        <v>1</v>
      </c>
    </row>
    <row r="1401" spans="2:24" x14ac:dyDescent="0.2">
      <c r="B1401" s="17">
        <v>45272</v>
      </c>
      <c r="C1401" s="10" t="s">
        <v>94</v>
      </c>
      <c r="D1401" s="11" t="s">
        <v>3144</v>
      </c>
      <c r="E1401" s="26">
        <v>71715</v>
      </c>
      <c r="F1401" s="10" t="s">
        <v>26</v>
      </c>
      <c r="G1401" s="10" t="s">
        <v>27</v>
      </c>
      <c r="H1401" s="27" t="s">
        <v>28</v>
      </c>
      <c r="I1401" s="28"/>
      <c r="J1401" s="12"/>
      <c r="K1401" s="13">
        <v>18000</v>
      </c>
      <c r="L1401" s="21">
        <v>3.5</v>
      </c>
      <c r="M1401" s="14" t="s">
        <v>14</v>
      </c>
      <c r="N1401" s="13">
        <v>63000</v>
      </c>
      <c r="O1401" s="15">
        <f t="shared" ref="O1401:O1404" si="924">(N1401/K1401)-L1401</f>
        <v>0</v>
      </c>
      <c r="P1401" s="10" t="s">
        <v>78</v>
      </c>
      <c r="Q1401" s="11" t="s">
        <v>3145</v>
      </c>
      <c r="R1401" s="11" t="s">
        <v>3146</v>
      </c>
      <c r="S1401" s="16" t="s">
        <v>3147</v>
      </c>
      <c r="T1401" s="19" t="str">
        <f>MONTH(B1401)&amp;"-"&amp;YEAR(B1401)</f>
        <v>12-2023</v>
      </c>
      <c r="U1401" s="2">
        <f>YEAR(B1401)</f>
        <v>2023</v>
      </c>
      <c r="V1401" s="2" t="str">
        <f>IF(DAY(B1401)&gt;15,MONTH(B1401)&amp;"-C",MONTH(B1401)&amp;"-N")</f>
        <v>12-N</v>
      </c>
      <c r="W1401" s="21">
        <v>3.5</v>
      </c>
      <c r="X1401" s="2" t="b">
        <f t="shared" ref="X1401:X1404" si="925">+L1401=W1401</f>
        <v>1</v>
      </c>
    </row>
    <row r="1402" spans="2:24" x14ac:dyDescent="0.2">
      <c r="B1402" s="17">
        <v>45273</v>
      </c>
      <c r="C1402" s="10" t="s">
        <v>25</v>
      </c>
      <c r="D1402" s="11" t="s">
        <v>3135</v>
      </c>
      <c r="E1402" s="26">
        <v>71734</v>
      </c>
      <c r="F1402" s="10" t="s">
        <v>26</v>
      </c>
      <c r="G1402" s="10" t="s">
        <v>27</v>
      </c>
      <c r="H1402" s="27" t="s">
        <v>28</v>
      </c>
      <c r="I1402" s="28"/>
      <c r="J1402" s="12"/>
      <c r="K1402" s="13">
        <v>4500</v>
      </c>
      <c r="L1402" s="21">
        <v>3.9</v>
      </c>
      <c r="M1402" s="14" t="s">
        <v>14</v>
      </c>
      <c r="N1402" s="13">
        <v>17550</v>
      </c>
      <c r="O1402" s="15">
        <f t="shared" si="924"/>
        <v>0</v>
      </c>
      <c r="P1402" s="10" t="s">
        <v>78</v>
      </c>
      <c r="Q1402" s="11" t="s">
        <v>3136</v>
      </c>
      <c r="R1402" s="11" t="s">
        <v>3137</v>
      </c>
      <c r="S1402" s="16" t="s">
        <v>3138</v>
      </c>
      <c r="T1402" s="19" t="str">
        <f>MONTH(B1402)&amp;"-"&amp;YEAR(B1402)</f>
        <v>12-2023</v>
      </c>
      <c r="U1402" s="2">
        <f>YEAR(B1402)</f>
        <v>2023</v>
      </c>
      <c r="V1402" s="2" t="str">
        <f>IF(DAY(B1402)&gt;15,MONTH(B1402)&amp;"-C",MONTH(B1402)&amp;"-N")</f>
        <v>12-N</v>
      </c>
      <c r="W1402" s="21">
        <v>3.9</v>
      </c>
      <c r="X1402" s="2" t="b">
        <f t="shared" si="925"/>
        <v>1</v>
      </c>
    </row>
    <row r="1403" spans="2:24" x14ac:dyDescent="0.2">
      <c r="B1403" s="17">
        <v>45274</v>
      </c>
      <c r="C1403" s="10" t="s">
        <v>82</v>
      </c>
      <c r="D1403" s="11" t="s">
        <v>3109</v>
      </c>
      <c r="E1403" s="26">
        <v>71773</v>
      </c>
      <c r="F1403" s="10" t="s">
        <v>3054</v>
      </c>
      <c r="G1403" s="10" t="s">
        <v>27</v>
      </c>
      <c r="H1403" s="27" t="s">
        <v>3055</v>
      </c>
      <c r="I1403" s="28"/>
      <c r="J1403" s="12"/>
      <c r="K1403" s="13">
        <v>640</v>
      </c>
      <c r="L1403" s="21">
        <v>4.75</v>
      </c>
      <c r="M1403" s="14" t="s">
        <v>14</v>
      </c>
      <c r="N1403" s="13">
        <v>3040</v>
      </c>
      <c r="O1403" s="15">
        <f t="shared" si="924"/>
        <v>0</v>
      </c>
      <c r="P1403" s="10" t="s">
        <v>78</v>
      </c>
      <c r="Q1403" s="11" t="s">
        <v>3110</v>
      </c>
      <c r="R1403" s="11" t="s">
        <v>3111</v>
      </c>
      <c r="S1403" s="16" t="s">
        <v>3112</v>
      </c>
      <c r="T1403" s="19" t="str">
        <f>MONTH(B1403)&amp;"-"&amp;YEAR(B1403)</f>
        <v>12-2023</v>
      </c>
      <c r="U1403" s="2">
        <f>YEAR(B1403)</f>
        <v>2023</v>
      </c>
      <c r="V1403" s="2" t="str">
        <f>IF(DAY(B1403)&gt;15,MONTH(B1403)&amp;"-C",MONTH(B1403)&amp;"-N")</f>
        <v>12-N</v>
      </c>
      <c r="W1403" s="21">
        <v>4.75</v>
      </c>
      <c r="X1403" s="2" t="b">
        <f t="shared" si="925"/>
        <v>1</v>
      </c>
    </row>
    <row r="1404" spans="2:24" x14ac:dyDescent="0.2">
      <c r="B1404" s="17">
        <v>45274</v>
      </c>
      <c r="C1404" s="10" t="s">
        <v>82</v>
      </c>
      <c r="D1404" s="11" t="s">
        <v>3109</v>
      </c>
      <c r="E1404" s="26">
        <v>71773</v>
      </c>
      <c r="F1404" s="10" t="s">
        <v>33</v>
      </c>
      <c r="G1404" s="10" t="s">
        <v>27</v>
      </c>
      <c r="H1404" s="27" t="s">
        <v>34</v>
      </c>
      <c r="I1404" s="28"/>
      <c r="J1404" s="12"/>
      <c r="K1404" s="13">
        <v>720</v>
      </c>
      <c r="L1404" s="21">
        <v>5.75</v>
      </c>
      <c r="M1404" s="14" t="s">
        <v>14</v>
      </c>
      <c r="N1404" s="13">
        <v>4140</v>
      </c>
      <c r="O1404" s="15">
        <f t="shared" si="924"/>
        <v>0</v>
      </c>
      <c r="P1404" s="10" t="s">
        <v>78</v>
      </c>
      <c r="Q1404" s="11" t="s">
        <v>3110</v>
      </c>
      <c r="R1404" s="11" t="s">
        <v>3111</v>
      </c>
      <c r="S1404" s="16" t="s">
        <v>3112</v>
      </c>
      <c r="T1404" s="19" t="str">
        <f>MONTH(B1404)&amp;"-"&amp;YEAR(B1404)</f>
        <v>12-2023</v>
      </c>
      <c r="U1404" s="2">
        <f>YEAR(B1404)</f>
        <v>2023</v>
      </c>
      <c r="V1404" s="2" t="str">
        <f>IF(DAY(B1404)&gt;15,MONTH(B1404)&amp;"-C",MONTH(B1404)&amp;"-N")</f>
        <v>12-N</v>
      </c>
      <c r="W1404" s="21">
        <v>5.75</v>
      </c>
      <c r="X1404" s="2" t="b">
        <f t="shared" si="925"/>
        <v>1</v>
      </c>
    </row>
    <row r="1405" spans="2:24" x14ac:dyDescent="0.2">
      <c r="B1405" s="17">
        <v>45279</v>
      </c>
      <c r="C1405" s="10" t="s">
        <v>94</v>
      </c>
      <c r="D1405" s="11" t="s">
        <v>3144</v>
      </c>
      <c r="E1405" s="26">
        <v>71835</v>
      </c>
      <c r="F1405" s="10" t="s">
        <v>26</v>
      </c>
      <c r="G1405" s="10" t="s">
        <v>27</v>
      </c>
      <c r="H1405" s="27" t="s">
        <v>28</v>
      </c>
      <c r="I1405" s="28"/>
      <c r="J1405" s="12"/>
      <c r="K1405" s="13">
        <v>2700</v>
      </c>
      <c r="L1405" s="21">
        <v>3.5</v>
      </c>
      <c r="M1405" s="14" t="s">
        <v>14</v>
      </c>
      <c r="N1405" s="13">
        <v>9450</v>
      </c>
      <c r="O1405" s="15">
        <f t="shared" ref="O1405:O1408" si="926">(N1405/K1405)-L1405</f>
        <v>0</v>
      </c>
      <c r="P1405" s="10" t="s">
        <v>78</v>
      </c>
      <c r="Q1405" s="11" t="s">
        <v>3151</v>
      </c>
      <c r="R1405" s="11" t="s">
        <v>3152</v>
      </c>
      <c r="S1405" s="16" t="s">
        <v>3153</v>
      </c>
      <c r="T1405" s="19" t="str">
        <f>MONTH(B1405)&amp;"-"&amp;YEAR(B1405)</f>
        <v>12-2023</v>
      </c>
      <c r="U1405" s="2">
        <f>YEAR(B1405)</f>
        <v>2023</v>
      </c>
      <c r="V1405" s="2" t="str">
        <f>IF(DAY(B1405)&gt;15,MONTH(B1405)&amp;"-C",MONTH(B1405)&amp;"-N")</f>
        <v>12-C</v>
      </c>
      <c r="W1405" s="21">
        <v>3.5</v>
      </c>
      <c r="X1405" s="2" t="b">
        <f t="shared" ref="X1405:X1408" si="927">+L1405=W1405</f>
        <v>1</v>
      </c>
    </row>
    <row r="1406" spans="2:24" x14ac:dyDescent="0.2">
      <c r="B1406" s="17">
        <v>45280</v>
      </c>
      <c r="C1406" s="10" t="s">
        <v>73</v>
      </c>
      <c r="D1406" s="11" t="s">
        <v>3098</v>
      </c>
      <c r="E1406" s="26">
        <v>71843</v>
      </c>
      <c r="F1406" s="10" t="s">
        <v>399</v>
      </c>
      <c r="G1406" s="10" t="s">
        <v>46</v>
      </c>
      <c r="H1406" s="27" t="s">
        <v>149</v>
      </c>
      <c r="I1406" s="28"/>
      <c r="J1406" s="12"/>
      <c r="K1406" s="13">
        <v>2160</v>
      </c>
      <c r="L1406" s="21">
        <v>16.8</v>
      </c>
      <c r="M1406" s="14" t="s">
        <v>14</v>
      </c>
      <c r="N1406" s="13">
        <v>36288</v>
      </c>
      <c r="O1406" s="15">
        <f t="shared" si="926"/>
        <v>0</v>
      </c>
      <c r="P1406" s="10" t="s">
        <v>84</v>
      </c>
      <c r="Q1406" s="11" t="s">
        <v>3102</v>
      </c>
      <c r="R1406" s="11" t="s">
        <v>3103</v>
      </c>
      <c r="S1406" s="16" t="s">
        <v>3104</v>
      </c>
      <c r="T1406" s="19" t="str">
        <f>MONTH(B1406)&amp;"-"&amp;YEAR(B1406)</f>
        <v>12-2023</v>
      </c>
      <c r="U1406" s="2">
        <f>YEAR(B1406)</f>
        <v>2023</v>
      </c>
      <c r="V1406" s="2" t="str">
        <f>IF(DAY(B1406)&gt;15,MONTH(B1406)&amp;"-C",MONTH(B1406)&amp;"-N")</f>
        <v>12-C</v>
      </c>
      <c r="W1406" s="21">
        <v>16.8</v>
      </c>
      <c r="X1406" s="2" t="b">
        <f t="shared" si="927"/>
        <v>1</v>
      </c>
    </row>
    <row r="1407" spans="2:24" x14ac:dyDescent="0.2">
      <c r="B1407" s="17">
        <v>45280</v>
      </c>
      <c r="C1407" s="10" t="s">
        <v>2630</v>
      </c>
      <c r="D1407" s="11" t="s">
        <v>3131</v>
      </c>
      <c r="E1407" s="26">
        <v>71842</v>
      </c>
      <c r="F1407" s="10" t="s">
        <v>29</v>
      </c>
      <c r="G1407" s="10" t="s">
        <v>27</v>
      </c>
      <c r="H1407" s="27" t="s">
        <v>30</v>
      </c>
      <c r="I1407" s="28"/>
      <c r="J1407" s="12"/>
      <c r="K1407" s="13">
        <v>3960</v>
      </c>
      <c r="L1407" s="21">
        <v>3.7</v>
      </c>
      <c r="M1407" s="14" t="s">
        <v>14</v>
      </c>
      <c r="N1407" s="13">
        <v>14652</v>
      </c>
      <c r="O1407" s="15">
        <f t="shared" si="926"/>
        <v>0</v>
      </c>
      <c r="P1407" s="10" t="s">
        <v>78</v>
      </c>
      <c r="Q1407" s="11" t="s">
        <v>3133</v>
      </c>
      <c r="R1407" s="11" t="s">
        <v>3132</v>
      </c>
      <c r="S1407" s="16" t="s">
        <v>3134</v>
      </c>
      <c r="T1407" s="19" t="str">
        <f>MONTH(B1407)&amp;"-"&amp;YEAR(B1407)</f>
        <v>12-2023</v>
      </c>
      <c r="U1407" s="2">
        <f>YEAR(B1407)</f>
        <v>2023</v>
      </c>
      <c r="V1407" s="2" t="str">
        <f>IF(DAY(B1407)&gt;15,MONTH(B1407)&amp;"-C",MONTH(B1407)&amp;"-N")</f>
        <v>12-C</v>
      </c>
      <c r="W1407" s="21">
        <v>3.7</v>
      </c>
      <c r="X1407" s="2" t="b">
        <f t="shared" si="927"/>
        <v>1</v>
      </c>
    </row>
    <row r="1408" spans="2:24" x14ac:dyDescent="0.2">
      <c r="B1408" s="17">
        <v>45280</v>
      </c>
      <c r="C1408" s="10" t="s">
        <v>94</v>
      </c>
      <c r="D1408" s="11" t="s">
        <v>3144</v>
      </c>
      <c r="E1408" s="26">
        <v>71841</v>
      </c>
      <c r="F1408" s="10" t="s">
        <v>26</v>
      </c>
      <c r="G1408" s="10" t="s">
        <v>27</v>
      </c>
      <c r="H1408" s="27" t="s">
        <v>28</v>
      </c>
      <c r="I1408" s="28"/>
      <c r="J1408" s="12"/>
      <c r="K1408" s="13">
        <v>17100</v>
      </c>
      <c r="L1408" s="21">
        <v>3.5</v>
      </c>
      <c r="M1408" s="14" t="s">
        <v>14</v>
      </c>
      <c r="N1408" s="13">
        <v>59850</v>
      </c>
      <c r="O1408" s="15">
        <f t="shared" si="926"/>
        <v>0</v>
      </c>
      <c r="P1408" s="10" t="s">
        <v>78</v>
      </c>
      <c r="Q1408" s="11" t="s">
        <v>3148</v>
      </c>
      <c r="R1408" s="11" t="s">
        <v>3149</v>
      </c>
      <c r="S1408" s="16" t="s">
        <v>3150</v>
      </c>
      <c r="T1408" s="19" t="str">
        <f>MONTH(B1408)&amp;"-"&amp;YEAR(B1408)</f>
        <v>12-2023</v>
      </c>
      <c r="U1408" s="2">
        <f>YEAR(B1408)</f>
        <v>2023</v>
      </c>
      <c r="V1408" s="2" t="str">
        <f>IF(DAY(B1408)&gt;15,MONTH(B1408)&amp;"-C",MONTH(B1408)&amp;"-N")</f>
        <v>12-C</v>
      </c>
      <c r="W1408" s="21">
        <v>3.5</v>
      </c>
      <c r="X1408" s="2" t="b">
        <f t="shared" si="927"/>
        <v>1</v>
      </c>
    </row>
    <row r="1409" spans="2:24" x14ac:dyDescent="0.2">
      <c r="B1409" s="17">
        <v>45282</v>
      </c>
      <c r="C1409" s="10" t="s">
        <v>48</v>
      </c>
      <c r="D1409" s="11" t="s">
        <v>3172</v>
      </c>
      <c r="E1409" s="26">
        <v>71888</v>
      </c>
      <c r="F1409" s="10" t="s">
        <v>71</v>
      </c>
      <c r="G1409" s="10" t="s">
        <v>46</v>
      </c>
      <c r="H1409" s="27" t="s">
        <v>72</v>
      </c>
      <c r="I1409" s="28"/>
      <c r="J1409" s="12"/>
      <c r="K1409" s="13">
        <v>10400</v>
      </c>
      <c r="L1409" s="21">
        <v>10.292999999999999</v>
      </c>
      <c r="M1409" s="14" t="s">
        <v>14</v>
      </c>
      <c r="N1409" s="13">
        <v>107045.12</v>
      </c>
      <c r="O1409" s="15">
        <f t="shared" ref="O1409:O1417" si="928">(N1409/K1409)-L1409</f>
        <v>-1.9999999999953388E-4</v>
      </c>
      <c r="P1409" s="10" t="s">
        <v>90</v>
      </c>
      <c r="Q1409" s="11" t="s">
        <v>3174</v>
      </c>
      <c r="R1409" s="11" t="s">
        <v>3173</v>
      </c>
      <c r="S1409" s="16" t="s">
        <v>3175</v>
      </c>
      <c r="T1409" s="19" t="str">
        <f>MONTH(B1409)&amp;"-"&amp;YEAR(B1409)</f>
        <v>12-2023</v>
      </c>
      <c r="U1409" s="2">
        <f>YEAR(B1409)</f>
        <v>2023</v>
      </c>
      <c r="V1409" s="2" t="str">
        <f>IF(DAY(B1409)&gt;15,MONTH(B1409)&amp;"-C",MONTH(B1409)&amp;"-N")</f>
        <v>12-C</v>
      </c>
      <c r="W1409" s="21">
        <v>10.292999999999999</v>
      </c>
      <c r="X1409" s="2" t="b">
        <f t="shared" ref="X1409:X1417" si="929">+L1409=W1409</f>
        <v>1</v>
      </c>
    </row>
    <row r="1410" spans="2:24" x14ac:dyDescent="0.2">
      <c r="B1410" s="17">
        <v>45282</v>
      </c>
      <c r="C1410" s="10" t="s">
        <v>48</v>
      </c>
      <c r="D1410" s="11" t="s">
        <v>3172</v>
      </c>
      <c r="E1410" s="26">
        <v>71888</v>
      </c>
      <c r="F1410" s="10" t="s">
        <v>2552</v>
      </c>
      <c r="G1410" s="10" t="s">
        <v>46</v>
      </c>
      <c r="H1410" s="27" t="s">
        <v>2553</v>
      </c>
      <c r="I1410" s="28"/>
      <c r="J1410" s="12"/>
      <c r="K1410" s="13">
        <v>5600</v>
      </c>
      <c r="L1410" s="21">
        <v>10.292999999999999</v>
      </c>
      <c r="M1410" s="14" t="s">
        <v>14</v>
      </c>
      <c r="N1410" s="13">
        <v>57639.68</v>
      </c>
      <c r="O1410" s="15">
        <f t="shared" si="928"/>
        <v>-1.9999999999953388E-4</v>
      </c>
      <c r="P1410" s="10" t="s">
        <v>90</v>
      </c>
      <c r="Q1410" s="11" t="s">
        <v>3174</v>
      </c>
      <c r="R1410" s="11" t="s">
        <v>3173</v>
      </c>
      <c r="S1410" s="16" t="s">
        <v>3175</v>
      </c>
      <c r="T1410" s="19" t="str">
        <f>MONTH(B1410)&amp;"-"&amp;YEAR(B1410)</f>
        <v>12-2023</v>
      </c>
      <c r="U1410" s="2">
        <f>YEAR(B1410)</f>
        <v>2023</v>
      </c>
      <c r="V1410" s="2" t="str">
        <f>IF(DAY(B1410)&gt;15,MONTH(B1410)&amp;"-C",MONTH(B1410)&amp;"-N")</f>
        <v>12-C</v>
      </c>
      <c r="W1410" s="21">
        <v>10.292999999999999</v>
      </c>
      <c r="X1410" s="2" t="b">
        <f t="shared" si="929"/>
        <v>1</v>
      </c>
    </row>
    <row r="1411" spans="2:24" x14ac:dyDescent="0.2">
      <c r="B1411" s="17">
        <v>45283</v>
      </c>
      <c r="C1411" s="10" t="s">
        <v>82</v>
      </c>
      <c r="D1411" s="11" t="s">
        <v>3168</v>
      </c>
      <c r="E1411" s="26">
        <v>71919</v>
      </c>
      <c r="F1411" s="10" t="s">
        <v>3054</v>
      </c>
      <c r="G1411" s="10" t="s">
        <v>27</v>
      </c>
      <c r="H1411" s="27" t="s">
        <v>3055</v>
      </c>
      <c r="I1411" s="28"/>
      <c r="J1411" s="12"/>
      <c r="K1411" s="13">
        <v>1280</v>
      </c>
      <c r="L1411" s="21">
        <v>4.75</v>
      </c>
      <c r="M1411" s="14" t="s">
        <v>14</v>
      </c>
      <c r="N1411" s="13">
        <v>6080</v>
      </c>
      <c r="O1411" s="15">
        <f t="shared" si="928"/>
        <v>0</v>
      </c>
      <c r="P1411" s="10" t="s">
        <v>78</v>
      </c>
      <c r="Q1411" s="11" t="s">
        <v>3169</v>
      </c>
      <c r="R1411" s="11" t="s">
        <v>3170</v>
      </c>
      <c r="S1411" s="16" t="s">
        <v>3171</v>
      </c>
      <c r="T1411" s="19" t="str">
        <f>MONTH(B1411)&amp;"-"&amp;YEAR(B1411)</f>
        <v>12-2023</v>
      </c>
      <c r="U1411" s="2">
        <f>YEAR(B1411)</f>
        <v>2023</v>
      </c>
      <c r="V1411" s="2" t="str">
        <f>IF(DAY(B1411)&gt;15,MONTH(B1411)&amp;"-C",MONTH(B1411)&amp;"-N")</f>
        <v>12-C</v>
      </c>
      <c r="W1411" s="21">
        <v>4.75</v>
      </c>
      <c r="X1411" s="2" t="b">
        <f t="shared" si="929"/>
        <v>1</v>
      </c>
    </row>
    <row r="1412" spans="2:24" x14ac:dyDescent="0.2">
      <c r="B1412" s="17">
        <v>45283</v>
      </c>
      <c r="C1412" s="10" t="s">
        <v>82</v>
      </c>
      <c r="D1412" s="11" t="s">
        <v>3168</v>
      </c>
      <c r="E1412" s="26">
        <v>71919</v>
      </c>
      <c r="F1412" s="10" t="s">
        <v>33</v>
      </c>
      <c r="G1412" s="10" t="s">
        <v>27</v>
      </c>
      <c r="H1412" s="27" t="s">
        <v>34</v>
      </c>
      <c r="I1412" s="28"/>
      <c r="J1412" s="12"/>
      <c r="K1412" s="13">
        <v>720</v>
      </c>
      <c r="L1412" s="21">
        <v>5.75</v>
      </c>
      <c r="M1412" s="14" t="s">
        <v>14</v>
      </c>
      <c r="N1412" s="13">
        <v>4140</v>
      </c>
      <c r="O1412" s="15">
        <f t="shared" si="928"/>
        <v>0</v>
      </c>
      <c r="P1412" s="10" t="s">
        <v>78</v>
      </c>
      <c r="Q1412" s="11" t="s">
        <v>3169</v>
      </c>
      <c r="R1412" s="11" t="s">
        <v>3170</v>
      </c>
      <c r="S1412" s="16" t="s">
        <v>3171</v>
      </c>
      <c r="T1412" s="19" t="str">
        <f>MONTH(B1412)&amp;"-"&amp;YEAR(B1412)</f>
        <v>12-2023</v>
      </c>
      <c r="U1412" s="2">
        <f>YEAR(B1412)</f>
        <v>2023</v>
      </c>
      <c r="V1412" s="2" t="str">
        <f>IF(DAY(B1412)&gt;15,MONTH(B1412)&amp;"-C",MONTH(B1412)&amp;"-N")</f>
        <v>12-C</v>
      </c>
      <c r="W1412" s="21">
        <v>5.75</v>
      </c>
      <c r="X1412" s="2" t="b">
        <f t="shared" si="929"/>
        <v>1</v>
      </c>
    </row>
    <row r="1413" spans="2:24" x14ac:dyDescent="0.2">
      <c r="B1413" s="17">
        <v>45284</v>
      </c>
      <c r="C1413" s="10" t="s">
        <v>94</v>
      </c>
      <c r="D1413" s="11" t="s">
        <v>3144</v>
      </c>
      <c r="E1413" s="26">
        <v>71920</v>
      </c>
      <c r="F1413" s="10" t="s">
        <v>26</v>
      </c>
      <c r="G1413" s="10" t="s">
        <v>27</v>
      </c>
      <c r="H1413" s="27" t="s">
        <v>28</v>
      </c>
      <c r="I1413" s="28"/>
      <c r="J1413" s="12"/>
      <c r="K1413" s="13">
        <v>16200</v>
      </c>
      <c r="L1413" s="21">
        <v>3.5</v>
      </c>
      <c r="M1413" s="14" t="s">
        <v>14</v>
      </c>
      <c r="N1413" s="13">
        <v>56700</v>
      </c>
      <c r="O1413" s="15">
        <f t="shared" si="928"/>
        <v>0</v>
      </c>
      <c r="P1413" s="10" t="s">
        <v>78</v>
      </c>
      <c r="Q1413" s="11" t="s">
        <v>3161</v>
      </c>
      <c r="R1413" s="11" t="s">
        <v>3162</v>
      </c>
      <c r="S1413" s="16" t="s">
        <v>3163</v>
      </c>
      <c r="T1413" s="19" t="str">
        <f>MONTH(B1413)&amp;"-"&amp;YEAR(B1413)</f>
        <v>12-2023</v>
      </c>
      <c r="U1413" s="2">
        <f>YEAR(B1413)</f>
        <v>2023</v>
      </c>
      <c r="V1413" s="2" t="str">
        <f>IF(DAY(B1413)&gt;15,MONTH(B1413)&amp;"-C",MONTH(B1413)&amp;"-N")</f>
        <v>12-C</v>
      </c>
      <c r="W1413" s="21">
        <v>3.5</v>
      </c>
      <c r="X1413" s="2" t="b">
        <f t="shared" si="929"/>
        <v>1</v>
      </c>
    </row>
    <row r="1414" spans="2:24" x14ac:dyDescent="0.2">
      <c r="B1414" s="17">
        <v>45286</v>
      </c>
      <c r="C1414" s="10" t="s">
        <v>107</v>
      </c>
      <c r="D1414" s="11" t="s">
        <v>3164</v>
      </c>
      <c r="E1414" s="26">
        <v>71921</v>
      </c>
      <c r="F1414" s="10" t="s">
        <v>142</v>
      </c>
      <c r="G1414" s="10" t="s">
        <v>46</v>
      </c>
      <c r="H1414" s="27" t="s">
        <v>143</v>
      </c>
      <c r="I1414" s="28"/>
      <c r="J1414" s="12"/>
      <c r="K1414" s="13">
        <v>1100</v>
      </c>
      <c r="L1414" s="21">
        <v>10.08</v>
      </c>
      <c r="M1414" s="14" t="s">
        <v>14</v>
      </c>
      <c r="N1414" s="13">
        <v>11088</v>
      </c>
      <c r="O1414" s="15">
        <f t="shared" si="928"/>
        <v>0</v>
      </c>
      <c r="P1414" s="10" t="s">
        <v>84</v>
      </c>
      <c r="Q1414" s="11" t="s">
        <v>3165</v>
      </c>
      <c r="R1414" s="11" t="s">
        <v>3166</v>
      </c>
      <c r="S1414" s="16" t="s">
        <v>3167</v>
      </c>
      <c r="T1414" s="19" t="str">
        <f>MONTH(B1414)&amp;"-"&amp;YEAR(B1414)</f>
        <v>12-2023</v>
      </c>
      <c r="U1414" s="2">
        <f>YEAR(B1414)</f>
        <v>2023</v>
      </c>
      <c r="V1414" s="2" t="str">
        <f>IF(DAY(B1414)&gt;15,MONTH(B1414)&amp;"-C",MONTH(B1414)&amp;"-N")</f>
        <v>12-C</v>
      </c>
      <c r="W1414" s="21">
        <v>10.08</v>
      </c>
      <c r="X1414" s="2" t="b">
        <f t="shared" si="929"/>
        <v>1</v>
      </c>
    </row>
    <row r="1415" spans="2:24" x14ac:dyDescent="0.2">
      <c r="B1415" s="17">
        <v>45286</v>
      </c>
      <c r="C1415" s="10" t="s">
        <v>107</v>
      </c>
      <c r="D1415" s="11" t="s">
        <v>3164</v>
      </c>
      <c r="E1415" s="26">
        <v>71921</v>
      </c>
      <c r="F1415" s="10" t="s">
        <v>103</v>
      </c>
      <c r="G1415" s="10" t="s">
        <v>46</v>
      </c>
      <c r="H1415" s="27" t="s">
        <v>104</v>
      </c>
      <c r="I1415" s="28"/>
      <c r="J1415" s="12"/>
      <c r="K1415" s="13">
        <v>170</v>
      </c>
      <c r="L1415" s="21">
        <v>47.46</v>
      </c>
      <c r="M1415" s="14" t="s">
        <v>14</v>
      </c>
      <c r="N1415" s="13">
        <v>8068.2</v>
      </c>
      <c r="O1415" s="15">
        <f t="shared" si="928"/>
        <v>0</v>
      </c>
      <c r="P1415" s="10" t="s">
        <v>84</v>
      </c>
      <c r="Q1415" s="11" t="s">
        <v>3165</v>
      </c>
      <c r="R1415" s="11" t="s">
        <v>3166</v>
      </c>
      <c r="S1415" s="16" t="s">
        <v>3167</v>
      </c>
      <c r="T1415" s="19" t="str">
        <f>MONTH(B1415)&amp;"-"&amp;YEAR(B1415)</f>
        <v>12-2023</v>
      </c>
      <c r="U1415" s="2">
        <f>YEAR(B1415)</f>
        <v>2023</v>
      </c>
      <c r="V1415" s="2" t="str">
        <f>IF(DAY(B1415)&gt;15,MONTH(B1415)&amp;"-C",MONTH(B1415)&amp;"-N")</f>
        <v>12-C</v>
      </c>
      <c r="W1415" s="21">
        <v>47.46</v>
      </c>
      <c r="X1415" s="2" t="b">
        <f t="shared" si="929"/>
        <v>1</v>
      </c>
    </row>
    <row r="1416" spans="2:24" x14ac:dyDescent="0.2">
      <c r="B1416" s="17">
        <v>45286</v>
      </c>
      <c r="C1416" s="10" t="s">
        <v>107</v>
      </c>
      <c r="D1416" s="11" t="s">
        <v>3164</v>
      </c>
      <c r="E1416" s="26">
        <v>71921</v>
      </c>
      <c r="F1416" s="10" t="s">
        <v>105</v>
      </c>
      <c r="G1416" s="10" t="s">
        <v>46</v>
      </c>
      <c r="H1416" s="27" t="s">
        <v>106</v>
      </c>
      <c r="I1416" s="28"/>
      <c r="J1416" s="12"/>
      <c r="K1416" s="13">
        <v>5280</v>
      </c>
      <c r="L1416" s="21">
        <v>11.72</v>
      </c>
      <c r="M1416" s="14" t="s">
        <v>14</v>
      </c>
      <c r="N1416" s="13">
        <v>61881.599999999999</v>
      </c>
      <c r="O1416" s="15">
        <f t="shared" si="928"/>
        <v>0</v>
      </c>
      <c r="P1416" s="10" t="s">
        <v>84</v>
      </c>
      <c r="Q1416" s="11" t="s">
        <v>3165</v>
      </c>
      <c r="R1416" s="11" t="s">
        <v>3166</v>
      </c>
      <c r="S1416" s="16" t="s">
        <v>3167</v>
      </c>
      <c r="T1416" s="19" t="str">
        <f>MONTH(B1416)&amp;"-"&amp;YEAR(B1416)</f>
        <v>12-2023</v>
      </c>
      <c r="U1416" s="2">
        <f>YEAR(B1416)</f>
        <v>2023</v>
      </c>
      <c r="V1416" s="2" t="str">
        <f>IF(DAY(B1416)&gt;15,MONTH(B1416)&amp;"-C",MONTH(B1416)&amp;"-N")</f>
        <v>12-C</v>
      </c>
      <c r="W1416" s="21">
        <v>11.72</v>
      </c>
      <c r="X1416" s="2" t="b">
        <f t="shared" si="929"/>
        <v>1</v>
      </c>
    </row>
    <row r="1417" spans="2:24" x14ac:dyDescent="0.2">
      <c r="B1417" s="17">
        <v>45286</v>
      </c>
      <c r="C1417" s="10" t="s">
        <v>107</v>
      </c>
      <c r="D1417" s="11" t="s">
        <v>3164</v>
      </c>
      <c r="E1417" s="26">
        <v>71921</v>
      </c>
      <c r="F1417" s="10" t="s">
        <v>2882</v>
      </c>
      <c r="G1417" s="10" t="s">
        <v>46</v>
      </c>
      <c r="H1417" s="27" t="s">
        <v>2883</v>
      </c>
      <c r="I1417" s="28"/>
      <c r="J1417" s="12"/>
      <c r="K1417" s="13">
        <v>200</v>
      </c>
      <c r="L1417" s="21">
        <v>11.11</v>
      </c>
      <c r="M1417" s="14" t="s">
        <v>14</v>
      </c>
      <c r="N1417" s="13">
        <v>2222</v>
      </c>
      <c r="O1417" s="15">
        <f t="shared" si="928"/>
        <v>0</v>
      </c>
      <c r="P1417" s="10" t="s">
        <v>84</v>
      </c>
      <c r="Q1417" s="11" t="s">
        <v>3165</v>
      </c>
      <c r="R1417" s="11" t="s">
        <v>3166</v>
      </c>
      <c r="S1417" s="16" t="s">
        <v>3167</v>
      </c>
      <c r="T1417" s="19" t="str">
        <f>MONTH(B1417)&amp;"-"&amp;YEAR(B1417)</f>
        <v>12-2023</v>
      </c>
      <c r="U1417" s="2">
        <f>YEAR(B1417)</f>
        <v>2023</v>
      </c>
      <c r="V1417" s="2" t="str">
        <f>IF(DAY(B1417)&gt;15,MONTH(B1417)&amp;"-C",MONTH(B1417)&amp;"-N")</f>
        <v>12-C</v>
      </c>
      <c r="W1417" s="21">
        <v>11.11</v>
      </c>
      <c r="X1417" s="2" t="b">
        <f t="shared" si="929"/>
        <v>1</v>
      </c>
    </row>
    <row r="1418" spans="2:24" x14ac:dyDescent="0.2">
      <c r="B1418" s="17">
        <v>45286</v>
      </c>
      <c r="C1418" s="10" t="s">
        <v>48</v>
      </c>
      <c r="D1418" s="11" t="s">
        <v>3172</v>
      </c>
      <c r="E1418" s="26">
        <v>71957</v>
      </c>
      <c r="F1418" s="10" t="s">
        <v>135</v>
      </c>
      <c r="G1418" s="10" t="s">
        <v>46</v>
      </c>
      <c r="H1418" s="27" t="s">
        <v>136</v>
      </c>
      <c r="I1418" s="28"/>
      <c r="J1418" s="12"/>
      <c r="K1418" s="13">
        <v>4400</v>
      </c>
      <c r="L1418" s="21">
        <v>10.292999999999999</v>
      </c>
      <c r="M1418" s="14" t="s">
        <v>14</v>
      </c>
      <c r="N1418" s="13">
        <v>45288.32</v>
      </c>
      <c r="O1418" s="15">
        <f t="shared" ref="O1418:O1419" si="930">(N1418/K1418)-L1418</f>
        <v>-1.9999999999953388E-4</v>
      </c>
      <c r="P1418" s="10" t="s">
        <v>90</v>
      </c>
      <c r="Q1418" s="11" t="s">
        <v>3177</v>
      </c>
      <c r="R1418" s="11" t="s">
        <v>3178</v>
      </c>
      <c r="S1418" s="16" t="s">
        <v>3176</v>
      </c>
      <c r="T1418" s="19" t="str">
        <f>MONTH(B1418)&amp;"-"&amp;YEAR(B1418)</f>
        <v>12-2023</v>
      </c>
      <c r="U1418" s="2">
        <f>YEAR(B1418)</f>
        <v>2023</v>
      </c>
      <c r="V1418" s="2" t="str">
        <f>IF(DAY(B1418)&gt;15,MONTH(B1418)&amp;"-C",MONTH(B1418)&amp;"-N")</f>
        <v>12-C</v>
      </c>
      <c r="W1418" s="21">
        <v>10.292999999999999</v>
      </c>
      <c r="X1418" s="2" t="b">
        <f t="shared" ref="X1418:X1419" si="931">+L1418=W1418</f>
        <v>1</v>
      </c>
    </row>
    <row r="1419" spans="2:24" x14ac:dyDescent="0.2">
      <c r="B1419" s="17">
        <v>45286</v>
      </c>
      <c r="C1419" s="10" t="s">
        <v>48</v>
      </c>
      <c r="D1419" s="11" t="s">
        <v>3172</v>
      </c>
      <c r="E1419" s="26">
        <v>71957</v>
      </c>
      <c r="F1419" s="10" t="s">
        <v>71</v>
      </c>
      <c r="G1419" s="10" t="s">
        <v>46</v>
      </c>
      <c r="H1419" s="27" t="s">
        <v>72</v>
      </c>
      <c r="I1419" s="28"/>
      <c r="J1419" s="12"/>
      <c r="K1419" s="13">
        <v>11600</v>
      </c>
      <c r="L1419" s="21">
        <v>10.292999999999999</v>
      </c>
      <c r="M1419" s="14" t="s">
        <v>14</v>
      </c>
      <c r="N1419" s="13">
        <v>119396.48</v>
      </c>
      <c r="O1419" s="15">
        <f t="shared" si="930"/>
        <v>-1.9999999999953388E-4</v>
      </c>
      <c r="P1419" s="10" t="s">
        <v>90</v>
      </c>
      <c r="Q1419" s="11" t="s">
        <v>3177</v>
      </c>
      <c r="R1419" s="11" t="s">
        <v>3178</v>
      </c>
      <c r="S1419" s="16" t="s">
        <v>3176</v>
      </c>
      <c r="T1419" s="19" t="str">
        <f>MONTH(B1419)&amp;"-"&amp;YEAR(B1419)</f>
        <v>12-2023</v>
      </c>
      <c r="U1419" s="2">
        <f>YEAR(B1419)</f>
        <v>2023</v>
      </c>
      <c r="V1419" s="2" t="str">
        <f>IF(DAY(B1419)&gt;15,MONTH(B1419)&amp;"-C",MONTH(B1419)&amp;"-N")</f>
        <v>12-C</v>
      </c>
      <c r="W1419" s="21">
        <v>10.292999999999999</v>
      </c>
      <c r="X1419" s="2" t="b">
        <f t="shared" si="931"/>
        <v>1</v>
      </c>
    </row>
    <row r="1420" spans="2:24" x14ac:dyDescent="0.2">
      <c r="B1420" s="17">
        <v>45290</v>
      </c>
      <c r="C1420" s="10" t="s">
        <v>94</v>
      </c>
      <c r="D1420" s="11" t="s">
        <v>3144</v>
      </c>
      <c r="E1420" s="26">
        <v>71989</v>
      </c>
      <c r="F1420" s="10" t="s">
        <v>26</v>
      </c>
      <c r="G1420" s="10" t="s">
        <v>27</v>
      </c>
      <c r="H1420" s="27" t="s">
        <v>28</v>
      </c>
      <c r="I1420" s="28"/>
      <c r="J1420" s="12"/>
      <c r="K1420" s="13">
        <v>3600</v>
      </c>
      <c r="L1420" s="21">
        <v>3.5</v>
      </c>
      <c r="M1420" s="14" t="s">
        <v>14</v>
      </c>
      <c r="N1420" s="13">
        <v>12600</v>
      </c>
      <c r="O1420" s="15">
        <f t="shared" ref="O1420:O1421" si="932">(N1420/K1420)-L1420</f>
        <v>0</v>
      </c>
      <c r="P1420" s="10" t="s">
        <v>78</v>
      </c>
      <c r="Q1420" s="11" t="s">
        <v>3158</v>
      </c>
      <c r="R1420" s="11" t="s">
        <v>3159</v>
      </c>
      <c r="S1420" s="16" t="s">
        <v>3160</v>
      </c>
      <c r="T1420" s="19" t="str">
        <f>MONTH(B1420)&amp;"-"&amp;YEAR(B1420)</f>
        <v>12-2023</v>
      </c>
      <c r="U1420" s="2">
        <f>YEAR(B1420)</f>
        <v>2023</v>
      </c>
      <c r="V1420" s="2" t="str">
        <f>IF(DAY(B1420)&gt;15,MONTH(B1420)&amp;"-C",MONTH(B1420)&amp;"-N")</f>
        <v>12-C</v>
      </c>
      <c r="W1420" s="21">
        <v>3.5</v>
      </c>
      <c r="X1420" s="2" t="b">
        <f t="shared" ref="X1420:X1421" si="933">+L1420=W1420</f>
        <v>1</v>
      </c>
    </row>
    <row r="1421" spans="2:24" x14ac:dyDescent="0.2">
      <c r="B1421" s="17">
        <v>45290</v>
      </c>
      <c r="C1421" s="10" t="s">
        <v>94</v>
      </c>
      <c r="D1421" s="11" t="s">
        <v>3144</v>
      </c>
      <c r="E1421" s="26">
        <v>72019</v>
      </c>
      <c r="F1421" s="10" t="s">
        <v>26</v>
      </c>
      <c r="G1421" s="10" t="s">
        <v>27</v>
      </c>
      <c r="H1421" s="27" t="s">
        <v>28</v>
      </c>
      <c r="I1421" s="28"/>
      <c r="J1421" s="12"/>
      <c r="K1421" s="13">
        <v>19800</v>
      </c>
      <c r="L1421" s="21">
        <v>3.5</v>
      </c>
      <c r="M1421" s="14" t="s">
        <v>14</v>
      </c>
      <c r="N1421" s="13">
        <v>69300</v>
      </c>
      <c r="O1421" s="15">
        <f t="shared" si="932"/>
        <v>0</v>
      </c>
      <c r="P1421" s="10" t="s">
        <v>78</v>
      </c>
      <c r="Q1421" s="11" t="s">
        <v>3158</v>
      </c>
      <c r="R1421" s="11" t="s">
        <v>3159</v>
      </c>
      <c r="S1421" s="16" t="s">
        <v>3160</v>
      </c>
      <c r="T1421" s="19" t="str">
        <f>MONTH(B1421)&amp;"-"&amp;YEAR(B1421)</f>
        <v>12-2023</v>
      </c>
      <c r="U1421" s="2">
        <f>YEAR(B1421)</f>
        <v>2023</v>
      </c>
      <c r="V1421" s="2" t="str">
        <f>IF(DAY(B1421)&gt;15,MONTH(B1421)&amp;"-C",MONTH(B1421)&amp;"-N")</f>
        <v>12-C</v>
      </c>
      <c r="W1421" s="21">
        <v>3.5</v>
      </c>
      <c r="X1421" s="2" t="b">
        <f t="shared" si="933"/>
        <v>1</v>
      </c>
    </row>
    <row r="1422" spans="2:24" x14ac:dyDescent="0.2">
      <c r="B1422" s="17">
        <v>45298</v>
      </c>
      <c r="C1422" s="10" t="s">
        <v>94</v>
      </c>
      <c r="D1422" s="11">
        <v>170469</v>
      </c>
      <c r="E1422" s="26">
        <v>72184</v>
      </c>
      <c r="F1422" s="10" t="s">
        <v>26</v>
      </c>
      <c r="G1422" s="10" t="s">
        <v>27</v>
      </c>
      <c r="H1422" s="27" t="s">
        <v>28</v>
      </c>
      <c r="I1422" s="28"/>
      <c r="J1422" s="12"/>
      <c r="K1422" s="13">
        <v>19800</v>
      </c>
      <c r="L1422" s="21">
        <v>3.5</v>
      </c>
      <c r="M1422" s="14" t="s">
        <v>14</v>
      </c>
      <c r="N1422" s="13">
        <v>69300</v>
      </c>
      <c r="O1422" s="15">
        <f t="shared" ref="O1422" si="934">(N1422/K1422)-L1422</f>
        <v>0</v>
      </c>
      <c r="P1422" s="10" t="s">
        <v>78</v>
      </c>
      <c r="Q1422" s="11" t="s">
        <v>3179</v>
      </c>
      <c r="R1422" s="11" t="s">
        <v>3180</v>
      </c>
      <c r="S1422" s="16" t="s">
        <v>3181</v>
      </c>
      <c r="T1422" s="19" t="str">
        <f>MONTH(B1422)&amp;"-"&amp;YEAR(B1422)</f>
        <v>1-2024</v>
      </c>
      <c r="U1422" s="2">
        <f>YEAR(B1422)</f>
        <v>2024</v>
      </c>
      <c r="V1422" s="2" t="str">
        <f>IF(DAY(B1422)&gt;15,MONTH(B1422)&amp;"-C",MONTH(B1422)&amp;"-N")</f>
        <v>1-N</v>
      </c>
      <c r="W1422" s="21">
        <v>3.5</v>
      </c>
      <c r="X1422" s="2" t="b">
        <f t="shared" ref="X1422" si="935">+L1422=W1422</f>
        <v>1</v>
      </c>
    </row>
    <row r="1423" spans="2:24" x14ac:dyDescent="0.2">
      <c r="B1423" s="17">
        <v>45302</v>
      </c>
      <c r="C1423" s="10" t="s">
        <v>82</v>
      </c>
      <c r="D1423" s="11">
        <v>170839</v>
      </c>
      <c r="E1423" s="26">
        <v>72203</v>
      </c>
      <c r="F1423" s="10" t="s">
        <v>3054</v>
      </c>
      <c r="G1423" s="10" t="s">
        <v>27</v>
      </c>
      <c r="H1423" s="27" t="s">
        <v>3055</v>
      </c>
      <c r="I1423" s="28"/>
      <c r="J1423" s="12"/>
      <c r="K1423" s="13">
        <v>1280</v>
      </c>
      <c r="L1423" s="21">
        <v>4.75</v>
      </c>
      <c r="M1423" s="14" t="s">
        <v>14</v>
      </c>
      <c r="N1423" s="13">
        <v>6080</v>
      </c>
      <c r="O1423" s="15">
        <f t="shared" ref="O1423:O1426" si="936">(N1423/K1423)-L1423</f>
        <v>0</v>
      </c>
      <c r="P1423" s="10" t="s">
        <v>78</v>
      </c>
      <c r="Q1423" s="11" t="s">
        <v>3182</v>
      </c>
      <c r="R1423" s="11" t="s">
        <v>3183</v>
      </c>
      <c r="S1423" s="16" t="s">
        <v>3184</v>
      </c>
      <c r="T1423" s="19" t="str">
        <f>MONTH(B1423)&amp;"-"&amp;YEAR(B1423)</f>
        <v>1-2024</v>
      </c>
      <c r="U1423" s="2">
        <f>YEAR(B1423)</f>
        <v>2024</v>
      </c>
      <c r="V1423" s="2" t="str">
        <f>IF(DAY(B1423)&gt;15,MONTH(B1423)&amp;"-C",MONTH(B1423)&amp;"-N")</f>
        <v>1-N</v>
      </c>
      <c r="W1423" s="21">
        <v>4.75</v>
      </c>
      <c r="X1423" s="2" t="b">
        <f t="shared" ref="X1423:X1426" si="937">+L1423=W1423</f>
        <v>1</v>
      </c>
    </row>
    <row r="1424" spans="2:24" x14ac:dyDescent="0.2">
      <c r="B1424" s="17">
        <v>45302</v>
      </c>
      <c r="C1424" s="10" t="s">
        <v>82</v>
      </c>
      <c r="D1424" s="11">
        <v>170839</v>
      </c>
      <c r="E1424" s="26">
        <v>72256</v>
      </c>
      <c r="F1424" s="10" t="s">
        <v>33</v>
      </c>
      <c r="G1424" s="10" t="s">
        <v>27</v>
      </c>
      <c r="H1424" s="27" t="s">
        <v>34</v>
      </c>
      <c r="I1424" s="28"/>
      <c r="J1424" s="12"/>
      <c r="K1424" s="13">
        <v>720</v>
      </c>
      <c r="L1424" s="21">
        <v>5.75</v>
      </c>
      <c r="M1424" s="14" t="s">
        <v>14</v>
      </c>
      <c r="N1424" s="13">
        <v>4140</v>
      </c>
      <c r="O1424" s="15">
        <f t="shared" si="936"/>
        <v>0</v>
      </c>
      <c r="P1424" s="10" t="s">
        <v>78</v>
      </c>
      <c r="Q1424" s="11" t="s">
        <v>3182</v>
      </c>
      <c r="R1424" s="11" t="s">
        <v>3183</v>
      </c>
      <c r="S1424" s="16" t="s">
        <v>3184</v>
      </c>
      <c r="T1424" s="19" t="str">
        <f>MONTH(B1424)&amp;"-"&amp;YEAR(B1424)</f>
        <v>1-2024</v>
      </c>
      <c r="U1424" s="2">
        <f>YEAR(B1424)</f>
        <v>2024</v>
      </c>
      <c r="V1424" s="2" t="str">
        <f>IF(DAY(B1424)&gt;15,MONTH(B1424)&amp;"-C",MONTH(B1424)&amp;"-N")</f>
        <v>1-N</v>
      </c>
      <c r="W1424" s="21">
        <v>5.75</v>
      </c>
      <c r="X1424" s="2" t="b">
        <f t="shared" si="937"/>
        <v>1</v>
      </c>
    </row>
    <row r="1425" spans="2:24" x14ac:dyDescent="0.2">
      <c r="B1425" s="17">
        <v>45302</v>
      </c>
      <c r="C1425" s="10" t="s">
        <v>107</v>
      </c>
      <c r="D1425" s="11">
        <v>170861</v>
      </c>
      <c r="E1425" s="26">
        <v>72268</v>
      </c>
      <c r="F1425" s="10" t="s">
        <v>142</v>
      </c>
      <c r="G1425" s="10" t="s">
        <v>46</v>
      </c>
      <c r="H1425" s="27" t="s">
        <v>143</v>
      </c>
      <c r="I1425" s="28"/>
      <c r="J1425" s="12"/>
      <c r="K1425" s="13">
        <v>1276</v>
      </c>
      <c r="L1425" s="21">
        <v>10.08</v>
      </c>
      <c r="M1425" s="14" t="s">
        <v>14</v>
      </c>
      <c r="N1425" s="13">
        <v>12862.08</v>
      </c>
      <c r="O1425" s="15">
        <f t="shared" si="936"/>
        <v>0</v>
      </c>
      <c r="P1425" s="10" t="s">
        <v>84</v>
      </c>
      <c r="Q1425" s="11" t="s">
        <v>3185</v>
      </c>
      <c r="R1425" s="11" t="s">
        <v>3186</v>
      </c>
      <c r="S1425" s="16" t="s">
        <v>3187</v>
      </c>
      <c r="T1425" s="19" t="str">
        <f>MONTH(B1425)&amp;"-"&amp;YEAR(B1425)</f>
        <v>1-2024</v>
      </c>
      <c r="U1425" s="2">
        <f>YEAR(B1425)</f>
        <v>2024</v>
      </c>
      <c r="V1425" s="2" t="str">
        <f>IF(DAY(B1425)&gt;15,MONTH(B1425)&amp;"-C",MONTH(B1425)&amp;"-N")</f>
        <v>1-N</v>
      </c>
      <c r="W1425" s="21">
        <v>10.08</v>
      </c>
      <c r="X1425" s="2" t="b">
        <f t="shared" si="937"/>
        <v>1</v>
      </c>
    </row>
    <row r="1426" spans="2:24" x14ac:dyDescent="0.2">
      <c r="B1426" s="17">
        <v>45302</v>
      </c>
      <c r="C1426" s="10" t="s">
        <v>107</v>
      </c>
      <c r="D1426" s="11">
        <v>170861</v>
      </c>
      <c r="E1426" s="26">
        <v>72268</v>
      </c>
      <c r="F1426" s="10" t="s">
        <v>103</v>
      </c>
      <c r="G1426" s="10" t="s">
        <v>46</v>
      </c>
      <c r="H1426" s="27" t="s">
        <v>104</v>
      </c>
      <c r="I1426" s="28"/>
      <c r="J1426" s="12"/>
      <c r="K1426" s="13">
        <v>190</v>
      </c>
      <c r="L1426" s="21">
        <v>47.46</v>
      </c>
      <c r="M1426" s="14" t="s">
        <v>14</v>
      </c>
      <c r="N1426" s="13">
        <v>9017.4</v>
      </c>
      <c r="O1426" s="15">
        <f t="shared" si="936"/>
        <v>0</v>
      </c>
      <c r="P1426" s="10" t="s">
        <v>84</v>
      </c>
      <c r="Q1426" s="11" t="s">
        <v>3185</v>
      </c>
      <c r="R1426" s="11" t="s">
        <v>3186</v>
      </c>
      <c r="S1426" s="16" t="s">
        <v>3187</v>
      </c>
      <c r="T1426" s="19" t="str">
        <f>MONTH(B1426)&amp;"-"&amp;YEAR(B1426)</f>
        <v>1-2024</v>
      </c>
      <c r="U1426" s="2">
        <f>YEAR(B1426)</f>
        <v>2024</v>
      </c>
      <c r="V1426" s="2" t="str">
        <f>IF(DAY(B1426)&gt;15,MONTH(B1426)&amp;"-C",MONTH(B1426)&amp;"-N")</f>
        <v>1-N</v>
      </c>
      <c r="W1426" s="21">
        <v>47.46</v>
      </c>
      <c r="X1426" s="2" t="b">
        <f t="shared" si="937"/>
        <v>1</v>
      </c>
    </row>
    <row r="1427" spans="2:24" x14ac:dyDescent="0.2">
      <c r="B1427" s="17">
        <v>45302</v>
      </c>
      <c r="C1427" s="10" t="s">
        <v>107</v>
      </c>
      <c r="D1427" s="11">
        <v>170861</v>
      </c>
      <c r="E1427" s="26">
        <v>72268</v>
      </c>
      <c r="F1427" s="10" t="s">
        <v>105</v>
      </c>
      <c r="G1427" s="10" t="s">
        <v>46</v>
      </c>
      <c r="H1427" s="27" t="s">
        <v>106</v>
      </c>
      <c r="I1427" s="28"/>
      <c r="J1427" s="12"/>
      <c r="K1427" s="13">
        <v>5940</v>
      </c>
      <c r="L1427" s="21">
        <v>11.72</v>
      </c>
      <c r="M1427" s="14" t="s">
        <v>14</v>
      </c>
      <c r="N1427" s="13">
        <v>69616.800000000003</v>
      </c>
      <c r="O1427" s="15">
        <f t="shared" ref="O1427:O1429" si="938">(N1427/K1427)-L1427</f>
        <v>0</v>
      </c>
      <c r="P1427" s="10" t="s">
        <v>84</v>
      </c>
      <c r="Q1427" s="11" t="s">
        <v>3185</v>
      </c>
      <c r="R1427" s="11" t="s">
        <v>3186</v>
      </c>
      <c r="S1427" s="16" t="s">
        <v>3187</v>
      </c>
      <c r="T1427" s="19" t="str">
        <f>MONTH(B1427)&amp;"-"&amp;YEAR(B1427)</f>
        <v>1-2024</v>
      </c>
      <c r="U1427" s="2">
        <f>YEAR(B1427)</f>
        <v>2024</v>
      </c>
      <c r="V1427" s="2" t="str">
        <f>IF(DAY(B1427)&gt;15,MONTH(B1427)&amp;"-C",MONTH(B1427)&amp;"-N")</f>
        <v>1-N</v>
      </c>
      <c r="W1427" s="21">
        <v>11.72</v>
      </c>
      <c r="X1427" s="2" t="b">
        <f t="shared" ref="X1427:X1429" si="939">+L1427=W1427</f>
        <v>1</v>
      </c>
    </row>
    <row r="1428" spans="2:24" x14ac:dyDescent="0.2">
      <c r="B1428" s="17">
        <v>45302</v>
      </c>
      <c r="C1428" s="10" t="s">
        <v>107</v>
      </c>
      <c r="D1428" s="11">
        <v>170861</v>
      </c>
      <c r="E1428" s="26">
        <v>72268</v>
      </c>
      <c r="F1428" s="10" t="s">
        <v>2882</v>
      </c>
      <c r="G1428" s="10" t="s">
        <v>46</v>
      </c>
      <c r="H1428" s="27" t="s">
        <v>2883</v>
      </c>
      <c r="I1428" s="28"/>
      <c r="J1428" s="12"/>
      <c r="K1428" s="13">
        <v>320</v>
      </c>
      <c r="L1428" s="21">
        <v>11.11</v>
      </c>
      <c r="M1428" s="14" t="s">
        <v>14</v>
      </c>
      <c r="N1428" s="13">
        <v>3555.2</v>
      </c>
      <c r="O1428" s="15">
        <f t="shared" si="938"/>
        <v>0</v>
      </c>
      <c r="P1428" s="10" t="s">
        <v>84</v>
      </c>
      <c r="Q1428" s="11" t="s">
        <v>3185</v>
      </c>
      <c r="R1428" s="11" t="s">
        <v>3186</v>
      </c>
      <c r="S1428" s="16" t="s">
        <v>3187</v>
      </c>
      <c r="T1428" s="19" t="str">
        <f>MONTH(B1428)&amp;"-"&amp;YEAR(B1428)</f>
        <v>1-2024</v>
      </c>
      <c r="U1428" s="2">
        <f>YEAR(B1428)</f>
        <v>2024</v>
      </c>
      <c r="V1428" s="2" t="str">
        <f>IF(DAY(B1428)&gt;15,MONTH(B1428)&amp;"-C",MONTH(B1428)&amp;"-N")</f>
        <v>1-N</v>
      </c>
      <c r="W1428" s="21">
        <v>11.11</v>
      </c>
      <c r="X1428" s="2" t="b">
        <f t="shared" si="939"/>
        <v>1</v>
      </c>
    </row>
    <row r="1429" spans="2:24" x14ac:dyDescent="0.2">
      <c r="B1429" s="17">
        <v>45303</v>
      </c>
      <c r="C1429" s="10" t="s">
        <v>94</v>
      </c>
      <c r="D1429" s="11">
        <v>170469</v>
      </c>
      <c r="E1429" s="26">
        <v>72280</v>
      </c>
      <c r="F1429" s="10" t="s">
        <v>26</v>
      </c>
      <c r="G1429" s="10" t="s">
        <v>27</v>
      </c>
      <c r="H1429" s="27" t="s">
        <v>28</v>
      </c>
      <c r="I1429" s="28"/>
      <c r="J1429" s="12"/>
      <c r="K1429" s="13">
        <v>18900</v>
      </c>
      <c r="L1429" s="21">
        <v>3.5</v>
      </c>
      <c r="M1429" s="14" t="s">
        <v>14</v>
      </c>
      <c r="N1429" s="13">
        <v>66150</v>
      </c>
      <c r="O1429" s="15">
        <f t="shared" si="938"/>
        <v>0</v>
      </c>
      <c r="P1429" s="10" t="s">
        <v>78</v>
      </c>
      <c r="Q1429" s="11" t="s">
        <v>3188</v>
      </c>
      <c r="R1429" s="11" t="s">
        <v>3189</v>
      </c>
      <c r="S1429" s="16" t="s">
        <v>3190</v>
      </c>
      <c r="T1429" s="19" t="str">
        <f>MONTH(B1429)&amp;"-"&amp;YEAR(B1429)</f>
        <v>1-2024</v>
      </c>
      <c r="U1429" s="2">
        <f>YEAR(B1429)</f>
        <v>2024</v>
      </c>
      <c r="V1429" s="2" t="str">
        <f>IF(DAY(B1429)&gt;15,MONTH(B1429)&amp;"-C",MONTH(B1429)&amp;"-N")</f>
        <v>1-N</v>
      </c>
      <c r="W1429" s="21">
        <v>3.5</v>
      </c>
      <c r="X1429" s="2" t="b">
        <f t="shared" si="939"/>
        <v>1</v>
      </c>
    </row>
    <row r="1430" spans="2:24" x14ac:dyDescent="0.2">
      <c r="B1430" s="17">
        <v>45306</v>
      </c>
      <c r="C1430" s="10" t="s">
        <v>73</v>
      </c>
      <c r="D1430" s="11">
        <v>170673</v>
      </c>
      <c r="E1430" s="26">
        <v>72300</v>
      </c>
      <c r="F1430" s="10" t="s">
        <v>399</v>
      </c>
      <c r="G1430" s="10" t="s">
        <v>46</v>
      </c>
      <c r="H1430" s="27" t="s">
        <v>149</v>
      </c>
      <c r="I1430" s="28"/>
      <c r="J1430" s="12"/>
      <c r="K1430" s="13">
        <v>2160</v>
      </c>
      <c r="L1430" s="21">
        <v>16.8</v>
      </c>
      <c r="M1430" s="14" t="s">
        <v>14</v>
      </c>
      <c r="N1430" s="13">
        <v>36288</v>
      </c>
      <c r="O1430" s="15">
        <f t="shared" ref="O1430:O1436" si="940">(N1430/K1430)-L1430</f>
        <v>0</v>
      </c>
      <c r="P1430" s="10" t="s">
        <v>84</v>
      </c>
      <c r="Q1430" s="11" t="s">
        <v>3191</v>
      </c>
      <c r="R1430" s="11" t="s">
        <v>3192</v>
      </c>
      <c r="S1430" s="16" t="s">
        <v>3193</v>
      </c>
      <c r="T1430" s="19" t="str">
        <f>MONTH(B1430)&amp;"-"&amp;YEAR(B1430)</f>
        <v>1-2024</v>
      </c>
      <c r="U1430" s="2">
        <f>YEAR(B1430)</f>
        <v>2024</v>
      </c>
      <c r="V1430" s="2" t="str">
        <f>IF(DAY(B1430)&gt;15,MONTH(B1430)&amp;"-C",MONTH(B1430)&amp;"-N")</f>
        <v>1-N</v>
      </c>
      <c r="W1430" s="21">
        <v>16.8</v>
      </c>
      <c r="X1430" s="2" t="b">
        <f t="shared" ref="X1430:X1436" si="941">+L1430=W1430</f>
        <v>1</v>
      </c>
    </row>
    <row r="1431" spans="2:24" x14ac:dyDescent="0.2">
      <c r="B1431" s="17">
        <v>45308</v>
      </c>
      <c r="C1431" s="10" t="s">
        <v>94</v>
      </c>
      <c r="D1431" s="11">
        <v>170912</v>
      </c>
      <c r="E1431" s="26">
        <v>72339</v>
      </c>
      <c r="F1431" s="10" t="s">
        <v>26</v>
      </c>
      <c r="G1431" s="10" t="s">
        <v>27</v>
      </c>
      <c r="H1431" s="27" t="s">
        <v>28</v>
      </c>
      <c r="I1431" s="28"/>
      <c r="J1431" s="12"/>
      <c r="K1431" s="13">
        <v>6300</v>
      </c>
      <c r="L1431" s="21">
        <v>3.65</v>
      </c>
      <c r="M1431" s="14" t="s">
        <v>14</v>
      </c>
      <c r="N1431" s="13">
        <v>22995</v>
      </c>
      <c r="O1431" s="15">
        <f t="shared" si="940"/>
        <v>0</v>
      </c>
      <c r="P1431" s="10" t="s">
        <v>78</v>
      </c>
      <c r="Q1431" s="11" t="s">
        <v>3194</v>
      </c>
      <c r="R1431" s="11" t="s">
        <v>3195</v>
      </c>
      <c r="S1431" s="16" t="s">
        <v>3196</v>
      </c>
      <c r="T1431" s="19" t="str">
        <f>MONTH(B1431)&amp;"-"&amp;YEAR(B1431)</f>
        <v>1-2024</v>
      </c>
      <c r="U1431" s="2">
        <f>YEAR(B1431)</f>
        <v>2024</v>
      </c>
      <c r="V1431" s="2" t="str">
        <f>IF(DAY(B1431)&gt;15,MONTH(B1431)&amp;"-C",MONTH(B1431)&amp;"-N")</f>
        <v>1-C</v>
      </c>
      <c r="W1431" s="21">
        <v>3.65</v>
      </c>
      <c r="X1431" s="2" t="b">
        <f t="shared" si="941"/>
        <v>1</v>
      </c>
    </row>
    <row r="1432" spans="2:24" x14ac:dyDescent="0.2">
      <c r="B1432" s="17">
        <v>45308</v>
      </c>
      <c r="C1432" s="10" t="s">
        <v>94</v>
      </c>
      <c r="D1432" s="11">
        <v>170469</v>
      </c>
      <c r="E1432" s="26">
        <v>72359</v>
      </c>
      <c r="F1432" s="10" t="s">
        <v>26</v>
      </c>
      <c r="G1432" s="10" t="s">
        <v>27</v>
      </c>
      <c r="H1432" s="27" t="s">
        <v>28</v>
      </c>
      <c r="I1432" s="28"/>
      <c r="J1432" s="12"/>
      <c r="K1432" s="13">
        <v>3600</v>
      </c>
      <c r="L1432" s="21">
        <v>3.5</v>
      </c>
      <c r="M1432" s="14" t="s">
        <v>14</v>
      </c>
      <c r="N1432" s="13">
        <v>12600</v>
      </c>
      <c r="O1432" s="15">
        <f t="shared" si="940"/>
        <v>0</v>
      </c>
      <c r="P1432" s="10" t="s">
        <v>78</v>
      </c>
      <c r="Q1432" s="11" t="s">
        <v>3197</v>
      </c>
      <c r="R1432" s="11" t="s">
        <v>3198</v>
      </c>
      <c r="S1432" s="16" t="s">
        <v>3199</v>
      </c>
      <c r="T1432" s="19" t="str">
        <f>MONTH(B1432)&amp;"-"&amp;YEAR(B1432)</f>
        <v>1-2024</v>
      </c>
      <c r="U1432" s="2">
        <f>YEAR(B1432)</f>
        <v>2024</v>
      </c>
      <c r="V1432" s="2" t="str">
        <f>IF(DAY(B1432)&gt;15,MONTH(B1432)&amp;"-C",MONTH(B1432)&amp;"-N")</f>
        <v>1-C</v>
      </c>
      <c r="W1432" s="21">
        <v>3.5</v>
      </c>
      <c r="X1432" s="2" t="b">
        <f t="shared" si="941"/>
        <v>1</v>
      </c>
    </row>
    <row r="1433" spans="2:24" x14ac:dyDescent="0.2">
      <c r="B1433" s="17">
        <v>45308</v>
      </c>
      <c r="C1433" s="10" t="s">
        <v>25</v>
      </c>
      <c r="D1433" s="11">
        <v>170938</v>
      </c>
      <c r="E1433" s="26">
        <v>72354</v>
      </c>
      <c r="F1433" s="10" t="s">
        <v>31</v>
      </c>
      <c r="G1433" s="10" t="s">
        <v>27</v>
      </c>
      <c r="H1433" s="27" t="s">
        <v>32</v>
      </c>
      <c r="I1433" s="28"/>
      <c r="J1433" s="12"/>
      <c r="K1433" s="13">
        <v>640</v>
      </c>
      <c r="L1433" s="21">
        <v>4.05</v>
      </c>
      <c r="M1433" s="14" t="s">
        <v>14</v>
      </c>
      <c r="N1433" s="13">
        <v>2592</v>
      </c>
      <c r="O1433" s="15">
        <f t="shared" si="940"/>
        <v>0</v>
      </c>
      <c r="P1433" s="10" t="s">
        <v>78</v>
      </c>
      <c r="Q1433" s="11" t="s">
        <v>3200</v>
      </c>
      <c r="R1433" s="11" t="s">
        <v>3201</v>
      </c>
      <c r="S1433" s="16" t="s">
        <v>3202</v>
      </c>
      <c r="T1433" s="19" t="str">
        <f>MONTH(B1433)&amp;"-"&amp;YEAR(B1433)</f>
        <v>1-2024</v>
      </c>
      <c r="U1433" s="2">
        <f>YEAR(B1433)</f>
        <v>2024</v>
      </c>
      <c r="V1433" s="2" t="str">
        <f>IF(DAY(B1433)&gt;15,MONTH(B1433)&amp;"-C",MONTH(B1433)&amp;"-N")</f>
        <v>1-C</v>
      </c>
      <c r="W1433" s="21">
        <v>4.05</v>
      </c>
      <c r="X1433" s="2" t="b">
        <f t="shared" si="941"/>
        <v>1</v>
      </c>
    </row>
    <row r="1434" spans="2:24" x14ac:dyDescent="0.2">
      <c r="B1434" s="17">
        <v>45308</v>
      </c>
      <c r="C1434" s="10" t="s">
        <v>25</v>
      </c>
      <c r="D1434" s="11">
        <v>170938</v>
      </c>
      <c r="E1434" s="26">
        <v>72354</v>
      </c>
      <c r="F1434" s="10" t="s">
        <v>3054</v>
      </c>
      <c r="G1434" s="10" t="s">
        <v>27</v>
      </c>
      <c r="H1434" s="27" t="s">
        <v>3055</v>
      </c>
      <c r="I1434" s="28"/>
      <c r="J1434" s="12"/>
      <c r="K1434" s="13">
        <v>1920</v>
      </c>
      <c r="L1434" s="21">
        <v>4.21</v>
      </c>
      <c r="M1434" s="14" t="s">
        <v>14</v>
      </c>
      <c r="N1434" s="13">
        <v>8083.2</v>
      </c>
      <c r="O1434" s="15">
        <f t="shared" si="940"/>
        <v>0</v>
      </c>
      <c r="P1434" s="10" t="s">
        <v>78</v>
      </c>
      <c r="Q1434" s="11" t="s">
        <v>3200</v>
      </c>
      <c r="R1434" s="11" t="s">
        <v>3201</v>
      </c>
      <c r="S1434" s="16" t="s">
        <v>3202</v>
      </c>
      <c r="T1434" s="19" t="str">
        <f>MONTH(B1434)&amp;"-"&amp;YEAR(B1434)</f>
        <v>1-2024</v>
      </c>
      <c r="U1434" s="2">
        <f>YEAR(B1434)</f>
        <v>2024</v>
      </c>
      <c r="V1434" s="2" t="str">
        <f>IF(DAY(B1434)&gt;15,MONTH(B1434)&amp;"-C",MONTH(B1434)&amp;"-N")</f>
        <v>1-C</v>
      </c>
      <c r="W1434" s="21">
        <v>4.21</v>
      </c>
      <c r="X1434" s="2" t="b">
        <f t="shared" si="941"/>
        <v>1</v>
      </c>
    </row>
    <row r="1435" spans="2:24" x14ac:dyDescent="0.2">
      <c r="B1435" s="17">
        <v>45308</v>
      </c>
      <c r="C1435" s="10" t="s">
        <v>25</v>
      </c>
      <c r="D1435" s="11">
        <v>170938</v>
      </c>
      <c r="E1435" s="26">
        <v>72354</v>
      </c>
      <c r="F1435" s="10" t="s">
        <v>33</v>
      </c>
      <c r="G1435" s="10" t="s">
        <v>27</v>
      </c>
      <c r="H1435" s="27" t="s">
        <v>34</v>
      </c>
      <c r="I1435" s="28"/>
      <c r="J1435" s="12"/>
      <c r="K1435" s="13">
        <v>2160</v>
      </c>
      <c r="L1435" s="21">
        <v>5.4</v>
      </c>
      <c r="M1435" s="14" t="s">
        <v>14</v>
      </c>
      <c r="N1435" s="13">
        <v>11664</v>
      </c>
      <c r="O1435" s="15">
        <f t="shared" si="940"/>
        <v>0</v>
      </c>
      <c r="P1435" s="10" t="s">
        <v>78</v>
      </c>
      <c r="Q1435" s="11" t="s">
        <v>3200</v>
      </c>
      <c r="R1435" s="11" t="s">
        <v>3201</v>
      </c>
      <c r="S1435" s="16" t="s">
        <v>3202</v>
      </c>
      <c r="T1435" s="19" t="str">
        <f>MONTH(B1435)&amp;"-"&amp;YEAR(B1435)</f>
        <v>1-2024</v>
      </c>
      <c r="U1435" s="2">
        <f>YEAR(B1435)</f>
        <v>2024</v>
      </c>
      <c r="V1435" s="2" t="str">
        <f>IF(DAY(B1435)&gt;15,MONTH(B1435)&amp;"-C",MONTH(B1435)&amp;"-N")</f>
        <v>1-C</v>
      </c>
      <c r="W1435" s="21">
        <v>5.4</v>
      </c>
      <c r="X1435" s="2" t="b">
        <f t="shared" si="941"/>
        <v>1</v>
      </c>
    </row>
    <row r="1436" spans="2:24" x14ac:dyDescent="0.2">
      <c r="B1436" s="17">
        <v>45308</v>
      </c>
      <c r="C1436" s="10" t="s">
        <v>2630</v>
      </c>
      <c r="D1436" s="11">
        <v>170932</v>
      </c>
      <c r="E1436" s="26">
        <v>72346</v>
      </c>
      <c r="F1436" s="10" t="s">
        <v>29</v>
      </c>
      <c r="G1436" s="10" t="s">
        <v>27</v>
      </c>
      <c r="H1436" s="27" t="s">
        <v>30</v>
      </c>
      <c r="I1436" s="28"/>
      <c r="J1436" s="12"/>
      <c r="K1436" s="13">
        <v>3960</v>
      </c>
      <c r="L1436" s="21">
        <v>3.75</v>
      </c>
      <c r="M1436" s="14" t="s">
        <v>14</v>
      </c>
      <c r="N1436" s="13">
        <v>14850</v>
      </c>
      <c r="O1436" s="15">
        <f t="shared" si="940"/>
        <v>0</v>
      </c>
      <c r="P1436" s="10" t="s">
        <v>78</v>
      </c>
      <c r="Q1436" s="11" t="s">
        <v>3203</v>
      </c>
      <c r="R1436" s="11" t="s">
        <v>3204</v>
      </c>
      <c r="S1436" s="16" t="s">
        <v>3205</v>
      </c>
      <c r="T1436" s="19" t="str">
        <f>MONTH(B1436)&amp;"-"&amp;YEAR(B1436)</f>
        <v>1-2024</v>
      </c>
      <c r="U1436" s="2">
        <f>YEAR(B1436)</f>
        <v>2024</v>
      </c>
      <c r="V1436" s="2" t="str">
        <f>IF(DAY(B1436)&gt;15,MONTH(B1436)&amp;"-C",MONTH(B1436)&amp;"-N")</f>
        <v>1-C</v>
      </c>
      <c r="W1436" s="21">
        <v>3.75</v>
      </c>
      <c r="X1436" s="2" t="b">
        <f t="shared" si="941"/>
        <v>1</v>
      </c>
    </row>
    <row r="1437" spans="2:24" x14ac:dyDescent="0.2">
      <c r="B1437" s="17">
        <v>45310</v>
      </c>
      <c r="C1437" s="10" t="s">
        <v>25</v>
      </c>
      <c r="D1437" s="11">
        <v>170913</v>
      </c>
      <c r="E1437" s="26">
        <v>72384</v>
      </c>
      <c r="F1437" s="10" t="s">
        <v>26</v>
      </c>
      <c r="G1437" s="10" t="s">
        <v>27</v>
      </c>
      <c r="H1437" s="27" t="s">
        <v>28</v>
      </c>
      <c r="I1437" s="28"/>
      <c r="J1437" s="12"/>
      <c r="K1437" s="13">
        <v>15300</v>
      </c>
      <c r="L1437" s="21">
        <v>3.65</v>
      </c>
      <c r="M1437" s="14" t="s">
        <v>14</v>
      </c>
      <c r="N1437" s="13">
        <v>55845</v>
      </c>
      <c r="O1437" s="15">
        <f t="shared" ref="O1437" si="942">(N1437/K1437)-L1437</f>
        <v>0</v>
      </c>
      <c r="P1437" s="10" t="s">
        <v>78</v>
      </c>
      <c r="Q1437" s="11" t="s">
        <v>3206</v>
      </c>
      <c r="R1437" s="11" t="s">
        <v>3207</v>
      </c>
      <c r="S1437" s="16" t="s">
        <v>3208</v>
      </c>
      <c r="T1437" s="19" t="str">
        <f>MONTH(B1437)&amp;"-"&amp;YEAR(B1437)</f>
        <v>1-2024</v>
      </c>
      <c r="U1437" s="2">
        <f>YEAR(B1437)</f>
        <v>2024</v>
      </c>
      <c r="V1437" s="2" t="str">
        <f>IF(DAY(B1437)&gt;15,MONTH(B1437)&amp;"-C",MONTH(B1437)&amp;"-N")</f>
        <v>1-C</v>
      </c>
      <c r="W1437" s="21">
        <v>3.65</v>
      </c>
      <c r="X1437" s="2" t="b">
        <f t="shared" ref="X1437" si="943">+L1437=W1437</f>
        <v>1</v>
      </c>
    </row>
    <row r="1438" spans="2:24" x14ac:dyDescent="0.2">
      <c r="B1438" s="17">
        <v>45315</v>
      </c>
      <c r="C1438" s="10" t="s">
        <v>25</v>
      </c>
      <c r="D1438" s="11">
        <v>170913</v>
      </c>
      <c r="E1438" s="26">
        <v>72452</v>
      </c>
      <c r="F1438" s="10" t="s">
        <v>26</v>
      </c>
      <c r="G1438" s="10" t="s">
        <v>27</v>
      </c>
      <c r="H1438" s="27" t="s">
        <v>28</v>
      </c>
      <c r="I1438" s="28"/>
      <c r="J1438" s="12"/>
      <c r="K1438" s="13">
        <v>17100</v>
      </c>
      <c r="L1438" s="21">
        <v>3.65</v>
      </c>
      <c r="M1438" s="14" t="s">
        <v>14</v>
      </c>
      <c r="N1438" s="13">
        <v>62415</v>
      </c>
      <c r="O1438" s="15">
        <f t="shared" ref="O1438" si="944">(N1438/K1438)-L1438</f>
        <v>0</v>
      </c>
      <c r="P1438" s="10" t="s">
        <v>78</v>
      </c>
      <c r="Q1438" s="11" t="s">
        <v>3209</v>
      </c>
      <c r="R1438" s="11" t="s">
        <v>3210</v>
      </c>
      <c r="S1438" s="16" t="s">
        <v>3211</v>
      </c>
      <c r="T1438" s="19" t="str">
        <f>MONTH(B1438)&amp;"-"&amp;YEAR(B1438)</f>
        <v>1-2024</v>
      </c>
      <c r="U1438" s="2">
        <f>YEAR(B1438)</f>
        <v>2024</v>
      </c>
      <c r="V1438" s="2" t="str">
        <f>IF(DAY(B1438)&gt;15,MONTH(B1438)&amp;"-C",MONTH(B1438)&amp;"-N")</f>
        <v>1-C</v>
      </c>
      <c r="W1438" s="21">
        <v>3.65</v>
      </c>
      <c r="X1438" s="2" t="b">
        <f t="shared" ref="X1438" si="945">+L1438=W1438</f>
        <v>1</v>
      </c>
    </row>
    <row r="1439" spans="2:24" x14ac:dyDescent="0.2">
      <c r="B1439" s="17">
        <v>45320</v>
      </c>
      <c r="C1439" s="10" t="s">
        <v>94</v>
      </c>
      <c r="D1439" s="11">
        <v>170912</v>
      </c>
      <c r="E1439" s="26">
        <v>72519</v>
      </c>
      <c r="F1439" s="10" t="s">
        <v>26</v>
      </c>
      <c r="G1439" s="10" t="s">
        <v>27</v>
      </c>
      <c r="H1439" s="27" t="s">
        <v>28</v>
      </c>
      <c r="I1439" s="28"/>
      <c r="J1439" s="12"/>
      <c r="K1439" s="13">
        <v>19800</v>
      </c>
      <c r="L1439" s="21">
        <v>3.65</v>
      </c>
      <c r="M1439" s="14" t="s">
        <v>14</v>
      </c>
      <c r="N1439" s="13">
        <v>72270</v>
      </c>
      <c r="O1439" s="15">
        <f t="shared" ref="O1439" si="946">(N1439/K1439)-L1439</f>
        <v>0</v>
      </c>
      <c r="P1439" s="10" t="s">
        <v>78</v>
      </c>
      <c r="Q1439" s="11" t="s">
        <v>3212</v>
      </c>
      <c r="R1439" s="11" t="s">
        <v>3213</v>
      </c>
      <c r="S1439" s="16" t="s">
        <v>3214</v>
      </c>
      <c r="T1439" s="19" t="str">
        <f>MONTH(B1439)&amp;"-"&amp;YEAR(B1439)</f>
        <v>1-2024</v>
      </c>
      <c r="U1439" s="2">
        <f>YEAR(B1439)</f>
        <v>2024</v>
      </c>
      <c r="V1439" s="2" t="str">
        <f>IF(DAY(B1439)&gt;15,MONTH(B1439)&amp;"-C",MONTH(B1439)&amp;"-N")</f>
        <v>1-C</v>
      </c>
      <c r="W1439" s="21">
        <v>3.65</v>
      </c>
      <c r="X1439" s="2" t="b">
        <f t="shared" ref="X1439" si="947">+L1439=W1439</f>
        <v>1</v>
      </c>
    </row>
    <row r="1440" spans="2:24" x14ac:dyDescent="0.2">
      <c r="B1440" s="17">
        <v>45327</v>
      </c>
      <c r="C1440" s="10" t="s">
        <v>25</v>
      </c>
      <c r="D1440" s="11">
        <v>170913</v>
      </c>
      <c r="E1440" s="26">
        <v>72614</v>
      </c>
      <c r="F1440" s="10" t="s">
        <v>26</v>
      </c>
      <c r="G1440" s="10" t="s">
        <v>27</v>
      </c>
      <c r="H1440" s="27" t="s">
        <v>28</v>
      </c>
      <c r="I1440" s="28"/>
      <c r="J1440" s="12"/>
      <c r="K1440" s="13">
        <v>19800</v>
      </c>
      <c r="L1440" s="21">
        <v>3.65</v>
      </c>
      <c r="M1440" s="14" t="s">
        <v>14</v>
      </c>
      <c r="N1440" s="13">
        <v>72270</v>
      </c>
      <c r="O1440" s="15">
        <f t="shared" ref="O1440" si="948">(N1440/K1440)-L1440</f>
        <v>0</v>
      </c>
      <c r="P1440" s="10" t="s">
        <v>78</v>
      </c>
      <c r="Q1440" s="11" t="s">
        <v>3216</v>
      </c>
      <c r="R1440" s="11" t="s">
        <v>3217</v>
      </c>
      <c r="S1440" s="16" t="s">
        <v>3218</v>
      </c>
      <c r="T1440" s="19" t="str">
        <f>MONTH(B1440)&amp;"-"&amp;YEAR(B1440)</f>
        <v>2-2024</v>
      </c>
      <c r="U1440" s="2">
        <f>YEAR(B1440)</f>
        <v>2024</v>
      </c>
      <c r="V1440" s="2" t="str">
        <f>IF(DAY(B1440)&gt;15,MONTH(B1440)&amp;"-C",MONTH(B1440)&amp;"-N")</f>
        <v>2-N</v>
      </c>
      <c r="W1440" s="21">
        <v>3.65</v>
      </c>
      <c r="X1440" s="2" t="b">
        <f t="shared" ref="X1440" si="949">+L1440=W1440</f>
        <v>1</v>
      </c>
    </row>
    <row r="1441" spans="2:24" x14ac:dyDescent="0.2">
      <c r="B1441" s="17">
        <v>45330</v>
      </c>
      <c r="C1441" s="10" t="s">
        <v>25</v>
      </c>
      <c r="D1441" s="11">
        <v>170913</v>
      </c>
      <c r="E1441" s="26">
        <v>72712</v>
      </c>
      <c r="F1441" s="10" t="s">
        <v>26</v>
      </c>
      <c r="G1441" s="10" t="s">
        <v>27</v>
      </c>
      <c r="H1441" s="27" t="s">
        <v>28</v>
      </c>
      <c r="I1441" s="28"/>
      <c r="J1441" s="12"/>
      <c r="K1441" s="13">
        <v>19800</v>
      </c>
      <c r="L1441" s="21">
        <v>3.65</v>
      </c>
      <c r="M1441" s="14" t="s">
        <v>14</v>
      </c>
      <c r="N1441" s="13">
        <v>72270</v>
      </c>
      <c r="O1441" s="15">
        <f t="shared" ref="O1441:O1450" si="950">(N1441/K1441)-L1441</f>
        <v>0</v>
      </c>
      <c r="P1441" s="10" t="s">
        <v>78</v>
      </c>
      <c r="Q1441" s="11" t="s">
        <v>3219</v>
      </c>
      <c r="R1441" s="11" t="s">
        <v>3220</v>
      </c>
      <c r="S1441" s="16" t="s">
        <v>3221</v>
      </c>
      <c r="T1441" s="19" t="str">
        <f>MONTH(B1441)&amp;"-"&amp;YEAR(B1441)</f>
        <v>2-2024</v>
      </c>
      <c r="U1441" s="2">
        <f>YEAR(B1441)</f>
        <v>2024</v>
      </c>
      <c r="V1441" s="2" t="str">
        <f>IF(DAY(B1441)&gt;15,MONTH(B1441)&amp;"-C",MONTH(B1441)&amp;"-N")</f>
        <v>2-N</v>
      </c>
      <c r="W1441" s="21">
        <v>3.65</v>
      </c>
      <c r="X1441" s="2" t="b">
        <f t="shared" ref="X1441:X1450" si="951">+L1441=W1441</f>
        <v>1</v>
      </c>
    </row>
    <row r="1442" spans="2:24" x14ac:dyDescent="0.2">
      <c r="B1442" s="17">
        <v>45330</v>
      </c>
      <c r="C1442" s="10" t="s">
        <v>107</v>
      </c>
      <c r="D1442" s="11">
        <v>171964</v>
      </c>
      <c r="E1442" s="26">
        <v>72714</v>
      </c>
      <c r="F1442" s="10" t="s">
        <v>142</v>
      </c>
      <c r="G1442" s="10" t="s">
        <v>46</v>
      </c>
      <c r="H1442" s="27" t="s">
        <v>143</v>
      </c>
      <c r="I1442" s="28"/>
      <c r="J1442" s="12"/>
      <c r="K1442" s="13">
        <v>880</v>
      </c>
      <c r="L1442" s="21">
        <v>10.08</v>
      </c>
      <c r="M1442" s="14" t="s">
        <v>14</v>
      </c>
      <c r="N1442" s="13">
        <v>8870.4</v>
      </c>
      <c r="O1442" s="15">
        <f t="shared" si="950"/>
        <v>0</v>
      </c>
      <c r="P1442" s="10" t="s">
        <v>84</v>
      </c>
      <c r="Q1442" s="11" t="s">
        <v>3222</v>
      </c>
      <c r="R1442" s="11" t="s">
        <v>3223</v>
      </c>
      <c r="S1442" s="16" t="s">
        <v>3224</v>
      </c>
      <c r="T1442" s="19" t="str">
        <f>MONTH(B1442)&amp;"-"&amp;YEAR(B1442)</f>
        <v>2-2024</v>
      </c>
      <c r="U1442" s="2">
        <f>YEAR(B1442)</f>
        <v>2024</v>
      </c>
      <c r="V1442" s="2" t="str">
        <f>IF(DAY(B1442)&gt;15,MONTH(B1442)&amp;"-C",MONTH(B1442)&amp;"-N")</f>
        <v>2-N</v>
      </c>
      <c r="W1442" s="21">
        <v>10.08</v>
      </c>
      <c r="X1442" s="2" t="b">
        <f t="shared" si="951"/>
        <v>1</v>
      </c>
    </row>
    <row r="1443" spans="2:24" x14ac:dyDescent="0.2">
      <c r="B1443" s="17">
        <v>45330</v>
      </c>
      <c r="C1443" s="10" t="s">
        <v>107</v>
      </c>
      <c r="D1443" s="11">
        <v>171964</v>
      </c>
      <c r="E1443" s="26">
        <v>72714</v>
      </c>
      <c r="F1443" s="10" t="s">
        <v>103</v>
      </c>
      <c r="G1443" s="10" t="s">
        <v>46</v>
      </c>
      <c r="H1443" s="27" t="s">
        <v>104</v>
      </c>
      <c r="I1443" s="28"/>
      <c r="J1443" s="12"/>
      <c r="K1443" s="13">
        <v>190</v>
      </c>
      <c r="L1443" s="21">
        <v>47.46</v>
      </c>
      <c r="M1443" s="14" t="s">
        <v>14</v>
      </c>
      <c r="N1443" s="13">
        <v>9017.4</v>
      </c>
      <c r="O1443" s="15">
        <f t="shared" si="950"/>
        <v>0</v>
      </c>
      <c r="P1443" s="10" t="s">
        <v>84</v>
      </c>
      <c r="Q1443" s="11" t="s">
        <v>3222</v>
      </c>
      <c r="R1443" s="11" t="s">
        <v>3223</v>
      </c>
      <c r="S1443" s="16" t="s">
        <v>3224</v>
      </c>
      <c r="T1443" s="19" t="str">
        <f>MONTH(B1443)&amp;"-"&amp;YEAR(B1443)</f>
        <v>2-2024</v>
      </c>
      <c r="U1443" s="2">
        <f>YEAR(B1443)</f>
        <v>2024</v>
      </c>
      <c r="V1443" s="2" t="str">
        <f>IF(DAY(B1443)&gt;15,MONTH(B1443)&amp;"-C",MONTH(B1443)&amp;"-N")</f>
        <v>2-N</v>
      </c>
      <c r="W1443" s="21">
        <v>47.46</v>
      </c>
      <c r="X1443" s="2" t="b">
        <f t="shared" si="951"/>
        <v>1</v>
      </c>
    </row>
    <row r="1444" spans="2:24" x14ac:dyDescent="0.2">
      <c r="B1444" s="17">
        <v>45330</v>
      </c>
      <c r="C1444" s="10" t="s">
        <v>107</v>
      </c>
      <c r="D1444" s="11">
        <v>171964</v>
      </c>
      <c r="E1444" s="26">
        <v>72714</v>
      </c>
      <c r="F1444" s="10" t="s">
        <v>105</v>
      </c>
      <c r="G1444" s="10" t="s">
        <v>46</v>
      </c>
      <c r="H1444" s="27" t="s">
        <v>106</v>
      </c>
      <c r="I1444" s="28"/>
      <c r="J1444" s="12"/>
      <c r="K1444" s="13">
        <v>4400</v>
      </c>
      <c r="L1444" s="21">
        <v>11.72</v>
      </c>
      <c r="M1444" s="14" t="s">
        <v>14</v>
      </c>
      <c r="N1444" s="13">
        <v>51568</v>
      </c>
      <c r="O1444" s="15">
        <f t="shared" si="950"/>
        <v>0</v>
      </c>
      <c r="P1444" s="10" t="s">
        <v>84</v>
      </c>
      <c r="Q1444" s="11" t="s">
        <v>3222</v>
      </c>
      <c r="R1444" s="11" t="s">
        <v>3223</v>
      </c>
      <c r="S1444" s="16" t="s">
        <v>3224</v>
      </c>
      <c r="T1444" s="19" t="str">
        <f>MONTH(B1444)&amp;"-"&amp;YEAR(B1444)</f>
        <v>2-2024</v>
      </c>
      <c r="U1444" s="2">
        <f>YEAR(B1444)</f>
        <v>2024</v>
      </c>
      <c r="V1444" s="2" t="str">
        <f>IF(DAY(B1444)&gt;15,MONTH(B1444)&amp;"-C",MONTH(B1444)&amp;"-N")</f>
        <v>2-N</v>
      </c>
      <c r="W1444" s="21">
        <v>11.72</v>
      </c>
      <c r="X1444" s="2" t="b">
        <f t="shared" si="951"/>
        <v>1</v>
      </c>
    </row>
    <row r="1445" spans="2:24" x14ac:dyDescent="0.2">
      <c r="B1445" s="17">
        <v>45330</v>
      </c>
      <c r="C1445" s="10" t="s">
        <v>107</v>
      </c>
      <c r="D1445" s="11">
        <v>171964</v>
      </c>
      <c r="E1445" s="26">
        <v>72714</v>
      </c>
      <c r="F1445" s="10" t="s">
        <v>2882</v>
      </c>
      <c r="G1445" s="10" t="s">
        <v>46</v>
      </c>
      <c r="H1445" s="27" t="s">
        <v>2883</v>
      </c>
      <c r="I1445" s="28"/>
      <c r="J1445" s="12"/>
      <c r="K1445" s="13">
        <v>220</v>
      </c>
      <c r="L1445" s="21">
        <v>11.11</v>
      </c>
      <c r="M1445" s="14" t="s">
        <v>14</v>
      </c>
      <c r="N1445" s="13">
        <v>2444.1999999999998</v>
      </c>
      <c r="O1445" s="15">
        <f t="shared" si="950"/>
        <v>0</v>
      </c>
      <c r="P1445" s="10" t="s">
        <v>84</v>
      </c>
      <c r="Q1445" s="11" t="s">
        <v>3222</v>
      </c>
      <c r="R1445" s="11" t="s">
        <v>3223</v>
      </c>
      <c r="S1445" s="16" t="s">
        <v>3224</v>
      </c>
      <c r="T1445" s="19" t="str">
        <f>MONTH(B1445)&amp;"-"&amp;YEAR(B1445)</f>
        <v>2-2024</v>
      </c>
      <c r="U1445" s="2">
        <f>YEAR(B1445)</f>
        <v>2024</v>
      </c>
      <c r="V1445" s="2" t="str">
        <f>IF(DAY(B1445)&gt;15,MONTH(B1445)&amp;"-C",MONTH(B1445)&amp;"-N")</f>
        <v>2-N</v>
      </c>
      <c r="W1445" s="21">
        <v>11.11</v>
      </c>
      <c r="X1445" s="2" t="b">
        <f t="shared" si="951"/>
        <v>1</v>
      </c>
    </row>
    <row r="1446" spans="2:24" x14ac:dyDescent="0.2">
      <c r="B1446" s="17">
        <v>45330</v>
      </c>
      <c r="C1446" s="10" t="s">
        <v>88</v>
      </c>
      <c r="D1446" s="11">
        <v>170107</v>
      </c>
      <c r="E1446" s="26">
        <v>72715</v>
      </c>
      <c r="F1446" s="10" t="s">
        <v>98</v>
      </c>
      <c r="G1446" s="10" t="s">
        <v>46</v>
      </c>
      <c r="H1446" s="27" t="s">
        <v>99</v>
      </c>
      <c r="I1446" s="28"/>
      <c r="J1446" s="12"/>
      <c r="K1446" s="13">
        <v>20</v>
      </c>
      <c r="L1446" s="21">
        <v>11.25</v>
      </c>
      <c r="M1446" s="14" t="s">
        <v>14</v>
      </c>
      <c r="N1446" s="13">
        <v>225</v>
      </c>
      <c r="O1446" s="15">
        <f t="shared" si="950"/>
        <v>0</v>
      </c>
      <c r="P1446" s="10" t="s">
        <v>84</v>
      </c>
      <c r="Q1446" s="11" t="s">
        <v>3225</v>
      </c>
      <c r="R1446" s="11" t="s">
        <v>3226</v>
      </c>
      <c r="S1446" s="16" t="s">
        <v>3227</v>
      </c>
      <c r="T1446" s="19" t="str">
        <f>MONTH(B1446)&amp;"-"&amp;YEAR(B1446)</f>
        <v>2-2024</v>
      </c>
      <c r="U1446" s="2">
        <f>YEAR(B1446)</f>
        <v>2024</v>
      </c>
      <c r="V1446" s="2" t="str">
        <f>IF(DAY(B1446)&gt;15,MONTH(B1446)&amp;"-C",MONTH(B1446)&amp;"-N")</f>
        <v>2-N</v>
      </c>
      <c r="W1446" s="21">
        <v>11.25</v>
      </c>
      <c r="X1446" s="2" t="b">
        <f t="shared" si="951"/>
        <v>1</v>
      </c>
    </row>
    <row r="1447" spans="2:24" x14ac:dyDescent="0.2">
      <c r="B1447" s="17">
        <v>45330</v>
      </c>
      <c r="C1447" s="10" t="s">
        <v>88</v>
      </c>
      <c r="D1447" s="11">
        <v>170510</v>
      </c>
      <c r="E1447" s="26">
        <v>72715</v>
      </c>
      <c r="F1447" s="10" t="s">
        <v>98</v>
      </c>
      <c r="G1447" s="10" t="s">
        <v>46</v>
      </c>
      <c r="H1447" s="27" t="s">
        <v>99</v>
      </c>
      <c r="I1447" s="28"/>
      <c r="J1447" s="12"/>
      <c r="K1447" s="13">
        <v>20</v>
      </c>
      <c r="L1447" s="21">
        <v>11.25</v>
      </c>
      <c r="M1447" s="14" t="s">
        <v>14</v>
      </c>
      <c r="N1447" s="13">
        <v>225</v>
      </c>
      <c r="O1447" s="15">
        <f t="shared" si="950"/>
        <v>0</v>
      </c>
      <c r="P1447" s="10" t="s">
        <v>84</v>
      </c>
      <c r="Q1447" s="11" t="s">
        <v>3225</v>
      </c>
      <c r="R1447" s="11" t="s">
        <v>3226</v>
      </c>
      <c r="S1447" s="16" t="s">
        <v>3227</v>
      </c>
      <c r="T1447" s="19" t="str">
        <f>MONTH(B1447)&amp;"-"&amp;YEAR(B1447)</f>
        <v>2-2024</v>
      </c>
      <c r="U1447" s="2">
        <f>YEAR(B1447)</f>
        <v>2024</v>
      </c>
      <c r="V1447" s="2" t="str">
        <f>IF(DAY(B1447)&gt;15,MONTH(B1447)&amp;"-C",MONTH(B1447)&amp;"-N")</f>
        <v>2-N</v>
      </c>
      <c r="W1447" s="21">
        <v>11.25</v>
      </c>
      <c r="X1447" s="2" t="b">
        <f t="shared" si="951"/>
        <v>1</v>
      </c>
    </row>
    <row r="1448" spans="2:24" x14ac:dyDescent="0.2">
      <c r="B1448" s="17">
        <v>45330</v>
      </c>
      <c r="C1448" s="10" t="s">
        <v>88</v>
      </c>
      <c r="D1448" s="11">
        <v>170510</v>
      </c>
      <c r="E1448" s="26">
        <v>72715</v>
      </c>
      <c r="F1448" s="10" t="s">
        <v>100</v>
      </c>
      <c r="G1448" s="10" t="s">
        <v>46</v>
      </c>
      <c r="H1448" s="27" t="s">
        <v>101</v>
      </c>
      <c r="I1448" s="28"/>
      <c r="J1448" s="12"/>
      <c r="K1448" s="13">
        <v>2000</v>
      </c>
      <c r="L1448" s="21">
        <v>13.22</v>
      </c>
      <c r="M1448" s="14" t="s">
        <v>14</v>
      </c>
      <c r="N1448" s="13">
        <v>26440</v>
      </c>
      <c r="O1448" s="15">
        <f t="shared" si="950"/>
        <v>0</v>
      </c>
      <c r="P1448" s="10" t="s">
        <v>84</v>
      </c>
      <c r="Q1448" s="11" t="s">
        <v>3225</v>
      </c>
      <c r="R1448" s="11" t="s">
        <v>3226</v>
      </c>
      <c r="S1448" s="16" t="s">
        <v>3227</v>
      </c>
      <c r="T1448" s="19" t="str">
        <f>MONTH(B1448)&amp;"-"&amp;YEAR(B1448)</f>
        <v>2-2024</v>
      </c>
      <c r="U1448" s="2">
        <f>YEAR(B1448)</f>
        <v>2024</v>
      </c>
      <c r="V1448" s="2" t="str">
        <f>IF(DAY(B1448)&gt;15,MONTH(B1448)&amp;"-C",MONTH(B1448)&amp;"-N")</f>
        <v>2-N</v>
      </c>
      <c r="W1448" s="21">
        <v>13.22</v>
      </c>
      <c r="X1448" s="2" t="b">
        <f t="shared" si="951"/>
        <v>1</v>
      </c>
    </row>
    <row r="1449" spans="2:24" x14ac:dyDescent="0.2">
      <c r="B1449" s="17">
        <v>45332</v>
      </c>
      <c r="C1449" s="10" t="s">
        <v>73</v>
      </c>
      <c r="D1449" s="11">
        <v>171026</v>
      </c>
      <c r="E1449" s="26">
        <v>72754</v>
      </c>
      <c r="F1449" s="10" t="s">
        <v>399</v>
      </c>
      <c r="G1449" s="10" t="s">
        <v>46</v>
      </c>
      <c r="H1449" s="27" t="s">
        <v>149</v>
      </c>
      <c r="I1449" s="28"/>
      <c r="J1449" s="12"/>
      <c r="K1449" s="13">
        <v>2160</v>
      </c>
      <c r="L1449" s="21">
        <v>16.8</v>
      </c>
      <c r="M1449" s="14" t="s">
        <v>14</v>
      </c>
      <c r="N1449" s="13">
        <v>36288</v>
      </c>
      <c r="O1449" s="15">
        <f t="shared" si="950"/>
        <v>0</v>
      </c>
      <c r="P1449" s="10" t="s">
        <v>84</v>
      </c>
      <c r="Q1449" s="11" t="s">
        <v>3228</v>
      </c>
      <c r="R1449" s="11" t="s">
        <v>3229</v>
      </c>
      <c r="S1449" s="16" t="s">
        <v>3230</v>
      </c>
      <c r="T1449" s="19" t="str">
        <f>MONTH(B1449)&amp;"-"&amp;YEAR(B1449)</f>
        <v>2-2024</v>
      </c>
      <c r="U1449" s="2">
        <f>YEAR(B1449)</f>
        <v>2024</v>
      </c>
      <c r="V1449" s="2" t="str">
        <f>IF(DAY(B1449)&gt;15,MONTH(B1449)&amp;"-C",MONTH(B1449)&amp;"-N")</f>
        <v>2-N</v>
      </c>
      <c r="W1449" s="21">
        <v>16.8</v>
      </c>
      <c r="X1449" s="2" t="b">
        <f t="shared" si="951"/>
        <v>1</v>
      </c>
    </row>
    <row r="1450" spans="2:24" x14ac:dyDescent="0.2">
      <c r="B1450" s="17">
        <v>45335</v>
      </c>
      <c r="C1450" s="10" t="s">
        <v>2630</v>
      </c>
      <c r="D1450" s="11">
        <v>170932</v>
      </c>
      <c r="E1450" s="26">
        <v>72771</v>
      </c>
      <c r="F1450" s="10" t="s">
        <v>29</v>
      </c>
      <c r="G1450" s="10" t="s">
        <v>27</v>
      </c>
      <c r="H1450" s="27" t="s">
        <v>30</v>
      </c>
      <c r="I1450" s="28"/>
      <c r="J1450" s="12"/>
      <c r="K1450" s="13">
        <v>3960</v>
      </c>
      <c r="L1450" s="21">
        <v>3.75</v>
      </c>
      <c r="M1450" s="14" t="s">
        <v>14</v>
      </c>
      <c r="N1450" s="13">
        <v>14850</v>
      </c>
      <c r="O1450" s="15">
        <f t="shared" si="950"/>
        <v>0</v>
      </c>
      <c r="P1450" s="10" t="s">
        <v>78</v>
      </c>
      <c r="Q1450" s="11" t="s">
        <v>3231</v>
      </c>
      <c r="R1450" s="11" t="s">
        <v>3232</v>
      </c>
      <c r="S1450" s="16" t="s">
        <v>3233</v>
      </c>
      <c r="T1450" s="19" t="str">
        <f>MONTH(B1450)&amp;"-"&amp;YEAR(B1450)</f>
        <v>2-2024</v>
      </c>
      <c r="U1450" s="2">
        <f>YEAR(B1450)</f>
        <v>2024</v>
      </c>
      <c r="V1450" s="2" t="str">
        <f>IF(DAY(B1450)&gt;15,MONTH(B1450)&amp;"-C",MONTH(B1450)&amp;"-N")</f>
        <v>2-N</v>
      </c>
      <c r="W1450" s="21">
        <v>3.75</v>
      </c>
      <c r="X1450" s="2" t="b">
        <f t="shared" si="951"/>
        <v>1</v>
      </c>
    </row>
    <row r="1451" spans="2:24" x14ac:dyDescent="0.2">
      <c r="B1451" s="17">
        <v>45337</v>
      </c>
      <c r="C1451" s="10" t="s">
        <v>3234</v>
      </c>
      <c r="D1451" s="11">
        <v>172028</v>
      </c>
      <c r="E1451" s="26">
        <v>72792</v>
      </c>
      <c r="F1451" s="10" t="s">
        <v>2176</v>
      </c>
      <c r="G1451" s="10" t="s">
        <v>46</v>
      </c>
      <c r="H1451" s="27" t="s">
        <v>2177</v>
      </c>
      <c r="I1451" s="28"/>
      <c r="J1451" s="12"/>
      <c r="K1451" s="13">
        <v>1150</v>
      </c>
      <c r="L1451" s="21">
        <v>10.3</v>
      </c>
      <c r="M1451" s="14" t="s">
        <v>14</v>
      </c>
      <c r="N1451" s="13">
        <v>11845</v>
      </c>
      <c r="O1451" s="15">
        <f t="shared" ref="O1451:O1455" si="952">(N1451/K1451)-L1451</f>
        <v>0</v>
      </c>
      <c r="P1451" s="10" t="s">
        <v>84</v>
      </c>
      <c r="Q1451" s="11" t="s">
        <v>3235</v>
      </c>
      <c r="R1451" s="11" t="s">
        <v>3236</v>
      </c>
      <c r="S1451" s="16" t="s">
        <v>3237</v>
      </c>
      <c r="T1451" s="19" t="str">
        <f>MONTH(B1451)&amp;"-"&amp;YEAR(B1451)</f>
        <v>2-2024</v>
      </c>
      <c r="U1451" s="2">
        <f>YEAR(B1451)</f>
        <v>2024</v>
      </c>
      <c r="V1451" s="2" t="str">
        <f>IF(DAY(B1451)&gt;15,MONTH(B1451)&amp;"-C",MONTH(B1451)&amp;"-N")</f>
        <v>2-N</v>
      </c>
      <c r="W1451" s="21">
        <v>10.3</v>
      </c>
      <c r="X1451" s="2" t="b">
        <f t="shared" ref="X1451:X1455" si="953">+L1451=W1451</f>
        <v>1</v>
      </c>
    </row>
    <row r="1452" spans="2:24" x14ac:dyDescent="0.2">
      <c r="B1452" s="17">
        <v>45337</v>
      </c>
      <c r="C1452" s="10" t="s">
        <v>3234</v>
      </c>
      <c r="D1452" s="11">
        <v>172028</v>
      </c>
      <c r="E1452" s="26">
        <v>72792</v>
      </c>
      <c r="F1452" s="10" t="s">
        <v>3238</v>
      </c>
      <c r="G1452" s="10" t="s">
        <v>46</v>
      </c>
      <c r="H1452" s="27" t="s">
        <v>2172</v>
      </c>
      <c r="I1452" s="28"/>
      <c r="J1452" s="12"/>
      <c r="K1452" s="13">
        <v>1000</v>
      </c>
      <c r="L1452" s="21">
        <v>10.3</v>
      </c>
      <c r="M1452" s="14" t="s">
        <v>14</v>
      </c>
      <c r="N1452" s="13">
        <v>10300</v>
      </c>
      <c r="O1452" s="15">
        <f t="shared" si="952"/>
        <v>0</v>
      </c>
      <c r="P1452" s="10" t="s">
        <v>84</v>
      </c>
      <c r="Q1452" s="11" t="s">
        <v>3235</v>
      </c>
      <c r="R1452" s="11" t="s">
        <v>3236</v>
      </c>
      <c r="S1452" s="16" t="s">
        <v>3237</v>
      </c>
      <c r="T1452" s="19" t="str">
        <f>MONTH(B1452)&amp;"-"&amp;YEAR(B1452)</f>
        <v>2-2024</v>
      </c>
      <c r="U1452" s="2">
        <f>YEAR(B1452)</f>
        <v>2024</v>
      </c>
      <c r="V1452" s="2" t="str">
        <f>IF(DAY(B1452)&gt;15,MONTH(B1452)&amp;"-C",MONTH(B1452)&amp;"-N")</f>
        <v>2-N</v>
      </c>
      <c r="W1452" s="21">
        <v>10.3</v>
      </c>
      <c r="X1452" s="2" t="b">
        <f t="shared" si="953"/>
        <v>1</v>
      </c>
    </row>
    <row r="1453" spans="2:24" x14ac:dyDescent="0.2">
      <c r="B1453" s="17">
        <v>45337</v>
      </c>
      <c r="C1453" s="10" t="s">
        <v>25</v>
      </c>
      <c r="D1453" s="11">
        <v>170913</v>
      </c>
      <c r="E1453" s="26">
        <v>72794</v>
      </c>
      <c r="F1453" s="10" t="s">
        <v>26</v>
      </c>
      <c r="G1453" s="10" t="s">
        <v>27</v>
      </c>
      <c r="H1453" s="27" t="s">
        <v>28</v>
      </c>
      <c r="I1453" s="28"/>
      <c r="J1453" s="12"/>
      <c r="K1453" s="13">
        <v>3500</v>
      </c>
      <c r="L1453" s="21">
        <v>3.65</v>
      </c>
      <c r="M1453" s="14" t="s">
        <v>14</v>
      </c>
      <c r="N1453" s="13">
        <v>12775</v>
      </c>
      <c r="O1453" s="15">
        <f t="shared" si="952"/>
        <v>0</v>
      </c>
      <c r="P1453" s="10" t="s">
        <v>78</v>
      </c>
      <c r="Q1453" s="11" t="s">
        <v>3239</v>
      </c>
      <c r="R1453" s="11" t="s">
        <v>3240</v>
      </c>
      <c r="S1453" s="16" t="s">
        <v>3241</v>
      </c>
      <c r="T1453" s="19" t="str">
        <f>MONTH(B1453)&amp;"-"&amp;YEAR(B1453)</f>
        <v>2-2024</v>
      </c>
      <c r="U1453" s="2">
        <f>YEAR(B1453)</f>
        <v>2024</v>
      </c>
      <c r="V1453" s="2" t="str">
        <f>IF(DAY(B1453)&gt;15,MONTH(B1453)&amp;"-C",MONTH(B1453)&amp;"-N")</f>
        <v>2-N</v>
      </c>
      <c r="W1453" s="21">
        <v>3.65</v>
      </c>
      <c r="X1453" s="2" t="b">
        <f t="shared" si="953"/>
        <v>1</v>
      </c>
    </row>
    <row r="1454" spans="2:24" x14ac:dyDescent="0.2">
      <c r="B1454" s="17">
        <v>45337</v>
      </c>
      <c r="C1454" s="10" t="s">
        <v>25</v>
      </c>
      <c r="D1454" s="11">
        <v>170913</v>
      </c>
      <c r="E1454" s="26">
        <v>72793</v>
      </c>
      <c r="F1454" s="10" t="s">
        <v>26</v>
      </c>
      <c r="G1454" s="10" t="s">
        <v>27</v>
      </c>
      <c r="H1454" s="27" t="s">
        <v>28</v>
      </c>
      <c r="I1454" s="28"/>
      <c r="J1454" s="12"/>
      <c r="K1454" s="13">
        <v>4500</v>
      </c>
      <c r="L1454" s="21">
        <v>3.65</v>
      </c>
      <c r="M1454" s="14" t="s">
        <v>14</v>
      </c>
      <c r="N1454" s="13">
        <v>16425</v>
      </c>
      <c r="O1454" s="15">
        <f t="shared" si="952"/>
        <v>0</v>
      </c>
      <c r="P1454" s="10" t="s">
        <v>78</v>
      </c>
      <c r="Q1454" s="11" t="s">
        <v>3242</v>
      </c>
      <c r="R1454" s="11" t="s">
        <v>3243</v>
      </c>
      <c r="S1454" s="16" t="s">
        <v>3244</v>
      </c>
      <c r="T1454" s="19" t="str">
        <f>MONTH(B1454)&amp;"-"&amp;YEAR(B1454)</f>
        <v>2-2024</v>
      </c>
      <c r="U1454" s="2">
        <f>YEAR(B1454)</f>
        <v>2024</v>
      </c>
      <c r="V1454" s="2" t="str">
        <f>IF(DAY(B1454)&gt;15,MONTH(B1454)&amp;"-C",MONTH(B1454)&amp;"-N")</f>
        <v>2-N</v>
      </c>
      <c r="W1454" s="21">
        <v>3.65</v>
      </c>
      <c r="X1454" s="2" t="b">
        <f t="shared" si="953"/>
        <v>1</v>
      </c>
    </row>
    <row r="1455" spans="2:24" x14ac:dyDescent="0.2">
      <c r="B1455" s="17">
        <v>45339</v>
      </c>
      <c r="C1455" s="10" t="s">
        <v>94</v>
      </c>
      <c r="D1455" s="11">
        <v>170912</v>
      </c>
      <c r="E1455" s="26">
        <v>72820</v>
      </c>
      <c r="F1455" s="10" t="s">
        <v>26</v>
      </c>
      <c r="G1455" s="10" t="s">
        <v>27</v>
      </c>
      <c r="H1455" s="27" t="s">
        <v>28</v>
      </c>
      <c r="I1455" s="28"/>
      <c r="J1455" s="12"/>
      <c r="K1455" s="13">
        <v>21600</v>
      </c>
      <c r="L1455" s="21">
        <v>3.65</v>
      </c>
      <c r="M1455" s="14" t="s">
        <v>14</v>
      </c>
      <c r="N1455" s="13">
        <v>78840</v>
      </c>
      <c r="O1455" s="15">
        <f t="shared" si="952"/>
        <v>0</v>
      </c>
      <c r="P1455" s="10" t="s">
        <v>78</v>
      </c>
      <c r="Q1455" s="11" t="s">
        <v>3245</v>
      </c>
      <c r="R1455" s="11" t="s">
        <v>3246</v>
      </c>
      <c r="S1455" s="16" t="s">
        <v>3247</v>
      </c>
      <c r="T1455" s="19" t="str">
        <f>MONTH(B1455)&amp;"-"&amp;YEAR(B1455)</f>
        <v>2-2024</v>
      </c>
      <c r="U1455" s="2">
        <f>YEAR(B1455)</f>
        <v>2024</v>
      </c>
      <c r="V1455" s="2" t="str">
        <f>IF(DAY(B1455)&gt;15,MONTH(B1455)&amp;"-C",MONTH(B1455)&amp;"-N")</f>
        <v>2-C</v>
      </c>
      <c r="W1455" s="21">
        <v>3.65</v>
      </c>
      <c r="X1455" s="2" t="b">
        <f t="shared" si="953"/>
        <v>1</v>
      </c>
    </row>
    <row r="1456" spans="2:24" x14ac:dyDescent="0.2">
      <c r="B1456" s="17">
        <v>45342</v>
      </c>
      <c r="C1456" s="10" t="s">
        <v>3234</v>
      </c>
      <c r="D1456" s="11">
        <v>172049</v>
      </c>
      <c r="E1456" s="26">
        <v>72859</v>
      </c>
      <c r="F1456" s="10" t="s">
        <v>2176</v>
      </c>
      <c r="G1456" s="10" t="s">
        <v>46</v>
      </c>
      <c r="H1456" s="27" t="s">
        <v>2177</v>
      </c>
      <c r="I1456" s="28"/>
      <c r="J1456" s="12"/>
      <c r="K1456" s="13">
        <v>2300</v>
      </c>
      <c r="L1456" s="21">
        <v>10.3</v>
      </c>
      <c r="M1456" s="14" t="s">
        <v>14</v>
      </c>
      <c r="N1456" s="13">
        <v>23690</v>
      </c>
      <c r="O1456" s="15">
        <f t="shared" ref="O1456:O1461" si="954">(N1456/K1456)-L1456</f>
        <v>0</v>
      </c>
      <c r="P1456" s="10" t="s">
        <v>84</v>
      </c>
      <c r="Q1456" s="11" t="s">
        <v>3248</v>
      </c>
      <c r="R1456" s="11" t="s">
        <v>3249</v>
      </c>
      <c r="S1456" s="16" t="s">
        <v>3250</v>
      </c>
      <c r="T1456" s="19" t="str">
        <f>MONTH(B1456)&amp;"-"&amp;YEAR(B1456)</f>
        <v>2-2024</v>
      </c>
      <c r="U1456" s="2">
        <f>YEAR(B1456)</f>
        <v>2024</v>
      </c>
      <c r="V1456" s="2" t="str">
        <f>IF(DAY(B1456)&gt;15,MONTH(B1456)&amp;"-C",MONTH(B1456)&amp;"-N")</f>
        <v>2-C</v>
      </c>
      <c r="W1456" s="21">
        <v>10.3</v>
      </c>
      <c r="X1456" s="2" t="b">
        <f t="shared" ref="X1456:X1461" si="955">+L1456=W1456</f>
        <v>1</v>
      </c>
    </row>
    <row r="1457" spans="2:24" x14ac:dyDescent="0.2">
      <c r="B1457" s="17">
        <v>45342</v>
      </c>
      <c r="C1457" s="10" t="s">
        <v>3234</v>
      </c>
      <c r="D1457" s="11">
        <v>172049</v>
      </c>
      <c r="E1457" s="26">
        <v>72859</v>
      </c>
      <c r="F1457" s="10" t="s">
        <v>3238</v>
      </c>
      <c r="G1457" s="10" t="s">
        <v>46</v>
      </c>
      <c r="H1457" s="27" t="s">
        <v>2172</v>
      </c>
      <c r="I1457" s="28"/>
      <c r="J1457" s="12"/>
      <c r="K1457" s="13">
        <v>1600</v>
      </c>
      <c r="L1457" s="21">
        <v>10.3</v>
      </c>
      <c r="M1457" s="14" t="s">
        <v>14</v>
      </c>
      <c r="N1457" s="13">
        <v>16480</v>
      </c>
      <c r="O1457" s="15">
        <f t="shared" si="954"/>
        <v>0</v>
      </c>
      <c r="P1457" s="10" t="s">
        <v>84</v>
      </c>
      <c r="Q1457" s="11" t="s">
        <v>3248</v>
      </c>
      <c r="R1457" s="11" t="s">
        <v>3249</v>
      </c>
      <c r="S1457" s="16" t="s">
        <v>3250</v>
      </c>
      <c r="T1457" s="19" t="str">
        <f>MONTH(B1457)&amp;"-"&amp;YEAR(B1457)</f>
        <v>2-2024</v>
      </c>
      <c r="U1457" s="2">
        <f>YEAR(B1457)</f>
        <v>2024</v>
      </c>
      <c r="V1457" s="2" t="str">
        <f>IF(DAY(B1457)&gt;15,MONTH(B1457)&amp;"-C",MONTH(B1457)&amp;"-N")</f>
        <v>2-C</v>
      </c>
      <c r="W1457" s="21">
        <v>10.3</v>
      </c>
      <c r="X1457" s="2" t="b">
        <f t="shared" si="955"/>
        <v>1</v>
      </c>
    </row>
    <row r="1458" spans="2:24" x14ac:dyDescent="0.2">
      <c r="B1458" s="17">
        <v>45344</v>
      </c>
      <c r="C1458" s="10" t="s">
        <v>94</v>
      </c>
      <c r="D1458" s="11">
        <v>170912</v>
      </c>
      <c r="E1458" s="26">
        <v>72940</v>
      </c>
      <c r="F1458" s="10" t="s">
        <v>26</v>
      </c>
      <c r="G1458" s="10" t="s">
        <v>27</v>
      </c>
      <c r="H1458" s="27" t="s">
        <v>28</v>
      </c>
      <c r="I1458" s="28"/>
      <c r="J1458" s="12"/>
      <c r="K1458" s="13">
        <v>15300</v>
      </c>
      <c r="L1458" s="21">
        <v>3.65</v>
      </c>
      <c r="M1458" s="14" t="s">
        <v>14</v>
      </c>
      <c r="N1458" s="13">
        <v>55845</v>
      </c>
      <c r="O1458" s="15">
        <f t="shared" si="954"/>
        <v>0</v>
      </c>
      <c r="P1458" s="10" t="s">
        <v>78</v>
      </c>
      <c r="Q1458" s="11" t="s">
        <v>3251</v>
      </c>
      <c r="R1458" s="11" t="s">
        <v>3252</v>
      </c>
      <c r="S1458" s="16" t="s">
        <v>3253</v>
      </c>
      <c r="T1458" s="19" t="str">
        <f>MONTH(B1458)&amp;"-"&amp;YEAR(B1458)</f>
        <v>2-2024</v>
      </c>
      <c r="U1458" s="2">
        <f>YEAR(B1458)</f>
        <v>2024</v>
      </c>
      <c r="V1458" s="2" t="str">
        <f>IF(DAY(B1458)&gt;15,MONTH(B1458)&amp;"-C",MONTH(B1458)&amp;"-N")</f>
        <v>2-C</v>
      </c>
      <c r="W1458" s="21">
        <v>3.65</v>
      </c>
      <c r="X1458" s="2" t="b">
        <f t="shared" si="955"/>
        <v>1</v>
      </c>
    </row>
    <row r="1459" spans="2:24" x14ac:dyDescent="0.2">
      <c r="B1459" s="17">
        <v>45345</v>
      </c>
      <c r="C1459" s="10" t="s">
        <v>25</v>
      </c>
      <c r="D1459" s="11">
        <v>170938</v>
      </c>
      <c r="E1459" s="26">
        <v>72990</v>
      </c>
      <c r="F1459" s="10" t="s">
        <v>31</v>
      </c>
      <c r="G1459" s="10" t="s">
        <v>27</v>
      </c>
      <c r="H1459" s="27" t="s">
        <v>32</v>
      </c>
      <c r="I1459" s="28"/>
      <c r="J1459" s="12"/>
      <c r="K1459" s="13">
        <v>1280</v>
      </c>
      <c r="L1459" s="21">
        <v>4.05</v>
      </c>
      <c r="M1459" s="14" t="s">
        <v>14</v>
      </c>
      <c r="N1459" s="13">
        <v>5184</v>
      </c>
      <c r="O1459" s="15">
        <f t="shared" si="954"/>
        <v>0</v>
      </c>
      <c r="P1459" s="10" t="s">
        <v>78</v>
      </c>
      <c r="Q1459" s="11" t="s">
        <v>3254</v>
      </c>
      <c r="R1459" s="11" t="s">
        <v>3255</v>
      </c>
      <c r="S1459" s="16" t="s">
        <v>3256</v>
      </c>
      <c r="T1459" s="19" t="str">
        <f>MONTH(B1459)&amp;"-"&amp;YEAR(B1459)</f>
        <v>2-2024</v>
      </c>
      <c r="U1459" s="2">
        <f>YEAR(B1459)</f>
        <v>2024</v>
      </c>
      <c r="V1459" s="2" t="str">
        <f>IF(DAY(B1459)&gt;15,MONTH(B1459)&amp;"-C",MONTH(B1459)&amp;"-N")</f>
        <v>2-C</v>
      </c>
      <c r="W1459" s="21">
        <v>4.05</v>
      </c>
      <c r="X1459" s="2" t="b">
        <f t="shared" si="955"/>
        <v>1</v>
      </c>
    </row>
    <row r="1460" spans="2:24" x14ac:dyDescent="0.2">
      <c r="B1460" s="17">
        <v>45345</v>
      </c>
      <c r="C1460" s="10" t="s">
        <v>25</v>
      </c>
      <c r="D1460" s="11">
        <v>170938</v>
      </c>
      <c r="E1460" s="26">
        <v>72990</v>
      </c>
      <c r="F1460" s="10" t="s">
        <v>49</v>
      </c>
      <c r="G1460" s="10" t="s">
        <v>27</v>
      </c>
      <c r="H1460" s="27" t="s">
        <v>50</v>
      </c>
      <c r="I1460" s="28"/>
      <c r="J1460" s="12"/>
      <c r="K1460" s="13">
        <v>760</v>
      </c>
      <c r="L1460" s="21">
        <v>5.0999999999999996</v>
      </c>
      <c r="M1460" s="14" t="s">
        <v>14</v>
      </c>
      <c r="N1460" s="13">
        <v>3876</v>
      </c>
      <c r="O1460" s="15">
        <f t="shared" si="954"/>
        <v>0</v>
      </c>
      <c r="P1460" s="10" t="s">
        <v>78</v>
      </c>
      <c r="Q1460" s="11" t="s">
        <v>3254</v>
      </c>
      <c r="R1460" s="11" t="s">
        <v>3255</v>
      </c>
      <c r="S1460" s="16" t="s">
        <v>3256</v>
      </c>
      <c r="T1460" s="19" t="str">
        <f>MONTH(B1460)&amp;"-"&amp;YEAR(B1460)</f>
        <v>2-2024</v>
      </c>
      <c r="U1460" s="2">
        <f>YEAR(B1460)</f>
        <v>2024</v>
      </c>
      <c r="V1460" s="2" t="str">
        <f>IF(DAY(B1460)&gt;15,MONTH(B1460)&amp;"-C",MONTH(B1460)&amp;"-N")</f>
        <v>2-C</v>
      </c>
      <c r="W1460" s="21">
        <v>5.0999999999999996</v>
      </c>
      <c r="X1460" s="2" t="b">
        <f t="shared" si="955"/>
        <v>1</v>
      </c>
    </row>
    <row r="1461" spans="2:24" x14ac:dyDescent="0.2">
      <c r="B1461" s="17">
        <v>45345</v>
      </c>
      <c r="C1461" s="10" t="s">
        <v>25</v>
      </c>
      <c r="D1461" s="11">
        <v>170938</v>
      </c>
      <c r="E1461" s="26">
        <v>72990</v>
      </c>
      <c r="F1461" s="10" t="s">
        <v>33</v>
      </c>
      <c r="G1461" s="10" t="s">
        <v>27</v>
      </c>
      <c r="H1461" s="27" t="s">
        <v>34</v>
      </c>
      <c r="I1461" s="28"/>
      <c r="J1461" s="12"/>
      <c r="K1461" s="13">
        <v>2160</v>
      </c>
      <c r="L1461" s="21">
        <v>5.4</v>
      </c>
      <c r="M1461" s="14" t="s">
        <v>14</v>
      </c>
      <c r="N1461" s="13">
        <v>11664</v>
      </c>
      <c r="O1461" s="15">
        <f t="shared" si="954"/>
        <v>0</v>
      </c>
      <c r="P1461" s="10" t="s">
        <v>78</v>
      </c>
      <c r="Q1461" s="11" t="s">
        <v>3254</v>
      </c>
      <c r="R1461" s="11" t="s">
        <v>3255</v>
      </c>
      <c r="S1461" s="16" t="s">
        <v>3256</v>
      </c>
      <c r="T1461" s="19" t="str">
        <f>MONTH(B1461)&amp;"-"&amp;YEAR(B1461)</f>
        <v>2-2024</v>
      </c>
      <c r="U1461" s="2">
        <f>YEAR(B1461)</f>
        <v>2024</v>
      </c>
      <c r="V1461" s="2" t="str">
        <f>IF(DAY(B1461)&gt;15,MONTH(B1461)&amp;"-C",MONTH(B1461)&amp;"-N")</f>
        <v>2-C</v>
      </c>
      <c r="W1461" s="21">
        <v>5.4</v>
      </c>
      <c r="X1461" s="2" t="b">
        <f t="shared" si="955"/>
        <v>1</v>
      </c>
    </row>
    <row r="1462" spans="2:24" x14ac:dyDescent="0.2">
      <c r="B1462" s="17">
        <v>45348</v>
      </c>
      <c r="C1462" s="10" t="s">
        <v>94</v>
      </c>
      <c r="D1462" s="11">
        <v>170912</v>
      </c>
      <c r="E1462" s="26">
        <v>73036</v>
      </c>
      <c r="F1462" s="10" t="s">
        <v>26</v>
      </c>
      <c r="G1462" s="10" t="s">
        <v>27</v>
      </c>
      <c r="H1462" s="27" t="s">
        <v>28</v>
      </c>
      <c r="I1462" s="28"/>
      <c r="J1462" s="12"/>
      <c r="K1462" s="13">
        <v>16200</v>
      </c>
      <c r="L1462" s="21">
        <v>3.65</v>
      </c>
      <c r="M1462" s="14" t="s">
        <v>14</v>
      </c>
      <c r="N1462" s="13">
        <v>59130</v>
      </c>
      <c r="O1462" s="15">
        <f t="shared" ref="O1462:O1463" si="956">(N1462/K1462)-L1462</f>
        <v>0</v>
      </c>
      <c r="P1462" s="10" t="s">
        <v>78</v>
      </c>
      <c r="Q1462" s="11" t="s">
        <v>3257</v>
      </c>
      <c r="R1462" s="11" t="s">
        <v>3258</v>
      </c>
      <c r="S1462" s="16" t="s">
        <v>3259</v>
      </c>
      <c r="T1462" s="19" t="str">
        <f>MONTH(B1462)&amp;"-"&amp;YEAR(B1462)</f>
        <v>2-2024</v>
      </c>
      <c r="U1462" s="2">
        <f>YEAR(B1462)</f>
        <v>2024</v>
      </c>
      <c r="V1462" s="2" t="str">
        <f>IF(DAY(B1462)&gt;15,MONTH(B1462)&amp;"-C",MONTH(B1462)&amp;"-N")</f>
        <v>2-C</v>
      </c>
      <c r="W1462" s="21">
        <v>3.65</v>
      </c>
      <c r="X1462" s="2" t="b">
        <f t="shared" ref="X1462:X1463" si="957">+L1462=W1462</f>
        <v>1</v>
      </c>
    </row>
    <row r="1463" spans="2:24" x14ac:dyDescent="0.2">
      <c r="B1463" s="17">
        <v>45348</v>
      </c>
      <c r="C1463" s="10" t="s">
        <v>25</v>
      </c>
      <c r="D1463" s="11">
        <v>170938</v>
      </c>
      <c r="E1463" s="26">
        <v>73032</v>
      </c>
      <c r="F1463" s="10" t="s">
        <v>3054</v>
      </c>
      <c r="G1463" s="10" t="s">
        <v>27</v>
      </c>
      <c r="H1463" s="27" t="s">
        <v>3055</v>
      </c>
      <c r="I1463" s="28"/>
      <c r="J1463" s="12"/>
      <c r="K1463" s="13">
        <v>1920</v>
      </c>
      <c r="L1463" s="21">
        <v>4.21</v>
      </c>
      <c r="M1463" s="14" t="s">
        <v>14</v>
      </c>
      <c r="N1463" s="13">
        <v>8083.2</v>
      </c>
      <c r="O1463" s="15">
        <f t="shared" si="956"/>
        <v>0</v>
      </c>
      <c r="P1463" s="10" t="s">
        <v>78</v>
      </c>
      <c r="Q1463" s="11" t="s">
        <v>3260</v>
      </c>
      <c r="R1463" s="11" t="s">
        <v>3261</v>
      </c>
      <c r="S1463" s="16" t="s">
        <v>3262</v>
      </c>
      <c r="T1463" s="19" t="str">
        <f>MONTH(B1463)&amp;"-"&amp;YEAR(B1463)</f>
        <v>2-2024</v>
      </c>
      <c r="U1463" s="2">
        <f>YEAR(B1463)</f>
        <v>2024</v>
      </c>
      <c r="V1463" s="2" t="str">
        <f>IF(DAY(B1463)&gt;15,MONTH(B1463)&amp;"-C",MONTH(B1463)&amp;"-N")</f>
        <v>2-C</v>
      </c>
      <c r="W1463" s="21">
        <v>4.21</v>
      </c>
      <c r="X1463" s="2" t="b">
        <f t="shared" si="957"/>
        <v>1</v>
      </c>
    </row>
    <row r="1464" spans="2:24" x14ac:dyDescent="0.2">
      <c r="B1464" s="17">
        <v>45349</v>
      </c>
      <c r="C1464" s="10" t="s">
        <v>88</v>
      </c>
      <c r="D1464" s="11">
        <v>170510</v>
      </c>
      <c r="E1464" s="26">
        <v>73047</v>
      </c>
      <c r="F1464" s="10" t="s">
        <v>98</v>
      </c>
      <c r="G1464" s="10" t="s">
        <v>46</v>
      </c>
      <c r="H1464" s="27" t="s">
        <v>99</v>
      </c>
      <c r="I1464" s="28"/>
      <c r="J1464" s="12"/>
      <c r="K1464" s="13">
        <v>100</v>
      </c>
      <c r="L1464" s="21">
        <v>11.25</v>
      </c>
      <c r="M1464" s="14" t="s">
        <v>14</v>
      </c>
      <c r="N1464" s="13">
        <v>1125</v>
      </c>
      <c r="O1464" s="15">
        <f t="shared" ref="O1464:O1465" si="958">(N1464/K1464)-L1464</f>
        <v>0</v>
      </c>
      <c r="P1464" s="10" t="s">
        <v>84</v>
      </c>
      <c r="Q1464" s="11" t="s">
        <v>3263</v>
      </c>
      <c r="R1464" s="11" t="s">
        <v>3264</v>
      </c>
      <c r="S1464" s="16" t="s">
        <v>3265</v>
      </c>
      <c r="T1464" s="19" t="str">
        <f>MONTH(B1464)&amp;"-"&amp;YEAR(B1464)</f>
        <v>2-2024</v>
      </c>
      <c r="U1464" s="2">
        <f>YEAR(B1464)</f>
        <v>2024</v>
      </c>
      <c r="V1464" s="2" t="str">
        <f>IF(DAY(B1464)&gt;15,MONTH(B1464)&amp;"-C",MONTH(B1464)&amp;"-N")</f>
        <v>2-C</v>
      </c>
      <c r="W1464" s="21">
        <v>11.25</v>
      </c>
      <c r="X1464" s="2" t="b">
        <f t="shared" ref="X1464:X1465" si="959">+L1464=W1464</f>
        <v>1</v>
      </c>
    </row>
    <row r="1465" spans="2:24" x14ac:dyDescent="0.2">
      <c r="B1465" s="17">
        <v>45349</v>
      </c>
      <c r="C1465" s="10" t="s">
        <v>88</v>
      </c>
      <c r="D1465" s="11">
        <v>170510</v>
      </c>
      <c r="E1465" s="26">
        <v>73047</v>
      </c>
      <c r="F1465" s="10" t="s">
        <v>100</v>
      </c>
      <c r="G1465" s="10" t="s">
        <v>46</v>
      </c>
      <c r="H1465" s="27" t="s">
        <v>101</v>
      </c>
      <c r="I1465" s="28"/>
      <c r="J1465" s="12"/>
      <c r="K1465" s="13">
        <v>2000</v>
      </c>
      <c r="L1465" s="21">
        <v>13.22</v>
      </c>
      <c r="M1465" s="14" t="s">
        <v>14</v>
      </c>
      <c r="N1465" s="13">
        <v>26440</v>
      </c>
      <c r="O1465" s="15">
        <f t="shared" si="958"/>
        <v>0</v>
      </c>
      <c r="P1465" s="10" t="s">
        <v>84</v>
      </c>
      <c r="Q1465" s="11" t="s">
        <v>3263</v>
      </c>
      <c r="R1465" s="11" t="s">
        <v>3264</v>
      </c>
      <c r="S1465" s="16" t="s">
        <v>3265</v>
      </c>
      <c r="T1465" s="19" t="str">
        <f>MONTH(B1465)&amp;"-"&amp;YEAR(B1465)</f>
        <v>2-2024</v>
      </c>
      <c r="U1465" s="2">
        <f>YEAR(B1465)</f>
        <v>2024</v>
      </c>
      <c r="V1465" s="2" t="str">
        <f>IF(DAY(B1465)&gt;15,MONTH(B1465)&amp;"-C",MONTH(B1465)&amp;"-N")</f>
        <v>2-C</v>
      </c>
      <c r="W1465" s="21">
        <v>13.22</v>
      </c>
      <c r="X1465" s="2" t="b">
        <f t="shared" si="959"/>
        <v>1</v>
      </c>
    </row>
    <row r="1466" spans="2:24" x14ac:dyDescent="0.2">
      <c r="B1466" s="17">
        <v>45350</v>
      </c>
      <c r="C1466" s="10" t="s">
        <v>48</v>
      </c>
      <c r="D1466" s="11">
        <v>172088</v>
      </c>
      <c r="E1466" s="26">
        <v>73082</v>
      </c>
      <c r="F1466" s="10" t="s">
        <v>71</v>
      </c>
      <c r="G1466" s="10" t="s">
        <v>46</v>
      </c>
      <c r="H1466" s="27" t="s">
        <v>72</v>
      </c>
      <c r="I1466" s="28"/>
      <c r="J1466" s="12"/>
      <c r="K1466" s="13">
        <v>3600</v>
      </c>
      <c r="L1466" s="21">
        <v>9.7780000000000005</v>
      </c>
      <c r="M1466" s="14" t="s">
        <v>14</v>
      </c>
      <c r="N1466" s="13">
        <v>35201.375999999997</v>
      </c>
      <c r="O1466" s="15">
        <f t="shared" ref="O1466:O1468" si="960">(N1466/K1466)-L1466</f>
        <v>1.5999999999927184E-4</v>
      </c>
      <c r="P1466" s="10" t="s">
        <v>84</v>
      </c>
      <c r="Q1466" s="11" t="s">
        <v>3266</v>
      </c>
      <c r="R1466" s="11" t="s">
        <v>3267</v>
      </c>
      <c r="S1466" s="16" t="s">
        <v>3268</v>
      </c>
      <c r="T1466" s="19" t="str">
        <f>MONTH(B1466)&amp;"-"&amp;YEAR(B1466)</f>
        <v>2-2024</v>
      </c>
      <c r="U1466" s="2">
        <f>YEAR(B1466)</f>
        <v>2024</v>
      </c>
      <c r="V1466" s="2" t="str">
        <f>IF(DAY(B1466)&gt;15,MONTH(B1466)&amp;"-C",MONTH(B1466)&amp;"-N")</f>
        <v>2-C</v>
      </c>
      <c r="W1466" s="21">
        <v>9.7780000000000005</v>
      </c>
      <c r="X1466" s="2" t="b">
        <f t="shared" ref="X1466:X1468" si="961">+L1466=W1466</f>
        <v>1</v>
      </c>
    </row>
    <row r="1467" spans="2:24" x14ac:dyDescent="0.2">
      <c r="B1467" s="17">
        <v>45350</v>
      </c>
      <c r="C1467" s="10" t="s">
        <v>48</v>
      </c>
      <c r="D1467" s="11">
        <v>172088</v>
      </c>
      <c r="E1467" s="26">
        <v>73082</v>
      </c>
      <c r="F1467" s="10" t="s">
        <v>2552</v>
      </c>
      <c r="G1467" s="10" t="s">
        <v>46</v>
      </c>
      <c r="H1467" s="27" t="s">
        <v>2553</v>
      </c>
      <c r="I1467" s="28"/>
      <c r="J1467" s="12"/>
      <c r="K1467" s="13">
        <v>2000</v>
      </c>
      <c r="L1467" s="21">
        <v>10.109</v>
      </c>
      <c r="M1467" s="14" t="s">
        <v>14</v>
      </c>
      <c r="N1467" s="13">
        <v>20218</v>
      </c>
      <c r="O1467" s="15">
        <f t="shared" si="960"/>
        <v>0</v>
      </c>
      <c r="P1467" s="10" t="s">
        <v>84</v>
      </c>
      <c r="Q1467" s="11" t="s">
        <v>3266</v>
      </c>
      <c r="R1467" s="11" t="s">
        <v>3267</v>
      </c>
      <c r="S1467" s="16" t="s">
        <v>3268</v>
      </c>
      <c r="T1467" s="19" t="str">
        <f>MONTH(B1467)&amp;"-"&amp;YEAR(B1467)</f>
        <v>2-2024</v>
      </c>
      <c r="U1467" s="2">
        <f>YEAR(B1467)</f>
        <v>2024</v>
      </c>
      <c r="V1467" s="2" t="str">
        <f>IF(DAY(B1467)&gt;15,MONTH(B1467)&amp;"-C",MONTH(B1467)&amp;"-N")</f>
        <v>2-C</v>
      </c>
      <c r="W1467" s="21">
        <v>10.109</v>
      </c>
      <c r="X1467" s="2" t="b">
        <f t="shared" si="961"/>
        <v>1</v>
      </c>
    </row>
    <row r="1468" spans="2:24" x14ac:dyDescent="0.2">
      <c r="B1468" s="17">
        <v>45350</v>
      </c>
      <c r="C1468" s="10" t="s">
        <v>73</v>
      </c>
      <c r="D1468" s="11">
        <v>171026</v>
      </c>
      <c r="E1468" s="26">
        <v>73081</v>
      </c>
      <c r="F1468" s="10" t="s">
        <v>399</v>
      </c>
      <c r="G1468" s="10" t="s">
        <v>46</v>
      </c>
      <c r="H1468" s="27" t="s">
        <v>149</v>
      </c>
      <c r="I1468" s="28"/>
      <c r="J1468" s="12"/>
      <c r="K1468" s="13">
        <v>2160</v>
      </c>
      <c r="L1468" s="21">
        <v>16.8</v>
      </c>
      <c r="M1468" s="14" t="s">
        <v>14</v>
      </c>
      <c r="N1468" s="13">
        <v>36288</v>
      </c>
      <c r="O1468" s="15">
        <f t="shared" si="960"/>
        <v>0</v>
      </c>
      <c r="P1468" s="10" t="s">
        <v>84</v>
      </c>
      <c r="Q1468" s="11" t="s">
        <v>3269</v>
      </c>
      <c r="R1468" s="11" t="s">
        <v>3270</v>
      </c>
      <c r="S1468" s="16" t="s">
        <v>3271</v>
      </c>
      <c r="T1468" s="19" t="str">
        <f>MONTH(B1468)&amp;"-"&amp;YEAR(B1468)</f>
        <v>2-2024</v>
      </c>
      <c r="U1468" s="2">
        <f>YEAR(B1468)</f>
        <v>2024</v>
      </c>
      <c r="V1468" s="2" t="str">
        <f>IF(DAY(B1468)&gt;15,MONTH(B1468)&amp;"-C",MONTH(B1468)&amp;"-N")</f>
        <v>2-C</v>
      </c>
      <c r="W1468" s="21">
        <v>16.8</v>
      </c>
      <c r="X1468" s="2" t="b">
        <f t="shared" si="961"/>
        <v>1</v>
      </c>
    </row>
    <row r="1469" spans="2:24" x14ac:dyDescent="0.2">
      <c r="B1469" s="17">
        <v>45352</v>
      </c>
      <c r="C1469" s="10" t="s">
        <v>25</v>
      </c>
      <c r="D1469" s="11" t="s">
        <v>3283</v>
      </c>
      <c r="E1469" s="26">
        <v>73135</v>
      </c>
      <c r="F1469" s="10" t="s">
        <v>26</v>
      </c>
      <c r="G1469" s="10" t="s">
        <v>27</v>
      </c>
      <c r="H1469" s="27" t="s">
        <v>28</v>
      </c>
      <c r="I1469" s="28" t="s">
        <v>1843</v>
      </c>
      <c r="J1469" s="12" t="s">
        <v>1843</v>
      </c>
      <c r="K1469" s="13">
        <v>18900</v>
      </c>
      <c r="L1469" s="21">
        <v>3.63</v>
      </c>
      <c r="M1469" s="14" t="s">
        <v>14</v>
      </c>
      <c r="N1469" s="13">
        <v>68607</v>
      </c>
      <c r="O1469" s="15">
        <f t="shared" ref="O1469" si="962">(N1469/K1469)-L1469</f>
        <v>0</v>
      </c>
      <c r="P1469" s="10" t="s">
        <v>78</v>
      </c>
      <c r="Q1469" s="11" t="s">
        <v>3284</v>
      </c>
      <c r="R1469" s="11" t="s">
        <v>3285</v>
      </c>
      <c r="S1469" s="16" t="s">
        <v>3286</v>
      </c>
      <c r="T1469" s="19" t="str">
        <f>MONTH(B1469)&amp;"-"&amp;YEAR(B1469)</f>
        <v>3-2024</v>
      </c>
      <c r="U1469" s="2">
        <f>YEAR(B1469)</f>
        <v>2024</v>
      </c>
      <c r="V1469" s="2" t="str">
        <f>IF(DAY(B1469)&gt;15,MONTH(B1469)&amp;"-C",MONTH(B1469)&amp;"-N")</f>
        <v>3-N</v>
      </c>
      <c r="W1469" s="21">
        <v>3.63</v>
      </c>
      <c r="X1469" s="2" t="b">
        <f t="shared" ref="X1469" si="963">+L1469=W1469</f>
        <v>1</v>
      </c>
    </row>
    <row r="1470" spans="2:24" x14ac:dyDescent="0.2">
      <c r="B1470" s="17">
        <v>45355</v>
      </c>
      <c r="C1470" s="10" t="s">
        <v>74</v>
      </c>
      <c r="D1470" s="11" t="s">
        <v>3295</v>
      </c>
      <c r="E1470" s="26">
        <v>73175</v>
      </c>
      <c r="F1470" s="10" t="s">
        <v>121</v>
      </c>
      <c r="G1470" s="10" t="s">
        <v>46</v>
      </c>
      <c r="H1470" s="27" t="s">
        <v>122</v>
      </c>
      <c r="I1470" s="28" t="s">
        <v>1843</v>
      </c>
      <c r="J1470" s="12" t="s">
        <v>1843</v>
      </c>
      <c r="K1470" s="13">
        <v>5980</v>
      </c>
      <c r="L1470" s="21">
        <v>11.96</v>
      </c>
      <c r="M1470" s="14" t="s">
        <v>14</v>
      </c>
      <c r="N1470" s="13">
        <v>71520.800000000003</v>
      </c>
      <c r="O1470" s="15">
        <f t="shared" ref="O1470:O1475" si="964">(N1470/K1470)-L1470</f>
        <v>0</v>
      </c>
      <c r="P1470" s="10" t="s">
        <v>84</v>
      </c>
      <c r="Q1470" s="11" t="s">
        <v>3299</v>
      </c>
      <c r="R1470" s="11" t="s">
        <v>3300</v>
      </c>
      <c r="S1470" s="16" t="s">
        <v>3301</v>
      </c>
      <c r="T1470" s="19" t="str">
        <f>MONTH(B1470)&amp;"-"&amp;YEAR(B1470)</f>
        <v>3-2024</v>
      </c>
      <c r="U1470" s="2">
        <f>YEAR(B1470)</f>
        <v>2024</v>
      </c>
      <c r="V1470" s="2" t="str">
        <f>IF(DAY(B1470)&gt;15,MONTH(B1470)&amp;"-C",MONTH(B1470)&amp;"-N")</f>
        <v>3-N</v>
      </c>
      <c r="W1470" s="21">
        <v>11.96</v>
      </c>
      <c r="X1470" s="2" t="b">
        <f t="shared" ref="X1470:X1475" si="965">+L1470=W1470</f>
        <v>1</v>
      </c>
    </row>
    <row r="1471" spans="2:24" x14ac:dyDescent="0.2">
      <c r="B1471" s="17">
        <v>45355</v>
      </c>
      <c r="C1471" s="10" t="s">
        <v>74</v>
      </c>
      <c r="D1471" s="11" t="s">
        <v>3295</v>
      </c>
      <c r="E1471" s="26">
        <v>73175</v>
      </c>
      <c r="F1471" s="10" t="s">
        <v>123</v>
      </c>
      <c r="G1471" s="10" t="s">
        <v>46</v>
      </c>
      <c r="H1471" s="27" t="s">
        <v>124</v>
      </c>
      <c r="I1471" s="28" t="s">
        <v>1843</v>
      </c>
      <c r="J1471" s="12" t="s">
        <v>1843</v>
      </c>
      <c r="K1471" s="13">
        <v>11500</v>
      </c>
      <c r="L1471" s="21">
        <v>11.96</v>
      </c>
      <c r="M1471" s="14" t="s">
        <v>14</v>
      </c>
      <c r="N1471" s="13">
        <v>137540</v>
      </c>
      <c r="O1471" s="15">
        <f t="shared" si="964"/>
        <v>0</v>
      </c>
      <c r="P1471" s="10" t="s">
        <v>84</v>
      </c>
      <c r="Q1471" s="11" t="s">
        <v>3299</v>
      </c>
      <c r="R1471" s="11" t="s">
        <v>3300</v>
      </c>
      <c r="S1471" s="16" t="s">
        <v>3301</v>
      </c>
      <c r="T1471" s="19" t="str">
        <f>MONTH(B1471)&amp;"-"&amp;YEAR(B1471)</f>
        <v>3-2024</v>
      </c>
      <c r="U1471" s="2">
        <f>YEAR(B1471)</f>
        <v>2024</v>
      </c>
      <c r="V1471" s="2" t="str">
        <f>IF(DAY(B1471)&gt;15,MONTH(B1471)&amp;"-C",MONTH(B1471)&amp;"-N")</f>
        <v>3-N</v>
      </c>
      <c r="W1471" s="21">
        <v>11.96</v>
      </c>
      <c r="X1471" s="2" t="b">
        <f t="shared" si="965"/>
        <v>1</v>
      </c>
    </row>
    <row r="1472" spans="2:24" x14ac:dyDescent="0.2">
      <c r="B1472" s="17">
        <v>45357</v>
      </c>
      <c r="C1472" s="10" t="s">
        <v>88</v>
      </c>
      <c r="D1472" s="11" t="s">
        <v>3316</v>
      </c>
      <c r="E1472" s="26">
        <v>73196</v>
      </c>
      <c r="F1472" s="10" t="s">
        <v>100</v>
      </c>
      <c r="G1472" s="10" t="s">
        <v>46</v>
      </c>
      <c r="H1472" s="27" t="s">
        <v>101</v>
      </c>
      <c r="I1472" s="28" t="s">
        <v>1843</v>
      </c>
      <c r="J1472" s="12" t="s">
        <v>1843</v>
      </c>
      <c r="K1472" s="13">
        <v>2000</v>
      </c>
      <c r="L1472" s="21">
        <v>13.22</v>
      </c>
      <c r="M1472" s="14" t="s">
        <v>14</v>
      </c>
      <c r="N1472" s="13">
        <v>26440</v>
      </c>
      <c r="O1472" s="15">
        <f t="shared" si="964"/>
        <v>0</v>
      </c>
      <c r="P1472" s="10" t="s">
        <v>84</v>
      </c>
      <c r="Q1472" s="11" t="s">
        <v>3320</v>
      </c>
      <c r="R1472" s="11" t="s">
        <v>3321</v>
      </c>
      <c r="S1472" s="16" t="s">
        <v>3322</v>
      </c>
      <c r="T1472" s="19" t="str">
        <f>MONTH(B1472)&amp;"-"&amp;YEAR(B1472)</f>
        <v>3-2024</v>
      </c>
      <c r="U1472" s="2">
        <f>YEAR(B1472)</f>
        <v>2024</v>
      </c>
      <c r="V1472" s="2" t="str">
        <f>IF(DAY(B1472)&gt;15,MONTH(B1472)&amp;"-C",MONTH(B1472)&amp;"-N")</f>
        <v>3-N</v>
      </c>
      <c r="W1472" s="21">
        <v>13.22</v>
      </c>
      <c r="X1472" s="2" t="b">
        <f t="shared" si="965"/>
        <v>1</v>
      </c>
    </row>
    <row r="1473" spans="2:24" x14ac:dyDescent="0.2">
      <c r="B1473" s="17">
        <v>45357</v>
      </c>
      <c r="C1473" s="10" t="s">
        <v>48</v>
      </c>
      <c r="D1473" s="11" t="s">
        <v>3327</v>
      </c>
      <c r="E1473" s="26">
        <v>73211</v>
      </c>
      <c r="F1473" s="10" t="s">
        <v>135</v>
      </c>
      <c r="G1473" s="10" t="s">
        <v>46</v>
      </c>
      <c r="H1473" s="27" t="s">
        <v>136</v>
      </c>
      <c r="I1473" s="28" t="s">
        <v>1843</v>
      </c>
      <c r="J1473" s="12" t="s">
        <v>1843</v>
      </c>
      <c r="K1473" s="13">
        <v>2400</v>
      </c>
      <c r="L1473" s="21">
        <v>10.292999999999999</v>
      </c>
      <c r="M1473" s="14" t="s">
        <v>14</v>
      </c>
      <c r="N1473" s="13">
        <v>24702.720000000001</v>
      </c>
      <c r="O1473" s="15">
        <f t="shared" si="964"/>
        <v>-1.9999999999953388E-4</v>
      </c>
      <c r="P1473" s="10" t="s">
        <v>90</v>
      </c>
      <c r="Q1473" s="11" t="s">
        <v>3328</v>
      </c>
      <c r="R1473" s="11" t="s">
        <v>3329</v>
      </c>
      <c r="S1473" s="16" t="s">
        <v>3330</v>
      </c>
      <c r="T1473" s="19" t="str">
        <f>MONTH(B1473)&amp;"-"&amp;YEAR(B1473)</f>
        <v>3-2024</v>
      </c>
      <c r="U1473" s="2">
        <f>YEAR(B1473)</f>
        <v>2024</v>
      </c>
      <c r="V1473" s="2" t="str">
        <f>IF(DAY(B1473)&gt;15,MONTH(B1473)&amp;"-C",MONTH(B1473)&amp;"-N")</f>
        <v>3-N</v>
      </c>
      <c r="W1473" s="21">
        <v>10.292999999999999</v>
      </c>
      <c r="X1473" s="2" t="b">
        <f t="shared" si="965"/>
        <v>1</v>
      </c>
    </row>
    <row r="1474" spans="2:24" x14ac:dyDescent="0.2">
      <c r="B1474" s="17">
        <v>45357</v>
      </c>
      <c r="C1474" s="10" t="s">
        <v>48</v>
      </c>
      <c r="D1474" s="11" t="s">
        <v>3327</v>
      </c>
      <c r="E1474" s="26">
        <v>73211</v>
      </c>
      <c r="F1474" s="10" t="s">
        <v>71</v>
      </c>
      <c r="G1474" s="10" t="s">
        <v>46</v>
      </c>
      <c r="H1474" s="27" t="s">
        <v>72</v>
      </c>
      <c r="I1474" s="28" t="s">
        <v>1843</v>
      </c>
      <c r="J1474" s="12" t="s">
        <v>1843</v>
      </c>
      <c r="K1474" s="13">
        <v>10800</v>
      </c>
      <c r="L1474" s="21">
        <v>9.7780000000000005</v>
      </c>
      <c r="M1474" s="14" t="s">
        <v>14</v>
      </c>
      <c r="N1474" s="13">
        <v>105604.128</v>
      </c>
      <c r="O1474" s="15">
        <f t="shared" si="964"/>
        <v>1.5999999999927184E-4</v>
      </c>
      <c r="P1474" s="10" t="s">
        <v>90</v>
      </c>
      <c r="Q1474" s="11" t="s">
        <v>3328</v>
      </c>
      <c r="R1474" s="11" t="s">
        <v>3329</v>
      </c>
      <c r="S1474" s="16" t="s">
        <v>3330</v>
      </c>
      <c r="T1474" s="19" t="str">
        <f>MONTH(B1474)&amp;"-"&amp;YEAR(B1474)</f>
        <v>3-2024</v>
      </c>
      <c r="U1474" s="2">
        <f>YEAR(B1474)</f>
        <v>2024</v>
      </c>
      <c r="V1474" s="2" t="str">
        <f>IF(DAY(B1474)&gt;15,MONTH(B1474)&amp;"-C",MONTH(B1474)&amp;"-N")</f>
        <v>3-N</v>
      </c>
      <c r="W1474" s="21">
        <v>9.7780000000000005</v>
      </c>
      <c r="X1474" s="2" t="b">
        <f t="shared" si="965"/>
        <v>1</v>
      </c>
    </row>
    <row r="1475" spans="2:24" x14ac:dyDescent="0.2">
      <c r="B1475" s="17">
        <v>45357</v>
      </c>
      <c r="C1475" s="10" t="s">
        <v>48</v>
      </c>
      <c r="D1475" s="11" t="s">
        <v>3327</v>
      </c>
      <c r="E1475" s="26">
        <v>73211</v>
      </c>
      <c r="F1475" s="10" t="s">
        <v>2552</v>
      </c>
      <c r="G1475" s="10" t="s">
        <v>46</v>
      </c>
      <c r="H1475" s="27" t="s">
        <v>2553</v>
      </c>
      <c r="I1475" s="28" t="s">
        <v>1843</v>
      </c>
      <c r="J1475" s="12" t="s">
        <v>1843</v>
      </c>
      <c r="K1475" s="13">
        <v>2800</v>
      </c>
      <c r="L1475" s="21">
        <v>10.292999999999999</v>
      </c>
      <c r="M1475" s="14" t="s">
        <v>14</v>
      </c>
      <c r="N1475" s="13">
        <v>28819.84</v>
      </c>
      <c r="O1475" s="15">
        <f t="shared" si="964"/>
        <v>-1.9999999999953388E-4</v>
      </c>
      <c r="P1475" s="10" t="s">
        <v>90</v>
      </c>
      <c r="Q1475" s="11" t="s">
        <v>3328</v>
      </c>
      <c r="R1475" s="11" t="s">
        <v>3329</v>
      </c>
      <c r="S1475" s="16" t="s">
        <v>3330</v>
      </c>
      <c r="T1475" s="19" t="str">
        <f>MONTH(B1475)&amp;"-"&amp;YEAR(B1475)</f>
        <v>3-2024</v>
      </c>
      <c r="U1475" s="2">
        <f>YEAR(B1475)</f>
        <v>2024</v>
      </c>
      <c r="V1475" s="2" t="str">
        <f>IF(DAY(B1475)&gt;15,MONTH(B1475)&amp;"-C",MONTH(B1475)&amp;"-N")</f>
        <v>3-N</v>
      </c>
      <c r="W1475" s="21">
        <v>10.292999999999999</v>
      </c>
      <c r="X1475" s="2" t="b">
        <f t="shared" si="965"/>
        <v>1</v>
      </c>
    </row>
    <row r="1476" spans="2:24" x14ac:dyDescent="0.2">
      <c r="B1476" s="17">
        <v>45358</v>
      </c>
      <c r="C1476" s="10" t="s">
        <v>94</v>
      </c>
      <c r="D1476" s="11" t="s">
        <v>3302</v>
      </c>
      <c r="E1476" s="26">
        <v>73212</v>
      </c>
      <c r="F1476" s="10" t="s">
        <v>26</v>
      </c>
      <c r="G1476" s="10" t="s">
        <v>27</v>
      </c>
      <c r="H1476" s="27" t="s">
        <v>28</v>
      </c>
      <c r="I1476" s="28" t="s">
        <v>1843</v>
      </c>
      <c r="J1476" s="12" t="s">
        <v>1843</v>
      </c>
      <c r="K1476" s="13">
        <v>18000</v>
      </c>
      <c r="L1476" s="21">
        <v>3.63</v>
      </c>
      <c r="M1476" s="14" t="s">
        <v>14</v>
      </c>
      <c r="N1476" s="13">
        <v>65340</v>
      </c>
      <c r="O1476" s="15">
        <f t="shared" ref="O1476:O1478" si="966">(N1476/K1476)-L1476</f>
        <v>0</v>
      </c>
      <c r="P1476" s="10" t="s">
        <v>78</v>
      </c>
      <c r="Q1476" s="11" t="s">
        <v>3313</v>
      </c>
      <c r="R1476" s="11" t="s">
        <v>3314</v>
      </c>
      <c r="S1476" s="16" t="s">
        <v>3315</v>
      </c>
      <c r="T1476" s="19" t="str">
        <f>MONTH(B1476)&amp;"-"&amp;YEAR(B1476)</f>
        <v>3-2024</v>
      </c>
      <c r="U1476" s="2">
        <f>YEAR(B1476)</f>
        <v>2024</v>
      </c>
      <c r="V1476" s="2" t="str">
        <f>IF(DAY(B1476)&gt;15,MONTH(B1476)&amp;"-C",MONTH(B1476)&amp;"-N")</f>
        <v>3-N</v>
      </c>
      <c r="W1476" s="21">
        <v>3.63</v>
      </c>
      <c r="X1476" s="2" t="b">
        <f t="shared" ref="X1476:X1478" si="967">+L1476=W1476</f>
        <v>1</v>
      </c>
    </row>
    <row r="1477" spans="2:24" x14ac:dyDescent="0.2">
      <c r="B1477" s="17">
        <v>45359</v>
      </c>
      <c r="C1477" s="10" t="s">
        <v>107</v>
      </c>
      <c r="D1477" s="11" t="s">
        <v>3287</v>
      </c>
      <c r="E1477" s="26">
        <v>73195</v>
      </c>
      <c r="F1477" s="10" t="s">
        <v>142</v>
      </c>
      <c r="G1477" s="10" t="s">
        <v>46</v>
      </c>
      <c r="H1477" s="27" t="s">
        <v>143</v>
      </c>
      <c r="I1477" s="28" t="s">
        <v>1843</v>
      </c>
      <c r="J1477" s="12" t="s">
        <v>1843</v>
      </c>
      <c r="K1477" s="13">
        <v>2200</v>
      </c>
      <c r="L1477" s="21">
        <v>10.08</v>
      </c>
      <c r="M1477" s="14" t="s">
        <v>14</v>
      </c>
      <c r="N1477" s="13">
        <v>22176</v>
      </c>
      <c r="O1477" s="15">
        <f t="shared" si="966"/>
        <v>0</v>
      </c>
      <c r="P1477" s="10" t="s">
        <v>84</v>
      </c>
      <c r="Q1477" s="11" t="s">
        <v>3288</v>
      </c>
      <c r="R1477" s="11" t="s">
        <v>3289</v>
      </c>
      <c r="S1477" s="16" t="s">
        <v>3290</v>
      </c>
      <c r="T1477" s="19" t="str">
        <f>MONTH(B1477)&amp;"-"&amp;YEAR(B1477)</f>
        <v>3-2024</v>
      </c>
      <c r="U1477" s="2">
        <f>YEAR(B1477)</f>
        <v>2024</v>
      </c>
      <c r="V1477" s="2" t="str">
        <f>IF(DAY(B1477)&gt;15,MONTH(B1477)&amp;"-C",MONTH(B1477)&amp;"-N")</f>
        <v>3-N</v>
      </c>
      <c r="W1477" s="21">
        <v>10.08</v>
      </c>
      <c r="X1477" s="2" t="b">
        <f t="shared" si="967"/>
        <v>1</v>
      </c>
    </row>
    <row r="1478" spans="2:24" x14ac:dyDescent="0.2">
      <c r="B1478" s="17">
        <v>45359</v>
      </c>
      <c r="C1478" s="10" t="s">
        <v>107</v>
      </c>
      <c r="D1478" s="11" t="s">
        <v>3287</v>
      </c>
      <c r="E1478" s="26">
        <v>73195</v>
      </c>
      <c r="F1478" s="10" t="s">
        <v>2882</v>
      </c>
      <c r="G1478" s="10" t="s">
        <v>46</v>
      </c>
      <c r="H1478" s="27" t="s">
        <v>2883</v>
      </c>
      <c r="I1478" s="28" t="s">
        <v>1843</v>
      </c>
      <c r="J1478" s="12" t="s">
        <v>1843</v>
      </c>
      <c r="K1478" s="13">
        <v>440</v>
      </c>
      <c r="L1478" s="21">
        <v>11.11</v>
      </c>
      <c r="M1478" s="14" t="s">
        <v>14</v>
      </c>
      <c r="N1478" s="13">
        <v>4888.3999999999996</v>
      </c>
      <c r="O1478" s="15">
        <f t="shared" si="966"/>
        <v>0</v>
      </c>
      <c r="P1478" s="10" t="s">
        <v>84</v>
      </c>
      <c r="Q1478" s="11" t="s">
        <v>3288</v>
      </c>
      <c r="R1478" s="11" t="s">
        <v>3289</v>
      </c>
      <c r="S1478" s="16" t="s">
        <v>3290</v>
      </c>
      <c r="T1478" s="19" t="str">
        <f>MONTH(B1478)&amp;"-"&amp;YEAR(B1478)</f>
        <v>3-2024</v>
      </c>
      <c r="U1478" s="2">
        <f>YEAR(B1478)</f>
        <v>2024</v>
      </c>
      <c r="V1478" s="2" t="str">
        <f>IF(DAY(B1478)&gt;15,MONTH(B1478)&amp;"-C",MONTH(B1478)&amp;"-N")</f>
        <v>3-N</v>
      </c>
      <c r="W1478" s="21">
        <v>11.11</v>
      </c>
      <c r="X1478" s="2" t="b">
        <f t="shared" si="967"/>
        <v>1</v>
      </c>
    </row>
    <row r="1479" spans="2:24" x14ac:dyDescent="0.2">
      <c r="B1479" s="17">
        <v>45363</v>
      </c>
      <c r="C1479" s="10" t="s">
        <v>74</v>
      </c>
      <c r="D1479" s="11" t="s">
        <v>3295</v>
      </c>
      <c r="E1479" s="26">
        <v>73283</v>
      </c>
      <c r="F1479" s="10" t="s">
        <v>121</v>
      </c>
      <c r="G1479" s="10" t="s">
        <v>46</v>
      </c>
      <c r="H1479" s="27" t="s">
        <v>122</v>
      </c>
      <c r="I1479" s="28" t="s">
        <v>1843</v>
      </c>
      <c r="J1479" s="12" t="s">
        <v>1843</v>
      </c>
      <c r="K1479" s="13">
        <v>920</v>
      </c>
      <c r="L1479" s="21">
        <v>11.96</v>
      </c>
      <c r="M1479" s="14" t="s">
        <v>14</v>
      </c>
      <c r="N1479" s="13">
        <v>11003.2</v>
      </c>
      <c r="O1479" s="15">
        <f t="shared" ref="O1479:O1483" si="968">(N1479/K1479)-L1479</f>
        <v>0</v>
      </c>
      <c r="P1479" s="10" t="s">
        <v>84</v>
      </c>
      <c r="Q1479" s="11" t="s">
        <v>3296</v>
      </c>
      <c r="R1479" s="11" t="s">
        <v>3297</v>
      </c>
      <c r="S1479" s="16" t="s">
        <v>3298</v>
      </c>
      <c r="T1479" s="19" t="str">
        <f>MONTH(B1479)&amp;"-"&amp;YEAR(B1479)</f>
        <v>3-2024</v>
      </c>
      <c r="U1479" s="2">
        <f>YEAR(B1479)</f>
        <v>2024</v>
      </c>
      <c r="V1479" s="2" t="str">
        <f>IF(DAY(B1479)&gt;15,MONTH(B1479)&amp;"-C",MONTH(B1479)&amp;"-N")</f>
        <v>3-N</v>
      </c>
      <c r="W1479" s="21">
        <v>11.96</v>
      </c>
      <c r="X1479" s="2" t="b">
        <f t="shared" ref="X1479:X1483" si="969">+L1479=W1479</f>
        <v>1</v>
      </c>
    </row>
    <row r="1480" spans="2:24" x14ac:dyDescent="0.2">
      <c r="B1480" s="17">
        <v>45363</v>
      </c>
      <c r="C1480" s="10" t="s">
        <v>94</v>
      </c>
      <c r="D1480" s="11" t="s">
        <v>3309</v>
      </c>
      <c r="E1480" s="26">
        <v>73280</v>
      </c>
      <c r="F1480" s="10" t="s">
        <v>26</v>
      </c>
      <c r="G1480" s="10" t="s">
        <v>27</v>
      </c>
      <c r="H1480" s="27" t="s">
        <v>28</v>
      </c>
      <c r="I1480" s="28" t="s">
        <v>1843</v>
      </c>
      <c r="J1480" s="12" t="s">
        <v>1843</v>
      </c>
      <c r="K1480" s="13">
        <v>800</v>
      </c>
      <c r="L1480" s="21">
        <v>3.65</v>
      </c>
      <c r="M1480" s="14" t="s">
        <v>14</v>
      </c>
      <c r="N1480" s="13">
        <v>2920</v>
      </c>
      <c r="O1480" s="15">
        <f t="shared" si="968"/>
        <v>0</v>
      </c>
      <c r="P1480" s="10" t="s">
        <v>78</v>
      </c>
      <c r="Q1480" s="11" t="s">
        <v>3310</v>
      </c>
      <c r="R1480" s="11" t="s">
        <v>3311</v>
      </c>
      <c r="S1480" s="16" t="s">
        <v>3312</v>
      </c>
      <c r="T1480" s="19" t="str">
        <f>MONTH(B1480)&amp;"-"&amp;YEAR(B1480)</f>
        <v>3-2024</v>
      </c>
      <c r="U1480" s="2">
        <f>YEAR(B1480)</f>
        <v>2024</v>
      </c>
      <c r="V1480" s="2" t="str">
        <f>IF(DAY(B1480)&gt;15,MONTH(B1480)&amp;"-C",MONTH(B1480)&amp;"-N")</f>
        <v>3-N</v>
      </c>
      <c r="W1480" s="21">
        <v>3.65</v>
      </c>
      <c r="X1480" s="2" t="b">
        <f t="shared" si="969"/>
        <v>1</v>
      </c>
    </row>
    <row r="1481" spans="2:24" x14ac:dyDescent="0.2">
      <c r="B1481" s="17">
        <v>45363</v>
      </c>
      <c r="C1481" s="10" t="s">
        <v>94</v>
      </c>
      <c r="D1481" s="11" t="s">
        <v>3302</v>
      </c>
      <c r="E1481" s="26">
        <v>73280</v>
      </c>
      <c r="F1481" s="10" t="s">
        <v>26</v>
      </c>
      <c r="G1481" s="10" t="s">
        <v>27</v>
      </c>
      <c r="H1481" s="27" t="s">
        <v>28</v>
      </c>
      <c r="I1481" s="28" t="s">
        <v>1843</v>
      </c>
      <c r="J1481" s="12" t="s">
        <v>1843</v>
      </c>
      <c r="K1481" s="13">
        <v>15300</v>
      </c>
      <c r="L1481" s="21">
        <v>3.63</v>
      </c>
      <c r="M1481" s="14" t="s">
        <v>14</v>
      </c>
      <c r="N1481" s="13">
        <v>55539</v>
      </c>
      <c r="O1481" s="15">
        <f t="shared" si="968"/>
        <v>0</v>
      </c>
      <c r="P1481" s="10" t="s">
        <v>78</v>
      </c>
      <c r="Q1481" s="11" t="s">
        <v>3310</v>
      </c>
      <c r="R1481" s="11" t="s">
        <v>3311</v>
      </c>
      <c r="S1481" s="16" t="s">
        <v>3312</v>
      </c>
      <c r="T1481" s="19" t="str">
        <f>MONTH(B1481)&amp;"-"&amp;YEAR(B1481)</f>
        <v>3-2024</v>
      </c>
      <c r="U1481" s="2">
        <f>YEAR(B1481)</f>
        <v>2024</v>
      </c>
      <c r="V1481" s="2" t="str">
        <f>IF(DAY(B1481)&gt;15,MONTH(B1481)&amp;"-C",MONTH(B1481)&amp;"-N")</f>
        <v>3-N</v>
      </c>
      <c r="W1481" s="21">
        <v>3.63</v>
      </c>
      <c r="X1481" s="2" t="b">
        <f t="shared" si="969"/>
        <v>1</v>
      </c>
    </row>
    <row r="1482" spans="2:24" x14ac:dyDescent="0.2">
      <c r="B1482" s="17">
        <v>45364</v>
      </c>
      <c r="C1482" s="10" t="s">
        <v>88</v>
      </c>
      <c r="D1482" s="11" t="s">
        <v>3316</v>
      </c>
      <c r="E1482" s="26">
        <v>73308</v>
      </c>
      <c r="F1482" s="10" t="s">
        <v>98</v>
      </c>
      <c r="G1482" s="10" t="s">
        <v>46</v>
      </c>
      <c r="H1482" s="27" t="s">
        <v>99</v>
      </c>
      <c r="I1482" s="28" t="s">
        <v>1843</v>
      </c>
      <c r="J1482" s="12" t="s">
        <v>1843</v>
      </c>
      <c r="K1482" s="13">
        <v>52</v>
      </c>
      <c r="L1482" s="21">
        <v>11.25</v>
      </c>
      <c r="M1482" s="14" t="s">
        <v>14</v>
      </c>
      <c r="N1482" s="13">
        <v>585</v>
      </c>
      <c r="O1482" s="15">
        <f t="shared" si="968"/>
        <v>0</v>
      </c>
      <c r="P1482" s="10" t="s">
        <v>84</v>
      </c>
      <c r="Q1482" s="11" t="s">
        <v>3317</v>
      </c>
      <c r="R1482" s="11" t="s">
        <v>3318</v>
      </c>
      <c r="S1482" s="16" t="s">
        <v>3319</v>
      </c>
      <c r="T1482" s="19" t="str">
        <f>MONTH(B1482)&amp;"-"&amp;YEAR(B1482)</f>
        <v>3-2024</v>
      </c>
      <c r="U1482" s="2">
        <f>YEAR(B1482)</f>
        <v>2024</v>
      </c>
      <c r="V1482" s="2" t="str">
        <f>IF(DAY(B1482)&gt;15,MONTH(B1482)&amp;"-C",MONTH(B1482)&amp;"-N")</f>
        <v>3-N</v>
      </c>
      <c r="W1482" s="21">
        <v>11.25</v>
      </c>
      <c r="X1482" s="2" t="b">
        <f t="shared" si="969"/>
        <v>1</v>
      </c>
    </row>
    <row r="1483" spans="2:24" x14ac:dyDescent="0.2">
      <c r="B1483" s="17">
        <v>45364</v>
      </c>
      <c r="C1483" s="10" t="s">
        <v>88</v>
      </c>
      <c r="D1483" s="11" t="s">
        <v>3316</v>
      </c>
      <c r="E1483" s="26">
        <v>73308</v>
      </c>
      <c r="F1483" s="10" t="s">
        <v>100</v>
      </c>
      <c r="G1483" s="10" t="s">
        <v>46</v>
      </c>
      <c r="H1483" s="27" t="s">
        <v>101</v>
      </c>
      <c r="I1483" s="28" t="s">
        <v>1843</v>
      </c>
      <c r="J1483" s="12" t="s">
        <v>1843</v>
      </c>
      <c r="K1483" s="13">
        <v>3000</v>
      </c>
      <c r="L1483" s="21">
        <v>13.22</v>
      </c>
      <c r="M1483" s="14" t="s">
        <v>14</v>
      </c>
      <c r="N1483" s="13">
        <v>39660</v>
      </c>
      <c r="O1483" s="15">
        <f t="shared" si="968"/>
        <v>0</v>
      </c>
      <c r="P1483" s="10" t="s">
        <v>84</v>
      </c>
      <c r="Q1483" s="11" t="s">
        <v>3317</v>
      </c>
      <c r="R1483" s="11" t="s">
        <v>3318</v>
      </c>
      <c r="S1483" s="16" t="s">
        <v>3319</v>
      </c>
      <c r="T1483" s="19" t="str">
        <f>MONTH(B1483)&amp;"-"&amp;YEAR(B1483)</f>
        <v>3-2024</v>
      </c>
      <c r="U1483" s="2">
        <f>YEAR(B1483)</f>
        <v>2024</v>
      </c>
      <c r="V1483" s="2" t="str">
        <f>IF(DAY(B1483)&gt;15,MONTH(B1483)&amp;"-C",MONTH(B1483)&amp;"-N")</f>
        <v>3-N</v>
      </c>
      <c r="W1483" s="21">
        <v>13.22</v>
      </c>
      <c r="X1483" s="2" t="b">
        <f t="shared" si="969"/>
        <v>1</v>
      </c>
    </row>
    <row r="1484" spans="2:24" x14ac:dyDescent="0.2">
      <c r="B1484" s="17">
        <v>45367</v>
      </c>
      <c r="C1484" s="10" t="s">
        <v>107</v>
      </c>
      <c r="D1484" s="11" t="s">
        <v>3291</v>
      </c>
      <c r="E1484" s="26">
        <v>73377</v>
      </c>
      <c r="F1484" s="10" t="s">
        <v>103</v>
      </c>
      <c r="G1484" s="10" t="s">
        <v>46</v>
      </c>
      <c r="H1484" s="27" t="s">
        <v>104</v>
      </c>
      <c r="I1484" s="28" t="s">
        <v>1843</v>
      </c>
      <c r="J1484" s="12" t="s">
        <v>1843</v>
      </c>
      <c r="K1484" s="13">
        <v>190</v>
      </c>
      <c r="L1484" s="21">
        <v>47.46</v>
      </c>
      <c r="M1484" s="14" t="s">
        <v>14</v>
      </c>
      <c r="N1484" s="13">
        <v>9017.4</v>
      </c>
      <c r="O1484" s="15">
        <f t="shared" ref="O1484:O1487" si="970">(N1484/K1484)-L1484</f>
        <v>0</v>
      </c>
      <c r="P1484" s="10" t="s">
        <v>84</v>
      </c>
      <c r="Q1484" s="11" t="s">
        <v>3292</v>
      </c>
      <c r="R1484" s="11" t="s">
        <v>3293</v>
      </c>
      <c r="S1484" s="16" t="s">
        <v>3294</v>
      </c>
      <c r="T1484" s="19" t="str">
        <f>MONTH(B1484)&amp;"-"&amp;YEAR(B1484)</f>
        <v>3-2024</v>
      </c>
      <c r="U1484" s="2">
        <f>YEAR(B1484)</f>
        <v>2024</v>
      </c>
      <c r="V1484" s="2" t="str">
        <f>IF(DAY(B1484)&gt;15,MONTH(B1484)&amp;"-C",MONTH(B1484)&amp;"-N")</f>
        <v>3-C</v>
      </c>
      <c r="W1484" s="21">
        <v>47.46</v>
      </c>
      <c r="X1484" s="2" t="b">
        <f t="shared" ref="X1484:X1487" si="971">+L1484=W1484</f>
        <v>1</v>
      </c>
    </row>
    <row r="1485" spans="2:24" x14ac:dyDescent="0.2">
      <c r="B1485" s="17">
        <v>45367</v>
      </c>
      <c r="C1485" s="10" t="s">
        <v>107</v>
      </c>
      <c r="D1485" s="11" t="s">
        <v>3291</v>
      </c>
      <c r="E1485" s="26">
        <v>73377</v>
      </c>
      <c r="F1485" s="10" t="s">
        <v>105</v>
      </c>
      <c r="G1485" s="10" t="s">
        <v>46</v>
      </c>
      <c r="H1485" s="27" t="s">
        <v>106</v>
      </c>
      <c r="I1485" s="28" t="s">
        <v>1843</v>
      </c>
      <c r="J1485" s="12" t="s">
        <v>1843</v>
      </c>
      <c r="K1485" s="13">
        <v>5940</v>
      </c>
      <c r="L1485" s="21">
        <v>11.72</v>
      </c>
      <c r="M1485" s="14" t="s">
        <v>14</v>
      </c>
      <c r="N1485" s="13">
        <v>69616.800000000003</v>
      </c>
      <c r="O1485" s="15">
        <f t="shared" si="970"/>
        <v>0</v>
      </c>
      <c r="P1485" s="10" t="s">
        <v>84</v>
      </c>
      <c r="Q1485" s="11" t="s">
        <v>3292</v>
      </c>
      <c r="R1485" s="11" t="s">
        <v>3293</v>
      </c>
      <c r="S1485" s="16" t="s">
        <v>3294</v>
      </c>
      <c r="T1485" s="19" t="str">
        <f>MONTH(B1485)&amp;"-"&amp;YEAR(B1485)</f>
        <v>3-2024</v>
      </c>
      <c r="U1485" s="2">
        <f>YEAR(B1485)</f>
        <v>2024</v>
      </c>
      <c r="V1485" s="2" t="str">
        <f>IF(DAY(B1485)&gt;15,MONTH(B1485)&amp;"-C",MONTH(B1485)&amp;"-N")</f>
        <v>3-C</v>
      </c>
      <c r="W1485" s="21">
        <v>11.72</v>
      </c>
      <c r="X1485" s="2" t="b">
        <f t="shared" si="971"/>
        <v>1</v>
      </c>
    </row>
    <row r="1486" spans="2:24" x14ac:dyDescent="0.2">
      <c r="B1486" s="17">
        <v>45367</v>
      </c>
      <c r="C1486" s="10" t="s">
        <v>94</v>
      </c>
      <c r="D1486" s="11" t="s">
        <v>3302</v>
      </c>
      <c r="E1486" s="26">
        <v>73378</v>
      </c>
      <c r="F1486" s="10" t="s">
        <v>26</v>
      </c>
      <c r="G1486" s="10" t="s">
        <v>27</v>
      </c>
      <c r="H1486" s="27" t="s">
        <v>28</v>
      </c>
      <c r="I1486" s="28" t="s">
        <v>1843</v>
      </c>
      <c r="J1486" s="12" t="s">
        <v>1843</v>
      </c>
      <c r="K1486" s="13">
        <v>16200</v>
      </c>
      <c r="L1486" s="21">
        <v>3.63</v>
      </c>
      <c r="M1486" s="14" t="s">
        <v>14</v>
      </c>
      <c r="N1486" s="13">
        <v>58806</v>
      </c>
      <c r="O1486" s="15">
        <f t="shared" si="970"/>
        <v>0</v>
      </c>
      <c r="P1486" s="10" t="s">
        <v>78</v>
      </c>
      <c r="Q1486" s="11" t="s">
        <v>3303</v>
      </c>
      <c r="R1486" s="11" t="s">
        <v>3304</v>
      </c>
      <c r="S1486" s="16" t="s">
        <v>3305</v>
      </c>
      <c r="T1486" s="19" t="str">
        <f>MONTH(B1486)&amp;"-"&amp;YEAR(B1486)</f>
        <v>3-2024</v>
      </c>
      <c r="U1486" s="2">
        <f>YEAR(B1486)</f>
        <v>2024</v>
      </c>
      <c r="V1486" s="2" t="str">
        <f>IF(DAY(B1486)&gt;15,MONTH(B1486)&amp;"-C",MONTH(B1486)&amp;"-N")</f>
        <v>3-C</v>
      </c>
      <c r="W1486" s="21">
        <v>3.63</v>
      </c>
      <c r="X1486" s="2" t="b">
        <f t="shared" si="971"/>
        <v>1</v>
      </c>
    </row>
    <row r="1487" spans="2:24" x14ac:dyDescent="0.2">
      <c r="B1487" s="17">
        <v>45367</v>
      </c>
      <c r="C1487" s="10" t="s">
        <v>2630</v>
      </c>
      <c r="D1487" s="11" t="s">
        <v>3323</v>
      </c>
      <c r="E1487" s="26">
        <v>73379</v>
      </c>
      <c r="F1487" s="10" t="s">
        <v>29</v>
      </c>
      <c r="G1487" s="10" t="s">
        <v>27</v>
      </c>
      <c r="H1487" s="27" t="s">
        <v>30</v>
      </c>
      <c r="I1487" s="28" t="s">
        <v>1843</v>
      </c>
      <c r="J1487" s="12" t="s">
        <v>1843</v>
      </c>
      <c r="K1487" s="13">
        <v>3960</v>
      </c>
      <c r="L1487" s="21">
        <v>3.75</v>
      </c>
      <c r="M1487" s="14" t="s">
        <v>14</v>
      </c>
      <c r="N1487" s="13">
        <v>14850</v>
      </c>
      <c r="O1487" s="15">
        <f t="shared" si="970"/>
        <v>0</v>
      </c>
      <c r="P1487" s="10" t="s">
        <v>78</v>
      </c>
      <c r="Q1487" s="11" t="s">
        <v>3324</v>
      </c>
      <c r="R1487" s="11" t="s">
        <v>3325</v>
      </c>
      <c r="S1487" s="16" t="s">
        <v>3326</v>
      </c>
      <c r="T1487" s="19" t="str">
        <f>MONTH(B1487)&amp;"-"&amp;YEAR(B1487)</f>
        <v>3-2024</v>
      </c>
      <c r="U1487" s="2">
        <f>YEAR(B1487)</f>
        <v>2024</v>
      </c>
      <c r="V1487" s="2" t="str">
        <f>IF(DAY(B1487)&gt;15,MONTH(B1487)&amp;"-C",MONTH(B1487)&amp;"-N")</f>
        <v>3-C</v>
      </c>
      <c r="W1487" s="21">
        <v>3.75</v>
      </c>
      <c r="X1487" s="2" t="b">
        <f t="shared" si="971"/>
        <v>1</v>
      </c>
    </row>
    <row r="1488" spans="2:24" x14ac:dyDescent="0.2">
      <c r="B1488" s="17">
        <v>45370</v>
      </c>
      <c r="C1488" s="10" t="s">
        <v>82</v>
      </c>
      <c r="D1488" s="11" t="s">
        <v>3276</v>
      </c>
      <c r="E1488" s="26">
        <v>73419</v>
      </c>
      <c r="F1488" s="10" t="s">
        <v>3054</v>
      </c>
      <c r="G1488" s="10" t="s">
        <v>27</v>
      </c>
      <c r="H1488" s="27" t="s">
        <v>3055</v>
      </c>
      <c r="I1488" s="28" t="s">
        <v>1843</v>
      </c>
      <c r="J1488" s="12" t="s">
        <v>1843</v>
      </c>
      <c r="K1488" s="13">
        <v>640</v>
      </c>
      <c r="L1488" s="21">
        <v>4.7</v>
      </c>
      <c r="M1488" s="14" t="s">
        <v>14</v>
      </c>
      <c r="N1488" s="13">
        <v>3008</v>
      </c>
      <c r="O1488" s="15">
        <f t="shared" ref="O1488:O1490" si="972">(N1488/K1488)-L1488</f>
        <v>0</v>
      </c>
      <c r="P1488" s="10" t="s">
        <v>78</v>
      </c>
      <c r="Q1488" s="11" t="s">
        <v>3277</v>
      </c>
      <c r="R1488" s="11" t="s">
        <v>3278</v>
      </c>
      <c r="S1488" s="16" t="s">
        <v>3279</v>
      </c>
      <c r="T1488" s="19" t="str">
        <f>MONTH(B1488)&amp;"-"&amp;YEAR(B1488)</f>
        <v>3-2024</v>
      </c>
      <c r="U1488" s="2">
        <f>YEAR(B1488)</f>
        <v>2024</v>
      </c>
      <c r="V1488" s="2" t="str">
        <f>IF(DAY(B1488)&gt;15,MONTH(B1488)&amp;"-C",MONTH(B1488)&amp;"-N")</f>
        <v>3-C</v>
      </c>
      <c r="W1488" s="21">
        <v>4.7</v>
      </c>
      <c r="X1488" s="2" t="b">
        <f t="shared" ref="X1488:X1490" si="973">+L1488=W1488</f>
        <v>1</v>
      </c>
    </row>
    <row r="1489" spans="2:24" x14ac:dyDescent="0.2">
      <c r="B1489" s="17">
        <v>45371</v>
      </c>
      <c r="C1489" s="10" t="s">
        <v>73</v>
      </c>
      <c r="D1489" s="11" t="s">
        <v>3272</v>
      </c>
      <c r="E1489" s="26">
        <v>73440</v>
      </c>
      <c r="F1489" s="10" t="s">
        <v>399</v>
      </c>
      <c r="G1489" s="10" t="s">
        <v>46</v>
      </c>
      <c r="H1489" s="27" t="s">
        <v>149</v>
      </c>
      <c r="I1489" s="28" t="s">
        <v>1843</v>
      </c>
      <c r="J1489" s="12" t="s">
        <v>1843</v>
      </c>
      <c r="K1489" s="13">
        <v>1020</v>
      </c>
      <c r="L1489" s="21">
        <v>16.8</v>
      </c>
      <c r="M1489" s="14" t="s">
        <v>14</v>
      </c>
      <c r="N1489" s="13">
        <v>17136</v>
      </c>
      <c r="O1489" s="15">
        <f t="shared" si="972"/>
        <v>0</v>
      </c>
      <c r="P1489" s="10" t="s">
        <v>84</v>
      </c>
      <c r="Q1489" s="11" t="s">
        <v>3273</v>
      </c>
      <c r="R1489" s="11" t="s">
        <v>3274</v>
      </c>
      <c r="S1489" s="16" t="s">
        <v>3275</v>
      </c>
      <c r="T1489" s="19" t="str">
        <f>MONTH(B1489)&amp;"-"&amp;YEAR(B1489)</f>
        <v>3-2024</v>
      </c>
      <c r="U1489" s="2">
        <f>YEAR(B1489)</f>
        <v>2024</v>
      </c>
      <c r="V1489" s="2" t="str">
        <f>IF(DAY(B1489)&gt;15,MONTH(B1489)&amp;"-C",MONTH(B1489)&amp;"-N")</f>
        <v>3-C</v>
      </c>
      <c r="W1489" s="21">
        <v>16.8</v>
      </c>
      <c r="X1489" s="2" t="b">
        <f t="shared" si="973"/>
        <v>1</v>
      </c>
    </row>
    <row r="1490" spans="2:24" x14ac:dyDescent="0.2">
      <c r="B1490" s="17">
        <v>45371</v>
      </c>
      <c r="C1490" s="10" t="s">
        <v>94</v>
      </c>
      <c r="D1490" s="11" t="s">
        <v>3302</v>
      </c>
      <c r="E1490" s="26">
        <v>73442</v>
      </c>
      <c r="F1490" s="10" t="s">
        <v>26</v>
      </c>
      <c r="G1490" s="10" t="s">
        <v>27</v>
      </c>
      <c r="H1490" s="27" t="s">
        <v>28</v>
      </c>
      <c r="I1490" s="28" t="s">
        <v>1843</v>
      </c>
      <c r="J1490" s="12" t="s">
        <v>1843</v>
      </c>
      <c r="K1490" s="13">
        <v>18000</v>
      </c>
      <c r="L1490" s="21">
        <v>3.63</v>
      </c>
      <c r="M1490" s="14" t="s">
        <v>14</v>
      </c>
      <c r="N1490" s="13">
        <v>65340</v>
      </c>
      <c r="O1490" s="15">
        <f t="shared" si="972"/>
        <v>0</v>
      </c>
      <c r="P1490" s="10" t="s">
        <v>78</v>
      </c>
      <c r="Q1490" s="11" t="s">
        <v>3307</v>
      </c>
      <c r="R1490" s="11" t="s">
        <v>3306</v>
      </c>
      <c r="S1490" s="16" t="s">
        <v>3308</v>
      </c>
      <c r="T1490" s="19" t="str">
        <f>MONTH(B1490)&amp;"-"&amp;YEAR(B1490)</f>
        <v>3-2024</v>
      </c>
      <c r="U1490" s="2">
        <f>YEAR(B1490)</f>
        <v>2024</v>
      </c>
      <c r="V1490" s="2" t="str">
        <f>IF(DAY(B1490)&gt;15,MONTH(B1490)&amp;"-C",MONTH(B1490)&amp;"-N")</f>
        <v>3-C</v>
      </c>
      <c r="W1490" s="21">
        <v>3.63</v>
      </c>
      <c r="X1490" s="2" t="b">
        <f t="shared" si="973"/>
        <v>1</v>
      </c>
    </row>
    <row r="1491" spans="2:24" x14ac:dyDescent="0.2">
      <c r="B1491" s="17">
        <v>45374</v>
      </c>
      <c r="C1491" s="10" t="s">
        <v>82</v>
      </c>
      <c r="D1491" s="11" t="s">
        <v>3276</v>
      </c>
      <c r="E1491" s="26">
        <v>73519</v>
      </c>
      <c r="F1491" s="10" t="s">
        <v>3054</v>
      </c>
      <c r="G1491" s="10" t="s">
        <v>27</v>
      </c>
      <c r="H1491" s="27" t="s">
        <v>3055</v>
      </c>
      <c r="I1491" s="28" t="s">
        <v>1843</v>
      </c>
      <c r="J1491" s="12" t="s">
        <v>1843</v>
      </c>
      <c r="K1491" s="13">
        <v>640</v>
      </c>
      <c r="L1491" s="21">
        <v>4.7</v>
      </c>
      <c r="M1491" s="14" t="s">
        <v>14</v>
      </c>
      <c r="N1491" s="13">
        <v>3008</v>
      </c>
      <c r="O1491" s="15">
        <f t="shared" ref="O1491" si="974">(N1491/K1491)-L1491</f>
        <v>0</v>
      </c>
      <c r="P1491" s="10" t="s">
        <v>78</v>
      </c>
      <c r="Q1491" s="11" t="s">
        <v>3280</v>
      </c>
      <c r="R1491" s="11" t="s">
        <v>3281</v>
      </c>
      <c r="S1491" s="16" t="s">
        <v>3282</v>
      </c>
      <c r="T1491" s="19" t="str">
        <f>MONTH(B1491)&amp;"-"&amp;YEAR(B1491)</f>
        <v>3-2024</v>
      </c>
      <c r="U1491" s="2">
        <f>YEAR(B1491)</f>
        <v>2024</v>
      </c>
      <c r="V1491" s="2" t="str">
        <f>IF(DAY(B1491)&gt;15,MONTH(B1491)&amp;"-C",MONTH(B1491)&amp;"-N")</f>
        <v>3-C</v>
      </c>
      <c r="W1491" s="21">
        <v>4.7</v>
      </c>
      <c r="X1491" s="2" t="b">
        <f t="shared" ref="X1491" si="975">+L1491=W1491</f>
        <v>1</v>
      </c>
    </row>
    <row r="1492" spans="2:24" x14ac:dyDescent="0.2">
      <c r="B1492" s="17">
        <v>45376</v>
      </c>
      <c r="C1492" s="10" t="s">
        <v>107</v>
      </c>
      <c r="D1492" s="11" t="s">
        <v>3331</v>
      </c>
      <c r="E1492" s="26">
        <v>73531</v>
      </c>
      <c r="F1492" s="10" t="s">
        <v>103</v>
      </c>
      <c r="G1492" s="10" t="s">
        <v>46</v>
      </c>
      <c r="H1492" s="27" t="s">
        <v>104</v>
      </c>
      <c r="I1492" s="28" t="s">
        <v>1843</v>
      </c>
      <c r="J1492" s="12" t="s">
        <v>1843</v>
      </c>
      <c r="K1492" s="13">
        <v>60</v>
      </c>
      <c r="L1492" s="21">
        <v>47.46</v>
      </c>
      <c r="M1492" s="14" t="s">
        <v>14</v>
      </c>
      <c r="N1492" s="13">
        <v>2847.6</v>
      </c>
      <c r="O1492" s="15">
        <f t="shared" ref="O1492:O1502" si="976">(N1492/K1492)-L1492</f>
        <v>0</v>
      </c>
      <c r="P1492" s="10" t="s">
        <v>84</v>
      </c>
      <c r="Q1492" s="11" t="s">
        <v>3332</v>
      </c>
      <c r="R1492" s="11" t="s">
        <v>3333</v>
      </c>
      <c r="S1492" s="16" t="s">
        <v>3334</v>
      </c>
      <c r="T1492" s="19" t="str">
        <f>MONTH(B1492)&amp;"-"&amp;YEAR(B1492)</f>
        <v>3-2024</v>
      </c>
      <c r="U1492" s="2">
        <f>YEAR(B1492)</f>
        <v>2024</v>
      </c>
      <c r="V1492" s="2" t="str">
        <f>IF(DAY(B1492)&gt;15,MONTH(B1492)&amp;"-C",MONTH(B1492)&amp;"-N")</f>
        <v>3-C</v>
      </c>
      <c r="W1492" s="21">
        <v>47.46</v>
      </c>
      <c r="X1492" s="2" t="b">
        <f t="shared" ref="X1492:X1502" si="977">+L1492=W1492</f>
        <v>1</v>
      </c>
    </row>
    <row r="1493" spans="2:24" x14ac:dyDescent="0.2">
      <c r="B1493" s="17">
        <v>45376</v>
      </c>
      <c r="C1493" s="10" t="s">
        <v>107</v>
      </c>
      <c r="D1493" s="11" t="s">
        <v>3331</v>
      </c>
      <c r="E1493" s="26">
        <v>73531</v>
      </c>
      <c r="F1493" s="10" t="s">
        <v>105</v>
      </c>
      <c r="G1493" s="10" t="s">
        <v>46</v>
      </c>
      <c r="H1493" s="27" t="s">
        <v>106</v>
      </c>
      <c r="I1493" s="28" t="s">
        <v>1843</v>
      </c>
      <c r="J1493" s="12" t="s">
        <v>1843</v>
      </c>
      <c r="K1493" s="13">
        <v>1540</v>
      </c>
      <c r="L1493" s="21">
        <v>11.72</v>
      </c>
      <c r="M1493" s="14" t="s">
        <v>14</v>
      </c>
      <c r="N1493" s="13">
        <v>18048.8</v>
      </c>
      <c r="O1493" s="15">
        <f t="shared" si="976"/>
        <v>0</v>
      </c>
      <c r="P1493" s="10" t="s">
        <v>84</v>
      </c>
      <c r="Q1493" s="11" t="s">
        <v>3332</v>
      </c>
      <c r="R1493" s="11" t="s">
        <v>3333</v>
      </c>
      <c r="S1493" s="16" t="s">
        <v>3334</v>
      </c>
      <c r="T1493" s="19" t="str">
        <f>MONTH(B1493)&amp;"-"&amp;YEAR(B1493)</f>
        <v>3-2024</v>
      </c>
      <c r="U1493" s="2">
        <f>YEAR(B1493)</f>
        <v>2024</v>
      </c>
      <c r="V1493" s="2" t="str">
        <f>IF(DAY(B1493)&gt;15,MONTH(B1493)&amp;"-C",MONTH(B1493)&amp;"-N")</f>
        <v>3-C</v>
      </c>
      <c r="W1493" s="21">
        <v>11.72</v>
      </c>
      <c r="X1493" s="2" t="b">
        <f t="shared" si="977"/>
        <v>1</v>
      </c>
    </row>
    <row r="1494" spans="2:24" x14ac:dyDescent="0.2">
      <c r="B1494" s="17">
        <v>45376</v>
      </c>
      <c r="C1494" s="10" t="s">
        <v>94</v>
      </c>
      <c r="D1494" s="11" t="s">
        <v>3302</v>
      </c>
      <c r="E1494" s="26">
        <v>73532</v>
      </c>
      <c r="F1494" s="10" t="s">
        <v>26</v>
      </c>
      <c r="G1494" s="10" t="s">
        <v>27</v>
      </c>
      <c r="H1494" s="27" t="s">
        <v>28</v>
      </c>
      <c r="I1494" s="28" t="s">
        <v>1843</v>
      </c>
      <c r="J1494" s="12" t="s">
        <v>1843</v>
      </c>
      <c r="K1494" s="13">
        <v>12500</v>
      </c>
      <c r="L1494" s="21">
        <v>3.63</v>
      </c>
      <c r="M1494" s="14" t="s">
        <v>14</v>
      </c>
      <c r="N1494" s="13">
        <v>45375</v>
      </c>
      <c r="O1494" s="15">
        <f t="shared" si="976"/>
        <v>0</v>
      </c>
      <c r="P1494" s="10" t="s">
        <v>78</v>
      </c>
      <c r="Q1494" s="11" t="s">
        <v>3335</v>
      </c>
      <c r="R1494" s="11" t="s">
        <v>3336</v>
      </c>
      <c r="S1494" s="16" t="s">
        <v>3337</v>
      </c>
      <c r="T1494" s="19" t="str">
        <f>MONTH(B1494)&amp;"-"&amp;YEAR(B1494)</f>
        <v>3-2024</v>
      </c>
      <c r="U1494" s="2">
        <f>YEAR(B1494)</f>
        <v>2024</v>
      </c>
      <c r="V1494" s="2" t="str">
        <f>IF(DAY(B1494)&gt;15,MONTH(B1494)&amp;"-C",MONTH(B1494)&amp;"-N")</f>
        <v>3-C</v>
      </c>
      <c r="W1494" s="21">
        <v>3.63</v>
      </c>
      <c r="X1494" s="2" t="b">
        <f t="shared" si="977"/>
        <v>1</v>
      </c>
    </row>
    <row r="1495" spans="2:24" x14ac:dyDescent="0.2">
      <c r="B1495" s="17">
        <v>45376</v>
      </c>
      <c r="C1495" s="10" t="s">
        <v>94</v>
      </c>
      <c r="D1495" s="11" t="s">
        <v>3338</v>
      </c>
      <c r="E1495" s="26">
        <v>73532</v>
      </c>
      <c r="F1495" s="10" t="s">
        <v>26</v>
      </c>
      <c r="G1495" s="10" t="s">
        <v>27</v>
      </c>
      <c r="H1495" s="27" t="s">
        <v>28</v>
      </c>
      <c r="I1495" s="28" t="s">
        <v>1843</v>
      </c>
      <c r="J1495" s="12" t="s">
        <v>1843</v>
      </c>
      <c r="K1495" s="13">
        <v>2800</v>
      </c>
      <c r="L1495" s="21">
        <v>3.63</v>
      </c>
      <c r="M1495" s="14" t="s">
        <v>14</v>
      </c>
      <c r="N1495" s="13">
        <v>10164</v>
      </c>
      <c r="O1495" s="15">
        <f t="shared" si="976"/>
        <v>0</v>
      </c>
      <c r="P1495" s="10" t="s">
        <v>78</v>
      </c>
      <c r="Q1495" s="11" t="s">
        <v>3335</v>
      </c>
      <c r="R1495" s="11" t="s">
        <v>3336</v>
      </c>
      <c r="S1495" s="16" t="s">
        <v>3337</v>
      </c>
      <c r="T1495" s="19" t="str">
        <f>MONTH(B1495)&amp;"-"&amp;YEAR(B1495)</f>
        <v>3-2024</v>
      </c>
      <c r="U1495" s="2">
        <f>YEAR(B1495)</f>
        <v>2024</v>
      </c>
      <c r="V1495" s="2" t="str">
        <f>IF(DAY(B1495)&gt;15,MONTH(B1495)&amp;"-C",MONTH(B1495)&amp;"-N")</f>
        <v>3-C</v>
      </c>
      <c r="W1495" s="21">
        <v>3.63</v>
      </c>
      <c r="X1495" s="2" t="b">
        <f t="shared" si="977"/>
        <v>1</v>
      </c>
    </row>
    <row r="1496" spans="2:24" x14ac:dyDescent="0.2">
      <c r="B1496" s="17">
        <v>45377</v>
      </c>
      <c r="C1496" s="10" t="s">
        <v>88</v>
      </c>
      <c r="D1496" s="11" t="s">
        <v>3347</v>
      </c>
      <c r="E1496" s="26">
        <v>73557</v>
      </c>
      <c r="F1496" s="10" t="s">
        <v>98</v>
      </c>
      <c r="G1496" s="10" t="s">
        <v>46</v>
      </c>
      <c r="H1496" s="27" t="s">
        <v>99</v>
      </c>
      <c r="I1496" s="28" t="s">
        <v>1843</v>
      </c>
      <c r="J1496" s="12" t="s">
        <v>1843</v>
      </c>
      <c r="K1496" s="13">
        <v>20</v>
      </c>
      <c r="L1496" s="21">
        <v>11.25</v>
      </c>
      <c r="M1496" s="14" t="s">
        <v>14</v>
      </c>
      <c r="N1496" s="13">
        <v>225</v>
      </c>
      <c r="O1496" s="15">
        <f t="shared" si="976"/>
        <v>0</v>
      </c>
      <c r="P1496" s="10" t="s">
        <v>84</v>
      </c>
      <c r="Q1496" s="11" t="s">
        <v>3348</v>
      </c>
      <c r="R1496" s="11" t="s">
        <v>3349</v>
      </c>
      <c r="S1496" s="16" t="s">
        <v>3350</v>
      </c>
      <c r="T1496" s="19" t="str">
        <f>MONTH(B1496)&amp;"-"&amp;YEAR(B1496)</f>
        <v>3-2024</v>
      </c>
      <c r="U1496" s="2">
        <f>YEAR(B1496)</f>
        <v>2024</v>
      </c>
      <c r="V1496" s="2" t="str">
        <f>IF(DAY(B1496)&gt;15,MONTH(B1496)&amp;"-C",MONTH(B1496)&amp;"-N")</f>
        <v>3-C</v>
      </c>
      <c r="W1496" s="21">
        <v>11.25</v>
      </c>
      <c r="X1496" s="2" t="b">
        <f t="shared" si="977"/>
        <v>1</v>
      </c>
    </row>
    <row r="1497" spans="2:24" x14ac:dyDescent="0.2">
      <c r="B1497" s="17">
        <v>45377</v>
      </c>
      <c r="C1497" s="10" t="s">
        <v>88</v>
      </c>
      <c r="D1497" s="11" t="s">
        <v>3347</v>
      </c>
      <c r="E1497" s="26">
        <v>73557</v>
      </c>
      <c r="F1497" s="10" t="s">
        <v>100</v>
      </c>
      <c r="G1497" s="10" t="s">
        <v>46</v>
      </c>
      <c r="H1497" s="27" t="s">
        <v>101</v>
      </c>
      <c r="I1497" s="28" t="s">
        <v>1843</v>
      </c>
      <c r="J1497" s="12" t="s">
        <v>1843</v>
      </c>
      <c r="K1497" s="13">
        <v>1000</v>
      </c>
      <c r="L1497" s="21">
        <v>13.22</v>
      </c>
      <c r="M1497" s="14" t="s">
        <v>14</v>
      </c>
      <c r="N1497" s="13">
        <v>13220</v>
      </c>
      <c r="O1497" s="15">
        <f t="shared" si="976"/>
        <v>0</v>
      </c>
      <c r="P1497" s="10" t="s">
        <v>84</v>
      </c>
      <c r="Q1497" s="11" t="s">
        <v>3348</v>
      </c>
      <c r="R1497" s="11" t="s">
        <v>3349</v>
      </c>
      <c r="S1497" s="16" t="s">
        <v>3350</v>
      </c>
      <c r="T1497" s="19" t="str">
        <f>MONTH(B1497)&amp;"-"&amp;YEAR(B1497)</f>
        <v>3-2024</v>
      </c>
      <c r="U1497" s="2">
        <f>YEAR(B1497)</f>
        <v>2024</v>
      </c>
      <c r="V1497" s="2" t="str">
        <f>IF(DAY(B1497)&gt;15,MONTH(B1497)&amp;"-C",MONTH(B1497)&amp;"-N")</f>
        <v>3-C</v>
      </c>
      <c r="W1497" s="21">
        <v>13.22</v>
      </c>
      <c r="X1497" s="2" t="b">
        <f t="shared" si="977"/>
        <v>1</v>
      </c>
    </row>
    <row r="1498" spans="2:24" x14ac:dyDescent="0.2">
      <c r="B1498" s="17">
        <v>45378</v>
      </c>
      <c r="C1498" s="10" t="s">
        <v>25</v>
      </c>
      <c r="D1498" s="11" t="s">
        <v>3283</v>
      </c>
      <c r="E1498" s="26">
        <v>73592</v>
      </c>
      <c r="F1498" s="10" t="s">
        <v>26</v>
      </c>
      <c r="G1498" s="10" t="s">
        <v>27</v>
      </c>
      <c r="H1498" s="27" t="s">
        <v>28</v>
      </c>
      <c r="I1498" s="28" t="s">
        <v>1843</v>
      </c>
      <c r="J1498" s="12" t="s">
        <v>1843</v>
      </c>
      <c r="K1498" s="13">
        <v>15300</v>
      </c>
      <c r="L1498" s="21">
        <v>3.63</v>
      </c>
      <c r="M1498" s="14" t="s">
        <v>14</v>
      </c>
      <c r="N1498" s="13">
        <v>55539</v>
      </c>
      <c r="O1498" s="15">
        <f t="shared" si="976"/>
        <v>0</v>
      </c>
      <c r="P1498" s="10" t="s">
        <v>78</v>
      </c>
      <c r="Q1498" s="11" t="s">
        <v>3339</v>
      </c>
      <c r="R1498" s="11" t="s">
        <v>3340</v>
      </c>
      <c r="S1498" s="16" t="s">
        <v>3341</v>
      </c>
      <c r="T1498" s="19" t="str">
        <f>MONTH(B1498)&amp;"-"&amp;YEAR(B1498)</f>
        <v>3-2024</v>
      </c>
      <c r="U1498" s="2">
        <f>YEAR(B1498)</f>
        <v>2024</v>
      </c>
      <c r="V1498" s="2" t="str">
        <f>IF(DAY(B1498)&gt;15,MONTH(B1498)&amp;"-C",MONTH(B1498)&amp;"-N")</f>
        <v>3-C</v>
      </c>
      <c r="W1498" s="21">
        <v>3.63</v>
      </c>
      <c r="X1498" s="2" t="b">
        <f t="shared" si="977"/>
        <v>1</v>
      </c>
    </row>
    <row r="1499" spans="2:24" x14ac:dyDescent="0.2">
      <c r="B1499" s="17">
        <v>45378</v>
      </c>
      <c r="C1499" s="10" t="s">
        <v>107</v>
      </c>
      <c r="D1499" s="11" t="s">
        <v>3331</v>
      </c>
      <c r="E1499" s="26">
        <v>73587</v>
      </c>
      <c r="F1499" s="10" t="s">
        <v>103</v>
      </c>
      <c r="G1499" s="10" t="s">
        <v>46</v>
      </c>
      <c r="H1499" s="27" t="s">
        <v>104</v>
      </c>
      <c r="I1499" s="28" t="s">
        <v>1843</v>
      </c>
      <c r="J1499" s="12" t="s">
        <v>1843</v>
      </c>
      <c r="K1499" s="13">
        <v>130</v>
      </c>
      <c r="L1499" s="21">
        <v>47.46</v>
      </c>
      <c r="M1499" s="14" t="s">
        <v>14</v>
      </c>
      <c r="N1499" s="13">
        <v>6169.8</v>
      </c>
      <c r="O1499" s="15">
        <f t="shared" si="976"/>
        <v>0</v>
      </c>
      <c r="P1499" s="10" t="s">
        <v>84</v>
      </c>
      <c r="Q1499" s="11" t="s">
        <v>3342</v>
      </c>
      <c r="R1499" s="11" t="s">
        <v>3343</v>
      </c>
      <c r="S1499" s="16" t="s">
        <v>3344</v>
      </c>
      <c r="T1499" s="19" t="str">
        <f>MONTH(B1499)&amp;"-"&amp;YEAR(B1499)</f>
        <v>3-2024</v>
      </c>
      <c r="U1499" s="2">
        <f>YEAR(B1499)</f>
        <v>2024</v>
      </c>
      <c r="V1499" s="2" t="str">
        <f>IF(DAY(B1499)&gt;15,MONTH(B1499)&amp;"-C",MONTH(B1499)&amp;"-N")</f>
        <v>3-C</v>
      </c>
      <c r="W1499" s="21">
        <v>47.46</v>
      </c>
      <c r="X1499" s="2" t="b">
        <f t="shared" si="977"/>
        <v>1</v>
      </c>
    </row>
    <row r="1500" spans="2:24" x14ac:dyDescent="0.2">
      <c r="B1500" s="17">
        <v>45378</v>
      </c>
      <c r="C1500" s="10" t="s">
        <v>107</v>
      </c>
      <c r="D1500" s="11" t="s">
        <v>3345</v>
      </c>
      <c r="E1500" s="26">
        <v>73587</v>
      </c>
      <c r="F1500" s="10" t="s">
        <v>103</v>
      </c>
      <c r="G1500" s="10" t="s">
        <v>46</v>
      </c>
      <c r="H1500" s="27" t="s">
        <v>104</v>
      </c>
      <c r="I1500" s="28" t="s">
        <v>1843</v>
      </c>
      <c r="J1500" s="12" t="s">
        <v>1843</v>
      </c>
      <c r="K1500" s="13">
        <v>50</v>
      </c>
      <c r="L1500" s="21">
        <v>47.46</v>
      </c>
      <c r="M1500" s="14" t="s">
        <v>14</v>
      </c>
      <c r="N1500" s="13">
        <v>2373</v>
      </c>
      <c r="O1500" s="15">
        <f t="shared" si="976"/>
        <v>0</v>
      </c>
      <c r="P1500" s="10" t="s">
        <v>84</v>
      </c>
      <c r="Q1500" s="11" t="s">
        <v>3342</v>
      </c>
      <c r="R1500" s="11" t="s">
        <v>3343</v>
      </c>
      <c r="S1500" s="16" t="s">
        <v>3344</v>
      </c>
      <c r="T1500" s="19" t="str">
        <f>MONTH(B1500)&amp;"-"&amp;YEAR(B1500)</f>
        <v>3-2024</v>
      </c>
      <c r="U1500" s="2">
        <f>YEAR(B1500)</f>
        <v>2024</v>
      </c>
      <c r="V1500" s="2" t="str">
        <f>IF(DAY(B1500)&gt;15,MONTH(B1500)&amp;"-C",MONTH(B1500)&amp;"-N")</f>
        <v>3-C</v>
      </c>
      <c r="W1500" s="21">
        <v>47.46</v>
      </c>
      <c r="X1500" s="2" t="b">
        <f t="shared" si="977"/>
        <v>1</v>
      </c>
    </row>
    <row r="1501" spans="2:24" x14ac:dyDescent="0.2">
      <c r="B1501" s="17">
        <v>45378</v>
      </c>
      <c r="C1501" s="10" t="s">
        <v>107</v>
      </c>
      <c r="D1501" s="11" t="s">
        <v>3346</v>
      </c>
      <c r="E1501" s="26">
        <v>73587</v>
      </c>
      <c r="F1501" s="10" t="s">
        <v>105</v>
      </c>
      <c r="G1501" s="10" t="s">
        <v>46</v>
      </c>
      <c r="H1501" s="27" t="s">
        <v>106</v>
      </c>
      <c r="I1501" s="28" t="s">
        <v>1843</v>
      </c>
      <c r="J1501" s="12" t="s">
        <v>1843</v>
      </c>
      <c r="K1501" s="13">
        <v>1540</v>
      </c>
      <c r="L1501" s="21">
        <v>11.72</v>
      </c>
      <c r="M1501" s="14" t="s">
        <v>14</v>
      </c>
      <c r="N1501" s="13">
        <v>18048.8</v>
      </c>
      <c r="O1501" s="15">
        <f t="shared" si="976"/>
        <v>0</v>
      </c>
      <c r="P1501" s="10" t="s">
        <v>84</v>
      </c>
      <c r="Q1501" s="11" t="s">
        <v>3342</v>
      </c>
      <c r="R1501" s="11" t="s">
        <v>3343</v>
      </c>
      <c r="S1501" s="16" t="s">
        <v>3344</v>
      </c>
      <c r="T1501" s="19" t="str">
        <f>MONTH(B1501)&amp;"-"&amp;YEAR(B1501)</f>
        <v>3-2024</v>
      </c>
      <c r="U1501" s="2">
        <f>YEAR(B1501)</f>
        <v>2024</v>
      </c>
      <c r="V1501" s="2" t="str">
        <f>IF(DAY(B1501)&gt;15,MONTH(B1501)&amp;"-C",MONTH(B1501)&amp;"-N")</f>
        <v>3-C</v>
      </c>
      <c r="W1501" s="21">
        <v>11.72</v>
      </c>
      <c r="X1501" s="2" t="b">
        <f t="shared" si="977"/>
        <v>1</v>
      </c>
    </row>
    <row r="1502" spans="2:24" x14ac:dyDescent="0.2">
      <c r="B1502" s="17">
        <v>45378</v>
      </c>
      <c r="C1502" s="10" t="s">
        <v>107</v>
      </c>
      <c r="D1502" s="11" t="s">
        <v>3331</v>
      </c>
      <c r="E1502" s="26">
        <v>73587</v>
      </c>
      <c r="F1502" s="10" t="s">
        <v>105</v>
      </c>
      <c r="G1502" s="10" t="s">
        <v>46</v>
      </c>
      <c r="H1502" s="27" t="s">
        <v>106</v>
      </c>
      <c r="I1502" s="28" t="s">
        <v>1843</v>
      </c>
      <c r="J1502" s="12" t="s">
        <v>1843</v>
      </c>
      <c r="K1502" s="13">
        <v>4400</v>
      </c>
      <c r="L1502" s="21">
        <v>11.72</v>
      </c>
      <c r="M1502" s="14" t="s">
        <v>14</v>
      </c>
      <c r="N1502" s="13">
        <v>51568</v>
      </c>
      <c r="O1502" s="15">
        <f t="shared" si="976"/>
        <v>0</v>
      </c>
      <c r="P1502" s="10" t="s">
        <v>84</v>
      </c>
      <c r="Q1502" s="11" t="s">
        <v>3342</v>
      </c>
      <c r="R1502" s="11" t="s">
        <v>3343</v>
      </c>
      <c r="S1502" s="16" t="s">
        <v>3344</v>
      </c>
      <c r="T1502" s="19" t="str">
        <f>MONTH(B1502)&amp;"-"&amp;YEAR(B1502)</f>
        <v>3-2024</v>
      </c>
      <c r="U1502" s="2">
        <f>YEAR(B1502)</f>
        <v>2024</v>
      </c>
      <c r="V1502" s="2" t="str">
        <f>IF(DAY(B1502)&gt;15,MONTH(B1502)&amp;"-C",MONTH(B1502)&amp;"-N")</f>
        <v>3-C</v>
      </c>
      <c r="W1502" s="21">
        <v>11.72</v>
      </c>
      <c r="X1502" s="2" t="b">
        <f t="shared" si="977"/>
        <v>1</v>
      </c>
    </row>
    <row r="1503" spans="2:24" x14ac:dyDescent="0.2">
      <c r="B1503" s="17">
        <v>45378</v>
      </c>
      <c r="C1503" s="10" t="s">
        <v>125</v>
      </c>
      <c r="D1503" s="11" t="s">
        <v>3357</v>
      </c>
      <c r="E1503" s="26">
        <v>73599</v>
      </c>
      <c r="F1503" s="10" t="s">
        <v>126</v>
      </c>
      <c r="G1503" s="10" t="s">
        <v>46</v>
      </c>
      <c r="H1503" s="27" t="s">
        <v>3358</v>
      </c>
      <c r="I1503" s="28" t="s">
        <v>1843</v>
      </c>
      <c r="J1503" s="12" t="s">
        <v>1843</v>
      </c>
      <c r="K1503" s="13">
        <v>4</v>
      </c>
      <c r="L1503" s="21">
        <v>310</v>
      </c>
      <c r="M1503" s="14" t="s">
        <v>14</v>
      </c>
      <c r="N1503" s="13">
        <v>1240</v>
      </c>
      <c r="O1503" s="15">
        <f t="shared" ref="O1503:O1504" si="978">(N1503/K1503)-L1503</f>
        <v>0</v>
      </c>
      <c r="P1503" s="10" t="s">
        <v>84</v>
      </c>
      <c r="Q1503" s="11" t="s">
        <v>3359</v>
      </c>
      <c r="R1503" s="11" t="s">
        <v>3360</v>
      </c>
      <c r="S1503" s="16" t="s">
        <v>3361</v>
      </c>
      <c r="T1503" s="19" t="str">
        <f>MONTH(B1503)&amp;"-"&amp;YEAR(B1503)</f>
        <v>3-2024</v>
      </c>
      <c r="U1503" s="2">
        <f>YEAR(B1503)</f>
        <v>2024</v>
      </c>
      <c r="V1503" s="2" t="str">
        <f>IF(DAY(B1503)&gt;15,MONTH(B1503)&amp;"-C",MONTH(B1503)&amp;"-N")</f>
        <v>3-C</v>
      </c>
      <c r="W1503" s="21">
        <v>310</v>
      </c>
      <c r="X1503" s="2" t="b">
        <f t="shared" ref="X1503:X1504" si="979">+L1503=W1503</f>
        <v>1</v>
      </c>
    </row>
    <row r="1504" spans="2:24" x14ac:dyDescent="0.2">
      <c r="B1504" s="17">
        <v>45379</v>
      </c>
      <c r="C1504" s="10" t="s">
        <v>82</v>
      </c>
      <c r="D1504" s="11" t="s">
        <v>3276</v>
      </c>
      <c r="E1504" s="26">
        <v>73613</v>
      </c>
      <c r="F1504" s="10" t="s">
        <v>3054</v>
      </c>
      <c r="G1504" s="10" t="s">
        <v>27</v>
      </c>
      <c r="H1504" s="27" t="s">
        <v>3055</v>
      </c>
      <c r="I1504" s="28" t="s">
        <v>1843</v>
      </c>
      <c r="J1504" s="12" t="s">
        <v>1843</v>
      </c>
      <c r="K1504" s="13">
        <v>1920</v>
      </c>
      <c r="L1504" s="21">
        <v>4.7</v>
      </c>
      <c r="M1504" s="14" t="s">
        <v>14</v>
      </c>
      <c r="N1504" s="13">
        <v>9024</v>
      </c>
      <c r="O1504" s="15">
        <f t="shared" si="978"/>
        <v>0</v>
      </c>
      <c r="P1504" s="10" t="s">
        <v>78</v>
      </c>
      <c r="Q1504" s="11" t="s">
        <v>3351</v>
      </c>
      <c r="R1504" s="11" t="s">
        <v>3352</v>
      </c>
      <c r="S1504" s="16" t="s">
        <v>3353</v>
      </c>
      <c r="T1504" s="19" t="str">
        <f>MONTH(B1504)&amp;"-"&amp;YEAR(B1504)</f>
        <v>3-2024</v>
      </c>
      <c r="U1504" s="2">
        <f>YEAR(B1504)</f>
        <v>2024</v>
      </c>
      <c r="V1504" s="2" t="str">
        <f>IF(DAY(B1504)&gt;15,MONTH(B1504)&amp;"-C",MONTH(B1504)&amp;"-N")</f>
        <v>3-C</v>
      </c>
      <c r="W1504" s="21">
        <v>4.7</v>
      </c>
      <c r="X1504" s="2" t="b">
        <f t="shared" si="979"/>
        <v>1</v>
      </c>
    </row>
    <row r="1505" spans="2:24" x14ac:dyDescent="0.2">
      <c r="B1505" s="17">
        <v>45381</v>
      </c>
      <c r="C1505" s="10" t="s">
        <v>48</v>
      </c>
      <c r="D1505" s="11" t="s">
        <v>3327</v>
      </c>
      <c r="E1505" s="26">
        <v>73668</v>
      </c>
      <c r="F1505" s="10" t="s">
        <v>135</v>
      </c>
      <c r="G1505" s="10" t="s">
        <v>46</v>
      </c>
      <c r="H1505" s="27" t="s">
        <v>136</v>
      </c>
      <c r="I1505" s="28" t="s">
        <v>1843</v>
      </c>
      <c r="J1505" s="12" t="s">
        <v>1843</v>
      </c>
      <c r="K1505" s="13">
        <v>2400</v>
      </c>
      <c r="L1505" s="21">
        <v>10.292999999999999</v>
      </c>
      <c r="M1505" s="14" t="s">
        <v>14</v>
      </c>
      <c r="N1505" s="13">
        <v>24702.720000000001</v>
      </c>
      <c r="O1505" s="15">
        <f t="shared" ref="O1505:O1508" si="980">(N1505/K1505)-L1505</f>
        <v>-1.9999999999953388E-4</v>
      </c>
      <c r="P1505" s="10" t="s">
        <v>90</v>
      </c>
      <c r="Q1505" s="11" t="s">
        <v>3354</v>
      </c>
      <c r="R1505" s="11" t="s">
        <v>3355</v>
      </c>
      <c r="S1505" s="16" t="s">
        <v>3356</v>
      </c>
      <c r="T1505" s="19" t="str">
        <f>MONTH(B1505)&amp;"-"&amp;YEAR(B1505)</f>
        <v>3-2024</v>
      </c>
      <c r="U1505" s="2">
        <f>YEAR(B1505)</f>
        <v>2024</v>
      </c>
      <c r="V1505" s="2" t="str">
        <f>IF(DAY(B1505)&gt;15,MONTH(B1505)&amp;"-C",MONTH(B1505)&amp;"-N")</f>
        <v>3-C</v>
      </c>
      <c r="W1505" s="21">
        <v>10.292999999999999</v>
      </c>
      <c r="X1505" s="2" t="b">
        <f t="shared" ref="X1505:X1508" si="981">+L1505=W1505</f>
        <v>1</v>
      </c>
    </row>
    <row r="1506" spans="2:24" x14ac:dyDescent="0.2">
      <c r="B1506" s="17">
        <v>45381</v>
      </c>
      <c r="C1506" s="10" t="s">
        <v>48</v>
      </c>
      <c r="D1506" s="11" t="s">
        <v>3327</v>
      </c>
      <c r="E1506" s="26">
        <v>73668</v>
      </c>
      <c r="F1506" s="10" t="s">
        <v>71</v>
      </c>
      <c r="G1506" s="10" t="s">
        <v>46</v>
      </c>
      <c r="H1506" s="27" t="s">
        <v>72</v>
      </c>
      <c r="I1506" s="28" t="s">
        <v>1843</v>
      </c>
      <c r="J1506" s="12" t="s">
        <v>1843</v>
      </c>
      <c r="K1506" s="13">
        <v>10800</v>
      </c>
      <c r="L1506" s="21">
        <v>9.7780000000000005</v>
      </c>
      <c r="M1506" s="14" t="s">
        <v>14</v>
      </c>
      <c r="N1506" s="13">
        <v>105604.128</v>
      </c>
      <c r="O1506" s="15">
        <f t="shared" si="980"/>
        <v>1.5999999999927184E-4</v>
      </c>
      <c r="P1506" s="10" t="s">
        <v>90</v>
      </c>
      <c r="Q1506" s="11" t="s">
        <v>3354</v>
      </c>
      <c r="R1506" s="11" t="s">
        <v>3355</v>
      </c>
      <c r="S1506" s="16" t="s">
        <v>3356</v>
      </c>
      <c r="T1506" s="19" t="str">
        <f>MONTH(B1506)&amp;"-"&amp;YEAR(B1506)</f>
        <v>3-2024</v>
      </c>
      <c r="U1506" s="2">
        <f>YEAR(B1506)</f>
        <v>2024</v>
      </c>
      <c r="V1506" s="2" t="str">
        <f>IF(DAY(B1506)&gt;15,MONTH(B1506)&amp;"-C",MONTH(B1506)&amp;"-N")</f>
        <v>3-C</v>
      </c>
      <c r="W1506" s="21">
        <v>9.7780000000000005</v>
      </c>
      <c r="X1506" s="2" t="b">
        <f t="shared" si="981"/>
        <v>1</v>
      </c>
    </row>
    <row r="1507" spans="2:24" x14ac:dyDescent="0.2">
      <c r="B1507" s="17">
        <v>45381</v>
      </c>
      <c r="C1507" s="10" t="s">
        <v>48</v>
      </c>
      <c r="D1507" s="11" t="s">
        <v>3327</v>
      </c>
      <c r="E1507" s="26">
        <v>73668</v>
      </c>
      <c r="F1507" s="10" t="s">
        <v>2552</v>
      </c>
      <c r="G1507" s="10" t="s">
        <v>46</v>
      </c>
      <c r="H1507" s="27" t="s">
        <v>2553</v>
      </c>
      <c r="I1507" s="28" t="s">
        <v>1843</v>
      </c>
      <c r="J1507" s="12" t="s">
        <v>1843</v>
      </c>
      <c r="K1507" s="13">
        <v>2800</v>
      </c>
      <c r="L1507" s="21">
        <v>10.292999999999999</v>
      </c>
      <c r="M1507" s="14" t="s">
        <v>14</v>
      </c>
      <c r="N1507" s="13">
        <v>28819.84</v>
      </c>
      <c r="O1507" s="15">
        <f t="shared" si="980"/>
        <v>-1.9999999999953388E-4</v>
      </c>
      <c r="P1507" s="10" t="s">
        <v>90</v>
      </c>
      <c r="Q1507" s="11" t="s">
        <v>3354</v>
      </c>
      <c r="R1507" s="11" t="s">
        <v>3355</v>
      </c>
      <c r="S1507" s="16" t="s">
        <v>3356</v>
      </c>
      <c r="T1507" s="19" t="str">
        <f>MONTH(B1507)&amp;"-"&amp;YEAR(B1507)</f>
        <v>3-2024</v>
      </c>
      <c r="U1507" s="2">
        <f>YEAR(B1507)</f>
        <v>2024</v>
      </c>
      <c r="V1507" s="2" t="str">
        <f>IF(DAY(B1507)&gt;15,MONTH(B1507)&amp;"-C",MONTH(B1507)&amp;"-N")</f>
        <v>3-C</v>
      </c>
      <c r="W1507" s="21">
        <v>10.292999999999999</v>
      </c>
      <c r="X1507" s="2" t="b">
        <f t="shared" si="981"/>
        <v>1</v>
      </c>
    </row>
    <row r="1508" spans="2:24" x14ac:dyDescent="0.2">
      <c r="B1508" s="17">
        <v>45383</v>
      </c>
      <c r="C1508" s="10" t="s">
        <v>25</v>
      </c>
      <c r="D1508" s="11">
        <v>172098</v>
      </c>
      <c r="E1508" s="26">
        <v>73680</v>
      </c>
      <c r="F1508" s="10" t="s">
        <v>26</v>
      </c>
      <c r="G1508" s="10" t="s">
        <v>27</v>
      </c>
      <c r="H1508" s="27" t="s">
        <v>28</v>
      </c>
      <c r="I1508" s="28" t="s">
        <v>41</v>
      </c>
      <c r="J1508" s="12" t="s">
        <v>41</v>
      </c>
      <c r="K1508" s="13">
        <v>16200</v>
      </c>
      <c r="L1508" s="21">
        <v>3.63</v>
      </c>
      <c r="M1508" s="14" t="s">
        <v>14</v>
      </c>
      <c r="N1508" s="13">
        <v>58806</v>
      </c>
      <c r="O1508" s="15">
        <f t="shared" si="980"/>
        <v>0</v>
      </c>
      <c r="P1508" s="10" t="s">
        <v>78</v>
      </c>
      <c r="Q1508" s="11" t="s">
        <v>3378</v>
      </c>
      <c r="R1508" s="11" t="s">
        <v>3379</v>
      </c>
      <c r="S1508" s="16" t="s">
        <v>3380</v>
      </c>
      <c r="T1508" s="19" t="str">
        <f>MONTH(B1508)&amp;"-"&amp;YEAR(B1508)</f>
        <v>4-2024</v>
      </c>
      <c r="U1508" s="2">
        <f>YEAR(B1508)</f>
        <v>2024</v>
      </c>
      <c r="V1508" s="2" t="str">
        <f>IF(DAY(B1508)&gt;15,MONTH(B1508)&amp;"-C",MONTH(B1508)&amp;"-N")</f>
        <v>4-N</v>
      </c>
      <c r="W1508" s="21">
        <v>3.63</v>
      </c>
      <c r="X1508" s="2" t="b">
        <f t="shared" si="981"/>
        <v>1</v>
      </c>
    </row>
    <row r="1509" spans="2:24" x14ac:dyDescent="0.2">
      <c r="B1509" s="17">
        <v>45388</v>
      </c>
      <c r="C1509" s="10" t="s">
        <v>88</v>
      </c>
      <c r="D1509" s="11">
        <v>172485</v>
      </c>
      <c r="E1509" s="26">
        <v>73762</v>
      </c>
      <c r="F1509" s="10" t="s">
        <v>98</v>
      </c>
      <c r="G1509" s="10" t="s">
        <v>46</v>
      </c>
      <c r="H1509" s="27" t="s">
        <v>99</v>
      </c>
      <c r="I1509" s="28" t="s">
        <v>41</v>
      </c>
      <c r="J1509" s="12" t="s">
        <v>41</v>
      </c>
      <c r="K1509" s="13">
        <v>12</v>
      </c>
      <c r="L1509" s="21">
        <v>11.25</v>
      </c>
      <c r="M1509" s="14" t="s">
        <v>14</v>
      </c>
      <c r="N1509" s="13">
        <v>135</v>
      </c>
      <c r="O1509" s="15">
        <f t="shared" ref="O1509:O1513" si="982">(N1509/K1509)-L1509</f>
        <v>0</v>
      </c>
      <c r="P1509" s="10" t="s">
        <v>84</v>
      </c>
      <c r="Q1509" s="11" t="s">
        <v>3366</v>
      </c>
      <c r="R1509" s="11" t="s">
        <v>3367</v>
      </c>
      <c r="S1509" s="16" t="s">
        <v>3368</v>
      </c>
      <c r="T1509" s="19" t="str">
        <f>MONTH(B1509)&amp;"-"&amp;YEAR(B1509)</f>
        <v>4-2024</v>
      </c>
      <c r="U1509" s="2">
        <f>YEAR(B1509)</f>
        <v>2024</v>
      </c>
      <c r="V1509" s="2" t="str">
        <f>IF(DAY(B1509)&gt;15,MONTH(B1509)&amp;"-C",MONTH(B1509)&amp;"-N")</f>
        <v>4-N</v>
      </c>
      <c r="W1509" s="21">
        <v>11.25</v>
      </c>
      <c r="X1509" s="2" t="b">
        <f t="shared" ref="X1509:X1513" si="983">+L1509=W1509</f>
        <v>1</v>
      </c>
    </row>
    <row r="1510" spans="2:24" x14ac:dyDescent="0.2">
      <c r="B1510" s="17">
        <v>45388</v>
      </c>
      <c r="C1510" s="10" t="s">
        <v>88</v>
      </c>
      <c r="D1510" s="11">
        <v>172485</v>
      </c>
      <c r="E1510" s="26">
        <v>73762</v>
      </c>
      <c r="F1510" s="10" t="s">
        <v>100</v>
      </c>
      <c r="G1510" s="10" t="s">
        <v>46</v>
      </c>
      <c r="H1510" s="27" t="s">
        <v>101</v>
      </c>
      <c r="I1510" s="28" t="s">
        <v>41</v>
      </c>
      <c r="J1510" s="12" t="s">
        <v>41</v>
      </c>
      <c r="K1510" s="13">
        <v>1400</v>
      </c>
      <c r="L1510" s="21">
        <v>13.22</v>
      </c>
      <c r="M1510" s="14" t="s">
        <v>14</v>
      </c>
      <c r="N1510" s="13">
        <v>18508</v>
      </c>
      <c r="O1510" s="15">
        <f t="shared" si="982"/>
        <v>0</v>
      </c>
      <c r="P1510" s="10" t="s">
        <v>84</v>
      </c>
      <c r="Q1510" s="11" t="s">
        <v>3366</v>
      </c>
      <c r="R1510" s="11" t="s">
        <v>3367</v>
      </c>
      <c r="S1510" s="16" t="s">
        <v>3368</v>
      </c>
      <c r="T1510" s="19" t="str">
        <f>MONTH(B1510)&amp;"-"&amp;YEAR(B1510)</f>
        <v>4-2024</v>
      </c>
      <c r="U1510" s="2">
        <f>YEAR(B1510)</f>
        <v>2024</v>
      </c>
      <c r="V1510" s="2" t="str">
        <f>IF(DAY(B1510)&gt;15,MONTH(B1510)&amp;"-C",MONTH(B1510)&amp;"-N")</f>
        <v>4-N</v>
      </c>
      <c r="W1510" s="21">
        <v>13.22</v>
      </c>
      <c r="X1510" s="2" t="b">
        <f t="shared" si="983"/>
        <v>1</v>
      </c>
    </row>
    <row r="1511" spans="2:24" x14ac:dyDescent="0.2">
      <c r="B1511" s="17">
        <v>45388</v>
      </c>
      <c r="C1511" s="10" t="s">
        <v>25</v>
      </c>
      <c r="D1511" s="11">
        <v>172098</v>
      </c>
      <c r="E1511" s="26">
        <v>73759</v>
      </c>
      <c r="F1511" s="10" t="s">
        <v>26</v>
      </c>
      <c r="G1511" s="10" t="s">
        <v>27</v>
      </c>
      <c r="H1511" s="27" t="s">
        <v>28</v>
      </c>
      <c r="I1511" s="28" t="s">
        <v>41</v>
      </c>
      <c r="J1511" s="12" t="s">
        <v>41</v>
      </c>
      <c r="K1511" s="13">
        <v>12600</v>
      </c>
      <c r="L1511" s="21">
        <v>3.63</v>
      </c>
      <c r="M1511" s="14" t="s">
        <v>14</v>
      </c>
      <c r="N1511" s="13">
        <v>45738</v>
      </c>
      <c r="O1511" s="15">
        <f t="shared" si="982"/>
        <v>0</v>
      </c>
      <c r="P1511" s="10" t="s">
        <v>81</v>
      </c>
      <c r="Q1511" s="11" t="s">
        <v>3375</v>
      </c>
      <c r="R1511" s="11" t="s">
        <v>3376</v>
      </c>
      <c r="S1511" s="16" t="s">
        <v>3377</v>
      </c>
      <c r="T1511" s="19" t="str">
        <f>MONTH(B1511)&amp;"-"&amp;YEAR(B1511)</f>
        <v>4-2024</v>
      </c>
      <c r="U1511" s="2">
        <f>YEAR(B1511)</f>
        <v>2024</v>
      </c>
      <c r="V1511" s="2" t="str">
        <f>IF(DAY(B1511)&gt;15,MONTH(B1511)&amp;"-C",MONTH(B1511)&amp;"-N")</f>
        <v>4-N</v>
      </c>
      <c r="W1511" s="21">
        <v>3.63</v>
      </c>
      <c r="X1511" s="2" t="b">
        <f t="shared" si="983"/>
        <v>1</v>
      </c>
    </row>
    <row r="1512" spans="2:24" x14ac:dyDescent="0.2">
      <c r="B1512" s="17">
        <v>45392</v>
      </c>
      <c r="C1512" s="10" t="s">
        <v>94</v>
      </c>
      <c r="D1512" s="11">
        <v>172455</v>
      </c>
      <c r="E1512" s="26">
        <v>73829</v>
      </c>
      <c r="F1512" s="10" t="s">
        <v>26</v>
      </c>
      <c r="G1512" s="10" t="s">
        <v>27</v>
      </c>
      <c r="H1512" s="27" t="s">
        <v>28</v>
      </c>
      <c r="I1512" s="28" t="s">
        <v>41</v>
      </c>
      <c r="J1512" s="12" t="s">
        <v>41</v>
      </c>
      <c r="K1512" s="13">
        <v>14400</v>
      </c>
      <c r="L1512" s="21">
        <v>3.5</v>
      </c>
      <c r="M1512" s="14" t="s">
        <v>14</v>
      </c>
      <c r="N1512" s="13">
        <v>50400</v>
      </c>
      <c r="O1512" s="15">
        <f t="shared" si="982"/>
        <v>0</v>
      </c>
      <c r="P1512" s="10" t="s">
        <v>78</v>
      </c>
      <c r="Q1512" s="11" t="s">
        <v>3405</v>
      </c>
      <c r="R1512" s="11" t="s">
        <v>3406</v>
      </c>
      <c r="S1512" s="16" t="s">
        <v>3407</v>
      </c>
      <c r="T1512" s="19" t="str">
        <f>MONTH(B1512)&amp;"-"&amp;YEAR(B1512)</f>
        <v>4-2024</v>
      </c>
      <c r="U1512" s="2">
        <f>YEAR(B1512)</f>
        <v>2024</v>
      </c>
      <c r="V1512" s="2" t="str">
        <f>IF(DAY(B1512)&gt;15,MONTH(B1512)&amp;"-C",MONTH(B1512)&amp;"-N")</f>
        <v>4-N</v>
      </c>
      <c r="W1512" s="21">
        <v>3.5</v>
      </c>
      <c r="X1512" s="2" t="b">
        <f t="shared" si="983"/>
        <v>1</v>
      </c>
    </row>
    <row r="1513" spans="2:24" x14ac:dyDescent="0.2">
      <c r="B1513" s="17">
        <v>45395</v>
      </c>
      <c r="C1513" s="10" t="s">
        <v>82</v>
      </c>
      <c r="D1513" s="11">
        <v>172498</v>
      </c>
      <c r="E1513" s="26">
        <v>73832</v>
      </c>
      <c r="F1513" s="10" t="s">
        <v>26</v>
      </c>
      <c r="G1513" s="10" t="s">
        <v>27</v>
      </c>
      <c r="H1513" s="27" t="s">
        <v>28</v>
      </c>
      <c r="I1513" s="28" t="s">
        <v>41</v>
      </c>
      <c r="J1513" s="12" t="s">
        <v>41</v>
      </c>
      <c r="K1513" s="13">
        <v>3600</v>
      </c>
      <c r="L1513" s="21">
        <v>4.1500000000000004</v>
      </c>
      <c r="M1513" s="14" t="s">
        <v>14</v>
      </c>
      <c r="N1513" s="13">
        <v>14940</v>
      </c>
      <c r="O1513" s="15">
        <f t="shared" si="982"/>
        <v>0</v>
      </c>
      <c r="P1513" s="10" t="s">
        <v>78</v>
      </c>
      <c r="Q1513" s="11" t="s">
        <v>3393</v>
      </c>
      <c r="R1513" s="11" t="s">
        <v>3394</v>
      </c>
      <c r="S1513" s="16" t="s">
        <v>3395</v>
      </c>
      <c r="T1513" s="19" t="str">
        <f>MONTH(B1513)&amp;"-"&amp;YEAR(B1513)</f>
        <v>4-2024</v>
      </c>
      <c r="U1513" s="2">
        <f>YEAR(B1513)</f>
        <v>2024</v>
      </c>
      <c r="V1513" s="2" t="str">
        <f>IF(DAY(B1513)&gt;15,MONTH(B1513)&amp;"-C",MONTH(B1513)&amp;"-N")</f>
        <v>4-N</v>
      </c>
      <c r="W1513" s="21">
        <v>4.1500000000000004</v>
      </c>
      <c r="X1513" s="2" t="b">
        <f t="shared" si="983"/>
        <v>1</v>
      </c>
    </row>
    <row r="1514" spans="2:24" x14ac:dyDescent="0.2">
      <c r="B1514" s="17">
        <v>45397</v>
      </c>
      <c r="C1514" s="10" t="s">
        <v>107</v>
      </c>
      <c r="D1514" s="11">
        <v>172502</v>
      </c>
      <c r="E1514" s="26">
        <v>73846</v>
      </c>
      <c r="F1514" s="10" t="s">
        <v>142</v>
      </c>
      <c r="G1514" s="10" t="s">
        <v>46</v>
      </c>
      <c r="H1514" s="27" t="s">
        <v>143</v>
      </c>
      <c r="I1514" s="28" t="s">
        <v>41</v>
      </c>
      <c r="J1514" s="12" t="s">
        <v>41</v>
      </c>
      <c r="K1514" s="13">
        <v>2860</v>
      </c>
      <c r="L1514" s="21">
        <v>10.08</v>
      </c>
      <c r="M1514" s="14" t="s">
        <v>14</v>
      </c>
      <c r="N1514" s="13">
        <v>28828.799999999999</v>
      </c>
      <c r="O1514" s="15">
        <f t="shared" ref="O1514:O1517" si="984">(N1514/K1514)-L1514</f>
        <v>0</v>
      </c>
      <c r="P1514" s="10" t="s">
        <v>84</v>
      </c>
      <c r="Q1514" s="11" t="s">
        <v>3369</v>
      </c>
      <c r="R1514" s="11" t="s">
        <v>3370</v>
      </c>
      <c r="S1514" s="16" t="s">
        <v>3371</v>
      </c>
      <c r="T1514" s="19" t="str">
        <f>MONTH(B1514)&amp;"-"&amp;YEAR(B1514)</f>
        <v>4-2024</v>
      </c>
      <c r="U1514" s="2">
        <f>YEAR(B1514)</f>
        <v>2024</v>
      </c>
      <c r="V1514" s="2" t="str">
        <f>IF(DAY(B1514)&gt;15,MONTH(B1514)&amp;"-C",MONTH(B1514)&amp;"-N")</f>
        <v>4-N</v>
      </c>
      <c r="W1514" s="21">
        <v>10.08</v>
      </c>
      <c r="X1514" s="2" t="b">
        <f t="shared" ref="X1514:X1517" si="985">+L1514=W1514</f>
        <v>1</v>
      </c>
    </row>
    <row r="1515" spans="2:24" x14ac:dyDescent="0.2">
      <c r="B1515" s="17">
        <v>45397</v>
      </c>
      <c r="C1515" s="10" t="s">
        <v>107</v>
      </c>
      <c r="D1515" s="11">
        <v>172502</v>
      </c>
      <c r="E1515" s="26">
        <v>73846</v>
      </c>
      <c r="F1515" s="10" t="s">
        <v>2882</v>
      </c>
      <c r="G1515" s="10" t="s">
        <v>46</v>
      </c>
      <c r="H1515" s="27" t="s">
        <v>2883</v>
      </c>
      <c r="I1515" s="28" t="s">
        <v>41</v>
      </c>
      <c r="J1515" s="12" t="s">
        <v>41</v>
      </c>
      <c r="K1515" s="13">
        <v>580</v>
      </c>
      <c r="L1515" s="21">
        <v>11.11</v>
      </c>
      <c r="M1515" s="14" t="s">
        <v>14</v>
      </c>
      <c r="N1515" s="13">
        <v>6443.8</v>
      </c>
      <c r="O1515" s="15">
        <f t="shared" si="984"/>
        <v>0</v>
      </c>
      <c r="P1515" s="10" t="s">
        <v>84</v>
      </c>
      <c r="Q1515" s="11" t="s">
        <v>3369</v>
      </c>
      <c r="R1515" s="11" t="s">
        <v>3370</v>
      </c>
      <c r="S1515" s="16" t="s">
        <v>3371</v>
      </c>
      <c r="T1515" s="19" t="str">
        <f>MONTH(B1515)&amp;"-"&amp;YEAR(B1515)</f>
        <v>4-2024</v>
      </c>
      <c r="U1515" s="2">
        <f>YEAR(B1515)</f>
        <v>2024</v>
      </c>
      <c r="V1515" s="2" t="str">
        <f>IF(DAY(B1515)&gt;15,MONTH(B1515)&amp;"-C",MONTH(B1515)&amp;"-N")</f>
        <v>4-N</v>
      </c>
      <c r="W1515" s="21">
        <v>11.11</v>
      </c>
      <c r="X1515" s="2" t="b">
        <f t="shared" si="985"/>
        <v>1</v>
      </c>
    </row>
    <row r="1516" spans="2:24" x14ac:dyDescent="0.2">
      <c r="B1516" s="17">
        <v>45397</v>
      </c>
      <c r="C1516" s="10" t="s">
        <v>82</v>
      </c>
      <c r="D1516" s="11">
        <v>172498</v>
      </c>
      <c r="E1516" s="26">
        <v>73836</v>
      </c>
      <c r="F1516" s="10" t="s">
        <v>26</v>
      </c>
      <c r="G1516" s="10" t="s">
        <v>27</v>
      </c>
      <c r="H1516" s="27" t="s">
        <v>28</v>
      </c>
      <c r="I1516" s="28" t="s">
        <v>41</v>
      </c>
      <c r="J1516" s="12" t="s">
        <v>41</v>
      </c>
      <c r="K1516" s="13">
        <v>720</v>
      </c>
      <c r="L1516" s="21">
        <v>4.1500000000000004</v>
      </c>
      <c r="M1516" s="14" t="s">
        <v>14</v>
      </c>
      <c r="N1516" s="13">
        <v>2988</v>
      </c>
      <c r="O1516" s="15">
        <f t="shared" si="984"/>
        <v>0</v>
      </c>
      <c r="P1516" s="10" t="s">
        <v>78</v>
      </c>
      <c r="Q1516" s="11" t="s">
        <v>3387</v>
      </c>
      <c r="R1516" s="11" t="s">
        <v>3388</v>
      </c>
      <c r="S1516" s="16" t="s">
        <v>3389</v>
      </c>
      <c r="T1516" s="19" t="str">
        <f>MONTH(B1516)&amp;"-"&amp;YEAR(B1516)</f>
        <v>4-2024</v>
      </c>
      <c r="U1516" s="2">
        <f>YEAR(B1516)</f>
        <v>2024</v>
      </c>
      <c r="V1516" s="2" t="str">
        <f>IF(DAY(B1516)&gt;15,MONTH(B1516)&amp;"-C",MONTH(B1516)&amp;"-N")</f>
        <v>4-N</v>
      </c>
      <c r="W1516" s="21">
        <v>4.1500000000000004</v>
      </c>
      <c r="X1516" s="2" t="b">
        <f t="shared" si="985"/>
        <v>1</v>
      </c>
    </row>
    <row r="1517" spans="2:24" x14ac:dyDescent="0.2">
      <c r="B1517" s="17">
        <v>45401</v>
      </c>
      <c r="C1517" s="10" t="s">
        <v>82</v>
      </c>
      <c r="D1517" s="11">
        <v>172535</v>
      </c>
      <c r="E1517" s="26">
        <v>73883</v>
      </c>
      <c r="F1517" s="10" t="s">
        <v>3054</v>
      </c>
      <c r="G1517" s="10" t="s">
        <v>27</v>
      </c>
      <c r="H1517" s="27" t="s">
        <v>3055</v>
      </c>
      <c r="I1517" s="28" t="s">
        <v>41</v>
      </c>
      <c r="J1517" s="12" t="s">
        <v>41</v>
      </c>
      <c r="K1517" s="13">
        <v>3200</v>
      </c>
      <c r="L1517" s="21">
        <v>4.95</v>
      </c>
      <c r="M1517" s="14" t="s">
        <v>14</v>
      </c>
      <c r="N1517" s="13">
        <v>15840</v>
      </c>
      <c r="O1517" s="15">
        <f t="shared" si="984"/>
        <v>0</v>
      </c>
      <c r="P1517" s="10" t="s">
        <v>78</v>
      </c>
      <c r="Q1517" s="11" t="s">
        <v>3390</v>
      </c>
      <c r="R1517" s="11" t="s">
        <v>3391</v>
      </c>
      <c r="S1517" s="16" t="s">
        <v>3392</v>
      </c>
      <c r="T1517" s="19" t="str">
        <f>MONTH(B1517)&amp;"-"&amp;YEAR(B1517)</f>
        <v>4-2024</v>
      </c>
      <c r="U1517" s="2">
        <f>YEAR(B1517)</f>
        <v>2024</v>
      </c>
      <c r="V1517" s="2" t="str">
        <f>IF(DAY(B1517)&gt;15,MONTH(B1517)&amp;"-C",MONTH(B1517)&amp;"-N")</f>
        <v>4-C</v>
      </c>
      <c r="W1517" s="21">
        <v>4.95</v>
      </c>
      <c r="X1517" s="2" t="b">
        <f t="shared" si="985"/>
        <v>1</v>
      </c>
    </row>
    <row r="1518" spans="2:24" x14ac:dyDescent="0.2">
      <c r="B1518" s="17">
        <v>45402</v>
      </c>
      <c r="C1518" s="10" t="s">
        <v>2630</v>
      </c>
      <c r="D1518" s="11">
        <v>172275</v>
      </c>
      <c r="E1518" s="26">
        <v>73894</v>
      </c>
      <c r="F1518" s="10" t="s">
        <v>29</v>
      </c>
      <c r="G1518" s="10" t="s">
        <v>27</v>
      </c>
      <c r="H1518" s="27" t="s">
        <v>30</v>
      </c>
      <c r="I1518" s="28" t="s">
        <v>41</v>
      </c>
      <c r="J1518" s="12" t="s">
        <v>41</v>
      </c>
      <c r="K1518" s="13">
        <v>1980</v>
      </c>
      <c r="L1518" s="21">
        <v>3.75</v>
      </c>
      <c r="M1518" s="14" t="s">
        <v>14</v>
      </c>
      <c r="N1518" s="13">
        <v>7425</v>
      </c>
      <c r="O1518" s="15">
        <f t="shared" ref="O1518:O1523" si="986">(N1518/K1518)-L1518</f>
        <v>0</v>
      </c>
      <c r="P1518" s="10" t="s">
        <v>78</v>
      </c>
      <c r="Q1518" s="11" t="s">
        <v>3408</v>
      </c>
      <c r="R1518" s="11" t="s">
        <v>3409</v>
      </c>
      <c r="S1518" s="16" t="s">
        <v>3410</v>
      </c>
      <c r="T1518" s="19" t="str">
        <f>MONTH(B1518)&amp;"-"&amp;YEAR(B1518)</f>
        <v>4-2024</v>
      </c>
      <c r="U1518" s="2">
        <f>YEAR(B1518)</f>
        <v>2024</v>
      </c>
      <c r="V1518" s="2" t="str">
        <f>IF(DAY(B1518)&gt;15,MONTH(B1518)&amp;"-C",MONTH(B1518)&amp;"-N")</f>
        <v>4-C</v>
      </c>
      <c r="W1518" s="21">
        <v>3.75</v>
      </c>
      <c r="X1518" s="2" t="b">
        <f t="shared" ref="X1518:X1523" si="987">+L1518=W1518</f>
        <v>1</v>
      </c>
    </row>
    <row r="1519" spans="2:24" x14ac:dyDescent="0.2">
      <c r="B1519" s="17">
        <v>45403</v>
      </c>
      <c r="C1519" s="10" t="s">
        <v>94</v>
      </c>
      <c r="D1519" s="11">
        <v>172455</v>
      </c>
      <c r="E1519" s="26">
        <v>73901</v>
      </c>
      <c r="F1519" s="10" t="s">
        <v>26</v>
      </c>
      <c r="G1519" s="10" t="s">
        <v>27</v>
      </c>
      <c r="H1519" s="27" t="s">
        <v>28</v>
      </c>
      <c r="I1519" s="28" t="s">
        <v>41</v>
      </c>
      <c r="J1519" s="12" t="s">
        <v>41</v>
      </c>
      <c r="K1519" s="13">
        <v>16200</v>
      </c>
      <c r="L1519" s="21">
        <v>3.5</v>
      </c>
      <c r="M1519" s="14" t="s">
        <v>14</v>
      </c>
      <c r="N1519" s="13">
        <v>56700</v>
      </c>
      <c r="O1519" s="15">
        <f t="shared" si="986"/>
        <v>0</v>
      </c>
      <c r="P1519" s="10" t="s">
        <v>78</v>
      </c>
      <c r="Q1519" s="11" t="s">
        <v>3381</v>
      </c>
      <c r="R1519" s="11" t="s">
        <v>3382</v>
      </c>
      <c r="S1519" s="16" t="s">
        <v>3383</v>
      </c>
      <c r="T1519" s="19" t="str">
        <f>MONTH(B1519)&amp;"-"&amp;YEAR(B1519)</f>
        <v>4-2024</v>
      </c>
      <c r="U1519" s="2">
        <f>YEAR(B1519)</f>
        <v>2024</v>
      </c>
      <c r="V1519" s="2" t="str">
        <f>IF(DAY(B1519)&gt;15,MONTH(B1519)&amp;"-C",MONTH(B1519)&amp;"-N")</f>
        <v>4-C</v>
      </c>
      <c r="W1519" s="21">
        <v>3.5</v>
      </c>
      <c r="X1519" s="2" t="b">
        <f t="shared" si="987"/>
        <v>1</v>
      </c>
    </row>
    <row r="1520" spans="2:24" x14ac:dyDescent="0.2">
      <c r="B1520" s="17">
        <v>45404</v>
      </c>
      <c r="C1520" s="10" t="s">
        <v>25</v>
      </c>
      <c r="D1520" s="11">
        <v>172098</v>
      </c>
      <c r="E1520" s="26">
        <v>73918</v>
      </c>
      <c r="F1520" s="10" t="s">
        <v>26</v>
      </c>
      <c r="G1520" s="10" t="s">
        <v>27</v>
      </c>
      <c r="H1520" s="27" t="s">
        <v>28</v>
      </c>
      <c r="I1520" s="28" t="s">
        <v>41</v>
      </c>
      <c r="J1520" s="12" t="s">
        <v>41</v>
      </c>
      <c r="K1520" s="13">
        <v>17000</v>
      </c>
      <c r="L1520" s="21">
        <v>3.63</v>
      </c>
      <c r="M1520" s="14" t="s">
        <v>14</v>
      </c>
      <c r="N1520" s="13">
        <v>61710</v>
      </c>
      <c r="O1520" s="15">
        <f t="shared" si="986"/>
        <v>0</v>
      </c>
      <c r="P1520" s="10" t="s">
        <v>78</v>
      </c>
      <c r="Q1520" s="11" t="s">
        <v>3372</v>
      </c>
      <c r="R1520" s="11" t="s">
        <v>3373</v>
      </c>
      <c r="S1520" s="16" t="s">
        <v>3374</v>
      </c>
      <c r="T1520" s="19" t="str">
        <f>MONTH(B1520)&amp;"-"&amp;YEAR(B1520)</f>
        <v>4-2024</v>
      </c>
      <c r="U1520" s="2">
        <f>YEAR(B1520)</f>
        <v>2024</v>
      </c>
      <c r="V1520" s="2" t="str">
        <f>IF(DAY(B1520)&gt;15,MONTH(B1520)&amp;"-C",MONTH(B1520)&amp;"-N")</f>
        <v>4-C</v>
      </c>
      <c r="W1520" s="21">
        <v>3.63</v>
      </c>
      <c r="X1520" s="2" t="b">
        <f t="shared" si="987"/>
        <v>1</v>
      </c>
    </row>
    <row r="1521" spans="2:24" x14ac:dyDescent="0.2">
      <c r="B1521" s="17">
        <v>45405</v>
      </c>
      <c r="C1521" s="10" t="s">
        <v>48</v>
      </c>
      <c r="D1521" s="11">
        <v>170624</v>
      </c>
      <c r="E1521" s="26">
        <v>73922</v>
      </c>
      <c r="F1521" s="10" t="s">
        <v>135</v>
      </c>
      <c r="G1521" s="10" t="s">
        <v>46</v>
      </c>
      <c r="H1521" s="27" t="s">
        <v>136</v>
      </c>
      <c r="I1521" s="28" t="s">
        <v>41</v>
      </c>
      <c r="J1521" s="12" t="s">
        <v>41</v>
      </c>
      <c r="K1521" s="13">
        <v>4800</v>
      </c>
      <c r="L1521" s="21">
        <v>10.292999999999999</v>
      </c>
      <c r="M1521" s="14" t="s">
        <v>14</v>
      </c>
      <c r="N1521" s="13">
        <v>49405.440000000002</v>
      </c>
      <c r="O1521" s="15">
        <f t="shared" si="986"/>
        <v>-1.9999999999953388E-4</v>
      </c>
      <c r="P1521" s="10" t="s">
        <v>90</v>
      </c>
      <c r="Q1521" s="11" t="s">
        <v>3396</v>
      </c>
      <c r="R1521" s="11" t="s">
        <v>3397</v>
      </c>
      <c r="S1521" s="16" t="s">
        <v>3398</v>
      </c>
      <c r="T1521" s="19" t="str">
        <f>MONTH(B1521)&amp;"-"&amp;YEAR(B1521)</f>
        <v>4-2024</v>
      </c>
      <c r="U1521" s="2">
        <f>YEAR(B1521)</f>
        <v>2024</v>
      </c>
      <c r="V1521" s="2" t="str">
        <f>IF(DAY(B1521)&gt;15,MONTH(B1521)&amp;"-C",MONTH(B1521)&amp;"-N")</f>
        <v>4-C</v>
      </c>
      <c r="W1521" s="21">
        <v>10.292999999999999</v>
      </c>
      <c r="X1521" s="2" t="b">
        <f t="shared" si="987"/>
        <v>1</v>
      </c>
    </row>
    <row r="1522" spans="2:24" x14ac:dyDescent="0.2">
      <c r="B1522" s="17">
        <v>45405</v>
      </c>
      <c r="C1522" s="10" t="s">
        <v>48</v>
      </c>
      <c r="D1522" s="11">
        <v>170624</v>
      </c>
      <c r="E1522" s="26">
        <v>73922</v>
      </c>
      <c r="F1522" s="10" t="s">
        <v>71</v>
      </c>
      <c r="G1522" s="10" t="s">
        <v>46</v>
      </c>
      <c r="H1522" s="27" t="s">
        <v>72</v>
      </c>
      <c r="I1522" s="28" t="s">
        <v>41</v>
      </c>
      <c r="J1522" s="12" t="s">
        <v>41</v>
      </c>
      <c r="K1522" s="13">
        <v>21600</v>
      </c>
      <c r="L1522" s="21">
        <v>9.7780000000000005</v>
      </c>
      <c r="M1522" s="14" t="s">
        <v>14</v>
      </c>
      <c r="N1522" s="13">
        <v>211208.25599999999</v>
      </c>
      <c r="O1522" s="15">
        <f t="shared" si="986"/>
        <v>1.5999999999927184E-4</v>
      </c>
      <c r="P1522" s="10" t="s">
        <v>90</v>
      </c>
      <c r="Q1522" s="11" t="s">
        <v>3396</v>
      </c>
      <c r="R1522" s="11" t="s">
        <v>3397</v>
      </c>
      <c r="S1522" s="16" t="s">
        <v>3398</v>
      </c>
      <c r="T1522" s="19" t="str">
        <f>MONTH(B1522)&amp;"-"&amp;YEAR(B1522)</f>
        <v>4-2024</v>
      </c>
      <c r="U1522" s="2">
        <f>YEAR(B1522)</f>
        <v>2024</v>
      </c>
      <c r="V1522" s="2" t="str">
        <f>IF(DAY(B1522)&gt;15,MONTH(B1522)&amp;"-C",MONTH(B1522)&amp;"-N")</f>
        <v>4-C</v>
      </c>
      <c r="W1522" s="21">
        <v>9.7780000000000005</v>
      </c>
      <c r="X1522" s="2" t="b">
        <f t="shared" si="987"/>
        <v>1</v>
      </c>
    </row>
    <row r="1523" spans="2:24" x14ac:dyDescent="0.2">
      <c r="B1523" s="17">
        <v>45405</v>
      </c>
      <c r="C1523" s="10" t="s">
        <v>48</v>
      </c>
      <c r="D1523" s="11">
        <v>170624</v>
      </c>
      <c r="E1523" s="26">
        <v>73922</v>
      </c>
      <c r="F1523" s="10" t="s">
        <v>2552</v>
      </c>
      <c r="G1523" s="10" t="s">
        <v>46</v>
      </c>
      <c r="H1523" s="27" t="s">
        <v>2553</v>
      </c>
      <c r="I1523" s="28" t="s">
        <v>41</v>
      </c>
      <c r="J1523" s="12" t="s">
        <v>41</v>
      </c>
      <c r="K1523" s="13">
        <v>5600</v>
      </c>
      <c r="L1523" s="21">
        <v>10.292999999999999</v>
      </c>
      <c r="M1523" s="14" t="s">
        <v>14</v>
      </c>
      <c r="N1523" s="13">
        <v>57639.68</v>
      </c>
      <c r="O1523" s="15">
        <f t="shared" si="986"/>
        <v>-1.9999999999953388E-4</v>
      </c>
      <c r="P1523" s="10" t="s">
        <v>90</v>
      </c>
      <c r="Q1523" s="11" t="s">
        <v>3396</v>
      </c>
      <c r="R1523" s="11" t="s">
        <v>3397</v>
      </c>
      <c r="S1523" s="16" t="s">
        <v>3398</v>
      </c>
      <c r="T1523" s="19" t="str">
        <f>MONTH(B1523)&amp;"-"&amp;YEAR(B1523)</f>
        <v>4-2024</v>
      </c>
      <c r="U1523" s="2">
        <f>YEAR(B1523)</f>
        <v>2024</v>
      </c>
      <c r="V1523" s="2" t="str">
        <f>IF(DAY(B1523)&gt;15,MONTH(B1523)&amp;"-C",MONTH(B1523)&amp;"-N")</f>
        <v>4-C</v>
      </c>
      <c r="W1523" s="21">
        <v>10.292999999999999</v>
      </c>
      <c r="X1523" s="2" t="b">
        <f t="shared" si="987"/>
        <v>1</v>
      </c>
    </row>
    <row r="1524" spans="2:24" x14ac:dyDescent="0.2">
      <c r="B1524" s="17">
        <v>45407</v>
      </c>
      <c r="C1524" s="10" t="s">
        <v>88</v>
      </c>
      <c r="D1524" s="11">
        <v>172118</v>
      </c>
      <c r="E1524" s="26">
        <v>73983</v>
      </c>
      <c r="F1524" s="10" t="s">
        <v>98</v>
      </c>
      <c r="G1524" s="10" t="s">
        <v>46</v>
      </c>
      <c r="H1524" s="27" t="s">
        <v>99</v>
      </c>
      <c r="I1524" s="28" t="s">
        <v>41</v>
      </c>
      <c r="J1524" s="12" t="s">
        <v>41</v>
      </c>
      <c r="K1524" s="13">
        <v>148</v>
      </c>
      <c r="L1524" s="21">
        <v>11.25</v>
      </c>
      <c r="M1524" s="14" t="s">
        <v>14</v>
      </c>
      <c r="N1524" s="13">
        <v>1665</v>
      </c>
      <c r="O1524" s="15">
        <f t="shared" ref="O1524:O1525" si="988">(N1524/K1524)-L1524</f>
        <v>0</v>
      </c>
      <c r="P1524" s="10" t="s">
        <v>84</v>
      </c>
      <c r="Q1524" s="11" t="s">
        <v>3362</v>
      </c>
      <c r="R1524" s="11" t="s">
        <v>3363</v>
      </c>
      <c r="S1524" s="16" t="s">
        <v>3364</v>
      </c>
      <c r="T1524" s="19" t="str">
        <f>MONTH(B1524)&amp;"-"&amp;YEAR(B1524)</f>
        <v>4-2024</v>
      </c>
      <c r="U1524" s="2">
        <f>YEAR(B1524)</f>
        <v>2024</v>
      </c>
      <c r="V1524" s="2" t="str">
        <f>IF(DAY(B1524)&gt;15,MONTH(B1524)&amp;"-C",MONTH(B1524)&amp;"-N")</f>
        <v>4-C</v>
      </c>
      <c r="W1524" s="21">
        <v>11.25</v>
      </c>
      <c r="X1524" s="2" t="b">
        <f t="shared" ref="X1524:X1525" si="989">+L1524=W1524</f>
        <v>1</v>
      </c>
    </row>
    <row r="1525" spans="2:24" x14ac:dyDescent="0.2">
      <c r="B1525" s="17">
        <v>45407</v>
      </c>
      <c r="C1525" s="10" t="s">
        <v>88</v>
      </c>
      <c r="D1525" s="11">
        <v>172118</v>
      </c>
      <c r="E1525" s="26">
        <v>73983</v>
      </c>
      <c r="F1525" s="10" t="s">
        <v>3365</v>
      </c>
      <c r="G1525" s="10" t="s">
        <v>46</v>
      </c>
      <c r="H1525" s="27"/>
      <c r="I1525" s="28" t="s">
        <v>41</v>
      </c>
      <c r="J1525" s="12" t="s">
        <v>41</v>
      </c>
      <c r="K1525" s="13">
        <v>5000</v>
      </c>
      <c r="L1525" s="21">
        <v>13.22</v>
      </c>
      <c r="M1525" s="14" t="s">
        <v>14</v>
      </c>
      <c r="N1525" s="13">
        <v>66100</v>
      </c>
      <c r="O1525" s="15">
        <f t="shared" si="988"/>
        <v>0</v>
      </c>
      <c r="P1525" s="10" t="s">
        <v>84</v>
      </c>
      <c r="Q1525" s="11" t="s">
        <v>3362</v>
      </c>
      <c r="R1525" s="11" t="s">
        <v>3363</v>
      </c>
      <c r="S1525" s="16" t="s">
        <v>3364</v>
      </c>
      <c r="T1525" s="19" t="str">
        <f>MONTH(B1525)&amp;"-"&amp;YEAR(B1525)</f>
        <v>4-2024</v>
      </c>
      <c r="U1525" s="2">
        <f>YEAR(B1525)</f>
        <v>2024</v>
      </c>
      <c r="V1525" s="2" t="str">
        <f>IF(DAY(B1525)&gt;15,MONTH(B1525)&amp;"-C",MONTH(B1525)&amp;"-N")</f>
        <v>4-C</v>
      </c>
      <c r="W1525" s="21">
        <v>13.22</v>
      </c>
      <c r="X1525" s="2" t="b">
        <f t="shared" si="989"/>
        <v>1</v>
      </c>
    </row>
    <row r="1526" spans="2:24" x14ac:dyDescent="0.2">
      <c r="B1526" s="17">
        <v>45408</v>
      </c>
      <c r="C1526" s="10" t="s">
        <v>94</v>
      </c>
      <c r="D1526" s="11">
        <v>172455</v>
      </c>
      <c r="E1526" s="26">
        <v>73988</v>
      </c>
      <c r="F1526" s="10" t="s">
        <v>26</v>
      </c>
      <c r="G1526" s="10" t="s">
        <v>27</v>
      </c>
      <c r="H1526" s="27" t="s">
        <v>28</v>
      </c>
      <c r="I1526" s="28" t="s">
        <v>41</v>
      </c>
      <c r="J1526" s="12" t="s">
        <v>41</v>
      </c>
      <c r="K1526" s="13">
        <v>14400</v>
      </c>
      <c r="L1526" s="21">
        <v>3.5</v>
      </c>
      <c r="M1526" s="14" t="s">
        <v>14</v>
      </c>
      <c r="N1526" s="13">
        <v>50400</v>
      </c>
      <c r="O1526" s="15">
        <f t="shared" ref="O1526:O1528" si="990">(N1526/K1526)-L1526</f>
        <v>0</v>
      </c>
      <c r="P1526" s="10" t="s">
        <v>78</v>
      </c>
      <c r="Q1526" s="11" t="s">
        <v>3384</v>
      </c>
      <c r="R1526" s="11" t="s">
        <v>3385</v>
      </c>
      <c r="S1526" s="16" t="s">
        <v>3386</v>
      </c>
      <c r="T1526" s="19" t="str">
        <f>MONTH(B1526)&amp;"-"&amp;YEAR(B1526)</f>
        <v>4-2024</v>
      </c>
      <c r="U1526" s="2">
        <f>YEAR(B1526)</f>
        <v>2024</v>
      </c>
      <c r="V1526" s="2" t="str">
        <f>IF(DAY(B1526)&gt;15,MONTH(B1526)&amp;"-C",MONTH(B1526)&amp;"-N")</f>
        <v>4-C</v>
      </c>
      <c r="W1526" s="21">
        <v>3.5</v>
      </c>
      <c r="X1526" s="2" t="b">
        <f t="shared" ref="X1526:X1528" si="991">+L1526=W1526</f>
        <v>1</v>
      </c>
    </row>
    <row r="1527" spans="2:24" x14ac:dyDescent="0.2">
      <c r="B1527" s="17">
        <v>45408</v>
      </c>
      <c r="C1527" s="10" t="s">
        <v>73</v>
      </c>
      <c r="D1527" s="11">
        <v>170673</v>
      </c>
      <c r="E1527" s="26">
        <v>74011</v>
      </c>
      <c r="F1527" s="10" t="s">
        <v>399</v>
      </c>
      <c r="G1527" s="10" t="s">
        <v>46</v>
      </c>
      <c r="H1527" s="27" t="s">
        <v>149</v>
      </c>
      <c r="I1527" s="28" t="s">
        <v>41</v>
      </c>
      <c r="J1527" s="12" t="s">
        <v>41</v>
      </c>
      <c r="K1527" s="13">
        <v>2840</v>
      </c>
      <c r="L1527" s="21">
        <v>16.8</v>
      </c>
      <c r="M1527" s="14" t="s">
        <v>14</v>
      </c>
      <c r="N1527" s="13">
        <v>47712</v>
      </c>
      <c r="O1527" s="15">
        <f t="shared" si="990"/>
        <v>0</v>
      </c>
      <c r="P1527" s="10" t="s">
        <v>84</v>
      </c>
      <c r="Q1527" s="11" t="s">
        <v>3402</v>
      </c>
      <c r="R1527" s="11" t="s">
        <v>3403</v>
      </c>
      <c r="S1527" s="16" t="s">
        <v>3404</v>
      </c>
      <c r="T1527" s="19" t="str">
        <f>MONTH(B1527)&amp;"-"&amp;YEAR(B1527)</f>
        <v>4-2024</v>
      </c>
      <c r="U1527" s="2">
        <f>YEAR(B1527)</f>
        <v>2024</v>
      </c>
      <c r="V1527" s="2" t="str">
        <f>IF(DAY(B1527)&gt;15,MONTH(B1527)&amp;"-C",MONTH(B1527)&amp;"-N")</f>
        <v>4-C</v>
      </c>
      <c r="W1527" s="21">
        <v>16.8</v>
      </c>
      <c r="X1527" s="2" t="b">
        <f t="shared" si="991"/>
        <v>1</v>
      </c>
    </row>
    <row r="1528" spans="2:24" x14ac:dyDescent="0.2">
      <c r="B1528" s="17">
        <v>45408</v>
      </c>
      <c r="C1528" s="10" t="s">
        <v>73</v>
      </c>
      <c r="D1528" s="11">
        <v>171026</v>
      </c>
      <c r="E1528" s="26">
        <v>74011</v>
      </c>
      <c r="F1528" s="10" t="s">
        <v>399</v>
      </c>
      <c r="G1528" s="10" t="s">
        <v>46</v>
      </c>
      <c r="H1528" s="27" t="s">
        <v>149</v>
      </c>
      <c r="I1528" s="28" t="s">
        <v>41</v>
      </c>
      <c r="J1528" s="12" t="s">
        <v>41</v>
      </c>
      <c r="K1528" s="13">
        <v>160</v>
      </c>
      <c r="L1528" s="21">
        <v>16.8</v>
      </c>
      <c r="M1528" s="14" t="s">
        <v>14</v>
      </c>
      <c r="N1528" s="13">
        <v>2688</v>
      </c>
      <c r="O1528" s="15">
        <f t="shared" si="990"/>
        <v>0</v>
      </c>
      <c r="P1528" s="10" t="s">
        <v>84</v>
      </c>
      <c r="Q1528" s="11" t="s">
        <v>3402</v>
      </c>
      <c r="R1528" s="11" t="s">
        <v>3403</v>
      </c>
      <c r="S1528" s="16" t="s">
        <v>3404</v>
      </c>
      <c r="T1528" s="19" t="str">
        <f>MONTH(B1528)&amp;"-"&amp;YEAR(B1528)</f>
        <v>4-2024</v>
      </c>
      <c r="U1528" s="2">
        <f>YEAR(B1528)</f>
        <v>2024</v>
      </c>
      <c r="V1528" s="2" t="str">
        <f>IF(DAY(B1528)&gt;15,MONTH(B1528)&amp;"-C",MONTH(B1528)&amp;"-N")</f>
        <v>4-C</v>
      </c>
      <c r="W1528" s="21">
        <v>16.8</v>
      </c>
      <c r="X1528" s="2" t="b">
        <f t="shared" si="991"/>
        <v>1</v>
      </c>
    </row>
    <row r="1529" spans="2:24" x14ac:dyDescent="0.2">
      <c r="B1529" s="17">
        <v>45411</v>
      </c>
      <c r="C1529" s="10" t="s">
        <v>48</v>
      </c>
      <c r="D1529" s="11">
        <v>170625</v>
      </c>
      <c r="E1529" s="26">
        <v>74098</v>
      </c>
      <c r="F1529" s="10" t="s">
        <v>135</v>
      </c>
      <c r="G1529" s="10" t="s">
        <v>46</v>
      </c>
      <c r="H1529" s="27" t="s">
        <v>136</v>
      </c>
      <c r="I1529" s="28" t="s">
        <v>41</v>
      </c>
      <c r="J1529" s="12" t="s">
        <v>41</v>
      </c>
      <c r="K1529" s="13">
        <v>4400</v>
      </c>
      <c r="L1529" s="21">
        <v>10.292999999999999</v>
      </c>
      <c r="M1529" s="14" t="s">
        <v>14</v>
      </c>
      <c r="N1529" s="13">
        <v>45288.32</v>
      </c>
      <c r="O1529" s="15">
        <f t="shared" ref="O1529:O1531" si="992">(N1529/K1529)-L1529</f>
        <v>-1.9999999999953388E-4</v>
      </c>
      <c r="P1529" s="10" t="s">
        <v>90</v>
      </c>
      <c r="Q1529" s="11" t="s">
        <v>3399</v>
      </c>
      <c r="R1529" s="11" t="s">
        <v>3400</v>
      </c>
      <c r="S1529" s="16" t="s">
        <v>3401</v>
      </c>
      <c r="T1529" s="19" t="str">
        <f>MONTH(B1529)&amp;"-"&amp;YEAR(B1529)</f>
        <v>4-2024</v>
      </c>
      <c r="U1529" s="2">
        <f>YEAR(B1529)</f>
        <v>2024</v>
      </c>
      <c r="V1529" s="2" t="str">
        <f>IF(DAY(B1529)&gt;15,MONTH(B1529)&amp;"-C",MONTH(B1529)&amp;"-N")</f>
        <v>4-C</v>
      </c>
      <c r="W1529" s="21">
        <v>10.292999999999999</v>
      </c>
      <c r="X1529" s="2" t="b">
        <f t="shared" ref="X1529:X1531" si="993">+L1529=W1529</f>
        <v>1</v>
      </c>
    </row>
    <row r="1530" spans="2:24" x14ac:dyDescent="0.2">
      <c r="B1530" s="17">
        <v>45411</v>
      </c>
      <c r="C1530" s="10" t="s">
        <v>48</v>
      </c>
      <c r="D1530" s="11">
        <v>170625</v>
      </c>
      <c r="E1530" s="26">
        <v>74098</v>
      </c>
      <c r="F1530" s="10" t="s">
        <v>71</v>
      </c>
      <c r="G1530" s="10" t="s">
        <v>46</v>
      </c>
      <c r="H1530" s="27" t="s">
        <v>72</v>
      </c>
      <c r="I1530" s="28" t="s">
        <v>41</v>
      </c>
      <c r="J1530" s="12" t="s">
        <v>41</v>
      </c>
      <c r="K1530" s="13">
        <v>11600</v>
      </c>
      <c r="L1530" s="21">
        <v>9.7780000000000005</v>
      </c>
      <c r="M1530" s="14" t="s">
        <v>14</v>
      </c>
      <c r="N1530" s="13">
        <v>113426.656</v>
      </c>
      <c r="O1530" s="15">
        <f t="shared" si="992"/>
        <v>1.5999999999927184E-4</v>
      </c>
      <c r="P1530" s="10" t="s">
        <v>90</v>
      </c>
      <c r="Q1530" s="11" t="s">
        <v>3399</v>
      </c>
      <c r="R1530" s="11" t="s">
        <v>3400</v>
      </c>
      <c r="S1530" s="16" t="s">
        <v>3401</v>
      </c>
      <c r="T1530" s="19" t="str">
        <f>MONTH(B1530)&amp;"-"&amp;YEAR(B1530)</f>
        <v>4-2024</v>
      </c>
      <c r="U1530" s="2">
        <f>YEAR(B1530)</f>
        <v>2024</v>
      </c>
      <c r="V1530" s="2" t="str">
        <f>IF(DAY(B1530)&gt;15,MONTH(B1530)&amp;"-C",MONTH(B1530)&amp;"-N")</f>
        <v>4-C</v>
      </c>
      <c r="W1530" s="21">
        <v>9.7780000000000005</v>
      </c>
      <c r="X1530" s="2" t="b">
        <f t="shared" si="993"/>
        <v>1</v>
      </c>
    </row>
    <row r="1531" spans="2:24" x14ac:dyDescent="0.2">
      <c r="B1531" s="17">
        <v>45412</v>
      </c>
      <c r="C1531" s="10" t="s">
        <v>94</v>
      </c>
      <c r="D1531" s="11">
        <v>172455</v>
      </c>
      <c r="E1531" s="26">
        <v>74092</v>
      </c>
      <c r="F1531" s="10" t="s">
        <v>26</v>
      </c>
      <c r="G1531" s="10" t="s">
        <v>27</v>
      </c>
      <c r="H1531" s="27" t="s">
        <v>28</v>
      </c>
      <c r="I1531" s="28" t="s">
        <v>41</v>
      </c>
      <c r="J1531" s="12" t="s">
        <v>41</v>
      </c>
      <c r="K1531" s="13">
        <v>14400</v>
      </c>
      <c r="L1531" s="21">
        <v>3.5</v>
      </c>
      <c r="M1531" s="14" t="s">
        <v>14</v>
      </c>
      <c r="N1531" s="13">
        <v>50400</v>
      </c>
      <c r="O1531" s="15">
        <f t="shared" si="992"/>
        <v>0</v>
      </c>
      <c r="P1531" s="10" t="s">
        <v>78</v>
      </c>
      <c r="Q1531" s="11" t="s">
        <v>3411</v>
      </c>
      <c r="R1531" s="11" t="s">
        <v>3412</v>
      </c>
      <c r="S1531" s="16" t="s">
        <v>3413</v>
      </c>
      <c r="T1531" s="19" t="str">
        <f>MONTH(B1531)&amp;"-"&amp;YEAR(B1531)</f>
        <v>4-2024</v>
      </c>
      <c r="U1531" s="2">
        <f>YEAR(B1531)</f>
        <v>2024</v>
      </c>
      <c r="V1531" s="2" t="str">
        <f>IF(DAY(B1531)&gt;15,MONTH(B1531)&amp;"-C",MONTH(B1531)&amp;"-N")</f>
        <v>4-C</v>
      </c>
      <c r="W1531" s="21">
        <v>3.5</v>
      </c>
      <c r="X1531" s="2" t="b">
        <f t="shared" si="993"/>
        <v>1</v>
      </c>
    </row>
    <row r="1532" spans="2:24" x14ac:dyDescent="0.2">
      <c r="B1532" s="17">
        <v>45415</v>
      </c>
      <c r="C1532" s="10" t="s">
        <v>25</v>
      </c>
      <c r="D1532" s="11">
        <v>170938</v>
      </c>
      <c r="E1532" s="26">
        <v>74150</v>
      </c>
      <c r="F1532" s="10" t="s">
        <v>49</v>
      </c>
      <c r="G1532" s="10" t="s">
        <v>27</v>
      </c>
      <c r="H1532" s="27" t="s">
        <v>50</v>
      </c>
      <c r="I1532" s="28"/>
      <c r="J1532" s="12"/>
      <c r="K1532" s="13">
        <v>1710</v>
      </c>
      <c r="L1532" s="21">
        <v>5.0999999999999996</v>
      </c>
      <c r="M1532" s="14" t="s">
        <v>14</v>
      </c>
      <c r="N1532" s="13">
        <v>8721</v>
      </c>
      <c r="O1532" s="15">
        <f t="shared" ref="O1532:O1534" si="994">(N1532/K1532)-L1532</f>
        <v>0</v>
      </c>
      <c r="P1532" s="10" t="s">
        <v>78</v>
      </c>
      <c r="Q1532" s="11" t="s">
        <v>3464</v>
      </c>
      <c r="R1532" s="11" t="s">
        <v>3465</v>
      </c>
      <c r="S1532" s="16" t="s">
        <v>3466</v>
      </c>
      <c r="T1532" s="19" t="str">
        <f>MONTH(B1532)&amp;"-"&amp;YEAR(B1532)</f>
        <v>5-2024</v>
      </c>
      <c r="U1532" s="2">
        <f>YEAR(B1532)</f>
        <v>2024</v>
      </c>
      <c r="V1532" s="2" t="str">
        <f>IF(DAY(B1532)&gt;15,MONTH(B1532)&amp;"-C",MONTH(B1532)&amp;"-N")</f>
        <v>5-N</v>
      </c>
      <c r="W1532" s="21">
        <v>5.0999999999999996</v>
      </c>
      <c r="X1532" s="2" t="b">
        <f t="shared" ref="X1532:X1534" si="995">+L1532=W1532</f>
        <v>1</v>
      </c>
    </row>
    <row r="1533" spans="2:24" x14ac:dyDescent="0.2">
      <c r="B1533" s="17">
        <v>45415</v>
      </c>
      <c r="C1533" s="10" t="s">
        <v>25</v>
      </c>
      <c r="D1533" s="11">
        <v>170938</v>
      </c>
      <c r="E1533" s="26">
        <v>74150</v>
      </c>
      <c r="F1533" s="10" t="s">
        <v>3054</v>
      </c>
      <c r="G1533" s="10" t="s">
        <v>27</v>
      </c>
      <c r="H1533" s="27" t="s">
        <v>3055</v>
      </c>
      <c r="I1533" s="28"/>
      <c r="J1533" s="12"/>
      <c r="K1533" s="13">
        <v>480</v>
      </c>
      <c r="L1533" s="21">
        <v>4.21</v>
      </c>
      <c r="M1533" s="14" t="s">
        <v>14</v>
      </c>
      <c r="N1533" s="13">
        <v>2020.8</v>
      </c>
      <c r="O1533" s="15">
        <f t="shared" si="994"/>
        <v>0</v>
      </c>
      <c r="P1533" s="10" t="s">
        <v>78</v>
      </c>
      <c r="Q1533" s="11" t="s">
        <v>3464</v>
      </c>
      <c r="R1533" s="11" t="s">
        <v>3465</v>
      </c>
      <c r="S1533" s="16" t="s">
        <v>3466</v>
      </c>
      <c r="T1533" s="19" t="str">
        <f>MONTH(B1533)&amp;"-"&amp;YEAR(B1533)</f>
        <v>5-2024</v>
      </c>
      <c r="U1533" s="2">
        <f>YEAR(B1533)</f>
        <v>2024</v>
      </c>
      <c r="V1533" s="2" t="str">
        <f>IF(DAY(B1533)&gt;15,MONTH(B1533)&amp;"-C",MONTH(B1533)&amp;"-N")</f>
        <v>5-N</v>
      </c>
      <c r="W1533" s="21">
        <v>4.21</v>
      </c>
      <c r="X1533" s="2" t="b">
        <f t="shared" si="995"/>
        <v>1</v>
      </c>
    </row>
    <row r="1534" spans="2:24" x14ac:dyDescent="0.2">
      <c r="B1534" s="17">
        <v>45415</v>
      </c>
      <c r="C1534" s="10" t="s">
        <v>25</v>
      </c>
      <c r="D1534" s="11">
        <v>172585</v>
      </c>
      <c r="E1534" s="26">
        <v>74149</v>
      </c>
      <c r="F1534" s="10" t="s">
        <v>26</v>
      </c>
      <c r="G1534" s="10" t="s">
        <v>27</v>
      </c>
      <c r="H1534" s="27" t="s">
        <v>28</v>
      </c>
      <c r="I1534" s="28"/>
      <c r="J1534" s="12"/>
      <c r="K1534" s="13">
        <v>1800</v>
      </c>
      <c r="L1534" s="21">
        <v>3.5</v>
      </c>
      <c r="M1534" s="14" t="s">
        <v>14</v>
      </c>
      <c r="N1534" s="13">
        <v>6300</v>
      </c>
      <c r="O1534" s="15">
        <f t="shared" si="994"/>
        <v>0</v>
      </c>
      <c r="P1534" s="10" t="s">
        <v>78</v>
      </c>
      <c r="Q1534" s="11" t="s">
        <v>3467</v>
      </c>
      <c r="R1534" s="11" t="s">
        <v>3468</v>
      </c>
      <c r="S1534" s="16" t="s">
        <v>3469</v>
      </c>
      <c r="T1534" s="19" t="str">
        <f>MONTH(B1534)&amp;"-"&amp;YEAR(B1534)</f>
        <v>5-2024</v>
      </c>
      <c r="U1534" s="2">
        <f>YEAR(B1534)</f>
        <v>2024</v>
      </c>
      <c r="V1534" s="2" t="str">
        <f>IF(DAY(B1534)&gt;15,MONTH(B1534)&amp;"-C",MONTH(B1534)&amp;"-N")</f>
        <v>5-N</v>
      </c>
      <c r="W1534" s="21">
        <v>3.5</v>
      </c>
      <c r="X1534" s="2" t="b">
        <f t="shared" si="995"/>
        <v>1</v>
      </c>
    </row>
    <row r="1535" spans="2:24" x14ac:dyDescent="0.2">
      <c r="B1535" s="17">
        <v>45417</v>
      </c>
      <c r="C1535" s="10" t="s">
        <v>433</v>
      </c>
      <c r="D1535" s="11">
        <v>172656</v>
      </c>
      <c r="E1535" s="26">
        <v>74165</v>
      </c>
      <c r="F1535" s="10" t="s">
        <v>26</v>
      </c>
      <c r="G1535" s="10" t="s">
        <v>27</v>
      </c>
      <c r="H1535" s="27" t="s">
        <v>28</v>
      </c>
      <c r="I1535" s="28"/>
      <c r="J1535" s="12"/>
      <c r="K1535" s="13">
        <v>16200</v>
      </c>
      <c r="L1535" s="21">
        <v>3.7</v>
      </c>
      <c r="M1535" s="14" t="s">
        <v>14</v>
      </c>
      <c r="N1535" s="13">
        <v>59940</v>
      </c>
      <c r="O1535" s="15">
        <f t="shared" ref="O1535:O1539" si="996">(N1535/K1535)-L1535</f>
        <v>0</v>
      </c>
      <c r="P1535" s="10" t="s">
        <v>78</v>
      </c>
      <c r="Q1535" s="11" t="s">
        <v>3455</v>
      </c>
      <c r="R1535" s="11" t="s">
        <v>3456</v>
      </c>
      <c r="S1535" s="16" t="s">
        <v>3457</v>
      </c>
      <c r="T1535" s="19" t="str">
        <f>MONTH(B1535)&amp;"-"&amp;YEAR(B1535)</f>
        <v>5-2024</v>
      </c>
      <c r="U1535" s="2">
        <f>YEAR(B1535)</f>
        <v>2024</v>
      </c>
      <c r="V1535" s="2" t="str">
        <f>IF(DAY(B1535)&gt;15,MONTH(B1535)&amp;"-C",MONTH(B1535)&amp;"-N")</f>
        <v>5-N</v>
      </c>
      <c r="W1535" s="21">
        <v>3.7</v>
      </c>
      <c r="X1535" s="2" t="b">
        <f t="shared" ref="X1535:X1539" si="997">+L1535=W1535</f>
        <v>1</v>
      </c>
    </row>
    <row r="1536" spans="2:24" x14ac:dyDescent="0.2">
      <c r="B1536" s="17">
        <v>45418</v>
      </c>
      <c r="C1536" s="10" t="s">
        <v>2630</v>
      </c>
      <c r="D1536" s="11">
        <v>172680</v>
      </c>
      <c r="E1536" s="26">
        <v>74177</v>
      </c>
      <c r="F1536" s="10" t="s">
        <v>3438</v>
      </c>
      <c r="G1536" s="10" t="s">
        <v>27</v>
      </c>
      <c r="H1536" s="27" t="s">
        <v>3439</v>
      </c>
      <c r="I1536" s="28"/>
      <c r="J1536" s="12"/>
      <c r="K1536" s="13">
        <v>200</v>
      </c>
      <c r="L1536" s="21">
        <v>5.9</v>
      </c>
      <c r="M1536" s="14" t="s">
        <v>14</v>
      </c>
      <c r="N1536" s="13">
        <v>1180</v>
      </c>
      <c r="O1536" s="15">
        <f t="shared" si="996"/>
        <v>0</v>
      </c>
      <c r="P1536" s="10" t="s">
        <v>78</v>
      </c>
      <c r="Q1536" s="11" t="s">
        <v>3440</v>
      </c>
      <c r="R1536" s="11" t="s">
        <v>3441</v>
      </c>
      <c r="S1536" s="16" t="s">
        <v>3442</v>
      </c>
      <c r="T1536" s="19" t="str">
        <f>MONTH(B1536)&amp;"-"&amp;YEAR(B1536)</f>
        <v>5-2024</v>
      </c>
      <c r="U1536" s="2">
        <f>YEAR(B1536)</f>
        <v>2024</v>
      </c>
      <c r="V1536" s="2" t="str">
        <f>IF(DAY(B1536)&gt;15,MONTH(B1536)&amp;"-C",MONTH(B1536)&amp;"-N")</f>
        <v>5-N</v>
      </c>
      <c r="W1536" s="21">
        <v>5.9</v>
      </c>
      <c r="X1536" s="2" t="b">
        <f t="shared" si="997"/>
        <v>1</v>
      </c>
    </row>
    <row r="1537" spans="2:24" x14ac:dyDescent="0.2">
      <c r="B1537" s="17">
        <v>45418</v>
      </c>
      <c r="C1537" s="10" t="s">
        <v>2630</v>
      </c>
      <c r="D1537" s="11">
        <v>172680</v>
      </c>
      <c r="E1537" s="26">
        <v>74177</v>
      </c>
      <c r="F1537" s="10" t="s">
        <v>33</v>
      </c>
      <c r="G1537" s="10" t="s">
        <v>27</v>
      </c>
      <c r="H1537" s="27" t="s">
        <v>34</v>
      </c>
      <c r="I1537" s="28"/>
      <c r="J1537" s="12"/>
      <c r="K1537" s="13">
        <v>3600</v>
      </c>
      <c r="L1537" s="21">
        <v>5.5</v>
      </c>
      <c r="M1537" s="14" t="s">
        <v>14</v>
      </c>
      <c r="N1537" s="13">
        <v>19800</v>
      </c>
      <c r="O1537" s="15">
        <f t="shared" si="996"/>
        <v>0</v>
      </c>
      <c r="P1537" s="10" t="s">
        <v>78</v>
      </c>
      <c r="Q1537" s="11" t="s">
        <v>3440</v>
      </c>
      <c r="R1537" s="11" t="s">
        <v>3441</v>
      </c>
      <c r="S1537" s="16" t="s">
        <v>3442</v>
      </c>
      <c r="T1537" s="19" t="str">
        <f>MONTH(B1537)&amp;"-"&amp;YEAR(B1537)</f>
        <v>5-2024</v>
      </c>
      <c r="U1537" s="2">
        <f>YEAR(B1537)</f>
        <v>2024</v>
      </c>
      <c r="V1537" s="2" t="str">
        <f>IF(DAY(B1537)&gt;15,MONTH(B1537)&amp;"-C",MONTH(B1537)&amp;"-N")</f>
        <v>5-N</v>
      </c>
      <c r="W1537" s="21">
        <v>5.5</v>
      </c>
      <c r="X1537" s="2" t="b">
        <f t="shared" si="997"/>
        <v>1</v>
      </c>
    </row>
    <row r="1538" spans="2:24" x14ac:dyDescent="0.2">
      <c r="B1538" s="17">
        <v>45418</v>
      </c>
      <c r="C1538" s="10" t="s">
        <v>2630</v>
      </c>
      <c r="D1538" s="11">
        <v>172275</v>
      </c>
      <c r="E1538" s="26">
        <v>74169</v>
      </c>
      <c r="F1538" s="10" t="s">
        <v>29</v>
      </c>
      <c r="G1538" s="10" t="s">
        <v>27</v>
      </c>
      <c r="H1538" s="27" t="s">
        <v>30</v>
      </c>
      <c r="I1538" s="28"/>
      <c r="J1538" s="12"/>
      <c r="K1538" s="13">
        <v>1980</v>
      </c>
      <c r="L1538" s="21">
        <v>3.75</v>
      </c>
      <c r="M1538" s="14" t="s">
        <v>14</v>
      </c>
      <c r="N1538" s="13">
        <v>7425</v>
      </c>
      <c r="O1538" s="15">
        <f t="shared" si="996"/>
        <v>0</v>
      </c>
      <c r="P1538" s="10" t="s">
        <v>78</v>
      </c>
      <c r="Q1538" s="11" t="s">
        <v>3443</v>
      </c>
      <c r="R1538" s="11" t="s">
        <v>3444</v>
      </c>
      <c r="S1538" s="16" t="s">
        <v>3445</v>
      </c>
      <c r="T1538" s="19" t="str">
        <f>MONTH(B1538)&amp;"-"&amp;YEAR(B1538)</f>
        <v>5-2024</v>
      </c>
      <c r="U1538" s="2">
        <f>YEAR(B1538)</f>
        <v>2024</v>
      </c>
      <c r="V1538" s="2" t="str">
        <f>IF(DAY(B1538)&gt;15,MONTH(B1538)&amp;"-C",MONTH(B1538)&amp;"-N")</f>
        <v>5-N</v>
      </c>
      <c r="W1538" s="21">
        <v>3.75</v>
      </c>
      <c r="X1538" s="2" t="b">
        <f t="shared" si="997"/>
        <v>1</v>
      </c>
    </row>
    <row r="1539" spans="2:24" x14ac:dyDescent="0.2">
      <c r="B1539" s="17">
        <v>45418</v>
      </c>
      <c r="C1539" s="10" t="s">
        <v>2630</v>
      </c>
      <c r="D1539" s="11">
        <v>172673</v>
      </c>
      <c r="E1539" s="26">
        <v>74178</v>
      </c>
      <c r="F1539" s="10" t="s">
        <v>29</v>
      </c>
      <c r="G1539" s="10" t="s">
        <v>27</v>
      </c>
      <c r="H1539" s="27" t="s">
        <v>30</v>
      </c>
      <c r="I1539" s="28"/>
      <c r="J1539" s="12"/>
      <c r="K1539" s="13">
        <v>1320</v>
      </c>
      <c r="L1539" s="21">
        <v>3.75</v>
      </c>
      <c r="M1539" s="14" t="s">
        <v>14</v>
      </c>
      <c r="N1539" s="13">
        <v>4950</v>
      </c>
      <c r="O1539" s="15">
        <f t="shared" si="996"/>
        <v>0</v>
      </c>
      <c r="P1539" s="10" t="s">
        <v>78</v>
      </c>
      <c r="Q1539" s="11" t="s">
        <v>3446</v>
      </c>
      <c r="R1539" s="11" t="s">
        <v>3447</v>
      </c>
      <c r="S1539" s="16" t="s">
        <v>3448</v>
      </c>
      <c r="T1539" s="19" t="str">
        <f>MONTH(B1539)&amp;"-"&amp;YEAR(B1539)</f>
        <v>5-2024</v>
      </c>
      <c r="U1539" s="2">
        <f>YEAR(B1539)</f>
        <v>2024</v>
      </c>
      <c r="V1539" s="2" t="str">
        <f>IF(DAY(B1539)&gt;15,MONTH(B1539)&amp;"-C",MONTH(B1539)&amp;"-N")</f>
        <v>5-N</v>
      </c>
      <c r="W1539" s="21">
        <v>3.75</v>
      </c>
      <c r="X1539" s="2" t="b">
        <f t="shared" si="997"/>
        <v>1</v>
      </c>
    </row>
    <row r="1540" spans="2:24" x14ac:dyDescent="0.2">
      <c r="B1540" s="17">
        <v>45422</v>
      </c>
      <c r="C1540" s="10" t="s">
        <v>25</v>
      </c>
      <c r="D1540" s="11">
        <v>172585</v>
      </c>
      <c r="E1540" s="26">
        <v>74259</v>
      </c>
      <c r="F1540" s="10" t="s">
        <v>26</v>
      </c>
      <c r="G1540" s="10" t="s">
        <v>27</v>
      </c>
      <c r="H1540" s="27" t="s">
        <v>28</v>
      </c>
      <c r="I1540" s="28"/>
      <c r="J1540" s="12"/>
      <c r="K1540" s="13">
        <v>18000</v>
      </c>
      <c r="L1540" s="21">
        <v>3.5</v>
      </c>
      <c r="M1540" s="14" t="s">
        <v>14</v>
      </c>
      <c r="N1540" s="13">
        <v>63000</v>
      </c>
      <c r="O1540" s="15">
        <f t="shared" ref="O1540:O1542" si="998">(N1540/K1540)-L1540</f>
        <v>0</v>
      </c>
      <c r="P1540" s="10" t="s">
        <v>78</v>
      </c>
      <c r="Q1540" s="11" t="s">
        <v>3426</v>
      </c>
      <c r="R1540" s="11" t="s">
        <v>3427</v>
      </c>
      <c r="S1540" s="16" t="s">
        <v>3428</v>
      </c>
      <c r="T1540" s="19" t="str">
        <f>MONTH(B1540)&amp;"-"&amp;YEAR(B1540)</f>
        <v>5-2024</v>
      </c>
      <c r="U1540" s="2">
        <f>YEAR(B1540)</f>
        <v>2024</v>
      </c>
      <c r="V1540" s="2" t="str">
        <f>IF(DAY(B1540)&gt;15,MONTH(B1540)&amp;"-C",MONTH(B1540)&amp;"-N")</f>
        <v>5-N</v>
      </c>
      <c r="W1540" s="21">
        <v>3.5</v>
      </c>
      <c r="X1540" s="2" t="b">
        <f t="shared" ref="X1540:X1542" si="999">+L1540=W1540</f>
        <v>1</v>
      </c>
    </row>
    <row r="1541" spans="2:24" x14ac:dyDescent="0.2">
      <c r="B1541" s="17">
        <v>45423</v>
      </c>
      <c r="C1541" s="10" t="s">
        <v>48</v>
      </c>
      <c r="D1541" s="11">
        <v>170626</v>
      </c>
      <c r="E1541" s="26">
        <v>74286</v>
      </c>
      <c r="F1541" s="10" t="s">
        <v>71</v>
      </c>
      <c r="G1541" s="10" t="s">
        <v>46</v>
      </c>
      <c r="H1541" s="27" t="s">
        <v>72</v>
      </c>
      <c r="I1541" s="28"/>
      <c r="J1541" s="12"/>
      <c r="K1541" s="13">
        <v>10200</v>
      </c>
      <c r="L1541" s="21">
        <v>9.7780000000000005</v>
      </c>
      <c r="M1541" s="14" t="s">
        <v>14</v>
      </c>
      <c r="N1541" s="13">
        <v>99737.232000000004</v>
      </c>
      <c r="O1541" s="15">
        <f t="shared" si="998"/>
        <v>1.5999999999927184E-4</v>
      </c>
      <c r="P1541" s="10" t="s">
        <v>90</v>
      </c>
      <c r="Q1541" s="11" t="s">
        <v>3420</v>
      </c>
      <c r="R1541" s="11" t="s">
        <v>3421</v>
      </c>
      <c r="S1541" s="16" t="s">
        <v>3422</v>
      </c>
      <c r="T1541" s="19" t="str">
        <f>MONTH(B1541)&amp;"-"&amp;YEAR(B1541)</f>
        <v>5-2024</v>
      </c>
      <c r="U1541" s="2">
        <f>YEAR(B1541)</f>
        <v>2024</v>
      </c>
      <c r="V1541" s="2" t="str">
        <f>IF(DAY(B1541)&gt;15,MONTH(B1541)&amp;"-C",MONTH(B1541)&amp;"-N")</f>
        <v>5-N</v>
      </c>
      <c r="W1541" s="21">
        <v>9.7780000000000005</v>
      </c>
      <c r="X1541" s="2" t="b">
        <f t="shared" si="999"/>
        <v>1</v>
      </c>
    </row>
    <row r="1542" spans="2:24" x14ac:dyDescent="0.2">
      <c r="B1542" s="17">
        <v>45423</v>
      </c>
      <c r="C1542" s="10" t="s">
        <v>48</v>
      </c>
      <c r="D1542" s="11">
        <v>170626</v>
      </c>
      <c r="E1542" s="26">
        <v>74286</v>
      </c>
      <c r="F1542" s="10" t="s">
        <v>2552</v>
      </c>
      <c r="G1542" s="10" t="s">
        <v>46</v>
      </c>
      <c r="H1542" s="27" t="s">
        <v>2553</v>
      </c>
      <c r="I1542" s="28"/>
      <c r="J1542" s="12"/>
      <c r="K1542" s="13">
        <v>5800</v>
      </c>
      <c r="L1542" s="21">
        <v>10.292999999999999</v>
      </c>
      <c r="M1542" s="14" t="s">
        <v>14</v>
      </c>
      <c r="N1542" s="13">
        <v>59698.239999999998</v>
      </c>
      <c r="O1542" s="15">
        <f t="shared" si="998"/>
        <v>-1.9999999999953388E-4</v>
      </c>
      <c r="P1542" s="10" t="s">
        <v>90</v>
      </c>
      <c r="Q1542" s="11" t="s">
        <v>3420</v>
      </c>
      <c r="R1542" s="11" t="s">
        <v>3421</v>
      </c>
      <c r="S1542" s="16" t="s">
        <v>3422</v>
      </c>
      <c r="T1542" s="19" t="str">
        <f>MONTH(B1542)&amp;"-"&amp;YEAR(B1542)</f>
        <v>5-2024</v>
      </c>
      <c r="U1542" s="2">
        <f>YEAR(B1542)</f>
        <v>2024</v>
      </c>
      <c r="V1542" s="2" t="str">
        <f>IF(DAY(B1542)&gt;15,MONTH(B1542)&amp;"-C",MONTH(B1542)&amp;"-N")</f>
        <v>5-N</v>
      </c>
      <c r="W1542" s="21">
        <v>10.292999999999999</v>
      </c>
      <c r="X1542" s="2" t="b">
        <f t="shared" si="999"/>
        <v>1</v>
      </c>
    </row>
    <row r="1543" spans="2:24" x14ac:dyDescent="0.2">
      <c r="B1543" s="17">
        <v>45425</v>
      </c>
      <c r="C1543" s="10" t="s">
        <v>88</v>
      </c>
      <c r="D1543" s="11">
        <v>172711</v>
      </c>
      <c r="E1543" s="26">
        <v>74291</v>
      </c>
      <c r="F1543" s="10" t="s">
        <v>98</v>
      </c>
      <c r="G1543" s="10" t="s">
        <v>46</v>
      </c>
      <c r="H1543" s="27" t="s">
        <v>99</v>
      </c>
      <c r="I1543" s="28"/>
      <c r="J1543" s="12"/>
      <c r="K1543" s="13">
        <v>40</v>
      </c>
      <c r="L1543" s="21">
        <v>11.25</v>
      </c>
      <c r="M1543" s="14" t="s">
        <v>14</v>
      </c>
      <c r="N1543" s="13">
        <v>450</v>
      </c>
      <c r="O1543" s="15">
        <f t="shared" ref="O1543:O1547" si="1000">(N1543/K1543)-L1543</f>
        <v>0</v>
      </c>
      <c r="P1543" s="10" t="s">
        <v>84</v>
      </c>
      <c r="Q1543" s="11" t="s">
        <v>3414</v>
      </c>
      <c r="R1543" s="11" t="s">
        <v>3415</v>
      </c>
      <c r="S1543" s="16" t="s">
        <v>3416</v>
      </c>
      <c r="T1543" s="19" t="str">
        <f>MONTH(B1543)&amp;"-"&amp;YEAR(B1543)</f>
        <v>5-2024</v>
      </c>
      <c r="U1543" s="2">
        <f>YEAR(B1543)</f>
        <v>2024</v>
      </c>
      <c r="V1543" s="2" t="str">
        <f>IF(DAY(B1543)&gt;15,MONTH(B1543)&amp;"-C",MONTH(B1543)&amp;"-N")</f>
        <v>5-N</v>
      </c>
      <c r="W1543" s="21">
        <v>11.25</v>
      </c>
      <c r="X1543" s="2" t="b">
        <f t="shared" ref="X1543:X1547" si="1001">+L1543=W1543</f>
        <v>1</v>
      </c>
    </row>
    <row r="1544" spans="2:24" x14ac:dyDescent="0.2">
      <c r="B1544" s="17">
        <v>45425</v>
      </c>
      <c r="C1544" s="10" t="s">
        <v>88</v>
      </c>
      <c r="D1544" s="11">
        <v>172711</v>
      </c>
      <c r="E1544" s="26">
        <v>74291</v>
      </c>
      <c r="F1544" s="10" t="s">
        <v>100</v>
      </c>
      <c r="G1544" s="10" t="s">
        <v>46</v>
      </c>
      <c r="H1544" s="27" t="s">
        <v>101</v>
      </c>
      <c r="I1544" s="28"/>
      <c r="J1544" s="12"/>
      <c r="K1544" s="13">
        <v>2000</v>
      </c>
      <c r="L1544" s="21">
        <v>13.22</v>
      </c>
      <c r="M1544" s="14" t="s">
        <v>14</v>
      </c>
      <c r="N1544" s="13">
        <v>26440</v>
      </c>
      <c r="O1544" s="15">
        <f t="shared" si="1000"/>
        <v>0</v>
      </c>
      <c r="P1544" s="10" t="s">
        <v>84</v>
      </c>
      <c r="Q1544" s="11" t="s">
        <v>3414</v>
      </c>
      <c r="R1544" s="11" t="s">
        <v>3415</v>
      </c>
      <c r="S1544" s="16" t="s">
        <v>3416</v>
      </c>
      <c r="T1544" s="19" t="str">
        <f>MONTH(B1544)&amp;"-"&amp;YEAR(B1544)</f>
        <v>5-2024</v>
      </c>
      <c r="U1544" s="2">
        <f>YEAR(B1544)</f>
        <v>2024</v>
      </c>
      <c r="V1544" s="2" t="str">
        <f>IF(DAY(B1544)&gt;15,MONTH(B1544)&amp;"-C",MONTH(B1544)&amp;"-N")</f>
        <v>5-N</v>
      </c>
      <c r="W1544" s="21">
        <v>13.22</v>
      </c>
      <c r="X1544" s="2" t="b">
        <f t="shared" si="1001"/>
        <v>1</v>
      </c>
    </row>
    <row r="1545" spans="2:24" x14ac:dyDescent="0.2">
      <c r="B1545" s="17">
        <v>45425</v>
      </c>
      <c r="C1545" s="10" t="s">
        <v>107</v>
      </c>
      <c r="D1545" s="11">
        <v>172677</v>
      </c>
      <c r="E1545" s="26">
        <v>74292</v>
      </c>
      <c r="F1545" s="10" t="s">
        <v>103</v>
      </c>
      <c r="G1545" s="10" t="s">
        <v>46</v>
      </c>
      <c r="H1545" s="27" t="s">
        <v>104</v>
      </c>
      <c r="I1545" s="28"/>
      <c r="J1545" s="12"/>
      <c r="K1545" s="13">
        <v>190</v>
      </c>
      <c r="L1545" s="21">
        <v>47.46</v>
      </c>
      <c r="M1545" s="14" t="s">
        <v>14</v>
      </c>
      <c r="N1545" s="13">
        <v>9017.4</v>
      </c>
      <c r="O1545" s="15">
        <f t="shared" si="1000"/>
        <v>0</v>
      </c>
      <c r="P1545" s="10" t="s">
        <v>84</v>
      </c>
      <c r="Q1545" s="11" t="s">
        <v>3449</v>
      </c>
      <c r="R1545" s="11" t="s">
        <v>3450</v>
      </c>
      <c r="S1545" s="16" t="s">
        <v>3451</v>
      </c>
      <c r="T1545" s="19" t="str">
        <f>MONTH(B1545)&amp;"-"&amp;YEAR(B1545)</f>
        <v>5-2024</v>
      </c>
      <c r="U1545" s="2">
        <f>YEAR(B1545)</f>
        <v>2024</v>
      </c>
      <c r="V1545" s="2" t="str">
        <f>IF(DAY(B1545)&gt;15,MONTH(B1545)&amp;"-C",MONTH(B1545)&amp;"-N")</f>
        <v>5-N</v>
      </c>
      <c r="W1545" s="21">
        <v>47.46</v>
      </c>
      <c r="X1545" s="2" t="b">
        <f t="shared" si="1001"/>
        <v>1</v>
      </c>
    </row>
    <row r="1546" spans="2:24" x14ac:dyDescent="0.2">
      <c r="B1546" s="17">
        <v>45425</v>
      </c>
      <c r="C1546" s="10" t="s">
        <v>107</v>
      </c>
      <c r="D1546" s="11">
        <v>172677</v>
      </c>
      <c r="E1546" s="26">
        <v>74292</v>
      </c>
      <c r="F1546" s="10" t="s">
        <v>105</v>
      </c>
      <c r="G1546" s="10" t="s">
        <v>46</v>
      </c>
      <c r="H1546" s="27" t="s">
        <v>106</v>
      </c>
      <c r="I1546" s="28"/>
      <c r="J1546" s="12"/>
      <c r="K1546" s="13">
        <v>5940</v>
      </c>
      <c r="L1546" s="21">
        <v>11.72</v>
      </c>
      <c r="M1546" s="14" t="s">
        <v>14</v>
      </c>
      <c r="N1546" s="13">
        <v>69616.800000000003</v>
      </c>
      <c r="O1546" s="15">
        <f t="shared" si="1000"/>
        <v>0</v>
      </c>
      <c r="P1546" s="10" t="s">
        <v>84</v>
      </c>
      <c r="Q1546" s="11" t="s">
        <v>3449</v>
      </c>
      <c r="R1546" s="11" t="s">
        <v>3450</v>
      </c>
      <c r="S1546" s="16" t="s">
        <v>3451</v>
      </c>
      <c r="T1546" s="19" t="str">
        <f>MONTH(B1546)&amp;"-"&amp;YEAR(B1546)</f>
        <v>5-2024</v>
      </c>
      <c r="U1546" s="2">
        <f>YEAR(B1546)</f>
        <v>2024</v>
      </c>
      <c r="V1546" s="2" t="str">
        <f>IF(DAY(B1546)&gt;15,MONTH(B1546)&amp;"-C",MONTH(B1546)&amp;"-N")</f>
        <v>5-N</v>
      </c>
      <c r="W1546" s="21">
        <v>11.72</v>
      </c>
      <c r="X1546" s="2" t="b">
        <f t="shared" si="1001"/>
        <v>1</v>
      </c>
    </row>
    <row r="1547" spans="2:24" x14ac:dyDescent="0.2">
      <c r="B1547" s="17">
        <v>45426</v>
      </c>
      <c r="C1547" s="10" t="s">
        <v>25</v>
      </c>
      <c r="D1547" s="11">
        <v>172585</v>
      </c>
      <c r="E1547" s="26">
        <v>74304</v>
      </c>
      <c r="F1547" s="10" t="s">
        <v>26</v>
      </c>
      <c r="G1547" s="10" t="s">
        <v>27</v>
      </c>
      <c r="H1547" s="27" t="s">
        <v>28</v>
      </c>
      <c r="I1547" s="28"/>
      <c r="J1547" s="12"/>
      <c r="K1547" s="13">
        <v>16200</v>
      </c>
      <c r="L1547" s="21">
        <v>3.5</v>
      </c>
      <c r="M1547" s="14" t="s">
        <v>14</v>
      </c>
      <c r="N1547" s="13">
        <v>56700</v>
      </c>
      <c r="O1547" s="15">
        <f t="shared" si="1000"/>
        <v>0</v>
      </c>
      <c r="P1547" s="10" t="s">
        <v>78</v>
      </c>
      <c r="Q1547" s="11" t="s">
        <v>3429</v>
      </c>
      <c r="R1547" s="11" t="s">
        <v>3430</v>
      </c>
      <c r="S1547" s="16" t="s">
        <v>3431</v>
      </c>
      <c r="T1547" s="19" t="str">
        <f>MONTH(B1547)&amp;"-"&amp;YEAR(B1547)</f>
        <v>5-2024</v>
      </c>
      <c r="U1547" s="2">
        <f>YEAR(B1547)</f>
        <v>2024</v>
      </c>
      <c r="V1547" s="2" t="str">
        <f>IF(DAY(B1547)&gt;15,MONTH(B1547)&amp;"-C",MONTH(B1547)&amp;"-N")</f>
        <v>5-N</v>
      </c>
      <c r="W1547" s="21">
        <v>3.5</v>
      </c>
      <c r="X1547" s="2" t="b">
        <f t="shared" si="1001"/>
        <v>1</v>
      </c>
    </row>
    <row r="1548" spans="2:24" x14ac:dyDescent="0.2">
      <c r="B1548" s="17">
        <v>45429</v>
      </c>
      <c r="C1548" s="10" t="s">
        <v>25</v>
      </c>
      <c r="D1548" s="11">
        <v>172585</v>
      </c>
      <c r="E1548" s="26">
        <v>74363</v>
      </c>
      <c r="F1548" s="10" t="s">
        <v>26</v>
      </c>
      <c r="G1548" s="10" t="s">
        <v>27</v>
      </c>
      <c r="H1548" s="27" t="s">
        <v>28</v>
      </c>
      <c r="I1548" s="28"/>
      <c r="J1548" s="12"/>
      <c r="K1548" s="13">
        <v>4500</v>
      </c>
      <c r="L1548" s="21">
        <v>3.5</v>
      </c>
      <c r="M1548" s="14" t="s">
        <v>14</v>
      </c>
      <c r="N1548" s="13">
        <v>15750</v>
      </c>
      <c r="O1548" s="15">
        <f t="shared" ref="O1548" si="1002">(N1548/K1548)-L1548</f>
        <v>0</v>
      </c>
      <c r="P1548" s="10" t="s">
        <v>78</v>
      </c>
      <c r="Q1548" s="11" t="s">
        <v>3435</v>
      </c>
      <c r="R1548" s="11" t="s">
        <v>3436</v>
      </c>
      <c r="S1548" s="16" t="s">
        <v>3437</v>
      </c>
      <c r="T1548" s="19" t="str">
        <f>MONTH(B1548)&amp;"-"&amp;YEAR(B1548)</f>
        <v>5-2024</v>
      </c>
      <c r="U1548" s="2">
        <f>YEAR(B1548)</f>
        <v>2024</v>
      </c>
      <c r="V1548" s="2" t="str">
        <f>IF(DAY(B1548)&gt;15,MONTH(B1548)&amp;"-C",MONTH(B1548)&amp;"-N")</f>
        <v>5-C</v>
      </c>
      <c r="W1548" s="21">
        <v>3.5</v>
      </c>
      <c r="X1548" s="2" t="b">
        <f t="shared" ref="X1548" si="1003">+L1548=W1548</f>
        <v>1</v>
      </c>
    </row>
    <row r="1549" spans="2:24" x14ac:dyDescent="0.2">
      <c r="B1549" s="17">
        <v>45432</v>
      </c>
      <c r="C1549" s="10" t="s">
        <v>25</v>
      </c>
      <c r="D1549" s="11">
        <v>172585</v>
      </c>
      <c r="E1549" s="26">
        <v>74415</v>
      </c>
      <c r="F1549" s="10" t="s">
        <v>26</v>
      </c>
      <c r="G1549" s="10" t="s">
        <v>27</v>
      </c>
      <c r="H1549" s="27" t="s">
        <v>28</v>
      </c>
      <c r="I1549" s="28"/>
      <c r="J1549" s="12"/>
      <c r="K1549" s="13">
        <v>19500</v>
      </c>
      <c r="L1549" s="21">
        <v>3.5</v>
      </c>
      <c r="M1549" s="14" t="s">
        <v>14</v>
      </c>
      <c r="N1549" s="13">
        <v>68250</v>
      </c>
      <c r="O1549" s="15">
        <f t="shared" ref="O1549:O1550" si="1004">(N1549/K1549)-L1549</f>
        <v>0</v>
      </c>
      <c r="P1549" s="10" t="s">
        <v>78</v>
      </c>
      <c r="Q1549" s="11" t="s">
        <v>3432</v>
      </c>
      <c r="R1549" s="11" t="s">
        <v>3433</v>
      </c>
      <c r="S1549" s="16" t="s">
        <v>3434</v>
      </c>
      <c r="T1549" s="19" t="str">
        <f>MONTH(B1549)&amp;"-"&amp;YEAR(B1549)</f>
        <v>5-2024</v>
      </c>
      <c r="U1549" s="2">
        <f>YEAR(B1549)</f>
        <v>2024</v>
      </c>
      <c r="V1549" s="2" t="str">
        <f>IF(DAY(B1549)&gt;15,MONTH(B1549)&amp;"-C",MONTH(B1549)&amp;"-N")</f>
        <v>5-C</v>
      </c>
      <c r="W1549" s="21">
        <v>3.5</v>
      </c>
      <c r="X1549" s="2" t="b">
        <f t="shared" ref="X1549:X1550" si="1005">+L1549=W1549</f>
        <v>1</v>
      </c>
    </row>
    <row r="1550" spans="2:24" x14ac:dyDescent="0.2">
      <c r="B1550" s="17">
        <v>45432</v>
      </c>
      <c r="C1550" s="10" t="s">
        <v>82</v>
      </c>
      <c r="D1550" s="11">
        <v>172807</v>
      </c>
      <c r="E1550" s="26">
        <v>74406</v>
      </c>
      <c r="F1550" s="10" t="s">
        <v>26</v>
      </c>
      <c r="G1550" s="10" t="s">
        <v>27</v>
      </c>
      <c r="H1550" s="27" t="s">
        <v>28</v>
      </c>
      <c r="I1550" s="28"/>
      <c r="J1550" s="12"/>
      <c r="K1550" s="13">
        <v>1440</v>
      </c>
      <c r="L1550" s="21">
        <v>4.1500000000000004</v>
      </c>
      <c r="M1550" s="14" t="s">
        <v>14</v>
      </c>
      <c r="N1550" s="13">
        <v>5976</v>
      </c>
      <c r="O1550" s="15">
        <f t="shared" si="1004"/>
        <v>0</v>
      </c>
      <c r="P1550" s="10" t="s">
        <v>78</v>
      </c>
      <c r="Q1550" s="11" t="s">
        <v>3452</v>
      </c>
      <c r="R1550" s="11" t="s">
        <v>3453</v>
      </c>
      <c r="S1550" s="16" t="s">
        <v>3454</v>
      </c>
      <c r="T1550" s="19" t="str">
        <f>MONTH(B1550)&amp;"-"&amp;YEAR(B1550)</f>
        <v>5-2024</v>
      </c>
      <c r="U1550" s="2">
        <f>YEAR(B1550)</f>
        <v>2024</v>
      </c>
      <c r="V1550" s="2" t="str">
        <f>IF(DAY(B1550)&gt;15,MONTH(B1550)&amp;"-C",MONTH(B1550)&amp;"-N")</f>
        <v>5-C</v>
      </c>
      <c r="W1550" s="21">
        <v>4.1500000000000004</v>
      </c>
      <c r="X1550" s="2" t="b">
        <f t="shared" si="1005"/>
        <v>1</v>
      </c>
    </row>
    <row r="1551" spans="2:24" x14ac:dyDescent="0.2">
      <c r="B1551" s="17">
        <v>45435</v>
      </c>
      <c r="C1551" s="10" t="s">
        <v>48</v>
      </c>
      <c r="D1551" s="11">
        <v>170639</v>
      </c>
      <c r="E1551" s="26">
        <v>74462</v>
      </c>
      <c r="F1551" s="10" t="s">
        <v>135</v>
      </c>
      <c r="G1551" s="10" t="s">
        <v>46</v>
      </c>
      <c r="H1551" s="27" t="s">
        <v>136</v>
      </c>
      <c r="I1551" s="28"/>
      <c r="J1551" s="12"/>
      <c r="K1551" s="13">
        <v>4600</v>
      </c>
      <c r="L1551" s="21">
        <v>10.292999999999999</v>
      </c>
      <c r="M1551" s="14" t="s">
        <v>14</v>
      </c>
      <c r="N1551" s="13">
        <v>47346.879999999997</v>
      </c>
      <c r="O1551" s="15">
        <f t="shared" ref="O1551:O1552" si="1006">(N1551/K1551)-L1551</f>
        <v>-1.9999999999953388E-4</v>
      </c>
      <c r="P1551" s="10" t="s">
        <v>90</v>
      </c>
      <c r="Q1551" s="11" t="s">
        <v>3417</v>
      </c>
      <c r="R1551" s="11" t="s">
        <v>3418</v>
      </c>
      <c r="S1551" s="16" t="s">
        <v>3419</v>
      </c>
      <c r="T1551" s="19" t="str">
        <f>MONTH(B1551)&amp;"-"&amp;YEAR(B1551)</f>
        <v>5-2024</v>
      </c>
      <c r="U1551" s="2">
        <f>YEAR(B1551)</f>
        <v>2024</v>
      </c>
      <c r="V1551" s="2" t="str">
        <f>IF(DAY(B1551)&gt;15,MONTH(B1551)&amp;"-C",MONTH(B1551)&amp;"-N")</f>
        <v>5-C</v>
      </c>
      <c r="W1551" s="21">
        <v>10.292999999999999</v>
      </c>
      <c r="X1551" s="2" t="b">
        <f t="shared" ref="X1551:X1552" si="1007">+L1551=W1551</f>
        <v>1</v>
      </c>
    </row>
    <row r="1552" spans="2:24" x14ac:dyDescent="0.2">
      <c r="B1552" s="17">
        <v>45435</v>
      </c>
      <c r="C1552" s="10" t="s">
        <v>48</v>
      </c>
      <c r="D1552" s="11">
        <v>170639</v>
      </c>
      <c r="E1552" s="26">
        <v>74462</v>
      </c>
      <c r="F1552" s="10" t="s">
        <v>71</v>
      </c>
      <c r="G1552" s="10" t="s">
        <v>46</v>
      </c>
      <c r="H1552" s="27" t="s">
        <v>72</v>
      </c>
      <c r="I1552" s="28"/>
      <c r="J1552" s="12"/>
      <c r="K1552" s="13">
        <v>11400</v>
      </c>
      <c r="L1552" s="21">
        <v>9.7780000000000005</v>
      </c>
      <c r="M1552" s="14" t="s">
        <v>14</v>
      </c>
      <c r="N1552" s="13">
        <v>111471.024</v>
      </c>
      <c r="O1552" s="15">
        <f t="shared" si="1006"/>
        <v>1.5999999999927184E-4</v>
      </c>
      <c r="P1552" s="10" t="s">
        <v>90</v>
      </c>
      <c r="Q1552" s="11" t="s">
        <v>3417</v>
      </c>
      <c r="R1552" s="11" t="s">
        <v>3418</v>
      </c>
      <c r="S1552" s="16" t="s">
        <v>3419</v>
      </c>
      <c r="T1552" s="19" t="str">
        <f>MONTH(B1552)&amp;"-"&amp;YEAR(B1552)</f>
        <v>5-2024</v>
      </c>
      <c r="U1552" s="2">
        <f>YEAR(B1552)</f>
        <v>2024</v>
      </c>
      <c r="V1552" s="2" t="str">
        <f>IF(DAY(B1552)&gt;15,MONTH(B1552)&amp;"-C",MONTH(B1552)&amp;"-N")</f>
        <v>5-C</v>
      </c>
      <c r="W1552" s="21">
        <v>9.7780000000000005</v>
      </c>
      <c r="X1552" s="2" t="b">
        <f t="shared" si="1007"/>
        <v>1</v>
      </c>
    </row>
    <row r="1553" spans="2:24" x14ac:dyDescent="0.2">
      <c r="B1553" s="17">
        <v>45437</v>
      </c>
      <c r="C1553" s="10" t="s">
        <v>82</v>
      </c>
      <c r="D1553" s="11">
        <v>172807</v>
      </c>
      <c r="E1553" s="26">
        <v>74524</v>
      </c>
      <c r="F1553" s="10" t="s">
        <v>26</v>
      </c>
      <c r="G1553" s="10" t="s">
        <v>27</v>
      </c>
      <c r="H1553" s="27" t="s">
        <v>28</v>
      </c>
      <c r="I1553" s="28"/>
      <c r="J1553" s="12"/>
      <c r="K1553" s="13">
        <v>720</v>
      </c>
      <c r="L1553" s="21">
        <v>4.1500000000000004</v>
      </c>
      <c r="M1553" s="14" t="s">
        <v>14</v>
      </c>
      <c r="N1553" s="13">
        <v>2988</v>
      </c>
      <c r="O1553" s="15">
        <f t="shared" ref="O1553" si="1008">(N1553/K1553)-L1553</f>
        <v>0</v>
      </c>
      <c r="P1553" s="10" t="s">
        <v>78</v>
      </c>
      <c r="Q1553" s="11" t="s">
        <v>3423</v>
      </c>
      <c r="R1553" s="11" t="s">
        <v>3424</v>
      </c>
      <c r="S1553" s="16" t="s">
        <v>3425</v>
      </c>
      <c r="T1553" s="19" t="str">
        <f>MONTH(B1553)&amp;"-"&amp;YEAR(B1553)</f>
        <v>5-2024</v>
      </c>
      <c r="U1553" s="2">
        <f>YEAR(B1553)</f>
        <v>2024</v>
      </c>
      <c r="V1553" s="2" t="str">
        <f>IF(DAY(B1553)&gt;15,MONTH(B1553)&amp;"-C",MONTH(B1553)&amp;"-N")</f>
        <v>5-C</v>
      </c>
      <c r="W1553" s="21">
        <v>4.1500000000000004</v>
      </c>
      <c r="X1553" s="2" t="b">
        <f t="shared" ref="X1553" si="1009">+L1553=W1553</f>
        <v>1</v>
      </c>
    </row>
    <row r="1554" spans="2:24" x14ac:dyDescent="0.2">
      <c r="B1554" s="17">
        <v>45438</v>
      </c>
      <c r="C1554" s="10" t="s">
        <v>433</v>
      </c>
      <c r="D1554" s="11">
        <v>172868</v>
      </c>
      <c r="E1554" s="26">
        <v>74521</v>
      </c>
      <c r="F1554" s="10" t="s">
        <v>26</v>
      </c>
      <c r="G1554" s="10" t="s">
        <v>27</v>
      </c>
      <c r="H1554" s="27" t="s">
        <v>28</v>
      </c>
      <c r="I1554" s="28"/>
      <c r="J1554" s="12"/>
      <c r="K1554" s="13">
        <v>7400</v>
      </c>
      <c r="L1554" s="21">
        <v>3.78</v>
      </c>
      <c r="M1554" s="14" t="s">
        <v>14</v>
      </c>
      <c r="N1554" s="13">
        <v>27972</v>
      </c>
      <c r="O1554" s="15">
        <f t="shared" ref="O1554:O1558" si="1010">(N1554/K1554)-L1554</f>
        <v>0</v>
      </c>
      <c r="P1554" s="10" t="s">
        <v>78</v>
      </c>
      <c r="Q1554" s="11" t="s">
        <v>3476</v>
      </c>
      <c r="R1554" s="11" t="s">
        <v>3477</v>
      </c>
      <c r="S1554" s="16" t="s">
        <v>3478</v>
      </c>
      <c r="T1554" s="19" t="str">
        <f>MONTH(B1554)&amp;"-"&amp;YEAR(B1554)</f>
        <v>5-2024</v>
      </c>
      <c r="U1554" s="2">
        <f>YEAR(B1554)</f>
        <v>2024</v>
      </c>
      <c r="V1554" s="2" t="str">
        <f>IF(DAY(B1554)&gt;15,MONTH(B1554)&amp;"-C",MONTH(B1554)&amp;"-N")</f>
        <v>5-C</v>
      </c>
      <c r="W1554" s="21">
        <v>3.78</v>
      </c>
      <c r="X1554" s="2" t="b">
        <f t="shared" ref="X1554:X1558" si="1011">+L1554=W1554</f>
        <v>1</v>
      </c>
    </row>
    <row r="1555" spans="2:24" x14ac:dyDescent="0.2">
      <c r="B1555" s="17">
        <v>45439</v>
      </c>
      <c r="C1555" s="10" t="s">
        <v>82</v>
      </c>
      <c r="D1555" s="11">
        <v>172879</v>
      </c>
      <c r="E1555" s="26">
        <v>74555</v>
      </c>
      <c r="F1555" s="10" t="s">
        <v>3054</v>
      </c>
      <c r="G1555" s="10" t="s">
        <v>27</v>
      </c>
      <c r="H1555" s="27" t="s">
        <v>3055</v>
      </c>
      <c r="I1555" s="28"/>
      <c r="J1555" s="12"/>
      <c r="K1555" s="13">
        <v>1920</v>
      </c>
      <c r="L1555" s="21">
        <v>4.9000000000000004</v>
      </c>
      <c r="M1555" s="14" t="s">
        <v>14</v>
      </c>
      <c r="N1555" s="13">
        <v>9408</v>
      </c>
      <c r="O1555" s="15">
        <f t="shared" si="1010"/>
        <v>0</v>
      </c>
      <c r="P1555" s="10" t="s">
        <v>78</v>
      </c>
      <c r="Q1555" s="11" t="s">
        <v>3470</v>
      </c>
      <c r="R1555" s="11" t="s">
        <v>3471</v>
      </c>
      <c r="S1555" s="16" t="s">
        <v>3472</v>
      </c>
      <c r="T1555" s="19" t="str">
        <f>MONTH(B1555)&amp;"-"&amp;YEAR(B1555)</f>
        <v>5-2024</v>
      </c>
      <c r="U1555" s="2">
        <f>YEAR(B1555)</f>
        <v>2024</v>
      </c>
      <c r="V1555" s="2" t="str">
        <f>IF(DAY(B1555)&gt;15,MONTH(B1555)&amp;"-C",MONTH(B1555)&amp;"-N")</f>
        <v>5-C</v>
      </c>
      <c r="W1555" s="21">
        <v>4.9000000000000004</v>
      </c>
      <c r="X1555" s="2" t="b">
        <f t="shared" si="1011"/>
        <v>1</v>
      </c>
    </row>
    <row r="1556" spans="2:24" x14ac:dyDescent="0.2">
      <c r="B1556" s="17">
        <v>45439</v>
      </c>
      <c r="C1556" s="10" t="s">
        <v>107</v>
      </c>
      <c r="D1556" s="11">
        <v>172866</v>
      </c>
      <c r="E1556" s="26">
        <v>74538</v>
      </c>
      <c r="F1556" s="10" t="s">
        <v>103</v>
      </c>
      <c r="G1556" s="10" t="s">
        <v>46</v>
      </c>
      <c r="H1556" s="27" t="s">
        <v>104</v>
      </c>
      <c r="I1556" s="28"/>
      <c r="J1556" s="12"/>
      <c r="K1556" s="13">
        <v>190</v>
      </c>
      <c r="L1556" s="21">
        <v>47.46</v>
      </c>
      <c r="M1556" s="14" t="s">
        <v>14</v>
      </c>
      <c r="N1556" s="13">
        <v>9017.4</v>
      </c>
      <c r="O1556" s="15">
        <f t="shared" si="1010"/>
        <v>0</v>
      </c>
      <c r="P1556" s="10" t="s">
        <v>84</v>
      </c>
      <c r="Q1556" s="11" t="s">
        <v>3479</v>
      </c>
      <c r="R1556" s="11" t="s">
        <v>3480</v>
      </c>
      <c r="S1556" s="16" t="s">
        <v>3481</v>
      </c>
      <c r="T1556" s="19" t="str">
        <f>MONTH(B1556)&amp;"-"&amp;YEAR(B1556)</f>
        <v>5-2024</v>
      </c>
      <c r="U1556" s="2">
        <f>YEAR(B1556)</f>
        <v>2024</v>
      </c>
      <c r="V1556" s="2" t="str">
        <f>IF(DAY(B1556)&gt;15,MONTH(B1556)&amp;"-C",MONTH(B1556)&amp;"-N")</f>
        <v>5-C</v>
      </c>
      <c r="W1556" s="21">
        <v>47.46</v>
      </c>
      <c r="X1556" s="2" t="b">
        <f t="shared" si="1011"/>
        <v>1</v>
      </c>
    </row>
    <row r="1557" spans="2:24" x14ac:dyDescent="0.2">
      <c r="B1557" s="17">
        <v>45439</v>
      </c>
      <c r="C1557" s="10" t="s">
        <v>107</v>
      </c>
      <c r="D1557" s="11">
        <v>172866</v>
      </c>
      <c r="E1557" s="26">
        <v>74538</v>
      </c>
      <c r="F1557" s="10" t="s">
        <v>105</v>
      </c>
      <c r="G1557" s="10" t="s">
        <v>46</v>
      </c>
      <c r="H1557" s="27" t="s">
        <v>106</v>
      </c>
      <c r="I1557" s="28"/>
      <c r="J1557" s="12"/>
      <c r="K1557" s="13">
        <v>5940</v>
      </c>
      <c r="L1557" s="21">
        <v>11.72</v>
      </c>
      <c r="M1557" s="14" t="s">
        <v>14</v>
      </c>
      <c r="N1557" s="13">
        <v>69616.800000000003</v>
      </c>
      <c r="O1557" s="15">
        <f t="shared" si="1010"/>
        <v>0</v>
      </c>
      <c r="P1557" s="10" t="s">
        <v>84</v>
      </c>
      <c r="Q1557" s="11" t="s">
        <v>3479</v>
      </c>
      <c r="R1557" s="11" t="s">
        <v>3480</v>
      </c>
      <c r="S1557" s="16" t="s">
        <v>3481</v>
      </c>
      <c r="T1557" s="19" t="str">
        <f>MONTH(B1557)&amp;"-"&amp;YEAR(B1557)</f>
        <v>5-2024</v>
      </c>
      <c r="U1557" s="2">
        <f>YEAR(B1557)</f>
        <v>2024</v>
      </c>
      <c r="V1557" s="2" t="str">
        <f>IF(DAY(B1557)&gt;15,MONTH(B1557)&amp;"-C",MONTH(B1557)&amp;"-N")</f>
        <v>5-C</v>
      </c>
      <c r="W1557" s="21">
        <v>11.72</v>
      </c>
      <c r="X1557" s="2" t="b">
        <f t="shared" si="1011"/>
        <v>1</v>
      </c>
    </row>
    <row r="1558" spans="2:24" x14ac:dyDescent="0.2">
      <c r="B1558" s="17">
        <v>45439</v>
      </c>
      <c r="C1558" s="10" t="s">
        <v>94</v>
      </c>
      <c r="D1558" s="11">
        <v>172455</v>
      </c>
      <c r="E1558" s="26">
        <v>74543</v>
      </c>
      <c r="F1558" s="10" t="s">
        <v>26</v>
      </c>
      <c r="G1558" s="10" t="s">
        <v>27</v>
      </c>
      <c r="H1558" s="27" t="s">
        <v>28</v>
      </c>
      <c r="I1558" s="28"/>
      <c r="J1558" s="12"/>
      <c r="K1558" s="13">
        <v>18000</v>
      </c>
      <c r="L1558" s="21">
        <v>3.5</v>
      </c>
      <c r="M1558" s="14" t="s">
        <v>14</v>
      </c>
      <c r="N1558" s="13">
        <v>63000</v>
      </c>
      <c r="O1558" s="15">
        <f t="shared" si="1010"/>
        <v>0</v>
      </c>
      <c r="P1558" s="10" t="s">
        <v>78</v>
      </c>
      <c r="Q1558" s="11" t="s">
        <v>3482</v>
      </c>
      <c r="R1558" s="11" t="s">
        <v>3483</v>
      </c>
      <c r="S1558" s="16" t="s">
        <v>3484</v>
      </c>
      <c r="T1558" s="19" t="str">
        <f>MONTH(B1558)&amp;"-"&amp;YEAR(B1558)</f>
        <v>5-2024</v>
      </c>
      <c r="U1558" s="2">
        <f>YEAR(B1558)</f>
        <v>2024</v>
      </c>
      <c r="V1558" s="2" t="str">
        <f>IF(DAY(B1558)&gt;15,MONTH(B1558)&amp;"-C",MONTH(B1558)&amp;"-N")</f>
        <v>5-C</v>
      </c>
      <c r="W1558" s="21">
        <v>3.5</v>
      </c>
      <c r="X1558" s="2" t="b">
        <f t="shared" si="1011"/>
        <v>1</v>
      </c>
    </row>
    <row r="1559" spans="2:24" x14ac:dyDescent="0.2">
      <c r="B1559" s="17">
        <v>45441</v>
      </c>
      <c r="C1559" s="10" t="s">
        <v>2630</v>
      </c>
      <c r="D1559" s="11">
        <v>172673</v>
      </c>
      <c r="E1559" s="26">
        <v>74595</v>
      </c>
      <c r="F1559" s="10" t="s">
        <v>29</v>
      </c>
      <c r="G1559" s="10" t="s">
        <v>27</v>
      </c>
      <c r="H1559" s="27" t="s">
        <v>30</v>
      </c>
      <c r="I1559" s="28"/>
      <c r="J1559" s="12"/>
      <c r="K1559" s="13">
        <v>1980</v>
      </c>
      <c r="L1559" s="21">
        <v>3.75</v>
      </c>
      <c r="M1559" s="14" t="s">
        <v>14</v>
      </c>
      <c r="N1559" s="13">
        <v>7425</v>
      </c>
      <c r="O1559" s="15">
        <f t="shared" ref="O1559:O1560" si="1012">(N1559/K1559)-L1559</f>
        <v>0</v>
      </c>
      <c r="P1559" s="10" t="s">
        <v>78</v>
      </c>
      <c r="Q1559" s="11" t="s">
        <v>3473</v>
      </c>
      <c r="R1559" s="11" t="s">
        <v>3474</v>
      </c>
      <c r="S1559" s="16" t="s">
        <v>3475</v>
      </c>
      <c r="T1559" s="19" t="str">
        <f>MONTH(B1559)&amp;"-"&amp;YEAR(B1559)</f>
        <v>5-2024</v>
      </c>
      <c r="U1559" s="2">
        <f>YEAR(B1559)</f>
        <v>2024</v>
      </c>
      <c r="V1559" s="2" t="str">
        <f>IF(DAY(B1559)&gt;15,MONTH(B1559)&amp;"-C",MONTH(B1559)&amp;"-N")</f>
        <v>5-C</v>
      </c>
      <c r="W1559" s="21">
        <v>3.75</v>
      </c>
      <c r="X1559" s="2" t="b">
        <f t="shared" ref="X1559:X1560" si="1013">+L1559=W1559</f>
        <v>1</v>
      </c>
    </row>
    <row r="1560" spans="2:24" x14ac:dyDescent="0.2">
      <c r="B1560" s="17">
        <v>45442</v>
      </c>
      <c r="C1560" s="10" t="s">
        <v>73</v>
      </c>
      <c r="D1560" s="11">
        <v>172867</v>
      </c>
      <c r="E1560" s="26">
        <v>74619</v>
      </c>
      <c r="F1560" s="10" t="s">
        <v>399</v>
      </c>
      <c r="G1560" s="10" t="s">
        <v>46</v>
      </c>
      <c r="H1560" s="27" t="s">
        <v>149</v>
      </c>
      <c r="I1560" s="28"/>
      <c r="J1560" s="12"/>
      <c r="K1560" s="13">
        <v>2160</v>
      </c>
      <c r="L1560" s="21">
        <v>16.8</v>
      </c>
      <c r="M1560" s="14" t="s">
        <v>14</v>
      </c>
      <c r="N1560" s="13">
        <v>36288</v>
      </c>
      <c r="O1560" s="15">
        <f t="shared" si="1012"/>
        <v>0</v>
      </c>
      <c r="P1560" s="10" t="s">
        <v>84</v>
      </c>
      <c r="Q1560" s="11" t="s">
        <v>3458</v>
      </c>
      <c r="R1560" s="11" t="s">
        <v>3459</v>
      </c>
      <c r="S1560" s="16" t="s">
        <v>3460</v>
      </c>
      <c r="T1560" s="19" t="str">
        <f>MONTH(B1560)&amp;"-"&amp;YEAR(B1560)</f>
        <v>5-2024</v>
      </c>
      <c r="U1560" s="2">
        <f>YEAR(B1560)</f>
        <v>2024</v>
      </c>
      <c r="V1560" s="2" t="str">
        <f>IF(DAY(B1560)&gt;15,MONTH(B1560)&amp;"-C",MONTH(B1560)&amp;"-N")</f>
        <v>5-C</v>
      </c>
      <c r="W1560" s="21">
        <v>16.8</v>
      </c>
      <c r="X1560" s="2" t="b">
        <f t="shared" si="1013"/>
        <v>1</v>
      </c>
    </row>
    <row r="1561" spans="2:24" x14ac:dyDescent="0.2">
      <c r="B1561" s="17">
        <v>45443</v>
      </c>
      <c r="C1561" s="10" t="s">
        <v>88</v>
      </c>
      <c r="D1561" s="11">
        <v>172899</v>
      </c>
      <c r="E1561" s="26">
        <v>74649</v>
      </c>
      <c r="F1561" s="10" t="s">
        <v>98</v>
      </c>
      <c r="G1561" s="10" t="s">
        <v>46</v>
      </c>
      <c r="H1561" s="27" t="s">
        <v>99</v>
      </c>
      <c r="I1561" s="28"/>
      <c r="J1561" s="12"/>
      <c r="K1561" s="13">
        <v>40</v>
      </c>
      <c r="L1561" s="21">
        <v>11.25</v>
      </c>
      <c r="M1561" s="14" t="s">
        <v>14</v>
      </c>
      <c r="N1561" s="13">
        <v>450</v>
      </c>
      <c r="O1561" s="15">
        <f t="shared" ref="O1561:O1562" si="1014">(N1561/K1561)-L1561</f>
        <v>0</v>
      </c>
      <c r="P1561" s="10" t="s">
        <v>84</v>
      </c>
      <c r="Q1561" s="11" t="s">
        <v>3461</v>
      </c>
      <c r="R1561" s="11" t="s">
        <v>3462</v>
      </c>
      <c r="S1561" s="16" t="s">
        <v>3463</v>
      </c>
      <c r="T1561" s="19" t="str">
        <f>MONTH(B1561)&amp;"-"&amp;YEAR(B1561)</f>
        <v>5-2024</v>
      </c>
      <c r="U1561" s="2">
        <f>YEAR(B1561)</f>
        <v>2024</v>
      </c>
      <c r="V1561" s="2" t="str">
        <f>IF(DAY(B1561)&gt;15,MONTH(B1561)&amp;"-C",MONTH(B1561)&amp;"-N")</f>
        <v>5-C</v>
      </c>
      <c r="W1561" s="21">
        <v>11.25</v>
      </c>
      <c r="X1561" s="2" t="b">
        <f t="shared" ref="X1561:X1562" si="1015">+L1561=W1561</f>
        <v>1</v>
      </c>
    </row>
    <row r="1562" spans="2:24" x14ac:dyDescent="0.2">
      <c r="B1562" s="17">
        <v>45443</v>
      </c>
      <c r="C1562" s="10" t="s">
        <v>88</v>
      </c>
      <c r="D1562" s="11">
        <v>172899</v>
      </c>
      <c r="E1562" s="26">
        <v>74649</v>
      </c>
      <c r="F1562" s="10" t="s">
        <v>100</v>
      </c>
      <c r="G1562" s="10" t="s">
        <v>46</v>
      </c>
      <c r="H1562" s="27" t="s">
        <v>101</v>
      </c>
      <c r="I1562" s="28"/>
      <c r="J1562" s="12"/>
      <c r="K1562" s="13">
        <v>2000</v>
      </c>
      <c r="L1562" s="21">
        <v>13.22</v>
      </c>
      <c r="M1562" s="14" t="s">
        <v>14</v>
      </c>
      <c r="N1562" s="13">
        <v>26440</v>
      </c>
      <c r="O1562" s="15">
        <f t="shared" si="1014"/>
        <v>0</v>
      </c>
      <c r="P1562" s="10" t="s">
        <v>84</v>
      </c>
      <c r="Q1562" s="11" t="s">
        <v>3461</v>
      </c>
      <c r="R1562" s="11" t="s">
        <v>3462</v>
      </c>
      <c r="S1562" s="16" t="s">
        <v>3463</v>
      </c>
      <c r="T1562" s="19" t="str">
        <f>MONTH(B1562)&amp;"-"&amp;YEAR(B1562)</f>
        <v>5-2024</v>
      </c>
      <c r="U1562" s="2">
        <f>YEAR(B1562)</f>
        <v>2024</v>
      </c>
      <c r="V1562" s="2" t="str">
        <f>IF(DAY(B1562)&gt;15,MONTH(B1562)&amp;"-C",MONTH(B1562)&amp;"-N")</f>
        <v>5-C</v>
      </c>
      <c r="W1562" s="21">
        <v>13.22</v>
      </c>
      <c r="X1562" s="2" t="b">
        <f t="shared" si="1015"/>
        <v>1</v>
      </c>
    </row>
    <row r="1563" spans="2:24" x14ac:dyDescent="0.2">
      <c r="B1563" s="17">
        <v>45457</v>
      </c>
      <c r="C1563" s="10" t="s">
        <v>73</v>
      </c>
      <c r="D1563" s="11" t="s">
        <v>3485</v>
      </c>
      <c r="E1563" s="26">
        <v>74883</v>
      </c>
      <c r="F1563" s="10" t="s">
        <v>399</v>
      </c>
      <c r="G1563" s="10" t="s">
        <v>46</v>
      </c>
      <c r="H1563" s="27" t="s">
        <v>149</v>
      </c>
      <c r="I1563" s="28"/>
      <c r="J1563" s="12"/>
      <c r="K1563" s="13">
        <v>2160</v>
      </c>
      <c r="L1563" s="21">
        <v>16.8</v>
      </c>
      <c r="M1563" s="14" t="s">
        <v>14</v>
      </c>
      <c r="N1563" s="13">
        <v>36288</v>
      </c>
      <c r="O1563" s="15">
        <f t="shared" ref="O1563" si="1016">(N1563/K1563)-L1563</f>
        <v>0</v>
      </c>
      <c r="P1563" s="10" t="s">
        <v>84</v>
      </c>
      <c r="Q1563" s="11" t="s">
        <v>3486</v>
      </c>
      <c r="R1563" s="11" t="s">
        <v>3487</v>
      </c>
      <c r="S1563" s="16" t="s">
        <v>3488</v>
      </c>
      <c r="T1563" s="19" t="str">
        <f>MONTH(B1563)&amp;"-"&amp;YEAR(B1563)</f>
        <v>6-2024</v>
      </c>
      <c r="U1563" s="2">
        <f>YEAR(B1563)</f>
        <v>2024</v>
      </c>
      <c r="V1563" s="2" t="str">
        <f>IF(DAY(B1563)&gt;15,MONTH(B1563)&amp;"-C",MONTH(B1563)&amp;"-N")</f>
        <v>6-N</v>
      </c>
      <c r="W1563" s="21">
        <v>16.8</v>
      </c>
      <c r="X1563" s="2" t="b">
        <f t="shared" ref="X1563" si="1017">+L1563=W1563</f>
        <v>1</v>
      </c>
    </row>
    <row r="1564" spans="2:24" x14ac:dyDescent="0.2">
      <c r="B1564" s="17">
        <v>45470</v>
      </c>
      <c r="C1564" s="10" t="s">
        <v>25</v>
      </c>
      <c r="D1564" s="11" t="s">
        <v>3489</v>
      </c>
      <c r="E1564" s="26">
        <v>75091</v>
      </c>
      <c r="F1564" s="10" t="s">
        <v>26</v>
      </c>
      <c r="G1564" s="10" t="s">
        <v>27</v>
      </c>
      <c r="H1564" s="27" t="s">
        <v>28</v>
      </c>
      <c r="I1564" s="28"/>
      <c r="J1564" s="12"/>
      <c r="K1564" s="13">
        <v>18000</v>
      </c>
      <c r="L1564" s="21">
        <v>3.45</v>
      </c>
      <c r="M1564" s="14" t="s">
        <v>14</v>
      </c>
      <c r="N1564" s="13">
        <v>62100</v>
      </c>
      <c r="O1564" s="15">
        <f t="shared" ref="O1564:O1579" si="1018">(N1564/K1564)-L1564</f>
        <v>0</v>
      </c>
      <c r="P1564" s="10" t="s">
        <v>81</v>
      </c>
      <c r="Q1564" s="11" t="s">
        <v>3490</v>
      </c>
      <c r="R1564" s="11" t="s">
        <v>3491</v>
      </c>
      <c r="S1564" s="16" t="s">
        <v>3492</v>
      </c>
      <c r="T1564" s="19" t="str">
        <f>MONTH(B1564)&amp;"-"&amp;YEAR(B1564)</f>
        <v>6-2024</v>
      </c>
      <c r="U1564" s="2">
        <f>YEAR(B1564)</f>
        <v>2024</v>
      </c>
      <c r="V1564" s="2" t="str">
        <f>IF(DAY(B1564)&gt;15,MONTH(B1564)&amp;"-C",MONTH(B1564)&amp;"-N")</f>
        <v>6-C</v>
      </c>
      <c r="W1564" s="21">
        <v>3.45</v>
      </c>
      <c r="X1564" s="2" t="b">
        <f t="shared" ref="X1564:X1579" si="1019">+L1564=W1564</f>
        <v>1</v>
      </c>
    </row>
    <row r="1565" spans="2:24" x14ac:dyDescent="0.2">
      <c r="B1565" s="17">
        <v>45450</v>
      </c>
      <c r="C1565" s="10" t="s">
        <v>94</v>
      </c>
      <c r="D1565" s="11" t="s">
        <v>3493</v>
      </c>
      <c r="E1565" s="26">
        <v>74757</v>
      </c>
      <c r="F1565" s="10" t="s">
        <v>26</v>
      </c>
      <c r="G1565" s="10" t="s">
        <v>27</v>
      </c>
      <c r="H1565" s="27" t="s">
        <v>28</v>
      </c>
      <c r="I1565" s="28"/>
      <c r="J1565" s="12"/>
      <c r="K1565" s="13">
        <v>19800</v>
      </c>
      <c r="L1565" s="21">
        <v>3.45</v>
      </c>
      <c r="M1565" s="14" t="s">
        <v>14</v>
      </c>
      <c r="N1565" s="13">
        <v>68310</v>
      </c>
      <c r="O1565" s="15">
        <f t="shared" si="1018"/>
        <v>0</v>
      </c>
      <c r="P1565" s="10" t="s">
        <v>78</v>
      </c>
      <c r="Q1565" s="11" t="s">
        <v>3494</v>
      </c>
      <c r="R1565" s="11" t="s">
        <v>3495</v>
      </c>
      <c r="S1565" s="16" t="s">
        <v>3496</v>
      </c>
      <c r="T1565" s="19" t="str">
        <f>MONTH(B1565)&amp;"-"&amp;YEAR(B1565)</f>
        <v>6-2024</v>
      </c>
      <c r="U1565" s="2">
        <f>YEAR(B1565)</f>
        <v>2024</v>
      </c>
      <c r="V1565" s="2" t="str">
        <f>IF(DAY(B1565)&gt;15,MONTH(B1565)&amp;"-C",MONTH(B1565)&amp;"-N")</f>
        <v>6-N</v>
      </c>
      <c r="W1565" s="21">
        <v>3.45</v>
      </c>
      <c r="X1565" s="2" t="b">
        <f t="shared" si="1019"/>
        <v>1</v>
      </c>
    </row>
    <row r="1566" spans="2:24" x14ac:dyDescent="0.2">
      <c r="B1566" s="17">
        <v>45444</v>
      </c>
      <c r="C1566" s="10" t="s">
        <v>94</v>
      </c>
      <c r="D1566" s="11" t="s">
        <v>3497</v>
      </c>
      <c r="E1566" s="26">
        <v>74685</v>
      </c>
      <c r="F1566" s="10" t="s">
        <v>26</v>
      </c>
      <c r="G1566" s="10" t="s">
        <v>27</v>
      </c>
      <c r="H1566" s="27" t="s">
        <v>28</v>
      </c>
      <c r="I1566" s="28"/>
      <c r="J1566" s="12"/>
      <c r="K1566" s="13">
        <v>2700</v>
      </c>
      <c r="L1566" s="21">
        <v>3.5</v>
      </c>
      <c r="M1566" s="14" t="s">
        <v>14</v>
      </c>
      <c r="N1566" s="13">
        <v>9450</v>
      </c>
      <c r="O1566" s="15">
        <f t="shared" si="1018"/>
        <v>0</v>
      </c>
      <c r="P1566" s="10" t="s">
        <v>78</v>
      </c>
      <c r="Q1566" s="11" t="s">
        <v>3498</v>
      </c>
      <c r="R1566" s="11" t="s">
        <v>3499</v>
      </c>
      <c r="S1566" s="16" t="s">
        <v>3500</v>
      </c>
      <c r="T1566" s="19" t="str">
        <f>MONTH(B1566)&amp;"-"&amp;YEAR(B1566)</f>
        <v>6-2024</v>
      </c>
      <c r="U1566" s="2">
        <f>YEAR(B1566)</f>
        <v>2024</v>
      </c>
      <c r="V1566" s="2" t="str">
        <f>IF(DAY(B1566)&gt;15,MONTH(B1566)&amp;"-C",MONTH(B1566)&amp;"-N")</f>
        <v>6-N</v>
      </c>
      <c r="W1566" s="21">
        <v>3.5</v>
      </c>
      <c r="X1566" s="2" t="b">
        <f t="shared" si="1019"/>
        <v>1</v>
      </c>
    </row>
    <row r="1567" spans="2:24" x14ac:dyDescent="0.2">
      <c r="B1567" s="17">
        <v>45456</v>
      </c>
      <c r="C1567" s="10" t="s">
        <v>94</v>
      </c>
      <c r="D1567" s="11" t="s">
        <v>3493</v>
      </c>
      <c r="E1567" s="26">
        <v>74868</v>
      </c>
      <c r="F1567" s="10" t="s">
        <v>26</v>
      </c>
      <c r="G1567" s="10" t="s">
        <v>27</v>
      </c>
      <c r="H1567" s="27" t="s">
        <v>28</v>
      </c>
      <c r="I1567" s="28"/>
      <c r="J1567" s="12"/>
      <c r="K1567" s="13">
        <v>19800</v>
      </c>
      <c r="L1567" s="21">
        <v>3.45</v>
      </c>
      <c r="M1567" s="14" t="s">
        <v>14</v>
      </c>
      <c r="N1567" s="13">
        <v>68310</v>
      </c>
      <c r="O1567" s="15">
        <f t="shared" si="1018"/>
        <v>0</v>
      </c>
      <c r="P1567" s="10" t="s">
        <v>78</v>
      </c>
      <c r="Q1567" s="11" t="s">
        <v>3501</v>
      </c>
      <c r="R1567" s="11" t="s">
        <v>3502</v>
      </c>
      <c r="S1567" s="16" t="s">
        <v>3503</v>
      </c>
      <c r="T1567" s="19" t="str">
        <f>MONTH(B1567)&amp;"-"&amp;YEAR(B1567)</f>
        <v>6-2024</v>
      </c>
      <c r="U1567" s="2">
        <f>YEAR(B1567)</f>
        <v>2024</v>
      </c>
      <c r="V1567" s="2" t="str">
        <f>IF(DAY(B1567)&gt;15,MONTH(B1567)&amp;"-C",MONTH(B1567)&amp;"-N")</f>
        <v>6-N</v>
      </c>
      <c r="W1567" s="21">
        <v>3.45</v>
      </c>
      <c r="X1567" s="2" t="b">
        <f t="shared" si="1019"/>
        <v>1</v>
      </c>
    </row>
    <row r="1568" spans="2:24" x14ac:dyDescent="0.2">
      <c r="B1568" s="17">
        <v>45461</v>
      </c>
      <c r="C1568" s="10" t="s">
        <v>94</v>
      </c>
      <c r="D1568" s="11" t="s">
        <v>3493</v>
      </c>
      <c r="E1568" s="26">
        <v>74931</v>
      </c>
      <c r="F1568" s="10" t="s">
        <v>26</v>
      </c>
      <c r="G1568" s="10" t="s">
        <v>27</v>
      </c>
      <c r="H1568" s="27" t="s">
        <v>28</v>
      </c>
      <c r="I1568" s="28"/>
      <c r="J1568" s="12"/>
      <c r="K1568" s="13">
        <v>18000</v>
      </c>
      <c r="L1568" s="21">
        <v>3.45</v>
      </c>
      <c r="M1568" s="14" t="s">
        <v>14</v>
      </c>
      <c r="N1568" s="13">
        <v>62100</v>
      </c>
      <c r="O1568" s="15">
        <f t="shared" si="1018"/>
        <v>0</v>
      </c>
      <c r="P1568" s="10" t="s">
        <v>78</v>
      </c>
      <c r="Q1568" s="11" t="s">
        <v>3504</v>
      </c>
      <c r="R1568" s="11" t="s">
        <v>3505</v>
      </c>
      <c r="S1568" s="16" t="s">
        <v>3506</v>
      </c>
      <c r="T1568" s="19" t="str">
        <f>MONTH(B1568)&amp;"-"&amp;YEAR(B1568)</f>
        <v>6-2024</v>
      </c>
      <c r="U1568" s="2">
        <f>YEAR(B1568)</f>
        <v>2024</v>
      </c>
      <c r="V1568" s="2" t="str">
        <f>IF(DAY(B1568)&gt;15,MONTH(B1568)&amp;"-C",MONTH(B1568)&amp;"-N")</f>
        <v>6-C</v>
      </c>
      <c r="W1568" s="21">
        <v>3.45</v>
      </c>
      <c r="X1568" s="2" t="b">
        <f t="shared" si="1019"/>
        <v>1</v>
      </c>
    </row>
    <row r="1569" spans="2:24" x14ac:dyDescent="0.2">
      <c r="B1569" s="17">
        <v>45466</v>
      </c>
      <c r="C1569" s="10" t="s">
        <v>94</v>
      </c>
      <c r="D1569" s="11" t="s">
        <v>3493</v>
      </c>
      <c r="E1569" s="26">
        <v>75007</v>
      </c>
      <c r="F1569" s="10" t="s">
        <v>26</v>
      </c>
      <c r="G1569" s="10" t="s">
        <v>27</v>
      </c>
      <c r="H1569" s="27" t="s">
        <v>28</v>
      </c>
      <c r="I1569" s="28"/>
      <c r="J1569" s="12"/>
      <c r="K1569" s="13">
        <v>19800</v>
      </c>
      <c r="L1569" s="21">
        <v>3.45</v>
      </c>
      <c r="M1569" s="14" t="s">
        <v>14</v>
      </c>
      <c r="N1569" s="13">
        <v>68310</v>
      </c>
      <c r="O1569" s="15">
        <f t="shared" si="1018"/>
        <v>0</v>
      </c>
      <c r="P1569" s="10" t="s">
        <v>78</v>
      </c>
      <c r="Q1569" s="11" t="s">
        <v>3507</v>
      </c>
      <c r="R1569" s="11" t="s">
        <v>3508</v>
      </c>
      <c r="S1569" s="16" t="s">
        <v>3509</v>
      </c>
      <c r="T1569" s="19" t="str">
        <f>MONTH(B1569)&amp;"-"&amp;YEAR(B1569)</f>
        <v>6-2024</v>
      </c>
      <c r="U1569" s="2">
        <f>YEAR(B1569)</f>
        <v>2024</v>
      </c>
      <c r="V1569" s="2" t="str">
        <f>IF(DAY(B1569)&gt;15,MONTH(B1569)&amp;"-C",MONTH(B1569)&amp;"-N")</f>
        <v>6-C</v>
      </c>
      <c r="W1569" s="21">
        <v>3.45</v>
      </c>
      <c r="X1569" s="2" t="b">
        <f t="shared" si="1019"/>
        <v>1</v>
      </c>
    </row>
    <row r="1570" spans="2:24" x14ac:dyDescent="0.2">
      <c r="B1570" s="17">
        <v>45455</v>
      </c>
      <c r="C1570" s="10" t="s">
        <v>107</v>
      </c>
      <c r="D1570" s="11" t="s">
        <v>3510</v>
      </c>
      <c r="E1570" s="26">
        <v>74843</v>
      </c>
      <c r="F1570" s="10" t="s">
        <v>142</v>
      </c>
      <c r="G1570" s="10" t="s">
        <v>46</v>
      </c>
      <c r="H1570" s="27" t="s">
        <v>143</v>
      </c>
      <c r="I1570" s="28"/>
      <c r="J1570" s="12"/>
      <c r="K1570" s="13">
        <v>2200</v>
      </c>
      <c r="L1570" s="21">
        <v>10.08</v>
      </c>
      <c r="M1570" s="14" t="s">
        <v>14</v>
      </c>
      <c r="N1570" s="13">
        <v>22176</v>
      </c>
      <c r="O1570" s="15">
        <f t="shared" si="1018"/>
        <v>0</v>
      </c>
      <c r="P1570" s="10" t="s">
        <v>84</v>
      </c>
      <c r="Q1570" s="11" t="s">
        <v>3511</v>
      </c>
      <c r="R1570" s="11" t="s">
        <v>3512</v>
      </c>
      <c r="S1570" s="16" t="s">
        <v>3513</v>
      </c>
      <c r="T1570" s="19" t="str">
        <f>MONTH(B1570)&amp;"-"&amp;YEAR(B1570)</f>
        <v>6-2024</v>
      </c>
      <c r="U1570" s="2">
        <f>YEAR(B1570)</f>
        <v>2024</v>
      </c>
      <c r="V1570" s="2" t="str">
        <f>IF(DAY(B1570)&gt;15,MONTH(B1570)&amp;"-C",MONTH(B1570)&amp;"-N")</f>
        <v>6-N</v>
      </c>
      <c r="W1570" s="21">
        <v>10.08</v>
      </c>
      <c r="X1570" s="2" t="b">
        <f t="shared" si="1019"/>
        <v>1</v>
      </c>
    </row>
    <row r="1571" spans="2:24" x14ac:dyDescent="0.2">
      <c r="B1571" s="17">
        <v>45455</v>
      </c>
      <c r="C1571" s="10" t="s">
        <v>107</v>
      </c>
      <c r="D1571" s="11" t="s">
        <v>3510</v>
      </c>
      <c r="E1571" s="26">
        <v>74843</v>
      </c>
      <c r="F1571" s="10" t="s">
        <v>2882</v>
      </c>
      <c r="G1571" s="10" t="s">
        <v>46</v>
      </c>
      <c r="H1571" s="27" t="s">
        <v>2883</v>
      </c>
      <c r="I1571" s="28"/>
      <c r="J1571" s="12"/>
      <c r="K1571" s="13">
        <v>440</v>
      </c>
      <c r="L1571" s="21">
        <v>11.11</v>
      </c>
      <c r="M1571" s="14" t="s">
        <v>14</v>
      </c>
      <c r="N1571" s="13">
        <v>4888.3999999999996</v>
      </c>
      <c r="O1571" s="15">
        <f t="shared" si="1018"/>
        <v>0</v>
      </c>
      <c r="P1571" s="10" t="s">
        <v>84</v>
      </c>
      <c r="Q1571" s="11" t="s">
        <v>3511</v>
      </c>
      <c r="R1571" s="11" t="s">
        <v>3512</v>
      </c>
      <c r="S1571" s="16" t="s">
        <v>3513</v>
      </c>
      <c r="T1571" s="19" t="str">
        <f>MONTH(B1571)&amp;"-"&amp;YEAR(B1571)</f>
        <v>6-2024</v>
      </c>
      <c r="U1571" s="2">
        <f>YEAR(B1571)</f>
        <v>2024</v>
      </c>
      <c r="V1571" s="2" t="str">
        <f>IF(DAY(B1571)&gt;15,MONTH(B1571)&amp;"-C",MONTH(B1571)&amp;"-N")</f>
        <v>6-N</v>
      </c>
      <c r="W1571" s="21">
        <v>11.11</v>
      </c>
      <c r="X1571" s="2" t="b">
        <f t="shared" si="1019"/>
        <v>1</v>
      </c>
    </row>
    <row r="1572" spans="2:24" x14ac:dyDescent="0.2">
      <c r="B1572" s="17">
        <v>45468</v>
      </c>
      <c r="C1572" s="10" t="s">
        <v>107</v>
      </c>
      <c r="D1572" s="11" t="s">
        <v>3514</v>
      </c>
      <c r="E1572" s="26">
        <v>75048</v>
      </c>
      <c r="F1572" s="10" t="s">
        <v>103</v>
      </c>
      <c r="G1572" s="10" t="s">
        <v>46</v>
      </c>
      <c r="H1572" s="27" t="s">
        <v>104</v>
      </c>
      <c r="I1572" s="28"/>
      <c r="J1572" s="12"/>
      <c r="K1572" s="13">
        <v>190</v>
      </c>
      <c r="L1572" s="21">
        <v>47.46</v>
      </c>
      <c r="M1572" s="14" t="s">
        <v>14</v>
      </c>
      <c r="N1572" s="13">
        <v>9017.4</v>
      </c>
      <c r="O1572" s="15">
        <f t="shared" si="1018"/>
        <v>0</v>
      </c>
      <c r="P1572" s="10" t="s">
        <v>84</v>
      </c>
      <c r="Q1572" s="11" t="s">
        <v>3515</v>
      </c>
      <c r="R1572" s="11" t="s">
        <v>3516</v>
      </c>
      <c r="S1572" s="16" t="s">
        <v>3517</v>
      </c>
      <c r="T1572" s="19" t="str">
        <f>MONTH(B1572)&amp;"-"&amp;YEAR(B1572)</f>
        <v>6-2024</v>
      </c>
      <c r="U1572" s="2">
        <f>YEAR(B1572)</f>
        <v>2024</v>
      </c>
      <c r="V1572" s="2" t="str">
        <f>IF(DAY(B1572)&gt;15,MONTH(B1572)&amp;"-C",MONTH(B1572)&amp;"-N")</f>
        <v>6-C</v>
      </c>
      <c r="W1572" s="21">
        <v>47.46</v>
      </c>
      <c r="X1572" s="2" t="b">
        <f t="shared" si="1019"/>
        <v>1</v>
      </c>
    </row>
    <row r="1573" spans="2:24" x14ac:dyDescent="0.2">
      <c r="B1573" s="17">
        <v>45468</v>
      </c>
      <c r="C1573" s="10" t="s">
        <v>107</v>
      </c>
      <c r="D1573" s="11" t="s">
        <v>3514</v>
      </c>
      <c r="E1573" s="26">
        <v>75048</v>
      </c>
      <c r="F1573" s="10" t="s">
        <v>105</v>
      </c>
      <c r="G1573" s="10" t="s">
        <v>46</v>
      </c>
      <c r="H1573" s="27" t="s">
        <v>106</v>
      </c>
      <c r="I1573" s="28"/>
      <c r="J1573" s="12"/>
      <c r="K1573" s="13">
        <v>5940</v>
      </c>
      <c r="L1573" s="21">
        <v>11.72</v>
      </c>
      <c r="M1573" s="14" t="s">
        <v>14</v>
      </c>
      <c r="N1573" s="13">
        <v>69616.800000000003</v>
      </c>
      <c r="O1573" s="15">
        <f t="shared" si="1018"/>
        <v>0</v>
      </c>
      <c r="P1573" s="10" t="s">
        <v>84</v>
      </c>
      <c r="Q1573" s="11" t="s">
        <v>3515</v>
      </c>
      <c r="R1573" s="11" t="s">
        <v>3516</v>
      </c>
      <c r="S1573" s="16" t="s">
        <v>3517</v>
      </c>
      <c r="T1573" s="19" t="str">
        <f>MONTH(B1573)&amp;"-"&amp;YEAR(B1573)</f>
        <v>6-2024</v>
      </c>
      <c r="U1573" s="2">
        <f>YEAR(B1573)</f>
        <v>2024</v>
      </c>
      <c r="V1573" s="2" t="str">
        <f>IF(DAY(B1573)&gt;15,MONTH(B1573)&amp;"-C",MONTH(B1573)&amp;"-N")</f>
        <v>6-C</v>
      </c>
      <c r="W1573" s="21">
        <v>11.72</v>
      </c>
      <c r="X1573" s="2" t="b">
        <f t="shared" si="1019"/>
        <v>1</v>
      </c>
    </row>
    <row r="1574" spans="2:24" x14ac:dyDescent="0.2">
      <c r="B1574" s="17">
        <v>45460</v>
      </c>
      <c r="C1574" s="10" t="s">
        <v>82</v>
      </c>
      <c r="D1574" s="11" t="s">
        <v>3518</v>
      </c>
      <c r="E1574" s="26">
        <v>74915</v>
      </c>
      <c r="F1574" s="10" t="s">
        <v>26</v>
      </c>
      <c r="G1574" s="10" t="s">
        <v>27</v>
      </c>
      <c r="H1574" s="27" t="s">
        <v>28</v>
      </c>
      <c r="I1574" s="28"/>
      <c r="J1574" s="12"/>
      <c r="K1574" s="13">
        <v>3600</v>
      </c>
      <c r="L1574" s="21">
        <v>3.45</v>
      </c>
      <c r="M1574" s="14" t="s">
        <v>14</v>
      </c>
      <c r="N1574" s="13">
        <v>12420</v>
      </c>
      <c r="O1574" s="15">
        <f t="shared" si="1018"/>
        <v>0</v>
      </c>
      <c r="P1574" s="10" t="s">
        <v>78</v>
      </c>
      <c r="Q1574" s="11" t="s">
        <v>3519</v>
      </c>
      <c r="R1574" s="11" t="s">
        <v>3520</v>
      </c>
      <c r="S1574" s="16" t="s">
        <v>3521</v>
      </c>
      <c r="T1574" s="19" t="str">
        <f>MONTH(B1574)&amp;"-"&amp;YEAR(B1574)</f>
        <v>6-2024</v>
      </c>
      <c r="U1574" s="2">
        <f>YEAR(B1574)</f>
        <v>2024</v>
      </c>
      <c r="V1574" s="2" t="str">
        <f>IF(DAY(B1574)&gt;15,MONTH(B1574)&amp;"-C",MONTH(B1574)&amp;"-N")</f>
        <v>6-C</v>
      </c>
      <c r="W1574" s="21">
        <v>3.45</v>
      </c>
      <c r="X1574" s="2" t="b">
        <f t="shared" si="1019"/>
        <v>1</v>
      </c>
    </row>
    <row r="1575" spans="2:24" x14ac:dyDescent="0.2">
      <c r="B1575" s="17">
        <v>45463</v>
      </c>
      <c r="C1575" s="10" t="s">
        <v>82</v>
      </c>
      <c r="D1575" s="11" t="s">
        <v>3522</v>
      </c>
      <c r="E1575" s="26">
        <v>74955</v>
      </c>
      <c r="F1575" s="10" t="s">
        <v>3054</v>
      </c>
      <c r="G1575" s="10" t="s">
        <v>27</v>
      </c>
      <c r="H1575" s="27" t="s">
        <v>3055</v>
      </c>
      <c r="I1575" s="28"/>
      <c r="J1575" s="12"/>
      <c r="K1575" s="13">
        <v>1280</v>
      </c>
      <c r="L1575" s="21">
        <v>4.9000000000000004</v>
      </c>
      <c r="M1575" s="14" t="s">
        <v>14</v>
      </c>
      <c r="N1575" s="13">
        <v>6272</v>
      </c>
      <c r="O1575" s="15">
        <f t="shared" si="1018"/>
        <v>0</v>
      </c>
      <c r="P1575" s="10" t="s">
        <v>78</v>
      </c>
      <c r="Q1575" s="11" t="s">
        <v>3523</v>
      </c>
      <c r="R1575" s="11" t="s">
        <v>3524</v>
      </c>
      <c r="S1575" s="16" t="s">
        <v>3525</v>
      </c>
      <c r="T1575" s="19" t="str">
        <f>MONTH(B1575)&amp;"-"&amp;YEAR(B1575)</f>
        <v>6-2024</v>
      </c>
      <c r="U1575" s="2">
        <f>YEAR(B1575)</f>
        <v>2024</v>
      </c>
      <c r="V1575" s="2" t="str">
        <f>IF(DAY(B1575)&gt;15,MONTH(B1575)&amp;"-C",MONTH(B1575)&amp;"-N")</f>
        <v>6-C</v>
      </c>
      <c r="W1575" s="21">
        <v>4.9000000000000004</v>
      </c>
      <c r="X1575" s="2" t="b">
        <f t="shared" si="1019"/>
        <v>1</v>
      </c>
    </row>
    <row r="1576" spans="2:24" x14ac:dyDescent="0.2">
      <c r="B1576" s="17">
        <v>45463</v>
      </c>
      <c r="C1576" s="10" t="s">
        <v>82</v>
      </c>
      <c r="D1576" s="11" t="s">
        <v>3526</v>
      </c>
      <c r="E1576" s="26">
        <v>74955</v>
      </c>
      <c r="F1576" s="10" t="s">
        <v>33</v>
      </c>
      <c r="G1576" s="10" t="s">
        <v>27</v>
      </c>
      <c r="H1576" s="27" t="s">
        <v>34</v>
      </c>
      <c r="I1576" s="28"/>
      <c r="J1576" s="12"/>
      <c r="K1576" s="13">
        <v>2160</v>
      </c>
      <c r="L1576" s="21">
        <v>5.75</v>
      </c>
      <c r="M1576" s="14" t="s">
        <v>14</v>
      </c>
      <c r="N1576" s="13">
        <v>12420</v>
      </c>
      <c r="O1576" s="15">
        <f t="shared" si="1018"/>
        <v>0</v>
      </c>
      <c r="P1576" s="10" t="s">
        <v>78</v>
      </c>
      <c r="Q1576" s="11" t="s">
        <v>3523</v>
      </c>
      <c r="R1576" s="11" t="s">
        <v>3524</v>
      </c>
      <c r="S1576" s="16" t="s">
        <v>3525</v>
      </c>
      <c r="T1576" s="19" t="str">
        <f>MONTH(B1576)&amp;"-"&amp;YEAR(B1576)</f>
        <v>6-2024</v>
      </c>
      <c r="U1576" s="2">
        <f>YEAR(B1576)</f>
        <v>2024</v>
      </c>
      <c r="V1576" s="2" t="str">
        <f>IF(DAY(B1576)&gt;15,MONTH(B1576)&amp;"-C",MONTH(B1576)&amp;"-N")</f>
        <v>6-C</v>
      </c>
      <c r="W1576" s="21">
        <v>5.75</v>
      </c>
      <c r="X1576" s="2" t="b">
        <f t="shared" si="1019"/>
        <v>1</v>
      </c>
    </row>
    <row r="1577" spans="2:24" x14ac:dyDescent="0.2">
      <c r="B1577" s="17">
        <v>45445</v>
      </c>
      <c r="C1577" s="10" t="s">
        <v>94</v>
      </c>
      <c r="D1577" s="11" t="s">
        <v>3493</v>
      </c>
      <c r="E1577" s="26">
        <v>74686</v>
      </c>
      <c r="F1577" s="10" t="s">
        <v>26</v>
      </c>
      <c r="G1577" s="10" t="s">
        <v>27</v>
      </c>
      <c r="H1577" s="27" t="s">
        <v>28</v>
      </c>
      <c r="I1577" s="28"/>
      <c r="J1577" s="12"/>
      <c r="K1577" s="13">
        <v>16200</v>
      </c>
      <c r="L1577" s="21">
        <v>3.45</v>
      </c>
      <c r="M1577" s="14" t="s">
        <v>14</v>
      </c>
      <c r="N1577" s="13">
        <v>55890</v>
      </c>
      <c r="O1577" s="15">
        <f t="shared" si="1018"/>
        <v>0</v>
      </c>
      <c r="P1577" s="10" t="s">
        <v>78</v>
      </c>
      <c r="Q1577" s="11" t="s">
        <v>3527</v>
      </c>
      <c r="R1577" s="11" t="s">
        <v>3528</v>
      </c>
      <c r="S1577" s="16" t="s">
        <v>3529</v>
      </c>
      <c r="T1577" s="19" t="str">
        <f>MONTH(B1577)&amp;"-"&amp;YEAR(B1577)</f>
        <v>6-2024</v>
      </c>
      <c r="U1577" s="2">
        <f>YEAR(B1577)</f>
        <v>2024</v>
      </c>
      <c r="V1577" s="2" t="str">
        <f>IF(DAY(B1577)&gt;15,MONTH(B1577)&amp;"-C",MONTH(B1577)&amp;"-N")</f>
        <v>6-N</v>
      </c>
      <c r="W1577" s="21">
        <v>3.45</v>
      </c>
      <c r="X1577" s="2" t="b">
        <f t="shared" si="1019"/>
        <v>1</v>
      </c>
    </row>
    <row r="1578" spans="2:24" x14ac:dyDescent="0.2">
      <c r="B1578" s="17">
        <v>45451</v>
      </c>
      <c r="C1578" s="10" t="s">
        <v>82</v>
      </c>
      <c r="D1578" s="11" t="s">
        <v>3530</v>
      </c>
      <c r="E1578" s="26">
        <v>74773</v>
      </c>
      <c r="F1578" s="10" t="s">
        <v>33</v>
      </c>
      <c r="G1578" s="10" t="s">
        <v>27</v>
      </c>
      <c r="H1578" s="27" t="s">
        <v>34</v>
      </c>
      <c r="I1578" s="28"/>
      <c r="J1578" s="12"/>
      <c r="K1578" s="13">
        <v>1440</v>
      </c>
      <c r="L1578" s="21">
        <v>5.75</v>
      </c>
      <c r="M1578" s="14" t="s">
        <v>14</v>
      </c>
      <c r="N1578" s="13">
        <v>8280</v>
      </c>
      <c r="O1578" s="15">
        <f t="shared" si="1018"/>
        <v>0</v>
      </c>
      <c r="P1578" s="10" t="s">
        <v>78</v>
      </c>
      <c r="Q1578" s="11" t="s">
        <v>3531</v>
      </c>
      <c r="R1578" s="11" t="s">
        <v>3532</v>
      </c>
      <c r="S1578" s="16" t="s">
        <v>3533</v>
      </c>
      <c r="T1578" s="19" t="str">
        <f>MONTH(B1578)&amp;"-"&amp;YEAR(B1578)</f>
        <v>6-2024</v>
      </c>
      <c r="U1578" s="2">
        <f>YEAR(B1578)</f>
        <v>2024</v>
      </c>
      <c r="V1578" s="2" t="str">
        <f>IF(DAY(B1578)&gt;15,MONTH(B1578)&amp;"-C",MONTH(B1578)&amp;"-N")</f>
        <v>6-N</v>
      </c>
      <c r="W1578" s="21">
        <v>5.75</v>
      </c>
      <c r="X1578" s="2" t="b">
        <f t="shared" si="1019"/>
        <v>1</v>
      </c>
    </row>
    <row r="1579" spans="2:24" x14ac:dyDescent="0.2">
      <c r="B1579" s="17">
        <v>45457</v>
      </c>
      <c r="C1579" s="10" t="s">
        <v>2630</v>
      </c>
      <c r="D1579" s="11" t="s">
        <v>3534</v>
      </c>
      <c r="E1579" s="26">
        <v>74888</v>
      </c>
      <c r="F1579" s="10" t="s">
        <v>29</v>
      </c>
      <c r="G1579" s="10" t="s">
        <v>27</v>
      </c>
      <c r="H1579" s="27" t="s">
        <v>30</v>
      </c>
      <c r="I1579" s="28"/>
      <c r="J1579" s="12"/>
      <c r="K1579" s="13">
        <v>3300</v>
      </c>
      <c r="L1579" s="21">
        <v>3.75</v>
      </c>
      <c r="M1579" s="14" t="s">
        <v>14</v>
      </c>
      <c r="N1579" s="13">
        <v>12375</v>
      </c>
      <c r="O1579" s="15">
        <f t="shared" si="1018"/>
        <v>0</v>
      </c>
      <c r="P1579" s="10" t="s">
        <v>78</v>
      </c>
      <c r="Q1579" s="11" t="s">
        <v>3535</v>
      </c>
      <c r="R1579" s="11" t="s">
        <v>3536</v>
      </c>
      <c r="S1579" s="16" t="s">
        <v>3537</v>
      </c>
      <c r="T1579" s="19" t="str">
        <f>MONTH(B1579)&amp;"-"&amp;YEAR(B1579)</f>
        <v>6-2024</v>
      </c>
      <c r="U1579" s="2">
        <f>YEAR(B1579)</f>
        <v>2024</v>
      </c>
      <c r="V1579" s="2" t="str">
        <f>IF(DAY(B1579)&gt;15,MONTH(B1579)&amp;"-C",MONTH(B1579)&amp;"-N")</f>
        <v>6-N</v>
      </c>
      <c r="W1579" s="21">
        <v>3.75</v>
      </c>
      <c r="X1579" s="2" t="b">
        <f t="shared" si="1019"/>
        <v>1</v>
      </c>
    </row>
    <row r="1580" spans="2:24" x14ac:dyDescent="0.2">
      <c r="B1580" s="17">
        <v>45471</v>
      </c>
      <c r="C1580" s="10" t="s">
        <v>25</v>
      </c>
      <c r="D1580" s="11" t="s">
        <v>3538</v>
      </c>
      <c r="E1580" s="26">
        <v>75105</v>
      </c>
      <c r="F1580" s="10" t="s">
        <v>31</v>
      </c>
      <c r="G1580" s="10" t="s">
        <v>27</v>
      </c>
      <c r="H1580" s="27" t="s">
        <v>32</v>
      </c>
      <c r="I1580" s="28"/>
      <c r="J1580" s="12"/>
      <c r="K1580" s="13">
        <v>1920</v>
      </c>
      <c r="L1580" s="21">
        <v>4.05</v>
      </c>
      <c r="M1580" s="14" t="s">
        <v>14</v>
      </c>
      <c r="N1580" s="13">
        <v>7776</v>
      </c>
      <c r="O1580" s="15">
        <f t="shared" ref="O1580" si="1020">(N1580/K1580)-L1580</f>
        <v>0</v>
      </c>
      <c r="P1580" s="10" t="s">
        <v>78</v>
      </c>
      <c r="Q1580" s="11" t="s">
        <v>3539</v>
      </c>
      <c r="R1580" s="11" t="s">
        <v>3540</v>
      </c>
      <c r="S1580" s="16" t="s">
        <v>3541</v>
      </c>
      <c r="T1580" s="19" t="str">
        <f>MONTH(B1580)&amp;"-"&amp;YEAR(B1580)</f>
        <v>6-2024</v>
      </c>
      <c r="U1580" s="2">
        <f>YEAR(B1580)</f>
        <v>2024</v>
      </c>
      <c r="V1580" s="2" t="str">
        <f>IF(DAY(B1580)&gt;15,MONTH(B1580)&amp;"-C",MONTH(B1580)&amp;"-N")</f>
        <v>6-C</v>
      </c>
      <c r="W1580" s="21">
        <v>4.05</v>
      </c>
      <c r="X1580" s="2" t="b">
        <f t="shared" ref="X1580" si="1021">+L1580=W1580</f>
        <v>1</v>
      </c>
    </row>
    <row r="1581" spans="2:24" x14ac:dyDescent="0.2">
      <c r="B1581" s="17">
        <v>45493</v>
      </c>
      <c r="C1581" s="10" t="s">
        <v>73</v>
      </c>
      <c r="D1581" s="11" t="s">
        <v>3485</v>
      </c>
      <c r="E1581" s="26">
        <v>75493</v>
      </c>
      <c r="F1581" s="10" t="s">
        <v>399</v>
      </c>
      <c r="G1581" s="10" t="s">
        <v>46</v>
      </c>
      <c r="H1581" s="27" t="s">
        <v>149</v>
      </c>
      <c r="I1581" s="28">
        <v>0</v>
      </c>
      <c r="J1581" s="12">
        <v>0</v>
      </c>
      <c r="K1581" s="13">
        <v>2700</v>
      </c>
      <c r="L1581" s="21">
        <v>16.8</v>
      </c>
      <c r="M1581" s="14" t="s">
        <v>14</v>
      </c>
      <c r="N1581" s="13">
        <v>45360</v>
      </c>
      <c r="O1581" s="15">
        <f t="shared" ref="O1581" si="1022">(N1581/K1581)-L1581</f>
        <v>0</v>
      </c>
      <c r="P1581" s="10" t="s">
        <v>84</v>
      </c>
      <c r="Q1581" s="11" t="s">
        <v>3542</v>
      </c>
      <c r="R1581" s="11" t="s">
        <v>3543</v>
      </c>
      <c r="S1581" s="16" t="s">
        <v>3544</v>
      </c>
      <c r="T1581" s="19" t="str">
        <f>MONTH(B1581)&amp;"-"&amp;YEAR(B1581)</f>
        <v>7-2024</v>
      </c>
      <c r="U1581" s="2">
        <f>YEAR(B1581)</f>
        <v>2024</v>
      </c>
      <c r="V1581" s="2" t="str">
        <f>IF(DAY(B1581)&gt;15,MONTH(B1581)&amp;"-C",MONTH(B1581)&amp;"-N")</f>
        <v>7-C</v>
      </c>
      <c r="W1581" s="21">
        <v>16.8</v>
      </c>
      <c r="X1581" s="2" t="b">
        <f t="shared" ref="X1581" si="1023">+L1581=W1581</f>
        <v>1</v>
      </c>
    </row>
    <row r="1582" spans="2:24" x14ac:dyDescent="0.2">
      <c r="B1582" s="17">
        <v>45491</v>
      </c>
      <c r="C1582" s="10" t="s">
        <v>107</v>
      </c>
      <c r="D1582" s="11" t="s">
        <v>3545</v>
      </c>
      <c r="E1582" s="26">
        <v>75453</v>
      </c>
      <c r="F1582" s="10" t="s">
        <v>103</v>
      </c>
      <c r="G1582" s="10" t="s">
        <v>46</v>
      </c>
      <c r="H1582" s="27" t="s">
        <v>104</v>
      </c>
      <c r="I1582" s="28">
        <v>0</v>
      </c>
      <c r="J1582" s="12">
        <v>0</v>
      </c>
      <c r="K1582" s="13">
        <v>190</v>
      </c>
      <c r="L1582" s="21">
        <v>47.46</v>
      </c>
      <c r="M1582" s="14" t="s">
        <v>14</v>
      </c>
      <c r="N1582" s="13">
        <v>9017.4</v>
      </c>
      <c r="O1582" s="15">
        <f t="shared" ref="O1582:O1598" si="1024">(N1582/K1582)-L1582</f>
        <v>0</v>
      </c>
      <c r="P1582" s="10" t="s">
        <v>84</v>
      </c>
      <c r="Q1582" s="11" t="s">
        <v>3546</v>
      </c>
      <c r="R1582" s="11" t="s">
        <v>3547</v>
      </c>
      <c r="S1582" s="16" t="s">
        <v>3548</v>
      </c>
      <c r="T1582" s="19" t="str">
        <f>MONTH(B1582)&amp;"-"&amp;YEAR(B1582)</f>
        <v>7-2024</v>
      </c>
      <c r="U1582" s="2">
        <f>YEAR(B1582)</f>
        <v>2024</v>
      </c>
      <c r="V1582" s="2" t="str">
        <f>IF(DAY(B1582)&gt;15,MONTH(B1582)&amp;"-C",MONTH(B1582)&amp;"-N")</f>
        <v>7-C</v>
      </c>
      <c r="W1582" s="21">
        <v>47.46</v>
      </c>
      <c r="X1582" s="2" t="b">
        <f t="shared" ref="X1582:X1598" si="1025">+L1582=W1582</f>
        <v>1</v>
      </c>
    </row>
    <row r="1583" spans="2:24" x14ac:dyDescent="0.2">
      <c r="B1583" s="17">
        <v>45491</v>
      </c>
      <c r="C1583" s="10" t="s">
        <v>107</v>
      </c>
      <c r="D1583" s="11" t="s">
        <v>3545</v>
      </c>
      <c r="E1583" s="26">
        <v>75453</v>
      </c>
      <c r="F1583" s="10" t="s">
        <v>105</v>
      </c>
      <c r="G1583" s="10" t="s">
        <v>46</v>
      </c>
      <c r="H1583" s="27" t="s">
        <v>106</v>
      </c>
      <c r="I1583" s="28">
        <v>0</v>
      </c>
      <c r="J1583" s="12">
        <v>0</v>
      </c>
      <c r="K1583" s="13">
        <v>5940</v>
      </c>
      <c r="L1583" s="21">
        <v>11.72</v>
      </c>
      <c r="M1583" s="14" t="s">
        <v>14</v>
      </c>
      <c r="N1583" s="13">
        <v>69616.800000000003</v>
      </c>
      <c r="O1583" s="15">
        <f t="shared" si="1024"/>
        <v>0</v>
      </c>
      <c r="P1583" s="10" t="s">
        <v>84</v>
      </c>
      <c r="Q1583" s="11" t="s">
        <v>3546</v>
      </c>
      <c r="R1583" s="11" t="s">
        <v>3547</v>
      </c>
      <c r="S1583" s="16" t="s">
        <v>3548</v>
      </c>
      <c r="T1583" s="19" t="str">
        <f>MONTH(B1583)&amp;"-"&amp;YEAR(B1583)</f>
        <v>7-2024</v>
      </c>
      <c r="U1583" s="2">
        <f>YEAR(B1583)</f>
        <v>2024</v>
      </c>
      <c r="V1583" s="2" t="str">
        <f>IF(DAY(B1583)&gt;15,MONTH(B1583)&amp;"-C",MONTH(B1583)&amp;"-N")</f>
        <v>7-C</v>
      </c>
      <c r="W1583" s="21">
        <v>11.72</v>
      </c>
      <c r="X1583" s="2" t="b">
        <f t="shared" si="1025"/>
        <v>1</v>
      </c>
    </row>
    <row r="1584" spans="2:24" x14ac:dyDescent="0.2">
      <c r="B1584" s="17">
        <v>45493</v>
      </c>
      <c r="C1584" s="10" t="s">
        <v>94</v>
      </c>
      <c r="D1584" s="11" t="s">
        <v>3549</v>
      </c>
      <c r="E1584" s="26">
        <v>75488</v>
      </c>
      <c r="F1584" s="10" t="s">
        <v>26</v>
      </c>
      <c r="G1584" s="10" t="s">
        <v>27</v>
      </c>
      <c r="H1584" s="27" t="s">
        <v>28</v>
      </c>
      <c r="I1584" s="28">
        <v>0</v>
      </c>
      <c r="J1584" s="12">
        <v>0</v>
      </c>
      <c r="K1584" s="13">
        <v>13500</v>
      </c>
      <c r="L1584" s="21">
        <v>3.4</v>
      </c>
      <c r="M1584" s="14" t="s">
        <v>14</v>
      </c>
      <c r="N1584" s="13">
        <v>45900</v>
      </c>
      <c r="O1584" s="15">
        <f t="shared" si="1024"/>
        <v>0</v>
      </c>
      <c r="P1584" s="10" t="s">
        <v>78</v>
      </c>
      <c r="Q1584" s="11" t="s">
        <v>3550</v>
      </c>
      <c r="R1584" s="11" t="s">
        <v>3551</v>
      </c>
      <c r="S1584" s="16" t="s">
        <v>3552</v>
      </c>
      <c r="T1584" s="19" t="str">
        <f>MONTH(B1584)&amp;"-"&amp;YEAR(B1584)</f>
        <v>7-2024</v>
      </c>
      <c r="U1584" s="2">
        <f>YEAR(B1584)</f>
        <v>2024</v>
      </c>
      <c r="V1584" s="2" t="str">
        <f>IF(DAY(B1584)&gt;15,MONTH(B1584)&amp;"-C",MONTH(B1584)&amp;"-N")</f>
        <v>7-C</v>
      </c>
      <c r="W1584" s="21">
        <v>3.4</v>
      </c>
      <c r="X1584" s="2" t="b">
        <f t="shared" si="1025"/>
        <v>1</v>
      </c>
    </row>
    <row r="1585" spans="2:24" x14ac:dyDescent="0.2">
      <c r="B1585" s="17">
        <v>45485</v>
      </c>
      <c r="C1585" s="10" t="s">
        <v>25</v>
      </c>
      <c r="D1585" s="11" t="s">
        <v>3489</v>
      </c>
      <c r="E1585" s="26">
        <v>75346</v>
      </c>
      <c r="F1585" s="10" t="s">
        <v>26</v>
      </c>
      <c r="G1585" s="10" t="s">
        <v>27</v>
      </c>
      <c r="H1585" s="27" t="s">
        <v>28</v>
      </c>
      <c r="I1585" s="28">
        <v>0</v>
      </c>
      <c r="J1585" s="12">
        <v>0</v>
      </c>
      <c r="K1585" s="13">
        <v>16200</v>
      </c>
      <c r="L1585" s="21">
        <v>3.45</v>
      </c>
      <c r="M1585" s="14" t="s">
        <v>14</v>
      </c>
      <c r="N1585" s="13">
        <v>55890</v>
      </c>
      <c r="O1585" s="15">
        <f t="shared" si="1024"/>
        <v>0</v>
      </c>
      <c r="P1585" s="10" t="s">
        <v>78</v>
      </c>
      <c r="Q1585" s="11" t="s">
        <v>3553</v>
      </c>
      <c r="R1585" s="11" t="s">
        <v>3554</v>
      </c>
      <c r="S1585" s="16" t="s">
        <v>3555</v>
      </c>
      <c r="T1585" s="19" t="str">
        <f>MONTH(B1585)&amp;"-"&amp;YEAR(B1585)</f>
        <v>7-2024</v>
      </c>
      <c r="U1585" s="2">
        <f>YEAR(B1585)</f>
        <v>2024</v>
      </c>
      <c r="V1585" s="2" t="str">
        <f>IF(DAY(B1585)&gt;15,MONTH(B1585)&amp;"-C",MONTH(B1585)&amp;"-N")</f>
        <v>7-N</v>
      </c>
      <c r="W1585" s="21">
        <v>3.45</v>
      </c>
      <c r="X1585" s="2" t="b">
        <f t="shared" si="1025"/>
        <v>1</v>
      </c>
    </row>
    <row r="1586" spans="2:24" x14ac:dyDescent="0.2">
      <c r="B1586" s="17">
        <v>45489</v>
      </c>
      <c r="C1586" s="10" t="s">
        <v>25</v>
      </c>
      <c r="D1586" s="11" t="s">
        <v>3489</v>
      </c>
      <c r="E1586" s="26">
        <v>75434</v>
      </c>
      <c r="F1586" s="10" t="s">
        <v>26</v>
      </c>
      <c r="G1586" s="10" t="s">
        <v>27</v>
      </c>
      <c r="H1586" s="27" t="s">
        <v>28</v>
      </c>
      <c r="I1586" s="28">
        <v>0</v>
      </c>
      <c r="J1586" s="12">
        <v>0</v>
      </c>
      <c r="K1586" s="13">
        <v>14400</v>
      </c>
      <c r="L1586" s="21">
        <v>3.45</v>
      </c>
      <c r="M1586" s="14" t="s">
        <v>14</v>
      </c>
      <c r="N1586" s="13">
        <v>49680</v>
      </c>
      <c r="O1586" s="15">
        <f t="shared" si="1024"/>
        <v>0</v>
      </c>
      <c r="P1586" s="10" t="s">
        <v>78</v>
      </c>
      <c r="Q1586" s="11" t="s">
        <v>3556</v>
      </c>
      <c r="R1586" s="11" t="s">
        <v>3557</v>
      </c>
      <c r="S1586" s="16" t="s">
        <v>3558</v>
      </c>
      <c r="T1586" s="19" t="str">
        <f>MONTH(B1586)&amp;"-"&amp;YEAR(B1586)</f>
        <v>7-2024</v>
      </c>
      <c r="U1586" s="2">
        <f>YEAR(B1586)</f>
        <v>2024</v>
      </c>
      <c r="V1586" s="2" t="str">
        <f>IF(DAY(B1586)&gt;15,MONTH(B1586)&amp;"-C",MONTH(B1586)&amp;"-N")</f>
        <v>7-C</v>
      </c>
      <c r="W1586" s="21">
        <v>3.45</v>
      </c>
      <c r="X1586" s="2" t="b">
        <f t="shared" si="1025"/>
        <v>1</v>
      </c>
    </row>
    <row r="1587" spans="2:24" x14ac:dyDescent="0.2">
      <c r="B1587" s="17">
        <v>45496</v>
      </c>
      <c r="C1587" s="10" t="s">
        <v>25</v>
      </c>
      <c r="D1587" s="11" t="s">
        <v>3489</v>
      </c>
      <c r="E1587" s="26">
        <v>75544</v>
      </c>
      <c r="F1587" s="10" t="s">
        <v>26</v>
      </c>
      <c r="G1587" s="10" t="s">
        <v>27</v>
      </c>
      <c r="H1587" s="27" t="s">
        <v>28</v>
      </c>
      <c r="I1587" s="28">
        <v>0</v>
      </c>
      <c r="J1587" s="12">
        <v>0</v>
      </c>
      <c r="K1587" s="13">
        <v>14400</v>
      </c>
      <c r="L1587" s="21">
        <v>3.45</v>
      </c>
      <c r="M1587" s="14" t="s">
        <v>14</v>
      </c>
      <c r="N1587" s="13">
        <v>49680</v>
      </c>
      <c r="O1587" s="15">
        <f t="shared" si="1024"/>
        <v>0</v>
      </c>
      <c r="P1587" s="10" t="s">
        <v>78</v>
      </c>
      <c r="Q1587" s="11" t="s">
        <v>3559</v>
      </c>
      <c r="R1587" s="11" t="s">
        <v>3560</v>
      </c>
      <c r="S1587" s="16" t="s">
        <v>3561</v>
      </c>
      <c r="T1587" s="19" t="str">
        <f>MONTH(B1587)&amp;"-"&amp;YEAR(B1587)</f>
        <v>7-2024</v>
      </c>
      <c r="U1587" s="2">
        <f>YEAR(B1587)</f>
        <v>2024</v>
      </c>
      <c r="V1587" s="2" t="str">
        <f>IF(DAY(B1587)&gt;15,MONTH(B1587)&amp;"-C",MONTH(B1587)&amp;"-N")</f>
        <v>7-C</v>
      </c>
      <c r="W1587" s="21">
        <v>3.45</v>
      </c>
      <c r="X1587" s="2" t="b">
        <f t="shared" si="1025"/>
        <v>1</v>
      </c>
    </row>
    <row r="1588" spans="2:24" x14ac:dyDescent="0.2">
      <c r="B1588" s="17">
        <v>45496</v>
      </c>
      <c r="C1588" s="10" t="s">
        <v>25</v>
      </c>
      <c r="D1588" s="11" t="s">
        <v>3562</v>
      </c>
      <c r="E1588" s="26">
        <v>75537</v>
      </c>
      <c r="F1588" s="10" t="s">
        <v>31</v>
      </c>
      <c r="G1588" s="10" t="s">
        <v>27</v>
      </c>
      <c r="H1588" s="27" t="s">
        <v>32</v>
      </c>
      <c r="I1588" s="28">
        <v>0</v>
      </c>
      <c r="J1588" s="12">
        <v>0</v>
      </c>
      <c r="K1588" s="13">
        <v>1920</v>
      </c>
      <c r="L1588" s="21">
        <v>4.3</v>
      </c>
      <c r="M1588" s="14" t="s">
        <v>14</v>
      </c>
      <c r="N1588" s="13">
        <v>8256</v>
      </c>
      <c r="O1588" s="15">
        <f t="shared" si="1024"/>
        <v>0</v>
      </c>
      <c r="P1588" s="10" t="s">
        <v>78</v>
      </c>
      <c r="Q1588" s="11" t="s">
        <v>3563</v>
      </c>
      <c r="R1588" s="11" t="s">
        <v>3564</v>
      </c>
      <c r="S1588" s="16" t="s">
        <v>3565</v>
      </c>
      <c r="T1588" s="19" t="str">
        <f>MONTH(B1588)&amp;"-"&amp;YEAR(B1588)</f>
        <v>7-2024</v>
      </c>
      <c r="U1588" s="2">
        <f>YEAR(B1588)</f>
        <v>2024</v>
      </c>
      <c r="V1588" s="2" t="str">
        <f>IF(DAY(B1588)&gt;15,MONTH(B1588)&amp;"-C",MONTH(B1588)&amp;"-N")</f>
        <v>7-C</v>
      </c>
      <c r="W1588" s="21">
        <v>4.3</v>
      </c>
      <c r="X1588" s="2" t="b">
        <f t="shared" si="1025"/>
        <v>1</v>
      </c>
    </row>
    <row r="1589" spans="2:24" x14ac:dyDescent="0.2">
      <c r="B1589" s="17">
        <v>45476</v>
      </c>
      <c r="C1589" s="10" t="s">
        <v>82</v>
      </c>
      <c r="D1589" s="11" t="s">
        <v>3518</v>
      </c>
      <c r="E1589" s="26">
        <v>75184</v>
      </c>
      <c r="F1589" s="10" t="s">
        <v>26</v>
      </c>
      <c r="G1589" s="10" t="s">
        <v>27</v>
      </c>
      <c r="H1589" s="27" t="s">
        <v>28</v>
      </c>
      <c r="I1589" s="28">
        <v>0</v>
      </c>
      <c r="J1589" s="12">
        <v>0</v>
      </c>
      <c r="K1589" s="13">
        <v>9000</v>
      </c>
      <c r="L1589" s="21">
        <v>3.45</v>
      </c>
      <c r="M1589" s="14" t="s">
        <v>14</v>
      </c>
      <c r="N1589" s="13">
        <v>31050</v>
      </c>
      <c r="O1589" s="15">
        <f t="shared" si="1024"/>
        <v>0</v>
      </c>
      <c r="P1589" s="10" t="s">
        <v>78</v>
      </c>
      <c r="Q1589" s="11" t="s">
        <v>3566</v>
      </c>
      <c r="R1589" s="11" t="s">
        <v>3567</v>
      </c>
      <c r="S1589" s="16" t="s">
        <v>3568</v>
      </c>
      <c r="T1589" s="19" t="str">
        <f>MONTH(B1589)&amp;"-"&amp;YEAR(B1589)</f>
        <v>7-2024</v>
      </c>
      <c r="U1589" s="2">
        <f>YEAR(B1589)</f>
        <v>2024</v>
      </c>
      <c r="V1589" s="2" t="str">
        <f>IF(DAY(B1589)&gt;15,MONTH(B1589)&amp;"-C",MONTH(B1589)&amp;"-N")</f>
        <v>7-N</v>
      </c>
      <c r="W1589" s="21">
        <v>3.45</v>
      </c>
      <c r="X1589" s="2" t="b">
        <f t="shared" si="1025"/>
        <v>1</v>
      </c>
    </row>
    <row r="1590" spans="2:24" x14ac:dyDescent="0.2">
      <c r="B1590" s="17">
        <v>45475</v>
      </c>
      <c r="C1590" s="10" t="s">
        <v>82</v>
      </c>
      <c r="D1590" s="11" t="s">
        <v>3518</v>
      </c>
      <c r="E1590" s="26">
        <v>75173</v>
      </c>
      <c r="F1590" s="10" t="s">
        <v>26</v>
      </c>
      <c r="G1590" s="10" t="s">
        <v>27</v>
      </c>
      <c r="H1590" s="27" t="s">
        <v>28</v>
      </c>
      <c r="I1590" s="28">
        <v>0</v>
      </c>
      <c r="J1590" s="12">
        <v>0</v>
      </c>
      <c r="K1590" s="13">
        <v>2700</v>
      </c>
      <c r="L1590" s="21">
        <v>3.45</v>
      </c>
      <c r="M1590" s="14" t="s">
        <v>14</v>
      </c>
      <c r="N1590" s="13">
        <v>9315</v>
      </c>
      <c r="O1590" s="15">
        <f t="shared" si="1024"/>
        <v>0</v>
      </c>
      <c r="P1590" s="10" t="s">
        <v>78</v>
      </c>
      <c r="Q1590" s="11" t="s">
        <v>3569</v>
      </c>
      <c r="R1590" s="11" t="s">
        <v>3570</v>
      </c>
      <c r="S1590" s="16" t="s">
        <v>3571</v>
      </c>
      <c r="T1590" s="19" t="str">
        <f>MONTH(B1590)&amp;"-"&amp;YEAR(B1590)</f>
        <v>7-2024</v>
      </c>
      <c r="U1590" s="2">
        <f>YEAR(B1590)</f>
        <v>2024</v>
      </c>
      <c r="V1590" s="2" t="str">
        <f>IF(DAY(B1590)&gt;15,MONTH(B1590)&amp;"-C",MONTH(B1590)&amp;"-N")</f>
        <v>7-N</v>
      </c>
      <c r="W1590" s="21">
        <v>3.45</v>
      </c>
      <c r="X1590" s="2" t="b">
        <f t="shared" si="1025"/>
        <v>1</v>
      </c>
    </row>
    <row r="1591" spans="2:24" x14ac:dyDescent="0.2">
      <c r="B1591" s="17">
        <v>45479</v>
      </c>
      <c r="C1591" s="10" t="s">
        <v>82</v>
      </c>
      <c r="D1591" s="11" t="s">
        <v>3518</v>
      </c>
      <c r="E1591" s="26">
        <v>75239</v>
      </c>
      <c r="F1591" s="10" t="s">
        <v>26</v>
      </c>
      <c r="G1591" s="10" t="s">
        <v>27</v>
      </c>
      <c r="H1591" s="27" t="s">
        <v>28</v>
      </c>
      <c r="I1591" s="28">
        <v>0</v>
      </c>
      <c r="J1591" s="12">
        <v>0</v>
      </c>
      <c r="K1591" s="13">
        <v>2700</v>
      </c>
      <c r="L1591" s="21">
        <v>3.45</v>
      </c>
      <c r="M1591" s="14" t="s">
        <v>14</v>
      </c>
      <c r="N1591" s="13">
        <v>9315</v>
      </c>
      <c r="O1591" s="15">
        <f t="shared" si="1024"/>
        <v>0</v>
      </c>
      <c r="P1591" s="10" t="s">
        <v>78</v>
      </c>
      <c r="Q1591" s="11" t="s">
        <v>3572</v>
      </c>
      <c r="R1591" s="11" t="s">
        <v>3573</v>
      </c>
      <c r="S1591" s="16" t="s">
        <v>3574</v>
      </c>
      <c r="T1591" s="19" t="str">
        <f>MONTH(B1591)&amp;"-"&amp;YEAR(B1591)</f>
        <v>7-2024</v>
      </c>
      <c r="U1591" s="2">
        <f>YEAR(B1591)</f>
        <v>2024</v>
      </c>
      <c r="V1591" s="2" t="str">
        <f>IF(DAY(B1591)&gt;15,MONTH(B1591)&amp;"-C",MONTH(B1591)&amp;"-N")</f>
        <v>7-N</v>
      </c>
      <c r="W1591" s="21">
        <v>3.45</v>
      </c>
      <c r="X1591" s="2" t="b">
        <f t="shared" si="1025"/>
        <v>1</v>
      </c>
    </row>
    <row r="1592" spans="2:24" x14ac:dyDescent="0.2">
      <c r="B1592" s="17">
        <v>45479</v>
      </c>
      <c r="C1592" s="10" t="s">
        <v>82</v>
      </c>
      <c r="D1592" s="11" t="s">
        <v>3518</v>
      </c>
      <c r="E1592" s="26">
        <v>75240</v>
      </c>
      <c r="F1592" s="10" t="s">
        <v>26</v>
      </c>
      <c r="G1592" s="10" t="s">
        <v>27</v>
      </c>
      <c r="H1592" s="27" t="s">
        <v>28</v>
      </c>
      <c r="I1592" s="28">
        <v>0</v>
      </c>
      <c r="J1592" s="12">
        <v>0</v>
      </c>
      <c r="K1592" s="13">
        <v>3600</v>
      </c>
      <c r="L1592" s="21">
        <v>3.45</v>
      </c>
      <c r="M1592" s="14" t="s">
        <v>14</v>
      </c>
      <c r="N1592" s="13">
        <v>12420</v>
      </c>
      <c r="O1592" s="15">
        <f t="shared" si="1024"/>
        <v>0</v>
      </c>
      <c r="P1592" s="10" t="s">
        <v>78</v>
      </c>
      <c r="Q1592" s="11" t="s">
        <v>3575</v>
      </c>
      <c r="R1592" s="11" t="s">
        <v>3576</v>
      </c>
      <c r="S1592" s="16" t="s">
        <v>3577</v>
      </c>
      <c r="T1592" s="19" t="str">
        <f>MONTH(B1592)&amp;"-"&amp;YEAR(B1592)</f>
        <v>7-2024</v>
      </c>
      <c r="U1592" s="2">
        <f>YEAR(B1592)</f>
        <v>2024</v>
      </c>
      <c r="V1592" s="2" t="str">
        <f>IF(DAY(B1592)&gt;15,MONTH(B1592)&amp;"-C",MONTH(B1592)&amp;"-N")</f>
        <v>7-N</v>
      </c>
      <c r="W1592" s="21">
        <v>3.45</v>
      </c>
      <c r="X1592" s="2" t="b">
        <f t="shared" si="1025"/>
        <v>1</v>
      </c>
    </row>
    <row r="1593" spans="2:24" x14ac:dyDescent="0.2">
      <c r="B1593" s="17">
        <v>45484</v>
      </c>
      <c r="C1593" s="10" t="s">
        <v>82</v>
      </c>
      <c r="D1593" s="11" t="s">
        <v>3578</v>
      </c>
      <c r="E1593" s="26">
        <v>75314</v>
      </c>
      <c r="F1593" s="10" t="s">
        <v>33</v>
      </c>
      <c r="G1593" s="10" t="s">
        <v>27</v>
      </c>
      <c r="H1593" s="27" t="s">
        <v>34</v>
      </c>
      <c r="I1593" s="28">
        <v>0</v>
      </c>
      <c r="J1593" s="12">
        <v>0</v>
      </c>
      <c r="K1593" s="13">
        <v>2160</v>
      </c>
      <c r="L1593" s="21">
        <v>5.75</v>
      </c>
      <c r="M1593" s="14" t="s">
        <v>14</v>
      </c>
      <c r="N1593" s="13">
        <v>12420</v>
      </c>
      <c r="O1593" s="15">
        <f t="shared" si="1024"/>
        <v>0</v>
      </c>
      <c r="P1593" s="10" t="s">
        <v>78</v>
      </c>
      <c r="Q1593" s="11" t="s">
        <v>3579</v>
      </c>
      <c r="R1593" s="11" t="s">
        <v>3580</v>
      </c>
      <c r="S1593" s="16" t="s">
        <v>3581</v>
      </c>
      <c r="T1593" s="19" t="str">
        <f>MONTH(B1593)&amp;"-"&amp;YEAR(B1593)</f>
        <v>7-2024</v>
      </c>
      <c r="U1593" s="2">
        <f>YEAR(B1593)</f>
        <v>2024</v>
      </c>
      <c r="V1593" s="2" t="str">
        <f>IF(DAY(B1593)&gt;15,MONTH(B1593)&amp;"-C",MONTH(B1593)&amp;"-N")</f>
        <v>7-N</v>
      </c>
      <c r="W1593" s="21">
        <v>5.75</v>
      </c>
      <c r="X1593" s="2" t="b">
        <f t="shared" si="1025"/>
        <v>1</v>
      </c>
    </row>
    <row r="1594" spans="2:24" x14ac:dyDescent="0.2">
      <c r="B1594" s="17">
        <v>45492</v>
      </c>
      <c r="C1594" s="10" t="s">
        <v>88</v>
      </c>
      <c r="D1594" s="11" t="s">
        <v>3582</v>
      </c>
      <c r="E1594" s="26">
        <v>75477</v>
      </c>
      <c r="F1594" s="10" t="s">
        <v>100</v>
      </c>
      <c r="G1594" s="10" t="s">
        <v>46</v>
      </c>
      <c r="H1594" s="27" t="s">
        <v>101</v>
      </c>
      <c r="I1594" s="28">
        <v>0</v>
      </c>
      <c r="J1594" s="12">
        <v>0</v>
      </c>
      <c r="K1594" s="13">
        <v>600</v>
      </c>
      <c r="L1594" s="21">
        <v>13.22</v>
      </c>
      <c r="M1594" s="14" t="s">
        <v>14</v>
      </c>
      <c r="N1594" s="13">
        <v>7932</v>
      </c>
      <c r="O1594" s="15">
        <f t="shared" si="1024"/>
        <v>0</v>
      </c>
      <c r="P1594" s="10" t="s">
        <v>84</v>
      </c>
      <c r="Q1594" s="11" t="s">
        <v>3583</v>
      </c>
      <c r="R1594" s="11" t="s">
        <v>3584</v>
      </c>
      <c r="S1594" s="16" t="s">
        <v>3585</v>
      </c>
      <c r="T1594" s="19" t="str">
        <f>MONTH(B1594)&amp;"-"&amp;YEAR(B1594)</f>
        <v>7-2024</v>
      </c>
      <c r="U1594" s="2">
        <f>YEAR(B1594)</f>
        <v>2024</v>
      </c>
      <c r="V1594" s="2" t="str">
        <f>IF(DAY(B1594)&gt;15,MONTH(B1594)&amp;"-C",MONTH(B1594)&amp;"-N")</f>
        <v>7-C</v>
      </c>
      <c r="W1594" s="21">
        <v>13.22</v>
      </c>
      <c r="X1594" s="2" t="b">
        <f t="shared" si="1025"/>
        <v>1</v>
      </c>
    </row>
    <row r="1595" spans="2:24" x14ac:dyDescent="0.2">
      <c r="B1595" s="17">
        <v>45493</v>
      </c>
      <c r="C1595" s="10" t="s">
        <v>88</v>
      </c>
      <c r="D1595" s="11" t="s">
        <v>3586</v>
      </c>
      <c r="E1595" s="26">
        <v>75499</v>
      </c>
      <c r="F1595" s="10" t="s">
        <v>100</v>
      </c>
      <c r="G1595" s="10" t="s">
        <v>46</v>
      </c>
      <c r="H1595" s="27" t="s">
        <v>101</v>
      </c>
      <c r="I1595" s="28">
        <v>0</v>
      </c>
      <c r="J1595" s="12">
        <v>0</v>
      </c>
      <c r="K1595" s="13">
        <v>600</v>
      </c>
      <c r="L1595" s="21">
        <v>13.22</v>
      </c>
      <c r="M1595" s="14" t="s">
        <v>14</v>
      </c>
      <c r="N1595" s="13">
        <v>7932</v>
      </c>
      <c r="O1595" s="15">
        <f t="shared" si="1024"/>
        <v>0</v>
      </c>
      <c r="P1595" s="10" t="s">
        <v>84</v>
      </c>
      <c r="Q1595" s="11" t="s">
        <v>3587</v>
      </c>
      <c r="R1595" s="11" t="s">
        <v>3588</v>
      </c>
      <c r="S1595" s="16" t="s">
        <v>3589</v>
      </c>
      <c r="T1595" s="19" t="str">
        <f>MONTH(B1595)&amp;"-"&amp;YEAR(B1595)</f>
        <v>7-2024</v>
      </c>
      <c r="U1595" s="2">
        <f>YEAR(B1595)</f>
        <v>2024</v>
      </c>
      <c r="V1595" s="2" t="str">
        <f>IF(DAY(B1595)&gt;15,MONTH(B1595)&amp;"-C",MONTH(B1595)&amp;"-N")</f>
        <v>7-C</v>
      </c>
      <c r="W1595" s="21">
        <v>13.22</v>
      </c>
      <c r="X1595" s="2" t="b">
        <f t="shared" si="1025"/>
        <v>1</v>
      </c>
    </row>
    <row r="1596" spans="2:24" x14ac:dyDescent="0.2">
      <c r="B1596" s="17">
        <v>45493</v>
      </c>
      <c r="C1596" s="10" t="s">
        <v>88</v>
      </c>
      <c r="D1596" s="11" t="s">
        <v>3586</v>
      </c>
      <c r="E1596" s="26">
        <v>75497</v>
      </c>
      <c r="F1596" s="10" t="s">
        <v>100</v>
      </c>
      <c r="G1596" s="10" t="s">
        <v>46</v>
      </c>
      <c r="H1596" s="27" t="s">
        <v>101</v>
      </c>
      <c r="I1596" s="28">
        <v>0</v>
      </c>
      <c r="J1596" s="12">
        <v>0</v>
      </c>
      <c r="K1596" s="13">
        <v>600</v>
      </c>
      <c r="L1596" s="21">
        <v>13.22</v>
      </c>
      <c r="M1596" s="14" t="s">
        <v>14</v>
      </c>
      <c r="N1596" s="13">
        <v>7932</v>
      </c>
      <c r="O1596" s="15">
        <f t="shared" si="1024"/>
        <v>0</v>
      </c>
      <c r="P1596" s="10" t="s">
        <v>84</v>
      </c>
      <c r="Q1596" s="11" t="s">
        <v>3590</v>
      </c>
      <c r="R1596" s="11" t="s">
        <v>3591</v>
      </c>
      <c r="S1596" s="16" t="s">
        <v>3592</v>
      </c>
      <c r="T1596" s="19" t="str">
        <f>MONTH(B1596)&amp;"-"&amp;YEAR(B1596)</f>
        <v>7-2024</v>
      </c>
      <c r="U1596" s="2">
        <f>YEAR(B1596)</f>
        <v>2024</v>
      </c>
      <c r="V1596" s="2" t="str">
        <f>IF(DAY(B1596)&gt;15,MONTH(B1596)&amp;"-C",MONTH(B1596)&amp;"-N")</f>
        <v>7-C</v>
      </c>
      <c r="W1596" s="21">
        <v>13.22</v>
      </c>
      <c r="X1596" s="2" t="b">
        <f t="shared" si="1025"/>
        <v>1</v>
      </c>
    </row>
    <row r="1597" spans="2:24" x14ac:dyDescent="0.2">
      <c r="B1597" s="17">
        <v>45490</v>
      </c>
      <c r="C1597" s="10" t="s">
        <v>2630</v>
      </c>
      <c r="D1597" s="11" t="s">
        <v>3534</v>
      </c>
      <c r="E1597" s="26">
        <v>75447</v>
      </c>
      <c r="F1597" s="10" t="s">
        <v>29</v>
      </c>
      <c r="G1597" s="10" t="s">
        <v>27</v>
      </c>
      <c r="H1597" s="27" t="s">
        <v>30</v>
      </c>
      <c r="I1597" s="28">
        <v>0</v>
      </c>
      <c r="J1597" s="12">
        <v>0</v>
      </c>
      <c r="K1597" s="13">
        <v>1320</v>
      </c>
      <c r="L1597" s="21">
        <v>3.75</v>
      </c>
      <c r="M1597" s="14" t="s">
        <v>14</v>
      </c>
      <c r="N1597" s="13">
        <v>4950</v>
      </c>
      <c r="O1597" s="15">
        <f t="shared" si="1024"/>
        <v>0</v>
      </c>
      <c r="P1597" s="10" t="s">
        <v>78</v>
      </c>
      <c r="Q1597" s="11" t="s">
        <v>3593</v>
      </c>
      <c r="R1597" s="11" t="s">
        <v>3594</v>
      </c>
      <c r="S1597" s="16" t="s">
        <v>3595</v>
      </c>
      <c r="T1597" s="19" t="str">
        <f>MONTH(B1597)&amp;"-"&amp;YEAR(B1597)</f>
        <v>7-2024</v>
      </c>
      <c r="U1597" s="2">
        <f>YEAR(B1597)</f>
        <v>2024</v>
      </c>
      <c r="V1597" s="2" t="str">
        <f>IF(DAY(B1597)&gt;15,MONTH(B1597)&amp;"-C",MONTH(B1597)&amp;"-N")</f>
        <v>7-C</v>
      </c>
      <c r="W1597" s="21">
        <v>3.75</v>
      </c>
      <c r="X1597" s="2" t="b">
        <f t="shared" si="1025"/>
        <v>1</v>
      </c>
    </row>
    <row r="1598" spans="2:24" x14ac:dyDescent="0.2">
      <c r="B1598" s="17">
        <v>45490</v>
      </c>
      <c r="C1598" s="10" t="s">
        <v>2630</v>
      </c>
      <c r="D1598" s="11" t="s">
        <v>3596</v>
      </c>
      <c r="E1598" s="26">
        <v>75447</v>
      </c>
      <c r="F1598" s="10" t="s">
        <v>29</v>
      </c>
      <c r="G1598" s="10" t="s">
        <v>27</v>
      </c>
      <c r="H1598" s="27" t="s">
        <v>30</v>
      </c>
      <c r="I1598" s="28">
        <v>0</v>
      </c>
      <c r="J1598" s="12">
        <v>0</v>
      </c>
      <c r="K1598" s="13">
        <v>660</v>
      </c>
      <c r="L1598" s="21">
        <v>3.75</v>
      </c>
      <c r="M1598" s="14" t="s">
        <v>14</v>
      </c>
      <c r="N1598" s="13">
        <v>2475</v>
      </c>
      <c r="O1598" s="15">
        <f t="shared" si="1024"/>
        <v>0</v>
      </c>
      <c r="P1598" s="10" t="s">
        <v>78</v>
      </c>
      <c r="Q1598" s="11" t="s">
        <v>3593</v>
      </c>
      <c r="R1598" s="11" t="s">
        <v>3594</v>
      </c>
      <c r="S1598" s="16" t="s">
        <v>3595</v>
      </c>
      <c r="T1598" s="19" t="str">
        <f>MONTH(B1598)&amp;"-"&amp;YEAR(B1598)</f>
        <v>7-2024</v>
      </c>
      <c r="U1598" s="2">
        <f>YEAR(B1598)</f>
        <v>2024</v>
      </c>
      <c r="V1598" s="2" t="str">
        <f>IF(DAY(B1598)&gt;15,MONTH(B1598)&amp;"-C",MONTH(B1598)&amp;"-N")</f>
        <v>7-C</v>
      </c>
      <c r="W1598" s="21">
        <v>3.75</v>
      </c>
      <c r="X1598" s="2" t="b">
        <f t="shared" si="1025"/>
        <v>1</v>
      </c>
    </row>
    <row r="1599" spans="2:24" x14ac:dyDescent="0.2">
      <c r="B1599" s="17">
        <v>45500</v>
      </c>
      <c r="C1599" s="10" t="s">
        <v>433</v>
      </c>
      <c r="D1599" s="11" t="s">
        <v>3597</v>
      </c>
      <c r="E1599" s="26">
        <v>75657</v>
      </c>
      <c r="F1599" s="10" t="s">
        <v>26</v>
      </c>
      <c r="G1599" s="10" t="s">
        <v>27</v>
      </c>
      <c r="H1599" s="27" t="s">
        <v>28</v>
      </c>
      <c r="I1599" s="28">
        <v>0</v>
      </c>
      <c r="J1599" s="12">
        <v>0</v>
      </c>
      <c r="K1599" s="13">
        <v>7600</v>
      </c>
      <c r="L1599" s="21">
        <v>3.7</v>
      </c>
      <c r="M1599" s="14" t="s">
        <v>14</v>
      </c>
      <c r="N1599" s="13">
        <v>28120</v>
      </c>
      <c r="O1599" s="15">
        <f t="shared" ref="O1599:O1608" si="1026">(N1599/K1599)-L1599</f>
        <v>0</v>
      </c>
      <c r="P1599" s="10" t="s">
        <v>78</v>
      </c>
      <c r="Q1599" s="11" t="s">
        <v>3598</v>
      </c>
      <c r="R1599" s="11" t="s">
        <v>3599</v>
      </c>
      <c r="S1599" s="16" t="s">
        <v>3600</v>
      </c>
      <c r="T1599" s="19" t="str">
        <f>MONTH(B1599)&amp;"-"&amp;YEAR(B1599)</f>
        <v>7-2024</v>
      </c>
      <c r="U1599" s="2">
        <f>YEAR(B1599)</f>
        <v>2024</v>
      </c>
      <c r="V1599" s="2" t="str">
        <f>IF(DAY(B1599)&gt;15,MONTH(B1599)&amp;"-C",MONTH(B1599)&amp;"-N")</f>
        <v>7-C</v>
      </c>
      <c r="W1599" s="21">
        <v>3.7</v>
      </c>
      <c r="X1599" s="2" t="b">
        <f t="shared" ref="X1599:X1608" si="1027">+L1599=W1599</f>
        <v>1</v>
      </c>
    </row>
    <row r="1600" spans="2:24" x14ac:dyDescent="0.2">
      <c r="B1600" s="17">
        <v>45495</v>
      </c>
      <c r="C1600" s="10" t="s">
        <v>88</v>
      </c>
      <c r="D1600" s="11" t="s">
        <v>3601</v>
      </c>
      <c r="E1600" s="26">
        <v>75527</v>
      </c>
      <c r="F1600" s="10" t="s">
        <v>98</v>
      </c>
      <c r="G1600" s="10" t="s">
        <v>46</v>
      </c>
      <c r="H1600" s="27" t="s">
        <v>99</v>
      </c>
      <c r="I1600" s="28">
        <v>0</v>
      </c>
      <c r="J1600" s="12">
        <v>0</v>
      </c>
      <c r="K1600" s="13">
        <v>40</v>
      </c>
      <c r="L1600" s="21">
        <v>11.25</v>
      </c>
      <c r="M1600" s="14" t="s">
        <v>14</v>
      </c>
      <c r="N1600" s="13">
        <v>450</v>
      </c>
      <c r="O1600" s="15">
        <f t="shared" si="1026"/>
        <v>0</v>
      </c>
      <c r="P1600" s="10" t="s">
        <v>84</v>
      </c>
      <c r="Q1600" s="11" t="s">
        <v>3602</v>
      </c>
      <c r="R1600" s="11" t="s">
        <v>3603</v>
      </c>
      <c r="S1600" s="16" t="s">
        <v>3604</v>
      </c>
      <c r="T1600" s="19" t="str">
        <f>MONTH(B1600)&amp;"-"&amp;YEAR(B1600)</f>
        <v>7-2024</v>
      </c>
      <c r="U1600" s="2">
        <f>YEAR(B1600)</f>
        <v>2024</v>
      </c>
      <c r="V1600" s="2" t="str">
        <f>IF(DAY(B1600)&gt;15,MONTH(B1600)&amp;"-C",MONTH(B1600)&amp;"-N")</f>
        <v>7-C</v>
      </c>
      <c r="W1600" s="21">
        <v>11.25</v>
      </c>
      <c r="X1600" s="2" t="b">
        <f t="shared" si="1027"/>
        <v>1</v>
      </c>
    </row>
    <row r="1601" spans="2:24" x14ac:dyDescent="0.2">
      <c r="B1601" s="17">
        <v>45495</v>
      </c>
      <c r="C1601" s="10" t="s">
        <v>88</v>
      </c>
      <c r="D1601" s="11" t="s">
        <v>3601</v>
      </c>
      <c r="E1601" s="26">
        <v>75527</v>
      </c>
      <c r="F1601" s="10" t="s">
        <v>100</v>
      </c>
      <c r="G1601" s="10" t="s">
        <v>46</v>
      </c>
      <c r="H1601" s="27" t="s">
        <v>101</v>
      </c>
      <c r="I1601" s="28">
        <v>0</v>
      </c>
      <c r="J1601" s="12">
        <v>0</v>
      </c>
      <c r="K1601" s="13">
        <v>2000</v>
      </c>
      <c r="L1601" s="21">
        <v>13.22</v>
      </c>
      <c r="M1601" s="14" t="s">
        <v>14</v>
      </c>
      <c r="N1601" s="13">
        <v>26440</v>
      </c>
      <c r="O1601" s="15">
        <f t="shared" si="1026"/>
        <v>0</v>
      </c>
      <c r="P1601" s="10" t="s">
        <v>84</v>
      </c>
      <c r="Q1601" s="11" t="s">
        <v>3602</v>
      </c>
      <c r="R1601" s="11" t="s">
        <v>3603</v>
      </c>
      <c r="S1601" s="16" t="s">
        <v>3604</v>
      </c>
      <c r="T1601" s="19" t="str">
        <f>MONTH(B1601)&amp;"-"&amp;YEAR(B1601)</f>
        <v>7-2024</v>
      </c>
      <c r="U1601" s="2">
        <f>YEAR(B1601)</f>
        <v>2024</v>
      </c>
      <c r="V1601" s="2" t="str">
        <f>IF(DAY(B1601)&gt;15,MONTH(B1601)&amp;"-C",MONTH(B1601)&amp;"-N")</f>
        <v>7-C</v>
      </c>
      <c r="W1601" s="21">
        <v>13.22</v>
      </c>
      <c r="X1601" s="2" t="b">
        <f t="shared" si="1027"/>
        <v>1</v>
      </c>
    </row>
    <row r="1602" spans="2:24" x14ac:dyDescent="0.2">
      <c r="B1602" s="17">
        <v>45504</v>
      </c>
      <c r="C1602" s="10" t="s">
        <v>25</v>
      </c>
      <c r="D1602" s="11" t="s">
        <v>3489</v>
      </c>
      <c r="E1602" s="26">
        <v>75719</v>
      </c>
      <c r="F1602" s="10" t="s">
        <v>26</v>
      </c>
      <c r="G1602" s="10" t="s">
        <v>27</v>
      </c>
      <c r="H1602" s="27" t="s">
        <v>28</v>
      </c>
      <c r="I1602" s="28">
        <v>0</v>
      </c>
      <c r="J1602" s="12">
        <v>0</v>
      </c>
      <c r="K1602" s="13">
        <v>13500</v>
      </c>
      <c r="L1602" s="21">
        <v>3.45</v>
      </c>
      <c r="M1602" s="14" t="s">
        <v>14</v>
      </c>
      <c r="N1602" s="13">
        <v>46575</v>
      </c>
      <c r="O1602" s="15">
        <f t="shared" si="1026"/>
        <v>0</v>
      </c>
      <c r="P1602" s="10" t="s">
        <v>78</v>
      </c>
      <c r="Q1602" s="11" t="s">
        <v>3606</v>
      </c>
      <c r="R1602" s="11" t="s">
        <v>3605</v>
      </c>
      <c r="S1602" s="16" t="s">
        <v>3605</v>
      </c>
      <c r="T1602" s="19" t="str">
        <f>MONTH(B1602)&amp;"-"&amp;YEAR(B1602)</f>
        <v>7-2024</v>
      </c>
      <c r="U1602" s="2">
        <f>YEAR(B1602)</f>
        <v>2024</v>
      </c>
      <c r="V1602" s="2" t="str">
        <f>IF(DAY(B1602)&gt;15,MONTH(B1602)&amp;"-C",MONTH(B1602)&amp;"-N")</f>
        <v>7-C</v>
      </c>
      <c r="W1602" s="21">
        <v>3.45</v>
      </c>
      <c r="X1602" s="2" t="b">
        <f t="shared" si="1027"/>
        <v>1</v>
      </c>
    </row>
    <row r="1603" spans="2:24" x14ac:dyDescent="0.2">
      <c r="B1603" s="17">
        <v>45499</v>
      </c>
      <c r="C1603" s="10" t="s">
        <v>25</v>
      </c>
      <c r="D1603" s="11" t="s">
        <v>3538</v>
      </c>
      <c r="E1603" s="26">
        <v>75629</v>
      </c>
      <c r="F1603" s="10" t="s">
        <v>49</v>
      </c>
      <c r="G1603" s="10" t="s">
        <v>27</v>
      </c>
      <c r="H1603" s="27" t="s">
        <v>50</v>
      </c>
      <c r="I1603" s="28">
        <v>0</v>
      </c>
      <c r="J1603" s="12">
        <v>0</v>
      </c>
      <c r="K1603" s="13">
        <v>760</v>
      </c>
      <c r="L1603" s="21">
        <v>5.0999999999999996</v>
      </c>
      <c r="M1603" s="14" t="s">
        <v>14</v>
      </c>
      <c r="N1603" s="13">
        <v>3876</v>
      </c>
      <c r="O1603" s="15">
        <f t="shared" si="1026"/>
        <v>0</v>
      </c>
      <c r="P1603" s="10" t="s">
        <v>78</v>
      </c>
      <c r="Q1603" s="11" t="s">
        <v>3607</v>
      </c>
      <c r="R1603" s="11" t="s">
        <v>3608</v>
      </c>
      <c r="S1603" s="16" t="s">
        <v>3609</v>
      </c>
      <c r="T1603" s="19" t="str">
        <f>MONTH(B1603)&amp;"-"&amp;YEAR(B1603)</f>
        <v>7-2024</v>
      </c>
      <c r="U1603" s="2">
        <f>YEAR(B1603)</f>
        <v>2024</v>
      </c>
      <c r="V1603" s="2" t="str">
        <f>IF(DAY(B1603)&gt;15,MONTH(B1603)&amp;"-C",MONTH(B1603)&amp;"-N")</f>
        <v>7-C</v>
      </c>
      <c r="W1603" s="21">
        <v>5.0999999999999996</v>
      </c>
      <c r="X1603" s="2" t="b">
        <f t="shared" si="1027"/>
        <v>1</v>
      </c>
    </row>
    <row r="1604" spans="2:24" x14ac:dyDescent="0.2">
      <c r="B1604" s="17">
        <v>45499</v>
      </c>
      <c r="C1604" s="10" t="s">
        <v>25</v>
      </c>
      <c r="D1604" s="11" t="s">
        <v>3562</v>
      </c>
      <c r="E1604" s="26">
        <v>75630</v>
      </c>
      <c r="F1604" s="10" t="s">
        <v>33</v>
      </c>
      <c r="G1604" s="10" t="s">
        <v>27</v>
      </c>
      <c r="H1604" s="27" t="s">
        <v>34</v>
      </c>
      <c r="I1604" s="28">
        <v>0</v>
      </c>
      <c r="J1604" s="12">
        <v>0</v>
      </c>
      <c r="K1604" s="13">
        <v>1440</v>
      </c>
      <c r="L1604" s="21">
        <v>5.52</v>
      </c>
      <c r="M1604" s="14" t="s">
        <v>14</v>
      </c>
      <c r="N1604" s="13">
        <v>7948.8</v>
      </c>
      <c r="O1604" s="15">
        <f t="shared" si="1026"/>
        <v>0</v>
      </c>
      <c r="P1604" s="10" t="s">
        <v>78</v>
      </c>
      <c r="Q1604" s="11" t="s">
        <v>3611</v>
      </c>
      <c r="R1604" s="11" t="s">
        <v>3610</v>
      </c>
      <c r="S1604" s="16" t="s">
        <v>3612</v>
      </c>
      <c r="T1604" s="19" t="str">
        <f>MONTH(B1604)&amp;"-"&amp;YEAR(B1604)</f>
        <v>7-2024</v>
      </c>
      <c r="U1604" s="2">
        <f>YEAR(B1604)</f>
        <v>2024</v>
      </c>
      <c r="V1604" s="2" t="str">
        <f>IF(DAY(B1604)&gt;15,MONTH(B1604)&amp;"-C",MONTH(B1604)&amp;"-N")</f>
        <v>7-C</v>
      </c>
      <c r="W1604" s="21">
        <v>5.52</v>
      </c>
      <c r="X1604" s="2" t="b">
        <f t="shared" si="1027"/>
        <v>1</v>
      </c>
    </row>
    <row r="1605" spans="2:24" x14ac:dyDescent="0.2">
      <c r="B1605" s="17">
        <v>45502</v>
      </c>
      <c r="C1605" s="10" t="s">
        <v>94</v>
      </c>
      <c r="D1605" s="11" t="s">
        <v>3549</v>
      </c>
      <c r="E1605" s="26">
        <v>75678</v>
      </c>
      <c r="F1605" s="10" t="s">
        <v>26</v>
      </c>
      <c r="G1605" s="10" t="s">
        <v>27</v>
      </c>
      <c r="H1605" s="27" t="s">
        <v>28</v>
      </c>
      <c r="I1605" s="28">
        <v>0</v>
      </c>
      <c r="J1605" s="12">
        <v>0</v>
      </c>
      <c r="K1605" s="13">
        <v>3600</v>
      </c>
      <c r="L1605" s="21">
        <v>3.4</v>
      </c>
      <c r="M1605" s="14" t="s">
        <v>14</v>
      </c>
      <c r="N1605" s="13">
        <v>12240</v>
      </c>
      <c r="O1605" s="15">
        <f t="shared" si="1026"/>
        <v>0</v>
      </c>
      <c r="P1605" s="10" t="s">
        <v>78</v>
      </c>
      <c r="Q1605" s="11" t="s">
        <v>3613</v>
      </c>
      <c r="R1605" s="11" t="s">
        <v>3614</v>
      </c>
      <c r="S1605" s="16" t="s">
        <v>3615</v>
      </c>
      <c r="T1605" s="19" t="str">
        <f>MONTH(B1605)&amp;"-"&amp;YEAR(B1605)</f>
        <v>7-2024</v>
      </c>
      <c r="U1605" s="2">
        <f>YEAR(B1605)</f>
        <v>2024</v>
      </c>
      <c r="V1605" s="2" t="str">
        <f>IF(DAY(B1605)&gt;15,MONTH(B1605)&amp;"-C",MONTH(B1605)&amp;"-N")</f>
        <v>7-C</v>
      </c>
      <c r="W1605" s="21">
        <v>3.4</v>
      </c>
      <c r="X1605" s="2" t="b">
        <f t="shared" si="1027"/>
        <v>1</v>
      </c>
    </row>
    <row r="1606" spans="2:24" x14ac:dyDescent="0.2">
      <c r="B1606" s="17">
        <v>45500</v>
      </c>
      <c r="C1606" s="10" t="s">
        <v>94</v>
      </c>
      <c r="D1606" s="11" t="s">
        <v>3549</v>
      </c>
      <c r="E1606" s="26">
        <v>75676</v>
      </c>
      <c r="F1606" s="10" t="s">
        <v>26</v>
      </c>
      <c r="G1606" s="10" t="s">
        <v>27</v>
      </c>
      <c r="H1606" s="27" t="s">
        <v>28</v>
      </c>
      <c r="I1606" s="28">
        <v>0</v>
      </c>
      <c r="J1606" s="12">
        <v>0</v>
      </c>
      <c r="K1606" s="13">
        <v>3600</v>
      </c>
      <c r="L1606" s="21">
        <v>3.4</v>
      </c>
      <c r="M1606" s="14" t="s">
        <v>14</v>
      </c>
      <c r="N1606" s="13">
        <v>12240</v>
      </c>
      <c r="O1606" s="15">
        <f t="shared" si="1026"/>
        <v>0</v>
      </c>
      <c r="P1606" s="10" t="s">
        <v>78</v>
      </c>
      <c r="Q1606" s="11" t="s">
        <v>3617</v>
      </c>
      <c r="R1606" s="11" t="s">
        <v>3616</v>
      </c>
      <c r="S1606" s="16" t="s">
        <v>3618</v>
      </c>
      <c r="T1606" s="19" t="str">
        <f>MONTH(B1606)&amp;"-"&amp;YEAR(B1606)</f>
        <v>7-2024</v>
      </c>
      <c r="U1606" s="2">
        <f>YEAR(B1606)</f>
        <v>2024</v>
      </c>
      <c r="V1606" s="2" t="str">
        <f>IF(DAY(B1606)&gt;15,MONTH(B1606)&amp;"-C",MONTH(B1606)&amp;"-N")</f>
        <v>7-C</v>
      </c>
      <c r="W1606" s="21">
        <v>3.4</v>
      </c>
      <c r="X1606" s="2" t="b">
        <f t="shared" si="1027"/>
        <v>1</v>
      </c>
    </row>
    <row r="1607" spans="2:24" x14ac:dyDescent="0.2">
      <c r="B1607" s="17">
        <v>45483</v>
      </c>
      <c r="C1607" s="10" t="s">
        <v>94</v>
      </c>
      <c r="D1607" s="11" t="s">
        <v>3549</v>
      </c>
      <c r="E1607" s="26">
        <v>75304</v>
      </c>
      <c r="F1607" s="10" t="s">
        <v>26</v>
      </c>
      <c r="G1607" s="10" t="s">
        <v>27</v>
      </c>
      <c r="H1607" s="27" t="s">
        <v>28</v>
      </c>
      <c r="I1607" s="28">
        <v>0</v>
      </c>
      <c r="J1607" s="12">
        <v>0</v>
      </c>
      <c r="K1607" s="13">
        <v>8100</v>
      </c>
      <c r="L1607" s="21">
        <v>3.4</v>
      </c>
      <c r="M1607" s="14" t="s">
        <v>14</v>
      </c>
      <c r="N1607" s="13">
        <v>27540</v>
      </c>
      <c r="O1607" s="15">
        <f t="shared" si="1026"/>
        <v>0</v>
      </c>
      <c r="P1607" s="10" t="s">
        <v>78</v>
      </c>
      <c r="Q1607" s="11" t="s">
        <v>3620</v>
      </c>
      <c r="R1607" s="11" t="s">
        <v>3619</v>
      </c>
      <c r="S1607" s="16" t="s">
        <v>3621</v>
      </c>
      <c r="T1607" s="19" t="str">
        <f>MONTH(B1607)&amp;"-"&amp;YEAR(B1607)</f>
        <v>7-2024</v>
      </c>
      <c r="U1607" s="2">
        <f>YEAR(B1607)</f>
        <v>2024</v>
      </c>
      <c r="V1607" s="2" t="str">
        <f>IF(DAY(B1607)&gt;15,MONTH(B1607)&amp;"-C",MONTH(B1607)&amp;"-N")</f>
        <v>7-N</v>
      </c>
      <c r="W1607" s="21">
        <v>3.4</v>
      </c>
      <c r="X1607" s="2" t="b">
        <f t="shared" si="1027"/>
        <v>1</v>
      </c>
    </row>
    <row r="1608" spans="2:24" x14ac:dyDescent="0.2">
      <c r="B1608" s="17">
        <v>45480</v>
      </c>
      <c r="C1608" s="10" t="s">
        <v>94</v>
      </c>
      <c r="D1608" s="11" t="s">
        <v>3493</v>
      </c>
      <c r="E1608" s="26">
        <v>75303</v>
      </c>
      <c r="F1608" s="10" t="s">
        <v>26</v>
      </c>
      <c r="G1608" s="10" t="s">
        <v>27</v>
      </c>
      <c r="H1608" s="27" t="s">
        <v>28</v>
      </c>
      <c r="I1608" s="28">
        <v>0</v>
      </c>
      <c r="J1608" s="12">
        <v>0</v>
      </c>
      <c r="K1608" s="13">
        <v>6300</v>
      </c>
      <c r="L1608" s="21">
        <v>3.45</v>
      </c>
      <c r="M1608" s="14" t="s">
        <v>14</v>
      </c>
      <c r="N1608" s="13">
        <v>21735</v>
      </c>
      <c r="O1608" s="15">
        <f t="shared" si="1026"/>
        <v>0</v>
      </c>
      <c r="P1608" s="10" t="s">
        <v>78</v>
      </c>
      <c r="Q1608" s="11" t="s">
        <v>3623</v>
      </c>
      <c r="R1608" s="11" t="s">
        <v>3622</v>
      </c>
      <c r="S1608" s="16" t="s">
        <v>3624</v>
      </c>
      <c r="T1608" s="19" t="str">
        <f>MONTH(B1608)&amp;"-"&amp;YEAR(B1608)</f>
        <v>7-2024</v>
      </c>
      <c r="U1608" s="2">
        <f>YEAR(B1608)</f>
        <v>2024</v>
      </c>
      <c r="V1608" s="2" t="str">
        <f>IF(DAY(B1608)&gt;15,MONTH(B1608)&amp;"-C",MONTH(B1608)&amp;"-N")</f>
        <v>7-N</v>
      </c>
      <c r="W1608" s="21">
        <v>3.45</v>
      </c>
      <c r="X1608" s="2" t="b">
        <f t="shared" si="1027"/>
        <v>1</v>
      </c>
    </row>
    <row r="1609" spans="2:24" x14ac:dyDescent="0.2">
      <c r="B1609" s="17">
        <v>45504</v>
      </c>
      <c r="C1609" s="10" t="s">
        <v>73</v>
      </c>
      <c r="D1609" s="11" t="s">
        <v>3625</v>
      </c>
      <c r="E1609" s="26">
        <v>75717</v>
      </c>
      <c r="F1609" s="10" t="s">
        <v>399</v>
      </c>
      <c r="G1609" s="10" t="s">
        <v>46</v>
      </c>
      <c r="H1609" s="27" t="s">
        <v>149</v>
      </c>
      <c r="I1609" s="28">
        <v>0</v>
      </c>
      <c r="J1609" s="12">
        <v>0</v>
      </c>
      <c r="K1609" s="13">
        <v>2160</v>
      </c>
      <c r="L1609" s="21">
        <v>16.8</v>
      </c>
      <c r="M1609" s="14" t="s">
        <v>14</v>
      </c>
      <c r="N1609" s="13">
        <v>36288</v>
      </c>
      <c r="O1609" s="15">
        <f t="shared" ref="O1609" si="1028">(N1609/K1609)-L1609</f>
        <v>0</v>
      </c>
      <c r="P1609" s="10" t="s">
        <v>84</v>
      </c>
      <c r="Q1609" s="11" t="s">
        <v>3626</v>
      </c>
      <c r="R1609" s="11" t="s">
        <v>3627</v>
      </c>
      <c r="S1609" s="16" t="s">
        <v>3628</v>
      </c>
      <c r="T1609" s="19" t="str">
        <f>MONTH(B1609)&amp;"-"&amp;YEAR(B1609)</f>
        <v>7-2024</v>
      </c>
      <c r="U1609" s="2">
        <f>YEAR(B1609)</f>
        <v>2024</v>
      </c>
      <c r="V1609" s="2" t="str">
        <f>IF(DAY(B1609)&gt;15,MONTH(B1609)&amp;"-C",MONTH(B1609)&amp;"-N")</f>
        <v>7-C</v>
      </c>
      <c r="W1609" s="21">
        <v>16.8</v>
      </c>
      <c r="X1609" s="2" t="b">
        <f t="shared" ref="X1609" si="1029">+L1609=W1609</f>
        <v>1</v>
      </c>
    </row>
    <row r="1610" spans="2:24" x14ac:dyDescent="0.2">
      <c r="B1610" s="17">
        <v>45507</v>
      </c>
      <c r="C1610" s="10" t="s">
        <v>94</v>
      </c>
      <c r="D1610" s="11" t="s">
        <v>3549</v>
      </c>
      <c r="E1610" s="26">
        <v>75749</v>
      </c>
      <c r="F1610" s="10" t="s">
        <v>26</v>
      </c>
      <c r="G1610" s="10" t="s">
        <v>27</v>
      </c>
      <c r="H1610" s="27" t="s">
        <v>28</v>
      </c>
      <c r="I1610" s="28"/>
      <c r="J1610" s="12"/>
      <c r="K1610" s="13">
        <v>3600</v>
      </c>
      <c r="L1610" s="21">
        <v>3.4</v>
      </c>
      <c r="M1610" s="14" t="s">
        <v>14</v>
      </c>
      <c r="N1610" s="13">
        <v>12240</v>
      </c>
      <c r="O1610" s="15">
        <f t="shared" ref="O1610:O1634" si="1030">(N1610/K1610)-L1610</f>
        <v>0</v>
      </c>
      <c r="P1610" s="10" t="s">
        <v>78</v>
      </c>
      <c r="Q1610" s="11" t="s">
        <v>3629</v>
      </c>
      <c r="R1610" s="11" t="s">
        <v>3630</v>
      </c>
      <c r="S1610" s="16" t="s">
        <v>3631</v>
      </c>
      <c r="T1610" s="19" t="str">
        <f>MONTH(B1610)&amp;"-"&amp;YEAR(B1610)</f>
        <v>8-2024</v>
      </c>
      <c r="U1610" s="2">
        <f>YEAR(B1610)</f>
        <v>2024</v>
      </c>
      <c r="V1610" s="2" t="str">
        <f>IF(DAY(B1610)&gt;15,MONTH(B1610)&amp;"-C",MONTH(B1610)&amp;"-N")</f>
        <v>8-N</v>
      </c>
      <c r="W1610" s="21">
        <v>91.9</v>
      </c>
      <c r="X1610" s="2" t="b">
        <f t="shared" ref="X1610:X1619" si="1031">+L1610=W1610</f>
        <v>0</v>
      </c>
    </row>
    <row r="1611" spans="2:24" x14ac:dyDescent="0.2">
      <c r="B1611" s="17">
        <v>45510</v>
      </c>
      <c r="C1611" s="10" t="s">
        <v>94</v>
      </c>
      <c r="D1611" s="11" t="s">
        <v>3549</v>
      </c>
      <c r="E1611" s="26">
        <v>75805</v>
      </c>
      <c r="F1611" s="10" t="s">
        <v>26</v>
      </c>
      <c r="G1611" s="10" t="s">
        <v>27</v>
      </c>
      <c r="H1611" s="27" t="s">
        <v>28</v>
      </c>
      <c r="I1611" s="28"/>
      <c r="J1611" s="12"/>
      <c r="K1611" s="13">
        <v>7200</v>
      </c>
      <c r="L1611" s="21">
        <v>3.4</v>
      </c>
      <c r="M1611" s="14" t="s">
        <v>14</v>
      </c>
      <c r="N1611" s="13">
        <v>24480</v>
      </c>
      <c r="O1611" s="15">
        <f t="shared" si="1030"/>
        <v>0</v>
      </c>
      <c r="P1611" s="10" t="s">
        <v>78</v>
      </c>
      <c r="Q1611" s="11" t="s">
        <v>3632</v>
      </c>
      <c r="R1611" s="11" t="s">
        <v>3633</v>
      </c>
      <c r="S1611" s="16" t="s">
        <v>3634</v>
      </c>
      <c r="T1611" s="19" t="str">
        <f>MONTH(B1611)&amp;"-"&amp;YEAR(B1611)</f>
        <v>8-2024</v>
      </c>
      <c r="U1611" s="2">
        <f>YEAR(B1611)</f>
        <v>2024</v>
      </c>
      <c r="V1611" s="2" t="str">
        <f>IF(DAY(B1611)&gt;15,MONTH(B1611)&amp;"-C",MONTH(B1611)&amp;"-N")</f>
        <v>8-N</v>
      </c>
      <c r="W1611" s="21">
        <v>91.9</v>
      </c>
      <c r="X1611" s="2" t="b">
        <f t="shared" si="1031"/>
        <v>0</v>
      </c>
    </row>
    <row r="1612" spans="2:24" x14ac:dyDescent="0.2">
      <c r="B1612" s="17">
        <v>45515</v>
      </c>
      <c r="C1612" s="10" t="s">
        <v>94</v>
      </c>
      <c r="D1612" s="11" t="s">
        <v>3549</v>
      </c>
      <c r="E1612" s="26">
        <v>75907</v>
      </c>
      <c r="F1612" s="10" t="s">
        <v>26</v>
      </c>
      <c r="G1612" s="10" t="s">
        <v>27</v>
      </c>
      <c r="H1612" s="27" t="s">
        <v>28</v>
      </c>
      <c r="I1612" s="28"/>
      <c r="J1612" s="12"/>
      <c r="K1612" s="13">
        <v>18900</v>
      </c>
      <c r="L1612" s="21">
        <v>3.4</v>
      </c>
      <c r="M1612" s="14" t="s">
        <v>14</v>
      </c>
      <c r="N1612" s="13">
        <v>64260</v>
      </c>
      <c r="O1612" s="15">
        <f t="shared" si="1030"/>
        <v>0</v>
      </c>
      <c r="P1612" s="10" t="s">
        <v>78</v>
      </c>
      <c r="Q1612" s="11" t="s">
        <v>3635</v>
      </c>
      <c r="R1612" s="11" t="s">
        <v>3636</v>
      </c>
      <c r="S1612" s="16" t="s">
        <v>3637</v>
      </c>
      <c r="T1612" s="19" t="str">
        <f>MONTH(B1612)&amp;"-"&amp;YEAR(B1612)</f>
        <v>8-2024</v>
      </c>
      <c r="U1612" s="2">
        <f>YEAR(B1612)</f>
        <v>2024</v>
      </c>
      <c r="V1612" s="2" t="str">
        <f>IF(DAY(B1612)&gt;15,MONTH(B1612)&amp;"-C",MONTH(B1612)&amp;"-N")</f>
        <v>8-N</v>
      </c>
      <c r="W1612" s="21">
        <v>91.9</v>
      </c>
      <c r="X1612" s="2" t="b">
        <f t="shared" si="1031"/>
        <v>0</v>
      </c>
    </row>
    <row r="1613" spans="2:24" x14ac:dyDescent="0.2">
      <c r="B1613" s="17">
        <v>45519</v>
      </c>
      <c r="C1613" s="10" t="s">
        <v>94</v>
      </c>
      <c r="D1613" s="11" t="s">
        <v>3549</v>
      </c>
      <c r="E1613" s="26">
        <v>75995</v>
      </c>
      <c r="F1613" s="10" t="s">
        <v>26</v>
      </c>
      <c r="G1613" s="10" t="s">
        <v>27</v>
      </c>
      <c r="H1613" s="27" t="s">
        <v>28</v>
      </c>
      <c r="I1613" s="28"/>
      <c r="J1613" s="12"/>
      <c r="K1613" s="13">
        <v>18000</v>
      </c>
      <c r="L1613" s="21">
        <v>3.4</v>
      </c>
      <c r="M1613" s="14" t="s">
        <v>14</v>
      </c>
      <c r="N1613" s="13">
        <v>61200</v>
      </c>
      <c r="O1613" s="15">
        <f t="shared" si="1030"/>
        <v>0</v>
      </c>
      <c r="P1613" s="10" t="s">
        <v>78</v>
      </c>
      <c r="Q1613" s="11" t="s">
        <v>3638</v>
      </c>
      <c r="R1613" s="11" t="s">
        <v>3639</v>
      </c>
      <c r="S1613" s="16" t="s">
        <v>3640</v>
      </c>
      <c r="T1613" s="19" t="str">
        <f>MONTH(B1613)&amp;"-"&amp;YEAR(B1613)</f>
        <v>8-2024</v>
      </c>
      <c r="U1613" s="2">
        <f>YEAR(B1613)</f>
        <v>2024</v>
      </c>
      <c r="V1613" s="2" t="str">
        <f>IF(DAY(B1613)&gt;15,MONTH(B1613)&amp;"-C",MONTH(B1613)&amp;"-N")</f>
        <v>8-N</v>
      </c>
      <c r="W1613" s="21">
        <v>91.9</v>
      </c>
      <c r="X1613" s="2" t="b">
        <f t="shared" si="1031"/>
        <v>0</v>
      </c>
    </row>
    <row r="1614" spans="2:24" x14ac:dyDescent="0.2">
      <c r="B1614" s="17">
        <v>45507</v>
      </c>
      <c r="C1614" s="10" t="s">
        <v>107</v>
      </c>
      <c r="D1614" s="11" t="s">
        <v>3641</v>
      </c>
      <c r="E1614" s="26">
        <v>75745</v>
      </c>
      <c r="F1614" s="10" t="s">
        <v>103</v>
      </c>
      <c r="G1614" s="10" t="s">
        <v>46</v>
      </c>
      <c r="H1614" s="27" t="s">
        <v>104</v>
      </c>
      <c r="I1614" s="28"/>
      <c r="J1614" s="12"/>
      <c r="K1614" s="13">
        <v>200</v>
      </c>
      <c r="L1614" s="21">
        <v>47.46</v>
      </c>
      <c r="M1614" s="14" t="s">
        <v>14</v>
      </c>
      <c r="N1614" s="13">
        <v>9492</v>
      </c>
      <c r="O1614" s="15">
        <f t="shared" si="1030"/>
        <v>0</v>
      </c>
      <c r="P1614" s="10" t="s">
        <v>84</v>
      </c>
      <c r="Q1614" s="11" t="s">
        <v>3642</v>
      </c>
      <c r="R1614" s="11" t="s">
        <v>3643</v>
      </c>
      <c r="S1614" s="16" t="s">
        <v>3644</v>
      </c>
      <c r="T1614" s="19" t="str">
        <f>MONTH(B1614)&amp;"-"&amp;YEAR(B1614)</f>
        <v>8-2024</v>
      </c>
      <c r="U1614" s="2">
        <f>YEAR(B1614)</f>
        <v>2024</v>
      </c>
      <c r="V1614" s="2" t="str">
        <f>IF(DAY(B1614)&gt;15,MONTH(B1614)&amp;"-C",MONTH(B1614)&amp;"-N")</f>
        <v>8-N</v>
      </c>
      <c r="W1614" s="21">
        <v>91.9</v>
      </c>
      <c r="X1614" s="2" t="b">
        <f t="shared" si="1031"/>
        <v>0</v>
      </c>
    </row>
    <row r="1615" spans="2:24" x14ac:dyDescent="0.2">
      <c r="B1615" s="17">
        <v>45507</v>
      </c>
      <c r="C1615" s="10" t="s">
        <v>107</v>
      </c>
      <c r="D1615" s="11" t="s">
        <v>3641</v>
      </c>
      <c r="E1615" s="26">
        <v>75745</v>
      </c>
      <c r="F1615" s="10" t="s">
        <v>105</v>
      </c>
      <c r="G1615" s="10" t="s">
        <v>46</v>
      </c>
      <c r="H1615" s="27" t="s">
        <v>106</v>
      </c>
      <c r="I1615" s="28"/>
      <c r="J1615" s="12"/>
      <c r="K1615" s="13">
        <v>6160</v>
      </c>
      <c r="L1615" s="21">
        <v>11.72</v>
      </c>
      <c r="M1615" s="14" t="s">
        <v>14</v>
      </c>
      <c r="N1615" s="13">
        <v>72195.199999999997</v>
      </c>
      <c r="O1615" s="15">
        <f t="shared" si="1030"/>
        <v>0</v>
      </c>
      <c r="P1615" s="10" t="s">
        <v>84</v>
      </c>
      <c r="Q1615" s="11" t="s">
        <v>3642</v>
      </c>
      <c r="R1615" s="11" t="s">
        <v>3643</v>
      </c>
      <c r="S1615" s="16" t="s">
        <v>3644</v>
      </c>
      <c r="T1615" s="19" t="str">
        <f>MONTH(B1615)&amp;"-"&amp;YEAR(B1615)</f>
        <v>8-2024</v>
      </c>
      <c r="U1615" s="2">
        <f>YEAR(B1615)</f>
        <v>2024</v>
      </c>
      <c r="V1615" s="2" t="str">
        <f>IF(DAY(B1615)&gt;15,MONTH(B1615)&amp;"-C",MONTH(B1615)&amp;"-N")</f>
        <v>8-N</v>
      </c>
      <c r="W1615" s="21">
        <v>91.9</v>
      </c>
      <c r="X1615" s="2" t="b">
        <f t="shared" si="1031"/>
        <v>0</v>
      </c>
    </row>
    <row r="1616" spans="2:24" x14ac:dyDescent="0.2">
      <c r="B1616" s="17">
        <v>45514</v>
      </c>
      <c r="C1616" s="10" t="s">
        <v>82</v>
      </c>
      <c r="D1616" s="11" t="s">
        <v>3518</v>
      </c>
      <c r="E1616" s="26">
        <v>75859</v>
      </c>
      <c r="F1616" s="10" t="s">
        <v>26</v>
      </c>
      <c r="G1616" s="10" t="s">
        <v>27</v>
      </c>
      <c r="H1616" s="27" t="s">
        <v>28</v>
      </c>
      <c r="I1616" s="28"/>
      <c r="J1616" s="12"/>
      <c r="K1616" s="13">
        <v>3600</v>
      </c>
      <c r="L1616" s="21">
        <v>3.45</v>
      </c>
      <c r="M1616" s="14" t="s">
        <v>14</v>
      </c>
      <c r="N1616" s="13">
        <v>12420</v>
      </c>
      <c r="O1616" s="15">
        <f t="shared" si="1030"/>
        <v>0</v>
      </c>
      <c r="P1616" s="10" t="s">
        <v>78</v>
      </c>
      <c r="Q1616" s="11" t="s">
        <v>3645</v>
      </c>
      <c r="R1616" s="11" t="s">
        <v>3646</v>
      </c>
      <c r="S1616" s="16" t="s">
        <v>3647</v>
      </c>
      <c r="T1616" s="19" t="str">
        <f>MONTH(B1616)&amp;"-"&amp;YEAR(B1616)</f>
        <v>8-2024</v>
      </c>
      <c r="U1616" s="2">
        <f>YEAR(B1616)</f>
        <v>2024</v>
      </c>
      <c r="V1616" s="2" t="str">
        <f>IF(DAY(B1616)&gt;15,MONTH(B1616)&amp;"-C",MONTH(B1616)&amp;"-N")</f>
        <v>8-N</v>
      </c>
      <c r="W1616" s="21">
        <v>91.9</v>
      </c>
      <c r="X1616" s="2" t="b">
        <f t="shared" si="1031"/>
        <v>0</v>
      </c>
    </row>
    <row r="1617" spans="2:24" x14ac:dyDescent="0.2">
      <c r="B1617" s="17">
        <v>45514</v>
      </c>
      <c r="C1617" s="10" t="s">
        <v>82</v>
      </c>
      <c r="D1617" s="11" t="s">
        <v>3518</v>
      </c>
      <c r="E1617" s="26">
        <v>75882</v>
      </c>
      <c r="F1617" s="10" t="s">
        <v>26</v>
      </c>
      <c r="G1617" s="10" t="s">
        <v>27</v>
      </c>
      <c r="H1617" s="27" t="s">
        <v>28</v>
      </c>
      <c r="I1617" s="28"/>
      <c r="J1617" s="12"/>
      <c r="K1617" s="13">
        <v>3600</v>
      </c>
      <c r="L1617" s="21">
        <v>3.45</v>
      </c>
      <c r="M1617" s="14" t="s">
        <v>14</v>
      </c>
      <c r="N1617" s="13">
        <v>12420</v>
      </c>
      <c r="O1617" s="15">
        <f t="shared" si="1030"/>
        <v>0</v>
      </c>
      <c r="P1617" s="10" t="s">
        <v>78</v>
      </c>
      <c r="Q1617" s="11" t="s">
        <v>3648</v>
      </c>
      <c r="R1617" s="11" t="s">
        <v>3649</v>
      </c>
      <c r="S1617" s="16" t="s">
        <v>3650</v>
      </c>
      <c r="T1617" s="19" t="str">
        <f>MONTH(B1617)&amp;"-"&amp;YEAR(B1617)</f>
        <v>8-2024</v>
      </c>
      <c r="U1617" s="2">
        <f>YEAR(B1617)</f>
        <v>2024</v>
      </c>
      <c r="V1617" s="2" t="str">
        <f>IF(DAY(B1617)&gt;15,MONTH(B1617)&amp;"-C",MONTH(B1617)&amp;"-N")</f>
        <v>8-N</v>
      </c>
      <c r="W1617" s="21">
        <v>91.9</v>
      </c>
      <c r="X1617" s="2" t="b">
        <f t="shared" si="1031"/>
        <v>0</v>
      </c>
    </row>
    <row r="1618" spans="2:24" x14ac:dyDescent="0.2">
      <c r="B1618" s="17">
        <v>45512</v>
      </c>
      <c r="C1618" s="10" t="s">
        <v>82</v>
      </c>
      <c r="D1618" s="11" t="s">
        <v>3518</v>
      </c>
      <c r="E1618" s="26">
        <v>75835</v>
      </c>
      <c r="F1618" s="10" t="s">
        <v>26</v>
      </c>
      <c r="G1618" s="10" t="s">
        <v>27</v>
      </c>
      <c r="H1618" s="27" t="s">
        <v>28</v>
      </c>
      <c r="I1618" s="28"/>
      <c r="J1618" s="12"/>
      <c r="K1618" s="13">
        <v>2700</v>
      </c>
      <c r="L1618" s="21">
        <v>3.45</v>
      </c>
      <c r="M1618" s="14" t="s">
        <v>14</v>
      </c>
      <c r="N1618" s="13">
        <v>9315</v>
      </c>
      <c r="O1618" s="15">
        <f t="shared" si="1030"/>
        <v>0</v>
      </c>
      <c r="P1618" s="10" t="s">
        <v>78</v>
      </c>
      <c r="Q1618" s="11" t="s">
        <v>3651</v>
      </c>
      <c r="R1618" s="11" t="s">
        <v>3652</v>
      </c>
      <c r="S1618" s="16" t="s">
        <v>3653</v>
      </c>
      <c r="T1618" s="19" t="str">
        <f>MONTH(B1618)&amp;"-"&amp;YEAR(B1618)</f>
        <v>8-2024</v>
      </c>
      <c r="U1618" s="2">
        <f>YEAR(B1618)</f>
        <v>2024</v>
      </c>
      <c r="V1618" s="2" t="str">
        <f>IF(DAY(B1618)&gt;15,MONTH(B1618)&amp;"-C",MONTH(B1618)&amp;"-N")</f>
        <v>8-N</v>
      </c>
      <c r="W1618" s="21">
        <v>91.9</v>
      </c>
      <c r="X1618" s="2" t="b">
        <f t="shared" si="1031"/>
        <v>0</v>
      </c>
    </row>
    <row r="1619" spans="2:24" x14ac:dyDescent="0.2">
      <c r="B1619" s="17">
        <v>45513</v>
      </c>
      <c r="C1619" s="10" t="s">
        <v>25</v>
      </c>
      <c r="D1619" s="11" t="s">
        <v>3562</v>
      </c>
      <c r="E1619" s="26">
        <v>75860</v>
      </c>
      <c r="F1619" s="10" t="s">
        <v>33</v>
      </c>
      <c r="G1619" s="10" t="s">
        <v>27</v>
      </c>
      <c r="H1619" s="27" t="s">
        <v>34</v>
      </c>
      <c r="I1619" s="28"/>
      <c r="J1619" s="12"/>
      <c r="K1619" s="13">
        <v>2160</v>
      </c>
      <c r="L1619" s="21">
        <v>5.52</v>
      </c>
      <c r="M1619" s="14" t="s">
        <v>14</v>
      </c>
      <c r="N1619" s="13">
        <v>11923.2</v>
      </c>
      <c r="O1619" s="15">
        <f t="shared" si="1030"/>
        <v>0</v>
      </c>
      <c r="P1619" s="10" t="s">
        <v>78</v>
      </c>
      <c r="Q1619" s="11" t="s">
        <v>3654</v>
      </c>
      <c r="R1619" s="11" t="s">
        <v>3655</v>
      </c>
      <c r="S1619" s="16" t="s">
        <v>3656</v>
      </c>
      <c r="T1619" s="19" t="str">
        <f>MONTH(B1619)&amp;"-"&amp;YEAR(B1619)</f>
        <v>8-2024</v>
      </c>
      <c r="U1619" s="2">
        <f>YEAR(B1619)</f>
        <v>2024</v>
      </c>
      <c r="V1619" s="2" t="str">
        <f>IF(DAY(B1619)&gt;15,MONTH(B1619)&amp;"-C",MONTH(B1619)&amp;"-N")</f>
        <v>8-N</v>
      </c>
      <c r="W1619" s="21">
        <v>91.9</v>
      </c>
      <c r="X1619" s="2" t="b">
        <f t="shared" si="1031"/>
        <v>0</v>
      </c>
    </row>
    <row r="1620" spans="2:24" x14ac:dyDescent="0.2">
      <c r="B1620" s="17">
        <v>45518</v>
      </c>
      <c r="C1620" s="10" t="s">
        <v>25</v>
      </c>
      <c r="D1620" s="11" t="s">
        <v>3562</v>
      </c>
      <c r="E1620" s="26">
        <v>75959</v>
      </c>
      <c r="F1620" s="10" t="s">
        <v>29</v>
      </c>
      <c r="G1620" s="10" t="s">
        <v>27</v>
      </c>
      <c r="H1620" s="27" t="s">
        <v>30</v>
      </c>
      <c r="I1620" s="28"/>
      <c r="J1620" s="12"/>
      <c r="K1620" s="13">
        <v>660</v>
      </c>
      <c r="L1620" s="21">
        <v>3.9</v>
      </c>
      <c r="M1620" s="14" t="s">
        <v>14</v>
      </c>
      <c r="N1620" s="13">
        <v>2574</v>
      </c>
      <c r="O1620" s="15">
        <f t="shared" si="1030"/>
        <v>0</v>
      </c>
      <c r="P1620" s="10" t="s">
        <v>78</v>
      </c>
      <c r="Q1620" s="11" t="s">
        <v>3657</v>
      </c>
      <c r="R1620" s="11" t="s">
        <v>3658</v>
      </c>
      <c r="S1620" s="16" t="s">
        <v>3659</v>
      </c>
      <c r="T1620" s="19" t="str">
        <f>MONTH(B1620)&amp;"-"&amp;YEAR(B1620)</f>
        <v>8-2024</v>
      </c>
      <c r="U1620" s="2">
        <f>YEAR(B1620)</f>
        <v>2024</v>
      </c>
      <c r="V1620" s="2" t="str">
        <f>IF(DAY(B1620)&gt;15,MONTH(B1620)&amp;"-C",MONTH(B1620)&amp;"-N")</f>
        <v>8-N</v>
      </c>
      <c r="W1620" s="21">
        <v>91.9</v>
      </c>
      <c r="X1620" s="2" t="b">
        <f t="shared" ref="X1620:X1634" si="1032">+L1620=W1620</f>
        <v>0</v>
      </c>
    </row>
    <row r="1621" spans="2:24" x14ac:dyDescent="0.2">
      <c r="B1621" s="17">
        <v>45518</v>
      </c>
      <c r="C1621" s="10" t="s">
        <v>25</v>
      </c>
      <c r="D1621" s="11" t="s">
        <v>3562</v>
      </c>
      <c r="E1621" s="26">
        <v>75959</v>
      </c>
      <c r="F1621" s="10" t="s">
        <v>33</v>
      </c>
      <c r="G1621" s="10" t="s">
        <v>27</v>
      </c>
      <c r="H1621" s="27" t="s">
        <v>34</v>
      </c>
      <c r="I1621" s="28"/>
      <c r="J1621" s="12"/>
      <c r="K1621" s="13">
        <v>720</v>
      </c>
      <c r="L1621" s="21">
        <v>5.52</v>
      </c>
      <c r="M1621" s="14" t="s">
        <v>14</v>
      </c>
      <c r="N1621" s="13">
        <v>3974.4</v>
      </c>
      <c r="O1621" s="15">
        <f t="shared" si="1030"/>
        <v>0</v>
      </c>
      <c r="P1621" s="10" t="s">
        <v>78</v>
      </c>
      <c r="Q1621" s="11" t="s">
        <v>3657</v>
      </c>
      <c r="R1621" s="11" t="s">
        <v>3658</v>
      </c>
      <c r="S1621" s="16" t="s">
        <v>3659</v>
      </c>
      <c r="T1621" s="19" t="str">
        <f>MONTH(B1621)&amp;"-"&amp;YEAR(B1621)</f>
        <v>8-2024</v>
      </c>
      <c r="U1621" s="2">
        <f>YEAR(B1621)</f>
        <v>2024</v>
      </c>
      <c r="V1621" s="2" t="str">
        <f>IF(DAY(B1621)&gt;15,MONTH(B1621)&amp;"-C",MONTH(B1621)&amp;"-N")</f>
        <v>8-N</v>
      </c>
      <c r="W1621" s="21">
        <v>91.9</v>
      </c>
      <c r="X1621" s="2" t="b">
        <f t="shared" si="1032"/>
        <v>0</v>
      </c>
    </row>
    <row r="1622" spans="2:24" x14ac:dyDescent="0.2">
      <c r="B1622" s="17">
        <v>45518</v>
      </c>
      <c r="C1622" s="10" t="s">
        <v>25</v>
      </c>
      <c r="D1622" s="11" t="s">
        <v>3660</v>
      </c>
      <c r="E1622" s="26">
        <v>75958</v>
      </c>
      <c r="F1622" s="10" t="s">
        <v>31</v>
      </c>
      <c r="G1622" s="10" t="s">
        <v>27</v>
      </c>
      <c r="H1622" s="27" t="s">
        <v>32</v>
      </c>
      <c r="I1622" s="28"/>
      <c r="J1622" s="12"/>
      <c r="K1622" s="13">
        <v>640</v>
      </c>
      <c r="L1622" s="21">
        <v>4.3</v>
      </c>
      <c r="M1622" s="14" t="s">
        <v>14</v>
      </c>
      <c r="N1622" s="13">
        <v>2752</v>
      </c>
      <c r="O1622" s="15">
        <f t="shared" si="1030"/>
        <v>0</v>
      </c>
      <c r="P1622" s="10" t="s">
        <v>78</v>
      </c>
      <c r="Q1622" s="11" t="s">
        <v>3661</v>
      </c>
      <c r="R1622" s="11" t="s">
        <v>3662</v>
      </c>
      <c r="S1622" s="16" t="s">
        <v>3663</v>
      </c>
      <c r="T1622" s="19" t="str">
        <f>MONTH(B1622)&amp;"-"&amp;YEAR(B1622)</f>
        <v>8-2024</v>
      </c>
      <c r="U1622" s="2">
        <f>YEAR(B1622)</f>
        <v>2024</v>
      </c>
      <c r="V1622" s="2" t="str">
        <f>IF(DAY(B1622)&gt;15,MONTH(B1622)&amp;"-C",MONTH(B1622)&amp;"-N")</f>
        <v>8-N</v>
      </c>
      <c r="W1622" s="21">
        <v>91.9</v>
      </c>
      <c r="X1622" s="2" t="b">
        <f t="shared" si="1032"/>
        <v>0</v>
      </c>
    </row>
    <row r="1623" spans="2:24" x14ac:dyDescent="0.2">
      <c r="B1623" s="17">
        <v>45518</v>
      </c>
      <c r="C1623" s="10" t="s">
        <v>25</v>
      </c>
      <c r="D1623" s="11" t="s">
        <v>3660</v>
      </c>
      <c r="E1623" s="26">
        <v>75958</v>
      </c>
      <c r="F1623" s="10" t="s">
        <v>49</v>
      </c>
      <c r="G1623" s="10" t="s">
        <v>27</v>
      </c>
      <c r="H1623" s="27" t="s">
        <v>50</v>
      </c>
      <c r="I1623" s="28"/>
      <c r="J1623" s="12"/>
      <c r="K1623" s="13">
        <v>760</v>
      </c>
      <c r="L1623" s="21">
        <v>5.2</v>
      </c>
      <c r="M1623" s="14" t="s">
        <v>14</v>
      </c>
      <c r="N1623" s="13">
        <v>3952</v>
      </c>
      <c r="O1623" s="15">
        <f t="shared" si="1030"/>
        <v>0</v>
      </c>
      <c r="P1623" s="10" t="s">
        <v>78</v>
      </c>
      <c r="Q1623" s="11" t="s">
        <v>3661</v>
      </c>
      <c r="R1623" s="11" t="s">
        <v>3662</v>
      </c>
      <c r="S1623" s="16" t="s">
        <v>3663</v>
      </c>
      <c r="T1623" s="19" t="str">
        <f>MONTH(B1623)&amp;"-"&amp;YEAR(B1623)</f>
        <v>8-2024</v>
      </c>
      <c r="U1623" s="2">
        <f>YEAR(B1623)</f>
        <v>2024</v>
      </c>
      <c r="V1623" s="2" t="str">
        <f>IF(DAY(B1623)&gt;15,MONTH(B1623)&amp;"-C",MONTH(B1623)&amp;"-N")</f>
        <v>8-N</v>
      </c>
      <c r="W1623" s="21">
        <v>91.9</v>
      </c>
      <c r="X1623" s="2" t="b">
        <f t="shared" si="1032"/>
        <v>0</v>
      </c>
    </row>
    <row r="1624" spans="2:24" x14ac:dyDescent="0.2">
      <c r="B1624" s="17">
        <v>45506</v>
      </c>
      <c r="C1624" s="10" t="s">
        <v>25</v>
      </c>
      <c r="D1624" s="11" t="s">
        <v>3562</v>
      </c>
      <c r="E1624" s="26">
        <v>75737</v>
      </c>
      <c r="F1624" s="10" t="s">
        <v>29</v>
      </c>
      <c r="G1624" s="10" t="s">
        <v>27</v>
      </c>
      <c r="H1624" s="27" t="s">
        <v>30</v>
      </c>
      <c r="I1624" s="28"/>
      <c r="J1624" s="12"/>
      <c r="K1624" s="13">
        <v>1980</v>
      </c>
      <c r="L1624" s="21">
        <v>3.9</v>
      </c>
      <c r="M1624" s="14" t="s">
        <v>14</v>
      </c>
      <c r="N1624" s="13">
        <v>7722</v>
      </c>
      <c r="O1624" s="15">
        <f t="shared" si="1030"/>
        <v>0</v>
      </c>
      <c r="P1624" s="10" t="s">
        <v>78</v>
      </c>
      <c r="Q1624" s="11" t="s">
        <v>3664</v>
      </c>
      <c r="R1624" s="11" t="s">
        <v>3665</v>
      </c>
      <c r="S1624" s="16" t="s">
        <v>3666</v>
      </c>
      <c r="T1624" s="19" t="str">
        <f>MONTH(B1624)&amp;"-"&amp;YEAR(B1624)</f>
        <v>8-2024</v>
      </c>
      <c r="U1624" s="2">
        <f>YEAR(B1624)</f>
        <v>2024</v>
      </c>
      <c r="V1624" s="2" t="str">
        <f>IF(DAY(B1624)&gt;15,MONTH(B1624)&amp;"-C",MONTH(B1624)&amp;"-N")</f>
        <v>8-N</v>
      </c>
      <c r="W1624" s="21">
        <v>91.9</v>
      </c>
      <c r="X1624" s="2" t="b">
        <f t="shared" si="1032"/>
        <v>0</v>
      </c>
    </row>
    <row r="1625" spans="2:24" x14ac:dyDescent="0.2">
      <c r="B1625" s="17">
        <v>45518</v>
      </c>
      <c r="C1625" s="10" t="s">
        <v>3234</v>
      </c>
      <c r="D1625" s="11" t="s">
        <v>3667</v>
      </c>
      <c r="E1625" s="26">
        <v>75957</v>
      </c>
      <c r="F1625" s="10" t="s">
        <v>2176</v>
      </c>
      <c r="G1625" s="10" t="s">
        <v>46</v>
      </c>
      <c r="H1625" s="27" t="s">
        <v>2177</v>
      </c>
      <c r="I1625" s="28"/>
      <c r="J1625" s="12"/>
      <c r="K1625" s="13">
        <v>2300</v>
      </c>
      <c r="L1625" s="21">
        <v>9.85</v>
      </c>
      <c r="M1625" s="14" t="s">
        <v>14</v>
      </c>
      <c r="N1625" s="13">
        <v>22655</v>
      </c>
      <c r="O1625" s="15">
        <f t="shared" si="1030"/>
        <v>0</v>
      </c>
      <c r="P1625" s="10" t="s">
        <v>84</v>
      </c>
      <c r="Q1625" s="11" t="s">
        <v>3668</v>
      </c>
      <c r="R1625" s="11" t="s">
        <v>3669</v>
      </c>
      <c r="S1625" s="16" t="s">
        <v>3670</v>
      </c>
      <c r="T1625" s="19" t="str">
        <f>MONTH(B1625)&amp;"-"&amp;YEAR(B1625)</f>
        <v>8-2024</v>
      </c>
      <c r="U1625" s="2">
        <f>YEAR(B1625)</f>
        <v>2024</v>
      </c>
      <c r="V1625" s="2" t="str">
        <f>IF(DAY(B1625)&gt;15,MONTH(B1625)&amp;"-C",MONTH(B1625)&amp;"-N")</f>
        <v>8-N</v>
      </c>
      <c r="W1625" s="21">
        <v>91.9</v>
      </c>
      <c r="X1625" s="2" t="b">
        <f t="shared" si="1032"/>
        <v>0</v>
      </c>
    </row>
    <row r="1626" spans="2:24" x14ac:dyDescent="0.2">
      <c r="B1626" s="17">
        <v>45518</v>
      </c>
      <c r="C1626" s="10" t="s">
        <v>3234</v>
      </c>
      <c r="D1626" s="11" t="s">
        <v>3667</v>
      </c>
      <c r="E1626" s="26">
        <v>75957</v>
      </c>
      <c r="F1626" s="10" t="s">
        <v>3238</v>
      </c>
      <c r="G1626" s="10" t="s">
        <v>46</v>
      </c>
      <c r="H1626" s="27" t="s">
        <v>2172</v>
      </c>
      <c r="I1626" s="28"/>
      <c r="J1626" s="12"/>
      <c r="K1626" s="13">
        <v>2000</v>
      </c>
      <c r="L1626" s="21">
        <v>9.85</v>
      </c>
      <c r="M1626" s="14" t="s">
        <v>14</v>
      </c>
      <c r="N1626" s="13">
        <v>19700</v>
      </c>
      <c r="O1626" s="15">
        <f t="shared" si="1030"/>
        <v>0</v>
      </c>
      <c r="P1626" s="10" t="s">
        <v>84</v>
      </c>
      <c r="Q1626" s="11" t="s">
        <v>3668</v>
      </c>
      <c r="R1626" s="11" t="s">
        <v>3669</v>
      </c>
      <c r="S1626" s="16" t="s">
        <v>3670</v>
      </c>
      <c r="T1626" s="19" t="str">
        <f>MONTH(B1626)&amp;"-"&amp;YEAR(B1626)</f>
        <v>8-2024</v>
      </c>
      <c r="U1626" s="2">
        <f>YEAR(B1626)</f>
        <v>2024</v>
      </c>
      <c r="V1626" s="2" t="str">
        <f>IF(DAY(B1626)&gt;15,MONTH(B1626)&amp;"-C",MONTH(B1626)&amp;"-N")</f>
        <v>8-N</v>
      </c>
      <c r="W1626" s="21">
        <v>91.9</v>
      </c>
      <c r="X1626" s="2" t="b">
        <f t="shared" si="1032"/>
        <v>0</v>
      </c>
    </row>
    <row r="1627" spans="2:24" x14ac:dyDescent="0.2">
      <c r="B1627" s="17">
        <v>45510</v>
      </c>
      <c r="C1627" s="10" t="s">
        <v>88</v>
      </c>
      <c r="D1627" s="11" t="s">
        <v>3671</v>
      </c>
      <c r="E1627" s="26">
        <v>75793</v>
      </c>
      <c r="F1627" s="10" t="s">
        <v>98</v>
      </c>
      <c r="G1627" s="10" t="s">
        <v>46</v>
      </c>
      <c r="H1627" s="27" t="s">
        <v>99</v>
      </c>
      <c r="I1627" s="28"/>
      <c r="J1627" s="12"/>
      <c r="K1627" s="13">
        <v>100</v>
      </c>
      <c r="L1627" s="21">
        <v>11.25</v>
      </c>
      <c r="M1627" s="14" t="s">
        <v>14</v>
      </c>
      <c r="N1627" s="13">
        <v>1125</v>
      </c>
      <c r="O1627" s="15">
        <f t="shared" si="1030"/>
        <v>0</v>
      </c>
      <c r="P1627" s="10" t="s">
        <v>84</v>
      </c>
      <c r="Q1627" s="11" t="s">
        <v>3672</v>
      </c>
      <c r="R1627" s="11" t="s">
        <v>3673</v>
      </c>
      <c r="S1627" s="16" t="s">
        <v>3674</v>
      </c>
      <c r="T1627" s="19" t="str">
        <f>MONTH(B1627)&amp;"-"&amp;YEAR(B1627)</f>
        <v>8-2024</v>
      </c>
      <c r="U1627" s="2">
        <f>YEAR(B1627)</f>
        <v>2024</v>
      </c>
      <c r="V1627" s="2" t="str">
        <f>IF(DAY(B1627)&gt;15,MONTH(B1627)&amp;"-C",MONTH(B1627)&amp;"-N")</f>
        <v>8-N</v>
      </c>
      <c r="W1627" s="21">
        <v>91.9</v>
      </c>
      <c r="X1627" s="2" t="b">
        <f t="shared" si="1032"/>
        <v>0</v>
      </c>
    </row>
    <row r="1628" spans="2:24" x14ac:dyDescent="0.2">
      <c r="B1628" s="17">
        <v>45510</v>
      </c>
      <c r="C1628" s="10" t="s">
        <v>88</v>
      </c>
      <c r="D1628" s="11" t="s">
        <v>3671</v>
      </c>
      <c r="E1628" s="26">
        <v>75793</v>
      </c>
      <c r="F1628" s="10" t="s">
        <v>100</v>
      </c>
      <c r="G1628" s="10" t="s">
        <v>46</v>
      </c>
      <c r="H1628" s="27" t="s">
        <v>101</v>
      </c>
      <c r="I1628" s="28"/>
      <c r="J1628" s="12"/>
      <c r="K1628" s="13">
        <v>3000</v>
      </c>
      <c r="L1628" s="21">
        <v>13.22</v>
      </c>
      <c r="M1628" s="14" t="s">
        <v>14</v>
      </c>
      <c r="N1628" s="13">
        <v>39660</v>
      </c>
      <c r="O1628" s="15">
        <f t="shared" si="1030"/>
        <v>0</v>
      </c>
      <c r="P1628" s="10" t="s">
        <v>84</v>
      </c>
      <c r="Q1628" s="11" t="s">
        <v>3672</v>
      </c>
      <c r="R1628" s="11" t="s">
        <v>3673</v>
      </c>
      <c r="S1628" s="16" t="s">
        <v>3674</v>
      </c>
      <c r="T1628" s="19" t="str">
        <f>MONTH(B1628)&amp;"-"&amp;YEAR(B1628)</f>
        <v>8-2024</v>
      </c>
      <c r="U1628" s="2">
        <f>YEAR(B1628)</f>
        <v>2024</v>
      </c>
      <c r="V1628" s="2" t="str">
        <f>IF(DAY(B1628)&gt;15,MONTH(B1628)&amp;"-C",MONTH(B1628)&amp;"-N")</f>
        <v>8-N</v>
      </c>
      <c r="W1628" s="21">
        <v>91.9</v>
      </c>
      <c r="X1628" s="2" t="b">
        <f t="shared" si="1032"/>
        <v>0</v>
      </c>
    </row>
    <row r="1629" spans="2:24" x14ac:dyDescent="0.2">
      <c r="B1629" s="17">
        <v>45521</v>
      </c>
      <c r="C1629" s="10" t="s">
        <v>107</v>
      </c>
      <c r="D1629" s="11" t="s">
        <v>3641</v>
      </c>
      <c r="E1629" s="26">
        <v>76030</v>
      </c>
      <c r="F1629" s="10" t="s">
        <v>103</v>
      </c>
      <c r="G1629" s="10" t="s">
        <v>46</v>
      </c>
      <c r="H1629" s="27" t="s">
        <v>104</v>
      </c>
      <c r="I1629" s="28"/>
      <c r="J1629" s="12"/>
      <c r="K1629" s="13">
        <v>200</v>
      </c>
      <c r="L1629" s="21">
        <v>47.46</v>
      </c>
      <c r="M1629" s="14" t="s">
        <v>14</v>
      </c>
      <c r="N1629" s="13">
        <v>9492</v>
      </c>
      <c r="O1629" s="15">
        <f t="shared" si="1030"/>
        <v>0</v>
      </c>
      <c r="P1629" s="10" t="s">
        <v>84</v>
      </c>
      <c r="Q1629" s="11" t="s">
        <v>3675</v>
      </c>
      <c r="R1629" s="11" t="s">
        <v>3676</v>
      </c>
      <c r="S1629" s="16" t="s">
        <v>3677</v>
      </c>
      <c r="T1629" s="19" t="str">
        <f>MONTH(B1629)&amp;"-"&amp;YEAR(B1629)</f>
        <v>8-2024</v>
      </c>
      <c r="U1629" s="2">
        <f>YEAR(B1629)</f>
        <v>2024</v>
      </c>
      <c r="V1629" s="2" t="str">
        <f>IF(DAY(B1629)&gt;15,MONTH(B1629)&amp;"-C",MONTH(B1629)&amp;"-N")</f>
        <v>8-C</v>
      </c>
      <c r="W1629" s="21">
        <v>91.9</v>
      </c>
      <c r="X1629" s="2" t="b">
        <f t="shared" si="1032"/>
        <v>0</v>
      </c>
    </row>
    <row r="1630" spans="2:24" x14ac:dyDescent="0.2">
      <c r="B1630" s="17">
        <v>45521</v>
      </c>
      <c r="C1630" s="10" t="s">
        <v>107</v>
      </c>
      <c r="D1630" s="11" t="s">
        <v>3641</v>
      </c>
      <c r="E1630" s="26">
        <v>76030</v>
      </c>
      <c r="F1630" s="10" t="s">
        <v>105</v>
      </c>
      <c r="G1630" s="10" t="s">
        <v>46</v>
      </c>
      <c r="H1630" s="27" t="s">
        <v>106</v>
      </c>
      <c r="I1630" s="28"/>
      <c r="J1630" s="12"/>
      <c r="K1630" s="13">
        <v>6160</v>
      </c>
      <c r="L1630" s="21">
        <v>11.72</v>
      </c>
      <c r="M1630" s="14" t="s">
        <v>14</v>
      </c>
      <c r="N1630" s="13">
        <v>72195.199999999997</v>
      </c>
      <c r="O1630" s="15">
        <f t="shared" si="1030"/>
        <v>0</v>
      </c>
      <c r="P1630" s="10" t="s">
        <v>84</v>
      </c>
      <c r="Q1630" s="11" t="s">
        <v>3675</v>
      </c>
      <c r="R1630" s="11" t="s">
        <v>3676</v>
      </c>
      <c r="S1630" s="16" t="s">
        <v>3677</v>
      </c>
      <c r="T1630" s="19" t="str">
        <f>MONTH(B1630)&amp;"-"&amp;YEAR(B1630)</f>
        <v>8-2024</v>
      </c>
      <c r="U1630" s="2">
        <f>YEAR(B1630)</f>
        <v>2024</v>
      </c>
      <c r="V1630" s="2" t="str">
        <f>IF(DAY(B1630)&gt;15,MONTH(B1630)&amp;"-C",MONTH(B1630)&amp;"-N")</f>
        <v>8-C</v>
      </c>
      <c r="W1630" s="21">
        <v>91.9</v>
      </c>
      <c r="X1630" s="2" t="b">
        <f t="shared" si="1032"/>
        <v>0</v>
      </c>
    </row>
    <row r="1631" spans="2:24" x14ac:dyDescent="0.2">
      <c r="B1631" s="17">
        <v>45526</v>
      </c>
      <c r="C1631" s="10" t="s">
        <v>107</v>
      </c>
      <c r="D1631" s="11" t="s">
        <v>3641</v>
      </c>
      <c r="E1631" s="26">
        <v>76101</v>
      </c>
      <c r="F1631" s="10" t="s">
        <v>142</v>
      </c>
      <c r="G1631" s="10" t="s">
        <v>46</v>
      </c>
      <c r="H1631" s="27" t="s">
        <v>143</v>
      </c>
      <c r="I1631" s="28"/>
      <c r="J1631" s="12"/>
      <c r="K1631" s="13">
        <v>2640</v>
      </c>
      <c r="L1631" s="21">
        <v>10.08</v>
      </c>
      <c r="M1631" s="14" t="s">
        <v>14</v>
      </c>
      <c r="N1631" s="13">
        <v>26611.200000000001</v>
      </c>
      <c r="O1631" s="15">
        <f t="shared" si="1030"/>
        <v>0</v>
      </c>
      <c r="P1631" s="10" t="s">
        <v>84</v>
      </c>
      <c r="Q1631" s="11" t="s">
        <v>3679</v>
      </c>
      <c r="R1631" s="11" t="s">
        <v>3680</v>
      </c>
      <c r="S1631" s="16" t="s">
        <v>3678</v>
      </c>
      <c r="T1631" s="19" t="str">
        <f>MONTH(B1631)&amp;"-"&amp;YEAR(B1631)</f>
        <v>8-2024</v>
      </c>
      <c r="U1631" s="2">
        <f>YEAR(B1631)</f>
        <v>2024</v>
      </c>
      <c r="V1631" s="2" t="str">
        <f>IF(DAY(B1631)&gt;15,MONTH(B1631)&amp;"-C",MONTH(B1631)&amp;"-N")</f>
        <v>8-C</v>
      </c>
      <c r="W1631" s="21">
        <v>91.9</v>
      </c>
      <c r="X1631" s="2" t="b">
        <f t="shared" si="1032"/>
        <v>0</v>
      </c>
    </row>
    <row r="1632" spans="2:24" x14ac:dyDescent="0.2">
      <c r="B1632" s="17">
        <v>45526</v>
      </c>
      <c r="C1632" s="10" t="s">
        <v>107</v>
      </c>
      <c r="D1632" s="11" t="s">
        <v>3641</v>
      </c>
      <c r="E1632" s="26">
        <v>76101</v>
      </c>
      <c r="F1632" s="10" t="s">
        <v>103</v>
      </c>
      <c r="G1632" s="10" t="s">
        <v>46</v>
      </c>
      <c r="H1632" s="27" t="s">
        <v>104</v>
      </c>
      <c r="I1632" s="28"/>
      <c r="J1632" s="12"/>
      <c r="K1632" s="13">
        <v>100</v>
      </c>
      <c r="L1632" s="21">
        <v>47.46</v>
      </c>
      <c r="M1632" s="14" t="s">
        <v>14</v>
      </c>
      <c r="N1632" s="13">
        <v>4746</v>
      </c>
      <c r="O1632" s="15">
        <f t="shared" si="1030"/>
        <v>0</v>
      </c>
      <c r="P1632" s="10" t="s">
        <v>84</v>
      </c>
      <c r="Q1632" s="11" t="s">
        <v>3679</v>
      </c>
      <c r="R1632" s="11" t="s">
        <v>3680</v>
      </c>
      <c r="S1632" s="16" t="s">
        <v>3678</v>
      </c>
      <c r="T1632" s="19" t="str">
        <f>MONTH(B1632)&amp;"-"&amp;YEAR(B1632)</f>
        <v>8-2024</v>
      </c>
      <c r="U1632" s="2">
        <f>YEAR(B1632)</f>
        <v>2024</v>
      </c>
      <c r="V1632" s="2" t="str">
        <f>IF(DAY(B1632)&gt;15,MONTH(B1632)&amp;"-C",MONTH(B1632)&amp;"-N")</f>
        <v>8-C</v>
      </c>
      <c r="W1632" s="21">
        <v>91.9</v>
      </c>
      <c r="X1632" s="2" t="b">
        <f t="shared" si="1032"/>
        <v>0</v>
      </c>
    </row>
    <row r="1633" spans="2:24" x14ac:dyDescent="0.2">
      <c r="B1633" s="17">
        <v>45526</v>
      </c>
      <c r="C1633" s="10" t="s">
        <v>107</v>
      </c>
      <c r="D1633" s="11" t="s">
        <v>3641</v>
      </c>
      <c r="E1633" s="26">
        <v>76101</v>
      </c>
      <c r="F1633" s="10" t="s">
        <v>105</v>
      </c>
      <c r="G1633" s="10" t="s">
        <v>46</v>
      </c>
      <c r="H1633" s="27" t="s">
        <v>106</v>
      </c>
      <c r="I1633" s="28"/>
      <c r="J1633" s="12"/>
      <c r="K1633" s="13">
        <v>3080</v>
      </c>
      <c r="L1633" s="21">
        <v>11.72</v>
      </c>
      <c r="M1633" s="14" t="s">
        <v>14</v>
      </c>
      <c r="N1633" s="13">
        <v>36097.599999999999</v>
      </c>
      <c r="O1633" s="15">
        <f t="shared" si="1030"/>
        <v>0</v>
      </c>
      <c r="P1633" s="10" t="s">
        <v>84</v>
      </c>
      <c r="Q1633" s="11" t="s">
        <v>3679</v>
      </c>
      <c r="R1633" s="11" t="s">
        <v>3680</v>
      </c>
      <c r="S1633" s="16" t="s">
        <v>3678</v>
      </c>
      <c r="T1633" s="19" t="str">
        <f>MONTH(B1633)&amp;"-"&amp;YEAR(B1633)</f>
        <v>8-2024</v>
      </c>
      <c r="U1633" s="2">
        <f>YEAR(B1633)</f>
        <v>2024</v>
      </c>
      <c r="V1633" s="2" t="str">
        <f>IF(DAY(B1633)&gt;15,MONTH(B1633)&amp;"-C",MONTH(B1633)&amp;"-N")</f>
        <v>8-C</v>
      </c>
      <c r="W1633" s="21">
        <v>91.9</v>
      </c>
      <c r="X1633" s="2" t="b">
        <f t="shared" si="1032"/>
        <v>0</v>
      </c>
    </row>
    <row r="1634" spans="2:24" x14ac:dyDescent="0.2">
      <c r="B1634" s="17">
        <v>45526</v>
      </c>
      <c r="C1634" s="10" t="s">
        <v>107</v>
      </c>
      <c r="D1634" s="11" t="s">
        <v>3641</v>
      </c>
      <c r="E1634" s="26">
        <v>76101</v>
      </c>
      <c r="F1634" s="10" t="s">
        <v>2882</v>
      </c>
      <c r="G1634" s="10" t="s">
        <v>46</v>
      </c>
      <c r="H1634" s="27" t="s">
        <v>2883</v>
      </c>
      <c r="I1634" s="28"/>
      <c r="J1634" s="12"/>
      <c r="K1634" s="13">
        <v>540</v>
      </c>
      <c r="L1634" s="21">
        <v>11.11</v>
      </c>
      <c r="M1634" s="14" t="s">
        <v>14</v>
      </c>
      <c r="N1634" s="13">
        <v>5999.4</v>
      </c>
      <c r="O1634" s="15">
        <f t="shared" si="1030"/>
        <v>0</v>
      </c>
      <c r="P1634" s="10" t="s">
        <v>84</v>
      </c>
      <c r="Q1634" s="11" t="s">
        <v>3679</v>
      </c>
      <c r="R1634" s="11" t="s">
        <v>3680</v>
      </c>
      <c r="S1634" s="16" t="s">
        <v>3678</v>
      </c>
      <c r="T1634" s="19" t="str">
        <f>MONTH(B1634)&amp;"-"&amp;YEAR(B1634)</f>
        <v>8-2024</v>
      </c>
      <c r="U1634" s="2">
        <f>YEAR(B1634)</f>
        <v>2024</v>
      </c>
      <c r="V1634" s="2" t="str">
        <f>IF(DAY(B1634)&gt;15,MONTH(B1634)&amp;"-C",MONTH(B1634)&amp;"-N")</f>
        <v>8-C</v>
      </c>
      <c r="W1634" s="21">
        <v>91.9</v>
      </c>
      <c r="X1634" s="2" t="b">
        <f t="shared" si="1032"/>
        <v>0</v>
      </c>
    </row>
    <row r="1635" spans="2:24" x14ac:dyDescent="0.2">
      <c r="B1635" s="17">
        <v>45525</v>
      </c>
      <c r="C1635" s="10" t="s">
        <v>3681</v>
      </c>
      <c r="D1635" s="11" t="s">
        <v>3682</v>
      </c>
      <c r="E1635" s="26">
        <v>76090</v>
      </c>
      <c r="F1635" s="10" t="s">
        <v>127</v>
      </c>
      <c r="G1635" s="10" t="s">
        <v>46</v>
      </c>
      <c r="H1635" s="27" t="s">
        <v>128</v>
      </c>
      <c r="I1635" s="28"/>
      <c r="J1635" s="12"/>
      <c r="K1635" s="13">
        <v>736</v>
      </c>
      <c r="L1635" s="21">
        <v>12</v>
      </c>
      <c r="M1635" s="14" t="s">
        <v>14</v>
      </c>
      <c r="N1635" s="13">
        <v>8832</v>
      </c>
      <c r="O1635" s="15">
        <f t="shared" ref="O1635:O1636" si="1033">(N1635/K1635)-L1635</f>
        <v>0</v>
      </c>
      <c r="P1635" s="10" t="s">
        <v>84</v>
      </c>
      <c r="Q1635" s="11" t="s">
        <v>3684</v>
      </c>
      <c r="R1635" s="11" t="s">
        <v>3685</v>
      </c>
      <c r="S1635" s="16" t="s">
        <v>3683</v>
      </c>
      <c r="T1635" s="19" t="str">
        <f>MONTH(B1635)&amp;"-"&amp;YEAR(B1635)</f>
        <v>8-2024</v>
      </c>
      <c r="U1635" s="2">
        <f>YEAR(B1635)</f>
        <v>2024</v>
      </c>
      <c r="V1635" s="2" t="str">
        <f>IF(DAY(B1635)&gt;15,MONTH(B1635)&amp;"-C",MONTH(B1635)&amp;"-N")</f>
        <v>8-C</v>
      </c>
      <c r="W1635" s="21">
        <v>91.9</v>
      </c>
      <c r="X1635" s="2" t="b">
        <f t="shared" ref="X1635:X1651" si="1034">+L1635=W1635</f>
        <v>0</v>
      </c>
    </row>
    <row r="1636" spans="2:24" x14ac:dyDescent="0.2">
      <c r="B1636" s="17">
        <v>45525</v>
      </c>
      <c r="C1636" s="10" t="s">
        <v>3681</v>
      </c>
      <c r="D1636" s="11" t="s">
        <v>3682</v>
      </c>
      <c r="E1636" s="26">
        <v>76090</v>
      </c>
      <c r="F1636" s="10" t="s">
        <v>2331</v>
      </c>
      <c r="G1636" s="10" t="s">
        <v>46</v>
      </c>
      <c r="H1636" s="27" t="s">
        <v>2332</v>
      </c>
      <c r="I1636" s="28"/>
      <c r="J1636" s="12"/>
      <c r="K1636" s="13">
        <v>1150</v>
      </c>
      <c r="L1636" s="21">
        <v>13.85</v>
      </c>
      <c r="M1636" s="14" t="s">
        <v>14</v>
      </c>
      <c r="N1636" s="13">
        <v>15927.5</v>
      </c>
      <c r="O1636" s="15">
        <f t="shared" si="1033"/>
        <v>0</v>
      </c>
      <c r="P1636" s="10" t="s">
        <v>84</v>
      </c>
      <c r="Q1636" s="11" t="s">
        <v>3684</v>
      </c>
      <c r="R1636" s="11" t="s">
        <v>3685</v>
      </c>
      <c r="S1636" s="16" t="s">
        <v>3683</v>
      </c>
      <c r="T1636" s="19" t="str">
        <f>MONTH(B1636)&amp;"-"&amp;YEAR(B1636)</f>
        <v>8-2024</v>
      </c>
      <c r="U1636" s="2">
        <f>YEAR(B1636)</f>
        <v>2024</v>
      </c>
      <c r="V1636" s="2" t="str">
        <f>IF(DAY(B1636)&gt;15,MONTH(B1636)&amp;"-C",MONTH(B1636)&amp;"-N")</f>
        <v>8-C</v>
      </c>
      <c r="W1636" s="21">
        <v>91.9</v>
      </c>
      <c r="X1636" s="2" t="b">
        <f t="shared" si="1034"/>
        <v>0</v>
      </c>
    </row>
    <row r="1637" spans="2:24" x14ac:dyDescent="0.2">
      <c r="B1637" s="17">
        <v>45533</v>
      </c>
      <c r="C1637" s="10" t="s">
        <v>48</v>
      </c>
      <c r="D1637" s="11" t="s">
        <v>3686</v>
      </c>
      <c r="E1637" s="26">
        <v>76239</v>
      </c>
      <c r="F1637" s="10" t="s">
        <v>71</v>
      </c>
      <c r="G1637" s="10" t="s">
        <v>46</v>
      </c>
      <c r="H1637" s="27" t="s">
        <v>72</v>
      </c>
      <c r="I1637" s="28"/>
      <c r="J1637" s="12"/>
      <c r="K1637" s="13">
        <v>10200</v>
      </c>
      <c r="L1637" s="21">
        <v>9.7780000000000005</v>
      </c>
      <c r="M1637" s="14" t="s">
        <v>14</v>
      </c>
      <c r="N1637" s="13">
        <v>99737.232000000004</v>
      </c>
      <c r="O1637" s="15">
        <f t="shared" ref="O1637:O1658" si="1035">(N1637/K1637)-L1637</f>
        <v>1.5999999999927184E-4</v>
      </c>
      <c r="P1637" s="10" t="s">
        <v>90</v>
      </c>
      <c r="Q1637" s="11" t="s">
        <v>3687</v>
      </c>
      <c r="R1637" s="11" t="s">
        <v>3688</v>
      </c>
      <c r="S1637" s="16" t="s">
        <v>3689</v>
      </c>
      <c r="T1637" s="19" t="str">
        <f>MONTH(B1637)&amp;"-"&amp;YEAR(B1637)</f>
        <v>8-2024</v>
      </c>
      <c r="U1637" s="2">
        <f>YEAR(B1637)</f>
        <v>2024</v>
      </c>
      <c r="V1637" s="2" t="str">
        <f>IF(DAY(B1637)&gt;15,MONTH(B1637)&amp;"-C",MONTH(B1637)&amp;"-N")</f>
        <v>8-C</v>
      </c>
      <c r="W1637" s="21">
        <v>91.9</v>
      </c>
      <c r="X1637" s="2" t="b">
        <f t="shared" si="1034"/>
        <v>0</v>
      </c>
    </row>
    <row r="1638" spans="2:24" x14ac:dyDescent="0.2">
      <c r="B1638" s="17">
        <v>45533</v>
      </c>
      <c r="C1638" s="10" t="s">
        <v>48</v>
      </c>
      <c r="D1638" s="11" t="s">
        <v>3686</v>
      </c>
      <c r="E1638" s="26">
        <v>76239</v>
      </c>
      <c r="F1638" s="10" t="s">
        <v>2552</v>
      </c>
      <c r="G1638" s="10" t="s">
        <v>46</v>
      </c>
      <c r="H1638" s="27" t="s">
        <v>2553</v>
      </c>
      <c r="I1638" s="28"/>
      <c r="J1638" s="12"/>
      <c r="K1638" s="13">
        <v>5800</v>
      </c>
      <c r="L1638" s="21">
        <v>10.292999999999999</v>
      </c>
      <c r="M1638" s="14" t="s">
        <v>14</v>
      </c>
      <c r="N1638" s="13">
        <v>59698.239999999998</v>
      </c>
      <c r="O1638" s="15">
        <f t="shared" si="1035"/>
        <v>-1.9999999999953388E-4</v>
      </c>
      <c r="P1638" s="10" t="s">
        <v>90</v>
      </c>
      <c r="Q1638" s="11" t="s">
        <v>3687</v>
      </c>
      <c r="R1638" s="11" t="s">
        <v>3688</v>
      </c>
      <c r="S1638" s="16" t="s">
        <v>3689</v>
      </c>
      <c r="T1638" s="19" t="str">
        <f>MONTH(B1638)&amp;"-"&amp;YEAR(B1638)</f>
        <v>8-2024</v>
      </c>
      <c r="U1638" s="2">
        <f>YEAR(B1638)</f>
        <v>2024</v>
      </c>
      <c r="V1638" s="2" t="str">
        <f>IF(DAY(B1638)&gt;15,MONTH(B1638)&amp;"-C",MONTH(B1638)&amp;"-N")</f>
        <v>8-C</v>
      </c>
      <c r="W1638" s="21">
        <v>91.9</v>
      </c>
      <c r="X1638" s="2" t="b">
        <f t="shared" si="1034"/>
        <v>0</v>
      </c>
    </row>
    <row r="1639" spans="2:24" x14ac:dyDescent="0.2">
      <c r="B1639" s="17">
        <v>45534</v>
      </c>
      <c r="C1639" s="10" t="s">
        <v>48</v>
      </c>
      <c r="D1639" s="11" t="s">
        <v>3690</v>
      </c>
      <c r="E1639" s="26">
        <v>76278</v>
      </c>
      <c r="F1639" s="10" t="s">
        <v>135</v>
      </c>
      <c r="G1639" s="10" t="s">
        <v>46</v>
      </c>
      <c r="H1639" s="27" t="s">
        <v>136</v>
      </c>
      <c r="I1639" s="28"/>
      <c r="J1639" s="12"/>
      <c r="K1639" s="13">
        <v>4800</v>
      </c>
      <c r="L1639" s="21">
        <v>10.292999999999999</v>
      </c>
      <c r="M1639" s="14" t="s">
        <v>14</v>
      </c>
      <c r="N1639" s="13">
        <v>49405.440000000002</v>
      </c>
      <c r="O1639" s="15">
        <f t="shared" si="1035"/>
        <v>-1.9999999999953388E-4</v>
      </c>
      <c r="P1639" s="10" t="s">
        <v>90</v>
      </c>
      <c r="Q1639" s="11" t="s">
        <v>3691</v>
      </c>
      <c r="R1639" s="11" t="s">
        <v>3692</v>
      </c>
      <c r="S1639" s="16" t="s">
        <v>3693</v>
      </c>
      <c r="T1639" s="19" t="str">
        <f>MONTH(B1639)&amp;"-"&amp;YEAR(B1639)</f>
        <v>8-2024</v>
      </c>
      <c r="U1639" s="2">
        <f>YEAR(B1639)</f>
        <v>2024</v>
      </c>
      <c r="V1639" s="2" t="str">
        <f>IF(DAY(B1639)&gt;15,MONTH(B1639)&amp;"-C",MONTH(B1639)&amp;"-N")</f>
        <v>8-C</v>
      </c>
      <c r="W1639" s="21">
        <v>91.9</v>
      </c>
      <c r="X1639" s="2" t="b">
        <f t="shared" si="1034"/>
        <v>0</v>
      </c>
    </row>
    <row r="1640" spans="2:24" x14ac:dyDescent="0.2">
      <c r="B1640" s="17">
        <v>45534</v>
      </c>
      <c r="C1640" s="10" t="s">
        <v>48</v>
      </c>
      <c r="D1640" s="11" t="s">
        <v>3690</v>
      </c>
      <c r="E1640" s="26">
        <v>76278</v>
      </c>
      <c r="F1640" s="10" t="s">
        <v>71</v>
      </c>
      <c r="G1640" s="10" t="s">
        <v>46</v>
      </c>
      <c r="H1640" s="27" t="s">
        <v>72</v>
      </c>
      <c r="I1640" s="28"/>
      <c r="J1640" s="12"/>
      <c r="K1640" s="13">
        <v>11200</v>
      </c>
      <c r="L1640" s="21">
        <v>9.7780000000000005</v>
      </c>
      <c r="M1640" s="14" t="s">
        <v>14</v>
      </c>
      <c r="N1640" s="13">
        <v>109515.39200000001</v>
      </c>
      <c r="O1640" s="15">
        <f t="shared" si="1035"/>
        <v>1.6000000000104819E-4</v>
      </c>
      <c r="P1640" s="10" t="s">
        <v>90</v>
      </c>
      <c r="Q1640" s="11" t="s">
        <v>3691</v>
      </c>
      <c r="R1640" s="11" t="s">
        <v>3692</v>
      </c>
      <c r="S1640" s="16" t="s">
        <v>3693</v>
      </c>
      <c r="T1640" s="19" t="str">
        <f>MONTH(B1640)&amp;"-"&amp;YEAR(B1640)</f>
        <v>8-2024</v>
      </c>
      <c r="U1640" s="2">
        <f>YEAR(B1640)</f>
        <v>2024</v>
      </c>
      <c r="V1640" s="2" t="str">
        <f>IF(DAY(B1640)&gt;15,MONTH(B1640)&amp;"-C",MONTH(B1640)&amp;"-N")</f>
        <v>8-C</v>
      </c>
      <c r="W1640" s="21">
        <v>91.9</v>
      </c>
      <c r="X1640" s="2" t="b">
        <f t="shared" si="1034"/>
        <v>0</v>
      </c>
    </row>
    <row r="1641" spans="2:24" x14ac:dyDescent="0.2">
      <c r="B1641" s="17">
        <v>45530</v>
      </c>
      <c r="C1641" s="10" t="s">
        <v>25</v>
      </c>
      <c r="D1641" s="11" t="s">
        <v>3694</v>
      </c>
      <c r="E1641" s="26">
        <v>76156</v>
      </c>
      <c r="F1641" s="10" t="s">
        <v>26</v>
      </c>
      <c r="G1641" s="10" t="s">
        <v>27</v>
      </c>
      <c r="H1641" s="27" t="s">
        <v>28</v>
      </c>
      <c r="I1641" s="28"/>
      <c r="J1641" s="12"/>
      <c r="K1641" s="13">
        <v>10900</v>
      </c>
      <c r="L1641" s="21">
        <v>3.48</v>
      </c>
      <c r="M1641" s="14" t="s">
        <v>14</v>
      </c>
      <c r="N1641" s="13">
        <v>37932</v>
      </c>
      <c r="O1641" s="15">
        <f t="shared" si="1035"/>
        <v>0</v>
      </c>
      <c r="P1641" s="10" t="s">
        <v>78</v>
      </c>
      <c r="Q1641" s="11" t="s">
        <v>3695</v>
      </c>
      <c r="R1641" s="11" t="s">
        <v>3696</v>
      </c>
      <c r="S1641" s="16" t="s">
        <v>3697</v>
      </c>
      <c r="T1641" s="19" t="str">
        <f>MONTH(B1641)&amp;"-"&amp;YEAR(B1641)</f>
        <v>8-2024</v>
      </c>
      <c r="U1641" s="2">
        <f>YEAR(B1641)</f>
        <v>2024</v>
      </c>
      <c r="V1641" s="2" t="str">
        <f>IF(DAY(B1641)&gt;15,MONTH(B1641)&amp;"-C",MONTH(B1641)&amp;"-N")</f>
        <v>8-C</v>
      </c>
      <c r="W1641" s="21">
        <v>91.9</v>
      </c>
      <c r="X1641" s="2" t="b">
        <f t="shared" si="1034"/>
        <v>0</v>
      </c>
    </row>
    <row r="1642" spans="2:24" x14ac:dyDescent="0.2">
      <c r="B1642" s="17">
        <v>45531</v>
      </c>
      <c r="C1642" s="10" t="s">
        <v>25</v>
      </c>
      <c r="D1642" s="11" t="s">
        <v>3562</v>
      </c>
      <c r="E1642" s="26">
        <v>76180</v>
      </c>
      <c r="F1642" s="10" t="s">
        <v>29</v>
      </c>
      <c r="G1642" s="10" t="s">
        <v>27</v>
      </c>
      <c r="H1642" s="27" t="s">
        <v>30</v>
      </c>
      <c r="I1642" s="28"/>
      <c r="J1642" s="12"/>
      <c r="K1642" s="13">
        <v>1320</v>
      </c>
      <c r="L1642" s="21">
        <v>3.9</v>
      </c>
      <c r="M1642" s="14" t="s">
        <v>14</v>
      </c>
      <c r="N1642" s="13">
        <v>5148</v>
      </c>
      <c r="O1642" s="15">
        <f t="shared" si="1035"/>
        <v>0</v>
      </c>
      <c r="P1642" s="10" t="s">
        <v>78</v>
      </c>
      <c r="Q1642" s="11" t="s">
        <v>3698</v>
      </c>
      <c r="R1642" s="11" t="s">
        <v>3699</v>
      </c>
      <c r="S1642" s="16" t="s">
        <v>3700</v>
      </c>
      <c r="T1642" s="19" t="str">
        <f>MONTH(B1642)&amp;"-"&amp;YEAR(B1642)</f>
        <v>8-2024</v>
      </c>
      <c r="U1642" s="2">
        <f>YEAR(B1642)</f>
        <v>2024</v>
      </c>
      <c r="V1642" s="2" t="str">
        <f>IF(DAY(B1642)&gt;15,MONTH(B1642)&amp;"-C",MONTH(B1642)&amp;"-N")</f>
        <v>8-C</v>
      </c>
      <c r="W1642" s="21">
        <v>91.9</v>
      </c>
      <c r="X1642" s="2" t="b">
        <f t="shared" si="1034"/>
        <v>0</v>
      </c>
    </row>
    <row r="1643" spans="2:24" x14ac:dyDescent="0.2">
      <c r="B1643" s="17">
        <v>45531</v>
      </c>
      <c r="C1643" s="10" t="s">
        <v>25</v>
      </c>
      <c r="D1643" s="11" t="s">
        <v>3660</v>
      </c>
      <c r="E1643" s="26">
        <v>76179</v>
      </c>
      <c r="F1643" s="10" t="s">
        <v>29</v>
      </c>
      <c r="G1643" s="10" t="s">
        <v>27</v>
      </c>
      <c r="H1643" s="27" t="s">
        <v>30</v>
      </c>
      <c r="I1643" s="28"/>
      <c r="J1643" s="12"/>
      <c r="K1643" s="13">
        <v>330</v>
      </c>
      <c r="L1643" s="21">
        <v>3.9</v>
      </c>
      <c r="M1643" s="14" t="s">
        <v>14</v>
      </c>
      <c r="N1643" s="13">
        <v>1287</v>
      </c>
      <c r="O1643" s="15">
        <f t="shared" si="1035"/>
        <v>0</v>
      </c>
      <c r="P1643" s="10" t="s">
        <v>78</v>
      </c>
      <c r="Q1643" s="11" t="s">
        <v>3701</v>
      </c>
      <c r="R1643" s="11" t="s">
        <v>3702</v>
      </c>
      <c r="S1643" s="16" t="s">
        <v>3703</v>
      </c>
      <c r="T1643" s="19" t="str">
        <f>MONTH(B1643)&amp;"-"&amp;YEAR(B1643)</f>
        <v>8-2024</v>
      </c>
      <c r="U1643" s="2">
        <f>YEAR(B1643)</f>
        <v>2024</v>
      </c>
      <c r="V1643" s="2" t="str">
        <f>IF(DAY(B1643)&gt;15,MONTH(B1643)&amp;"-C",MONTH(B1643)&amp;"-N")</f>
        <v>8-C</v>
      </c>
      <c r="W1643" s="21">
        <v>91.9</v>
      </c>
      <c r="X1643" s="2" t="b">
        <f t="shared" si="1034"/>
        <v>0</v>
      </c>
    </row>
    <row r="1644" spans="2:24" x14ac:dyDescent="0.2">
      <c r="B1644" s="17">
        <v>45531</v>
      </c>
      <c r="C1644" s="10" t="s">
        <v>25</v>
      </c>
      <c r="D1644" s="11" t="s">
        <v>3660</v>
      </c>
      <c r="E1644" s="26">
        <v>76179</v>
      </c>
      <c r="F1644" s="10" t="s">
        <v>49</v>
      </c>
      <c r="G1644" s="10" t="s">
        <v>27</v>
      </c>
      <c r="H1644" s="27" t="s">
        <v>50</v>
      </c>
      <c r="I1644" s="28"/>
      <c r="J1644" s="12"/>
      <c r="K1644" s="13">
        <v>760</v>
      </c>
      <c r="L1644" s="21">
        <v>5.2</v>
      </c>
      <c r="M1644" s="14" t="s">
        <v>14</v>
      </c>
      <c r="N1644" s="13">
        <v>3952</v>
      </c>
      <c r="O1644" s="15">
        <f t="shared" si="1035"/>
        <v>0</v>
      </c>
      <c r="P1644" s="10" t="s">
        <v>78</v>
      </c>
      <c r="Q1644" s="11" t="s">
        <v>3701</v>
      </c>
      <c r="R1644" s="11" t="s">
        <v>3702</v>
      </c>
      <c r="S1644" s="16" t="s">
        <v>3703</v>
      </c>
      <c r="T1644" s="19" t="str">
        <f>MONTH(B1644)&amp;"-"&amp;YEAR(B1644)</f>
        <v>8-2024</v>
      </c>
      <c r="U1644" s="2">
        <f>YEAR(B1644)</f>
        <v>2024</v>
      </c>
      <c r="V1644" s="2" t="str">
        <f>IF(DAY(B1644)&gt;15,MONTH(B1644)&amp;"-C",MONTH(B1644)&amp;"-N")</f>
        <v>8-C</v>
      </c>
      <c r="W1644" s="21">
        <v>91.9</v>
      </c>
      <c r="X1644" s="2" t="b">
        <f t="shared" si="1034"/>
        <v>0</v>
      </c>
    </row>
    <row r="1645" spans="2:24" x14ac:dyDescent="0.2">
      <c r="B1645" s="17">
        <v>45531</v>
      </c>
      <c r="C1645" s="10" t="s">
        <v>25</v>
      </c>
      <c r="D1645" s="11" t="s">
        <v>3660</v>
      </c>
      <c r="E1645" s="26">
        <v>76179</v>
      </c>
      <c r="F1645" s="10" t="s">
        <v>33</v>
      </c>
      <c r="G1645" s="10" t="s">
        <v>27</v>
      </c>
      <c r="H1645" s="27" t="s">
        <v>34</v>
      </c>
      <c r="I1645" s="28"/>
      <c r="J1645" s="12"/>
      <c r="K1645" s="13">
        <v>1800</v>
      </c>
      <c r="L1645" s="21">
        <v>5.52</v>
      </c>
      <c r="M1645" s="14" t="s">
        <v>14</v>
      </c>
      <c r="N1645" s="13">
        <v>9936</v>
      </c>
      <c r="O1645" s="15">
        <f t="shared" si="1035"/>
        <v>0</v>
      </c>
      <c r="P1645" s="10" t="s">
        <v>78</v>
      </c>
      <c r="Q1645" s="11" t="s">
        <v>3701</v>
      </c>
      <c r="R1645" s="11" t="s">
        <v>3702</v>
      </c>
      <c r="S1645" s="16" t="s">
        <v>3703</v>
      </c>
      <c r="T1645" s="19" t="str">
        <f>MONTH(B1645)&amp;"-"&amp;YEAR(B1645)</f>
        <v>8-2024</v>
      </c>
      <c r="U1645" s="2">
        <f>YEAR(B1645)</f>
        <v>2024</v>
      </c>
      <c r="V1645" s="2" t="str">
        <f>IF(DAY(B1645)&gt;15,MONTH(B1645)&amp;"-C",MONTH(B1645)&amp;"-N")</f>
        <v>8-C</v>
      </c>
      <c r="W1645" s="21">
        <v>91.9</v>
      </c>
      <c r="X1645" s="2" t="b">
        <f t="shared" si="1034"/>
        <v>0</v>
      </c>
    </row>
    <row r="1646" spans="2:24" x14ac:dyDescent="0.2">
      <c r="B1646" s="17">
        <v>45533</v>
      </c>
      <c r="C1646" s="10" t="s">
        <v>25</v>
      </c>
      <c r="D1646" s="11" t="s">
        <v>3660</v>
      </c>
      <c r="E1646" s="26">
        <v>76236</v>
      </c>
      <c r="F1646" s="10" t="s">
        <v>31</v>
      </c>
      <c r="G1646" s="10" t="s">
        <v>27</v>
      </c>
      <c r="H1646" s="27" t="s">
        <v>32</v>
      </c>
      <c r="I1646" s="28"/>
      <c r="J1646" s="12"/>
      <c r="K1646" s="13">
        <v>1280</v>
      </c>
      <c r="L1646" s="21">
        <v>4.3</v>
      </c>
      <c r="M1646" s="14" t="s">
        <v>14</v>
      </c>
      <c r="N1646" s="13">
        <v>5504</v>
      </c>
      <c r="O1646" s="15">
        <f t="shared" si="1035"/>
        <v>0</v>
      </c>
      <c r="P1646" s="10" t="s">
        <v>78</v>
      </c>
      <c r="Q1646" s="11" t="s">
        <v>3704</v>
      </c>
      <c r="R1646" s="11" t="s">
        <v>3705</v>
      </c>
      <c r="S1646" s="16" t="s">
        <v>3706</v>
      </c>
      <c r="T1646" s="19" t="str">
        <f>MONTH(B1646)&amp;"-"&amp;YEAR(B1646)</f>
        <v>8-2024</v>
      </c>
      <c r="U1646" s="2">
        <f>YEAR(B1646)</f>
        <v>2024</v>
      </c>
      <c r="V1646" s="2" t="str">
        <f>IF(DAY(B1646)&gt;15,MONTH(B1646)&amp;"-C",MONTH(B1646)&amp;"-N")</f>
        <v>8-C</v>
      </c>
      <c r="W1646" s="21">
        <v>91.9</v>
      </c>
      <c r="X1646" s="2" t="b">
        <f t="shared" si="1034"/>
        <v>0</v>
      </c>
    </row>
    <row r="1647" spans="2:24" x14ac:dyDescent="0.2">
      <c r="B1647" s="17">
        <v>45530</v>
      </c>
      <c r="C1647" s="10" t="s">
        <v>25</v>
      </c>
      <c r="D1647" s="11" t="s">
        <v>3489</v>
      </c>
      <c r="E1647" s="26">
        <v>76155</v>
      </c>
      <c r="F1647" s="10" t="s">
        <v>26</v>
      </c>
      <c r="G1647" s="10" t="s">
        <v>27</v>
      </c>
      <c r="H1647" s="27" t="s">
        <v>28</v>
      </c>
      <c r="I1647" s="28"/>
      <c r="J1647" s="12"/>
      <c r="K1647" s="13">
        <v>3500</v>
      </c>
      <c r="L1647" s="21">
        <v>3.45</v>
      </c>
      <c r="M1647" s="14" t="s">
        <v>14</v>
      </c>
      <c r="N1647" s="13">
        <v>12075</v>
      </c>
      <c r="O1647" s="15">
        <f t="shared" si="1035"/>
        <v>0</v>
      </c>
      <c r="P1647" s="10" t="s">
        <v>78</v>
      </c>
      <c r="Q1647" s="11" t="s">
        <v>3707</v>
      </c>
      <c r="R1647" s="11" t="s">
        <v>3708</v>
      </c>
      <c r="S1647" s="16" t="s">
        <v>3709</v>
      </c>
      <c r="T1647" s="19" t="str">
        <f>MONTH(B1647)&amp;"-"&amp;YEAR(B1647)</f>
        <v>8-2024</v>
      </c>
      <c r="U1647" s="2">
        <f>YEAR(B1647)</f>
        <v>2024</v>
      </c>
      <c r="V1647" s="2" t="str">
        <f>IF(DAY(B1647)&gt;15,MONTH(B1647)&amp;"-C",MONTH(B1647)&amp;"-N")</f>
        <v>8-C</v>
      </c>
      <c r="W1647" s="21">
        <v>91.9</v>
      </c>
      <c r="X1647" s="2" t="b">
        <f t="shared" si="1034"/>
        <v>0</v>
      </c>
    </row>
    <row r="1648" spans="2:24" x14ac:dyDescent="0.2">
      <c r="B1648" s="17">
        <v>45535</v>
      </c>
      <c r="C1648" s="10" t="s">
        <v>94</v>
      </c>
      <c r="D1648" s="11" t="s">
        <v>3549</v>
      </c>
      <c r="E1648" s="26">
        <v>76296</v>
      </c>
      <c r="F1648" s="10" t="s">
        <v>26</v>
      </c>
      <c r="G1648" s="10" t="s">
        <v>27</v>
      </c>
      <c r="H1648" s="27" t="s">
        <v>28</v>
      </c>
      <c r="I1648" s="28"/>
      <c r="J1648" s="12"/>
      <c r="K1648" s="13">
        <v>7200</v>
      </c>
      <c r="L1648" s="21">
        <v>3.4</v>
      </c>
      <c r="M1648" s="14" t="s">
        <v>14</v>
      </c>
      <c r="N1648" s="13">
        <v>24480</v>
      </c>
      <c r="O1648" s="15">
        <f t="shared" si="1035"/>
        <v>0</v>
      </c>
      <c r="P1648" s="10" t="s">
        <v>78</v>
      </c>
      <c r="Q1648" s="11" t="s">
        <v>3710</v>
      </c>
      <c r="R1648" s="11" t="s">
        <v>3711</v>
      </c>
      <c r="S1648" s="16" t="s">
        <v>3712</v>
      </c>
      <c r="T1648" s="19" t="str">
        <f>MONTH(B1648)&amp;"-"&amp;YEAR(B1648)</f>
        <v>8-2024</v>
      </c>
      <c r="U1648" s="2">
        <f>YEAR(B1648)</f>
        <v>2024</v>
      </c>
      <c r="V1648" s="2" t="str">
        <f>IF(DAY(B1648)&gt;15,MONTH(B1648)&amp;"-C",MONTH(B1648)&amp;"-N")</f>
        <v>8-C</v>
      </c>
      <c r="W1648" s="21">
        <v>91.9</v>
      </c>
      <c r="X1648" s="2" t="b">
        <f t="shared" si="1034"/>
        <v>0</v>
      </c>
    </row>
    <row r="1649" spans="2:24" x14ac:dyDescent="0.2">
      <c r="B1649" s="17">
        <v>45524</v>
      </c>
      <c r="C1649" s="10" t="s">
        <v>94</v>
      </c>
      <c r="D1649" s="11" t="s">
        <v>3549</v>
      </c>
      <c r="E1649" s="26">
        <v>76070</v>
      </c>
      <c r="F1649" s="10" t="s">
        <v>26</v>
      </c>
      <c r="G1649" s="10" t="s">
        <v>27</v>
      </c>
      <c r="H1649" s="27" t="s">
        <v>28</v>
      </c>
      <c r="I1649" s="28"/>
      <c r="J1649" s="12"/>
      <c r="K1649" s="13">
        <v>16200</v>
      </c>
      <c r="L1649" s="21">
        <v>3.4</v>
      </c>
      <c r="M1649" s="14" t="s">
        <v>14</v>
      </c>
      <c r="N1649" s="13">
        <v>55080</v>
      </c>
      <c r="O1649" s="15">
        <f t="shared" si="1035"/>
        <v>0</v>
      </c>
      <c r="P1649" s="10" t="s">
        <v>78</v>
      </c>
      <c r="Q1649" s="11" t="s">
        <v>3713</v>
      </c>
      <c r="R1649" s="11" t="s">
        <v>3714</v>
      </c>
      <c r="S1649" s="16" t="s">
        <v>3715</v>
      </c>
      <c r="T1649" s="19" t="str">
        <f>MONTH(B1649)&amp;"-"&amp;YEAR(B1649)</f>
        <v>8-2024</v>
      </c>
      <c r="U1649" s="2">
        <f>YEAR(B1649)</f>
        <v>2024</v>
      </c>
      <c r="V1649" s="2" t="str">
        <f>IF(DAY(B1649)&gt;15,MONTH(B1649)&amp;"-C",MONTH(B1649)&amp;"-N")</f>
        <v>8-C</v>
      </c>
      <c r="W1649" s="21">
        <v>91.9</v>
      </c>
      <c r="X1649" s="2" t="b">
        <f t="shared" si="1034"/>
        <v>0</v>
      </c>
    </row>
    <row r="1650" spans="2:24" x14ac:dyDescent="0.2">
      <c r="B1650" s="17">
        <v>45530</v>
      </c>
      <c r="C1650" s="10" t="s">
        <v>94</v>
      </c>
      <c r="D1650" s="11" t="s">
        <v>3549</v>
      </c>
      <c r="E1650" s="26">
        <v>76157</v>
      </c>
      <c r="F1650" s="10" t="s">
        <v>26</v>
      </c>
      <c r="G1650" s="10" t="s">
        <v>27</v>
      </c>
      <c r="H1650" s="27" t="s">
        <v>28</v>
      </c>
      <c r="I1650" s="28"/>
      <c r="J1650" s="12"/>
      <c r="K1650" s="13">
        <v>2700</v>
      </c>
      <c r="L1650" s="21">
        <v>3.4</v>
      </c>
      <c r="M1650" s="14" t="s">
        <v>14</v>
      </c>
      <c r="N1650" s="13">
        <v>9180</v>
      </c>
      <c r="O1650" s="15">
        <f t="shared" si="1035"/>
        <v>0</v>
      </c>
      <c r="P1650" s="10" t="s">
        <v>78</v>
      </c>
      <c r="Q1650" s="11" t="s">
        <v>3717</v>
      </c>
      <c r="R1650" s="11" t="s">
        <v>3718</v>
      </c>
      <c r="S1650" s="16" t="s">
        <v>3716</v>
      </c>
      <c r="T1650" s="19" t="str">
        <f>MONTH(B1650)&amp;"-"&amp;YEAR(B1650)</f>
        <v>8-2024</v>
      </c>
      <c r="U1650" s="2">
        <f>YEAR(B1650)</f>
        <v>2024</v>
      </c>
      <c r="V1650" s="2" t="str">
        <f>IF(DAY(B1650)&gt;15,MONTH(B1650)&amp;"-C",MONTH(B1650)&amp;"-N")</f>
        <v>8-C</v>
      </c>
      <c r="W1650" s="21">
        <v>91.9</v>
      </c>
      <c r="X1650" s="2" t="b">
        <f t="shared" si="1034"/>
        <v>0</v>
      </c>
    </row>
    <row r="1651" spans="2:24" x14ac:dyDescent="0.2">
      <c r="B1651" s="17">
        <v>45510</v>
      </c>
      <c r="C1651" s="10" t="s">
        <v>94</v>
      </c>
      <c r="D1651" s="11" t="s">
        <v>3549</v>
      </c>
      <c r="E1651" s="26">
        <v>75791</v>
      </c>
      <c r="F1651" s="10" t="s">
        <v>26</v>
      </c>
      <c r="G1651" s="10" t="s">
        <v>27</v>
      </c>
      <c r="H1651" s="27" t="s">
        <v>28</v>
      </c>
      <c r="I1651" s="28"/>
      <c r="J1651" s="12"/>
      <c r="K1651" s="13">
        <v>3600</v>
      </c>
      <c r="L1651" s="21">
        <v>3.4</v>
      </c>
      <c r="M1651" s="14" t="s">
        <v>14</v>
      </c>
      <c r="N1651" s="13">
        <v>12240</v>
      </c>
      <c r="O1651" s="15">
        <f t="shared" si="1035"/>
        <v>0</v>
      </c>
      <c r="P1651" s="10" t="s">
        <v>78</v>
      </c>
      <c r="Q1651" s="11" t="s">
        <v>3720</v>
      </c>
      <c r="R1651" s="11" t="s">
        <v>3721</v>
      </c>
      <c r="S1651" s="16" t="s">
        <v>3719</v>
      </c>
      <c r="T1651" s="19" t="str">
        <f>MONTH(B1651)&amp;"-"&amp;YEAR(B1651)</f>
        <v>8-2024</v>
      </c>
      <c r="U1651" s="2">
        <f>YEAR(B1651)</f>
        <v>2024</v>
      </c>
      <c r="V1651" s="2" t="str">
        <f>IF(DAY(B1651)&gt;15,MONTH(B1651)&amp;"-C",MONTH(B1651)&amp;"-N")</f>
        <v>8-N</v>
      </c>
      <c r="W1651" s="21">
        <v>91.9</v>
      </c>
      <c r="X1651" s="2" t="b">
        <f t="shared" si="1034"/>
        <v>0</v>
      </c>
    </row>
    <row r="1652" spans="2:24" x14ac:dyDescent="0.2">
      <c r="B1652" s="17">
        <v>45533</v>
      </c>
      <c r="C1652" s="10" t="s">
        <v>82</v>
      </c>
      <c r="D1652" s="11" t="s">
        <v>3722</v>
      </c>
      <c r="E1652" s="26">
        <v>76237</v>
      </c>
      <c r="F1652" s="10" t="s">
        <v>26</v>
      </c>
      <c r="G1652" s="10" t="s">
        <v>27</v>
      </c>
      <c r="H1652" s="27" t="s">
        <v>28</v>
      </c>
      <c r="I1652" s="28"/>
      <c r="J1652" s="12"/>
      <c r="K1652" s="13">
        <v>8100</v>
      </c>
      <c r="L1652" s="21">
        <v>3.48</v>
      </c>
      <c r="M1652" s="14" t="s">
        <v>14</v>
      </c>
      <c r="N1652" s="13">
        <v>28188</v>
      </c>
      <c r="O1652" s="15">
        <f t="shared" si="1035"/>
        <v>0</v>
      </c>
      <c r="P1652" s="10" t="s">
        <v>78</v>
      </c>
      <c r="Q1652" s="11" t="s">
        <v>3723</v>
      </c>
      <c r="R1652" s="11" t="s">
        <v>3724</v>
      </c>
      <c r="S1652" s="16" t="s">
        <v>3725</v>
      </c>
      <c r="T1652" s="19" t="str">
        <f>MONTH(B1652)&amp;"-"&amp;YEAR(B1652)</f>
        <v>8-2024</v>
      </c>
      <c r="U1652" s="2">
        <f>YEAR(B1652)</f>
        <v>2024</v>
      </c>
      <c r="V1652" s="2" t="str">
        <f>IF(DAY(B1652)&gt;15,MONTH(B1652)&amp;"-C",MONTH(B1652)&amp;"-N")</f>
        <v>8-C</v>
      </c>
      <c r="W1652" s="21">
        <v>91.9</v>
      </c>
      <c r="X1652" s="2" t="b">
        <f t="shared" ref="X1652:X1658" si="1036">+L1652=W1652</f>
        <v>0</v>
      </c>
    </row>
    <row r="1653" spans="2:24" x14ac:dyDescent="0.2">
      <c r="B1653" s="17">
        <v>45533</v>
      </c>
      <c r="C1653" s="10" t="s">
        <v>82</v>
      </c>
      <c r="D1653" s="11" t="s">
        <v>3722</v>
      </c>
      <c r="E1653" s="26">
        <v>76238</v>
      </c>
      <c r="F1653" s="10" t="s">
        <v>26</v>
      </c>
      <c r="G1653" s="10" t="s">
        <v>27</v>
      </c>
      <c r="H1653" s="27" t="s">
        <v>28</v>
      </c>
      <c r="I1653" s="28"/>
      <c r="J1653" s="12"/>
      <c r="K1653" s="13">
        <v>7200</v>
      </c>
      <c r="L1653" s="21">
        <v>3.48</v>
      </c>
      <c r="M1653" s="14" t="s">
        <v>14</v>
      </c>
      <c r="N1653" s="13">
        <v>25056</v>
      </c>
      <c r="O1653" s="15">
        <f t="shared" si="1035"/>
        <v>0</v>
      </c>
      <c r="P1653" s="10" t="s">
        <v>78</v>
      </c>
      <c r="Q1653" s="11" t="s">
        <v>3726</v>
      </c>
      <c r="R1653" s="11" t="s">
        <v>3727</v>
      </c>
      <c r="S1653" s="16" t="s">
        <v>3728</v>
      </c>
      <c r="T1653" s="19" t="str">
        <f>MONTH(B1653)&amp;"-"&amp;YEAR(B1653)</f>
        <v>8-2024</v>
      </c>
      <c r="U1653" s="2">
        <f>YEAR(B1653)</f>
        <v>2024</v>
      </c>
      <c r="V1653" s="2" t="str">
        <f>IF(DAY(B1653)&gt;15,MONTH(B1653)&amp;"-C",MONTH(B1653)&amp;"-N")</f>
        <v>8-C</v>
      </c>
      <c r="W1653" s="21">
        <v>91.9</v>
      </c>
      <c r="X1653" s="2" t="b">
        <f t="shared" si="1036"/>
        <v>0</v>
      </c>
    </row>
    <row r="1654" spans="2:24" x14ac:dyDescent="0.2">
      <c r="B1654" s="17">
        <v>45528</v>
      </c>
      <c r="C1654" s="10" t="s">
        <v>82</v>
      </c>
      <c r="D1654" s="11" t="s">
        <v>3722</v>
      </c>
      <c r="E1654" s="26">
        <v>76140</v>
      </c>
      <c r="F1654" s="10" t="s">
        <v>26</v>
      </c>
      <c r="G1654" s="10" t="s">
        <v>27</v>
      </c>
      <c r="H1654" s="27" t="s">
        <v>28</v>
      </c>
      <c r="I1654" s="28"/>
      <c r="J1654" s="12"/>
      <c r="K1654" s="13">
        <v>720</v>
      </c>
      <c r="L1654" s="21">
        <v>4.05</v>
      </c>
      <c r="M1654" s="14" t="s">
        <v>14</v>
      </c>
      <c r="N1654" s="13">
        <v>2916</v>
      </c>
      <c r="O1654" s="15">
        <f t="shared" si="1035"/>
        <v>0</v>
      </c>
      <c r="P1654" s="10" t="s">
        <v>78</v>
      </c>
      <c r="Q1654" s="11" t="s">
        <v>3729</v>
      </c>
      <c r="R1654" s="11" t="s">
        <v>3730</v>
      </c>
      <c r="S1654" s="16" t="s">
        <v>3731</v>
      </c>
      <c r="T1654" s="19" t="str">
        <f>MONTH(B1654)&amp;"-"&amp;YEAR(B1654)</f>
        <v>8-2024</v>
      </c>
      <c r="U1654" s="2">
        <f>YEAR(B1654)</f>
        <v>2024</v>
      </c>
      <c r="V1654" s="2" t="str">
        <f>IF(DAY(B1654)&gt;15,MONTH(B1654)&amp;"-C",MONTH(B1654)&amp;"-N")</f>
        <v>8-C</v>
      </c>
      <c r="W1654" s="21">
        <v>91.9</v>
      </c>
      <c r="X1654" s="2" t="b">
        <f t="shared" si="1036"/>
        <v>0</v>
      </c>
    </row>
    <row r="1655" spans="2:24" x14ac:dyDescent="0.2">
      <c r="B1655" s="17">
        <v>45524</v>
      </c>
      <c r="C1655" s="10" t="s">
        <v>3234</v>
      </c>
      <c r="D1655" s="11" t="s">
        <v>3732</v>
      </c>
      <c r="E1655" s="26">
        <v>76073</v>
      </c>
      <c r="F1655" s="10" t="s">
        <v>2176</v>
      </c>
      <c r="G1655" s="10" t="s">
        <v>46</v>
      </c>
      <c r="H1655" s="27" t="s">
        <v>2177</v>
      </c>
      <c r="I1655" s="28"/>
      <c r="J1655" s="12"/>
      <c r="K1655" s="13">
        <v>2990</v>
      </c>
      <c r="L1655" s="21">
        <v>9.85</v>
      </c>
      <c r="M1655" s="14" t="s">
        <v>14</v>
      </c>
      <c r="N1655" s="13">
        <v>29451.5</v>
      </c>
      <c r="O1655" s="15">
        <f t="shared" si="1035"/>
        <v>0</v>
      </c>
      <c r="P1655" s="10" t="s">
        <v>84</v>
      </c>
      <c r="Q1655" s="11" t="s">
        <v>3733</v>
      </c>
      <c r="R1655" s="11" t="s">
        <v>3734</v>
      </c>
      <c r="S1655" s="16" t="s">
        <v>3735</v>
      </c>
      <c r="T1655" s="19" t="str">
        <f>MONTH(B1655)&amp;"-"&amp;YEAR(B1655)</f>
        <v>8-2024</v>
      </c>
      <c r="U1655" s="2">
        <f>YEAR(B1655)</f>
        <v>2024</v>
      </c>
      <c r="V1655" s="2" t="str">
        <f>IF(DAY(B1655)&gt;15,MONTH(B1655)&amp;"-C",MONTH(B1655)&amp;"-N")</f>
        <v>8-C</v>
      </c>
      <c r="W1655" s="21">
        <v>91.9</v>
      </c>
      <c r="X1655" s="2" t="b">
        <f t="shared" si="1036"/>
        <v>0</v>
      </c>
    </row>
    <row r="1656" spans="2:24" x14ac:dyDescent="0.2">
      <c r="B1656" s="17">
        <v>45524</v>
      </c>
      <c r="C1656" s="10" t="s">
        <v>3234</v>
      </c>
      <c r="D1656" s="11" t="s">
        <v>3732</v>
      </c>
      <c r="E1656" s="26">
        <v>76073</v>
      </c>
      <c r="F1656" s="10" t="s">
        <v>3238</v>
      </c>
      <c r="G1656" s="10" t="s">
        <v>46</v>
      </c>
      <c r="H1656" s="27" t="s">
        <v>2172</v>
      </c>
      <c r="I1656" s="28"/>
      <c r="J1656" s="12"/>
      <c r="K1656" s="13">
        <v>2400</v>
      </c>
      <c r="L1656" s="21">
        <v>9.85</v>
      </c>
      <c r="M1656" s="14" t="s">
        <v>14</v>
      </c>
      <c r="N1656" s="13">
        <v>23640</v>
      </c>
      <c r="O1656" s="15">
        <f t="shared" si="1035"/>
        <v>0</v>
      </c>
      <c r="P1656" s="10" t="s">
        <v>84</v>
      </c>
      <c r="Q1656" s="11" t="s">
        <v>3733</v>
      </c>
      <c r="R1656" s="11" t="s">
        <v>3734</v>
      </c>
      <c r="S1656" s="16" t="s">
        <v>3735</v>
      </c>
      <c r="T1656" s="19" t="str">
        <f>MONTH(B1656)&amp;"-"&amp;YEAR(B1656)</f>
        <v>8-2024</v>
      </c>
      <c r="U1656" s="2">
        <f>YEAR(B1656)</f>
        <v>2024</v>
      </c>
      <c r="V1656" s="2" t="str">
        <f>IF(DAY(B1656)&gt;15,MONTH(B1656)&amp;"-C",MONTH(B1656)&amp;"-N")</f>
        <v>8-C</v>
      </c>
      <c r="W1656" s="21">
        <v>91.9</v>
      </c>
      <c r="X1656" s="2" t="b">
        <f t="shared" si="1036"/>
        <v>0</v>
      </c>
    </row>
    <row r="1657" spans="2:24" x14ac:dyDescent="0.2">
      <c r="B1657" s="17">
        <v>45524</v>
      </c>
      <c r="C1657" s="10" t="s">
        <v>3234</v>
      </c>
      <c r="D1657" s="11" t="s">
        <v>3667</v>
      </c>
      <c r="E1657" s="26">
        <v>76072</v>
      </c>
      <c r="F1657" s="10" t="s">
        <v>2176</v>
      </c>
      <c r="G1657" s="10" t="s">
        <v>46</v>
      </c>
      <c r="H1657" s="27" t="s">
        <v>2177</v>
      </c>
      <c r="I1657" s="28"/>
      <c r="J1657" s="12"/>
      <c r="K1657" s="13">
        <v>460</v>
      </c>
      <c r="L1657" s="21">
        <v>9.85</v>
      </c>
      <c r="M1657" s="14" t="s">
        <v>14</v>
      </c>
      <c r="N1657" s="13">
        <v>4531</v>
      </c>
      <c r="O1657" s="15">
        <f t="shared" si="1035"/>
        <v>0</v>
      </c>
      <c r="P1657" s="10" t="s">
        <v>84</v>
      </c>
      <c r="Q1657" s="11" t="s">
        <v>3736</v>
      </c>
      <c r="R1657" s="11" t="s">
        <v>3737</v>
      </c>
      <c r="S1657" s="16" t="s">
        <v>3738</v>
      </c>
      <c r="T1657" s="19" t="str">
        <f>MONTH(B1657)&amp;"-"&amp;YEAR(B1657)</f>
        <v>8-2024</v>
      </c>
      <c r="U1657" s="2">
        <f>YEAR(B1657)</f>
        <v>2024</v>
      </c>
      <c r="V1657" s="2" t="str">
        <f>IF(DAY(B1657)&gt;15,MONTH(B1657)&amp;"-C",MONTH(B1657)&amp;"-N")</f>
        <v>8-C</v>
      </c>
      <c r="W1657" s="21">
        <v>91.9</v>
      </c>
      <c r="X1657" s="2" t="b">
        <f t="shared" si="1036"/>
        <v>0</v>
      </c>
    </row>
    <row r="1658" spans="2:24" x14ac:dyDescent="0.2">
      <c r="B1658" s="17">
        <v>45524</v>
      </c>
      <c r="C1658" s="10" t="s">
        <v>3234</v>
      </c>
      <c r="D1658" s="11" t="s">
        <v>3667</v>
      </c>
      <c r="E1658" s="26">
        <v>76072</v>
      </c>
      <c r="F1658" s="10" t="s">
        <v>3238</v>
      </c>
      <c r="G1658" s="10" t="s">
        <v>46</v>
      </c>
      <c r="H1658" s="27" t="s">
        <v>2172</v>
      </c>
      <c r="I1658" s="28"/>
      <c r="J1658" s="12"/>
      <c r="K1658" s="13">
        <v>400</v>
      </c>
      <c r="L1658" s="21">
        <v>9.85</v>
      </c>
      <c r="M1658" s="14" t="s">
        <v>14</v>
      </c>
      <c r="N1658" s="13">
        <v>3940</v>
      </c>
      <c r="O1658" s="15">
        <f t="shared" si="1035"/>
        <v>0</v>
      </c>
      <c r="P1658" s="10" t="s">
        <v>84</v>
      </c>
      <c r="Q1658" s="11" t="s">
        <v>3736</v>
      </c>
      <c r="R1658" s="11" t="s">
        <v>3737</v>
      </c>
      <c r="S1658" s="16" t="s">
        <v>3738</v>
      </c>
      <c r="T1658" s="19" t="str">
        <f>MONTH(B1658)&amp;"-"&amp;YEAR(B1658)</f>
        <v>8-2024</v>
      </c>
      <c r="U1658" s="2">
        <f>YEAR(B1658)</f>
        <v>2024</v>
      </c>
      <c r="V1658" s="2" t="str">
        <f>IF(DAY(B1658)&gt;15,MONTH(B1658)&amp;"-C",MONTH(B1658)&amp;"-N")</f>
        <v>8-C</v>
      </c>
      <c r="W1658" s="21">
        <v>91.9</v>
      </c>
      <c r="X1658" s="2" t="b">
        <f t="shared" si="1036"/>
        <v>0</v>
      </c>
    </row>
    <row r="1659" spans="2:24" x14ac:dyDescent="0.2">
      <c r="B1659" s="17">
        <v>45537</v>
      </c>
      <c r="C1659" s="10" t="s">
        <v>73</v>
      </c>
      <c r="D1659" s="11" t="s">
        <v>3625</v>
      </c>
      <c r="E1659" s="26">
        <v>76343</v>
      </c>
      <c r="F1659" s="10" t="s">
        <v>399</v>
      </c>
      <c r="G1659" s="10" t="s">
        <v>46</v>
      </c>
      <c r="H1659" s="27" t="s">
        <v>149</v>
      </c>
      <c r="I1659" s="28" t="s">
        <v>41</v>
      </c>
      <c r="J1659" s="12" t="s">
        <v>41</v>
      </c>
      <c r="K1659" s="13">
        <v>2160</v>
      </c>
      <c r="L1659" s="21">
        <v>16.8</v>
      </c>
      <c r="M1659" s="14" t="s">
        <v>14</v>
      </c>
      <c r="N1659" s="13">
        <v>36288</v>
      </c>
      <c r="O1659" s="15">
        <f t="shared" ref="O1659" si="1037">(N1659/K1659)-L1659</f>
        <v>0</v>
      </c>
      <c r="P1659" s="10" t="s">
        <v>84</v>
      </c>
      <c r="Q1659" s="11" t="s">
        <v>3739</v>
      </c>
      <c r="R1659" s="11" t="s">
        <v>3740</v>
      </c>
      <c r="S1659" s="16" t="s">
        <v>3741</v>
      </c>
      <c r="T1659" s="19" t="str">
        <f>MONTH(B1659)&amp;"-"&amp;YEAR(B1659)</f>
        <v>9-2024</v>
      </c>
      <c r="U1659" s="2">
        <f>YEAR(B1659)</f>
        <v>2024</v>
      </c>
      <c r="V1659" s="2" t="str">
        <f>IF(DAY(B1659)&gt;15,MONTH(B1659)&amp;"-C",MONTH(B1659)&amp;"-N")</f>
        <v>9-N</v>
      </c>
      <c r="W1659" s="21">
        <v>91.9</v>
      </c>
      <c r="X1659" s="2" t="b">
        <f t="shared" ref="X1659" si="1038">+L1659=W1659</f>
        <v>0</v>
      </c>
    </row>
    <row r="1660" spans="2:24" x14ac:dyDescent="0.2">
      <c r="B1660" s="17">
        <v>45556</v>
      </c>
      <c r="C1660" s="10" t="s">
        <v>73</v>
      </c>
      <c r="D1660" s="11" t="s">
        <v>3625</v>
      </c>
      <c r="E1660" s="26">
        <v>76652</v>
      </c>
      <c r="F1660" s="10" t="s">
        <v>399</v>
      </c>
      <c r="G1660" s="10" t="s">
        <v>46</v>
      </c>
      <c r="H1660" s="27" t="s">
        <v>149</v>
      </c>
      <c r="I1660" s="28" t="s">
        <v>41</v>
      </c>
      <c r="J1660" s="12" t="s">
        <v>41</v>
      </c>
      <c r="K1660" s="13">
        <v>2160</v>
      </c>
      <c r="L1660" s="21">
        <v>16.8</v>
      </c>
      <c r="M1660" s="14" t="s">
        <v>14</v>
      </c>
      <c r="N1660" s="13">
        <v>36288</v>
      </c>
      <c r="O1660" s="15">
        <f t="shared" ref="O1660:O1664" si="1039">(N1660/K1660)-L1660</f>
        <v>0</v>
      </c>
      <c r="P1660" s="10" t="s">
        <v>84</v>
      </c>
      <c r="Q1660" s="11" t="s">
        <v>3742</v>
      </c>
      <c r="R1660" s="11" t="s">
        <v>3743</v>
      </c>
      <c r="S1660" s="16" t="s">
        <v>3744</v>
      </c>
      <c r="T1660" s="19" t="str">
        <f>MONTH(B1660)&amp;"-"&amp;YEAR(B1660)</f>
        <v>9-2024</v>
      </c>
      <c r="U1660" s="2">
        <f>YEAR(B1660)</f>
        <v>2024</v>
      </c>
      <c r="V1660" s="2" t="str">
        <f>IF(DAY(B1660)&gt;15,MONTH(B1660)&amp;"-C",MONTH(B1660)&amp;"-N")</f>
        <v>9-C</v>
      </c>
      <c r="W1660" s="21">
        <v>91.9</v>
      </c>
      <c r="X1660" s="2" t="b">
        <f t="shared" ref="X1660:X1664" si="1040">+L1660=W1660</f>
        <v>0</v>
      </c>
    </row>
    <row r="1661" spans="2:24" x14ac:dyDescent="0.2">
      <c r="B1661" s="17">
        <v>45549</v>
      </c>
      <c r="C1661" s="10" t="s">
        <v>3681</v>
      </c>
      <c r="D1661" s="11" t="s">
        <v>3745</v>
      </c>
      <c r="E1661" s="26">
        <v>76518</v>
      </c>
      <c r="F1661" s="10" t="s">
        <v>127</v>
      </c>
      <c r="G1661" s="10" t="s">
        <v>46</v>
      </c>
      <c r="H1661" s="27" t="s">
        <v>128</v>
      </c>
      <c r="I1661" s="28" t="s">
        <v>41</v>
      </c>
      <c r="J1661" s="12" t="s">
        <v>41</v>
      </c>
      <c r="K1661" s="13">
        <v>736</v>
      </c>
      <c r="L1661" s="21">
        <v>12</v>
      </c>
      <c r="M1661" s="14" t="s">
        <v>14</v>
      </c>
      <c r="N1661" s="13">
        <v>8832</v>
      </c>
      <c r="O1661" s="15">
        <f t="shared" si="1039"/>
        <v>0</v>
      </c>
      <c r="P1661" s="10" t="s">
        <v>84</v>
      </c>
      <c r="Q1661" s="11" t="s">
        <v>3746</v>
      </c>
      <c r="R1661" s="11" t="s">
        <v>3747</v>
      </c>
      <c r="S1661" s="16" t="s">
        <v>3748</v>
      </c>
      <c r="T1661" s="19" t="str">
        <f>MONTH(B1661)&amp;"-"&amp;YEAR(B1661)</f>
        <v>9-2024</v>
      </c>
      <c r="U1661" s="2">
        <f>YEAR(B1661)</f>
        <v>2024</v>
      </c>
      <c r="V1661" s="2" t="str">
        <f>IF(DAY(B1661)&gt;15,MONTH(B1661)&amp;"-C",MONTH(B1661)&amp;"-N")</f>
        <v>9-N</v>
      </c>
      <c r="W1661" s="21">
        <v>91.9</v>
      </c>
      <c r="X1661" s="2" t="b">
        <f t="shared" si="1040"/>
        <v>0</v>
      </c>
    </row>
    <row r="1662" spans="2:24" x14ac:dyDescent="0.2">
      <c r="B1662" s="17">
        <v>45549</v>
      </c>
      <c r="C1662" s="10" t="s">
        <v>3681</v>
      </c>
      <c r="D1662" s="11" t="s">
        <v>3745</v>
      </c>
      <c r="E1662" s="26">
        <v>76518</v>
      </c>
      <c r="F1662" s="10" t="s">
        <v>2331</v>
      </c>
      <c r="G1662" s="10" t="s">
        <v>46</v>
      </c>
      <c r="H1662" s="27" t="s">
        <v>2332</v>
      </c>
      <c r="I1662" s="28" t="s">
        <v>41</v>
      </c>
      <c r="J1662" s="12" t="s">
        <v>41</v>
      </c>
      <c r="K1662" s="13">
        <v>1150</v>
      </c>
      <c r="L1662" s="21">
        <v>13.85</v>
      </c>
      <c r="M1662" s="14" t="s">
        <v>14</v>
      </c>
      <c r="N1662" s="13">
        <v>15927.5</v>
      </c>
      <c r="O1662" s="15">
        <f t="shared" si="1039"/>
        <v>0</v>
      </c>
      <c r="P1662" s="10" t="s">
        <v>84</v>
      </c>
      <c r="Q1662" s="11" t="s">
        <v>3746</v>
      </c>
      <c r="R1662" s="11" t="s">
        <v>3747</v>
      </c>
      <c r="S1662" s="16" t="s">
        <v>3748</v>
      </c>
      <c r="T1662" s="19" t="str">
        <f>MONTH(B1662)&amp;"-"&amp;YEAR(B1662)</f>
        <v>9-2024</v>
      </c>
      <c r="U1662" s="2">
        <f>YEAR(B1662)</f>
        <v>2024</v>
      </c>
      <c r="V1662" s="2" t="str">
        <f>IF(DAY(B1662)&gt;15,MONTH(B1662)&amp;"-C",MONTH(B1662)&amp;"-N")</f>
        <v>9-N</v>
      </c>
      <c r="W1662" s="21">
        <v>91.9</v>
      </c>
      <c r="X1662" s="2" t="b">
        <f t="shared" si="1040"/>
        <v>0</v>
      </c>
    </row>
    <row r="1663" spans="2:24" x14ac:dyDescent="0.2">
      <c r="B1663" s="17">
        <v>45546</v>
      </c>
      <c r="C1663" s="10" t="s">
        <v>48</v>
      </c>
      <c r="D1663" s="11" t="s">
        <v>3749</v>
      </c>
      <c r="E1663" s="26">
        <v>76517</v>
      </c>
      <c r="F1663" s="10" t="s">
        <v>71</v>
      </c>
      <c r="G1663" s="10" t="s">
        <v>46</v>
      </c>
      <c r="H1663" s="27" t="s">
        <v>72</v>
      </c>
      <c r="I1663" s="28" t="s">
        <v>41</v>
      </c>
      <c r="J1663" s="12" t="s">
        <v>41</v>
      </c>
      <c r="K1663" s="13">
        <v>10000</v>
      </c>
      <c r="L1663" s="21">
        <v>9.7780000000000005</v>
      </c>
      <c r="M1663" s="14" t="s">
        <v>14</v>
      </c>
      <c r="N1663" s="13">
        <v>97781.6</v>
      </c>
      <c r="O1663" s="15">
        <f t="shared" si="1039"/>
        <v>1.5999999999927184E-4</v>
      </c>
      <c r="P1663" s="10" t="s">
        <v>90</v>
      </c>
      <c r="Q1663" s="11" t="s">
        <v>3750</v>
      </c>
      <c r="R1663" s="11" t="s">
        <v>3751</v>
      </c>
      <c r="S1663" s="16" t="s">
        <v>3752</v>
      </c>
      <c r="T1663" s="19" t="str">
        <f>MONTH(B1663)&amp;"-"&amp;YEAR(B1663)</f>
        <v>9-2024</v>
      </c>
      <c r="U1663" s="2">
        <f>YEAR(B1663)</f>
        <v>2024</v>
      </c>
      <c r="V1663" s="2" t="str">
        <f>IF(DAY(B1663)&gt;15,MONTH(B1663)&amp;"-C",MONTH(B1663)&amp;"-N")</f>
        <v>9-N</v>
      </c>
      <c r="W1663" s="21">
        <v>91.9</v>
      </c>
      <c r="X1663" s="2" t="b">
        <f t="shared" si="1040"/>
        <v>0</v>
      </c>
    </row>
    <row r="1664" spans="2:24" x14ac:dyDescent="0.2">
      <c r="B1664" s="17">
        <v>45546</v>
      </c>
      <c r="C1664" s="10" t="s">
        <v>48</v>
      </c>
      <c r="D1664" s="11" t="s">
        <v>3749</v>
      </c>
      <c r="E1664" s="26">
        <v>76517</v>
      </c>
      <c r="F1664" s="10" t="s">
        <v>2552</v>
      </c>
      <c r="G1664" s="10" t="s">
        <v>46</v>
      </c>
      <c r="H1664" s="27" t="s">
        <v>2553</v>
      </c>
      <c r="I1664" s="28" t="s">
        <v>41</v>
      </c>
      <c r="J1664" s="12" t="s">
        <v>41</v>
      </c>
      <c r="K1664" s="13">
        <v>5600</v>
      </c>
      <c r="L1664" s="21">
        <v>10.292999999999999</v>
      </c>
      <c r="M1664" s="14" t="s">
        <v>14</v>
      </c>
      <c r="N1664" s="13">
        <v>57639.68</v>
      </c>
      <c r="O1664" s="15">
        <f t="shared" si="1039"/>
        <v>-1.9999999999953388E-4</v>
      </c>
      <c r="P1664" s="10" t="s">
        <v>90</v>
      </c>
      <c r="Q1664" s="11" t="s">
        <v>3750</v>
      </c>
      <c r="R1664" s="11" t="s">
        <v>3751</v>
      </c>
      <c r="S1664" s="16" t="s">
        <v>3752</v>
      </c>
      <c r="T1664" s="19" t="str">
        <f>MONTH(B1664)&amp;"-"&amp;YEAR(B1664)</f>
        <v>9-2024</v>
      </c>
      <c r="U1664" s="2">
        <f>YEAR(B1664)</f>
        <v>2024</v>
      </c>
      <c r="V1664" s="2" t="str">
        <f>IF(DAY(B1664)&gt;15,MONTH(B1664)&amp;"-C",MONTH(B1664)&amp;"-N")</f>
        <v>9-N</v>
      </c>
      <c r="W1664" s="21">
        <v>91.9</v>
      </c>
      <c r="X1664" s="2" t="b">
        <f t="shared" si="1040"/>
        <v>0</v>
      </c>
    </row>
    <row r="1665" spans="2:24" x14ac:dyDescent="0.2">
      <c r="B1665" s="17">
        <v>45553</v>
      </c>
      <c r="C1665" s="10" t="s">
        <v>107</v>
      </c>
      <c r="D1665" s="11" t="s">
        <v>3753</v>
      </c>
      <c r="E1665" s="26">
        <v>76594</v>
      </c>
      <c r="F1665" s="10" t="s">
        <v>103</v>
      </c>
      <c r="G1665" s="10" t="s">
        <v>46</v>
      </c>
      <c r="H1665" s="27" t="s">
        <v>104</v>
      </c>
      <c r="I1665" s="28" t="s">
        <v>41</v>
      </c>
      <c r="J1665" s="12" t="s">
        <v>41</v>
      </c>
      <c r="K1665" s="13">
        <v>150</v>
      </c>
      <c r="L1665" s="21">
        <v>47.46</v>
      </c>
      <c r="M1665" s="14" t="s">
        <v>14</v>
      </c>
      <c r="N1665" s="13">
        <v>7119</v>
      </c>
      <c r="O1665" s="15">
        <f t="shared" ref="O1665:O1676" si="1041">(N1665/K1665)-L1665</f>
        <v>0</v>
      </c>
      <c r="P1665" s="10" t="s">
        <v>84</v>
      </c>
      <c r="Q1665" s="11" t="s">
        <v>3754</v>
      </c>
      <c r="R1665" s="11" t="s">
        <v>3755</v>
      </c>
      <c r="S1665" s="16" t="s">
        <v>3756</v>
      </c>
      <c r="T1665" s="19" t="str">
        <f>MONTH(B1665)&amp;"-"&amp;YEAR(B1665)</f>
        <v>9-2024</v>
      </c>
      <c r="U1665" s="2">
        <f>YEAR(B1665)</f>
        <v>2024</v>
      </c>
      <c r="V1665" s="2" t="str">
        <f>IF(DAY(B1665)&gt;15,MONTH(B1665)&amp;"-C",MONTH(B1665)&amp;"-N")</f>
        <v>9-C</v>
      </c>
      <c r="W1665" s="21">
        <v>91.9</v>
      </c>
      <c r="X1665" s="2" t="b">
        <f t="shared" ref="X1665:X1676" si="1042">+L1665=W1665</f>
        <v>0</v>
      </c>
    </row>
    <row r="1666" spans="2:24" x14ac:dyDescent="0.2">
      <c r="B1666" s="17">
        <v>45553</v>
      </c>
      <c r="C1666" s="10" t="s">
        <v>107</v>
      </c>
      <c r="D1666" s="11" t="s">
        <v>3753</v>
      </c>
      <c r="E1666" s="26">
        <v>76594</v>
      </c>
      <c r="F1666" s="10" t="s">
        <v>2882</v>
      </c>
      <c r="G1666" s="10" t="s">
        <v>46</v>
      </c>
      <c r="H1666" s="27" t="s">
        <v>2883</v>
      </c>
      <c r="I1666" s="28" t="s">
        <v>41</v>
      </c>
      <c r="J1666" s="12" t="s">
        <v>41</v>
      </c>
      <c r="K1666" s="13">
        <v>4840</v>
      </c>
      <c r="L1666" s="21">
        <v>11.72</v>
      </c>
      <c r="M1666" s="14" t="s">
        <v>14</v>
      </c>
      <c r="N1666" s="13">
        <v>56724.800000000003</v>
      </c>
      <c r="O1666" s="15">
        <f t="shared" si="1041"/>
        <v>0</v>
      </c>
      <c r="P1666" s="10" t="s">
        <v>84</v>
      </c>
      <c r="Q1666" s="11" t="s">
        <v>3754</v>
      </c>
      <c r="R1666" s="11" t="s">
        <v>3755</v>
      </c>
      <c r="S1666" s="16" t="s">
        <v>3756</v>
      </c>
      <c r="T1666" s="19" t="str">
        <f>MONTH(B1666)&amp;"-"&amp;YEAR(B1666)</f>
        <v>9-2024</v>
      </c>
      <c r="U1666" s="2">
        <f>YEAR(B1666)</f>
        <v>2024</v>
      </c>
      <c r="V1666" s="2" t="str">
        <f>IF(DAY(B1666)&gt;15,MONTH(B1666)&amp;"-C",MONTH(B1666)&amp;"-N")</f>
        <v>9-C</v>
      </c>
      <c r="W1666" s="21">
        <v>91.9</v>
      </c>
      <c r="X1666" s="2" t="b">
        <f t="shared" si="1042"/>
        <v>0</v>
      </c>
    </row>
    <row r="1667" spans="2:24" x14ac:dyDescent="0.2">
      <c r="B1667" s="17">
        <v>45541</v>
      </c>
      <c r="C1667" s="10" t="s">
        <v>107</v>
      </c>
      <c r="D1667" s="11" t="s">
        <v>3641</v>
      </c>
      <c r="E1667" s="26">
        <v>76387</v>
      </c>
      <c r="F1667" s="10" t="s">
        <v>103</v>
      </c>
      <c r="G1667" s="10" t="s">
        <v>46</v>
      </c>
      <c r="H1667" s="27" t="s">
        <v>104</v>
      </c>
      <c r="I1667" s="28" t="s">
        <v>41</v>
      </c>
      <c r="J1667" s="12" t="s">
        <v>41</v>
      </c>
      <c r="K1667" s="13">
        <v>110</v>
      </c>
      <c r="L1667" s="21">
        <v>47.46</v>
      </c>
      <c r="M1667" s="14" t="s">
        <v>14</v>
      </c>
      <c r="N1667" s="13">
        <v>5220.6000000000004</v>
      </c>
      <c r="O1667" s="15">
        <f t="shared" si="1041"/>
        <v>0</v>
      </c>
      <c r="P1667" s="10" t="s">
        <v>84</v>
      </c>
      <c r="Q1667" s="11" t="s">
        <v>3757</v>
      </c>
      <c r="R1667" s="11" t="s">
        <v>3758</v>
      </c>
      <c r="S1667" s="16" t="s">
        <v>3759</v>
      </c>
      <c r="T1667" s="19" t="str">
        <f>MONTH(B1667)&amp;"-"&amp;YEAR(B1667)</f>
        <v>9-2024</v>
      </c>
      <c r="U1667" s="2">
        <f>YEAR(B1667)</f>
        <v>2024</v>
      </c>
      <c r="V1667" s="2" t="str">
        <f>IF(DAY(B1667)&gt;15,MONTH(B1667)&amp;"-C",MONTH(B1667)&amp;"-N")</f>
        <v>9-N</v>
      </c>
      <c r="W1667" s="21">
        <v>91.9</v>
      </c>
      <c r="X1667" s="2" t="b">
        <f t="shared" si="1042"/>
        <v>0</v>
      </c>
    </row>
    <row r="1668" spans="2:24" x14ac:dyDescent="0.2">
      <c r="B1668" s="17">
        <v>45541</v>
      </c>
      <c r="C1668" s="10" t="s">
        <v>107</v>
      </c>
      <c r="D1668" s="11" t="s">
        <v>3753</v>
      </c>
      <c r="E1668" s="26">
        <v>76387</v>
      </c>
      <c r="F1668" s="10" t="s">
        <v>103</v>
      </c>
      <c r="G1668" s="10" t="s">
        <v>46</v>
      </c>
      <c r="H1668" s="27" t="s">
        <v>104</v>
      </c>
      <c r="I1668" s="28" t="s">
        <v>41</v>
      </c>
      <c r="J1668" s="12" t="s">
        <v>41</v>
      </c>
      <c r="K1668" s="13">
        <v>70</v>
      </c>
      <c r="L1668" s="21">
        <v>47.46</v>
      </c>
      <c r="M1668" s="14" t="s">
        <v>14</v>
      </c>
      <c r="N1668" s="13">
        <v>3322.2</v>
      </c>
      <c r="O1668" s="15">
        <f t="shared" si="1041"/>
        <v>0</v>
      </c>
      <c r="P1668" s="10" t="s">
        <v>84</v>
      </c>
      <c r="Q1668" s="11" t="s">
        <v>3757</v>
      </c>
      <c r="R1668" s="11" t="s">
        <v>3758</v>
      </c>
      <c r="S1668" s="16" t="s">
        <v>3759</v>
      </c>
      <c r="T1668" s="19" t="str">
        <f>MONTH(B1668)&amp;"-"&amp;YEAR(B1668)</f>
        <v>9-2024</v>
      </c>
      <c r="U1668" s="2">
        <f>YEAR(B1668)</f>
        <v>2024</v>
      </c>
      <c r="V1668" s="2" t="str">
        <f>IF(DAY(B1668)&gt;15,MONTH(B1668)&amp;"-C",MONTH(B1668)&amp;"-N")</f>
        <v>9-N</v>
      </c>
      <c r="W1668" s="21">
        <v>91.9</v>
      </c>
      <c r="X1668" s="2" t="b">
        <f t="shared" si="1042"/>
        <v>0</v>
      </c>
    </row>
    <row r="1669" spans="2:24" x14ac:dyDescent="0.2">
      <c r="B1669" s="17">
        <v>45541</v>
      </c>
      <c r="C1669" s="10" t="s">
        <v>107</v>
      </c>
      <c r="D1669" s="11" t="s">
        <v>3641</v>
      </c>
      <c r="E1669" s="26">
        <v>76387</v>
      </c>
      <c r="F1669" s="10" t="s">
        <v>105</v>
      </c>
      <c r="G1669" s="10" t="s">
        <v>46</v>
      </c>
      <c r="H1669" s="27" t="s">
        <v>106</v>
      </c>
      <c r="I1669" s="28" t="s">
        <v>41</v>
      </c>
      <c r="J1669" s="12" t="s">
        <v>41</v>
      </c>
      <c r="K1669" s="13">
        <v>4400</v>
      </c>
      <c r="L1669" s="21">
        <v>11.72</v>
      </c>
      <c r="M1669" s="14" t="s">
        <v>14</v>
      </c>
      <c r="N1669" s="13">
        <v>51568</v>
      </c>
      <c r="O1669" s="15">
        <f t="shared" si="1041"/>
        <v>0</v>
      </c>
      <c r="P1669" s="10" t="s">
        <v>84</v>
      </c>
      <c r="Q1669" s="11" t="s">
        <v>3757</v>
      </c>
      <c r="R1669" s="11" t="s">
        <v>3758</v>
      </c>
      <c r="S1669" s="16" t="s">
        <v>3759</v>
      </c>
      <c r="T1669" s="19" t="str">
        <f>MONTH(B1669)&amp;"-"&amp;YEAR(B1669)</f>
        <v>9-2024</v>
      </c>
      <c r="U1669" s="2">
        <f>YEAR(B1669)</f>
        <v>2024</v>
      </c>
      <c r="V1669" s="2" t="str">
        <f>IF(DAY(B1669)&gt;15,MONTH(B1669)&amp;"-C",MONTH(B1669)&amp;"-N")</f>
        <v>9-N</v>
      </c>
      <c r="W1669" s="21">
        <v>91.9</v>
      </c>
      <c r="X1669" s="2" t="b">
        <f t="shared" si="1042"/>
        <v>0</v>
      </c>
    </row>
    <row r="1670" spans="2:24" x14ac:dyDescent="0.2">
      <c r="B1670" s="17">
        <v>45541</v>
      </c>
      <c r="C1670" s="10" t="s">
        <v>107</v>
      </c>
      <c r="D1670" s="11" t="s">
        <v>3753</v>
      </c>
      <c r="E1670" s="26">
        <v>76387</v>
      </c>
      <c r="F1670" s="10" t="s">
        <v>105</v>
      </c>
      <c r="G1670" s="10" t="s">
        <v>46</v>
      </c>
      <c r="H1670" s="27" t="s">
        <v>106</v>
      </c>
      <c r="I1670" s="28" t="s">
        <v>41</v>
      </c>
      <c r="J1670" s="12" t="s">
        <v>41</v>
      </c>
      <c r="K1670" s="13">
        <v>1540</v>
      </c>
      <c r="L1670" s="21">
        <v>11.72</v>
      </c>
      <c r="M1670" s="14" t="s">
        <v>14</v>
      </c>
      <c r="N1670" s="13">
        <v>18048.8</v>
      </c>
      <c r="O1670" s="15">
        <f t="shared" si="1041"/>
        <v>0</v>
      </c>
      <c r="P1670" s="10" t="s">
        <v>84</v>
      </c>
      <c r="Q1670" s="11" t="s">
        <v>3757</v>
      </c>
      <c r="R1670" s="11" t="s">
        <v>3758</v>
      </c>
      <c r="S1670" s="16" t="s">
        <v>3759</v>
      </c>
      <c r="T1670" s="19" t="str">
        <f>MONTH(B1670)&amp;"-"&amp;YEAR(B1670)</f>
        <v>9-2024</v>
      </c>
      <c r="U1670" s="2">
        <f>YEAR(B1670)</f>
        <v>2024</v>
      </c>
      <c r="V1670" s="2" t="str">
        <f>IF(DAY(B1670)&gt;15,MONTH(B1670)&amp;"-C",MONTH(B1670)&amp;"-N")</f>
        <v>9-N</v>
      </c>
      <c r="W1670" s="21">
        <v>91.9</v>
      </c>
      <c r="X1670" s="2" t="b">
        <f t="shared" si="1042"/>
        <v>0</v>
      </c>
    </row>
    <row r="1671" spans="2:24" x14ac:dyDescent="0.2">
      <c r="B1671" s="17">
        <v>45552</v>
      </c>
      <c r="C1671" s="10" t="s">
        <v>94</v>
      </c>
      <c r="D1671" s="11" t="s">
        <v>3760</v>
      </c>
      <c r="E1671" s="26">
        <v>76581</v>
      </c>
      <c r="F1671" s="10" t="s">
        <v>26</v>
      </c>
      <c r="G1671" s="10" t="s">
        <v>27</v>
      </c>
      <c r="H1671" s="27" t="s">
        <v>28</v>
      </c>
      <c r="I1671" s="28" t="s">
        <v>41</v>
      </c>
      <c r="J1671" s="12" t="s">
        <v>41</v>
      </c>
      <c r="K1671" s="13">
        <v>7200</v>
      </c>
      <c r="L1671" s="21">
        <v>3.48</v>
      </c>
      <c r="M1671" s="14" t="s">
        <v>14</v>
      </c>
      <c r="N1671" s="13">
        <v>25056</v>
      </c>
      <c r="O1671" s="15">
        <f t="shared" si="1041"/>
        <v>0</v>
      </c>
      <c r="P1671" s="10" t="s">
        <v>78</v>
      </c>
      <c r="Q1671" s="11" t="s">
        <v>3761</v>
      </c>
      <c r="R1671" s="11" t="s">
        <v>3762</v>
      </c>
      <c r="S1671" s="16" t="s">
        <v>3763</v>
      </c>
      <c r="T1671" s="19" t="str">
        <f>MONTH(B1671)&amp;"-"&amp;YEAR(B1671)</f>
        <v>9-2024</v>
      </c>
      <c r="U1671" s="2">
        <f>YEAR(B1671)</f>
        <v>2024</v>
      </c>
      <c r="V1671" s="2" t="str">
        <f>IF(DAY(B1671)&gt;15,MONTH(B1671)&amp;"-C",MONTH(B1671)&amp;"-N")</f>
        <v>9-C</v>
      </c>
      <c r="W1671" s="21">
        <v>91.9</v>
      </c>
      <c r="X1671" s="2" t="b">
        <f t="shared" si="1042"/>
        <v>0</v>
      </c>
    </row>
    <row r="1672" spans="2:24" x14ac:dyDescent="0.2">
      <c r="B1672" s="17">
        <v>45543</v>
      </c>
      <c r="C1672" s="10" t="s">
        <v>94</v>
      </c>
      <c r="D1672" s="11" t="s">
        <v>3549</v>
      </c>
      <c r="E1672" s="26">
        <v>76418</v>
      </c>
      <c r="F1672" s="10" t="s">
        <v>26</v>
      </c>
      <c r="G1672" s="10" t="s">
        <v>27</v>
      </c>
      <c r="H1672" s="27" t="s">
        <v>28</v>
      </c>
      <c r="I1672" s="28" t="s">
        <v>41</v>
      </c>
      <c r="J1672" s="12" t="s">
        <v>41</v>
      </c>
      <c r="K1672" s="13">
        <v>14400</v>
      </c>
      <c r="L1672" s="21">
        <v>3.4</v>
      </c>
      <c r="M1672" s="14" t="s">
        <v>14</v>
      </c>
      <c r="N1672" s="13">
        <v>48960</v>
      </c>
      <c r="O1672" s="15">
        <f t="shared" si="1041"/>
        <v>0</v>
      </c>
      <c r="P1672" s="10" t="s">
        <v>78</v>
      </c>
      <c r="Q1672" s="11" t="s">
        <v>3764</v>
      </c>
      <c r="R1672" s="11" t="s">
        <v>3765</v>
      </c>
      <c r="S1672" s="16" t="s">
        <v>3766</v>
      </c>
      <c r="T1672" s="19" t="str">
        <f>MONTH(B1672)&amp;"-"&amp;YEAR(B1672)</f>
        <v>9-2024</v>
      </c>
      <c r="U1672" s="2">
        <f>YEAR(B1672)</f>
        <v>2024</v>
      </c>
      <c r="V1672" s="2" t="str">
        <f>IF(DAY(B1672)&gt;15,MONTH(B1672)&amp;"-C",MONTH(B1672)&amp;"-N")</f>
        <v>9-N</v>
      </c>
      <c r="W1672" s="21">
        <v>91.9</v>
      </c>
      <c r="X1672" s="2" t="b">
        <f t="shared" si="1042"/>
        <v>0</v>
      </c>
    </row>
    <row r="1673" spans="2:24" x14ac:dyDescent="0.2">
      <c r="B1673" s="17">
        <v>45547</v>
      </c>
      <c r="C1673" s="10" t="s">
        <v>25</v>
      </c>
      <c r="D1673" s="11" t="s">
        <v>3694</v>
      </c>
      <c r="E1673" s="26">
        <v>76473</v>
      </c>
      <c r="F1673" s="10" t="s">
        <v>26</v>
      </c>
      <c r="G1673" s="10" t="s">
        <v>27</v>
      </c>
      <c r="H1673" s="27" t="s">
        <v>28</v>
      </c>
      <c r="I1673" s="28" t="s">
        <v>41</v>
      </c>
      <c r="J1673" s="12" t="s">
        <v>41</v>
      </c>
      <c r="K1673" s="13">
        <v>19800</v>
      </c>
      <c r="L1673" s="21">
        <v>3.48</v>
      </c>
      <c r="M1673" s="14" t="s">
        <v>14</v>
      </c>
      <c r="N1673" s="13">
        <v>68904</v>
      </c>
      <c r="O1673" s="15">
        <f t="shared" si="1041"/>
        <v>0</v>
      </c>
      <c r="P1673" s="10" t="s">
        <v>78</v>
      </c>
      <c r="Q1673" s="11" t="s">
        <v>3767</v>
      </c>
      <c r="R1673" s="11" t="s">
        <v>3768</v>
      </c>
      <c r="S1673" s="16" t="s">
        <v>3769</v>
      </c>
      <c r="T1673" s="19" t="str">
        <f>MONTH(B1673)&amp;"-"&amp;YEAR(B1673)</f>
        <v>9-2024</v>
      </c>
      <c r="U1673" s="2">
        <f>YEAR(B1673)</f>
        <v>2024</v>
      </c>
      <c r="V1673" s="2" t="str">
        <f>IF(DAY(B1673)&gt;15,MONTH(B1673)&amp;"-C",MONTH(B1673)&amp;"-N")</f>
        <v>9-N</v>
      </c>
      <c r="W1673" s="21">
        <v>91.9</v>
      </c>
      <c r="X1673" s="2" t="b">
        <f t="shared" si="1042"/>
        <v>0</v>
      </c>
    </row>
    <row r="1674" spans="2:24" x14ac:dyDescent="0.2">
      <c r="B1674" s="17">
        <v>45548</v>
      </c>
      <c r="C1674" s="10" t="s">
        <v>25</v>
      </c>
      <c r="D1674" s="11" t="s">
        <v>3660</v>
      </c>
      <c r="E1674" s="26">
        <v>76501</v>
      </c>
      <c r="F1674" s="10" t="s">
        <v>29</v>
      </c>
      <c r="G1674" s="10" t="s">
        <v>27</v>
      </c>
      <c r="H1674" s="27" t="s">
        <v>30</v>
      </c>
      <c r="I1674" s="28" t="s">
        <v>41</v>
      </c>
      <c r="J1674" s="12" t="s">
        <v>41</v>
      </c>
      <c r="K1674" s="13">
        <v>1980</v>
      </c>
      <c r="L1674" s="21">
        <v>3.9</v>
      </c>
      <c r="M1674" s="14" t="s">
        <v>14</v>
      </c>
      <c r="N1674" s="13">
        <v>7722</v>
      </c>
      <c r="O1674" s="15">
        <f t="shared" si="1041"/>
        <v>0</v>
      </c>
      <c r="P1674" s="10" t="s">
        <v>78</v>
      </c>
      <c r="Q1674" s="11" t="s">
        <v>3770</v>
      </c>
      <c r="R1674" s="11" t="s">
        <v>3771</v>
      </c>
      <c r="S1674" s="16" t="s">
        <v>3772</v>
      </c>
      <c r="T1674" s="19" t="str">
        <f>MONTH(B1674)&amp;"-"&amp;YEAR(B1674)</f>
        <v>9-2024</v>
      </c>
      <c r="U1674" s="2">
        <f>YEAR(B1674)</f>
        <v>2024</v>
      </c>
      <c r="V1674" s="2" t="str">
        <f>IF(DAY(B1674)&gt;15,MONTH(B1674)&amp;"-C",MONTH(B1674)&amp;"-N")</f>
        <v>9-N</v>
      </c>
      <c r="W1674" s="21">
        <v>91.9</v>
      </c>
      <c r="X1674" s="2" t="b">
        <f t="shared" si="1042"/>
        <v>0</v>
      </c>
    </row>
    <row r="1675" spans="2:24" x14ac:dyDescent="0.2">
      <c r="B1675" s="17">
        <v>45548</v>
      </c>
      <c r="C1675" s="10" t="s">
        <v>25</v>
      </c>
      <c r="D1675" s="11" t="s">
        <v>3660</v>
      </c>
      <c r="E1675" s="26">
        <v>76501</v>
      </c>
      <c r="F1675" s="10" t="s">
        <v>33</v>
      </c>
      <c r="G1675" s="10" t="s">
        <v>27</v>
      </c>
      <c r="H1675" s="27" t="s">
        <v>34</v>
      </c>
      <c r="I1675" s="28" t="s">
        <v>41</v>
      </c>
      <c r="J1675" s="12" t="s">
        <v>41</v>
      </c>
      <c r="K1675" s="13">
        <v>2160</v>
      </c>
      <c r="L1675" s="21">
        <v>5.52</v>
      </c>
      <c r="M1675" s="14" t="s">
        <v>14</v>
      </c>
      <c r="N1675" s="13">
        <v>11923.2</v>
      </c>
      <c r="O1675" s="15">
        <f t="shared" si="1041"/>
        <v>0</v>
      </c>
      <c r="P1675" s="10" t="s">
        <v>78</v>
      </c>
      <c r="Q1675" s="11" t="s">
        <v>3770</v>
      </c>
      <c r="R1675" s="11" t="s">
        <v>3771</v>
      </c>
      <c r="S1675" s="16" t="s">
        <v>3772</v>
      </c>
      <c r="T1675" s="19" t="str">
        <f>MONTH(B1675)&amp;"-"&amp;YEAR(B1675)</f>
        <v>9-2024</v>
      </c>
      <c r="U1675" s="2">
        <f>YEAR(B1675)</f>
        <v>2024</v>
      </c>
      <c r="V1675" s="2" t="str">
        <f>IF(DAY(B1675)&gt;15,MONTH(B1675)&amp;"-C",MONTH(B1675)&amp;"-N")</f>
        <v>9-N</v>
      </c>
      <c r="W1675" s="21">
        <v>91.9</v>
      </c>
      <c r="X1675" s="2" t="b">
        <f t="shared" si="1042"/>
        <v>0</v>
      </c>
    </row>
    <row r="1676" spans="2:24" x14ac:dyDescent="0.2">
      <c r="B1676" s="17">
        <v>45539</v>
      </c>
      <c r="C1676" s="10" t="s">
        <v>25</v>
      </c>
      <c r="D1676" s="11" t="s">
        <v>3694</v>
      </c>
      <c r="E1676" s="26">
        <v>76373</v>
      </c>
      <c r="F1676" s="10" t="s">
        <v>26</v>
      </c>
      <c r="G1676" s="10" t="s">
        <v>27</v>
      </c>
      <c r="H1676" s="27" t="s">
        <v>28</v>
      </c>
      <c r="I1676" s="28" t="s">
        <v>41</v>
      </c>
      <c r="J1676" s="12" t="s">
        <v>41</v>
      </c>
      <c r="K1676" s="13">
        <v>14400</v>
      </c>
      <c r="L1676" s="21">
        <v>3.48</v>
      </c>
      <c r="M1676" s="14" t="s">
        <v>14</v>
      </c>
      <c r="N1676" s="13">
        <v>50112</v>
      </c>
      <c r="O1676" s="15">
        <f t="shared" si="1041"/>
        <v>0</v>
      </c>
      <c r="P1676" s="10" t="s">
        <v>78</v>
      </c>
      <c r="Q1676" s="11" t="s">
        <v>3773</v>
      </c>
      <c r="R1676" s="11" t="s">
        <v>3774</v>
      </c>
      <c r="S1676" s="16" t="s">
        <v>3775</v>
      </c>
      <c r="T1676" s="19" t="str">
        <f>MONTH(B1676)&amp;"-"&amp;YEAR(B1676)</f>
        <v>9-2024</v>
      </c>
      <c r="U1676" s="2">
        <f>YEAR(B1676)</f>
        <v>2024</v>
      </c>
      <c r="V1676" s="2" t="str">
        <f>IF(DAY(B1676)&gt;15,MONTH(B1676)&amp;"-C",MONTH(B1676)&amp;"-N")</f>
        <v>9-N</v>
      </c>
      <c r="W1676" s="21">
        <v>91.9</v>
      </c>
      <c r="X1676" s="2" t="b">
        <f t="shared" si="1042"/>
        <v>0</v>
      </c>
    </row>
    <row r="1677" spans="2:24" x14ac:dyDescent="0.2">
      <c r="B1677" s="17">
        <v>45554</v>
      </c>
      <c r="C1677" s="10" t="s">
        <v>25</v>
      </c>
      <c r="D1677" s="11" t="s">
        <v>3694</v>
      </c>
      <c r="E1677" s="26">
        <v>76624</v>
      </c>
      <c r="F1677" s="10" t="s">
        <v>26</v>
      </c>
      <c r="G1677" s="10" t="s">
        <v>27</v>
      </c>
      <c r="H1677" s="27" t="s">
        <v>28</v>
      </c>
      <c r="I1677" s="28" t="s">
        <v>41</v>
      </c>
      <c r="J1677" s="12" t="s">
        <v>41</v>
      </c>
      <c r="K1677" s="13">
        <v>12600</v>
      </c>
      <c r="L1677" s="21">
        <v>3.48</v>
      </c>
      <c r="M1677" s="14" t="s">
        <v>14</v>
      </c>
      <c r="N1677" s="13">
        <v>43848</v>
      </c>
      <c r="O1677" s="15">
        <f t="shared" ref="O1677:O1683" si="1043">(N1677/K1677)-L1677</f>
        <v>0</v>
      </c>
      <c r="P1677" s="10" t="s">
        <v>78</v>
      </c>
      <c r="Q1677" s="11" t="s">
        <v>3776</v>
      </c>
      <c r="R1677" s="11" t="s">
        <v>3777</v>
      </c>
      <c r="S1677" s="16" t="s">
        <v>3778</v>
      </c>
      <c r="T1677" s="19" t="str">
        <f>MONTH(B1677)&amp;"-"&amp;YEAR(B1677)</f>
        <v>9-2024</v>
      </c>
      <c r="U1677" s="2">
        <f>YEAR(B1677)</f>
        <v>2024</v>
      </c>
      <c r="V1677" s="2" t="str">
        <f>IF(DAY(B1677)&gt;15,MONTH(B1677)&amp;"-C",MONTH(B1677)&amp;"-N")</f>
        <v>9-C</v>
      </c>
      <c r="W1677" s="21">
        <v>91.9</v>
      </c>
      <c r="X1677" s="2" t="b">
        <f t="shared" ref="X1677:X1683" si="1044">+L1677=W1677</f>
        <v>0</v>
      </c>
    </row>
    <row r="1678" spans="2:24" x14ac:dyDescent="0.2">
      <c r="B1678" s="17">
        <v>45562</v>
      </c>
      <c r="C1678" s="10" t="s">
        <v>25</v>
      </c>
      <c r="D1678" s="11" t="s">
        <v>3779</v>
      </c>
      <c r="E1678" s="26">
        <v>76777</v>
      </c>
      <c r="F1678" s="10" t="s">
        <v>26</v>
      </c>
      <c r="G1678" s="10" t="s">
        <v>27</v>
      </c>
      <c r="H1678" s="27" t="s">
        <v>28</v>
      </c>
      <c r="I1678" s="28" t="s">
        <v>41</v>
      </c>
      <c r="J1678" s="12" t="s">
        <v>41</v>
      </c>
      <c r="K1678" s="13">
        <v>4900</v>
      </c>
      <c r="L1678" s="21">
        <v>3.48</v>
      </c>
      <c r="M1678" s="14" t="s">
        <v>14</v>
      </c>
      <c r="N1678" s="13">
        <v>17052</v>
      </c>
      <c r="O1678" s="15">
        <f t="shared" si="1043"/>
        <v>0</v>
      </c>
      <c r="P1678" s="10" t="s">
        <v>78</v>
      </c>
      <c r="Q1678" s="11" t="s">
        <v>3780</v>
      </c>
      <c r="R1678" s="11" t="s">
        <v>3781</v>
      </c>
      <c r="S1678" s="16" t="s">
        <v>3782</v>
      </c>
      <c r="T1678" s="19" t="str">
        <f>MONTH(B1678)&amp;"-"&amp;YEAR(B1678)</f>
        <v>9-2024</v>
      </c>
      <c r="U1678" s="2">
        <f>YEAR(B1678)</f>
        <v>2024</v>
      </c>
      <c r="V1678" s="2" t="str">
        <f>IF(DAY(B1678)&gt;15,MONTH(B1678)&amp;"-C",MONTH(B1678)&amp;"-N")</f>
        <v>9-C</v>
      </c>
      <c r="W1678" s="21">
        <v>91.9</v>
      </c>
      <c r="X1678" s="2" t="b">
        <f t="shared" si="1044"/>
        <v>0</v>
      </c>
    </row>
    <row r="1679" spans="2:24" x14ac:dyDescent="0.2">
      <c r="B1679" s="17">
        <v>45562</v>
      </c>
      <c r="C1679" s="10" t="s">
        <v>25</v>
      </c>
      <c r="D1679" s="11" t="s">
        <v>3694</v>
      </c>
      <c r="E1679" s="26">
        <v>76778</v>
      </c>
      <c r="F1679" s="10" t="s">
        <v>26</v>
      </c>
      <c r="G1679" s="10" t="s">
        <v>27</v>
      </c>
      <c r="H1679" s="27" t="s">
        <v>28</v>
      </c>
      <c r="I1679" s="28" t="s">
        <v>41</v>
      </c>
      <c r="J1679" s="12" t="s">
        <v>41</v>
      </c>
      <c r="K1679" s="13">
        <v>2300</v>
      </c>
      <c r="L1679" s="21">
        <v>3.48</v>
      </c>
      <c r="M1679" s="14" t="s">
        <v>14</v>
      </c>
      <c r="N1679" s="13">
        <v>8004</v>
      </c>
      <c r="O1679" s="15">
        <f t="shared" si="1043"/>
        <v>0</v>
      </c>
      <c r="P1679" s="10" t="s">
        <v>85</v>
      </c>
      <c r="Q1679" s="11" t="s">
        <v>3783</v>
      </c>
      <c r="R1679" s="11" t="s">
        <v>3784</v>
      </c>
      <c r="S1679" s="16" t="s">
        <v>3785</v>
      </c>
      <c r="T1679" s="19" t="str">
        <f>MONTH(B1679)&amp;"-"&amp;YEAR(B1679)</f>
        <v>9-2024</v>
      </c>
      <c r="U1679" s="2">
        <f>YEAR(B1679)</f>
        <v>2024</v>
      </c>
      <c r="V1679" s="2" t="str">
        <f>IF(DAY(B1679)&gt;15,MONTH(B1679)&amp;"-C",MONTH(B1679)&amp;"-N")</f>
        <v>9-C</v>
      </c>
      <c r="W1679" s="21">
        <v>91.9</v>
      </c>
      <c r="X1679" s="2" t="b">
        <f t="shared" si="1044"/>
        <v>0</v>
      </c>
    </row>
    <row r="1680" spans="2:24" x14ac:dyDescent="0.2">
      <c r="B1680" s="17">
        <v>45558</v>
      </c>
      <c r="C1680" s="10" t="s">
        <v>82</v>
      </c>
      <c r="D1680" s="11" t="s">
        <v>3786</v>
      </c>
      <c r="E1680" s="26">
        <v>76685</v>
      </c>
      <c r="F1680" s="10" t="s">
        <v>31</v>
      </c>
      <c r="G1680" s="10" t="s">
        <v>27</v>
      </c>
      <c r="H1680" s="27" t="s">
        <v>32</v>
      </c>
      <c r="I1680" s="28" t="s">
        <v>41</v>
      </c>
      <c r="J1680" s="12" t="s">
        <v>41</v>
      </c>
      <c r="K1680" s="13">
        <v>1920</v>
      </c>
      <c r="L1680" s="21">
        <v>5</v>
      </c>
      <c r="M1680" s="14" t="s">
        <v>14</v>
      </c>
      <c r="N1680" s="13">
        <v>9600</v>
      </c>
      <c r="O1680" s="15">
        <f t="shared" si="1043"/>
        <v>0</v>
      </c>
      <c r="P1680" s="10" t="s">
        <v>78</v>
      </c>
      <c r="Q1680" s="11" t="s">
        <v>3787</v>
      </c>
      <c r="R1680" s="11" t="s">
        <v>3788</v>
      </c>
      <c r="S1680" s="16" t="s">
        <v>3789</v>
      </c>
      <c r="T1680" s="19" t="str">
        <f>MONTH(B1680)&amp;"-"&amp;YEAR(B1680)</f>
        <v>9-2024</v>
      </c>
      <c r="U1680" s="2">
        <f>YEAR(B1680)</f>
        <v>2024</v>
      </c>
      <c r="V1680" s="2" t="str">
        <f>IF(DAY(B1680)&gt;15,MONTH(B1680)&amp;"-C",MONTH(B1680)&amp;"-N")</f>
        <v>9-C</v>
      </c>
      <c r="W1680" s="21">
        <v>91.9</v>
      </c>
      <c r="X1680" s="2" t="b">
        <f t="shared" si="1044"/>
        <v>0</v>
      </c>
    </row>
    <row r="1681" spans="2:24" x14ac:dyDescent="0.2">
      <c r="B1681" s="17">
        <v>45563</v>
      </c>
      <c r="C1681" s="10" t="s">
        <v>82</v>
      </c>
      <c r="D1681" s="11" t="s">
        <v>3790</v>
      </c>
      <c r="E1681" s="26">
        <v>76796</v>
      </c>
      <c r="F1681" s="10" t="s">
        <v>26</v>
      </c>
      <c r="G1681" s="10" t="s">
        <v>27</v>
      </c>
      <c r="H1681" s="27" t="s">
        <v>28</v>
      </c>
      <c r="I1681" s="28" t="s">
        <v>41</v>
      </c>
      <c r="J1681" s="12" t="s">
        <v>41</v>
      </c>
      <c r="K1681" s="13">
        <v>3700</v>
      </c>
      <c r="L1681" s="21">
        <v>4.2</v>
      </c>
      <c r="M1681" s="14" t="s">
        <v>14</v>
      </c>
      <c r="N1681" s="13">
        <v>15540</v>
      </c>
      <c r="O1681" s="15">
        <f t="shared" si="1043"/>
        <v>0</v>
      </c>
      <c r="P1681" s="10" t="s">
        <v>78</v>
      </c>
      <c r="Q1681" s="11" t="s">
        <v>3791</v>
      </c>
      <c r="R1681" s="11" t="s">
        <v>3792</v>
      </c>
      <c r="S1681" s="16" t="s">
        <v>3793</v>
      </c>
      <c r="T1681" s="19" t="str">
        <f>MONTH(B1681)&amp;"-"&amp;YEAR(B1681)</f>
        <v>9-2024</v>
      </c>
      <c r="U1681" s="2">
        <f>YEAR(B1681)</f>
        <v>2024</v>
      </c>
      <c r="V1681" s="2" t="str">
        <f>IF(DAY(B1681)&gt;15,MONTH(B1681)&amp;"-C",MONTH(B1681)&amp;"-N")</f>
        <v>9-C</v>
      </c>
      <c r="W1681" s="21">
        <v>91.9</v>
      </c>
      <c r="X1681" s="2" t="b">
        <f t="shared" si="1044"/>
        <v>0</v>
      </c>
    </row>
    <row r="1682" spans="2:24" x14ac:dyDescent="0.2">
      <c r="B1682" s="17">
        <v>45554</v>
      </c>
      <c r="C1682" s="10" t="s">
        <v>94</v>
      </c>
      <c r="D1682" s="11" t="s">
        <v>3760</v>
      </c>
      <c r="E1682" s="26">
        <v>76626</v>
      </c>
      <c r="F1682" s="10" t="s">
        <v>26</v>
      </c>
      <c r="G1682" s="10" t="s">
        <v>27</v>
      </c>
      <c r="H1682" s="27" t="s">
        <v>28</v>
      </c>
      <c r="I1682" s="28" t="s">
        <v>41</v>
      </c>
      <c r="J1682" s="12" t="s">
        <v>41</v>
      </c>
      <c r="K1682" s="13">
        <v>2700</v>
      </c>
      <c r="L1682" s="21">
        <v>3.48</v>
      </c>
      <c r="M1682" s="14" t="s">
        <v>14</v>
      </c>
      <c r="N1682" s="13">
        <v>9396</v>
      </c>
      <c r="O1682" s="15">
        <f t="shared" si="1043"/>
        <v>0</v>
      </c>
      <c r="P1682" s="10" t="s">
        <v>78</v>
      </c>
      <c r="Q1682" s="11" t="s">
        <v>3794</v>
      </c>
      <c r="R1682" s="11" t="s">
        <v>3795</v>
      </c>
      <c r="S1682" s="16" t="s">
        <v>3796</v>
      </c>
      <c r="T1682" s="19" t="str">
        <f>MONTH(B1682)&amp;"-"&amp;YEAR(B1682)</f>
        <v>9-2024</v>
      </c>
      <c r="U1682" s="2">
        <f>YEAR(B1682)</f>
        <v>2024</v>
      </c>
      <c r="V1682" s="2" t="str">
        <f>IF(DAY(B1682)&gt;15,MONTH(B1682)&amp;"-C",MONTH(B1682)&amp;"-N")</f>
        <v>9-C</v>
      </c>
      <c r="W1682" s="21">
        <v>91.9</v>
      </c>
      <c r="X1682" s="2" t="b">
        <f t="shared" si="1044"/>
        <v>0</v>
      </c>
    </row>
    <row r="1683" spans="2:24" x14ac:dyDescent="0.2">
      <c r="B1683" s="17">
        <v>45557</v>
      </c>
      <c r="C1683" s="10" t="s">
        <v>2630</v>
      </c>
      <c r="D1683" s="11" t="s">
        <v>3797</v>
      </c>
      <c r="E1683" s="26">
        <v>76670</v>
      </c>
      <c r="F1683" s="10" t="s">
        <v>26</v>
      </c>
      <c r="G1683" s="10" t="s">
        <v>27</v>
      </c>
      <c r="H1683" s="27" t="s">
        <v>28</v>
      </c>
      <c r="I1683" s="28" t="s">
        <v>41</v>
      </c>
      <c r="J1683" s="12" t="s">
        <v>41</v>
      </c>
      <c r="K1683" s="13">
        <v>21600</v>
      </c>
      <c r="L1683" s="21">
        <v>3.48</v>
      </c>
      <c r="M1683" s="14" t="s">
        <v>14</v>
      </c>
      <c r="N1683" s="13">
        <v>75168</v>
      </c>
      <c r="O1683" s="15">
        <f t="shared" si="1043"/>
        <v>0</v>
      </c>
      <c r="P1683" s="10" t="s">
        <v>78</v>
      </c>
      <c r="Q1683" s="11" t="s">
        <v>3799</v>
      </c>
      <c r="R1683" s="11" t="s">
        <v>3798</v>
      </c>
      <c r="S1683" s="16" t="s">
        <v>3800</v>
      </c>
      <c r="T1683" s="19" t="str">
        <f>MONTH(B1683)&amp;"-"&amp;YEAR(B1683)</f>
        <v>9-2024</v>
      </c>
      <c r="U1683" s="2">
        <f>YEAR(B1683)</f>
        <v>2024</v>
      </c>
      <c r="V1683" s="2" t="str">
        <f>IF(DAY(B1683)&gt;15,MONTH(B1683)&amp;"-C",MONTH(B1683)&amp;"-N")</f>
        <v>9-C</v>
      </c>
      <c r="W1683" s="21">
        <v>91.9</v>
      </c>
      <c r="X1683" s="2" t="b">
        <f t="shared" si="1044"/>
        <v>0</v>
      </c>
    </row>
    <row r="1684" spans="2:24" x14ac:dyDescent="0.2">
      <c r="B1684" s="17">
        <v>45570</v>
      </c>
      <c r="C1684" s="10" t="s">
        <v>73</v>
      </c>
      <c r="D1684" s="11" t="s">
        <v>3625</v>
      </c>
      <c r="E1684" s="26">
        <v>76941</v>
      </c>
      <c r="F1684" s="10" t="s">
        <v>399</v>
      </c>
      <c r="G1684" s="10" t="s">
        <v>46</v>
      </c>
      <c r="H1684" s="27" t="s">
        <v>149</v>
      </c>
      <c r="I1684" s="28"/>
      <c r="J1684" s="12"/>
      <c r="K1684" s="13">
        <v>520</v>
      </c>
      <c r="L1684" s="21">
        <v>16.8</v>
      </c>
      <c r="M1684" s="14" t="s">
        <v>14</v>
      </c>
      <c r="N1684" s="13">
        <v>8736</v>
      </c>
      <c r="O1684" s="15">
        <f t="shared" ref="O1684:O1685" si="1045">(N1684/K1684)-L1684</f>
        <v>0</v>
      </c>
      <c r="P1684" s="10" t="s">
        <v>84</v>
      </c>
      <c r="Q1684" s="11" t="s">
        <v>3802</v>
      </c>
      <c r="R1684" s="11" t="s">
        <v>3803</v>
      </c>
      <c r="S1684" s="16" t="s">
        <v>3804</v>
      </c>
      <c r="T1684" s="19" t="str">
        <f>MONTH(B1684)&amp;"-"&amp;YEAR(B1684)</f>
        <v>10-2024</v>
      </c>
      <c r="U1684" s="2">
        <f>YEAR(B1684)</f>
        <v>2024</v>
      </c>
      <c r="V1684" s="2" t="str">
        <f>IF(DAY(B1684)&gt;15,MONTH(B1684)&amp;"-C",MONTH(B1684)&amp;"-N")</f>
        <v>10-N</v>
      </c>
      <c r="W1684" s="21">
        <v>91.9</v>
      </c>
      <c r="X1684" s="2" t="b">
        <f t="shared" ref="X1684:X1685" si="1046">+L1684=W1684</f>
        <v>0</v>
      </c>
    </row>
    <row r="1685" spans="2:24" x14ac:dyDescent="0.2">
      <c r="B1685" s="17">
        <v>45570</v>
      </c>
      <c r="C1685" s="10" t="s">
        <v>73</v>
      </c>
      <c r="D1685" s="11" t="s">
        <v>3805</v>
      </c>
      <c r="E1685" s="26">
        <v>76941</v>
      </c>
      <c r="F1685" s="10" t="s">
        <v>399</v>
      </c>
      <c r="G1685" s="10" t="s">
        <v>46</v>
      </c>
      <c r="H1685" s="27" t="s">
        <v>149</v>
      </c>
      <c r="I1685" s="28"/>
      <c r="J1685" s="12"/>
      <c r="K1685" s="13">
        <v>1640</v>
      </c>
      <c r="L1685" s="21">
        <v>16.8</v>
      </c>
      <c r="M1685" s="14" t="s">
        <v>14</v>
      </c>
      <c r="N1685" s="13">
        <v>27552</v>
      </c>
      <c r="O1685" s="15">
        <f t="shared" si="1045"/>
        <v>0</v>
      </c>
      <c r="P1685" s="10" t="s">
        <v>84</v>
      </c>
      <c r="Q1685" s="11" t="s">
        <v>3802</v>
      </c>
      <c r="R1685" s="11" t="s">
        <v>3803</v>
      </c>
      <c r="S1685" s="16" t="s">
        <v>3804</v>
      </c>
      <c r="T1685" s="19" t="str">
        <f>MONTH(B1685)&amp;"-"&amp;YEAR(B1685)</f>
        <v>10-2024</v>
      </c>
      <c r="U1685" s="2">
        <f>YEAR(B1685)</f>
        <v>2024</v>
      </c>
      <c r="V1685" s="2" t="str">
        <f>IF(DAY(B1685)&gt;15,MONTH(B1685)&amp;"-C",MONTH(B1685)&amp;"-N")</f>
        <v>10-N</v>
      </c>
      <c r="W1685" s="21">
        <v>91.9</v>
      </c>
      <c r="X1685" s="2" t="b">
        <f t="shared" si="1046"/>
        <v>0</v>
      </c>
    </row>
    <row r="1686" spans="2:24" x14ac:dyDescent="0.2">
      <c r="B1686" s="17">
        <v>45569</v>
      </c>
      <c r="C1686" s="10" t="s">
        <v>107</v>
      </c>
      <c r="D1686" s="11" t="s">
        <v>3753</v>
      </c>
      <c r="E1686" s="26">
        <v>76921</v>
      </c>
      <c r="F1686" s="10" t="s">
        <v>103</v>
      </c>
      <c r="G1686" s="10" t="s">
        <v>46</v>
      </c>
      <c r="H1686" s="27" t="s">
        <v>104</v>
      </c>
      <c r="I1686" s="28"/>
      <c r="J1686" s="12"/>
      <c r="K1686" s="13">
        <v>160</v>
      </c>
      <c r="L1686" s="21">
        <v>47.46</v>
      </c>
      <c r="M1686" s="14" t="s">
        <v>14</v>
      </c>
      <c r="N1686" s="13">
        <v>7593.6</v>
      </c>
      <c r="O1686" s="15">
        <f t="shared" ref="O1686:O1694" si="1047">(N1686/K1686)-L1686</f>
        <v>0</v>
      </c>
      <c r="P1686" s="10" t="s">
        <v>84</v>
      </c>
      <c r="Q1686" s="11" t="s">
        <v>3806</v>
      </c>
      <c r="R1686" s="11" t="s">
        <v>3807</v>
      </c>
      <c r="S1686" s="16" t="s">
        <v>3808</v>
      </c>
      <c r="T1686" s="19" t="str">
        <f>MONTH(B1686)&amp;"-"&amp;YEAR(B1686)</f>
        <v>10-2024</v>
      </c>
      <c r="U1686" s="2">
        <f>YEAR(B1686)</f>
        <v>2024</v>
      </c>
      <c r="V1686" s="2" t="str">
        <f>IF(DAY(B1686)&gt;15,MONTH(B1686)&amp;"-C",MONTH(B1686)&amp;"-N")</f>
        <v>10-N</v>
      </c>
      <c r="W1686" s="21">
        <v>91.9</v>
      </c>
      <c r="X1686" s="2" t="b">
        <f t="shared" ref="X1686:X1708" si="1048">+L1686=W1686</f>
        <v>0</v>
      </c>
    </row>
    <row r="1687" spans="2:24" x14ac:dyDescent="0.2">
      <c r="B1687" s="17">
        <v>45569</v>
      </c>
      <c r="C1687" s="10" t="s">
        <v>107</v>
      </c>
      <c r="D1687" s="11" t="s">
        <v>3753</v>
      </c>
      <c r="E1687" s="26">
        <v>76921</v>
      </c>
      <c r="F1687" s="10" t="s">
        <v>105</v>
      </c>
      <c r="G1687" s="10" t="s">
        <v>46</v>
      </c>
      <c r="H1687" s="27" t="s">
        <v>106</v>
      </c>
      <c r="I1687" s="28"/>
      <c r="J1687" s="12"/>
      <c r="K1687" s="13">
        <v>5280</v>
      </c>
      <c r="L1687" s="21">
        <v>11.72</v>
      </c>
      <c r="M1687" s="14" t="s">
        <v>14</v>
      </c>
      <c r="N1687" s="13">
        <v>61881.599999999999</v>
      </c>
      <c r="O1687" s="15">
        <f t="shared" si="1047"/>
        <v>0</v>
      </c>
      <c r="P1687" s="10" t="s">
        <v>84</v>
      </c>
      <c r="Q1687" s="11" t="s">
        <v>3806</v>
      </c>
      <c r="R1687" s="11" t="s">
        <v>3807</v>
      </c>
      <c r="S1687" s="16" t="s">
        <v>3808</v>
      </c>
      <c r="T1687" s="19" t="str">
        <f>MONTH(B1687)&amp;"-"&amp;YEAR(B1687)</f>
        <v>10-2024</v>
      </c>
      <c r="U1687" s="2">
        <f>YEAR(B1687)</f>
        <v>2024</v>
      </c>
      <c r="V1687" s="2" t="str">
        <f>IF(DAY(B1687)&gt;15,MONTH(B1687)&amp;"-C",MONTH(B1687)&amp;"-N")</f>
        <v>10-N</v>
      </c>
      <c r="W1687" s="21">
        <v>91.9</v>
      </c>
      <c r="X1687" s="2" t="b">
        <f t="shared" si="1048"/>
        <v>0</v>
      </c>
    </row>
    <row r="1688" spans="2:24" x14ac:dyDescent="0.2">
      <c r="B1688" s="17">
        <v>45575</v>
      </c>
      <c r="C1688" s="10" t="s">
        <v>88</v>
      </c>
      <c r="D1688" s="11" t="s">
        <v>3809</v>
      </c>
      <c r="E1688" s="26">
        <v>77032</v>
      </c>
      <c r="F1688" s="10" t="s">
        <v>98</v>
      </c>
      <c r="G1688" s="10" t="s">
        <v>46</v>
      </c>
      <c r="H1688" s="27" t="s">
        <v>99</v>
      </c>
      <c r="I1688" s="28"/>
      <c r="J1688" s="12"/>
      <c r="K1688" s="13">
        <v>32</v>
      </c>
      <c r="L1688" s="21">
        <v>11.25</v>
      </c>
      <c r="M1688" s="14" t="s">
        <v>14</v>
      </c>
      <c r="N1688" s="13">
        <v>360</v>
      </c>
      <c r="O1688" s="15">
        <f t="shared" si="1047"/>
        <v>0</v>
      </c>
      <c r="P1688" s="10" t="s">
        <v>84</v>
      </c>
      <c r="Q1688" s="11" t="s">
        <v>3810</v>
      </c>
      <c r="R1688" s="11" t="s">
        <v>3811</v>
      </c>
      <c r="S1688" s="16" t="s">
        <v>3812</v>
      </c>
      <c r="T1688" s="19" t="str">
        <f>MONTH(B1688)&amp;"-"&amp;YEAR(B1688)</f>
        <v>10-2024</v>
      </c>
      <c r="U1688" s="2">
        <f>YEAR(B1688)</f>
        <v>2024</v>
      </c>
      <c r="V1688" s="2" t="str">
        <f>IF(DAY(B1688)&gt;15,MONTH(B1688)&amp;"-C",MONTH(B1688)&amp;"-N")</f>
        <v>10-N</v>
      </c>
      <c r="W1688" s="21">
        <v>91.9</v>
      </c>
      <c r="X1688" s="2" t="b">
        <f t="shared" si="1048"/>
        <v>0</v>
      </c>
    </row>
    <row r="1689" spans="2:24" x14ac:dyDescent="0.2">
      <c r="B1689" s="17">
        <v>45575</v>
      </c>
      <c r="C1689" s="10" t="s">
        <v>88</v>
      </c>
      <c r="D1689" s="11" t="s">
        <v>3809</v>
      </c>
      <c r="E1689" s="26">
        <v>77032</v>
      </c>
      <c r="F1689" s="10" t="s">
        <v>100</v>
      </c>
      <c r="G1689" s="10" t="s">
        <v>46</v>
      </c>
      <c r="H1689" s="27" t="s">
        <v>101</v>
      </c>
      <c r="I1689" s="28"/>
      <c r="J1689" s="12"/>
      <c r="K1689" s="13">
        <v>1600</v>
      </c>
      <c r="L1689" s="21">
        <v>13.22</v>
      </c>
      <c r="M1689" s="14" t="s">
        <v>14</v>
      </c>
      <c r="N1689" s="13">
        <v>21152</v>
      </c>
      <c r="O1689" s="15">
        <f t="shared" si="1047"/>
        <v>0</v>
      </c>
      <c r="P1689" s="10" t="s">
        <v>84</v>
      </c>
      <c r="Q1689" s="11" t="s">
        <v>3810</v>
      </c>
      <c r="R1689" s="11" t="s">
        <v>3811</v>
      </c>
      <c r="S1689" s="16" t="s">
        <v>3812</v>
      </c>
      <c r="T1689" s="19" t="str">
        <f>MONTH(B1689)&amp;"-"&amp;YEAR(B1689)</f>
        <v>10-2024</v>
      </c>
      <c r="U1689" s="2">
        <f>YEAR(B1689)</f>
        <v>2024</v>
      </c>
      <c r="V1689" s="2" t="str">
        <f>IF(DAY(B1689)&gt;15,MONTH(B1689)&amp;"-C",MONTH(B1689)&amp;"-N")</f>
        <v>10-N</v>
      </c>
      <c r="W1689" s="21">
        <v>91.9</v>
      </c>
      <c r="X1689" s="2" t="b">
        <f t="shared" si="1048"/>
        <v>0</v>
      </c>
    </row>
    <row r="1690" spans="2:24" x14ac:dyDescent="0.2">
      <c r="B1690" s="17">
        <v>45581</v>
      </c>
      <c r="C1690" s="10" t="s">
        <v>2630</v>
      </c>
      <c r="D1690" s="11" t="s">
        <v>3797</v>
      </c>
      <c r="E1690" s="26">
        <v>77137</v>
      </c>
      <c r="F1690" s="10" t="s">
        <v>26</v>
      </c>
      <c r="G1690" s="10" t="s">
        <v>27</v>
      </c>
      <c r="H1690" s="27" t="s">
        <v>28</v>
      </c>
      <c r="I1690" s="28"/>
      <c r="J1690" s="12"/>
      <c r="K1690" s="13">
        <v>18000</v>
      </c>
      <c r="L1690" s="21">
        <v>3.48</v>
      </c>
      <c r="M1690" s="14" t="s">
        <v>14</v>
      </c>
      <c r="N1690" s="13">
        <v>62640</v>
      </c>
      <c r="O1690" s="15">
        <f t="shared" si="1047"/>
        <v>0</v>
      </c>
      <c r="P1690" s="10" t="s">
        <v>78</v>
      </c>
      <c r="Q1690" s="11" t="s">
        <v>3814</v>
      </c>
      <c r="R1690" s="11" t="s">
        <v>3813</v>
      </c>
      <c r="S1690" s="16" t="s">
        <v>3815</v>
      </c>
      <c r="T1690" s="19" t="str">
        <f>MONTH(B1690)&amp;"-"&amp;YEAR(B1690)</f>
        <v>10-2024</v>
      </c>
      <c r="U1690" s="2">
        <f>YEAR(B1690)</f>
        <v>2024</v>
      </c>
      <c r="V1690" s="2" t="str">
        <f>IF(DAY(B1690)&gt;15,MONTH(B1690)&amp;"-C",MONTH(B1690)&amp;"-N")</f>
        <v>10-C</v>
      </c>
      <c r="W1690" s="21">
        <v>91.9</v>
      </c>
      <c r="X1690" s="2" t="b">
        <f t="shared" si="1048"/>
        <v>0</v>
      </c>
    </row>
    <row r="1691" spans="2:24" x14ac:dyDescent="0.2">
      <c r="B1691" s="17">
        <v>45568</v>
      </c>
      <c r="C1691" s="10" t="s">
        <v>25</v>
      </c>
      <c r="D1691" s="11" t="s">
        <v>3779</v>
      </c>
      <c r="E1691" s="26">
        <v>76902</v>
      </c>
      <c r="F1691" s="10" t="s">
        <v>26</v>
      </c>
      <c r="G1691" s="10" t="s">
        <v>27</v>
      </c>
      <c r="H1691" s="27" t="s">
        <v>28</v>
      </c>
      <c r="I1691" s="28"/>
      <c r="J1691" s="12"/>
      <c r="K1691" s="13">
        <v>16200</v>
      </c>
      <c r="L1691" s="21">
        <v>3.48</v>
      </c>
      <c r="M1691" s="14" t="s">
        <v>14</v>
      </c>
      <c r="N1691" s="13">
        <v>56376</v>
      </c>
      <c r="O1691" s="15">
        <f t="shared" si="1047"/>
        <v>0</v>
      </c>
      <c r="P1691" s="10" t="s">
        <v>78</v>
      </c>
      <c r="Q1691" s="11" t="s">
        <v>3816</v>
      </c>
      <c r="R1691" s="11" t="s">
        <v>3817</v>
      </c>
      <c r="S1691" s="16" t="s">
        <v>3818</v>
      </c>
      <c r="T1691" s="19" t="str">
        <f>MONTH(B1691)&amp;"-"&amp;YEAR(B1691)</f>
        <v>10-2024</v>
      </c>
      <c r="U1691" s="2">
        <f>YEAR(B1691)</f>
        <v>2024</v>
      </c>
      <c r="V1691" s="2" t="str">
        <f>IF(DAY(B1691)&gt;15,MONTH(B1691)&amp;"-C",MONTH(B1691)&amp;"-N")</f>
        <v>10-N</v>
      </c>
      <c r="W1691" s="21">
        <v>91.9</v>
      </c>
      <c r="X1691" s="2" t="b">
        <f t="shared" si="1048"/>
        <v>0</v>
      </c>
    </row>
    <row r="1692" spans="2:24" x14ac:dyDescent="0.2">
      <c r="B1692" s="17">
        <v>45567</v>
      </c>
      <c r="C1692" s="10" t="s">
        <v>25</v>
      </c>
      <c r="D1692" s="11" t="s">
        <v>3779</v>
      </c>
      <c r="E1692" s="26">
        <v>76892</v>
      </c>
      <c r="F1692" s="10" t="s">
        <v>26</v>
      </c>
      <c r="G1692" s="10" t="s">
        <v>27</v>
      </c>
      <c r="H1692" s="27" t="s">
        <v>28</v>
      </c>
      <c r="I1692" s="28"/>
      <c r="J1692" s="12"/>
      <c r="K1692" s="13">
        <v>1800</v>
      </c>
      <c r="L1692" s="21">
        <v>3.48</v>
      </c>
      <c r="M1692" s="14" t="s">
        <v>14</v>
      </c>
      <c r="N1692" s="13">
        <v>6264</v>
      </c>
      <c r="O1692" s="15">
        <f t="shared" si="1047"/>
        <v>0</v>
      </c>
      <c r="P1692" s="10" t="s">
        <v>78</v>
      </c>
      <c r="Q1692" s="11" t="s">
        <v>3819</v>
      </c>
      <c r="R1692" s="11" t="s">
        <v>3820</v>
      </c>
      <c r="S1692" s="16" t="s">
        <v>3821</v>
      </c>
      <c r="T1692" s="19" t="str">
        <f>MONTH(B1692)&amp;"-"&amp;YEAR(B1692)</f>
        <v>10-2024</v>
      </c>
      <c r="U1692" s="2">
        <f>YEAR(B1692)</f>
        <v>2024</v>
      </c>
      <c r="V1692" s="2" t="str">
        <f>IF(DAY(B1692)&gt;15,MONTH(B1692)&amp;"-C",MONTH(B1692)&amp;"-N")</f>
        <v>10-N</v>
      </c>
      <c r="W1692" s="21">
        <v>91.9</v>
      </c>
      <c r="X1692" s="2" t="b">
        <f t="shared" si="1048"/>
        <v>0</v>
      </c>
    </row>
    <row r="1693" spans="2:24" x14ac:dyDescent="0.2">
      <c r="B1693" s="17">
        <v>45566</v>
      </c>
      <c r="C1693" s="10" t="s">
        <v>25</v>
      </c>
      <c r="D1693" s="11" t="s">
        <v>3779</v>
      </c>
      <c r="E1693" s="26">
        <v>76874</v>
      </c>
      <c r="F1693" s="10" t="s">
        <v>26</v>
      </c>
      <c r="G1693" s="10" t="s">
        <v>27</v>
      </c>
      <c r="H1693" s="27" t="s">
        <v>28</v>
      </c>
      <c r="I1693" s="28"/>
      <c r="J1693" s="12"/>
      <c r="K1693" s="13">
        <v>2700</v>
      </c>
      <c r="L1693" s="21">
        <v>3.48</v>
      </c>
      <c r="M1693" s="14" t="s">
        <v>14</v>
      </c>
      <c r="N1693" s="13">
        <v>9396</v>
      </c>
      <c r="O1693" s="15">
        <f t="shared" si="1047"/>
        <v>0</v>
      </c>
      <c r="P1693" s="10" t="s">
        <v>78</v>
      </c>
      <c r="Q1693" s="11" t="s">
        <v>3822</v>
      </c>
      <c r="R1693" s="11" t="s">
        <v>3823</v>
      </c>
      <c r="S1693" s="16" t="s">
        <v>3824</v>
      </c>
      <c r="T1693" s="19" t="str">
        <f>MONTH(B1693)&amp;"-"&amp;YEAR(B1693)</f>
        <v>10-2024</v>
      </c>
      <c r="U1693" s="2">
        <f>YEAR(B1693)</f>
        <v>2024</v>
      </c>
      <c r="V1693" s="2" t="str">
        <f>IF(DAY(B1693)&gt;15,MONTH(B1693)&amp;"-C",MONTH(B1693)&amp;"-N")</f>
        <v>10-N</v>
      </c>
      <c r="W1693" s="21">
        <v>91.9</v>
      </c>
      <c r="X1693" s="2" t="b">
        <f t="shared" si="1048"/>
        <v>0</v>
      </c>
    </row>
    <row r="1694" spans="2:24" x14ac:dyDescent="0.2">
      <c r="B1694" s="17">
        <v>45569</v>
      </c>
      <c r="C1694" s="10" t="s">
        <v>25</v>
      </c>
      <c r="D1694" s="11" t="s">
        <v>3660</v>
      </c>
      <c r="E1694" s="26">
        <v>76923</v>
      </c>
      <c r="F1694" s="10" t="s">
        <v>49</v>
      </c>
      <c r="G1694" s="10" t="s">
        <v>27</v>
      </c>
      <c r="H1694" s="27" t="s">
        <v>50</v>
      </c>
      <c r="I1694" s="28"/>
      <c r="J1694" s="12"/>
      <c r="K1694" s="13">
        <v>760</v>
      </c>
      <c r="L1694" s="21">
        <v>5.2</v>
      </c>
      <c r="M1694" s="14" t="s">
        <v>14</v>
      </c>
      <c r="N1694" s="13">
        <v>3952</v>
      </c>
      <c r="O1694" s="15">
        <f t="shared" si="1047"/>
        <v>0</v>
      </c>
      <c r="P1694" s="10" t="s">
        <v>78</v>
      </c>
      <c r="Q1694" s="11" t="s">
        <v>3825</v>
      </c>
      <c r="R1694" s="11" t="s">
        <v>3826</v>
      </c>
      <c r="S1694" s="16" t="s">
        <v>3827</v>
      </c>
      <c r="T1694" s="19" t="str">
        <f>MONTH(B1694)&amp;"-"&amp;YEAR(B1694)</f>
        <v>10-2024</v>
      </c>
      <c r="U1694" s="2">
        <f>YEAR(B1694)</f>
        <v>2024</v>
      </c>
      <c r="V1694" s="2" t="str">
        <f>IF(DAY(B1694)&gt;15,MONTH(B1694)&amp;"-C",MONTH(B1694)&amp;"-N")</f>
        <v>10-N</v>
      </c>
      <c r="W1694" s="21">
        <v>91.9</v>
      </c>
      <c r="X1694" s="2" t="b">
        <f t="shared" si="1048"/>
        <v>0</v>
      </c>
    </row>
    <row r="1695" spans="2:24" x14ac:dyDescent="0.2">
      <c r="B1695" s="17">
        <v>45569</v>
      </c>
      <c r="C1695" s="10" t="s">
        <v>25</v>
      </c>
      <c r="D1695" s="11" t="s">
        <v>3660</v>
      </c>
      <c r="E1695" s="26">
        <v>76923</v>
      </c>
      <c r="F1695" s="10" t="s">
        <v>33</v>
      </c>
      <c r="G1695" s="10" t="s">
        <v>27</v>
      </c>
      <c r="H1695" s="27" t="s">
        <v>34</v>
      </c>
      <c r="I1695" s="28"/>
      <c r="J1695" s="12"/>
      <c r="K1695" s="13">
        <v>360</v>
      </c>
      <c r="L1695" s="21">
        <v>5.52</v>
      </c>
      <c r="M1695" s="14" t="s">
        <v>14</v>
      </c>
      <c r="N1695" s="13">
        <v>1987.2</v>
      </c>
      <c r="O1695" s="15">
        <f t="shared" ref="O1695:O1711" si="1049">(N1695/K1695)-L1695</f>
        <v>0</v>
      </c>
      <c r="P1695" s="10" t="s">
        <v>78</v>
      </c>
      <c r="Q1695" s="11" t="s">
        <v>3825</v>
      </c>
      <c r="R1695" s="11" t="s">
        <v>3826</v>
      </c>
      <c r="S1695" s="16" t="s">
        <v>3827</v>
      </c>
      <c r="T1695" s="19" t="str">
        <f>MONTH(B1695)&amp;"-"&amp;YEAR(B1695)</f>
        <v>10-2024</v>
      </c>
      <c r="U1695" s="2">
        <f>YEAR(B1695)</f>
        <v>2024</v>
      </c>
      <c r="V1695" s="2" t="str">
        <f>IF(DAY(B1695)&gt;15,MONTH(B1695)&amp;"-C",MONTH(B1695)&amp;"-N")</f>
        <v>10-N</v>
      </c>
      <c r="W1695" s="21">
        <v>91.9</v>
      </c>
      <c r="X1695" s="2" t="b">
        <f t="shared" si="1048"/>
        <v>0</v>
      </c>
    </row>
    <row r="1696" spans="2:24" x14ac:dyDescent="0.2">
      <c r="B1696" s="17">
        <v>45567</v>
      </c>
      <c r="C1696" s="10" t="s">
        <v>25</v>
      </c>
      <c r="D1696" s="11" t="s">
        <v>3828</v>
      </c>
      <c r="E1696" s="26">
        <v>76890</v>
      </c>
      <c r="F1696" s="10" t="s">
        <v>26</v>
      </c>
      <c r="G1696" s="10" t="s">
        <v>27</v>
      </c>
      <c r="H1696" s="27" t="s">
        <v>28</v>
      </c>
      <c r="I1696" s="28"/>
      <c r="J1696" s="12"/>
      <c r="K1696" s="13">
        <v>2960</v>
      </c>
      <c r="L1696" s="21">
        <v>3.8</v>
      </c>
      <c r="M1696" s="14" t="s">
        <v>14</v>
      </c>
      <c r="N1696" s="13">
        <v>11248</v>
      </c>
      <c r="O1696" s="15">
        <f t="shared" si="1049"/>
        <v>0</v>
      </c>
      <c r="P1696" s="10" t="s">
        <v>78</v>
      </c>
      <c r="Q1696" s="11" t="s">
        <v>3829</v>
      </c>
      <c r="R1696" s="11" t="s">
        <v>3830</v>
      </c>
      <c r="S1696" s="16" t="s">
        <v>3831</v>
      </c>
      <c r="T1696" s="19" t="str">
        <f>MONTH(B1696)&amp;"-"&amp;YEAR(B1696)</f>
        <v>10-2024</v>
      </c>
      <c r="U1696" s="2">
        <f>YEAR(B1696)</f>
        <v>2024</v>
      </c>
      <c r="V1696" s="2" t="str">
        <f>IF(DAY(B1696)&gt;15,MONTH(B1696)&amp;"-C",MONTH(B1696)&amp;"-N")</f>
        <v>10-N</v>
      </c>
      <c r="W1696" s="21">
        <v>91.9</v>
      </c>
      <c r="X1696" s="2" t="b">
        <f t="shared" si="1048"/>
        <v>0</v>
      </c>
    </row>
    <row r="1697" spans="2:24" x14ac:dyDescent="0.2">
      <c r="B1697" s="17">
        <v>45566</v>
      </c>
      <c r="C1697" s="10" t="s">
        <v>82</v>
      </c>
      <c r="D1697" s="11" t="s">
        <v>3790</v>
      </c>
      <c r="E1697" s="26">
        <v>76873</v>
      </c>
      <c r="F1697" s="10" t="s">
        <v>26</v>
      </c>
      <c r="G1697" s="10" t="s">
        <v>27</v>
      </c>
      <c r="H1697" s="27" t="s">
        <v>28</v>
      </c>
      <c r="I1697" s="28"/>
      <c r="J1697" s="12"/>
      <c r="K1697" s="13">
        <v>620</v>
      </c>
      <c r="L1697" s="21">
        <v>4.2</v>
      </c>
      <c r="M1697" s="14" t="s">
        <v>14</v>
      </c>
      <c r="N1697" s="13">
        <v>2604</v>
      </c>
      <c r="O1697" s="15">
        <f t="shared" si="1049"/>
        <v>0</v>
      </c>
      <c r="P1697" s="10" t="s">
        <v>78</v>
      </c>
      <c r="Q1697" s="11" t="s">
        <v>3832</v>
      </c>
      <c r="R1697" s="11" t="s">
        <v>3833</v>
      </c>
      <c r="S1697" s="16" t="s">
        <v>3834</v>
      </c>
      <c r="T1697" s="19" t="str">
        <f>MONTH(B1697)&amp;"-"&amp;YEAR(B1697)</f>
        <v>10-2024</v>
      </c>
      <c r="U1697" s="2">
        <f>YEAR(B1697)</f>
        <v>2024</v>
      </c>
      <c r="V1697" s="2" t="str">
        <f>IF(DAY(B1697)&gt;15,MONTH(B1697)&amp;"-C",MONTH(B1697)&amp;"-N")</f>
        <v>10-N</v>
      </c>
      <c r="W1697" s="21">
        <v>91.9</v>
      </c>
      <c r="X1697" s="2" t="b">
        <f t="shared" si="1048"/>
        <v>0</v>
      </c>
    </row>
    <row r="1698" spans="2:24" x14ac:dyDescent="0.2">
      <c r="B1698" s="17">
        <v>45566</v>
      </c>
      <c r="C1698" s="10" t="s">
        <v>82</v>
      </c>
      <c r="D1698" s="11" t="s">
        <v>3835</v>
      </c>
      <c r="E1698" s="26">
        <v>76873</v>
      </c>
      <c r="F1698" s="10" t="s">
        <v>26</v>
      </c>
      <c r="G1698" s="10" t="s">
        <v>27</v>
      </c>
      <c r="H1698" s="27" t="s">
        <v>28</v>
      </c>
      <c r="I1698" s="28"/>
      <c r="J1698" s="12"/>
      <c r="K1698" s="13">
        <v>2340</v>
      </c>
      <c r="L1698" s="21">
        <v>4.2</v>
      </c>
      <c r="M1698" s="14" t="s">
        <v>14</v>
      </c>
      <c r="N1698" s="13">
        <v>9828</v>
      </c>
      <c r="O1698" s="15">
        <f t="shared" si="1049"/>
        <v>0</v>
      </c>
      <c r="P1698" s="10" t="s">
        <v>78</v>
      </c>
      <c r="Q1698" s="11" t="s">
        <v>3832</v>
      </c>
      <c r="R1698" s="11" t="s">
        <v>3833</v>
      </c>
      <c r="S1698" s="16" t="s">
        <v>3834</v>
      </c>
      <c r="T1698" s="19" t="str">
        <f>MONTH(B1698)&amp;"-"&amp;YEAR(B1698)</f>
        <v>10-2024</v>
      </c>
      <c r="U1698" s="2">
        <f>YEAR(B1698)</f>
        <v>2024</v>
      </c>
      <c r="V1698" s="2" t="str">
        <f>IF(DAY(B1698)&gt;15,MONTH(B1698)&amp;"-C",MONTH(B1698)&amp;"-N")</f>
        <v>10-N</v>
      </c>
      <c r="W1698" s="21">
        <v>91.9</v>
      </c>
      <c r="X1698" s="2" t="b">
        <f t="shared" si="1048"/>
        <v>0</v>
      </c>
    </row>
    <row r="1699" spans="2:24" x14ac:dyDescent="0.2">
      <c r="B1699" s="17">
        <v>45576</v>
      </c>
      <c r="C1699" s="10" t="s">
        <v>82</v>
      </c>
      <c r="D1699" s="11" t="s">
        <v>3836</v>
      </c>
      <c r="E1699" s="26">
        <v>77045</v>
      </c>
      <c r="F1699" s="10" t="s">
        <v>31</v>
      </c>
      <c r="G1699" s="10" t="s">
        <v>27</v>
      </c>
      <c r="H1699" s="27" t="s">
        <v>32</v>
      </c>
      <c r="I1699" s="28"/>
      <c r="J1699" s="12"/>
      <c r="K1699" s="13">
        <v>1600</v>
      </c>
      <c r="L1699" s="21">
        <v>5</v>
      </c>
      <c r="M1699" s="14" t="s">
        <v>14</v>
      </c>
      <c r="N1699" s="13">
        <v>8000</v>
      </c>
      <c r="O1699" s="15">
        <f t="shared" si="1049"/>
        <v>0</v>
      </c>
      <c r="P1699" s="10" t="s">
        <v>78</v>
      </c>
      <c r="Q1699" s="11" t="s">
        <v>3837</v>
      </c>
      <c r="R1699" s="11" t="s">
        <v>3838</v>
      </c>
      <c r="S1699" s="16" t="s">
        <v>3839</v>
      </c>
      <c r="T1699" s="19" t="str">
        <f>MONTH(B1699)&amp;"-"&amp;YEAR(B1699)</f>
        <v>10-2024</v>
      </c>
      <c r="U1699" s="2">
        <f>YEAR(B1699)</f>
        <v>2024</v>
      </c>
      <c r="V1699" s="2" t="str">
        <f>IF(DAY(B1699)&gt;15,MONTH(B1699)&amp;"-C",MONTH(B1699)&amp;"-N")</f>
        <v>10-N</v>
      </c>
      <c r="W1699" s="21">
        <v>91.9</v>
      </c>
      <c r="X1699" s="2" t="b">
        <f t="shared" si="1048"/>
        <v>0</v>
      </c>
    </row>
    <row r="1700" spans="2:24" x14ac:dyDescent="0.2">
      <c r="B1700" s="17">
        <v>45576</v>
      </c>
      <c r="C1700" s="10" t="s">
        <v>82</v>
      </c>
      <c r="D1700" s="11" t="s">
        <v>3836</v>
      </c>
      <c r="E1700" s="26">
        <v>77045</v>
      </c>
      <c r="F1700" s="10" t="s">
        <v>33</v>
      </c>
      <c r="G1700" s="10" t="s">
        <v>27</v>
      </c>
      <c r="H1700" s="27" t="s">
        <v>34</v>
      </c>
      <c r="I1700" s="28"/>
      <c r="J1700" s="12"/>
      <c r="K1700" s="13">
        <v>1800</v>
      </c>
      <c r="L1700" s="21">
        <v>5.75</v>
      </c>
      <c r="M1700" s="14" t="s">
        <v>14</v>
      </c>
      <c r="N1700" s="13">
        <v>10350</v>
      </c>
      <c r="O1700" s="15">
        <f t="shared" si="1049"/>
        <v>0</v>
      </c>
      <c r="P1700" s="10" t="s">
        <v>78</v>
      </c>
      <c r="Q1700" s="11" t="s">
        <v>3837</v>
      </c>
      <c r="R1700" s="11" t="s">
        <v>3838</v>
      </c>
      <c r="S1700" s="16" t="s">
        <v>3839</v>
      </c>
      <c r="T1700" s="19" t="str">
        <f>MONTH(B1700)&amp;"-"&amp;YEAR(B1700)</f>
        <v>10-2024</v>
      </c>
      <c r="U1700" s="2">
        <f>YEAR(B1700)</f>
        <v>2024</v>
      </c>
      <c r="V1700" s="2" t="str">
        <f>IF(DAY(B1700)&gt;15,MONTH(B1700)&amp;"-C",MONTH(B1700)&amp;"-N")</f>
        <v>10-N</v>
      </c>
      <c r="W1700" s="21">
        <v>91.9</v>
      </c>
      <c r="X1700" s="2" t="b">
        <f t="shared" si="1048"/>
        <v>0</v>
      </c>
    </row>
    <row r="1701" spans="2:24" x14ac:dyDescent="0.2">
      <c r="B1701" s="17">
        <v>45574</v>
      </c>
      <c r="C1701" s="10" t="s">
        <v>82</v>
      </c>
      <c r="D1701" s="11" t="s">
        <v>3840</v>
      </c>
      <c r="E1701" s="26">
        <v>77012</v>
      </c>
      <c r="F1701" s="10" t="s">
        <v>26</v>
      </c>
      <c r="G1701" s="10" t="s">
        <v>27</v>
      </c>
      <c r="H1701" s="27" t="s">
        <v>28</v>
      </c>
      <c r="I1701" s="28"/>
      <c r="J1701" s="12"/>
      <c r="K1701" s="13">
        <v>9900</v>
      </c>
      <c r="L1701" s="21">
        <v>3.48</v>
      </c>
      <c r="M1701" s="14" t="s">
        <v>14</v>
      </c>
      <c r="N1701" s="13">
        <v>34452</v>
      </c>
      <c r="O1701" s="15">
        <f t="shared" si="1049"/>
        <v>0</v>
      </c>
      <c r="P1701" s="10" t="s">
        <v>78</v>
      </c>
      <c r="Q1701" s="11" t="s">
        <v>3841</v>
      </c>
      <c r="R1701" s="11" t="s">
        <v>3842</v>
      </c>
      <c r="S1701" s="16" t="s">
        <v>3843</v>
      </c>
      <c r="T1701" s="19" t="str">
        <f>MONTH(B1701)&amp;"-"&amp;YEAR(B1701)</f>
        <v>10-2024</v>
      </c>
      <c r="U1701" s="2">
        <f>YEAR(B1701)</f>
        <v>2024</v>
      </c>
      <c r="V1701" s="2" t="str">
        <f>IF(DAY(B1701)&gt;15,MONTH(B1701)&amp;"-C",MONTH(B1701)&amp;"-N")</f>
        <v>10-N</v>
      </c>
      <c r="W1701" s="21">
        <v>91.9</v>
      </c>
      <c r="X1701" s="2" t="b">
        <f t="shared" si="1048"/>
        <v>0</v>
      </c>
    </row>
    <row r="1702" spans="2:24" x14ac:dyDescent="0.2">
      <c r="B1702" s="17">
        <v>45575</v>
      </c>
      <c r="C1702" s="10" t="s">
        <v>82</v>
      </c>
      <c r="D1702" s="11" t="s">
        <v>3840</v>
      </c>
      <c r="E1702" s="26">
        <v>77017</v>
      </c>
      <c r="F1702" s="10" t="s">
        <v>26</v>
      </c>
      <c r="G1702" s="10" t="s">
        <v>27</v>
      </c>
      <c r="H1702" s="27" t="s">
        <v>28</v>
      </c>
      <c r="I1702" s="28"/>
      <c r="J1702" s="12"/>
      <c r="K1702" s="13">
        <v>9000</v>
      </c>
      <c r="L1702" s="21">
        <v>3.48</v>
      </c>
      <c r="M1702" s="14" t="s">
        <v>14</v>
      </c>
      <c r="N1702" s="13">
        <v>31320</v>
      </c>
      <c r="O1702" s="15">
        <f t="shared" si="1049"/>
        <v>0</v>
      </c>
      <c r="P1702" s="10" t="s">
        <v>78</v>
      </c>
      <c r="Q1702" s="11" t="s">
        <v>3844</v>
      </c>
      <c r="R1702" s="11" t="s">
        <v>3845</v>
      </c>
      <c r="S1702" s="16" t="s">
        <v>3846</v>
      </c>
      <c r="T1702" s="19" t="str">
        <f>MONTH(B1702)&amp;"-"&amp;YEAR(B1702)</f>
        <v>10-2024</v>
      </c>
      <c r="U1702" s="2">
        <f>YEAR(B1702)</f>
        <v>2024</v>
      </c>
      <c r="V1702" s="2" t="str">
        <f>IF(DAY(B1702)&gt;15,MONTH(B1702)&amp;"-C",MONTH(B1702)&amp;"-N")</f>
        <v>10-N</v>
      </c>
      <c r="W1702" s="21">
        <v>91.9</v>
      </c>
      <c r="X1702" s="2" t="b">
        <f t="shared" si="1048"/>
        <v>0</v>
      </c>
    </row>
    <row r="1703" spans="2:24" x14ac:dyDescent="0.2">
      <c r="B1703" s="17">
        <v>45572</v>
      </c>
      <c r="C1703" s="10" t="s">
        <v>82</v>
      </c>
      <c r="D1703" s="11" t="s">
        <v>3840</v>
      </c>
      <c r="E1703" s="26">
        <v>76969</v>
      </c>
      <c r="F1703" s="10" t="s">
        <v>26</v>
      </c>
      <c r="G1703" s="10" t="s">
        <v>27</v>
      </c>
      <c r="H1703" s="27" t="s">
        <v>28</v>
      </c>
      <c r="I1703" s="28"/>
      <c r="J1703" s="12"/>
      <c r="K1703" s="13">
        <v>9000</v>
      </c>
      <c r="L1703" s="21">
        <v>3.48</v>
      </c>
      <c r="M1703" s="14" t="s">
        <v>14</v>
      </c>
      <c r="N1703" s="13">
        <v>31320</v>
      </c>
      <c r="O1703" s="15">
        <f t="shared" si="1049"/>
        <v>0</v>
      </c>
      <c r="P1703" s="10" t="s">
        <v>78</v>
      </c>
      <c r="Q1703" s="11" t="s">
        <v>3847</v>
      </c>
      <c r="R1703" s="11" t="s">
        <v>3848</v>
      </c>
      <c r="S1703" s="16" t="s">
        <v>3849</v>
      </c>
      <c r="T1703" s="19" t="str">
        <f>MONTH(B1703)&amp;"-"&amp;YEAR(B1703)</f>
        <v>10-2024</v>
      </c>
      <c r="U1703" s="2">
        <f>YEAR(B1703)</f>
        <v>2024</v>
      </c>
      <c r="V1703" s="2" t="str">
        <f>IF(DAY(B1703)&gt;15,MONTH(B1703)&amp;"-C",MONTH(B1703)&amp;"-N")</f>
        <v>10-N</v>
      </c>
      <c r="W1703" s="21">
        <v>91.9</v>
      </c>
      <c r="X1703" s="2" t="b">
        <f t="shared" si="1048"/>
        <v>0</v>
      </c>
    </row>
    <row r="1704" spans="2:24" x14ac:dyDescent="0.2">
      <c r="B1704" s="17">
        <v>45577</v>
      </c>
      <c r="C1704" s="10" t="s">
        <v>82</v>
      </c>
      <c r="D1704" s="11" t="s">
        <v>3840</v>
      </c>
      <c r="E1704" s="26">
        <v>77083</v>
      </c>
      <c r="F1704" s="10" t="s">
        <v>26</v>
      </c>
      <c r="G1704" s="10" t="s">
        <v>27</v>
      </c>
      <c r="H1704" s="27" t="s">
        <v>28</v>
      </c>
      <c r="I1704" s="28"/>
      <c r="J1704" s="12"/>
      <c r="K1704" s="13">
        <v>2700</v>
      </c>
      <c r="L1704" s="21">
        <v>3.48</v>
      </c>
      <c r="M1704" s="14" t="s">
        <v>14</v>
      </c>
      <c r="N1704" s="13">
        <v>9396</v>
      </c>
      <c r="O1704" s="15">
        <f t="shared" si="1049"/>
        <v>0</v>
      </c>
      <c r="P1704" s="10" t="s">
        <v>78</v>
      </c>
      <c r="Q1704" s="11" t="s">
        <v>3850</v>
      </c>
      <c r="R1704" s="11" t="s">
        <v>3851</v>
      </c>
      <c r="S1704" s="16" t="s">
        <v>3852</v>
      </c>
      <c r="T1704" s="19" t="str">
        <f>MONTH(B1704)&amp;"-"&amp;YEAR(B1704)</f>
        <v>10-2024</v>
      </c>
      <c r="U1704" s="2">
        <f>YEAR(B1704)</f>
        <v>2024</v>
      </c>
      <c r="V1704" s="2" t="str">
        <f>IF(DAY(B1704)&gt;15,MONTH(B1704)&amp;"-C",MONTH(B1704)&amp;"-N")</f>
        <v>10-N</v>
      </c>
      <c r="W1704" s="21">
        <v>91.9</v>
      </c>
      <c r="X1704" s="2" t="b">
        <f t="shared" si="1048"/>
        <v>0</v>
      </c>
    </row>
    <row r="1705" spans="2:24" x14ac:dyDescent="0.2">
      <c r="B1705" s="17">
        <v>45577</v>
      </c>
      <c r="C1705" s="10" t="s">
        <v>82</v>
      </c>
      <c r="D1705" s="11" t="s">
        <v>3836</v>
      </c>
      <c r="E1705" s="26">
        <v>77083</v>
      </c>
      <c r="F1705" s="10" t="s">
        <v>31</v>
      </c>
      <c r="G1705" s="10" t="s">
        <v>27</v>
      </c>
      <c r="H1705" s="27" t="s">
        <v>32</v>
      </c>
      <c r="I1705" s="28"/>
      <c r="J1705" s="12"/>
      <c r="K1705" s="13">
        <v>320</v>
      </c>
      <c r="L1705" s="21">
        <v>5</v>
      </c>
      <c r="M1705" s="14" t="s">
        <v>14</v>
      </c>
      <c r="N1705" s="13">
        <v>1600</v>
      </c>
      <c r="O1705" s="15">
        <f t="shared" si="1049"/>
        <v>0</v>
      </c>
      <c r="P1705" s="10" t="s">
        <v>78</v>
      </c>
      <c r="Q1705" s="11" t="s">
        <v>3850</v>
      </c>
      <c r="R1705" s="11" t="s">
        <v>3851</v>
      </c>
      <c r="S1705" s="16" t="s">
        <v>3852</v>
      </c>
      <c r="T1705" s="19" t="str">
        <f>MONTH(B1705)&amp;"-"&amp;YEAR(B1705)</f>
        <v>10-2024</v>
      </c>
      <c r="U1705" s="2">
        <f>YEAR(B1705)</f>
        <v>2024</v>
      </c>
      <c r="V1705" s="2" t="str">
        <f>IF(DAY(B1705)&gt;15,MONTH(B1705)&amp;"-C",MONTH(B1705)&amp;"-N")</f>
        <v>10-N</v>
      </c>
      <c r="W1705" s="21">
        <v>91.9</v>
      </c>
      <c r="X1705" s="2" t="b">
        <f t="shared" si="1048"/>
        <v>0</v>
      </c>
    </row>
    <row r="1706" spans="2:24" x14ac:dyDescent="0.2">
      <c r="B1706" s="17">
        <v>45577</v>
      </c>
      <c r="C1706" s="10" t="s">
        <v>82</v>
      </c>
      <c r="D1706" s="11" t="s">
        <v>3836</v>
      </c>
      <c r="E1706" s="26">
        <v>77083</v>
      </c>
      <c r="F1706" s="10" t="s">
        <v>33</v>
      </c>
      <c r="G1706" s="10" t="s">
        <v>27</v>
      </c>
      <c r="H1706" s="27" t="s">
        <v>34</v>
      </c>
      <c r="I1706" s="28"/>
      <c r="J1706" s="12"/>
      <c r="K1706" s="13">
        <v>360</v>
      </c>
      <c r="L1706" s="21">
        <v>5.75</v>
      </c>
      <c r="M1706" s="14" t="s">
        <v>14</v>
      </c>
      <c r="N1706" s="13">
        <v>2070</v>
      </c>
      <c r="O1706" s="15">
        <f t="shared" si="1049"/>
        <v>0</v>
      </c>
      <c r="P1706" s="10" t="s">
        <v>78</v>
      </c>
      <c r="Q1706" s="11" t="s">
        <v>3850</v>
      </c>
      <c r="R1706" s="11" t="s">
        <v>3851</v>
      </c>
      <c r="S1706" s="16" t="s">
        <v>3852</v>
      </c>
      <c r="T1706" s="19" t="str">
        <f>MONTH(B1706)&amp;"-"&amp;YEAR(B1706)</f>
        <v>10-2024</v>
      </c>
      <c r="U1706" s="2">
        <f>YEAR(B1706)</f>
        <v>2024</v>
      </c>
      <c r="V1706" s="2" t="str">
        <f>IF(DAY(B1706)&gt;15,MONTH(B1706)&amp;"-C",MONTH(B1706)&amp;"-N")</f>
        <v>10-N</v>
      </c>
      <c r="W1706" s="21">
        <v>91.9</v>
      </c>
      <c r="X1706" s="2" t="b">
        <f t="shared" si="1048"/>
        <v>0</v>
      </c>
    </row>
    <row r="1707" spans="2:24" x14ac:dyDescent="0.2">
      <c r="B1707" s="17">
        <v>45582</v>
      </c>
      <c r="C1707" s="10" t="s">
        <v>3681</v>
      </c>
      <c r="D1707" s="11" t="s">
        <v>3853</v>
      </c>
      <c r="E1707" s="26">
        <v>77156</v>
      </c>
      <c r="F1707" s="10" t="s">
        <v>121</v>
      </c>
      <c r="G1707" s="10" t="s">
        <v>46</v>
      </c>
      <c r="H1707" s="27" t="s">
        <v>122</v>
      </c>
      <c r="I1707" s="28"/>
      <c r="J1707" s="12"/>
      <c r="K1707" s="13">
        <v>1380</v>
      </c>
      <c r="L1707" s="21">
        <v>10.8</v>
      </c>
      <c r="M1707" s="14" t="s">
        <v>14</v>
      </c>
      <c r="N1707" s="13">
        <v>14904</v>
      </c>
      <c r="O1707" s="15">
        <f t="shared" si="1049"/>
        <v>0</v>
      </c>
      <c r="P1707" s="10" t="s">
        <v>84</v>
      </c>
      <c r="Q1707" s="11" t="s">
        <v>3854</v>
      </c>
      <c r="R1707" s="11" t="s">
        <v>3855</v>
      </c>
      <c r="S1707" s="16" t="s">
        <v>3856</v>
      </c>
      <c r="T1707" s="19" t="str">
        <f>MONTH(B1707)&amp;"-"&amp;YEAR(B1707)</f>
        <v>10-2024</v>
      </c>
      <c r="U1707" s="2">
        <f>YEAR(B1707)</f>
        <v>2024</v>
      </c>
      <c r="V1707" s="2" t="str">
        <f>IF(DAY(B1707)&gt;15,MONTH(B1707)&amp;"-C",MONTH(B1707)&amp;"-N")</f>
        <v>10-C</v>
      </c>
      <c r="W1707" s="21">
        <v>91.9</v>
      </c>
      <c r="X1707" s="2" t="b">
        <f t="shared" si="1048"/>
        <v>0</v>
      </c>
    </row>
    <row r="1708" spans="2:24" x14ac:dyDescent="0.2">
      <c r="B1708" s="17">
        <v>45582</v>
      </c>
      <c r="C1708" s="10" t="s">
        <v>3681</v>
      </c>
      <c r="D1708" s="11" t="s">
        <v>3853</v>
      </c>
      <c r="E1708" s="26">
        <v>77156</v>
      </c>
      <c r="F1708" s="10" t="s">
        <v>123</v>
      </c>
      <c r="G1708" s="10" t="s">
        <v>46</v>
      </c>
      <c r="H1708" s="27" t="s">
        <v>124</v>
      </c>
      <c r="I1708" s="28"/>
      <c r="J1708" s="12"/>
      <c r="K1708" s="13">
        <v>2300</v>
      </c>
      <c r="L1708" s="21">
        <v>14.75</v>
      </c>
      <c r="M1708" s="14" t="s">
        <v>14</v>
      </c>
      <c r="N1708" s="13">
        <v>33925</v>
      </c>
      <c r="O1708" s="15">
        <f t="shared" si="1049"/>
        <v>0</v>
      </c>
      <c r="P1708" s="10" t="s">
        <v>84</v>
      </c>
      <c r="Q1708" s="11" t="s">
        <v>3854</v>
      </c>
      <c r="R1708" s="11" t="s">
        <v>3855</v>
      </c>
      <c r="S1708" s="16" t="s">
        <v>3856</v>
      </c>
      <c r="T1708" s="19" t="str">
        <f>MONTH(B1708)&amp;"-"&amp;YEAR(B1708)</f>
        <v>10-2024</v>
      </c>
      <c r="U1708" s="2">
        <f>YEAR(B1708)</f>
        <v>2024</v>
      </c>
      <c r="V1708" s="2" t="str">
        <f>IF(DAY(B1708)&gt;15,MONTH(B1708)&amp;"-C",MONTH(B1708)&amp;"-N")</f>
        <v>10-C</v>
      </c>
      <c r="W1708" s="21">
        <v>91.9</v>
      </c>
      <c r="X1708" s="2" t="b">
        <f t="shared" si="1048"/>
        <v>0</v>
      </c>
    </row>
    <row r="1709" spans="2:24" x14ac:dyDescent="0.2">
      <c r="B1709" s="17">
        <v>45581</v>
      </c>
      <c r="C1709" s="10" t="s">
        <v>48</v>
      </c>
      <c r="D1709" s="11" t="s">
        <v>3857</v>
      </c>
      <c r="E1709" s="26">
        <v>77142</v>
      </c>
      <c r="F1709" s="10" t="s">
        <v>135</v>
      </c>
      <c r="G1709" s="10" t="s">
        <v>46</v>
      </c>
      <c r="H1709" s="27" t="s">
        <v>136</v>
      </c>
      <c r="I1709" s="28"/>
      <c r="J1709" s="12"/>
      <c r="K1709" s="13">
        <v>4800</v>
      </c>
      <c r="L1709" s="21">
        <v>10.292999999999999</v>
      </c>
      <c r="M1709" s="14" t="s">
        <v>14</v>
      </c>
      <c r="N1709" s="13">
        <v>49405.440000000002</v>
      </c>
      <c r="O1709" s="15">
        <f t="shared" si="1049"/>
        <v>-1.9999999999953388E-4</v>
      </c>
      <c r="P1709" s="10" t="s">
        <v>90</v>
      </c>
      <c r="Q1709" s="11" t="s">
        <v>3858</v>
      </c>
      <c r="R1709" s="11" t="s">
        <v>3859</v>
      </c>
      <c r="S1709" s="16" t="s">
        <v>3860</v>
      </c>
      <c r="T1709" s="19" t="str">
        <f>MONTH(B1709)&amp;"-"&amp;YEAR(B1709)</f>
        <v>10-2024</v>
      </c>
      <c r="U1709" s="2">
        <f>YEAR(B1709)</f>
        <v>2024</v>
      </c>
      <c r="V1709" s="2" t="str">
        <f>IF(DAY(B1709)&gt;15,MONTH(B1709)&amp;"-C",MONTH(B1709)&amp;"-N")</f>
        <v>10-C</v>
      </c>
      <c r="W1709" s="21">
        <v>91.9</v>
      </c>
      <c r="X1709" s="2" t="b">
        <f t="shared" ref="X1709:X1711" si="1050">+L1709=W1709</f>
        <v>0</v>
      </c>
    </row>
    <row r="1710" spans="2:24" x14ac:dyDescent="0.2">
      <c r="B1710" s="17">
        <v>45581</v>
      </c>
      <c r="C1710" s="10" t="s">
        <v>48</v>
      </c>
      <c r="D1710" s="11" t="s">
        <v>3857</v>
      </c>
      <c r="E1710" s="26">
        <v>77142</v>
      </c>
      <c r="F1710" s="10" t="s">
        <v>71</v>
      </c>
      <c r="G1710" s="10" t="s">
        <v>46</v>
      </c>
      <c r="H1710" s="27" t="s">
        <v>72</v>
      </c>
      <c r="I1710" s="28"/>
      <c r="J1710" s="12"/>
      <c r="K1710" s="13">
        <v>10800</v>
      </c>
      <c r="L1710" s="21">
        <v>9.7780000000000005</v>
      </c>
      <c r="M1710" s="14" t="s">
        <v>14</v>
      </c>
      <c r="N1710" s="13">
        <v>105604.128</v>
      </c>
      <c r="O1710" s="15">
        <f t="shared" si="1049"/>
        <v>1.5999999999927184E-4</v>
      </c>
      <c r="P1710" s="10" t="s">
        <v>90</v>
      </c>
      <c r="Q1710" s="11" t="s">
        <v>3858</v>
      </c>
      <c r="R1710" s="11" t="s">
        <v>3859</v>
      </c>
      <c r="S1710" s="16" t="s">
        <v>3860</v>
      </c>
      <c r="T1710" s="19" t="str">
        <f>MONTH(B1710)&amp;"-"&amp;YEAR(B1710)</f>
        <v>10-2024</v>
      </c>
      <c r="U1710" s="2">
        <f>YEAR(B1710)</f>
        <v>2024</v>
      </c>
      <c r="V1710" s="2" t="str">
        <f>IF(DAY(B1710)&gt;15,MONTH(B1710)&amp;"-C",MONTH(B1710)&amp;"-N")</f>
        <v>10-C</v>
      </c>
      <c r="W1710" s="21">
        <v>91.9</v>
      </c>
      <c r="X1710" s="2" t="b">
        <f t="shared" si="1050"/>
        <v>0</v>
      </c>
    </row>
    <row r="1711" spans="2:24" x14ac:dyDescent="0.2">
      <c r="B1711" s="17">
        <v>45581</v>
      </c>
      <c r="C1711" s="10" t="s">
        <v>48</v>
      </c>
      <c r="D1711" s="11" t="s">
        <v>3857</v>
      </c>
      <c r="E1711" s="26">
        <v>77142</v>
      </c>
      <c r="F1711" s="10" t="s">
        <v>65</v>
      </c>
      <c r="G1711" s="10" t="s">
        <v>46</v>
      </c>
      <c r="H1711" s="27" t="s">
        <v>66</v>
      </c>
      <c r="I1711" s="28"/>
      <c r="J1711" s="12"/>
      <c r="K1711" s="13">
        <v>150</v>
      </c>
      <c r="L1711" s="21">
        <v>34.921999999999997</v>
      </c>
      <c r="M1711" s="14" t="s">
        <v>14</v>
      </c>
      <c r="N1711" s="13">
        <v>5238.3</v>
      </c>
      <c r="O1711" s="15">
        <f t="shared" si="1049"/>
        <v>0</v>
      </c>
      <c r="P1711" s="10" t="s">
        <v>90</v>
      </c>
      <c r="Q1711" s="11" t="s">
        <v>3858</v>
      </c>
      <c r="R1711" s="11" t="s">
        <v>3859</v>
      </c>
      <c r="S1711" s="16" t="s">
        <v>3860</v>
      </c>
      <c r="T1711" s="19" t="str">
        <f>MONTH(B1711)&amp;"-"&amp;YEAR(B1711)</f>
        <v>10-2024</v>
      </c>
      <c r="U1711" s="2">
        <f>YEAR(B1711)</f>
        <v>2024</v>
      </c>
      <c r="V1711" s="2" t="str">
        <f>IF(DAY(B1711)&gt;15,MONTH(B1711)&amp;"-C",MONTH(B1711)&amp;"-N")</f>
        <v>10-C</v>
      </c>
      <c r="W1711" s="21">
        <v>91.9</v>
      </c>
      <c r="X1711" s="2" t="b">
        <f t="shared" si="1050"/>
        <v>0</v>
      </c>
    </row>
    <row r="1712" spans="2:24" x14ac:dyDescent="0.2">
      <c r="B1712" s="17">
        <v>45585</v>
      </c>
      <c r="C1712" s="10" t="s">
        <v>94</v>
      </c>
      <c r="D1712" s="11" t="s">
        <v>3760</v>
      </c>
      <c r="E1712" s="26">
        <v>77230</v>
      </c>
      <c r="F1712" s="10" t="s">
        <v>26</v>
      </c>
      <c r="G1712" s="10" t="s">
        <v>27</v>
      </c>
      <c r="H1712" s="27" t="s">
        <v>28</v>
      </c>
      <c r="I1712" s="28"/>
      <c r="J1712" s="12"/>
      <c r="K1712" s="13">
        <v>21600</v>
      </c>
      <c r="L1712" s="21">
        <v>3.48</v>
      </c>
      <c r="M1712" s="14" t="s">
        <v>14</v>
      </c>
      <c r="N1712" s="13">
        <v>75168</v>
      </c>
      <c r="O1712" s="15">
        <f t="shared" ref="O1712:O1722" si="1051">(N1712/K1712)-L1712</f>
        <v>0</v>
      </c>
      <c r="P1712" s="10" t="s">
        <v>78</v>
      </c>
      <c r="Q1712" s="11" t="s">
        <v>3861</v>
      </c>
      <c r="R1712" s="11" t="s">
        <v>3862</v>
      </c>
      <c r="S1712" s="16" t="s">
        <v>3863</v>
      </c>
      <c r="T1712" s="19" t="str">
        <f>MONTH(B1712)&amp;"-"&amp;YEAR(B1712)</f>
        <v>10-2024</v>
      </c>
      <c r="U1712" s="2">
        <f>YEAR(B1712)</f>
        <v>2024</v>
      </c>
      <c r="V1712" s="2" t="str">
        <f>IF(DAY(B1712)&gt;15,MONTH(B1712)&amp;"-C",MONTH(B1712)&amp;"-N")</f>
        <v>10-C</v>
      </c>
      <c r="W1712" s="21">
        <v>91.9</v>
      </c>
      <c r="X1712" s="2" t="b">
        <f t="shared" ref="X1712" si="1052">+L1712=W1712</f>
        <v>0</v>
      </c>
    </row>
    <row r="1713" spans="2:24" x14ac:dyDescent="0.2">
      <c r="B1713" s="17">
        <v>45593</v>
      </c>
      <c r="C1713" s="10" t="s">
        <v>94</v>
      </c>
      <c r="D1713" s="11" t="s">
        <v>3760</v>
      </c>
      <c r="E1713" s="26">
        <v>77357</v>
      </c>
      <c r="F1713" s="10" t="s">
        <v>26</v>
      </c>
      <c r="G1713" s="10" t="s">
        <v>27</v>
      </c>
      <c r="H1713" s="27" t="s">
        <v>28</v>
      </c>
      <c r="I1713" s="28"/>
      <c r="J1713" s="12"/>
      <c r="K1713" s="13">
        <v>21600</v>
      </c>
      <c r="L1713" s="21">
        <v>3.48</v>
      </c>
      <c r="M1713" s="14" t="s">
        <v>14</v>
      </c>
      <c r="N1713" s="13">
        <v>75168</v>
      </c>
      <c r="O1713" s="15">
        <f t="shared" si="1051"/>
        <v>0</v>
      </c>
      <c r="P1713" s="10" t="s">
        <v>78</v>
      </c>
      <c r="Q1713" s="11" t="s">
        <v>3864</v>
      </c>
      <c r="R1713" s="11" t="s">
        <v>3865</v>
      </c>
      <c r="S1713" s="16" t="s">
        <v>3866</v>
      </c>
      <c r="T1713" s="19" t="str">
        <f>MONTH(B1713)&amp;"-"&amp;YEAR(B1713)</f>
        <v>10-2024</v>
      </c>
      <c r="U1713" s="2">
        <f>YEAR(B1713)</f>
        <v>2024</v>
      </c>
      <c r="V1713" s="2" t="str">
        <f>IF(DAY(B1713)&gt;15,MONTH(B1713)&amp;"-C",MONTH(B1713)&amp;"-N")</f>
        <v>10-C</v>
      </c>
      <c r="W1713" s="21">
        <v>91.9</v>
      </c>
      <c r="X1713" s="2" t="b">
        <f t="shared" ref="X1713:X1722" si="1053">+L1713=W1713</f>
        <v>0</v>
      </c>
    </row>
    <row r="1714" spans="2:24" x14ac:dyDescent="0.2">
      <c r="B1714" s="17">
        <v>45586</v>
      </c>
      <c r="C1714" s="10" t="s">
        <v>82</v>
      </c>
      <c r="D1714" s="11" t="s">
        <v>3840</v>
      </c>
      <c r="E1714" s="26">
        <v>77229</v>
      </c>
      <c r="F1714" s="10" t="s">
        <v>26</v>
      </c>
      <c r="G1714" s="10" t="s">
        <v>27</v>
      </c>
      <c r="H1714" s="27" t="s">
        <v>28</v>
      </c>
      <c r="I1714" s="28"/>
      <c r="J1714" s="12"/>
      <c r="K1714" s="13">
        <v>9000</v>
      </c>
      <c r="L1714" s="21">
        <v>3.48</v>
      </c>
      <c r="M1714" s="14" t="s">
        <v>14</v>
      </c>
      <c r="N1714" s="13">
        <v>31320</v>
      </c>
      <c r="O1714" s="15">
        <f t="shared" si="1051"/>
        <v>0</v>
      </c>
      <c r="P1714" s="10" t="s">
        <v>78</v>
      </c>
      <c r="Q1714" s="11" t="s">
        <v>3867</v>
      </c>
      <c r="R1714" s="11" t="s">
        <v>3868</v>
      </c>
      <c r="S1714" s="16" t="s">
        <v>3869</v>
      </c>
      <c r="T1714" s="19" t="str">
        <f>MONTH(B1714)&amp;"-"&amp;YEAR(B1714)</f>
        <v>10-2024</v>
      </c>
      <c r="U1714" s="2">
        <f>YEAR(B1714)</f>
        <v>2024</v>
      </c>
      <c r="V1714" s="2" t="str">
        <f>IF(DAY(B1714)&gt;15,MONTH(B1714)&amp;"-C",MONTH(B1714)&amp;"-N")</f>
        <v>10-C</v>
      </c>
      <c r="W1714" s="21">
        <v>91.9</v>
      </c>
      <c r="X1714" s="2" t="b">
        <f t="shared" si="1053"/>
        <v>0</v>
      </c>
    </row>
    <row r="1715" spans="2:24" x14ac:dyDescent="0.2">
      <c r="B1715" s="17">
        <v>45586</v>
      </c>
      <c r="C1715" s="10" t="s">
        <v>107</v>
      </c>
      <c r="D1715" s="11" t="s">
        <v>3753</v>
      </c>
      <c r="E1715" s="26">
        <v>77227</v>
      </c>
      <c r="F1715" s="10" t="s">
        <v>103</v>
      </c>
      <c r="G1715" s="10" t="s">
        <v>46</v>
      </c>
      <c r="H1715" s="27" t="s">
        <v>104</v>
      </c>
      <c r="I1715" s="28"/>
      <c r="J1715" s="12"/>
      <c r="K1715" s="13">
        <v>70</v>
      </c>
      <c r="L1715" s="21">
        <v>47.46</v>
      </c>
      <c r="M1715" s="14" t="s">
        <v>14</v>
      </c>
      <c r="N1715" s="13">
        <v>3322.2</v>
      </c>
      <c r="O1715" s="15">
        <f t="shared" si="1051"/>
        <v>0</v>
      </c>
      <c r="P1715" s="10" t="s">
        <v>84</v>
      </c>
      <c r="Q1715" s="11" t="s">
        <v>3870</v>
      </c>
      <c r="R1715" s="11" t="s">
        <v>3871</v>
      </c>
      <c r="S1715" s="16" t="s">
        <v>3872</v>
      </c>
      <c r="T1715" s="19" t="str">
        <f>MONTH(B1715)&amp;"-"&amp;YEAR(B1715)</f>
        <v>10-2024</v>
      </c>
      <c r="U1715" s="2">
        <f>YEAR(B1715)</f>
        <v>2024</v>
      </c>
      <c r="V1715" s="2" t="str">
        <f>IF(DAY(B1715)&gt;15,MONTH(B1715)&amp;"-C",MONTH(B1715)&amp;"-N")</f>
        <v>10-C</v>
      </c>
      <c r="W1715" s="21">
        <v>91.9</v>
      </c>
      <c r="X1715" s="2" t="b">
        <f t="shared" si="1053"/>
        <v>0</v>
      </c>
    </row>
    <row r="1716" spans="2:24" x14ac:dyDescent="0.2">
      <c r="B1716" s="17">
        <v>45586</v>
      </c>
      <c r="C1716" s="10" t="s">
        <v>107</v>
      </c>
      <c r="D1716" s="11" t="s">
        <v>3873</v>
      </c>
      <c r="E1716" s="26">
        <v>77227</v>
      </c>
      <c r="F1716" s="10" t="s">
        <v>103</v>
      </c>
      <c r="G1716" s="10" t="s">
        <v>46</v>
      </c>
      <c r="H1716" s="27" t="s">
        <v>104</v>
      </c>
      <c r="I1716" s="28"/>
      <c r="J1716" s="12"/>
      <c r="K1716" s="13">
        <v>100</v>
      </c>
      <c r="L1716" s="21">
        <v>47.46</v>
      </c>
      <c r="M1716" s="14" t="s">
        <v>14</v>
      </c>
      <c r="N1716" s="13">
        <v>4746</v>
      </c>
      <c r="O1716" s="15">
        <f t="shared" si="1051"/>
        <v>0</v>
      </c>
      <c r="P1716" s="10" t="s">
        <v>84</v>
      </c>
      <c r="Q1716" s="11" t="s">
        <v>3870</v>
      </c>
      <c r="R1716" s="11" t="s">
        <v>3871</v>
      </c>
      <c r="S1716" s="16" t="s">
        <v>3872</v>
      </c>
      <c r="T1716" s="19" t="str">
        <f>MONTH(B1716)&amp;"-"&amp;YEAR(B1716)</f>
        <v>10-2024</v>
      </c>
      <c r="U1716" s="2">
        <f>YEAR(B1716)</f>
        <v>2024</v>
      </c>
      <c r="V1716" s="2" t="str">
        <f>IF(DAY(B1716)&gt;15,MONTH(B1716)&amp;"-C",MONTH(B1716)&amp;"-N")</f>
        <v>10-C</v>
      </c>
      <c r="W1716" s="21">
        <v>91.9</v>
      </c>
      <c r="X1716" s="2" t="b">
        <f t="shared" si="1053"/>
        <v>0</v>
      </c>
    </row>
    <row r="1717" spans="2:24" x14ac:dyDescent="0.2">
      <c r="B1717" s="17">
        <v>45586</v>
      </c>
      <c r="C1717" s="10" t="s">
        <v>107</v>
      </c>
      <c r="D1717" s="11" t="s">
        <v>3753</v>
      </c>
      <c r="E1717" s="26">
        <v>77227</v>
      </c>
      <c r="F1717" s="10" t="s">
        <v>105</v>
      </c>
      <c r="G1717" s="10" t="s">
        <v>46</v>
      </c>
      <c r="H1717" s="27" t="s">
        <v>106</v>
      </c>
      <c r="I1717" s="28"/>
      <c r="J1717" s="12"/>
      <c r="K1717" s="13">
        <v>3300</v>
      </c>
      <c r="L1717" s="21">
        <v>11.72</v>
      </c>
      <c r="M1717" s="14" t="s">
        <v>14</v>
      </c>
      <c r="N1717" s="13">
        <v>38676</v>
      </c>
      <c r="O1717" s="15">
        <f t="shared" si="1051"/>
        <v>0</v>
      </c>
      <c r="P1717" s="10" t="s">
        <v>84</v>
      </c>
      <c r="Q1717" s="11" t="s">
        <v>3870</v>
      </c>
      <c r="R1717" s="11" t="s">
        <v>3871</v>
      </c>
      <c r="S1717" s="16" t="s">
        <v>3872</v>
      </c>
      <c r="T1717" s="19" t="str">
        <f>MONTH(B1717)&amp;"-"&amp;YEAR(B1717)</f>
        <v>10-2024</v>
      </c>
      <c r="U1717" s="2">
        <f>YEAR(B1717)</f>
        <v>2024</v>
      </c>
      <c r="V1717" s="2" t="str">
        <f>IF(DAY(B1717)&gt;15,MONTH(B1717)&amp;"-C",MONTH(B1717)&amp;"-N")</f>
        <v>10-C</v>
      </c>
      <c r="W1717" s="21">
        <v>91.9</v>
      </c>
      <c r="X1717" s="2" t="b">
        <f t="shared" si="1053"/>
        <v>0</v>
      </c>
    </row>
    <row r="1718" spans="2:24" x14ac:dyDescent="0.2">
      <c r="B1718" s="17">
        <v>45586</v>
      </c>
      <c r="C1718" s="10" t="s">
        <v>107</v>
      </c>
      <c r="D1718" s="11" t="s">
        <v>3873</v>
      </c>
      <c r="E1718" s="26">
        <v>77227</v>
      </c>
      <c r="F1718" s="10" t="s">
        <v>105</v>
      </c>
      <c r="G1718" s="10" t="s">
        <v>46</v>
      </c>
      <c r="H1718" s="27" t="s">
        <v>106</v>
      </c>
      <c r="I1718" s="28"/>
      <c r="J1718" s="12"/>
      <c r="K1718" s="13">
        <v>2860</v>
      </c>
      <c r="L1718" s="21">
        <v>11.72</v>
      </c>
      <c r="M1718" s="14" t="s">
        <v>14</v>
      </c>
      <c r="N1718" s="13">
        <v>33519.199999999997</v>
      </c>
      <c r="O1718" s="15">
        <f t="shared" si="1051"/>
        <v>0</v>
      </c>
      <c r="P1718" s="10" t="s">
        <v>84</v>
      </c>
      <c r="Q1718" s="11" t="s">
        <v>3870</v>
      </c>
      <c r="R1718" s="11" t="s">
        <v>3871</v>
      </c>
      <c r="S1718" s="16" t="s">
        <v>3872</v>
      </c>
      <c r="T1718" s="19" t="str">
        <f>MONTH(B1718)&amp;"-"&amp;YEAR(B1718)</f>
        <v>10-2024</v>
      </c>
      <c r="U1718" s="2">
        <f>YEAR(B1718)</f>
        <v>2024</v>
      </c>
      <c r="V1718" s="2" t="str">
        <f>IF(DAY(B1718)&gt;15,MONTH(B1718)&amp;"-C",MONTH(B1718)&amp;"-N")</f>
        <v>10-C</v>
      </c>
      <c r="W1718" s="21">
        <v>91.9</v>
      </c>
      <c r="X1718" s="2" t="b">
        <f t="shared" si="1053"/>
        <v>0</v>
      </c>
    </row>
    <row r="1719" spans="2:24" x14ac:dyDescent="0.2">
      <c r="B1719" s="17">
        <v>45590</v>
      </c>
      <c r="C1719" s="10" t="s">
        <v>25</v>
      </c>
      <c r="D1719" s="11" t="s">
        <v>3660</v>
      </c>
      <c r="E1719" s="26">
        <v>77314</v>
      </c>
      <c r="F1719" s="10" t="s">
        <v>29</v>
      </c>
      <c r="G1719" s="10" t="s">
        <v>27</v>
      </c>
      <c r="H1719" s="27" t="s">
        <v>30</v>
      </c>
      <c r="I1719" s="28"/>
      <c r="J1719" s="12"/>
      <c r="K1719" s="13">
        <v>1650</v>
      </c>
      <c r="L1719" s="21">
        <v>3.9</v>
      </c>
      <c r="M1719" s="14" t="s">
        <v>14</v>
      </c>
      <c r="N1719" s="13">
        <v>6435</v>
      </c>
      <c r="O1719" s="15">
        <f t="shared" si="1051"/>
        <v>0</v>
      </c>
      <c r="P1719" s="10" t="s">
        <v>78</v>
      </c>
      <c r="Q1719" s="11" t="s">
        <v>3874</v>
      </c>
      <c r="R1719" s="11" t="s">
        <v>3875</v>
      </c>
      <c r="S1719" s="16" t="s">
        <v>3876</v>
      </c>
      <c r="T1719" s="19" t="str">
        <f>MONTH(B1719)&amp;"-"&amp;YEAR(B1719)</f>
        <v>10-2024</v>
      </c>
      <c r="U1719" s="2">
        <f>YEAR(B1719)</f>
        <v>2024</v>
      </c>
      <c r="V1719" s="2" t="str">
        <f>IF(DAY(B1719)&gt;15,MONTH(B1719)&amp;"-C",MONTH(B1719)&amp;"-N")</f>
        <v>10-C</v>
      </c>
      <c r="W1719" s="21">
        <v>91.9</v>
      </c>
      <c r="X1719" s="2" t="b">
        <f t="shared" si="1053"/>
        <v>0</v>
      </c>
    </row>
    <row r="1720" spans="2:24" x14ac:dyDescent="0.2">
      <c r="B1720" s="17">
        <v>45590</v>
      </c>
      <c r="C1720" s="10" t="s">
        <v>25</v>
      </c>
      <c r="D1720" s="11" t="s">
        <v>3877</v>
      </c>
      <c r="E1720" s="26">
        <v>77313</v>
      </c>
      <c r="F1720" s="10" t="s">
        <v>29</v>
      </c>
      <c r="G1720" s="10" t="s">
        <v>27</v>
      </c>
      <c r="H1720" s="27" t="s">
        <v>30</v>
      </c>
      <c r="I1720" s="28"/>
      <c r="J1720" s="12"/>
      <c r="K1720" s="13">
        <v>330</v>
      </c>
      <c r="L1720" s="21">
        <v>3.9</v>
      </c>
      <c r="M1720" s="14" t="s">
        <v>14</v>
      </c>
      <c r="N1720" s="13">
        <v>1287</v>
      </c>
      <c r="O1720" s="15">
        <f t="shared" si="1051"/>
        <v>0</v>
      </c>
      <c r="P1720" s="10" t="s">
        <v>78</v>
      </c>
      <c r="Q1720" s="11" t="s">
        <v>3878</v>
      </c>
      <c r="R1720" s="11" t="s">
        <v>3879</v>
      </c>
      <c r="S1720" s="16" t="s">
        <v>3880</v>
      </c>
      <c r="T1720" s="19" t="str">
        <f>MONTH(B1720)&amp;"-"&amp;YEAR(B1720)</f>
        <v>10-2024</v>
      </c>
      <c r="U1720" s="2">
        <f>YEAR(B1720)</f>
        <v>2024</v>
      </c>
      <c r="V1720" s="2" t="str">
        <f>IF(DAY(B1720)&gt;15,MONTH(B1720)&amp;"-C",MONTH(B1720)&amp;"-N")</f>
        <v>10-C</v>
      </c>
      <c r="W1720" s="21">
        <v>91.9</v>
      </c>
      <c r="X1720" s="2" t="b">
        <f t="shared" si="1053"/>
        <v>0</v>
      </c>
    </row>
    <row r="1721" spans="2:24" x14ac:dyDescent="0.2">
      <c r="B1721" s="17">
        <v>45590</v>
      </c>
      <c r="C1721" s="10" t="s">
        <v>25</v>
      </c>
      <c r="D1721" s="11" t="s">
        <v>3877</v>
      </c>
      <c r="E1721" s="26">
        <v>77313</v>
      </c>
      <c r="F1721" s="10" t="s">
        <v>31</v>
      </c>
      <c r="G1721" s="10" t="s">
        <v>27</v>
      </c>
      <c r="H1721" s="27" t="s">
        <v>32</v>
      </c>
      <c r="I1721" s="28"/>
      <c r="J1721" s="12"/>
      <c r="K1721" s="13">
        <v>1280</v>
      </c>
      <c r="L1721" s="21">
        <v>4.3</v>
      </c>
      <c r="M1721" s="14" t="s">
        <v>14</v>
      </c>
      <c r="N1721" s="13">
        <v>5504</v>
      </c>
      <c r="O1721" s="15">
        <f t="shared" si="1051"/>
        <v>0</v>
      </c>
      <c r="P1721" s="10" t="s">
        <v>78</v>
      </c>
      <c r="Q1721" s="11" t="s">
        <v>3878</v>
      </c>
      <c r="R1721" s="11" t="s">
        <v>3879</v>
      </c>
      <c r="S1721" s="16" t="s">
        <v>3880</v>
      </c>
      <c r="T1721" s="19" t="str">
        <f>MONTH(B1721)&amp;"-"&amp;YEAR(B1721)</f>
        <v>10-2024</v>
      </c>
      <c r="U1721" s="2">
        <f>YEAR(B1721)</f>
        <v>2024</v>
      </c>
      <c r="V1721" s="2" t="str">
        <f>IF(DAY(B1721)&gt;15,MONTH(B1721)&amp;"-C",MONTH(B1721)&amp;"-N")</f>
        <v>10-C</v>
      </c>
      <c r="W1721" s="21">
        <v>91.9</v>
      </c>
      <c r="X1721" s="2" t="b">
        <f t="shared" si="1053"/>
        <v>0</v>
      </c>
    </row>
    <row r="1722" spans="2:24" x14ac:dyDescent="0.2">
      <c r="B1722" s="17">
        <v>45590</v>
      </c>
      <c r="C1722" s="10" t="s">
        <v>25</v>
      </c>
      <c r="D1722" s="11" t="s">
        <v>3877</v>
      </c>
      <c r="E1722" s="26">
        <v>77313</v>
      </c>
      <c r="F1722" s="10" t="s">
        <v>33</v>
      </c>
      <c r="G1722" s="10" t="s">
        <v>27</v>
      </c>
      <c r="H1722" s="27" t="s">
        <v>34</v>
      </c>
      <c r="I1722" s="28"/>
      <c r="J1722" s="12"/>
      <c r="K1722" s="13">
        <v>1440</v>
      </c>
      <c r="L1722" s="21">
        <v>5.52</v>
      </c>
      <c r="M1722" s="14" t="s">
        <v>14</v>
      </c>
      <c r="N1722" s="13">
        <v>7948.8</v>
      </c>
      <c r="O1722" s="15">
        <f t="shared" si="1051"/>
        <v>0</v>
      </c>
      <c r="P1722" s="10" t="s">
        <v>78</v>
      </c>
      <c r="Q1722" s="11" t="s">
        <v>3878</v>
      </c>
      <c r="R1722" s="11" t="s">
        <v>3879</v>
      </c>
      <c r="S1722" s="16" t="s">
        <v>3880</v>
      </c>
      <c r="T1722" s="19" t="str">
        <f>MONTH(B1722)&amp;"-"&amp;YEAR(B1722)</f>
        <v>10-2024</v>
      </c>
      <c r="U1722" s="2">
        <f>YEAR(B1722)</f>
        <v>2024</v>
      </c>
      <c r="V1722" s="2" t="str">
        <f>IF(DAY(B1722)&gt;15,MONTH(B1722)&amp;"-C",MONTH(B1722)&amp;"-N")</f>
        <v>10-C</v>
      </c>
      <c r="W1722" s="21">
        <v>91.9</v>
      </c>
      <c r="X1722" s="2" t="b">
        <f t="shared" si="1053"/>
        <v>0</v>
      </c>
    </row>
    <row r="1723" spans="2:24" x14ac:dyDescent="0.2">
      <c r="B1723" s="17">
        <v>45595</v>
      </c>
      <c r="C1723" s="10" t="s">
        <v>73</v>
      </c>
      <c r="D1723" s="11" t="s">
        <v>3805</v>
      </c>
      <c r="E1723" s="26">
        <v>77386</v>
      </c>
      <c r="F1723" s="10" t="s">
        <v>399</v>
      </c>
      <c r="G1723" s="10" t="s">
        <v>46</v>
      </c>
      <c r="H1723" s="27" t="s">
        <v>149</v>
      </c>
      <c r="I1723" s="28"/>
      <c r="J1723" s="12"/>
      <c r="K1723" s="13">
        <v>2160</v>
      </c>
      <c r="L1723" s="21">
        <v>16.8</v>
      </c>
      <c r="M1723" s="14" t="s">
        <v>14</v>
      </c>
      <c r="N1723" s="13">
        <v>36288</v>
      </c>
      <c r="O1723" s="15">
        <f t="shared" ref="O1723" si="1054">(N1723/K1723)-L1723</f>
        <v>0</v>
      </c>
      <c r="P1723" s="10" t="s">
        <v>84</v>
      </c>
      <c r="Q1723" s="11" t="s">
        <v>3881</v>
      </c>
      <c r="R1723" s="11" t="s">
        <v>3882</v>
      </c>
      <c r="S1723" s="16" t="s">
        <v>3883</v>
      </c>
      <c r="T1723" s="19" t="str">
        <f>MONTH(B1723)&amp;"-"&amp;YEAR(B1723)</f>
        <v>10-2024</v>
      </c>
      <c r="U1723" s="2">
        <f>YEAR(B1723)</f>
        <v>2024</v>
      </c>
      <c r="V1723" s="2" t="str">
        <f>IF(DAY(B1723)&gt;15,MONTH(B1723)&amp;"-C",MONTH(B1723)&amp;"-N")</f>
        <v>10-C</v>
      </c>
      <c r="W1723" s="21">
        <v>91.9</v>
      </c>
      <c r="X1723" s="2" t="b">
        <f t="shared" ref="X1723" si="1055">+L1723=W1723</f>
        <v>0</v>
      </c>
    </row>
    <row r="1724" spans="2:24" x14ac:dyDescent="0.2">
      <c r="B1724" s="17">
        <v>45598</v>
      </c>
      <c r="C1724" s="10" t="s">
        <v>94</v>
      </c>
      <c r="D1724" s="11">
        <v>173531</v>
      </c>
      <c r="E1724" s="26">
        <v>77459</v>
      </c>
      <c r="F1724" s="10" t="s">
        <v>26</v>
      </c>
      <c r="G1724" s="10" t="s">
        <v>3885</v>
      </c>
      <c r="H1724" s="27" t="s">
        <v>28</v>
      </c>
      <c r="I1724" s="28" t="s">
        <v>41</v>
      </c>
      <c r="J1724" s="12" t="s">
        <v>41</v>
      </c>
      <c r="K1724" s="13">
        <v>21600</v>
      </c>
      <c r="L1724" s="21">
        <v>3.48</v>
      </c>
      <c r="M1724" s="14" t="s">
        <v>14</v>
      </c>
      <c r="N1724" s="13">
        <v>75168</v>
      </c>
      <c r="O1724" s="15">
        <v>0</v>
      </c>
      <c r="P1724" s="10" t="s">
        <v>78</v>
      </c>
      <c r="Q1724" s="11" t="s">
        <v>3911</v>
      </c>
      <c r="R1724" s="11" t="s">
        <v>3912</v>
      </c>
      <c r="S1724" s="16" t="s">
        <v>3913</v>
      </c>
      <c r="T1724" s="19" t="str">
        <f>MONTH(B1724)&amp;"-"&amp;YEAR(B1724)</f>
        <v>11-2024</v>
      </c>
      <c r="U1724" s="2">
        <f>YEAR(B1724)</f>
        <v>2024</v>
      </c>
      <c r="V1724" s="2" t="str">
        <f>IF(DAY(B1724)&gt;15,MONTH(B1724)&amp;"-C",MONTH(B1724)&amp;"-N")</f>
        <v>11-N</v>
      </c>
      <c r="W1724" s="21">
        <v>91.9</v>
      </c>
      <c r="X1724" s="2" t="b">
        <f t="shared" ref="X1724" si="1056">+L1724=W1724</f>
        <v>0</v>
      </c>
    </row>
    <row r="1725" spans="2:24" x14ac:dyDescent="0.2">
      <c r="B1725" s="17">
        <v>45601</v>
      </c>
      <c r="C1725" s="10" t="s">
        <v>107</v>
      </c>
      <c r="D1725" s="11">
        <v>174195</v>
      </c>
      <c r="E1725" s="26">
        <v>77488</v>
      </c>
      <c r="F1725" s="10" t="s">
        <v>105</v>
      </c>
      <c r="G1725" s="10" t="s">
        <v>3901</v>
      </c>
      <c r="H1725" s="27" t="s">
        <v>106</v>
      </c>
      <c r="I1725" s="28" t="s">
        <v>41</v>
      </c>
      <c r="J1725" s="12" t="s">
        <v>41</v>
      </c>
      <c r="K1725" s="13">
        <v>6160</v>
      </c>
      <c r="L1725" s="21">
        <v>11.72</v>
      </c>
      <c r="M1725" s="14" t="s">
        <v>14</v>
      </c>
      <c r="N1725" s="13">
        <v>72195.199999999997</v>
      </c>
      <c r="O1725" s="15">
        <v>0</v>
      </c>
      <c r="P1725" s="10" t="s">
        <v>84</v>
      </c>
      <c r="Q1725" s="11" t="s">
        <v>3902</v>
      </c>
      <c r="R1725" s="11" t="s">
        <v>3903</v>
      </c>
      <c r="S1725" s="16" t="s">
        <v>3904</v>
      </c>
      <c r="T1725" s="19" t="str">
        <f>MONTH(B1725)&amp;"-"&amp;YEAR(B1725)</f>
        <v>11-2024</v>
      </c>
      <c r="U1725" s="2">
        <f>YEAR(B1725)</f>
        <v>2024</v>
      </c>
      <c r="V1725" s="2" t="str">
        <f>IF(DAY(B1725)&gt;15,MONTH(B1725)&amp;"-C",MONTH(B1725)&amp;"-N")</f>
        <v>11-N</v>
      </c>
      <c r="W1725" s="21">
        <v>91.9</v>
      </c>
      <c r="X1725" s="2" t="b">
        <f t="shared" ref="X1725:X1726" si="1057">+L1725=W1725</f>
        <v>0</v>
      </c>
    </row>
    <row r="1726" spans="2:24" x14ac:dyDescent="0.2">
      <c r="B1726" s="17">
        <v>45601</v>
      </c>
      <c r="C1726" s="10" t="s">
        <v>107</v>
      </c>
      <c r="D1726" s="11">
        <v>174195</v>
      </c>
      <c r="E1726" s="26">
        <v>77488</v>
      </c>
      <c r="F1726" s="10" t="s">
        <v>103</v>
      </c>
      <c r="G1726" s="10" t="s">
        <v>3901</v>
      </c>
      <c r="H1726" s="27" t="s">
        <v>104</v>
      </c>
      <c r="I1726" s="28" t="s">
        <v>41</v>
      </c>
      <c r="J1726" s="12" t="s">
        <v>41</v>
      </c>
      <c r="K1726" s="13">
        <v>185</v>
      </c>
      <c r="L1726" s="21">
        <v>47.46</v>
      </c>
      <c r="M1726" s="14" t="s">
        <v>14</v>
      </c>
      <c r="N1726" s="13">
        <v>8780.1</v>
      </c>
      <c r="O1726" s="15">
        <v>0</v>
      </c>
      <c r="P1726" s="10" t="s">
        <v>84</v>
      </c>
      <c r="Q1726" s="11" t="s">
        <v>3902</v>
      </c>
      <c r="R1726" s="11" t="s">
        <v>3903</v>
      </c>
      <c r="S1726" s="16" t="s">
        <v>3904</v>
      </c>
      <c r="T1726" s="19" t="str">
        <f>MONTH(B1726)&amp;"-"&amp;YEAR(B1726)</f>
        <v>11-2024</v>
      </c>
      <c r="U1726" s="2">
        <f>YEAR(B1726)</f>
        <v>2024</v>
      </c>
      <c r="V1726" s="2" t="str">
        <f>IF(DAY(B1726)&gt;15,MONTH(B1726)&amp;"-C",MONTH(B1726)&amp;"-N")</f>
        <v>11-N</v>
      </c>
      <c r="W1726" s="21">
        <v>91.9</v>
      </c>
      <c r="X1726" s="2" t="b">
        <f t="shared" si="1057"/>
        <v>0</v>
      </c>
    </row>
    <row r="1727" spans="2:24" x14ac:dyDescent="0.2">
      <c r="B1727" s="17">
        <v>45603</v>
      </c>
      <c r="C1727" s="10" t="s">
        <v>25</v>
      </c>
      <c r="D1727" s="11">
        <v>174180</v>
      </c>
      <c r="E1727" s="26">
        <v>77541</v>
      </c>
      <c r="F1727" s="10" t="s">
        <v>31</v>
      </c>
      <c r="G1727" s="10" t="s">
        <v>3885</v>
      </c>
      <c r="H1727" s="27" t="s">
        <v>32</v>
      </c>
      <c r="I1727" s="28" t="s">
        <v>41</v>
      </c>
      <c r="J1727" s="12" t="s">
        <v>41</v>
      </c>
      <c r="K1727" s="13">
        <v>1280</v>
      </c>
      <c r="L1727" s="21">
        <v>4.3</v>
      </c>
      <c r="M1727" s="14" t="s">
        <v>14</v>
      </c>
      <c r="N1727" s="13">
        <v>5504</v>
      </c>
      <c r="O1727" s="15">
        <v>0</v>
      </c>
      <c r="P1727" s="10" t="s">
        <v>78</v>
      </c>
      <c r="Q1727" s="11" t="s">
        <v>3895</v>
      </c>
      <c r="R1727" s="11" t="s">
        <v>3896</v>
      </c>
      <c r="S1727" s="16" t="s">
        <v>3897</v>
      </c>
      <c r="T1727" s="19" t="str">
        <f>MONTH(B1727)&amp;"-"&amp;YEAR(B1727)</f>
        <v>11-2024</v>
      </c>
      <c r="U1727" s="2">
        <f>YEAR(B1727)</f>
        <v>2024</v>
      </c>
      <c r="V1727" s="2" t="str">
        <f>IF(DAY(B1727)&gt;15,MONTH(B1727)&amp;"-C",MONTH(B1727)&amp;"-N")</f>
        <v>11-N</v>
      </c>
      <c r="W1727" s="21">
        <v>91.9</v>
      </c>
      <c r="X1727" s="2" t="b">
        <f t="shared" ref="X1727:X1730" si="1058">+L1727=W1727</f>
        <v>0</v>
      </c>
    </row>
    <row r="1728" spans="2:24" x14ac:dyDescent="0.2">
      <c r="B1728" s="17">
        <v>45603</v>
      </c>
      <c r="C1728" s="10" t="s">
        <v>25</v>
      </c>
      <c r="D1728" s="11">
        <v>174180</v>
      </c>
      <c r="E1728" s="26">
        <v>77541</v>
      </c>
      <c r="F1728" s="10" t="s">
        <v>49</v>
      </c>
      <c r="G1728" s="10" t="s">
        <v>3885</v>
      </c>
      <c r="H1728" s="27" t="s">
        <v>50</v>
      </c>
      <c r="I1728" s="28" t="s">
        <v>41</v>
      </c>
      <c r="J1728" s="12" t="s">
        <v>41</v>
      </c>
      <c r="K1728" s="13">
        <v>760</v>
      </c>
      <c r="L1728" s="21">
        <v>5.2</v>
      </c>
      <c r="M1728" s="14" t="s">
        <v>14</v>
      </c>
      <c r="N1728" s="13">
        <v>3952</v>
      </c>
      <c r="O1728" s="15">
        <v>0</v>
      </c>
      <c r="P1728" s="10" t="s">
        <v>78</v>
      </c>
      <c r="Q1728" s="11" t="s">
        <v>3895</v>
      </c>
      <c r="R1728" s="11" t="s">
        <v>3896</v>
      </c>
      <c r="S1728" s="16" t="s">
        <v>3897</v>
      </c>
      <c r="T1728" s="19" t="str">
        <f>MONTH(B1728)&amp;"-"&amp;YEAR(B1728)</f>
        <v>11-2024</v>
      </c>
      <c r="U1728" s="2">
        <f>YEAR(B1728)</f>
        <v>2024</v>
      </c>
      <c r="V1728" s="2" t="str">
        <f>IF(DAY(B1728)&gt;15,MONTH(B1728)&amp;"-C",MONTH(B1728)&amp;"-N")</f>
        <v>11-N</v>
      </c>
      <c r="W1728" s="21">
        <v>91.9</v>
      </c>
      <c r="X1728" s="2" t="b">
        <f t="shared" si="1058"/>
        <v>0</v>
      </c>
    </row>
    <row r="1729" spans="2:24" x14ac:dyDescent="0.2">
      <c r="B1729" s="17">
        <v>45605</v>
      </c>
      <c r="C1729" s="10" t="s">
        <v>3917</v>
      </c>
      <c r="D1729" s="11">
        <v>174199</v>
      </c>
      <c r="E1729" s="26">
        <v>77575</v>
      </c>
      <c r="F1729" s="10" t="s">
        <v>2331</v>
      </c>
      <c r="G1729" s="10" t="s">
        <v>3901</v>
      </c>
      <c r="H1729" s="27" t="s">
        <v>2332</v>
      </c>
      <c r="I1729" s="28" t="s">
        <v>41</v>
      </c>
      <c r="J1729" s="12" t="s">
        <v>41</v>
      </c>
      <c r="K1729" s="13">
        <v>1840</v>
      </c>
      <c r="L1729" s="21">
        <v>12.093999999999999</v>
      </c>
      <c r="M1729" s="14" t="s">
        <v>14</v>
      </c>
      <c r="N1729" s="13">
        <v>22253.034</v>
      </c>
      <c r="O1729" s="15">
        <v>0</v>
      </c>
      <c r="P1729" s="10" t="s">
        <v>84</v>
      </c>
      <c r="Q1729" s="11" t="s">
        <v>3918</v>
      </c>
      <c r="R1729" s="11" t="s">
        <v>3919</v>
      </c>
      <c r="S1729" s="16" t="s">
        <v>3920</v>
      </c>
      <c r="T1729" s="19" t="str">
        <f>MONTH(B1729)&amp;"-"&amp;YEAR(B1729)</f>
        <v>11-2024</v>
      </c>
      <c r="U1729" s="2">
        <f>YEAR(B1729)</f>
        <v>2024</v>
      </c>
      <c r="V1729" s="2" t="str">
        <f>IF(DAY(B1729)&gt;15,MONTH(B1729)&amp;"-C",MONTH(B1729)&amp;"-N")</f>
        <v>11-N</v>
      </c>
      <c r="W1729" s="21">
        <v>91.9</v>
      </c>
      <c r="X1729" s="2" t="b">
        <f t="shared" si="1058"/>
        <v>0</v>
      </c>
    </row>
    <row r="1730" spans="2:24" x14ac:dyDescent="0.2">
      <c r="B1730" s="17">
        <v>45605</v>
      </c>
      <c r="C1730" s="10" t="s">
        <v>3917</v>
      </c>
      <c r="D1730" s="11">
        <v>174199</v>
      </c>
      <c r="E1730" s="26">
        <v>77575</v>
      </c>
      <c r="F1730" s="10" t="s">
        <v>121</v>
      </c>
      <c r="G1730" s="10" t="s">
        <v>3901</v>
      </c>
      <c r="H1730" s="27" t="s">
        <v>122</v>
      </c>
      <c r="I1730" s="28" t="s">
        <v>41</v>
      </c>
      <c r="J1730" s="12" t="s">
        <v>41</v>
      </c>
      <c r="K1730" s="13">
        <v>3220</v>
      </c>
      <c r="L1730" s="21">
        <v>9.5579999999999998</v>
      </c>
      <c r="M1730" s="14" t="s">
        <v>14</v>
      </c>
      <c r="N1730" s="13">
        <v>30775.472000000002</v>
      </c>
      <c r="O1730" s="15">
        <v>0</v>
      </c>
      <c r="P1730" s="10" t="s">
        <v>84</v>
      </c>
      <c r="Q1730" s="11" t="s">
        <v>3918</v>
      </c>
      <c r="R1730" s="11" t="s">
        <v>3919</v>
      </c>
      <c r="S1730" s="16" t="s">
        <v>3920</v>
      </c>
      <c r="T1730" s="19" t="str">
        <f>MONTH(B1730)&amp;"-"&amp;YEAR(B1730)</f>
        <v>11-2024</v>
      </c>
      <c r="U1730" s="2">
        <f>YEAR(B1730)</f>
        <v>2024</v>
      </c>
      <c r="V1730" s="2" t="str">
        <f>IF(DAY(B1730)&gt;15,MONTH(B1730)&amp;"-C",MONTH(B1730)&amp;"-N")</f>
        <v>11-N</v>
      </c>
      <c r="W1730" s="21">
        <v>91.9</v>
      </c>
      <c r="X1730" s="2" t="b">
        <f t="shared" si="1058"/>
        <v>0</v>
      </c>
    </row>
    <row r="1731" spans="2:24" x14ac:dyDescent="0.2">
      <c r="B1731" s="17">
        <v>45605</v>
      </c>
      <c r="C1731" s="10" t="s">
        <v>3917</v>
      </c>
      <c r="D1731" s="11">
        <v>174199</v>
      </c>
      <c r="E1731" s="26">
        <v>77575</v>
      </c>
      <c r="F1731" s="10" t="s">
        <v>127</v>
      </c>
      <c r="G1731" s="10" t="s">
        <v>3901</v>
      </c>
      <c r="H1731" s="27" t="s">
        <v>128</v>
      </c>
      <c r="I1731" s="28" t="s">
        <v>41</v>
      </c>
      <c r="J1731" s="12" t="s">
        <v>41</v>
      </c>
      <c r="K1731" s="13">
        <v>1104</v>
      </c>
      <c r="L1731" s="21">
        <v>10.917999999999999</v>
      </c>
      <c r="M1731" s="14" t="s">
        <v>14</v>
      </c>
      <c r="N1731" s="13">
        <v>12053.163</v>
      </c>
      <c r="O1731" s="15">
        <v>0</v>
      </c>
      <c r="P1731" s="10" t="s">
        <v>84</v>
      </c>
      <c r="Q1731" s="11" t="s">
        <v>3918</v>
      </c>
      <c r="R1731" s="11" t="s">
        <v>3919</v>
      </c>
      <c r="S1731" s="16" t="s">
        <v>3920</v>
      </c>
      <c r="T1731" s="19" t="str">
        <f>MONTH(B1731)&amp;"-"&amp;YEAR(B1731)</f>
        <v>11-2024</v>
      </c>
      <c r="U1731" s="2">
        <f>YEAR(B1731)</f>
        <v>2024</v>
      </c>
      <c r="V1731" s="2" t="str">
        <f>IF(DAY(B1731)&gt;15,MONTH(B1731)&amp;"-C",MONTH(B1731)&amp;"-N")</f>
        <v>11-N</v>
      </c>
      <c r="W1731" s="21">
        <v>91.9</v>
      </c>
      <c r="X1731" s="2" t="b">
        <f t="shared" ref="X1731:X1732" si="1059">+L1731=W1731</f>
        <v>0</v>
      </c>
    </row>
    <row r="1732" spans="2:24" x14ac:dyDescent="0.2">
      <c r="B1732" s="17">
        <v>45605</v>
      </c>
      <c r="C1732" s="10" t="s">
        <v>3917</v>
      </c>
      <c r="D1732" s="11">
        <v>174199</v>
      </c>
      <c r="E1732" s="26">
        <v>77575</v>
      </c>
      <c r="F1732" s="10" t="s">
        <v>123</v>
      </c>
      <c r="G1732" s="10" t="s">
        <v>3901</v>
      </c>
      <c r="H1732" s="27" t="s">
        <v>124</v>
      </c>
      <c r="I1732" s="28" t="s">
        <v>41</v>
      </c>
      <c r="J1732" s="12" t="s">
        <v>41</v>
      </c>
      <c r="K1732" s="13">
        <v>5980</v>
      </c>
      <c r="L1732" s="21">
        <v>11.69</v>
      </c>
      <c r="M1732" s="14" t="s">
        <v>14</v>
      </c>
      <c r="N1732" s="13">
        <v>69904.285999999993</v>
      </c>
      <c r="O1732" s="15">
        <v>0</v>
      </c>
      <c r="P1732" s="10" t="s">
        <v>84</v>
      </c>
      <c r="Q1732" s="11" t="s">
        <v>3918</v>
      </c>
      <c r="R1732" s="11" t="s">
        <v>3919</v>
      </c>
      <c r="S1732" s="16" t="s">
        <v>3920</v>
      </c>
      <c r="T1732" s="19" t="str">
        <f>MONTH(B1732)&amp;"-"&amp;YEAR(B1732)</f>
        <v>11-2024</v>
      </c>
      <c r="U1732" s="2">
        <f>YEAR(B1732)</f>
        <v>2024</v>
      </c>
      <c r="V1732" s="2" t="str">
        <f>IF(DAY(B1732)&gt;15,MONTH(B1732)&amp;"-C",MONTH(B1732)&amp;"-N")</f>
        <v>11-N</v>
      </c>
      <c r="W1732" s="21">
        <v>91.9</v>
      </c>
      <c r="X1732" s="2" t="b">
        <f t="shared" si="1059"/>
        <v>0</v>
      </c>
    </row>
    <row r="1733" spans="2:24" x14ac:dyDescent="0.2">
      <c r="B1733" s="17">
        <v>45610</v>
      </c>
      <c r="C1733" s="10" t="s">
        <v>25</v>
      </c>
      <c r="D1733" s="11">
        <v>173900</v>
      </c>
      <c r="E1733" s="26">
        <v>77672</v>
      </c>
      <c r="F1733" s="10" t="s">
        <v>26</v>
      </c>
      <c r="G1733" s="10" t="s">
        <v>3885</v>
      </c>
      <c r="H1733" s="27" t="s">
        <v>28</v>
      </c>
      <c r="I1733" s="28" t="s">
        <v>41</v>
      </c>
      <c r="J1733" s="12" t="s">
        <v>41</v>
      </c>
      <c r="K1733" s="13">
        <v>21600</v>
      </c>
      <c r="L1733" s="21">
        <v>3.48</v>
      </c>
      <c r="M1733" s="14" t="s">
        <v>14</v>
      </c>
      <c r="N1733" s="13">
        <v>75168</v>
      </c>
      <c r="O1733" s="15">
        <v>0</v>
      </c>
      <c r="P1733" s="10" t="s">
        <v>78</v>
      </c>
      <c r="Q1733" s="11" t="s">
        <v>3892</v>
      </c>
      <c r="R1733" s="11" t="s">
        <v>3893</v>
      </c>
      <c r="S1733" s="16" t="s">
        <v>3894</v>
      </c>
      <c r="T1733" s="19" t="str">
        <f>MONTH(B1733)&amp;"-"&amp;YEAR(B1733)</f>
        <v>11-2024</v>
      </c>
      <c r="U1733" s="2">
        <f>YEAR(B1733)</f>
        <v>2024</v>
      </c>
      <c r="V1733" s="2" t="str">
        <f>IF(DAY(B1733)&gt;15,MONTH(B1733)&amp;"-C",MONTH(B1733)&amp;"-N")</f>
        <v>11-N</v>
      </c>
      <c r="W1733" s="21">
        <v>91.9</v>
      </c>
      <c r="X1733" s="2" t="b">
        <f t="shared" ref="X1733:X1736" si="1060">+L1733=W1733</f>
        <v>0</v>
      </c>
    </row>
    <row r="1734" spans="2:24" x14ac:dyDescent="0.2">
      <c r="B1734" s="17">
        <v>45611</v>
      </c>
      <c r="C1734" s="10" t="s">
        <v>25</v>
      </c>
      <c r="D1734" s="11">
        <v>174180</v>
      </c>
      <c r="E1734" s="26">
        <v>77684</v>
      </c>
      <c r="F1734" s="10" t="s">
        <v>33</v>
      </c>
      <c r="G1734" s="10" t="s">
        <v>3885</v>
      </c>
      <c r="H1734" s="27" t="s">
        <v>34</v>
      </c>
      <c r="I1734" s="28" t="s">
        <v>41</v>
      </c>
      <c r="J1734" s="12" t="s">
        <v>41</v>
      </c>
      <c r="K1734" s="13">
        <v>1440</v>
      </c>
      <c r="L1734" s="21">
        <v>5.52</v>
      </c>
      <c r="M1734" s="14" t="s">
        <v>14</v>
      </c>
      <c r="N1734" s="13">
        <v>7948.8</v>
      </c>
      <c r="O1734" s="15">
        <v>0</v>
      </c>
      <c r="P1734" s="10" t="s">
        <v>78</v>
      </c>
      <c r="Q1734" s="11" t="s">
        <v>3898</v>
      </c>
      <c r="R1734" s="11" t="s">
        <v>3899</v>
      </c>
      <c r="S1734" s="16" t="s">
        <v>3900</v>
      </c>
      <c r="T1734" s="19" t="str">
        <f>MONTH(B1734)&amp;"-"&amp;YEAR(B1734)</f>
        <v>11-2024</v>
      </c>
      <c r="U1734" s="2">
        <f>YEAR(B1734)</f>
        <v>2024</v>
      </c>
      <c r="V1734" s="2" t="str">
        <f>IF(DAY(B1734)&gt;15,MONTH(B1734)&amp;"-C",MONTH(B1734)&amp;"-N")</f>
        <v>11-N</v>
      </c>
      <c r="W1734" s="21">
        <v>91.9</v>
      </c>
      <c r="X1734" s="2" t="b">
        <f t="shared" si="1060"/>
        <v>0</v>
      </c>
    </row>
    <row r="1735" spans="2:24" x14ac:dyDescent="0.2">
      <c r="B1735" s="17">
        <v>45611</v>
      </c>
      <c r="C1735" s="10" t="s">
        <v>25</v>
      </c>
      <c r="D1735" s="11">
        <v>174180</v>
      </c>
      <c r="E1735" s="26">
        <v>77684</v>
      </c>
      <c r="F1735" s="10" t="s">
        <v>29</v>
      </c>
      <c r="G1735" s="10" t="s">
        <v>3885</v>
      </c>
      <c r="H1735" s="27" t="s">
        <v>30</v>
      </c>
      <c r="I1735" s="28" t="s">
        <v>41</v>
      </c>
      <c r="J1735" s="12" t="s">
        <v>41</v>
      </c>
      <c r="K1735" s="13">
        <v>1980</v>
      </c>
      <c r="L1735" s="21">
        <v>3.9</v>
      </c>
      <c r="M1735" s="14" t="s">
        <v>14</v>
      </c>
      <c r="N1735" s="13">
        <v>7722</v>
      </c>
      <c r="O1735" s="15">
        <v>0</v>
      </c>
      <c r="P1735" s="10" t="s">
        <v>78</v>
      </c>
      <c r="Q1735" s="11" t="s">
        <v>3898</v>
      </c>
      <c r="R1735" s="11" t="s">
        <v>3899</v>
      </c>
      <c r="S1735" s="16" t="s">
        <v>3900</v>
      </c>
      <c r="T1735" s="19" t="str">
        <f>MONTH(B1735)&amp;"-"&amp;YEAR(B1735)</f>
        <v>11-2024</v>
      </c>
      <c r="U1735" s="2">
        <f>YEAR(B1735)</f>
        <v>2024</v>
      </c>
      <c r="V1735" s="2" t="str">
        <f>IF(DAY(B1735)&gt;15,MONTH(B1735)&amp;"-C",MONTH(B1735)&amp;"-N")</f>
        <v>11-N</v>
      </c>
      <c r="W1735" s="21">
        <v>91.9</v>
      </c>
      <c r="X1735" s="2" t="b">
        <f t="shared" si="1060"/>
        <v>0</v>
      </c>
    </row>
    <row r="1736" spans="2:24" x14ac:dyDescent="0.2">
      <c r="B1736" s="17">
        <v>45611</v>
      </c>
      <c r="C1736" s="10" t="s">
        <v>25</v>
      </c>
      <c r="D1736" s="11">
        <v>173900</v>
      </c>
      <c r="E1736" s="26">
        <v>77552</v>
      </c>
      <c r="F1736" s="10" t="s">
        <v>26</v>
      </c>
      <c r="G1736" s="10" t="s">
        <v>3885</v>
      </c>
      <c r="H1736" s="27" t="s">
        <v>28</v>
      </c>
      <c r="I1736" s="28" t="s">
        <v>41</v>
      </c>
      <c r="J1736" s="12" t="s">
        <v>41</v>
      </c>
      <c r="K1736" s="13">
        <v>21600</v>
      </c>
      <c r="L1736" s="21">
        <v>3.48</v>
      </c>
      <c r="M1736" s="14" t="s">
        <v>14</v>
      </c>
      <c r="N1736" s="13">
        <v>75168</v>
      </c>
      <c r="O1736" s="15">
        <v>0</v>
      </c>
      <c r="P1736" s="10" t="s">
        <v>78</v>
      </c>
      <c r="Q1736" s="11" t="s">
        <v>3889</v>
      </c>
      <c r="R1736" s="11" t="s">
        <v>3890</v>
      </c>
      <c r="S1736" s="16" t="s">
        <v>3891</v>
      </c>
      <c r="T1736" s="19" t="str">
        <f>MONTH(B1736)&amp;"-"&amp;YEAR(B1736)</f>
        <v>11-2024</v>
      </c>
      <c r="U1736" s="2">
        <f>YEAR(B1736)</f>
        <v>2024</v>
      </c>
      <c r="V1736" s="2" t="str">
        <f>IF(DAY(B1736)&gt;15,MONTH(B1736)&amp;"-C",MONTH(B1736)&amp;"-N")</f>
        <v>11-N</v>
      </c>
      <c r="W1736" s="21">
        <v>91.9</v>
      </c>
      <c r="X1736" s="2" t="b">
        <f t="shared" si="1060"/>
        <v>0</v>
      </c>
    </row>
    <row r="1737" spans="2:24" x14ac:dyDescent="0.2">
      <c r="B1737" s="17">
        <v>45615</v>
      </c>
      <c r="C1737" s="10" t="s">
        <v>107</v>
      </c>
      <c r="D1737" s="11">
        <v>174195</v>
      </c>
      <c r="E1737" s="26">
        <v>77749</v>
      </c>
      <c r="F1737" s="10" t="s">
        <v>103</v>
      </c>
      <c r="G1737" s="10" t="s">
        <v>3901</v>
      </c>
      <c r="H1737" s="27" t="s">
        <v>104</v>
      </c>
      <c r="I1737" s="28" t="s">
        <v>41</v>
      </c>
      <c r="J1737" s="12" t="s">
        <v>41</v>
      </c>
      <c r="K1737" s="13">
        <v>165</v>
      </c>
      <c r="L1737" s="21">
        <v>47.46</v>
      </c>
      <c r="M1737" s="14" t="s">
        <v>14</v>
      </c>
      <c r="N1737" s="13">
        <v>7830.9</v>
      </c>
      <c r="O1737" s="15">
        <v>0</v>
      </c>
      <c r="P1737" s="10" t="s">
        <v>84</v>
      </c>
      <c r="Q1737" s="11" t="s">
        <v>3905</v>
      </c>
      <c r="R1737" s="11" t="s">
        <v>3906</v>
      </c>
      <c r="S1737" s="16" t="s">
        <v>3907</v>
      </c>
      <c r="T1737" s="19" t="str">
        <f>MONTH(B1737)&amp;"-"&amp;YEAR(B1737)</f>
        <v>11-2024</v>
      </c>
      <c r="U1737" s="2">
        <f>YEAR(B1737)</f>
        <v>2024</v>
      </c>
      <c r="V1737" s="2" t="str">
        <f>IF(DAY(B1737)&gt;15,MONTH(B1737)&amp;"-C",MONTH(B1737)&amp;"-N")</f>
        <v>11-C</v>
      </c>
      <c r="W1737" s="21">
        <v>91.9</v>
      </c>
      <c r="X1737" s="2" t="b">
        <f t="shared" ref="X1737:X1738" si="1061">+L1737=W1737</f>
        <v>0</v>
      </c>
    </row>
    <row r="1738" spans="2:24" x14ac:dyDescent="0.2">
      <c r="B1738" s="17">
        <v>45615</v>
      </c>
      <c r="C1738" s="10" t="s">
        <v>107</v>
      </c>
      <c r="D1738" s="11">
        <v>174195</v>
      </c>
      <c r="E1738" s="26">
        <v>77749</v>
      </c>
      <c r="F1738" s="10" t="s">
        <v>105</v>
      </c>
      <c r="G1738" s="10" t="s">
        <v>3901</v>
      </c>
      <c r="H1738" s="27" t="s">
        <v>106</v>
      </c>
      <c r="I1738" s="28" t="s">
        <v>41</v>
      </c>
      <c r="J1738" s="12" t="s">
        <v>41</v>
      </c>
      <c r="K1738" s="13">
        <v>5940</v>
      </c>
      <c r="L1738" s="21">
        <v>11.72</v>
      </c>
      <c r="M1738" s="14" t="s">
        <v>14</v>
      </c>
      <c r="N1738" s="13">
        <v>69616.800000000003</v>
      </c>
      <c r="O1738" s="15">
        <v>0</v>
      </c>
      <c r="P1738" s="10" t="s">
        <v>84</v>
      </c>
      <c r="Q1738" s="11" t="s">
        <v>3905</v>
      </c>
      <c r="R1738" s="11" t="s">
        <v>3906</v>
      </c>
      <c r="S1738" s="16" t="s">
        <v>3907</v>
      </c>
      <c r="T1738" s="19" t="str">
        <f>MONTH(B1738)&amp;"-"&amp;YEAR(B1738)</f>
        <v>11-2024</v>
      </c>
      <c r="U1738" s="2">
        <f>YEAR(B1738)</f>
        <v>2024</v>
      </c>
      <c r="V1738" s="2" t="str">
        <f>IF(DAY(B1738)&gt;15,MONTH(B1738)&amp;"-C",MONTH(B1738)&amp;"-N")</f>
        <v>11-C</v>
      </c>
      <c r="W1738" s="21">
        <v>91.9</v>
      </c>
      <c r="X1738" s="2" t="b">
        <f t="shared" si="1061"/>
        <v>0</v>
      </c>
    </row>
    <row r="1739" spans="2:24" x14ac:dyDescent="0.2">
      <c r="B1739" s="17">
        <v>45617</v>
      </c>
      <c r="C1739" s="10" t="s">
        <v>73</v>
      </c>
      <c r="D1739" s="11">
        <v>174391</v>
      </c>
      <c r="E1739" s="26">
        <v>77782</v>
      </c>
      <c r="F1739" s="10" t="s">
        <v>399</v>
      </c>
      <c r="G1739" s="10" t="s">
        <v>3901</v>
      </c>
      <c r="H1739" s="27" t="s">
        <v>149</v>
      </c>
      <c r="I1739" s="28" t="s">
        <v>41</v>
      </c>
      <c r="J1739" s="12" t="s">
        <v>41</v>
      </c>
      <c r="K1739" s="13">
        <v>2010</v>
      </c>
      <c r="L1739" s="21">
        <v>16.8</v>
      </c>
      <c r="M1739" s="14" t="s">
        <v>14</v>
      </c>
      <c r="N1739" s="13">
        <v>33768</v>
      </c>
      <c r="O1739" s="15">
        <v>0</v>
      </c>
      <c r="P1739" s="10" t="s">
        <v>84</v>
      </c>
      <c r="Q1739" s="11" t="s">
        <v>3908</v>
      </c>
      <c r="R1739" s="11" t="s">
        <v>3909</v>
      </c>
      <c r="S1739" s="16" t="s">
        <v>3910</v>
      </c>
      <c r="T1739" s="19" t="str">
        <f>MONTH(B1739)&amp;"-"&amp;YEAR(B1739)</f>
        <v>11-2024</v>
      </c>
      <c r="U1739" s="2">
        <f>YEAR(B1739)</f>
        <v>2024</v>
      </c>
      <c r="V1739" s="2" t="str">
        <f>IF(DAY(B1739)&gt;15,MONTH(B1739)&amp;"-C",MONTH(B1739)&amp;"-N")</f>
        <v>11-C</v>
      </c>
      <c r="W1739" s="21">
        <v>91.9</v>
      </c>
      <c r="X1739" s="2" t="b">
        <f t="shared" ref="X1739:X1742" si="1062">+L1739=W1739</f>
        <v>0</v>
      </c>
    </row>
    <row r="1740" spans="2:24" x14ac:dyDescent="0.2">
      <c r="B1740" s="17">
        <v>45617</v>
      </c>
      <c r="C1740" s="10" t="s">
        <v>94</v>
      </c>
      <c r="D1740" s="11">
        <v>173531</v>
      </c>
      <c r="E1740" s="26">
        <v>77783</v>
      </c>
      <c r="F1740" s="10" t="s">
        <v>26</v>
      </c>
      <c r="G1740" s="10" t="s">
        <v>3885</v>
      </c>
      <c r="H1740" s="27" t="s">
        <v>28</v>
      </c>
      <c r="I1740" s="28" t="s">
        <v>41</v>
      </c>
      <c r="J1740" s="12" t="s">
        <v>41</v>
      </c>
      <c r="K1740" s="13">
        <v>18000</v>
      </c>
      <c r="L1740" s="21">
        <v>3.48</v>
      </c>
      <c r="M1740" s="14" t="s">
        <v>14</v>
      </c>
      <c r="N1740" s="13">
        <v>62640</v>
      </c>
      <c r="O1740" s="15">
        <v>0</v>
      </c>
      <c r="P1740" s="10" t="s">
        <v>78</v>
      </c>
      <c r="Q1740" s="11" t="s">
        <v>3914</v>
      </c>
      <c r="R1740" s="11" t="s">
        <v>3915</v>
      </c>
      <c r="S1740" s="16" t="s">
        <v>3916</v>
      </c>
      <c r="T1740" s="19" t="str">
        <f>MONTH(B1740)&amp;"-"&amp;YEAR(B1740)</f>
        <v>11-2024</v>
      </c>
      <c r="U1740" s="2">
        <f>YEAR(B1740)</f>
        <v>2024</v>
      </c>
      <c r="V1740" s="2" t="str">
        <f>IF(DAY(B1740)&gt;15,MONTH(B1740)&amp;"-C",MONTH(B1740)&amp;"-N")</f>
        <v>11-C</v>
      </c>
      <c r="W1740" s="21">
        <v>91.9</v>
      </c>
      <c r="X1740" s="2" t="b">
        <f t="shared" si="1062"/>
        <v>0</v>
      </c>
    </row>
    <row r="1741" spans="2:24" x14ac:dyDescent="0.2">
      <c r="B1741" s="17">
        <v>45617</v>
      </c>
      <c r="C1741" s="10" t="s">
        <v>25</v>
      </c>
      <c r="D1741" s="11">
        <v>174180</v>
      </c>
      <c r="E1741" s="26">
        <v>77784</v>
      </c>
      <c r="F1741" s="10" t="s">
        <v>31</v>
      </c>
      <c r="G1741" s="10" t="s">
        <v>3885</v>
      </c>
      <c r="H1741" s="27" t="s">
        <v>32</v>
      </c>
      <c r="I1741" s="28" t="s">
        <v>41</v>
      </c>
      <c r="J1741" s="12" t="s">
        <v>41</v>
      </c>
      <c r="K1741" s="13">
        <v>1280</v>
      </c>
      <c r="L1741" s="21">
        <v>4.3</v>
      </c>
      <c r="M1741" s="14" t="s">
        <v>14</v>
      </c>
      <c r="N1741" s="13">
        <v>5504</v>
      </c>
      <c r="O1741" s="15">
        <v>0</v>
      </c>
      <c r="P1741" s="10" t="s">
        <v>78</v>
      </c>
      <c r="Q1741" s="11" t="s">
        <v>3886</v>
      </c>
      <c r="R1741" s="11" t="s">
        <v>3887</v>
      </c>
      <c r="S1741" s="16" t="s">
        <v>3888</v>
      </c>
      <c r="T1741" s="19" t="str">
        <f>MONTH(B1741)&amp;"-"&amp;YEAR(B1741)</f>
        <v>11-2024</v>
      </c>
      <c r="U1741" s="2">
        <f>YEAR(B1741)</f>
        <v>2024</v>
      </c>
      <c r="V1741" s="2" t="str">
        <f>IF(DAY(B1741)&gt;15,MONTH(B1741)&amp;"-C",MONTH(B1741)&amp;"-N")</f>
        <v>11-C</v>
      </c>
      <c r="W1741" s="21">
        <v>91.9</v>
      </c>
      <c r="X1741" s="2" t="b">
        <f t="shared" si="1062"/>
        <v>0</v>
      </c>
    </row>
    <row r="1742" spans="2:24" x14ac:dyDescent="0.2">
      <c r="B1742" s="17">
        <v>45617</v>
      </c>
      <c r="C1742" s="10" t="s">
        <v>125</v>
      </c>
      <c r="D1742" s="11">
        <v>174452</v>
      </c>
      <c r="E1742" s="26">
        <v>77785</v>
      </c>
      <c r="F1742" s="10" t="s">
        <v>126</v>
      </c>
      <c r="G1742" s="10" t="s">
        <v>3885</v>
      </c>
      <c r="H1742" s="27">
        <v>0</v>
      </c>
      <c r="I1742" s="28" t="s">
        <v>41</v>
      </c>
      <c r="J1742" s="12" t="s">
        <v>41</v>
      </c>
      <c r="K1742" s="13">
        <v>4</v>
      </c>
      <c r="L1742" s="21">
        <v>310</v>
      </c>
      <c r="M1742" s="14" t="s">
        <v>14</v>
      </c>
      <c r="N1742" s="13">
        <v>1240</v>
      </c>
      <c r="O1742" s="15">
        <v>0</v>
      </c>
      <c r="P1742" s="10" t="s">
        <v>84</v>
      </c>
      <c r="Q1742" s="11" t="s">
        <v>4007</v>
      </c>
      <c r="R1742" s="11" t="s">
        <v>4008</v>
      </c>
      <c r="S1742" s="16" t="s">
        <v>4009</v>
      </c>
      <c r="T1742" s="19" t="str">
        <f>MONTH(B1742)&amp;"-"&amp;YEAR(B1742)</f>
        <v>11-2024</v>
      </c>
      <c r="U1742" s="2">
        <f>YEAR(B1742)</f>
        <v>2024</v>
      </c>
      <c r="V1742" s="2" t="str">
        <f>IF(DAY(B1742)&gt;15,MONTH(B1742)&amp;"-C",MONTH(B1742)&amp;"-N")</f>
        <v>11-C</v>
      </c>
      <c r="W1742" s="21">
        <v>91.9</v>
      </c>
      <c r="X1742" s="2" t="b">
        <f t="shared" si="1062"/>
        <v>0</v>
      </c>
    </row>
    <row r="1743" spans="2:24" x14ac:dyDescent="0.2">
      <c r="B1743" s="17">
        <v>45619</v>
      </c>
      <c r="C1743" s="10" t="s">
        <v>48</v>
      </c>
      <c r="D1743" s="11">
        <v>173480</v>
      </c>
      <c r="E1743" s="26">
        <v>77833</v>
      </c>
      <c r="F1743" s="10" t="s">
        <v>71</v>
      </c>
      <c r="G1743" s="10" t="s">
        <v>3901</v>
      </c>
      <c r="H1743" s="27" t="s">
        <v>72</v>
      </c>
      <c r="I1743" s="28" t="s">
        <v>41</v>
      </c>
      <c r="J1743" s="12" t="s">
        <v>41</v>
      </c>
      <c r="K1743" s="13">
        <v>1000</v>
      </c>
      <c r="L1743" s="21">
        <v>9.7780000000000005</v>
      </c>
      <c r="M1743" s="14" t="s">
        <v>14</v>
      </c>
      <c r="N1743" s="13">
        <v>9778.16</v>
      </c>
      <c r="O1743" s="15">
        <v>0</v>
      </c>
      <c r="P1743" s="10" t="s">
        <v>90</v>
      </c>
      <c r="Q1743" s="11" t="s">
        <v>3921</v>
      </c>
      <c r="R1743" s="11" t="s">
        <v>3922</v>
      </c>
      <c r="S1743" s="16" t="s">
        <v>3923</v>
      </c>
      <c r="T1743" s="19" t="str">
        <f>MONTH(B1743)&amp;"-"&amp;YEAR(B1743)</f>
        <v>11-2024</v>
      </c>
      <c r="U1743" s="2">
        <f>YEAR(B1743)</f>
        <v>2024</v>
      </c>
      <c r="V1743" s="2" t="str">
        <f>IF(DAY(B1743)&gt;15,MONTH(B1743)&amp;"-C",MONTH(B1743)&amp;"-N")</f>
        <v>11-C</v>
      </c>
      <c r="W1743" s="21">
        <v>91.9</v>
      </c>
      <c r="X1743" s="2" t="b">
        <f t="shared" ref="X1743:X1747" si="1063">+L1743=W1743</f>
        <v>0</v>
      </c>
    </row>
    <row r="1744" spans="2:24" x14ac:dyDescent="0.2">
      <c r="B1744" s="17">
        <v>45619</v>
      </c>
      <c r="C1744" s="10" t="s">
        <v>48</v>
      </c>
      <c r="D1744" s="11">
        <v>173237</v>
      </c>
      <c r="E1744" s="26">
        <v>77833</v>
      </c>
      <c r="F1744" s="10" t="s">
        <v>71</v>
      </c>
      <c r="G1744" s="10" t="s">
        <v>3901</v>
      </c>
      <c r="H1744" s="27" t="s">
        <v>72</v>
      </c>
      <c r="I1744" s="28" t="s">
        <v>41</v>
      </c>
      <c r="J1744" s="12" t="s">
        <v>41</v>
      </c>
      <c r="K1744" s="13">
        <v>400</v>
      </c>
      <c r="L1744" s="21">
        <v>9.7780000000000005</v>
      </c>
      <c r="M1744" s="14" t="s">
        <v>14</v>
      </c>
      <c r="N1744" s="13">
        <v>3911.2640000000001</v>
      </c>
      <c r="O1744" s="15">
        <v>0</v>
      </c>
      <c r="P1744" s="10" t="s">
        <v>90</v>
      </c>
      <c r="Q1744" s="11" t="s">
        <v>3921</v>
      </c>
      <c r="R1744" s="11" t="s">
        <v>3922</v>
      </c>
      <c r="S1744" s="16" t="s">
        <v>3923</v>
      </c>
      <c r="T1744" s="19" t="str">
        <f>MONTH(B1744)&amp;"-"&amp;YEAR(B1744)</f>
        <v>11-2024</v>
      </c>
      <c r="U1744" s="2">
        <f>YEAR(B1744)</f>
        <v>2024</v>
      </c>
      <c r="V1744" s="2" t="str">
        <f>IF(DAY(B1744)&gt;15,MONTH(B1744)&amp;"-C",MONTH(B1744)&amp;"-N")</f>
        <v>11-C</v>
      </c>
      <c r="W1744" s="21">
        <v>91.9</v>
      </c>
      <c r="X1744" s="2" t="b">
        <f t="shared" si="1063"/>
        <v>0</v>
      </c>
    </row>
    <row r="1745" spans="2:24" x14ac:dyDescent="0.2">
      <c r="B1745" s="17">
        <v>45619</v>
      </c>
      <c r="C1745" s="10" t="s">
        <v>48</v>
      </c>
      <c r="D1745" s="11">
        <v>173238</v>
      </c>
      <c r="E1745" s="26">
        <v>77833</v>
      </c>
      <c r="F1745" s="10" t="s">
        <v>71</v>
      </c>
      <c r="G1745" s="10" t="s">
        <v>3901</v>
      </c>
      <c r="H1745" s="27" t="s">
        <v>72</v>
      </c>
      <c r="I1745" s="28" t="s">
        <v>41</v>
      </c>
      <c r="J1745" s="12" t="s">
        <v>41</v>
      </c>
      <c r="K1745" s="13">
        <v>21600</v>
      </c>
      <c r="L1745" s="21">
        <v>9.7780000000000005</v>
      </c>
      <c r="M1745" s="14" t="s">
        <v>14</v>
      </c>
      <c r="N1745" s="13">
        <v>211208.25599999999</v>
      </c>
      <c r="O1745" s="15">
        <v>0</v>
      </c>
      <c r="P1745" s="10" t="s">
        <v>90</v>
      </c>
      <c r="Q1745" s="11" t="s">
        <v>3921</v>
      </c>
      <c r="R1745" s="11" t="s">
        <v>3922</v>
      </c>
      <c r="S1745" s="16" t="s">
        <v>3923</v>
      </c>
      <c r="T1745" s="19" t="str">
        <f>MONTH(B1745)&amp;"-"&amp;YEAR(B1745)</f>
        <v>11-2024</v>
      </c>
      <c r="U1745" s="2">
        <f>YEAR(B1745)</f>
        <v>2024</v>
      </c>
      <c r="V1745" s="2" t="str">
        <f>IF(DAY(B1745)&gt;15,MONTH(B1745)&amp;"-C",MONTH(B1745)&amp;"-N")</f>
        <v>11-C</v>
      </c>
      <c r="W1745" s="21">
        <v>91.9</v>
      </c>
      <c r="X1745" s="2" t="b">
        <f t="shared" si="1063"/>
        <v>0</v>
      </c>
    </row>
    <row r="1746" spans="2:24" x14ac:dyDescent="0.2">
      <c r="B1746" s="17">
        <v>45619</v>
      </c>
      <c r="C1746" s="10" t="s">
        <v>48</v>
      </c>
      <c r="D1746" s="11">
        <v>173238</v>
      </c>
      <c r="E1746" s="26">
        <v>77833</v>
      </c>
      <c r="F1746" s="10" t="s">
        <v>135</v>
      </c>
      <c r="G1746" s="10" t="s">
        <v>3901</v>
      </c>
      <c r="H1746" s="27" t="s">
        <v>136</v>
      </c>
      <c r="I1746" s="28" t="s">
        <v>41</v>
      </c>
      <c r="J1746" s="12" t="s">
        <v>41</v>
      </c>
      <c r="K1746" s="13">
        <v>4600</v>
      </c>
      <c r="L1746" s="21">
        <v>10.292999999999999</v>
      </c>
      <c r="M1746" s="14" t="s">
        <v>14</v>
      </c>
      <c r="N1746" s="13">
        <v>47346.879999999997</v>
      </c>
      <c r="O1746" s="15">
        <v>0</v>
      </c>
      <c r="P1746" s="10" t="s">
        <v>90</v>
      </c>
      <c r="Q1746" s="11" t="s">
        <v>3921</v>
      </c>
      <c r="R1746" s="11" t="s">
        <v>3922</v>
      </c>
      <c r="S1746" s="16" t="s">
        <v>3923</v>
      </c>
      <c r="T1746" s="19" t="str">
        <f>MONTH(B1746)&amp;"-"&amp;YEAR(B1746)</f>
        <v>11-2024</v>
      </c>
      <c r="U1746" s="2">
        <f>YEAR(B1746)</f>
        <v>2024</v>
      </c>
      <c r="V1746" s="2" t="str">
        <f>IF(DAY(B1746)&gt;15,MONTH(B1746)&amp;"-C",MONTH(B1746)&amp;"-N")</f>
        <v>11-C</v>
      </c>
      <c r="W1746" s="21">
        <v>91.9</v>
      </c>
      <c r="X1746" s="2" t="b">
        <f t="shared" si="1063"/>
        <v>0</v>
      </c>
    </row>
    <row r="1747" spans="2:24" x14ac:dyDescent="0.2">
      <c r="B1747" s="17">
        <v>45619</v>
      </c>
      <c r="C1747" s="10" t="s">
        <v>48</v>
      </c>
      <c r="D1747" s="11">
        <v>173480</v>
      </c>
      <c r="E1747" s="26">
        <v>77833</v>
      </c>
      <c r="F1747" s="10" t="s">
        <v>135</v>
      </c>
      <c r="G1747" s="10" t="s">
        <v>3901</v>
      </c>
      <c r="H1747" s="27" t="s">
        <v>136</v>
      </c>
      <c r="I1747" s="28" t="s">
        <v>41</v>
      </c>
      <c r="J1747" s="12" t="s">
        <v>41</v>
      </c>
      <c r="K1747" s="13">
        <v>4400</v>
      </c>
      <c r="L1747" s="21">
        <v>10.292999999999999</v>
      </c>
      <c r="M1747" s="14" t="s">
        <v>14</v>
      </c>
      <c r="N1747" s="13">
        <v>45288.32</v>
      </c>
      <c r="O1747" s="15">
        <v>0</v>
      </c>
      <c r="P1747" s="10" t="s">
        <v>90</v>
      </c>
      <c r="Q1747" s="11" t="s">
        <v>3921</v>
      </c>
      <c r="R1747" s="11" t="s">
        <v>3922</v>
      </c>
      <c r="S1747" s="16" t="s">
        <v>3923</v>
      </c>
      <c r="T1747" s="19" t="str">
        <f>MONTH(B1747)&amp;"-"&amp;YEAR(B1747)</f>
        <v>11-2024</v>
      </c>
      <c r="U1747" s="2">
        <f>YEAR(B1747)</f>
        <v>2024</v>
      </c>
      <c r="V1747" s="2" t="str">
        <f>IF(DAY(B1747)&gt;15,MONTH(B1747)&amp;"-C",MONTH(B1747)&amp;"-N")</f>
        <v>11-C</v>
      </c>
      <c r="W1747" s="21">
        <v>91.9</v>
      </c>
      <c r="X1747" s="2" t="b">
        <f t="shared" si="1063"/>
        <v>0</v>
      </c>
    </row>
    <row r="1748" spans="2:24" x14ac:dyDescent="0.2">
      <c r="B1748" s="17">
        <v>45622</v>
      </c>
      <c r="C1748" s="10" t="s">
        <v>82</v>
      </c>
      <c r="D1748" s="11">
        <v>174484</v>
      </c>
      <c r="E1748" s="26">
        <v>77883</v>
      </c>
      <c r="F1748" s="10" t="s">
        <v>26</v>
      </c>
      <c r="G1748" s="10" t="s">
        <v>3885</v>
      </c>
      <c r="H1748" s="27" t="s">
        <v>28</v>
      </c>
      <c r="I1748" s="28" t="s">
        <v>41</v>
      </c>
      <c r="J1748" s="12" t="s">
        <v>41</v>
      </c>
      <c r="K1748" s="13">
        <v>5400</v>
      </c>
      <c r="L1748" s="21">
        <v>3.38</v>
      </c>
      <c r="M1748" s="14" t="s">
        <v>14</v>
      </c>
      <c r="N1748" s="13">
        <v>18252</v>
      </c>
      <c r="O1748" s="15">
        <v>0</v>
      </c>
      <c r="P1748" s="10" t="s">
        <v>78</v>
      </c>
      <c r="Q1748" s="11" t="s">
        <v>3924</v>
      </c>
      <c r="R1748" s="11" t="s">
        <v>3925</v>
      </c>
      <c r="S1748" s="16" t="s">
        <v>3926</v>
      </c>
      <c r="T1748" s="19" t="str">
        <f>MONTH(B1748)&amp;"-"&amp;YEAR(B1748)</f>
        <v>11-2024</v>
      </c>
      <c r="U1748" s="2">
        <f>YEAR(B1748)</f>
        <v>2024</v>
      </c>
      <c r="V1748" s="2" t="str">
        <f>IF(DAY(B1748)&gt;15,MONTH(B1748)&amp;"-C",MONTH(B1748)&amp;"-N")</f>
        <v>11-C</v>
      </c>
      <c r="W1748" s="21">
        <v>91.9</v>
      </c>
      <c r="X1748" s="2" t="b">
        <f t="shared" ref="X1748" si="1064">+L1748=W1748</f>
        <v>0</v>
      </c>
    </row>
    <row r="1749" spans="2:24" x14ac:dyDescent="0.2">
      <c r="B1749" s="17">
        <v>45623</v>
      </c>
      <c r="C1749" s="10" t="s">
        <v>25</v>
      </c>
      <c r="D1749" s="11">
        <v>174180</v>
      </c>
      <c r="E1749" s="26">
        <v>77915</v>
      </c>
      <c r="F1749" s="10" t="s">
        <v>29</v>
      </c>
      <c r="G1749" s="10" t="s">
        <v>3885</v>
      </c>
      <c r="H1749" s="27" t="s">
        <v>30</v>
      </c>
      <c r="I1749" s="28" t="s">
        <v>41</v>
      </c>
      <c r="J1749" s="12" t="s">
        <v>41</v>
      </c>
      <c r="K1749" s="13">
        <v>660</v>
      </c>
      <c r="L1749" s="21">
        <v>3.9</v>
      </c>
      <c r="M1749" s="14" t="s">
        <v>14</v>
      </c>
      <c r="N1749" s="13">
        <v>2574</v>
      </c>
      <c r="O1749" s="15">
        <v>0</v>
      </c>
      <c r="P1749" s="10" t="s">
        <v>78</v>
      </c>
      <c r="Q1749" s="11" t="s">
        <v>3941</v>
      </c>
      <c r="R1749" s="11" t="s">
        <v>3942</v>
      </c>
      <c r="S1749" s="16" t="s">
        <v>3943</v>
      </c>
      <c r="T1749" s="19" t="str">
        <f>MONTH(B1749)&amp;"-"&amp;YEAR(B1749)</f>
        <v>11-2024</v>
      </c>
      <c r="U1749" s="2">
        <f>YEAR(B1749)</f>
        <v>2024</v>
      </c>
      <c r="V1749" s="2" t="str">
        <f>IF(DAY(B1749)&gt;15,MONTH(B1749)&amp;"-C",MONTH(B1749)&amp;"-N")</f>
        <v>11-C</v>
      </c>
      <c r="W1749" s="21">
        <v>91.9</v>
      </c>
      <c r="X1749" s="2" t="b">
        <f t="shared" ref="X1749:X1753" si="1065">+L1749=W1749</f>
        <v>0</v>
      </c>
    </row>
    <row r="1750" spans="2:24" x14ac:dyDescent="0.2">
      <c r="B1750" s="17">
        <v>45623</v>
      </c>
      <c r="C1750" s="10" t="s">
        <v>48</v>
      </c>
      <c r="D1750" s="11">
        <v>174481</v>
      </c>
      <c r="E1750" s="26">
        <v>77914</v>
      </c>
      <c r="F1750" s="10" t="s">
        <v>2552</v>
      </c>
      <c r="G1750" s="10" t="s">
        <v>3901</v>
      </c>
      <c r="H1750" s="27" t="s">
        <v>2553</v>
      </c>
      <c r="I1750" s="28" t="s">
        <v>41</v>
      </c>
      <c r="J1750" s="12" t="s">
        <v>41</v>
      </c>
      <c r="K1750" s="13">
        <v>5000</v>
      </c>
      <c r="L1750" s="21">
        <v>10.109</v>
      </c>
      <c r="M1750" s="14" t="s">
        <v>14</v>
      </c>
      <c r="N1750" s="13">
        <v>50545</v>
      </c>
      <c r="O1750" s="15">
        <v>0</v>
      </c>
      <c r="P1750" s="10" t="s">
        <v>84</v>
      </c>
      <c r="Q1750" s="11" t="s">
        <v>3947</v>
      </c>
      <c r="R1750" s="11" t="s">
        <v>3948</v>
      </c>
      <c r="S1750" s="16" t="s">
        <v>3949</v>
      </c>
      <c r="T1750" s="19" t="str">
        <f>MONTH(B1750)&amp;"-"&amp;YEAR(B1750)</f>
        <v>11-2024</v>
      </c>
      <c r="U1750" s="2">
        <f>YEAR(B1750)</f>
        <v>2024</v>
      </c>
      <c r="V1750" s="2" t="str">
        <f>IF(DAY(B1750)&gt;15,MONTH(B1750)&amp;"-C",MONTH(B1750)&amp;"-N")</f>
        <v>11-C</v>
      </c>
      <c r="W1750" s="21">
        <v>91.9</v>
      </c>
      <c r="X1750" s="2" t="b">
        <f t="shared" si="1065"/>
        <v>0</v>
      </c>
    </row>
    <row r="1751" spans="2:24" x14ac:dyDescent="0.2">
      <c r="B1751" s="17">
        <v>45624</v>
      </c>
      <c r="C1751" s="10" t="s">
        <v>82</v>
      </c>
      <c r="D1751" s="11">
        <v>174484</v>
      </c>
      <c r="E1751" s="26">
        <v>77936</v>
      </c>
      <c r="F1751" s="10" t="s">
        <v>26</v>
      </c>
      <c r="G1751" s="10" t="s">
        <v>3885</v>
      </c>
      <c r="H1751" s="27" t="s">
        <v>28</v>
      </c>
      <c r="I1751" s="28" t="s">
        <v>41</v>
      </c>
      <c r="J1751" s="12" t="s">
        <v>41</v>
      </c>
      <c r="K1751" s="13">
        <v>1800</v>
      </c>
      <c r="L1751" s="21">
        <v>3.38</v>
      </c>
      <c r="M1751" s="14" t="s">
        <v>14</v>
      </c>
      <c r="N1751" s="13">
        <v>6084</v>
      </c>
      <c r="O1751" s="15">
        <v>0</v>
      </c>
      <c r="P1751" s="10" t="s">
        <v>78</v>
      </c>
      <c r="Q1751" s="11" t="s">
        <v>3933</v>
      </c>
      <c r="R1751" s="11" t="s">
        <v>4010</v>
      </c>
      <c r="S1751" s="16" t="s">
        <v>3934</v>
      </c>
      <c r="T1751" s="19" t="str">
        <f>MONTH(B1751)&amp;"-"&amp;YEAR(B1751)</f>
        <v>11-2024</v>
      </c>
      <c r="U1751" s="2">
        <f>YEAR(B1751)</f>
        <v>2024</v>
      </c>
      <c r="V1751" s="2" t="str">
        <f>IF(DAY(B1751)&gt;15,MONTH(B1751)&amp;"-C",MONTH(B1751)&amp;"-N")</f>
        <v>11-C</v>
      </c>
      <c r="W1751" s="21">
        <v>91.9</v>
      </c>
      <c r="X1751" s="2" t="b">
        <f t="shared" si="1065"/>
        <v>0</v>
      </c>
    </row>
    <row r="1752" spans="2:24" x14ac:dyDescent="0.2">
      <c r="B1752" s="17">
        <v>45624</v>
      </c>
      <c r="C1752" s="10" t="s">
        <v>82</v>
      </c>
      <c r="D1752" s="11">
        <v>174484</v>
      </c>
      <c r="E1752" s="26">
        <v>77940</v>
      </c>
      <c r="F1752" s="10" t="s">
        <v>26</v>
      </c>
      <c r="G1752" s="10" t="s">
        <v>3885</v>
      </c>
      <c r="H1752" s="27" t="s">
        <v>28</v>
      </c>
      <c r="I1752" s="28" t="s">
        <v>41</v>
      </c>
      <c r="J1752" s="12" t="s">
        <v>41</v>
      </c>
      <c r="K1752" s="13">
        <v>3600</v>
      </c>
      <c r="L1752" s="21">
        <v>3.38</v>
      </c>
      <c r="M1752" s="14" t="s">
        <v>14</v>
      </c>
      <c r="N1752" s="13">
        <v>12168</v>
      </c>
      <c r="O1752" s="15">
        <v>0</v>
      </c>
      <c r="P1752" s="10" t="s">
        <v>78</v>
      </c>
      <c r="Q1752" s="11" t="s">
        <v>3930</v>
      </c>
      <c r="R1752" s="11" t="s">
        <v>3931</v>
      </c>
      <c r="S1752" s="16" t="s">
        <v>3932</v>
      </c>
      <c r="T1752" s="19" t="str">
        <f>MONTH(B1752)&amp;"-"&amp;YEAR(B1752)</f>
        <v>11-2024</v>
      </c>
      <c r="U1752" s="2">
        <f>YEAR(B1752)</f>
        <v>2024</v>
      </c>
      <c r="V1752" s="2" t="str">
        <f>IF(DAY(B1752)&gt;15,MONTH(B1752)&amp;"-C",MONTH(B1752)&amp;"-N")</f>
        <v>11-C</v>
      </c>
      <c r="W1752" s="21">
        <v>91.9</v>
      </c>
      <c r="X1752" s="2" t="b">
        <f t="shared" si="1065"/>
        <v>0</v>
      </c>
    </row>
    <row r="1753" spans="2:24" x14ac:dyDescent="0.2">
      <c r="B1753" s="17">
        <v>45624</v>
      </c>
      <c r="C1753" s="10" t="s">
        <v>25</v>
      </c>
      <c r="D1753" s="11">
        <v>174180</v>
      </c>
      <c r="E1753" s="26">
        <v>77938</v>
      </c>
      <c r="F1753" s="10" t="s">
        <v>29</v>
      </c>
      <c r="G1753" s="10" t="s">
        <v>3885</v>
      </c>
      <c r="H1753" s="27" t="s">
        <v>30</v>
      </c>
      <c r="I1753" s="28" t="s">
        <v>41</v>
      </c>
      <c r="J1753" s="12" t="s">
        <v>41</v>
      </c>
      <c r="K1753" s="13">
        <v>1980</v>
      </c>
      <c r="L1753" s="21">
        <v>3.9</v>
      </c>
      <c r="M1753" s="14" t="s">
        <v>14</v>
      </c>
      <c r="N1753" s="13">
        <v>7722</v>
      </c>
      <c r="O1753" s="15">
        <v>0</v>
      </c>
      <c r="P1753" s="10" t="s">
        <v>78</v>
      </c>
      <c r="Q1753" s="11" t="s">
        <v>3944</v>
      </c>
      <c r="R1753" s="11" t="s">
        <v>3945</v>
      </c>
      <c r="S1753" s="16" t="s">
        <v>3946</v>
      </c>
      <c r="T1753" s="19" t="str">
        <f>MONTH(B1753)&amp;"-"&amp;YEAR(B1753)</f>
        <v>11-2024</v>
      </c>
      <c r="U1753" s="2">
        <f>YEAR(B1753)</f>
        <v>2024</v>
      </c>
      <c r="V1753" s="2" t="str">
        <f>IF(DAY(B1753)&gt;15,MONTH(B1753)&amp;"-C",MONTH(B1753)&amp;"-N")</f>
        <v>11-C</v>
      </c>
      <c r="W1753" s="21">
        <v>91.9</v>
      </c>
      <c r="X1753" s="2" t="b">
        <f t="shared" si="1065"/>
        <v>0</v>
      </c>
    </row>
    <row r="1754" spans="2:24" x14ac:dyDescent="0.2">
      <c r="B1754" s="17">
        <v>45625</v>
      </c>
      <c r="C1754" s="10" t="s">
        <v>82</v>
      </c>
      <c r="D1754" s="11">
        <v>174484</v>
      </c>
      <c r="E1754" s="26">
        <v>77972</v>
      </c>
      <c r="F1754" s="10" t="s">
        <v>26</v>
      </c>
      <c r="G1754" s="10" t="s">
        <v>3885</v>
      </c>
      <c r="H1754" s="27" t="s">
        <v>28</v>
      </c>
      <c r="I1754" s="28" t="s">
        <v>41</v>
      </c>
      <c r="J1754" s="12" t="s">
        <v>41</v>
      </c>
      <c r="K1754" s="13">
        <v>4500</v>
      </c>
      <c r="L1754" s="21">
        <v>3.38</v>
      </c>
      <c r="M1754" s="14" t="s">
        <v>14</v>
      </c>
      <c r="N1754" s="13">
        <v>15210</v>
      </c>
      <c r="O1754" s="15">
        <v>0</v>
      </c>
      <c r="P1754" s="10" t="s">
        <v>78</v>
      </c>
      <c r="Q1754" s="11" t="s">
        <v>3935</v>
      </c>
      <c r="R1754" s="11" t="s">
        <v>3936</v>
      </c>
      <c r="S1754" s="16" t="s">
        <v>3937</v>
      </c>
      <c r="T1754" s="19" t="str">
        <f>MONTH(B1754)&amp;"-"&amp;YEAR(B1754)</f>
        <v>11-2024</v>
      </c>
      <c r="U1754" s="2">
        <f>YEAR(B1754)</f>
        <v>2024</v>
      </c>
      <c r="V1754" s="2" t="str">
        <f>IF(DAY(B1754)&gt;15,MONTH(B1754)&amp;"-C",MONTH(B1754)&amp;"-N")</f>
        <v>11-C</v>
      </c>
      <c r="W1754" s="21">
        <v>91.9</v>
      </c>
      <c r="X1754" s="2" t="b">
        <f t="shared" ref="X1754" si="1066">+L1754=W1754</f>
        <v>0</v>
      </c>
    </row>
    <row r="1755" spans="2:24" x14ac:dyDescent="0.2">
      <c r="B1755" s="17">
        <v>45626</v>
      </c>
      <c r="C1755" s="10" t="s">
        <v>82</v>
      </c>
      <c r="D1755" s="11">
        <v>174484</v>
      </c>
      <c r="E1755" s="26">
        <v>78000</v>
      </c>
      <c r="F1755" s="10" t="s">
        <v>26</v>
      </c>
      <c r="G1755" s="10" t="s">
        <v>3885</v>
      </c>
      <c r="H1755" s="27" t="s">
        <v>28</v>
      </c>
      <c r="I1755" s="28" t="s">
        <v>41</v>
      </c>
      <c r="J1755" s="12" t="s">
        <v>41</v>
      </c>
      <c r="K1755" s="13">
        <v>9000</v>
      </c>
      <c r="L1755" s="21">
        <v>3.38</v>
      </c>
      <c r="M1755" s="14" t="s">
        <v>14</v>
      </c>
      <c r="N1755" s="13">
        <v>30420</v>
      </c>
      <c r="O1755" s="15">
        <v>0</v>
      </c>
      <c r="P1755" s="10" t="s">
        <v>78</v>
      </c>
      <c r="Q1755" s="11" t="s">
        <v>3938</v>
      </c>
      <c r="R1755" s="11" t="s">
        <v>3939</v>
      </c>
      <c r="S1755" s="16" t="s">
        <v>3940</v>
      </c>
      <c r="T1755" s="19" t="str">
        <f>MONTH(B1755)&amp;"-"&amp;YEAR(B1755)</f>
        <v>11-2024</v>
      </c>
      <c r="U1755" s="2">
        <f>YEAR(B1755)</f>
        <v>2024</v>
      </c>
      <c r="V1755" s="2" t="str">
        <f>IF(DAY(B1755)&gt;15,MONTH(B1755)&amp;"-C",MONTH(B1755)&amp;"-N")</f>
        <v>11-C</v>
      </c>
      <c r="W1755" s="21">
        <v>91.9</v>
      </c>
      <c r="X1755" s="2" t="b">
        <f t="shared" ref="X1755:X1757" si="1067">+L1755=W1755</f>
        <v>0</v>
      </c>
    </row>
    <row r="1756" spans="2:24" x14ac:dyDescent="0.2">
      <c r="B1756" s="17">
        <v>45626</v>
      </c>
      <c r="C1756" s="10" t="s">
        <v>82</v>
      </c>
      <c r="D1756" s="11">
        <v>174534</v>
      </c>
      <c r="E1756" s="26">
        <v>78000</v>
      </c>
      <c r="F1756" s="10" t="s">
        <v>33</v>
      </c>
      <c r="G1756" s="10" t="s">
        <v>3885</v>
      </c>
      <c r="H1756" s="27" t="s">
        <v>34</v>
      </c>
      <c r="I1756" s="28" t="s">
        <v>41</v>
      </c>
      <c r="J1756" s="12" t="s">
        <v>41</v>
      </c>
      <c r="K1756" s="13">
        <v>720</v>
      </c>
      <c r="L1756" s="21">
        <v>5.75</v>
      </c>
      <c r="M1756" s="14" t="s">
        <v>14</v>
      </c>
      <c r="N1756" s="13">
        <v>4140</v>
      </c>
      <c r="O1756" s="15">
        <v>0</v>
      </c>
      <c r="P1756" s="10" t="s">
        <v>78</v>
      </c>
      <c r="Q1756" s="11" t="s">
        <v>3938</v>
      </c>
      <c r="R1756" s="11" t="s">
        <v>3939</v>
      </c>
      <c r="S1756" s="16" t="s">
        <v>3940</v>
      </c>
      <c r="T1756" s="19" t="str">
        <f>MONTH(B1756)&amp;"-"&amp;YEAR(B1756)</f>
        <v>11-2024</v>
      </c>
      <c r="U1756" s="2">
        <f>YEAR(B1756)</f>
        <v>2024</v>
      </c>
      <c r="V1756" s="2" t="str">
        <f>IF(DAY(B1756)&gt;15,MONTH(B1756)&amp;"-C",MONTH(B1756)&amp;"-N")</f>
        <v>11-C</v>
      </c>
      <c r="W1756" s="21">
        <v>91.9</v>
      </c>
      <c r="X1756" s="2" t="b">
        <f t="shared" si="1067"/>
        <v>0</v>
      </c>
    </row>
    <row r="1757" spans="2:24" x14ac:dyDescent="0.2">
      <c r="B1757" s="17">
        <v>45626</v>
      </c>
      <c r="C1757" s="10" t="s">
        <v>82</v>
      </c>
      <c r="D1757" s="11">
        <v>174534</v>
      </c>
      <c r="E1757" s="26">
        <v>78000</v>
      </c>
      <c r="F1757" s="10" t="s">
        <v>31</v>
      </c>
      <c r="G1757" s="10" t="s">
        <v>3885</v>
      </c>
      <c r="H1757" s="27" t="s">
        <v>32</v>
      </c>
      <c r="I1757" s="28" t="s">
        <v>41</v>
      </c>
      <c r="J1757" s="12" t="s">
        <v>41</v>
      </c>
      <c r="K1757" s="13">
        <v>640</v>
      </c>
      <c r="L1757" s="21">
        <v>5</v>
      </c>
      <c r="M1757" s="14" t="s">
        <v>14</v>
      </c>
      <c r="N1757" s="13">
        <v>3200</v>
      </c>
      <c r="O1757" s="15">
        <v>0</v>
      </c>
      <c r="P1757" s="10" t="s">
        <v>78</v>
      </c>
      <c r="Q1757" s="11" t="s">
        <v>3938</v>
      </c>
      <c r="R1757" s="11" t="s">
        <v>3939</v>
      </c>
      <c r="S1757" s="16" t="s">
        <v>3940</v>
      </c>
      <c r="T1757" s="19" t="str">
        <f>MONTH(B1757)&amp;"-"&amp;YEAR(B1757)</f>
        <v>11-2024</v>
      </c>
      <c r="U1757" s="2">
        <f>YEAR(B1757)</f>
        <v>2024</v>
      </c>
      <c r="V1757" s="2" t="str">
        <f>IF(DAY(B1757)&gt;15,MONTH(B1757)&amp;"-C",MONTH(B1757)&amp;"-N")</f>
        <v>11-C</v>
      </c>
      <c r="W1757" s="21">
        <v>91.9</v>
      </c>
      <c r="X1757" s="2" t="b">
        <f t="shared" si="1067"/>
        <v>0</v>
      </c>
    </row>
    <row r="1758" spans="2:24" x14ac:dyDescent="0.2">
      <c r="B1758" s="17">
        <v>45626</v>
      </c>
      <c r="C1758" s="10" t="s">
        <v>82</v>
      </c>
      <c r="D1758" s="11">
        <v>174484</v>
      </c>
      <c r="E1758" s="26">
        <v>78010</v>
      </c>
      <c r="F1758" s="10" t="s">
        <v>26</v>
      </c>
      <c r="G1758" s="10" t="s">
        <v>3885</v>
      </c>
      <c r="H1758" s="27" t="s">
        <v>28</v>
      </c>
      <c r="I1758" s="28" t="s">
        <v>41</v>
      </c>
      <c r="J1758" s="12" t="s">
        <v>41</v>
      </c>
      <c r="K1758" s="13">
        <v>10800</v>
      </c>
      <c r="L1758" s="21">
        <v>3.38</v>
      </c>
      <c r="M1758" s="14" t="s">
        <v>14</v>
      </c>
      <c r="N1758" s="13">
        <v>36504</v>
      </c>
      <c r="O1758" s="15">
        <v>0</v>
      </c>
      <c r="P1758" s="10" t="s">
        <v>78</v>
      </c>
      <c r="Q1758" s="11" t="s">
        <v>3927</v>
      </c>
      <c r="R1758" s="11" t="s">
        <v>3928</v>
      </c>
      <c r="S1758" s="16" t="s">
        <v>3929</v>
      </c>
      <c r="T1758" s="19" t="str">
        <f>MONTH(B1758)&amp;"-"&amp;YEAR(B1758)</f>
        <v>11-2024</v>
      </c>
      <c r="U1758" s="2">
        <f>YEAR(B1758)</f>
        <v>2024</v>
      </c>
      <c r="V1758" s="2" t="str">
        <f>IF(DAY(B1758)&gt;15,MONTH(B1758)&amp;"-C",MONTH(B1758)&amp;"-N")</f>
        <v>11-C</v>
      </c>
      <c r="W1758" s="21">
        <v>91.9</v>
      </c>
      <c r="X1758" s="2" t="b">
        <f t="shared" ref="X1758:X1759" si="1068">+L1758=W1758</f>
        <v>0</v>
      </c>
    </row>
    <row r="1759" spans="2:24" x14ac:dyDescent="0.2">
      <c r="B1759" s="17">
        <v>45629</v>
      </c>
      <c r="C1759" s="10" t="s">
        <v>82</v>
      </c>
      <c r="D1759" s="11">
        <v>174484</v>
      </c>
      <c r="E1759" s="26">
        <v>78015</v>
      </c>
      <c r="F1759" s="10" t="s">
        <v>26</v>
      </c>
      <c r="G1759" s="10" t="s">
        <v>3885</v>
      </c>
      <c r="H1759" s="27" t="s">
        <v>28</v>
      </c>
      <c r="I1759" s="28" t="s">
        <v>41</v>
      </c>
      <c r="J1759" s="12" t="s">
        <v>41</v>
      </c>
      <c r="K1759" s="13">
        <v>4500</v>
      </c>
      <c r="L1759" s="21">
        <v>3.38</v>
      </c>
      <c r="M1759" s="14" t="s">
        <v>14</v>
      </c>
      <c r="N1759" s="13">
        <v>15210</v>
      </c>
      <c r="O1759" s="15">
        <v>0</v>
      </c>
      <c r="P1759" s="10" t="s">
        <v>78</v>
      </c>
      <c r="Q1759" s="11" t="s">
        <v>3950</v>
      </c>
      <c r="R1759" s="11" t="s">
        <v>3951</v>
      </c>
      <c r="S1759" s="16" t="s">
        <v>3952</v>
      </c>
      <c r="T1759" s="19" t="str">
        <f>MONTH(B1759)&amp;"-"&amp;YEAR(B1759)</f>
        <v>12-2024</v>
      </c>
      <c r="U1759" s="2">
        <f>YEAR(B1759)</f>
        <v>2024</v>
      </c>
      <c r="V1759" s="2" t="str">
        <f>IF(DAY(B1759)&gt;15,MONTH(B1759)&amp;"-C",MONTH(B1759)&amp;"-N")</f>
        <v>12-N</v>
      </c>
      <c r="W1759" s="21">
        <v>91.9</v>
      </c>
      <c r="X1759" s="2" t="b">
        <f t="shared" si="1068"/>
        <v>0</v>
      </c>
    </row>
    <row r="1760" spans="2:24" x14ac:dyDescent="0.2">
      <c r="B1760" s="17">
        <v>45631</v>
      </c>
      <c r="C1760" s="10" t="s">
        <v>107</v>
      </c>
      <c r="D1760" s="11">
        <v>174540</v>
      </c>
      <c r="E1760" s="26">
        <v>78044</v>
      </c>
      <c r="F1760" s="10" t="s">
        <v>105</v>
      </c>
      <c r="G1760" s="10" t="s">
        <v>3901</v>
      </c>
      <c r="H1760" s="27" t="s">
        <v>106</v>
      </c>
      <c r="I1760" s="28" t="s">
        <v>41</v>
      </c>
      <c r="J1760" s="12" t="s">
        <v>41</v>
      </c>
      <c r="K1760" s="13">
        <v>6160</v>
      </c>
      <c r="L1760" s="21">
        <v>11.72</v>
      </c>
      <c r="M1760" s="14" t="s">
        <v>14</v>
      </c>
      <c r="N1760" s="13">
        <v>72195.199999999997</v>
      </c>
      <c r="O1760" s="15">
        <v>0</v>
      </c>
      <c r="P1760" s="10" t="s">
        <v>84</v>
      </c>
      <c r="Q1760" s="11" t="s">
        <v>3953</v>
      </c>
      <c r="R1760" s="11" t="s">
        <v>3954</v>
      </c>
      <c r="S1760" s="16" t="s">
        <v>3955</v>
      </c>
      <c r="T1760" s="19" t="str">
        <f>MONTH(B1760)&amp;"-"&amp;YEAR(B1760)</f>
        <v>12-2024</v>
      </c>
      <c r="U1760" s="2">
        <f>YEAR(B1760)</f>
        <v>2024</v>
      </c>
      <c r="V1760" s="2" t="str">
        <f>IF(DAY(B1760)&gt;15,MONTH(B1760)&amp;"-C",MONTH(B1760)&amp;"-N")</f>
        <v>12-N</v>
      </c>
      <c r="W1760" s="21">
        <v>91.9</v>
      </c>
      <c r="X1760" s="2" t="b">
        <f t="shared" ref="X1760:X1762" si="1069">+L1760=W1760</f>
        <v>0</v>
      </c>
    </row>
    <row r="1761" spans="2:24" x14ac:dyDescent="0.2">
      <c r="B1761" s="17">
        <v>45631</v>
      </c>
      <c r="C1761" s="10" t="s">
        <v>107</v>
      </c>
      <c r="D1761" s="11">
        <v>174540</v>
      </c>
      <c r="E1761" s="26">
        <v>78044</v>
      </c>
      <c r="F1761" s="10" t="s">
        <v>103</v>
      </c>
      <c r="G1761" s="10" t="s">
        <v>3901</v>
      </c>
      <c r="H1761" s="27" t="s">
        <v>104</v>
      </c>
      <c r="I1761" s="28" t="s">
        <v>41</v>
      </c>
      <c r="J1761" s="12" t="s">
        <v>41</v>
      </c>
      <c r="K1761" s="13">
        <v>185</v>
      </c>
      <c r="L1761" s="21">
        <v>47.46</v>
      </c>
      <c r="M1761" s="14" t="s">
        <v>14</v>
      </c>
      <c r="N1761" s="13">
        <v>8780.1</v>
      </c>
      <c r="O1761" s="15">
        <v>0</v>
      </c>
      <c r="P1761" s="10" t="s">
        <v>84</v>
      </c>
      <c r="Q1761" s="11" t="s">
        <v>3953</v>
      </c>
      <c r="R1761" s="11" t="s">
        <v>3954</v>
      </c>
      <c r="S1761" s="16" t="s">
        <v>3955</v>
      </c>
      <c r="T1761" s="19" t="str">
        <f>MONTH(B1761)&amp;"-"&amp;YEAR(B1761)</f>
        <v>12-2024</v>
      </c>
      <c r="U1761" s="2">
        <f>YEAR(B1761)</f>
        <v>2024</v>
      </c>
      <c r="V1761" s="2" t="str">
        <f>IF(DAY(B1761)&gt;15,MONTH(B1761)&amp;"-C",MONTH(B1761)&amp;"-N")</f>
        <v>12-N</v>
      </c>
      <c r="W1761" s="21">
        <v>91.9</v>
      </c>
      <c r="X1761" s="2" t="b">
        <f t="shared" si="1069"/>
        <v>0</v>
      </c>
    </row>
    <row r="1762" spans="2:24" x14ac:dyDescent="0.2">
      <c r="B1762" s="17">
        <v>45632</v>
      </c>
      <c r="C1762" s="10" t="s">
        <v>82</v>
      </c>
      <c r="D1762" s="11">
        <v>174484</v>
      </c>
      <c r="E1762" s="26">
        <v>78062</v>
      </c>
      <c r="F1762" s="10" t="s">
        <v>26</v>
      </c>
      <c r="G1762" s="10" t="s">
        <v>3885</v>
      </c>
      <c r="H1762" s="27" t="s">
        <v>28</v>
      </c>
      <c r="I1762" s="28" t="s">
        <v>41</v>
      </c>
      <c r="J1762" s="12" t="s">
        <v>41</v>
      </c>
      <c r="K1762" s="13">
        <v>9000</v>
      </c>
      <c r="L1762" s="21">
        <v>3.38</v>
      </c>
      <c r="M1762" s="14" t="s">
        <v>14</v>
      </c>
      <c r="N1762" s="13">
        <v>30420</v>
      </c>
      <c r="O1762" s="15">
        <v>0</v>
      </c>
      <c r="P1762" s="10" t="s">
        <v>78</v>
      </c>
      <c r="Q1762" s="11" t="s">
        <v>3956</v>
      </c>
      <c r="R1762" s="11" t="s">
        <v>3957</v>
      </c>
      <c r="S1762" s="16" t="s">
        <v>3958</v>
      </c>
      <c r="T1762" s="19" t="str">
        <f>MONTH(B1762)&amp;"-"&amp;YEAR(B1762)</f>
        <v>12-2024</v>
      </c>
      <c r="U1762" s="2">
        <f>YEAR(B1762)</f>
        <v>2024</v>
      </c>
      <c r="V1762" s="2" t="str">
        <f>IF(DAY(B1762)&gt;15,MONTH(B1762)&amp;"-C",MONTH(B1762)&amp;"-N")</f>
        <v>12-N</v>
      </c>
      <c r="W1762" s="21">
        <v>91.9</v>
      </c>
      <c r="X1762" s="2" t="b">
        <f t="shared" si="1069"/>
        <v>0</v>
      </c>
    </row>
    <row r="1763" spans="2:24" x14ac:dyDescent="0.2">
      <c r="B1763" s="17">
        <v>45633</v>
      </c>
      <c r="C1763" s="10" t="s">
        <v>82</v>
      </c>
      <c r="D1763" s="11">
        <v>174484</v>
      </c>
      <c r="E1763" s="26">
        <v>78071</v>
      </c>
      <c r="F1763" s="10" t="s">
        <v>26</v>
      </c>
      <c r="G1763" s="10" t="s">
        <v>3885</v>
      </c>
      <c r="H1763" s="27" t="s">
        <v>28</v>
      </c>
      <c r="I1763" s="28" t="s">
        <v>41</v>
      </c>
      <c r="J1763" s="12" t="s">
        <v>41</v>
      </c>
      <c r="K1763" s="13">
        <v>8100</v>
      </c>
      <c r="L1763" s="21">
        <v>3.38</v>
      </c>
      <c r="M1763" s="14" t="s">
        <v>14</v>
      </c>
      <c r="N1763" s="13">
        <v>27378</v>
      </c>
      <c r="O1763" s="15">
        <v>0</v>
      </c>
      <c r="P1763" s="10" t="s">
        <v>78</v>
      </c>
      <c r="Q1763" s="11" t="s">
        <v>3959</v>
      </c>
      <c r="R1763" s="11" t="s">
        <v>3960</v>
      </c>
      <c r="S1763" s="16" t="s">
        <v>3961</v>
      </c>
      <c r="T1763" s="19" t="str">
        <f>MONTH(B1763)&amp;"-"&amp;YEAR(B1763)</f>
        <v>12-2024</v>
      </c>
      <c r="U1763" s="2">
        <f>YEAR(B1763)</f>
        <v>2024</v>
      </c>
      <c r="V1763" s="2" t="str">
        <f>IF(DAY(B1763)&gt;15,MONTH(B1763)&amp;"-C",MONTH(B1763)&amp;"-N")</f>
        <v>12-N</v>
      </c>
      <c r="W1763" s="21">
        <v>91.9</v>
      </c>
      <c r="X1763" s="2" t="b">
        <f t="shared" ref="X1763:X1764" si="1070">+L1763=W1763</f>
        <v>0</v>
      </c>
    </row>
    <row r="1764" spans="2:24" x14ac:dyDescent="0.2">
      <c r="B1764" s="17">
        <v>45635</v>
      </c>
      <c r="C1764" s="10" t="s">
        <v>82</v>
      </c>
      <c r="D1764" s="11">
        <v>174484</v>
      </c>
      <c r="E1764" s="26">
        <v>78101</v>
      </c>
      <c r="F1764" s="10" t="s">
        <v>26</v>
      </c>
      <c r="G1764" s="10" t="s">
        <v>3885</v>
      </c>
      <c r="H1764" s="27" t="s">
        <v>28</v>
      </c>
      <c r="I1764" s="28" t="s">
        <v>41</v>
      </c>
      <c r="J1764" s="12" t="s">
        <v>41</v>
      </c>
      <c r="K1764" s="13">
        <v>2700</v>
      </c>
      <c r="L1764" s="21">
        <v>3.38</v>
      </c>
      <c r="M1764" s="14" t="s">
        <v>14</v>
      </c>
      <c r="N1764" s="13">
        <v>9126</v>
      </c>
      <c r="O1764" s="15">
        <v>0</v>
      </c>
      <c r="P1764" s="10" t="s">
        <v>78</v>
      </c>
      <c r="Q1764" s="11" t="s">
        <v>3962</v>
      </c>
      <c r="R1764" s="11" t="s">
        <v>3963</v>
      </c>
      <c r="S1764" s="16" t="s">
        <v>3964</v>
      </c>
      <c r="T1764" s="19" t="str">
        <f>MONTH(B1764)&amp;"-"&amp;YEAR(B1764)</f>
        <v>12-2024</v>
      </c>
      <c r="U1764" s="2">
        <f>YEAR(B1764)</f>
        <v>2024</v>
      </c>
      <c r="V1764" s="2" t="str">
        <f>IF(DAY(B1764)&gt;15,MONTH(B1764)&amp;"-C",MONTH(B1764)&amp;"-N")</f>
        <v>12-N</v>
      </c>
      <c r="W1764" s="21">
        <v>91.9</v>
      </c>
      <c r="X1764" s="2" t="b">
        <f t="shared" si="1070"/>
        <v>0</v>
      </c>
    </row>
    <row r="1765" spans="2:24" x14ac:dyDescent="0.2">
      <c r="B1765" s="17">
        <v>45637</v>
      </c>
      <c r="C1765" s="10" t="s">
        <v>82</v>
      </c>
      <c r="D1765" s="11">
        <v>174642</v>
      </c>
      <c r="E1765" s="26">
        <v>78151</v>
      </c>
      <c r="F1765" s="10" t="s">
        <v>33</v>
      </c>
      <c r="G1765" s="10" t="s">
        <v>3885</v>
      </c>
      <c r="H1765" s="27" t="s">
        <v>34</v>
      </c>
      <c r="I1765" s="28" t="s">
        <v>41</v>
      </c>
      <c r="J1765" s="12" t="s">
        <v>41</v>
      </c>
      <c r="K1765" s="13">
        <v>720</v>
      </c>
      <c r="L1765" s="21">
        <v>5.75</v>
      </c>
      <c r="M1765" s="14" t="s">
        <v>14</v>
      </c>
      <c r="N1765" s="13">
        <v>4140</v>
      </c>
      <c r="O1765" s="15">
        <v>0</v>
      </c>
      <c r="P1765" s="10" t="s">
        <v>78</v>
      </c>
      <c r="Q1765" s="11" t="s">
        <v>3965</v>
      </c>
      <c r="R1765" s="11" t="s">
        <v>3966</v>
      </c>
      <c r="S1765" s="16" t="s">
        <v>3967</v>
      </c>
      <c r="T1765" s="19" t="str">
        <f>MONTH(B1765)&amp;"-"&amp;YEAR(B1765)</f>
        <v>12-2024</v>
      </c>
      <c r="U1765" s="2">
        <f>YEAR(B1765)</f>
        <v>2024</v>
      </c>
      <c r="V1765" s="2" t="str">
        <f>IF(DAY(B1765)&gt;15,MONTH(B1765)&amp;"-C",MONTH(B1765)&amp;"-N")</f>
        <v>12-N</v>
      </c>
      <c r="W1765" s="21">
        <v>91.9</v>
      </c>
      <c r="X1765" s="2" t="b">
        <f t="shared" ref="X1765:X1766" si="1071">+L1765=W1765</f>
        <v>0</v>
      </c>
    </row>
    <row r="1766" spans="2:24" x14ac:dyDescent="0.2">
      <c r="B1766" s="17">
        <v>45637</v>
      </c>
      <c r="C1766" s="10" t="s">
        <v>82</v>
      </c>
      <c r="D1766" s="11">
        <v>174642</v>
      </c>
      <c r="E1766" s="26">
        <v>78151</v>
      </c>
      <c r="F1766" s="10" t="s">
        <v>31</v>
      </c>
      <c r="G1766" s="10" t="s">
        <v>3885</v>
      </c>
      <c r="H1766" s="27" t="s">
        <v>32</v>
      </c>
      <c r="I1766" s="28" t="s">
        <v>41</v>
      </c>
      <c r="J1766" s="12" t="s">
        <v>41</v>
      </c>
      <c r="K1766" s="13">
        <v>640</v>
      </c>
      <c r="L1766" s="21">
        <v>5</v>
      </c>
      <c r="M1766" s="14" t="s">
        <v>14</v>
      </c>
      <c r="N1766" s="13">
        <v>3200</v>
      </c>
      <c r="O1766" s="15">
        <v>0</v>
      </c>
      <c r="P1766" s="10" t="s">
        <v>78</v>
      </c>
      <c r="Q1766" s="11" t="s">
        <v>3965</v>
      </c>
      <c r="R1766" s="11" t="s">
        <v>3966</v>
      </c>
      <c r="S1766" s="16" t="s">
        <v>3967</v>
      </c>
      <c r="T1766" s="19" t="str">
        <f>MONTH(B1766)&amp;"-"&amp;YEAR(B1766)</f>
        <v>12-2024</v>
      </c>
      <c r="U1766" s="2">
        <f>YEAR(B1766)</f>
        <v>2024</v>
      </c>
      <c r="V1766" s="2" t="str">
        <f>IF(DAY(B1766)&gt;15,MONTH(B1766)&amp;"-C",MONTH(B1766)&amp;"-N")</f>
        <v>12-N</v>
      </c>
      <c r="W1766" s="21">
        <v>91.9</v>
      </c>
      <c r="X1766" s="2" t="b">
        <f t="shared" si="1071"/>
        <v>0</v>
      </c>
    </row>
    <row r="1767" spans="2:24" x14ac:dyDescent="0.2">
      <c r="B1767" s="17">
        <v>45638</v>
      </c>
      <c r="C1767" s="10" t="s">
        <v>73</v>
      </c>
      <c r="D1767" s="11">
        <v>174391</v>
      </c>
      <c r="E1767" s="26">
        <v>78159</v>
      </c>
      <c r="F1767" s="10" t="s">
        <v>399</v>
      </c>
      <c r="G1767" s="10" t="s">
        <v>3901</v>
      </c>
      <c r="H1767" s="27" t="s">
        <v>149</v>
      </c>
      <c r="I1767" s="28" t="s">
        <v>41</v>
      </c>
      <c r="J1767" s="12" t="s">
        <v>41</v>
      </c>
      <c r="K1767" s="13">
        <v>1990</v>
      </c>
      <c r="L1767" s="21">
        <v>16.8</v>
      </c>
      <c r="M1767" s="14" t="s">
        <v>14</v>
      </c>
      <c r="N1767" s="13">
        <v>33432</v>
      </c>
      <c r="O1767" s="15">
        <v>0</v>
      </c>
      <c r="P1767" s="10" t="s">
        <v>84</v>
      </c>
      <c r="Q1767" s="11" t="s">
        <v>3968</v>
      </c>
      <c r="R1767" s="11" t="s">
        <v>3969</v>
      </c>
      <c r="S1767" s="16" t="s">
        <v>3970</v>
      </c>
      <c r="T1767" s="19" t="str">
        <f>MONTH(B1767)&amp;"-"&amp;YEAR(B1767)</f>
        <v>12-2024</v>
      </c>
      <c r="U1767" s="2">
        <f>YEAR(B1767)</f>
        <v>2024</v>
      </c>
      <c r="V1767" s="2" t="str">
        <f>IF(DAY(B1767)&gt;15,MONTH(B1767)&amp;"-C",MONTH(B1767)&amp;"-N")</f>
        <v>12-N</v>
      </c>
      <c r="W1767" s="21">
        <v>91.9</v>
      </c>
      <c r="X1767" s="2" t="b">
        <f t="shared" ref="X1767:X1774" si="1072">+L1767=W1767</f>
        <v>0</v>
      </c>
    </row>
    <row r="1768" spans="2:24" x14ac:dyDescent="0.2">
      <c r="B1768" s="17">
        <v>45638</v>
      </c>
      <c r="C1768" s="10" t="s">
        <v>73</v>
      </c>
      <c r="D1768" s="11">
        <v>174661</v>
      </c>
      <c r="E1768" s="26">
        <v>78159</v>
      </c>
      <c r="F1768" s="10" t="s">
        <v>399</v>
      </c>
      <c r="G1768" s="10" t="s">
        <v>3901</v>
      </c>
      <c r="H1768" s="27" t="s">
        <v>149</v>
      </c>
      <c r="I1768" s="28" t="s">
        <v>41</v>
      </c>
      <c r="J1768" s="12" t="s">
        <v>41</v>
      </c>
      <c r="K1768" s="13">
        <v>20</v>
      </c>
      <c r="L1768" s="21">
        <v>16.8</v>
      </c>
      <c r="M1768" s="14" t="s">
        <v>14</v>
      </c>
      <c r="N1768" s="13">
        <v>336</v>
      </c>
      <c r="O1768" s="15">
        <v>0</v>
      </c>
      <c r="P1768" s="10" t="s">
        <v>84</v>
      </c>
      <c r="Q1768" s="11" t="s">
        <v>3968</v>
      </c>
      <c r="R1768" s="11" t="s">
        <v>3969</v>
      </c>
      <c r="S1768" s="16" t="s">
        <v>3970</v>
      </c>
      <c r="T1768" s="19" t="str">
        <f>MONTH(B1768)&amp;"-"&amp;YEAR(B1768)</f>
        <v>12-2024</v>
      </c>
      <c r="U1768" s="2">
        <f>YEAR(B1768)</f>
        <v>2024</v>
      </c>
      <c r="V1768" s="2" t="str">
        <f>IF(DAY(B1768)&gt;15,MONTH(B1768)&amp;"-C",MONTH(B1768)&amp;"-N")</f>
        <v>12-N</v>
      </c>
      <c r="W1768" s="21">
        <v>91.9</v>
      </c>
      <c r="X1768" s="2" t="b">
        <f t="shared" si="1072"/>
        <v>0</v>
      </c>
    </row>
    <row r="1769" spans="2:24" x14ac:dyDescent="0.2">
      <c r="B1769" s="17">
        <v>45639</v>
      </c>
      <c r="C1769" s="10" t="s">
        <v>25</v>
      </c>
      <c r="D1769" s="11">
        <v>174654</v>
      </c>
      <c r="E1769" s="26">
        <v>78187</v>
      </c>
      <c r="F1769" s="10" t="s">
        <v>26</v>
      </c>
      <c r="G1769" s="10" t="s">
        <v>3885</v>
      </c>
      <c r="H1769" s="27" t="s">
        <v>28</v>
      </c>
      <c r="I1769" s="28" t="s">
        <v>41</v>
      </c>
      <c r="J1769" s="12" t="s">
        <v>41</v>
      </c>
      <c r="K1769" s="13">
        <v>10400</v>
      </c>
      <c r="L1769" s="21">
        <v>3.05</v>
      </c>
      <c r="M1769" s="14" t="s">
        <v>14</v>
      </c>
      <c r="N1769" s="13">
        <v>31720</v>
      </c>
      <c r="O1769" s="15">
        <v>0</v>
      </c>
      <c r="P1769" s="10" t="s">
        <v>78</v>
      </c>
      <c r="Q1769" s="11" t="s">
        <v>3971</v>
      </c>
      <c r="R1769" s="11" t="s">
        <v>3972</v>
      </c>
      <c r="S1769" s="16" t="s">
        <v>3973</v>
      </c>
      <c r="T1769" s="19" t="str">
        <f>MONTH(B1769)&amp;"-"&amp;YEAR(B1769)</f>
        <v>12-2024</v>
      </c>
      <c r="U1769" s="2">
        <f>YEAR(B1769)</f>
        <v>2024</v>
      </c>
      <c r="V1769" s="2" t="str">
        <f>IF(DAY(B1769)&gt;15,MONTH(B1769)&amp;"-C",MONTH(B1769)&amp;"-N")</f>
        <v>12-N</v>
      </c>
      <c r="W1769" s="21">
        <v>91.9</v>
      </c>
      <c r="X1769" s="2" t="b">
        <f t="shared" si="1072"/>
        <v>0</v>
      </c>
    </row>
    <row r="1770" spans="2:24" x14ac:dyDescent="0.2">
      <c r="B1770" s="17">
        <v>45639</v>
      </c>
      <c r="C1770" s="10" t="s">
        <v>25</v>
      </c>
      <c r="D1770" s="11">
        <v>173900</v>
      </c>
      <c r="E1770" s="26">
        <v>78186</v>
      </c>
      <c r="F1770" s="10" t="s">
        <v>26</v>
      </c>
      <c r="G1770" s="10" t="s">
        <v>3885</v>
      </c>
      <c r="H1770" s="27" t="s">
        <v>28</v>
      </c>
      <c r="I1770" s="28" t="s">
        <v>41</v>
      </c>
      <c r="J1770" s="12" t="s">
        <v>41</v>
      </c>
      <c r="K1770" s="13">
        <v>11200</v>
      </c>
      <c r="L1770" s="21">
        <v>3.48</v>
      </c>
      <c r="M1770" s="14" t="s">
        <v>14</v>
      </c>
      <c r="N1770" s="13">
        <v>38976</v>
      </c>
      <c r="O1770" s="15">
        <v>0</v>
      </c>
      <c r="P1770" s="10" t="s">
        <v>78</v>
      </c>
      <c r="Q1770" s="11" t="s">
        <v>3974</v>
      </c>
      <c r="R1770" s="11" t="s">
        <v>3975</v>
      </c>
      <c r="S1770" s="16" t="s">
        <v>3976</v>
      </c>
      <c r="T1770" s="19" t="str">
        <f>MONTH(B1770)&amp;"-"&amp;YEAR(B1770)</f>
        <v>12-2024</v>
      </c>
      <c r="U1770" s="2">
        <f>YEAR(B1770)</f>
        <v>2024</v>
      </c>
      <c r="V1770" s="2" t="str">
        <f>IF(DAY(B1770)&gt;15,MONTH(B1770)&amp;"-C",MONTH(B1770)&amp;"-N")</f>
        <v>12-N</v>
      </c>
      <c r="W1770" s="21">
        <v>91.9</v>
      </c>
      <c r="X1770" s="2" t="b">
        <f t="shared" si="1072"/>
        <v>0</v>
      </c>
    </row>
    <row r="1771" spans="2:24" x14ac:dyDescent="0.2">
      <c r="B1771" s="17">
        <v>45641</v>
      </c>
      <c r="C1771" s="10" t="s">
        <v>2630</v>
      </c>
      <c r="D1771" s="11">
        <v>174670</v>
      </c>
      <c r="E1771" s="26">
        <v>78205</v>
      </c>
      <c r="F1771" s="10" t="s">
        <v>31</v>
      </c>
      <c r="G1771" s="10" t="s">
        <v>3885</v>
      </c>
      <c r="H1771" s="27" t="s">
        <v>32</v>
      </c>
      <c r="I1771" s="28" t="s">
        <v>41</v>
      </c>
      <c r="J1771" s="12" t="s">
        <v>41</v>
      </c>
      <c r="K1771" s="13">
        <v>1920</v>
      </c>
      <c r="L1771" s="21">
        <v>3.4</v>
      </c>
      <c r="M1771" s="14" t="s">
        <v>14</v>
      </c>
      <c r="N1771" s="13">
        <v>6528</v>
      </c>
      <c r="O1771" s="15">
        <v>0</v>
      </c>
      <c r="P1771" s="10" t="s">
        <v>78</v>
      </c>
      <c r="Q1771" s="11" t="s">
        <v>3977</v>
      </c>
      <c r="R1771" s="11" t="s">
        <v>3978</v>
      </c>
      <c r="S1771" s="16" t="s">
        <v>3979</v>
      </c>
      <c r="T1771" s="19" t="str">
        <f>MONTH(B1771)&amp;"-"&amp;YEAR(B1771)</f>
        <v>12-2024</v>
      </c>
      <c r="U1771" s="2">
        <f>YEAR(B1771)</f>
        <v>2024</v>
      </c>
      <c r="V1771" s="2" t="str">
        <f>IF(DAY(B1771)&gt;15,MONTH(B1771)&amp;"-C",MONTH(B1771)&amp;"-N")</f>
        <v>12-N</v>
      </c>
      <c r="W1771" s="21">
        <v>91.9</v>
      </c>
      <c r="X1771" s="2" t="b">
        <f t="shared" si="1072"/>
        <v>0</v>
      </c>
    </row>
    <row r="1772" spans="2:24" x14ac:dyDescent="0.2">
      <c r="B1772" s="17">
        <v>45641</v>
      </c>
      <c r="C1772" s="10" t="s">
        <v>2630</v>
      </c>
      <c r="D1772" s="11">
        <v>174670</v>
      </c>
      <c r="E1772" s="26">
        <v>78205</v>
      </c>
      <c r="F1772" s="10" t="s">
        <v>49</v>
      </c>
      <c r="G1772" s="10" t="s">
        <v>3885</v>
      </c>
      <c r="H1772" s="27" t="s">
        <v>50</v>
      </c>
      <c r="I1772" s="28" t="s">
        <v>41</v>
      </c>
      <c r="J1772" s="12" t="s">
        <v>41</v>
      </c>
      <c r="K1772" s="13">
        <v>380</v>
      </c>
      <c r="L1772" s="21">
        <v>5</v>
      </c>
      <c r="M1772" s="14" t="s">
        <v>14</v>
      </c>
      <c r="N1772" s="13">
        <v>1900</v>
      </c>
      <c r="O1772" s="15">
        <v>0</v>
      </c>
      <c r="P1772" s="10" t="s">
        <v>78</v>
      </c>
      <c r="Q1772" s="11" t="s">
        <v>3977</v>
      </c>
      <c r="R1772" s="11" t="s">
        <v>3978</v>
      </c>
      <c r="S1772" s="16" t="s">
        <v>3979</v>
      </c>
      <c r="T1772" s="19" t="str">
        <f>MONTH(B1772)&amp;"-"&amp;YEAR(B1772)</f>
        <v>12-2024</v>
      </c>
      <c r="U1772" s="2">
        <f>YEAR(B1772)</f>
        <v>2024</v>
      </c>
      <c r="V1772" s="2" t="str">
        <f>IF(DAY(B1772)&gt;15,MONTH(B1772)&amp;"-C",MONTH(B1772)&amp;"-N")</f>
        <v>12-N</v>
      </c>
      <c r="W1772" s="21">
        <v>91.9</v>
      </c>
      <c r="X1772" s="2" t="b">
        <f t="shared" si="1072"/>
        <v>0</v>
      </c>
    </row>
    <row r="1773" spans="2:24" x14ac:dyDescent="0.2">
      <c r="B1773" s="17">
        <v>45641</v>
      </c>
      <c r="C1773" s="10" t="s">
        <v>107</v>
      </c>
      <c r="D1773" s="11">
        <v>174611</v>
      </c>
      <c r="E1773" s="26">
        <v>78156</v>
      </c>
      <c r="F1773" s="10" t="s">
        <v>105</v>
      </c>
      <c r="G1773" s="10" t="s">
        <v>3901</v>
      </c>
      <c r="H1773" s="27" t="s">
        <v>106</v>
      </c>
      <c r="I1773" s="28" t="s">
        <v>41</v>
      </c>
      <c r="J1773" s="12" t="s">
        <v>41</v>
      </c>
      <c r="K1773" s="13">
        <v>6160</v>
      </c>
      <c r="L1773" s="21">
        <v>11.72</v>
      </c>
      <c r="M1773" s="14" t="s">
        <v>14</v>
      </c>
      <c r="N1773" s="13">
        <v>72195.199999999997</v>
      </c>
      <c r="O1773" s="15">
        <v>0</v>
      </c>
      <c r="P1773" s="10" t="s">
        <v>84</v>
      </c>
      <c r="Q1773" s="11" t="s">
        <v>3980</v>
      </c>
      <c r="R1773" s="11" t="s">
        <v>3981</v>
      </c>
      <c r="S1773" s="16" t="s">
        <v>3982</v>
      </c>
      <c r="T1773" s="19" t="str">
        <f>MONTH(B1773)&amp;"-"&amp;YEAR(B1773)</f>
        <v>12-2024</v>
      </c>
      <c r="U1773" s="2">
        <f>YEAR(B1773)</f>
        <v>2024</v>
      </c>
      <c r="V1773" s="2" t="str">
        <f>IF(DAY(B1773)&gt;15,MONTH(B1773)&amp;"-C",MONTH(B1773)&amp;"-N")</f>
        <v>12-N</v>
      </c>
      <c r="W1773" s="21">
        <v>91.9</v>
      </c>
      <c r="X1773" s="2" t="b">
        <f t="shared" si="1072"/>
        <v>0</v>
      </c>
    </row>
    <row r="1774" spans="2:24" x14ac:dyDescent="0.2">
      <c r="B1774" s="17">
        <v>45641</v>
      </c>
      <c r="C1774" s="10" t="s">
        <v>2630</v>
      </c>
      <c r="D1774" s="11">
        <v>174670</v>
      </c>
      <c r="E1774" s="26">
        <v>78205</v>
      </c>
      <c r="F1774" s="10" t="s">
        <v>33</v>
      </c>
      <c r="G1774" s="10" t="s">
        <v>3885</v>
      </c>
      <c r="H1774" s="27" t="s">
        <v>34</v>
      </c>
      <c r="I1774" s="28" t="s">
        <v>41</v>
      </c>
      <c r="J1774" s="12" t="s">
        <v>41</v>
      </c>
      <c r="K1774" s="13">
        <v>2400</v>
      </c>
      <c r="L1774" s="21">
        <v>4.95</v>
      </c>
      <c r="M1774" s="14" t="s">
        <v>14</v>
      </c>
      <c r="N1774" s="13">
        <v>11880</v>
      </c>
      <c r="O1774" s="15">
        <v>0</v>
      </c>
      <c r="P1774" s="10" t="s">
        <v>78</v>
      </c>
      <c r="Q1774" s="11" t="s">
        <v>3977</v>
      </c>
      <c r="R1774" s="11" t="s">
        <v>3978</v>
      </c>
      <c r="S1774" s="16" t="s">
        <v>3979</v>
      </c>
      <c r="T1774" s="19" t="str">
        <f>MONTH(B1774)&amp;"-"&amp;YEAR(B1774)</f>
        <v>12-2024</v>
      </c>
      <c r="U1774" s="2">
        <f>YEAR(B1774)</f>
        <v>2024</v>
      </c>
      <c r="V1774" s="2" t="str">
        <f>IF(DAY(B1774)&gt;15,MONTH(B1774)&amp;"-C",MONTH(B1774)&amp;"-N")</f>
        <v>12-N</v>
      </c>
      <c r="W1774" s="21">
        <v>91.9</v>
      </c>
      <c r="X1774" s="2" t="b">
        <f t="shared" si="1072"/>
        <v>0</v>
      </c>
    </row>
    <row r="1775" spans="2:24" x14ac:dyDescent="0.2">
      <c r="B1775" s="17">
        <v>45641</v>
      </c>
      <c r="C1775" s="10" t="s">
        <v>2630</v>
      </c>
      <c r="D1775" s="11">
        <v>174670</v>
      </c>
      <c r="E1775" s="26">
        <v>78205</v>
      </c>
      <c r="F1775" s="10" t="s">
        <v>29</v>
      </c>
      <c r="G1775" s="10" t="s">
        <v>3885</v>
      </c>
      <c r="H1775" s="27" t="s">
        <v>30</v>
      </c>
      <c r="I1775" s="28" t="s">
        <v>41</v>
      </c>
      <c r="J1775" s="12" t="s">
        <v>41</v>
      </c>
      <c r="K1775" s="13">
        <v>1980</v>
      </c>
      <c r="L1775" s="21">
        <v>3.55</v>
      </c>
      <c r="M1775" s="14" t="s">
        <v>14</v>
      </c>
      <c r="N1775" s="13">
        <v>7029</v>
      </c>
      <c r="O1775" s="15">
        <v>0</v>
      </c>
      <c r="P1775" s="10" t="s">
        <v>78</v>
      </c>
      <c r="Q1775" s="11" t="s">
        <v>3977</v>
      </c>
      <c r="R1775" s="11" t="s">
        <v>3978</v>
      </c>
      <c r="S1775" s="16" t="s">
        <v>3979</v>
      </c>
      <c r="T1775" s="19" t="str">
        <f>MONTH(B1775)&amp;"-"&amp;YEAR(B1775)</f>
        <v>12-2024</v>
      </c>
      <c r="U1775" s="2">
        <f>YEAR(B1775)</f>
        <v>2024</v>
      </c>
      <c r="V1775" s="2" t="str">
        <f>IF(DAY(B1775)&gt;15,MONTH(B1775)&amp;"-C",MONTH(B1775)&amp;"-N")</f>
        <v>12-N</v>
      </c>
      <c r="W1775" s="21">
        <v>91.9</v>
      </c>
      <c r="X1775" s="2" t="b">
        <f t="shared" ref="X1775:X1778" si="1073">+L1775=W1775</f>
        <v>0</v>
      </c>
    </row>
    <row r="1776" spans="2:24" x14ac:dyDescent="0.2">
      <c r="B1776" s="17">
        <v>45641</v>
      </c>
      <c r="C1776" s="10" t="s">
        <v>107</v>
      </c>
      <c r="D1776" s="11">
        <v>174611</v>
      </c>
      <c r="E1776" s="26">
        <v>78156</v>
      </c>
      <c r="F1776" s="10" t="s">
        <v>103</v>
      </c>
      <c r="G1776" s="10" t="s">
        <v>3901</v>
      </c>
      <c r="H1776" s="27" t="s">
        <v>104</v>
      </c>
      <c r="I1776" s="28" t="s">
        <v>41</v>
      </c>
      <c r="J1776" s="12" t="s">
        <v>41</v>
      </c>
      <c r="K1776" s="13">
        <v>185</v>
      </c>
      <c r="L1776" s="21">
        <v>47.46</v>
      </c>
      <c r="M1776" s="14" t="s">
        <v>14</v>
      </c>
      <c r="N1776" s="13">
        <v>8780.1</v>
      </c>
      <c r="O1776" s="15">
        <v>0</v>
      </c>
      <c r="P1776" s="10" t="s">
        <v>84</v>
      </c>
      <c r="Q1776" s="11" t="s">
        <v>3980</v>
      </c>
      <c r="R1776" s="11" t="s">
        <v>3981</v>
      </c>
      <c r="S1776" s="16" t="s">
        <v>3982</v>
      </c>
      <c r="T1776" s="19" t="str">
        <f>MONTH(B1776)&amp;"-"&amp;YEAR(B1776)</f>
        <v>12-2024</v>
      </c>
      <c r="U1776" s="2">
        <f>YEAR(B1776)</f>
        <v>2024</v>
      </c>
      <c r="V1776" s="2" t="str">
        <f>IF(DAY(B1776)&gt;15,MONTH(B1776)&amp;"-C",MONTH(B1776)&amp;"-N")</f>
        <v>12-N</v>
      </c>
      <c r="W1776" s="21">
        <v>91.9</v>
      </c>
      <c r="X1776" s="2" t="b">
        <f t="shared" si="1073"/>
        <v>0</v>
      </c>
    </row>
    <row r="1777" spans="2:24" x14ac:dyDescent="0.2">
      <c r="B1777" s="17">
        <v>45642</v>
      </c>
      <c r="C1777" s="10" t="s">
        <v>88</v>
      </c>
      <c r="D1777" s="11">
        <v>174662</v>
      </c>
      <c r="E1777" s="26">
        <v>78211</v>
      </c>
      <c r="F1777" s="10" t="s">
        <v>100</v>
      </c>
      <c r="G1777" s="10" t="s">
        <v>3901</v>
      </c>
      <c r="H1777" s="27" t="s">
        <v>101</v>
      </c>
      <c r="I1777" s="28" t="s">
        <v>41</v>
      </c>
      <c r="J1777" s="12" t="s">
        <v>41</v>
      </c>
      <c r="K1777" s="13">
        <v>2000</v>
      </c>
      <c r="L1777" s="21">
        <v>13.22</v>
      </c>
      <c r="M1777" s="14" t="s">
        <v>14</v>
      </c>
      <c r="N1777" s="13">
        <v>26440</v>
      </c>
      <c r="O1777" s="15">
        <v>0</v>
      </c>
      <c r="P1777" s="10" t="s">
        <v>84</v>
      </c>
      <c r="Q1777" s="11" t="s">
        <v>3983</v>
      </c>
      <c r="R1777" s="11" t="s">
        <v>3984</v>
      </c>
      <c r="S1777" s="16" t="s">
        <v>3985</v>
      </c>
      <c r="T1777" s="19" t="str">
        <f>MONTH(B1777)&amp;"-"&amp;YEAR(B1777)</f>
        <v>12-2024</v>
      </c>
      <c r="U1777" s="2">
        <f>YEAR(B1777)</f>
        <v>2024</v>
      </c>
      <c r="V1777" s="2" t="str">
        <f>IF(DAY(B1777)&gt;15,MONTH(B1777)&amp;"-C",MONTH(B1777)&amp;"-N")</f>
        <v>12-C</v>
      </c>
      <c r="W1777" s="21">
        <v>91.9</v>
      </c>
      <c r="X1777" s="2" t="b">
        <f t="shared" si="1073"/>
        <v>0</v>
      </c>
    </row>
    <row r="1778" spans="2:24" x14ac:dyDescent="0.2">
      <c r="B1778" s="17">
        <v>45642</v>
      </c>
      <c r="C1778" s="10" t="s">
        <v>88</v>
      </c>
      <c r="D1778" s="11">
        <v>174662</v>
      </c>
      <c r="E1778" s="26">
        <v>78211</v>
      </c>
      <c r="F1778" s="10" t="s">
        <v>98</v>
      </c>
      <c r="G1778" s="10" t="s">
        <v>3901</v>
      </c>
      <c r="H1778" s="27" t="s">
        <v>99</v>
      </c>
      <c r="I1778" s="28" t="s">
        <v>41</v>
      </c>
      <c r="J1778" s="12" t="s">
        <v>41</v>
      </c>
      <c r="K1778" s="13">
        <v>40</v>
      </c>
      <c r="L1778" s="21">
        <v>11.25</v>
      </c>
      <c r="M1778" s="14" t="s">
        <v>14</v>
      </c>
      <c r="N1778" s="13">
        <v>450</v>
      </c>
      <c r="O1778" s="15">
        <v>0</v>
      </c>
      <c r="P1778" s="10" t="s">
        <v>84</v>
      </c>
      <c r="Q1778" s="11" t="s">
        <v>3983</v>
      </c>
      <c r="R1778" s="11" t="s">
        <v>3984</v>
      </c>
      <c r="S1778" s="16" t="s">
        <v>3985</v>
      </c>
      <c r="T1778" s="19" t="str">
        <f>MONTH(B1778)&amp;"-"&amp;YEAR(B1778)</f>
        <v>12-2024</v>
      </c>
      <c r="U1778" s="2">
        <f>YEAR(B1778)</f>
        <v>2024</v>
      </c>
      <c r="V1778" s="2" t="str">
        <f>IF(DAY(B1778)&gt;15,MONTH(B1778)&amp;"-C",MONTH(B1778)&amp;"-N")</f>
        <v>12-C</v>
      </c>
      <c r="W1778" s="21">
        <v>91.9</v>
      </c>
      <c r="X1778" s="2" t="b">
        <f t="shared" si="1073"/>
        <v>0</v>
      </c>
    </row>
    <row r="1779" spans="2:24" x14ac:dyDescent="0.2">
      <c r="B1779" s="17">
        <v>45644</v>
      </c>
      <c r="C1779" s="10" t="s">
        <v>25</v>
      </c>
      <c r="D1779" s="11">
        <v>174654</v>
      </c>
      <c r="E1779" s="26">
        <v>78260</v>
      </c>
      <c r="F1779" s="10" t="s">
        <v>26</v>
      </c>
      <c r="G1779" s="10" t="s">
        <v>3885</v>
      </c>
      <c r="H1779" s="27" t="s">
        <v>28</v>
      </c>
      <c r="I1779" s="28" t="s">
        <v>41</v>
      </c>
      <c r="J1779" s="12" t="s">
        <v>41</v>
      </c>
      <c r="K1779" s="13">
        <v>19800</v>
      </c>
      <c r="L1779" s="21">
        <v>3.05</v>
      </c>
      <c r="M1779" s="14" t="s">
        <v>14</v>
      </c>
      <c r="N1779" s="13">
        <v>60390</v>
      </c>
      <c r="O1779" s="15">
        <v>0</v>
      </c>
      <c r="P1779" s="10" t="s">
        <v>78</v>
      </c>
      <c r="Q1779" s="11" t="s">
        <v>3986</v>
      </c>
      <c r="R1779" s="11" t="s">
        <v>3987</v>
      </c>
      <c r="S1779" s="16" t="s">
        <v>3988</v>
      </c>
      <c r="T1779" s="19" t="str">
        <f>MONTH(B1779)&amp;"-"&amp;YEAR(B1779)</f>
        <v>12-2024</v>
      </c>
      <c r="U1779" s="2">
        <f>YEAR(B1779)</f>
        <v>2024</v>
      </c>
      <c r="V1779" s="2" t="str">
        <f>IF(DAY(B1779)&gt;15,MONTH(B1779)&amp;"-C",MONTH(B1779)&amp;"-N")</f>
        <v>12-C</v>
      </c>
      <c r="W1779" s="21">
        <v>91.9</v>
      </c>
      <c r="X1779" s="2" t="b">
        <f t="shared" ref="X1779" si="1074">+L1779=W1779</f>
        <v>0</v>
      </c>
    </row>
    <row r="1780" spans="2:24" x14ac:dyDescent="0.2">
      <c r="B1780" s="17">
        <v>45649</v>
      </c>
      <c r="C1780" s="10" t="s">
        <v>48</v>
      </c>
      <c r="D1780" s="11">
        <v>173480</v>
      </c>
      <c r="E1780" s="26">
        <v>78411</v>
      </c>
      <c r="F1780" s="10" t="s">
        <v>2552</v>
      </c>
      <c r="G1780" s="10" t="s">
        <v>3901</v>
      </c>
      <c r="H1780" s="27" t="s">
        <v>2553</v>
      </c>
      <c r="I1780" s="28" t="s">
        <v>41</v>
      </c>
      <c r="J1780" s="12" t="s">
        <v>41</v>
      </c>
      <c r="K1780" s="13">
        <v>4600</v>
      </c>
      <c r="L1780" s="21">
        <v>10.292999999999999</v>
      </c>
      <c r="M1780" s="14" t="s">
        <v>14</v>
      </c>
      <c r="N1780" s="13">
        <v>47346.879999999997</v>
      </c>
      <c r="O1780" s="15">
        <v>0</v>
      </c>
      <c r="P1780" s="10" t="s">
        <v>90</v>
      </c>
      <c r="Q1780" s="11" t="s">
        <v>3989</v>
      </c>
      <c r="R1780" s="11" t="s">
        <v>3990</v>
      </c>
      <c r="S1780" s="16" t="s">
        <v>3991</v>
      </c>
      <c r="T1780" s="19" t="str">
        <f>MONTH(B1780)&amp;"-"&amp;YEAR(B1780)</f>
        <v>12-2024</v>
      </c>
      <c r="U1780" s="2">
        <f>YEAR(B1780)</f>
        <v>2024</v>
      </c>
      <c r="V1780" s="2" t="str">
        <f>IF(DAY(B1780)&gt;15,MONTH(B1780)&amp;"-C",MONTH(B1780)&amp;"-N")</f>
        <v>12-C</v>
      </c>
      <c r="W1780" s="21">
        <v>91.9</v>
      </c>
      <c r="X1780" s="2" t="b">
        <f t="shared" ref="X1780:X1788" si="1075">+L1780=W1780</f>
        <v>0</v>
      </c>
    </row>
    <row r="1781" spans="2:24" x14ac:dyDescent="0.2">
      <c r="B1781" s="17">
        <v>45649</v>
      </c>
      <c r="C1781" s="10" t="s">
        <v>48</v>
      </c>
      <c r="D1781" s="11">
        <v>173480</v>
      </c>
      <c r="E1781" s="26">
        <v>78411</v>
      </c>
      <c r="F1781" s="10" t="s">
        <v>71</v>
      </c>
      <c r="G1781" s="10" t="s">
        <v>3901</v>
      </c>
      <c r="H1781" s="27" t="s">
        <v>72</v>
      </c>
      <c r="I1781" s="28" t="s">
        <v>41</v>
      </c>
      <c r="J1781" s="12" t="s">
        <v>41</v>
      </c>
      <c r="K1781" s="13">
        <v>21400</v>
      </c>
      <c r="L1781" s="21">
        <v>9.7780000000000005</v>
      </c>
      <c r="M1781" s="14" t="s">
        <v>14</v>
      </c>
      <c r="N1781" s="13">
        <v>209252.62400000001</v>
      </c>
      <c r="O1781" s="15">
        <v>0</v>
      </c>
      <c r="P1781" s="10" t="s">
        <v>90</v>
      </c>
      <c r="Q1781" s="11" t="s">
        <v>3989</v>
      </c>
      <c r="R1781" s="11" t="s">
        <v>3990</v>
      </c>
      <c r="S1781" s="16" t="s">
        <v>3991</v>
      </c>
      <c r="T1781" s="19" t="str">
        <f>MONTH(B1781)&amp;"-"&amp;YEAR(B1781)</f>
        <v>12-2024</v>
      </c>
      <c r="U1781" s="2">
        <f>YEAR(B1781)</f>
        <v>2024</v>
      </c>
      <c r="V1781" s="2" t="str">
        <f>IF(DAY(B1781)&gt;15,MONTH(B1781)&amp;"-C",MONTH(B1781)&amp;"-N")</f>
        <v>12-C</v>
      </c>
      <c r="W1781" s="21">
        <v>91.9</v>
      </c>
      <c r="X1781" s="2" t="b">
        <f t="shared" si="1075"/>
        <v>0</v>
      </c>
    </row>
    <row r="1782" spans="2:24" x14ac:dyDescent="0.2">
      <c r="B1782" s="17">
        <v>45649</v>
      </c>
      <c r="C1782" s="10" t="s">
        <v>48</v>
      </c>
      <c r="D1782" s="11">
        <v>0</v>
      </c>
      <c r="E1782" s="26">
        <v>78411</v>
      </c>
      <c r="F1782" s="10" t="s">
        <v>135</v>
      </c>
      <c r="G1782" s="10" t="s">
        <v>3901</v>
      </c>
      <c r="H1782" s="27" t="s">
        <v>136</v>
      </c>
      <c r="I1782" s="28" t="s">
        <v>41</v>
      </c>
      <c r="J1782" s="12" t="s">
        <v>41</v>
      </c>
      <c r="K1782" s="13">
        <v>4400</v>
      </c>
      <c r="L1782" s="21">
        <v>10.292999999999999</v>
      </c>
      <c r="M1782" s="14" t="s">
        <v>14</v>
      </c>
      <c r="N1782" s="13">
        <v>45288.32</v>
      </c>
      <c r="O1782" s="15">
        <v>0</v>
      </c>
      <c r="P1782" s="10" t="s">
        <v>90</v>
      </c>
      <c r="Q1782" s="11" t="s">
        <v>3989</v>
      </c>
      <c r="R1782" s="11" t="s">
        <v>3990</v>
      </c>
      <c r="S1782" s="16" t="s">
        <v>3991</v>
      </c>
      <c r="T1782" s="19" t="str">
        <f>MONTH(B1782)&amp;"-"&amp;YEAR(B1782)</f>
        <v>12-2024</v>
      </c>
      <c r="U1782" s="2">
        <f>YEAR(B1782)</f>
        <v>2024</v>
      </c>
      <c r="V1782" s="2" t="str">
        <f>IF(DAY(B1782)&gt;15,MONTH(B1782)&amp;"-C",MONTH(B1782)&amp;"-N")</f>
        <v>12-C</v>
      </c>
      <c r="W1782" s="21">
        <v>91.9</v>
      </c>
      <c r="X1782" s="2" t="b">
        <f t="shared" si="1075"/>
        <v>0</v>
      </c>
    </row>
    <row r="1783" spans="2:24" x14ac:dyDescent="0.2">
      <c r="B1783" s="17">
        <v>45649</v>
      </c>
      <c r="C1783" s="10" t="s">
        <v>48</v>
      </c>
      <c r="D1783" s="11">
        <v>0</v>
      </c>
      <c r="E1783" s="26">
        <v>78411</v>
      </c>
      <c r="F1783" s="10" t="s">
        <v>71</v>
      </c>
      <c r="G1783" s="10" t="s">
        <v>3901</v>
      </c>
      <c r="H1783" s="27" t="s">
        <v>72</v>
      </c>
      <c r="I1783" s="28" t="s">
        <v>41</v>
      </c>
      <c r="J1783" s="12" t="s">
        <v>41</v>
      </c>
      <c r="K1783" s="13">
        <v>1000</v>
      </c>
      <c r="L1783" s="21">
        <v>9.7780000000000005</v>
      </c>
      <c r="M1783" s="14" t="s">
        <v>14</v>
      </c>
      <c r="N1783" s="13">
        <v>9778.16</v>
      </c>
      <c r="O1783" s="15">
        <v>0</v>
      </c>
      <c r="P1783" s="10" t="s">
        <v>90</v>
      </c>
      <c r="Q1783" s="11" t="s">
        <v>3989</v>
      </c>
      <c r="R1783" s="11" t="s">
        <v>3990</v>
      </c>
      <c r="S1783" s="16" t="s">
        <v>3991</v>
      </c>
      <c r="T1783" s="19" t="str">
        <f>MONTH(B1783)&amp;"-"&amp;YEAR(B1783)</f>
        <v>12-2024</v>
      </c>
      <c r="U1783" s="2">
        <f>YEAR(B1783)</f>
        <v>2024</v>
      </c>
      <c r="V1783" s="2" t="str">
        <f>IF(DAY(B1783)&gt;15,MONTH(B1783)&amp;"-C",MONTH(B1783)&amp;"-N")</f>
        <v>12-C</v>
      </c>
      <c r="W1783" s="21">
        <v>91.9</v>
      </c>
      <c r="X1783" s="2" t="b">
        <f t="shared" si="1075"/>
        <v>0</v>
      </c>
    </row>
    <row r="1784" spans="2:24" x14ac:dyDescent="0.2">
      <c r="B1784" s="17">
        <v>45649</v>
      </c>
      <c r="C1784" s="10" t="s">
        <v>48</v>
      </c>
      <c r="D1784" s="11">
        <v>173480</v>
      </c>
      <c r="E1784" s="26">
        <v>78411</v>
      </c>
      <c r="F1784" s="10" t="s">
        <v>135</v>
      </c>
      <c r="G1784" s="10" t="s">
        <v>3901</v>
      </c>
      <c r="H1784" s="27" t="s">
        <v>136</v>
      </c>
      <c r="I1784" s="28" t="s">
        <v>41</v>
      </c>
      <c r="J1784" s="12" t="s">
        <v>41</v>
      </c>
      <c r="K1784" s="13">
        <v>600</v>
      </c>
      <c r="L1784" s="21">
        <v>10.292999999999999</v>
      </c>
      <c r="M1784" s="14" t="s">
        <v>14</v>
      </c>
      <c r="N1784" s="13">
        <v>6175.68</v>
      </c>
      <c r="O1784" s="15">
        <v>0</v>
      </c>
      <c r="P1784" s="10" t="s">
        <v>90</v>
      </c>
      <c r="Q1784" s="11" t="s">
        <v>3989</v>
      </c>
      <c r="R1784" s="11" t="s">
        <v>3990</v>
      </c>
      <c r="S1784" s="16" t="s">
        <v>3991</v>
      </c>
      <c r="T1784" s="19" t="str">
        <f>MONTH(B1784)&amp;"-"&amp;YEAR(B1784)</f>
        <v>12-2024</v>
      </c>
      <c r="U1784" s="2">
        <f>YEAR(B1784)</f>
        <v>2024</v>
      </c>
      <c r="V1784" s="2" t="str">
        <f>IF(DAY(B1784)&gt;15,MONTH(B1784)&amp;"-C",MONTH(B1784)&amp;"-N")</f>
        <v>12-C</v>
      </c>
      <c r="W1784" s="21">
        <v>91.9</v>
      </c>
      <c r="X1784" s="2" t="b">
        <f t="shared" si="1075"/>
        <v>0</v>
      </c>
    </row>
    <row r="1785" spans="2:24" x14ac:dyDescent="0.2">
      <c r="B1785" s="17">
        <v>45649</v>
      </c>
      <c r="C1785" s="10" t="s">
        <v>88</v>
      </c>
      <c r="D1785" s="11">
        <v>174662</v>
      </c>
      <c r="E1785" s="26">
        <v>78364</v>
      </c>
      <c r="F1785" s="10" t="s">
        <v>100</v>
      </c>
      <c r="G1785" s="10" t="s">
        <v>3901</v>
      </c>
      <c r="H1785" s="27" t="s">
        <v>101</v>
      </c>
      <c r="I1785" s="28" t="s">
        <v>41</v>
      </c>
      <c r="J1785" s="12" t="s">
        <v>41</v>
      </c>
      <c r="K1785" s="13">
        <v>2000</v>
      </c>
      <c r="L1785" s="21">
        <v>13.22</v>
      </c>
      <c r="M1785" s="14" t="s">
        <v>14</v>
      </c>
      <c r="N1785" s="13">
        <v>26440</v>
      </c>
      <c r="O1785" s="15">
        <v>0</v>
      </c>
      <c r="P1785" s="10" t="s">
        <v>84</v>
      </c>
      <c r="Q1785" s="11" t="s">
        <v>3992</v>
      </c>
      <c r="R1785" s="11" t="s">
        <v>3993</v>
      </c>
      <c r="S1785" s="16" t="s">
        <v>3994</v>
      </c>
      <c r="T1785" s="19" t="str">
        <f>MONTH(B1785)&amp;"-"&amp;YEAR(B1785)</f>
        <v>12-2024</v>
      </c>
      <c r="U1785" s="2">
        <f>YEAR(B1785)</f>
        <v>2024</v>
      </c>
      <c r="V1785" s="2" t="str">
        <f>IF(DAY(B1785)&gt;15,MONTH(B1785)&amp;"-C",MONTH(B1785)&amp;"-N")</f>
        <v>12-C</v>
      </c>
      <c r="W1785" s="21">
        <v>91.9</v>
      </c>
      <c r="X1785" s="2" t="b">
        <f t="shared" si="1075"/>
        <v>0</v>
      </c>
    </row>
    <row r="1786" spans="2:24" x14ac:dyDescent="0.2">
      <c r="B1786" s="17">
        <v>45649</v>
      </c>
      <c r="C1786" s="10" t="s">
        <v>88</v>
      </c>
      <c r="D1786" s="11">
        <v>174662</v>
      </c>
      <c r="E1786" s="26">
        <v>78364</v>
      </c>
      <c r="F1786" s="10" t="s">
        <v>98</v>
      </c>
      <c r="G1786" s="10" t="s">
        <v>3901</v>
      </c>
      <c r="H1786" s="27" t="s">
        <v>99</v>
      </c>
      <c r="I1786" s="28" t="s">
        <v>41</v>
      </c>
      <c r="J1786" s="12" t="s">
        <v>41</v>
      </c>
      <c r="K1786" s="13">
        <v>40</v>
      </c>
      <c r="L1786" s="21">
        <v>11.25</v>
      </c>
      <c r="M1786" s="14" t="s">
        <v>14</v>
      </c>
      <c r="N1786" s="13">
        <v>450</v>
      </c>
      <c r="O1786" s="15">
        <v>0</v>
      </c>
      <c r="P1786" s="10" t="s">
        <v>84</v>
      </c>
      <c r="Q1786" s="11" t="s">
        <v>3992</v>
      </c>
      <c r="R1786" s="11" t="s">
        <v>3993</v>
      </c>
      <c r="S1786" s="16" t="s">
        <v>3994</v>
      </c>
      <c r="T1786" s="19" t="str">
        <f>MONTH(B1786)&amp;"-"&amp;YEAR(B1786)</f>
        <v>12-2024</v>
      </c>
      <c r="U1786" s="2">
        <f>YEAR(B1786)</f>
        <v>2024</v>
      </c>
      <c r="V1786" s="2" t="str">
        <f>IF(DAY(B1786)&gt;15,MONTH(B1786)&amp;"-C",MONTH(B1786)&amp;"-N")</f>
        <v>12-C</v>
      </c>
      <c r="W1786" s="21">
        <v>91.9</v>
      </c>
      <c r="X1786" s="2" t="b">
        <f t="shared" si="1075"/>
        <v>0</v>
      </c>
    </row>
    <row r="1787" spans="2:24" x14ac:dyDescent="0.2">
      <c r="B1787" s="17">
        <v>45650</v>
      </c>
      <c r="C1787" s="10" t="s">
        <v>25</v>
      </c>
      <c r="D1787" s="11">
        <v>174654</v>
      </c>
      <c r="E1787" s="26">
        <v>78401</v>
      </c>
      <c r="F1787" s="10" t="s">
        <v>26</v>
      </c>
      <c r="G1787" s="10" t="s">
        <v>3885</v>
      </c>
      <c r="H1787" s="27" t="s">
        <v>28</v>
      </c>
      <c r="I1787" s="28" t="s">
        <v>41</v>
      </c>
      <c r="J1787" s="12" t="s">
        <v>41</v>
      </c>
      <c r="K1787" s="13">
        <v>19800</v>
      </c>
      <c r="L1787" s="21">
        <v>3.05</v>
      </c>
      <c r="M1787" s="14" t="s">
        <v>14</v>
      </c>
      <c r="N1787" s="13">
        <v>60390</v>
      </c>
      <c r="O1787" s="15">
        <v>0</v>
      </c>
      <c r="P1787" s="10" t="s">
        <v>78</v>
      </c>
      <c r="Q1787" s="11" t="s">
        <v>3995</v>
      </c>
      <c r="R1787" s="11" t="s">
        <v>3996</v>
      </c>
      <c r="S1787" s="16" t="s">
        <v>3997</v>
      </c>
      <c r="T1787" s="19" t="str">
        <f>MONTH(B1787)&amp;"-"&amp;YEAR(B1787)</f>
        <v>12-2024</v>
      </c>
      <c r="U1787" s="2">
        <f>YEAR(B1787)</f>
        <v>2024</v>
      </c>
      <c r="V1787" s="2" t="str">
        <f>IF(DAY(B1787)&gt;15,MONTH(B1787)&amp;"-C",MONTH(B1787)&amp;"-N")</f>
        <v>12-C</v>
      </c>
      <c r="W1787" s="21">
        <v>91.9</v>
      </c>
      <c r="X1787" s="2" t="b">
        <f t="shared" si="1075"/>
        <v>0</v>
      </c>
    </row>
    <row r="1788" spans="2:24" x14ac:dyDescent="0.2">
      <c r="B1788" s="17">
        <v>45651</v>
      </c>
      <c r="C1788" s="10" t="s">
        <v>107</v>
      </c>
      <c r="D1788" s="11">
        <v>174709</v>
      </c>
      <c r="E1788" s="26">
        <v>78412</v>
      </c>
      <c r="F1788" s="10" t="s">
        <v>103</v>
      </c>
      <c r="G1788" s="10" t="s">
        <v>3901</v>
      </c>
      <c r="H1788" s="27" t="s">
        <v>104</v>
      </c>
      <c r="I1788" s="28" t="s">
        <v>41</v>
      </c>
      <c r="J1788" s="12" t="s">
        <v>41</v>
      </c>
      <c r="K1788" s="13">
        <v>185</v>
      </c>
      <c r="L1788" s="21">
        <v>47.46</v>
      </c>
      <c r="M1788" s="14" t="s">
        <v>14</v>
      </c>
      <c r="N1788" s="13">
        <v>8780.1</v>
      </c>
      <c r="O1788" s="15">
        <v>0</v>
      </c>
      <c r="P1788" s="10" t="s">
        <v>84</v>
      </c>
      <c r="Q1788" s="11" t="s">
        <v>3998</v>
      </c>
      <c r="R1788" s="11" t="s">
        <v>3999</v>
      </c>
      <c r="S1788" s="16" t="s">
        <v>4000</v>
      </c>
      <c r="T1788" s="19" t="str">
        <f>MONTH(B1788)&amp;"-"&amp;YEAR(B1788)</f>
        <v>12-2024</v>
      </c>
      <c r="U1788" s="2">
        <f>YEAR(B1788)</f>
        <v>2024</v>
      </c>
      <c r="V1788" s="2" t="str">
        <f>IF(DAY(B1788)&gt;15,MONTH(B1788)&amp;"-C",MONTH(B1788)&amp;"-N")</f>
        <v>12-C</v>
      </c>
      <c r="W1788" s="21">
        <v>91.9</v>
      </c>
      <c r="X1788" s="2" t="b">
        <f t="shared" si="1075"/>
        <v>0</v>
      </c>
    </row>
    <row r="1789" spans="2:24" x14ac:dyDescent="0.2">
      <c r="B1789" s="17">
        <v>45651</v>
      </c>
      <c r="C1789" s="10" t="s">
        <v>107</v>
      </c>
      <c r="D1789" s="11">
        <v>174709</v>
      </c>
      <c r="E1789" s="26">
        <v>78412</v>
      </c>
      <c r="F1789" s="10" t="s">
        <v>105</v>
      </c>
      <c r="G1789" s="10" t="s">
        <v>3901</v>
      </c>
      <c r="H1789" s="27" t="s">
        <v>106</v>
      </c>
      <c r="I1789" s="28" t="s">
        <v>41</v>
      </c>
      <c r="J1789" s="12" t="s">
        <v>41</v>
      </c>
      <c r="K1789" s="13">
        <v>6160</v>
      </c>
      <c r="L1789" s="21">
        <v>11.72</v>
      </c>
      <c r="M1789" s="14" t="s">
        <v>14</v>
      </c>
      <c r="N1789" s="13">
        <v>72195.199999999997</v>
      </c>
      <c r="O1789" s="15">
        <v>0</v>
      </c>
      <c r="P1789" s="10" t="s">
        <v>84</v>
      </c>
      <c r="Q1789" s="11" t="s">
        <v>3998</v>
      </c>
      <c r="R1789" s="11" t="s">
        <v>3999</v>
      </c>
      <c r="S1789" s="16" t="s">
        <v>4000</v>
      </c>
      <c r="T1789" s="19" t="str">
        <f>MONTH(B1789)&amp;"-"&amp;YEAR(B1789)</f>
        <v>12-2024</v>
      </c>
      <c r="U1789" s="2">
        <f>YEAR(B1789)</f>
        <v>2024</v>
      </c>
      <c r="V1789" s="2" t="str">
        <f>IF(DAY(B1789)&gt;15,MONTH(B1789)&amp;"-C",MONTH(B1789)&amp;"-N")</f>
        <v>12-C</v>
      </c>
      <c r="W1789" s="21">
        <v>91.9</v>
      </c>
      <c r="X1789" s="2" t="b">
        <f t="shared" ref="X1789:X1791" si="1076">+L1789=W1789</f>
        <v>0</v>
      </c>
    </row>
    <row r="1790" spans="2:24" x14ac:dyDescent="0.2">
      <c r="B1790" s="17">
        <v>45652</v>
      </c>
      <c r="C1790" s="10" t="s">
        <v>73</v>
      </c>
      <c r="D1790" s="11">
        <v>174754</v>
      </c>
      <c r="E1790" s="26">
        <v>78430</v>
      </c>
      <c r="F1790" s="10" t="s">
        <v>399</v>
      </c>
      <c r="G1790" s="10" t="s">
        <v>3901</v>
      </c>
      <c r="H1790" s="27" t="s">
        <v>149</v>
      </c>
      <c r="I1790" s="28" t="s">
        <v>41</v>
      </c>
      <c r="J1790" s="12" t="s">
        <v>41</v>
      </c>
      <c r="K1790" s="13">
        <v>990</v>
      </c>
      <c r="L1790" s="21">
        <v>16.8</v>
      </c>
      <c r="M1790" s="14" t="s">
        <v>14</v>
      </c>
      <c r="N1790" s="13">
        <v>16632</v>
      </c>
      <c r="O1790" s="15">
        <v>0</v>
      </c>
      <c r="P1790" s="10" t="s">
        <v>84</v>
      </c>
      <c r="Q1790" s="11" t="s">
        <v>4001</v>
      </c>
      <c r="R1790" s="11" t="s">
        <v>4002</v>
      </c>
      <c r="S1790" s="16" t="s">
        <v>4003</v>
      </c>
      <c r="T1790" s="19" t="str">
        <f>MONTH(B1790)&amp;"-"&amp;YEAR(B1790)</f>
        <v>12-2024</v>
      </c>
      <c r="U1790" s="2">
        <f>YEAR(B1790)</f>
        <v>2024</v>
      </c>
      <c r="V1790" s="2" t="str">
        <f>IF(DAY(B1790)&gt;15,MONTH(B1790)&amp;"-C",MONTH(B1790)&amp;"-N")</f>
        <v>12-C</v>
      </c>
      <c r="W1790" s="21">
        <v>91.9</v>
      </c>
      <c r="X1790" s="2" t="b">
        <f t="shared" si="1076"/>
        <v>0</v>
      </c>
    </row>
    <row r="1791" spans="2:24" x14ac:dyDescent="0.2">
      <c r="B1791" s="17">
        <v>45653</v>
      </c>
      <c r="C1791" s="10" t="s">
        <v>25</v>
      </c>
      <c r="D1791" s="11">
        <v>174654</v>
      </c>
      <c r="E1791" s="26">
        <v>78460</v>
      </c>
      <c r="F1791" s="10" t="s">
        <v>26</v>
      </c>
      <c r="G1791" s="10" t="s">
        <v>3885</v>
      </c>
      <c r="H1791" s="27" t="s">
        <v>28</v>
      </c>
      <c r="I1791" s="28" t="s">
        <v>41</v>
      </c>
      <c r="J1791" s="12" t="s">
        <v>41</v>
      </c>
      <c r="K1791" s="13">
        <v>16200</v>
      </c>
      <c r="L1791" s="21">
        <v>3.05</v>
      </c>
      <c r="M1791" s="14" t="s">
        <v>14</v>
      </c>
      <c r="N1791" s="13">
        <v>49410</v>
      </c>
      <c r="O1791" s="15">
        <v>0</v>
      </c>
      <c r="P1791" s="10" t="s">
        <v>78</v>
      </c>
      <c r="Q1791" s="11" t="s">
        <v>4004</v>
      </c>
      <c r="R1791" s="11" t="s">
        <v>4005</v>
      </c>
      <c r="S1791" s="16" t="s">
        <v>4006</v>
      </c>
      <c r="T1791" s="19" t="str">
        <f>MONTH(B1791)&amp;"-"&amp;YEAR(B1791)</f>
        <v>12-2024</v>
      </c>
      <c r="U1791" s="2">
        <f>YEAR(B1791)</f>
        <v>2024</v>
      </c>
      <c r="V1791" s="2" t="str">
        <f>IF(DAY(B1791)&gt;15,MONTH(B1791)&amp;"-C",MONTH(B1791)&amp;"-N")</f>
        <v>12-C</v>
      </c>
      <c r="W1791" s="21">
        <v>91.9</v>
      </c>
      <c r="X1791" s="2" t="b">
        <f t="shared" si="1076"/>
        <v>0</v>
      </c>
    </row>
    <row r="1792" spans="2:24" x14ac:dyDescent="0.2">
      <c r="B1792" s="17">
        <v>45663</v>
      </c>
      <c r="C1792" s="10" t="s">
        <v>80</v>
      </c>
      <c r="D1792" s="11">
        <v>174652</v>
      </c>
      <c r="E1792" s="26">
        <v>78604</v>
      </c>
      <c r="F1792" s="10" t="s">
        <v>26</v>
      </c>
      <c r="G1792" s="10" t="s">
        <v>3885</v>
      </c>
      <c r="H1792" s="27" t="s">
        <v>28</v>
      </c>
      <c r="I1792" s="28" t="s">
        <v>41</v>
      </c>
      <c r="J1792" s="12" t="s">
        <v>41</v>
      </c>
      <c r="K1792" s="13">
        <v>12600</v>
      </c>
      <c r="L1792" s="21">
        <v>3.0470000000000002</v>
      </c>
      <c r="M1792" s="14" t="s">
        <v>14</v>
      </c>
      <c r="N1792" s="13">
        <v>38392.199999999997</v>
      </c>
      <c r="O1792" s="15">
        <v>0</v>
      </c>
      <c r="P1792" s="10" t="s">
        <v>78</v>
      </c>
      <c r="Q1792" s="11" t="s">
        <v>4011</v>
      </c>
      <c r="R1792" s="11" t="s">
        <v>4012</v>
      </c>
      <c r="S1792" s="16" t="s">
        <v>4013</v>
      </c>
      <c r="T1792" s="19" t="str">
        <f>MONTH(B1792)&amp;"-"&amp;YEAR(B1792)</f>
        <v>1-2025</v>
      </c>
      <c r="U1792" s="2">
        <f>YEAR(B1792)</f>
        <v>2025</v>
      </c>
      <c r="V1792" s="2" t="str">
        <f>IF(DAY(B1792)&gt;15,MONTH(B1792)&amp;"-C",MONTH(B1792)&amp;"-N")</f>
        <v>1-N</v>
      </c>
      <c r="W1792" s="21">
        <v>91.9</v>
      </c>
      <c r="X1792" s="2" t="b">
        <f t="shared" ref="X1792:X1801" si="1077">+L1792=W1792</f>
        <v>0</v>
      </c>
    </row>
    <row r="1793" spans="2:24" x14ac:dyDescent="0.2">
      <c r="B1793" s="17">
        <v>45664</v>
      </c>
      <c r="C1793" s="10" t="s">
        <v>80</v>
      </c>
      <c r="D1793" s="11">
        <v>174652</v>
      </c>
      <c r="E1793" s="26">
        <v>78633</v>
      </c>
      <c r="F1793" s="10" t="s">
        <v>26</v>
      </c>
      <c r="G1793" s="10" t="s">
        <v>3885</v>
      </c>
      <c r="H1793" s="27" t="s">
        <v>28</v>
      </c>
      <c r="I1793" s="28" t="s">
        <v>41</v>
      </c>
      <c r="J1793" s="12" t="s">
        <v>41</v>
      </c>
      <c r="K1793" s="13">
        <v>3600</v>
      </c>
      <c r="L1793" s="21">
        <v>3.0470000000000002</v>
      </c>
      <c r="M1793" s="14" t="s">
        <v>14</v>
      </c>
      <c r="N1793" s="13">
        <v>10969.2</v>
      </c>
      <c r="O1793" s="15">
        <v>0</v>
      </c>
      <c r="P1793" s="10" t="s">
        <v>78</v>
      </c>
      <c r="Q1793" s="11" t="s">
        <v>4014</v>
      </c>
      <c r="R1793" s="11" t="s">
        <v>4015</v>
      </c>
      <c r="S1793" s="16" t="s">
        <v>4016</v>
      </c>
      <c r="T1793" s="19" t="str">
        <f>MONTH(B1793)&amp;"-"&amp;YEAR(B1793)</f>
        <v>1-2025</v>
      </c>
      <c r="U1793" s="2">
        <f>YEAR(B1793)</f>
        <v>2025</v>
      </c>
      <c r="V1793" s="2" t="str">
        <f>IF(DAY(B1793)&gt;15,MONTH(B1793)&amp;"-C",MONTH(B1793)&amp;"-N")</f>
        <v>1-N</v>
      </c>
      <c r="W1793" s="21">
        <v>91.9</v>
      </c>
      <c r="X1793" s="2" t="b">
        <f t="shared" si="1077"/>
        <v>0</v>
      </c>
    </row>
    <row r="1794" spans="2:24" x14ac:dyDescent="0.2">
      <c r="B1794" s="17">
        <v>45667</v>
      </c>
      <c r="C1794" s="10" t="s">
        <v>80</v>
      </c>
      <c r="D1794" s="11">
        <v>174652</v>
      </c>
      <c r="E1794" s="26">
        <v>78700</v>
      </c>
      <c r="F1794" s="10" t="s">
        <v>26</v>
      </c>
      <c r="G1794" s="10" t="s">
        <v>3885</v>
      </c>
      <c r="H1794" s="27" t="s">
        <v>28</v>
      </c>
      <c r="I1794" s="28" t="s">
        <v>41</v>
      </c>
      <c r="J1794" s="12" t="s">
        <v>41</v>
      </c>
      <c r="K1794" s="13">
        <v>9000</v>
      </c>
      <c r="L1794" s="21">
        <v>3.0470000000000002</v>
      </c>
      <c r="M1794" s="14" t="s">
        <v>14</v>
      </c>
      <c r="N1794" s="13">
        <v>27423</v>
      </c>
      <c r="O1794" s="15">
        <v>0</v>
      </c>
      <c r="P1794" s="10" t="s">
        <v>78</v>
      </c>
      <c r="Q1794" s="11" t="s">
        <v>4017</v>
      </c>
      <c r="R1794" s="11" t="s">
        <v>4018</v>
      </c>
      <c r="S1794" s="16" t="s">
        <v>4019</v>
      </c>
      <c r="T1794" s="19" t="str">
        <f>MONTH(B1794)&amp;"-"&amp;YEAR(B1794)</f>
        <v>1-2025</v>
      </c>
      <c r="U1794" s="2">
        <f>YEAR(B1794)</f>
        <v>2025</v>
      </c>
      <c r="V1794" s="2" t="str">
        <f>IF(DAY(B1794)&gt;15,MONTH(B1794)&amp;"-C",MONTH(B1794)&amp;"-N")</f>
        <v>1-N</v>
      </c>
      <c r="W1794" s="21">
        <v>91.9</v>
      </c>
      <c r="X1794" s="2" t="b">
        <f t="shared" si="1077"/>
        <v>0</v>
      </c>
    </row>
    <row r="1795" spans="2:24" x14ac:dyDescent="0.2">
      <c r="B1795" s="17">
        <v>45670</v>
      </c>
      <c r="C1795" s="10" t="s">
        <v>80</v>
      </c>
      <c r="D1795" s="11">
        <v>174652</v>
      </c>
      <c r="E1795" s="26">
        <v>78728</v>
      </c>
      <c r="F1795" s="10" t="s">
        <v>26</v>
      </c>
      <c r="G1795" s="10" t="s">
        <v>3885</v>
      </c>
      <c r="H1795" s="27" t="s">
        <v>28</v>
      </c>
      <c r="I1795" s="28" t="s">
        <v>41</v>
      </c>
      <c r="J1795" s="12" t="s">
        <v>41</v>
      </c>
      <c r="K1795" s="13">
        <v>1800</v>
      </c>
      <c r="L1795" s="21">
        <v>3.0470000000000002</v>
      </c>
      <c r="M1795" s="14" t="s">
        <v>14</v>
      </c>
      <c r="N1795" s="13">
        <v>5484.6</v>
      </c>
      <c r="O1795" s="15">
        <v>0</v>
      </c>
      <c r="P1795" s="10" t="s">
        <v>78</v>
      </c>
      <c r="Q1795" s="11" t="s">
        <v>4020</v>
      </c>
      <c r="R1795" s="11" t="s">
        <v>4021</v>
      </c>
      <c r="S1795" s="16" t="s">
        <v>4022</v>
      </c>
      <c r="T1795" s="19" t="str">
        <f>MONTH(B1795)&amp;"-"&amp;YEAR(B1795)</f>
        <v>1-2025</v>
      </c>
      <c r="U1795" s="2">
        <f>YEAR(B1795)</f>
        <v>2025</v>
      </c>
      <c r="V1795" s="2" t="str">
        <f>IF(DAY(B1795)&gt;15,MONTH(B1795)&amp;"-C",MONTH(B1795)&amp;"-N")</f>
        <v>1-N</v>
      </c>
      <c r="W1795" s="21">
        <v>91.9</v>
      </c>
      <c r="X1795" s="2" t="b">
        <f t="shared" si="1077"/>
        <v>0</v>
      </c>
    </row>
    <row r="1796" spans="2:24" x14ac:dyDescent="0.2">
      <c r="B1796" s="17">
        <v>45671</v>
      </c>
      <c r="C1796" s="10" t="s">
        <v>80</v>
      </c>
      <c r="D1796" s="11">
        <v>174652</v>
      </c>
      <c r="E1796" s="26">
        <v>78752</v>
      </c>
      <c r="F1796" s="10" t="s">
        <v>26</v>
      </c>
      <c r="G1796" s="10" t="s">
        <v>3885</v>
      </c>
      <c r="H1796" s="27" t="s">
        <v>28</v>
      </c>
      <c r="I1796" s="28" t="s">
        <v>41</v>
      </c>
      <c r="J1796" s="12" t="s">
        <v>41</v>
      </c>
      <c r="K1796" s="13">
        <v>5400</v>
      </c>
      <c r="L1796" s="21">
        <v>3.0470000000000002</v>
      </c>
      <c r="M1796" s="14" t="s">
        <v>14</v>
      </c>
      <c r="N1796" s="13">
        <v>16453.8</v>
      </c>
      <c r="O1796" s="15">
        <v>0</v>
      </c>
      <c r="P1796" s="10" t="s">
        <v>78</v>
      </c>
      <c r="Q1796" s="11" t="s">
        <v>4023</v>
      </c>
      <c r="R1796" s="11" t="s">
        <v>4024</v>
      </c>
      <c r="S1796" s="16" t="s">
        <v>4025</v>
      </c>
      <c r="T1796" s="19" t="str">
        <f>MONTH(B1796)&amp;"-"&amp;YEAR(B1796)</f>
        <v>1-2025</v>
      </c>
      <c r="U1796" s="2">
        <f>YEAR(B1796)</f>
        <v>2025</v>
      </c>
      <c r="V1796" s="2" t="str">
        <f>IF(DAY(B1796)&gt;15,MONTH(B1796)&amp;"-C",MONTH(B1796)&amp;"-N")</f>
        <v>1-N</v>
      </c>
      <c r="W1796" s="21">
        <v>91.9</v>
      </c>
      <c r="X1796" s="2" t="b">
        <f t="shared" si="1077"/>
        <v>0</v>
      </c>
    </row>
    <row r="1797" spans="2:24" x14ac:dyDescent="0.2">
      <c r="B1797" s="17">
        <v>45672</v>
      </c>
      <c r="C1797" s="10" t="s">
        <v>80</v>
      </c>
      <c r="D1797" s="11">
        <v>174652</v>
      </c>
      <c r="E1797" s="26">
        <v>78779</v>
      </c>
      <c r="F1797" s="10" t="s">
        <v>26</v>
      </c>
      <c r="G1797" s="10" t="s">
        <v>3885</v>
      </c>
      <c r="H1797" s="27" t="s">
        <v>28</v>
      </c>
      <c r="I1797" s="28" t="s">
        <v>41</v>
      </c>
      <c r="J1797" s="12" t="s">
        <v>41</v>
      </c>
      <c r="K1797" s="13">
        <v>5400</v>
      </c>
      <c r="L1797" s="21">
        <v>3.0470000000000002</v>
      </c>
      <c r="M1797" s="14" t="s">
        <v>14</v>
      </c>
      <c r="N1797" s="13">
        <v>16453.8</v>
      </c>
      <c r="O1797" s="15">
        <v>0</v>
      </c>
      <c r="P1797" s="10" t="s">
        <v>78</v>
      </c>
      <c r="Q1797" s="11" t="s">
        <v>4026</v>
      </c>
      <c r="R1797" s="11" t="s">
        <v>4027</v>
      </c>
      <c r="S1797" s="16" t="s">
        <v>4028</v>
      </c>
      <c r="T1797" s="19" t="str">
        <f>MONTH(B1797)&amp;"-"&amp;YEAR(B1797)</f>
        <v>1-2025</v>
      </c>
      <c r="U1797" s="2">
        <f>YEAR(B1797)</f>
        <v>2025</v>
      </c>
      <c r="V1797" s="2" t="str">
        <f>IF(DAY(B1797)&gt;15,MONTH(B1797)&amp;"-C",MONTH(B1797)&amp;"-N")</f>
        <v>1-N</v>
      </c>
      <c r="W1797" s="21">
        <v>91.9</v>
      </c>
      <c r="X1797" s="2" t="b">
        <f t="shared" si="1077"/>
        <v>0</v>
      </c>
    </row>
    <row r="1798" spans="2:24" x14ac:dyDescent="0.2">
      <c r="B1798" s="17">
        <v>45672</v>
      </c>
      <c r="C1798" s="10" t="s">
        <v>80</v>
      </c>
      <c r="D1798" s="11">
        <v>174652</v>
      </c>
      <c r="E1798" s="26">
        <v>78782</v>
      </c>
      <c r="F1798" s="10" t="s">
        <v>26</v>
      </c>
      <c r="G1798" s="10" t="s">
        <v>3885</v>
      </c>
      <c r="H1798" s="27" t="s">
        <v>28</v>
      </c>
      <c r="I1798" s="28" t="s">
        <v>41</v>
      </c>
      <c r="J1798" s="12" t="s">
        <v>41</v>
      </c>
      <c r="K1798" s="13">
        <v>5400</v>
      </c>
      <c r="L1798" s="21">
        <v>3.0470000000000002</v>
      </c>
      <c r="M1798" s="14" t="s">
        <v>14</v>
      </c>
      <c r="N1798" s="13">
        <v>16453.8</v>
      </c>
      <c r="O1798" s="15">
        <v>0</v>
      </c>
      <c r="P1798" s="10" t="s">
        <v>78</v>
      </c>
      <c r="Q1798" s="11" t="s">
        <v>4029</v>
      </c>
      <c r="R1798" s="11" t="s">
        <v>4030</v>
      </c>
      <c r="S1798" s="16" t="s">
        <v>4031</v>
      </c>
      <c r="T1798" s="19" t="str">
        <f>MONTH(B1798)&amp;"-"&amp;YEAR(B1798)</f>
        <v>1-2025</v>
      </c>
      <c r="U1798" s="2">
        <f>YEAR(B1798)</f>
        <v>2025</v>
      </c>
      <c r="V1798" s="2" t="str">
        <f>IF(DAY(B1798)&gt;15,MONTH(B1798)&amp;"-C",MONTH(B1798)&amp;"-N")</f>
        <v>1-N</v>
      </c>
      <c r="W1798" s="21">
        <v>91.9</v>
      </c>
      <c r="X1798" s="2" t="b">
        <f t="shared" si="1077"/>
        <v>0</v>
      </c>
    </row>
    <row r="1799" spans="2:24" x14ac:dyDescent="0.2">
      <c r="B1799" s="17">
        <v>45659</v>
      </c>
      <c r="C1799" s="10" t="s">
        <v>25</v>
      </c>
      <c r="D1799" s="11">
        <v>174654</v>
      </c>
      <c r="E1799" s="26">
        <v>78562</v>
      </c>
      <c r="F1799" s="10" t="s">
        <v>26</v>
      </c>
      <c r="G1799" s="10" t="s">
        <v>3885</v>
      </c>
      <c r="H1799" s="27" t="s">
        <v>28</v>
      </c>
      <c r="I1799" s="28" t="s">
        <v>41</v>
      </c>
      <c r="J1799" s="12" t="s">
        <v>41</v>
      </c>
      <c r="K1799" s="13">
        <v>13800</v>
      </c>
      <c r="L1799" s="21">
        <v>3.05</v>
      </c>
      <c r="M1799" s="14" t="s">
        <v>14</v>
      </c>
      <c r="N1799" s="13">
        <v>42090</v>
      </c>
      <c r="O1799" s="15">
        <v>0</v>
      </c>
      <c r="P1799" s="10" t="s">
        <v>78</v>
      </c>
      <c r="Q1799" s="11" t="s">
        <v>4032</v>
      </c>
      <c r="R1799" s="11" t="s">
        <v>4033</v>
      </c>
      <c r="S1799" s="16" t="s">
        <v>4034</v>
      </c>
      <c r="T1799" s="19" t="str">
        <f>MONTH(B1799)&amp;"-"&amp;YEAR(B1799)</f>
        <v>1-2025</v>
      </c>
      <c r="U1799" s="2">
        <f>YEAR(B1799)</f>
        <v>2025</v>
      </c>
      <c r="V1799" s="2" t="str">
        <f>IF(DAY(B1799)&gt;15,MONTH(B1799)&amp;"-C",MONTH(B1799)&amp;"-N")</f>
        <v>1-N</v>
      </c>
      <c r="W1799" s="21">
        <v>91.9</v>
      </c>
      <c r="X1799" s="2" t="b">
        <f t="shared" si="1077"/>
        <v>0</v>
      </c>
    </row>
    <row r="1800" spans="2:24" x14ac:dyDescent="0.2">
      <c r="B1800" s="17">
        <v>45661</v>
      </c>
      <c r="C1800" s="10" t="s">
        <v>107</v>
      </c>
      <c r="D1800" s="11">
        <v>174710</v>
      </c>
      <c r="E1800" s="26">
        <v>78595</v>
      </c>
      <c r="F1800" s="10" t="s">
        <v>103</v>
      </c>
      <c r="G1800" s="10" t="s">
        <v>3901</v>
      </c>
      <c r="H1800" s="27" t="s">
        <v>104</v>
      </c>
      <c r="I1800" s="28" t="s">
        <v>41</v>
      </c>
      <c r="J1800" s="12" t="s">
        <v>41</v>
      </c>
      <c r="K1800" s="13">
        <v>185</v>
      </c>
      <c r="L1800" s="21">
        <v>47.46</v>
      </c>
      <c r="M1800" s="14" t="s">
        <v>14</v>
      </c>
      <c r="N1800" s="13">
        <v>8780.1</v>
      </c>
      <c r="O1800" s="15">
        <v>0</v>
      </c>
      <c r="P1800" s="10" t="s">
        <v>84</v>
      </c>
      <c r="Q1800" s="11" t="s">
        <v>4035</v>
      </c>
      <c r="R1800" s="11" t="s">
        <v>4036</v>
      </c>
      <c r="S1800" s="16" t="s">
        <v>4037</v>
      </c>
      <c r="T1800" s="19" t="str">
        <f>MONTH(B1800)&amp;"-"&amp;YEAR(B1800)</f>
        <v>1-2025</v>
      </c>
      <c r="U1800" s="2">
        <f>YEAR(B1800)</f>
        <v>2025</v>
      </c>
      <c r="V1800" s="2" t="str">
        <f>IF(DAY(B1800)&gt;15,MONTH(B1800)&amp;"-C",MONTH(B1800)&amp;"-N")</f>
        <v>1-N</v>
      </c>
      <c r="W1800" s="21">
        <v>91.9</v>
      </c>
      <c r="X1800" s="2" t="b">
        <f t="shared" si="1077"/>
        <v>0</v>
      </c>
    </row>
    <row r="1801" spans="2:24" x14ac:dyDescent="0.2">
      <c r="B1801" s="17">
        <v>45661</v>
      </c>
      <c r="C1801" s="10" t="s">
        <v>107</v>
      </c>
      <c r="D1801" s="11">
        <v>174710</v>
      </c>
      <c r="E1801" s="26">
        <v>78595</v>
      </c>
      <c r="F1801" s="10" t="s">
        <v>105</v>
      </c>
      <c r="G1801" s="10" t="s">
        <v>3901</v>
      </c>
      <c r="H1801" s="27" t="s">
        <v>106</v>
      </c>
      <c r="I1801" s="28" t="s">
        <v>41</v>
      </c>
      <c r="J1801" s="12" t="s">
        <v>41</v>
      </c>
      <c r="K1801" s="13">
        <v>6160</v>
      </c>
      <c r="L1801" s="21">
        <v>11.72</v>
      </c>
      <c r="M1801" s="14" t="s">
        <v>14</v>
      </c>
      <c r="N1801" s="13">
        <v>72195.199999999997</v>
      </c>
      <c r="O1801" s="15">
        <v>0</v>
      </c>
      <c r="P1801" s="10" t="s">
        <v>84</v>
      </c>
      <c r="Q1801" s="11" t="s">
        <v>4035</v>
      </c>
      <c r="R1801" s="11" t="s">
        <v>4036</v>
      </c>
      <c r="S1801" s="16" t="s">
        <v>4037</v>
      </c>
      <c r="T1801" s="19" t="str">
        <f>MONTH(B1801)&amp;"-"&amp;YEAR(B1801)</f>
        <v>1-2025</v>
      </c>
      <c r="U1801" s="2">
        <f>YEAR(B1801)</f>
        <v>2025</v>
      </c>
      <c r="V1801" s="2" t="str">
        <f>IF(DAY(B1801)&gt;15,MONTH(B1801)&amp;"-C",MONTH(B1801)&amp;"-N")</f>
        <v>1-N</v>
      </c>
      <c r="W1801" s="21">
        <v>91.9</v>
      </c>
      <c r="X1801" s="2" t="b">
        <f t="shared" si="1077"/>
        <v>0</v>
      </c>
    </row>
    <row r="1802" spans="2:24" x14ac:dyDescent="0.2">
      <c r="B1802" s="17">
        <v>45674</v>
      </c>
      <c r="C1802" s="10" t="s">
        <v>80</v>
      </c>
      <c r="D1802" s="11">
        <v>174652</v>
      </c>
      <c r="E1802" s="26">
        <v>78814</v>
      </c>
      <c r="F1802" s="10" t="s">
        <v>26</v>
      </c>
      <c r="G1802" s="10" t="s">
        <v>3885</v>
      </c>
      <c r="H1802" s="27" t="s">
        <v>28</v>
      </c>
      <c r="I1802" s="28" t="s">
        <v>41</v>
      </c>
      <c r="J1802" s="12" t="s">
        <v>41</v>
      </c>
      <c r="K1802" s="13">
        <v>10800</v>
      </c>
      <c r="L1802" s="21">
        <v>3.0470000000000002</v>
      </c>
      <c r="M1802" s="14" t="s">
        <v>14</v>
      </c>
      <c r="N1802" s="13">
        <v>32907.599999999999</v>
      </c>
      <c r="O1802" s="15">
        <v>0</v>
      </c>
      <c r="P1802" s="10" t="s">
        <v>78</v>
      </c>
      <c r="Q1802" s="11" t="s">
        <v>4038</v>
      </c>
      <c r="R1802" s="11" t="s">
        <v>4039</v>
      </c>
      <c r="S1802" s="16" t="s">
        <v>4040</v>
      </c>
      <c r="T1802" s="19" t="str">
        <f>MONTH(B1802)&amp;"-"&amp;YEAR(B1802)</f>
        <v>1-2025</v>
      </c>
      <c r="U1802" s="2">
        <f>YEAR(B1802)</f>
        <v>2025</v>
      </c>
      <c r="V1802" s="2" t="str">
        <f>IF(DAY(B1802)&gt;15,MONTH(B1802)&amp;"-C",MONTH(B1802)&amp;"-N")</f>
        <v>1-C</v>
      </c>
      <c r="W1802" s="21">
        <v>91.9</v>
      </c>
      <c r="X1802" s="2" t="b">
        <f t="shared" ref="X1802:X1806" si="1078">+L1802=W1802</f>
        <v>0</v>
      </c>
    </row>
    <row r="1803" spans="2:24" x14ac:dyDescent="0.2">
      <c r="B1803" s="17">
        <v>45677</v>
      </c>
      <c r="C1803" s="10" t="s">
        <v>80</v>
      </c>
      <c r="D1803" s="11">
        <v>174652</v>
      </c>
      <c r="E1803" s="26">
        <v>78863</v>
      </c>
      <c r="F1803" s="10" t="s">
        <v>26</v>
      </c>
      <c r="G1803" s="10" t="s">
        <v>3885</v>
      </c>
      <c r="H1803" s="27" t="s">
        <v>28</v>
      </c>
      <c r="I1803" s="28" t="s">
        <v>41</v>
      </c>
      <c r="J1803" s="12" t="s">
        <v>41</v>
      </c>
      <c r="K1803" s="13">
        <v>9000</v>
      </c>
      <c r="L1803" s="21">
        <v>3.0470000000000002</v>
      </c>
      <c r="M1803" s="14" t="s">
        <v>14</v>
      </c>
      <c r="N1803" s="13">
        <v>27423</v>
      </c>
      <c r="O1803" s="15">
        <v>0</v>
      </c>
      <c r="P1803" s="10" t="s">
        <v>78</v>
      </c>
      <c r="Q1803" s="11" t="s">
        <v>4041</v>
      </c>
      <c r="R1803" s="11" t="s">
        <v>4042</v>
      </c>
      <c r="S1803" s="16" t="s">
        <v>4043</v>
      </c>
      <c r="T1803" s="19" t="str">
        <f>MONTH(B1803)&amp;"-"&amp;YEAR(B1803)</f>
        <v>1-2025</v>
      </c>
      <c r="U1803" s="2">
        <f>YEAR(B1803)</f>
        <v>2025</v>
      </c>
      <c r="V1803" s="2" t="str">
        <f>IF(DAY(B1803)&gt;15,MONTH(B1803)&amp;"-C",MONTH(B1803)&amp;"-N")</f>
        <v>1-C</v>
      </c>
      <c r="W1803" s="21">
        <v>91.9</v>
      </c>
      <c r="X1803" s="2" t="b">
        <f t="shared" si="1078"/>
        <v>0</v>
      </c>
    </row>
    <row r="1804" spans="2:24" x14ac:dyDescent="0.2">
      <c r="B1804" s="17">
        <v>45679</v>
      </c>
      <c r="C1804" s="10" t="s">
        <v>80</v>
      </c>
      <c r="D1804" s="11">
        <v>174652</v>
      </c>
      <c r="E1804" s="26">
        <v>78904</v>
      </c>
      <c r="F1804" s="10" t="s">
        <v>26</v>
      </c>
      <c r="G1804" s="10" t="s">
        <v>3885</v>
      </c>
      <c r="H1804" s="27" t="s">
        <v>28</v>
      </c>
      <c r="I1804" s="28" t="s">
        <v>41</v>
      </c>
      <c r="J1804" s="12" t="s">
        <v>41</v>
      </c>
      <c r="K1804" s="13">
        <v>10800</v>
      </c>
      <c r="L1804" s="21">
        <v>3.0470000000000002</v>
      </c>
      <c r="M1804" s="14" t="s">
        <v>14</v>
      </c>
      <c r="N1804" s="13">
        <v>32907.599999999999</v>
      </c>
      <c r="O1804" s="15">
        <v>0</v>
      </c>
      <c r="P1804" s="10" t="s">
        <v>78</v>
      </c>
      <c r="Q1804" s="11" t="s">
        <v>4044</v>
      </c>
      <c r="R1804" s="11" t="s">
        <v>4045</v>
      </c>
      <c r="S1804" s="16" t="s">
        <v>4046</v>
      </c>
      <c r="T1804" s="19" t="str">
        <f>MONTH(B1804)&amp;"-"&amp;YEAR(B1804)</f>
        <v>1-2025</v>
      </c>
      <c r="U1804" s="2">
        <f>YEAR(B1804)</f>
        <v>2025</v>
      </c>
      <c r="V1804" s="2" t="str">
        <f>IF(DAY(B1804)&gt;15,MONTH(B1804)&amp;"-C",MONTH(B1804)&amp;"-N")</f>
        <v>1-C</v>
      </c>
      <c r="W1804" s="21">
        <v>91.9</v>
      </c>
      <c r="X1804" s="2" t="b">
        <f t="shared" si="1078"/>
        <v>0</v>
      </c>
    </row>
    <row r="1805" spans="2:24" x14ac:dyDescent="0.2">
      <c r="B1805" s="17">
        <v>45674</v>
      </c>
      <c r="C1805" s="10" t="s">
        <v>107</v>
      </c>
      <c r="D1805" s="11">
        <v>174891</v>
      </c>
      <c r="E1805" s="26">
        <v>78816</v>
      </c>
      <c r="F1805" s="10" t="s">
        <v>103</v>
      </c>
      <c r="G1805" s="10" t="s">
        <v>3901</v>
      </c>
      <c r="H1805" s="27" t="s">
        <v>104</v>
      </c>
      <c r="I1805" s="28" t="s">
        <v>41</v>
      </c>
      <c r="J1805" s="12" t="s">
        <v>41</v>
      </c>
      <c r="K1805" s="13">
        <v>185</v>
      </c>
      <c r="L1805" s="21">
        <v>47.46</v>
      </c>
      <c r="M1805" s="14" t="s">
        <v>14</v>
      </c>
      <c r="N1805" s="13">
        <v>8780.1</v>
      </c>
      <c r="O1805" s="15">
        <v>0</v>
      </c>
      <c r="P1805" s="10" t="s">
        <v>84</v>
      </c>
      <c r="Q1805" s="11" t="s">
        <v>4047</v>
      </c>
      <c r="R1805" s="11" t="s">
        <v>4048</v>
      </c>
      <c r="S1805" s="16" t="s">
        <v>4049</v>
      </c>
      <c r="T1805" s="19" t="str">
        <f>MONTH(B1805)&amp;"-"&amp;YEAR(B1805)</f>
        <v>1-2025</v>
      </c>
      <c r="U1805" s="2">
        <f>YEAR(B1805)</f>
        <v>2025</v>
      </c>
      <c r="V1805" s="2" t="str">
        <f>IF(DAY(B1805)&gt;15,MONTH(B1805)&amp;"-C",MONTH(B1805)&amp;"-N")</f>
        <v>1-C</v>
      </c>
      <c r="W1805" s="21">
        <v>91.9</v>
      </c>
      <c r="X1805" s="2" t="b">
        <f t="shared" si="1078"/>
        <v>0</v>
      </c>
    </row>
    <row r="1806" spans="2:24" x14ac:dyDescent="0.2">
      <c r="B1806" s="17">
        <v>45674</v>
      </c>
      <c r="C1806" s="10" t="s">
        <v>107</v>
      </c>
      <c r="D1806" s="11">
        <v>174891</v>
      </c>
      <c r="E1806" s="26">
        <v>78816</v>
      </c>
      <c r="F1806" s="10" t="s">
        <v>105</v>
      </c>
      <c r="G1806" s="10" t="s">
        <v>3901</v>
      </c>
      <c r="H1806" s="27" t="s">
        <v>106</v>
      </c>
      <c r="I1806" s="28" t="s">
        <v>41</v>
      </c>
      <c r="J1806" s="12" t="s">
        <v>41</v>
      </c>
      <c r="K1806" s="13">
        <v>6160</v>
      </c>
      <c r="L1806" s="21">
        <v>11.72</v>
      </c>
      <c r="M1806" s="14" t="s">
        <v>14</v>
      </c>
      <c r="N1806" s="13">
        <v>72195.199999999997</v>
      </c>
      <c r="O1806" s="15">
        <v>0</v>
      </c>
      <c r="P1806" s="10" t="s">
        <v>84</v>
      </c>
      <c r="Q1806" s="11" t="s">
        <v>4047</v>
      </c>
      <c r="R1806" s="11" t="s">
        <v>4048</v>
      </c>
      <c r="S1806" s="16" t="s">
        <v>4049</v>
      </c>
      <c r="T1806" s="19" t="str">
        <f>MONTH(B1806)&amp;"-"&amp;YEAR(B1806)</f>
        <v>1-2025</v>
      </c>
      <c r="U1806" s="2">
        <f>YEAR(B1806)</f>
        <v>2025</v>
      </c>
      <c r="V1806" s="2" t="str">
        <f>IF(DAY(B1806)&gt;15,MONTH(B1806)&amp;"-C",MONTH(B1806)&amp;"-N")</f>
        <v>1-C</v>
      </c>
      <c r="W1806" s="21">
        <v>91.9</v>
      </c>
      <c r="X1806" s="2" t="b">
        <f t="shared" si="1078"/>
        <v>0</v>
      </c>
    </row>
    <row r="1807" spans="2:24" x14ac:dyDescent="0.2">
      <c r="B1807" s="17">
        <v>45683</v>
      </c>
      <c r="C1807" s="10" t="s">
        <v>80</v>
      </c>
      <c r="D1807" s="11">
        <v>174652</v>
      </c>
      <c r="E1807" s="26">
        <v>78966</v>
      </c>
      <c r="F1807" s="10" t="s">
        <v>26</v>
      </c>
      <c r="G1807" s="10" t="s">
        <v>3885</v>
      </c>
      <c r="H1807" s="27" t="s">
        <v>28</v>
      </c>
      <c r="I1807" s="28" t="s">
        <v>41</v>
      </c>
      <c r="J1807" s="12" t="s">
        <v>41</v>
      </c>
      <c r="K1807" s="13">
        <v>4500</v>
      </c>
      <c r="L1807" s="21">
        <v>3.0470000000000002</v>
      </c>
      <c r="M1807" s="14" t="s">
        <v>14</v>
      </c>
      <c r="N1807" s="13">
        <v>13711.5</v>
      </c>
      <c r="O1807" s="15">
        <v>0</v>
      </c>
      <c r="P1807" s="10" t="s">
        <v>78</v>
      </c>
      <c r="Q1807" s="11" t="s">
        <v>4050</v>
      </c>
      <c r="R1807" s="11" t="s">
        <v>4051</v>
      </c>
      <c r="S1807" s="16" t="s">
        <v>4052</v>
      </c>
      <c r="T1807" s="19" t="str">
        <f>MONTH(B1807)&amp;"-"&amp;YEAR(B1807)</f>
        <v>1-2025</v>
      </c>
      <c r="U1807" s="2">
        <f>YEAR(B1807)</f>
        <v>2025</v>
      </c>
      <c r="V1807" s="2" t="str">
        <f>IF(DAY(B1807)&gt;15,MONTH(B1807)&amp;"-C",MONTH(B1807)&amp;"-N")</f>
        <v>1-C</v>
      </c>
      <c r="W1807" s="21">
        <v>91.9</v>
      </c>
      <c r="X1807" s="2" t="b">
        <f t="shared" ref="X1807:X1809" si="1079">+L1807=W1807</f>
        <v>0</v>
      </c>
    </row>
    <row r="1808" spans="2:24" x14ac:dyDescent="0.2">
      <c r="B1808" s="17">
        <v>45682</v>
      </c>
      <c r="C1808" s="10" t="s">
        <v>80</v>
      </c>
      <c r="D1808" s="11">
        <v>174652</v>
      </c>
      <c r="E1808" s="26">
        <v>78970</v>
      </c>
      <c r="F1808" s="10" t="s">
        <v>26</v>
      </c>
      <c r="G1808" s="10" t="s">
        <v>3885</v>
      </c>
      <c r="H1808" s="27" t="s">
        <v>28</v>
      </c>
      <c r="I1808" s="28" t="s">
        <v>41</v>
      </c>
      <c r="J1808" s="12" t="s">
        <v>41</v>
      </c>
      <c r="K1808" s="13">
        <v>4500</v>
      </c>
      <c r="L1808" s="21">
        <v>3.0470000000000002</v>
      </c>
      <c r="M1808" s="14" t="s">
        <v>14</v>
      </c>
      <c r="N1808" s="13">
        <v>13711.5</v>
      </c>
      <c r="O1808" s="15">
        <v>0</v>
      </c>
      <c r="P1808" s="10" t="s">
        <v>78</v>
      </c>
      <c r="Q1808" s="11" t="s">
        <v>4053</v>
      </c>
      <c r="R1808" s="11" t="s">
        <v>4054</v>
      </c>
      <c r="S1808" s="16" t="s">
        <v>4055</v>
      </c>
      <c r="T1808" s="19" t="str">
        <f>MONTH(B1808)&amp;"-"&amp;YEAR(B1808)</f>
        <v>1-2025</v>
      </c>
      <c r="U1808" s="2">
        <f>YEAR(B1808)</f>
        <v>2025</v>
      </c>
      <c r="V1808" s="2" t="str">
        <f>IF(DAY(B1808)&gt;15,MONTH(B1808)&amp;"-C",MONTH(B1808)&amp;"-N")</f>
        <v>1-C</v>
      </c>
      <c r="W1808" s="21">
        <v>91.9</v>
      </c>
      <c r="X1808" s="2" t="b">
        <f t="shared" si="1079"/>
        <v>0</v>
      </c>
    </row>
    <row r="1809" spans="2:24" x14ac:dyDescent="0.2">
      <c r="B1809" s="17">
        <v>45681</v>
      </c>
      <c r="C1809" s="10" t="s">
        <v>88</v>
      </c>
      <c r="D1809" s="11">
        <v>174890</v>
      </c>
      <c r="E1809" s="26">
        <v>78946</v>
      </c>
      <c r="F1809" s="10" t="s">
        <v>100</v>
      </c>
      <c r="G1809" s="10" t="s">
        <v>3901</v>
      </c>
      <c r="H1809" s="27" t="s">
        <v>101</v>
      </c>
      <c r="I1809" s="28" t="s">
        <v>41</v>
      </c>
      <c r="J1809" s="12" t="s">
        <v>41</v>
      </c>
      <c r="K1809" s="13">
        <v>2000</v>
      </c>
      <c r="L1809" s="21">
        <v>13.22</v>
      </c>
      <c r="M1809" s="14" t="s">
        <v>14</v>
      </c>
      <c r="N1809" s="13">
        <v>26440</v>
      </c>
      <c r="O1809" s="15">
        <v>0</v>
      </c>
      <c r="P1809" s="10" t="s">
        <v>84</v>
      </c>
      <c r="Q1809" s="11" t="s">
        <v>4056</v>
      </c>
      <c r="R1809" s="11" t="s">
        <v>4057</v>
      </c>
      <c r="S1809" s="16" t="s">
        <v>4058</v>
      </c>
      <c r="T1809" s="19" t="str">
        <f>MONTH(B1809)&amp;"-"&amp;YEAR(B1809)</f>
        <v>1-2025</v>
      </c>
      <c r="U1809" s="2">
        <f>YEAR(B1809)</f>
        <v>2025</v>
      </c>
      <c r="V1809" s="2" t="str">
        <f>IF(DAY(B1809)&gt;15,MONTH(B1809)&amp;"-C",MONTH(B1809)&amp;"-N")</f>
        <v>1-C</v>
      </c>
      <c r="W1809" s="21">
        <v>91.9</v>
      </c>
      <c r="X1809" s="2" t="b">
        <f t="shared" si="1079"/>
        <v>0</v>
      </c>
    </row>
    <row r="1810" spans="2:24" x14ac:dyDescent="0.2">
      <c r="B1810" s="17">
        <v>45659</v>
      </c>
      <c r="C1810" s="10" t="s">
        <v>2630</v>
      </c>
      <c r="D1810" s="11">
        <v>174670</v>
      </c>
      <c r="E1810" s="26">
        <v>78563</v>
      </c>
      <c r="F1810" s="10" t="s">
        <v>29</v>
      </c>
      <c r="G1810" s="10" t="s">
        <v>3885</v>
      </c>
      <c r="H1810" s="27" t="s">
        <v>30</v>
      </c>
      <c r="I1810" s="28" t="s">
        <v>41</v>
      </c>
      <c r="J1810" s="12" t="s">
        <v>41</v>
      </c>
      <c r="K1810" s="13">
        <v>1980</v>
      </c>
      <c r="L1810" s="21">
        <v>3.55</v>
      </c>
      <c r="M1810" s="14" t="s">
        <v>14</v>
      </c>
      <c r="N1810" s="13">
        <v>7029</v>
      </c>
      <c r="O1810" s="15">
        <v>0</v>
      </c>
      <c r="P1810" s="10" t="s">
        <v>78</v>
      </c>
      <c r="Q1810" s="11" t="s">
        <v>4059</v>
      </c>
      <c r="R1810" s="11" t="s">
        <v>4060</v>
      </c>
      <c r="S1810" s="16" t="s">
        <v>4061</v>
      </c>
      <c r="T1810" s="19" t="str">
        <f>MONTH(B1810)&amp;"-"&amp;YEAR(B1810)</f>
        <v>1-2025</v>
      </c>
      <c r="U1810" s="2">
        <f>YEAR(B1810)</f>
        <v>2025</v>
      </c>
      <c r="V1810" s="2" t="str">
        <f>IF(DAY(B1810)&gt;15,MONTH(B1810)&amp;"-C",MONTH(B1810)&amp;"-N")</f>
        <v>1-N</v>
      </c>
      <c r="W1810" s="21">
        <v>91.9</v>
      </c>
      <c r="X1810" s="2" t="b">
        <f t="shared" ref="X1810:X1817" si="1080">+L1810=W1810</f>
        <v>0</v>
      </c>
    </row>
    <row r="1811" spans="2:24" x14ac:dyDescent="0.2">
      <c r="B1811" s="17">
        <v>45667</v>
      </c>
      <c r="C1811" s="10" t="s">
        <v>2630</v>
      </c>
      <c r="D1811" s="11">
        <v>174670</v>
      </c>
      <c r="E1811" s="26">
        <v>78696</v>
      </c>
      <c r="F1811" s="10" t="s">
        <v>29</v>
      </c>
      <c r="G1811" s="10" t="s">
        <v>3885</v>
      </c>
      <c r="H1811" s="27" t="s">
        <v>30</v>
      </c>
      <c r="I1811" s="28" t="s">
        <v>41</v>
      </c>
      <c r="J1811" s="12" t="s">
        <v>41</v>
      </c>
      <c r="K1811" s="13">
        <v>990</v>
      </c>
      <c r="L1811" s="21">
        <v>3.55</v>
      </c>
      <c r="M1811" s="14" t="s">
        <v>14</v>
      </c>
      <c r="N1811" s="13">
        <v>3514.5</v>
      </c>
      <c r="O1811" s="15">
        <v>0</v>
      </c>
      <c r="P1811" s="10" t="s">
        <v>78</v>
      </c>
      <c r="Q1811" s="11" t="s">
        <v>4062</v>
      </c>
      <c r="R1811" s="11" t="s">
        <v>4063</v>
      </c>
      <c r="S1811" s="16" t="s">
        <v>4064</v>
      </c>
      <c r="T1811" s="19" t="str">
        <f>MONTH(B1811)&amp;"-"&amp;YEAR(B1811)</f>
        <v>1-2025</v>
      </c>
      <c r="U1811" s="2">
        <f>YEAR(B1811)</f>
        <v>2025</v>
      </c>
      <c r="V1811" s="2" t="str">
        <f>IF(DAY(B1811)&gt;15,MONTH(B1811)&amp;"-C",MONTH(B1811)&amp;"-N")</f>
        <v>1-N</v>
      </c>
      <c r="W1811" s="21">
        <v>91.9</v>
      </c>
      <c r="X1811" s="2" t="b">
        <f t="shared" si="1080"/>
        <v>0</v>
      </c>
    </row>
    <row r="1812" spans="2:24" x14ac:dyDescent="0.2">
      <c r="B1812" s="17">
        <v>45667</v>
      </c>
      <c r="C1812" s="10" t="s">
        <v>2630</v>
      </c>
      <c r="D1812" s="11">
        <v>174670</v>
      </c>
      <c r="E1812" s="26">
        <v>78696</v>
      </c>
      <c r="F1812" s="10" t="s">
        <v>31</v>
      </c>
      <c r="G1812" s="10" t="s">
        <v>3885</v>
      </c>
      <c r="H1812" s="27" t="s">
        <v>32</v>
      </c>
      <c r="I1812" s="28" t="s">
        <v>41</v>
      </c>
      <c r="J1812" s="12" t="s">
        <v>41</v>
      </c>
      <c r="K1812" s="13">
        <v>1280</v>
      </c>
      <c r="L1812" s="21">
        <v>3.4</v>
      </c>
      <c r="M1812" s="14" t="s">
        <v>14</v>
      </c>
      <c r="N1812" s="13">
        <v>4352</v>
      </c>
      <c r="O1812" s="15">
        <v>0</v>
      </c>
      <c r="P1812" s="10" t="s">
        <v>78</v>
      </c>
      <c r="Q1812" s="11" t="s">
        <v>4062</v>
      </c>
      <c r="R1812" s="11" t="s">
        <v>4063</v>
      </c>
      <c r="S1812" s="16" t="s">
        <v>4064</v>
      </c>
      <c r="T1812" s="19" t="str">
        <f>MONTH(B1812)&amp;"-"&amp;YEAR(B1812)</f>
        <v>1-2025</v>
      </c>
      <c r="U1812" s="2">
        <f>YEAR(B1812)</f>
        <v>2025</v>
      </c>
      <c r="V1812" s="2" t="str">
        <f>IF(DAY(B1812)&gt;15,MONTH(B1812)&amp;"-C",MONTH(B1812)&amp;"-N")</f>
        <v>1-N</v>
      </c>
      <c r="W1812" s="21">
        <v>91.9</v>
      </c>
      <c r="X1812" s="2" t="b">
        <f t="shared" si="1080"/>
        <v>0</v>
      </c>
    </row>
    <row r="1813" spans="2:24" x14ac:dyDescent="0.2">
      <c r="B1813" s="17">
        <v>45667</v>
      </c>
      <c r="C1813" s="10" t="s">
        <v>2630</v>
      </c>
      <c r="D1813" s="11">
        <v>174670</v>
      </c>
      <c r="E1813" s="26">
        <v>78696</v>
      </c>
      <c r="F1813" s="10" t="s">
        <v>49</v>
      </c>
      <c r="G1813" s="10" t="s">
        <v>3885</v>
      </c>
      <c r="H1813" s="27" t="s">
        <v>50</v>
      </c>
      <c r="I1813" s="28" t="s">
        <v>41</v>
      </c>
      <c r="J1813" s="12" t="s">
        <v>41</v>
      </c>
      <c r="K1813" s="13">
        <v>760</v>
      </c>
      <c r="L1813" s="21">
        <v>5</v>
      </c>
      <c r="M1813" s="14" t="s">
        <v>14</v>
      </c>
      <c r="N1813" s="13">
        <v>3800</v>
      </c>
      <c r="O1813" s="15">
        <v>0</v>
      </c>
      <c r="P1813" s="10" t="s">
        <v>78</v>
      </c>
      <c r="Q1813" s="11" t="s">
        <v>4062</v>
      </c>
      <c r="R1813" s="11" t="s">
        <v>4063</v>
      </c>
      <c r="S1813" s="16" t="s">
        <v>4064</v>
      </c>
      <c r="T1813" s="19" t="str">
        <f>MONTH(B1813)&amp;"-"&amp;YEAR(B1813)</f>
        <v>1-2025</v>
      </c>
      <c r="U1813" s="2">
        <f>YEAR(B1813)</f>
        <v>2025</v>
      </c>
      <c r="V1813" s="2" t="str">
        <f>IF(DAY(B1813)&gt;15,MONTH(B1813)&amp;"-C",MONTH(B1813)&amp;"-N")</f>
        <v>1-N</v>
      </c>
      <c r="W1813" s="21">
        <v>91.9</v>
      </c>
      <c r="X1813" s="2" t="b">
        <f t="shared" si="1080"/>
        <v>0</v>
      </c>
    </row>
    <row r="1814" spans="2:24" x14ac:dyDescent="0.2">
      <c r="B1814" s="17">
        <v>45667</v>
      </c>
      <c r="C1814" s="10" t="s">
        <v>2630</v>
      </c>
      <c r="D1814" s="11">
        <v>174670</v>
      </c>
      <c r="E1814" s="26">
        <v>174670</v>
      </c>
      <c r="F1814" s="10" t="s">
        <v>33</v>
      </c>
      <c r="G1814" s="10" t="s">
        <v>3885</v>
      </c>
      <c r="H1814" s="27" t="s">
        <v>34</v>
      </c>
      <c r="I1814" s="28" t="s">
        <v>41</v>
      </c>
      <c r="J1814" s="12" t="s">
        <v>41</v>
      </c>
      <c r="K1814" s="13">
        <v>1600</v>
      </c>
      <c r="L1814" s="21">
        <v>4.95</v>
      </c>
      <c r="M1814" s="14" t="s">
        <v>14</v>
      </c>
      <c r="N1814" s="13">
        <v>7920</v>
      </c>
      <c r="O1814" s="15">
        <v>0</v>
      </c>
      <c r="P1814" s="10" t="s">
        <v>78</v>
      </c>
      <c r="Q1814" s="11" t="s">
        <v>4062</v>
      </c>
      <c r="R1814" s="11" t="s">
        <v>4063</v>
      </c>
      <c r="S1814" s="16" t="s">
        <v>4064</v>
      </c>
      <c r="T1814" s="19" t="str">
        <f>MONTH(B1814)&amp;"-"&amp;YEAR(B1814)</f>
        <v>1-2025</v>
      </c>
      <c r="U1814" s="2">
        <f>YEAR(B1814)</f>
        <v>2025</v>
      </c>
      <c r="V1814" s="2" t="str">
        <f>IF(DAY(B1814)&gt;15,MONTH(B1814)&amp;"-C",MONTH(B1814)&amp;"-N")</f>
        <v>1-N</v>
      </c>
      <c r="W1814" s="21">
        <v>91.9</v>
      </c>
      <c r="X1814" s="2" t="b">
        <f t="shared" si="1080"/>
        <v>0</v>
      </c>
    </row>
    <row r="1815" spans="2:24" x14ac:dyDescent="0.2">
      <c r="B1815" s="17">
        <v>45667</v>
      </c>
      <c r="C1815" s="10" t="s">
        <v>2630</v>
      </c>
      <c r="D1815" s="11">
        <v>174859</v>
      </c>
      <c r="E1815" s="26">
        <v>78697</v>
      </c>
      <c r="F1815" s="10" t="s">
        <v>29</v>
      </c>
      <c r="G1815" s="10" t="s">
        <v>3885</v>
      </c>
      <c r="H1815" s="27" t="s">
        <v>30</v>
      </c>
      <c r="I1815" s="28" t="s">
        <v>41</v>
      </c>
      <c r="J1815" s="12" t="s">
        <v>41</v>
      </c>
      <c r="K1815" s="13">
        <v>330</v>
      </c>
      <c r="L1815" s="21">
        <v>3.55</v>
      </c>
      <c r="M1815" s="14" t="s">
        <v>14</v>
      </c>
      <c r="N1815" s="13">
        <v>1171.5</v>
      </c>
      <c r="O1815" s="15">
        <v>0</v>
      </c>
      <c r="P1815" s="10" t="s">
        <v>78</v>
      </c>
      <c r="Q1815" s="11" t="s">
        <v>4065</v>
      </c>
      <c r="R1815" s="11" t="s">
        <v>4066</v>
      </c>
      <c r="S1815" s="16" t="s">
        <v>4067</v>
      </c>
      <c r="T1815" s="19" t="str">
        <f>MONTH(B1815)&amp;"-"&amp;YEAR(B1815)</f>
        <v>1-2025</v>
      </c>
      <c r="U1815" s="2">
        <f>YEAR(B1815)</f>
        <v>2025</v>
      </c>
      <c r="V1815" s="2" t="str">
        <f>IF(DAY(B1815)&gt;15,MONTH(B1815)&amp;"-C",MONTH(B1815)&amp;"-N")</f>
        <v>1-N</v>
      </c>
      <c r="W1815" s="21">
        <v>91.9</v>
      </c>
      <c r="X1815" s="2" t="b">
        <f t="shared" si="1080"/>
        <v>0</v>
      </c>
    </row>
    <row r="1816" spans="2:24" x14ac:dyDescent="0.2">
      <c r="B1816" s="17">
        <v>45667</v>
      </c>
      <c r="C1816" s="10" t="s">
        <v>2630</v>
      </c>
      <c r="D1816" s="11">
        <v>174859</v>
      </c>
      <c r="E1816" s="26">
        <v>78697</v>
      </c>
      <c r="F1816" s="10" t="s">
        <v>31</v>
      </c>
      <c r="G1816" s="10" t="s">
        <v>3885</v>
      </c>
      <c r="H1816" s="27" t="s">
        <v>32</v>
      </c>
      <c r="I1816" s="28" t="s">
        <v>41</v>
      </c>
      <c r="J1816" s="12" t="s">
        <v>41</v>
      </c>
      <c r="K1816" s="13">
        <v>640</v>
      </c>
      <c r="L1816" s="21">
        <v>3.4</v>
      </c>
      <c r="M1816" s="14" t="s">
        <v>14</v>
      </c>
      <c r="N1816" s="13">
        <v>2176</v>
      </c>
      <c r="O1816" s="15">
        <v>0</v>
      </c>
      <c r="P1816" s="10" t="s">
        <v>78</v>
      </c>
      <c r="Q1816" s="11" t="s">
        <v>4065</v>
      </c>
      <c r="R1816" s="11" t="s">
        <v>4066</v>
      </c>
      <c r="S1816" s="16" t="s">
        <v>4067</v>
      </c>
      <c r="T1816" s="19" t="str">
        <f>MONTH(B1816)&amp;"-"&amp;YEAR(B1816)</f>
        <v>1-2025</v>
      </c>
      <c r="U1816" s="2">
        <f>YEAR(B1816)</f>
        <v>2025</v>
      </c>
      <c r="V1816" s="2" t="str">
        <f>IF(DAY(B1816)&gt;15,MONTH(B1816)&amp;"-C",MONTH(B1816)&amp;"-N")</f>
        <v>1-N</v>
      </c>
      <c r="W1816" s="21">
        <v>91.9</v>
      </c>
      <c r="X1816" s="2" t="b">
        <f t="shared" si="1080"/>
        <v>0</v>
      </c>
    </row>
    <row r="1817" spans="2:24" x14ac:dyDescent="0.2">
      <c r="B1817" s="17">
        <v>45667</v>
      </c>
      <c r="C1817" s="10" t="s">
        <v>2630</v>
      </c>
      <c r="D1817" s="11">
        <v>174859</v>
      </c>
      <c r="E1817" s="26">
        <v>78697</v>
      </c>
      <c r="F1817" s="10" t="s">
        <v>49</v>
      </c>
      <c r="G1817" s="10" t="s">
        <v>3885</v>
      </c>
      <c r="H1817" s="27" t="s">
        <v>50</v>
      </c>
      <c r="I1817" s="28" t="s">
        <v>41</v>
      </c>
      <c r="J1817" s="12" t="s">
        <v>41</v>
      </c>
      <c r="K1817" s="13">
        <v>760</v>
      </c>
      <c r="L1817" s="21">
        <v>5</v>
      </c>
      <c r="M1817" s="14" t="s">
        <v>14</v>
      </c>
      <c r="N1817" s="13">
        <v>3800</v>
      </c>
      <c r="O1817" s="15">
        <v>0</v>
      </c>
      <c r="P1817" s="10" t="s">
        <v>78</v>
      </c>
      <c r="Q1817" s="11" t="s">
        <v>4065</v>
      </c>
      <c r="R1817" s="11" t="s">
        <v>4066</v>
      </c>
      <c r="S1817" s="16" t="s">
        <v>4067</v>
      </c>
      <c r="T1817" s="19" t="str">
        <f>MONTH(B1817)&amp;"-"&amp;YEAR(B1817)</f>
        <v>1-2025</v>
      </c>
      <c r="U1817" s="2">
        <f>YEAR(B1817)</f>
        <v>2025</v>
      </c>
      <c r="V1817" s="2" t="str">
        <f>IF(DAY(B1817)&gt;15,MONTH(B1817)&amp;"-C",MONTH(B1817)&amp;"-N")</f>
        <v>1-N</v>
      </c>
      <c r="W1817" s="21">
        <v>91.9</v>
      </c>
      <c r="X1817" s="2" t="b">
        <f t="shared" si="1080"/>
        <v>0</v>
      </c>
    </row>
    <row r="1818" spans="2:24" x14ac:dyDescent="0.2">
      <c r="B1818" s="17">
        <v>45661</v>
      </c>
      <c r="C1818" s="10" t="s">
        <v>4068</v>
      </c>
      <c r="D1818" s="11">
        <v>174297</v>
      </c>
      <c r="E1818" s="26">
        <v>78598</v>
      </c>
      <c r="F1818" s="10" t="s">
        <v>4069</v>
      </c>
      <c r="G1818" s="10" t="s">
        <v>3901</v>
      </c>
      <c r="H1818" s="27" t="s">
        <v>4089</v>
      </c>
      <c r="I1818" s="28" t="s">
        <v>41</v>
      </c>
      <c r="J1818" s="12" t="s">
        <v>41</v>
      </c>
      <c r="K1818" s="13">
        <v>10800</v>
      </c>
      <c r="L1818" s="21">
        <v>8.5340000000000007</v>
      </c>
      <c r="M1818" s="14" t="s">
        <v>14</v>
      </c>
      <c r="N1818" s="13">
        <v>92169.467999999993</v>
      </c>
      <c r="O1818" s="15">
        <v>0</v>
      </c>
      <c r="P1818" s="10" t="s">
        <v>90</v>
      </c>
      <c r="Q1818" s="11" t="s">
        <v>4070</v>
      </c>
      <c r="R1818" s="11" t="s">
        <v>4071</v>
      </c>
      <c r="S1818" s="16" t="s">
        <v>4072</v>
      </c>
      <c r="T1818" s="19" t="str">
        <f>MONTH(B1818)&amp;"-"&amp;YEAR(B1818)</f>
        <v>1-2025</v>
      </c>
      <c r="U1818" s="2">
        <f>YEAR(B1818)</f>
        <v>2025</v>
      </c>
      <c r="V1818" s="2" t="str">
        <f>IF(DAY(B1818)&gt;15,MONTH(B1818)&amp;"-C",MONTH(B1818)&amp;"-N")</f>
        <v>1-N</v>
      </c>
      <c r="W1818" s="21">
        <v>91.9</v>
      </c>
      <c r="X1818" s="2" t="b">
        <f t="shared" ref="X1818:X1820" si="1081">+L1818=W1818</f>
        <v>0</v>
      </c>
    </row>
    <row r="1819" spans="2:24" x14ac:dyDescent="0.2">
      <c r="B1819" s="17">
        <v>45684</v>
      </c>
      <c r="C1819" s="10" t="s">
        <v>80</v>
      </c>
      <c r="D1819" s="11">
        <v>174652</v>
      </c>
      <c r="E1819" s="26">
        <v>78996</v>
      </c>
      <c r="F1819" s="10" t="s">
        <v>26</v>
      </c>
      <c r="G1819" s="10" t="s">
        <v>3885</v>
      </c>
      <c r="H1819" s="27" t="s">
        <v>28</v>
      </c>
      <c r="I1819" s="28" t="s">
        <v>41</v>
      </c>
      <c r="J1819" s="12" t="s">
        <v>41</v>
      </c>
      <c r="K1819" s="13">
        <v>4500</v>
      </c>
      <c r="L1819" s="21">
        <v>3.0470000000000002</v>
      </c>
      <c r="M1819" s="14" t="s">
        <v>14</v>
      </c>
      <c r="N1819" s="13">
        <v>13711.5</v>
      </c>
      <c r="O1819" s="15">
        <v>0</v>
      </c>
      <c r="P1819" s="10" t="s">
        <v>78</v>
      </c>
      <c r="Q1819" s="11" t="s">
        <v>4073</v>
      </c>
      <c r="R1819" s="11" t="s">
        <v>4074</v>
      </c>
      <c r="S1819" s="16" t="s">
        <v>4075</v>
      </c>
      <c r="T1819" s="19" t="str">
        <f>MONTH(B1819)&amp;"-"&amp;YEAR(B1819)</f>
        <v>1-2025</v>
      </c>
      <c r="U1819" s="2">
        <f>YEAR(B1819)</f>
        <v>2025</v>
      </c>
      <c r="V1819" s="2" t="str">
        <f>IF(DAY(B1819)&gt;15,MONTH(B1819)&amp;"-C",MONTH(B1819)&amp;"-N")</f>
        <v>1-C</v>
      </c>
      <c r="W1819" s="21">
        <v>91.9</v>
      </c>
      <c r="X1819" s="2" t="b">
        <f t="shared" si="1081"/>
        <v>0</v>
      </c>
    </row>
    <row r="1820" spans="2:24" x14ac:dyDescent="0.2">
      <c r="B1820" s="17">
        <v>45684</v>
      </c>
      <c r="C1820" s="10" t="s">
        <v>25</v>
      </c>
      <c r="D1820" s="11">
        <v>174953</v>
      </c>
      <c r="E1820" s="26">
        <v>78997</v>
      </c>
      <c r="F1820" s="10" t="s">
        <v>26</v>
      </c>
      <c r="G1820" s="10" t="s">
        <v>3885</v>
      </c>
      <c r="H1820" s="27" t="s">
        <v>28</v>
      </c>
      <c r="I1820" s="28" t="s">
        <v>41</v>
      </c>
      <c r="J1820" s="12" t="s">
        <v>41</v>
      </c>
      <c r="K1820" s="13">
        <v>18000</v>
      </c>
      <c r="L1820" s="21">
        <v>3.04</v>
      </c>
      <c r="M1820" s="14" t="s">
        <v>14</v>
      </c>
      <c r="N1820" s="13">
        <v>54720</v>
      </c>
      <c r="O1820" s="15">
        <v>0</v>
      </c>
      <c r="P1820" s="10" t="s">
        <v>78</v>
      </c>
      <c r="Q1820" s="11" t="s">
        <v>4076</v>
      </c>
      <c r="R1820" s="11" t="s">
        <v>4077</v>
      </c>
      <c r="S1820" s="16" t="s">
        <v>4078</v>
      </c>
      <c r="T1820" s="19" t="str">
        <f>MONTH(B1820)&amp;"-"&amp;YEAR(B1820)</f>
        <v>1-2025</v>
      </c>
      <c r="U1820" s="2">
        <f>YEAR(B1820)</f>
        <v>2025</v>
      </c>
      <c r="V1820" s="2" t="str">
        <f>IF(DAY(B1820)&gt;15,MONTH(B1820)&amp;"-C",MONTH(B1820)&amp;"-N")</f>
        <v>1-C</v>
      </c>
      <c r="W1820" s="21">
        <v>91.9</v>
      </c>
      <c r="X1820" s="2" t="b">
        <f t="shared" si="1081"/>
        <v>0</v>
      </c>
    </row>
    <row r="1821" spans="2:24" x14ac:dyDescent="0.2">
      <c r="B1821" s="17">
        <v>45688</v>
      </c>
      <c r="C1821" s="10" t="s">
        <v>80</v>
      </c>
      <c r="D1821" s="11">
        <v>174652</v>
      </c>
      <c r="E1821" s="26">
        <v>79084</v>
      </c>
      <c r="F1821" s="10" t="s">
        <v>26</v>
      </c>
      <c r="G1821" s="10" t="s">
        <v>3885</v>
      </c>
      <c r="H1821" s="27" t="s">
        <v>28</v>
      </c>
      <c r="I1821" s="28" t="s">
        <v>41</v>
      </c>
      <c r="J1821" s="12" t="s">
        <v>41</v>
      </c>
      <c r="K1821" s="13">
        <v>3600</v>
      </c>
      <c r="L1821" s="21">
        <v>3.0470000000000002</v>
      </c>
      <c r="M1821" s="14" t="s">
        <v>14</v>
      </c>
      <c r="N1821" s="13">
        <v>10969.2</v>
      </c>
      <c r="O1821" s="15">
        <v>0</v>
      </c>
      <c r="P1821" s="10" t="s">
        <v>78</v>
      </c>
      <c r="Q1821" s="11" t="s">
        <v>4080</v>
      </c>
      <c r="R1821" s="11" t="s">
        <v>4081</v>
      </c>
      <c r="S1821" s="16" t="s">
        <v>4082</v>
      </c>
      <c r="T1821" s="19" t="str">
        <f>MONTH(B1821)&amp;"-"&amp;YEAR(B1821)</f>
        <v>1-2025</v>
      </c>
      <c r="U1821" s="2">
        <f>YEAR(B1821)</f>
        <v>2025</v>
      </c>
      <c r="V1821" s="2" t="str">
        <f>IF(DAY(B1821)&gt;15,MONTH(B1821)&amp;"-C",MONTH(B1821)&amp;"-N")</f>
        <v>1-C</v>
      </c>
      <c r="W1821" s="21">
        <v>91.9</v>
      </c>
      <c r="X1821" s="2" t="b">
        <f t="shared" ref="X1821:X1825" si="1082">+L1821=W1821</f>
        <v>0</v>
      </c>
    </row>
    <row r="1822" spans="2:24" x14ac:dyDescent="0.2">
      <c r="B1822" s="17">
        <v>45688</v>
      </c>
      <c r="C1822" s="10" t="s">
        <v>82</v>
      </c>
      <c r="D1822" s="11">
        <v>175026</v>
      </c>
      <c r="E1822" s="26">
        <v>79096</v>
      </c>
      <c r="F1822" s="10" t="s">
        <v>26</v>
      </c>
      <c r="G1822" s="10" t="s">
        <v>3885</v>
      </c>
      <c r="H1822" s="27" t="s">
        <v>28</v>
      </c>
      <c r="I1822" s="28" t="s">
        <v>41</v>
      </c>
      <c r="J1822" s="12" t="s">
        <v>41</v>
      </c>
      <c r="K1822" s="13">
        <v>3600</v>
      </c>
      <c r="L1822" s="21">
        <v>3.04</v>
      </c>
      <c r="M1822" s="14" t="s">
        <v>14</v>
      </c>
      <c r="N1822" s="13">
        <v>10944</v>
      </c>
      <c r="O1822" s="15">
        <v>0</v>
      </c>
      <c r="P1822" s="10" t="s">
        <v>78</v>
      </c>
      <c r="Q1822" s="11" t="s">
        <v>4083</v>
      </c>
      <c r="R1822" s="11" t="s">
        <v>4084</v>
      </c>
      <c r="S1822" s="16" t="s">
        <v>4085</v>
      </c>
      <c r="T1822" s="19" t="str">
        <f>MONTH(B1822)&amp;"-"&amp;YEAR(B1822)</f>
        <v>1-2025</v>
      </c>
      <c r="U1822" s="2">
        <f>YEAR(B1822)</f>
        <v>2025</v>
      </c>
      <c r="V1822" s="2" t="str">
        <f>IF(DAY(B1822)&gt;15,MONTH(B1822)&amp;"-C",MONTH(B1822)&amp;"-N")</f>
        <v>1-C</v>
      </c>
      <c r="W1822" s="21">
        <v>91.9</v>
      </c>
      <c r="X1822" s="2" t="b">
        <f t="shared" si="1082"/>
        <v>0</v>
      </c>
    </row>
    <row r="1823" spans="2:24" x14ac:dyDescent="0.2">
      <c r="B1823" s="17">
        <v>45684</v>
      </c>
      <c r="C1823" s="10" t="s">
        <v>107</v>
      </c>
      <c r="D1823" s="11">
        <v>174891</v>
      </c>
      <c r="E1823" s="26">
        <v>79036</v>
      </c>
      <c r="F1823" s="10" t="s">
        <v>103</v>
      </c>
      <c r="G1823" s="10" t="s">
        <v>3901</v>
      </c>
      <c r="H1823" s="27" t="s">
        <v>104</v>
      </c>
      <c r="I1823" s="28" t="s">
        <v>41</v>
      </c>
      <c r="J1823" s="12" t="s">
        <v>41</v>
      </c>
      <c r="K1823" s="13">
        <v>65</v>
      </c>
      <c r="L1823" s="21">
        <v>47.46</v>
      </c>
      <c r="M1823" s="14" t="s">
        <v>14</v>
      </c>
      <c r="N1823" s="13">
        <v>3084.9</v>
      </c>
      <c r="O1823" s="15">
        <v>0</v>
      </c>
      <c r="P1823" s="10" t="s">
        <v>84</v>
      </c>
      <c r="Q1823" s="11" t="s">
        <v>4086</v>
      </c>
      <c r="R1823" s="11" t="s">
        <v>4087</v>
      </c>
      <c r="S1823" s="16" t="s">
        <v>4088</v>
      </c>
      <c r="T1823" s="19" t="str">
        <f>MONTH(B1823)&amp;"-"&amp;YEAR(B1823)</f>
        <v>1-2025</v>
      </c>
      <c r="U1823" s="2">
        <f>YEAR(B1823)</f>
        <v>2025</v>
      </c>
      <c r="V1823" s="2" t="str">
        <f>IF(DAY(B1823)&gt;15,MONTH(B1823)&amp;"-C",MONTH(B1823)&amp;"-N")</f>
        <v>1-C</v>
      </c>
      <c r="W1823" s="21">
        <v>91.9</v>
      </c>
      <c r="X1823" s="2" t="b">
        <f t="shared" si="1082"/>
        <v>0</v>
      </c>
    </row>
    <row r="1824" spans="2:24" x14ac:dyDescent="0.2">
      <c r="B1824" s="17">
        <v>45684</v>
      </c>
      <c r="C1824" s="10" t="s">
        <v>107</v>
      </c>
      <c r="D1824" s="11">
        <v>175011</v>
      </c>
      <c r="E1824" s="26">
        <v>79036</v>
      </c>
      <c r="F1824" s="10" t="s">
        <v>103</v>
      </c>
      <c r="G1824" s="10" t="s">
        <v>3901</v>
      </c>
      <c r="H1824" s="27" t="s">
        <v>104</v>
      </c>
      <c r="I1824" s="28" t="s">
        <v>41</v>
      </c>
      <c r="J1824" s="12" t="s">
        <v>41</v>
      </c>
      <c r="K1824" s="13">
        <v>120</v>
      </c>
      <c r="L1824" s="21">
        <v>47.46</v>
      </c>
      <c r="M1824" s="14" t="s">
        <v>14</v>
      </c>
      <c r="N1824" s="13">
        <v>5695.2</v>
      </c>
      <c r="O1824" s="15">
        <v>0</v>
      </c>
      <c r="P1824" s="10" t="s">
        <v>84</v>
      </c>
      <c r="Q1824" s="11" t="s">
        <v>4086</v>
      </c>
      <c r="R1824" s="11" t="s">
        <v>4087</v>
      </c>
      <c r="S1824" s="16" t="s">
        <v>4088</v>
      </c>
      <c r="T1824" s="19" t="str">
        <f>MONTH(B1824)&amp;"-"&amp;YEAR(B1824)</f>
        <v>1-2025</v>
      </c>
      <c r="U1824" s="2">
        <f>YEAR(B1824)</f>
        <v>2025</v>
      </c>
      <c r="V1824" s="2" t="str">
        <f>IF(DAY(B1824)&gt;15,MONTH(B1824)&amp;"-C",MONTH(B1824)&amp;"-N")</f>
        <v>1-C</v>
      </c>
      <c r="W1824" s="21">
        <v>91.9</v>
      </c>
      <c r="X1824" s="2" t="b">
        <f t="shared" si="1082"/>
        <v>0</v>
      </c>
    </row>
    <row r="1825" spans="2:24" x14ac:dyDescent="0.2">
      <c r="B1825" s="17">
        <v>45684</v>
      </c>
      <c r="C1825" s="10" t="s">
        <v>107</v>
      </c>
      <c r="D1825" s="11">
        <v>174891</v>
      </c>
      <c r="E1825" s="26">
        <v>79036</v>
      </c>
      <c r="F1825" s="10" t="s">
        <v>105</v>
      </c>
      <c r="G1825" s="10" t="s">
        <v>3901</v>
      </c>
      <c r="H1825" s="27" t="s">
        <v>106</v>
      </c>
      <c r="I1825" s="28" t="s">
        <v>41</v>
      </c>
      <c r="J1825" s="12" t="s">
        <v>41</v>
      </c>
      <c r="K1825" s="13">
        <v>6160</v>
      </c>
      <c r="L1825" s="21">
        <v>11.72</v>
      </c>
      <c r="M1825" s="14" t="s">
        <v>14</v>
      </c>
      <c r="N1825" s="13">
        <v>72195.199999999997</v>
      </c>
      <c r="O1825" s="15">
        <v>0</v>
      </c>
      <c r="P1825" s="10" t="s">
        <v>84</v>
      </c>
      <c r="Q1825" s="11" t="s">
        <v>4086</v>
      </c>
      <c r="R1825" s="11" t="s">
        <v>4087</v>
      </c>
      <c r="S1825" s="16" t="s">
        <v>4088</v>
      </c>
      <c r="T1825" s="19" t="str">
        <f>MONTH(B1825)&amp;"-"&amp;YEAR(B1825)</f>
        <v>1-2025</v>
      </c>
      <c r="U1825" s="2">
        <f>YEAR(B1825)</f>
        <v>2025</v>
      </c>
      <c r="V1825" s="2" t="str">
        <f>IF(DAY(B1825)&gt;15,MONTH(B1825)&amp;"-C",MONTH(B1825)&amp;"-N")</f>
        <v>1-C</v>
      </c>
      <c r="W1825" s="21">
        <v>91.9</v>
      </c>
      <c r="X1825" s="2" t="b">
        <f t="shared" si="1082"/>
        <v>0</v>
      </c>
    </row>
    <row r="1826" spans="2:24" x14ac:dyDescent="0.2">
      <c r="B1826" s="17">
        <v>45691</v>
      </c>
      <c r="C1826" s="10" t="s">
        <v>80</v>
      </c>
      <c r="D1826" s="11">
        <v>174652</v>
      </c>
      <c r="E1826" s="26">
        <v>79120</v>
      </c>
      <c r="F1826" s="10" t="s">
        <v>26</v>
      </c>
      <c r="G1826" s="10" t="s">
        <v>3885</v>
      </c>
      <c r="H1826" s="27" t="s">
        <v>28</v>
      </c>
      <c r="I1826" s="28" t="s">
        <v>41</v>
      </c>
      <c r="J1826" s="12" t="s">
        <v>41</v>
      </c>
      <c r="K1826" s="13">
        <v>1800</v>
      </c>
      <c r="L1826" s="21">
        <v>3.0470000000000002</v>
      </c>
      <c r="M1826" s="14" t="s">
        <v>14</v>
      </c>
      <c r="N1826" s="13">
        <v>5484.6</v>
      </c>
      <c r="O1826" s="15">
        <v>0</v>
      </c>
      <c r="P1826" s="10" t="s">
        <v>78</v>
      </c>
      <c r="Q1826" s="11" t="s">
        <v>4090</v>
      </c>
      <c r="R1826" s="11" t="s">
        <v>4091</v>
      </c>
      <c r="S1826" s="16" t="s">
        <v>4092</v>
      </c>
      <c r="T1826" s="19" t="str">
        <f>MONTH(B1826)&amp;"-"&amp;YEAR(B1826)</f>
        <v>2-2025</v>
      </c>
      <c r="U1826" s="2">
        <f>YEAR(B1826)</f>
        <v>2025</v>
      </c>
      <c r="V1826" s="2" t="str">
        <f>IF(DAY(B1826)&gt;15,MONTH(B1826)&amp;"-C",MONTH(B1826)&amp;"-N")</f>
        <v>2-N</v>
      </c>
      <c r="W1826" s="21">
        <v>91.9</v>
      </c>
      <c r="X1826" s="2" t="b">
        <f t="shared" ref="X1826:X1828" si="1083">+L1826=W1826</f>
        <v>0</v>
      </c>
    </row>
    <row r="1827" spans="2:24" x14ac:dyDescent="0.2">
      <c r="B1827" s="17">
        <v>45694</v>
      </c>
      <c r="C1827" s="10" t="s">
        <v>80</v>
      </c>
      <c r="D1827" s="11">
        <v>174652</v>
      </c>
      <c r="E1827" s="26">
        <v>79167</v>
      </c>
      <c r="F1827" s="10" t="s">
        <v>26</v>
      </c>
      <c r="G1827" s="10" t="s">
        <v>3885</v>
      </c>
      <c r="H1827" s="27" t="s">
        <v>28</v>
      </c>
      <c r="I1827" s="28" t="s">
        <v>41</v>
      </c>
      <c r="J1827" s="12" t="s">
        <v>41</v>
      </c>
      <c r="K1827" s="13">
        <v>3600</v>
      </c>
      <c r="L1827" s="21">
        <v>3.0470000000000002</v>
      </c>
      <c r="M1827" s="14" t="s">
        <v>14</v>
      </c>
      <c r="N1827" s="13">
        <v>10969.2</v>
      </c>
      <c r="O1827" s="15">
        <v>0</v>
      </c>
      <c r="P1827" s="10" t="s">
        <v>78</v>
      </c>
      <c r="Q1827" s="11" t="s">
        <v>4093</v>
      </c>
      <c r="R1827" s="11" t="s">
        <v>4094</v>
      </c>
      <c r="S1827" s="16" t="s">
        <v>4095</v>
      </c>
      <c r="T1827" s="19" t="str">
        <f>MONTH(B1827)&amp;"-"&amp;YEAR(B1827)</f>
        <v>2-2025</v>
      </c>
      <c r="U1827" s="2">
        <f>YEAR(B1827)</f>
        <v>2025</v>
      </c>
      <c r="V1827" s="2" t="str">
        <f>IF(DAY(B1827)&gt;15,MONTH(B1827)&amp;"-C",MONTH(B1827)&amp;"-N")</f>
        <v>2-N</v>
      </c>
      <c r="W1827" s="21">
        <v>91.9</v>
      </c>
      <c r="X1827" s="2" t="b">
        <f t="shared" si="1083"/>
        <v>0</v>
      </c>
    </row>
    <row r="1828" spans="2:24" x14ac:dyDescent="0.2">
      <c r="B1828" s="17">
        <v>45694</v>
      </c>
      <c r="C1828" s="10" t="s">
        <v>80</v>
      </c>
      <c r="D1828" s="11">
        <v>174652</v>
      </c>
      <c r="E1828" s="26">
        <v>79168</v>
      </c>
      <c r="F1828" s="10" t="s">
        <v>26</v>
      </c>
      <c r="G1828" s="10" t="s">
        <v>3885</v>
      </c>
      <c r="H1828" s="27" t="s">
        <v>28</v>
      </c>
      <c r="I1828" s="28" t="s">
        <v>41</v>
      </c>
      <c r="J1828" s="12" t="s">
        <v>41</v>
      </c>
      <c r="K1828" s="13">
        <v>3600</v>
      </c>
      <c r="L1828" s="21">
        <v>3.0470000000000002</v>
      </c>
      <c r="M1828" s="14" t="s">
        <v>14</v>
      </c>
      <c r="N1828" s="13">
        <v>10969.2</v>
      </c>
      <c r="O1828" s="15">
        <v>0</v>
      </c>
      <c r="P1828" s="10" t="s">
        <v>78</v>
      </c>
      <c r="Q1828" s="11" t="s">
        <v>4096</v>
      </c>
      <c r="R1828" s="11" t="s">
        <v>4097</v>
      </c>
      <c r="S1828" s="16" t="s">
        <v>4098</v>
      </c>
      <c r="T1828" s="19" t="str">
        <f>MONTH(B1828)&amp;"-"&amp;YEAR(B1828)</f>
        <v>2-2025</v>
      </c>
      <c r="U1828" s="2">
        <f>YEAR(B1828)</f>
        <v>2025</v>
      </c>
      <c r="V1828" s="2" t="str">
        <f>IF(DAY(B1828)&gt;15,MONTH(B1828)&amp;"-C",MONTH(B1828)&amp;"-N")</f>
        <v>2-N</v>
      </c>
      <c r="W1828" s="21">
        <v>91.9</v>
      </c>
      <c r="X1828" s="2" t="b">
        <f t="shared" si="1083"/>
        <v>0</v>
      </c>
    </row>
    <row r="1829" spans="2:24" x14ac:dyDescent="0.2">
      <c r="B1829" s="17">
        <v>45689</v>
      </c>
      <c r="C1829" s="10" t="s">
        <v>82</v>
      </c>
      <c r="D1829" s="11">
        <v>175026</v>
      </c>
      <c r="E1829" s="26">
        <v>79102</v>
      </c>
      <c r="F1829" s="10" t="s">
        <v>26</v>
      </c>
      <c r="G1829" s="10" t="s">
        <v>3885</v>
      </c>
      <c r="H1829" s="27" t="s">
        <v>28</v>
      </c>
      <c r="I1829" s="28" t="s">
        <v>41</v>
      </c>
      <c r="J1829" s="12" t="s">
        <v>41</v>
      </c>
      <c r="K1829" s="13">
        <v>3600</v>
      </c>
      <c r="L1829" s="21">
        <v>3.04</v>
      </c>
      <c r="M1829" s="14" t="s">
        <v>14</v>
      </c>
      <c r="N1829" s="13">
        <v>10944</v>
      </c>
      <c r="O1829" s="15">
        <v>0</v>
      </c>
      <c r="P1829" s="10" t="s">
        <v>78</v>
      </c>
      <c r="Q1829" s="11" t="s">
        <v>4099</v>
      </c>
      <c r="R1829" s="11" t="s">
        <v>4100</v>
      </c>
      <c r="S1829" s="16" t="s">
        <v>4101</v>
      </c>
      <c r="T1829" s="19" t="str">
        <f>MONTH(B1829)&amp;"-"&amp;YEAR(B1829)</f>
        <v>2-2025</v>
      </c>
      <c r="U1829" s="2">
        <f>YEAR(B1829)</f>
        <v>2025</v>
      </c>
      <c r="V1829" s="2" t="str">
        <f>IF(DAY(B1829)&gt;15,MONTH(B1829)&amp;"-C",MONTH(B1829)&amp;"-N")</f>
        <v>2-N</v>
      </c>
      <c r="W1829" s="21">
        <v>91.9</v>
      </c>
      <c r="X1829" s="2" t="b">
        <f t="shared" ref="X1829:X1836" si="1084">+L1829=W1829</f>
        <v>0</v>
      </c>
    </row>
    <row r="1830" spans="2:24" x14ac:dyDescent="0.2">
      <c r="B1830" s="17">
        <v>45691</v>
      </c>
      <c r="C1830" s="10" t="s">
        <v>82</v>
      </c>
      <c r="D1830" s="11">
        <v>175026</v>
      </c>
      <c r="E1830" s="26">
        <v>79118</v>
      </c>
      <c r="F1830" s="10" t="s">
        <v>26</v>
      </c>
      <c r="G1830" s="10" t="s">
        <v>3885</v>
      </c>
      <c r="H1830" s="27" t="s">
        <v>28</v>
      </c>
      <c r="I1830" s="28" t="s">
        <v>41</v>
      </c>
      <c r="J1830" s="12" t="s">
        <v>41</v>
      </c>
      <c r="K1830" s="13">
        <v>3600</v>
      </c>
      <c r="L1830" s="21">
        <v>3.04</v>
      </c>
      <c r="M1830" s="14" t="s">
        <v>14</v>
      </c>
      <c r="N1830" s="13">
        <v>10944</v>
      </c>
      <c r="O1830" s="15">
        <v>0</v>
      </c>
      <c r="P1830" s="10" t="s">
        <v>78</v>
      </c>
      <c r="Q1830" s="11" t="s">
        <v>4102</v>
      </c>
      <c r="R1830" s="11" t="s">
        <v>4103</v>
      </c>
      <c r="S1830" s="16" t="s">
        <v>4104</v>
      </c>
      <c r="T1830" s="19" t="str">
        <f>MONTH(B1830)&amp;"-"&amp;YEAR(B1830)</f>
        <v>2-2025</v>
      </c>
      <c r="U1830" s="2">
        <f>YEAR(B1830)</f>
        <v>2025</v>
      </c>
      <c r="V1830" s="2" t="str">
        <f>IF(DAY(B1830)&gt;15,MONTH(B1830)&amp;"-C",MONTH(B1830)&amp;"-N")</f>
        <v>2-N</v>
      </c>
      <c r="W1830" s="21">
        <v>91.9</v>
      </c>
      <c r="X1830" s="2" t="b">
        <f t="shared" si="1084"/>
        <v>0</v>
      </c>
    </row>
    <row r="1831" spans="2:24" x14ac:dyDescent="0.2">
      <c r="B1831" s="17">
        <v>45693</v>
      </c>
      <c r="C1831" s="10" t="s">
        <v>82</v>
      </c>
      <c r="D1831" s="11">
        <v>175026</v>
      </c>
      <c r="E1831" s="26">
        <v>79165</v>
      </c>
      <c r="F1831" s="10" t="s">
        <v>26</v>
      </c>
      <c r="G1831" s="10" t="s">
        <v>3885</v>
      </c>
      <c r="H1831" s="27" t="s">
        <v>28</v>
      </c>
      <c r="I1831" s="28" t="s">
        <v>41</v>
      </c>
      <c r="J1831" s="12" t="s">
        <v>41</v>
      </c>
      <c r="K1831" s="13">
        <v>7200</v>
      </c>
      <c r="L1831" s="21">
        <v>3.04</v>
      </c>
      <c r="M1831" s="14" t="s">
        <v>14</v>
      </c>
      <c r="N1831" s="13">
        <v>21888</v>
      </c>
      <c r="O1831" s="15">
        <v>0</v>
      </c>
      <c r="P1831" s="10" t="s">
        <v>78</v>
      </c>
      <c r="Q1831" s="11" t="s">
        <v>4105</v>
      </c>
      <c r="R1831" s="11" t="s">
        <v>4106</v>
      </c>
      <c r="S1831" s="16" t="s">
        <v>4107</v>
      </c>
      <c r="T1831" s="19" t="str">
        <f>MONTH(B1831)&amp;"-"&amp;YEAR(B1831)</f>
        <v>2-2025</v>
      </c>
      <c r="U1831" s="2">
        <f>YEAR(B1831)</f>
        <v>2025</v>
      </c>
      <c r="V1831" s="2" t="str">
        <f>IF(DAY(B1831)&gt;15,MONTH(B1831)&amp;"-C",MONTH(B1831)&amp;"-N")</f>
        <v>2-N</v>
      </c>
      <c r="W1831" s="21">
        <v>91.9</v>
      </c>
      <c r="X1831" s="2" t="b">
        <f t="shared" si="1084"/>
        <v>0</v>
      </c>
    </row>
    <row r="1832" spans="2:24" x14ac:dyDescent="0.2">
      <c r="B1832" s="17">
        <v>45694</v>
      </c>
      <c r="C1832" s="10" t="s">
        <v>82</v>
      </c>
      <c r="D1832" s="11">
        <v>175026</v>
      </c>
      <c r="E1832" s="26">
        <v>79166</v>
      </c>
      <c r="F1832" s="10" t="s">
        <v>26</v>
      </c>
      <c r="G1832" s="10" t="s">
        <v>3885</v>
      </c>
      <c r="H1832" s="27" t="s">
        <v>28</v>
      </c>
      <c r="I1832" s="28" t="s">
        <v>41</v>
      </c>
      <c r="J1832" s="12" t="s">
        <v>41</v>
      </c>
      <c r="K1832" s="13">
        <v>1800</v>
      </c>
      <c r="L1832" s="21">
        <v>3.04</v>
      </c>
      <c r="M1832" s="14" t="s">
        <v>14</v>
      </c>
      <c r="N1832" s="13">
        <v>5472</v>
      </c>
      <c r="O1832" s="15">
        <v>0</v>
      </c>
      <c r="P1832" s="10" t="s">
        <v>78</v>
      </c>
      <c r="Q1832" s="11" t="s">
        <v>4108</v>
      </c>
      <c r="R1832" s="11" t="s">
        <v>4109</v>
      </c>
      <c r="S1832" s="16" t="s">
        <v>4110</v>
      </c>
      <c r="T1832" s="19" t="str">
        <f>MONTH(B1832)&amp;"-"&amp;YEAR(B1832)</f>
        <v>2-2025</v>
      </c>
      <c r="U1832" s="2">
        <f>YEAR(B1832)</f>
        <v>2025</v>
      </c>
      <c r="V1832" s="2" t="str">
        <f>IF(DAY(B1832)&gt;15,MONTH(B1832)&amp;"-C",MONTH(B1832)&amp;"-N")</f>
        <v>2-N</v>
      </c>
      <c r="W1832" s="21">
        <v>91.9</v>
      </c>
      <c r="X1832" s="2" t="b">
        <f t="shared" si="1084"/>
        <v>0</v>
      </c>
    </row>
    <row r="1833" spans="2:24" x14ac:dyDescent="0.2">
      <c r="B1833" s="17">
        <v>45696</v>
      </c>
      <c r="C1833" s="10" t="s">
        <v>82</v>
      </c>
      <c r="D1833" s="11">
        <v>175026</v>
      </c>
      <c r="E1833" s="26">
        <v>79204</v>
      </c>
      <c r="F1833" s="10" t="s">
        <v>26</v>
      </c>
      <c r="G1833" s="10" t="s">
        <v>3885</v>
      </c>
      <c r="H1833" s="27" t="s">
        <v>28</v>
      </c>
      <c r="I1833" s="28" t="s">
        <v>41</v>
      </c>
      <c r="J1833" s="12" t="s">
        <v>41</v>
      </c>
      <c r="K1833" s="13">
        <v>7200</v>
      </c>
      <c r="L1833" s="21">
        <v>3.04</v>
      </c>
      <c r="M1833" s="14" t="s">
        <v>14</v>
      </c>
      <c r="N1833" s="13">
        <v>21888</v>
      </c>
      <c r="O1833" s="15">
        <v>0</v>
      </c>
      <c r="P1833" s="10" t="s">
        <v>78</v>
      </c>
      <c r="Q1833" s="11" t="s">
        <v>4111</v>
      </c>
      <c r="R1833" s="11" t="s">
        <v>4112</v>
      </c>
      <c r="S1833" s="16" t="s">
        <v>4113</v>
      </c>
      <c r="T1833" s="19" t="str">
        <f>MONTH(B1833)&amp;"-"&amp;YEAR(B1833)</f>
        <v>2-2025</v>
      </c>
      <c r="U1833" s="2">
        <f>YEAR(B1833)</f>
        <v>2025</v>
      </c>
      <c r="V1833" s="2" t="str">
        <f>IF(DAY(B1833)&gt;15,MONTH(B1833)&amp;"-C",MONTH(B1833)&amp;"-N")</f>
        <v>2-N</v>
      </c>
      <c r="W1833" s="21">
        <v>91.9</v>
      </c>
      <c r="X1833" s="2" t="b">
        <f t="shared" si="1084"/>
        <v>0</v>
      </c>
    </row>
    <row r="1834" spans="2:24" x14ac:dyDescent="0.2">
      <c r="B1834" s="17">
        <v>45697</v>
      </c>
      <c r="C1834" s="10" t="s">
        <v>2630</v>
      </c>
      <c r="D1834" s="11">
        <v>174859</v>
      </c>
      <c r="E1834" s="26">
        <v>79206</v>
      </c>
      <c r="F1834" s="10" t="s">
        <v>29</v>
      </c>
      <c r="G1834" s="10" t="s">
        <v>3885</v>
      </c>
      <c r="H1834" s="27" t="s">
        <v>30</v>
      </c>
      <c r="I1834" s="28" t="s">
        <v>41</v>
      </c>
      <c r="J1834" s="12" t="s">
        <v>41</v>
      </c>
      <c r="K1834" s="13">
        <v>1980</v>
      </c>
      <c r="L1834" s="21">
        <v>3.55</v>
      </c>
      <c r="M1834" s="14" t="s">
        <v>14</v>
      </c>
      <c r="N1834" s="13">
        <v>7029</v>
      </c>
      <c r="O1834" s="15">
        <v>0</v>
      </c>
      <c r="P1834" s="10" t="s">
        <v>78</v>
      </c>
      <c r="Q1834" s="11" t="s">
        <v>4114</v>
      </c>
      <c r="R1834" s="11" t="s">
        <v>4115</v>
      </c>
      <c r="S1834" s="16" t="s">
        <v>4116</v>
      </c>
      <c r="T1834" s="19" t="str">
        <f>MONTH(B1834)&amp;"-"&amp;YEAR(B1834)</f>
        <v>2-2025</v>
      </c>
      <c r="U1834" s="2">
        <f>YEAR(B1834)</f>
        <v>2025</v>
      </c>
      <c r="V1834" s="2" t="str">
        <f>IF(DAY(B1834)&gt;15,MONTH(B1834)&amp;"-C",MONTH(B1834)&amp;"-N")</f>
        <v>2-N</v>
      </c>
      <c r="W1834" s="21">
        <v>91.9</v>
      </c>
      <c r="X1834" s="2" t="b">
        <f t="shared" si="1084"/>
        <v>0</v>
      </c>
    </row>
    <row r="1835" spans="2:24" x14ac:dyDescent="0.2">
      <c r="B1835" s="17">
        <v>45697</v>
      </c>
      <c r="C1835" s="10" t="s">
        <v>2630</v>
      </c>
      <c r="D1835" s="11">
        <v>174859</v>
      </c>
      <c r="E1835" s="26">
        <v>79206</v>
      </c>
      <c r="F1835" s="10" t="s">
        <v>31</v>
      </c>
      <c r="G1835" s="10" t="s">
        <v>3885</v>
      </c>
      <c r="H1835" s="27" t="s">
        <v>32</v>
      </c>
      <c r="I1835" s="28" t="s">
        <v>41</v>
      </c>
      <c r="J1835" s="12" t="s">
        <v>41</v>
      </c>
      <c r="K1835" s="13">
        <v>1920</v>
      </c>
      <c r="L1835" s="21">
        <v>3.4</v>
      </c>
      <c r="M1835" s="14" t="s">
        <v>14</v>
      </c>
      <c r="N1835" s="13">
        <v>6528</v>
      </c>
      <c r="O1835" s="15">
        <v>0</v>
      </c>
      <c r="P1835" s="10" t="s">
        <v>78</v>
      </c>
      <c r="Q1835" s="11" t="s">
        <v>4114</v>
      </c>
      <c r="R1835" s="11" t="s">
        <v>4115</v>
      </c>
      <c r="S1835" s="16" t="s">
        <v>4116</v>
      </c>
      <c r="T1835" s="19" t="str">
        <f>MONTH(B1835)&amp;"-"&amp;YEAR(B1835)</f>
        <v>2-2025</v>
      </c>
      <c r="U1835" s="2">
        <f>YEAR(B1835)</f>
        <v>2025</v>
      </c>
      <c r="V1835" s="2" t="str">
        <f>IF(DAY(B1835)&gt;15,MONTH(B1835)&amp;"-C",MONTH(B1835)&amp;"-N")</f>
        <v>2-N</v>
      </c>
      <c r="W1835" s="21">
        <v>91.9</v>
      </c>
      <c r="X1835" s="2" t="b">
        <f t="shared" si="1084"/>
        <v>0</v>
      </c>
    </row>
    <row r="1836" spans="2:24" x14ac:dyDescent="0.2">
      <c r="B1836" s="17">
        <v>45697</v>
      </c>
      <c r="C1836" s="10" t="s">
        <v>2630</v>
      </c>
      <c r="D1836" s="11">
        <v>174859</v>
      </c>
      <c r="E1836" s="26">
        <v>79206</v>
      </c>
      <c r="F1836" s="10" t="s">
        <v>33</v>
      </c>
      <c r="G1836" s="10" t="s">
        <v>3885</v>
      </c>
      <c r="H1836" s="27" t="s">
        <v>34</v>
      </c>
      <c r="I1836" s="28" t="s">
        <v>41</v>
      </c>
      <c r="J1836" s="12" t="s">
        <v>41</v>
      </c>
      <c r="K1836" s="13">
        <v>3200</v>
      </c>
      <c r="L1836" s="21">
        <v>4.95</v>
      </c>
      <c r="M1836" s="14" t="s">
        <v>14</v>
      </c>
      <c r="N1836" s="13">
        <v>15840</v>
      </c>
      <c r="O1836" s="15">
        <v>0</v>
      </c>
      <c r="P1836" s="10" t="s">
        <v>78</v>
      </c>
      <c r="Q1836" s="11" t="s">
        <v>4114</v>
      </c>
      <c r="R1836" s="11" t="s">
        <v>4115</v>
      </c>
      <c r="S1836" s="16" t="s">
        <v>4116</v>
      </c>
      <c r="T1836" s="19" t="str">
        <f>MONTH(B1836)&amp;"-"&amp;YEAR(B1836)</f>
        <v>2-2025</v>
      </c>
      <c r="U1836" s="2">
        <f>YEAR(B1836)</f>
        <v>2025</v>
      </c>
      <c r="V1836" s="2" t="str">
        <f>IF(DAY(B1836)&gt;15,MONTH(B1836)&amp;"-C",MONTH(B1836)&amp;"-N")</f>
        <v>2-N</v>
      </c>
      <c r="W1836" s="21">
        <v>91.9</v>
      </c>
      <c r="X1836" s="2" t="b">
        <f t="shared" si="1084"/>
        <v>0</v>
      </c>
    </row>
    <row r="1837" spans="2:24" x14ac:dyDescent="0.2">
      <c r="B1837" s="17">
        <v>45699</v>
      </c>
      <c r="C1837" s="10" t="s">
        <v>25</v>
      </c>
      <c r="D1837" s="11">
        <v>174953</v>
      </c>
      <c r="E1837" s="26">
        <v>79250</v>
      </c>
      <c r="F1837" s="10" t="s">
        <v>26</v>
      </c>
      <c r="G1837" s="10" t="s">
        <v>3885</v>
      </c>
      <c r="H1837" s="27" t="s">
        <v>28</v>
      </c>
      <c r="I1837" s="28" t="s">
        <v>41</v>
      </c>
      <c r="J1837" s="12" t="s">
        <v>41</v>
      </c>
      <c r="K1837" s="13">
        <v>16200</v>
      </c>
      <c r="L1837" s="21">
        <v>3.04</v>
      </c>
      <c r="M1837" s="14" t="s">
        <v>14</v>
      </c>
      <c r="N1837" s="13">
        <v>49248</v>
      </c>
      <c r="O1837" s="15">
        <v>0</v>
      </c>
      <c r="P1837" s="10" t="s">
        <v>78</v>
      </c>
      <c r="Q1837" s="11" t="s">
        <v>4117</v>
      </c>
      <c r="R1837" s="11" t="s">
        <v>4118</v>
      </c>
      <c r="S1837" s="16" t="s">
        <v>4119</v>
      </c>
      <c r="T1837" s="19" t="str">
        <f>MONTH(B1837)&amp;"-"&amp;YEAR(B1837)</f>
        <v>2-2025</v>
      </c>
      <c r="U1837" s="2">
        <f>YEAR(B1837)</f>
        <v>2025</v>
      </c>
      <c r="V1837" s="2" t="str">
        <f>IF(DAY(B1837)&gt;15,MONTH(B1837)&amp;"-C",MONTH(B1837)&amp;"-N")</f>
        <v>2-N</v>
      </c>
      <c r="W1837" s="21">
        <v>91.9</v>
      </c>
      <c r="X1837" s="2" t="b">
        <f t="shared" ref="X1837:X1838" si="1085">+L1837=W1837</f>
        <v>0</v>
      </c>
    </row>
    <row r="1838" spans="2:24" x14ac:dyDescent="0.2">
      <c r="B1838" s="17">
        <v>45701</v>
      </c>
      <c r="C1838" s="10" t="s">
        <v>82</v>
      </c>
      <c r="D1838" s="11">
        <v>175026</v>
      </c>
      <c r="E1838" s="26">
        <v>79288</v>
      </c>
      <c r="F1838" s="10" t="s">
        <v>26</v>
      </c>
      <c r="G1838" s="10" t="s">
        <v>3885</v>
      </c>
      <c r="H1838" s="27" t="s">
        <v>28</v>
      </c>
      <c r="I1838" s="28" t="s">
        <v>41</v>
      </c>
      <c r="J1838" s="12" t="s">
        <v>41</v>
      </c>
      <c r="K1838" s="13">
        <v>4500</v>
      </c>
      <c r="L1838" s="21">
        <v>3.04</v>
      </c>
      <c r="M1838" s="14" t="s">
        <v>14</v>
      </c>
      <c r="N1838" s="13">
        <v>13680</v>
      </c>
      <c r="O1838" s="15">
        <v>0</v>
      </c>
      <c r="P1838" s="10" t="s">
        <v>78</v>
      </c>
      <c r="Q1838" s="11" t="s">
        <v>4120</v>
      </c>
      <c r="R1838" s="11" t="s">
        <v>4121</v>
      </c>
      <c r="S1838" s="16" t="s">
        <v>4122</v>
      </c>
      <c r="T1838" s="19" t="str">
        <f>MONTH(B1838)&amp;"-"&amp;YEAR(B1838)</f>
        <v>2-2025</v>
      </c>
      <c r="U1838" s="2">
        <f>YEAR(B1838)</f>
        <v>2025</v>
      </c>
      <c r="V1838" s="2" t="str">
        <f>IF(DAY(B1838)&gt;15,MONTH(B1838)&amp;"-C",MONTH(B1838)&amp;"-N")</f>
        <v>2-N</v>
      </c>
      <c r="W1838" s="21">
        <v>91.9</v>
      </c>
      <c r="X1838" s="2" t="b">
        <f t="shared" si="1085"/>
        <v>0</v>
      </c>
    </row>
    <row r="1839" spans="2:24" x14ac:dyDescent="0.2">
      <c r="B1839" s="17">
        <v>45710</v>
      </c>
      <c r="C1839" s="10" t="s">
        <v>82</v>
      </c>
      <c r="D1839" s="11">
        <v>175026</v>
      </c>
      <c r="E1839" s="26">
        <v>79457</v>
      </c>
      <c r="F1839" s="10" t="s">
        <v>26</v>
      </c>
      <c r="G1839" s="10" t="s">
        <v>3885</v>
      </c>
      <c r="H1839" s="27" t="s">
        <v>28</v>
      </c>
      <c r="I1839" s="28" t="s">
        <v>41</v>
      </c>
      <c r="J1839" s="12" t="s">
        <v>41</v>
      </c>
      <c r="K1839" s="13">
        <v>9000</v>
      </c>
      <c r="L1839" s="21">
        <v>3.04</v>
      </c>
      <c r="M1839" s="14" t="s">
        <v>14</v>
      </c>
      <c r="N1839" s="13">
        <v>27360</v>
      </c>
      <c r="O1839" s="15">
        <v>0</v>
      </c>
      <c r="P1839" s="10" t="s">
        <v>78</v>
      </c>
      <c r="Q1839" s="11" t="s">
        <v>4123</v>
      </c>
      <c r="R1839" s="11" t="s">
        <v>4124</v>
      </c>
      <c r="S1839" s="16" t="s">
        <v>4125</v>
      </c>
      <c r="T1839" s="19" t="str">
        <f>MONTH(B1839)&amp;"-"&amp;YEAR(B1839)</f>
        <v>2-2025</v>
      </c>
      <c r="U1839" s="2">
        <f>YEAR(B1839)</f>
        <v>2025</v>
      </c>
      <c r="V1839" s="2" t="str">
        <f>IF(DAY(B1839)&gt;15,MONTH(B1839)&amp;"-C",MONTH(B1839)&amp;"-N")</f>
        <v>2-C</v>
      </c>
      <c r="W1839" s="21">
        <v>91.9</v>
      </c>
      <c r="X1839" s="2" t="b">
        <f t="shared" ref="X1839:X1841" si="1086">+L1839=W1839</f>
        <v>0</v>
      </c>
    </row>
    <row r="1840" spans="2:24" x14ac:dyDescent="0.2">
      <c r="B1840" s="17">
        <v>45710</v>
      </c>
      <c r="C1840" s="10" t="s">
        <v>82</v>
      </c>
      <c r="D1840" s="11">
        <v>175026</v>
      </c>
      <c r="E1840" s="26">
        <v>79460</v>
      </c>
      <c r="F1840" s="10" t="s">
        <v>26</v>
      </c>
      <c r="G1840" s="10" t="s">
        <v>3885</v>
      </c>
      <c r="H1840" s="27" t="s">
        <v>28</v>
      </c>
      <c r="I1840" s="28" t="s">
        <v>41</v>
      </c>
      <c r="J1840" s="12" t="s">
        <v>41</v>
      </c>
      <c r="K1840" s="13">
        <v>9000</v>
      </c>
      <c r="L1840" s="21">
        <v>3.04</v>
      </c>
      <c r="M1840" s="14" t="s">
        <v>14</v>
      </c>
      <c r="N1840" s="13">
        <v>27360</v>
      </c>
      <c r="O1840" s="15">
        <v>0</v>
      </c>
      <c r="P1840" s="10" t="s">
        <v>78</v>
      </c>
      <c r="Q1840" s="11" t="s">
        <v>4126</v>
      </c>
      <c r="R1840" s="11" t="s">
        <v>4127</v>
      </c>
      <c r="S1840" s="16" t="s">
        <v>4128</v>
      </c>
      <c r="T1840" s="19" t="str">
        <f>MONTH(B1840)&amp;"-"&amp;YEAR(B1840)</f>
        <v>2-2025</v>
      </c>
      <c r="U1840" s="2">
        <f>YEAR(B1840)</f>
        <v>2025</v>
      </c>
      <c r="V1840" s="2" t="str">
        <f>IF(DAY(B1840)&gt;15,MONTH(B1840)&amp;"-C",MONTH(B1840)&amp;"-N")</f>
        <v>2-C</v>
      </c>
      <c r="W1840" s="21">
        <v>91.9</v>
      </c>
      <c r="X1840" s="2" t="b">
        <f t="shared" si="1086"/>
        <v>0</v>
      </c>
    </row>
    <row r="1841" spans="2:24" x14ac:dyDescent="0.2">
      <c r="B1841" s="17">
        <v>45703</v>
      </c>
      <c r="C1841" s="10" t="s">
        <v>82</v>
      </c>
      <c r="D1841" s="11">
        <v>175026</v>
      </c>
      <c r="E1841" s="26">
        <v>79322</v>
      </c>
      <c r="F1841" s="10" t="s">
        <v>26</v>
      </c>
      <c r="G1841" s="10" t="s">
        <v>3885</v>
      </c>
      <c r="H1841" s="27" t="s">
        <v>28</v>
      </c>
      <c r="I1841" s="28" t="s">
        <v>41</v>
      </c>
      <c r="J1841" s="12" t="s">
        <v>41</v>
      </c>
      <c r="K1841" s="13">
        <v>9000</v>
      </c>
      <c r="L1841" s="21">
        <v>3.04</v>
      </c>
      <c r="M1841" s="14" t="s">
        <v>14</v>
      </c>
      <c r="N1841" s="13">
        <v>27360</v>
      </c>
      <c r="O1841" s="15">
        <v>0</v>
      </c>
      <c r="P1841" s="10" t="s">
        <v>78</v>
      </c>
      <c r="Q1841" s="11" t="s">
        <v>4129</v>
      </c>
      <c r="R1841" s="11" t="s">
        <v>4130</v>
      </c>
      <c r="S1841" s="16" t="s">
        <v>4131</v>
      </c>
      <c r="T1841" s="19" t="str">
        <f>MONTH(B1841)&amp;"-"&amp;YEAR(B1841)</f>
        <v>2-2025</v>
      </c>
      <c r="U1841" s="2">
        <f>YEAR(B1841)</f>
        <v>2025</v>
      </c>
      <c r="V1841" s="2" t="str">
        <f>IF(DAY(B1841)&gt;15,MONTH(B1841)&amp;"-C",MONTH(B1841)&amp;"-N")</f>
        <v>2-N</v>
      </c>
      <c r="W1841" s="21">
        <v>91.9</v>
      </c>
      <c r="X1841" s="2" t="b">
        <f t="shared" si="1086"/>
        <v>0</v>
      </c>
    </row>
    <row r="1842" spans="2:24" x14ac:dyDescent="0.2">
      <c r="B1842" s="17">
        <v>45707</v>
      </c>
      <c r="C1842" s="10" t="s">
        <v>82</v>
      </c>
      <c r="D1842" s="11">
        <v>175026</v>
      </c>
      <c r="E1842" s="26">
        <v>79400</v>
      </c>
      <c r="F1842" s="10" t="s">
        <v>26</v>
      </c>
      <c r="G1842" s="10" t="s">
        <v>3885</v>
      </c>
      <c r="H1842" s="27" t="s">
        <v>28</v>
      </c>
      <c r="I1842" s="28" t="s">
        <v>41</v>
      </c>
      <c r="J1842" s="12" t="s">
        <v>41</v>
      </c>
      <c r="K1842" s="13">
        <v>9000</v>
      </c>
      <c r="L1842" s="21">
        <v>3.04</v>
      </c>
      <c r="M1842" s="14" t="s">
        <v>14</v>
      </c>
      <c r="N1842" s="13">
        <v>27360</v>
      </c>
      <c r="O1842" s="15">
        <v>0</v>
      </c>
      <c r="P1842" s="10" t="s">
        <v>78</v>
      </c>
      <c r="Q1842" s="11" t="s">
        <v>4132</v>
      </c>
      <c r="R1842" s="11" t="s">
        <v>4133</v>
      </c>
      <c r="S1842" s="16" t="s">
        <v>4134</v>
      </c>
      <c r="T1842" s="19" t="str">
        <f>MONTH(B1842)&amp;"-"&amp;YEAR(B1842)</f>
        <v>2-2025</v>
      </c>
      <c r="U1842" s="2">
        <f>YEAR(B1842)</f>
        <v>2025</v>
      </c>
      <c r="V1842" s="2" t="str">
        <f>IF(DAY(B1842)&gt;15,MONTH(B1842)&amp;"-C",MONTH(B1842)&amp;"-N")</f>
        <v>2-C</v>
      </c>
      <c r="W1842" s="21">
        <v>91.9</v>
      </c>
      <c r="X1842" s="2" t="b">
        <f t="shared" ref="X1842:X1845" si="1087">+L1842=W1842</f>
        <v>0</v>
      </c>
    </row>
    <row r="1843" spans="2:24" x14ac:dyDescent="0.2">
      <c r="B1843" s="17">
        <v>45707</v>
      </c>
      <c r="C1843" s="10" t="s">
        <v>82</v>
      </c>
      <c r="D1843" s="11">
        <v>175226</v>
      </c>
      <c r="E1843" s="26">
        <v>79400</v>
      </c>
      <c r="F1843" s="10" t="s">
        <v>3054</v>
      </c>
      <c r="G1843" s="10" t="s">
        <v>3885</v>
      </c>
      <c r="H1843" s="27" t="s">
        <v>3055</v>
      </c>
      <c r="I1843" s="28" t="s">
        <v>41</v>
      </c>
      <c r="J1843" s="12" t="s">
        <v>41</v>
      </c>
      <c r="K1843" s="13">
        <v>160</v>
      </c>
      <c r="L1843" s="21">
        <v>4.9000000000000004</v>
      </c>
      <c r="M1843" s="14" t="s">
        <v>14</v>
      </c>
      <c r="N1843" s="13">
        <v>784</v>
      </c>
      <c r="O1843" s="15">
        <v>0</v>
      </c>
      <c r="P1843" s="10" t="s">
        <v>78</v>
      </c>
      <c r="Q1843" s="11" t="s">
        <v>4132</v>
      </c>
      <c r="R1843" s="11" t="s">
        <v>4133</v>
      </c>
      <c r="S1843" s="16" t="s">
        <v>4134</v>
      </c>
      <c r="T1843" s="19" t="str">
        <f>MONTH(B1843)&amp;"-"&amp;YEAR(B1843)</f>
        <v>2-2025</v>
      </c>
      <c r="U1843" s="2">
        <f>YEAR(B1843)</f>
        <v>2025</v>
      </c>
      <c r="V1843" s="2" t="str">
        <f>IF(DAY(B1843)&gt;15,MONTH(B1843)&amp;"-C",MONTH(B1843)&amp;"-N")</f>
        <v>2-C</v>
      </c>
      <c r="W1843" s="21">
        <v>91.9</v>
      </c>
      <c r="X1843" s="2" t="b">
        <f t="shared" si="1087"/>
        <v>0</v>
      </c>
    </row>
    <row r="1844" spans="2:24" x14ac:dyDescent="0.2">
      <c r="B1844" s="17">
        <v>45713</v>
      </c>
      <c r="C1844" s="10" t="s">
        <v>88</v>
      </c>
      <c r="D1844" s="11">
        <v>175242</v>
      </c>
      <c r="E1844" s="26">
        <v>79518</v>
      </c>
      <c r="F1844" s="10" t="s">
        <v>98</v>
      </c>
      <c r="G1844" s="10" t="s">
        <v>3901</v>
      </c>
      <c r="H1844" s="27" t="s">
        <v>99</v>
      </c>
      <c r="I1844" s="28" t="s">
        <v>41</v>
      </c>
      <c r="J1844" s="12" t="s">
        <v>41</v>
      </c>
      <c r="K1844" s="13">
        <v>16</v>
      </c>
      <c r="L1844" s="21">
        <v>11.25</v>
      </c>
      <c r="M1844" s="14" t="s">
        <v>14</v>
      </c>
      <c r="N1844" s="13">
        <v>180</v>
      </c>
      <c r="O1844" s="15">
        <v>0</v>
      </c>
      <c r="P1844" s="10" t="s">
        <v>84</v>
      </c>
      <c r="Q1844" s="11" t="s">
        <v>4135</v>
      </c>
      <c r="R1844" s="11" t="s">
        <v>4136</v>
      </c>
      <c r="S1844" s="16" t="s">
        <v>4137</v>
      </c>
      <c r="T1844" s="19" t="str">
        <f>MONTH(B1844)&amp;"-"&amp;YEAR(B1844)</f>
        <v>2-2025</v>
      </c>
      <c r="U1844" s="2">
        <f>YEAR(B1844)</f>
        <v>2025</v>
      </c>
      <c r="V1844" s="2" t="str">
        <f>IF(DAY(B1844)&gt;15,MONTH(B1844)&amp;"-C",MONTH(B1844)&amp;"-N")</f>
        <v>2-C</v>
      </c>
      <c r="W1844" s="21">
        <v>91.9</v>
      </c>
      <c r="X1844" s="2" t="b">
        <f t="shared" si="1087"/>
        <v>0</v>
      </c>
    </row>
    <row r="1845" spans="2:24" x14ac:dyDescent="0.2">
      <c r="B1845" s="17">
        <v>45713</v>
      </c>
      <c r="C1845" s="10" t="s">
        <v>88</v>
      </c>
      <c r="D1845" s="11">
        <v>175242</v>
      </c>
      <c r="E1845" s="26">
        <v>79518</v>
      </c>
      <c r="F1845" s="10" t="s">
        <v>100</v>
      </c>
      <c r="G1845" s="10" t="s">
        <v>3901</v>
      </c>
      <c r="H1845" s="27" t="s">
        <v>101</v>
      </c>
      <c r="I1845" s="28" t="s">
        <v>41</v>
      </c>
      <c r="J1845" s="12" t="s">
        <v>41</v>
      </c>
      <c r="K1845" s="13">
        <v>2000</v>
      </c>
      <c r="L1845" s="21">
        <v>13.22</v>
      </c>
      <c r="M1845" s="14" t="s">
        <v>14</v>
      </c>
      <c r="N1845" s="13">
        <v>26440</v>
      </c>
      <c r="O1845" s="15">
        <v>0</v>
      </c>
      <c r="P1845" s="10" t="s">
        <v>84</v>
      </c>
      <c r="Q1845" s="11" t="s">
        <v>4135</v>
      </c>
      <c r="R1845" s="11" t="s">
        <v>4136</v>
      </c>
      <c r="S1845" s="16" t="s">
        <v>4137</v>
      </c>
      <c r="T1845" s="19" t="str">
        <f>MONTH(B1845)&amp;"-"&amp;YEAR(B1845)</f>
        <v>2-2025</v>
      </c>
      <c r="U1845" s="2">
        <f>YEAR(B1845)</f>
        <v>2025</v>
      </c>
      <c r="V1845" s="2" t="str">
        <f>IF(DAY(B1845)&gt;15,MONTH(B1845)&amp;"-C",MONTH(B1845)&amp;"-N")</f>
        <v>2-C</v>
      </c>
      <c r="W1845" s="21">
        <v>91.9</v>
      </c>
      <c r="X1845" s="2" t="b">
        <f t="shared" si="1087"/>
        <v>0</v>
      </c>
    </row>
    <row r="1846" spans="2:24" x14ac:dyDescent="0.2">
      <c r="B1846" s="17">
        <v>45707</v>
      </c>
      <c r="C1846" s="10" t="s">
        <v>107</v>
      </c>
      <c r="D1846" s="11">
        <v>175207</v>
      </c>
      <c r="E1846" s="26">
        <v>79399</v>
      </c>
      <c r="F1846" s="10" t="s">
        <v>103</v>
      </c>
      <c r="G1846" s="10" t="s">
        <v>3901</v>
      </c>
      <c r="H1846" s="27" t="s">
        <v>104</v>
      </c>
      <c r="I1846" s="28" t="s">
        <v>41</v>
      </c>
      <c r="J1846" s="12" t="s">
        <v>41</v>
      </c>
      <c r="K1846" s="13">
        <v>185</v>
      </c>
      <c r="L1846" s="21">
        <v>47.46</v>
      </c>
      <c r="M1846" s="14" t="s">
        <v>14</v>
      </c>
      <c r="N1846" s="13">
        <v>8780.1</v>
      </c>
      <c r="O1846" s="15">
        <v>0</v>
      </c>
      <c r="P1846" s="10" t="s">
        <v>84</v>
      </c>
      <c r="Q1846" s="11" t="s">
        <v>4138</v>
      </c>
      <c r="R1846" s="11" t="s">
        <v>4139</v>
      </c>
      <c r="S1846" s="16" t="s">
        <v>4140</v>
      </c>
      <c r="T1846" s="19" t="str">
        <f>MONTH(B1846)&amp;"-"&amp;YEAR(B1846)</f>
        <v>2-2025</v>
      </c>
      <c r="U1846" s="2">
        <f>YEAR(B1846)</f>
        <v>2025</v>
      </c>
      <c r="V1846" s="2" t="str">
        <f>IF(DAY(B1846)&gt;15,MONTH(B1846)&amp;"-C",MONTH(B1846)&amp;"-N")</f>
        <v>2-C</v>
      </c>
      <c r="W1846" s="21">
        <v>91.9</v>
      </c>
      <c r="X1846" s="2" t="b">
        <f t="shared" ref="X1846:X1847" si="1088">+L1846=W1846</f>
        <v>0</v>
      </c>
    </row>
    <row r="1847" spans="2:24" x14ac:dyDescent="0.2">
      <c r="B1847" s="17">
        <v>45707</v>
      </c>
      <c r="C1847" s="10" t="s">
        <v>107</v>
      </c>
      <c r="D1847" s="11">
        <v>175207</v>
      </c>
      <c r="E1847" s="26">
        <v>79399</v>
      </c>
      <c r="F1847" s="10" t="s">
        <v>105</v>
      </c>
      <c r="G1847" s="10" t="s">
        <v>3901</v>
      </c>
      <c r="H1847" s="27" t="s">
        <v>106</v>
      </c>
      <c r="I1847" s="28" t="s">
        <v>41</v>
      </c>
      <c r="J1847" s="12" t="s">
        <v>41</v>
      </c>
      <c r="K1847" s="13">
        <v>6160</v>
      </c>
      <c r="L1847" s="21">
        <v>11.72</v>
      </c>
      <c r="M1847" s="14" t="s">
        <v>14</v>
      </c>
      <c r="N1847" s="13">
        <v>72195.199999999997</v>
      </c>
      <c r="O1847" s="15">
        <v>0</v>
      </c>
      <c r="P1847" s="10" t="s">
        <v>84</v>
      </c>
      <c r="Q1847" s="11" t="s">
        <v>4138</v>
      </c>
      <c r="R1847" s="11" t="s">
        <v>4139</v>
      </c>
      <c r="S1847" s="16" t="s">
        <v>4140</v>
      </c>
      <c r="T1847" s="19" t="str">
        <f>MONTH(B1847)&amp;"-"&amp;YEAR(B1847)</f>
        <v>2-2025</v>
      </c>
      <c r="U1847" s="2">
        <f>YEAR(B1847)</f>
        <v>2025</v>
      </c>
      <c r="V1847" s="2" t="str">
        <f>IF(DAY(B1847)&gt;15,MONTH(B1847)&amp;"-C",MONTH(B1847)&amp;"-N")</f>
        <v>2-C</v>
      </c>
      <c r="W1847" s="21">
        <v>91.9</v>
      </c>
      <c r="X1847" s="2" t="b">
        <f t="shared" si="1088"/>
        <v>0</v>
      </c>
    </row>
    <row r="1848" spans="2:24" x14ac:dyDescent="0.2">
      <c r="B1848" s="17">
        <v>45714</v>
      </c>
      <c r="C1848" s="10" t="s">
        <v>82</v>
      </c>
      <c r="D1848" s="11">
        <v>175026</v>
      </c>
      <c r="E1848" s="26">
        <v>79548</v>
      </c>
      <c r="F1848" s="10" t="s">
        <v>26</v>
      </c>
      <c r="G1848" s="10" t="s">
        <v>3885</v>
      </c>
      <c r="H1848" s="27" t="s">
        <v>28</v>
      </c>
      <c r="I1848" s="28" t="s">
        <v>41</v>
      </c>
      <c r="J1848" s="12" t="s">
        <v>41</v>
      </c>
      <c r="K1848" s="13">
        <v>9000</v>
      </c>
      <c r="L1848" s="21">
        <v>3.04</v>
      </c>
      <c r="M1848" s="14" t="s">
        <v>14</v>
      </c>
      <c r="N1848" s="13">
        <v>27360</v>
      </c>
      <c r="O1848" s="15">
        <v>0</v>
      </c>
      <c r="P1848" s="10" t="s">
        <v>78</v>
      </c>
      <c r="Q1848" s="11" t="s">
        <v>4141</v>
      </c>
      <c r="R1848" s="11" t="s">
        <v>4142</v>
      </c>
      <c r="S1848" s="16" t="s">
        <v>4143</v>
      </c>
      <c r="T1848" s="19" t="str">
        <f>MONTH(B1848)&amp;"-"&amp;YEAR(B1848)</f>
        <v>2-2025</v>
      </c>
      <c r="U1848" s="2">
        <f>YEAR(B1848)</f>
        <v>2025</v>
      </c>
      <c r="V1848" s="2" t="str">
        <f>IF(DAY(B1848)&gt;15,MONTH(B1848)&amp;"-C",MONTH(B1848)&amp;"-N")</f>
        <v>2-C</v>
      </c>
      <c r="W1848" s="21">
        <v>91.9</v>
      </c>
      <c r="X1848" s="2" t="b">
        <f t="shared" ref="X1848" si="1089">+L1848=W1848</f>
        <v>0</v>
      </c>
    </row>
    <row r="1849" spans="2:24" x14ac:dyDescent="0.2">
      <c r="B1849" s="17">
        <v>45714</v>
      </c>
      <c r="C1849" s="10" t="s">
        <v>4144</v>
      </c>
      <c r="D1849" s="11">
        <v>174516</v>
      </c>
      <c r="E1849" s="26">
        <v>79544</v>
      </c>
      <c r="F1849" s="10" t="s">
        <v>135</v>
      </c>
      <c r="G1849" s="10" t="s">
        <v>3901</v>
      </c>
      <c r="H1849" s="27" t="s">
        <v>136</v>
      </c>
      <c r="I1849" s="28" t="s">
        <v>41</v>
      </c>
      <c r="J1849" s="12" t="s">
        <v>41</v>
      </c>
      <c r="K1849" s="13">
        <v>2000</v>
      </c>
      <c r="L1849" s="21">
        <v>10.183</v>
      </c>
      <c r="M1849" s="14" t="s">
        <v>14</v>
      </c>
      <c r="N1849" s="13">
        <v>20365.04</v>
      </c>
      <c r="O1849" s="15">
        <v>0</v>
      </c>
      <c r="P1849" s="10" t="s">
        <v>90</v>
      </c>
      <c r="Q1849" s="11" t="s">
        <v>4145</v>
      </c>
      <c r="R1849" s="11" t="s">
        <v>4146</v>
      </c>
      <c r="S1849" s="16" t="s">
        <v>4147</v>
      </c>
      <c r="T1849" s="19" t="str">
        <f>MONTH(B1849)&amp;"-"&amp;YEAR(B1849)</f>
        <v>2-2025</v>
      </c>
      <c r="U1849" s="2">
        <f>YEAR(B1849)</f>
        <v>2025</v>
      </c>
      <c r="V1849" s="2" t="str">
        <f>IF(DAY(B1849)&gt;15,MONTH(B1849)&amp;"-C",MONTH(B1849)&amp;"-N")</f>
        <v>2-C</v>
      </c>
      <c r="W1849" s="21">
        <v>91.9</v>
      </c>
      <c r="X1849" s="2" t="b">
        <f t="shared" ref="X1849:X1850" si="1090">+L1849=W1849</f>
        <v>0</v>
      </c>
    </row>
    <row r="1850" spans="2:24" x14ac:dyDescent="0.2">
      <c r="B1850" s="17">
        <v>45714</v>
      </c>
      <c r="C1850" s="10" t="s">
        <v>4144</v>
      </c>
      <c r="D1850" s="11">
        <v>174516</v>
      </c>
      <c r="E1850" s="26">
        <v>79544</v>
      </c>
      <c r="F1850" s="10" t="s">
        <v>71</v>
      </c>
      <c r="G1850" s="10" t="s">
        <v>3901</v>
      </c>
      <c r="H1850" s="27" t="s">
        <v>72</v>
      </c>
      <c r="I1850" s="28" t="s">
        <v>41</v>
      </c>
      <c r="J1850" s="12" t="s">
        <v>41</v>
      </c>
      <c r="K1850" s="13">
        <v>14000</v>
      </c>
      <c r="L1850" s="21">
        <v>9.7050000000000001</v>
      </c>
      <c r="M1850" s="14" t="s">
        <v>14</v>
      </c>
      <c r="N1850" s="13">
        <v>135864.95999999999</v>
      </c>
      <c r="O1850" s="15">
        <v>0</v>
      </c>
      <c r="P1850" s="10" t="s">
        <v>90</v>
      </c>
      <c r="Q1850" s="11" t="s">
        <v>4145</v>
      </c>
      <c r="R1850" s="11" t="s">
        <v>4146</v>
      </c>
      <c r="S1850" s="16" t="s">
        <v>4147</v>
      </c>
      <c r="T1850" s="19" t="str">
        <f>MONTH(B1850)&amp;"-"&amp;YEAR(B1850)</f>
        <v>2-2025</v>
      </c>
      <c r="U1850" s="2">
        <f>YEAR(B1850)</f>
        <v>2025</v>
      </c>
      <c r="V1850" s="2" t="str">
        <f>IF(DAY(B1850)&gt;15,MONTH(B1850)&amp;"-C",MONTH(B1850)&amp;"-N")</f>
        <v>2-C</v>
      </c>
      <c r="W1850" s="21">
        <v>91.9</v>
      </c>
      <c r="X1850" s="2" t="b">
        <f t="shared" si="1090"/>
        <v>0</v>
      </c>
    </row>
    <row r="1851" spans="2:24" x14ac:dyDescent="0.2">
      <c r="B1851" s="17">
        <v>45715</v>
      </c>
      <c r="C1851" s="10" t="s">
        <v>82</v>
      </c>
      <c r="D1851" s="11">
        <v>175026</v>
      </c>
      <c r="E1851" s="26">
        <v>79569</v>
      </c>
      <c r="F1851" s="10" t="s">
        <v>26</v>
      </c>
      <c r="G1851" s="10" t="s">
        <v>3885</v>
      </c>
      <c r="H1851" s="27" t="s">
        <v>28</v>
      </c>
      <c r="I1851" s="28" t="s">
        <v>41</v>
      </c>
      <c r="J1851" s="12" t="s">
        <v>41</v>
      </c>
      <c r="K1851" s="13">
        <v>3600</v>
      </c>
      <c r="L1851" s="21">
        <v>3.04</v>
      </c>
      <c r="M1851" s="14" t="s">
        <v>14</v>
      </c>
      <c r="N1851" s="13">
        <v>10944</v>
      </c>
      <c r="O1851" s="15">
        <v>0</v>
      </c>
      <c r="P1851" s="10" t="s">
        <v>78</v>
      </c>
      <c r="Q1851" s="11" t="s">
        <v>4148</v>
      </c>
      <c r="R1851" s="11" t="s">
        <v>4149</v>
      </c>
      <c r="S1851" s="16" t="s">
        <v>4150</v>
      </c>
      <c r="T1851" s="19" t="str">
        <f>MONTH(B1851)&amp;"-"&amp;YEAR(B1851)</f>
        <v>2-2025</v>
      </c>
      <c r="U1851" s="2">
        <f>YEAR(B1851)</f>
        <v>2025</v>
      </c>
      <c r="V1851" s="2" t="str">
        <f>IF(DAY(B1851)&gt;15,MONTH(B1851)&amp;"-C",MONTH(B1851)&amp;"-N")</f>
        <v>2-C</v>
      </c>
      <c r="W1851" s="21">
        <v>91.9</v>
      </c>
      <c r="X1851" s="2" t="b">
        <f t="shared" ref="X1851:X1852" si="1091">+L1851=W1851</f>
        <v>0</v>
      </c>
    </row>
    <row r="1852" spans="2:24" x14ac:dyDescent="0.2">
      <c r="B1852" s="17">
        <v>45715</v>
      </c>
      <c r="C1852" s="10" t="s">
        <v>82</v>
      </c>
      <c r="D1852" s="11">
        <v>175280</v>
      </c>
      <c r="E1852" s="26">
        <v>79570</v>
      </c>
      <c r="F1852" s="10" t="s">
        <v>31</v>
      </c>
      <c r="G1852" s="10" t="s">
        <v>3885</v>
      </c>
      <c r="H1852" s="27" t="s">
        <v>32</v>
      </c>
      <c r="I1852" s="28" t="s">
        <v>41</v>
      </c>
      <c r="J1852" s="12" t="s">
        <v>41</v>
      </c>
      <c r="K1852" s="13">
        <v>640</v>
      </c>
      <c r="L1852" s="21">
        <v>4.3</v>
      </c>
      <c r="M1852" s="14" t="s">
        <v>14</v>
      </c>
      <c r="N1852" s="13">
        <v>2752</v>
      </c>
      <c r="O1852" s="15">
        <v>0</v>
      </c>
      <c r="P1852" s="10" t="s">
        <v>78</v>
      </c>
      <c r="Q1852" s="11" t="s">
        <v>4151</v>
      </c>
      <c r="R1852" s="11" t="s">
        <v>4152</v>
      </c>
      <c r="S1852" s="16" t="s">
        <v>4153</v>
      </c>
      <c r="T1852" s="19" t="str">
        <f>MONTH(B1852)&amp;"-"&amp;YEAR(B1852)</f>
        <v>2-2025</v>
      </c>
      <c r="U1852" s="2">
        <f>YEAR(B1852)</f>
        <v>2025</v>
      </c>
      <c r="V1852" s="2" t="str">
        <f>IF(DAY(B1852)&gt;15,MONTH(B1852)&amp;"-C",MONTH(B1852)&amp;"-N")</f>
        <v>2-C</v>
      </c>
      <c r="W1852" s="21">
        <v>91.9</v>
      </c>
      <c r="X1852" s="2" t="b">
        <f t="shared" si="1091"/>
        <v>0</v>
      </c>
    </row>
    <row r="1853" spans="2:24" x14ac:dyDescent="0.2">
      <c r="B1853" s="17">
        <v>45731</v>
      </c>
      <c r="C1853" s="10" t="s">
        <v>82</v>
      </c>
      <c r="D1853" s="11">
        <v>175440</v>
      </c>
      <c r="E1853" s="26">
        <v>79867</v>
      </c>
      <c r="F1853" s="10" t="s">
        <v>33</v>
      </c>
      <c r="G1853" s="10" t="s">
        <v>3885</v>
      </c>
      <c r="H1853" s="27" t="s">
        <v>34</v>
      </c>
      <c r="I1853" s="28" t="s">
        <v>41</v>
      </c>
      <c r="J1853" s="12" t="s">
        <v>41</v>
      </c>
      <c r="K1853" s="13">
        <v>720</v>
      </c>
      <c r="L1853" s="21">
        <v>5.75</v>
      </c>
      <c r="M1853" s="14" t="s">
        <v>14</v>
      </c>
      <c r="N1853" s="13">
        <v>4140</v>
      </c>
      <c r="O1853" s="15">
        <v>0</v>
      </c>
      <c r="P1853" s="10" t="s">
        <v>78</v>
      </c>
      <c r="Q1853" s="11" t="s">
        <v>4154</v>
      </c>
      <c r="R1853" s="11" t="s">
        <v>4155</v>
      </c>
      <c r="S1853" s="16" t="s">
        <v>4156</v>
      </c>
      <c r="T1853" s="19" t="str">
        <f>MONTH(B1853)&amp;"-"&amp;YEAR(B1853)</f>
        <v>3-2025</v>
      </c>
      <c r="U1853" s="2">
        <f>YEAR(B1853)</f>
        <v>2025</v>
      </c>
      <c r="V1853" s="2" t="str">
        <f>IF(DAY(B1853)&gt;15,MONTH(B1853)&amp;"-C",MONTH(B1853)&amp;"-N")</f>
        <v>3-N</v>
      </c>
      <c r="W1853" s="21">
        <v>91.9</v>
      </c>
      <c r="X1853" s="2" t="b">
        <f t="shared" ref="X1853:X1859" si="1092">+L1853=W1853</f>
        <v>0</v>
      </c>
    </row>
    <row r="1854" spans="2:24" x14ac:dyDescent="0.2">
      <c r="B1854" s="17">
        <v>45724</v>
      </c>
      <c r="C1854" s="10" t="s">
        <v>82</v>
      </c>
      <c r="D1854" s="11">
        <v>175387</v>
      </c>
      <c r="E1854" s="26">
        <v>79718</v>
      </c>
      <c r="F1854" s="10" t="s">
        <v>31</v>
      </c>
      <c r="G1854" s="10" t="s">
        <v>3885</v>
      </c>
      <c r="H1854" s="27" t="s">
        <v>32</v>
      </c>
      <c r="I1854" s="28" t="s">
        <v>41</v>
      </c>
      <c r="J1854" s="12" t="s">
        <v>41</v>
      </c>
      <c r="K1854" s="13">
        <v>1280</v>
      </c>
      <c r="L1854" s="21">
        <v>4.3</v>
      </c>
      <c r="M1854" s="14" t="s">
        <v>14</v>
      </c>
      <c r="N1854" s="13">
        <v>5504</v>
      </c>
      <c r="O1854" s="15">
        <v>0</v>
      </c>
      <c r="P1854" s="10" t="s">
        <v>78</v>
      </c>
      <c r="Q1854" s="11" t="s">
        <v>4157</v>
      </c>
      <c r="R1854" s="11" t="s">
        <v>4158</v>
      </c>
      <c r="S1854" s="16" t="s">
        <v>4159</v>
      </c>
      <c r="T1854" s="19" t="str">
        <f>MONTH(B1854)&amp;"-"&amp;YEAR(B1854)</f>
        <v>3-2025</v>
      </c>
      <c r="U1854" s="2">
        <f>YEAR(B1854)</f>
        <v>2025</v>
      </c>
      <c r="V1854" s="2" t="str">
        <f>IF(DAY(B1854)&gt;15,MONTH(B1854)&amp;"-C",MONTH(B1854)&amp;"-N")</f>
        <v>3-N</v>
      </c>
      <c r="W1854" s="21">
        <v>91.9</v>
      </c>
      <c r="X1854" s="2" t="b">
        <f t="shared" si="1092"/>
        <v>0</v>
      </c>
    </row>
    <row r="1855" spans="2:24" x14ac:dyDescent="0.2">
      <c r="B1855" s="17">
        <v>45726</v>
      </c>
      <c r="C1855" s="10" t="s">
        <v>4160</v>
      </c>
      <c r="D1855" s="11">
        <v>175367</v>
      </c>
      <c r="E1855" s="26">
        <v>79743</v>
      </c>
      <c r="F1855" s="10" t="s">
        <v>2176</v>
      </c>
      <c r="G1855" s="10" t="s">
        <v>3901</v>
      </c>
      <c r="H1855" s="27" t="s">
        <v>2177</v>
      </c>
      <c r="I1855" s="28" t="s">
        <v>41</v>
      </c>
      <c r="J1855" s="12" t="s">
        <v>41</v>
      </c>
      <c r="K1855" s="13">
        <v>2760</v>
      </c>
      <c r="L1855" s="21">
        <v>9.85</v>
      </c>
      <c r="M1855" s="14" t="s">
        <v>14</v>
      </c>
      <c r="N1855" s="13">
        <v>27186</v>
      </c>
      <c r="O1855" s="15">
        <v>0</v>
      </c>
      <c r="P1855" s="10" t="s">
        <v>84</v>
      </c>
      <c r="Q1855" s="11" t="s">
        <v>4161</v>
      </c>
      <c r="R1855" s="11" t="s">
        <v>4162</v>
      </c>
      <c r="S1855" s="16" t="s">
        <v>4163</v>
      </c>
      <c r="T1855" s="19" t="str">
        <f>MONTH(B1855)&amp;"-"&amp;YEAR(B1855)</f>
        <v>3-2025</v>
      </c>
      <c r="U1855" s="2">
        <f>YEAR(B1855)</f>
        <v>2025</v>
      </c>
      <c r="V1855" s="2" t="str">
        <f>IF(DAY(B1855)&gt;15,MONTH(B1855)&amp;"-C",MONTH(B1855)&amp;"-N")</f>
        <v>3-N</v>
      </c>
      <c r="W1855" s="21">
        <v>91.9</v>
      </c>
      <c r="X1855" s="2" t="b">
        <f t="shared" si="1092"/>
        <v>0</v>
      </c>
    </row>
    <row r="1856" spans="2:24" x14ac:dyDescent="0.2">
      <c r="B1856" s="17">
        <v>45726</v>
      </c>
      <c r="C1856" s="10" t="s">
        <v>4160</v>
      </c>
      <c r="D1856" s="11">
        <v>175367</v>
      </c>
      <c r="E1856" s="26">
        <v>79743</v>
      </c>
      <c r="F1856" s="10" t="s">
        <v>3238</v>
      </c>
      <c r="G1856" s="10" t="s">
        <v>3901</v>
      </c>
      <c r="H1856" s="27" t="s">
        <v>2172</v>
      </c>
      <c r="I1856" s="28" t="s">
        <v>41</v>
      </c>
      <c r="J1856" s="12" t="s">
        <v>41</v>
      </c>
      <c r="K1856" s="13">
        <v>2200</v>
      </c>
      <c r="L1856" s="21">
        <v>9.85</v>
      </c>
      <c r="M1856" s="14" t="s">
        <v>14</v>
      </c>
      <c r="N1856" s="13">
        <v>21670</v>
      </c>
      <c r="O1856" s="15">
        <v>0</v>
      </c>
      <c r="P1856" s="10" t="s">
        <v>84</v>
      </c>
      <c r="Q1856" s="11" t="s">
        <v>4161</v>
      </c>
      <c r="R1856" s="11" t="s">
        <v>4162</v>
      </c>
      <c r="S1856" s="16" t="s">
        <v>4163</v>
      </c>
      <c r="T1856" s="19" t="str">
        <f>MONTH(B1856)&amp;"-"&amp;YEAR(B1856)</f>
        <v>3-2025</v>
      </c>
      <c r="U1856" s="2">
        <f>YEAR(B1856)</f>
        <v>2025</v>
      </c>
      <c r="V1856" s="2" t="str">
        <f>IF(DAY(B1856)&gt;15,MONTH(B1856)&amp;"-C",MONTH(B1856)&amp;"-N")</f>
        <v>3-N</v>
      </c>
      <c r="W1856" s="21">
        <v>91.9</v>
      </c>
      <c r="X1856" s="2" t="b">
        <f t="shared" si="1092"/>
        <v>0</v>
      </c>
    </row>
    <row r="1857" spans="2:24" x14ac:dyDescent="0.2">
      <c r="B1857" s="17">
        <v>45723</v>
      </c>
      <c r="C1857" s="10" t="s">
        <v>107</v>
      </c>
      <c r="D1857" s="11">
        <v>175207</v>
      </c>
      <c r="E1857" s="26">
        <v>79695</v>
      </c>
      <c r="F1857" s="10" t="s">
        <v>103</v>
      </c>
      <c r="G1857" s="10" t="s">
        <v>3901</v>
      </c>
      <c r="H1857" s="27" t="s">
        <v>104</v>
      </c>
      <c r="I1857" s="28" t="s">
        <v>41</v>
      </c>
      <c r="J1857" s="12" t="s">
        <v>41</v>
      </c>
      <c r="K1857" s="13">
        <v>185</v>
      </c>
      <c r="L1857" s="21">
        <v>47.46</v>
      </c>
      <c r="M1857" s="14" t="s">
        <v>14</v>
      </c>
      <c r="N1857" s="13">
        <v>8780.1</v>
      </c>
      <c r="O1857" s="15">
        <v>0</v>
      </c>
      <c r="P1857" s="10" t="s">
        <v>84</v>
      </c>
      <c r="Q1857" s="11" t="s">
        <v>4164</v>
      </c>
      <c r="R1857" s="11" t="s">
        <v>4165</v>
      </c>
      <c r="S1857" s="16" t="s">
        <v>4166</v>
      </c>
      <c r="T1857" s="19" t="str">
        <f>MONTH(B1857)&amp;"-"&amp;YEAR(B1857)</f>
        <v>3-2025</v>
      </c>
      <c r="U1857" s="2">
        <f>YEAR(B1857)</f>
        <v>2025</v>
      </c>
      <c r="V1857" s="2" t="str">
        <f>IF(DAY(B1857)&gt;15,MONTH(B1857)&amp;"-C",MONTH(B1857)&amp;"-N")</f>
        <v>3-N</v>
      </c>
      <c r="W1857" s="21">
        <v>91.9</v>
      </c>
      <c r="X1857" s="2" t="b">
        <f t="shared" si="1092"/>
        <v>0</v>
      </c>
    </row>
    <row r="1858" spans="2:24" x14ac:dyDescent="0.2">
      <c r="B1858" s="17">
        <v>45723</v>
      </c>
      <c r="C1858" s="10" t="s">
        <v>107</v>
      </c>
      <c r="D1858" s="11">
        <v>175207</v>
      </c>
      <c r="E1858" s="26">
        <v>79695</v>
      </c>
      <c r="F1858" s="10" t="s">
        <v>105</v>
      </c>
      <c r="G1858" s="10" t="s">
        <v>3901</v>
      </c>
      <c r="H1858" s="27" t="s">
        <v>106</v>
      </c>
      <c r="I1858" s="28" t="s">
        <v>41</v>
      </c>
      <c r="J1858" s="12" t="s">
        <v>41</v>
      </c>
      <c r="K1858" s="13">
        <v>6160</v>
      </c>
      <c r="L1858" s="21">
        <v>11.72</v>
      </c>
      <c r="M1858" s="14" t="s">
        <v>14</v>
      </c>
      <c r="N1858" s="13">
        <v>72195.199999999997</v>
      </c>
      <c r="O1858" s="15">
        <v>0</v>
      </c>
      <c r="P1858" s="10" t="s">
        <v>84</v>
      </c>
      <c r="Q1858" s="11" t="s">
        <v>4164</v>
      </c>
      <c r="R1858" s="11" t="s">
        <v>4165</v>
      </c>
      <c r="S1858" s="16" t="s">
        <v>4166</v>
      </c>
      <c r="T1858" s="19" t="str">
        <f>MONTH(B1858)&amp;"-"&amp;YEAR(B1858)</f>
        <v>3-2025</v>
      </c>
      <c r="U1858" s="2">
        <f>YEAR(B1858)</f>
        <v>2025</v>
      </c>
      <c r="V1858" s="2" t="str">
        <f>IF(DAY(B1858)&gt;15,MONTH(B1858)&amp;"-C",MONTH(B1858)&amp;"-N")</f>
        <v>3-N</v>
      </c>
      <c r="W1858" s="21">
        <v>91.9</v>
      </c>
      <c r="X1858" s="2" t="b">
        <f t="shared" si="1092"/>
        <v>0</v>
      </c>
    </row>
    <row r="1859" spans="2:24" x14ac:dyDescent="0.2">
      <c r="B1859" s="17">
        <v>45729</v>
      </c>
      <c r="C1859" s="10" t="s">
        <v>25</v>
      </c>
      <c r="D1859" s="11">
        <v>174953</v>
      </c>
      <c r="E1859" s="26">
        <v>79832</v>
      </c>
      <c r="F1859" s="10" t="s">
        <v>26</v>
      </c>
      <c r="G1859" s="10" t="s">
        <v>3885</v>
      </c>
      <c r="H1859" s="27" t="s">
        <v>28</v>
      </c>
      <c r="I1859" s="28" t="s">
        <v>41</v>
      </c>
      <c r="J1859" s="12" t="s">
        <v>41</v>
      </c>
      <c r="K1859" s="13">
        <v>18900</v>
      </c>
      <c r="L1859" s="21">
        <v>3.04</v>
      </c>
      <c r="M1859" s="14" t="s">
        <v>14</v>
      </c>
      <c r="N1859" s="13">
        <v>57456</v>
      </c>
      <c r="O1859" s="15">
        <v>0</v>
      </c>
      <c r="P1859" s="10" t="s">
        <v>78</v>
      </c>
      <c r="Q1859" s="11" t="s">
        <v>4167</v>
      </c>
      <c r="R1859" s="11" t="s">
        <v>4168</v>
      </c>
      <c r="S1859" s="16" t="s">
        <v>4169</v>
      </c>
      <c r="T1859" s="19" t="str">
        <f>MONTH(B1859)&amp;"-"&amp;YEAR(B1859)</f>
        <v>3-2025</v>
      </c>
      <c r="U1859" s="2">
        <f>YEAR(B1859)</f>
        <v>2025</v>
      </c>
      <c r="V1859" s="2" t="str">
        <f>IF(DAY(B1859)&gt;15,MONTH(B1859)&amp;"-C",MONTH(B1859)&amp;"-N")</f>
        <v>3-N</v>
      </c>
      <c r="W1859" s="21">
        <v>91.9</v>
      </c>
      <c r="X1859" s="2" t="b">
        <f t="shared" si="1092"/>
        <v>0</v>
      </c>
    </row>
    <row r="1860" spans="2:24" x14ac:dyDescent="0.2">
      <c r="B1860" s="17">
        <v>45730</v>
      </c>
      <c r="C1860" s="10" t="s">
        <v>4160</v>
      </c>
      <c r="D1860" s="11">
        <v>175367</v>
      </c>
      <c r="E1860" s="26">
        <v>79842</v>
      </c>
      <c r="F1860" s="10" t="s">
        <v>2176</v>
      </c>
      <c r="G1860" s="10" t="s">
        <v>3901</v>
      </c>
      <c r="H1860" s="27" t="s">
        <v>2177</v>
      </c>
      <c r="I1860" s="28" t="s">
        <v>41</v>
      </c>
      <c r="J1860" s="12" t="s">
        <v>41</v>
      </c>
      <c r="K1860" s="13">
        <v>2760</v>
      </c>
      <c r="L1860" s="21">
        <v>9.85</v>
      </c>
      <c r="M1860" s="14" t="s">
        <v>14</v>
      </c>
      <c r="N1860" s="13">
        <v>27186</v>
      </c>
      <c r="O1860" s="15">
        <v>0</v>
      </c>
      <c r="P1860" s="10" t="s">
        <v>84</v>
      </c>
      <c r="Q1860" s="11" t="s">
        <v>4170</v>
      </c>
      <c r="R1860" s="11" t="s">
        <v>4171</v>
      </c>
      <c r="S1860" s="16" t="s">
        <v>4172</v>
      </c>
      <c r="T1860" s="19" t="str">
        <f>MONTH(B1860)&amp;"-"&amp;YEAR(B1860)</f>
        <v>3-2025</v>
      </c>
      <c r="U1860" s="2">
        <f>YEAR(B1860)</f>
        <v>2025</v>
      </c>
      <c r="V1860" s="2" t="str">
        <f>IF(DAY(B1860)&gt;15,MONTH(B1860)&amp;"-C",MONTH(B1860)&amp;"-N")</f>
        <v>3-N</v>
      </c>
      <c r="W1860" s="21">
        <v>91.9</v>
      </c>
      <c r="X1860" s="2" t="b">
        <f t="shared" ref="X1860:X1862" si="1093">+L1860=W1860</f>
        <v>0</v>
      </c>
    </row>
    <row r="1861" spans="2:24" x14ac:dyDescent="0.2">
      <c r="B1861" s="17">
        <v>45730</v>
      </c>
      <c r="C1861" s="10" t="s">
        <v>4160</v>
      </c>
      <c r="D1861" s="11">
        <v>175367</v>
      </c>
      <c r="E1861" s="26">
        <v>79842</v>
      </c>
      <c r="F1861" s="10" t="s">
        <v>3238</v>
      </c>
      <c r="G1861" s="10" t="s">
        <v>3901</v>
      </c>
      <c r="H1861" s="27" t="s">
        <v>2172</v>
      </c>
      <c r="I1861" s="28" t="s">
        <v>41</v>
      </c>
      <c r="J1861" s="12" t="s">
        <v>41</v>
      </c>
      <c r="K1861" s="13">
        <v>2200</v>
      </c>
      <c r="L1861" s="21">
        <v>9.85</v>
      </c>
      <c r="M1861" s="14" t="s">
        <v>14</v>
      </c>
      <c r="N1861" s="13">
        <v>21670</v>
      </c>
      <c r="O1861" s="15">
        <v>0</v>
      </c>
      <c r="P1861" s="10" t="s">
        <v>84</v>
      </c>
      <c r="Q1861" s="11" t="s">
        <v>4170</v>
      </c>
      <c r="R1861" s="11" t="s">
        <v>4171</v>
      </c>
      <c r="S1861" s="16" t="s">
        <v>4172</v>
      </c>
      <c r="T1861" s="19" t="str">
        <f>MONTH(B1861)&amp;"-"&amp;YEAR(B1861)</f>
        <v>3-2025</v>
      </c>
      <c r="U1861" s="2">
        <f>YEAR(B1861)</f>
        <v>2025</v>
      </c>
      <c r="V1861" s="2" t="str">
        <f>IF(DAY(B1861)&gt;15,MONTH(B1861)&amp;"-C",MONTH(B1861)&amp;"-N")</f>
        <v>3-N</v>
      </c>
      <c r="W1861" s="21">
        <v>91.9</v>
      </c>
      <c r="X1861" s="2" t="b">
        <f t="shared" si="1093"/>
        <v>0</v>
      </c>
    </row>
    <row r="1862" spans="2:24" x14ac:dyDescent="0.2">
      <c r="B1862" s="17">
        <v>45718</v>
      </c>
      <c r="C1862" s="10" t="s">
        <v>94</v>
      </c>
      <c r="D1862" s="11">
        <v>175161</v>
      </c>
      <c r="E1862" s="26">
        <v>79643</v>
      </c>
      <c r="F1862" s="10" t="s">
        <v>26</v>
      </c>
      <c r="G1862" s="10" t="s">
        <v>3885</v>
      </c>
      <c r="H1862" s="27" t="s">
        <v>28</v>
      </c>
      <c r="I1862" s="28" t="s">
        <v>41</v>
      </c>
      <c r="J1862" s="12" t="s">
        <v>41</v>
      </c>
      <c r="K1862" s="13">
        <v>19800</v>
      </c>
      <c r="L1862" s="21">
        <v>3.04</v>
      </c>
      <c r="M1862" s="14" t="s">
        <v>14</v>
      </c>
      <c r="N1862" s="13">
        <v>60192</v>
      </c>
      <c r="O1862" s="15">
        <v>0</v>
      </c>
      <c r="P1862" s="10" t="s">
        <v>78</v>
      </c>
      <c r="Q1862" s="11" t="s">
        <v>4173</v>
      </c>
      <c r="R1862" s="11" t="s">
        <v>4174</v>
      </c>
      <c r="S1862" s="16" t="s">
        <v>4175</v>
      </c>
      <c r="T1862" s="19" t="str">
        <f>MONTH(B1862)&amp;"-"&amp;YEAR(B1862)</f>
        <v>3-2025</v>
      </c>
      <c r="U1862" s="2">
        <f>YEAR(B1862)</f>
        <v>2025</v>
      </c>
      <c r="V1862" s="2" t="str">
        <f>IF(DAY(B1862)&gt;15,MONTH(B1862)&amp;"-C",MONTH(B1862)&amp;"-N")</f>
        <v>3-N</v>
      </c>
      <c r="W1862" s="21">
        <v>91.9</v>
      </c>
      <c r="X1862" s="2" t="b">
        <f t="shared" si="1093"/>
        <v>0</v>
      </c>
    </row>
    <row r="1863" spans="2:24" x14ac:dyDescent="0.2">
      <c r="B1863" s="17">
        <v>45725</v>
      </c>
      <c r="C1863" s="10" t="s">
        <v>94</v>
      </c>
      <c r="D1863" s="11">
        <v>175161</v>
      </c>
      <c r="E1863" s="26">
        <v>79744</v>
      </c>
      <c r="F1863" s="10" t="s">
        <v>26</v>
      </c>
      <c r="G1863" s="10" t="s">
        <v>3885</v>
      </c>
      <c r="H1863" s="27" t="s">
        <v>28</v>
      </c>
      <c r="I1863" s="28" t="s">
        <v>41</v>
      </c>
      <c r="J1863" s="12" t="s">
        <v>41</v>
      </c>
      <c r="K1863" s="13">
        <v>19800</v>
      </c>
      <c r="L1863" s="21">
        <v>3.04</v>
      </c>
      <c r="M1863" s="14" t="s">
        <v>14</v>
      </c>
      <c r="N1863" s="13">
        <v>60192</v>
      </c>
      <c r="O1863" s="15">
        <v>0</v>
      </c>
      <c r="P1863" s="10" t="s">
        <v>78</v>
      </c>
      <c r="Q1863" s="11" t="s">
        <v>4176</v>
      </c>
      <c r="R1863" s="11" t="s">
        <v>4177</v>
      </c>
      <c r="S1863" s="16" t="s">
        <v>4178</v>
      </c>
      <c r="T1863" s="19" t="str">
        <f>MONTH(B1863)&amp;"-"&amp;YEAR(B1863)</f>
        <v>3-2025</v>
      </c>
      <c r="U1863" s="2">
        <f>YEAR(B1863)</f>
        <v>2025</v>
      </c>
      <c r="V1863" s="2" t="str">
        <f>IF(DAY(B1863)&gt;15,MONTH(B1863)&amp;"-C",MONTH(B1863)&amp;"-N")</f>
        <v>3-N</v>
      </c>
      <c r="W1863" s="21">
        <v>91.9</v>
      </c>
      <c r="X1863" s="2" t="b">
        <f t="shared" ref="X1863:X1870" si="1094">+L1863=W1863</f>
        <v>0</v>
      </c>
    </row>
    <row r="1864" spans="2:24" x14ac:dyDescent="0.2">
      <c r="B1864" s="17">
        <v>45734</v>
      </c>
      <c r="C1864" s="10" t="s">
        <v>2630</v>
      </c>
      <c r="D1864" s="11">
        <v>174859</v>
      </c>
      <c r="E1864" s="26">
        <v>79901</v>
      </c>
      <c r="F1864" s="10" t="s">
        <v>29</v>
      </c>
      <c r="G1864" s="10" t="s">
        <v>3885</v>
      </c>
      <c r="H1864" s="27" t="s">
        <v>30</v>
      </c>
      <c r="I1864" s="28" t="s">
        <v>41</v>
      </c>
      <c r="J1864" s="12" t="s">
        <v>41</v>
      </c>
      <c r="K1864" s="13">
        <v>1980</v>
      </c>
      <c r="L1864" s="21">
        <v>3.55</v>
      </c>
      <c r="M1864" s="14" t="s">
        <v>14</v>
      </c>
      <c r="N1864" s="13">
        <v>7029</v>
      </c>
      <c r="O1864" s="15">
        <v>0</v>
      </c>
      <c r="P1864" s="10" t="s">
        <v>78</v>
      </c>
      <c r="Q1864" s="11" t="s">
        <v>4179</v>
      </c>
      <c r="R1864" s="11" t="s">
        <v>4180</v>
      </c>
      <c r="S1864" s="16" t="s">
        <v>4181</v>
      </c>
      <c r="T1864" s="19" t="str">
        <f>MONTH(B1864)&amp;"-"&amp;YEAR(B1864)</f>
        <v>3-2025</v>
      </c>
      <c r="U1864" s="2">
        <f>YEAR(B1864)</f>
        <v>2025</v>
      </c>
      <c r="V1864" s="2" t="str">
        <f>IF(DAY(B1864)&gt;15,MONTH(B1864)&amp;"-C",MONTH(B1864)&amp;"-N")</f>
        <v>3-C</v>
      </c>
      <c r="W1864" s="21">
        <v>91.9</v>
      </c>
      <c r="X1864" s="2" t="b">
        <f t="shared" si="1094"/>
        <v>0</v>
      </c>
    </row>
    <row r="1865" spans="2:24" x14ac:dyDescent="0.2">
      <c r="B1865" s="17">
        <v>45734</v>
      </c>
      <c r="C1865" s="10" t="s">
        <v>2630</v>
      </c>
      <c r="D1865" s="11">
        <v>174859</v>
      </c>
      <c r="E1865" s="26">
        <v>79901</v>
      </c>
      <c r="F1865" s="10" t="s">
        <v>31</v>
      </c>
      <c r="G1865" s="10" t="s">
        <v>3885</v>
      </c>
      <c r="H1865" s="27" t="s">
        <v>32</v>
      </c>
      <c r="I1865" s="28" t="s">
        <v>41</v>
      </c>
      <c r="J1865" s="12" t="s">
        <v>41</v>
      </c>
      <c r="K1865" s="13">
        <v>640</v>
      </c>
      <c r="L1865" s="21">
        <v>3.4</v>
      </c>
      <c r="M1865" s="14" t="s">
        <v>14</v>
      </c>
      <c r="N1865" s="13">
        <v>2176</v>
      </c>
      <c r="O1865" s="15">
        <v>0</v>
      </c>
      <c r="P1865" s="10" t="s">
        <v>78</v>
      </c>
      <c r="Q1865" s="11" t="s">
        <v>4179</v>
      </c>
      <c r="R1865" s="11" t="s">
        <v>4180</v>
      </c>
      <c r="S1865" s="16" t="s">
        <v>4181</v>
      </c>
      <c r="T1865" s="19" t="str">
        <f>MONTH(B1865)&amp;"-"&amp;YEAR(B1865)</f>
        <v>3-2025</v>
      </c>
      <c r="U1865" s="2">
        <f>YEAR(B1865)</f>
        <v>2025</v>
      </c>
      <c r="V1865" s="2" t="str">
        <f>IF(DAY(B1865)&gt;15,MONTH(B1865)&amp;"-C",MONTH(B1865)&amp;"-N")</f>
        <v>3-C</v>
      </c>
      <c r="W1865" s="21">
        <v>91.9</v>
      </c>
      <c r="X1865" s="2" t="b">
        <f t="shared" si="1094"/>
        <v>0</v>
      </c>
    </row>
    <row r="1866" spans="2:24" x14ac:dyDescent="0.2">
      <c r="B1866" s="17">
        <v>45734</v>
      </c>
      <c r="C1866" s="10" t="s">
        <v>2630</v>
      </c>
      <c r="D1866" s="11">
        <v>174859</v>
      </c>
      <c r="E1866" s="26">
        <v>79901</v>
      </c>
      <c r="F1866" s="10" t="s">
        <v>49</v>
      </c>
      <c r="G1866" s="10" t="s">
        <v>3885</v>
      </c>
      <c r="H1866" s="27" t="s">
        <v>50</v>
      </c>
      <c r="I1866" s="28" t="s">
        <v>41</v>
      </c>
      <c r="J1866" s="12" t="s">
        <v>41</v>
      </c>
      <c r="K1866" s="13">
        <v>380</v>
      </c>
      <c r="L1866" s="21">
        <v>5</v>
      </c>
      <c r="M1866" s="14" t="s">
        <v>14</v>
      </c>
      <c r="N1866" s="13">
        <v>1900</v>
      </c>
      <c r="O1866" s="15">
        <v>0</v>
      </c>
      <c r="P1866" s="10" t="s">
        <v>78</v>
      </c>
      <c r="Q1866" s="11" t="s">
        <v>4179</v>
      </c>
      <c r="R1866" s="11" t="s">
        <v>4180</v>
      </c>
      <c r="S1866" s="16" t="s">
        <v>4181</v>
      </c>
      <c r="T1866" s="19" t="str">
        <f>MONTH(B1866)&amp;"-"&amp;YEAR(B1866)</f>
        <v>3-2025</v>
      </c>
      <c r="U1866" s="2">
        <f>YEAR(B1866)</f>
        <v>2025</v>
      </c>
      <c r="V1866" s="2" t="str">
        <f>IF(DAY(B1866)&gt;15,MONTH(B1866)&amp;"-C",MONTH(B1866)&amp;"-N")</f>
        <v>3-C</v>
      </c>
      <c r="W1866" s="21">
        <v>91.9</v>
      </c>
      <c r="X1866" s="2" t="b">
        <f t="shared" si="1094"/>
        <v>0</v>
      </c>
    </row>
    <row r="1867" spans="2:24" x14ac:dyDescent="0.2">
      <c r="B1867" s="17">
        <v>45717</v>
      </c>
      <c r="C1867" s="10" t="s">
        <v>3917</v>
      </c>
      <c r="D1867" s="11">
        <v>174950</v>
      </c>
      <c r="E1867" s="26">
        <v>79628</v>
      </c>
      <c r="F1867" s="10" t="s">
        <v>127</v>
      </c>
      <c r="G1867" s="10" t="s">
        <v>3901</v>
      </c>
      <c r="H1867" s="27" t="s">
        <v>128</v>
      </c>
      <c r="I1867" s="28" t="s">
        <v>41</v>
      </c>
      <c r="J1867" s="12" t="s">
        <v>41</v>
      </c>
      <c r="K1867" s="13">
        <v>1472</v>
      </c>
      <c r="L1867" s="21">
        <v>10.917999999999999</v>
      </c>
      <c r="M1867" s="14" t="s">
        <v>14</v>
      </c>
      <c r="N1867" s="13">
        <v>16070.884</v>
      </c>
      <c r="O1867" s="15">
        <v>0</v>
      </c>
      <c r="P1867" s="10" t="s">
        <v>90</v>
      </c>
      <c r="Q1867" s="11" t="s">
        <v>4182</v>
      </c>
      <c r="R1867" s="11" t="s">
        <v>4183</v>
      </c>
      <c r="S1867" s="16" t="s">
        <v>4184</v>
      </c>
      <c r="T1867" s="19" t="str">
        <f>MONTH(B1867)&amp;"-"&amp;YEAR(B1867)</f>
        <v>3-2025</v>
      </c>
      <c r="U1867" s="2">
        <f>YEAR(B1867)</f>
        <v>2025</v>
      </c>
      <c r="V1867" s="2" t="str">
        <f>IF(DAY(B1867)&gt;15,MONTH(B1867)&amp;"-C",MONTH(B1867)&amp;"-N")</f>
        <v>3-N</v>
      </c>
      <c r="W1867" s="21">
        <v>91.9</v>
      </c>
      <c r="X1867" s="2" t="b">
        <f t="shared" si="1094"/>
        <v>0</v>
      </c>
    </row>
    <row r="1868" spans="2:24" x14ac:dyDescent="0.2">
      <c r="B1868" s="17">
        <v>45717</v>
      </c>
      <c r="C1868" s="10" t="s">
        <v>3917</v>
      </c>
      <c r="D1868" s="11">
        <v>174950</v>
      </c>
      <c r="E1868" s="26">
        <v>79628</v>
      </c>
      <c r="F1868" s="10" t="s">
        <v>121</v>
      </c>
      <c r="G1868" s="10" t="s">
        <v>3901</v>
      </c>
      <c r="H1868" s="27" t="s">
        <v>122</v>
      </c>
      <c r="I1868" s="28" t="s">
        <v>41</v>
      </c>
      <c r="J1868" s="12" t="s">
        <v>41</v>
      </c>
      <c r="K1868" s="13">
        <v>2990</v>
      </c>
      <c r="L1868" s="21">
        <v>9.5579999999999998</v>
      </c>
      <c r="M1868" s="14" t="s">
        <v>14</v>
      </c>
      <c r="N1868" s="13">
        <v>28577.223999999998</v>
      </c>
      <c r="O1868" s="15">
        <v>0</v>
      </c>
      <c r="P1868" s="10" t="s">
        <v>90</v>
      </c>
      <c r="Q1868" s="11" t="s">
        <v>4182</v>
      </c>
      <c r="R1868" s="11" t="s">
        <v>4183</v>
      </c>
      <c r="S1868" s="16" t="s">
        <v>4184</v>
      </c>
      <c r="T1868" s="19" t="str">
        <f>MONTH(B1868)&amp;"-"&amp;YEAR(B1868)</f>
        <v>3-2025</v>
      </c>
      <c r="U1868" s="2">
        <f>YEAR(B1868)</f>
        <v>2025</v>
      </c>
      <c r="V1868" s="2" t="str">
        <f>IF(DAY(B1868)&gt;15,MONTH(B1868)&amp;"-C",MONTH(B1868)&amp;"-N")</f>
        <v>3-N</v>
      </c>
      <c r="W1868" s="21">
        <v>91.9</v>
      </c>
      <c r="X1868" s="2" t="b">
        <f t="shared" si="1094"/>
        <v>0</v>
      </c>
    </row>
    <row r="1869" spans="2:24" x14ac:dyDescent="0.2">
      <c r="B1869" s="17">
        <v>45717</v>
      </c>
      <c r="C1869" s="10" t="s">
        <v>3917</v>
      </c>
      <c r="D1869" s="11">
        <v>174950</v>
      </c>
      <c r="E1869" s="26">
        <v>79628</v>
      </c>
      <c r="F1869" s="10" t="s">
        <v>2331</v>
      </c>
      <c r="G1869" s="10" t="s">
        <v>3901</v>
      </c>
      <c r="H1869" s="27" t="s">
        <v>2332</v>
      </c>
      <c r="I1869" s="28" t="s">
        <v>41</v>
      </c>
      <c r="J1869" s="12" t="s">
        <v>41</v>
      </c>
      <c r="K1869" s="13">
        <v>1840</v>
      </c>
      <c r="L1869" s="21">
        <v>12.093999999999999</v>
      </c>
      <c r="M1869" s="14" t="s">
        <v>14</v>
      </c>
      <c r="N1869" s="13">
        <v>22253.034</v>
      </c>
      <c r="O1869" s="15">
        <v>0</v>
      </c>
      <c r="P1869" s="10" t="s">
        <v>90</v>
      </c>
      <c r="Q1869" s="11" t="s">
        <v>4182</v>
      </c>
      <c r="R1869" s="11" t="s">
        <v>4183</v>
      </c>
      <c r="S1869" s="16" t="s">
        <v>4184</v>
      </c>
      <c r="T1869" s="19" t="str">
        <f>MONTH(B1869)&amp;"-"&amp;YEAR(B1869)</f>
        <v>3-2025</v>
      </c>
      <c r="U1869" s="2">
        <f>YEAR(B1869)</f>
        <v>2025</v>
      </c>
      <c r="V1869" s="2" t="str">
        <f>IF(DAY(B1869)&gt;15,MONTH(B1869)&amp;"-C",MONTH(B1869)&amp;"-N")</f>
        <v>3-N</v>
      </c>
      <c r="W1869" s="21">
        <v>91.9</v>
      </c>
      <c r="X1869" s="2" t="b">
        <f t="shared" si="1094"/>
        <v>0</v>
      </c>
    </row>
    <row r="1870" spans="2:24" x14ac:dyDescent="0.2">
      <c r="B1870" s="17">
        <v>45717</v>
      </c>
      <c r="C1870" s="10" t="s">
        <v>3917</v>
      </c>
      <c r="D1870" s="11">
        <v>174950</v>
      </c>
      <c r="E1870" s="26">
        <v>79628</v>
      </c>
      <c r="F1870" s="10" t="s">
        <v>123</v>
      </c>
      <c r="G1870" s="10" t="s">
        <v>3901</v>
      </c>
      <c r="H1870" s="27" t="s">
        <v>124</v>
      </c>
      <c r="I1870" s="28" t="s">
        <v>41</v>
      </c>
      <c r="J1870" s="12" t="s">
        <v>41</v>
      </c>
      <c r="K1870" s="13">
        <v>5060</v>
      </c>
      <c r="L1870" s="21">
        <v>11.69</v>
      </c>
      <c r="M1870" s="14" t="s">
        <v>14</v>
      </c>
      <c r="N1870" s="13">
        <v>59149.781000000003</v>
      </c>
      <c r="O1870" s="15">
        <v>0</v>
      </c>
      <c r="P1870" s="10" t="s">
        <v>90</v>
      </c>
      <c r="Q1870" s="11" t="s">
        <v>4182</v>
      </c>
      <c r="R1870" s="11" t="s">
        <v>4183</v>
      </c>
      <c r="S1870" s="16" t="s">
        <v>4184</v>
      </c>
      <c r="T1870" s="19" t="str">
        <f>MONTH(B1870)&amp;"-"&amp;YEAR(B1870)</f>
        <v>3-2025</v>
      </c>
      <c r="U1870" s="2">
        <f>YEAR(B1870)</f>
        <v>2025</v>
      </c>
      <c r="V1870" s="2" t="str">
        <f>IF(DAY(B1870)&gt;15,MONTH(B1870)&amp;"-C",MONTH(B1870)&amp;"-N")</f>
        <v>3-N</v>
      </c>
      <c r="W1870" s="21">
        <v>91.9</v>
      </c>
      <c r="X1870" s="2" t="b">
        <f t="shared" si="1094"/>
        <v>0</v>
      </c>
    </row>
    <row r="1871" spans="2:24" x14ac:dyDescent="0.2">
      <c r="B1871" s="17">
        <v>45733</v>
      </c>
      <c r="C1871" s="10" t="s">
        <v>2630</v>
      </c>
      <c r="D1871" s="11">
        <v>175450</v>
      </c>
      <c r="E1871" s="26">
        <v>79902</v>
      </c>
      <c r="F1871" s="10" t="s">
        <v>31</v>
      </c>
      <c r="G1871" s="10" t="s">
        <v>3885</v>
      </c>
      <c r="H1871" s="27" t="s">
        <v>32</v>
      </c>
      <c r="I1871" s="28" t="s">
        <v>41</v>
      </c>
      <c r="J1871" s="12" t="s">
        <v>41</v>
      </c>
      <c r="K1871" s="13">
        <v>1280</v>
      </c>
      <c r="L1871" s="21">
        <v>3.4</v>
      </c>
      <c r="M1871" s="14" t="s">
        <v>14</v>
      </c>
      <c r="N1871" s="13">
        <v>4352</v>
      </c>
      <c r="O1871" s="15">
        <v>0</v>
      </c>
      <c r="P1871" s="10" t="s">
        <v>78</v>
      </c>
      <c r="Q1871" s="11" t="s">
        <v>4185</v>
      </c>
      <c r="R1871" s="11" t="s">
        <v>4186</v>
      </c>
      <c r="S1871" s="16" t="s">
        <v>4187</v>
      </c>
      <c r="T1871" s="19" t="str">
        <f>MONTH(B1871)&amp;"-"&amp;YEAR(B1871)</f>
        <v>3-2025</v>
      </c>
      <c r="U1871" s="2">
        <f>YEAR(B1871)</f>
        <v>2025</v>
      </c>
      <c r="V1871" s="2" t="str">
        <f>IF(DAY(B1871)&gt;15,MONTH(B1871)&amp;"-C",MONTH(B1871)&amp;"-N")</f>
        <v>3-C</v>
      </c>
      <c r="W1871" s="21">
        <v>91.9</v>
      </c>
      <c r="X1871" s="2" t="b">
        <f t="shared" ref="X1871:X1875" si="1095">+L1871=W1871</f>
        <v>0</v>
      </c>
    </row>
    <row r="1872" spans="2:24" x14ac:dyDescent="0.2">
      <c r="B1872" s="17">
        <v>45735</v>
      </c>
      <c r="C1872" s="10" t="s">
        <v>94</v>
      </c>
      <c r="D1872" s="11">
        <v>175161</v>
      </c>
      <c r="E1872" s="26">
        <v>79916</v>
      </c>
      <c r="F1872" s="10" t="s">
        <v>26</v>
      </c>
      <c r="G1872" s="10" t="s">
        <v>3885</v>
      </c>
      <c r="H1872" s="27" t="s">
        <v>28</v>
      </c>
      <c r="I1872" s="28" t="s">
        <v>41</v>
      </c>
      <c r="J1872" s="12" t="s">
        <v>41</v>
      </c>
      <c r="K1872" s="13">
        <v>19800</v>
      </c>
      <c r="L1872" s="21">
        <v>3.04</v>
      </c>
      <c r="M1872" s="14" t="s">
        <v>14</v>
      </c>
      <c r="N1872" s="13">
        <v>60192</v>
      </c>
      <c r="O1872" s="15">
        <v>0</v>
      </c>
      <c r="P1872" s="10" t="s">
        <v>78</v>
      </c>
      <c r="Q1872" s="11" t="s">
        <v>4188</v>
      </c>
      <c r="R1872" s="11" t="s">
        <v>4189</v>
      </c>
      <c r="S1872" s="16" t="s">
        <v>4190</v>
      </c>
      <c r="T1872" s="19" t="str">
        <f>MONTH(B1872)&amp;"-"&amp;YEAR(B1872)</f>
        <v>3-2025</v>
      </c>
      <c r="U1872" s="2">
        <f>YEAR(B1872)</f>
        <v>2025</v>
      </c>
      <c r="V1872" s="2" t="str">
        <f>IF(DAY(B1872)&gt;15,MONTH(B1872)&amp;"-C",MONTH(B1872)&amp;"-N")</f>
        <v>3-C</v>
      </c>
      <c r="W1872" s="21">
        <v>91.9</v>
      </c>
      <c r="X1872" s="2" t="b">
        <f t="shared" si="1095"/>
        <v>0</v>
      </c>
    </row>
    <row r="1873" spans="2:24" x14ac:dyDescent="0.2">
      <c r="B1873" s="17">
        <v>45739</v>
      </c>
      <c r="C1873" s="10" t="s">
        <v>94</v>
      </c>
      <c r="D1873" s="11">
        <v>175161</v>
      </c>
      <c r="E1873" s="26">
        <v>80011</v>
      </c>
      <c r="F1873" s="10" t="s">
        <v>26</v>
      </c>
      <c r="G1873" s="10" t="s">
        <v>3885</v>
      </c>
      <c r="H1873" s="27" t="s">
        <v>28</v>
      </c>
      <c r="I1873" s="28" t="s">
        <v>41</v>
      </c>
      <c r="J1873" s="12" t="s">
        <v>41</v>
      </c>
      <c r="K1873" s="13">
        <v>19800</v>
      </c>
      <c r="L1873" s="21">
        <v>3.04</v>
      </c>
      <c r="M1873" s="14" t="s">
        <v>14</v>
      </c>
      <c r="N1873" s="13">
        <v>60192</v>
      </c>
      <c r="O1873" s="15">
        <v>0</v>
      </c>
      <c r="P1873" s="10" t="s">
        <v>78</v>
      </c>
      <c r="Q1873" s="11" t="s">
        <v>4191</v>
      </c>
      <c r="R1873" s="11" t="s">
        <v>4192</v>
      </c>
      <c r="S1873" s="16" t="s">
        <v>4193</v>
      </c>
      <c r="T1873" s="19" t="str">
        <f>MONTH(B1873)&amp;"-"&amp;YEAR(B1873)</f>
        <v>3-2025</v>
      </c>
      <c r="U1873" s="2">
        <f>YEAR(B1873)</f>
        <v>2025</v>
      </c>
      <c r="V1873" s="2" t="str">
        <f>IF(DAY(B1873)&gt;15,MONTH(B1873)&amp;"-C",MONTH(B1873)&amp;"-N")</f>
        <v>3-C</v>
      </c>
      <c r="W1873" s="21">
        <v>91.9</v>
      </c>
      <c r="X1873" s="2" t="b">
        <f t="shared" si="1095"/>
        <v>0</v>
      </c>
    </row>
    <row r="1874" spans="2:24" x14ac:dyDescent="0.2">
      <c r="B1874" s="17">
        <v>45736</v>
      </c>
      <c r="C1874" s="10" t="s">
        <v>107</v>
      </c>
      <c r="D1874" s="11">
        <v>175448</v>
      </c>
      <c r="E1874" s="26">
        <v>79946</v>
      </c>
      <c r="F1874" s="10" t="s">
        <v>103</v>
      </c>
      <c r="G1874" s="10" t="s">
        <v>3901</v>
      </c>
      <c r="H1874" s="27" t="s">
        <v>104</v>
      </c>
      <c r="I1874" s="28" t="s">
        <v>41</v>
      </c>
      <c r="J1874" s="12" t="s">
        <v>41</v>
      </c>
      <c r="K1874" s="13">
        <v>185</v>
      </c>
      <c r="L1874" s="21">
        <v>47.46</v>
      </c>
      <c r="M1874" s="14" t="s">
        <v>14</v>
      </c>
      <c r="N1874" s="13">
        <v>8780.1</v>
      </c>
      <c r="O1874" s="15">
        <v>0</v>
      </c>
      <c r="P1874" s="10" t="s">
        <v>84</v>
      </c>
      <c r="Q1874" s="11" t="s">
        <v>4194</v>
      </c>
      <c r="R1874" s="11" t="s">
        <v>4195</v>
      </c>
      <c r="S1874" s="16" t="s">
        <v>4196</v>
      </c>
      <c r="T1874" s="19" t="str">
        <f>MONTH(B1874)&amp;"-"&amp;YEAR(B1874)</f>
        <v>3-2025</v>
      </c>
      <c r="U1874" s="2">
        <f>YEAR(B1874)</f>
        <v>2025</v>
      </c>
      <c r="V1874" s="2" t="str">
        <f>IF(DAY(B1874)&gt;15,MONTH(B1874)&amp;"-C",MONTH(B1874)&amp;"-N")</f>
        <v>3-C</v>
      </c>
      <c r="W1874" s="21">
        <v>91.9</v>
      </c>
      <c r="X1874" s="2" t="b">
        <f t="shared" si="1095"/>
        <v>0</v>
      </c>
    </row>
    <row r="1875" spans="2:24" x14ac:dyDescent="0.2">
      <c r="B1875" s="17">
        <v>45736</v>
      </c>
      <c r="C1875" s="10" t="s">
        <v>107</v>
      </c>
      <c r="D1875" s="11">
        <v>175448</v>
      </c>
      <c r="E1875" s="26">
        <v>79946</v>
      </c>
      <c r="F1875" s="10" t="s">
        <v>105</v>
      </c>
      <c r="G1875" s="10" t="s">
        <v>3901</v>
      </c>
      <c r="H1875" s="27" t="s">
        <v>106</v>
      </c>
      <c r="I1875" s="28" t="s">
        <v>41</v>
      </c>
      <c r="J1875" s="12" t="s">
        <v>41</v>
      </c>
      <c r="K1875" s="13">
        <v>6160</v>
      </c>
      <c r="L1875" s="21">
        <v>11.72</v>
      </c>
      <c r="M1875" s="14" t="s">
        <v>14</v>
      </c>
      <c r="N1875" s="13">
        <v>72195.199999999997</v>
      </c>
      <c r="O1875" s="15">
        <v>0</v>
      </c>
      <c r="P1875" s="10" t="s">
        <v>84</v>
      </c>
      <c r="Q1875" s="11" t="s">
        <v>4194</v>
      </c>
      <c r="R1875" s="11" t="s">
        <v>4195</v>
      </c>
      <c r="S1875" s="16" t="s">
        <v>4196</v>
      </c>
      <c r="T1875" s="19" t="str">
        <f>MONTH(B1875)&amp;"-"&amp;YEAR(B1875)</f>
        <v>3-2025</v>
      </c>
      <c r="U1875" s="2">
        <f>YEAR(B1875)</f>
        <v>2025</v>
      </c>
      <c r="V1875" s="2" t="str">
        <f>IF(DAY(B1875)&gt;15,MONTH(B1875)&amp;"-C",MONTH(B1875)&amp;"-N")</f>
        <v>3-C</v>
      </c>
      <c r="W1875" s="21">
        <v>91.9</v>
      </c>
      <c r="X1875" s="2" t="b">
        <f t="shared" si="1095"/>
        <v>0</v>
      </c>
    </row>
    <row r="1876" spans="2:24" x14ac:dyDescent="0.2">
      <c r="B1876" s="17">
        <v>45738</v>
      </c>
      <c r="C1876" s="10" t="s">
        <v>82</v>
      </c>
      <c r="D1876" s="11">
        <v>175495</v>
      </c>
      <c r="E1876" s="26">
        <v>79989</v>
      </c>
      <c r="F1876" s="10" t="s">
        <v>33</v>
      </c>
      <c r="G1876" s="10" t="s">
        <v>3885</v>
      </c>
      <c r="H1876" s="27" t="s">
        <v>34</v>
      </c>
      <c r="I1876" s="28" t="s">
        <v>41</v>
      </c>
      <c r="J1876" s="12" t="s">
        <v>41</v>
      </c>
      <c r="K1876" s="13">
        <v>1440</v>
      </c>
      <c r="L1876" s="21">
        <v>5.75</v>
      </c>
      <c r="M1876" s="14" t="s">
        <v>14</v>
      </c>
      <c r="N1876" s="13">
        <v>8280</v>
      </c>
      <c r="O1876" s="15">
        <v>0</v>
      </c>
      <c r="P1876" s="10" t="s">
        <v>78</v>
      </c>
      <c r="Q1876" s="11" t="s">
        <v>4197</v>
      </c>
      <c r="R1876" s="11" t="s">
        <v>4198</v>
      </c>
      <c r="S1876" s="16" t="s">
        <v>4199</v>
      </c>
      <c r="T1876" s="19" t="str">
        <f>MONTH(B1876)&amp;"-"&amp;YEAR(B1876)</f>
        <v>3-2025</v>
      </c>
      <c r="U1876" s="2">
        <f>YEAR(B1876)</f>
        <v>2025</v>
      </c>
      <c r="V1876" s="2" t="str">
        <f>IF(DAY(B1876)&gt;15,MONTH(B1876)&amp;"-C",MONTH(B1876)&amp;"-N")</f>
        <v>3-C</v>
      </c>
      <c r="W1876" s="21">
        <v>91.9</v>
      </c>
      <c r="X1876" s="2" t="b">
        <f t="shared" ref="X1876" si="1096">+L1876=W1876</f>
        <v>0</v>
      </c>
    </row>
    <row r="1877" spans="2:24" x14ac:dyDescent="0.2">
      <c r="B1877" s="17">
        <v>45742</v>
      </c>
      <c r="C1877" s="10" t="s">
        <v>4160</v>
      </c>
      <c r="D1877" s="11">
        <v>175486</v>
      </c>
      <c r="E1877" s="26">
        <v>80060</v>
      </c>
      <c r="F1877" s="10" t="s">
        <v>2176</v>
      </c>
      <c r="G1877" s="10" t="s">
        <v>3901</v>
      </c>
      <c r="H1877" s="27" t="s">
        <v>2177</v>
      </c>
      <c r="I1877" s="28" t="s">
        <v>41</v>
      </c>
      <c r="J1877" s="12" t="s">
        <v>41</v>
      </c>
      <c r="K1877" s="13">
        <v>2760</v>
      </c>
      <c r="L1877" s="21">
        <v>9.85</v>
      </c>
      <c r="M1877" s="14" t="s">
        <v>14</v>
      </c>
      <c r="N1877" s="13">
        <v>27186</v>
      </c>
      <c r="O1877" s="15">
        <v>0</v>
      </c>
      <c r="P1877" s="10" t="s">
        <v>84</v>
      </c>
      <c r="Q1877" s="11" t="s">
        <v>4200</v>
      </c>
      <c r="R1877" s="11" t="s">
        <v>4201</v>
      </c>
      <c r="S1877" s="16" t="s">
        <v>4202</v>
      </c>
      <c r="T1877" s="19" t="str">
        <f>MONTH(B1877)&amp;"-"&amp;YEAR(B1877)</f>
        <v>3-2025</v>
      </c>
      <c r="U1877" s="2">
        <f>YEAR(B1877)</f>
        <v>2025</v>
      </c>
      <c r="V1877" s="2" t="str">
        <f>IF(DAY(B1877)&gt;15,MONTH(B1877)&amp;"-C",MONTH(B1877)&amp;"-N")</f>
        <v>3-C</v>
      </c>
      <c r="W1877" s="21">
        <v>91.9</v>
      </c>
      <c r="X1877" s="2" t="b">
        <f t="shared" ref="X1877:X1879" si="1097">+L1877=W1877</f>
        <v>0</v>
      </c>
    </row>
    <row r="1878" spans="2:24" x14ac:dyDescent="0.2">
      <c r="B1878" s="17">
        <v>45742</v>
      </c>
      <c r="C1878" s="10" t="s">
        <v>4160</v>
      </c>
      <c r="D1878" s="11">
        <v>175486</v>
      </c>
      <c r="E1878" s="26">
        <v>80060</v>
      </c>
      <c r="F1878" s="10" t="s">
        <v>3238</v>
      </c>
      <c r="G1878" s="10" t="s">
        <v>3901</v>
      </c>
      <c r="H1878" s="27" t="s">
        <v>2172</v>
      </c>
      <c r="I1878" s="28" t="s">
        <v>41</v>
      </c>
      <c r="J1878" s="12" t="s">
        <v>41</v>
      </c>
      <c r="K1878" s="13">
        <v>2200</v>
      </c>
      <c r="L1878" s="21">
        <v>9.85</v>
      </c>
      <c r="M1878" s="14" t="s">
        <v>14</v>
      </c>
      <c r="N1878" s="13">
        <v>21670</v>
      </c>
      <c r="O1878" s="15">
        <v>0</v>
      </c>
      <c r="P1878" s="10" t="s">
        <v>84</v>
      </c>
      <c r="Q1878" s="11" t="s">
        <v>4200</v>
      </c>
      <c r="R1878" s="11" t="s">
        <v>4201</v>
      </c>
      <c r="S1878" s="16" t="s">
        <v>4202</v>
      </c>
      <c r="T1878" s="19" t="str">
        <f>MONTH(B1878)&amp;"-"&amp;YEAR(B1878)</f>
        <v>3-2025</v>
      </c>
      <c r="U1878" s="2">
        <f>YEAR(B1878)</f>
        <v>2025</v>
      </c>
      <c r="V1878" s="2" t="str">
        <f>IF(DAY(B1878)&gt;15,MONTH(B1878)&amp;"-C",MONTH(B1878)&amp;"-N")</f>
        <v>3-C</v>
      </c>
      <c r="W1878" s="21">
        <v>91.9</v>
      </c>
      <c r="X1878" s="2" t="b">
        <f t="shared" si="1097"/>
        <v>0</v>
      </c>
    </row>
    <row r="1879" spans="2:24" x14ac:dyDescent="0.2">
      <c r="B1879" s="17">
        <v>45744</v>
      </c>
      <c r="C1879" s="10" t="s">
        <v>25</v>
      </c>
      <c r="D1879" s="11">
        <v>174953</v>
      </c>
      <c r="E1879" s="26">
        <v>80113</v>
      </c>
      <c r="F1879" s="10" t="s">
        <v>26</v>
      </c>
      <c r="G1879" s="10" t="s">
        <v>3885</v>
      </c>
      <c r="H1879" s="27" t="s">
        <v>28</v>
      </c>
      <c r="I1879" s="28" t="s">
        <v>41</v>
      </c>
      <c r="J1879" s="12" t="s">
        <v>41</v>
      </c>
      <c r="K1879" s="13">
        <v>19800</v>
      </c>
      <c r="L1879" s="21">
        <v>3.04</v>
      </c>
      <c r="M1879" s="14" t="s">
        <v>14</v>
      </c>
      <c r="N1879" s="13">
        <v>60192</v>
      </c>
      <c r="O1879" s="15">
        <v>0</v>
      </c>
      <c r="P1879" s="10" t="s">
        <v>78</v>
      </c>
      <c r="Q1879" s="11" t="s">
        <v>4203</v>
      </c>
      <c r="R1879" s="11" t="s">
        <v>4204</v>
      </c>
      <c r="S1879" s="16" t="s">
        <v>4205</v>
      </c>
      <c r="T1879" s="19" t="str">
        <f>MONTH(B1879)&amp;"-"&amp;YEAR(B1879)</f>
        <v>3-2025</v>
      </c>
      <c r="U1879" s="2">
        <f>YEAR(B1879)</f>
        <v>2025</v>
      </c>
      <c r="V1879" s="2" t="str">
        <f>IF(DAY(B1879)&gt;15,MONTH(B1879)&amp;"-C",MONTH(B1879)&amp;"-N")</f>
        <v>3-C</v>
      </c>
      <c r="W1879" s="21">
        <v>91.9</v>
      </c>
      <c r="X1879" s="2" t="b">
        <f t="shared" si="1097"/>
        <v>0</v>
      </c>
    </row>
    <row r="1880" spans="2:24" x14ac:dyDescent="0.2">
      <c r="B1880" s="17">
        <v>45745</v>
      </c>
      <c r="C1880" s="10" t="s">
        <v>82</v>
      </c>
      <c r="D1880" s="11">
        <v>175551</v>
      </c>
      <c r="E1880" s="26">
        <v>80173</v>
      </c>
      <c r="F1880" s="10" t="s">
        <v>31</v>
      </c>
      <c r="G1880" s="10" t="s">
        <v>3885</v>
      </c>
      <c r="H1880" s="27" t="s">
        <v>32</v>
      </c>
      <c r="I1880" s="28" t="s">
        <v>41</v>
      </c>
      <c r="J1880" s="12" t="s">
        <v>41</v>
      </c>
      <c r="K1880" s="13">
        <v>960</v>
      </c>
      <c r="L1880" s="21">
        <v>4.3</v>
      </c>
      <c r="M1880" s="14" t="s">
        <v>14</v>
      </c>
      <c r="N1880" s="13">
        <v>4128</v>
      </c>
      <c r="O1880" s="15">
        <v>0</v>
      </c>
      <c r="P1880" s="10" t="s">
        <v>78</v>
      </c>
      <c r="Q1880" s="11" t="s">
        <v>4206</v>
      </c>
      <c r="R1880" s="11" t="s">
        <v>4207</v>
      </c>
      <c r="S1880" s="16" t="s">
        <v>4208</v>
      </c>
      <c r="T1880" s="19" t="str">
        <f>MONTH(B1880)&amp;"-"&amp;YEAR(B1880)</f>
        <v>3-2025</v>
      </c>
      <c r="U1880" s="2">
        <f>YEAR(B1880)</f>
        <v>2025</v>
      </c>
      <c r="V1880" s="2" t="str">
        <f>IF(DAY(B1880)&gt;15,MONTH(B1880)&amp;"-C",MONTH(B1880)&amp;"-N")</f>
        <v>3-C</v>
      </c>
      <c r="W1880" s="21">
        <v>91.9</v>
      </c>
      <c r="X1880" s="2" t="b">
        <f t="shared" ref="X1880:X1881" si="1098">+L1880=W1880</f>
        <v>0</v>
      </c>
    </row>
    <row r="1881" spans="2:24" x14ac:dyDescent="0.2">
      <c r="B1881" s="17">
        <v>45745</v>
      </c>
      <c r="C1881" s="10" t="s">
        <v>82</v>
      </c>
      <c r="D1881" s="11">
        <v>175551</v>
      </c>
      <c r="E1881" s="26">
        <v>80173</v>
      </c>
      <c r="F1881" s="10" t="s">
        <v>33</v>
      </c>
      <c r="G1881" s="10" t="s">
        <v>3885</v>
      </c>
      <c r="H1881" s="27" t="s">
        <v>34</v>
      </c>
      <c r="I1881" s="28" t="s">
        <v>41</v>
      </c>
      <c r="J1881" s="12" t="s">
        <v>41</v>
      </c>
      <c r="K1881" s="13">
        <v>1080</v>
      </c>
      <c r="L1881" s="21">
        <v>5.75</v>
      </c>
      <c r="M1881" s="14" t="s">
        <v>14</v>
      </c>
      <c r="N1881" s="13">
        <v>6210</v>
      </c>
      <c r="O1881" s="15">
        <v>0</v>
      </c>
      <c r="P1881" s="10" t="s">
        <v>78</v>
      </c>
      <c r="Q1881" s="11" t="s">
        <v>4206</v>
      </c>
      <c r="R1881" s="11" t="s">
        <v>4207</v>
      </c>
      <c r="S1881" s="16" t="s">
        <v>4208</v>
      </c>
      <c r="T1881" s="19" t="str">
        <f>MONTH(B1881)&amp;"-"&amp;YEAR(B1881)</f>
        <v>3-2025</v>
      </c>
      <c r="U1881" s="2">
        <f>YEAR(B1881)</f>
        <v>2025</v>
      </c>
      <c r="V1881" s="2" t="str">
        <f>IF(DAY(B1881)&gt;15,MONTH(B1881)&amp;"-C",MONTH(B1881)&amp;"-N")</f>
        <v>3-C</v>
      </c>
      <c r="W1881" s="21">
        <v>91.9</v>
      </c>
      <c r="X1881" s="2" t="b">
        <f t="shared" si="1098"/>
        <v>0</v>
      </c>
    </row>
    <row r="1882" spans="2:24" x14ac:dyDescent="0.2">
      <c r="B1882" s="17">
        <v>45756</v>
      </c>
      <c r="C1882" s="10" t="s">
        <v>107</v>
      </c>
      <c r="D1882" s="11">
        <v>175448</v>
      </c>
      <c r="E1882" s="26">
        <v>80345</v>
      </c>
      <c r="F1882" s="10" t="s">
        <v>103</v>
      </c>
      <c r="G1882" s="10" t="s">
        <v>3901</v>
      </c>
      <c r="H1882" s="27" t="s">
        <v>104</v>
      </c>
      <c r="I1882" s="28" t="s">
        <v>41</v>
      </c>
      <c r="J1882" s="12" t="s">
        <v>41</v>
      </c>
      <c r="K1882" s="13">
        <v>185</v>
      </c>
      <c r="L1882" s="21">
        <v>47.46</v>
      </c>
      <c r="M1882" s="14" t="s">
        <v>14</v>
      </c>
      <c r="N1882" s="13">
        <v>8780.1</v>
      </c>
      <c r="O1882" s="15">
        <v>0</v>
      </c>
      <c r="P1882" s="10" t="s">
        <v>84</v>
      </c>
      <c r="Q1882" s="11" t="s">
        <v>4209</v>
      </c>
      <c r="R1882" s="11" t="s">
        <v>4210</v>
      </c>
      <c r="S1882" s="16" t="s">
        <v>4211</v>
      </c>
      <c r="T1882" s="19" t="str">
        <f>MONTH(B1882)&amp;"-"&amp;YEAR(B1882)</f>
        <v>4-2025</v>
      </c>
      <c r="U1882" s="2">
        <f>YEAR(B1882)</f>
        <v>2025</v>
      </c>
      <c r="V1882" s="2" t="str">
        <f>IF(DAY(B1882)&gt;15,MONTH(B1882)&amp;"-C",MONTH(B1882)&amp;"-N")</f>
        <v>4-N</v>
      </c>
      <c r="W1882" s="21">
        <v>91.9</v>
      </c>
      <c r="X1882" s="2" t="b">
        <f t="shared" ref="X1882:X1885" si="1099">+L1882=W1882</f>
        <v>0</v>
      </c>
    </row>
    <row r="1883" spans="2:24" x14ac:dyDescent="0.2">
      <c r="B1883" s="17">
        <v>45756</v>
      </c>
      <c r="C1883" s="10" t="s">
        <v>107</v>
      </c>
      <c r="D1883" s="11">
        <v>175448</v>
      </c>
      <c r="E1883" s="26">
        <v>80345</v>
      </c>
      <c r="F1883" s="10" t="s">
        <v>105</v>
      </c>
      <c r="G1883" s="10" t="s">
        <v>3901</v>
      </c>
      <c r="H1883" s="27" t="s">
        <v>106</v>
      </c>
      <c r="I1883" s="28" t="s">
        <v>41</v>
      </c>
      <c r="J1883" s="12" t="s">
        <v>41</v>
      </c>
      <c r="K1883" s="13">
        <v>6160</v>
      </c>
      <c r="L1883" s="21">
        <v>11.72</v>
      </c>
      <c r="M1883" s="14" t="s">
        <v>14</v>
      </c>
      <c r="N1883" s="13">
        <v>72195.199999999997</v>
      </c>
      <c r="O1883" s="15">
        <v>0</v>
      </c>
      <c r="P1883" s="10" t="s">
        <v>84</v>
      </c>
      <c r="Q1883" s="11" t="s">
        <v>4209</v>
      </c>
      <c r="R1883" s="11" t="s">
        <v>4210</v>
      </c>
      <c r="S1883" s="16" t="s">
        <v>4211</v>
      </c>
      <c r="T1883" s="19" t="str">
        <f>MONTH(B1883)&amp;"-"&amp;YEAR(B1883)</f>
        <v>4-2025</v>
      </c>
      <c r="U1883" s="2">
        <f>YEAR(B1883)</f>
        <v>2025</v>
      </c>
      <c r="V1883" s="2" t="str">
        <f>IF(DAY(B1883)&gt;15,MONTH(B1883)&amp;"-C",MONTH(B1883)&amp;"-N")</f>
        <v>4-N</v>
      </c>
      <c r="W1883" s="21">
        <v>91.9</v>
      </c>
      <c r="X1883" s="2" t="b">
        <f t="shared" si="1099"/>
        <v>0</v>
      </c>
    </row>
    <row r="1884" spans="2:24" x14ac:dyDescent="0.2">
      <c r="B1884" s="17">
        <v>45757</v>
      </c>
      <c r="C1884" s="10" t="s">
        <v>94</v>
      </c>
      <c r="D1884" s="11">
        <v>175161</v>
      </c>
      <c r="E1884" s="26">
        <v>80353</v>
      </c>
      <c r="F1884" s="10" t="s">
        <v>26</v>
      </c>
      <c r="G1884" s="10" t="s">
        <v>3885</v>
      </c>
      <c r="H1884" s="27" t="s">
        <v>28</v>
      </c>
      <c r="I1884" s="28" t="s">
        <v>41</v>
      </c>
      <c r="J1884" s="12" t="s">
        <v>41</v>
      </c>
      <c r="K1884" s="13">
        <v>19800</v>
      </c>
      <c r="L1884" s="21">
        <v>3.04</v>
      </c>
      <c r="M1884" s="14" t="s">
        <v>14</v>
      </c>
      <c r="N1884" s="13">
        <v>60192</v>
      </c>
      <c r="O1884" s="15">
        <v>0</v>
      </c>
      <c r="P1884" s="10" t="s">
        <v>78</v>
      </c>
      <c r="Q1884" s="11" t="s">
        <v>4212</v>
      </c>
      <c r="R1884" s="11" t="s">
        <v>4213</v>
      </c>
      <c r="S1884" s="16" t="s">
        <v>4214</v>
      </c>
      <c r="T1884" s="19" t="str">
        <f>MONTH(B1884)&amp;"-"&amp;YEAR(B1884)</f>
        <v>4-2025</v>
      </c>
      <c r="U1884" s="2">
        <f>YEAR(B1884)</f>
        <v>2025</v>
      </c>
      <c r="V1884" s="2" t="str">
        <f>IF(DAY(B1884)&gt;15,MONTH(B1884)&amp;"-C",MONTH(B1884)&amp;"-N")</f>
        <v>4-N</v>
      </c>
      <c r="W1884" s="21">
        <v>91.9</v>
      </c>
      <c r="X1884" s="2" t="b">
        <f t="shared" si="1099"/>
        <v>0</v>
      </c>
    </row>
    <row r="1885" spans="2:24" x14ac:dyDescent="0.2">
      <c r="B1885" s="17">
        <v>45751</v>
      </c>
      <c r="C1885" s="10" t="s">
        <v>25</v>
      </c>
      <c r="D1885" s="11">
        <v>174953</v>
      </c>
      <c r="E1885" s="26">
        <v>80249</v>
      </c>
      <c r="F1885" s="10" t="s">
        <v>26</v>
      </c>
      <c r="G1885" s="10" t="s">
        <v>3885</v>
      </c>
      <c r="H1885" s="27" t="s">
        <v>28</v>
      </c>
      <c r="I1885" s="28" t="s">
        <v>41</v>
      </c>
      <c r="J1885" s="12" t="s">
        <v>41</v>
      </c>
      <c r="K1885" s="13">
        <v>19800</v>
      </c>
      <c r="L1885" s="21">
        <v>3.04</v>
      </c>
      <c r="M1885" s="14" t="s">
        <v>14</v>
      </c>
      <c r="N1885" s="13">
        <v>60192</v>
      </c>
      <c r="O1885" s="15">
        <v>0</v>
      </c>
      <c r="P1885" s="10" t="s">
        <v>78</v>
      </c>
      <c r="Q1885" s="11" t="s">
        <v>4215</v>
      </c>
      <c r="R1885" s="11" t="s">
        <v>4216</v>
      </c>
      <c r="S1885" s="16" t="s">
        <v>4217</v>
      </c>
      <c r="T1885" s="19" t="str">
        <f>MONTH(B1885)&amp;"-"&amp;YEAR(B1885)</f>
        <v>4-2025</v>
      </c>
      <c r="U1885" s="2">
        <f>YEAR(B1885)</f>
        <v>2025</v>
      </c>
      <c r="V1885" s="2" t="str">
        <f>IF(DAY(B1885)&gt;15,MONTH(B1885)&amp;"-C",MONTH(B1885)&amp;"-N")</f>
        <v>4-N</v>
      </c>
      <c r="W1885" s="21">
        <v>91.9</v>
      </c>
      <c r="X1885" s="2" t="b">
        <f t="shared" si="1099"/>
        <v>0</v>
      </c>
    </row>
    <row r="1886" spans="2:24" x14ac:dyDescent="0.2">
      <c r="B1886" s="17">
        <v>45754</v>
      </c>
      <c r="C1886" s="10" t="s">
        <v>25</v>
      </c>
      <c r="D1886" s="11">
        <v>175607</v>
      </c>
      <c r="E1886" s="26">
        <v>80292</v>
      </c>
      <c r="F1886" s="10" t="s">
        <v>29</v>
      </c>
      <c r="G1886" s="10" t="s">
        <v>3885</v>
      </c>
      <c r="H1886" s="27" t="s">
        <v>30</v>
      </c>
      <c r="I1886" s="28" t="s">
        <v>41</v>
      </c>
      <c r="J1886" s="12" t="s">
        <v>41</v>
      </c>
      <c r="K1886" s="13">
        <v>1980</v>
      </c>
      <c r="L1886" s="21">
        <v>3.7</v>
      </c>
      <c r="M1886" s="14" t="s">
        <v>14</v>
      </c>
      <c r="N1886" s="13">
        <v>7326</v>
      </c>
      <c r="O1886" s="15">
        <v>0</v>
      </c>
      <c r="P1886" s="10" t="s">
        <v>78</v>
      </c>
      <c r="Q1886" s="11" t="s">
        <v>4218</v>
      </c>
      <c r="R1886" s="11" t="s">
        <v>4219</v>
      </c>
      <c r="S1886" s="16" t="s">
        <v>4220</v>
      </c>
      <c r="T1886" s="19" t="str">
        <f>MONTH(B1886)&amp;"-"&amp;YEAR(B1886)</f>
        <v>4-2025</v>
      </c>
      <c r="U1886" s="2">
        <f>YEAR(B1886)</f>
        <v>2025</v>
      </c>
      <c r="V1886" s="2" t="str">
        <f>IF(DAY(B1886)&gt;15,MONTH(B1886)&amp;"-C",MONTH(B1886)&amp;"-N")</f>
        <v>4-N</v>
      </c>
      <c r="W1886" s="21">
        <v>91.9</v>
      </c>
      <c r="X1886" s="2" t="b">
        <f t="shared" ref="X1886:X1898" si="1100">+L1886=W1886</f>
        <v>0</v>
      </c>
    </row>
    <row r="1887" spans="2:24" x14ac:dyDescent="0.2">
      <c r="B1887" s="17">
        <v>45754</v>
      </c>
      <c r="C1887" s="10" t="s">
        <v>25</v>
      </c>
      <c r="D1887" s="11">
        <v>175607</v>
      </c>
      <c r="E1887" s="26">
        <v>80292</v>
      </c>
      <c r="F1887" s="10" t="s">
        <v>31</v>
      </c>
      <c r="G1887" s="10" t="s">
        <v>3885</v>
      </c>
      <c r="H1887" s="27" t="s">
        <v>32</v>
      </c>
      <c r="I1887" s="28" t="s">
        <v>41</v>
      </c>
      <c r="J1887" s="12" t="s">
        <v>41</v>
      </c>
      <c r="K1887" s="13">
        <v>640</v>
      </c>
      <c r="L1887" s="21">
        <v>3.5</v>
      </c>
      <c r="M1887" s="14" t="s">
        <v>14</v>
      </c>
      <c r="N1887" s="13">
        <v>2240</v>
      </c>
      <c r="O1887" s="15">
        <v>0</v>
      </c>
      <c r="P1887" s="10" t="s">
        <v>78</v>
      </c>
      <c r="Q1887" s="11" t="s">
        <v>4218</v>
      </c>
      <c r="R1887" s="11" t="s">
        <v>4219</v>
      </c>
      <c r="S1887" s="16" t="s">
        <v>4220</v>
      </c>
      <c r="T1887" s="19" t="str">
        <f>MONTH(B1887)&amp;"-"&amp;YEAR(B1887)</f>
        <v>4-2025</v>
      </c>
      <c r="U1887" s="2">
        <f>YEAR(B1887)</f>
        <v>2025</v>
      </c>
      <c r="V1887" s="2" t="str">
        <f>IF(DAY(B1887)&gt;15,MONTH(B1887)&amp;"-C",MONTH(B1887)&amp;"-N")</f>
        <v>4-N</v>
      </c>
      <c r="W1887" s="21">
        <v>91.9</v>
      </c>
      <c r="X1887" s="2" t="b">
        <f t="shared" si="1100"/>
        <v>0</v>
      </c>
    </row>
    <row r="1888" spans="2:24" x14ac:dyDescent="0.2">
      <c r="B1888" s="17">
        <v>45754</v>
      </c>
      <c r="C1888" s="10" t="s">
        <v>25</v>
      </c>
      <c r="D1888" s="11">
        <v>175607</v>
      </c>
      <c r="E1888" s="26">
        <v>80292</v>
      </c>
      <c r="F1888" s="10" t="s">
        <v>49</v>
      </c>
      <c r="G1888" s="10" t="s">
        <v>3885</v>
      </c>
      <c r="H1888" s="27" t="s">
        <v>50</v>
      </c>
      <c r="I1888" s="28" t="s">
        <v>41</v>
      </c>
      <c r="J1888" s="12" t="s">
        <v>41</v>
      </c>
      <c r="K1888" s="13">
        <v>760</v>
      </c>
      <c r="L1888" s="21">
        <v>4.8499999999999996</v>
      </c>
      <c r="M1888" s="14" t="s">
        <v>14</v>
      </c>
      <c r="N1888" s="13">
        <v>3686</v>
      </c>
      <c r="O1888" s="15">
        <v>0</v>
      </c>
      <c r="P1888" s="10" t="s">
        <v>78</v>
      </c>
      <c r="Q1888" s="11" t="s">
        <v>4218</v>
      </c>
      <c r="R1888" s="11" t="s">
        <v>4219</v>
      </c>
      <c r="S1888" s="16" t="s">
        <v>4220</v>
      </c>
      <c r="T1888" s="19" t="str">
        <f>MONTH(B1888)&amp;"-"&amp;YEAR(B1888)</f>
        <v>4-2025</v>
      </c>
      <c r="U1888" s="2">
        <f>YEAR(B1888)</f>
        <v>2025</v>
      </c>
      <c r="V1888" s="2" t="str">
        <f>IF(DAY(B1888)&gt;15,MONTH(B1888)&amp;"-C",MONTH(B1888)&amp;"-N")</f>
        <v>4-N</v>
      </c>
      <c r="W1888" s="21">
        <v>91.9</v>
      </c>
      <c r="X1888" s="2" t="b">
        <f t="shared" si="1100"/>
        <v>0</v>
      </c>
    </row>
    <row r="1889" spans="2:24" x14ac:dyDescent="0.2">
      <c r="B1889" s="17">
        <v>45754</v>
      </c>
      <c r="C1889" s="10" t="s">
        <v>25</v>
      </c>
      <c r="D1889" s="11">
        <v>175607</v>
      </c>
      <c r="E1889" s="26">
        <v>80292</v>
      </c>
      <c r="F1889" s="10" t="s">
        <v>33</v>
      </c>
      <c r="G1889" s="10" t="s">
        <v>3885</v>
      </c>
      <c r="H1889" s="27" t="s">
        <v>34</v>
      </c>
      <c r="I1889" s="28" t="s">
        <v>41</v>
      </c>
      <c r="J1889" s="12" t="s">
        <v>41</v>
      </c>
      <c r="K1889" s="13">
        <v>720</v>
      </c>
      <c r="L1889" s="21">
        <v>4.9000000000000004</v>
      </c>
      <c r="M1889" s="14" t="s">
        <v>14</v>
      </c>
      <c r="N1889" s="13">
        <v>3528</v>
      </c>
      <c r="O1889" s="15">
        <v>0</v>
      </c>
      <c r="P1889" s="10" t="s">
        <v>78</v>
      </c>
      <c r="Q1889" s="11" t="s">
        <v>4218</v>
      </c>
      <c r="R1889" s="11" t="s">
        <v>4219</v>
      </c>
      <c r="S1889" s="16" t="s">
        <v>4220</v>
      </c>
      <c r="T1889" s="19" t="str">
        <f>MONTH(B1889)&amp;"-"&amp;YEAR(B1889)</f>
        <v>4-2025</v>
      </c>
      <c r="U1889" s="2">
        <f>YEAR(B1889)</f>
        <v>2025</v>
      </c>
      <c r="V1889" s="2" t="str">
        <f>IF(DAY(B1889)&gt;15,MONTH(B1889)&amp;"-C",MONTH(B1889)&amp;"-N")</f>
        <v>4-N</v>
      </c>
      <c r="W1889" s="21">
        <v>91.9</v>
      </c>
      <c r="X1889" s="2" t="b">
        <f t="shared" si="1100"/>
        <v>0</v>
      </c>
    </row>
    <row r="1890" spans="2:24" x14ac:dyDescent="0.2">
      <c r="B1890" s="17">
        <v>45755</v>
      </c>
      <c r="C1890" s="10" t="s">
        <v>88</v>
      </c>
      <c r="D1890" s="11">
        <v>175608</v>
      </c>
      <c r="E1890" s="26">
        <v>80336</v>
      </c>
      <c r="F1890" s="10" t="s">
        <v>98</v>
      </c>
      <c r="G1890" s="10" t="s">
        <v>3901</v>
      </c>
      <c r="H1890" s="27" t="s">
        <v>99</v>
      </c>
      <c r="I1890" s="28" t="s">
        <v>41</v>
      </c>
      <c r="J1890" s="12" t="s">
        <v>41</v>
      </c>
      <c r="K1890" s="13">
        <v>32</v>
      </c>
      <c r="L1890" s="21">
        <v>11.25</v>
      </c>
      <c r="M1890" s="14" t="s">
        <v>14</v>
      </c>
      <c r="N1890" s="13">
        <v>360</v>
      </c>
      <c r="O1890" s="15">
        <v>0</v>
      </c>
      <c r="P1890" s="10" t="s">
        <v>84</v>
      </c>
      <c r="Q1890" s="11" t="s">
        <v>4221</v>
      </c>
      <c r="R1890" s="11" t="s">
        <v>4222</v>
      </c>
      <c r="S1890" s="16" t="s">
        <v>4223</v>
      </c>
      <c r="T1890" s="19" t="str">
        <f>MONTH(B1890)&amp;"-"&amp;YEAR(B1890)</f>
        <v>4-2025</v>
      </c>
      <c r="U1890" s="2">
        <f>YEAR(B1890)</f>
        <v>2025</v>
      </c>
      <c r="V1890" s="2" t="str">
        <f>IF(DAY(B1890)&gt;15,MONTH(B1890)&amp;"-C",MONTH(B1890)&amp;"-N")</f>
        <v>4-N</v>
      </c>
      <c r="W1890" s="21">
        <v>91.9</v>
      </c>
      <c r="X1890" s="2" t="b">
        <f t="shared" si="1100"/>
        <v>0</v>
      </c>
    </row>
    <row r="1891" spans="2:24" x14ac:dyDescent="0.2">
      <c r="B1891" s="17">
        <v>45755</v>
      </c>
      <c r="C1891" s="10" t="s">
        <v>88</v>
      </c>
      <c r="D1891" s="11">
        <v>175608</v>
      </c>
      <c r="E1891" s="26">
        <v>80336</v>
      </c>
      <c r="F1891" s="10" t="s">
        <v>100</v>
      </c>
      <c r="G1891" s="10" t="s">
        <v>3901</v>
      </c>
      <c r="H1891" s="27" t="s">
        <v>101</v>
      </c>
      <c r="I1891" s="28" t="s">
        <v>41</v>
      </c>
      <c r="J1891" s="12" t="s">
        <v>41</v>
      </c>
      <c r="K1891" s="13">
        <v>2000</v>
      </c>
      <c r="L1891" s="21">
        <v>13.22</v>
      </c>
      <c r="M1891" s="14" t="s">
        <v>14</v>
      </c>
      <c r="N1891" s="13">
        <v>26440</v>
      </c>
      <c r="O1891" s="15">
        <v>0</v>
      </c>
      <c r="P1891" s="10" t="s">
        <v>84</v>
      </c>
      <c r="Q1891" s="11" t="s">
        <v>4221</v>
      </c>
      <c r="R1891" s="11" t="s">
        <v>4222</v>
      </c>
      <c r="S1891" s="16" t="s">
        <v>4223</v>
      </c>
      <c r="T1891" s="19" t="str">
        <f>MONTH(B1891)&amp;"-"&amp;YEAR(B1891)</f>
        <v>4-2025</v>
      </c>
      <c r="U1891" s="2">
        <f>YEAR(B1891)</f>
        <v>2025</v>
      </c>
      <c r="V1891" s="2" t="str">
        <f>IF(DAY(B1891)&gt;15,MONTH(B1891)&amp;"-C",MONTH(B1891)&amp;"-N")</f>
        <v>4-N</v>
      </c>
      <c r="W1891" s="21">
        <v>91.9</v>
      </c>
      <c r="X1891" s="2" t="b">
        <f t="shared" si="1100"/>
        <v>0</v>
      </c>
    </row>
    <row r="1892" spans="2:24" x14ac:dyDescent="0.2">
      <c r="B1892" s="17">
        <v>45751</v>
      </c>
      <c r="C1892" s="10" t="s">
        <v>4144</v>
      </c>
      <c r="D1892" s="11">
        <v>174928</v>
      </c>
      <c r="E1892" s="26">
        <v>80262</v>
      </c>
      <c r="F1892" s="10" t="s">
        <v>135</v>
      </c>
      <c r="G1892" s="10" t="s">
        <v>3901</v>
      </c>
      <c r="H1892" s="27" t="s">
        <v>136</v>
      </c>
      <c r="I1892" s="28" t="s">
        <v>41</v>
      </c>
      <c r="J1892" s="12" t="s">
        <v>41</v>
      </c>
      <c r="K1892" s="13">
        <v>4600</v>
      </c>
      <c r="L1892" s="21">
        <v>9.7409999999999997</v>
      </c>
      <c r="M1892" s="14" t="s">
        <v>14</v>
      </c>
      <c r="N1892" s="13">
        <v>44810.44</v>
      </c>
      <c r="O1892" s="15">
        <v>0</v>
      </c>
      <c r="P1892" s="10" t="s">
        <v>90</v>
      </c>
      <c r="Q1892" s="11" t="s">
        <v>4224</v>
      </c>
      <c r="R1892" s="11" t="s">
        <v>4225</v>
      </c>
      <c r="S1892" s="16" t="s">
        <v>4226</v>
      </c>
      <c r="T1892" s="19" t="str">
        <f>MONTH(B1892)&amp;"-"&amp;YEAR(B1892)</f>
        <v>4-2025</v>
      </c>
      <c r="U1892" s="2">
        <f>YEAR(B1892)</f>
        <v>2025</v>
      </c>
      <c r="V1892" s="2" t="str">
        <f>IF(DAY(B1892)&gt;15,MONTH(B1892)&amp;"-C",MONTH(B1892)&amp;"-N")</f>
        <v>4-N</v>
      </c>
      <c r="W1892" s="21">
        <v>91.9</v>
      </c>
      <c r="X1892" s="2" t="b">
        <f t="shared" si="1100"/>
        <v>0</v>
      </c>
    </row>
    <row r="1893" spans="2:24" x14ac:dyDescent="0.2">
      <c r="B1893" s="17">
        <v>45751</v>
      </c>
      <c r="C1893" s="10" t="s">
        <v>4144</v>
      </c>
      <c r="D1893" s="11">
        <v>174928</v>
      </c>
      <c r="E1893" s="26">
        <v>80262</v>
      </c>
      <c r="F1893" s="10" t="s">
        <v>71</v>
      </c>
      <c r="G1893" s="10" t="s">
        <v>3901</v>
      </c>
      <c r="H1893" s="27" t="s">
        <v>72</v>
      </c>
      <c r="I1893" s="28" t="s">
        <v>41</v>
      </c>
      <c r="J1893" s="12" t="s">
        <v>41</v>
      </c>
      <c r="K1893" s="13">
        <v>21800</v>
      </c>
      <c r="L1893" s="21">
        <v>9.5939999999999994</v>
      </c>
      <c r="M1893" s="14" t="s">
        <v>14</v>
      </c>
      <c r="N1893" s="13">
        <v>209157.04800000001</v>
      </c>
      <c r="O1893" s="15">
        <v>0</v>
      </c>
      <c r="P1893" s="10" t="s">
        <v>90</v>
      </c>
      <c r="Q1893" s="11" t="s">
        <v>4224</v>
      </c>
      <c r="R1893" s="11" t="s">
        <v>4225</v>
      </c>
      <c r="S1893" s="16" t="s">
        <v>4226</v>
      </c>
      <c r="T1893" s="19" t="str">
        <f>MONTH(B1893)&amp;"-"&amp;YEAR(B1893)</f>
        <v>4-2025</v>
      </c>
      <c r="U1893" s="2">
        <f>YEAR(B1893)</f>
        <v>2025</v>
      </c>
      <c r="V1893" s="2" t="str">
        <f>IF(DAY(B1893)&gt;15,MONTH(B1893)&amp;"-C",MONTH(B1893)&amp;"-N")</f>
        <v>4-N</v>
      </c>
      <c r="W1893" s="21">
        <v>91.9</v>
      </c>
      <c r="X1893" s="2" t="b">
        <f t="shared" si="1100"/>
        <v>0</v>
      </c>
    </row>
    <row r="1894" spans="2:24" x14ac:dyDescent="0.2">
      <c r="B1894" s="17">
        <v>45751</v>
      </c>
      <c r="C1894" s="10" t="s">
        <v>4144</v>
      </c>
      <c r="D1894" s="11">
        <v>174928</v>
      </c>
      <c r="E1894" s="26">
        <v>80262</v>
      </c>
      <c r="F1894" s="10" t="s">
        <v>2552</v>
      </c>
      <c r="G1894" s="10" t="s">
        <v>3901</v>
      </c>
      <c r="H1894" s="27" t="s">
        <v>2553</v>
      </c>
      <c r="I1894" s="28" t="s">
        <v>41</v>
      </c>
      <c r="J1894" s="12" t="s">
        <v>41</v>
      </c>
      <c r="K1894" s="13">
        <v>5600</v>
      </c>
      <c r="L1894" s="21">
        <v>9.5210000000000008</v>
      </c>
      <c r="M1894" s="14" t="s">
        <v>14</v>
      </c>
      <c r="N1894" s="13">
        <v>53316.703999999998</v>
      </c>
      <c r="O1894" s="15">
        <v>0</v>
      </c>
      <c r="P1894" s="10" t="s">
        <v>90</v>
      </c>
      <c r="Q1894" s="11" t="s">
        <v>4224</v>
      </c>
      <c r="R1894" s="11" t="s">
        <v>4225</v>
      </c>
      <c r="S1894" s="16" t="s">
        <v>4226</v>
      </c>
      <c r="T1894" s="19" t="str">
        <f>MONTH(B1894)&amp;"-"&amp;YEAR(B1894)</f>
        <v>4-2025</v>
      </c>
      <c r="U1894" s="2">
        <f>YEAR(B1894)</f>
        <v>2025</v>
      </c>
      <c r="V1894" s="2" t="str">
        <f>IF(DAY(B1894)&gt;15,MONTH(B1894)&amp;"-C",MONTH(B1894)&amp;"-N")</f>
        <v>4-N</v>
      </c>
      <c r="W1894" s="21">
        <v>91.9</v>
      </c>
      <c r="X1894" s="2" t="b">
        <f t="shared" si="1100"/>
        <v>0</v>
      </c>
    </row>
    <row r="1895" spans="2:24" x14ac:dyDescent="0.2">
      <c r="B1895" s="17">
        <v>45762</v>
      </c>
      <c r="C1895" s="10" t="s">
        <v>25</v>
      </c>
      <c r="D1895" s="11">
        <v>175659</v>
      </c>
      <c r="E1895" s="26">
        <v>80440</v>
      </c>
      <c r="F1895" s="10" t="s">
        <v>26</v>
      </c>
      <c r="G1895" s="10" t="s">
        <v>3885</v>
      </c>
      <c r="H1895" s="27" t="s">
        <v>28</v>
      </c>
      <c r="I1895" s="28" t="s">
        <v>41</v>
      </c>
      <c r="J1895" s="12" t="s">
        <v>41</v>
      </c>
      <c r="K1895" s="13">
        <v>12500</v>
      </c>
      <c r="L1895" s="21">
        <v>3</v>
      </c>
      <c r="M1895" s="14" t="s">
        <v>14</v>
      </c>
      <c r="N1895" s="13">
        <v>37500</v>
      </c>
      <c r="O1895" s="15">
        <v>0</v>
      </c>
      <c r="P1895" s="10" t="s">
        <v>78</v>
      </c>
      <c r="Q1895" s="11" t="s">
        <v>4227</v>
      </c>
      <c r="R1895" s="11" t="s">
        <v>4228</v>
      </c>
      <c r="S1895" s="16" t="s">
        <v>4229</v>
      </c>
      <c r="T1895" s="19" t="str">
        <f>MONTH(B1895)&amp;"-"&amp;YEAR(B1895)</f>
        <v>4-2025</v>
      </c>
      <c r="U1895" s="2">
        <f>YEAR(B1895)</f>
        <v>2025</v>
      </c>
      <c r="V1895" s="2" t="str">
        <f>IF(DAY(B1895)&gt;15,MONTH(B1895)&amp;"-C",MONTH(B1895)&amp;"-N")</f>
        <v>4-N</v>
      </c>
      <c r="W1895" s="21">
        <v>91.9</v>
      </c>
      <c r="X1895" s="2" t="b">
        <f t="shared" si="1100"/>
        <v>0</v>
      </c>
    </row>
    <row r="1896" spans="2:24" x14ac:dyDescent="0.2">
      <c r="B1896" s="17">
        <v>45762</v>
      </c>
      <c r="C1896" s="10" t="s">
        <v>25</v>
      </c>
      <c r="D1896" s="11">
        <v>174953</v>
      </c>
      <c r="E1896" s="26">
        <v>80441</v>
      </c>
      <c r="F1896" s="10" t="s">
        <v>26</v>
      </c>
      <c r="G1896" s="10" t="s">
        <v>3885</v>
      </c>
      <c r="H1896" s="27" t="s">
        <v>28</v>
      </c>
      <c r="I1896" s="28" t="s">
        <v>41</v>
      </c>
      <c r="J1896" s="12" t="s">
        <v>41</v>
      </c>
      <c r="K1896" s="13">
        <v>7300</v>
      </c>
      <c r="L1896" s="21">
        <v>3.04</v>
      </c>
      <c r="M1896" s="14" t="s">
        <v>14</v>
      </c>
      <c r="N1896" s="13">
        <v>22192</v>
      </c>
      <c r="O1896" s="15">
        <v>0</v>
      </c>
      <c r="P1896" s="10" t="s">
        <v>78</v>
      </c>
      <c r="Q1896" s="11" t="s">
        <v>4230</v>
      </c>
      <c r="R1896" s="11" t="s">
        <v>4231</v>
      </c>
      <c r="S1896" s="16" t="s">
        <v>4232</v>
      </c>
      <c r="T1896" s="19" t="str">
        <f>MONTH(B1896)&amp;"-"&amp;YEAR(B1896)</f>
        <v>4-2025</v>
      </c>
      <c r="U1896" s="2">
        <f>YEAR(B1896)</f>
        <v>2025</v>
      </c>
      <c r="V1896" s="2" t="str">
        <f>IF(DAY(B1896)&gt;15,MONTH(B1896)&amp;"-C",MONTH(B1896)&amp;"-N")</f>
        <v>4-N</v>
      </c>
      <c r="W1896" s="21">
        <v>91.9</v>
      </c>
      <c r="X1896" s="2" t="b">
        <f t="shared" si="1100"/>
        <v>0</v>
      </c>
    </row>
    <row r="1897" spans="2:24" x14ac:dyDescent="0.2">
      <c r="B1897" s="17">
        <v>45763</v>
      </c>
      <c r="C1897" s="10" t="s">
        <v>82</v>
      </c>
      <c r="D1897" s="11">
        <v>175682</v>
      </c>
      <c r="E1897" s="26">
        <v>80450</v>
      </c>
      <c r="F1897" s="10" t="s">
        <v>29</v>
      </c>
      <c r="G1897" s="10" t="s">
        <v>3885</v>
      </c>
      <c r="H1897" s="27" t="s">
        <v>30</v>
      </c>
      <c r="I1897" s="28" t="s">
        <v>41</v>
      </c>
      <c r="J1897" s="12" t="s">
        <v>41</v>
      </c>
      <c r="K1897" s="13">
        <v>660</v>
      </c>
      <c r="L1897" s="21">
        <v>4</v>
      </c>
      <c r="M1897" s="14" t="s">
        <v>14</v>
      </c>
      <c r="N1897" s="13">
        <v>2640</v>
      </c>
      <c r="O1897" s="15">
        <v>0</v>
      </c>
      <c r="P1897" s="10" t="s">
        <v>78</v>
      </c>
      <c r="Q1897" s="11" t="s">
        <v>4233</v>
      </c>
      <c r="R1897" s="11" t="s">
        <v>4234</v>
      </c>
      <c r="S1897" s="16" t="s">
        <v>4235</v>
      </c>
      <c r="T1897" s="19" t="str">
        <f>MONTH(B1897)&amp;"-"&amp;YEAR(B1897)</f>
        <v>4-2025</v>
      </c>
      <c r="U1897" s="2">
        <f>YEAR(B1897)</f>
        <v>2025</v>
      </c>
      <c r="V1897" s="2" t="str">
        <f>IF(DAY(B1897)&gt;15,MONTH(B1897)&amp;"-C",MONTH(B1897)&amp;"-N")</f>
        <v>4-C</v>
      </c>
      <c r="W1897" s="21">
        <v>91.9</v>
      </c>
      <c r="X1897" s="2" t="b">
        <f t="shared" si="1100"/>
        <v>0</v>
      </c>
    </row>
    <row r="1898" spans="2:24" x14ac:dyDescent="0.2">
      <c r="B1898" s="17">
        <v>45763</v>
      </c>
      <c r="C1898" s="10" t="s">
        <v>82</v>
      </c>
      <c r="D1898" s="11">
        <v>175682</v>
      </c>
      <c r="E1898" s="26">
        <v>80450</v>
      </c>
      <c r="F1898" s="10" t="s">
        <v>3054</v>
      </c>
      <c r="G1898" s="10" t="s">
        <v>3885</v>
      </c>
      <c r="H1898" s="27" t="s">
        <v>3055</v>
      </c>
      <c r="I1898" s="28" t="s">
        <v>41</v>
      </c>
      <c r="J1898" s="12" t="s">
        <v>41</v>
      </c>
      <c r="K1898" s="13">
        <v>640</v>
      </c>
      <c r="L1898" s="21">
        <v>4.8</v>
      </c>
      <c r="M1898" s="14" t="s">
        <v>14</v>
      </c>
      <c r="N1898" s="13">
        <v>3072</v>
      </c>
      <c r="O1898" s="15">
        <v>0</v>
      </c>
      <c r="P1898" s="10" t="s">
        <v>78</v>
      </c>
      <c r="Q1898" s="11" t="s">
        <v>4233</v>
      </c>
      <c r="R1898" s="11" t="s">
        <v>4234</v>
      </c>
      <c r="S1898" s="16" t="s">
        <v>4235</v>
      </c>
      <c r="T1898" s="19" t="str">
        <f>MONTH(B1898)&amp;"-"&amp;YEAR(B1898)</f>
        <v>4-2025</v>
      </c>
      <c r="U1898" s="2">
        <f>YEAR(B1898)</f>
        <v>2025</v>
      </c>
      <c r="V1898" s="2" t="str">
        <f>IF(DAY(B1898)&gt;15,MONTH(B1898)&amp;"-C",MONTH(B1898)&amp;"-N")</f>
        <v>4-C</v>
      </c>
      <c r="W1898" s="21">
        <v>91.9</v>
      </c>
      <c r="X1898" s="2" t="b">
        <f t="shared" si="1100"/>
        <v>0</v>
      </c>
    </row>
    <row r="1899" spans="2:24" x14ac:dyDescent="0.2">
      <c r="B1899" s="17">
        <v>45764</v>
      </c>
      <c r="C1899" s="10" t="s">
        <v>25</v>
      </c>
      <c r="D1899" s="11">
        <v>175607</v>
      </c>
      <c r="E1899" s="26">
        <v>80472</v>
      </c>
      <c r="F1899" s="10" t="s">
        <v>29</v>
      </c>
      <c r="G1899" s="10" t="s">
        <v>3885</v>
      </c>
      <c r="H1899" s="27" t="s">
        <v>30</v>
      </c>
      <c r="I1899" s="28" t="s">
        <v>41</v>
      </c>
      <c r="J1899" s="12" t="s">
        <v>41</v>
      </c>
      <c r="K1899" s="13">
        <v>1980</v>
      </c>
      <c r="L1899" s="21">
        <v>3.7</v>
      </c>
      <c r="M1899" s="14" t="s">
        <v>14</v>
      </c>
      <c r="N1899" s="13">
        <v>7326</v>
      </c>
      <c r="O1899" s="15">
        <v>0</v>
      </c>
      <c r="P1899" s="10" t="s">
        <v>78</v>
      </c>
      <c r="Q1899" s="11" t="s">
        <v>4236</v>
      </c>
      <c r="R1899" s="11" t="s">
        <v>4237</v>
      </c>
      <c r="S1899" s="16" t="s">
        <v>4238</v>
      </c>
      <c r="T1899" s="19" t="str">
        <f>MONTH(B1899)&amp;"-"&amp;YEAR(B1899)</f>
        <v>4-2025</v>
      </c>
      <c r="U1899" s="2">
        <f>YEAR(B1899)</f>
        <v>2025</v>
      </c>
      <c r="V1899" s="2" t="str">
        <f>IF(DAY(B1899)&gt;15,MONTH(B1899)&amp;"-C",MONTH(B1899)&amp;"-N")</f>
        <v>4-C</v>
      </c>
      <c r="W1899" s="21">
        <v>91.9</v>
      </c>
      <c r="X1899" s="2" t="b">
        <f t="shared" ref="X1899" si="1101">+L1899=W1899</f>
        <v>0</v>
      </c>
    </row>
    <row r="1900" spans="2:24" x14ac:dyDescent="0.2">
      <c r="B1900" s="17">
        <v>45767</v>
      </c>
      <c r="C1900" s="10" t="s">
        <v>94</v>
      </c>
      <c r="D1900" s="11">
        <v>175689</v>
      </c>
      <c r="E1900" s="26">
        <v>80521</v>
      </c>
      <c r="F1900" s="10" t="s">
        <v>26</v>
      </c>
      <c r="G1900" s="10" t="s">
        <v>3885</v>
      </c>
      <c r="H1900" s="27" t="s">
        <v>28</v>
      </c>
      <c r="I1900" s="28" t="s">
        <v>41</v>
      </c>
      <c r="J1900" s="12" t="s">
        <v>41</v>
      </c>
      <c r="K1900" s="13">
        <v>19800</v>
      </c>
      <c r="L1900" s="21">
        <v>3</v>
      </c>
      <c r="M1900" s="14" t="s">
        <v>14</v>
      </c>
      <c r="N1900" s="13">
        <v>59400</v>
      </c>
      <c r="O1900" s="15">
        <v>0</v>
      </c>
      <c r="P1900" s="10" t="s">
        <v>78</v>
      </c>
      <c r="Q1900" s="11" t="s">
        <v>4239</v>
      </c>
      <c r="R1900" s="11" t="s">
        <v>4240</v>
      </c>
      <c r="S1900" s="16" t="s">
        <v>4241</v>
      </c>
      <c r="T1900" s="19" t="str">
        <f>MONTH(B1900)&amp;"-"&amp;YEAR(B1900)</f>
        <v>4-2025</v>
      </c>
      <c r="U1900" s="2">
        <f>YEAR(B1900)</f>
        <v>2025</v>
      </c>
      <c r="V1900" s="2" t="str">
        <f>IF(DAY(B1900)&gt;15,MONTH(B1900)&amp;"-C",MONTH(B1900)&amp;"-N")</f>
        <v>4-C</v>
      </c>
      <c r="W1900" s="21">
        <v>91.9</v>
      </c>
      <c r="X1900" s="2" t="b">
        <f t="shared" ref="X1900" si="1102">+L1900=W1900</f>
        <v>0</v>
      </c>
    </row>
    <row r="1901" spans="2:24" x14ac:dyDescent="0.2">
      <c r="B1901" s="17">
        <v>45771</v>
      </c>
      <c r="C1901" s="10" t="s">
        <v>25</v>
      </c>
      <c r="D1901" s="11">
        <v>175659</v>
      </c>
      <c r="E1901" s="26">
        <v>80609</v>
      </c>
      <c r="F1901" s="10" t="s">
        <v>26</v>
      </c>
      <c r="G1901" s="10" t="s">
        <v>3885</v>
      </c>
      <c r="H1901" s="27" t="s">
        <v>28</v>
      </c>
      <c r="I1901" s="28" t="s">
        <v>41</v>
      </c>
      <c r="J1901" s="12" t="s">
        <v>41</v>
      </c>
      <c r="K1901" s="13">
        <v>19800</v>
      </c>
      <c r="L1901" s="21">
        <v>3</v>
      </c>
      <c r="M1901" s="14" t="s">
        <v>14</v>
      </c>
      <c r="N1901" s="13">
        <v>59400</v>
      </c>
      <c r="O1901" s="15">
        <v>0</v>
      </c>
      <c r="P1901" s="10" t="s">
        <v>78</v>
      </c>
      <c r="Q1901" s="11" t="s">
        <v>4242</v>
      </c>
      <c r="R1901" s="11" t="s">
        <v>4243</v>
      </c>
      <c r="S1901" s="16" t="s">
        <v>4244</v>
      </c>
      <c r="T1901" s="19" t="str">
        <f>MONTH(B1901)&amp;"-"&amp;YEAR(B1901)</f>
        <v>4-2025</v>
      </c>
      <c r="U1901" s="2">
        <f>YEAR(B1901)</f>
        <v>2025</v>
      </c>
      <c r="V1901" s="2" t="str">
        <f>IF(DAY(B1901)&gt;15,MONTH(B1901)&amp;"-C",MONTH(B1901)&amp;"-N")</f>
        <v>4-C</v>
      </c>
      <c r="W1901" s="21">
        <v>91.9</v>
      </c>
      <c r="X1901" s="2" t="b">
        <f t="shared" ref="X1901" si="1103">+L1901=W1901</f>
        <v>0</v>
      </c>
    </row>
    <row r="1902" spans="2:24" x14ac:dyDescent="0.2">
      <c r="B1902" s="17">
        <v>45772</v>
      </c>
      <c r="C1902" s="10" t="s">
        <v>82</v>
      </c>
      <c r="D1902" s="11">
        <v>175748</v>
      </c>
      <c r="E1902" s="26">
        <v>80636</v>
      </c>
      <c r="F1902" s="10" t="s">
        <v>4245</v>
      </c>
      <c r="G1902" s="10" t="s">
        <v>3885</v>
      </c>
      <c r="H1902" s="27" t="s">
        <v>34</v>
      </c>
      <c r="I1902" s="28" t="s">
        <v>41</v>
      </c>
      <c r="J1902" s="12" t="s">
        <v>41</v>
      </c>
      <c r="K1902" s="13">
        <v>200</v>
      </c>
      <c r="L1902" s="21">
        <v>6</v>
      </c>
      <c r="M1902" s="14" t="s">
        <v>14</v>
      </c>
      <c r="N1902" s="13">
        <v>1200</v>
      </c>
      <c r="O1902" s="15">
        <v>0</v>
      </c>
      <c r="P1902" s="10" t="s">
        <v>78</v>
      </c>
      <c r="Q1902" s="11" t="s">
        <v>4246</v>
      </c>
      <c r="R1902" s="11" t="s">
        <v>4247</v>
      </c>
      <c r="S1902" s="16" t="s">
        <v>4248</v>
      </c>
      <c r="T1902" s="19" t="str">
        <f>MONTH(B1902)&amp;"-"&amp;YEAR(B1902)</f>
        <v>4-2025</v>
      </c>
      <c r="U1902" s="2">
        <f>YEAR(B1902)</f>
        <v>2025</v>
      </c>
      <c r="V1902" s="2" t="str">
        <f>IF(DAY(B1902)&gt;15,MONTH(B1902)&amp;"-C",MONTH(B1902)&amp;"-N")</f>
        <v>4-C</v>
      </c>
      <c r="W1902" s="21">
        <v>91.9</v>
      </c>
      <c r="X1902" s="2" t="b">
        <f t="shared" ref="X1902:X1903" si="1104">+L1902=W1902</f>
        <v>0</v>
      </c>
    </row>
    <row r="1903" spans="2:24" x14ac:dyDescent="0.2">
      <c r="B1903" s="17">
        <v>45772</v>
      </c>
      <c r="C1903" s="10" t="s">
        <v>82</v>
      </c>
      <c r="D1903" s="11">
        <v>175748</v>
      </c>
      <c r="E1903" s="26">
        <v>80636</v>
      </c>
      <c r="F1903" s="10" t="s">
        <v>3054</v>
      </c>
      <c r="G1903" s="10" t="s">
        <v>3885</v>
      </c>
      <c r="H1903" s="27" t="s">
        <v>3055</v>
      </c>
      <c r="I1903" s="28" t="s">
        <v>41</v>
      </c>
      <c r="J1903" s="12" t="s">
        <v>41</v>
      </c>
      <c r="K1903" s="13">
        <v>160</v>
      </c>
      <c r="L1903" s="21">
        <v>4.9000000000000004</v>
      </c>
      <c r="M1903" s="14" t="s">
        <v>14</v>
      </c>
      <c r="N1903" s="13">
        <v>784</v>
      </c>
      <c r="O1903" s="15">
        <v>0</v>
      </c>
      <c r="P1903" s="10" t="s">
        <v>78</v>
      </c>
      <c r="Q1903" s="11" t="s">
        <v>4246</v>
      </c>
      <c r="R1903" s="11" t="s">
        <v>4247</v>
      </c>
      <c r="S1903" s="16" t="s">
        <v>4248</v>
      </c>
      <c r="T1903" s="19" t="str">
        <f>MONTH(B1903)&amp;"-"&amp;YEAR(B1903)</f>
        <v>4-2025</v>
      </c>
      <c r="U1903" s="2">
        <f>YEAR(B1903)</f>
        <v>2025</v>
      </c>
      <c r="V1903" s="2" t="str">
        <f>IF(DAY(B1903)&gt;15,MONTH(B1903)&amp;"-C",MONTH(B1903)&amp;"-N")</f>
        <v>4-C</v>
      </c>
      <c r="W1903" s="21">
        <v>91.9</v>
      </c>
      <c r="X1903" s="2" t="b">
        <f t="shared" si="1104"/>
        <v>0</v>
      </c>
    </row>
    <row r="1904" spans="2:24" x14ac:dyDescent="0.2">
      <c r="B1904" s="17">
        <v>45772</v>
      </c>
      <c r="C1904" s="10" t="s">
        <v>107</v>
      </c>
      <c r="D1904" s="11">
        <v>175644</v>
      </c>
      <c r="E1904" s="26">
        <v>80623</v>
      </c>
      <c r="F1904" s="10" t="s">
        <v>103</v>
      </c>
      <c r="G1904" s="10" t="s">
        <v>3901</v>
      </c>
      <c r="H1904" s="27" t="s">
        <v>104</v>
      </c>
      <c r="I1904" s="28" t="s">
        <v>41</v>
      </c>
      <c r="J1904" s="12" t="s">
        <v>41</v>
      </c>
      <c r="K1904" s="13">
        <v>185</v>
      </c>
      <c r="L1904" s="21">
        <v>47.46</v>
      </c>
      <c r="M1904" s="14" t="s">
        <v>14</v>
      </c>
      <c r="N1904" s="13">
        <v>8780.1</v>
      </c>
      <c r="O1904" s="15">
        <v>0</v>
      </c>
      <c r="P1904" s="10" t="s">
        <v>84</v>
      </c>
      <c r="Q1904" s="11" t="s">
        <v>4249</v>
      </c>
      <c r="R1904" s="11" t="s">
        <v>4250</v>
      </c>
      <c r="S1904" s="16" t="s">
        <v>4251</v>
      </c>
      <c r="T1904" s="19" t="str">
        <f>MONTH(B1904)&amp;"-"&amp;YEAR(B1904)</f>
        <v>4-2025</v>
      </c>
      <c r="U1904" s="2">
        <f>YEAR(B1904)</f>
        <v>2025</v>
      </c>
      <c r="V1904" s="2" t="str">
        <f>IF(DAY(B1904)&gt;15,MONTH(B1904)&amp;"-C",MONTH(B1904)&amp;"-N")</f>
        <v>4-C</v>
      </c>
      <c r="W1904" s="21">
        <v>91.9</v>
      </c>
      <c r="X1904" s="2" t="b">
        <f t="shared" ref="X1904:X1910" si="1105">+L1904=W1904</f>
        <v>0</v>
      </c>
    </row>
    <row r="1905" spans="2:24" x14ac:dyDescent="0.2">
      <c r="B1905" s="17">
        <v>45772</v>
      </c>
      <c r="C1905" s="10" t="s">
        <v>107</v>
      </c>
      <c r="D1905" s="11">
        <v>175644</v>
      </c>
      <c r="E1905" s="26">
        <v>80623</v>
      </c>
      <c r="F1905" s="10" t="s">
        <v>105</v>
      </c>
      <c r="G1905" s="10" t="s">
        <v>3901</v>
      </c>
      <c r="H1905" s="27" t="s">
        <v>106</v>
      </c>
      <c r="I1905" s="28" t="s">
        <v>41</v>
      </c>
      <c r="J1905" s="12" t="s">
        <v>41</v>
      </c>
      <c r="K1905" s="13">
        <v>6160</v>
      </c>
      <c r="L1905" s="21">
        <v>11.72</v>
      </c>
      <c r="M1905" s="14" t="s">
        <v>14</v>
      </c>
      <c r="N1905" s="13">
        <v>72195.199999999997</v>
      </c>
      <c r="O1905" s="15">
        <v>0</v>
      </c>
      <c r="P1905" s="10" t="s">
        <v>84</v>
      </c>
      <c r="Q1905" s="11" t="s">
        <v>4249</v>
      </c>
      <c r="R1905" s="11" t="s">
        <v>4250</v>
      </c>
      <c r="S1905" s="16" t="s">
        <v>4251</v>
      </c>
      <c r="T1905" s="19" t="str">
        <f>MONTH(B1905)&amp;"-"&amp;YEAR(B1905)</f>
        <v>4-2025</v>
      </c>
      <c r="U1905" s="2">
        <f>YEAR(B1905)</f>
        <v>2025</v>
      </c>
      <c r="V1905" s="2" t="str">
        <f>IF(DAY(B1905)&gt;15,MONTH(B1905)&amp;"-C",MONTH(B1905)&amp;"-N")</f>
        <v>4-C</v>
      </c>
      <c r="W1905" s="21">
        <v>91.9</v>
      </c>
      <c r="X1905" s="2" t="b">
        <f t="shared" si="1105"/>
        <v>0</v>
      </c>
    </row>
    <row r="1906" spans="2:24" x14ac:dyDescent="0.2">
      <c r="B1906" s="17">
        <v>45772</v>
      </c>
      <c r="C1906" s="10" t="s">
        <v>25</v>
      </c>
      <c r="D1906" s="11">
        <v>175735</v>
      </c>
      <c r="E1906" s="26">
        <v>80624</v>
      </c>
      <c r="F1906" s="10" t="s">
        <v>3054</v>
      </c>
      <c r="G1906" s="10" t="s">
        <v>3885</v>
      </c>
      <c r="H1906" s="27" t="s">
        <v>3055</v>
      </c>
      <c r="I1906" s="28" t="s">
        <v>41</v>
      </c>
      <c r="J1906" s="12" t="s">
        <v>41</v>
      </c>
      <c r="K1906" s="13">
        <v>1280</v>
      </c>
      <c r="L1906" s="21">
        <v>3.82</v>
      </c>
      <c r="M1906" s="14" t="s">
        <v>14</v>
      </c>
      <c r="N1906" s="13">
        <v>4889.6000000000004</v>
      </c>
      <c r="O1906" s="15">
        <v>0</v>
      </c>
      <c r="P1906" s="10" t="s">
        <v>78</v>
      </c>
      <c r="Q1906" s="11" t="s">
        <v>4252</v>
      </c>
      <c r="R1906" s="11" t="s">
        <v>4253</v>
      </c>
      <c r="S1906" s="16" t="s">
        <v>4254</v>
      </c>
      <c r="T1906" s="19" t="str">
        <f>MONTH(B1906)&amp;"-"&amp;YEAR(B1906)</f>
        <v>4-2025</v>
      </c>
      <c r="U1906" s="2">
        <f>YEAR(B1906)</f>
        <v>2025</v>
      </c>
      <c r="V1906" s="2" t="str">
        <f>IF(DAY(B1906)&gt;15,MONTH(B1906)&amp;"-C",MONTH(B1906)&amp;"-N")</f>
        <v>4-C</v>
      </c>
      <c r="W1906" s="21">
        <v>91.9</v>
      </c>
      <c r="X1906" s="2" t="b">
        <f t="shared" si="1105"/>
        <v>0</v>
      </c>
    </row>
    <row r="1907" spans="2:24" x14ac:dyDescent="0.2">
      <c r="B1907" s="17">
        <v>45772</v>
      </c>
      <c r="C1907" s="10" t="s">
        <v>25</v>
      </c>
      <c r="D1907" s="11">
        <v>175607</v>
      </c>
      <c r="E1907" s="26">
        <v>80625</v>
      </c>
      <c r="F1907" s="10" t="s">
        <v>29</v>
      </c>
      <c r="G1907" s="10" t="s">
        <v>3885</v>
      </c>
      <c r="H1907" s="27" t="s">
        <v>30</v>
      </c>
      <c r="I1907" s="28" t="s">
        <v>41</v>
      </c>
      <c r="J1907" s="12" t="s">
        <v>41</v>
      </c>
      <c r="K1907" s="13">
        <v>990</v>
      </c>
      <c r="L1907" s="21">
        <v>3.7</v>
      </c>
      <c r="M1907" s="14" t="s">
        <v>14</v>
      </c>
      <c r="N1907" s="13">
        <v>3663</v>
      </c>
      <c r="O1907" s="15">
        <v>0</v>
      </c>
      <c r="P1907" s="10" t="s">
        <v>78</v>
      </c>
      <c r="Q1907" s="11" t="s">
        <v>4255</v>
      </c>
      <c r="R1907" s="11" t="s">
        <v>4256</v>
      </c>
      <c r="S1907" s="16" t="s">
        <v>4257</v>
      </c>
      <c r="T1907" s="19" t="str">
        <f>MONTH(B1907)&amp;"-"&amp;YEAR(B1907)</f>
        <v>4-2025</v>
      </c>
      <c r="U1907" s="2">
        <f>YEAR(B1907)</f>
        <v>2025</v>
      </c>
      <c r="V1907" s="2" t="str">
        <f>IF(DAY(B1907)&gt;15,MONTH(B1907)&amp;"-C",MONTH(B1907)&amp;"-N")</f>
        <v>4-C</v>
      </c>
      <c r="W1907" s="21">
        <v>91.9</v>
      </c>
      <c r="X1907" s="2" t="b">
        <f t="shared" si="1105"/>
        <v>0</v>
      </c>
    </row>
    <row r="1908" spans="2:24" x14ac:dyDescent="0.2">
      <c r="B1908" s="17">
        <v>45772</v>
      </c>
      <c r="C1908" s="10" t="s">
        <v>25</v>
      </c>
      <c r="D1908" s="11">
        <v>175607</v>
      </c>
      <c r="E1908" s="26">
        <v>80625</v>
      </c>
      <c r="F1908" s="10" t="s">
        <v>49</v>
      </c>
      <c r="G1908" s="10" t="s">
        <v>3885</v>
      </c>
      <c r="H1908" s="27" t="s">
        <v>50</v>
      </c>
      <c r="I1908" s="28" t="s">
        <v>41</v>
      </c>
      <c r="J1908" s="12" t="s">
        <v>41</v>
      </c>
      <c r="K1908" s="13">
        <v>760</v>
      </c>
      <c r="L1908" s="21">
        <v>4.8499999999999996</v>
      </c>
      <c r="M1908" s="14" t="s">
        <v>14</v>
      </c>
      <c r="N1908" s="13">
        <v>3686</v>
      </c>
      <c r="O1908" s="15">
        <v>0</v>
      </c>
      <c r="P1908" s="10" t="s">
        <v>78</v>
      </c>
      <c r="Q1908" s="11" t="s">
        <v>4255</v>
      </c>
      <c r="R1908" s="11" t="s">
        <v>4256</v>
      </c>
      <c r="S1908" s="16" t="s">
        <v>4257</v>
      </c>
      <c r="T1908" s="19" t="str">
        <f>MONTH(B1908)&amp;"-"&amp;YEAR(B1908)</f>
        <v>4-2025</v>
      </c>
      <c r="U1908" s="2">
        <f>YEAR(B1908)</f>
        <v>2025</v>
      </c>
      <c r="V1908" s="2" t="str">
        <f>IF(DAY(B1908)&gt;15,MONTH(B1908)&amp;"-C",MONTH(B1908)&amp;"-N")</f>
        <v>4-C</v>
      </c>
      <c r="W1908" s="21">
        <v>91.9</v>
      </c>
      <c r="X1908" s="2" t="b">
        <f t="shared" si="1105"/>
        <v>0</v>
      </c>
    </row>
    <row r="1909" spans="2:24" x14ac:dyDescent="0.2">
      <c r="B1909" s="17">
        <v>45772</v>
      </c>
      <c r="C1909" s="10" t="s">
        <v>25</v>
      </c>
      <c r="D1909" s="11">
        <v>175607</v>
      </c>
      <c r="E1909" s="26">
        <v>80625</v>
      </c>
      <c r="F1909" s="10" t="s">
        <v>33</v>
      </c>
      <c r="G1909" s="10" t="s">
        <v>3885</v>
      </c>
      <c r="H1909" s="27" t="s">
        <v>34</v>
      </c>
      <c r="I1909" s="28" t="s">
        <v>41</v>
      </c>
      <c r="J1909" s="12" t="s">
        <v>41</v>
      </c>
      <c r="K1909" s="13">
        <v>2160</v>
      </c>
      <c r="L1909" s="21">
        <v>4.9000000000000004</v>
      </c>
      <c r="M1909" s="14" t="s">
        <v>14</v>
      </c>
      <c r="N1909" s="13">
        <v>10584</v>
      </c>
      <c r="O1909" s="15">
        <v>0</v>
      </c>
      <c r="P1909" s="10" t="s">
        <v>78</v>
      </c>
      <c r="Q1909" s="11" t="s">
        <v>4255</v>
      </c>
      <c r="R1909" s="11" t="s">
        <v>4256</v>
      </c>
      <c r="S1909" s="16" t="s">
        <v>4257</v>
      </c>
      <c r="T1909" s="19" t="str">
        <f>MONTH(B1909)&amp;"-"&amp;YEAR(B1909)</f>
        <v>4-2025</v>
      </c>
      <c r="U1909" s="2">
        <f>YEAR(B1909)</f>
        <v>2025</v>
      </c>
      <c r="V1909" s="2" t="str">
        <f>IF(DAY(B1909)&gt;15,MONTH(B1909)&amp;"-C",MONTH(B1909)&amp;"-N")</f>
        <v>4-C</v>
      </c>
      <c r="W1909" s="21">
        <v>91.9</v>
      </c>
      <c r="X1909" s="2" t="b">
        <f t="shared" si="1105"/>
        <v>0</v>
      </c>
    </row>
    <row r="1910" spans="2:24" x14ac:dyDescent="0.2">
      <c r="B1910" s="17">
        <v>45776</v>
      </c>
      <c r="C1910" s="10" t="s">
        <v>25</v>
      </c>
      <c r="D1910" s="11">
        <v>175659</v>
      </c>
      <c r="E1910" s="26">
        <v>80711</v>
      </c>
      <c r="F1910" s="10" t="s">
        <v>26</v>
      </c>
      <c r="G1910" s="10" t="s">
        <v>3885</v>
      </c>
      <c r="H1910" s="27" t="s">
        <v>28</v>
      </c>
      <c r="I1910" s="28" t="s">
        <v>41</v>
      </c>
      <c r="J1910" s="12" t="s">
        <v>41</v>
      </c>
      <c r="K1910" s="13">
        <v>19800</v>
      </c>
      <c r="L1910" s="21">
        <v>3</v>
      </c>
      <c r="M1910" s="14" t="s">
        <v>14</v>
      </c>
      <c r="N1910" s="13">
        <v>59400</v>
      </c>
      <c r="O1910" s="15">
        <v>0</v>
      </c>
      <c r="P1910" s="10" t="s">
        <v>78</v>
      </c>
      <c r="Q1910" s="11" t="s">
        <v>4258</v>
      </c>
      <c r="R1910" s="11" t="s">
        <v>4259</v>
      </c>
      <c r="S1910" s="16" t="s">
        <v>4260</v>
      </c>
      <c r="T1910" s="19" t="str">
        <f>MONTH(B1910)&amp;"-"&amp;YEAR(B1910)</f>
        <v>4-2025</v>
      </c>
      <c r="U1910" s="2">
        <f>YEAR(B1910)</f>
        <v>2025</v>
      </c>
      <c r="V1910" s="2" t="str">
        <f>IF(DAY(B1910)&gt;15,MONTH(B1910)&amp;"-C",MONTH(B1910)&amp;"-N")</f>
        <v>4-C</v>
      </c>
      <c r="W1910" s="21">
        <v>91.9</v>
      </c>
      <c r="X1910" s="2" t="b">
        <f t="shared" si="1105"/>
        <v>0</v>
      </c>
    </row>
    <row r="1911" spans="2:24" x14ac:dyDescent="0.2">
      <c r="B1911" s="17">
        <v>45783</v>
      </c>
      <c r="C1911" s="10" t="s">
        <v>82</v>
      </c>
      <c r="D1911" s="11">
        <v>175748</v>
      </c>
      <c r="E1911" s="26">
        <v>80839</v>
      </c>
      <c r="F1911" s="10" t="s">
        <v>4245</v>
      </c>
      <c r="G1911" s="10" t="s">
        <v>3885</v>
      </c>
      <c r="H1911" s="27" t="s">
        <v>34</v>
      </c>
      <c r="I1911" s="28" t="s">
        <v>41</v>
      </c>
      <c r="J1911" s="12" t="s">
        <v>41</v>
      </c>
      <c r="K1911" s="13">
        <v>400</v>
      </c>
      <c r="L1911" s="21">
        <v>6</v>
      </c>
      <c r="M1911" s="14" t="s">
        <v>14</v>
      </c>
      <c r="N1911" s="13">
        <v>2400</v>
      </c>
      <c r="O1911" s="15">
        <v>0</v>
      </c>
      <c r="P1911" s="10" t="s">
        <v>78</v>
      </c>
      <c r="Q1911" s="11" t="s">
        <v>4261</v>
      </c>
      <c r="R1911" s="11" t="s">
        <v>4262</v>
      </c>
      <c r="S1911" s="16" t="s">
        <v>4263</v>
      </c>
      <c r="T1911" s="19" t="str">
        <f>MONTH(B1911)&amp;"-"&amp;YEAR(B1911)</f>
        <v>5-2025</v>
      </c>
      <c r="U1911" s="2">
        <f>YEAR(B1911)</f>
        <v>2025</v>
      </c>
      <c r="V1911" s="2" t="str">
        <f>IF(DAY(B1911)&gt;15,MONTH(B1911)&amp;"-C",MONTH(B1911)&amp;"-N")</f>
        <v>5-N</v>
      </c>
      <c r="W1911" s="21">
        <v>91.9</v>
      </c>
      <c r="X1911" s="2" t="b">
        <f t="shared" ref="X1911" si="1106">+L1911=W1911</f>
        <v>0</v>
      </c>
    </row>
    <row r="1912" spans="2:24" x14ac:dyDescent="0.2">
      <c r="B1912" s="17">
        <v>45784</v>
      </c>
      <c r="C1912" s="10" t="s">
        <v>25</v>
      </c>
      <c r="D1912" s="11">
        <v>175659</v>
      </c>
      <c r="E1912" s="26">
        <v>80854</v>
      </c>
      <c r="F1912" s="10" t="s">
        <v>26</v>
      </c>
      <c r="G1912" s="10" t="s">
        <v>3885</v>
      </c>
      <c r="H1912" s="27" t="s">
        <v>28</v>
      </c>
      <c r="I1912" s="28" t="s">
        <v>41</v>
      </c>
      <c r="J1912" s="12" t="s">
        <v>41</v>
      </c>
      <c r="K1912" s="13">
        <v>19800</v>
      </c>
      <c r="L1912" s="21">
        <v>3</v>
      </c>
      <c r="M1912" s="14" t="s">
        <v>14</v>
      </c>
      <c r="N1912" s="13">
        <v>59400</v>
      </c>
      <c r="O1912" s="15">
        <v>0</v>
      </c>
      <c r="P1912" s="10" t="s">
        <v>78</v>
      </c>
      <c r="Q1912" s="11" t="s">
        <v>4266</v>
      </c>
      <c r="R1912" s="11" t="s">
        <v>4267</v>
      </c>
      <c r="S1912" s="16" t="s">
        <v>4268</v>
      </c>
      <c r="T1912" s="19" t="str">
        <f>MONTH(B1912)&amp;"-"&amp;YEAR(B1912)</f>
        <v>5-2025</v>
      </c>
      <c r="U1912" s="2">
        <f>YEAR(B1912)</f>
        <v>2025</v>
      </c>
      <c r="V1912" s="2" t="str">
        <f>IF(DAY(B1912)&gt;15,MONTH(B1912)&amp;"-C",MONTH(B1912)&amp;"-N")</f>
        <v>5-N</v>
      </c>
      <c r="W1912" s="21">
        <v>91.9</v>
      </c>
      <c r="X1912" s="2" t="b">
        <f t="shared" ref="X1912:X1913" si="1107">+L1912=W1912</f>
        <v>0</v>
      </c>
    </row>
    <row r="1913" spans="2:24" x14ac:dyDescent="0.2">
      <c r="B1913" s="17">
        <v>45784</v>
      </c>
      <c r="C1913" s="10" t="s">
        <v>25</v>
      </c>
      <c r="D1913" s="11">
        <v>175735</v>
      </c>
      <c r="E1913" s="26">
        <v>80855</v>
      </c>
      <c r="F1913" s="10" t="s">
        <v>3054</v>
      </c>
      <c r="G1913" s="10" t="s">
        <v>3885</v>
      </c>
      <c r="H1913" s="27" t="s">
        <v>3055</v>
      </c>
      <c r="I1913" s="28" t="s">
        <v>41</v>
      </c>
      <c r="J1913" s="12" t="s">
        <v>41</v>
      </c>
      <c r="K1913" s="13">
        <v>960</v>
      </c>
      <c r="L1913" s="21">
        <v>3.82</v>
      </c>
      <c r="M1913" s="14" t="s">
        <v>14</v>
      </c>
      <c r="N1913" s="13">
        <v>3667.2</v>
      </c>
      <c r="O1913" s="15">
        <v>0</v>
      </c>
      <c r="P1913" s="10" t="s">
        <v>78</v>
      </c>
      <c r="Q1913" s="11" t="s">
        <v>4269</v>
      </c>
      <c r="R1913" s="11" t="s">
        <v>4270</v>
      </c>
      <c r="S1913" s="16" t="s">
        <v>4271</v>
      </c>
      <c r="T1913" s="19" t="str">
        <f>MONTH(B1913)&amp;"-"&amp;YEAR(B1913)</f>
        <v>5-2025</v>
      </c>
      <c r="U1913" s="2">
        <f>YEAR(B1913)</f>
        <v>2025</v>
      </c>
      <c r="V1913" s="2" t="str">
        <f>IF(DAY(B1913)&gt;15,MONTH(B1913)&amp;"-C",MONTH(B1913)&amp;"-N")</f>
        <v>5-N</v>
      </c>
      <c r="W1913" s="21">
        <v>91.9</v>
      </c>
      <c r="X1913" s="2" t="b">
        <f t="shared" si="1107"/>
        <v>0</v>
      </c>
    </row>
    <row r="1914" spans="2:24" x14ac:dyDescent="0.2">
      <c r="B1914" s="17">
        <v>45791</v>
      </c>
      <c r="C1914" s="10" t="s">
        <v>94</v>
      </c>
      <c r="D1914" s="11">
        <v>175161</v>
      </c>
      <c r="E1914" s="26">
        <v>80932</v>
      </c>
      <c r="F1914" s="10" t="s">
        <v>26</v>
      </c>
      <c r="G1914" s="10" t="s">
        <v>3885</v>
      </c>
      <c r="H1914" s="27" t="s">
        <v>28</v>
      </c>
      <c r="I1914" s="28" t="s">
        <v>41</v>
      </c>
      <c r="J1914" s="12" t="s">
        <v>41</v>
      </c>
      <c r="K1914" s="13">
        <v>1000</v>
      </c>
      <c r="L1914" s="21">
        <v>3.04</v>
      </c>
      <c r="M1914" s="14" t="s">
        <v>14</v>
      </c>
      <c r="N1914" s="13">
        <v>3040</v>
      </c>
      <c r="O1914" s="15">
        <v>0</v>
      </c>
      <c r="P1914" s="10" t="s">
        <v>78</v>
      </c>
      <c r="Q1914" s="11" t="s">
        <v>4272</v>
      </c>
      <c r="R1914" s="11" t="s">
        <v>4273</v>
      </c>
      <c r="S1914" s="16" t="s">
        <v>4274</v>
      </c>
      <c r="T1914" s="19" t="str">
        <f>MONTH(B1914)&amp;"-"&amp;YEAR(B1914)</f>
        <v>5-2025</v>
      </c>
      <c r="U1914" s="2">
        <f>YEAR(B1914)</f>
        <v>2025</v>
      </c>
      <c r="V1914" s="2" t="str">
        <f>IF(DAY(B1914)&gt;15,MONTH(B1914)&amp;"-C",MONTH(B1914)&amp;"-N")</f>
        <v>5-N</v>
      </c>
      <c r="W1914" s="21">
        <v>91.9</v>
      </c>
      <c r="X1914" s="2" t="b">
        <f t="shared" ref="X1914:X1923" si="1108">+L1914=W1914</f>
        <v>0</v>
      </c>
    </row>
    <row r="1915" spans="2:24" x14ac:dyDescent="0.2">
      <c r="B1915" s="17">
        <v>45791</v>
      </c>
      <c r="C1915" s="10" t="s">
        <v>94</v>
      </c>
      <c r="D1915" s="11">
        <v>175689</v>
      </c>
      <c r="E1915" s="26">
        <v>80932</v>
      </c>
      <c r="F1915" s="10" t="s">
        <v>26</v>
      </c>
      <c r="G1915" s="10" t="s">
        <v>3885</v>
      </c>
      <c r="H1915" s="27" t="s">
        <v>28</v>
      </c>
      <c r="I1915" s="28" t="s">
        <v>41</v>
      </c>
      <c r="J1915" s="12" t="s">
        <v>41</v>
      </c>
      <c r="K1915" s="13">
        <v>18800</v>
      </c>
      <c r="L1915" s="21">
        <v>3</v>
      </c>
      <c r="M1915" s="14" t="s">
        <v>14</v>
      </c>
      <c r="N1915" s="13">
        <v>56400</v>
      </c>
      <c r="O1915" s="15">
        <v>0</v>
      </c>
      <c r="P1915" s="10" t="s">
        <v>78</v>
      </c>
      <c r="Q1915" s="11" t="s">
        <v>4272</v>
      </c>
      <c r="R1915" s="11" t="s">
        <v>4273</v>
      </c>
      <c r="S1915" s="16" t="s">
        <v>4274</v>
      </c>
      <c r="T1915" s="19" t="str">
        <f>MONTH(B1915)&amp;"-"&amp;YEAR(B1915)</f>
        <v>5-2025</v>
      </c>
      <c r="U1915" s="2">
        <f>YEAR(B1915)</f>
        <v>2025</v>
      </c>
      <c r="V1915" s="2" t="str">
        <f>IF(DAY(B1915)&gt;15,MONTH(B1915)&amp;"-C",MONTH(B1915)&amp;"-N")</f>
        <v>5-N</v>
      </c>
      <c r="W1915" s="21">
        <v>91.9</v>
      </c>
      <c r="X1915" s="2" t="b">
        <f t="shared" si="1108"/>
        <v>0</v>
      </c>
    </row>
    <row r="1916" spans="2:24" x14ac:dyDescent="0.2">
      <c r="B1916" s="17">
        <v>45792</v>
      </c>
      <c r="C1916" s="10" t="s">
        <v>107</v>
      </c>
      <c r="D1916" s="11">
        <v>175644</v>
      </c>
      <c r="E1916" s="26">
        <v>80945</v>
      </c>
      <c r="F1916" s="10" t="s">
        <v>103</v>
      </c>
      <c r="G1916" s="10" t="s">
        <v>3901</v>
      </c>
      <c r="H1916" s="27" t="s">
        <v>104</v>
      </c>
      <c r="I1916" s="28" t="s">
        <v>41</v>
      </c>
      <c r="J1916" s="12" t="s">
        <v>41</v>
      </c>
      <c r="K1916" s="13">
        <v>175</v>
      </c>
      <c r="L1916" s="21">
        <v>47.46</v>
      </c>
      <c r="M1916" s="14" t="s">
        <v>14</v>
      </c>
      <c r="N1916" s="13">
        <v>8305.5</v>
      </c>
      <c r="O1916" s="15">
        <v>0</v>
      </c>
      <c r="P1916" s="10" t="s">
        <v>84</v>
      </c>
      <c r="Q1916" s="11" t="s">
        <v>4275</v>
      </c>
      <c r="R1916" s="11" t="s">
        <v>4276</v>
      </c>
      <c r="S1916" s="16" t="s">
        <v>4277</v>
      </c>
      <c r="T1916" s="19" t="str">
        <f>MONTH(B1916)&amp;"-"&amp;YEAR(B1916)</f>
        <v>5-2025</v>
      </c>
      <c r="U1916" s="2">
        <f>YEAR(B1916)</f>
        <v>2025</v>
      </c>
      <c r="V1916" s="2" t="str">
        <f>IF(DAY(B1916)&gt;15,MONTH(B1916)&amp;"-C",MONTH(B1916)&amp;"-N")</f>
        <v>5-N</v>
      </c>
      <c r="W1916" s="21">
        <v>91.9</v>
      </c>
      <c r="X1916" s="2" t="b">
        <f t="shared" si="1108"/>
        <v>0</v>
      </c>
    </row>
    <row r="1917" spans="2:24" x14ac:dyDescent="0.2">
      <c r="B1917" s="17">
        <v>45792</v>
      </c>
      <c r="C1917" s="10" t="s">
        <v>107</v>
      </c>
      <c r="D1917" s="11">
        <v>175746</v>
      </c>
      <c r="E1917" s="26">
        <v>80945</v>
      </c>
      <c r="F1917" s="10" t="s">
        <v>103</v>
      </c>
      <c r="G1917" s="10" t="s">
        <v>3901</v>
      </c>
      <c r="H1917" s="27" t="s">
        <v>104</v>
      </c>
      <c r="I1917" s="28" t="s">
        <v>41</v>
      </c>
      <c r="J1917" s="12" t="s">
        <v>41</v>
      </c>
      <c r="K1917" s="13">
        <v>10</v>
      </c>
      <c r="L1917" s="21">
        <v>47.46</v>
      </c>
      <c r="M1917" s="14" t="s">
        <v>14</v>
      </c>
      <c r="N1917" s="13">
        <v>474.6</v>
      </c>
      <c r="O1917" s="15">
        <v>0</v>
      </c>
      <c r="P1917" s="10" t="s">
        <v>84</v>
      </c>
      <c r="Q1917" s="11" t="s">
        <v>4275</v>
      </c>
      <c r="R1917" s="11" t="s">
        <v>4276</v>
      </c>
      <c r="S1917" s="16" t="s">
        <v>4277</v>
      </c>
      <c r="T1917" s="19" t="str">
        <f>MONTH(B1917)&amp;"-"&amp;YEAR(B1917)</f>
        <v>5-2025</v>
      </c>
      <c r="U1917" s="2">
        <f>YEAR(B1917)</f>
        <v>2025</v>
      </c>
      <c r="V1917" s="2" t="str">
        <f>IF(DAY(B1917)&gt;15,MONTH(B1917)&amp;"-C",MONTH(B1917)&amp;"-N")</f>
        <v>5-N</v>
      </c>
      <c r="W1917" s="21">
        <v>91.9</v>
      </c>
      <c r="X1917" s="2" t="b">
        <f t="shared" si="1108"/>
        <v>0</v>
      </c>
    </row>
    <row r="1918" spans="2:24" x14ac:dyDescent="0.2">
      <c r="B1918" s="17">
        <v>45792</v>
      </c>
      <c r="C1918" s="10" t="s">
        <v>107</v>
      </c>
      <c r="D1918" s="11">
        <v>175644</v>
      </c>
      <c r="E1918" s="26">
        <v>80945</v>
      </c>
      <c r="F1918" s="10" t="s">
        <v>105</v>
      </c>
      <c r="G1918" s="10" t="s">
        <v>3901</v>
      </c>
      <c r="H1918" s="27" t="s">
        <v>106</v>
      </c>
      <c r="I1918" s="28" t="s">
        <v>41</v>
      </c>
      <c r="J1918" s="12" t="s">
        <v>41</v>
      </c>
      <c r="K1918" s="13">
        <v>5840</v>
      </c>
      <c r="L1918" s="21">
        <v>11.72</v>
      </c>
      <c r="M1918" s="14" t="s">
        <v>14</v>
      </c>
      <c r="N1918" s="13">
        <v>68444.800000000003</v>
      </c>
      <c r="O1918" s="15">
        <v>0</v>
      </c>
      <c r="P1918" s="10" t="s">
        <v>84</v>
      </c>
      <c r="Q1918" s="11" t="s">
        <v>4275</v>
      </c>
      <c r="R1918" s="11" t="s">
        <v>4276</v>
      </c>
      <c r="S1918" s="16" t="s">
        <v>4277</v>
      </c>
      <c r="T1918" s="19" t="str">
        <f>MONTH(B1918)&amp;"-"&amp;YEAR(B1918)</f>
        <v>5-2025</v>
      </c>
      <c r="U1918" s="2">
        <f>YEAR(B1918)</f>
        <v>2025</v>
      </c>
      <c r="V1918" s="2" t="str">
        <f>IF(DAY(B1918)&gt;15,MONTH(B1918)&amp;"-C",MONTH(B1918)&amp;"-N")</f>
        <v>5-N</v>
      </c>
      <c r="W1918" s="21">
        <v>91.9</v>
      </c>
      <c r="X1918" s="2" t="b">
        <f t="shared" si="1108"/>
        <v>0</v>
      </c>
    </row>
    <row r="1919" spans="2:24" x14ac:dyDescent="0.2">
      <c r="B1919" s="17">
        <v>45792</v>
      </c>
      <c r="C1919" s="10" t="s">
        <v>107</v>
      </c>
      <c r="D1919" s="11">
        <v>175746</v>
      </c>
      <c r="E1919" s="26">
        <v>80945</v>
      </c>
      <c r="F1919" s="10" t="s">
        <v>105</v>
      </c>
      <c r="G1919" s="10" t="s">
        <v>3901</v>
      </c>
      <c r="H1919" s="27" t="s">
        <v>106</v>
      </c>
      <c r="I1919" s="28" t="s">
        <v>41</v>
      </c>
      <c r="J1919" s="12" t="s">
        <v>41</v>
      </c>
      <c r="K1919" s="13">
        <v>320</v>
      </c>
      <c r="L1919" s="21">
        <v>11.72</v>
      </c>
      <c r="M1919" s="14" t="s">
        <v>14</v>
      </c>
      <c r="N1919" s="13">
        <v>3750.4</v>
      </c>
      <c r="O1919" s="15">
        <v>0</v>
      </c>
      <c r="P1919" s="10" t="s">
        <v>84</v>
      </c>
      <c r="Q1919" s="11" t="s">
        <v>4275</v>
      </c>
      <c r="R1919" s="11" t="s">
        <v>4276</v>
      </c>
      <c r="S1919" s="16" t="s">
        <v>4277</v>
      </c>
      <c r="T1919" s="19" t="str">
        <f>MONTH(B1919)&amp;"-"&amp;YEAR(B1919)</f>
        <v>5-2025</v>
      </c>
      <c r="U1919" s="2">
        <f>YEAR(B1919)</f>
        <v>2025</v>
      </c>
      <c r="V1919" s="2" t="str">
        <f>IF(DAY(B1919)&gt;15,MONTH(B1919)&amp;"-C",MONTH(B1919)&amp;"-N")</f>
        <v>5-N</v>
      </c>
      <c r="W1919" s="21">
        <v>91.9</v>
      </c>
      <c r="X1919" s="2" t="b">
        <f t="shared" si="1108"/>
        <v>0</v>
      </c>
    </row>
    <row r="1920" spans="2:24" x14ac:dyDescent="0.2">
      <c r="B1920" s="17">
        <v>45792</v>
      </c>
      <c r="C1920" s="10" t="s">
        <v>25</v>
      </c>
      <c r="D1920" s="11">
        <v>175607</v>
      </c>
      <c r="E1920" s="26">
        <v>80946</v>
      </c>
      <c r="F1920" s="10" t="s">
        <v>33</v>
      </c>
      <c r="G1920" s="10" t="s">
        <v>3885</v>
      </c>
      <c r="H1920" s="27" t="s">
        <v>34</v>
      </c>
      <c r="I1920" s="28" t="s">
        <v>41</v>
      </c>
      <c r="J1920" s="12" t="s">
        <v>41</v>
      </c>
      <c r="K1920" s="13">
        <v>1440</v>
      </c>
      <c r="L1920" s="21">
        <v>4.9000000000000004</v>
      </c>
      <c r="M1920" s="14" t="s">
        <v>14</v>
      </c>
      <c r="N1920" s="13">
        <v>7056</v>
      </c>
      <c r="O1920" s="15">
        <v>0</v>
      </c>
      <c r="P1920" s="10" t="s">
        <v>78</v>
      </c>
      <c r="Q1920" s="11" t="s">
        <v>4278</v>
      </c>
      <c r="R1920" s="11" t="s">
        <v>4279</v>
      </c>
      <c r="S1920" s="16" t="s">
        <v>4280</v>
      </c>
      <c r="T1920" s="19" t="str">
        <f>MONTH(B1920)&amp;"-"&amp;YEAR(B1920)</f>
        <v>5-2025</v>
      </c>
      <c r="U1920" s="2">
        <f>YEAR(B1920)</f>
        <v>2025</v>
      </c>
      <c r="V1920" s="2" t="str">
        <f>IF(DAY(B1920)&gt;15,MONTH(B1920)&amp;"-C",MONTH(B1920)&amp;"-N")</f>
        <v>5-N</v>
      </c>
      <c r="W1920" s="21">
        <v>91.9</v>
      </c>
      <c r="X1920" s="2" t="b">
        <f t="shared" si="1108"/>
        <v>0</v>
      </c>
    </row>
    <row r="1921" spans="2:24" x14ac:dyDescent="0.2">
      <c r="B1921" s="17">
        <v>45779</v>
      </c>
      <c r="C1921" s="10" t="s">
        <v>4068</v>
      </c>
      <c r="D1921" s="11">
        <v>175171</v>
      </c>
      <c r="E1921" s="26">
        <v>80782</v>
      </c>
      <c r="F1921" s="10" t="s">
        <v>4069</v>
      </c>
      <c r="G1921" s="10" t="s">
        <v>3901</v>
      </c>
      <c r="H1921" s="27" t="s">
        <v>4089</v>
      </c>
      <c r="I1921" s="28" t="s">
        <v>41</v>
      </c>
      <c r="J1921" s="12" t="s">
        <v>41</v>
      </c>
      <c r="K1921" s="13">
        <v>10800</v>
      </c>
      <c r="L1921" s="21">
        <v>9.1669999999999998</v>
      </c>
      <c r="M1921" s="14" t="s">
        <v>14</v>
      </c>
      <c r="N1921" s="13">
        <v>99003.168000000005</v>
      </c>
      <c r="O1921" s="15">
        <v>0</v>
      </c>
      <c r="P1921" s="10" t="s">
        <v>90</v>
      </c>
      <c r="Q1921" s="11" t="s">
        <v>4281</v>
      </c>
      <c r="R1921" s="11" t="s">
        <v>4282</v>
      </c>
      <c r="S1921" s="16" t="s">
        <v>4283</v>
      </c>
      <c r="T1921" s="19" t="str">
        <f>MONTH(B1921)&amp;"-"&amp;YEAR(B1921)</f>
        <v>5-2025</v>
      </c>
      <c r="U1921" s="2">
        <f>YEAR(B1921)</f>
        <v>2025</v>
      </c>
      <c r="V1921" s="2" t="str">
        <f>IF(DAY(B1921)&gt;15,MONTH(B1921)&amp;"-C",MONTH(B1921)&amp;"-N")</f>
        <v>5-N</v>
      </c>
      <c r="W1921" s="21">
        <v>91.9</v>
      </c>
      <c r="X1921" s="2" t="b">
        <f t="shared" si="1108"/>
        <v>0</v>
      </c>
    </row>
    <row r="1922" spans="2:24" x14ac:dyDescent="0.2">
      <c r="B1922" s="17">
        <v>45791</v>
      </c>
      <c r="C1922" s="10" t="s">
        <v>25</v>
      </c>
      <c r="D1922" s="11">
        <v>175880</v>
      </c>
      <c r="E1922" s="26">
        <v>80931</v>
      </c>
      <c r="F1922" s="10" t="s">
        <v>3054</v>
      </c>
      <c r="G1922" s="10" t="s">
        <v>3885</v>
      </c>
      <c r="H1922" s="27" t="s">
        <v>3055</v>
      </c>
      <c r="I1922" s="28" t="s">
        <v>41</v>
      </c>
      <c r="J1922" s="12" t="s">
        <v>41</v>
      </c>
      <c r="K1922" s="13">
        <v>1920</v>
      </c>
      <c r="L1922" s="21">
        <v>3.82</v>
      </c>
      <c r="M1922" s="14" t="s">
        <v>14</v>
      </c>
      <c r="N1922" s="13">
        <v>7334.4</v>
      </c>
      <c r="O1922" s="15">
        <v>0</v>
      </c>
      <c r="P1922" s="10" t="s">
        <v>78</v>
      </c>
      <c r="Q1922" s="11" t="s">
        <v>4284</v>
      </c>
      <c r="R1922" s="11" t="s">
        <v>4285</v>
      </c>
      <c r="S1922" s="16" t="s">
        <v>4286</v>
      </c>
      <c r="T1922" s="19" t="str">
        <f>MONTH(B1922)&amp;"-"&amp;YEAR(B1922)</f>
        <v>5-2025</v>
      </c>
      <c r="U1922" s="2">
        <f>YEAR(B1922)</f>
        <v>2025</v>
      </c>
      <c r="V1922" s="2" t="str">
        <f>IF(DAY(B1922)&gt;15,MONTH(B1922)&amp;"-C",MONTH(B1922)&amp;"-N")</f>
        <v>5-N</v>
      </c>
      <c r="W1922" s="21">
        <v>91.9</v>
      </c>
      <c r="X1922" s="2" t="b">
        <f t="shared" si="1108"/>
        <v>0</v>
      </c>
    </row>
    <row r="1923" spans="2:24" x14ac:dyDescent="0.2">
      <c r="B1923" s="17">
        <v>45783</v>
      </c>
      <c r="C1923" s="10" t="s">
        <v>82</v>
      </c>
      <c r="D1923" s="11">
        <v>175831</v>
      </c>
      <c r="E1923" s="26">
        <v>80840</v>
      </c>
      <c r="F1923" s="10" t="s">
        <v>3054</v>
      </c>
      <c r="G1923" s="10" t="s">
        <v>3885</v>
      </c>
      <c r="H1923" s="27" t="s">
        <v>3055</v>
      </c>
      <c r="I1923" s="28" t="s">
        <v>41</v>
      </c>
      <c r="J1923" s="12" t="s">
        <v>41</v>
      </c>
      <c r="K1923" s="13">
        <v>320</v>
      </c>
      <c r="L1923" s="21">
        <v>4.9000000000000004</v>
      </c>
      <c r="M1923" s="14" t="s">
        <v>14</v>
      </c>
      <c r="N1923" s="13">
        <v>1568</v>
      </c>
      <c r="O1923" s="15">
        <v>0</v>
      </c>
      <c r="P1923" s="10" t="s">
        <v>78</v>
      </c>
      <c r="Q1923" s="11" t="s">
        <v>4287</v>
      </c>
      <c r="R1923" s="11" t="s">
        <v>4288</v>
      </c>
      <c r="S1923" s="16" t="s">
        <v>4289</v>
      </c>
      <c r="T1923" s="19" t="str">
        <f>MONTH(B1923)&amp;"-"&amp;YEAR(B1923)</f>
        <v>5-2025</v>
      </c>
      <c r="U1923" s="2">
        <f>YEAR(B1923)</f>
        <v>2025</v>
      </c>
      <c r="V1923" s="2" t="str">
        <f>IF(DAY(B1923)&gt;15,MONTH(B1923)&amp;"-C",MONTH(B1923)&amp;"-N")</f>
        <v>5-N</v>
      </c>
      <c r="W1923" s="21">
        <v>91.9</v>
      </c>
      <c r="X1923" s="2" t="b">
        <f t="shared" si="1108"/>
        <v>0</v>
      </c>
    </row>
    <row r="1924" spans="2:24" x14ac:dyDescent="0.2">
      <c r="B1924" s="17">
        <v>45786</v>
      </c>
      <c r="C1924" s="10" t="s">
        <v>4144</v>
      </c>
      <c r="D1924" s="11">
        <v>175005</v>
      </c>
      <c r="E1924" s="26">
        <v>80870</v>
      </c>
      <c r="F1924" s="10" t="s">
        <v>135</v>
      </c>
      <c r="G1924" s="10" t="s">
        <v>3901</v>
      </c>
      <c r="H1924" s="27" t="s">
        <v>136</v>
      </c>
      <c r="I1924" s="28" t="s">
        <v>41</v>
      </c>
      <c r="J1924" s="12" t="s">
        <v>41</v>
      </c>
      <c r="K1924" s="13">
        <v>5400</v>
      </c>
      <c r="L1924" s="21">
        <v>9.7409999999999997</v>
      </c>
      <c r="M1924" s="14" t="s">
        <v>14</v>
      </c>
      <c r="N1924" s="13">
        <v>52603.56</v>
      </c>
      <c r="O1924" s="15">
        <v>0</v>
      </c>
      <c r="P1924" s="10" t="s">
        <v>90</v>
      </c>
      <c r="Q1924" s="11" t="s">
        <v>4290</v>
      </c>
      <c r="R1924" s="11" t="s">
        <v>4291</v>
      </c>
      <c r="S1924" s="16" t="s">
        <v>4292</v>
      </c>
      <c r="T1924" s="19" t="str">
        <f>MONTH(B1924)&amp;"-"&amp;YEAR(B1924)</f>
        <v>5-2025</v>
      </c>
      <c r="U1924" s="2">
        <f>YEAR(B1924)</f>
        <v>2025</v>
      </c>
      <c r="V1924" s="2" t="str">
        <f>IF(DAY(B1924)&gt;15,MONTH(B1924)&amp;"-C",MONTH(B1924)&amp;"-N")</f>
        <v>5-N</v>
      </c>
      <c r="W1924" s="21">
        <v>91.9</v>
      </c>
      <c r="X1924" s="2" t="b">
        <f t="shared" ref="X1924:X1926" si="1109">+L1924=W1924</f>
        <v>0</v>
      </c>
    </row>
    <row r="1925" spans="2:24" x14ac:dyDescent="0.2">
      <c r="B1925" s="17">
        <v>45786</v>
      </c>
      <c r="C1925" s="10" t="s">
        <v>4144</v>
      </c>
      <c r="D1925" s="11">
        <v>175005</v>
      </c>
      <c r="E1925" s="26">
        <v>80870</v>
      </c>
      <c r="F1925" s="10" t="s">
        <v>71</v>
      </c>
      <c r="G1925" s="10" t="s">
        <v>3901</v>
      </c>
      <c r="H1925" s="27" t="s">
        <v>72</v>
      </c>
      <c r="I1925" s="28" t="s">
        <v>41</v>
      </c>
      <c r="J1925" s="12" t="s">
        <v>41</v>
      </c>
      <c r="K1925" s="13">
        <v>22000</v>
      </c>
      <c r="L1925" s="21">
        <v>9.5939999999999994</v>
      </c>
      <c r="M1925" s="14" t="s">
        <v>14</v>
      </c>
      <c r="N1925" s="13">
        <v>211075.92</v>
      </c>
      <c r="O1925" s="15">
        <v>0</v>
      </c>
      <c r="P1925" s="10" t="s">
        <v>90</v>
      </c>
      <c r="Q1925" s="11" t="s">
        <v>4290</v>
      </c>
      <c r="R1925" s="11" t="s">
        <v>4291</v>
      </c>
      <c r="S1925" s="16" t="s">
        <v>4292</v>
      </c>
      <c r="T1925" s="19" t="str">
        <f>MONTH(B1925)&amp;"-"&amp;YEAR(B1925)</f>
        <v>5-2025</v>
      </c>
      <c r="U1925" s="2">
        <f>YEAR(B1925)</f>
        <v>2025</v>
      </c>
      <c r="V1925" s="2" t="str">
        <f>IF(DAY(B1925)&gt;15,MONTH(B1925)&amp;"-C",MONTH(B1925)&amp;"-N")</f>
        <v>5-N</v>
      </c>
      <c r="W1925" s="21">
        <v>91.9</v>
      </c>
      <c r="X1925" s="2" t="b">
        <f t="shared" si="1109"/>
        <v>0</v>
      </c>
    </row>
    <row r="1926" spans="2:24" x14ac:dyDescent="0.2">
      <c r="B1926" s="17">
        <v>45786</v>
      </c>
      <c r="C1926" s="10" t="s">
        <v>4144</v>
      </c>
      <c r="D1926" s="11">
        <v>175005</v>
      </c>
      <c r="E1926" s="26">
        <v>80870</v>
      </c>
      <c r="F1926" s="10" t="s">
        <v>2552</v>
      </c>
      <c r="G1926" s="10" t="s">
        <v>3901</v>
      </c>
      <c r="H1926" s="27" t="s">
        <v>2553</v>
      </c>
      <c r="I1926" s="28" t="s">
        <v>41</v>
      </c>
      <c r="J1926" s="12" t="s">
        <v>41</v>
      </c>
      <c r="K1926" s="13">
        <v>4600</v>
      </c>
      <c r="L1926" s="21">
        <v>9.5210000000000008</v>
      </c>
      <c r="M1926" s="14" t="s">
        <v>14</v>
      </c>
      <c r="N1926" s="13">
        <v>43795.864000000001</v>
      </c>
      <c r="O1926" s="15">
        <v>0</v>
      </c>
      <c r="P1926" s="10" t="s">
        <v>90</v>
      </c>
      <c r="Q1926" s="11" t="s">
        <v>4290</v>
      </c>
      <c r="R1926" s="11" t="s">
        <v>4291</v>
      </c>
      <c r="S1926" s="16" t="s">
        <v>4292</v>
      </c>
      <c r="T1926" s="19" t="str">
        <f>MONTH(B1926)&amp;"-"&amp;YEAR(B1926)</f>
        <v>5-2025</v>
      </c>
      <c r="U1926" s="2">
        <f>YEAR(B1926)</f>
        <v>2025</v>
      </c>
      <c r="V1926" s="2" t="str">
        <f>IF(DAY(B1926)&gt;15,MONTH(B1926)&amp;"-C",MONTH(B1926)&amp;"-N")</f>
        <v>5-N</v>
      </c>
      <c r="W1926" s="21">
        <v>91.9</v>
      </c>
      <c r="X1926" s="2" t="b">
        <f t="shared" si="1109"/>
        <v>0</v>
      </c>
    </row>
    <row r="1927" spans="2:24" x14ac:dyDescent="0.2">
      <c r="B1927" s="17">
        <v>45797</v>
      </c>
      <c r="C1927" s="10" t="s">
        <v>94</v>
      </c>
      <c r="D1927" s="11">
        <v>175689</v>
      </c>
      <c r="E1927" s="26">
        <v>80995</v>
      </c>
      <c r="F1927" s="10" t="s">
        <v>26</v>
      </c>
      <c r="G1927" s="10" t="s">
        <v>3885</v>
      </c>
      <c r="H1927" s="27" t="s">
        <v>28</v>
      </c>
      <c r="I1927" s="28" t="s">
        <v>41</v>
      </c>
      <c r="J1927" s="12" t="s">
        <v>41</v>
      </c>
      <c r="K1927" s="13">
        <v>19800</v>
      </c>
      <c r="L1927" s="21">
        <v>3</v>
      </c>
      <c r="M1927" s="14" t="s">
        <v>14</v>
      </c>
      <c r="N1927" s="13">
        <v>59400</v>
      </c>
      <c r="O1927" s="15">
        <v>0</v>
      </c>
      <c r="P1927" s="10" t="s">
        <v>78</v>
      </c>
      <c r="Q1927" s="11" t="s">
        <v>4293</v>
      </c>
      <c r="R1927" s="11" t="s">
        <v>4294</v>
      </c>
      <c r="S1927" s="16" t="s">
        <v>4295</v>
      </c>
      <c r="T1927" s="19" t="str">
        <f>MONTH(B1927)&amp;"-"&amp;YEAR(B1927)</f>
        <v>5-2025</v>
      </c>
      <c r="U1927" s="2">
        <f>YEAR(B1927)</f>
        <v>2025</v>
      </c>
      <c r="V1927" s="2" t="str">
        <f>IF(DAY(B1927)&gt;15,MONTH(B1927)&amp;"-C",MONTH(B1927)&amp;"-N")</f>
        <v>5-C</v>
      </c>
      <c r="W1927" s="21">
        <v>91.9</v>
      </c>
      <c r="X1927" s="2" t="b">
        <f t="shared" ref="X1927" si="1110">+L1927=W1927</f>
        <v>0</v>
      </c>
    </row>
    <row r="1928" spans="2:24" x14ac:dyDescent="0.2">
      <c r="B1928" s="17">
        <v>45801</v>
      </c>
      <c r="C1928" s="10" t="s">
        <v>4144</v>
      </c>
      <c r="D1928" s="11">
        <v>175006</v>
      </c>
      <c r="E1928" s="26">
        <v>81078</v>
      </c>
      <c r="F1928" s="10" t="s">
        <v>135</v>
      </c>
      <c r="G1928" s="10" t="s">
        <v>3901</v>
      </c>
      <c r="H1928" s="27" t="s">
        <v>136</v>
      </c>
      <c r="I1928" s="28" t="s">
        <v>41</v>
      </c>
      <c r="J1928" s="12" t="s">
        <v>41</v>
      </c>
      <c r="K1928" s="13">
        <v>9200</v>
      </c>
      <c r="L1928" s="21">
        <v>9.7409999999999997</v>
      </c>
      <c r="M1928" s="14" t="s">
        <v>14</v>
      </c>
      <c r="N1928" s="13">
        <v>89620.88</v>
      </c>
      <c r="O1928" s="15">
        <v>0</v>
      </c>
      <c r="P1928" s="10" t="s">
        <v>90</v>
      </c>
      <c r="Q1928" s="11" t="s">
        <v>4297</v>
      </c>
      <c r="R1928" s="11" t="s">
        <v>4298</v>
      </c>
      <c r="S1928" s="16" t="s">
        <v>4299</v>
      </c>
      <c r="T1928" s="19" t="str">
        <f>MONTH(B1928)&amp;"-"&amp;YEAR(B1928)</f>
        <v>5-2025</v>
      </c>
      <c r="U1928" s="2">
        <f>YEAR(B1928)</f>
        <v>2025</v>
      </c>
      <c r="V1928" s="2" t="str">
        <f>IF(DAY(B1928)&gt;15,MONTH(B1928)&amp;"-C",MONTH(B1928)&amp;"-N")</f>
        <v>5-C</v>
      </c>
      <c r="W1928" s="21">
        <v>91.9</v>
      </c>
      <c r="X1928" s="2" t="b">
        <f t="shared" ref="X1928:X1932" si="1111">+L1928=W1928</f>
        <v>0</v>
      </c>
    </row>
    <row r="1929" spans="2:24" x14ac:dyDescent="0.2">
      <c r="B1929" s="17">
        <v>45801</v>
      </c>
      <c r="C1929" s="10" t="s">
        <v>4144</v>
      </c>
      <c r="D1929" s="11">
        <v>175006</v>
      </c>
      <c r="E1929" s="26">
        <v>81078</v>
      </c>
      <c r="F1929" s="10" t="s">
        <v>71</v>
      </c>
      <c r="G1929" s="10" t="s">
        <v>3901</v>
      </c>
      <c r="H1929" s="27" t="s">
        <v>72</v>
      </c>
      <c r="I1929" s="28" t="s">
        <v>41</v>
      </c>
      <c r="J1929" s="12" t="s">
        <v>41</v>
      </c>
      <c r="K1929" s="13">
        <v>22800</v>
      </c>
      <c r="L1929" s="21">
        <v>9.5939999999999994</v>
      </c>
      <c r="M1929" s="14" t="s">
        <v>14</v>
      </c>
      <c r="N1929" s="13">
        <v>218751.408</v>
      </c>
      <c r="O1929" s="15">
        <v>0</v>
      </c>
      <c r="P1929" s="10" t="s">
        <v>90</v>
      </c>
      <c r="Q1929" s="11" t="s">
        <v>4297</v>
      </c>
      <c r="R1929" s="11" t="s">
        <v>4298</v>
      </c>
      <c r="S1929" s="16" t="s">
        <v>4299</v>
      </c>
      <c r="T1929" s="19" t="str">
        <f>MONTH(B1929)&amp;"-"&amp;YEAR(B1929)</f>
        <v>5-2025</v>
      </c>
      <c r="U1929" s="2">
        <f>YEAR(B1929)</f>
        <v>2025</v>
      </c>
      <c r="V1929" s="2" t="str">
        <f>IF(DAY(B1929)&gt;15,MONTH(B1929)&amp;"-C",MONTH(B1929)&amp;"-N")</f>
        <v>5-C</v>
      </c>
      <c r="W1929" s="21">
        <v>91.9</v>
      </c>
      <c r="X1929" s="2" t="b">
        <f t="shared" si="1111"/>
        <v>0</v>
      </c>
    </row>
    <row r="1930" spans="2:24" x14ac:dyDescent="0.2">
      <c r="B1930" s="17">
        <v>45799</v>
      </c>
      <c r="C1930" s="10" t="s">
        <v>25</v>
      </c>
      <c r="D1930" s="11">
        <v>175880</v>
      </c>
      <c r="E1930" s="26">
        <v>81030</v>
      </c>
      <c r="F1930" s="10" t="s">
        <v>3054</v>
      </c>
      <c r="G1930" s="10" t="s">
        <v>3885</v>
      </c>
      <c r="H1930" s="27" t="s">
        <v>3055</v>
      </c>
      <c r="I1930" s="28" t="s">
        <v>41</v>
      </c>
      <c r="J1930" s="12" t="s">
        <v>41</v>
      </c>
      <c r="K1930" s="13">
        <v>1120</v>
      </c>
      <c r="L1930" s="21">
        <v>3.82</v>
      </c>
      <c r="M1930" s="14" t="s">
        <v>14</v>
      </c>
      <c r="N1930" s="13">
        <v>4278.3999999999996</v>
      </c>
      <c r="O1930" s="15">
        <v>0</v>
      </c>
      <c r="P1930" s="10" t="s">
        <v>78</v>
      </c>
      <c r="Q1930" s="11" t="s">
        <v>4300</v>
      </c>
      <c r="R1930" s="11" t="s">
        <v>4301</v>
      </c>
      <c r="S1930" s="16" t="s">
        <v>4302</v>
      </c>
      <c r="T1930" s="19" t="str">
        <f>MONTH(B1930)&amp;"-"&amp;YEAR(B1930)</f>
        <v>5-2025</v>
      </c>
      <c r="U1930" s="2">
        <f>YEAR(B1930)</f>
        <v>2025</v>
      </c>
      <c r="V1930" s="2" t="str">
        <f>IF(DAY(B1930)&gt;15,MONTH(B1930)&amp;"-C",MONTH(B1930)&amp;"-N")</f>
        <v>5-C</v>
      </c>
      <c r="W1930" s="21">
        <v>91.9</v>
      </c>
      <c r="X1930" s="2" t="b">
        <f t="shared" si="1111"/>
        <v>0</v>
      </c>
    </row>
    <row r="1931" spans="2:24" x14ac:dyDescent="0.2">
      <c r="B1931" s="17">
        <v>45799</v>
      </c>
      <c r="C1931" s="10" t="s">
        <v>25</v>
      </c>
      <c r="D1931" s="11">
        <v>175607</v>
      </c>
      <c r="E1931" s="26">
        <v>81031</v>
      </c>
      <c r="F1931" s="10" t="s">
        <v>33</v>
      </c>
      <c r="G1931" s="10" t="s">
        <v>3885</v>
      </c>
      <c r="H1931" s="27" t="s">
        <v>34</v>
      </c>
      <c r="I1931" s="28" t="s">
        <v>41</v>
      </c>
      <c r="J1931" s="12" t="s">
        <v>41</v>
      </c>
      <c r="K1931" s="13">
        <v>900</v>
      </c>
      <c r="L1931" s="21">
        <v>4.9000000000000004</v>
      </c>
      <c r="M1931" s="14" t="s">
        <v>14</v>
      </c>
      <c r="N1931" s="13">
        <v>4410</v>
      </c>
      <c r="O1931" s="15">
        <v>0</v>
      </c>
      <c r="P1931" s="10" t="s">
        <v>78</v>
      </c>
      <c r="Q1931" s="11" t="s">
        <v>4303</v>
      </c>
      <c r="R1931" s="11" t="s">
        <v>4304</v>
      </c>
      <c r="S1931" s="16" t="s">
        <v>4305</v>
      </c>
      <c r="T1931" s="19" t="str">
        <f>MONTH(B1931)&amp;"-"&amp;YEAR(B1931)</f>
        <v>5-2025</v>
      </c>
      <c r="U1931" s="2">
        <f>YEAR(B1931)</f>
        <v>2025</v>
      </c>
      <c r="V1931" s="2" t="str">
        <f>IF(DAY(B1931)&gt;15,MONTH(B1931)&amp;"-C",MONTH(B1931)&amp;"-N")</f>
        <v>5-C</v>
      </c>
      <c r="W1931" s="21">
        <v>91.9</v>
      </c>
      <c r="X1931" s="2" t="b">
        <f t="shared" si="1111"/>
        <v>0</v>
      </c>
    </row>
    <row r="1932" spans="2:24" x14ac:dyDescent="0.2">
      <c r="B1932" s="17">
        <v>45800</v>
      </c>
      <c r="C1932" s="10" t="s">
        <v>25</v>
      </c>
      <c r="D1932" s="11">
        <v>175970</v>
      </c>
      <c r="E1932" s="26">
        <v>81043</v>
      </c>
      <c r="F1932" s="10" t="s">
        <v>29</v>
      </c>
      <c r="G1932" s="10" t="s">
        <v>3885</v>
      </c>
      <c r="H1932" s="27" t="s">
        <v>30</v>
      </c>
      <c r="I1932" s="28" t="s">
        <v>41</v>
      </c>
      <c r="J1932" s="12" t="s">
        <v>41</v>
      </c>
      <c r="K1932" s="13">
        <v>1980</v>
      </c>
      <c r="L1932" s="21">
        <v>3.7</v>
      </c>
      <c r="M1932" s="14" t="s">
        <v>14</v>
      </c>
      <c r="N1932" s="13">
        <v>7326</v>
      </c>
      <c r="O1932" s="15">
        <v>0</v>
      </c>
      <c r="P1932" s="10" t="s">
        <v>78</v>
      </c>
      <c r="Q1932" s="11" t="s">
        <v>4306</v>
      </c>
      <c r="R1932" s="11" t="s">
        <v>4307</v>
      </c>
      <c r="S1932" s="16" t="s">
        <v>4308</v>
      </c>
      <c r="T1932" s="19" t="str">
        <f>MONTH(B1932)&amp;"-"&amp;YEAR(B1932)</f>
        <v>5-2025</v>
      </c>
      <c r="U1932" s="2">
        <f>YEAR(B1932)</f>
        <v>2025</v>
      </c>
      <c r="V1932" s="2" t="str">
        <f>IF(DAY(B1932)&gt;15,MONTH(B1932)&amp;"-C",MONTH(B1932)&amp;"-N")</f>
        <v>5-C</v>
      </c>
      <c r="W1932" s="21">
        <v>91.9</v>
      </c>
      <c r="X1932" s="2" t="b">
        <f t="shared" si="1111"/>
        <v>0</v>
      </c>
    </row>
    <row r="1933" spans="2:24" x14ac:dyDescent="0.2">
      <c r="B1933" s="17">
        <v>45803</v>
      </c>
      <c r="C1933" s="10" t="s">
        <v>25</v>
      </c>
      <c r="D1933" s="11">
        <v>175970</v>
      </c>
      <c r="E1933" s="26">
        <v>81096</v>
      </c>
      <c r="F1933" s="10" t="s">
        <v>26</v>
      </c>
      <c r="G1933" s="10" t="s">
        <v>3885</v>
      </c>
      <c r="H1933" s="27" t="s">
        <v>28</v>
      </c>
      <c r="I1933" s="28" t="s">
        <v>41</v>
      </c>
      <c r="J1933" s="12" t="s">
        <v>41</v>
      </c>
      <c r="K1933" s="13">
        <v>11700</v>
      </c>
      <c r="L1933" s="21">
        <v>3</v>
      </c>
      <c r="M1933" s="14" t="s">
        <v>14</v>
      </c>
      <c r="N1933" s="13">
        <v>35100</v>
      </c>
      <c r="O1933" s="15">
        <v>0</v>
      </c>
      <c r="P1933" s="10" t="s">
        <v>78</v>
      </c>
      <c r="Q1933" s="11" t="s">
        <v>4309</v>
      </c>
      <c r="R1933" s="11" t="s">
        <v>4310</v>
      </c>
      <c r="S1933" s="16" t="s">
        <v>4311</v>
      </c>
      <c r="T1933" s="19" t="str">
        <f>MONTH(B1933)&amp;"-"&amp;YEAR(B1933)</f>
        <v>5-2025</v>
      </c>
      <c r="U1933" s="2">
        <f>YEAR(B1933)</f>
        <v>2025</v>
      </c>
      <c r="V1933" s="2" t="str">
        <f>IF(DAY(B1933)&gt;15,MONTH(B1933)&amp;"-C",MONTH(B1933)&amp;"-N")</f>
        <v>5-C</v>
      </c>
      <c r="W1933" s="21">
        <v>91.9</v>
      </c>
      <c r="X1933" s="2" t="b">
        <f t="shared" ref="X1933:X1936" si="1112">+L1933=W1933</f>
        <v>0</v>
      </c>
    </row>
    <row r="1934" spans="2:24" x14ac:dyDescent="0.2">
      <c r="B1934" s="17">
        <v>45803</v>
      </c>
      <c r="C1934" s="10" t="s">
        <v>25</v>
      </c>
      <c r="D1934" s="11">
        <v>175659</v>
      </c>
      <c r="E1934" s="26">
        <v>81097</v>
      </c>
      <c r="F1934" s="10" t="s">
        <v>26</v>
      </c>
      <c r="G1934" s="10" t="s">
        <v>3885</v>
      </c>
      <c r="H1934" s="27" t="s">
        <v>28</v>
      </c>
      <c r="I1934" s="28" t="s">
        <v>41</v>
      </c>
      <c r="J1934" s="12" t="s">
        <v>41</v>
      </c>
      <c r="K1934" s="13">
        <v>8100</v>
      </c>
      <c r="L1934" s="21">
        <v>3</v>
      </c>
      <c r="M1934" s="14" t="s">
        <v>14</v>
      </c>
      <c r="N1934" s="13">
        <v>24300</v>
      </c>
      <c r="O1934" s="15">
        <v>0</v>
      </c>
      <c r="P1934" s="10" t="s">
        <v>78</v>
      </c>
      <c r="Q1934" s="11" t="s">
        <v>4312</v>
      </c>
      <c r="R1934" s="11" t="s">
        <v>4313</v>
      </c>
      <c r="S1934" s="16" t="s">
        <v>4314</v>
      </c>
      <c r="T1934" s="19" t="str">
        <f>MONTH(B1934)&amp;"-"&amp;YEAR(B1934)</f>
        <v>5-2025</v>
      </c>
      <c r="U1934" s="2">
        <f>YEAR(B1934)</f>
        <v>2025</v>
      </c>
      <c r="V1934" s="2" t="str">
        <f>IF(DAY(B1934)&gt;15,MONTH(B1934)&amp;"-C",MONTH(B1934)&amp;"-N")</f>
        <v>5-C</v>
      </c>
      <c r="W1934" s="21">
        <v>91.9</v>
      </c>
      <c r="X1934" s="2" t="b">
        <f t="shared" si="1112"/>
        <v>0</v>
      </c>
    </row>
    <row r="1935" spans="2:24" x14ac:dyDescent="0.2">
      <c r="B1935" s="17">
        <v>45804</v>
      </c>
      <c r="C1935" s="10" t="s">
        <v>107</v>
      </c>
      <c r="D1935" s="11">
        <v>175746</v>
      </c>
      <c r="E1935" s="26">
        <v>81098</v>
      </c>
      <c r="F1935" s="10" t="s">
        <v>103</v>
      </c>
      <c r="G1935" s="10" t="s">
        <v>3901</v>
      </c>
      <c r="H1935" s="27" t="s">
        <v>104</v>
      </c>
      <c r="I1935" s="28" t="s">
        <v>41</v>
      </c>
      <c r="J1935" s="12" t="s">
        <v>41</v>
      </c>
      <c r="K1935" s="13">
        <v>185</v>
      </c>
      <c r="L1935" s="21">
        <v>47.46</v>
      </c>
      <c r="M1935" s="14" t="s">
        <v>14</v>
      </c>
      <c r="N1935" s="13">
        <v>8780.1</v>
      </c>
      <c r="O1935" s="15">
        <v>0</v>
      </c>
      <c r="P1935" s="10" t="s">
        <v>84</v>
      </c>
      <c r="Q1935" s="11" t="s">
        <v>4315</v>
      </c>
      <c r="R1935" s="11" t="s">
        <v>4316</v>
      </c>
      <c r="S1935" s="16" t="s">
        <v>4317</v>
      </c>
      <c r="T1935" s="19" t="str">
        <f>MONTH(B1935)&amp;"-"&amp;YEAR(B1935)</f>
        <v>5-2025</v>
      </c>
      <c r="U1935" s="2">
        <f>YEAR(B1935)</f>
        <v>2025</v>
      </c>
      <c r="V1935" s="2" t="str">
        <f>IF(DAY(B1935)&gt;15,MONTH(B1935)&amp;"-C",MONTH(B1935)&amp;"-N")</f>
        <v>5-C</v>
      </c>
      <c r="W1935" s="21">
        <v>91.9</v>
      </c>
      <c r="X1935" s="2" t="b">
        <f t="shared" si="1112"/>
        <v>0</v>
      </c>
    </row>
    <row r="1936" spans="2:24" x14ac:dyDescent="0.2">
      <c r="B1936" s="17">
        <v>45804</v>
      </c>
      <c r="C1936" s="10" t="s">
        <v>107</v>
      </c>
      <c r="D1936" s="11">
        <v>175746</v>
      </c>
      <c r="E1936" s="26">
        <v>81098</v>
      </c>
      <c r="F1936" s="10" t="s">
        <v>105</v>
      </c>
      <c r="G1936" s="10" t="s">
        <v>3901</v>
      </c>
      <c r="H1936" s="27" t="s">
        <v>106</v>
      </c>
      <c r="I1936" s="28" t="s">
        <v>41</v>
      </c>
      <c r="J1936" s="12" t="s">
        <v>41</v>
      </c>
      <c r="K1936" s="13">
        <v>6160</v>
      </c>
      <c r="L1936" s="21">
        <v>11.72</v>
      </c>
      <c r="M1936" s="14" t="s">
        <v>14</v>
      </c>
      <c r="N1936" s="13">
        <v>72195.199999999997</v>
      </c>
      <c r="O1936" s="15">
        <v>0</v>
      </c>
      <c r="P1936" s="10" t="s">
        <v>84</v>
      </c>
      <c r="Q1936" s="11" t="s">
        <v>4315</v>
      </c>
      <c r="R1936" s="11" t="s">
        <v>4316</v>
      </c>
      <c r="S1936" s="16" t="s">
        <v>4317</v>
      </c>
      <c r="T1936" s="19" t="str">
        <f>MONTH(B1936)&amp;"-"&amp;YEAR(B1936)</f>
        <v>5-2025</v>
      </c>
      <c r="U1936" s="2">
        <f>YEAR(B1936)</f>
        <v>2025</v>
      </c>
      <c r="V1936" s="2" t="str">
        <f>IF(DAY(B1936)&gt;15,MONTH(B1936)&amp;"-C",MONTH(B1936)&amp;"-N")</f>
        <v>5-C</v>
      </c>
      <c r="W1936" s="21">
        <v>91.9</v>
      </c>
      <c r="X1936" s="2" t="b">
        <f t="shared" si="1112"/>
        <v>0</v>
      </c>
    </row>
    <row r="1937" spans="2:25" x14ac:dyDescent="0.2">
      <c r="B1937" s="17">
        <v>45806</v>
      </c>
      <c r="C1937" s="10" t="s">
        <v>25</v>
      </c>
      <c r="D1937" s="11">
        <v>175970</v>
      </c>
      <c r="E1937" s="26">
        <v>81137</v>
      </c>
      <c r="F1937" s="10" t="s">
        <v>33</v>
      </c>
      <c r="G1937" s="10" t="s">
        <v>3885</v>
      </c>
      <c r="H1937" s="27" t="s">
        <v>34</v>
      </c>
      <c r="I1937" s="28" t="s">
        <v>41</v>
      </c>
      <c r="J1937" s="12" t="s">
        <v>41</v>
      </c>
      <c r="K1937" s="13">
        <v>180</v>
      </c>
      <c r="L1937" s="21">
        <v>4.9000000000000004</v>
      </c>
      <c r="M1937" s="14" t="s">
        <v>14</v>
      </c>
      <c r="N1937" s="13">
        <v>882</v>
      </c>
      <c r="O1937" s="15">
        <v>0</v>
      </c>
      <c r="P1937" s="10" t="s">
        <v>78</v>
      </c>
      <c r="Q1937" s="11" t="s">
        <v>4318</v>
      </c>
      <c r="R1937" s="11" t="s">
        <v>4319</v>
      </c>
      <c r="S1937" s="16" t="s">
        <v>4320</v>
      </c>
      <c r="T1937" s="19" t="str">
        <f>MONTH(B1937)&amp;"-"&amp;YEAR(B1937)</f>
        <v>5-2025</v>
      </c>
      <c r="U1937" s="2">
        <f>YEAR(B1937)</f>
        <v>2025</v>
      </c>
      <c r="V1937" s="2" t="str">
        <f>IF(DAY(B1937)&gt;15,MONTH(B1937)&amp;"-C",MONTH(B1937)&amp;"-N")</f>
        <v>5-C</v>
      </c>
      <c r="W1937" s="21">
        <v>91.9</v>
      </c>
      <c r="X1937" s="2" t="b">
        <f t="shared" ref="X1937:X1947" si="1113">+L1937=W1937</f>
        <v>0</v>
      </c>
    </row>
    <row r="1938" spans="2:25" x14ac:dyDescent="0.2">
      <c r="B1938" s="17">
        <v>45806</v>
      </c>
      <c r="C1938" s="10" t="s">
        <v>25</v>
      </c>
      <c r="D1938" s="11">
        <v>175607</v>
      </c>
      <c r="E1938" s="26">
        <v>81138</v>
      </c>
      <c r="F1938" s="10" t="s">
        <v>49</v>
      </c>
      <c r="G1938" s="10" t="s">
        <v>3885</v>
      </c>
      <c r="H1938" s="27" t="s">
        <v>50</v>
      </c>
      <c r="I1938" s="28" t="s">
        <v>41</v>
      </c>
      <c r="J1938" s="12" t="s">
        <v>41</v>
      </c>
      <c r="K1938" s="13">
        <v>760</v>
      </c>
      <c r="L1938" s="21">
        <v>4.8499999999999996</v>
      </c>
      <c r="M1938" s="14" t="s">
        <v>14</v>
      </c>
      <c r="N1938" s="13">
        <v>3686</v>
      </c>
      <c r="O1938" s="15">
        <v>0</v>
      </c>
      <c r="P1938" s="10" t="s">
        <v>78</v>
      </c>
      <c r="Q1938" s="11" t="s">
        <v>4321</v>
      </c>
      <c r="R1938" s="11" t="s">
        <v>4322</v>
      </c>
      <c r="S1938" s="16" t="s">
        <v>4323</v>
      </c>
      <c r="T1938" s="19" t="str">
        <f>MONTH(B1938)&amp;"-"&amp;YEAR(B1938)</f>
        <v>5-2025</v>
      </c>
      <c r="U1938" s="2">
        <f>YEAR(B1938)</f>
        <v>2025</v>
      </c>
      <c r="V1938" s="2" t="str">
        <f>IF(DAY(B1938)&gt;15,MONTH(B1938)&amp;"-C",MONTH(B1938)&amp;"-N")</f>
        <v>5-C</v>
      </c>
      <c r="W1938" s="21">
        <v>91.9</v>
      </c>
      <c r="X1938" s="2" t="b">
        <f t="shared" si="1113"/>
        <v>0</v>
      </c>
    </row>
    <row r="1939" spans="2:25" x14ac:dyDescent="0.2">
      <c r="B1939" s="17">
        <v>45807</v>
      </c>
      <c r="C1939" s="10" t="s">
        <v>69</v>
      </c>
      <c r="D1939" s="11">
        <v>174906</v>
      </c>
      <c r="E1939" s="26">
        <v>81193</v>
      </c>
      <c r="F1939" s="10" t="s">
        <v>58</v>
      </c>
      <c r="G1939" s="10" t="s">
        <v>3884</v>
      </c>
      <c r="H1939" s="27" t="s">
        <v>16</v>
      </c>
      <c r="I1939" s="28">
        <v>945</v>
      </c>
      <c r="J1939" s="28">
        <v>7</v>
      </c>
      <c r="K1939" s="13">
        <v>2658</v>
      </c>
      <c r="L1939" s="21">
        <v>13.785</v>
      </c>
      <c r="M1939" s="14" t="s">
        <v>14</v>
      </c>
      <c r="N1939" s="13">
        <v>36640.53</v>
      </c>
      <c r="O1939" s="15">
        <v>0</v>
      </c>
      <c r="P1939" s="10" t="s">
        <v>91</v>
      </c>
      <c r="Q1939" s="11" t="s">
        <v>4324</v>
      </c>
      <c r="R1939" s="11" t="s">
        <v>4325</v>
      </c>
      <c r="S1939" s="16" t="s">
        <v>4326</v>
      </c>
      <c r="T1939" s="19" t="str">
        <f>MONTH(B1939)&amp;"-"&amp;YEAR(B1939)</f>
        <v>5-2025</v>
      </c>
      <c r="U1939" s="2">
        <f>YEAR(B1939)</f>
        <v>2025</v>
      </c>
      <c r="V1939" s="2" t="str">
        <f>IF(DAY(B1939)&gt;15,MONTH(B1939)&amp;"-C",MONTH(B1939)&amp;"-N")</f>
        <v>5-C</v>
      </c>
      <c r="W1939" s="21">
        <v>91.9</v>
      </c>
      <c r="X1939" s="2" t="b">
        <f t="shared" si="1113"/>
        <v>0</v>
      </c>
      <c r="Y1939" s="2" t="str">
        <f>E1939&amp;H1939&amp;I1939&amp;J1939</f>
        <v>81193FOIL9457</v>
      </c>
    </row>
    <row r="1940" spans="2:25" x14ac:dyDescent="0.2">
      <c r="B1940" s="17">
        <v>45807</v>
      </c>
      <c r="C1940" s="10" t="s">
        <v>69</v>
      </c>
      <c r="D1940" s="11">
        <v>174906</v>
      </c>
      <c r="E1940" s="26">
        <v>81193</v>
      </c>
      <c r="F1940" s="10" t="s">
        <v>109</v>
      </c>
      <c r="G1940" s="10" t="s">
        <v>3884</v>
      </c>
      <c r="H1940" s="27" t="s">
        <v>16</v>
      </c>
      <c r="I1940" s="28">
        <v>1138</v>
      </c>
      <c r="J1940" s="28">
        <v>7</v>
      </c>
      <c r="K1940" s="13">
        <v>1000</v>
      </c>
      <c r="L1940" s="21">
        <v>13.785</v>
      </c>
      <c r="M1940" s="14" t="s">
        <v>14</v>
      </c>
      <c r="N1940" s="13">
        <v>13785</v>
      </c>
      <c r="O1940" s="15">
        <v>0</v>
      </c>
      <c r="P1940" s="10" t="s">
        <v>91</v>
      </c>
      <c r="Q1940" s="11" t="s">
        <v>4324</v>
      </c>
      <c r="R1940" s="11" t="s">
        <v>4325</v>
      </c>
      <c r="S1940" s="16" t="s">
        <v>4326</v>
      </c>
      <c r="T1940" s="19" t="str">
        <f>MONTH(B1940)&amp;"-"&amp;YEAR(B1940)</f>
        <v>5-2025</v>
      </c>
      <c r="U1940" s="2">
        <f>YEAR(B1940)</f>
        <v>2025</v>
      </c>
      <c r="V1940" s="2" t="str">
        <f>IF(DAY(B1940)&gt;15,MONTH(B1940)&amp;"-C",MONTH(B1940)&amp;"-N")</f>
        <v>5-C</v>
      </c>
      <c r="W1940" s="21">
        <v>91.9</v>
      </c>
      <c r="X1940" s="2" t="b">
        <f t="shared" si="1113"/>
        <v>0</v>
      </c>
      <c r="Y1940" s="2" t="str">
        <f>E1940&amp;H1940&amp;I1940&amp;J1940</f>
        <v>81193FOIL11387</v>
      </c>
    </row>
    <row r="1941" spans="2:25" x14ac:dyDescent="0.2">
      <c r="B1941" s="17">
        <v>45807</v>
      </c>
      <c r="C1941" s="10" t="s">
        <v>69</v>
      </c>
      <c r="D1941" s="11">
        <v>174994</v>
      </c>
      <c r="E1941" s="26">
        <v>81193</v>
      </c>
      <c r="F1941" s="10" t="s">
        <v>109</v>
      </c>
      <c r="G1941" s="10" t="s">
        <v>3884</v>
      </c>
      <c r="H1941" s="27" t="s">
        <v>16</v>
      </c>
      <c r="I1941" s="28">
        <v>1138</v>
      </c>
      <c r="J1941" s="28">
        <v>7</v>
      </c>
      <c r="K1941" s="13">
        <v>1429</v>
      </c>
      <c r="L1941" s="21">
        <v>13.785</v>
      </c>
      <c r="M1941" s="14" t="s">
        <v>14</v>
      </c>
      <c r="N1941" s="13">
        <v>19698.764999999999</v>
      </c>
      <c r="O1941" s="15">
        <v>0</v>
      </c>
      <c r="P1941" s="10" t="s">
        <v>91</v>
      </c>
      <c r="Q1941" s="11" t="s">
        <v>4324</v>
      </c>
      <c r="R1941" s="11" t="s">
        <v>4325</v>
      </c>
      <c r="S1941" s="16" t="s">
        <v>4326</v>
      </c>
      <c r="T1941" s="19" t="str">
        <f>MONTH(B1941)&amp;"-"&amp;YEAR(B1941)</f>
        <v>5-2025</v>
      </c>
      <c r="U1941" s="2">
        <f>YEAR(B1941)</f>
        <v>2025</v>
      </c>
      <c r="V1941" s="2" t="str">
        <f>IF(DAY(B1941)&gt;15,MONTH(B1941)&amp;"-C",MONTH(B1941)&amp;"-N")</f>
        <v>5-C</v>
      </c>
      <c r="W1941" s="21">
        <v>91.9</v>
      </c>
      <c r="X1941" s="2" t="b">
        <f t="shared" si="1113"/>
        <v>0</v>
      </c>
      <c r="Y1941" s="2" t="str">
        <f>E1941&amp;H1941&amp;I1941&amp;J1941</f>
        <v>81193FOIL11387</v>
      </c>
    </row>
    <row r="1942" spans="2:25" x14ac:dyDescent="0.2">
      <c r="B1942" s="17">
        <v>45807</v>
      </c>
      <c r="C1942" s="10" t="s">
        <v>69</v>
      </c>
      <c r="D1942" s="11">
        <v>174994</v>
      </c>
      <c r="E1942" s="26">
        <v>81193</v>
      </c>
      <c r="F1942" s="10" t="s">
        <v>857</v>
      </c>
      <c r="G1942" s="10" t="s">
        <v>3884</v>
      </c>
      <c r="H1942" s="27" t="s">
        <v>16</v>
      </c>
      <c r="I1942" s="28">
        <v>1173</v>
      </c>
      <c r="J1942" s="28">
        <v>7</v>
      </c>
      <c r="K1942" s="13">
        <v>4756.7</v>
      </c>
      <c r="L1942" s="21">
        <v>13.785</v>
      </c>
      <c r="M1942" s="14" t="s">
        <v>14</v>
      </c>
      <c r="N1942" s="13">
        <v>65571.11</v>
      </c>
      <c r="O1942" s="15">
        <v>0</v>
      </c>
      <c r="P1942" s="10" t="s">
        <v>91</v>
      </c>
      <c r="Q1942" s="11" t="s">
        <v>4324</v>
      </c>
      <c r="R1942" s="11" t="s">
        <v>4325</v>
      </c>
      <c r="S1942" s="16" t="s">
        <v>4326</v>
      </c>
      <c r="T1942" s="19" t="str">
        <f>MONTH(B1942)&amp;"-"&amp;YEAR(B1942)</f>
        <v>5-2025</v>
      </c>
      <c r="U1942" s="2">
        <f>YEAR(B1942)</f>
        <v>2025</v>
      </c>
      <c r="V1942" s="2" t="str">
        <f>IF(DAY(B1942)&gt;15,MONTH(B1942)&amp;"-C",MONTH(B1942)&amp;"-N")</f>
        <v>5-C</v>
      </c>
      <c r="W1942" s="21">
        <v>91.9</v>
      </c>
      <c r="X1942" s="2" t="b">
        <f t="shared" si="1113"/>
        <v>0</v>
      </c>
      <c r="Y1942" s="2" t="str">
        <f>E1942&amp;H1942&amp;I1942&amp;J1942</f>
        <v>81193FOIL11737</v>
      </c>
    </row>
    <row r="1943" spans="2:25" x14ac:dyDescent="0.2">
      <c r="B1943" s="17">
        <v>45807</v>
      </c>
      <c r="C1943" s="10" t="s">
        <v>69</v>
      </c>
      <c r="D1943" s="11">
        <v>174906</v>
      </c>
      <c r="E1943" s="26">
        <v>81193</v>
      </c>
      <c r="F1943" s="10" t="s">
        <v>1514</v>
      </c>
      <c r="G1943" s="10" t="s">
        <v>3884</v>
      </c>
      <c r="H1943" s="27" t="s">
        <v>16</v>
      </c>
      <c r="I1943" s="28">
        <v>913</v>
      </c>
      <c r="J1943" s="28">
        <v>7</v>
      </c>
      <c r="K1943" s="13">
        <v>6892</v>
      </c>
      <c r="L1943" s="21">
        <v>13.785</v>
      </c>
      <c r="M1943" s="14" t="s">
        <v>14</v>
      </c>
      <c r="N1943" s="13">
        <v>95006.22</v>
      </c>
      <c r="O1943" s="15">
        <v>0</v>
      </c>
      <c r="P1943" s="10" t="s">
        <v>91</v>
      </c>
      <c r="Q1943" s="11" t="s">
        <v>4324</v>
      </c>
      <c r="R1943" s="11" t="s">
        <v>4325</v>
      </c>
      <c r="S1943" s="16" t="s">
        <v>4326</v>
      </c>
      <c r="T1943" s="19" t="str">
        <f>MONTH(B1943)&amp;"-"&amp;YEAR(B1943)</f>
        <v>5-2025</v>
      </c>
      <c r="U1943" s="2">
        <f>YEAR(B1943)</f>
        <v>2025</v>
      </c>
      <c r="V1943" s="2" t="str">
        <f>IF(DAY(B1943)&gt;15,MONTH(B1943)&amp;"-C",MONTH(B1943)&amp;"-N")</f>
        <v>5-C</v>
      </c>
      <c r="W1943" s="21">
        <v>91.9</v>
      </c>
      <c r="X1943" s="2" t="b">
        <f t="shared" si="1113"/>
        <v>0</v>
      </c>
      <c r="Y1943" s="2" t="str">
        <f>E1943&amp;H1943&amp;I1943&amp;J1943</f>
        <v>81193FOIL9137</v>
      </c>
    </row>
    <row r="1944" spans="2:25" x14ac:dyDescent="0.2">
      <c r="B1944" s="17">
        <v>45807</v>
      </c>
      <c r="C1944" s="10" t="s">
        <v>69</v>
      </c>
      <c r="D1944" s="11">
        <v>174994</v>
      </c>
      <c r="E1944" s="26">
        <v>81193</v>
      </c>
      <c r="F1944" s="10" t="s">
        <v>68</v>
      </c>
      <c r="G1944" s="10" t="s">
        <v>3884</v>
      </c>
      <c r="H1944" s="27" t="s">
        <v>16</v>
      </c>
      <c r="I1944" s="28">
        <v>945</v>
      </c>
      <c r="J1944" s="28">
        <v>9</v>
      </c>
      <c r="K1944" s="13">
        <v>1127</v>
      </c>
      <c r="L1944" s="21">
        <v>13.601000000000001</v>
      </c>
      <c r="M1944" s="14" t="s">
        <v>14</v>
      </c>
      <c r="N1944" s="13">
        <v>15328.552</v>
      </c>
      <c r="O1944" s="15">
        <v>0</v>
      </c>
      <c r="P1944" s="10" t="s">
        <v>91</v>
      </c>
      <c r="Q1944" s="11" t="s">
        <v>4324</v>
      </c>
      <c r="R1944" s="11" t="s">
        <v>4325</v>
      </c>
      <c r="S1944" s="16" t="s">
        <v>4326</v>
      </c>
      <c r="T1944" s="19" t="str">
        <f>MONTH(B1944)&amp;"-"&amp;YEAR(B1944)</f>
        <v>5-2025</v>
      </c>
      <c r="U1944" s="2">
        <f>YEAR(B1944)</f>
        <v>2025</v>
      </c>
      <c r="V1944" s="2" t="str">
        <f>IF(DAY(B1944)&gt;15,MONTH(B1944)&amp;"-C",MONTH(B1944)&amp;"-N")</f>
        <v>5-C</v>
      </c>
      <c r="W1944" s="21">
        <v>91.9</v>
      </c>
      <c r="X1944" s="2" t="b">
        <f t="shared" si="1113"/>
        <v>0</v>
      </c>
      <c r="Y1944" s="2" t="str">
        <f>E1944&amp;H1944&amp;I1944&amp;J1944</f>
        <v>81193FOIL9459</v>
      </c>
    </row>
    <row r="1945" spans="2:25" x14ac:dyDescent="0.2">
      <c r="B1945" s="17">
        <v>45807</v>
      </c>
      <c r="C1945" s="10" t="s">
        <v>69</v>
      </c>
      <c r="D1945" s="11">
        <v>174994</v>
      </c>
      <c r="E1945" s="26">
        <v>81193</v>
      </c>
      <c r="F1945" s="10" t="s">
        <v>119</v>
      </c>
      <c r="G1945" s="10" t="s">
        <v>3884</v>
      </c>
      <c r="H1945" s="27" t="s">
        <v>16</v>
      </c>
      <c r="I1945" s="28">
        <v>1213</v>
      </c>
      <c r="J1945" s="28">
        <v>9</v>
      </c>
      <c r="K1945" s="13">
        <v>2809</v>
      </c>
      <c r="L1945" s="21">
        <v>13.601000000000001</v>
      </c>
      <c r="M1945" s="14" t="s">
        <v>14</v>
      </c>
      <c r="N1945" s="13">
        <v>38205.771000000001</v>
      </c>
      <c r="O1945" s="15">
        <v>0</v>
      </c>
      <c r="P1945" s="10" t="s">
        <v>91</v>
      </c>
      <c r="Q1945" s="11" t="s">
        <v>4324</v>
      </c>
      <c r="R1945" s="11" t="s">
        <v>4325</v>
      </c>
      <c r="S1945" s="16" t="s">
        <v>4326</v>
      </c>
      <c r="T1945" s="19" t="str">
        <f>MONTH(B1945)&amp;"-"&amp;YEAR(B1945)</f>
        <v>5-2025</v>
      </c>
      <c r="U1945" s="2">
        <f>YEAR(B1945)</f>
        <v>2025</v>
      </c>
      <c r="V1945" s="2" t="str">
        <f>IF(DAY(B1945)&gt;15,MONTH(B1945)&amp;"-C",MONTH(B1945)&amp;"-N")</f>
        <v>5-C</v>
      </c>
      <c r="W1945" s="21">
        <v>91.9</v>
      </c>
      <c r="X1945" s="2" t="b">
        <f t="shared" si="1113"/>
        <v>0</v>
      </c>
      <c r="Y1945" s="2" t="str">
        <f>E1945&amp;H1945&amp;I1945&amp;J1945</f>
        <v>81193FOIL12139</v>
      </c>
    </row>
    <row r="1946" spans="2:25" x14ac:dyDescent="0.2">
      <c r="B1946" s="17">
        <v>45807</v>
      </c>
      <c r="C1946" s="10" t="s">
        <v>125</v>
      </c>
      <c r="D1946" s="11">
        <v>176034</v>
      </c>
      <c r="E1946" s="26">
        <v>81173</v>
      </c>
      <c r="F1946" s="10" t="s">
        <v>126</v>
      </c>
      <c r="G1946" s="10" t="s">
        <v>3901</v>
      </c>
      <c r="H1946" s="27" t="s">
        <v>66</v>
      </c>
      <c r="I1946" s="28" t="s">
        <v>41</v>
      </c>
      <c r="J1946" s="12" t="s">
        <v>41</v>
      </c>
      <c r="K1946" s="13">
        <v>4</v>
      </c>
      <c r="L1946" s="21">
        <v>310</v>
      </c>
      <c r="M1946" s="14" t="s">
        <v>14</v>
      </c>
      <c r="N1946" s="13">
        <v>1240</v>
      </c>
      <c r="O1946" s="15">
        <v>0</v>
      </c>
      <c r="P1946" s="10" t="s">
        <v>84</v>
      </c>
      <c r="Q1946" s="11" t="s">
        <v>4327</v>
      </c>
      <c r="R1946" s="11" t="s">
        <v>4328</v>
      </c>
      <c r="S1946" s="16" t="s">
        <v>4329</v>
      </c>
      <c r="T1946" s="19" t="str">
        <f>MONTH(B1946)&amp;"-"&amp;YEAR(B1946)</f>
        <v>5-2025</v>
      </c>
      <c r="U1946" s="2">
        <f>YEAR(B1946)</f>
        <v>2025</v>
      </c>
      <c r="V1946" s="2" t="str">
        <f>IF(DAY(B1946)&gt;15,MONTH(B1946)&amp;"-C",MONTH(B1946)&amp;"-N")</f>
        <v>5-C</v>
      </c>
      <c r="W1946" s="21">
        <v>91.9</v>
      </c>
      <c r="X1946" s="2" t="b">
        <f t="shared" si="1113"/>
        <v>0</v>
      </c>
    </row>
    <row r="1947" spans="2:25" x14ac:dyDescent="0.2">
      <c r="B1947" s="17">
        <v>45808</v>
      </c>
      <c r="C1947" s="10" t="s">
        <v>94</v>
      </c>
      <c r="D1947" s="11">
        <v>175689</v>
      </c>
      <c r="E1947" s="26">
        <v>81189</v>
      </c>
      <c r="F1947" s="10" t="s">
        <v>26</v>
      </c>
      <c r="G1947" s="10" t="s">
        <v>3885</v>
      </c>
      <c r="H1947" s="27" t="s">
        <v>28</v>
      </c>
      <c r="I1947" s="28" t="s">
        <v>41</v>
      </c>
      <c r="J1947" s="12" t="s">
        <v>41</v>
      </c>
      <c r="K1947" s="13">
        <v>19800</v>
      </c>
      <c r="L1947" s="21">
        <v>3</v>
      </c>
      <c r="M1947" s="14" t="s">
        <v>14</v>
      </c>
      <c r="N1947" s="13">
        <v>59400</v>
      </c>
      <c r="O1947" s="15">
        <v>0</v>
      </c>
      <c r="P1947" s="10" t="s">
        <v>78</v>
      </c>
      <c r="Q1947" s="11" t="s">
        <v>4330</v>
      </c>
      <c r="R1947" s="11" t="s">
        <v>4331</v>
      </c>
      <c r="S1947" s="16" t="s">
        <v>4332</v>
      </c>
      <c r="T1947" s="19" t="str">
        <f>MONTH(B1947)&amp;"-"&amp;YEAR(B1947)</f>
        <v>5-2025</v>
      </c>
      <c r="U1947" s="2">
        <f>YEAR(B1947)</f>
        <v>2025</v>
      </c>
      <c r="V1947" s="2" t="str">
        <f>IF(DAY(B1947)&gt;15,MONTH(B1947)&amp;"-C",MONTH(B1947)&amp;"-N")</f>
        <v>5-C</v>
      </c>
      <c r="W1947" s="21">
        <v>91.9</v>
      </c>
      <c r="X1947" s="2" t="b">
        <f t="shared" si="1113"/>
        <v>0</v>
      </c>
    </row>
    <row r="1948" spans="2:25" x14ac:dyDescent="0.2">
      <c r="B1948" s="17">
        <v>45810</v>
      </c>
      <c r="C1948" s="10" t="s">
        <v>25</v>
      </c>
      <c r="D1948" s="11">
        <v>175970</v>
      </c>
      <c r="E1948" s="26">
        <v>81219</v>
      </c>
      <c r="F1948" s="10" t="s">
        <v>29</v>
      </c>
      <c r="G1948" s="10" t="s">
        <v>3885</v>
      </c>
      <c r="H1948" s="27" t="s">
        <v>30</v>
      </c>
      <c r="I1948" s="28" t="s">
        <v>41</v>
      </c>
      <c r="J1948" s="12" t="s">
        <v>41</v>
      </c>
      <c r="K1948" s="13">
        <v>1980</v>
      </c>
      <c r="L1948" s="21">
        <v>3.7</v>
      </c>
      <c r="M1948" s="14" t="s">
        <v>14</v>
      </c>
      <c r="N1948" s="13">
        <v>7326</v>
      </c>
      <c r="O1948" s="15">
        <v>0</v>
      </c>
      <c r="P1948" s="10" t="s">
        <v>78</v>
      </c>
      <c r="Q1948" s="11" t="s">
        <v>4333</v>
      </c>
      <c r="R1948" s="11" t="s">
        <v>4334</v>
      </c>
      <c r="S1948" s="16" t="s">
        <v>4335</v>
      </c>
      <c r="T1948" s="19" t="str">
        <f>MONTH(B1948)&amp;"-"&amp;YEAR(B1948)</f>
        <v>6-2025</v>
      </c>
      <c r="U1948" s="2">
        <f>YEAR(B1948)</f>
        <v>2025</v>
      </c>
      <c r="V1948" s="2" t="str">
        <f>IF(DAY(B1948)&gt;15,MONTH(B1948)&amp;"-C",MONTH(B1948)&amp;"-N")</f>
        <v>6-N</v>
      </c>
      <c r="W1948" s="21">
        <v>91.9</v>
      </c>
      <c r="X1948" s="2" t="b">
        <f t="shared" ref="X1948:X1950" si="1114">+L1948=W1948</f>
        <v>0</v>
      </c>
    </row>
    <row r="1949" spans="2:25" x14ac:dyDescent="0.2">
      <c r="B1949" s="17">
        <v>45810</v>
      </c>
      <c r="C1949" s="10" t="s">
        <v>82</v>
      </c>
      <c r="D1949" s="11">
        <v>176059</v>
      </c>
      <c r="E1949" s="26">
        <v>81220</v>
      </c>
      <c r="F1949" s="10" t="s">
        <v>33</v>
      </c>
      <c r="G1949" s="10" t="s">
        <v>3885</v>
      </c>
      <c r="H1949" s="27" t="s">
        <v>34</v>
      </c>
      <c r="I1949" s="28" t="s">
        <v>41</v>
      </c>
      <c r="J1949" s="12" t="s">
        <v>41</v>
      </c>
      <c r="K1949" s="13">
        <v>1440</v>
      </c>
      <c r="L1949" s="21">
        <v>5.75</v>
      </c>
      <c r="M1949" s="14" t="s">
        <v>14</v>
      </c>
      <c r="N1949" s="13">
        <v>8280</v>
      </c>
      <c r="O1949" s="15">
        <v>0</v>
      </c>
      <c r="P1949" s="10" t="s">
        <v>78</v>
      </c>
      <c r="Q1949" s="11" t="s">
        <v>4336</v>
      </c>
      <c r="R1949" s="11" t="s">
        <v>4337</v>
      </c>
      <c r="S1949" s="16" t="s">
        <v>4338</v>
      </c>
      <c r="T1949" s="19" t="str">
        <f>MONTH(B1949)&amp;"-"&amp;YEAR(B1949)</f>
        <v>6-2025</v>
      </c>
      <c r="U1949" s="2">
        <f>YEAR(B1949)</f>
        <v>2025</v>
      </c>
      <c r="V1949" s="2" t="str">
        <f>IF(DAY(B1949)&gt;15,MONTH(B1949)&amp;"-C",MONTH(B1949)&amp;"-N")</f>
        <v>6-N</v>
      </c>
      <c r="W1949" s="21">
        <v>91.9</v>
      </c>
      <c r="X1949" s="2" t="b">
        <f t="shared" si="1114"/>
        <v>0</v>
      </c>
    </row>
    <row r="1950" spans="2:25" x14ac:dyDescent="0.2">
      <c r="B1950" s="17">
        <v>45819</v>
      </c>
      <c r="C1950" s="10" t="s">
        <v>94</v>
      </c>
      <c r="D1950" s="11">
        <v>175689</v>
      </c>
      <c r="E1950" s="26">
        <v>81312</v>
      </c>
      <c r="F1950" s="10" t="s">
        <v>26</v>
      </c>
      <c r="G1950" s="10" t="s">
        <v>3885</v>
      </c>
      <c r="H1950" s="27" t="s">
        <v>28</v>
      </c>
      <c r="I1950" s="28" t="s">
        <v>41</v>
      </c>
      <c r="J1950" s="12" t="s">
        <v>41</v>
      </c>
      <c r="K1950" s="13">
        <v>19800</v>
      </c>
      <c r="L1950" s="21">
        <v>3</v>
      </c>
      <c r="M1950" s="14" t="s">
        <v>14</v>
      </c>
      <c r="N1950" s="13">
        <v>59400</v>
      </c>
      <c r="O1950" s="15">
        <v>0</v>
      </c>
      <c r="P1950" s="10" t="s">
        <v>78</v>
      </c>
      <c r="Q1950" s="11" t="s">
        <v>4339</v>
      </c>
      <c r="R1950" s="11" t="s">
        <v>4340</v>
      </c>
      <c r="S1950" s="16" t="s">
        <v>4341</v>
      </c>
      <c r="T1950" s="19" t="str">
        <f>MONTH(B1950)&amp;"-"&amp;YEAR(B1950)</f>
        <v>6-2025</v>
      </c>
      <c r="U1950" s="2">
        <f>YEAR(B1950)</f>
        <v>2025</v>
      </c>
      <c r="V1950" s="2" t="str">
        <f>IF(DAY(B1950)&gt;15,MONTH(B1950)&amp;"-C",MONTH(B1950)&amp;"-N")</f>
        <v>6-N</v>
      </c>
      <c r="W1950" s="21">
        <v>91.9</v>
      </c>
      <c r="X1950" s="2" t="b">
        <f t="shared" si="1114"/>
        <v>0</v>
      </c>
    </row>
    <row r="1951" spans="2:25" x14ac:dyDescent="0.2">
      <c r="B1951" s="17">
        <v>45824</v>
      </c>
      <c r="C1951" s="10" t="s">
        <v>3917</v>
      </c>
      <c r="D1951" s="11">
        <v>175747</v>
      </c>
      <c r="E1951" s="26">
        <v>81374</v>
      </c>
      <c r="F1951" s="10" t="s">
        <v>121</v>
      </c>
      <c r="G1951" s="10" t="s">
        <v>3901</v>
      </c>
      <c r="H1951" s="27" t="s">
        <v>122</v>
      </c>
      <c r="I1951" s="28" t="s">
        <v>41</v>
      </c>
      <c r="J1951" s="12" t="s">
        <v>41</v>
      </c>
      <c r="K1951" s="13">
        <v>4140</v>
      </c>
      <c r="L1951" s="21">
        <v>9.5579999999999998</v>
      </c>
      <c r="M1951" s="14" t="s">
        <v>14</v>
      </c>
      <c r="N1951" s="13">
        <v>39568.464</v>
      </c>
      <c r="O1951" s="15">
        <v>0</v>
      </c>
      <c r="P1951" s="10" t="s">
        <v>90</v>
      </c>
      <c r="Q1951" s="11" t="s">
        <v>4342</v>
      </c>
      <c r="R1951" s="11" t="s">
        <v>4343</v>
      </c>
      <c r="S1951" s="16" t="s">
        <v>4344</v>
      </c>
      <c r="T1951" s="19" t="str">
        <f>MONTH(B1951)&amp;"-"&amp;YEAR(B1951)</f>
        <v>6-2025</v>
      </c>
      <c r="U1951" s="2">
        <f>YEAR(B1951)</f>
        <v>2025</v>
      </c>
      <c r="V1951" s="2" t="str">
        <f>IF(DAY(B1951)&gt;15,MONTH(B1951)&amp;"-C",MONTH(B1951)&amp;"-N")</f>
        <v>6-C</v>
      </c>
      <c r="W1951" s="21">
        <v>91.9</v>
      </c>
      <c r="X1951" s="2" t="b">
        <f t="shared" ref="X1951:X1952" si="1115">+L1951=W1951</f>
        <v>0</v>
      </c>
    </row>
    <row r="1952" spans="2:25" x14ac:dyDescent="0.2">
      <c r="B1952" s="17">
        <v>45824</v>
      </c>
      <c r="C1952" s="10" t="s">
        <v>3917</v>
      </c>
      <c r="D1952" s="11">
        <v>175747</v>
      </c>
      <c r="E1952" s="26">
        <v>81374</v>
      </c>
      <c r="F1952" s="10" t="s">
        <v>123</v>
      </c>
      <c r="G1952" s="10" t="s">
        <v>3901</v>
      </c>
      <c r="H1952" s="27" t="s">
        <v>124</v>
      </c>
      <c r="I1952" s="28" t="s">
        <v>41</v>
      </c>
      <c r="J1952" s="12" t="s">
        <v>41</v>
      </c>
      <c r="K1952" s="13">
        <v>6900</v>
      </c>
      <c r="L1952" s="21">
        <v>11.69</v>
      </c>
      <c r="M1952" s="14" t="s">
        <v>14</v>
      </c>
      <c r="N1952" s="13">
        <v>80658.792000000001</v>
      </c>
      <c r="O1952" s="15">
        <v>0</v>
      </c>
      <c r="P1952" s="10" t="s">
        <v>90</v>
      </c>
      <c r="Q1952" s="11" t="s">
        <v>4342</v>
      </c>
      <c r="R1952" s="11" t="s">
        <v>4343</v>
      </c>
      <c r="S1952" s="16" t="s">
        <v>4344</v>
      </c>
      <c r="T1952" s="19" t="str">
        <f>MONTH(B1952)&amp;"-"&amp;YEAR(B1952)</f>
        <v>6-2025</v>
      </c>
      <c r="U1952" s="2">
        <f>YEAR(B1952)</f>
        <v>2025</v>
      </c>
      <c r="V1952" s="2" t="str">
        <f>IF(DAY(B1952)&gt;15,MONTH(B1952)&amp;"-C",MONTH(B1952)&amp;"-N")</f>
        <v>6-C</v>
      </c>
      <c r="W1952" s="21">
        <v>91.9</v>
      </c>
      <c r="X1952" s="2" t="b">
        <f t="shared" si="1115"/>
        <v>0</v>
      </c>
    </row>
    <row r="1953" spans="2:24" x14ac:dyDescent="0.2">
      <c r="B1953" s="17">
        <v>45827</v>
      </c>
      <c r="C1953" s="10" t="s">
        <v>25</v>
      </c>
      <c r="D1953" s="11">
        <v>175880</v>
      </c>
      <c r="E1953" s="26">
        <v>81417</v>
      </c>
      <c r="F1953" s="10" t="s">
        <v>3054</v>
      </c>
      <c r="G1953" s="10" t="s">
        <v>3885</v>
      </c>
      <c r="H1953" s="27" t="s">
        <v>3055</v>
      </c>
      <c r="I1953" s="28" t="s">
        <v>41</v>
      </c>
      <c r="J1953" s="12" t="s">
        <v>41</v>
      </c>
      <c r="K1953" s="13">
        <v>1280</v>
      </c>
      <c r="L1953" s="21">
        <v>3.82</v>
      </c>
      <c r="M1953" s="14" t="s">
        <v>14</v>
      </c>
      <c r="N1953" s="13">
        <v>4889.6000000000004</v>
      </c>
      <c r="O1953" s="15">
        <v>0</v>
      </c>
      <c r="P1953" s="10" t="s">
        <v>78</v>
      </c>
      <c r="Q1953" s="11" t="s">
        <v>4345</v>
      </c>
      <c r="R1953" s="11" t="s">
        <v>4346</v>
      </c>
      <c r="S1953" s="16" t="s">
        <v>4347</v>
      </c>
      <c r="T1953" s="19" t="str">
        <f>MONTH(B1953)&amp;"-"&amp;YEAR(B1953)</f>
        <v>6-2025</v>
      </c>
      <c r="U1953" s="2">
        <f>YEAR(B1953)</f>
        <v>2025</v>
      </c>
      <c r="V1953" s="2" t="str">
        <f>IF(DAY(B1953)&gt;15,MONTH(B1953)&amp;"-C",MONTH(B1953)&amp;"-N")</f>
        <v>6-C</v>
      </c>
      <c r="W1953" s="21">
        <v>91.9</v>
      </c>
      <c r="X1953" s="2" t="b">
        <f t="shared" ref="X1953:X1955" si="1116">+L1953=W1953</f>
        <v>0</v>
      </c>
    </row>
    <row r="1954" spans="2:24" x14ac:dyDescent="0.2">
      <c r="B1954" s="17">
        <v>45827</v>
      </c>
      <c r="C1954" s="10" t="s">
        <v>25</v>
      </c>
      <c r="D1954" s="11">
        <v>175970</v>
      </c>
      <c r="E1954" s="26">
        <v>81418</v>
      </c>
      <c r="F1954" s="10" t="s">
        <v>33</v>
      </c>
      <c r="G1954" s="10" t="s">
        <v>3885</v>
      </c>
      <c r="H1954" s="27" t="s">
        <v>34</v>
      </c>
      <c r="I1954" s="28" t="s">
        <v>41</v>
      </c>
      <c r="J1954" s="12" t="s">
        <v>41</v>
      </c>
      <c r="K1954" s="13">
        <v>1440</v>
      </c>
      <c r="L1954" s="21">
        <v>4.9000000000000004</v>
      </c>
      <c r="M1954" s="14" t="s">
        <v>14</v>
      </c>
      <c r="N1954" s="13">
        <v>7056</v>
      </c>
      <c r="O1954" s="15">
        <v>0</v>
      </c>
      <c r="P1954" s="10" t="s">
        <v>78</v>
      </c>
      <c r="Q1954" s="11" t="s">
        <v>4348</v>
      </c>
      <c r="R1954" s="11" t="s">
        <v>4349</v>
      </c>
      <c r="S1954" s="16" t="s">
        <v>4350</v>
      </c>
      <c r="T1954" s="19" t="str">
        <f>MONTH(B1954)&amp;"-"&amp;YEAR(B1954)</f>
        <v>6-2025</v>
      </c>
      <c r="U1954" s="2">
        <f>YEAR(B1954)</f>
        <v>2025</v>
      </c>
      <c r="V1954" s="2" t="str">
        <f>IF(DAY(B1954)&gt;15,MONTH(B1954)&amp;"-C",MONTH(B1954)&amp;"-N")</f>
        <v>6-C</v>
      </c>
      <c r="W1954" s="21">
        <v>91.9</v>
      </c>
      <c r="X1954" s="2" t="b">
        <f t="shared" si="1116"/>
        <v>0</v>
      </c>
    </row>
    <row r="1955" spans="2:24" x14ac:dyDescent="0.2">
      <c r="B1955" s="17">
        <v>45828</v>
      </c>
      <c r="C1955" s="10" t="s">
        <v>25</v>
      </c>
      <c r="D1955" s="11">
        <v>175970</v>
      </c>
      <c r="E1955" s="26">
        <v>81445</v>
      </c>
      <c r="F1955" s="10" t="s">
        <v>26</v>
      </c>
      <c r="G1955" s="10" t="s">
        <v>3885</v>
      </c>
      <c r="H1955" s="27" t="s">
        <v>28</v>
      </c>
      <c r="I1955" s="28" t="s">
        <v>41</v>
      </c>
      <c r="J1955" s="12" t="s">
        <v>41</v>
      </c>
      <c r="K1955" s="13">
        <v>19800</v>
      </c>
      <c r="L1955" s="21">
        <v>3</v>
      </c>
      <c r="M1955" s="14" t="s">
        <v>14</v>
      </c>
      <c r="N1955" s="13">
        <v>59400</v>
      </c>
      <c r="O1955" s="15">
        <v>0</v>
      </c>
      <c r="P1955" s="10" t="s">
        <v>78</v>
      </c>
      <c r="Q1955" s="11" t="s">
        <v>4351</v>
      </c>
      <c r="R1955" s="11" t="s">
        <v>4352</v>
      </c>
      <c r="S1955" s="16" t="s">
        <v>4353</v>
      </c>
      <c r="T1955" s="19" t="str">
        <f>MONTH(B1955)&amp;"-"&amp;YEAR(B1955)</f>
        <v>6-2025</v>
      </c>
      <c r="U1955" s="2">
        <f>YEAR(B1955)</f>
        <v>2025</v>
      </c>
      <c r="V1955" s="2" t="str">
        <f>IF(DAY(B1955)&gt;15,MONTH(B1955)&amp;"-C",MONTH(B1955)&amp;"-N")</f>
        <v>6-C</v>
      </c>
      <c r="W1955" s="21">
        <v>91.9</v>
      </c>
      <c r="X1955" s="2" t="b">
        <f t="shared" si="1116"/>
        <v>0</v>
      </c>
    </row>
    <row r="1956" spans="2:24" x14ac:dyDescent="0.2">
      <c r="B1956" s="17">
        <v>45829</v>
      </c>
      <c r="C1956" s="10" t="s">
        <v>107</v>
      </c>
      <c r="D1956" s="11">
        <v>175746</v>
      </c>
      <c r="E1956" s="26">
        <v>81456</v>
      </c>
      <c r="F1956" s="10" t="s">
        <v>103</v>
      </c>
      <c r="G1956" s="10" t="s">
        <v>3901</v>
      </c>
      <c r="H1956" s="27" t="s">
        <v>104</v>
      </c>
      <c r="I1956" s="28" t="s">
        <v>41</v>
      </c>
      <c r="J1956" s="12" t="s">
        <v>41</v>
      </c>
      <c r="K1956" s="13">
        <v>150</v>
      </c>
      <c r="L1956" s="21">
        <v>47.46</v>
      </c>
      <c r="M1956" s="14" t="s">
        <v>14</v>
      </c>
      <c r="N1956" s="13">
        <v>7119</v>
      </c>
      <c r="O1956" s="15">
        <v>0</v>
      </c>
      <c r="P1956" s="10" t="s">
        <v>84</v>
      </c>
      <c r="Q1956" s="11" t="s">
        <v>4354</v>
      </c>
      <c r="R1956" s="11" t="s">
        <v>4355</v>
      </c>
      <c r="S1956" s="16" t="s">
        <v>4356</v>
      </c>
      <c r="T1956" s="19" t="str">
        <f>MONTH(B1956)&amp;"-"&amp;YEAR(B1956)</f>
        <v>6-2025</v>
      </c>
      <c r="U1956" s="2">
        <f>YEAR(B1956)</f>
        <v>2025</v>
      </c>
      <c r="V1956" s="2" t="str">
        <f>IF(DAY(B1956)&gt;15,MONTH(B1956)&amp;"-C",MONTH(B1956)&amp;"-N")</f>
        <v>6-C</v>
      </c>
      <c r="W1956" s="21">
        <v>91.9</v>
      </c>
      <c r="X1956" s="2" t="b">
        <f t="shared" ref="X1956:X1957" si="1117">+L1956=W1956</f>
        <v>0</v>
      </c>
    </row>
    <row r="1957" spans="2:24" x14ac:dyDescent="0.2">
      <c r="B1957" s="17">
        <v>45829</v>
      </c>
      <c r="C1957" s="10" t="s">
        <v>107</v>
      </c>
      <c r="D1957" s="11">
        <v>175746</v>
      </c>
      <c r="E1957" s="26">
        <v>81456</v>
      </c>
      <c r="F1957" s="10" t="s">
        <v>105</v>
      </c>
      <c r="G1957" s="10" t="s">
        <v>3901</v>
      </c>
      <c r="H1957" s="27" t="s">
        <v>106</v>
      </c>
      <c r="I1957" s="28" t="s">
        <v>41</v>
      </c>
      <c r="J1957" s="12" t="s">
        <v>41</v>
      </c>
      <c r="K1957" s="13">
        <v>3080</v>
      </c>
      <c r="L1957" s="21">
        <v>11.72</v>
      </c>
      <c r="M1957" s="14" t="s">
        <v>14</v>
      </c>
      <c r="N1957" s="13">
        <v>36097.599999999999</v>
      </c>
      <c r="O1957" s="15">
        <v>0</v>
      </c>
      <c r="P1957" s="10" t="s">
        <v>84</v>
      </c>
      <c r="Q1957" s="11" t="s">
        <v>4354</v>
      </c>
      <c r="R1957" s="11" t="s">
        <v>4355</v>
      </c>
      <c r="S1957" s="16" t="s">
        <v>4356</v>
      </c>
      <c r="T1957" s="19" t="str">
        <f>MONTH(B1957)&amp;"-"&amp;YEAR(B1957)</f>
        <v>6-2025</v>
      </c>
      <c r="U1957" s="2">
        <f>YEAR(B1957)</f>
        <v>2025</v>
      </c>
      <c r="V1957" s="2" t="str">
        <f>IF(DAY(B1957)&gt;15,MONTH(B1957)&amp;"-C",MONTH(B1957)&amp;"-N")</f>
        <v>6-C</v>
      </c>
      <c r="W1957" s="21">
        <v>91.9</v>
      </c>
      <c r="X1957" s="2" t="b">
        <f t="shared" si="1117"/>
        <v>0</v>
      </c>
    </row>
    <row r="1958" spans="2:24" x14ac:dyDescent="0.2">
      <c r="B1958" s="17">
        <v>45834</v>
      </c>
      <c r="C1958" s="10" t="s">
        <v>94</v>
      </c>
      <c r="D1958" s="11">
        <v>175689</v>
      </c>
      <c r="E1958" s="26">
        <v>81564</v>
      </c>
      <c r="F1958" s="10" t="s">
        <v>26</v>
      </c>
      <c r="G1958" s="10" t="s">
        <v>3885</v>
      </c>
      <c r="H1958" s="27" t="s">
        <v>28</v>
      </c>
      <c r="I1958" s="28" t="s">
        <v>41</v>
      </c>
      <c r="J1958" s="12" t="s">
        <v>41</v>
      </c>
      <c r="K1958" s="13">
        <v>1800</v>
      </c>
      <c r="L1958" s="21">
        <v>3</v>
      </c>
      <c r="M1958" s="14" t="s">
        <v>14</v>
      </c>
      <c r="N1958" s="13">
        <v>5400</v>
      </c>
      <c r="O1958" s="15">
        <v>0</v>
      </c>
      <c r="P1958" s="10" t="s">
        <v>78</v>
      </c>
      <c r="Q1958" s="11" t="s">
        <v>4357</v>
      </c>
      <c r="R1958" s="11" t="s">
        <v>4358</v>
      </c>
      <c r="S1958" s="16" t="s">
        <v>4359</v>
      </c>
      <c r="T1958" s="19" t="str">
        <f>MONTH(B1958)&amp;"-"&amp;YEAR(B1958)</f>
        <v>6-2025</v>
      </c>
      <c r="U1958" s="2">
        <f>YEAR(B1958)</f>
        <v>2025</v>
      </c>
      <c r="V1958" s="2" t="str">
        <f>IF(DAY(B1958)&gt;15,MONTH(B1958)&amp;"-C",MONTH(B1958)&amp;"-N")</f>
        <v>6-C</v>
      </c>
      <c r="W1958" s="21">
        <v>91.9</v>
      </c>
      <c r="X1958" s="2" t="b">
        <f t="shared" ref="X1958:X1969" si="1118">+L1958=W1958</f>
        <v>0</v>
      </c>
    </row>
    <row r="1959" spans="2:24" x14ac:dyDescent="0.2">
      <c r="B1959" s="17">
        <v>45834</v>
      </c>
      <c r="C1959" s="10" t="s">
        <v>94</v>
      </c>
      <c r="D1959" s="11">
        <v>176142</v>
      </c>
      <c r="E1959" s="26">
        <v>81564</v>
      </c>
      <c r="F1959" s="10" t="s">
        <v>26</v>
      </c>
      <c r="G1959" s="10" t="s">
        <v>3885</v>
      </c>
      <c r="H1959" s="27" t="s">
        <v>28</v>
      </c>
      <c r="I1959" s="28" t="s">
        <v>41</v>
      </c>
      <c r="J1959" s="12" t="s">
        <v>41</v>
      </c>
      <c r="K1959" s="13">
        <v>18000</v>
      </c>
      <c r="L1959" s="21">
        <v>3</v>
      </c>
      <c r="M1959" s="14" t="s">
        <v>14</v>
      </c>
      <c r="N1959" s="13">
        <v>54000</v>
      </c>
      <c r="O1959" s="15">
        <v>0</v>
      </c>
      <c r="P1959" s="10" t="s">
        <v>78</v>
      </c>
      <c r="Q1959" s="11" t="s">
        <v>4357</v>
      </c>
      <c r="R1959" s="11" t="s">
        <v>4358</v>
      </c>
      <c r="S1959" s="16" t="s">
        <v>4359</v>
      </c>
      <c r="T1959" s="19" t="str">
        <f>MONTH(B1959)&amp;"-"&amp;YEAR(B1959)</f>
        <v>6-2025</v>
      </c>
      <c r="U1959" s="2">
        <f>YEAR(B1959)</f>
        <v>2025</v>
      </c>
      <c r="V1959" s="2" t="str">
        <f>IF(DAY(B1959)&gt;15,MONTH(B1959)&amp;"-C",MONTH(B1959)&amp;"-N")</f>
        <v>6-C</v>
      </c>
      <c r="W1959" s="21">
        <v>91.9</v>
      </c>
      <c r="X1959" s="2" t="b">
        <f t="shared" si="1118"/>
        <v>0</v>
      </c>
    </row>
    <row r="1960" spans="2:24" x14ac:dyDescent="0.2">
      <c r="B1960" s="17">
        <v>45832</v>
      </c>
      <c r="C1960" s="10" t="s">
        <v>4144</v>
      </c>
      <c r="D1960" s="11">
        <v>175451</v>
      </c>
      <c r="E1960" s="26">
        <v>81535</v>
      </c>
      <c r="F1960" s="10" t="s">
        <v>135</v>
      </c>
      <c r="G1960" s="10" t="s">
        <v>3901</v>
      </c>
      <c r="H1960" s="27" t="s">
        <v>136</v>
      </c>
      <c r="I1960" s="28" t="s">
        <v>41</v>
      </c>
      <c r="J1960" s="12" t="s">
        <v>41</v>
      </c>
      <c r="K1960" s="13">
        <v>5400</v>
      </c>
      <c r="L1960" s="21">
        <v>9.7409999999999997</v>
      </c>
      <c r="M1960" s="14" t="s">
        <v>14</v>
      </c>
      <c r="N1960" s="13">
        <v>52603.56</v>
      </c>
      <c r="O1960" s="15">
        <v>0</v>
      </c>
      <c r="P1960" s="10" t="s">
        <v>90</v>
      </c>
      <c r="Q1960" s="11" t="s">
        <v>4360</v>
      </c>
      <c r="R1960" s="11" t="s">
        <v>4361</v>
      </c>
      <c r="S1960" s="16" t="s">
        <v>4362</v>
      </c>
      <c r="T1960" s="19" t="str">
        <f>MONTH(B1960)&amp;"-"&amp;YEAR(B1960)</f>
        <v>6-2025</v>
      </c>
      <c r="U1960" s="2">
        <f>YEAR(B1960)</f>
        <v>2025</v>
      </c>
      <c r="V1960" s="2" t="str">
        <f>IF(DAY(B1960)&gt;15,MONTH(B1960)&amp;"-C",MONTH(B1960)&amp;"-N")</f>
        <v>6-C</v>
      </c>
      <c r="W1960" s="21">
        <v>91.9</v>
      </c>
      <c r="X1960" s="2" t="b">
        <f t="shared" si="1118"/>
        <v>0</v>
      </c>
    </row>
    <row r="1961" spans="2:24" x14ac:dyDescent="0.2">
      <c r="B1961" s="17">
        <v>45832</v>
      </c>
      <c r="C1961" s="10" t="s">
        <v>4144</v>
      </c>
      <c r="D1961" s="11">
        <v>175451</v>
      </c>
      <c r="E1961" s="26">
        <v>81535</v>
      </c>
      <c r="F1961" s="10" t="s">
        <v>71</v>
      </c>
      <c r="G1961" s="10" t="s">
        <v>3901</v>
      </c>
      <c r="H1961" s="27" t="s">
        <v>72</v>
      </c>
      <c r="I1961" s="28" t="s">
        <v>41</v>
      </c>
      <c r="J1961" s="12" t="s">
        <v>41</v>
      </c>
      <c r="K1961" s="13">
        <v>22000</v>
      </c>
      <c r="L1961" s="21">
        <v>9.5939999999999994</v>
      </c>
      <c r="M1961" s="14" t="s">
        <v>14</v>
      </c>
      <c r="N1961" s="13">
        <v>211075.92</v>
      </c>
      <c r="O1961" s="15">
        <v>0</v>
      </c>
      <c r="P1961" s="10" t="s">
        <v>90</v>
      </c>
      <c r="Q1961" s="11" t="s">
        <v>4360</v>
      </c>
      <c r="R1961" s="11" t="s">
        <v>4361</v>
      </c>
      <c r="S1961" s="16" t="s">
        <v>4362</v>
      </c>
      <c r="T1961" s="19" t="str">
        <f>MONTH(B1961)&amp;"-"&amp;YEAR(B1961)</f>
        <v>6-2025</v>
      </c>
      <c r="U1961" s="2">
        <f>YEAR(B1961)</f>
        <v>2025</v>
      </c>
      <c r="V1961" s="2" t="str">
        <f>IF(DAY(B1961)&gt;15,MONTH(B1961)&amp;"-C",MONTH(B1961)&amp;"-N")</f>
        <v>6-C</v>
      </c>
      <c r="W1961" s="21">
        <v>91.9</v>
      </c>
      <c r="X1961" s="2" t="b">
        <f t="shared" si="1118"/>
        <v>0</v>
      </c>
    </row>
    <row r="1962" spans="2:24" x14ac:dyDescent="0.2">
      <c r="B1962" s="17">
        <v>45832</v>
      </c>
      <c r="C1962" s="10" t="s">
        <v>4144</v>
      </c>
      <c r="D1962" s="11">
        <v>175451</v>
      </c>
      <c r="E1962" s="26">
        <v>81535</v>
      </c>
      <c r="F1962" s="10" t="s">
        <v>2552</v>
      </c>
      <c r="G1962" s="10" t="s">
        <v>3901</v>
      </c>
      <c r="H1962" s="27" t="s">
        <v>2553</v>
      </c>
      <c r="I1962" s="28" t="s">
        <v>41</v>
      </c>
      <c r="J1962" s="12" t="s">
        <v>41</v>
      </c>
      <c r="K1962" s="13">
        <v>4600</v>
      </c>
      <c r="L1962" s="21">
        <v>9.5210000000000008</v>
      </c>
      <c r="M1962" s="14" t="s">
        <v>14</v>
      </c>
      <c r="N1962" s="13">
        <v>43795.864000000001</v>
      </c>
      <c r="O1962" s="15">
        <v>0</v>
      </c>
      <c r="P1962" s="10" t="s">
        <v>90</v>
      </c>
      <c r="Q1962" s="11" t="s">
        <v>4360</v>
      </c>
      <c r="R1962" s="11" t="s">
        <v>4361</v>
      </c>
      <c r="S1962" s="16" t="s">
        <v>4362</v>
      </c>
      <c r="T1962" s="19" t="str">
        <f>MONTH(B1962)&amp;"-"&amp;YEAR(B1962)</f>
        <v>6-2025</v>
      </c>
      <c r="U1962" s="2">
        <f>YEAR(B1962)</f>
        <v>2025</v>
      </c>
      <c r="V1962" s="2" t="str">
        <f>IF(DAY(B1962)&gt;15,MONTH(B1962)&amp;"-C",MONTH(B1962)&amp;"-N")</f>
        <v>6-C</v>
      </c>
      <c r="W1962" s="21">
        <v>91.9</v>
      </c>
      <c r="X1962" s="2" t="b">
        <f t="shared" si="1118"/>
        <v>0</v>
      </c>
    </row>
    <row r="1963" spans="2:24" x14ac:dyDescent="0.2">
      <c r="B1963" s="17">
        <v>45834</v>
      </c>
      <c r="C1963" s="10" t="s">
        <v>107</v>
      </c>
      <c r="D1963" s="11">
        <v>175746</v>
      </c>
      <c r="E1963" s="26">
        <v>81572</v>
      </c>
      <c r="F1963" s="10" t="s">
        <v>103</v>
      </c>
      <c r="G1963" s="10" t="s">
        <v>3901</v>
      </c>
      <c r="H1963" s="27" t="s">
        <v>104</v>
      </c>
      <c r="I1963" s="28" t="s">
        <v>41</v>
      </c>
      <c r="J1963" s="12" t="s">
        <v>41</v>
      </c>
      <c r="K1963" s="13">
        <v>15</v>
      </c>
      <c r="L1963" s="21">
        <v>47.46</v>
      </c>
      <c r="M1963" s="14" t="s">
        <v>14</v>
      </c>
      <c r="N1963" s="13">
        <v>711.9</v>
      </c>
      <c r="O1963" s="15">
        <v>0</v>
      </c>
      <c r="P1963" s="10" t="s">
        <v>84</v>
      </c>
      <c r="Q1963" s="11" t="s">
        <v>4363</v>
      </c>
      <c r="R1963" s="11" t="s">
        <v>4364</v>
      </c>
      <c r="S1963" s="16" t="s">
        <v>4365</v>
      </c>
      <c r="T1963" s="19" t="str">
        <f>MONTH(B1963)&amp;"-"&amp;YEAR(B1963)</f>
        <v>6-2025</v>
      </c>
      <c r="U1963" s="2">
        <f>YEAR(B1963)</f>
        <v>2025</v>
      </c>
      <c r="V1963" s="2" t="str">
        <f>IF(DAY(B1963)&gt;15,MONTH(B1963)&amp;"-C",MONTH(B1963)&amp;"-N")</f>
        <v>6-C</v>
      </c>
      <c r="W1963" s="21">
        <v>91.9</v>
      </c>
      <c r="X1963" s="2" t="b">
        <f t="shared" si="1118"/>
        <v>0</v>
      </c>
    </row>
    <row r="1964" spans="2:24" x14ac:dyDescent="0.2">
      <c r="B1964" s="17">
        <v>45834</v>
      </c>
      <c r="C1964" s="10" t="s">
        <v>107</v>
      </c>
      <c r="D1964" s="11">
        <v>176181</v>
      </c>
      <c r="E1964" s="26">
        <v>81572</v>
      </c>
      <c r="F1964" s="10" t="s">
        <v>103</v>
      </c>
      <c r="G1964" s="10" t="s">
        <v>3901</v>
      </c>
      <c r="H1964" s="27" t="s">
        <v>104</v>
      </c>
      <c r="I1964" s="28" t="s">
        <v>41</v>
      </c>
      <c r="J1964" s="12" t="s">
        <v>41</v>
      </c>
      <c r="K1964" s="13">
        <v>170</v>
      </c>
      <c r="L1964" s="21">
        <v>47.46</v>
      </c>
      <c r="M1964" s="14" t="s">
        <v>14</v>
      </c>
      <c r="N1964" s="13">
        <v>8068.2</v>
      </c>
      <c r="O1964" s="15">
        <v>0</v>
      </c>
      <c r="P1964" s="10" t="s">
        <v>84</v>
      </c>
      <c r="Q1964" s="11" t="s">
        <v>4363</v>
      </c>
      <c r="R1964" s="11" t="s">
        <v>4364</v>
      </c>
      <c r="S1964" s="16" t="s">
        <v>4365</v>
      </c>
      <c r="T1964" s="19" t="str">
        <f>MONTH(B1964)&amp;"-"&amp;YEAR(B1964)</f>
        <v>6-2025</v>
      </c>
      <c r="U1964" s="2">
        <f>YEAR(B1964)</f>
        <v>2025</v>
      </c>
      <c r="V1964" s="2" t="str">
        <f>IF(DAY(B1964)&gt;15,MONTH(B1964)&amp;"-C",MONTH(B1964)&amp;"-N")</f>
        <v>6-C</v>
      </c>
      <c r="W1964" s="21">
        <v>91.9</v>
      </c>
      <c r="X1964" s="2" t="b">
        <f t="shared" si="1118"/>
        <v>0</v>
      </c>
    </row>
    <row r="1965" spans="2:24" x14ac:dyDescent="0.2">
      <c r="B1965" s="17">
        <v>45834</v>
      </c>
      <c r="C1965" s="10" t="s">
        <v>107</v>
      </c>
      <c r="D1965" s="11">
        <v>175746</v>
      </c>
      <c r="E1965" s="26">
        <v>81572</v>
      </c>
      <c r="F1965" s="10" t="s">
        <v>105</v>
      </c>
      <c r="G1965" s="10" t="s">
        <v>3901</v>
      </c>
      <c r="H1965" s="27" t="s">
        <v>106</v>
      </c>
      <c r="I1965" s="28" t="s">
        <v>41</v>
      </c>
      <c r="J1965" s="12" t="s">
        <v>41</v>
      </c>
      <c r="K1965" s="13">
        <v>2440</v>
      </c>
      <c r="L1965" s="21">
        <v>11.72</v>
      </c>
      <c r="M1965" s="14" t="s">
        <v>14</v>
      </c>
      <c r="N1965" s="13">
        <v>28596.799999999999</v>
      </c>
      <c r="O1965" s="15">
        <v>0</v>
      </c>
      <c r="P1965" s="10" t="s">
        <v>84</v>
      </c>
      <c r="Q1965" s="11" t="s">
        <v>4363</v>
      </c>
      <c r="R1965" s="11" t="s">
        <v>4364</v>
      </c>
      <c r="S1965" s="16" t="s">
        <v>4365</v>
      </c>
      <c r="T1965" s="19" t="str">
        <f>MONTH(B1965)&amp;"-"&amp;YEAR(B1965)</f>
        <v>6-2025</v>
      </c>
      <c r="U1965" s="2">
        <f>YEAR(B1965)</f>
        <v>2025</v>
      </c>
      <c r="V1965" s="2" t="str">
        <f>IF(DAY(B1965)&gt;15,MONTH(B1965)&amp;"-C",MONTH(B1965)&amp;"-N")</f>
        <v>6-C</v>
      </c>
      <c r="W1965" s="21">
        <v>91.9</v>
      </c>
      <c r="X1965" s="2" t="b">
        <f t="shared" si="1118"/>
        <v>0</v>
      </c>
    </row>
    <row r="1966" spans="2:24" x14ac:dyDescent="0.2">
      <c r="B1966" s="17">
        <v>45834</v>
      </c>
      <c r="C1966" s="10" t="s">
        <v>107</v>
      </c>
      <c r="D1966" s="11">
        <v>176181</v>
      </c>
      <c r="E1966" s="26">
        <v>81572</v>
      </c>
      <c r="F1966" s="10" t="s">
        <v>105</v>
      </c>
      <c r="G1966" s="10" t="s">
        <v>3901</v>
      </c>
      <c r="H1966" s="27" t="s">
        <v>106</v>
      </c>
      <c r="I1966" s="28" t="s">
        <v>41</v>
      </c>
      <c r="J1966" s="12" t="s">
        <v>41</v>
      </c>
      <c r="K1966" s="13">
        <v>3720</v>
      </c>
      <c r="L1966" s="21">
        <v>11.72</v>
      </c>
      <c r="M1966" s="14" t="s">
        <v>14</v>
      </c>
      <c r="N1966" s="13">
        <v>43598.400000000001</v>
      </c>
      <c r="O1966" s="15">
        <v>0</v>
      </c>
      <c r="P1966" s="10" t="s">
        <v>84</v>
      </c>
      <c r="Q1966" s="11" t="s">
        <v>4363</v>
      </c>
      <c r="R1966" s="11" t="s">
        <v>4364</v>
      </c>
      <c r="S1966" s="16" t="s">
        <v>4365</v>
      </c>
      <c r="T1966" s="19" t="str">
        <f>MONTH(B1966)&amp;"-"&amp;YEAR(B1966)</f>
        <v>6-2025</v>
      </c>
      <c r="U1966" s="2">
        <f>YEAR(B1966)</f>
        <v>2025</v>
      </c>
      <c r="V1966" s="2" t="str">
        <f>IF(DAY(B1966)&gt;15,MONTH(B1966)&amp;"-C",MONTH(B1966)&amp;"-N")</f>
        <v>6-C</v>
      </c>
      <c r="W1966" s="21">
        <v>91.9</v>
      </c>
      <c r="X1966" s="2" t="b">
        <f t="shared" si="1118"/>
        <v>0</v>
      </c>
    </row>
    <row r="1967" spans="2:24" x14ac:dyDescent="0.2">
      <c r="B1967" s="17">
        <v>45834</v>
      </c>
      <c r="C1967" s="10" t="s">
        <v>25</v>
      </c>
      <c r="D1967" s="11">
        <v>175880</v>
      </c>
      <c r="E1967" s="26">
        <v>81573</v>
      </c>
      <c r="F1967" s="10" t="s">
        <v>3054</v>
      </c>
      <c r="G1967" s="10" t="s">
        <v>3885</v>
      </c>
      <c r="H1967" s="27" t="s">
        <v>3055</v>
      </c>
      <c r="I1967" s="28" t="s">
        <v>41</v>
      </c>
      <c r="J1967" s="12" t="s">
        <v>41</v>
      </c>
      <c r="K1967" s="13">
        <v>640</v>
      </c>
      <c r="L1967" s="21">
        <v>3.82</v>
      </c>
      <c r="M1967" s="14" t="s">
        <v>14</v>
      </c>
      <c r="N1967" s="13">
        <v>2444.8000000000002</v>
      </c>
      <c r="O1967" s="15">
        <v>0</v>
      </c>
      <c r="P1967" s="10" t="s">
        <v>78</v>
      </c>
      <c r="Q1967" s="11" t="s">
        <v>4366</v>
      </c>
      <c r="R1967" s="11" t="s">
        <v>4367</v>
      </c>
      <c r="S1967" s="16" t="s">
        <v>4368</v>
      </c>
      <c r="T1967" s="19" t="str">
        <f>MONTH(B1967)&amp;"-"&amp;YEAR(B1967)</f>
        <v>6-2025</v>
      </c>
      <c r="U1967" s="2">
        <f>YEAR(B1967)</f>
        <v>2025</v>
      </c>
      <c r="V1967" s="2" t="str">
        <f>IF(DAY(B1967)&gt;15,MONTH(B1967)&amp;"-C",MONTH(B1967)&amp;"-N")</f>
        <v>6-C</v>
      </c>
      <c r="W1967" s="21">
        <v>91.9</v>
      </c>
      <c r="X1967" s="2" t="b">
        <f t="shared" si="1118"/>
        <v>0</v>
      </c>
    </row>
    <row r="1968" spans="2:24" x14ac:dyDescent="0.2">
      <c r="B1968" s="17">
        <v>45834</v>
      </c>
      <c r="C1968" s="10" t="s">
        <v>25</v>
      </c>
      <c r="D1968" s="11">
        <v>175970</v>
      </c>
      <c r="E1968" s="26">
        <v>81574</v>
      </c>
      <c r="F1968" s="10" t="s">
        <v>33</v>
      </c>
      <c r="G1968" s="10" t="s">
        <v>3885</v>
      </c>
      <c r="H1968" s="27" t="s">
        <v>34</v>
      </c>
      <c r="I1968" s="28" t="s">
        <v>41</v>
      </c>
      <c r="J1968" s="12" t="s">
        <v>41</v>
      </c>
      <c r="K1968" s="13">
        <v>1440</v>
      </c>
      <c r="L1968" s="21">
        <v>4.9000000000000004</v>
      </c>
      <c r="M1968" s="14" t="s">
        <v>14</v>
      </c>
      <c r="N1968" s="13">
        <v>7056</v>
      </c>
      <c r="O1968" s="15">
        <v>0</v>
      </c>
      <c r="P1968" s="10" t="s">
        <v>78</v>
      </c>
      <c r="Q1968" s="11" t="s">
        <v>4369</v>
      </c>
      <c r="R1968" s="11" t="s">
        <v>4370</v>
      </c>
      <c r="S1968" s="16" t="s">
        <v>4371</v>
      </c>
      <c r="T1968" s="19" t="str">
        <f>MONTH(B1968)&amp;"-"&amp;YEAR(B1968)</f>
        <v>6-2025</v>
      </c>
      <c r="U1968" s="2">
        <f>YEAR(B1968)</f>
        <v>2025</v>
      </c>
      <c r="V1968" s="2" t="str">
        <f>IF(DAY(B1968)&gt;15,MONTH(B1968)&amp;"-C",MONTH(B1968)&amp;"-N")</f>
        <v>6-C</v>
      </c>
      <c r="W1968" s="21">
        <v>91.9</v>
      </c>
      <c r="X1968" s="2" t="b">
        <f t="shared" si="1118"/>
        <v>0</v>
      </c>
    </row>
    <row r="1969" spans="2:24" x14ac:dyDescent="0.2">
      <c r="B1969" s="17">
        <v>45834</v>
      </c>
      <c r="C1969" s="10" t="s">
        <v>25</v>
      </c>
      <c r="D1969" s="11">
        <v>176234</v>
      </c>
      <c r="E1969" s="26">
        <v>81575</v>
      </c>
      <c r="F1969" s="10" t="s">
        <v>29</v>
      </c>
      <c r="G1969" s="10" t="s">
        <v>3885</v>
      </c>
      <c r="H1969" s="27" t="s">
        <v>30</v>
      </c>
      <c r="I1969" s="28" t="s">
        <v>41</v>
      </c>
      <c r="J1969" s="12" t="s">
        <v>41</v>
      </c>
      <c r="K1969" s="13">
        <v>1980</v>
      </c>
      <c r="L1969" s="21">
        <v>3.7</v>
      </c>
      <c r="M1969" s="14" t="s">
        <v>14</v>
      </c>
      <c r="N1969" s="13">
        <v>7326</v>
      </c>
      <c r="O1969" s="15">
        <v>0</v>
      </c>
      <c r="P1969" s="10" t="s">
        <v>78</v>
      </c>
      <c r="Q1969" s="11" t="s">
        <v>4372</v>
      </c>
      <c r="R1969" s="11" t="s">
        <v>4373</v>
      </c>
      <c r="S1969" s="16" t="s">
        <v>4374</v>
      </c>
      <c r="T1969" s="19" t="str">
        <f>MONTH(B1969)&amp;"-"&amp;YEAR(B1969)</f>
        <v>6-2025</v>
      </c>
      <c r="U1969" s="2">
        <f>YEAR(B1969)</f>
        <v>2025</v>
      </c>
      <c r="V1969" s="2" t="str">
        <f>IF(DAY(B1969)&gt;15,MONTH(B1969)&amp;"-C",MONTH(B1969)&amp;"-N")</f>
        <v>6-C</v>
      </c>
      <c r="W1969" s="21">
        <v>91.9</v>
      </c>
      <c r="X1969" s="2" t="b">
        <f t="shared" si="1118"/>
        <v>0</v>
      </c>
    </row>
    <row r="1970" spans="2:24" x14ac:dyDescent="0.2">
      <c r="B1970" s="17">
        <v>45840</v>
      </c>
      <c r="C1970" s="10" t="s">
        <v>94</v>
      </c>
      <c r="D1970" s="11">
        <v>176142</v>
      </c>
      <c r="E1970" s="26">
        <v>81675</v>
      </c>
      <c r="F1970" s="10" t="s">
        <v>26</v>
      </c>
      <c r="G1970" s="10" t="s">
        <v>3885</v>
      </c>
      <c r="H1970" s="27" t="s">
        <v>28</v>
      </c>
      <c r="I1970" s="28" t="s">
        <v>41</v>
      </c>
      <c r="J1970" s="12" t="s">
        <v>41</v>
      </c>
      <c r="K1970" s="13">
        <v>19800</v>
      </c>
      <c r="L1970" s="21">
        <v>3</v>
      </c>
      <c r="M1970" s="14" t="s">
        <v>14</v>
      </c>
      <c r="N1970" s="13">
        <v>59400</v>
      </c>
      <c r="O1970" s="15">
        <v>0</v>
      </c>
      <c r="P1970" s="10" t="s">
        <v>78</v>
      </c>
      <c r="Q1970" s="11" t="s">
        <v>4375</v>
      </c>
      <c r="R1970" s="11" t="s">
        <v>4376</v>
      </c>
      <c r="S1970" s="16" t="s">
        <v>4377</v>
      </c>
      <c r="T1970" s="19" t="str">
        <f>MONTH(B1970)&amp;"-"&amp;YEAR(B1970)</f>
        <v>7-2025</v>
      </c>
      <c r="U1970" s="2">
        <f>YEAR(B1970)</f>
        <v>2025</v>
      </c>
      <c r="V1970" s="2" t="str">
        <f>IF(DAY(B1970)&gt;15,MONTH(B1970)&amp;"-C",MONTH(B1970)&amp;"-N")</f>
        <v>7-N</v>
      </c>
      <c r="W1970" s="21"/>
      <c r="X1970" s="2" t="b">
        <f t="shared" ref="X1970:X1972" si="1119">+L1970=W1970</f>
        <v>0</v>
      </c>
    </row>
    <row r="1971" spans="2:24" x14ac:dyDescent="0.2">
      <c r="B1971" s="17">
        <v>45842</v>
      </c>
      <c r="C1971" s="10" t="s">
        <v>25</v>
      </c>
      <c r="D1971" s="11">
        <v>175880</v>
      </c>
      <c r="E1971" s="26">
        <v>81733</v>
      </c>
      <c r="F1971" s="10" t="s">
        <v>3054</v>
      </c>
      <c r="G1971" s="10" t="s">
        <v>3885</v>
      </c>
      <c r="H1971" s="27" t="s">
        <v>3055</v>
      </c>
      <c r="I1971" s="28" t="s">
        <v>41</v>
      </c>
      <c r="J1971" s="12" t="s">
        <v>41</v>
      </c>
      <c r="K1971" s="13">
        <v>480</v>
      </c>
      <c r="L1971" s="21">
        <v>3.82</v>
      </c>
      <c r="M1971" s="14" t="s">
        <v>14</v>
      </c>
      <c r="N1971" s="13">
        <v>1833.6</v>
      </c>
      <c r="O1971" s="15">
        <v>0</v>
      </c>
      <c r="P1971" s="10" t="s">
        <v>78</v>
      </c>
      <c r="Q1971" s="11" t="s">
        <v>4378</v>
      </c>
      <c r="R1971" s="11" t="s">
        <v>4379</v>
      </c>
      <c r="S1971" s="16" t="s">
        <v>4380</v>
      </c>
      <c r="T1971" s="19" t="str">
        <f>MONTH(B1971)&amp;"-"&amp;YEAR(B1971)</f>
        <v>7-2025</v>
      </c>
      <c r="U1971" s="2">
        <f>YEAR(B1971)</f>
        <v>2025</v>
      </c>
      <c r="V1971" s="2" t="str">
        <f>IF(DAY(B1971)&gt;15,MONTH(B1971)&amp;"-C",MONTH(B1971)&amp;"-N")</f>
        <v>7-N</v>
      </c>
      <c r="W1971" s="21"/>
      <c r="X1971" s="2" t="b">
        <f t="shared" si="1119"/>
        <v>0</v>
      </c>
    </row>
    <row r="1972" spans="2:24" x14ac:dyDescent="0.2">
      <c r="B1972" s="17">
        <v>45842</v>
      </c>
      <c r="C1972" s="10" t="s">
        <v>25</v>
      </c>
      <c r="D1972" s="11">
        <v>176288</v>
      </c>
      <c r="E1972" s="26">
        <v>81734</v>
      </c>
      <c r="F1972" s="10" t="s">
        <v>49</v>
      </c>
      <c r="G1972" s="10" t="s">
        <v>3885</v>
      </c>
      <c r="H1972" s="27" t="s">
        <v>50</v>
      </c>
      <c r="I1972" s="28" t="s">
        <v>41</v>
      </c>
      <c r="J1972" s="12" t="s">
        <v>41</v>
      </c>
      <c r="K1972" s="13">
        <v>760</v>
      </c>
      <c r="L1972" s="21">
        <v>4.8499999999999996</v>
      </c>
      <c r="M1972" s="14" t="s">
        <v>14</v>
      </c>
      <c r="N1972" s="13">
        <v>3686</v>
      </c>
      <c r="O1972" s="15">
        <v>0</v>
      </c>
      <c r="P1972" s="10" t="s">
        <v>78</v>
      </c>
      <c r="Q1972" s="11" t="s">
        <v>4381</v>
      </c>
      <c r="R1972" s="11" t="s">
        <v>4382</v>
      </c>
      <c r="S1972" s="16" t="s">
        <v>4383</v>
      </c>
      <c r="T1972" s="19" t="str">
        <f>MONTH(B1972)&amp;"-"&amp;YEAR(B1972)</f>
        <v>7-2025</v>
      </c>
      <c r="U1972" s="2">
        <f>YEAR(B1972)</f>
        <v>2025</v>
      </c>
      <c r="V1972" s="2" t="str">
        <f>IF(DAY(B1972)&gt;15,MONTH(B1972)&amp;"-C",MONTH(B1972)&amp;"-N")</f>
        <v>7-N</v>
      </c>
      <c r="W1972" s="21"/>
      <c r="X1972" s="2" t="b">
        <f t="shared" si="1119"/>
        <v>0</v>
      </c>
    </row>
    <row r="1973" spans="2:24" x14ac:dyDescent="0.2">
      <c r="B1973" s="17">
        <v>45845</v>
      </c>
      <c r="C1973" s="10" t="s">
        <v>94</v>
      </c>
      <c r="D1973" s="11">
        <v>176142</v>
      </c>
      <c r="E1973" s="26">
        <v>81761</v>
      </c>
      <c r="F1973" s="10" t="s">
        <v>26</v>
      </c>
      <c r="G1973" s="10" t="s">
        <v>3885</v>
      </c>
      <c r="H1973" s="27" t="s">
        <v>28</v>
      </c>
      <c r="I1973" s="28" t="s">
        <v>41</v>
      </c>
      <c r="J1973" s="12" t="s">
        <v>41</v>
      </c>
      <c r="K1973" s="13">
        <v>19800</v>
      </c>
      <c r="L1973" s="21">
        <v>3</v>
      </c>
      <c r="M1973" s="14" t="s">
        <v>14</v>
      </c>
      <c r="N1973" s="13">
        <v>59400</v>
      </c>
      <c r="O1973" s="15">
        <v>0</v>
      </c>
      <c r="P1973" s="10" t="s">
        <v>78</v>
      </c>
      <c r="Q1973" s="11" t="s">
        <v>4385</v>
      </c>
      <c r="R1973" s="11" t="s">
        <v>4386</v>
      </c>
      <c r="S1973" s="16" t="s">
        <v>4387</v>
      </c>
      <c r="T1973" s="19" t="str">
        <f>MONTH(B1973)&amp;"-"&amp;YEAR(B1973)</f>
        <v>7-2025</v>
      </c>
      <c r="U1973" s="2">
        <f>YEAR(B1973)</f>
        <v>2025</v>
      </c>
      <c r="V1973" s="2" t="str">
        <f>IF(DAY(B1973)&gt;15,MONTH(B1973)&amp;"-C",MONTH(B1973)&amp;"-N")</f>
        <v>7-N</v>
      </c>
      <c r="W1973" s="21"/>
      <c r="X1973" s="2" t="b">
        <f t="shared" ref="X1973" si="1120">+L1973=W1973</f>
        <v>0</v>
      </c>
    </row>
    <row r="1974" spans="2:24" x14ac:dyDescent="0.2">
      <c r="B1974" s="17">
        <v>45853</v>
      </c>
      <c r="C1974" s="10" t="s">
        <v>94</v>
      </c>
      <c r="D1974" s="11">
        <v>176142</v>
      </c>
      <c r="E1974" s="26">
        <v>81881</v>
      </c>
      <c r="F1974" s="10" t="s">
        <v>26</v>
      </c>
      <c r="G1974" s="10" t="s">
        <v>3885</v>
      </c>
      <c r="H1974" s="27" t="s">
        <v>28</v>
      </c>
      <c r="I1974" s="28" t="s">
        <v>41</v>
      </c>
      <c r="J1974" s="12" t="s">
        <v>41</v>
      </c>
      <c r="K1974" s="13">
        <v>19800</v>
      </c>
      <c r="L1974" s="21">
        <v>3</v>
      </c>
      <c r="M1974" s="14" t="s">
        <v>14</v>
      </c>
      <c r="N1974" s="13">
        <v>59400</v>
      </c>
      <c r="O1974" s="15">
        <v>0</v>
      </c>
      <c r="P1974" s="10" t="s">
        <v>78</v>
      </c>
      <c r="Q1974" s="11" t="s">
        <v>4388</v>
      </c>
      <c r="R1974" s="11" t="s">
        <v>4389</v>
      </c>
      <c r="S1974" s="16" t="s">
        <v>4390</v>
      </c>
      <c r="T1974" s="19" t="str">
        <f>MONTH(B1974)&amp;"-"&amp;YEAR(B1974)</f>
        <v>7-2025</v>
      </c>
      <c r="U1974" s="2">
        <f>YEAR(B1974)</f>
        <v>2025</v>
      </c>
      <c r="V1974" s="2" t="str">
        <f>IF(DAY(B1974)&gt;15,MONTH(B1974)&amp;"-C",MONTH(B1974)&amp;"-N")</f>
        <v>7-N</v>
      </c>
      <c r="W1974" s="21"/>
      <c r="X1974" s="2" t="b">
        <f t="shared" ref="X1974:X1980" si="1121">+L1974=W1974</f>
        <v>0</v>
      </c>
    </row>
    <row r="1975" spans="2:24" x14ac:dyDescent="0.2">
      <c r="B1975" s="17">
        <v>45852</v>
      </c>
      <c r="C1975" s="10" t="s">
        <v>88</v>
      </c>
      <c r="D1975" s="11">
        <v>175733</v>
      </c>
      <c r="E1975" s="26">
        <v>81876</v>
      </c>
      <c r="F1975" s="10" t="s">
        <v>98</v>
      </c>
      <c r="G1975" s="10" t="s">
        <v>3901</v>
      </c>
      <c r="H1975" s="27" t="s">
        <v>99</v>
      </c>
      <c r="I1975" s="28" t="s">
        <v>41</v>
      </c>
      <c r="J1975" s="12" t="s">
        <v>41</v>
      </c>
      <c r="K1975" s="13">
        <v>40</v>
      </c>
      <c r="L1975" s="21">
        <v>11.25</v>
      </c>
      <c r="M1975" s="14" t="s">
        <v>14</v>
      </c>
      <c r="N1975" s="13">
        <v>450</v>
      </c>
      <c r="O1975" s="15">
        <v>0</v>
      </c>
      <c r="P1975" s="10" t="s">
        <v>84</v>
      </c>
      <c r="Q1975" s="11" t="s">
        <v>4391</v>
      </c>
      <c r="R1975" s="11" t="s">
        <v>4392</v>
      </c>
      <c r="S1975" s="16" t="s">
        <v>4393</v>
      </c>
      <c r="T1975" s="19" t="str">
        <f>MONTH(B1975)&amp;"-"&amp;YEAR(B1975)</f>
        <v>7-2025</v>
      </c>
      <c r="U1975" s="2">
        <f>YEAR(B1975)</f>
        <v>2025</v>
      </c>
      <c r="V1975" s="2" t="str">
        <f>IF(DAY(B1975)&gt;15,MONTH(B1975)&amp;"-C",MONTH(B1975)&amp;"-N")</f>
        <v>7-N</v>
      </c>
      <c r="W1975" s="21"/>
      <c r="X1975" s="2" t="b">
        <f t="shared" si="1121"/>
        <v>0</v>
      </c>
    </row>
    <row r="1976" spans="2:24" x14ac:dyDescent="0.2">
      <c r="B1976" s="17">
        <v>45852</v>
      </c>
      <c r="C1976" s="10" t="s">
        <v>88</v>
      </c>
      <c r="D1976" s="11">
        <v>175733</v>
      </c>
      <c r="E1976" s="26">
        <v>81876</v>
      </c>
      <c r="F1976" s="10" t="s">
        <v>100</v>
      </c>
      <c r="G1976" s="10" t="s">
        <v>3901</v>
      </c>
      <c r="H1976" s="27" t="s">
        <v>101</v>
      </c>
      <c r="I1976" s="28" t="s">
        <v>41</v>
      </c>
      <c r="J1976" s="12" t="s">
        <v>41</v>
      </c>
      <c r="K1976" s="13">
        <v>2000</v>
      </c>
      <c r="L1976" s="21">
        <v>13.22</v>
      </c>
      <c r="M1976" s="14" t="s">
        <v>14</v>
      </c>
      <c r="N1976" s="13">
        <v>26440</v>
      </c>
      <c r="O1976" s="15">
        <v>0</v>
      </c>
      <c r="P1976" s="10" t="s">
        <v>84</v>
      </c>
      <c r="Q1976" s="11" t="s">
        <v>4391</v>
      </c>
      <c r="R1976" s="11" t="s">
        <v>4392</v>
      </c>
      <c r="S1976" s="16" t="s">
        <v>4393</v>
      </c>
      <c r="T1976" s="19" t="str">
        <f>MONTH(B1976)&amp;"-"&amp;YEAR(B1976)</f>
        <v>7-2025</v>
      </c>
      <c r="U1976" s="2">
        <f>YEAR(B1976)</f>
        <v>2025</v>
      </c>
      <c r="V1976" s="2" t="str">
        <f>IF(DAY(B1976)&gt;15,MONTH(B1976)&amp;"-C",MONTH(B1976)&amp;"-N")</f>
        <v>7-N</v>
      </c>
      <c r="W1976" s="21"/>
      <c r="X1976" s="2" t="b">
        <f t="shared" si="1121"/>
        <v>0</v>
      </c>
    </row>
    <row r="1977" spans="2:24" x14ac:dyDescent="0.2">
      <c r="B1977" s="17">
        <v>45853</v>
      </c>
      <c r="C1977" s="10" t="s">
        <v>25</v>
      </c>
      <c r="D1977" s="11">
        <v>176234</v>
      </c>
      <c r="E1977" s="26">
        <v>81877</v>
      </c>
      <c r="F1977" s="10" t="s">
        <v>29</v>
      </c>
      <c r="G1977" s="10" t="s">
        <v>3885</v>
      </c>
      <c r="H1977" s="27" t="s">
        <v>30</v>
      </c>
      <c r="I1977" s="28" t="s">
        <v>41</v>
      </c>
      <c r="J1977" s="12" t="s">
        <v>41</v>
      </c>
      <c r="K1977" s="13">
        <v>990</v>
      </c>
      <c r="L1977" s="21">
        <v>3.7</v>
      </c>
      <c r="M1977" s="14" t="s">
        <v>14</v>
      </c>
      <c r="N1977" s="13">
        <v>3663</v>
      </c>
      <c r="O1977" s="15">
        <v>0</v>
      </c>
      <c r="P1977" s="10" t="s">
        <v>78</v>
      </c>
      <c r="Q1977" s="11" t="s">
        <v>4394</v>
      </c>
      <c r="R1977" s="11" t="s">
        <v>4395</v>
      </c>
      <c r="S1977" s="16" t="s">
        <v>4396</v>
      </c>
      <c r="T1977" s="19" t="str">
        <f>MONTH(B1977)&amp;"-"&amp;YEAR(B1977)</f>
        <v>7-2025</v>
      </c>
      <c r="U1977" s="2">
        <f>YEAR(B1977)</f>
        <v>2025</v>
      </c>
      <c r="V1977" s="2" t="str">
        <f>IF(DAY(B1977)&gt;15,MONTH(B1977)&amp;"-C",MONTH(B1977)&amp;"-N")</f>
        <v>7-N</v>
      </c>
      <c r="W1977" s="21"/>
      <c r="X1977" s="2" t="b">
        <f t="shared" si="1121"/>
        <v>0</v>
      </c>
    </row>
    <row r="1978" spans="2:24" x14ac:dyDescent="0.2">
      <c r="B1978" s="17">
        <v>45853</v>
      </c>
      <c r="C1978" s="10" t="s">
        <v>25</v>
      </c>
      <c r="D1978" s="11">
        <v>175970</v>
      </c>
      <c r="E1978" s="26">
        <v>81878</v>
      </c>
      <c r="F1978" s="10" t="s">
        <v>33</v>
      </c>
      <c r="G1978" s="10" t="s">
        <v>3885</v>
      </c>
      <c r="H1978" s="27" t="s">
        <v>34</v>
      </c>
      <c r="I1978" s="28" t="s">
        <v>41</v>
      </c>
      <c r="J1978" s="12" t="s">
        <v>41</v>
      </c>
      <c r="K1978" s="13">
        <v>1080</v>
      </c>
      <c r="L1978" s="21">
        <v>4.9000000000000004</v>
      </c>
      <c r="M1978" s="14" t="s">
        <v>14</v>
      </c>
      <c r="N1978" s="13">
        <v>5292</v>
      </c>
      <c r="O1978" s="15">
        <v>0</v>
      </c>
      <c r="P1978" s="10" t="s">
        <v>78</v>
      </c>
      <c r="Q1978" s="11" t="s">
        <v>4397</v>
      </c>
      <c r="R1978" s="11" t="s">
        <v>4398</v>
      </c>
      <c r="S1978" s="16" t="s">
        <v>4399</v>
      </c>
      <c r="T1978" s="19" t="str">
        <f>MONTH(B1978)&amp;"-"&amp;YEAR(B1978)</f>
        <v>7-2025</v>
      </c>
      <c r="U1978" s="2">
        <f>YEAR(B1978)</f>
        <v>2025</v>
      </c>
      <c r="V1978" s="2" t="str">
        <f>IF(DAY(B1978)&gt;15,MONTH(B1978)&amp;"-C",MONTH(B1978)&amp;"-N")</f>
        <v>7-N</v>
      </c>
      <c r="W1978" s="21"/>
      <c r="X1978" s="2" t="b">
        <f t="shared" si="1121"/>
        <v>0</v>
      </c>
    </row>
    <row r="1979" spans="2:24" x14ac:dyDescent="0.2">
      <c r="B1979" s="17">
        <v>45853</v>
      </c>
      <c r="C1979" s="10" t="s">
        <v>107</v>
      </c>
      <c r="D1979" s="11">
        <v>176181</v>
      </c>
      <c r="E1979" s="26">
        <v>81882</v>
      </c>
      <c r="F1979" s="10" t="s">
        <v>103</v>
      </c>
      <c r="G1979" s="10" t="s">
        <v>3901</v>
      </c>
      <c r="H1979" s="27" t="s">
        <v>104</v>
      </c>
      <c r="I1979" s="28" t="s">
        <v>41</v>
      </c>
      <c r="J1979" s="12" t="s">
        <v>41</v>
      </c>
      <c r="K1979" s="13">
        <v>185</v>
      </c>
      <c r="L1979" s="21">
        <v>47.46</v>
      </c>
      <c r="M1979" s="14" t="s">
        <v>14</v>
      </c>
      <c r="N1979" s="13">
        <v>8780.1</v>
      </c>
      <c r="O1979" s="15">
        <v>0</v>
      </c>
      <c r="P1979" s="10" t="s">
        <v>84</v>
      </c>
      <c r="Q1979" s="11" t="s">
        <v>4400</v>
      </c>
      <c r="R1979" s="11" t="s">
        <v>4401</v>
      </c>
      <c r="S1979" s="16" t="s">
        <v>4402</v>
      </c>
      <c r="T1979" s="19" t="str">
        <f>MONTH(B1979)&amp;"-"&amp;YEAR(B1979)</f>
        <v>7-2025</v>
      </c>
      <c r="U1979" s="2">
        <f>YEAR(B1979)</f>
        <v>2025</v>
      </c>
      <c r="V1979" s="2" t="str">
        <f>IF(DAY(B1979)&gt;15,MONTH(B1979)&amp;"-C",MONTH(B1979)&amp;"-N")</f>
        <v>7-N</v>
      </c>
      <c r="W1979" s="21"/>
      <c r="X1979" s="2" t="b">
        <f t="shared" si="1121"/>
        <v>0</v>
      </c>
    </row>
    <row r="1980" spans="2:24" x14ac:dyDescent="0.2">
      <c r="B1980" s="17">
        <v>45853</v>
      </c>
      <c r="C1980" s="10" t="s">
        <v>107</v>
      </c>
      <c r="D1980" s="11">
        <v>176181</v>
      </c>
      <c r="E1980" s="26">
        <v>81882</v>
      </c>
      <c r="F1980" s="10" t="s">
        <v>105</v>
      </c>
      <c r="G1980" s="10" t="s">
        <v>3901</v>
      </c>
      <c r="H1980" s="27" t="s">
        <v>106</v>
      </c>
      <c r="I1980" s="28" t="s">
        <v>41</v>
      </c>
      <c r="J1980" s="12" t="s">
        <v>41</v>
      </c>
      <c r="K1980" s="13">
        <v>6160</v>
      </c>
      <c r="L1980" s="21">
        <v>11.72</v>
      </c>
      <c r="M1980" s="14" t="s">
        <v>14</v>
      </c>
      <c r="N1980" s="13">
        <v>72195.199999999997</v>
      </c>
      <c r="O1980" s="15">
        <v>0</v>
      </c>
      <c r="P1980" s="10" t="s">
        <v>84</v>
      </c>
      <c r="Q1980" s="11" t="s">
        <v>4400</v>
      </c>
      <c r="R1980" s="11" t="s">
        <v>4401</v>
      </c>
      <c r="S1980" s="16" t="s">
        <v>4402</v>
      </c>
      <c r="T1980" s="19" t="str">
        <f>MONTH(B1980)&amp;"-"&amp;YEAR(B1980)</f>
        <v>7-2025</v>
      </c>
      <c r="U1980" s="2">
        <f>YEAR(B1980)</f>
        <v>2025</v>
      </c>
      <c r="V1980" s="2" t="str">
        <f>IF(DAY(B1980)&gt;15,MONTH(B1980)&amp;"-C",MONTH(B1980)&amp;"-N")</f>
        <v>7-N</v>
      </c>
      <c r="W1980" s="21"/>
      <c r="X1980" s="2" t="b">
        <f t="shared" si="1121"/>
        <v>0</v>
      </c>
    </row>
    <row r="1981" spans="2:24" x14ac:dyDescent="0.2">
      <c r="B1981" s="17">
        <v>45855</v>
      </c>
      <c r="C1981" s="10" t="s">
        <v>82</v>
      </c>
      <c r="D1981" s="11">
        <v>176365</v>
      </c>
      <c r="E1981" s="26">
        <v>81895</v>
      </c>
      <c r="F1981" s="10" t="s">
        <v>3054</v>
      </c>
      <c r="G1981" s="10" t="s">
        <v>3885</v>
      </c>
      <c r="H1981" s="27" t="s">
        <v>3055</v>
      </c>
      <c r="I1981" s="28" t="s">
        <v>41</v>
      </c>
      <c r="J1981" s="12" t="s">
        <v>41</v>
      </c>
      <c r="K1981" s="13">
        <v>510</v>
      </c>
      <c r="L1981" s="21">
        <v>6</v>
      </c>
      <c r="M1981" s="14" t="s">
        <v>14</v>
      </c>
      <c r="N1981" s="13">
        <v>3060</v>
      </c>
      <c r="O1981" s="15">
        <v>0</v>
      </c>
      <c r="P1981" s="10" t="s">
        <v>78</v>
      </c>
      <c r="Q1981" s="11" t="s">
        <v>4403</v>
      </c>
      <c r="R1981" s="11" t="s">
        <v>4404</v>
      </c>
      <c r="S1981" s="16" t="s">
        <v>4405</v>
      </c>
      <c r="T1981" s="19" t="str">
        <f>MONTH(B1981)&amp;"-"&amp;YEAR(B1981)</f>
        <v>7-2025</v>
      </c>
      <c r="U1981" s="2">
        <f>YEAR(B1981)</f>
        <v>2025</v>
      </c>
      <c r="V1981" s="2" t="str">
        <f>IF(DAY(B1981)&gt;15,MONTH(B1981)&amp;"-C",MONTH(B1981)&amp;"-N")</f>
        <v>7-C</v>
      </c>
      <c r="W1981" s="21"/>
      <c r="X1981" s="2" t="b">
        <f t="shared" ref="X1981:X1983" si="1122">+L1981=W1981</f>
        <v>0</v>
      </c>
    </row>
    <row r="1982" spans="2:24" x14ac:dyDescent="0.2">
      <c r="B1982" s="17">
        <v>45853</v>
      </c>
      <c r="C1982" s="10" t="s">
        <v>82</v>
      </c>
      <c r="D1982" s="11">
        <v>176365</v>
      </c>
      <c r="E1982" s="26">
        <v>81879</v>
      </c>
      <c r="F1982" s="10" t="s">
        <v>3054</v>
      </c>
      <c r="G1982" s="10" t="s">
        <v>3885</v>
      </c>
      <c r="H1982" s="27" t="s">
        <v>3055</v>
      </c>
      <c r="I1982" s="28" t="s">
        <v>41</v>
      </c>
      <c r="J1982" s="12" t="s">
        <v>41</v>
      </c>
      <c r="K1982" s="13">
        <v>170</v>
      </c>
      <c r="L1982" s="21">
        <v>6</v>
      </c>
      <c r="M1982" s="14" t="s">
        <v>14</v>
      </c>
      <c r="N1982" s="13">
        <v>1020</v>
      </c>
      <c r="O1982" s="15">
        <v>0</v>
      </c>
      <c r="P1982" s="10" t="s">
        <v>78</v>
      </c>
      <c r="Q1982" s="11" t="s">
        <v>4406</v>
      </c>
      <c r="R1982" s="11" t="s">
        <v>4407</v>
      </c>
      <c r="S1982" s="16" t="s">
        <v>4408</v>
      </c>
      <c r="T1982" s="19" t="str">
        <f>MONTH(B1982)&amp;"-"&amp;YEAR(B1982)</f>
        <v>7-2025</v>
      </c>
      <c r="U1982" s="2">
        <f>YEAR(B1982)</f>
        <v>2025</v>
      </c>
      <c r="V1982" s="2" t="str">
        <f>IF(DAY(B1982)&gt;15,MONTH(B1982)&amp;"-C",MONTH(B1982)&amp;"-N")</f>
        <v>7-N</v>
      </c>
      <c r="W1982" s="21"/>
      <c r="X1982" s="2" t="b">
        <f t="shared" si="1122"/>
        <v>0</v>
      </c>
    </row>
    <row r="1983" spans="2:24" x14ac:dyDescent="0.2">
      <c r="B1983" s="17">
        <v>45857</v>
      </c>
      <c r="C1983" s="10" t="s">
        <v>94</v>
      </c>
      <c r="D1983" s="11">
        <v>176142</v>
      </c>
      <c r="E1983" s="26">
        <v>81948</v>
      </c>
      <c r="F1983" s="10" t="s">
        <v>26</v>
      </c>
      <c r="G1983" s="10" t="s">
        <v>3885</v>
      </c>
      <c r="H1983" s="27" t="s">
        <v>28</v>
      </c>
      <c r="I1983" s="28" t="s">
        <v>41</v>
      </c>
      <c r="J1983" s="12" t="s">
        <v>41</v>
      </c>
      <c r="K1983" s="13">
        <v>19800</v>
      </c>
      <c r="L1983" s="21">
        <v>3</v>
      </c>
      <c r="M1983" s="14" t="s">
        <v>14</v>
      </c>
      <c r="N1983" s="13">
        <v>59400</v>
      </c>
      <c r="O1983" s="15">
        <v>0</v>
      </c>
      <c r="P1983" s="10" t="s">
        <v>78</v>
      </c>
      <c r="Q1983" s="11" t="s">
        <v>4409</v>
      </c>
      <c r="R1983" s="11" t="s">
        <v>4410</v>
      </c>
      <c r="S1983" s="16" t="s">
        <v>4411</v>
      </c>
      <c r="T1983" s="19" t="str">
        <f>MONTH(B1983)&amp;"-"&amp;YEAR(B1983)</f>
        <v>7-2025</v>
      </c>
      <c r="U1983" s="2">
        <f>YEAR(B1983)</f>
        <v>2025</v>
      </c>
      <c r="V1983" s="2" t="str">
        <f>IF(DAY(B1983)&gt;15,MONTH(B1983)&amp;"-C",MONTH(B1983)&amp;"-N")</f>
        <v>7-C</v>
      </c>
      <c r="W1983" s="21"/>
      <c r="X1983" s="2" t="b">
        <f t="shared" si="1122"/>
        <v>0</v>
      </c>
    </row>
    <row r="1984" spans="2:24" x14ac:dyDescent="0.2">
      <c r="B1984" s="17">
        <v>45861</v>
      </c>
      <c r="C1984" s="10" t="s">
        <v>82</v>
      </c>
      <c r="D1984" s="11">
        <v>176429</v>
      </c>
      <c r="E1984" s="26">
        <v>82007</v>
      </c>
      <c r="F1984" s="10" t="s">
        <v>33</v>
      </c>
      <c r="G1984" s="10" t="s">
        <v>3885</v>
      </c>
      <c r="H1984" s="27" t="s">
        <v>34</v>
      </c>
      <c r="I1984" s="28" t="s">
        <v>41</v>
      </c>
      <c r="J1984" s="12" t="s">
        <v>41</v>
      </c>
      <c r="K1984" s="13">
        <v>720</v>
      </c>
      <c r="L1984" s="21">
        <v>5.75</v>
      </c>
      <c r="M1984" s="14" t="s">
        <v>14</v>
      </c>
      <c r="N1984" s="13">
        <v>4140</v>
      </c>
      <c r="O1984" s="15">
        <v>0</v>
      </c>
      <c r="P1984" s="10" t="s">
        <v>78</v>
      </c>
      <c r="Q1984" s="11" t="s">
        <v>4412</v>
      </c>
      <c r="R1984" s="11" t="s">
        <v>4413</v>
      </c>
      <c r="S1984" s="16" t="s">
        <v>4414</v>
      </c>
      <c r="T1984" s="19" t="str">
        <f>MONTH(B1984)&amp;"-"&amp;YEAR(B1984)</f>
        <v>7-2025</v>
      </c>
      <c r="U1984" s="2">
        <f>YEAR(B1984)</f>
        <v>2025</v>
      </c>
      <c r="V1984" s="2" t="str">
        <f>IF(DAY(B1984)&gt;15,MONTH(B1984)&amp;"-C",MONTH(B1984)&amp;"-N")</f>
        <v>7-C</v>
      </c>
      <c r="W1984" s="21"/>
      <c r="X1984" s="2" t="b">
        <f t="shared" ref="X1984" si="1123">+L1984=W1984</f>
        <v>0</v>
      </c>
    </row>
    <row r="1985" spans="2:24" x14ac:dyDescent="0.2">
      <c r="B1985" s="17">
        <v>45863</v>
      </c>
      <c r="C1985" s="10" t="s">
        <v>25</v>
      </c>
      <c r="D1985" s="11">
        <v>175970</v>
      </c>
      <c r="E1985" s="26">
        <v>82067</v>
      </c>
      <c r="F1985" s="10" t="s">
        <v>26</v>
      </c>
      <c r="G1985" s="10" t="s">
        <v>3885</v>
      </c>
      <c r="H1985" s="27" t="s">
        <v>28</v>
      </c>
      <c r="I1985" s="28" t="s">
        <v>41</v>
      </c>
      <c r="J1985" s="12" t="s">
        <v>41</v>
      </c>
      <c r="K1985" s="13">
        <v>19800</v>
      </c>
      <c r="L1985" s="21">
        <v>3</v>
      </c>
      <c r="M1985" s="14" t="s">
        <v>14</v>
      </c>
      <c r="N1985" s="13">
        <v>59400</v>
      </c>
      <c r="O1985" s="15">
        <v>0</v>
      </c>
      <c r="P1985" s="10" t="s">
        <v>78</v>
      </c>
      <c r="Q1985" s="11" t="s">
        <v>4415</v>
      </c>
      <c r="R1985" s="11" t="s">
        <v>4416</v>
      </c>
      <c r="S1985" s="16" t="s">
        <v>4417</v>
      </c>
      <c r="T1985" s="19" t="str">
        <f>MONTH(B1985)&amp;"-"&amp;YEAR(B1985)</f>
        <v>7-2025</v>
      </c>
      <c r="U1985" s="2">
        <f>YEAR(B1985)</f>
        <v>2025</v>
      </c>
      <c r="V1985" s="2" t="str">
        <f>IF(DAY(B1985)&gt;15,MONTH(B1985)&amp;"-C",MONTH(B1985)&amp;"-N")</f>
        <v>7-C</v>
      </c>
      <c r="W1985" s="21"/>
      <c r="X1985" s="2" t="b">
        <f t="shared" ref="X1985:X1992" si="1124">+L1985=W1985</f>
        <v>0</v>
      </c>
    </row>
    <row r="1986" spans="2:24" x14ac:dyDescent="0.2">
      <c r="B1986" s="17">
        <v>45863</v>
      </c>
      <c r="C1986" s="10" t="s">
        <v>125</v>
      </c>
      <c r="D1986" s="11">
        <v>176435</v>
      </c>
      <c r="E1986" s="26">
        <v>82068</v>
      </c>
      <c r="F1986" s="10" t="s">
        <v>126</v>
      </c>
      <c r="G1986" s="10" t="s">
        <v>3901</v>
      </c>
      <c r="H1986" s="27" t="s">
        <v>4418</v>
      </c>
      <c r="I1986" s="28" t="s">
        <v>41</v>
      </c>
      <c r="J1986" s="12" t="s">
        <v>41</v>
      </c>
      <c r="K1986" s="13">
        <v>3</v>
      </c>
      <c r="L1986" s="21">
        <v>310</v>
      </c>
      <c r="M1986" s="14" t="s">
        <v>14</v>
      </c>
      <c r="N1986" s="13">
        <v>930</v>
      </c>
      <c r="O1986" s="15">
        <v>0</v>
      </c>
      <c r="P1986" s="10" t="s">
        <v>84</v>
      </c>
      <c r="Q1986" s="11" t="s">
        <v>4419</v>
      </c>
      <c r="R1986" s="11" t="s">
        <v>4420</v>
      </c>
      <c r="S1986" s="16" t="s">
        <v>4421</v>
      </c>
      <c r="T1986" s="19" t="str">
        <f>MONTH(B1986)&amp;"-"&amp;YEAR(B1986)</f>
        <v>7-2025</v>
      </c>
      <c r="U1986" s="2">
        <f>YEAR(B1986)</f>
        <v>2025</v>
      </c>
      <c r="V1986" s="2" t="str">
        <f>IF(DAY(B1986)&gt;15,MONTH(B1986)&amp;"-C",MONTH(B1986)&amp;"-N")</f>
        <v>7-C</v>
      </c>
      <c r="W1986" s="21"/>
      <c r="X1986" s="2" t="b">
        <f t="shared" si="1124"/>
        <v>0</v>
      </c>
    </row>
    <row r="1987" spans="2:24" x14ac:dyDescent="0.2">
      <c r="B1987" s="17">
        <v>45866</v>
      </c>
      <c r="C1987" s="10" t="s">
        <v>82</v>
      </c>
      <c r="D1987" s="11">
        <v>176458</v>
      </c>
      <c r="E1987" s="26">
        <v>82111</v>
      </c>
      <c r="F1987" s="10" t="s">
        <v>3054</v>
      </c>
      <c r="G1987" s="10" t="s">
        <v>3885</v>
      </c>
      <c r="H1987" s="27" t="s">
        <v>3055</v>
      </c>
      <c r="I1987" s="28" t="s">
        <v>41</v>
      </c>
      <c r="J1987" s="12" t="s">
        <v>41</v>
      </c>
      <c r="K1987" s="13">
        <v>850</v>
      </c>
      <c r="L1987" s="21">
        <v>6</v>
      </c>
      <c r="M1987" s="14" t="s">
        <v>14</v>
      </c>
      <c r="N1987" s="13">
        <v>5100</v>
      </c>
      <c r="O1987" s="15">
        <v>0</v>
      </c>
      <c r="P1987" s="10" t="s">
        <v>78</v>
      </c>
      <c r="Q1987" s="11" t="s">
        <v>4422</v>
      </c>
      <c r="R1987" s="11" t="s">
        <v>4423</v>
      </c>
      <c r="S1987" s="16" t="s">
        <v>4424</v>
      </c>
      <c r="T1987" s="19" t="str">
        <f>MONTH(B1987)&amp;"-"&amp;YEAR(B1987)</f>
        <v>7-2025</v>
      </c>
      <c r="U1987" s="2">
        <f>YEAR(B1987)</f>
        <v>2025</v>
      </c>
      <c r="V1987" s="2" t="str">
        <f>IF(DAY(B1987)&gt;15,MONTH(B1987)&amp;"-C",MONTH(B1987)&amp;"-N")</f>
        <v>7-C</v>
      </c>
      <c r="W1987" s="21"/>
      <c r="X1987" s="2" t="b">
        <f t="shared" si="1124"/>
        <v>0</v>
      </c>
    </row>
    <row r="1988" spans="2:24" x14ac:dyDescent="0.2">
      <c r="B1988" s="17">
        <v>45864</v>
      </c>
      <c r="C1988" s="10" t="s">
        <v>82</v>
      </c>
      <c r="D1988" s="11">
        <v>176458</v>
      </c>
      <c r="E1988" s="26">
        <v>82112</v>
      </c>
      <c r="F1988" s="10" t="s">
        <v>33</v>
      </c>
      <c r="G1988" s="10" t="s">
        <v>3885</v>
      </c>
      <c r="H1988" s="27" t="s">
        <v>34</v>
      </c>
      <c r="I1988" s="28" t="s">
        <v>41</v>
      </c>
      <c r="J1988" s="12" t="s">
        <v>41</v>
      </c>
      <c r="K1988" s="13">
        <v>1440</v>
      </c>
      <c r="L1988" s="21">
        <v>5.75</v>
      </c>
      <c r="M1988" s="14" t="s">
        <v>14</v>
      </c>
      <c r="N1988" s="13">
        <v>8280</v>
      </c>
      <c r="O1988" s="15">
        <v>0</v>
      </c>
      <c r="P1988" s="10" t="s">
        <v>78</v>
      </c>
      <c r="Q1988" s="11" t="s">
        <v>4425</v>
      </c>
      <c r="R1988" s="11" t="s">
        <v>4426</v>
      </c>
      <c r="S1988" s="16" t="s">
        <v>4427</v>
      </c>
      <c r="T1988" s="19" t="str">
        <f>MONTH(B1988)&amp;"-"&amp;YEAR(B1988)</f>
        <v>7-2025</v>
      </c>
      <c r="U1988" s="2">
        <f>YEAR(B1988)</f>
        <v>2025</v>
      </c>
      <c r="V1988" s="2" t="str">
        <f>IF(DAY(B1988)&gt;15,MONTH(B1988)&amp;"-C",MONTH(B1988)&amp;"-N")</f>
        <v>7-C</v>
      </c>
      <c r="W1988" s="21"/>
      <c r="X1988" s="2" t="b">
        <f t="shared" si="1124"/>
        <v>0</v>
      </c>
    </row>
    <row r="1989" spans="2:24" x14ac:dyDescent="0.2">
      <c r="B1989" s="17">
        <v>45868</v>
      </c>
      <c r="C1989" s="10" t="s">
        <v>82</v>
      </c>
      <c r="D1989" s="11">
        <v>176458</v>
      </c>
      <c r="E1989" s="26">
        <v>82172</v>
      </c>
      <c r="F1989" s="10" t="s">
        <v>3054</v>
      </c>
      <c r="G1989" s="10" t="s">
        <v>3885</v>
      </c>
      <c r="H1989" s="27" t="s">
        <v>3055</v>
      </c>
      <c r="I1989" s="28" t="s">
        <v>41</v>
      </c>
      <c r="J1989" s="12" t="s">
        <v>41</v>
      </c>
      <c r="K1989" s="13">
        <v>680</v>
      </c>
      <c r="L1989" s="21">
        <v>6</v>
      </c>
      <c r="M1989" s="14" t="s">
        <v>14</v>
      </c>
      <c r="N1989" s="13">
        <v>4080</v>
      </c>
      <c r="O1989" s="15">
        <v>0</v>
      </c>
      <c r="P1989" s="10" t="s">
        <v>78</v>
      </c>
      <c r="Q1989" s="11" t="s">
        <v>4428</v>
      </c>
      <c r="R1989" s="11" t="s">
        <v>4429</v>
      </c>
      <c r="S1989" s="16" t="s">
        <v>4430</v>
      </c>
      <c r="T1989" s="19" t="str">
        <f>MONTH(B1989)&amp;"-"&amp;YEAR(B1989)</f>
        <v>7-2025</v>
      </c>
      <c r="U1989" s="2">
        <f>YEAR(B1989)</f>
        <v>2025</v>
      </c>
      <c r="V1989" s="2" t="str">
        <f>IF(DAY(B1989)&gt;15,MONTH(B1989)&amp;"-C",MONTH(B1989)&amp;"-N")</f>
        <v>7-C</v>
      </c>
      <c r="W1989" s="21"/>
      <c r="X1989" s="2" t="b">
        <f t="shared" si="1124"/>
        <v>0</v>
      </c>
    </row>
    <row r="1990" spans="2:24" x14ac:dyDescent="0.2">
      <c r="B1990" s="17">
        <v>45868</v>
      </c>
      <c r="C1990" s="10" t="s">
        <v>82</v>
      </c>
      <c r="D1990" s="11">
        <v>176458</v>
      </c>
      <c r="E1990" s="26">
        <v>82172</v>
      </c>
      <c r="F1990" s="10" t="s">
        <v>33</v>
      </c>
      <c r="G1990" s="10" t="s">
        <v>3885</v>
      </c>
      <c r="H1990" s="27" t="s">
        <v>34</v>
      </c>
      <c r="I1990" s="28" t="s">
        <v>41</v>
      </c>
      <c r="J1990" s="12" t="s">
        <v>41</v>
      </c>
      <c r="K1990" s="13">
        <v>720</v>
      </c>
      <c r="L1990" s="21">
        <v>5.75</v>
      </c>
      <c r="M1990" s="14" t="s">
        <v>14</v>
      </c>
      <c r="N1990" s="13">
        <v>4140</v>
      </c>
      <c r="O1990" s="15">
        <v>0</v>
      </c>
      <c r="P1990" s="10" t="s">
        <v>78</v>
      </c>
      <c r="Q1990" s="11" t="s">
        <v>4428</v>
      </c>
      <c r="R1990" s="11" t="s">
        <v>4429</v>
      </c>
      <c r="S1990" s="16" t="s">
        <v>4430</v>
      </c>
      <c r="T1990" s="19" t="str">
        <f>MONTH(B1990)&amp;"-"&amp;YEAR(B1990)</f>
        <v>7-2025</v>
      </c>
      <c r="U1990" s="2">
        <f>YEAR(B1990)</f>
        <v>2025</v>
      </c>
      <c r="V1990" s="2" t="str">
        <f>IF(DAY(B1990)&gt;15,MONTH(B1990)&amp;"-C",MONTH(B1990)&amp;"-N")</f>
        <v>7-C</v>
      </c>
      <c r="W1990" s="21"/>
      <c r="X1990" s="2" t="b">
        <f t="shared" si="1124"/>
        <v>0</v>
      </c>
    </row>
    <row r="1991" spans="2:24" x14ac:dyDescent="0.2">
      <c r="B1991" s="17">
        <v>45868</v>
      </c>
      <c r="C1991" s="10" t="s">
        <v>25</v>
      </c>
      <c r="D1991" s="11">
        <v>176234</v>
      </c>
      <c r="E1991" s="26">
        <v>82141</v>
      </c>
      <c r="F1991" s="10" t="s">
        <v>29</v>
      </c>
      <c r="G1991" s="10" t="s">
        <v>3885</v>
      </c>
      <c r="H1991" s="27" t="s">
        <v>30</v>
      </c>
      <c r="I1991" s="28" t="s">
        <v>41</v>
      </c>
      <c r="J1991" s="12" t="s">
        <v>41</v>
      </c>
      <c r="K1991" s="13">
        <v>990</v>
      </c>
      <c r="L1991" s="21">
        <v>3.7</v>
      </c>
      <c r="M1991" s="14" t="s">
        <v>14</v>
      </c>
      <c r="N1991" s="13">
        <v>3663</v>
      </c>
      <c r="O1991" s="15">
        <v>0</v>
      </c>
      <c r="P1991" s="10" t="s">
        <v>78</v>
      </c>
      <c r="Q1991" s="11" t="s">
        <v>4431</v>
      </c>
      <c r="R1991" s="11" t="s">
        <v>4432</v>
      </c>
      <c r="S1991" s="16" t="s">
        <v>4433</v>
      </c>
      <c r="T1991" s="19" t="str">
        <f>MONTH(B1991)&amp;"-"&amp;YEAR(B1991)</f>
        <v>7-2025</v>
      </c>
      <c r="U1991" s="2">
        <f>YEAR(B1991)</f>
        <v>2025</v>
      </c>
      <c r="V1991" s="2" t="str">
        <f>IF(DAY(B1991)&gt;15,MONTH(B1991)&amp;"-C",MONTH(B1991)&amp;"-N")</f>
        <v>7-C</v>
      </c>
      <c r="W1991" s="21"/>
      <c r="X1991" s="2" t="b">
        <f t="shared" si="1124"/>
        <v>0</v>
      </c>
    </row>
    <row r="1992" spans="2:24" x14ac:dyDescent="0.2">
      <c r="B1992" s="17">
        <v>45868</v>
      </c>
      <c r="C1992" s="10" t="s">
        <v>25</v>
      </c>
      <c r="D1992" s="11">
        <v>176288</v>
      </c>
      <c r="E1992" s="26">
        <v>82142</v>
      </c>
      <c r="F1992" s="10" t="s">
        <v>49</v>
      </c>
      <c r="G1992" s="10" t="s">
        <v>3885</v>
      </c>
      <c r="H1992" s="27" t="s">
        <v>50</v>
      </c>
      <c r="I1992" s="28" t="s">
        <v>41</v>
      </c>
      <c r="J1992" s="12" t="s">
        <v>41</v>
      </c>
      <c r="K1992" s="13">
        <v>380</v>
      </c>
      <c r="L1992" s="21">
        <v>4.8499999999999996</v>
      </c>
      <c r="M1992" s="14" t="s">
        <v>14</v>
      </c>
      <c r="N1992" s="13">
        <v>1843</v>
      </c>
      <c r="O1992" s="15">
        <v>0</v>
      </c>
      <c r="P1992" s="10" t="s">
        <v>78</v>
      </c>
      <c r="Q1992" s="11" t="s">
        <v>4434</v>
      </c>
      <c r="R1992" s="11" t="s">
        <v>4435</v>
      </c>
      <c r="S1992" s="16" t="s">
        <v>4436</v>
      </c>
      <c r="T1992" s="19" t="str">
        <f>MONTH(B1992)&amp;"-"&amp;YEAR(B1992)</f>
        <v>7-2025</v>
      </c>
      <c r="U1992" s="2">
        <f>YEAR(B1992)</f>
        <v>2025</v>
      </c>
      <c r="V1992" s="2" t="str">
        <f>IF(DAY(B1992)&gt;15,MONTH(B1992)&amp;"-C",MONTH(B1992)&amp;"-N")</f>
        <v>7-C</v>
      </c>
      <c r="W1992" s="21"/>
      <c r="X1992" s="2" t="b">
        <f t="shared" si="1124"/>
        <v>0</v>
      </c>
    </row>
    <row r="1993" spans="2:24" x14ac:dyDescent="0.2">
      <c r="B1993" s="17">
        <v>45868</v>
      </c>
      <c r="C1993" s="10" t="s">
        <v>25</v>
      </c>
      <c r="D1993" s="11">
        <v>176475</v>
      </c>
      <c r="E1993" s="26">
        <v>82143</v>
      </c>
      <c r="F1993" s="10" t="s">
        <v>29</v>
      </c>
      <c r="G1993" s="10" t="s">
        <v>3885</v>
      </c>
      <c r="H1993" s="27" t="s">
        <v>30</v>
      </c>
      <c r="I1993" s="28" t="s">
        <v>41</v>
      </c>
      <c r="J1993" s="12" t="s">
        <v>41</v>
      </c>
      <c r="K1993" s="13">
        <v>990</v>
      </c>
      <c r="L1993" s="21">
        <v>3.7</v>
      </c>
      <c r="M1993" s="14" t="s">
        <v>14</v>
      </c>
      <c r="N1993" s="13">
        <v>3663</v>
      </c>
      <c r="O1993" s="15">
        <v>0</v>
      </c>
      <c r="P1993" s="10" t="s">
        <v>78</v>
      </c>
      <c r="Q1993" s="11" t="s">
        <v>4437</v>
      </c>
      <c r="R1993" s="11" t="s">
        <v>4438</v>
      </c>
      <c r="S1993" s="16" t="s">
        <v>4439</v>
      </c>
      <c r="T1993" s="19" t="str">
        <f>MONTH(B1993)&amp;"-"&amp;YEAR(B1993)</f>
        <v>7-2025</v>
      </c>
      <c r="U1993" s="2">
        <f>YEAR(B1993)</f>
        <v>2025</v>
      </c>
      <c r="V1993" s="2" t="str">
        <f>IF(DAY(B1993)&gt;15,MONTH(B1993)&amp;"-C",MONTH(B1993)&amp;"-N")</f>
        <v>7-C</v>
      </c>
      <c r="W1993" s="21"/>
      <c r="X1993" s="2" t="b">
        <f t="shared" ref="X1993:X2002" si="1125">+L1993=W1993</f>
        <v>0</v>
      </c>
    </row>
    <row r="1994" spans="2:24" x14ac:dyDescent="0.2">
      <c r="B1994" s="17">
        <v>45868</v>
      </c>
      <c r="C1994" s="10" t="s">
        <v>25</v>
      </c>
      <c r="D1994" s="11">
        <v>176475</v>
      </c>
      <c r="E1994" s="26">
        <v>82143</v>
      </c>
      <c r="F1994" s="10" t="s">
        <v>3054</v>
      </c>
      <c r="G1994" s="10" t="s">
        <v>3885</v>
      </c>
      <c r="H1994" s="27" t="s">
        <v>3055</v>
      </c>
      <c r="I1994" s="28" t="s">
        <v>41</v>
      </c>
      <c r="J1994" s="12" t="s">
        <v>41</v>
      </c>
      <c r="K1994" s="13">
        <v>2028</v>
      </c>
      <c r="L1994" s="21">
        <v>4.5</v>
      </c>
      <c r="M1994" s="14" t="s">
        <v>14</v>
      </c>
      <c r="N1994" s="13">
        <v>9126</v>
      </c>
      <c r="O1994" s="15">
        <v>0</v>
      </c>
      <c r="P1994" s="10" t="s">
        <v>78</v>
      </c>
      <c r="Q1994" s="11" t="s">
        <v>4437</v>
      </c>
      <c r="R1994" s="11" t="s">
        <v>4438</v>
      </c>
      <c r="S1994" s="16" t="s">
        <v>4439</v>
      </c>
      <c r="T1994" s="19" t="str">
        <f>MONTH(B1994)&amp;"-"&amp;YEAR(B1994)</f>
        <v>7-2025</v>
      </c>
      <c r="U1994" s="2">
        <f>YEAR(B1994)</f>
        <v>2025</v>
      </c>
      <c r="V1994" s="2" t="str">
        <f>IF(DAY(B1994)&gt;15,MONTH(B1994)&amp;"-C",MONTH(B1994)&amp;"-N")</f>
        <v>7-C</v>
      </c>
      <c r="W1994" s="21"/>
      <c r="X1994" s="2" t="b">
        <f t="shared" si="1125"/>
        <v>0</v>
      </c>
    </row>
    <row r="1995" spans="2:24" x14ac:dyDescent="0.2">
      <c r="B1995" s="17">
        <v>45868</v>
      </c>
      <c r="C1995" s="10" t="s">
        <v>25</v>
      </c>
      <c r="D1995" s="11">
        <v>176475</v>
      </c>
      <c r="E1995" s="26">
        <v>82143</v>
      </c>
      <c r="F1995" s="10" t="s">
        <v>33</v>
      </c>
      <c r="G1995" s="10" t="s">
        <v>3885</v>
      </c>
      <c r="H1995" s="27" t="s">
        <v>34</v>
      </c>
      <c r="I1995" s="28" t="s">
        <v>41</v>
      </c>
      <c r="J1995" s="12" t="s">
        <v>41</v>
      </c>
      <c r="K1995" s="13">
        <v>360</v>
      </c>
      <c r="L1995" s="21">
        <v>4.9000000000000004</v>
      </c>
      <c r="M1995" s="14" t="s">
        <v>14</v>
      </c>
      <c r="N1995" s="13">
        <v>1764</v>
      </c>
      <c r="O1995" s="15">
        <v>0</v>
      </c>
      <c r="P1995" s="10" t="s">
        <v>78</v>
      </c>
      <c r="Q1995" s="11" t="s">
        <v>4437</v>
      </c>
      <c r="R1995" s="11" t="s">
        <v>4438</v>
      </c>
      <c r="S1995" s="16" t="s">
        <v>4439</v>
      </c>
      <c r="T1995" s="19" t="str">
        <f>MONTH(B1995)&amp;"-"&amp;YEAR(B1995)</f>
        <v>7-2025</v>
      </c>
      <c r="U1995" s="2">
        <f>YEAR(B1995)</f>
        <v>2025</v>
      </c>
      <c r="V1995" s="2" t="str">
        <f>IF(DAY(B1995)&gt;15,MONTH(B1995)&amp;"-C",MONTH(B1995)&amp;"-N")</f>
        <v>7-C</v>
      </c>
      <c r="W1995" s="21"/>
      <c r="X1995" s="2" t="b">
        <f t="shared" si="1125"/>
        <v>0</v>
      </c>
    </row>
    <row r="1996" spans="2:24" x14ac:dyDescent="0.2">
      <c r="B1996" s="17">
        <v>45868</v>
      </c>
      <c r="C1996" s="10" t="s">
        <v>25</v>
      </c>
      <c r="D1996" s="11">
        <v>175970</v>
      </c>
      <c r="E1996" s="26">
        <v>82144</v>
      </c>
      <c r="F1996" s="10" t="s">
        <v>33</v>
      </c>
      <c r="G1996" s="10" t="s">
        <v>3885</v>
      </c>
      <c r="H1996" s="27" t="s">
        <v>34</v>
      </c>
      <c r="I1996" s="28" t="s">
        <v>41</v>
      </c>
      <c r="J1996" s="12" t="s">
        <v>41</v>
      </c>
      <c r="K1996" s="13">
        <v>180</v>
      </c>
      <c r="L1996" s="21">
        <v>4.9000000000000004</v>
      </c>
      <c r="M1996" s="14" t="s">
        <v>14</v>
      </c>
      <c r="N1996" s="13">
        <v>882</v>
      </c>
      <c r="O1996" s="15">
        <v>0</v>
      </c>
      <c r="P1996" s="10" t="s">
        <v>78</v>
      </c>
      <c r="Q1996" s="11" t="s">
        <v>4440</v>
      </c>
      <c r="R1996" s="11" t="s">
        <v>4441</v>
      </c>
      <c r="S1996" s="16" t="s">
        <v>4442</v>
      </c>
      <c r="T1996" s="19" t="str">
        <f>MONTH(B1996)&amp;"-"&amp;YEAR(B1996)</f>
        <v>7-2025</v>
      </c>
      <c r="U1996" s="2">
        <f>YEAR(B1996)</f>
        <v>2025</v>
      </c>
      <c r="V1996" s="2" t="str">
        <f>IF(DAY(B1996)&gt;15,MONTH(B1996)&amp;"-C",MONTH(B1996)&amp;"-N")</f>
        <v>7-C</v>
      </c>
      <c r="W1996" s="21"/>
      <c r="X1996" s="2" t="b">
        <f t="shared" si="1125"/>
        <v>0</v>
      </c>
    </row>
    <row r="1997" spans="2:24" x14ac:dyDescent="0.2">
      <c r="B1997" s="17">
        <v>45864</v>
      </c>
      <c r="C1997" s="10" t="s">
        <v>107</v>
      </c>
      <c r="D1997" s="11">
        <v>176181</v>
      </c>
      <c r="E1997" s="26">
        <v>82071</v>
      </c>
      <c r="F1997" s="10" t="s">
        <v>103</v>
      </c>
      <c r="G1997" s="10" t="s">
        <v>3901</v>
      </c>
      <c r="H1997" s="27" t="s">
        <v>104</v>
      </c>
      <c r="I1997" s="28" t="s">
        <v>41</v>
      </c>
      <c r="J1997" s="12" t="s">
        <v>41</v>
      </c>
      <c r="K1997" s="13">
        <v>55</v>
      </c>
      <c r="L1997" s="21">
        <v>47.46</v>
      </c>
      <c r="M1997" s="14" t="s">
        <v>14</v>
      </c>
      <c r="N1997" s="13">
        <v>2610.3000000000002</v>
      </c>
      <c r="O1997" s="15">
        <v>0</v>
      </c>
      <c r="P1997" s="10" t="s">
        <v>84</v>
      </c>
      <c r="Q1997" s="11" t="s">
        <v>4443</v>
      </c>
      <c r="R1997" s="11" t="s">
        <v>4444</v>
      </c>
      <c r="S1997" s="16" t="s">
        <v>4445</v>
      </c>
      <c r="T1997" s="19" t="str">
        <f>MONTH(B1997)&amp;"-"&amp;YEAR(B1997)</f>
        <v>7-2025</v>
      </c>
      <c r="U1997" s="2">
        <f>YEAR(B1997)</f>
        <v>2025</v>
      </c>
      <c r="V1997" s="2" t="str">
        <f>IF(DAY(B1997)&gt;15,MONTH(B1997)&amp;"-C",MONTH(B1997)&amp;"-N")</f>
        <v>7-C</v>
      </c>
      <c r="W1997" s="21"/>
      <c r="X1997" s="2" t="b">
        <f t="shared" si="1125"/>
        <v>0</v>
      </c>
    </row>
    <row r="1998" spans="2:24" x14ac:dyDescent="0.2">
      <c r="B1998" s="17">
        <v>45864</v>
      </c>
      <c r="C1998" s="10" t="s">
        <v>107</v>
      </c>
      <c r="D1998" s="11">
        <v>176430</v>
      </c>
      <c r="E1998" s="26">
        <v>82071</v>
      </c>
      <c r="F1998" s="10" t="s">
        <v>103</v>
      </c>
      <c r="G1998" s="10" t="s">
        <v>3901</v>
      </c>
      <c r="H1998" s="27" t="s">
        <v>104</v>
      </c>
      <c r="I1998" s="28" t="s">
        <v>41</v>
      </c>
      <c r="J1998" s="12" t="s">
        <v>41</v>
      </c>
      <c r="K1998" s="13">
        <v>130</v>
      </c>
      <c r="L1998" s="21">
        <v>47.46</v>
      </c>
      <c r="M1998" s="14" t="s">
        <v>14</v>
      </c>
      <c r="N1998" s="13">
        <v>6169.8</v>
      </c>
      <c r="O1998" s="15">
        <v>0</v>
      </c>
      <c r="P1998" s="10" t="s">
        <v>84</v>
      </c>
      <c r="Q1998" s="11" t="s">
        <v>4443</v>
      </c>
      <c r="R1998" s="11" t="s">
        <v>4444</v>
      </c>
      <c r="S1998" s="16" t="s">
        <v>4445</v>
      </c>
      <c r="T1998" s="19" t="str">
        <f>MONTH(B1998)&amp;"-"&amp;YEAR(B1998)</f>
        <v>7-2025</v>
      </c>
      <c r="U1998" s="2">
        <f>YEAR(B1998)</f>
        <v>2025</v>
      </c>
      <c r="V1998" s="2" t="str">
        <f>IF(DAY(B1998)&gt;15,MONTH(B1998)&amp;"-C",MONTH(B1998)&amp;"-N")</f>
        <v>7-C</v>
      </c>
      <c r="W1998" s="21"/>
      <c r="X1998" s="2" t="b">
        <f t="shared" si="1125"/>
        <v>0</v>
      </c>
    </row>
    <row r="1999" spans="2:24" x14ac:dyDescent="0.2">
      <c r="B1999" s="17">
        <v>45864</v>
      </c>
      <c r="C1999" s="10" t="s">
        <v>107</v>
      </c>
      <c r="D1999" s="11">
        <v>176181</v>
      </c>
      <c r="E1999" s="26">
        <v>82071</v>
      </c>
      <c r="F1999" s="10" t="s">
        <v>105</v>
      </c>
      <c r="G1999" s="10" t="s">
        <v>3901</v>
      </c>
      <c r="H1999" s="27" t="s">
        <v>106</v>
      </c>
      <c r="I1999" s="28" t="s">
        <v>41</v>
      </c>
      <c r="J1999" s="12" t="s">
        <v>41</v>
      </c>
      <c r="K1999" s="13">
        <v>2120</v>
      </c>
      <c r="L1999" s="21">
        <v>11.72</v>
      </c>
      <c r="M1999" s="14" t="s">
        <v>14</v>
      </c>
      <c r="N1999" s="13">
        <v>24846.400000000001</v>
      </c>
      <c r="O1999" s="15">
        <v>0</v>
      </c>
      <c r="P1999" s="10" t="s">
        <v>84</v>
      </c>
      <c r="Q1999" s="11" t="s">
        <v>4443</v>
      </c>
      <c r="R1999" s="11" t="s">
        <v>4444</v>
      </c>
      <c r="S1999" s="16" t="s">
        <v>4445</v>
      </c>
      <c r="T1999" s="19" t="str">
        <f>MONTH(B1999)&amp;"-"&amp;YEAR(B1999)</f>
        <v>7-2025</v>
      </c>
      <c r="U1999" s="2">
        <f>YEAR(B1999)</f>
        <v>2025</v>
      </c>
      <c r="V1999" s="2" t="str">
        <f>IF(DAY(B1999)&gt;15,MONTH(B1999)&amp;"-C",MONTH(B1999)&amp;"-N")</f>
        <v>7-C</v>
      </c>
      <c r="W1999" s="21"/>
      <c r="X1999" s="2" t="b">
        <f t="shared" si="1125"/>
        <v>0</v>
      </c>
    </row>
    <row r="2000" spans="2:24" x14ac:dyDescent="0.2">
      <c r="B2000" s="17">
        <v>45864</v>
      </c>
      <c r="C2000" s="10" t="s">
        <v>107</v>
      </c>
      <c r="D2000" s="11">
        <v>176430</v>
      </c>
      <c r="E2000" s="26">
        <v>82071</v>
      </c>
      <c r="F2000" s="10" t="s">
        <v>105</v>
      </c>
      <c r="G2000" s="10" t="s">
        <v>3901</v>
      </c>
      <c r="H2000" s="27" t="s">
        <v>106</v>
      </c>
      <c r="I2000" s="28" t="s">
        <v>41</v>
      </c>
      <c r="J2000" s="12" t="s">
        <v>41</v>
      </c>
      <c r="K2000" s="13">
        <v>4040</v>
      </c>
      <c r="L2000" s="21">
        <v>11.72</v>
      </c>
      <c r="M2000" s="14" t="s">
        <v>14</v>
      </c>
      <c r="N2000" s="13">
        <v>47348.800000000003</v>
      </c>
      <c r="O2000" s="15">
        <v>0</v>
      </c>
      <c r="P2000" s="10" t="s">
        <v>84</v>
      </c>
      <c r="Q2000" s="11" t="s">
        <v>4443</v>
      </c>
      <c r="R2000" s="11" t="s">
        <v>4444</v>
      </c>
      <c r="S2000" s="16" t="s">
        <v>4445</v>
      </c>
      <c r="T2000" s="19" t="str">
        <f>MONTH(B2000)&amp;"-"&amp;YEAR(B2000)</f>
        <v>7-2025</v>
      </c>
      <c r="U2000" s="2">
        <f>YEAR(B2000)</f>
        <v>2025</v>
      </c>
      <c r="V2000" s="2" t="str">
        <f>IF(DAY(B2000)&gt;15,MONTH(B2000)&amp;"-C",MONTH(B2000)&amp;"-N")</f>
        <v>7-C</v>
      </c>
      <c r="W2000" s="21"/>
      <c r="X2000" s="2" t="b">
        <f t="shared" si="1125"/>
        <v>0</v>
      </c>
    </row>
    <row r="2001" spans="2:24" x14ac:dyDescent="0.2">
      <c r="B2001" s="17">
        <v>45869</v>
      </c>
      <c r="C2001" s="10" t="s">
        <v>94</v>
      </c>
      <c r="D2001" s="11">
        <v>176142</v>
      </c>
      <c r="E2001" s="26">
        <v>82166</v>
      </c>
      <c r="F2001" s="10" t="s">
        <v>26</v>
      </c>
      <c r="G2001" s="10" t="s">
        <v>3885</v>
      </c>
      <c r="H2001" s="27" t="s">
        <v>28</v>
      </c>
      <c r="I2001" s="28" t="s">
        <v>41</v>
      </c>
      <c r="J2001" s="12" t="s">
        <v>41</v>
      </c>
      <c r="K2001" s="13">
        <v>2800</v>
      </c>
      <c r="L2001" s="21">
        <v>3</v>
      </c>
      <c r="M2001" s="14" t="s">
        <v>14</v>
      </c>
      <c r="N2001" s="13">
        <v>8400</v>
      </c>
      <c r="O2001" s="15">
        <v>0</v>
      </c>
      <c r="P2001" s="10" t="s">
        <v>78</v>
      </c>
      <c r="Q2001" s="11" t="s">
        <v>4446</v>
      </c>
      <c r="R2001" s="11" t="s">
        <v>4447</v>
      </c>
      <c r="S2001" s="16" t="s">
        <v>4448</v>
      </c>
      <c r="T2001" s="19" t="str">
        <f>MONTH(B2001)&amp;"-"&amp;YEAR(B2001)</f>
        <v>7-2025</v>
      </c>
      <c r="U2001" s="2">
        <f>YEAR(B2001)</f>
        <v>2025</v>
      </c>
      <c r="V2001" s="2" t="str">
        <f>IF(DAY(B2001)&gt;15,MONTH(B2001)&amp;"-C",MONTH(B2001)&amp;"-N")</f>
        <v>7-C</v>
      </c>
      <c r="W2001" s="21"/>
      <c r="X2001" s="2" t="b">
        <f t="shared" si="1125"/>
        <v>0</v>
      </c>
    </row>
    <row r="2002" spans="2:24" x14ac:dyDescent="0.2">
      <c r="B2002" s="17">
        <v>45869</v>
      </c>
      <c r="C2002" s="10" t="s">
        <v>94</v>
      </c>
      <c r="D2002" s="11">
        <v>176445</v>
      </c>
      <c r="E2002" s="26">
        <v>82166</v>
      </c>
      <c r="F2002" s="10" t="s">
        <v>26</v>
      </c>
      <c r="G2002" s="10" t="s">
        <v>3885</v>
      </c>
      <c r="H2002" s="27" t="s">
        <v>28</v>
      </c>
      <c r="I2002" s="28" t="s">
        <v>41</v>
      </c>
      <c r="J2002" s="12" t="s">
        <v>41</v>
      </c>
      <c r="K2002" s="13">
        <v>17000</v>
      </c>
      <c r="L2002" s="21">
        <v>3</v>
      </c>
      <c r="M2002" s="14" t="s">
        <v>14</v>
      </c>
      <c r="N2002" s="13">
        <v>51000</v>
      </c>
      <c r="O2002" s="15">
        <v>0</v>
      </c>
      <c r="P2002" s="10" t="s">
        <v>78</v>
      </c>
      <c r="Q2002" s="11" t="s">
        <v>4446</v>
      </c>
      <c r="R2002" s="11" t="s">
        <v>4447</v>
      </c>
      <c r="S2002" s="16" t="s">
        <v>4448</v>
      </c>
      <c r="T2002" s="19" t="str">
        <f>MONTH(B2002)&amp;"-"&amp;YEAR(B2002)</f>
        <v>7-2025</v>
      </c>
      <c r="U2002" s="2">
        <f>YEAR(B2002)</f>
        <v>2025</v>
      </c>
      <c r="V2002" s="2" t="str">
        <f>IF(DAY(B2002)&gt;15,MONTH(B2002)&amp;"-C",MONTH(B2002)&amp;"-N")</f>
        <v>7-C</v>
      </c>
      <c r="W2002" s="21"/>
      <c r="X2002" s="2" t="b">
        <f t="shared" si="1125"/>
        <v>0</v>
      </c>
    </row>
    <row r="2003" spans="2:24" x14ac:dyDescent="0.2">
      <c r="B2003" s="17">
        <v>45874</v>
      </c>
      <c r="C2003" s="10" t="s">
        <v>70</v>
      </c>
      <c r="D2003" s="11">
        <v>176476</v>
      </c>
      <c r="E2003" s="26">
        <v>82272</v>
      </c>
      <c r="F2003" s="10" t="s">
        <v>51</v>
      </c>
      <c r="G2003" s="10" t="s">
        <v>3884</v>
      </c>
      <c r="H2003" s="27" t="s">
        <v>18</v>
      </c>
      <c r="I2003" s="28">
        <v>1013</v>
      </c>
      <c r="J2003" s="28">
        <v>12</v>
      </c>
      <c r="K2003" s="13">
        <v>2060.6999999999998</v>
      </c>
      <c r="L2003" s="21">
        <v>4.84</v>
      </c>
      <c r="M2003" s="14" t="s">
        <v>14</v>
      </c>
      <c r="N2003" s="13">
        <v>9973.7880000000005</v>
      </c>
      <c r="O2003" s="15">
        <v>0</v>
      </c>
      <c r="P2003" s="10" t="s">
        <v>83</v>
      </c>
      <c r="Q2003" s="11" t="s">
        <v>4449</v>
      </c>
      <c r="R2003" s="11" t="s">
        <v>4450</v>
      </c>
      <c r="S2003" s="16" t="s">
        <v>4451</v>
      </c>
      <c r="T2003" s="19" t="str">
        <f>MONTH(B2003)&amp;"-"&amp;YEAR(B2003)</f>
        <v>8-2025</v>
      </c>
      <c r="U2003" s="2">
        <f>YEAR(B2003)</f>
        <v>2025</v>
      </c>
      <c r="V2003" s="2" t="str">
        <f>IF(DAY(B2003)&gt;15,MONTH(B2003)&amp;"-C",MONTH(B2003)&amp;"-N")</f>
        <v>8-N</v>
      </c>
      <c r="W2003" s="21"/>
      <c r="X2003" s="2" t="b">
        <f t="shared" ref="X2003:X2008" si="1126">+L2003=W2003</f>
        <v>0</v>
      </c>
    </row>
    <row r="2004" spans="2:24" x14ac:dyDescent="0.2">
      <c r="B2004" s="17">
        <v>45874</v>
      </c>
      <c r="C2004" s="10" t="s">
        <v>70</v>
      </c>
      <c r="D2004" s="11">
        <v>176476</v>
      </c>
      <c r="E2004" s="26">
        <v>82272</v>
      </c>
      <c r="F2004" s="10" t="s">
        <v>1890</v>
      </c>
      <c r="G2004" s="10" t="s">
        <v>3884</v>
      </c>
      <c r="H2004" s="27" t="s">
        <v>18</v>
      </c>
      <c r="I2004" s="28">
        <v>1048</v>
      </c>
      <c r="J2004" s="28">
        <v>12</v>
      </c>
      <c r="K2004" s="13">
        <v>847.4</v>
      </c>
      <c r="L2004" s="21">
        <v>4.84</v>
      </c>
      <c r="M2004" s="14" t="s">
        <v>14</v>
      </c>
      <c r="N2004" s="13">
        <v>4101.4160000000002</v>
      </c>
      <c r="O2004" s="15">
        <v>0</v>
      </c>
      <c r="P2004" s="10" t="s">
        <v>83</v>
      </c>
      <c r="Q2004" s="11" t="s">
        <v>4449</v>
      </c>
      <c r="R2004" s="11" t="s">
        <v>4450</v>
      </c>
      <c r="S2004" s="16" t="s">
        <v>4451</v>
      </c>
      <c r="T2004" s="19" t="str">
        <f>MONTH(B2004)&amp;"-"&amp;YEAR(B2004)</f>
        <v>8-2025</v>
      </c>
      <c r="U2004" s="2">
        <f>YEAR(B2004)</f>
        <v>2025</v>
      </c>
      <c r="V2004" s="2" t="str">
        <f>IF(DAY(B2004)&gt;15,MONTH(B2004)&amp;"-C",MONTH(B2004)&amp;"-N")</f>
        <v>8-N</v>
      </c>
      <c r="W2004" s="21"/>
      <c r="X2004" s="2" t="b">
        <f t="shared" si="1126"/>
        <v>0</v>
      </c>
    </row>
    <row r="2005" spans="2:24" x14ac:dyDescent="0.2">
      <c r="B2005" s="17">
        <v>45874</v>
      </c>
      <c r="C2005" s="10" t="s">
        <v>70</v>
      </c>
      <c r="D2005" s="11">
        <v>176476</v>
      </c>
      <c r="E2005" s="26">
        <v>82272</v>
      </c>
      <c r="F2005" s="10" t="s">
        <v>45</v>
      </c>
      <c r="G2005" s="10" t="s">
        <v>3884</v>
      </c>
      <c r="H2005" s="27" t="s">
        <v>18</v>
      </c>
      <c r="I2005" s="28">
        <v>1173</v>
      </c>
      <c r="J2005" s="28">
        <v>12</v>
      </c>
      <c r="K2005" s="13">
        <v>945.8</v>
      </c>
      <c r="L2005" s="21">
        <v>4.84</v>
      </c>
      <c r="M2005" s="14" t="s">
        <v>14</v>
      </c>
      <c r="N2005" s="13">
        <v>4577.6719999999996</v>
      </c>
      <c r="O2005" s="15">
        <v>0</v>
      </c>
      <c r="P2005" s="10" t="s">
        <v>83</v>
      </c>
      <c r="Q2005" s="11" t="s">
        <v>4449</v>
      </c>
      <c r="R2005" s="11" t="s">
        <v>4450</v>
      </c>
      <c r="S2005" s="16" t="s">
        <v>4451</v>
      </c>
      <c r="T2005" s="19" t="str">
        <f>MONTH(B2005)&amp;"-"&amp;YEAR(B2005)</f>
        <v>8-2025</v>
      </c>
      <c r="U2005" s="2">
        <f>YEAR(B2005)</f>
        <v>2025</v>
      </c>
      <c r="V2005" s="2" t="str">
        <f>IF(DAY(B2005)&gt;15,MONTH(B2005)&amp;"-C",MONTH(B2005)&amp;"-N")</f>
        <v>8-N</v>
      </c>
      <c r="W2005" s="21"/>
      <c r="X2005" s="2" t="b">
        <f t="shared" si="1126"/>
        <v>0</v>
      </c>
    </row>
    <row r="2006" spans="2:24" x14ac:dyDescent="0.2">
      <c r="B2006" s="17">
        <v>45874</v>
      </c>
      <c r="C2006" s="10" t="s">
        <v>70</v>
      </c>
      <c r="D2006" s="11">
        <v>176476</v>
      </c>
      <c r="E2006" s="26">
        <v>82272</v>
      </c>
      <c r="F2006" s="10" t="s">
        <v>52</v>
      </c>
      <c r="G2006" s="10" t="s">
        <v>3884</v>
      </c>
      <c r="H2006" s="27" t="s">
        <v>18</v>
      </c>
      <c r="I2006" s="28">
        <v>1238</v>
      </c>
      <c r="J2006" s="28">
        <v>12</v>
      </c>
      <c r="K2006" s="13">
        <v>1499.8</v>
      </c>
      <c r="L2006" s="21">
        <v>4.84</v>
      </c>
      <c r="M2006" s="14" t="s">
        <v>14</v>
      </c>
      <c r="N2006" s="13">
        <v>7259.0320000000002</v>
      </c>
      <c r="O2006" s="15">
        <v>0</v>
      </c>
      <c r="P2006" s="10" t="s">
        <v>83</v>
      </c>
      <c r="Q2006" s="11" t="s">
        <v>4449</v>
      </c>
      <c r="R2006" s="11" t="s">
        <v>4450</v>
      </c>
      <c r="S2006" s="16" t="s">
        <v>4451</v>
      </c>
      <c r="T2006" s="19" t="str">
        <f>MONTH(B2006)&amp;"-"&amp;YEAR(B2006)</f>
        <v>8-2025</v>
      </c>
      <c r="U2006" s="2">
        <f>YEAR(B2006)</f>
        <v>2025</v>
      </c>
      <c r="V2006" s="2" t="str">
        <f>IF(DAY(B2006)&gt;15,MONTH(B2006)&amp;"-C",MONTH(B2006)&amp;"-N")</f>
        <v>8-N</v>
      </c>
      <c r="W2006" s="21"/>
      <c r="X2006" s="2" t="b">
        <f t="shared" si="1126"/>
        <v>0</v>
      </c>
    </row>
    <row r="2007" spans="2:24" x14ac:dyDescent="0.2">
      <c r="B2007" s="17">
        <v>45874</v>
      </c>
      <c r="C2007" s="10" t="s">
        <v>70</v>
      </c>
      <c r="D2007" s="11">
        <v>176476</v>
      </c>
      <c r="E2007" s="26">
        <v>82272</v>
      </c>
      <c r="F2007" s="10" t="s">
        <v>3801</v>
      </c>
      <c r="G2007" s="10" t="s">
        <v>3884</v>
      </c>
      <c r="H2007" s="27" t="s">
        <v>18</v>
      </c>
      <c r="I2007" s="28">
        <v>735</v>
      </c>
      <c r="J2007" s="28">
        <v>12</v>
      </c>
      <c r="K2007" s="13">
        <v>1184.4000000000001</v>
      </c>
      <c r="L2007" s="21">
        <v>4.84</v>
      </c>
      <c r="M2007" s="14" t="s">
        <v>14</v>
      </c>
      <c r="N2007" s="13">
        <v>5732.4960000000001</v>
      </c>
      <c r="O2007" s="15">
        <v>0</v>
      </c>
      <c r="P2007" s="10" t="s">
        <v>83</v>
      </c>
      <c r="Q2007" s="11" t="s">
        <v>4449</v>
      </c>
      <c r="R2007" s="11" t="s">
        <v>4450</v>
      </c>
      <c r="S2007" s="16" t="s">
        <v>4451</v>
      </c>
      <c r="T2007" s="19" t="str">
        <f>MONTH(B2007)&amp;"-"&amp;YEAR(B2007)</f>
        <v>8-2025</v>
      </c>
      <c r="U2007" s="2">
        <f>YEAR(B2007)</f>
        <v>2025</v>
      </c>
      <c r="V2007" s="2" t="str">
        <f>IF(DAY(B2007)&gt;15,MONTH(B2007)&amp;"-C",MONTH(B2007)&amp;"-N")</f>
        <v>8-N</v>
      </c>
      <c r="W2007" s="21"/>
      <c r="X2007" s="2" t="b">
        <f t="shared" si="1126"/>
        <v>0</v>
      </c>
    </row>
    <row r="2008" spans="2:24" x14ac:dyDescent="0.2">
      <c r="B2008" s="17">
        <v>45874</v>
      </c>
      <c r="C2008" s="10" t="s">
        <v>70</v>
      </c>
      <c r="D2008" s="11">
        <v>176476</v>
      </c>
      <c r="E2008" s="26">
        <v>82272</v>
      </c>
      <c r="F2008" s="10" t="s">
        <v>4079</v>
      </c>
      <c r="G2008" s="10" t="s">
        <v>3884</v>
      </c>
      <c r="H2008" s="27" t="s">
        <v>18</v>
      </c>
      <c r="I2008" s="28">
        <v>870</v>
      </c>
      <c r="J2008" s="28">
        <v>12</v>
      </c>
      <c r="K2008" s="13">
        <v>1048.0999999999999</v>
      </c>
      <c r="L2008" s="21">
        <v>4.84</v>
      </c>
      <c r="M2008" s="14" t="s">
        <v>14</v>
      </c>
      <c r="N2008" s="13">
        <v>5072.8040000000001</v>
      </c>
      <c r="O2008" s="15">
        <v>0</v>
      </c>
      <c r="P2008" s="10" t="s">
        <v>83</v>
      </c>
      <c r="Q2008" s="11" t="s">
        <v>4449</v>
      </c>
      <c r="R2008" s="11" t="s">
        <v>4450</v>
      </c>
      <c r="S2008" s="16" t="s">
        <v>4451</v>
      </c>
      <c r="T2008" s="19" t="str">
        <f>MONTH(B2008)&amp;"-"&amp;YEAR(B2008)</f>
        <v>8-2025</v>
      </c>
      <c r="U2008" s="2">
        <f>YEAR(B2008)</f>
        <v>2025</v>
      </c>
      <c r="V2008" s="2" t="str">
        <f>IF(DAY(B2008)&gt;15,MONTH(B2008)&amp;"-C",MONTH(B2008)&amp;"-N")</f>
        <v>8-N</v>
      </c>
      <c r="W2008" s="21"/>
      <c r="X2008" s="2" t="b">
        <f t="shared" si="1126"/>
        <v>0</v>
      </c>
    </row>
    <row r="2009" spans="2:24" x14ac:dyDescent="0.2">
      <c r="B2009" s="17">
        <v>45873</v>
      </c>
      <c r="C2009" s="10" t="s">
        <v>25</v>
      </c>
      <c r="D2009" s="11">
        <v>176475</v>
      </c>
      <c r="E2009" s="26">
        <v>82229</v>
      </c>
      <c r="F2009" s="10" t="s">
        <v>33</v>
      </c>
      <c r="G2009" s="10" t="s">
        <v>3885</v>
      </c>
      <c r="H2009" s="27" t="s">
        <v>34</v>
      </c>
      <c r="I2009" s="28" t="s">
        <v>41</v>
      </c>
      <c r="J2009" s="12" t="s">
        <v>41</v>
      </c>
      <c r="K2009" s="13">
        <v>720</v>
      </c>
      <c r="L2009" s="21">
        <v>4.9000000000000004</v>
      </c>
      <c r="M2009" s="14" t="s">
        <v>14</v>
      </c>
      <c r="N2009" s="13">
        <v>3528</v>
      </c>
      <c r="O2009" s="15">
        <v>0</v>
      </c>
      <c r="P2009" s="10" t="s">
        <v>78</v>
      </c>
      <c r="Q2009" s="11" t="s">
        <v>4452</v>
      </c>
      <c r="R2009" s="11" t="s">
        <v>4453</v>
      </c>
      <c r="S2009" s="16" t="s">
        <v>4454</v>
      </c>
      <c r="T2009" s="19" t="str">
        <f>MONTH(B2009)&amp;"-"&amp;YEAR(B2009)</f>
        <v>8-2025</v>
      </c>
      <c r="U2009" s="2">
        <f>YEAR(B2009)</f>
        <v>2025</v>
      </c>
      <c r="V2009" s="2" t="str">
        <f>IF(DAY(B2009)&gt;15,MONTH(B2009)&amp;"-C",MONTH(B2009)&amp;"-N")</f>
        <v>8-N</v>
      </c>
      <c r="W2009" s="21"/>
      <c r="X2009" s="2" t="b">
        <f t="shared" ref="X2009:X2012" si="1127">+L2009=W2009</f>
        <v>0</v>
      </c>
    </row>
    <row r="2010" spans="2:24" x14ac:dyDescent="0.2">
      <c r="B2010" s="17">
        <v>45874</v>
      </c>
      <c r="C2010" s="10" t="s">
        <v>107</v>
      </c>
      <c r="D2010" s="11">
        <v>176430</v>
      </c>
      <c r="E2010" s="26">
        <v>82258</v>
      </c>
      <c r="F2010" s="10" t="s">
        <v>103</v>
      </c>
      <c r="G2010" s="10" t="s">
        <v>3901</v>
      </c>
      <c r="H2010" s="27" t="s">
        <v>104</v>
      </c>
      <c r="I2010" s="28" t="s">
        <v>41</v>
      </c>
      <c r="J2010" s="12" t="s">
        <v>41</v>
      </c>
      <c r="K2010" s="13">
        <v>185</v>
      </c>
      <c r="L2010" s="21">
        <v>47.46</v>
      </c>
      <c r="M2010" s="14" t="s">
        <v>14</v>
      </c>
      <c r="N2010" s="13">
        <v>8780.1</v>
      </c>
      <c r="O2010" s="15">
        <v>0</v>
      </c>
      <c r="P2010" s="10" t="s">
        <v>84</v>
      </c>
      <c r="Q2010" s="11" t="s">
        <v>4455</v>
      </c>
      <c r="R2010" s="11" t="s">
        <v>4456</v>
      </c>
      <c r="S2010" s="16" t="s">
        <v>4457</v>
      </c>
      <c r="T2010" s="19" t="str">
        <f>MONTH(B2010)&amp;"-"&amp;YEAR(B2010)</f>
        <v>8-2025</v>
      </c>
      <c r="U2010" s="2">
        <f>YEAR(B2010)</f>
        <v>2025</v>
      </c>
      <c r="V2010" s="2" t="str">
        <f>IF(DAY(B2010)&gt;15,MONTH(B2010)&amp;"-C",MONTH(B2010)&amp;"-N")</f>
        <v>8-N</v>
      </c>
      <c r="W2010" s="21"/>
      <c r="X2010" s="2" t="b">
        <f t="shared" si="1127"/>
        <v>0</v>
      </c>
    </row>
    <row r="2011" spans="2:24" x14ac:dyDescent="0.2">
      <c r="B2011" s="17">
        <v>45874</v>
      </c>
      <c r="C2011" s="10" t="s">
        <v>107</v>
      </c>
      <c r="D2011" s="11">
        <v>176430</v>
      </c>
      <c r="E2011" s="26">
        <v>82258</v>
      </c>
      <c r="F2011" s="10" t="s">
        <v>105</v>
      </c>
      <c r="G2011" s="10" t="s">
        <v>3901</v>
      </c>
      <c r="H2011" s="27" t="s">
        <v>106</v>
      </c>
      <c r="I2011" s="28" t="s">
        <v>41</v>
      </c>
      <c r="J2011" s="12" t="s">
        <v>41</v>
      </c>
      <c r="K2011" s="13">
        <v>6160</v>
      </c>
      <c r="L2011" s="21">
        <v>11.72</v>
      </c>
      <c r="M2011" s="14" t="s">
        <v>14</v>
      </c>
      <c r="N2011" s="13">
        <v>72195.199999999997</v>
      </c>
      <c r="O2011" s="15">
        <v>0</v>
      </c>
      <c r="P2011" s="10" t="s">
        <v>84</v>
      </c>
      <c r="Q2011" s="11" t="s">
        <v>4455</v>
      </c>
      <c r="R2011" s="11" t="s">
        <v>4456</v>
      </c>
      <c r="S2011" s="16" t="s">
        <v>4457</v>
      </c>
      <c r="T2011" s="19" t="str">
        <f>MONTH(B2011)&amp;"-"&amp;YEAR(B2011)</f>
        <v>8-2025</v>
      </c>
      <c r="U2011" s="2">
        <f>YEAR(B2011)</f>
        <v>2025</v>
      </c>
      <c r="V2011" s="2" t="str">
        <f>IF(DAY(B2011)&gt;15,MONTH(B2011)&amp;"-C",MONTH(B2011)&amp;"-N")</f>
        <v>8-N</v>
      </c>
      <c r="W2011" s="21"/>
      <c r="X2011" s="2" t="b">
        <f t="shared" si="1127"/>
        <v>0</v>
      </c>
    </row>
    <row r="2012" spans="2:24" x14ac:dyDescent="0.2">
      <c r="B2012" s="17">
        <v>45877</v>
      </c>
      <c r="C2012" s="10" t="s">
        <v>94</v>
      </c>
      <c r="D2012" s="11">
        <v>176445</v>
      </c>
      <c r="E2012" s="26">
        <v>82309</v>
      </c>
      <c r="F2012" s="10" t="s">
        <v>26</v>
      </c>
      <c r="G2012" s="10" t="s">
        <v>3885</v>
      </c>
      <c r="H2012" s="27" t="s">
        <v>28</v>
      </c>
      <c r="I2012" s="28" t="s">
        <v>41</v>
      </c>
      <c r="J2012" s="12" t="s">
        <v>41</v>
      </c>
      <c r="K2012" s="13">
        <v>19800</v>
      </c>
      <c r="L2012" s="21">
        <v>3</v>
      </c>
      <c r="M2012" s="14" t="s">
        <v>14</v>
      </c>
      <c r="N2012" s="13">
        <v>59400</v>
      </c>
      <c r="O2012" s="15">
        <v>0</v>
      </c>
      <c r="P2012" s="10" t="s">
        <v>78</v>
      </c>
      <c r="Q2012" s="11" t="s">
        <v>4458</v>
      </c>
      <c r="R2012" s="11" t="s">
        <v>4459</v>
      </c>
      <c r="S2012" s="16" t="s">
        <v>4460</v>
      </c>
      <c r="T2012" s="19" t="str">
        <f>MONTH(B2012)&amp;"-"&amp;YEAR(B2012)</f>
        <v>8-2025</v>
      </c>
      <c r="U2012" s="2">
        <f>YEAR(B2012)</f>
        <v>2025</v>
      </c>
      <c r="V2012" s="2" t="str">
        <f>IF(DAY(B2012)&gt;15,MONTH(B2012)&amp;"-C",MONTH(B2012)&amp;"-N")</f>
        <v>8-N</v>
      </c>
      <c r="W2012" s="21"/>
      <c r="X2012" s="2" t="b">
        <f t="shared" si="1127"/>
        <v>0</v>
      </c>
    </row>
    <row r="2013" spans="2:24" x14ac:dyDescent="0.2">
      <c r="B2013" s="17">
        <v>45880</v>
      </c>
      <c r="C2013" s="10" t="s">
        <v>25</v>
      </c>
      <c r="D2013" s="11">
        <v>176475</v>
      </c>
      <c r="E2013" s="26">
        <v>82343</v>
      </c>
      <c r="F2013" s="10" t="s">
        <v>33</v>
      </c>
      <c r="G2013" s="10" t="s">
        <v>3885</v>
      </c>
      <c r="H2013" s="27" t="s">
        <v>34</v>
      </c>
      <c r="I2013" s="28" t="s">
        <v>41</v>
      </c>
      <c r="J2013" s="12" t="s">
        <v>41</v>
      </c>
      <c r="K2013" s="13">
        <v>2160</v>
      </c>
      <c r="L2013" s="21">
        <v>4.9000000000000004</v>
      </c>
      <c r="M2013" s="14" t="s">
        <v>14</v>
      </c>
      <c r="N2013" s="13">
        <v>10584</v>
      </c>
      <c r="O2013" s="15">
        <v>0</v>
      </c>
      <c r="P2013" s="10" t="s">
        <v>78</v>
      </c>
      <c r="Q2013" s="11" t="s">
        <v>4461</v>
      </c>
      <c r="R2013" s="11" t="s">
        <v>4462</v>
      </c>
      <c r="S2013" s="16" t="s">
        <v>4463</v>
      </c>
      <c r="T2013" s="19" t="str">
        <f>MONTH(B2013)&amp;"-"&amp;YEAR(B2013)</f>
        <v>8-2025</v>
      </c>
      <c r="U2013" s="2">
        <f>YEAR(B2013)</f>
        <v>2025</v>
      </c>
      <c r="V2013" s="2" t="str">
        <f>IF(DAY(B2013)&gt;15,MONTH(B2013)&amp;"-C",MONTH(B2013)&amp;"-N")</f>
        <v>8-N</v>
      </c>
      <c r="W2013" s="21"/>
      <c r="X2013" s="2" t="b">
        <f t="shared" ref="X2013:X2015" si="1128">+L2013=W2013</f>
        <v>0</v>
      </c>
    </row>
    <row r="2014" spans="2:24" x14ac:dyDescent="0.2">
      <c r="B2014" s="17">
        <v>45883</v>
      </c>
      <c r="C2014" s="10" t="s">
        <v>94</v>
      </c>
      <c r="D2014" s="11">
        <v>176445</v>
      </c>
      <c r="E2014" s="26">
        <v>82414</v>
      </c>
      <c r="F2014" s="10" t="s">
        <v>26</v>
      </c>
      <c r="G2014" s="10" t="s">
        <v>3885</v>
      </c>
      <c r="H2014" s="27" t="s">
        <v>28</v>
      </c>
      <c r="I2014" s="28" t="s">
        <v>41</v>
      </c>
      <c r="J2014" s="12" t="s">
        <v>41</v>
      </c>
      <c r="K2014" s="13">
        <v>19800</v>
      </c>
      <c r="L2014" s="21">
        <v>3</v>
      </c>
      <c r="M2014" s="14" t="s">
        <v>14</v>
      </c>
      <c r="N2014" s="13">
        <v>59400</v>
      </c>
      <c r="O2014" s="15">
        <v>0</v>
      </c>
      <c r="P2014" s="10" t="s">
        <v>78</v>
      </c>
      <c r="Q2014" s="11" t="s">
        <v>4464</v>
      </c>
      <c r="R2014" s="11" t="s">
        <v>4465</v>
      </c>
      <c r="S2014" s="16" t="s">
        <v>4466</v>
      </c>
      <c r="T2014" s="19" t="str">
        <f>MONTH(B2014)&amp;"-"&amp;YEAR(B2014)</f>
        <v>8-2025</v>
      </c>
      <c r="U2014" s="2">
        <f>YEAR(B2014)</f>
        <v>2025</v>
      </c>
      <c r="V2014" s="2" t="str">
        <f>IF(DAY(B2014)&gt;15,MONTH(B2014)&amp;"-C",MONTH(B2014)&amp;"-N")</f>
        <v>8-N</v>
      </c>
      <c r="W2014" s="21"/>
      <c r="X2014" s="2" t="b">
        <f t="shared" si="1128"/>
        <v>0</v>
      </c>
    </row>
    <row r="2015" spans="2:24" x14ac:dyDescent="0.2">
      <c r="B2015" s="17">
        <v>45884</v>
      </c>
      <c r="C2015" s="10" t="s">
        <v>25</v>
      </c>
      <c r="D2015" s="11">
        <v>175607</v>
      </c>
      <c r="E2015" s="26">
        <v>82422</v>
      </c>
      <c r="F2015" s="10" t="s">
        <v>31</v>
      </c>
      <c r="G2015" s="10" t="s">
        <v>3885</v>
      </c>
      <c r="H2015" s="27" t="s">
        <v>32</v>
      </c>
      <c r="I2015" s="28" t="s">
        <v>41</v>
      </c>
      <c r="J2015" s="12" t="s">
        <v>41</v>
      </c>
      <c r="K2015" s="13">
        <v>1920</v>
      </c>
      <c r="L2015" s="21">
        <v>3.5</v>
      </c>
      <c r="M2015" s="14" t="s">
        <v>14</v>
      </c>
      <c r="N2015" s="13">
        <v>6720</v>
      </c>
      <c r="O2015" s="15">
        <v>0</v>
      </c>
      <c r="P2015" s="10" t="s">
        <v>78</v>
      </c>
      <c r="Q2015" s="11" t="s">
        <v>4467</v>
      </c>
      <c r="R2015" s="11" t="s">
        <v>4468</v>
      </c>
      <c r="S2015" s="16" t="s">
        <v>4469</v>
      </c>
      <c r="T2015" s="19" t="str">
        <f>MONTH(B2015)&amp;"-"&amp;YEAR(B2015)</f>
        <v>8-2025</v>
      </c>
      <c r="U2015" s="2">
        <f>YEAR(B2015)</f>
        <v>2025</v>
      </c>
      <c r="V2015" s="2" t="str">
        <f>IF(DAY(B2015)&gt;15,MONTH(B2015)&amp;"-C",MONTH(B2015)&amp;"-N")</f>
        <v>8-N</v>
      </c>
      <c r="W2015" s="21"/>
      <c r="X2015" s="2" t="b">
        <f t="shared" si="1128"/>
        <v>0</v>
      </c>
    </row>
    <row r="2016" spans="2:24" x14ac:dyDescent="0.2">
      <c r="B2016" s="17">
        <v>45888</v>
      </c>
      <c r="C2016" s="10" t="s">
        <v>25</v>
      </c>
      <c r="D2016" s="11">
        <v>176288</v>
      </c>
      <c r="E2016" s="26">
        <v>82473</v>
      </c>
      <c r="F2016" s="10" t="s">
        <v>49</v>
      </c>
      <c r="G2016" s="10" t="s">
        <v>3885</v>
      </c>
      <c r="H2016" s="27" t="s">
        <v>50</v>
      </c>
      <c r="I2016" s="28" t="s">
        <v>41</v>
      </c>
      <c r="J2016" s="12" t="s">
        <v>41</v>
      </c>
      <c r="K2016" s="13">
        <v>1520</v>
      </c>
      <c r="L2016" s="21">
        <v>4.8499999999999996</v>
      </c>
      <c r="M2016" s="14" t="s">
        <v>14</v>
      </c>
      <c r="N2016" s="13">
        <v>7372</v>
      </c>
      <c r="O2016" s="15">
        <v>0</v>
      </c>
      <c r="P2016" s="10" t="s">
        <v>78</v>
      </c>
      <c r="Q2016" s="11" t="s">
        <v>4470</v>
      </c>
      <c r="R2016" s="11" t="s">
        <v>4471</v>
      </c>
      <c r="S2016" s="16" t="s">
        <v>4472</v>
      </c>
      <c r="T2016" s="19" t="str">
        <f>MONTH(B2016)&amp;"-"&amp;YEAR(B2016)</f>
        <v>8-2025</v>
      </c>
      <c r="U2016" s="2">
        <f>YEAR(B2016)</f>
        <v>2025</v>
      </c>
      <c r="V2016" s="2" t="str">
        <f>IF(DAY(B2016)&gt;15,MONTH(B2016)&amp;"-C",MONTH(B2016)&amp;"-N")</f>
        <v>8-C</v>
      </c>
      <c r="W2016" s="21"/>
      <c r="X2016" s="2" t="b">
        <f t="shared" ref="X2016:X2018" si="1129">+L2016=W2016</f>
        <v>0</v>
      </c>
    </row>
    <row r="2017" spans="2:24" x14ac:dyDescent="0.2">
      <c r="B2017" s="17">
        <v>45888</v>
      </c>
      <c r="C2017" s="10" t="s">
        <v>25</v>
      </c>
      <c r="D2017" s="11">
        <v>176475</v>
      </c>
      <c r="E2017" s="26">
        <v>82474</v>
      </c>
      <c r="F2017" s="10" t="s">
        <v>29</v>
      </c>
      <c r="G2017" s="10" t="s">
        <v>3885</v>
      </c>
      <c r="H2017" s="27" t="s">
        <v>30</v>
      </c>
      <c r="I2017" s="28" t="s">
        <v>41</v>
      </c>
      <c r="J2017" s="12" t="s">
        <v>41</v>
      </c>
      <c r="K2017" s="13">
        <v>1320</v>
      </c>
      <c r="L2017" s="21">
        <v>3.7</v>
      </c>
      <c r="M2017" s="14" t="s">
        <v>14</v>
      </c>
      <c r="N2017" s="13">
        <v>4884</v>
      </c>
      <c r="O2017" s="15">
        <v>0</v>
      </c>
      <c r="P2017" s="10" t="s">
        <v>78</v>
      </c>
      <c r="Q2017" s="11" t="s">
        <v>4473</v>
      </c>
      <c r="R2017" s="11" t="s">
        <v>4474</v>
      </c>
      <c r="S2017" s="16" t="s">
        <v>4475</v>
      </c>
      <c r="T2017" s="19" t="str">
        <f>MONTH(B2017)&amp;"-"&amp;YEAR(B2017)</f>
        <v>8-2025</v>
      </c>
      <c r="U2017" s="2">
        <f>YEAR(B2017)</f>
        <v>2025</v>
      </c>
      <c r="V2017" s="2" t="str">
        <f>IF(DAY(B2017)&gt;15,MONTH(B2017)&amp;"-C",MONTH(B2017)&amp;"-N")</f>
        <v>8-C</v>
      </c>
      <c r="W2017" s="21"/>
      <c r="X2017" s="2" t="b">
        <f t="shared" si="1129"/>
        <v>0</v>
      </c>
    </row>
    <row r="2018" spans="2:24" x14ac:dyDescent="0.2">
      <c r="B2018" s="17">
        <v>45888</v>
      </c>
      <c r="C2018" s="10" t="s">
        <v>94</v>
      </c>
      <c r="D2018" s="11">
        <v>176445</v>
      </c>
      <c r="E2018" s="26">
        <v>82476</v>
      </c>
      <c r="F2018" s="10" t="s">
        <v>26</v>
      </c>
      <c r="G2018" s="10" t="s">
        <v>3885</v>
      </c>
      <c r="H2018" s="27" t="s">
        <v>28</v>
      </c>
      <c r="I2018" s="28" t="s">
        <v>41</v>
      </c>
      <c r="J2018" s="12" t="s">
        <v>41</v>
      </c>
      <c r="K2018" s="13">
        <v>18000</v>
      </c>
      <c r="L2018" s="21">
        <v>3</v>
      </c>
      <c r="M2018" s="14" t="s">
        <v>14</v>
      </c>
      <c r="N2018" s="13">
        <v>54000</v>
      </c>
      <c r="O2018" s="15">
        <v>0</v>
      </c>
      <c r="P2018" s="10" t="s">
        <v>78</v>
      </c>
      <c r="Q2018" s="11" t="s">
        <v>4476</v>
      </c>
      <c r="R2018" s="11" t="s">
        <v>4477</v>
      </c>
      <c r="S2018" s="16" t="s">
        <v>4478</v>
      </c>
      <c r="T2018" s="19" t="str">
        <f>MONTH(B2018)&amp;"-"&amp;YEAR(B2018)</f>
        <v>8-2025</v>
      </c>
      <c r="U2018" s="2">
        <f>YEAR(B2018)</f>
        <v>2025</v>
      </c>
      <c r="V2018" s="2" t="str">
        <f>IF(DAY(B2018)&gt;15,MONTH(B2018)&amp;"-C",MONTH(B2018)&amp;"-N")</f>
        <v>8-C</v>
      </c>
      <c r="W2018" s="21"/>
      <c r="X2018" s="2" t="b">
        <f t="shared" si="1129"/>
        <v>0</v>
      </c>
    </row>
    <row r="2019" spans="2:24" x14ac:dyDescent="0.2">
      <c r="B2019" s="17">
        <v>45893</v>
      </c>
      <c r="C2019" s="10" t="s">
        <v>94</v>
      </c>
      <c r="D2019" s="11">
        <v>176445</v>
      </c>
      <c r="E2019" s="26">
        <v>82557</v>
      </c>
      <c r="F2019" s="10" t="s">
        <v>26</v>
      </c>
      <c r="G2019" s="10" t="s">
        <v>3885</v>
      </c>
      <c r="H2019" s="27" t="s">
        <v>28</v>
      </c>
      <c r="I2019" s="28" t="s">
        <v>41</v>
      </c>
      <c r="J2019" s="12" t="s">
        <v>41</v>
      </c>
      <c r="K2019" s="13">
        <v>18000</v>
      </c>
      <c r="L2019" s="21">
        <v>3</v>
      </c>
      <c r="M2019" s="14" t="s">
        <v>14</v>
      </c>
      <c r="N2019" s="13">
        <v>54000</v>
      </c>
      <c r="O2019" s="15">
        <v>0</v>
      </c>
      <c r="P2019" s="10" t="s">
        <v>78</v>
      </c>
      <c r="Q2019" s="11" t="s">
        <v>4479</v>
      </c>
      <c r="R2019" s="11" t="s">
        <v>4480</v>
      </c>
      <c r="S2019" s="16" t="s">
        <v>4481</v>
      </c>
      <c r="T2019" s="19" t="str">
        <f>MONTH(B2019)&amp;"-"&amp;YEAR(B2019)</f>
        <v>8-2025</v>
      </c>
      <c r="U2019" s="2">
        <f>YEAR(B2019)</f>
        <v>2025</v>
      </c>
      <c r="V2019" s="2" t="str">
        <f>IF(DAY(B2019)&gt;15,MONTH(B2019)&amp;"-C",MONTH(B2019)&amp;"-N")</f>
        <v>8-C</v>
      </c>
      <c r="W2019" s="21"/>
      <c r="X2019" s="2" t="b">
        <f t="shared" ref="X2019:X2023" si="1130">+L2019=W2019</f>
        <v>0</v>
      </c>
    </row>
    <row r="2020" spans="2:24" x14ac:dyDescent="0.2">
      <c r="B2020" s="17">
        <v>45884</v>
      </c>
      <c r="C2020" s="10" t="s">
        <v>107</v>
      </c>
      <c r="D2020" s="11">
        <v>176430</v>
      </c>
      <c r="E2020" s="26">
        <v>82430</v>
      </c>
      <c r="F2020" s="10" t="s">
        <v>103</v>
      </c>
      <c r="G2020" s="10" t="s">
        <v>3901</v>
      </c>
      <c r="H2020" s="27" t="s">
        <v>104</v>
      </c>
      <c r="I2020" s="28" t="s">
        <v>41</v>
      </c>
      <c r="J2020" s="12" t="s">
        <v>41</v>
      </c>
      <c r="K2020" s="13">
        <v>135</v>
      </c>
      <c r="L2020" s="21">
        <v>47.46</v>
      </c>
      <c r="M2020" s="14" t="s">
        <v>14</v>
      </c>
      <c r="N2020" s="13">
        <v>6407.1</v>
      </c>
      <c r="O2020" s="15">
        <v>0</v>
      </c>
      <c r="P2020" s="10" t="s">
        <v>84</v>
      </c>
      <c r="Q2020" s="11" t="s">
        <v>4482</v>
      </c>
      <c r="R2020" s="11" t="s">
        <v>4483</v>
      </c>
      <c r="S2020" s="16" t="s">
        <v>4484</v>
      </c>
      <c r="T2020" s="19" t="str">
        <f>MONTH(B2020)&amp;"-"&amp;YEAR(B2020)</f>
        <v>8-2025</v>
      </c>
      <c r="U2020" s="2">
        <f>YEAR(B2020)</f>
        <v>2025</v>
      </c>
      <c r="V2020" s="2" t="str">
        <f>IF(DAY(B2020)&gt;15,MONTH(B2020)&amp;"-C",MONTH(B2020)&amp;"-N")</f>
        <v>8-N</v>
      </c>
      <c r="W2020" s="21"/>
      <c r="X2020" s="2" t="b">
        <f t="shared" si="1130"/>
        <v>0</v>
      </c>
    </row>
    <row r="2021" spans="2:24" x14ac:dyDescent="0.2">
      <c r="B2021" s="17">
        <v>45884</v>
      </c>
      <c r="C2021" s="10" t="s">
        <v>107</v>
      </c>
      <c r="D2021" s="11">
        <v>176639</v>
      </c>
      <c r="E2021" s="26">
        <v>82430</v>
      </c>
      <c r="F2021" s="10" t="s">
        <v>103</v>
      </c>
      <c r="G2021" s="10" t="s">
        <v>3901</v>
      </c>
      <c r="H2021" s="27" t="s">
        <v>104</v>
      </c>
      <c r="I2021" s="28" t="s">
        <v>41</v>
      </c>
      <c r="J2021" s="12" t="s">
        <v>41</v>
      </c>
      <c r="K2021" s="13">
        <v>35</v>
      </c>
      <c r="L2021" s="21">
        <v>47.46</v>
      </c>
      <c r="M2021" s="14" t="s">
        <v>14</v>
      </c>
      <c r="N2021" s="13">
        <v>1661.1</v>
      </c>
      <c r="O2021" s="15">
        <v>0</v>
      </c>
      <c r="P2021" s="10" t="s">
        <v>84</v>
      </c>
      <c r="Q2021" s="11" t="s">
        <v>4482</v>
      </c>
      <c r="R2021" s="11" t="s">
        <v>4483</v>
      </c>
      <c r="S2021" s="16" t="s">
        <v>4484</v>
      </c>
      <c r="T2021" s="19" t="str">
        <f>MONTH(B2021)&amp;"-"&amp;YEAR(B2021)</f>
        <v>8-2025</v>
      </c>
      <c r="U2021" s="2">
        <f>YEAR(B2021)</f>
        <v>2025</v>
      </c>
      <c r="V2021" s="2" t="str">
        <f>IF(DAY(B2021)&gt;15,MONTH(B2021)&amp;"-C",MONTH(B2021)&amp;"-N")</f>
        <v>8-N</v>
      </c>
      <c r="W2021" s="21"/>
      <c r="X2021" s="2" t="b">
        <f t="shared" si="1130"/>
        <v>0</v>
      </c>
    </row>
    <row r="2022" spans="2:24" x14ac:dyDescent="0.2">
      <c r="B2022" s="17">
        <v>45884</v>
      </c>
      <c r="C2022" s="10" t="s">
        <v>107</v>
      </c>
      <c r="D2022" s="11">
        <v>176430</v>
      </c>
      <c r="E2022" s="26">
        <v>82430</v>
      </c>
      <c r="F2022" s="10" t="s">
        <v>105</v>
      </c>
      <c r="G2022" s="10" t="s">
        <v>3901</v>
      </c>
      <c r="H2022" s="27" t="s">
        <v>106</v>
      </c>
      <c r="I2022" s="28" t="s">
        <v>41</v>
      </c>
      <c r="J2022" s="12" t="s">
        <v>41</v>
      </c>
      <c r="K2022" s="13">
        <v>4800</v>
      </c>
      <c r="L2022" s="21">
        <v>11.72</v>
      </c>
      <c r="M2022" s="14" t="s">
        <v>14</v>
      </c>
      <c r="N2022" s="13">
        <v>56256</v>
      </c>
      <c r="O2022" s="15">
        <v>0</v>
      </c>
      <c r="P2022" s="10" t="s">
        <v>84</v>
      </c>
      <c r="Q2022" s="11" t="s">
        <v>4482</v>
      </c>
      <c r="R2022" s="11" t="s">
        <v>4483</v>
      </c>
      <c r="S2022" s="16" t="s">
        <v>4484</v>
      </c>
      <c r="T2022" s="19" t="str">
        <f>MONTH(B2022)&amp;"-"&amp;YEAR(B2022)</f>
        <v>8-2025</v>
      </c>
      <c r="U2022" s="2">
        <f>YEAR(B2022)</f>
        <v>2025</v>
      </c>
      <c r="V2022" s="2" t="str">
        <f>IF(DAY(B2022)&gt;15,MONTH(B2022)&amp;"-C",MONTH(B2022)&amp;"-N")</f>
        <v>8-N</v>
      </c>
      <c r="W2022" s="21"/>
      <c r="X2022" s="2" t="b">
        <f t="shared" si="1130"/>
        <v>0</v>
      </c>
    </row>
    <row r="2023" spans="2:24" x14ac:dyDescent="0.2">
      <c r="B2023" s="17">
        <v>45884</v>
      </c>
      <c r="C2023" s="10" t="s">
        <v>107</v>
      </c>
      <c r="D2023" s="11">
        <v>176639</v>
      </c>
      <c r="E2023" s="26">
        <v>82430</v>
      </c>
      <c r="F2023" s="10" t="s">
        <v>105</v>
      </c>
      <c r="G2023" s="10" t="s">
        <v>3901</v>
      </c>
      <c r="H2023" s="27" t="s">
        <v>106</v>
      </c>
      <c r="I2023" s="28" t="s">
        <v>41</v>
      </c>
      <c r="J2023" s="12" t="s">
        <v>41</v>
      </c>
      <c r="K2023" s="13">
        <v>1360</v>
      </c>
      <c r="L2023" s="21">
        <v>11.72</v>
      </c>
      <c r="M2023" s="14" t="s">
        <v>14</v>
      </c>
      <c r="N2023" s="13">
        <v>15939.2</v>
      </c>
      <c r="O2023" s="15">
        <v>0</v>
      </c>
      <c r="P2023" s="10" t="s">
        <v>84</v>
      </c>
      <c r="Q2023" s="11" t="s">
        <v>4482</v>
      </c>
      <c r="R2023" s="11" t="s">
        <v>4483</v>
      </c>
      <c r="S2023" s="16" t="s">
        <v>4484</v>
      </c>
      <c r="T2023" s="19" t="str">
        <f>MONTH(B2023)&amp;"-"&amp;YEAR(B2023)</f>
        <v>8-2025</v>
      </c>
      <c r="U2023" s="2">
        <f>YEAR(B2023)</f>
        <v>2025</v>
      </c>
      <c r="V2023" s="2" t="str">
        <f>IF(DAY(B2023)&gt;15,MONTH(B2023)&amp;"-C",MONTH(B2023)&amp;"-N")</f>
        <v>8-N</v>
      </c>
      <c r="W2023" s="21"/>
      <c r="X2023" s="2" t="b">
        <f t="shared" si="1130"/>
        <v>0</v>
      </c>
    </row>
    <row r="2024" spans="2:24" x14ac:dyDescent="0.2">
      <c r="B2024" s="17">
        <v>45898</v>
      </c>
      <c r="C2024" s="10" t="s">
        <v>25</v>
      </c>
      <c r="D2024" s="11">
        <v>176475</v>
      </c>
      <c r="E2024" s="26">
        <v>82688</v>
      </c>
      <c r="F2024" s="10" t="s">
        <v>33</v>
      </c>
      <c r="G2024" s="10" t="s">
        <v>3885</v>
      </c>
      <c r="H2024" s="27" t="s">
        <v>34</v>
      </c>
      <c r="I2024" s="28" t="s">
        <v>41</v>
      </c>
      <c r="J2024" s="12" t="s">
        <v>41</v>
      </c>
      <c r="K2024" s="13">
        <v>1080</v>
      </c>
      <c r="L2024" s="21">
        <v>4.9000000000000004</v>
      </c>
      <c r="M2024" s="14" t="s">
        <v>14</v>
      </c>
      <c r="N2024" s="13">
        <v>5292</v>
      </c>
      <c r="O2024" s="15">
        <v>0</v>
      </c>
      <c r="P2024" s="10" t="s">
        <v>78</v>
      </c>
      <c r="Q2024" s="11" t="s">
        <v>4485</v>
      </c>
      <c r="R2024" s="11" t="s">
        <v>4486</v>
      </c>
      <c r="S2024" s="16" t="s">
        <v>4487</v>
      </c>
      <c r="T2024" s="19" t="str">
        <f>MONTH(B2024)&amp;"-"&amp;YEAR(B2024)</f>
        <v>8-2025</v>
      </c>
      <c r="U2024" s="2">
        <f>YEAR(B2024)</f>
        <v>2025</v>
      </c>
      <c r="V2024" s="2" t="str">
        <f>IF(DAY(B2024)&gt;15,MONTH(B2024)&amp;"-C",MONTH(B2024)&amp;"-N")</f>
        <v>8-C</v>
      </c>
      <c r="W2024" s="21"/>
      <c r="X2024" s="2" t="b">
        <f t="shared" ref="X2024:X2025" si="1131">+L2024=W2024</f>
        <v>0</v>
      </c>
    </row>
    <row r="2025" spans="2:24" x14ac:dyDescent="0.2">
      <c r="B2025" s="17">
        <v>45898</v>
      </c>
      <c r="C2025" s="10" t="s">
        <v>25</v>
      </c>
      <c r="D2025" s="11">
        <v>175607</v>
      </c>
      <c r="E2025" s="26">
        <v>82689</v>
      </c>
      <c r="F2025" s="10" t="s">
        <v>31</v>
      </c>
      <c r="G2025" s="10" t="s">
        <v>3885</v>
      </c>
      <c r="H2025" s="27" t="s">
        <v>32</v>
      </c>
      <c r="I2025" s="28" t="s">
        <v>41</v>
      </c>
      <c r="J2025" s="12" t="s">
        <v>41</v>
      </c>
      <c r="K2025" s="13">
        <v>640</v>
      </c>
      <c r="L2025" s="21">
        <v>3.5</v>
      </c>
      <c r="M2025" s="14" t="s">
        <v>14</v>
      </c>
      <c r="N2025" s="13">
        <v>2240</v>
      </c>
      <c r="O2025" s="15">
        <v>0</v>
      </c>
      <c r="P2025" s="10" t="s">
        <v>78</v>
      </c>
      <c r="Q2025" s="11" t="s">
        <v>4488</v>
      </c>
      <c r="R2025" s="11" t="s">
        <v>4489</v>
      </c>
      <c r="S2025" s="16" t="s">
        <v>4490</v>
      </c>
      <c r="T2025" s="19" t="str">
        <f>MONTH(B2025)&amp;"-"&amp;YEAR(B2025)</f>
        <v>8-2025</v>
      </c>
      <c r="U2025" s="2">
        <f>YEAR(B2025)</f>
        <v>2025</v>
      </c>
      <c r="V2025" s="2" t="str">
        <f>IF(DAY(B2025)&gt;15,MONTH(B2025)&amp;"-C",MONTH(B2025)&amp;"-N")</f>
        <v>8-C</v>
      </c>
      <c r="W2025" s="21"/>
      <c r="X2025" s="2" t="b">
        <f t="shared" si="1131"/>
        <v>0</v>
      </c>
    </row>
    <row r="2026" spans="2:24" x14ac:dyDescent="0.2">
      <c r="B2026" s="17">
        <v>45899</v>
      </c>
      <c r="C2026" s="10" t="s">
        <v>94</v>
      </c>
      <c r="D2026" s="11">
        <v>176445</v>
      </c>
      <c r="E2026" s="26">
        <v>82767</v>
      </c>
      <c r="F2026" s="10" t="s">
        <v>26</v>
      </c>
      <c r="G2026" s="10" t="s">
        <v>3885</v>
      </c>
      <c r="H2026" s="27" t="s">
        <v>28</v>
      </c>
      <c r="I2026" s="28" t="s">
        <v>41</v>
      </c>
      <c r="J2026" s="12" t="s">
        <v>41</v>
      </c>
      <c r="K2026" s="13">
        <v>3600</v>
      </c>
      <c r="L2026" s="21">
        <v>3</v>
      </c>
      <c r="M2026" s="14" t="s">
        <v>14</v>
      </c>
      <c r="N2026" s="13">
        <v>10800</v>
      </c>
      <c r="O2026" s="15">
        <v>0</v>
      </c>
      <c r="P2026" s="10" t="s">
        <v>78</v>
      </c>
      <c r="Q2026" s="11" t="s">
        <v>4491</v>
      </c>
      <c r="R2026" s="11" t="s">
        <v>4492</v>
      </c>
      <c r="S2026" s="16" t="s">
        <v>4493</v>
      </c>
      <c r="T2026" s="19" t="str">
        <f>MONTH(B2026)&amp;"-"&amp;YEAR(B2026)</f>
        <v>8-2025</v>
      </c>
      <c r="U2026" s="2">
        <f>YEAR(B2026)</f>
        <v>2025</v>
      </c>
      <c r="V2026" s="2" t="str">
        <f>IF(DAY(B2026)&gt;15,MONTH(B2026)&amp;"-C",MONTH(B2026)&amp;"-N")</f>
        <v>8-C</v>
      </c>
      <c r="W2026" s="21"/>
      <c r="X2026" s="2" t="b">
        <f t="shared" ref="X2026" si="1132">+L2026=W2026</f>
        <v>0</v>
      </c>
    </row>
    <row r="2027" spans="2:24" x14ac:dyDescent="0.2">
      <c r="B2027" s="17">
        <v>45901</v>
      </c>
      <c r="C2027" s="10" t="s">
        <v>94</v>
      </c>
      <c r="D2027" s="11">
        <v>176445</v>
      </c>
      <c r="E2027" s="26">
        <v>82783</v>
      </c>
      <c r="F2027" s="10" t="s">
        <v>26</v>
      </c>
      <c r="G2027" s="10" t="s">
        <v>3885</v>
      </c>
      <c r="H2027" s="27" t="s">
        <v>28</v>
      </c>
      <c r="I2027" s="28" t="s">
        <v>41</v>
      </c>
      <c r="J2027" s="12" t="s">
        <v>41</v>
      </c>
      <c r="K2027" s="13">
        <v>3800</v>
      </c>
      <c r="L2027" s="21">
        <v>3</v>
      </c>
      <c r="M2027" s="14" t="s">
        <v>14</v>
      </c>
      <c r="N2027" s="13">
        <v>11400</v>
      </c>
      <c r="O2027" s="15">
        <v>0</v>
      </c>
      <c r="P2027" s="10" t="s">
        <v>78</v>
      </c>
      <c r="Q2027" s="11" t="s">
        <v>4494</v>
      </c>
      <c r="R2027" s="11" t="s">
        <v>4492</v>
      </c>
      <c r="S2027" s="16" t="s">
        <v>4495</v>
      </c>
      <c r="T2027" s="19" t="str">
        <f>MONTH(B2027)&amp;"-"&amp;YEAR(B2027)</f>
        <v>9-2025</v>
      </c>
      <c r="U2027" s="2">
        <f>YEAR(B2027)</f>
        <v>2025</v>
      </c>
      <c r="V2027" s="2" t="str">
        <f>IF(DAY(B2027)&gt;15,MONTH(B2027)&amp;"-C",MONTH(B2027)&amp;"-N")</f>
        <v>9-N</v>
      </c>
      <c r="W2027" s="21"/>
      <c r="X2027" s="2" t="b">
        <f t="shared" ref="X2027:X2028" si="1133">+L2027=W2027</f>
        <v>0</v>
      </c>
    </row>
    <row r="2028" spans="2:24" x14ac:dyDescent="0.2">
      <c r="B2028" s="17">
        <v>45901</v>
      </c>
      <c r="C2028" s="10" t="s">
        <v>94</v>
      </c>
      <c r="D2028" s="11">
        <v>176766</v>
      </c>
      <c r="E2028" s="26">
        <v>82783</v>
      </c>
      <c r="F2028" s="10" t="s">
        <v>26</v>
      </c>
      <c r="G2028" s="10" t="s">
        <v>3885</v>
      </c>
      <c r="H2028" s="27" t="s">
        <v>28</v>
      </c>
      <c r="I2028" s="28" t="s">
        <v>41</v>
      </c>
      <c r="J2028" s="12" t="s">
        <v>41</v>
      </c>
      <c r="K2028" s="13">
        <v>10600</v>
      </c>
      <c r="L2028" s="21">
        <v>2.95</v>
      </c>
      <c r="M2028" s="14" t="s">
        <v>14</v>
      </c>
      <c r="N2028" s="13">
        <v>31270</v>
      </c>
      <c r="O2028" s="15">
        <v>0</v>
      </c>
      <c r="P2028" s="10" t="s">
        <v>78</v>
      </c>
      <c r="Q2028" s="11" t="s">
        <v>4494</v>
      </c>
      <c r="R2028" s="11" t="s">
        <v>4492</v>
      </c>
      <c r="S2028" s="16" t="s">
        <v>4495</v>
      </c>
      <c r="T2028" s="19" t="str">
        <f>MONTH(B2028)&amp;"-"&amp;YEAR(B2028)</f>
        <v>9-2025</v>
      </c>
      <c r="U2028" s="2">
        <f>YEAR(B2028)</f>
        <v>2025</v>
      </c>
      <c r="V2028" s="2" t="str">
        <f>IF(DAY(B2028)&gt;15,MONTH(B2028)&amp;"-C",MONTH(B2028)&amp;"-N")</f>
        <v>9-N</v>
      </c>
      <c r="W2028" s="21"/>
      <c r="X2028" s="2" t="b">
        <f t="shared" si="1133"/>
        <v>0</v>
      </c>
    </row>
    <row r="2029" spans="2:24" x14ac:dyDescent="0.2">
      <c r="B2029" s="17">
        <v>45902</v>
      </c>
      <c r="C2029" s="10" t="s">
        <v>107</v>
      </c>
      <c r="D2029" s="11">
        <v>176703</v>
      </c>
      <c r="E2029" s="26">
        <v>82793</v>
      </c>
      <c r="F2029" s="10" t="s">
        <v>103</v>
      </c>
      <c r="G2029" s="10" t="s">
        <v>3901</v>
      </c>
      <c r="H2029" s="27" t="s">
        <v>104</v>
      </c>
      <c r="I2029" s="28" t="s">
        <v>41</v>
      </c>
      <c r="J2029" s="12" t="s">
        <v>41</v>
      </c>
      <c r="K2029" s="13">
        <v>185</v>
      </c>
      <c r="L2029" s="21">
        <v>47.46</v>
      </c>
      <c r="M2029" s="14" t="s">
        <v>14</v>
      </c>
      <c r="N2029" s="13">
        <v>8780.1</v>
      </c>
      <c r="O2029" s="15">
        <v>0</v>
      </c>
      <c r="P2029" s="10" t="s">
        <v>84</v>
      </c>
      <c r="Q2029" s="11" t="s">
        <v>4497</v>
      </c>
      <c r="R2029" s="11" t="s">
        <v>4498</v>
      </c>
      <c r="S2029" s="16" t="s">
        <v>4499</v>
      </c>
      <c r="T2029" s="19" t="str">
        <f>MONTH(B2029)&amp;"-"&amp;YEAR(B2029)</f>
        <v>9-2025</v>
      </c>
      <c r="U2029" s="2">
        <f>YEAR(B2029)</f>
        <v>2025</v>
      </c>
      <c r="V2029" s="2" t="str">
        <f>IF(DAY(B2029)&gt;15,MONTH(B2029)&amp;"-C",MONTH(B2029)&amp;"-N")</f>
        <v>9-N</v>
      </c>
      <c r="W2029" s="21"/>
      <c r="X2029" s="2" t="b">
        <f t="shared" ref="X2029:X2040" si="1134">+L2029=W2029</f>
        <v>0</v>
      </c>
    </row>
    <row r="2030" spans="2:24" x14ac:dyDescent="0.2">
      <c r="B2030" s="17">
        <v>45902</v>
      </c>
      <c r="C2030" s="10" t="s">
        <v>107</v>
      </c>
      <c r="D2030" s="11">
        <v>176703</v>
      </c>
      <c r="E2030" s="26">
        <v>82793</v>
      </c>
      <c r="F2030" s="10" t="s">
        <v>105</v>
      </c>
      <c r="G2030" s="10" t="s">
        <v>3901</v>
      </c>
      <c r="H2030" s="27" t="s">
        <v>106</v>
      </c>
      <c r="I2030" s="28" t="s">
        <v>41</v>
      </c>
      <c r="J2030" s="12" t="s">
        <v>41</v>
      </c>
      <c r="K2030" s="13">
        <v>6160</v>
      </c>
      <c r="L2030" s="21">
        <v>11.72</v>
      </c>
      <c r="M2030" s="14" t="s">
        <v>14</v>
      </c>
      <c r="N2030" s="13">
        <v>72195.199999999997</v>
      </c>
      <c r="O2030" s="15">
        <v>0</v>
      </c>
      <c r="P2030" s="10" t="s">
        <v>84</v>
      </c>
      <c r="Q2030" s="11" t="s">
        <v>4497</v>
      </c>
      <c r="R2030" s="11" t="s">
        <v>4498</v>
      </c>
      <c r="S2030" s="16" t="s">
        <v>4499</v>
      </c>
      <c r="T2030" s="19" t="str">
        <f>MONTH(B2030)&amp;"-"&amp;YEAR(B2030)</f>
        <v>9-2025</v>
      </c>
      <c r="U2030" s="2">
        <f>YEAR(B2030)</f>
        <v>2025</v>
      </c>
      <c r="V2030" s="2" t="str">
        <f>IF(DAY(B2030)&gt;15,MONTH(B2030)&amp;"-C",MONTH(B2030)&amp;"-N")</f>
        <v>9-N</v>
      </c>
      <c r="W2030" s="21"/>
      <c r="X2030" s="2" t="b">
        <f t="shared" si="1134"/>
        <v>0</v>
      </c>
    </row>
    <row r="2031" spans="2:24" x14ac:dyDescent="0.2">
      <c r="B2031" s="17">
        <v>45904</v>
      </c>
      <c r="C2031" s="10" t="s">
        <v>88</v>
      </c>
      <c r="D2031" s="11">
        <v>176701</v>
      </c>
      <c r="E2031" s="26">
        <v>82827</v>
      </c>
      <c r="F2031" s="10" t="s">
        <v>98</v>
      </c>
      <c r="G2031" s="10" t="s">
        <v>3901</v>
      </c>
      <c r="H2031" s="27" t="s">
        <v>99</v>
      </c>
      <c r="I2031" s="28" t="s">
        <v>41</v>
      </c>
      <c r="J2031" s="12" t="s">
        <v>41</v>
      </c>
      <c r="K2031" s="13">
        <v>40</v>
      </c>
      <c r="L2031" s="21">
        <v>11.25</v>
      </c>
      <c r="M2031" s="14" t="s">
        <v>14</v>
      </c>
      <c r="N2031" s="13">
        <v>450</v>
      </c>
      <c r="O2031" s="15">
        <v>0</v>
      </c>
      <c r="P2031" s="10" t="s">
        <v>84</v>
      </c>
      <c r="Q2031" s="11" t="s">
        <v>4500</v>
      </c>
      <c r="R2031" s="11" t="s">
        <v>4501</v>
      </c>
      <c r="S2031" s="16" t="s">
        <v>4502</v>
      </c>
      <c r="T2031" s="19" t="str">
        <f>MONTH(B2031)&amp;"-"&amp;YEAR(B2031)</f>
        <v>9-2025</v>
      </c>
      <c r="U2031" s="2">
        <f>YEAR(B2031)</f>
        <v>2025</v>
      </c>
      <c r="V2031" s="2" t="str">
        <f>IF(DAY(B2031)&gt;15,MONTH(B2031)&amp;"-C",MONTH(B2031)&amp;"-N")</f>
        <v>9-N</v>
      </c>
      <c r="W2031" s="21"/>
      <c r="X2031" s="2" t="b">
        <f t="shared" si="1134"/>
        <v>0</v>
      </c>
    </row>
    <row r="2032" spans="2:24" x14ac:dyDescent="0.2">
      <c r="B2032" s="17">
        <v>45904</v>
      </c>
      <c r="C2032" s="10" t="s">
        <v>88</v>
      </c>
      <c r="D2032" s="11">
        <v>176701</v>
      </c>
      <c r="E2032" s="26">
        <v>82827</v>
      </c>
      <c r="F2032" s="10" t="s">
        <v>100</v>
      </c>
      <c r="G2032" s="10" t="s">
        <v>3901</v>
      </c>
      <c r="H2032" s="27" t="s">
        <v>101</v>
      </c>
      <c r="I2032" s="28" t="s">
        <v>41</v>
      </c>
      <c r="J2032" s="12" t="s">
        <v>41</v>
      </c>
      <c r="K2032" s="13">
        <v>2000</v>
      </c>
      <c r="L2032" s="21">
        <v>13.22</v>
      </c>
      <c r="M2032" s="14" t="s">
        <v>14</v>
      </c>
      <c r="N2032" s="13">
        <v>26440</v>
      </c>
      <c r="O2032" s="15">
        <v>0</v>
      </c>
      <c r="P2032" s="10" t="s">
        <v>84</v>
      </c>
      <c r="Q2032" s="11" t="s">
        <v>4500</v>
      </c>
      <c r="R2032" s="11" t="s">
        <v>4501</v>
      </c>
      <c r="S2032" s="16" t="s">
        <v>4502</v>
      </c>
      <c r="T2032" s="19" t="str">
        <f>MONTH(B2032)&amp;"-"&amp;YEAR(B2032)</f>
        <v>9-2025</v>
      </c>
      <c r="U2032" s="2">
        <f>YEAR(B2032)</f>
        <v>2025</v>
      </c>
      <c r="V2032" s="2" t="str">
        <f>IF(DAY(B2032)&gt;15,MONTH(B2032)&amp;"-C",MONTH(B2032)&amp;"-N")</f>
        <v>9-N</v>
      </c>
      <c r="W2032" s="21"/>
      <c r="X2032" s="2" t="b">
        <f t="shared" si="1134"/>
        <v>0</v>
      </c>
    </row>
    <row r="2033" spans="2:24" x14ac:dyDescent="0.2">
      <c r="B2033" s="17">
        <v>45909</v>
      </c>
      <c r="C2033" s="10" t="s">
        <v>25</v>
      </c>
      <c r="D2033" s="11">
        <v>176475</v>
      </c>
      <c r="E2033" s="26">
        <v>82890</v>
      </c>
      <c r="F2033" s="10" t="s">
        <v>29</v>
      </c>
      <c r="G2033" s="10" t="s">
        <v>3885</v>
      </c>
      <c r="H2033" s="27" t="s">
        <v>30</v>
      </c>
      <c r="I2033" s="28" t="s">
        <v>41</v>
      </c>
      <c r="J2033" s="12" t="s">
        <v>41</v>
      </c>
      <c r="K2033" s="13">
        <v>1650</v>
      </c>
      <c r="L2033" s="21">
        <v>3.7</v>
      </c>
      <c r="M2033" s="14" t="s">
        <v>14</v>
      </c>
      <c r="N2033" s="13">
        <v>6105</v>
      </c>
      <c r="O2033" s="15">
        <v>0</v>
      </c>
      <c r="P2033" s="10" t="s">
        <v>78</v>
      </c>
      <c r="Q2033" s="11" t="s">
        <v>4503</v>
      </c>
      <c r="R2033" s="11" t="s">
        <v>4504</v>
      </c>
      <c r="S2033" s="16" t="s">
        <v>4505</v>
      </c>
      <c r="T2033" s="19" t="str">
        <f>MONTH(B2033)&amp;"-"&amp;YEAR(B2033)</f>
        <v>9-2025</v>
      </c>
      <c r="U2033" s="2">
        <f>YEAR(B2033)</f>
        <v>2025</v>
      </c>
      <c r="V2033" s="2" t="str">
        <f>IF(DAY(B2033)&gt;15,MONTH(B2033)&amp;"-C",MONTH(B2033)&amp;"-N")</f>
        <v>9-N</v>
      </c>
      <c r="W2033" s="21"/>
      <c r="X2033" s="2" t="b">
        <f t="shared" si="1134"/>
        <v>0</v>
      </c>
    </row>
    <row r="2034" spans="2:24" x14ac:dyDescent="0.2">
      <c r="B2034" s="17">
        <v>45904</v>
      </c>
      <c r="C2034" s="10" t="s">
        <v>25</v>
      </c>
      <c r="D2034" s="11">
        <v>176759</v>
      </c>
      <c r="E2034" s="26">
        <v>82826</v>
      </c>
      <c r="F2034" s="10" t="s">
        <v>26</v>
      </c>
      <c r="G2034" s="10" t="s">
        <v>3885</v>
      </c>
      <c r="H2034" s="27" t="s">
        <v>28</v>
      </c>
      <c r="I2034" s="28" t="s">
        <v>41</v>
      </c>
      <c r="J2034" s="12" t="s">
        <v>41</v>
      </c>
      <c r="K2034" s="13">
        <v>11100</v>
      </c>
      <c r="L2034" s="21">
        <v>2.95</v>
      </c>
      <c r="M2034" s="14" t="s">
        <v>14</v>
      </c>
      <c r="N2034" s="13">
        <v>32745</v>
      </c>
      <c r="O2034" s="15">
        <v>0</v>
      </c>
      <c r="P2034" s="10" t="s">
        <v>78</v>
      </c>
      <c r="Q2034" s="11" t="s">
        <v>4506</v>
      </c>
      <c r="R2034" s="11" t="s">
        <v>4507</v>
      </c>
      <c r="S2034" s="16" t="s">
        <v>4508</v>
      </c>
      <c r="T2034" s="19" t="str">
        <f>MONTH(B2034)&amp;"-"&amp;YEAR(B2034)</f>
        <v>9-2025</v>
      </c>
      <c r="U2034" s="2">
        <f>YEAR(B2034)</f>
        <v>2025</v>
      </c>
      <c r="V2034" s="2" t="str">
        <f>IF(DAY(B2034)&gt;15,MONTH(B2034)&amp;"-C",MONTH(B2034)&amp;"-N")</f>
        <v>9-N</v>
      </c>
      <c r="W2034" s="21"/>
      <c r="X2034" s="2" t="b">
        <f t="shared" si="1134"/>
        <v>0</v>
      </c>
    </row>
    <row r="2035" spans="2:24" x14ac:dyDescent="0.2">
      <c r="B2035" s="17">
        <v>45904</v>
      </c>
      <c r="C2035" s="10" t="s">
        <v>25</v>
      </c>
      <c r="D2035" s="11">
        <v>175970</v>
      </c>
      <c r="E2035" s="26">
        <v>82825</v>
      </c>
      <c r="F2035" s="10" t="s">
        <v>26</v>
      </c>
      <c r="G2035" s="10" t="s">
        <v>3885</v>
      </c>
      <c r="H2035" s="27" t="s">
        <v>28</v>
      </c>
      <c r="I2035" s="28" t="s">
        <v>41</v>
      </c>
      <c r="J2035" s="12" t="s">
        <v>41</v>
      </c>
      <c r="K2035" s="13">
        <v>8700</v>
      </c>
      <c r="L2035" s="21">
        <v>3</v>
      </c>
      <c r="M2035" s="14" t="s">
        <v>14</v>
      </c>
      <c r="N2035" s="13">
        <v>26100</v>
      </c>
      <c r="O2035" s="15">
        <v>0</v>
      </c>
      <c r="P2035" s="10" t="s">
        <v>78</v>
      </c>
      <c r="Q2035" s="11" t="s">
        <v>4509</v>
      </c>
      <c r="R2035" s="11" t="s">
        <v>4510</v>
      </c>
      <c r="S2035" s="16" t="s">
        <v>4511</v>
      </c>
      <c r="T2035" s="19" t="str">
        <f>MONTH(B2035)&amp;"-"&amp;YEAR(B2035)</f>
        <v>9-2025</v>
      </c>
      <c r="U2035" s="2">
        <f>YEAR(B2035)</f>
        <v>2025</v>
      </c>
      <c r="V2035" s="2" t="str">
        <f>IF(DAY(B2035)&gt;15,MONTH(B2035)&amp;"-C",MONTH(B2035)&amp;"-N")</f>
        <v>9-N</v>
      </c>
      <c r="W2035" s="21"/>
      <c r="X2035" s="2" t="b">
        <f t="shared" si="1134"/>
        <v>0</v>
      </c>
    </row>
    <row r="2036" spans="2:24" x14ac:dyDescent="0.2">
      <c r="B2036" s="17">
        <v>45909</v>
      </c>
      <c r="C2036" s="10" t="s">
        <v>25</v>
      </c>
      <c r="D2036" s="11">
        <v>175607</v>
      </c>
      <c r="E2036" s="26">
        <v>82916</v>
      </c>
      <c r="F2036" s="10" t="s">
        <v>31</v>
      </c>
      <c r="G2036" s="10" t="s">
        <v>3885</v>
      </c>
      <c r="H2036" s="27" t="s">
        <v>32</v>
      </c>
      <c r="I2036" s="28" t="s">
        <v>41</v>
      </c>
      <c r="J2036" s="12" t="s">
        <v>41</v>
      </c>
      <c r="K2036" s="13">
        <v>480</v>
      </c>
      <c r="L2036" s="21">
        <v>3.5</v>
      </c>
      <c r="M2036" s="14" t="s">
        <v>14</v>
      </c>
      <c r="N2036" s="13">
        <v>1680</v>
      </c>
      <c r="O2036" s="15">
        <v>0</v>
      </c>
      <c r="P2036" s="10" t="s">
        <v>78</v>
      </c>
      <c r="Q2036" s="11" t="s">
        <v>4512</v>
      </c>
      <c r="R2036" s="11" t="s">
        <v>4513</v>
      </c>
      <c r="S2036" s="16" t="s">
        <v>4514</v>
      </c>
      <c r="T2036" s="19" t="str">
        <f>MONTH(B2036)&amp;"-"&amp;YEAR(B2036)</f>
        <v>9-2025</v>
      </c>
      <c r="U2036" s="2">
        <f>YEAR(B2036)</f>
        <v>2025</v>
      </c>
      <c r="V2036" s="2" t="str">
        <f>IF(DAY(B2036)&gt;15,MONTH(B2036)&amp;"-C",MONTH(B2036)&amp;"-N")</f>
        <v>9-N</v>
      </c>
      <c r="W2036" s="21"/>
      <c r="X2036" s="2" t="b">
        <f t="shared" si="1134"/>
        <v>0</v>
      </c>
    </row>
    <row r="2037" spans="2:24" x14ac:dyDescent="0.2">
      <c r="B2037" s="17">
        <v>45909</v>
      </c>
      <c r="C2037" s="10" t="s">
        <v>25</v>
      </c>
      <c r="D2037" s="11">
        <v>176844</v>
      </c>
      <c r="E2037" s="26">
        <v>82892</v>
      </c>
      <c r="F2037" s="10" t="s">
        <v>33</v>
      </c>
      <c r="G2037" s="10" t="s">
        <v>3885</v>
      </c>
      <c r="H2037" s="27" t="s">
        <v>34</v>
      </c>
      <c r="I2037" s="28" t="s">
        <v>41</v>
      </c>
      <c r="J2037" s="12" t="s">
        <v>41</v>
      </c>
      <c r="K2037" s="13">
        <v>1260</v>
      </c>
      <c r="L2037" s="21">
        <v>4.9000000000000004</v>
      </c>
      <c r="M2037" s="14" t="s">
        <v>14</v>
      </c>
      <c r="N2037" s="13">
        <v>6174</v>
      </c>
      <c r="O2037" s="15">
        <v>0</v>
      </c>
      <c r="P2037" s="10" t="s">
        <v>78</v>
      </c>
      <c r="Q2037" s="11" t="s">
        <v>4515</v>
      </c>
      <c r="R2037" s="11" t="s">
        <v>4516</v>
      </c>
      <c r="S2037" s="16" t="s">
        <v>4517</v>
      </c>
      <c r="T2037" s="19" t="str">
        <f>MONTH(B2037)&amp;"-"&amp;YEAR(B2037)</f>
        <v>9-2025</v>
      </c>
      <c r="U2037" s="2">
        <f>YEAR(B2037)</f>
        <v>2025</v>
      </c>
      <c r="V2037" s="2" t="str">
        <f>IF(DAY(B2037)&gt;15,MONTH(B2037)&amp;"-C",MONTH(B2037)&amp;"-N")</f>
        <v>9-N</v>
      </c>
      <c r="W2037" s="21"/>
      <c r="X2037" s="2" t="b">
        <f t="shared" si="1134"/>
        <v>0</v>
      </c>
    </row>
    <row r="2038" spans="2:24" x14ac:dyDescent="0.2">
      <c r="B2038" s="17">
        <v>45904</v>
      </c>
      <c r="C2038" s="10" t="s">
        <v>25</v>
      </c>
      <c r="D2038" s="11">
        <v>176844</v>
      </c>
      <c r="E2038" s="26">
        <v>82828</v>
      </c>
      <c r="F2038" s="10" t="s">
        <v>33</v>
      </c>
      <c r="G2038" s="10" t="s">
        <v>3885</v>
      </c>
      <c r="H2038" s="27" t="s">
        <v>34</v>
      </c>
      <c r="I2038" s="28" t="s">
        <v>41</v>
      </c>
      <c r="J2038" s="12" t="s">
        <v>41</v>
      </c>
      <c r="K2038" s="13">
        <v>1440</v>
      </c>
      <c r="L2038" s="21">
        <v>4.9000000000000004</v>
      </c>
      <c r="M2038" s="14" t="s">
        <v>14</v>
      </c>
      <c r="N2038" s="13">
        <v>7056</v>
      </c>
      <c r="O2038" s="15">
        <v>0</v>
      </c>
      <c r="P2038" s="10" t="s">
        <v>78</v>
      </c>
      <c r="Q2038" s="11" t="s">
        <v>4518</v>
      </c>
      <c r="R2038" s="11" t="s">
        <v>4519</v>
      </c>
      <c r="S2038" s="16" t="s">
        <v>4520</v>
      </c>
      <c r="T2038" s="19" t="str">
        <f>MONTH(B2038)&amp;"-"&amp;YEAR(B2038)</f>
        <v>9-2025</v>
      </c>
      <c r="U2038" s="2">
        <f>YEAR(B2038)</f>
        <v>2025</v>
      </c>
      <c r="V2038" s="2" t="str">
        <f>IF(DAY(B2038)&gt;15,MONTH(B2038)&amp;"-C",MONTH(B2038)&amp;"-N")</f>
        <v>9-N</v>
      </c>
      <c r="W2038" s="21"/>
      <c r="X2038" s="2" t="b">
        <f t="shared" si="1134"/>
        <v>0</v>
      </c>
    </row>
    <row r="2039" spans="2:24" x14ac:dyDescent="0.2">
      <c r="B2039" s="17">
        <v>45903</v>
      </c>
      <c r="C2039" s="10" t="s">
        <v>82</v>
      </c>
      <c r="D2039" s="11">
        <v>176822</v>
      </c>
      <c r="E2039" s="26">
        <v>82808</v>
      </c>
      <c r="F2039" s="10" t="s">
        <v>33</v>
      </c>
      <c r="G2039" s="10" t="s">
        <v>3885</v>
      </c>
      <c r="H2039" s="27" t="s">
        <v>34</v>
      </c>
      <c r="I2039" s="28" t="s">
        <v>41</v>
      </c>
      <c r="J2039" s="12" t="s">
        <v>41</v>
      </c>
      <c r="K2039" s="13">
        <v>720</v>
      </c>
      <c r="L2039" s="21">
        <v>5.75</v>
      </c>
      <c r="M2039" s="14" t="s">
        <v>14</v>
      </c>
      <c r="N2039" s="13">
        <v>4140</v>
      </c>
      <c r="O2039" s="15">
        <v>0</v>
      </c>
      <c r="P2039" s="10" t="s">
        <v>78</v>
      </c>
      <c r="Q2039" s="11" t="s">
        <v>4521</v>
      </c>
      <c r="R2039" s="11" t="s">
        <v>4522</v>
      </c>
      <c r="S2039" s="16" t="s">
        <v>4523</v>
      </c>
      <c r="T2039" s="19" t="str">
        <f>MONTH(B2039)&amp;"-"&amp;YEAR(B2039)</f>
        <v>9-2025</v>
      </c>
      <c r="U2039" s="2">
        <f>YEAR(B2039)</f>
        <v>2025</v>
      </c>
      <c r="V2039" s="2" t="str">
        <f>IF(DAY(B2039)&gt;15,MONTH(B2039)&amp;"-C",MONTH(B2039)&amp;"-N")</f>
        <v>9-N</v>
      </c>
      <c r="W2039" s="21"/>
      <c r="X2039" s="2" t="b">
        <f t="shared" si="1134"/>
        <v>0</v>
      </c>
    </row>
    <row r="2040" spans="2:24" x14ac:dyDescent="0.2">
      <c r="B2040" s="17">
        <v>45906</v>
      </c>
      <c r="C2040" s="10" t="s">
        <v>82</v>
      </c>
      <c r="D2040" s="11">
        <v>176857</v>
      </c>
      <c r="E2040" s="26">
        <v>82850</v>
      </c>
      <c r="F2040" s="10" t="s">
        <v>31</v>
      </c>
      <c r="G2040" s="10" t="s">
        <v>3885</v>
      </c>
      <c r="H2040" s="27" t="s">
        <v>32</v>
      </c>
      <c r="I2040" s="28" t="s">
        <v>41</v>
      </c>
      <c r="J2040" s="12" t="s">
        <v>41</v>
      </c>
      <c r="K2040" s="13">
        <v>640</v>
      </c>
      <c r="L2040" s="21">
        <v>5.25</v>
      </c>
      <c r="M2040" s="14" t="s">
        <v>14</v>
      </c>
      <c r="N2040" s="13">
        <v>3360</v>
      </c>
      <c r="O2040" s="15">
        <v>0</v>
      </c>
      <c r="P2040" s="10" t="s">
        <v>78</v>
      </c>
      <c r="Q2040" s="11" t="s">
        <v>4524</v>
      </c>
      <c r="R2040" s="11" t="s">
        <v>4525</v>
      </c>
      <c r="S2040" s="16" t="s">
        <v>4526</v>
      </c>
      <c r="T2040" s="19" t="str">
        <f>MONTH(B2040)&amp;"-"&amp;YEAR(B2040)</f>
        <v>9-2025</v>
      </c>
      <c r="U2040" s="2">
        <f>YEAR(B2040)</f>
        <v>2025</v>
      </c>
      <c r="V2040" s="2" t="str">
        <f>IF(DAY(B2040)&gt;15,MONTH(B2040)&amp;"-C",MONTH(B2040)&amp;"-N")</f>
        <v>9-N</v>
      </c>
      <c r="W2040" s="21"/>
      <c r="X2040" s="2" t="b">
        <f t="shared" si="1134"/>
        <v>0</v>
      </c>
    </row>
    <row r="2041" spans="2:24" x14ac:dyDescent="0.2">
      <c r="B2041" s="17">
        <v>45915</v>
      </c>
      <c r="C2041" s="10" t="s">
        <v>698</v>
      </c>
      <c r="D2041" s="11">
        <v>176413</v>
      </c>
      <c r="E2041" s="26">
        <v>83005</v>
      </c>
      <c r="F2041" s="10" t="s">
        <v>4527</v>
      </c>
      <c r="G2041" s="10" t="s">
        <v>3884</v>
      </c>
      <c r="H2041" s="27" t="s">
        <v>15</v>
      </c>
      <c r="I2041" s="28">
        <v>1085</v>
      </c>
      <c r="J2041" s="28">
        <v>15</v>
      </c>
      <c r="K2041" s="13">
        <v>891.2</v>
      </c>
      <c r="L2041" s="21">
        <v>7.72</v>
      </c>
      <c r="M2041" s="14" t="s">
        <v>14</v>
      </c>
      <c r="N2041" s="13">
        <v>6879.7079999999996</v>
      </c>
      <c r="O2041" s="15">
        <v>0</v>
      </c>
      <c r="P2041" s="10" t="s">
        <v>87</v>
      </c>
      <c r="Q2041" s="11" t="s">
        <v>4528</v>
      </c>
      <c r="R2041" s="11" t="s">
        <v>4529</v>
      </c>
      <c r="S2041" s="16" t="s">
        <v>4530</v>
      </c>
      <c r="T2041" s="19" t="str">
        <f>MONTH(B2041)&amp;"-"&amp;YEAR(B2041)</f>
        <v>9-2025</v>
      </c>
      <c r="U2041" s="2">
        <f>YEAR(B2041)</f>
        <v>2025</v>
      </c>
      <c r="V2041" s="2" t="str">
        <f>IF(DAY(B2041)&gt;15,MONTH(B2041)&amp;"-C",MONTH(B2041)&amp;"-N")</f>
        <v>9-N</v>
      </c>
      <c r="W2041" s="21"/>
      <c r="X2041" s="2" t="b">
        <f t="shared" ref="X2041:X2046" si="1135">+L2041=W2041</f>
        <v>0</v>
      </c>
    </row>
    <row r="2042" spans="2:24" x14ac:dyDescent="0.2">
      <c r="B2042" s="17">
        <v>45915</v>
      </c>
      <c r="C2042" s="10" t="s">
        <v>698</v>
      </c>
      <c r="D2042" s="11">
        <v>176413</v>
      </c>
      <c r="E2042" s="26">
        <v>83005</v>
      </c>
      <c r="F2042" s="10" t="s">
        <v>110</v>
      </c>
      <c r="G2042" s="10" t="s">
        <v>3884</v>
      </c>
      <c r="H2042" s="27" t="s">
        <v>15</v>
      </c>
      <c r="I2042" s="28">
        <v>1005</v>
      </c>
      <c r="J2042" s="28">
        <v>15</v>
      </c>
      <c r="K2042" s="13">
        <v>2464.6</v>
      </c>
      <c r="L2042" s="21">
        <v>7.72</v>
      </c>
      <c r="M2042" s="14" t="s">
        <v>14</v>
      </c>
      <c r="N2042" s="13">
        <v>19025.725999999999</v>
      </c>
      <c r="O2042" s="15">
        <v>0</v>
      </c>
      <c r="P2042" s="10" t="s">
        <v>87</v>
      </c>
      <c r="Q2042" s="11" t="s">
        <v>4528</v>
      </c>
      <c r="R2042" s="11" t="s">
        <v>4529</v>
      </c>
      <c r="S2042" s="16" t="s">
        <v>4530</v>
      </c>
      <c r="T2042" s="19" t="str">
        <f>MONTH(B2042)&amp;"-"&amp;YEAR(B2042)</f>
        <v>9-2025</v>
      </c>
      <c r="U2042" s="2">
        <f>YEAR(B2042)</f>
        <v>2025</v>
      </c>
      <c r="V2042" s="2" t="str">
        <f>IF(DAY(B2042)&gt;15,MONTH(B2042)&amp;"-C",MONTH(B2042)&amp;"-N")</f>
        <v>9-N</v>
      </c>
      <c r="W2042" s="21"/>
      <c r="X2042" s="2" t="b">
        <f t="shared" si="1135"/>
        <v>0</v>
      </c>
    </row>
    <row r="2043" spans="2:24" x14ac:dyDescent="0.2">
      <c r="B2043" s="17">
        <v>45915</v>
      </c>
      <c r="C2043" s="10" t="s">
        <v>698</v>
      </c>
      <c r="D2043" s="11">
        <v>176413</v>
      </c>
      <c r="E2043" s="26">
        <v>83005</v>
      </c>
      <c r="F2043" s="10" t="s">
        <v>102</v>
      </c>
      <c r="G2043" s="10" t="s">
        <v>3884</v>
      </c>
      <c r="H2043" s="27" t="s">
        <v>15</v>
      </c>
      <c r="I2043" s="28">
        <v>1200</v>
      </c>
      <c r="J2043" s="28">
        <v>15</v>
      </c>
      <c r="K2043" s="13">
        <v>2942.7</v>
      </c>
      <c r="L2043" s="21">
        <v>7.72</v>
      </c>
      <c r="M2043" s="14" t="s">
        <v>14</v>
      </c>
      <c r="N2043" s="13">
        <v>22716.467000000001</v>
      </c>
      <c r="O2043" s="15">
        <v>0</v>
      </c>
      <c r="P2043" s="10" t="s">
        <v>87</v>
      </c>
      <c r="Q2043" s="11" t="s">
        <v>4528</v>
      </c>
      <c r="R2043" s="11" t="s">
        <v>4529</v>
      </c>
      <c r="S2043" s="16" t="s">
        <v>4530</v>
      </c>
      <c r="T2043" s="19" t="str">
        <f>MONTH(B2043)&amp;"-"&amp;YEAR(B2043)</f>
        <v>9-2025</v>
      </c>
      <c r="U2043" s="2">
        <f>YEAR(B2043)</f>
        <v>2025</v>
      </c>
      <c r="V2043" s="2" t="str">
        <f>IF(DAY(B2043)&gt;15,MONTH(B2043)&amp;"-C",MONTH(B2043)&amp;"-N")</f>
        <v>9-N</v>
      </c>
      <c r="W2043" s="21"/>
      <c r="X2043" s="2" t="b">
        <f t="shared" si="1135"/>
        <v>0</v>
      </c>
    </row>
    <row r="2044" spans="2:24" x14ac:dyDescent="0.2">
      <c r="B2044" s="17">
        <v>45915</v>
      </c>
      <c r="C2044" s="10" t="s">
        <v>698</v>
      </c>
      <c r="D2044" s="11">
        <v>176413</v>
      </c>
      <c r="E2044" s="26">
        <v>83005</v>
      </c>
      <c r="F2044" s="10" t="s">
        <v>4531</v>
      </c>
      <c r="G2044" s="10" t="s">
        <v>3884</v>
      </c>
      <c r="H2044" s="27" t="s">
        <v>15</v>
      </c>
      <c r="I2044" s="28">
        <v>1290</v>
      </c>
      <c r="J2044" s="28">
        <v>15</v>
      </c>
      <c r="K2044" s="13">
        <v>1059.4000000000001</v>
      </c>
      <c r="L2044" s="21">
        <v>7.72</v>
      </c>
      <c r="M2044" s="14" t="s">
        <v>14</v>
      </c>
      <c r="N2044" s="13">
        <v>8178.1440000000002</v>
      </c>
      <c r="O2044" s="15">
        <v>0</v>
      </c>
      <c r="P2044" s="10" t="s">
        <v>87</v>
      </c>
      <c r="Q2044" s="11" t="s">
        <v>4528</v>
      </c>
      <c r="R2044" s="11" t="s">
        <v>4529</v>
      </c>
      <c r="S2044" s="16" t="s">
        <v>4530</v>
      </c>
      <c r="T2044" s="19" t="str">
        <f>MONTH(B2044)&amp;"-"&amp;YEAR(B2044)</f>
        <v>9-2025</v>
      </c>
      <c r="U2044" s="2">
        <f>YEAR(B2044)</f>
        <v>2025</v>
      </c>
      <c r="V2044" s="2" t="str">
        <f>IF(DAY(B2044)&gt;15,MONTH(B2044)&amp;"-C",MONTH(B2044)&amp;"-N")</f>
        <v>9-N</v>
      </c>
      <c r="W2044" s="21"/>
      <c r="X2044" s="2" t="b">
        <f t="shared" si="1135"/>
        <v>0</v>
      </c>
    </row>
    <row r="2045" spans="2:24" x14ac:dyDescent="0.2">
      <c r="B2045" s="17">
        <v>45915</v>
      </c>
      <c r="C2045" s="10" t="s">
        <v>698</v>
      </c>
      <c r="D2045" s="11">
        <v>176413</v>
      </c>
      <c r="E2045" s="26">
        <v>83005</v>
      </c>
      <c r="F2045" s="10" t="s">
        <v>4532</v>
      </c>
      <c r="G2045" s="10" t="s">
        <v>3884</v>
      </c>
      <c r="H2045" s="27" t="s">
        <v>15</v>
      </c>
      <c r="I2045" s="28">
        <v>1295</v>
      </c>
      <c r="J2045" s="28">
        <v>15</v>
      </c>
      <c r="K2045" s="13">
        <v>2624.2</v>
      </c>
      <c r="L2045" s="21">
        <v>7.72</v>
      </c>
      <c r="M2045" s="14" t="s">
        <v>14</v>
      </c>
      <c r="N2045" s="13">
        <v>20257.774000000001</v>
      </c>
      <c r="O2045" s="15">
        <v>0</v>
      </c>
      <c r="P2045" s="10" t="s">
        <v>87</v>
      </c>
      <c r="Q2045" s="11" t="s">
        <v>4528</v>
      </c>
      <c r="R2045" s="11" t="s">
        <v>4529</v>
      </c>
      <c r="S2045" s="16" t="s">
        <v>4530</v>
      </c>
      <c r="T2045" s="19" t="str">
        <f>MONTH(B2045)&amp;"-"&amp;YEAR(B2045)</f>
        <v>9-2025</v>
      </c>
      <c r="U2045" s="2">
        <f>YEAR(B2045)</f>
        <v>2025</v>
      </c>
      <c r="V2045" s="2" t="str">
        <f>IF(DAY(B2045)&gt;15,MONTH(B2045)&amp;"-C",MONTH(B2045)&amp;"-N")</f>
        <v>9-N</v>
      </c>
      <c r="W2045" s="21"/>
      <c r="X2045" s="2" t="b">
        <f t="shared" si="1135"/>
        <v>0</v>
      </c>
    </row>
    <row r="2046" spans="2:24" x14ac:dyDescent="0.2">
      <c r="B2046" s="17">
        <v>45915</v>
      </c>
      <c r="C2046" s="10" t="s">
        <v>698</v>
      </c>
      <c r="D2046" s="11">
        <v>176413</v>
      </c>
      <c r="E2046" s="26">
        <v>83005</v>
      </c>
      <c r="F2046" s="10" t="s">
        <v>410</v>
      </c>
      <c r="G2046" s="10" t="s">
        <v>3884</v>
      </c>
      <c r="H2046" s="27" t="s">
        <v>15</v>
      </c>
      <c r="I2046" s="28">
        <v>985</v>
      </c>
      <c r="J2046" s="28">
        <v>15</v>
      </c>
      <c r="K2046" s="13">
        <v>1206.0999999999999</v>
      </c>
      <c r="L2046" s="21">
        <v>7.72</v>
      </c>
      <c r="M2046" s="14" t="s">
        <v>14</v>
      </c>
      <c r="N2046" s="13">
        <v>9310.61</v>
      </c>
      <c r="O2046" s="15">
        <v>0</v>
      </c>
      <c r="P2046" s="10" t="s">
        <v>87</v>
      </c>
      <c r="Q2046" s="11" t="s">
        <v>4528</v>
      </c>
      <c r="R2046" s="11" t="s">
        <v>4529</v>
      </c>
      <c r="S2046" s="16" t="s">
        <v>4530</v>
      </c>
      <c r="T2046" s="19" t="str">
        <f>MONTH(B2046)&amp;"-"&amp;YEAR(B2046)</f>
        <v>9-2025</v>
      </c>
      <c r="U2046" s="2">
        <f>YEAR(B2046)</f>
        <v>2025</v>
      </c>
      <c r="V2046" s="2" t="str">
        <f>IF(DAY(B2046)&gt;15,MONTH(B2046)&amp;"-C",MONTH(B2046)&amp;"-N")</f>
        <v>9-N</v>
      </c>
      <c r="W2046" s="21"/>
      <c r="X2046" s="2" t="b">
        <f t="shared" si="1135"/>
        <v>0</v>
      </c>
    </row>
    <row r="2047" spans="2:24" x14ac:dyDescent="0.2">
      <c r="B2047" s="17">
        <v>45917</v>
      </c>
      <c r="C2047" s="10" t="s">
        <v>4144</v>
      </c>
      <c r="D2047" s="11">
        <v>176268</v>
      </c>
      <c r="E2047" s="26">
        <v>83052</v>
      </c>
      <c r="F2047" s="10" t="s">
        <v>135</v>
      </c>
      <c r="G2047" s="10" t="s">
        <v>3901</v>
      </c>
      <c r="H2047" s="27" t="s">
        <v>136</v>
      </c>
      <c r="I2047" s="28" t="s">
        <v>41</v>
      </c>
      <c r="J2047" s="12" t="s">
        <v>41</v>
      </c>
      <c r="K2047" s="13">
        <v>3600</v>
      </c>
      <c r="L2047" s="21">
        <v>9.7409999999999997</v>
      </c>
      <c r="M2047" s="14" t="s">
        <v>14</v>
      </c>
      <c r="N2047" s="13">
        <v>35069.040000000001</v>
      </c>
      <c r="O2047" s="15">
        <v>0</v>
      </c>
      <c r="P2047" s="10" t="s">
        <v>90</v>
      </c>
      <c r="Q2047" s="11" t="s">
        <v>4533</v>
      </c>
      <c r="R2047" s="11" t="s">
        <v>4534</v>
      </c>
      <c r="S2047" s="16" t="s">
        <v>4535</v>
      </c>
      <c r="T2047" s="19" t="str">
        <f>MONTH(B2047)&amp;"-"&amp;YEAR(B2047)</f>
        <v>9-2025</v>
      </c>
      <c r="U2047" s="2">
        <f>YEAR(B2047)</f>
        <v>2025</v>
      </c>
      <c r="V2047" s="2" t="str">
        <f>IF(DAY(B2047)&gt;15,MONTH(B2047)&amp;"-C",MONTH(B2047)&amp;"-N")</f>
        <v>9-C</v>
      </c>
      <c r="W2047" s="21"/>
      <c r="X2047" s="2" t="b">
        <f t="shared" ref="X2047:X2063" si="1136">+L2047=W2047</f>
        <v>0</v>
      </c>
    </row>
    <row r="2048" spans="2:24" x14ac:dyDescent="0.2">
      <c r="B2048" s="17">
        <v>45917</v>
      </c>
      <c r="C2048" s="10" t="s">
        <v>4144</v>
      </c>
      <c r="D2048" s="11">
        <v>176268</v>
      </c>
      <c r="E2048" s="26">
        <v>83052</v>
      </c>
      <c r="F2048" s="10" t="s">
        <v>71</v>
      </c>
      <c r="G2048" s="10" t="s">
        <v>3901</v>
      </c>
      <c r="H2048" s="27" t="s">
        <v>72</v>
      </c>
      <c r="I2048" s="28" t="s">
        <v>41</v>
      </c>
      <c r="J2048" s="12" t="s">
        <v>41</v>
      </c>
      <c r="K2048" s="13">
        <v>10200</v>
      </c>
      <c r="L2048" s="21">
        <v>9.5939999999999994</v>
      </c>
      <c r="M2048" s="14" t="s">
        <v>14</v>
      </c>
      <c r="N2048" s="13">
        <v>97862.471999999994</v>
      </c>
      <c r="O2048" s="15">
        <v>0</v>
      </c>
      <c r="P2048" s="10" t="s">
        <v>90</v>
      </c>
      <c r="Q2048" s="11" t="s">
        <v>4533</v>
      </c>
      <c r="R2048" s="11" t="s">
        <v>4534</v>
      </c>
      <c r="S2048" s="16" t="s">
        <v>4535</v>
      </c>
      <c r="T2048" s="19" t="str">
        <f>MONTH(B2048)&amp;"-"&amp;YEAR(B2048)</f>
        <v>9-2025</v>
      </c>
      <c r="U2048" s="2">
        <f>YEAR(B2048)</f>
        <v>2025</v>
      </c>
      <c r="V2048" s="2" t="str">
        <f>IF(DAY(B2048)&gt;15,MONTH(B2048)&amp;"-C",MONTH(B2048)&amp;"-N")</f>
        <v>9-C</v>
      </c>
      <c r="W2048" s="21"/>
      <c r="X2048" s="2" t="b">
        <f t="shared" si="1136"/>
        <v>0</v>
      </c>
    </row>
    <row r="2049" spans="2:24" x14ac:dyDescent="0.2">
      <c r="B2049" s="17">
        <v>45917</v>
      </c>
      <c r="C2049" s="10" t="s">
        <v>4144</v>
      </c>
      <c r="D2049" s="11">
        <v>176268</v>
      </c>
      <c r="E2049" s="26">
        <v>83052</v>
      </c>
      <c r="F2049" s="10" t="s">
        <v>2552</v>
      </c>
      <c r="G2049" s="10" t="s">
        <v>3901</v>
      </c>
      <c r="H2049" s="27" t="s">
        <v>2553</v>
      </c>
      <c r="I2049" s="28" t="s">
        <v>41</v>
      </c>
      <c r="J2049" s="12" t="s">
        <v>41</v>
      </c>
      <c r="K2049" s="13">
        <v>2200</v>
      </c>
      <c r="L2049" s="21">
        <v>9.5210000000000008</v>
      </c>
      <c r="M2049" s="14" t="s">
        <v>14</v>
      </c>
      <c r="N2049" s="13">
        <v>20945.848000000002</v>
      </c>
      <c r="O2049" s="15">
        <v>0</v>
      </c>
      <c r="P2049" s="10" t="s">
        <v>90</v>
      </c>
      <c r="Q2049" s="11" t="s">
        <v>4533</v>
      </c>
      <c r="R2049" s="11" t="s">
        <v>4534</v>
      </c>
      <c r="S2049" s="16" t="s">
        <v>4535</v>
      </c>
      <c r="T2049" s="19" t="str">
        <f>MONTH(B2049)&amp;"-"&amp;YEAR(B2049)</f>
        <v>9-2025</v>
      </c>
      <c r="U2049" s="2">
        <f>YEAR(B2049)</f>
        <v>2025</v>
      </c>
      <c r="V2049" s="2" t="str">
        <f>IF(DAY(B2049)&gt;15,MONTH(B2049)&amp;"-C",MONTH(B2049)&amp;"-N")</f>
        <v>9-C</v>
      </c>
      <c r="W2049" s="21"/>
      <c r="X2049" s="2" t="b">
        <f t="shared" si="1136"/>
        <v>0</v>
      </c>
    </row>
    <row r="2050" spans="2:24" x14ac:dyDescent="0.2">
      <c r="B2050" s="17">
        <v>45912</v>
      </c>
      <c r="C2050" s="10" t="s">
        <v>25</v>
      </c>
      <c r="D2050" s="11">
        <v>176898</v>
      </c>
      <c r="E2050" s="26">
        <v>82970</v>
      </c>
      <c r="F2050" s="10" t="s">
        <v>31</v>
      </c>
      <c r="G2050" s="10" t="s">
        <v>3885</v>
      </c>
      <c r="H2050" s="27" t="s">
        <v>32</v>
      </c>
      <c r="I2050" s="28" t="s">
        <v>41</v>
      </c>
      <c r="J2050" s="12" t="s">
        <v>41</v>
      </c>
      <c r="K2050" s="13">
        <v>1920</v>
      </c>
      <c r="L2050" s="21">
        <v>4.45</v>
      </c>
      <c r="M2050" s="14" t="s">
        <v>14</v>
      </c>
      <c r="N2050" s="13">
        <v>8544</v>
      </c>
      <c r="O2050" s="15">
        <v>0</v>
      </c>
      <c r="P2050" s="10" t="s">
        <v>78</v>
      </c>
      <c r="Q2050" s="11" t="s">
        <v>4536</v>
      </c>
      <c r="R2050" s="11" t="s">
        <v>4537</v>
      </c>
      <c r="S2050" s="16" t="s">
        <v>4538</v>
      </c>
      <c r="T2050" s="19" t="str">
        <f>MONTH(B2050)&amp;"-"&amp;YEAR(B2050)</f>
        <v>9-2025</v>
      </c>
      <c r="U2050" s="2">
        <f>YEAR(B2050)</f>
        <v>2025</v>
      </c>
      <c r="V2050" s="2" t="str">
        <f>IF(DAY(B2050)&gt;15,MONTH(B2050)&amp;"-C",MONTH(B2050)&amp;"-N")</f>
        <v>9-N</v>
      </c>
      <c r="W2050" s="21"/>
      <c r="X2050" s="2" t="b">
        <f t="shared" si="1136"/>
        <v>0</v>
      </c>
    </row>
    <row r="2051" spans="2:24" x14ac:dyDescent="0.2">
      <c r="B2051" s="17">
        <v>45924</v>
      </c>
      <c r="C2051" s="10" t="s">
        <v>25</v>
      </c>
      <c r="D2051" s="11">
        <v>176898</v>
      </c>
      <c r="E2051" s="26">
        <v>83183</v>
      </c>
      <c r="F2051" s="10" t="s">
        <v>33</v>
      </c>
      <c r="G2051" s="10" t="s">
        <v>3885</v>
      </c>
      <c r="H2051" s="27" t="s">
        <v>34</v>
      </c>
      <c r="I2051" s="28" t="s">
        <v>41</v>
      </c>
      <c r="J2051" s="12" t="s">
        <v>41</v>
      </c>
      <c r="K2051" s="13">
        <v>720</v>
      </c>
      <c r="L2051" s="21">
        <v>4.8</v>
      </c>
      <c r="M2051" s="14" t="s">
        <v>14</v>
      </c>
      <c r="N2051" s="13">
        <v>3456</v>
      </c>
      <c r="O2051" s="15">
        <v>0</v>
      </c>
      <c r="P2051" s="10" t="s">
        <v>78</v>
      </c>
      <c r="Q2051" s="11" t="s">
        <v>4539</v>
      </c>
      <c r="R2051" s="11" t="s">
        <v>4540</v>
      </c>
      <c r="S2051" s="16" t="s">
        <v>4541</v>
      </c>
      <c r="T2051" s="19" t="str">
        <f>MONTH(B2051)&amp;"-"&amp;YEAR(B2051)</f>
        <v>9-2025</v>
      </c>
      <c r="U2051" s="2">
        <f>YEAR(B2051)</f>
        <v>2025</v>
      </c>
      <c r="V2051" s="2" t="str">
        <f>IF(DAY(B2051)&gt;15,MONTH(B2051)&amp;"-C",MONTH(B2051)&amp;"-N")</f>
        <v>9-C</v>
      </c>
      <c r="W2051" s="21"/>
      <c r="X2051" s="2" t="b">
        <f t="shared" si="1136"/>
        <v>0</v>
      </c>
    </row>
    <row r="2052" spans="2:24" x14ac:dyDescent="0.2">
      <c r="B2052" s="17">
        <v>45919</v>
      </c>
      <c r="C2052" s="10" t="s">
        <v>25</v>
      </c>
      <c r="D2052" s="11">
        <v>176898</v>
      </c>
      <c r="E2052" s="26">
        <v>83090</v>
      </c>
      <c r="F2052" s="10" t="s">
        <v>33</v>
      </c>
      <c r="G2052" s="10" t="s">
        <v>3885</v>
      </c>
      <c r="H2052" s="27" t="s">
        <v>34</v>
      </c>
      <c r="I2052" s="28" t="s">
        <v>41</v>
      </c>
      <c r="J2052" s="12" t="s">
        <v>41</v>
      </c>
      <c r="K2052" s="13">
        <v>540</v>
      </c>
      <c r="L2052" s="21">
        <v>4.8</v>
      </c>
      <c r="M2052" s="14" t="s">
        <v>14</v>
      </c>
      <c r="N2052" s="13">
        <v>2592</v>
      </c>
      <c r="O2052" s="15">
        <v>0</v>
      </c>
      <c r="P2052" s="10" t="s">
        <v>78</v>
      </c>
      <c r="Q2052" s="11" t="s">
        <v>4542</v>
      </c>
      <c r="R2052" s="11" t="s">
        <v>4543</v>
      </c>
      <c r="S2052" s="16" t="s">
        <v>4544</v>
      </c>
      <c r="T2052" s="19" t="str">
        <f>MONTH(B2052)&amp;"-"&amp;YEAR(B2052)</f>
        <v>9-2025</v>
      </c>
      <c r="U2052" s="2">
        <f>YEAR(B2052)</f>
        <v>2025</v>
      </c>
      <c r="V2052" s="2" t="str">
        <f>IF(DAY(B2052)&gt;15,MONTH(B2052)&amp;"-C",MONTH(B2052)&amp;"-N")</f>
        <v>9-C</v>
      </c>
      <c r="W2052" s="21"/>
      <c r="X2052" s="2" t="b">
        <f t="shared" si="1136"/>
        <v>0</v>
      </c>
    </row>
    <row r="2053" spans="2:24" x14ac:dyDescent="0.2">
      <c r="B2053" s="17">
        <v>45918</v>
      </c>
      <c r="C2053" s="10" t="s">
        <v>25</v>
      </c>
      <c r="D2053" s="11">
        <v>176759</v>
      </c>
      <c r="E2053" s="26">
        <v>83072</v>
      </c>
      <c r="F2053" s="10" t="s">
        <v>26</v>
      </c>
      <c r="G2053" s="10" t="s">
        <v>3885</v>
      </c>
      <c r="H2053" s="27" t="s">
        <v>28</v>
      </c>
      <c r="I2053" s="28" t="s">
        <v>41</v>
      </c>
      <c r="J2053" s="12" t="s">
        <v>41</v>
      </c>
      <c r="K2053" s="13">
        <v>19800</v>
      </c>
      <c r="L2053" s="21">
        <v>2.95</v>
      </c>
      <c r="M2053" s="14" t="s">
        <v>14</v>
      </c>
      <c r="N2053" s="13">
        <v>58410</v>
      </c>
      <c r="O2053" s="15">
        <v>0</v>
      </c>
      <c r="P2053" s="10" t="s">
        <v>78</v>
      </c>
      <c r="Q2053" s="11" t="s">
        <v>4545</v>
      </c>
      <c r="R2053" s="11" t="s">
        <v>4546</v>
      </c>
      <c r="S2053" s="16" t="s">
        <v>4547</v>
      </c>
      <c r="T2053" s="19" t="str">
        <f>MONTH(B2053)&amp;"-"&amp;YEAR(B2053)</f>
        <v>9-2025</v>
      </c>
      <c r="U2053" s="2">
        <f>YEAR(B2053)</f>
        <v>2025</v>
      </c>
      <c r="V2053" s="2" t="str">
        <f>IF(DAY(B2053)&gt;15,MONTH(B2053)&amp;"-C",MONTH(B2053)&amp;"-N")</f>
        <v>9-C</v>
      </c>
      <c r="W2053" s="21"/>
      <c r="X2053" s="2" t="b">
        <f t="shared" si="1136"/>
        <v>0</v>
      </c>
    </row>
    <row r="2054" spans="2:24" x14ac:dyDescent="0.2">
      <c r="B2054" s="17">
        <v>45919</v>
      </c>
      <c r="C2054" s="10" t="s">
        <v>25</v>
      </c>
      <c r="D2054" s="11">
        <v>176844</v>
      </c>
      <c r="E2054" s="26">
        <v>83091</v>
      </c>
      <c r="F2054" s="10" t="s">
        <v>33</v>
      </c>
      <c r="G2054" s="10" t="s">
        <v>3885</v>
      </c>
      <c r="H2054" s="27" t="s">
        <v>34</v>
      </c>
      <c r="I2054" s="28" t="s">
        <v>41</v>
      </c>
      <c r="J2054" s="12" t="s">
        <v>41</v>
      </c>
      <c r="K2054" s="13">
        <v>1620</v>
      </c>
      <c r="L2054" s="21">
        <v>4.9000000000000004</v>
      </c>
      <c r="M2054" s="14" t="s">
        <v>14</v>
      </c>
      <c r="N2054" s="13">
        <v>7938</v>
      </c>
      <c r="O2054" s="15">
        <v>0</v>
      </c>
      <c r="P2054" s="10" t="s">
        <v>78</v>
      </c>
      <c r="Q2054" s="11" t="s">
        <v>4548</v>
      </c>
      <c r="R2054" s="11" t="s">
        <v>4549</v>
      </c>
      <c r="S2054" s="16" t="s">
        <v>4550</v>
      </c>
      <c r="T2054" s="19" t="str">
        <f>MONTH(B2054)&amp;"-"&amp;YEAR(B2054)</f>
        <v>9-2025</v>
      </c>
      <c r="U2054" s="2">
        <f>YEAR(B2054)</f>
        <v>2025</v>
      </c>
      <c r="V2054" s="2" t="str">
        <f>IF(DAY(B2054)&gt;15,MONTH(B2054)&amp;"-C",MONTH(B2054)&amp;"-N")</f>
        <v>9-C</v>
      </c>
      <c r="W2054" s="21"/>
      <c r="X2054" s="2" t="b">
        <f t="shared" si="1136"/>
        <v>0</v>
      </c>
    </row>
    <row r="2055" spans="2:24" x14ac:dyDescent="0.2">
      <c r="B2055" s="17">
        <v>45915</v>
      </c>
      <c r="C2055" s="10" t="s">
        <v>82</v>
      </c>
      <c r="D2055" s="11">
        <v>176913</v>
      </c>
      <c r="E2055" s="26">
        <v>83000</v>
      </c>
      <c r="F2055" s="10" t="s">
        <v>33</v>
      </c>
      <c r="G2055" s="10" t="s">
        <v>3885</v>
      </c>
      <c r="H2055" s="27" t="s">
        <v>34</v>
      </c>
      <c r="I2055" s="28" t="s">
        <v>41</v>
      </c>
      <c r="J2055" s="12" t="s">
        <v>41</v>
      </c>
      <c r="K2055" s="13">
        <v>1440</v>
      </c>
      <c r="L2055" s="21">
        <v>5.75</v>
      </c>
      <c r="M2055" s="14" t="s">
        <v>14</v>
      </c>
      <c r="N2055" s="13">
        <v>8280</v>
      </c>
      <c r="O2055" s="15">
        <v>0</v>
      </c>
      <c r="P2055" s="10" t="s">
        <v>78</v>
      </c>
      <c r="Q2055" s="11" t="s">
        <v>4551</v>
      </c>
      <c r="R2055" s="11" t="s">
        <v>4552</v>
      </c>
      <c r="S2055" s="16" t="s">
        <v>4553</v>
      </c>
      <c r="T2055" s="19" t="str">
        <f>MONTH(B2055)&amp;"-"&amp;YEAR(B2055)</f>
        <v>9-2025</v>
      </c>
      <c r="U2055" s="2">
        <f>YEAR(B2055)</f>
        <v>2025</v>
      </c>
      <c r="V2055" s="2" t="str">
        <f>IF(DAY(B2055)&gt;15,MONTH(B2055)&amp;"-C",MONTH(B2055)&amp;"-N")</f>
        <v>9-N</v>
      </c>
      <c r="W2055" s="21"/>
      <c r="X2055" s="2" t="b">
        <f t="shared" si="1136"/>
        <v>0</v>
      </c>
    </row>
    <row r="2056" spans="2:24" x14ac:dyDescent="0.2">
      <c r="B2056" s="17">
        <v>45923</v>
      </c>
      <c r="C2056" s="10" t="s">
        <v>107</v>
      </c>
      <c r="D2056" s="11">
        <v>176916</v>
      </c>
      <c r="E2056" s="26">
        <v>83143</v>
      </c>
      <c r="F2056" s="10" t="s">
        <v>103</v>
      </c>
      <c r="G2056" s="10" t="s">
        <v>3901</v>
      </c>
      <c r="H2056" s="27" t="s">
        <v>104</v>
      </c>
      <c r="I2056" s="28" t="s">
        <v>41</v>
      </c>
      <c r="J2056" s="12" t="s">
        <v>41</v>
      </c>
      <c r="K2056" s="13">
        <v>175</v>
      </c>
      <c r="L2056" s="21">
        <v>47.46</v>
      </c>
      <c r="M2056" s="14" t="s">
        <v>14</v>
      </c>
      <c r="N2056" s="13">
        <v>8305.5</v>
      </c>
      <c r="O2056" s="15">
        <v>0</v>
      </c>
      <c r="P2056" s="10" t="s">
        <v>84</v>
      </c>
      <c r="Q2056" s="11" t="s">
        <v>4554</v>
      </c>
      <c r="R2056" s="11" t="s">
        <v>4555</v>
      </c>
      <c r="S2056" s="16" t="s">
        <v>4556</v>
      </c>
      <c r="T2056" s="19" t="str">
        <f>MONTH(B2056)&amp;"-"&amp;YEAR(B2056)</f>
        <v>9-2025</v>
      </c>
      <c r="U2056" s="2">
        <f>YEAR(B2056)</f>
        <v>2025</v>
      </c>
      <c r="V2056" s="2" t="str">
        <f>IF(DAY(B2056)&gt;15,MONTH(B2056)&amp;"-C",MONTH(B2056)&amp;"-N")</f>
        <v>9-C</v>
      </c>
      <c r="W2056" s="21"/>
      <c r="X2056" s="2" t="b">
        <f t="shared" si="1136"/>
        <v>0</v>
      </c>
    </row>
    <row r="2057" spans="2:24" x14ac:dyDescent="0.2">
      <c r="B2057" s="17">
        <v>45923</v>
      </c>
      <c r="C2057" s="10" t="s">
        <v>107</v>
      </c>
      <c r="D2057" s="11">
        <v>176916</v>
      </c>
      <c r="E2057" s="26">
        <v>83143</v>
      </c>
      <c r="F2057" s="10" t="s">
        <v>105</v>
      </c>
      <c r="G2057" s="10" t="s">
        <v>3901</v>
      </c>
      <c r="H2057" s="27" t="s">
        <v>106</v>
      </c>
      <c r="I2057" s="28" t="s">
        <v>41</v>
      </c>
      <c r="J2057" s="12" t="s">
        <v>41</v>
      </c>
      <c r="K2057" s="13">
        <v>5720</v>
      </c>
      <c r="L2057" s="21">
        <v>11.72</v>
      </c>
      <c r="M2057" s="14" t="s">
        <v>14</v>
      </c>
      <c r="N2057" s="13">
        <v>67038.399999999994</v>
      </c>
      <c r="O2057" s="15">
        <v>0</v>
      </c>
      <c r="P2057" s="10" t="s">
        <v>84</v>
      </c>
      <c r="Q2057" s="11" t="s">
        <v>4554</v>
      </c>
      <c r="R2057" s="11" t="s">
        <v>4555</v>
      </c>
      <c r="S2057" s="16" t="s">
        <v>4556</v>
      </c>
      <c r="T2057" s="19" t="str">
        <f>MONTH(B2057)&amp;"-"&amp;YEAR(B2057)</f>
        <v>9-2025</v>
      </c>
      <c r="U2057" s="2">
        <f>YEAR(B2057)</f>
        <v>2025</v>
      </c>
      <c r="V2057" s="2" t="str">
        <f>IF(DAY(B2057)&gt;15,MONTH(B2057)&amp;"-C",MONTH(B2057)&amp;"-N")</f>
        <v>9-C</v>
      </c>
      <c r="W2057" s="21"/>
      <c r="X2057" s="2" t="b">
        <f t="shared" si="1136"/>
        <v>0</v>
      </c>
    </row>
    <row r="2058" spans="2:24" x14ac:dyDescent="0.2">
      <c r="B2058" s="17">
        <v>45917</v>
      </c>
      <c r="C2058" s="10" t="s">
        <v>107</v>
      </c>
      <c r="D2058" s="11">
        <v>176916</v>
      </c>
      <c r="E2058" s="26">
        <v>83048</v>
      </c>
      <c r="F2058" s="10" t="s">
        <v>103</v>
      </c>
      <c r="G2058" s="10" t="s">
        <v>3901</v>
      </c>
      <c r="H2058" s="27" t="s">
        <v>104</v>
      </c>
      <c r="I2058" s="28" t="s">
        <v>41</v>
      </c>
      <c r="J2058" s="12" t="s">
        <v>41</v>
      </c>
      <c r="K2058" s="13">
        <v>175</v>
      </c>
      <c r="L2058" s="21">
        <v>47.46</v>
      </c>
      <c r="M2058" s="14" t="s">
        <v>14</v>
      </c>
      <c r="N2058" s="13">
        <v>8305.5</v>
      </c>
      <c r="O2058" s="15">
        <v>0</v>
      </c>
      <c r="P2058" s="10" t="s">
        <v>84</v>
      </c>
      <c r="Q2058" s="11" t="s">
        <v>4557</v>
      </c>
      <c r="R2058" s="11" t="s">
        <v>4558</v>
      </c>
      <c r="S2058" s="16" t="s">
        <v>4559</v>
      </c>
      <c r="T2058" s="19" t="str">
        <f>MONTH(B2058)&amp;"-"&amp;YEAR(B2058)</f>
        <v>9-2025</v>
      </c>
      <c r="U2058" s="2">
        <f>YEAR(B2058)</f>
        <v>2025</v>
      </c>
      <c r="V2058" s="2" t="str">
        <f>IF(DAY(B2058)&gt;15,MONTH(B2058)&amp;"-C",MONTH(B2058)&amp;"-N")</f>
        <v>9-C</v>
      </c>
      <c r="W2058" s="21"/>
      <c r="X2058" s="2" t="b">
        <f t="shared" si="1136"/>
        <v>0</v>
      </c>
    </row>
    <row r="2059" spans="2:24" x14ac:dyDescent="0.2">
      <c r="B2059" s="17">
        <v>45917</v>
      </c>
      <c r="C2059" s="10" t="s">
        <v>107</v>
      </c>
      <c r="D2059" s="11">
        <v>176916</v>
      </c>
      <c r="E2059" s="26">
        <v>83048</v>
      </c>
      <c r="F2059" s="10" t="s">
        <v>105</v>
      </c>
      <c r="G2059" s="10" t="s">
        <v>3901</v>
      </c>
      <c r="H2059" s="27" t="s">
        <v>106</v>
      </c>
      <c r="I2059" s="28" t="s">
        <v>41</v>
      </c>
      <c r="J2059" s="12" t="s">
        <v>41</v>
      </c>
      <c r="K2059" s="13">
        <v>5720</v>
      </c>
      <c r="L2059" s="21">
        <v>11.72</v>
      </c>
      <c r="M2059" s="14" t="s">
        <v>14</v>
      </c>
      <c r="N2059" s="13">
        <v>67038.399999999994</v>
      </c>
      <c r="O2059" s="15">
        <v>0</v>
      </c>
      <c r="P2059" s="10" t="s">
        <v>84</v>
      </c>
      <c r="Q2059" s="11" t="s">
        <v>4557</v>
      </c>
      <c r="R2059" s="11" t="s">
        <v>4558</v>
      </c>
      <c r="S2059" s="16" t="s">
        <v>4559</v>
      </c>
      <c r="T2059" s="19" t="str">
        <f>MONTH(B2059)&amp;"-"&amp;YEAR(B2059)</f>
        <v>9-2025</v>
      </c>
      <c r="U2059" s="2">
        <f>YEAR(B2059)</f>
        <v>2025</v>
      </c>
      <c r="V2059" s="2" t="str">
        <f>IF(DAY(B2059)&gt;15,MONTH(B2059)&amp;"-C",MONTH(B2059)&amp;"-N")</f>
        <v>9-C</v>
      </c>
      <c r="W2059" s="21"/>
      <c r="X2059" s="2" t="b">
        <f t="shared" si="1136"/>
        <v>0</v>
      </c>
    </row>
    <row r="2060" spans="2:24" x14ac:dyDescent="0.2">
      <c r="B2060" s="17">
        <v>45911</v>
      </c>
      <c r="C2060" s="10" t="s">
        <v>107</v>
      </c>
      <c r="D2060" s="11">
        <v>176703</v>
      </c>
      <c r="E2060" s="26">
        <v>82968</v>
      </c>
      <c r="F2060" s="10" t="s">
        <v>103</v>
      </c>
      <c r="G2060" s="10" t="s">
        <v>3901</v>
      </c>
      <c r="H2060" s="27" t="s">
        <v>104</v>
      </c>
      <c r="I2060" s="28" t="s">
        <v>41</v>
      </c>
      <c r="J2060" s="12" t="s">
        <v>41</v>
      </c>
      <c r="K2060" s="13">
        <v>185</v>
      </c>
      <c r="L2060" s="21">
        <v>47.46</v>
      </c>
      <c r="M2060" s="14" t="s">
        <v>14</v>
      </c>
      <c r="N2060" s="13">
        <v>8780.1</v>
      </c>
      <c r="O2060" s="15">
        <v>0</v>
      </c>
      <c r="P2060" s="10" t="s">
        <v>84</v>
      </c>
      <c r="Q2060" s="11" t="s">
        <v>4560</v>
      </c>
      <c r="R2060" s="11" t="s">
        <v>4561</v>
      </c>
      <c r="S2060" s="16" t="s">
        <v>4562</v>
      </c>
      <c r="T2060" s="19" t="str">
        <f>MONTH(B2060)&amp;"-"&amp;YEAR(B2060)</f>
        <v>9-2025</v>
      </c>
      <c r="U2060" s="2">
        <f>YEAR(B2060)</f>
        <v>2025</v>
      </c>
      <c r="V2060" s="2" t="str">
        <f>IF(DAY(B2060)&gt;15,MONTH(B2060)&amp;"-C",MONTH(B2060)&amp;"-N")</f>
        <v>9-N</v>
      </c>
      <c r="W2060" s="21"/>
      <c r="X2060" s="2" t="b">
        <f t="shared" si="1136"/>
        <v>0</v>
      </c>
    </row>
    <row r="2061" spans="2:24" x14ac:dyDescent="0.2">
      <c r="B2061" s="17">
        <v>45911</v>
      </c>
      <c r="C2061" s="10" t="s">
        <v>107</v>
      </c>
      <c r="D2061" s="11">
        <v>176906</v>
      </c>
      <c r="E2061" s="26">
        <v>82968</v>
      </c>
      <c r="F2061" s="10" t="s">
        <v>103</v>
      </c>
      <c r="G2061" s="10" t="s">
        <v>3901</v>
      </c>
      <c r="H2061" s="27" t="s">
        <v>104</v>
      </c>
      <c r="I2061" s="28" t="s">
        <v>41</v>
      </c>
      <c r="J2061" s="12" t="s">
        <v>41</v>
      </c>
      <c r="K2061" s="13">
        <v>35</v>
      </c>
      <c r="L2061" s="21">
        <v>47.46</v>
      </c>
      <c r="M2061" s="14" t="s">
        <v>14</v>
      </c>
      <c r="N2061" s="13">
        <v>1661.1</v>
      </c>
      <c r="O2061" s="15">
        <v>0</v>
      </c>
      <c r="P2061" s="10" t="s">
        <v>84</v>
      </c>
      <c r="Q2061" s="11" t="s">
        <v>4560</v>
      </c>
      <c r="R2061" s="11" t="s">
        <v>4561</v>
      </c>
      <c r="S2061" s="16" t="s">
        <v>4562</v>
      </c>
      <c r="T2061" s="19" t="str">
        <f>MONTH(B2061)&amp;"-"&amp;YEAR(B2061)</f>
        <v>9-2025</v>
      </c>
      <c r="U2061" s="2">
        <f>YEAR(B2061)</f>
        <v>2025</v>
      </c>
      <c r="V2061" s="2" t="str">
        <f>IF(DAY(B2061)&gt;15,MONTH(B2061)&amp;"-C",MONTH(B2061)&amp;"-N")</f>
        <v>9-N</v>
      </c>
      <c r="W2061" s="21"/>
      <c r="X2061" s="2" t="b">
        <f t="shared" si="1136"/>
        <v>0</v>
      </c>
    </row>
    <row r="2062" spans="2:24" x14ac:dyDescent="0.2">
      <c r="B2062" s="17">
        <v>45911</v>
      </c>
      <c r="C2062" s="10" t="s">
        <v>107</v>
      </c>
      <c r="D2062" s="11">
        <v>176703</v>
      </c>
      <c r="E2062" s="26">
        <v>82968</v>
      </c>
      <c r="F2062" s="10" t="s">
        <v>105</v>
      </c>
      <c r="G2062" s="10" t="s">
        <v>3901</v>
      </c>
      <c r="H2062" s="27" t="s">
        <v>106</v>
      </c>
      <c r="I2062" s="28" t="s">
        <v>41</v>
      </c>
      <c r="J2062" s="12" t="s">
        <v>41</v>
      </c>
      <c r="K2062" s="13">
        <v>6160</v>
      </c>
      <c r="L2062" s="21">
        <v>11.72</v>
      </c>
      <c r="M2062" s="14" t="s">
        <v>14</v>
      </c>
      <c r="N2062" s="13">
        <v>72195.199999999997</v>
      </c>
      <c r="O2062" s="15">
        <v>0</v>
      </c>
      <c r="P2062" s="10" t="s">
        <v>84</v>
      </c>
      <c r="Q2062" s="11" t="s">
        <v>4560</v>
      </c>
      <c r="R2062" s="11" t="s">
        <v>4561</v>
      </c>
      <c r="S2062" s="16" t="s">
        <v>4562</v>
      </c>
      <c r="T2062" s="19" t="str">
        <f>MONTH(B2062)&amp;"-"&amp;YEAR(B2062)</f>
        <v>9-2025</v>
      </c>
      <c r="U2062" s="2">
        <f>YEAR(B2062)</f>
        <v>2025</v>
      </c>
      <c r="V2062" s="2" t="str">
        <f>IF(DAY(B2062)&gt;15,MONTH(B2062)&amp;"-C",MONTH(B2062)&amp;"-N")</f>
        <v>9-N</v>
      </c>
      <c r="W2062" s="21"/>
      <c r="X2062" s="2" t="b">
        <f t="shared" si="1136"/>
        <v>0</v>
      </c>
    </row>
    <row r="2063" spans="2:24" x14ac:dyDescent="0.2">
      <c r="B2063" s="17">
        <v>45912</v>
      </c>
      <c r="C2063" s="10" t="s">
        <v>94</v>
      </c>
      <c r="D2063" s="11">
        <v>176766</v>
      </c>
      <c r="E2063" s="26">
        <v>82953</v>
      </c>
      <c r="F2063" s="10" t="s">
        <v>26</v>
      </c>
      <c r="G2063" s="10" t="s">
        <v>3885</v>
      </c>
      <c r="H2063" s="27" t="s">
        <v>28</v>
      </c>
      <c r="I2063" s="28" t="s">
        <v>41</v>
      </c>
      <c r="J2063" s="12" t="s">
        <v>41</v>
      </c>
      <c r="K2063" s="13">
        <v>19800</v>
      </c>
      <c r="L2063" s="21">
        <v>2.95</v>
      </c>
      <c r="M2063" s="14" t="s">
        <v>14</v>
      </c>
      <c r="N2063" s="13">
        <v>58410</v>
      </c>
      <c r="O2063" s="15">
        <v>0</v>
      </c>
      <c r="P2063" s="10" t="s">
        <v>78</v>
      </c>
      <c r="Q2063" s="11" t="s">
        <v>4563</v>
      </c>
      <c r="R2063" s="11" t="s">
        <v>4564</v>
      </c>
      <c r="S2063" s="16" t="s">
        <v>4565</v>
      </c>
      <c r="T2063" s="19" t="str">
        <f>MONTH(B2063)&amp;"-"&amp;YEAR(B2063)</f>
        <v>9-2025</v>
      </c>
      <c r="U2063" s="2">
        <f>YEAR(B2063)</f>
        <v>2025</v>
      </c>
      <c r="V2063" s="2" t="str">
        <f>IF(DAY(B2063)&gt;15,MONTH(B2063)&amp;"-C",MONTH(B2063)&amp;"-N")</f>
        <v>9-N</v>
      </c>
      <c r="W2063" s="21"/>
      <c r="X2063" s="2" t="b">
        <f t="shared" si="1136"/>
        <v>0</v>
      </c>
    </row>
    <row r="2064" spans="2:24" x14ac:dyDescent="0.2">
      <c r="B2064" s="17">
        <v>45930</v>
      </c>
      <c r="C2064" s="10" t="s">
        <v>82</v>
      </c>
      <c r="D2064" s="11">
        <v>177014</v>
      </c>
      <c r="E2064" s="26">
        <v>83260</v>
      </c>
      <c r="F2064" s="10" t="s">
        <v>31</v>
      </c>
      <c r="G2064" s="10" t="s">
        <v>3885</v>
      </c>
      <c r="H2064" s="27" t="s">
        <v>32</v>
      </c>
      <c r="I2064" s="28" t="s">
        <v>41</v>
      </c>
      <c r="J2064" s="12" t="s">
        <v>41</v>
      </c>
      <c r="K2064" s="13">
        <v>1280</v>
      </c>
      <c r="L2064" s="21">
        <v>5.25</v>
      </c>
      <c r="M2064" s="14" t="s">
        <v>14</v>
      </c>
      <c r="N2064" s="13">
        <v>6720</v>
      </c>
      <c r="O2064" s="15">
        <v>0</v>
      </c>
      <c r="P2064" s="10" t="s">
        <v>78</v>
      </c>
      <c r="Q2064" s="11" t="s">
        <v>4566</v>
      </c>
      <c r="R2064" s="11" t="s">
        <v>4567</v>
      </c>
      <c r="S2064" s="16" t="s">
        <v>4568</v>
      </c>
      <c r="T2064" s="19" t="str">
        <f>MONTH(B2064)&amp;"-"&amp;YEAR(B2064)</f>
        <v>9-2025</v>
      </c>
      <c r="U2064" s="2">
        <f>YEAR(B2064)</f>
        <v>2025</v>
      </c>
      <c r="V2064" s="2" t="str">
        <f>IF(DAY(B2064)&gt;15,MONTH(B2064)&amp;"-C",MONTH(B2064)&amp;"-N")</f>
        <v>9-C</v>
      </c>
      <c r="W2064" s="21"/>
      <c r="X2064" s="2" t="b">
        <f t="shared" ref="X2064:X2068" si="1137">+L2064=W2064</f>
        <v>0</v>
      </c>
    </row>
    <row r="2065" spans="2:24" x14ac:dyDescent="0.2">
      <c r="B2065" s="17">
        <v>45930</v>
      </c>
      <c r="C2065" s="10" t="s">
        <v>82</v>
      </c>
      <c r="D2065" s="11">
        <v>177014</v>
      </c>
      <c r="E2065" s="26">
        <v>83260</v>
      </c>
      <c r="F2065" s="10" t="s">
        <v>33</v>
      </c>
      <c r="G2065" s="10" t="s">
        <v>3885</v>
      </c>
      <c r="H2065" s="27" t="s">
        <v>34</v>
      </c>
      <c r="I2065" s="28" t="s">
        <v>41</v>
      </c>
      <c r="J2065" s="12" t="s">
        <v>41</v>
      </c>
      <c r="K2065" s="13">
        <v>1440</v>
      </c>
      <c r="L2065" s="21">
        <v>5.75</v>
      </c>
      <c r="M2065" s="14" t="s">
        <v>14</v>
      </c>
      <c r="N2065" s="13">
        <v>8280</v>
      </c>
      <c r="O2065" s="15">
        <v>0</v>
      </c>
      <c r="P2065" s="10" t="s">
        <v>78</v>
      </c>
      <c r="Q2065" s="11" t="s">
        <v>4566</v>
      </c>
      <c r="R2065" s="11" t="s">
        <v>4567</v>
      </c>
      <c r="S2065" s="16" t="s">
        <v>4568</v>
      </c>
      <c r="T2065" s="19" t="str">
        <f>MONTH(B2065)&amp;"-"&amp;YEAR(B2065)</f>
        <v>9-2025</v>
      </c>
      <c r="U2065" s="2">
        <f>YEAR(B2065)</f>
        <v>2025</v>
      </c>
      <c r="V2065" s="2" t="str">
        <f>IF(DAY(B2065)&gt;15,MONTH(B2065)&amp;"-C",MONTH(B2065)&amp;"-N")</f>
        <v>9-C</v>
      </c>
      <c r="W2065" s="21"/>
      <c r="X2065" s="2" t="b">
        <f t="shared" si="1137"/>
        <v>0</v>
      </c>
    </row>
    <row r="2066" spans="2:24" x14ac:dyDescent="0.2">
      <c r="B2066" s="17">
        <v>45925</v>
      </c>
      <c r="C2066" s="10" t="s">
        <v>82</v>
      </c>
      <c r="D2066" s="11">
        <v>176986</v>
      </c>
      <c r="E2066" s="26">
        <v>83192</v>
      </c>
      <c r="F2066" s="10" t="s">
        <v>31</v>
      </c>
      <c r="G2066" s="10" t="s">
        <v>3885</v>
      </c>
      <c r="H2066" s="27" t="s">
        <v>32</v>
      </c>
      <c r="I2066" s="28" t="s">
        <v>41</v>
      </c>
      <c r="J2066" s="12" t="s">
        <v>41</v>
      </c>
      <c r="K2066" s="13">
        <v>640</v>
      </c>
      <c r="L2066" s="21">
        <v>5.25</v>
      </c>
      <c r="M2066" s="14" t="s">
        <v>14</v>
      </c>
      <c r="N2066" s="13">
        <v>3360</v>
      </c>
      <c r="O2066" s="15">
        <v>0</v>
      </c>
      <c r="P2066" s="10" t="s">
        <v>78</v>
      </c>
      <c r="Q2066" s="11" t="s">
        <v>4569</v>
      </c>
      <c r="R2066" s="11" t="s">
        <v>4570</v>
      </c>
      <c r="S2066" s="16" t="s">
        <v>4571</v>
      </c>
      <c r="T2066" s="19" t="str">
        <f>MONTH(B2066)&amp;"-"&amp;YEAR(B2066)</f>
        <v>9-2025</v>
      </c>
      <c r="U2066" s="2">
        <f>YEAR(B2066)</f>
        <v>2025</v>
      </c>
      <c r="V2066" s="2" t="str">
        <f>IF(DAY(B2066)&gt;15,MONTH(B2066)&amp;"-C",MONTH(B2066)&amp;"-N")</f>
        <v>9-C</v>
      </c>
      <c r="W2066" s="21"/>
      <c r="X2066" s="2" t="b">
        <f t="shared" si="1137"/>
        <v>0</v>
      </c>
    </row>
    <row r="2067" spans="2:24" x14ac:dyDescent="0.2">
      <c r="B2067" s="17">
        <v>45926</v>
      </c>
      <c r="C2067" s="10" t="s">
        <v>25</v>
      </c>
      <c r="D2067" s="11">
        <v>176759</v>
      </c>
      <c r="E2067" s="26">
        <v>83230</v>
      </c>
      <c r="F2067" s="10" t="s">
        <v>26</v>
      </c>
      <c r="G2067" s="10" t="s">
        <v>3885</v>
      </c>
      <c r="H2067" s="27" t="s">
        <v>28</v>
      </c>
      <c r="I2067" s="28" t="s">
        <v>41</v>
      </c>
      <c r="J2067" s="12" t="s">
        <v>41</v>
      </c>
      <c r="K2067" s="13">
        <v>3600</v>
      </c>
      <c r="L2067" s="21">
        <v>2.95</v>
      </c>
      <c r="M2067" s="14" t="s">
        <v>14</v>
      </c>
      <c r="N2067" s="13">
        <v>10620</v>
      </c>
      <c r="O2067" s="15">
        <v>0</v>
      </c>
      <c r="P2067" s="10" t="s">
        <v>78</v>
      </c>
      <c r="Q2067" s="11" t="s">
        <v>4572</v>
      </c>
      <c r="R2067" s="11" t="s">
        <v>4573</v>
      </c>
      <c r="S2067" s="16" t="s">
        <v>4574</v>
      </c>
      <c r="T2067" s="19" t="str">
        <f>MONTH(B2067)&amp;"-"&amp;YEAR(B2067)</f>
        <v>9-2025</v>
      </c>
      <c r="U2067" s="2">
        <f>YEAR(B2067)</f>
        <v>2025</v>
      </c>
      <c r="V2067" s="2" t="str">
        <f>IF(DAY(B2067)&gt;15,MONTH(B2067)&amp;"-C",MONTH(B2067)&amp;"-N")</f>
        <v>9-C</v>
      </c>
      <c r="W2067" s="21"/>
      <c r="X2067" s="2" t="b">
        <f t="shared" si="1137"/>
        <v>0</v>
      </c>
    </row>
    <row r="2068" spans="2:24" x14ac:dyDescent="0.2">
      <c r="B2068" s="17">
        <v>45927</v>
      </c>
      <c r="C2068" s="10" t="s">
        <v>4384</v>
      </c>
      <c r="D2068" s="11">
        <v>176628</v>
      </c>
      <c r="E2068" s="26">
        <v>83259</v>
      </c>
      <c r="F2068" s="10" t="s">
        <v>26</v>
      </c>
      <c r="G2068" s="10" t="s">
        <v>3885</v>
      </c>
      <c r="H2068" s="27" t="s">
        <v>28</v>
      </c>
      <c r="I2068" s="28" t="s">
        <v>41</v>
      </c>
      <c r="J2068" s="12" t="s">
        <v>41</v>
      </c>
      <c r="K2068" s="13">
        <v>18260</v>
      </c>
      <c r="L2068" s="21">
        <v>2.95</v>
      </c>
      <c r="M2068" s="14" t="s">
        <v>14</v>
      </c>
      <c r="N2068" s="13">
        <v>53867</v>
      </c>
      <c r="O2068" s="15">
        <v>0</v>
      </c>
      <c r="P2068" s="10" t="s">
        <v>78</v>
      </c>
      <c r="Q2068" s="11" t="s">
        <v>4575</v>
      </c>
      <c r="R2068" s="11" t="s">
        <v>4576</v>
      </c>
      <c r="S2068" s="16" t="s">
        <v>4577</v>
      </c>
      <c r="T2068" s="19" t="str">
        <f>MONTH(B2068)&amp;"-"&amp;YEAR(B2068)</f>
        <v>9-2025</v>
      </c>
      <c r="U2068" s="2">
        <f>YEAR(B2068)</f>
        <v>2025</v>
      </c>
      <c r="V2068" s="2" t="str">
        <f>IF(DAY(B2068)&gt;15,MONTH(B2068)&amp;"-C",MONTH(B2068)&amp;"-N")</f>
        <v>9-C</v>
      </c>
      <c r="W2068" s="21"/>
      <c r="X2068" s="2" t="b">
        <f t="shared" si="1137"/>
        <v>0</v>
      </c>
    </row>
    <row r="2069" spans="2:24" x14ac:dyDescent="0.2">
      <c r="B2069" s="17">
        <v>45937</v>
      </c>
      <c r="C2069" s="10" t="s">
        <v>70</v>
      </c>
      <c r="D2069" s="11">
        <v>176990</v>
      </c>
      <c r="E2069" s="26">
        <v>83345</v>
      </c>
      <c r="F2069" s="10" t="s">
        <v>1964</v>
      </c>
      <c r="G2069" s="10" t="s">
        <v>3884</v>
      </c>
      <c r="H2069" s="27" t="s">
        <v>18</v>
      </c>
      <c r="I2069" s="28">
        <v>1238</v>
      </c>
      <c r="J2069" s="28">
        <v>12</v>
      </c>
      <c r="K2069" s="13">
        <v>376.8</v>
      </c>
      <c r="L2069" s="21">
        <v>4.58</v>
      </c>
      <c r="M2069" s="14" t="s">
        <v>14</v>
      </c>
      <c r="N2069" s="13">
        <v>1725.7439999999999</v>
      </c>
      <c r="O2069" s="15">
        <v>0</v>
      </c>
      <c r="P2069" s="10" t="s">
        <v>2571</v>
      </c>
      <c r="Q2069" s="11" t="s">
        <v>4580</v>
      </c>
      <c r="R2069" s="11" t="s">
        <v>4579</v>
      </c>
      <c r="S2069" s="16" t="s">
        <v>4581</v>
      </c>
      <c r="T2069" s="19" t="str">
        <f>MONTH(B2069)&amp;"-"&amp;YEAR(B2069)</f>
        <v>10-2025</v>
      </c>
      <c r="U2069" s="2">
        <f>YEAR(B2069)</f>
        <v>2025</v>
      </c>
      <c r="V2069" s="2" t="str">
        <f>IF(DAY(B2069)&gt;15,MONTH(B2069)&amp;"-C",MONTH(B2069)&amp;"-N")</f>
        <v>10-N</v>
      </c>
      <c r="W2069" s="21"/>
      <c r="X2069" s="2" t="b">
        <f t="shared" ref="X2069:X2081" si="1138">+L2069=W2069</f>
        <v>0</v>
      </c>
    </row>
    <row r="2070" spans="2:24" x14ac:dyDescent="0.2">
      <c r="B2070" s="17">
        <v>45937</v>
      </c>
      <c r="C2070" s="10" t="s">
        <v>70</v>
      </c>
      <c r="D2070" s="11">
        <v>176990</v>
      </c>
      <c r="E2070" s="26">
        <v>83345</v>
      </c>
      <c r="F2070" s="10" t="s">
        <v>559</v>
      </c>
      <c r="G2070" s="10" t="s">
        <v>3884</v>
      </c>
      <c r="H2070" s="27" t="s">
        <v>18</v>
      </c>
      <c r="I2070" s="28">
        <v>945</v>
      </c>
      <c r="J2070" s="28">
        <v>12</v>
      </c>
      <c r="K2070" s="13">
        <v>2023.4</v>
      </c>
      <c r="L2070" s="21">
        <v>4.58</v>
      </c>
      <c r="M2070" s="14" t="s">
        <v>14</v>
      </c>
      <c r="N2070" s="13">
        <v>9267.1720000000005</v>
      </c>
      <c r="O2070" s="15">
        <v>0</v>
      </c>
      <c r="P2070" s="10" t="s">
        <v>2571</v>
      </c>
      <c r="Q2070" s="11" t="s">
        <v>4580</v>
      </c>
      <c r="R2070" s="11" t="s">
        <v>4579</v>
      </c>
      <c r="S2070" s="16" t="s">
        <v>4581</v>
      </c>
      <c r="T2070" s="19" t="str">
        <f>MONTH(B2070)&amp;"-"&amp;YEAR(B2070)</f>
        <v>10-2025</v>
      </c>
      <c r="U2070" s="2">
        <f>YEAR(B2070)</f>
        <v>2025</v>
      </c>
      <c r="V2070" s="2" t="str">
        <f>IF(DAY(B2070)&gt;15,MONTH(B2070)&amp;"-C",MONTH(B2070)&amp;"-N")</f>
        <v>10-N</v>
      </c>
      <c r="W2070" s="21"/>
      <c r="X2070" s="2" t="b">
        <f t="shared" si="1138"/>
        <v>0</v>
      </c>
    </row>
    <row r="2071" spans="2:24" x14ac:dyDescent="0.2">
      <c r="B2071" s="17">
        <v>45939</v>
      </c>
      <c r="C2071" s="10" t="s">
        <v>70</v>
      </c>
      <c r="D2071" s="11">
        <v>177035</v>
      </c>
      <c r="E2071" s="26">
        <v>83410</v>
      </c>
      <c r="F2071" s="10" t="s">
        <v>1097</v>
      </c>
      <c r="G2071" s="10" t="s">
        <v>3884</v>
      </c>
      <c r="H2071" s="27" t="s">
        <v>18</v>
      </c>
      <c r="I2071" s="28">
        <v>873</v>
      </c>
      <c r="J2071" s="28">
        <v>12</v>
      </c>
      <c r="K2071" s="13">
        <v>1772.6</v>
      </c>
      <c r="L2071" s="21">
        <v>4.58</v>
      </c>
      <c r="M2071" s="14" t="s">
        <v>14</v>
      </c>
      <c r="N2071" s="13">
        <v>8118.5079999999998</v>
      </c>
      <c r="O2071" s="15">
        <v>0</v>
      </c>
      <c r="P2071" s="10" t="s">
        <v>83</v>
      </c>
      <c r="Q2071" s="11" t="s">
        <v>4582</v>
      </c>
      <c r="R2071" s="11" t="s">
        <v>4583</v>
      </c>
      <c r="S2071" s="16" t="s">
        <v>4584</v>
      </c>
      <c r="T2071" s="19" t="str">
        <f>MONTH(B2071)&amp;"-"&amp;YEAR(B2071)</f>
        <v>10-2025</v>
      </c>
      <c r="U2071" s="2">
        <f>YEAR(B2071)</f>
        <v>2025</v>
      </c>
      <c r="V2071" s="2" t="str">
        <f>IF(DAY(B2071)&gt;15,MONTH(B2071)&amp;"-C",MONTH(B2071)&amp;"-N")</f>
        <v>10-N</v>
      </c>
      <c r="W2071" s="21"/>
      <c r="X2071" s="2" t="b">
        <f t="shared" si="1138"/>
        <v>0</v>
      </c>
    </row>
    <row r="2072" spans="2:24" x14ac:dyDescent="0.2">
      <c r="B2072" s="17">
        <v>45939</v>
      </c>
      <c r="C2072" s="10" t="s">
        <v>70</v>
      </c>
      <c r="D2072" s="11">
        <v>177035</v>
      </c>
      <c r="E2072" s="26">
        <v>83410</v>
      </c>
      <c r="F2072" s="10" t="s">
        <v>1705</v>
      </c>
      <c r="G2072" s="10" t="s">
        <v>3884</v>
      </c>
      <c r="H2072" s="27" t="s">
        <v>18</v>
      </c>
      <c r="I2072" s="28">
        <v>688</v>
      </c>
      <c r="J2072" s="28">
        <v>12</v>
      </c>
      <c r="K2072" s="13">
        <v>1124.4000000000001</v>
      </c>
      <c r="L2072" s="21">
        <v>4.58</v>
      </c>
      <c r="M2072" s="14" t="s">
        <v>14</v>
      </c>
      <c r="N2072" s="13">
        <v>5149.7520000000004</v>
      </c>
      <c r="O2072" s="15">
        <v>0</v>
      </c>
      <c r="P2072" s="10" t="s">
        <v>83</v>
      </c>
      <c r="Q2072" s="11" t="s">
        <v>4582</v>
      </c>
      <c r="R2072" s="11" t="s">
        <v>4583</v>
      </c>
      <c r="S2072" s="16" t="s">
        <v>4584</v>
      </c>
      <c r="T2072" s="19" t="str">
        <f>MONTH(B2072)&amp;"-"&amp;YEAR(B2072)</f>
        <v>10-2025</v>
      </c>
      <c r="U2072" s="2">
        <f>YEAR(B2072)</f>
        <v>2025</v>
      </c>
      <c r="V2072" s="2" t="str">
        <f>IF(DAY(B2072)&gt;15,MONTH(B2072)&amp;"-C",MONTH(B2072)&amp;"-N")</f>
        <v>10-N</v>
      </c>
      <c r="W2072" s="21"/>
      <c r="X2072" s="2" t="b">
        <f t="shared" si="1138"/>
        <v>0</v>
      </c>
    </row>
    <row r="2073" spans="2:24" x14ac:dyDescent="0.2">
      <c r="B2073" s="17">
        <v>45939</v>
      </c>
      <c r="C2073" s="10" t="s">
        <v>70</v>
      </c>
      <c r="D2073" s="11">
        <v>177035</v>
      </c>
      <c r="E2073" s="26">
        <v>83410</v>
      </c>
      <c r="F2073" s="10" t="s">
        <v>92</v>
      </c>
      <c r="G2073" s="10" t="s">
        <v>3884</v>
      </c>
      <c r="H2073" s="27" t="s">
        <v>18</v>
      </c>
      <c r="I2073" s="28">
        <v>1165</v>
      </c>
      <c r="J2073" s="28">
        <v>12</v>
      </c>
      <c r="K2073" s="13">
        <v>1416.7</v>
      </c>
      <c r="L2073" s="21">
        <v>4.58</v>
      </c>
      <c r="M2073" s="14" t="s">
        <v>14</v>
      </c>
      <c r="N2073" s="13">
        <v>6488.4859999999999</v>
      </c>
      <c r="O2073" s="15">
        <v>0</v>
      </c>
      <c r="P2073" s="10" t="s">
        <v>83</v>
      </c>
      <c r="Q2073" s="11" t="s">
        <v>4582</v>
      </c>
      <c r="R2073" s="11" t="s">
        <v>4583</v>
      </c>
      <c r="S2073" s="16" t="s">
        <v>4584</v>
      </c>
      <c r="T2073" s="19" t="str">
        <f>MONTH(B2073)&amp;"-"&amp;YEAR(B2073)</f>
        <v>10-2025</v>
      </c>
      <c r="U2073" s="2">
        <f>YEAR(B2073)</f>
        <v>2025</v>
      </c>
      <c r="V2073" s="2" t="str">
        <f>IF(DAY(B2073)&gt;15,MONTH(B2073)&amp;"-C",MONTH(B2073)&amp;"-N")</f>
        <v>10-N</v>
      </c>
      <c r="W2073" s="21"/>
      <c r="X2073" s="2" t="b">
        <f t="shared" si="1138"/>
        <v>0</v>
      </c>
    </row>
    <row r="2074" spans="2:24" x14ac:dyDescent="0.2">
      <c r="B2074" s="17">
        <v>45939</v>
      </c>
      <c r="C2074" s="10" t="s">
        <v>70</v>
      </c>
      <c r="D2074" s="11">
        <v>177035</v>
      </c>
      <c r="E2074" s="26">
        <v>83410</v>
      </c>
      <c r="F2074" s="10" t="s">
        <v>146</v>
      </c>
      <c r="G2074" s="10" t="s">
        <v>3884</v>
      </c>
      <c r="H2074" s="27" t="s">
        <v>17</v>
      </c>
      <c r="I2074" s="28">
        <v>1153</v>
      </c>
      <c r="J2074" s="28">
        <v>12</v>
      </c>
      <c r="K2074" s="13">
        <v>950</v>
      </c>
      <c r="L2074" s="21">
        <v>5.5</v>
      </c>
      <c r="M2074" s="14" t="s">
        <v>14</v>
      </c>
      <c r="N2074" s="13">
        <v>5225</v>
      </c>
      <c r="O2074" s="15">
        <v>0</v>
      </c>
      <c r="P2074" s="10" t="s">
        <v>148</v>
      </c>
      <c r="Q2074" s="11" t="s">
        <v>4582</v>
      </c>
      <c r="R2074" s="11" t="s">
        <v>4583</v>
      </c>
      <c r="S2074" s="16" t="s">
        <v>4584</v>
      </c>
      <c r="T2074" s="19" t="str">
        <f>MONTH(B2074)&amp;"-"&amp;YEAR(B2074)</f>
        <v>10-2025</v>
      </c>
      <c r="U2074" s="2">
        <f>YEAR(B2074)</f>
        <v>2025</v>
      </c>
      <c r="V2074" s="2" t="str">
        <f>IF(DAY(B2074)&gt;15,MONTH(B2074)&amp;"-C",MONTH(B2074)&amp;"-N")</f>
        <v>10-N</v>
      </c>
      <c r="W2074" s="21"/>
      <c r="X2074" s="2" t="b">
        <f t="shared" si="1138"/>
        <v>0</v>
      </c>
    </row>
    <row r="2075" spans="2:24" x14ac:dyDescent="0.2">
      <c r="B2075" s="17">
        <v>45939</v>
      </c>
      <c r="C2075" s="10" t="s">
        <v>70</v>
      </c>
      <c r="D2075" s="11">
        <v>177035</v>
      </c>
      <c r="E2075" s="26">
        <v>83410</v>
      </c>
      <c r="F2075" s="10" t="s">
        <v>4264</v>
      </c>
      <c r="G2075" s="10" t="s">
        <v>3884</v>
      </c>
      <c r="H2075" s="27" t="s">
        <v>17</v>
      </c>
      <c r="I2075" s="28">
        <v>1245</v>
      </c>
      <c r="J2075" s="28">
        <v>12</v>
      </c>
      <c r="K2075" s="13">
        <v>1026</v>
      </c>
      <c r="L2075" s="21">
        <v>5.5</v>
      </c>
      <c r="M2075" s="14" t="s">
        <v>14</v>
      </c>
      <c r="N2075" s="13">
        <v>5643</v>
      </c>
      <c r="O2075" s="15">
        <v>0</v>
      </c>
      <c r="P2075" s="10" t="s">
        <v>148</v>
      </c>
      <c r="Q2075" s="11" t="s">
        <v>4582</v>
      </c>
      <c r="R2075" s="11" t="s">
        <v>4583</v>
      </c>
      <c r="S2075" s="16" t="s">
        <v>4584</v>
      </c>
      <c r="T2075" s="19" t="str">
        <f>MONTH(B2075)&amp;"-"&amp;YEAR(B2075)</f>
        <v>10-2025</v>
      </c>
      <c r="U2075" s="2">
        <f>YEAR(B2075)</f>
        <v>2025</v>
      </c>
      <c r="V2075" s="2" t="str">
        <f>IF(DAY(B2075)&gt;15,MONTH(B2075)&amp;"-C",MONTH(B2075)&amp;"-N")</f>
        <v>10-N</v>
      </c>
      <c r="W2075" s="21"/>
      <c r="X2075" s="2" t="b">
        <f t="shared" si="1138"/>
        <v>0</v>
      </c>
    </row>
    <row r="2076" spans="2:24" x14ac:dyDescent="0.2">
      <c r="B2076" s="17">
        <v>45934</v>
      </c>
      <c r="C2076" s="10" t="s">
        <v>70</v>
      </c>
      <c r="D2076" s="11">
        <v>176990</v>
      </c>
      <c r="E2076" s="26">
        <v>83342</v>
      </c>
      <c r="F2076" s="10" t="s">
        <v>4496</v>
      </c>
      <c r="G2076" s="10" t="s">
        <v>3884</v>
      </c>
      <c r="H2076" s="27" t="s">
        <v>18</v>
      </c>
      <c r="I2076" s="28">
        <v>1115</v>
      </c>
      <c r="J2076" s="28">
        <v>12</v>
      </c>
      <c r="K2076" s="13">
        <v>896.3</v>
      </c>
      <c r="L2076" s="21">
        <v>4.58</v>
      </c>
      <c r="M2076" s="14" t="s">
        <v>14</v>
      </c>
      <c r="N2076" s="13">
        <v>4105.0540000000001</v>
      </c>
      <c r="O2076" s="15">
        <v>0</v>
      </c>
      <c r="P2076" s="10" t="s">
        <v>83</v>
      </c>
      <c r="Q2076" s="11" t="s">
        <v>4585</v>
      </c>
      <c r="R2076" s="11" t="s">
        <v>4586</v>
      </c>
      <c r="S2076" s="16" t="s">
        <v>4587</v>
      </c>
      <c r="T2076" s="19" t="str">
        <f>MONTH(B2076)&amp;"-"&amp;YEAR(B2076)</f>
        <v>10-2025</v>
      </c>
      <c r="U2076" s="2">
        <f>YEAR(B2076)</f>
        <v>2025</v>
      </c>
      <c r="V2076" s="2" t="str">
        <f>IF(DAY(B2076)&gt;15,MONTH(B2076)&amp;"-C",MONTH(B2076)&amp;"-N")</f>
        <v>10-N</v>
      </c>
      <c r="W2076" s="21"/>
      <c r="X2076" s="2" t="b">
        <f t="shared" si="1138"/>
        <v>0</v>
      </c>
    </row>
    <row r="2077" spans="2:24" x14ac:dyDescent="0.2">
      <c r="B2077" s="17">
        <v>45934</v>
      </c>
      <c r="C2077" s="10" t="s">
        <v>70</v>
      </c>
      <c r="D2077" s="11">
        <v>176990</v>
      </c>
      <c r="E2077" s="26">
        <v>83342</v>
      </c>
      <c r="F2077" s="10" t="s">
        <v>21</v>
      </c>
      <c r="G2077" s="10" t="s">
        <v>3884</v>
      </c>
      <c r="H2077" s="27" t="s">
        <v>18</v>
      </c>
      <c r="I2077" s="28">
        <v>1213</v>
      </c>
      <c r="J2077" s="28">
        <v>12</v>
      </c>
      <c r="K2077" s="13">
        <v>1466.4</v>
      </c>
      <c r="L2077" s="21">
        <v>4.58</v>
      </c>
      <c r="M2077" s="14" t="s">
        <v>14</v>
      </c>
      <c r="N2077" s="13">
        <v>6716.1120000000001</v>
      </c>
      <c r="O2077" s="15">
        <v>0</v>
      </c>
      <c r="P2077" s="10" t="s">
        <v>83</v>
      </c>
      <c r="Q2077" s="11" t="s">
        <v>4585</v>
      </c>
      <c r="R2077" s="11" t="s">
        <v>4586</v>
      </c>
      <c r="S2077" s="16" t="s">
        <v>4587</v>
      </c>
      <c r="T2077" s="19" t="str">
        <f>MONTH(B2077)&amp;"-"&amp;YEAR(B2077)</f>
        <v>10-2025</v>
      </c>
      <c r="U2077" s="2">
        <f>YEAR(B2077)</f>
        <v>2025</v>
      </c>
      <c r="V2077" s="2" t="str">
        <f>IF(DAY(B2077)&gt;15,MONTH(B2077)&amp;"-C",MONTH(B2077)&amp;"-N")</f>
        <v>10-N</v>
      </c>
      <c r="W2077" s="21"/>
      <c r="X2077" s="2" t="b">
        <f t="shared" si="1138"/>
        <v>0</v>
      </c>
    </row>
    <row r="2078" spans="2:24" x14ac:dyDescent="0.2">
      <c r="B2078" s="17">
        <v>45934</v>
      </c>
      <c r="C2078" s="10" t="s">
        <v>70</v>
      </c>
      <c r="D2078" s="11">
        <v>176990</v>
      </c>
      <c r="E2078" s="26">
        <v>83342</v>
      </c>
      <c r="F2078" s="10" t="s">
        <v>52</v>
      </c>
      <c r="G2078" s="10" t="s">
        <v>3884</v>
      </c>
      <c r="H2078" s="27" t="s">
        <v>18</v>
      </c>
      <c r="I2078" s="28">
        <v>1238</v>
      </c>
      <c r="J2078" s="28">
        <v>12</v>
      </c>
      <c r="K2078" s="13">
        <v>1001.2</v>
      </c>
      <c r="L2078" s="21">
        <v>4.58</v>
      </c>
      <c r="M2078" s="14" t="s">
        <v>14</v>
      </c>
      <c r="N2078" s="13">
        <v>4585.4960000000001</v>
      </c>
      <c r="O2078" s="15">
        <v>0</v>
      </c>
      <c r="P2078" s="10" t="s">
        <v>83</v>
      </c>
      <c r="Q2078" s="11" t="s">
        <v>4585</v>
      </c>
      <c r="R2078" s="11" t="s">
        <v>4586</v>
      </c>
      <c r="S2078" s="16" t="s">
        <v>4587</v>
      </c>
      <c r="T2078" s="19" t="str">
        <f>MONTH(B2078)&amp;"-"&amp;YEAR(B2078)</f>
        <v>10-2025</v>
      </c>
      <c r="U2078" s="2">
        <f>YEAR(B2078)</f>
        <v>2025</v>
      </c>
      <c r="V2078" s="2" t="str">
        <f>IF(DAY(B2078)&gt;15,MONTH(B2078)&amp;"-C",MONTH(B2078)&amp;"-N")</f>
        <v>10-N</v>
      </c>
      <c r="W2078" s="21"/>
      <c r="X2078" s="2" t="b">
        <f t="shared" si="1138"/>
        <v>0</v>
      </c>
    </row>
    <row r="2079" spans="2:24" x14ac:dyDescent="0.2">
      <c r="B2079" s="17">
        <v>45934</v>
      </c>
      <c r="C2079" s="10" t="s">
        <v>70</v>
      </c>
      <c r="D2079" s="11">
        <v>176990</v>
      </c>
      <c r="E2079" s="26">
        <v>83342</v>
      </c>
      <c r="F2079" s="10" t="s">
        <v>42</v>
      </c>
      <c r="G2079" s="10" t="s">
        <v>3884</v>
      </c>
      <c r="H2079" s="27" t="s">
        <v>18</v>
      </c>
      <c r="I2079" s="28">
        <v>713</v>
      </c>
      <c r="J2079" s="28">
        <v>12</v>
      </c>
      <c r="K2079" s="13">
        <v>577.1</v>
      </c>
      <c r="L2079" s="21">
        <v>4.58</v>
      </c>
      <c r="M2079" s="14" t="s">
        <v>14</v>
      </c>
      <c r="N2079" s="13">
        <v>2643.1179999999999</v>
      </c>
      <c r="O2079" s="15">
        <v>0</v>
      </c>
      <c r="P2079" s="10" t="s">
        <v>83</v>
      </c>
      <c r="Q2079" s="11" t="s">
        <v>4585</v>
      </c>
      <c r="R2079" s="11" t="s">
        <v>4586</v>
      </c>
      <c r="S2079" s="16" t="s">
        <v>4587</v>
      </c>
      <c r="T2079" s="19" t="str">
        <f>MONTH(B2079)&amp;"-"&amp;YEAR(B2079)</f>
        <v>10-2025</v>
      </c>
      <c r="U2079" s="2">
        <f>YEAR(B2079)</f>
        <v>2025</v>
      </c>
      <c r="V2079" s="2" t="str">
        <f>IF(DAY(B2079)&gt;15,MONTH(B2079)&amp;"-C",MONTH(B2079)&amp;"-N")</f>
        <v>10-N</v>
      </c>
      <c r="W2079" s="21"/>
      <c r="X2079" s="2" t="b">
        <f t="shared" si="1138"/>
        <v>0</v>
      </c>
    </row>
    <row r="2080" spans="2:24" x14ac:dyDescent="0.2">
      <c r="B2080" s="17">
        <v>45934</v>
      </c>
      <c r="C2080" s="10" t="s">
        <v>70</v>
      </c>
      <c r="D2080" s="11">
        <v>176990</v>
      </c>
      <c r="E2080" s="26">
        <v>83342</v>
      </c>
      <c r="F2080" s="10" t="s">
        <v>43</v>
      </c>
      <c r="G2080" s="10" t="s">
        <v>3884</v>
      </c>
      <c r="H2080" s="27" t="s">
        <v>18</v>
      </c>
      <c r="I2080" s="28">
        <v>913</v>
      </c>
      <c r="J2080" s="28">
        <v>12</v>
      </c>
      <c r="K2080" s="13">
        <v>1837.7</v>
      </c>
      <c r="L2080" s="21">
        <v>4.58</v>
      </c>
      <c r="M2080" s="14" t="s">
        <v>14</v>
      </c>
      <c r="N2080" s="13">
        <v>8416.6659999999993</v>
      </c>
      <c r="O2080" s="15">
        <v>0</v>
      </c>
      <c r="P2080" s="10" t="s">
        <v>83</v>
      </c>
      <c r="Q2080" s="11" t="s">
        <v>4585</v>
      </c>
      <c r="R2080" s="11" t="s">
        <v>4586</v>
      </c>
      <c r="S2080" s="16" t="s">
        <v>4587</v>
      </c>
      <c r="T2080" s="19" t="str">
        <f>MONTH(B2080)&amp;"-"&amp;YEAR(B2080)</f>
        <v>10-2025</v>
      </c>
      <c r="U2080" s="2">
        <f>YEAR(B2080)</f>
        <v>2025</v>
      </c>
      <c r="V2080" s="2" t="str">
        <f>IF(DAY(B2080)&gt;15,MONTH(B2080)&amp;"-C",MONTH(B2080)&amp;"-N")</f>
        <v>10-N</v>
      </c>
      <c r="W2080" s="21"/>
      <c r="X2080" s="2" t="b">
        <f t="shared" si="1138"/>
        <v>0</v>
      </c>
    </row>
    <row r="2081" spans="2:24" x14ac:dyDescent="0.2">
      <c r="B2081" s="17">
        <v>45934</v>
      </c>
      <c r="C2081" s="10" t="s">
        <v>70</v>
      </c>
      <c r="D2081" s="11">
        <v>176990</v>
      </c>
      <c r="E2081" s="26">
        <v>83342</v>
      </c>
      <c r="F2081" s="10" t="s">
        <v>3215</v>
      </c>
      <c r="G2081" s="10" t="s">
        <v>3884</v>
      </c>
      <c r="H2081" s="27" t="s">
        <v>18</v>
      </c>
      <c r="I2081" s="28">
        <v>1173</v>
      </c>
      <c r="J2081" s="28">
        <v>12</v>
      </c>
      <c r="K2081" s="13">
        <v>2847.9</v>
      </c>
      <c r="L2081" s="21">
        <v>4.58</v>
      </c>
      <c r="M2081" s="14" t="s">
        <v>14</v>
      </c>
      <c r="N2081" s="13">
        <v>13043.382</v>
      </c>
      <c r="O2081" s="15">
        <v>0</v>
      </c>
      <c r="P2081" s="10" t="s">
        <v>83</v>
      </c>
      <c r="Q2081" s="11" t="s">
        <v>4585</v>
      </c>
      <c r="R2081" s="11" t="s">
        <v>4586</v>
      </c>
      <c r="S2081" s="16" t="s">
        <v>4587</v>
      </c>
      <c r="T2081" s="19" t="str">
        <f>MONTH(B2081)&amp;"-"&amp;YEAR(B2081)</f>
        <v>10-2025</v>
      </c>
      <c r="U2081" s="2">
        <f>YEAR(B2081)</f>
        <v>2025</v>
      </c>
      <c r="V2081" s="2" t="str">
        <f>IF(DAY(B2081)&gt;15,MONTH(B2081)&amp;"-C",MONTH(B2081)&amp;"-N")</f>
        <v>10-N</v>
      </c>
      <c r="W2081" s="21"/>
      <c r="X2081" s="2" t="b">
        <f t="shared" si="1138"/>
        <v>0</v>
      </c>
    </row>
    <row r="2082" spans="2:24" x14ac:dyDescent="0.2">
      <c r="B2082" s="17">
        <v>45934</v>
      </c>
      <c r="C2082" s="10" t="s">
        <v>94</v>
      </c>
      <c r="D2082" s="11">
        <v>176766</v>
      </c>
      <c r="E2082" s="26">
        <v>83332</v>
      </c>
      <c r="F2082" s="10" t="s">
        <v>26</v>
      </c>
      <c r="G2082" s="10" t="s">
        <v>3885</v>
      </c>
      <c r="H2082" s="27" t="s">
        <v>28</v>
      </c>
      <c r="I2082" s="28" t="s">
        <v>41</v>
      </c>
      <c r="J2082" s="12" t="s">
        <v>41</v>
      </c>
      <c r="K2082" s="13">
        <v>19800</v>
      </c>
      <c r="L2082" s="21">
        <v>2.95</v>
      </c>
      <c r="M2082" s="14" t="s">
        <v>14</v>
      </c>
      <c r="N2082" s="13">
        <v>58410</v>
      </c>
      <c r="O2082" s="15">
        <v>0</v>
      </c>
      <c r="P2082" s="10" t="s">
        <v>78</v>
      </c>
      <c r="Q2082" s="11" t="s">
        <v>4588</v>
      </c>
      <c r="R2082" s="11" t="s">
        <v>4589</v>
      </c>
      <c r="S2082" s="16" t="s">
        <v>4590</v>
      </c>
      <c r="T2082" s="19" t="str">
        <f>MONTH(B2082)&amp;"-"&amp;YEAR(B2082)</f>
        <v>10-2025</v>
      </c>
      <c r="U2082" s="2">
        <f>YEAR(B2082)</f>
        <v>2025</v>
      </c>
      <c r="V2082" s="2" t="str">
        <f>IF(DAY(B2082)&gt;15,MONTH(B2082)&amp;"-C",MONTH(B2082)&amp;"-N")</f>
        <v>10-N</v>
      </c>
      <c r="W2082" s="21"/>
      <c r="X2082" s="2" t="b">
        <f t="shared" ref="X2082" si="1139">+L2082=W2082</f>
        <v>0</v>
      </c>
    </row>
    <row r="2083" spans="2:24" x14ac:dyDescent="0.2">
      <c r="B2083" s="17">
        <v>45938</v>
      </c>
      <c r="C2083" s="10" t="s">
        <v>75</v>
      </c>
      <c r="D2083" s="11">
        <v>176927</v>
      </c>
      <c r="E2083" s="26">
        <v>83405</v>
      </c>
      <c r="F2083" s="10" t="s">
        <v>2573</v>
      </c>
      <c r="G2083" s="10" t="s">
        <v>3884</v>
      </c>
      <c r="H2083" s="27" t="s">
        <v>44</v>
      </c>
      <c r="I2083" s="28">
        <v>1228</v>
      </c>
      <c r="J2083" s="28">
        <v>30</v>
      </c>
      <c r="K2083" s="13">
        <v>869.4</v>
      </c>
      <c r="L2083" s="21">
        <v>6.69</v>
      </c>
      <c r="M2083" s="14" t="s">
        <v>14</v>
      </c>
      <c r="N2083" s="13">
        <v>5816.5640000000003</v>
      </c>
      <c r="O2083" s="15">
        <v>0</v>
      </c>
      <c r="P2083" s="10" t="s">
        <v>76</v>
      </c>
      <c r="Q2083" s="11" t="s">
        <v>4591</v>
      </c>
      <c r="R2083" s="11" t="s">
        <v>4592</v>
      </c>
      <c r="S2083" s="16" t="s">
        <v>4593</v>
      </c>
      <c r="T2083" s="19" t="str">
        <f>MONTH(B2083)&amp;"-"&amp;YEAR(B2083)</f>
        <v>10-2025</v>
      </c>
      <c r="U2083" s="2">
        <f>YEAR(B2083)</f>
        <v>2025</v>
      </c>
      <c r="V2083" s="2" t="str">
        <f>IF(DAY(B2083)&gt;15,MONTH(B2083)&amp;"-C",MONTH(B2083)&amp;"-N")</f>
        <v>10-N</v>
      </c>
      <c r="W2083" s="21"/>
      <c r="X2083" s="2" t="b">
        <f t="shared" ref="X2083:X2095" si="1140">+L2083=W2083</f>
        <v>0</v>
      </c>
    </row>
    <row r="2084" spans="2:24" x14ac:dyDescent="0.2">
      <c r="B2084" s="17">
        <v>45938</v>
      </c>
      <c r="C2084" s="10" t="s">
        <v>75</v>
      </c>
      <c r="D2084" s="11">
        <v>176927</v>
      </c>
      <c r="E2084" s="26">
        <v>83405</v>
      </c>
      <c r="F2084" s="10" t="s">
        <v>929</v>
      </c>
      <c r="G2084" s="10" t="s">
        <v>3884</v>
      </c>
      <c r="H2084" s="27" t="s">
        <v>44</v>
      </c>
      <c r="I2084" s="28">
        <v>939</v>
      </c>
      <c r="J2084" s="28">
        <v>30</v>
      </c>
      <c r="K2084" s="13">
        <v>2002.9</v>
      </c>
      <c r="L2084" s="21">
        <v>6.69</v>
      </c>
      <c r="M2084" s="14" t="s">
        <v>14</v>
      </c>
      <c r="N2084" s="13">
        <v>13400.041999999999</v>
      </c>
      <c r="O2084" s="15">
        <v>0</v>
      </c>
      <c r="P2084" s="10" t="s">
        <v>76</v>
      </c>
      <c r="Q2084" s="11" t="s">
        <v>4591</v>
      </c>
      <c r="R2084" s="11" t="s">
        <v>4592</v>
      </c>
      <c r="S2084" s="16" t="s">
        <v>4593</v>
      </c>
      <c r="T2084" s="19" t="str">
        <f>MONTH(B2084)&amp;"-"&amp;YEAR(B2084)</f>
        <v>10-2025</v>
      </c>
      <c r="U2084" s="2">
        <f>YEAR(B2084)</f>
        <v>2025</v>
      </c>
      <c r="V2084" s="2" t="str">
        <f>IF(DAY(B2084)&gt;15,MONTH(B2084)&amp;"-C",MONTH(B2084)&amp;"-N")</f>
        <v>10-N</v>
      </c>
      <c r="W2084" s="21"/>
      <c r="X2084" s="2" t="b">
        <f t="shared" si="1140"/>
        <v>0</v>
      </c>
    </row>
    <row r="2085" spans="2:24" x14ac:dyDescent="0.2">
      <c r="B2085" s="17">
        <v>45938</v>
      </c>
      <c r="C2085" s="10" t="s">
        <v>75</v>
      </c>
      <c r="D2085" s="11">
        <v>176927</v>
      </c>
      <c r="E2085" s="26">
        <v>83405</v>
      </c>
      <c r="F2085" s="10" t="s">
        <v>152</v>
      </c>
      <c r="G2085" s="10" t="s">
        <v>3884</v>
      </c>
      <c r="H2085" s="27" t="s">
        <v>44</v>
      </c>
      <c r="I2085" s="28">
        <v>964</v>
      </c>
      <c r="J2085" s="28">
        <v>30</v>
      </c>
      <c r="K2085" s="13">
        <v>3451.3</v>
      </c>
      <c r="L2085" s="21">
        <v>6.69</v>
      </c>
      <c r="M2085" s="14" t="s">
        <v>14</v>
      </c>
      <c r="N2085" s="13">
        <v>23090.300999999999</v>
      </c>
      <c r="O2085" s="15">
        <v>0</v>
      </c>
      <c r="P2085" s="10" t="s">
        <v>76</v>
      </c>
      <c r="Q2085" s="11" t="s">
        <v>4591</v>
      </c>
      <c r="R2085" s="11" t="s">
        <v>4592</v>
      </c>
      <c r="S2085" s="16" t="s">
        <v>4593</v>
      </c>
      <c r="T2085" s="19" t="str">
        <f>MONTH(B2085)&amp;"-"&amp;YEAR(B2085)</f>
        <v>10-2025</v>
      </c>
      <c r="U2085" s="2">
        <f>YEAR(B2085)</f>
        <v>2025</v>
      </c>
      <c r="V2085" s="2" t="str">
        <f>IF(DAY(B2085)&gt;15,MONTH(B2085)&amp;"-C",MONTH(B2085)&amp;"-N")</f>
        <v>10-N</v>
      </c>
      <c r="W2085" s="21"/>
      <c r="X2085" s="2" t="b">
        <f t="shared" si="1140"/>
        <v>0</v>
      </c>
    </row>
    <row r="2086" spans="2:24" x14ac:dyDescent="0.2">
      <c r="B2086" s="17">
        <v>45938</v>
      </c>
      <c r="C2086" s="10" t="s">
        <v>75</v>
      </c>
      <c r="D2086" s="11">
        <v>176927</v>
      </c>
      <c r="E2086" s="26">
        <v>83405</v>
      </c>
      <c r="F2086" s="10" t="s">
        <v>723</v>
      </c>
      <c r="G2086" s="10" t="s">
        <v>3884</v>
      </c>
      <c r="H2086" s="27" t="s">
        <v>23</v>
      </c>
      <c r="I2086" s="28">
        <v>928</v>
      </c>
      <c r="J2086" s="28">
        <v>30</v>
      </c>
      <c r="K2086" s="13">
        <v>2713.5</v>
      </c>
      <c r="L2086" s="21">
        <v>6.5069999999999997</v>
      </c>
      <c r="M2086" s="14" t="s">
        <v>14</v>
      </c>
      <c r="N2086" s="13">
        <v>17655.441999999999</v>
      </c>
      <c r="O2086" s="15">
        <v>0</v>
      </c>
      <c r="P2086" s="10" t="s">
        <v>79</v>
      </c>
      <c r="Q2086" s="11" t="s">
        <v>4591</v>
      </c>
      <c r="R2086" s="11" t="s">
        <v>4592</v>
      </c>
      <c r="S2086" s="16" t="s">
        <v>4593</v>
      </c>
      <c r="T2086" s="19" t="str">
        <f>MONTH(B2086)&amp;"-"&amp;YEAR(B2086)</f>
        <v>10-2025</v>
      </c>
      <c r="U2086" s="2">
        <f>YEAR(B2086)</f>
        <v>2025</v>
      </c>
      <c r="V2086" s="2" t="str">
        <f>IF(DAY(B2086)&gt;15,MONTH(B2086)&amp;"-C",MONTH(B2086)&amp;"-N")</f>
        <v>10-N</v>
      </c>
      <c r="W2086" s="21"/>
      <c r="X2086" s="2" t="b">
        <f t="shared" si="1140"/>
        <v>0</v>
      </c>
    </row>
    <row r="2087" spans="2:24" x14ac:dyDescent="0.2">
      <c r="B2087" s="17">
        <v>45938</v>
      </c>
      <c r="C2087" s="10" t="s">
        <v>75</v>
      </c>
      <c r="D2087" s="11">
        <v>176927</v>
      </c>
      <c r="E2087" s="26">
        <v>83405</v>
      </c>
      <c r="F2087" s="10" t="s">
        <v>153</v>
      </c>
      <c r="G2087" s="10" t="s">
        <v>3884</v>
      </c>
      <c r="H2087" s="27" t="s">
        <v>23</v>
      </c>
      <c r="I2087" s="28">
        <v>964</v>
      </c>
      <c r="J2087" s="28">
        <v>30</v>
      </c>
      <c r="K2087" s="13">
        <v>704.2</v>
      </c>
      <c r="L2087" s="21">
        <v>6.5069999999999997</v>
      </c>
      <c r="M2087" s="14" t="s">
        <v>14</v>
      </c>
      <c r="N2087" s="13">
        <v>4581.8909999999996</v>
      </c>
      <c r="O2087" s="15">
        <v>0</v>
      </c>
      <c r="P2087" s="10" t="s">
        <v>79</v>
      </c>
      <c r="Q2087" s="11" t="s">
        <v>4591</v>
      </c>
      <c r="R2087" s="11" t="s">
        <v>4592</v>
      </c>
      <c r="S2087" s="16" t="s">
        <v>4593</v>
      </c>
      <c r="T2087" s="19" t="str">
        <f>MONTH(B2087)&amp;"-"&amp;YEAR(B2087)</f>
        <v>10-2025</v>
      </c>
      <c r="U2087" s="2">
        <f>YEAR(B2087)</f>
        <v>2025</v>
      </c>
      <c r="V2087" s="2" t="str">
        <f>IF(DAY(B2087)&gt;15,MONTH(B2087)&amp;"-C",MONTH(B2087)&amp;"-N")</f>
        <v>10-N</v>
      </c>
      <c r="W2087" s="21"/>
      <c r="X2087" s="2" t="b">
        <f t="shared" si="1140"/>
        <v>0</v>
      </c>
    </row>
    <row r="2088" spans="2:24" x14ac:dyDescent="0.2">
      <c r="B2088" s="17">
        <v>45938</v>
      </c>
      <c r="C2088" s="10" t="s">
        <v>75</v>
      </c>
      <c r="D2088" s="11">
        <v>176927</v>
      </c>
      <c r="E2088" s="26">
        <v>83405</v>
      </c>
      <c r="F2088" s="10" t="s">
        <v>35</v>
      </c>
      <c r="G2088" s="10" t="s">
        <v>3884</v>
      </c>
      <c r="H2088" s="27" t="s">
        <v>24</v>
      </c>
      <c r="I2088" s="28">
        <v>1113</v>
      </c>
      <c r="J2088" s="28">
        <v>20</v>
      </c>
      <c r="K2088" s="13">
        <v>820.7</v>
      </c>
      <c r="L2088" s="21">
        <v>5.5880000000000001</v>
      </c>
      <c r="M2088" s="14" t="s">
        <v>14</v>
      </c>
      <c r="N2088" s="13">
        <v>4585.6779999999999</v>
      </c>
      <c r="O2088" s="15">
        <v>0</v>
      </c>
      <c r="P2088" s="10" t="s">
        <v>77</v>
      </c>
      <c r="Q2088" s="11" t="s">
        <v>4591</v>
      </c>
      <c r="R2088" s="11" t="s">
        <v>4592</v>
      </c>
      <c r="S2088" s="16" t="s">
        <v>4593</v>
      </c>
      <c r="T2088" s="19" t="str">
        <f>MONTH(B2088)&amp;"-"&amp;YEAR(B2088)</f>
        <v>10-2025</v>
      </c>
      <c r="U2088" s="2">
        <f>YEAR(B2088)</f>
        <v>2025</v>
      </c>
      <c r="V2088" s="2" t="str">
        <f>IF(DAY(B2088)&gt;15,MONTH(B2088)&amp;"-C",MONTH(B2088)&amp;"-N")</f>
        <v>10-N</v>
      </c>
      <c r="W2088" s="21"/>
      <c r="X2088" s="2" t="b">
        <f t="shared" si="1140"/>
        <v>0</v>
      </c>
    </row>
    <row r="2089" spans="2:24" x14ac:dyDescent="0.2">
      <c r="B2089" s="17">
        <v>45938</v>
      </c>
      <c r="C2089" s="10" t="s">
        <v>75</v>
      </c>
      <c r="D2089" s="11">
        <v>176927</v>
      </c>
      <c r="E2089" s="26">
        <v>83405</v>
      </c>
      <c r="F2089" s="10" t="s">
        <v>37</v>
      </c>
      <c r="G2089" s="10" t="s">
        <v>3884</v>
      </c>
      <c r="H2089" s="27" t="s">
        <v>24</v>
      </c>
      <c r="I2089" s="28">
        <v>1238</v>
      </c>
      <c r="J2089" s="28">
        <v>20</v>
      </c>
      <c r="K2089" s="13">
        <v>1384.57</v>
      </c>
      <c r="L2089" s="21">
        <v>5.5880000000000001</v>
      </c>
      <c r="M2089" s="14" t="s">
        <v>14</v>
      </c>
      <c r="N2089" s="13">
        <v>7736.3109999999997</v>
      </c>
      <c r="O2089" s="15">
        <v>0</v>
      </c>
      <c r="P2089" s="10" t="s">
        <v>77</v>
      </c>
      <c r="Q2089" s="11" t="s">
        <v>4591</v>
      </c>
      <c r="R2089" s="11" t="s">
        <v>4592</v>
      </c>
      <c r="S2089" s="16" t="s">
        <v>4593</v>
      </c>
      <c r="T2089" s="19" t="str">
        <f>MONTH(B2089)&amp;"-"&amp;YEAR(B2089)</f>
        <v>10-2025</v>
      </c>
      <c r="U2089" s="2">
        <f>YEAR(B2089)</f>
        <v>2025</v>
      </c>
      <c r="V2089" s="2" t="str">
        <f>IF(DAY(B2089)&gt;15,MONTH(B2089)&amp;"-C",MONTH(B2089)&amp;"-N")</f>
        <v>10-N</v>
      </c>
      <c r="W2089" s="21"/>
      <c r="X2089" s="2" t="b">
        <f t="shared" si="1140"/>
        <v>0</v>
      </c>
    </row>
    <row r="2090" spans="2:24" x14ac:dyDescent="0.2">
      <c r="B2090" s="17">
        <v>45938</v>
      </c>
      <c r="C2090" s="10" t="s">
        <v>75</v>
      </c>
      <c r="D2090" s="11">
        <v>176927</v>
      </c>
      <c r="E2090" s="26">
        <v>83405</v>
      </c>
      <c r="F2090" s="10" t="s">
        <v>112</v>
      </c>
      <c r="G2090" s="10" t="s">
        <v>3884</v>
      </c>
      <c r="H2090" s="27" t="s">
        <v>24</v>
      </c>
      <c r="I2090" s="28">
        <v>1143</v>
      </c>
      <c r="J2090" s="28">
        <v>20</v>
      </c>
      <c r="K2090" s="13">
        <v>4670.5</v>
      </c>
      <c r="L2090" s="21">
        <v>5.5880000000000001</v>
      </c>
      <c r="M2090" s="14" t="s">
        <v>14</v>
      </c>
      <c r="N2090" s="13">
        <v>26096.511999999999</v>
      </c>
      <c r="O2090" s="15">
        <v>0</v>
      </c>
      <c r="P2090" s="10" t="s">
        <v>77</v>
      </c>
      <c r="Q2090" s="11" t="s">
        <v>4591</v>
      </c>
      <c r="R2090" s="11" t="s">
        <v>4592</v>
      </c>
      <c r="S2090" s="16" t="s">
        <v>4593</v>
      </c>
      <c r="T2090" s="19" t="str">
        <f>MONTH(B2090)&amp;"-"&amp;YEAR(B2090)</f>
        <v>10-2025</v>
      </c>
      <c r="U2090" s="2">
        <f>YEAR(B2090)</f>
        <v>2025</v>
      </c>
      <c r="V2090" s="2" t="str">
        <f>IF(DAY(B2090)&gt;15,MONTH(B2090)&amp;"-C",MONTH(B2090)&amp;"-N")</f>
        <v>10-N</v>
      </c>
      <c r="W2090" s="21"/>
      <c r="X2090" s="2" t="b">
        <f t="shared" si="1140"/>
        <v>0</v>
      </c>
    </row>
    <row r="2091" spans="2:24" x14ac:dyDescent="0.2">
      <c r="B2091" s="17">
        <v>45938</v>
      </c>
      <c r="C2091" s="10" t="s">
        <v>75</v>
      </c>
      <c r="D2091" s="11">
        <v>176927</v>
      </c>
      <c r="E2091" s="26">
        <v>83405</v>
      </c>
      <c r="F2091" s="10" t="s">
        <v>95</v>
      </c>
      <c r="G2091" s="10" t="s">
        <v>3884</v>
      </c>
      <c r="H2091" s="27" t="s">
        <v>24</v>
      </c>
      <c r="I2091" s="28">
        <v>1093</v>
      </c>
      <c r="J2091" s="28">
        <v>30</v>
      </c>
      <c r="K2091" s="13">
        <v>1209.5999999999999</v>
      </c>
      <c r="L2091" s="21">
        <v>5.5880000000000001</v>
      </c>
      <c r="M2091" s="14" t="s">
        <v>14</v>
      </c>
      <c r="N2091" s="13">
        <v>6758.6639999999998</v>
      </c>
      <c r="O2091" s="15">
        <v>0</v>
      </c>
      <c r="P2091" s="10" t="s">
        <v>77</v>
      </c>
      <c r="Q2091" s="11" t="s">
        <v>4591</v>
      </c>
      <c r="R2091" s="11" t="s">
        <v>4592</v>
      </c>
      <c r="S2091" s="16" t="s">
        <v>4593</v>
      </c>
      <c r="T2091" s="19" t="str">
        <f>MONTH(B2091)&amp;"-"&amp;YEAR(B2091)</f>
        <v>10-2025</v>
      </c>
      <c r="U2091" s="2">
        <f>YEAR(B2091)</f>
        <v>2025</v>
      </c>
      <c r="V2091" s="2" t="str">
        <f>IF(DAY(B2091)&gt;15,MONTH(B2091)&amp;"-C",MONTH(B2091)&amp;"-N")</f>
        <v>10-N</v>
      </c>
      <c r="W2091" s="21"/>
      <c r="X2091" s="2" t="b">
        <f t="shared" si="1140"/>
        <v>0</v>
      </c>
    </row>
    <row r="2092" spans="2:24" x14ac:dyDescent="0.2">
      <c r="B2092" s="17">
        <v>45938</v>
      </c>
      <c r="C2092" s="10" t="s">
        <v>75</v>
      </c>
      <c r="D2092" s="11">
        <v>176927</v>
      </c>
      <c r="E2092" s="26">
        <v>83405</v>
      </c>
      <c r="F2092" s="10" t="s">
        <v>2572</v>
      </c>
      <c r="G2092" s="10" t="s">
        <v>3884</v>
      </c>
      <c r="H2092" s="27" t="s">
        <v>24</v>
      </c>
      <c r="I2092" s="28">
        <v>1263</v>
      </c>
      <c r="J2092" s="28">
        <v>30</v>
      </c>
      <c r="K2092" s="13">
        <v>934.2</v>
      </c>
      <c r="L2092" s="21">
        <v>5.5880000000000001</v>
      </c>
      <c r="M2092" s="14" t="s">
        <v>14</v>
      </c>
      <c r="N2092" s="13">
        <v>5219.8609999999999</v>
      </c>
      <c r="O2092" s="15">
        <v>0</v>
      </c>
      <c r="P2092" s="10" t="s">
        <v>77</v>
      </c>
      <c r="Q2092" s="11" t="s">
        <v>4591</v>
      </c>
      <c r="R2092" s="11" t="s">
        <v>4592</v>
      </c>
      <c r="S2092" s="16" t="s">
        <v>4593</v>
      </c>
      <c r="T2092" s="19" t="str">
        <f>MONTH(B2092)&amp;"-"&amp;YEAR(B2092)</f>
        <v>10-2025</v>
      </c>
      <c r="U2092" s="2">
        <f>YEAR(B2092)</f>
        <v>2025</v>
      </c>
      <c r="V2092" s="2" t="str">
        <f>IF(DAY(B2092)&gt;15,MONTH(B2092)&amp;"-C",MONTH(B2092)&amp;"-N")</f>
        <v>10-N</v>
      </c>
      <c r="W2092" s="21"/>
      <c r="X2092" s="2" t="b">
        <f t="shared" si="1140"/>
        <v>0</v>
      </c>
    </row>
    <row r="2093" spans="2:24" x14ac:dyDescent="0.2">
      <c r="B2093" s="17">
        <v>45938</v>
      </c>
      <c r="C2093" s="10" t="s">
        <v>75</v>
      </c>
      <c r="D2093" s="11">
        <v>176927</v>
      </c>
      <c r="E2093" s="26">
        <v>83405</v>
      </c>
      <c r="F2093" s="10" t="s">
        <v>154</v>
      </c>
      <c r="G2093" s="10" t="s">
        <v>3884</v>
      </c>
      <c r="H2093" s="27" t="s">
        <v>24</v>
      </c>
      <c r="I2093" s="28">
        <v>1197</v>
      </c>
      <c r="J2093" s="28">
        <v>30</v>
      </c>
      <c r="K2093" s="13">
        <v>887.1</v>
      </c>
      <c r="L2093" s="21">
        <v>5.5880000000000001</v>
      </c>
      <c r="M2093" s="14" t="s">
        <v>14</v>
      </c>
      <c r="N2093" s="13">
        <v>4956.6890000000003</v>
      </c>
      <c r="O2093" s="15">
        <v>0</v>
      </c>
      <c r="P2093" s="10" t="s">
        <v>77</v>
      </c>
      <c r="Q2093" s="11" t="s">
        <v>4591</v>
      </c>
      <c r="R2093" s="11" t="s">
        <v>4592</v>
      </c>
      <c r="S2093" s="16" t="s">
        <v>4593</v>
      </c>
      <c r="T2093" s="19" t="str">
        <f>MONTH(B2093)&amp;"-"&amp;YEAR(B2093)</f>
        <v>10-2025</v>
      </c>
      <c r="U2093" s="2">
        <f>YEAR(B2093)</f>
        <v>2025</v>
      </c>
      <c r="V2093" s="2" t="str">
        <f>IF(DAY(B2093)&gt;15,MONTH(B2093)&amp;"-C",MONTH(B2093)&amp;"-N")</f>
        <v>10-N</v>
      </c>
      <c r="W2093" s="21"/>
      <c r="X2093" s="2" t="b">
        <f t="shared" si="1140"/>
        <v>0</v>
      </c>
    </row>
    <row r="2094" spans="2:24" x14ac:dyDescent="0.2">
      <c r="B2094" s="17">
        <v>45938</v>
      </c>
      <c r="C2094" s="10" t="s">
        <v>75</v>
      </c>
      <c r="D2094" s="11">
        <v>176927</v>
      </c>
      <c r="E2094" s="26">
        <v>83405</v>
      </c>
      <c r="F2094" s="10" t="s">
        <v>693</v>
      </c>
      <c r="G2094" s="10" t="s">
        <v>3884</v>
      </c>
      <c r="H2094" s="27" t="s">
        <v>24</v>
      </c>
      <c r="I2094" s="28">
        <v>928</v>
      </c>
      <c r="J2094" s="28">
        <v>30</v>
      </c>
      <c r="K2094" s="13">
        <v>1713.5</v>
      </c>
      <c r="L2094" s="21">
        <v>5.5880000000000001</v>
      </c>
      <c r="M2094" s="14" t="s">
        <v>14</v>
      </c>
      <c r="N2094" s="13">
        <v>9574.2160000000003</v>
      </c>
      <c r="O2094" s="15">
        <v>0</v>
      </c>
      <c r="P2094" s="10" t="s">
        <v>77</v>
      </c>
      <c r="Q2094" s="11" t="s">
        <v>4591</v>
      </c>
      <c r="R2094" s="11" t="s">
        <v>4592</v>
      </c>
      <c r="S2094" s="16" t="s">
        <v>4593</v>
      </c>
      <c r="T2094" s="19" t="str">
        <f>MONTH(B2094)&amp;"-"&amp;YEAR(B2094)</f>
        <v>10-2025</v>
      </c>
      <c r="U2094" s="2">
        <f>YEAR(B2094)</f>
        <v>2025</v>
      </c>
      <c r="V2094" s="2" t="str">
        <f>IF(DAY(B2094)&gt;15,MONTH(B2094)&amp;"-C",MONTH(B2094)&amp;"-N")</f>
        <v>10-N</v>
      </c>
      <c r="W2094" s="21"/>
      <c r="X2094" s="2" t="b">
        <f t="shared" si="1140"/>
        <v>0</v>
      </c>
    </row>
    <row r="2095" spans="2:24" x14ac:dyDescent="0.2">
      <c r="B2095" s="17">
        <v>45938</v>
      </c>
      <c r="C2095" s="10" t="s">
        <v>75</v>
      </c>
      <c r="D2095" s="11">
        <v>176927</v>
      </c>
      <c r="E2095" s="26">
        <v>83405</v>
      </c>
      <c r="F2095" s="10" t="s">
        <v>4265</v>
      </c>
      <c r="G2095" s="10" t="s">
        <v>3884</v>
      </c>
      <c r="H2095" s="27" t="s">
        <v>24</v>
      </c>
      <c r="I2095" s="28">
        <v>885</v>
      </c>
      <c r="J2095" s="28">
        <v>40</v>
      </c>
      <c r="K2095" s="13">
        <v>1643</v>
      </c>
      <c r="L2095" s="21">
        <v>5.5880000000000001</v>
      </c>
      <c r="M2095" s="14" t="s">
        <v>14</v>
      </c>
      <c r="N2095" s="13">
        <v>9180.2950000000001</v>
      </c>
      <c r="O2095" s="15">
        <v>0</v>
      </c>
      <c r="P2095" s="10" t="s">
        <v>77</v>
      </c>
      <c r="Q2095" s="11" t="s">
        <v>4591</v>
      </c>
      <c r="R2095" s="11" t="s">
        <v>4592</v>
      </c>
      <c r="S2095" s="16" t="s">
        <v>4593</v>
      </c>
      <c r="T2095" s="19" t="str">
        <f>MONTH(B2095)&amp;"-"&amp;YEAR(B2095)</f>
        <v>10-2025</v>
      </c>
      <c r="U2095" s="2">
        <f>YEAR(B2095)</f>
        <v>2025</v>
      </c>
      <c r="V2095" s="2" t="str">
        <f>IF(DAY(B2095)&gt;15,MONTH(B2095)&amp;"-C",MONTH(B2095)&amp;"-N")</f>
        <v>10-N</v>
      </c>
      <c r="W2095" s="21"/>
      <c r="X2095" s="2" t="b">
        <f t="shared" si="1140"/>
        <v>0</v>
      </c>
    </row>
    <row r="2096" spans="2:24" x14ac:dyDescent="0.2">
      <c r="B2096" s="17">
        <v>45943</v>
      </c>
      <c r="C2096" s="10" t="s">
        <v>94</v>
      </c>
      <c r="D2096" s="11">
        <v>176766</v>
      </c>
      <c r="E2096" s="26">
        <v>83477</v>
      </c>
      <c r="F2096" s="10" t="s">
        <v>26</v>
      </c>
      <c r="G2096" s="10" t="s">
        <v>3885</v>
      </c>
      <c r="H2096" s="27" t="s">
        <v>28</v>
      </c>
      <c r="I2096" s="28" t="s">
        <v>41</v>
      </c>
      <c r="J2096" s="12" t="s">
        <v>41</v>
      </c>
      <c r="K2096" s="13">
        <v>19800</v>
      </c>
      <c r="L2096" s="21">
        <v>2.95</v>
      </c>
      <c r="M2096" s="14" t="s">
        <v>14</v>
      </c>
      <c r="N2096" s="13">
        <v>58410</v>
      </c>
      <c r="O2096" s="15">
        <v>0</v>
      </c>
      <c r="P2096" s="10" t="s">
        <v>78</v>
      </c>
      <c r="Q2096" s="11" t="s">
        <v>4594</v>
      </c>
      <c r="R2096" s="11" t="s">
        <v>4595</v>
      </c>
      <c r="S2096" s="16" t="s">
        <v>4596</v>
      </c>
      <c r="T2096" s="19" t="str">
        <f>MONTH(B2096)&amp;"-"&amp;YEAR(B2096)</f>
        <v>10-2025</v>
      </c>
      <c r="U2096" s="2">
        <f>YEAR(B2096)</f>
        <v>2025</v>
      </c>
      <c r="V2096" s="2" t="str">
        <f>IF(DAY(B2096)&gt;15,MONTH(B2096)&amp;"-C",MONTH(B2096)&amp;"-N")</f>
        <v>10-N</v>
      </c>
      <c r="W2096" s="21"/>
      <c r="X2096" s="2" t="b">
        <f t="shared" ref="X2096:X2103" si="1141">+L2096=W2096</f>
        <v>0</v>
      </c>
    </row>
    <row r="2097" spans="2:24" x14ac:dyDescent="0.2">
      <c r="B2097" s="17">
        <v>45940</v>
      </c>
      <c r="C2097" s="10" t="s">
        <v>25</v>
      </c>
      <c r="D2097" s="11">
        <v>176898</v>
      </c>
      <c r="E2097" s="26">
        <v>83416</v>
      </c>
      <c r="F2097" s="10" t="s">
        <v>33</v>
      </c>
      <c r="G2097" s="10" t="s">
        <v>3885</v>
      </c>
      <c r="H2097" s="27" t="s">
        <v>34</v>
      </c>
      <c r="I2097" s="28" t="s">
        <v>41</v>
      </c>
      <c r="J2097" s="12" t="s">
        <v>41</v>
      </c>
      <c r="K2097" s="13">
        <v>1440</v>
      </c>
      <c r="L2097" s="21">
        <v>4.8</v>
      </c>
      <c r="M2097" s="14" t="s">
        <v>14</v>
      </c>
      <c r="N2097" s="13">
        <v>6912</v>
      </c>
      <c r="O2097" s="15">
        <v>0</v>
      </c>
      <c r="P2097" s="10" t="s">
        <v>78</v>
      </c>
      <c r="Q2097" s="11" t="s">
        <v>4597</v>
      </c>
      <c r="R2097" s="11" t="s">
        <v>4598</v>
      </c>
      <c r="S2097" s="16" t="s">
        <v>4599</v>
      </c>
      <c r="T2097" s="19" t="str">
        <f>MONTH(B2097)&amp;"-"&amp;YEAR(B2097)</f>
        <v>10-2025</v>
      </c>
      <c r="U2097" s="2">
        <f>YEAR(B2097)</f>
        <v>2025</v>
      </c>
      <c r="V2097" s="2" t="str">
        <f>IF(DAY(B2097)&gt;15,MONTH(B2097)&amp;"-C",MONTH(B2097)&amp;"-N")</f>
        <v>10-N</v>
      </c>
      <c r="W2097" s="21"/>
      <c r="X2097" s="2" t="b">
        <f t="shared" si="1141"/>
        <v>0</v>
      </c>
    </row>
    <row r="2098" spans="2:24" x14ac:dyDescent="0.2">
      <c r="B2098" s="17">
        <v>45936</v>
      </c>
      <c r="C2098" s="10" t="s">
        <v>107</v>
      </c>
      <c r="D2098" s="11">
        <v>176916</v>
      </c>
      <c r="E2098" s="26">
        <v>83351</v>
      </c>
      <c r="F2098" s="10" t="s">
        <v>103</v>
      </c>
      <c r="G2098" s="10" t="s">
        <v>3901</v>
      </c>
      <c r="H2098" s="27" t="s">
        <v>104</v>
      </c>
      <c r="I2098" s="28" t="s">
        <v>41</v>
      </c>
      <c r="J2098" s="12" t="s">
        <v>41</v>
      </c>
      <c r="K2098" s="13">
        <v>30</v>
      </c>
      <c r="L2098" s="21">
        <v>47.46</v>
      </c>
      <c r="M2098" s="14" t="s">
        <v>14</v>
      </c>
      <c r="N2098" s="13">
        <v>1423.8</v>
      </c>
      <c r="O2098" s="15">
        <v>0</v>
      </c>
      <c r="P2098" s="10" t="s">
        <v>84</v>
      </c>
      <c r="Q2098" s="11" t="s">
        <v>4600</v>
      </c>
      <c r="R2098" s="11" t="s">
        <v>4601</v>
      </c>
      <c r="S2098" s="16" t="s">
        <v>4602</v>
      </c>
      <c r="T2098" s="19" t="str">
        <f>MONTH(B2098)&amp;"-"&amp;YEAR(B2098)</f>
        <v>10-2025</v>
      </c>
      <c r="U2098" s="2">
        <f>YEAR(B2098)</f>
        <v>2025</v>
      </c>
      <c r="V2098" s="2" t="str">
        <f>IF(DAY(B2098)&gt;15,MONTH(B2098)&amp;"-C",MONTH(B2098)&amp;"-N")</f>
        <v>10-N</v>
      </c>
      <c r="W2098" s="21"/>
      <c r="X2098" s="2" t="b">
        <f t="shared" si="1141"/>
        <v>0</v>
      </c>
    </row>
    <row r="2099" spans="2:24" x14ac:dyDescent="0.2">
      <c r="B2099" s="17">
        <v>45936</v>
      </c>
      <c r="C2099" s="10" t="s">
        <v>107</v>
      </c>
      <c r="D2099" s="11">
        <v>176992</v>
      </c>
      <c r="E2099" s="26">
        <v>83351</v>
      </c>
      <c r="F2099" s="10" t="s">
        <v>103</v>
      </c>
      <c r="G2099" s="10" t="s">
        <v>3901</v>
      </c>
      <c r="H2099" s="27" t="s">
        <v>104</v>
      </c>
      <c r="I2099" s="28" t="s">
        <v>41</v>
      </c>
      <c r="J2099" s="12" t="s">
        <v>41</v>
      </c>
      <c r="K2099" s="13">
        <v>130</v>
      </c>
      <c r="L2099" s="21">
        <v>47.46</v>
      </c>
      <c r="M2099" s="14" t="s">
        <v>14</v>
      </c>
      <c r="N2099" s="13">
        <v>6169.8</v>
      </c>
      <c r="O2099" s="15">
        <v>0</v>
      </c>
      <c r="P2099" s="10" t="s">
        <v>84</v>
      </c>
      <c r="Q2099" s="11" t="s">
        <v>4600</v>
      </c>
      <c r="R2099" s="11" t="s">
        <v>4601</v>
      </c>
      <c r="S2099" s="16" t="s">
        <v>4602</v>
      </c>
      <c r="T2099" s="19" t="str">
        <f>MONTH(B2099)&amp;"-"&amp;YEAR(B2099)</f>
        <v>10-2025</v>
      </c>
      <c r="U2099" s="2">
        <f>YEAR(B2099)</f>
        <v>2025</v>
      </c>
      <c r="V2099" s="2" t="str">
        <f>IF(DAY(B2099)&gt;15,MONTH(B2099)&amp;"-C",MONTH(B2099)&amp;"-N")</f>
        <v>10-N</v>
      </c>
      <c r="W2099" s="21"/>
      <c r="X2099" s="2" t="b">
        <f t="shared" si="1141"/>
        <v>0</v>
      </c>
    </row>
    <row r="2100" spans="2:24" x14ac:dyDescent="0.2">
      <c r="B2100" s="17">
        <v>45936</v>
      </c>
      <c r="C2100" s="10" t="s">
        <v>107</v>
      </c>
      <c r="D2100" s="11">
        <v>176916</v>
      </c>
      <c r="E2100" s="26">
        <v>83351</v>
      </c>
      <c r="F2100" s="10" t="s">
        <v>105</v>
      </c>
      <c r="G2100" s="10" t="s">
        <v>3901</v>
      </c>
      <c r="H2100" s="27" t="s">
        <v>106</v>
      </c>
      <c r="I2100" s="28" t="s">
        <v>41</v>
      </c>
      <c r="J2100" s="12" t="s">
        <v>41</v>
      </c>
      <c r="K2100" s="13">
        <v>880</v>
      </c>
      <c r="L2100" s="21">
        <v>11.72</v>
      </c>
      <c r="M2100" s="14" t="s">
        <v>14</v>
      </c>
      <c r="N2100" s="13">
        <v>10313.6</v>
      </c>
      <c r="O2100" s="15">
        <v>0</v>
      </c>
      <c r="P2100" s="10" t="s">
        <v>84</v>
      </c>
      <c r="Q2100" s="11" t="s">
        <v>4600</v>
      </c>
      <c r="R2100" s="11" t="s">
        <v>4601</v>
      </c>
      <c r="S2100" s="16" t="s">
        <v>4602</v>
      </c>
      <c r="T2100" s="19" t="str">
        <f>MONTH(B2100)&amp;"-"&amp;YEAR(B2100)</f>
        <v>10-2025</v>
      </c>
      <c r="U2100" s="2">
        <f>YEAR(B2100)</f>
        <v>2025</v>
      </c>
      <c r="V2100" s="2" t="str">
        <f>IF(DAY(B2100)&gt;15,MONTH(B2100)&amp;"-C",MONTH(B2100)&amp;"-N")</f>
        <v>10-N</v>
      </c>
      <c r="W2100" s="21"/>
      <c r="X2100" s="2" t="b">
        <f t="shared" si="1141"/>
        <v>0</v>
      </c>
    </row>
    <row r="2101" spans="2:24" x14ac:dyDescent="0.2">
      <c r="B2101" s="17">
        <v>45936</v>
      </c>
      <c r="C2101" s="10" t="s">
        <v>107</v>
      </c>
      <c r="D2101" s="11">
        <v>176992</v>
      </c>
      <c r="E2101" s="26">
        <v>83351</v>
      </c>
      <c r="F2101" s="10" t="s">
        <v>105</v>
      </c>
      <c r="G2101" s="10" t="s">
        <v>3901</v>
      </c>
      <c r="H2101" s="27" t="s">
        <v>106</v>
      </c>
      <c r="I2101" s="28" t="s">
        <v>41</v>
      </c>
      <c r="J2101" s="12" t="s">
        <v>41</v>
      </c>
      <c r="K2101" s="13">
        <v>2000</v>
      </c>
      <c r="L2101" s="21">
        <v>11.72</v>
      </c>
      <c r="M2101" s="14" t="s">
        <v>14</v>
      </c>
      <c r="N2101" s="13">
        <v>23440</v>
      </c>
      <c r="O2101" s="15">
        <v>0</v>
      </c>
      <c r="P2101" s="10" t="s">
        <v>84</v>
      </c>
      <c r="Q2101" s="11" t="s">
        <v>4600</v>
      </c>
      <c r="R2101" s="11" t="s">
        <v>4601</v>
      </c>
      <c r="S2101" s="16" t="s">
        <v>4602</v>
      </c>
      <c r="T2101" s="19" t="str">
        <f>MONTH(B2101)&amp;"-"&amp;YEAR(B2101)</f>
        <v>10-2025</v>
      </c>
      <c r="U2101" s="2">
        <f>YEAR(B2101)</f>
        <v>2025</v>
      </c>
      <c r="V2101" s="2" t="str">
        <f>IF(DAY(B2101)&gt;15,MONTH(B2101)&amp;"-C",MONTH(B2101)&amp;"-N")</f>
        <v>10-N</v>
      </c>
      <c r="W2101" s="21"/>
      <c r="X2101" s="2" t="b">
        <f t="shared" si="1141"/>
        <v>0</v>
      </c>
    </row>
    <row r="2102" spans="2:24" x14ac:dyDescent="0.2">
      <c r="B2102" s="17">
        <v>45939</v>
      </c>
      <c r="C2102" s="10" t="s">
        <v>82</v>
      </c>
      <c r="D2102" s="11">
        <v>177092</v>
      </c>
      <c r="E2102" s="26">
        <v>83392</v>
      </c>
      <c r="F2102" s="10" t="s">
        <v>33</v>
      </c>
      <c r="G2102" s="10" t="s">
        <v>3885</v>
      </c>
      <c r="H2102" s="27" t="s">
        <v>34</v>
      </c>
      <c r="I2102" s="28" t="s">
        <v>41</v>
      </c>
      <c r="J2102" s="12" t="s">
        <v>41</v>
      </c>
      <c r="K2102" s="13">
        <v>900</v>
      </c>
      <c r="L2102" s="21">
        <v>5.75</v>
      </c>
      <c r="M2102" s="14" t="s">
        <v>14</v>
      </c>
      <c r="N2102" s="13">
        <v>5175</v>
      </c>
      <c r="O2102" s="15">
        <v>0</v>
      </c>
      <c r="P2102" s="10" t="s">
        <v>78</v>
      </c>
      <c r="Q2102" s="11" t="s">
        <v>4603</v>
      </c>
      <c r="R2102" s="11" t="s">
        <v>4604</v>
      </c>
      <c r="S2102" s="16" t="s">
        <v>4605</v>
      </c>
      <c r="T2102" s="19" t="str">
        <f>MONTH(B2102)&amp;"-"&amp;YEAR(B2102)</f>
        <v>10-2025</v>
      </c>
      <c r="U2102" s="2">
        <f>YEAR(B2102)</f>
        <v>2025</v>
      </c>
      <c r="V2102" s="2" t="str">
        <f>IF(DAY(B2102)&gt;15,MONTH(B2102)&amp;"-C",MONTH(B2102)&amp;"-N")</f>
        <v>10-N</v>
      </c>
      <c r="W2102" s="21"/>
      <c r="X2102" s="2" t="b">
        <f t="shared" si="1141"/>
        <v>0</v>
      </c>
    </row>
    <row r="2103" spans="2:24" x14ac:dyDescent="0.2">
      <c r="B2103" s="17">
        <v>45938</v>
      </c>
      <c r="C2103" s="10" t="s">
        <v>82</v>
      </c>
      <c r="D2103" s="11">
        <v>177092</v>
      </c>
      <c r="E2103" s="26">
        <v>83383</v>
      </c>
      <c r="F2103" s="10" t="s">
        <v>33</v>
      </c>
      <c r="G2103" s="10" t="s">
        <v>3885</v>
      </c>
      <c r="H2103" s="27" t="s">
        <v>34</v>
      </c>
      <c r="I2103" s="28" t="s">
        <v>41</v>
      </c>
      <c r="J2103" s="12" t="s">
        <v>41</v>
      </c>
      <c r="K2103" s="13">
        <v>540</v>
      </c>
      <c r="L2103" s="21">
        <v>5.75</v>
      </c>
      <c r="M2103" s="14" t="s">
        <v>14</v>
      </c>
      <c r="N2103" s="13">
        <v>3105</v>
      </c>
      <c r="O2103" s="15">
        <v>0</v>
      </c>
      <c r="P2103" s="10" t="s">
        <v>78</v>
      </c>
      <c r="Q2103" s="11" t="s">
        <v>4606</v>
      </c>
      <c r="R2103" s="11" t="s">
        <v>4607</v>
      </c>
      <c r="S2103" s="16" t="s">
        <v>4608</v>
      </c>
      <c r="T2103" s="19" t="str">
        <f>MONTH(B2103)&amp;"-"&amp;YEAR(B2103)</f>
        <v>10-2025</v>
      </c>
      <c r="U2103" s="2">
        <f>YEAR(B2103)</f>
        <v>2025</v>
      </c>
      <c r="V2103" s="2" t="str">
        <f>IF(DAY(B2103)&gt;15,MONTH(B2103)&amp;"-C",MONTH(B2103)&amp;"-N")</f>
        <v>10-N</v>
      </c>
      <c r="W2103" s="21"/>
      <c r="X2103" s="2" t="b">
        <f t="shared" si="1141"/>
        <v>0</v>
      </c>
    </row>
    <row r="2104" spans="2:24" x14ac:dyDescent="0.2">
      <c r="B2104" s="17">
        <v>45945</v>
      </c>
      <c r="C2104" s="10" t="s">
        <v>107</v>
      </c>
      <c r="D2104" s="11">
        <v>176992</v>
      </c>
      <c r="E2104" s="26">
        <v>83536</v>
      </c>
      <c r="F2104" s="10" t="s">
        <v>103</v>
      </c>
      <c r="G2104" s="10" t="s">
        <v>3901</v>
      </c>
      <c r="H2104" s="27" t="s">
        <v>104</v>
      </c>
      <c r="I2104" s="28" t="s">
        <v>41</v>
      </c>
      <c r="J2104" s="12" t="s">
        <v>41</v>
      </c>
      <c r="K2104" s="13">
        <v>185</v>
      </c>
      <c r="L2104" s="21">
        <v>47.46</v>
      </c>
      <c r="M2104" s="14" t="s">
        <v>14</v>
      </c>
      <c r="N2104" s="13">
        <v>8780.1</v>
      </c>
      <c r="O2104" s="15">
        <v>0</v>
      </c>
      <c r="P2104" s="10" t="s">
        <v>84</v>
      </c>
      <c r="Q2104" s="11" t="s">
        <v>4609</v>
      </c>
      <c r="R2104" s="11" t="s">
        <v>4610</v>
      </c>
      <c r="S2104" s="16" t="s">
        <v>4611</v>
      </c>
      <c r="T2104" s="19" t="str">
        <f>MONTH(B2104)&amp;"-"&amp;YEAR(B2104)</f>
        <v>10-2025</v>
      </c>
      <c r="U2104" s="2">
        <f>YEAR(B2104)</f>
        <v>2025</v>
      </c>
      <c r="V2104" s="2" t="str">
        <f>IF(DAY(B2104)&gt;15,MONTH(B2104)&amp;"-C",MONTH(B2104)&amp;"-N")</f>
        <v>10-N</v>
      </c>
      <c r="W2104" s="21"/>
      <c r="X2104" s="2" t="b">
        <f t="shared" ref="X2104:X2105" si="1142">+L2104=W2104</f>
        <v>0</v>
      </c>
    </row>
    <row r="2105" spans="2:24" x14ac:dyDescent="0.2">
      <c r="B2105" s="17">
        <v>45945</v>
      </c>
      <c r="C2105" s="10" t="s">
        <v>107</v>
      </c>
      <c r="D2105" s="11">
        <v>176992</v>
      </c>
      <c r="E2105" s="26">
        <v>83536</v>
      </c>
      <c r="F2105" s="10" t="s">
        <v>105</v>
      </c>
      <c r="G2105" s="10" t="s">
        <v>3901</v>
      </c>
      <c r="H2105" s="27" t="s">
        <v>106</v>
      </c>
      <c r="I2105" s="28" t="s">
        <v>41</v>
      </c>
      <c r="J2105" s="12" t="s">
        <v>41</v>
      </c>
      <c r="K2105" s="13">
        <v>6160</v>
      </c>
      <c r="L2105" s="21">
        <v>11.72</v>
      </c>
      <c r="M2105" s="14" t="s">
        <v>14</v>
      </c>
      <c r="N2105" s="13">
        <v>72195.199999999997</v>
      </c>
      <c r="O2105" s="15">
        <v>0</v>
      </c>
      <c r="P2105" s="10" t="s">
        <v>84</v>
      </c>
      <c r="Q2105" s="11" t="s">
        <v>4609</v>
      </c>
      <c r="R2105" s="11" t="s">
        <v>4610</v>
      </c>
      <c r="S2105" s="16" t="s">
        <v>4611</v>
      </c>
      <c r="T2105" s="19" t="str">
        <f>MONTH(B2105)&amp;"-"&amp;YEAR(B2105)</f>
        <v>10-2025</v>
      </c>
      <c r="U2105" s="2">
        <f>YEAR(B2105)</f>
        <v>2025</v>
      </c>
      <c r="V2105" s="2" t="str">
        <f>IF(DAY(B2105)&gt;15,MONTH(B2105)&amp;"-C",MONTH(B2105)&amp;"-N")</f>
        <v>10-N</v>
      </c>
      <c r="W2105" s="21"/>
      <c r="X2105" s="2" t="b">
        <f t="shared" si="1142"/>
        <v>0</v>
      </c>
    </row>
    <row r="2106" spans="2:24" x14ac:dyDescent="0.2">
      <c r="B2106" s="17">
        <v>45949</v>
      </c>
      <c r="C2106" s="10" t="s">
        <v>125</v>
      </c>
      <c r="D2106" s="11">
        <v>177118</v>
      </c>
      <c r="E2106" s="26">
        <v>83433</v>
      </c>
      <c r="F2106" s="10" t="s">
        <v>126</v>
      </c>
      <c r="G2106" s="10" t="s">
        <v>3901</v>
      </c>
      <c r="H2106" s="27">
        <v>0</v>
      </c>
      <c r="I2106" s="28" t="s">
        <v>41</v>
      </c>
      <c r="J2106" s="12" t="s">
        <v>41</v>
      </c>
      <c r="K2106" s="13">
        <v>3</v>
      </c>
      <c r="L2106" s="21">
        <v>310</v>
      </c>
      <c r="M2106" s="14" t="s">
        <v>14</v>
      </c>
      <c r="N2106" s="13">
        <v>930</v>
      </c>
      <c r="O2106" s="15">
        <v>0</v>
      </c>
      <c r="P2106" s="10" t="s">
        <v>84</v>
      </c>
      <c r="Q2106" s="11" t="s">
        <v>4612</v>
      </c>
      <c r="R2106" s="11" t="s">
        <v>4613</v>
      </c>
      <c r="S2106" s="16" t="s">
        <v>4614</v>
      </c>
      <c r="T2106" s="19" t="str">
        <f>MONTH(B2106)&amp;"-"&amp;YEAR(B2106)</f>
        <v>10-2025</v>
      </c>
      <c r="U2106" s="2">
        <f>YEAR(B2106)</f>
        <v>2025</v>
      </c>
      <c r="V2106" s="2" t="str">
        <f>IF(DAY(B2106)&gt;15,MONTH(B2106)&amp;"-C",MONTH(B2106)&amp;"-N")</f>
        <v>10-C</v>
      </c>
      <c r="W2106" s="21"/>
      <c r="X2106" s="2" t="b">
        <f t="shared" ref="X2106:X2116" si="1143">+L2106=W2106</f>
        <v>0</v>
      </c>
    </row>
    <row r="2107" spans="2:24" x14ac:dyDescent="0.2">
      <c r="B2107" s="17">
        <v>45947</v>
      </c>
      <c r="C2107" s="10" t="s">
        <v>25</v>
      </c>
      <c r="D2107" s="11">
        <v>176759</v>
      </c>
      <c r="E2107" s="26">
        <v>83566</v>
      </c>
      <c r="F2107" s="10" t="s">
        <v>26</v>
      </c>
      <c r="G2107" s="10" t="s">
        <v>3885</v>
      </c>
      <c r="H2107" s="27" t="s">
        <v>28</v>
      </c>
      <c r="I2107" s="28" t="s">
        <v>41</v>
      </c>
      <c r="J2107" s="12" t="s">
        <v>41</v>
      </c>
      <c r="K2107" s="13">
        <v>19800</v>
      </c>
      <c r="L2107" s="21">
        <v>2.95</v>
      </c>
      <c r="M2107" s="14" t="s">
        <v>14</v>
      </c>
      <c r="N2107" s="13">
        <v>58410</v>
      </c>
      <c r="O2107" s="15">
        <v>0</v>
      </c>
      <c r="P2107" s="10" t="s">
        <v>78</v>
      </c>
      <c r="Q2107" s="11" t="s">
        <v>4615</v>
      </c>
      <c r="R2107" s="11" t="s">
        <v>4616</v>
      </c>
      <c r="S2107" s="16" t="s">
        <v>4617</v>
      </c>
      <c r="T2107" s="19" t="str">
        <f>MONTH(B2107)&amp;"-"&amp;YEAR(B2107)</f>
        <v>10-2025</v>
      </c>
      <c r="U2107" s="2">
        <f>YEAR(B2107)</f>
        <v>2025</v>
      </c>
      <c r="V2107" s="2" t="str">
        <f>IF(DAY(B2107)&gt;15,MONTH(B2107)&amp;"-C",MONTH(B2107)&amp;"-N")</f>
        <v>10-C</v>
      </c>
      <c r="W2107" s="21"/>
      <c r="X2107" s="2" t="b">
        <f t="shared" si="1143"/>
        <v>0</v>
      </c>
    </row>
    <row r="2108" spans="2:24" x14ac:dyDescent="0.2">
      <c r="B2108" s="17">
        <v>45947</v>
      </c>
      <c r="C2108" s="10" t="s">
        <v>3917</v>
      </c>
      <c r="D2108" s="11">
        <v>176952</v>
      </c>
      <c r="E2108" s="26">
        <v>83568</v>
      </c>
      <c r="F2108" s="10" t="s">
        <v>127</v>
      </c>
      <c r="G2108" s="10" t="s">
        <v>3901</v>
      </c>
      <c r="H2108" s="27" t="s">
        <v>128</v>
      </c>
      <c r="I2108" s="28" t="s">
        <v>41</v>
      </c>
      <c r="J2108" s="12" t="s">
        <v>41</v>
      </c>
      <c r="K2108" s="13">
        <v>920</v>
      </c>
      <c r="L2108" s="21">
        <v>10.477</v>
      </c>
      <c r="M2108" s="14" t="s">
        <v>14</v>
      </c>
      <c r="N2108" s="13">
        <v>9638.4719999999998</v>
      </c>
      <c r="O2108" s="15">
        <v>0</v>
      </c>
      <c r="P2108" s="10" t="s">
        <v>90</v>
      </c>
      <c r="Q2108" s="11" t="s">
        <v>4618</v>
      </c>
      <c r="R2108" s="11" t="s">
        <v>4619</v>
      </c>
      <c r="S2108" s="16" t="s">
        <v>4620</v>
      </c>
      <c r="T2108" s="19" t="str">
        <f>MONTH(B2108)&amp;"-"&amp;YEAR(B2108)</f>
        <v>10-2025</v>
      </c>
      <c r="U2108" s="2">
        <f>YEAR(B2108)</f>
        <v>2025</v>
      </c>
      <c r="V2108" s="2" t="str">
        <f>IF(DAY(B2108)&gt;15,MONTH(B2108)&amp;"-C",MONTH(B2108)&amp;"-N")</f>
        <v>10-C</v>
      </c>
      <c r="W2108" s="21"/>
      <c r="X2108" s="2" t="b">
        <f t="shared" si="1143"/>
        <v>0</v>
      </c>
    </row>
    <row r="2109" spans="2:24" x14ac:dyDescent="0.2">
      <c r="B2109" s="17">
        <v>45947</v>
      </c>
      <c r="C2109" s="10" t="s">
        <v>3917</v>
      </c>
      <c r="D2109" s="11">
        <v>176952</v>
      </c>
      <c r="E2109" s="26">
        <v>83568</v>
      </c>
      <c r="F2109" s="10" t="s">
        <v>2331</v>
      </c>
      <c r="G2109" s="10" t="s">
        <v>3901</v>
      </c>
      <c r="H2109" s="27" t="s">
        <v>2332</v>
      </c>
      <c r="I2109" s="28" t="s">
        <v>41</v>
      </c>
      <c r="J2109" s="12" t="s">
        <v>41</v>
      </c>
      <c r="K2109" s="13">
        <v>1150</v>
      </c>
      <c r="L2109" s="21">
        <v>11.653</v>
      </c>
      <c r="M2109" s="14" t="s">
        <v>14</v>
      </c>
      <c r="N2109" s="13">
        <v>13400.858</v>
      </c>
      <c r="O2109" s="15">
        <v>0</v>
      </c>
      <c r="P2109" s="10" t="s">
        <v>90</v>
      </c>
      <c r="Q2109" s="11" t="s">
        <v>4618</v>
      </c>
      <c r="R2109" s="11" t="s">
        <v>4619</v>
      </c>
      <c r="S2109" s="16" t="s">
        <v>4620</v>
      </c>
      <c r="T2109" s="19" t="str">
        <f>MONTH(B2109)&amp;"-"&amp;YEAR(B2109)</f>
        <v>10-2025</v>
      </c>
      <c r="U2109" s="2">
        <f>YEAR(B2109)</f>
        <v>2025</v>
      </c>
      <c r="V2109" s="2" t="str">
        <f>IF(DAY(B2109)&gt;15,MONTH(B2109)&amp;"-C",MONTH(B2109)&amp;"-N")</f>
        <v>10-C</v>
      </c>
      <c r="W2109" s="21"/>
      <c r="X2109" s="2" t="b">
        <f t="shared" si="1143"/>
        <v>0</v>
      </c>
    </row>
    <row r="2110" spans="2:24" x14ac:dyDescent="0.2">
      <c r="B2110" s="17">
        <v>45947</v>
      </c>
      <c r="C2110" s="10" t="s">
        <v>88</v>
      </c>
      <c r="D2110" s="11">
        <v>177157</v>
      </c>
      <c r="E2110" s="26">
        <v>83567</v>
      </c>
      <c r="F2110" s="10" t="s">
        <v>98</v>
      </c>
      <c r="G2110" s="10" t="s">
        <v>3901</v>
      </c>
      <c r="H2110" s="27" t="s">
        <v>99</v>
      </c>
      <c r="I2110" s="28" t="s">
        <v>41</v>
      </c>
      <c r="J2110" s="12" t="s">
        <v>41</v>
      </c>
      <c r="K2110" s="13">
        <v>40</v>
      </c>
      <c r="L2110" s="21">
        <v>11.25</v>
      </c>
      <c r="M2110" s="14" t="s">
        <v>14</v>
      </c>
      <c r="N2110" s="13">
        <v>450</v>
      </c>
      <c r="O2110" s="15">
        <v>0</v>
      </c>
      <c r="P2110" s="10" t="s">
        <v>84</v>
      </c>
      <c r="Q2110" s="11" t="s">
        <v>4621</v>
      </c>
      <c r="R2110" s="11" t="s">
        <v>4622</v>
      </c>
      <c r="S2110" s="16" t="s">
        <v>4623</v>
      </c>
      <c r="T2110" s="19" t="str">
        <f>MONTH(B2110)&amp;"-"&amp;YEAR(B2110)</f>
        <v>10-2025</v>
      </c>
      <c r="U2110" s="2">
        <f>YEAR(B2110)</f>
        <v>2025</v>
      </c>
      <c r="V2110" s="2" t="str">
        <f>IF(DAY(B2110)&gt;15,MONTH(B2110)&amp;"-C",MONTH(B2110)&amp;"-N")</f>
        <v>10-C</v>
      </c>
      <c r="W2110" s="21"/>
      <c r="X2110" s="2" t="b">
        <f t="shared" si="1143"/>
        <v>0</v>
      </c>
    </row>
    <row r="2111" spans="2:24" x14ac:dyDescent="0.2">
      <c r="B2111" s="17">
        <v>45947</v>
      </c>
      <c r="C2111" s="10" t="s">
        <v>88</v>
      </c>
      <c r="D2111" s="11">
        <v>177157</v>
      </c>
      <c r="E2111" s="26">
        <v>83567</v>
      </c>
      <c r="F2111" s="10" t="s">
        <v>100</v>
      </c>
      <c r="G2111" s="10" t="s">
        <v>3901</v>
      </c>
      <c r="H2111" s="27" t="s">
        <v>101</v>
      </c>
      <c r="I2111" s="28" t="s">
        <v>41</v>
      </c>
      <c r="J2111" s="12" t="s">
        <v>41</v>
      </c>
      <c r="K2111" s="13">
        <v>2000</v>
      </c>
      <c r="L2111" s="21">
        <v>13.22</v>
      </c>
      <c r="M2111" s="14" t="s">
        <v>14</v>
      </c>
      <c r="N2111" s="13">
        <v>26440</v>
      </c>
      <c r="O2111" s="15">
        <v>0</v>
      </c>
      <c r="P2111" s="10" t="s">
        <v>84</v>
      </c>
      <c r="Q2111" s="11" t="s">
        <v>4621</v>
      </c>
      <c r="R2111" s="11" t="s">
        <v>4622</v>
      </c>
      <c r="S2111" s="16" t="s">
        <v>4623</v>
      </c>
      <c r="T2111" s="19" t="str">
        <f>MONTH(B2111)&amp;"-"&amp;YEAR(B2111)</f>
        <v>10-2025</v>
      </c>
      <c r="U2111" s="2">
        <f>YEAR(B2111)</f>
        <v>2025</v>
      </c>
      <c r="V2111" s="2" t="str">
        <f>IF(DAY(B2111)&gt;15,MONTH(B2111)&amp;"-C",MONTH(B2111)&amp;"-N")</f>
        <v>10-C</v>
      </c>
      <c r="W2111" s="21"/>
      <c r="X2111" s="2" t="b">
        <f t="shared" si="1143"/>
        <v>0</v>
      </c>
    </row>
    <row r="2112" spans="2:24" x14ac:dyDescent="0.2">
      <c r="B2112" s="17">
        <v>45948</v>
      </c>
      <c r="C2112" s="10" t="s">
        <v>82</v>
      </c>
      <c r="D2112" s="11">
        <v>177183</v>
      </c>
      <c r="E2112" s="26">
        <v>83598</v>
      </c>
      <c r="F2112" s="10" t="s">
        <v>31</v>
      </c>
      <c r="G2112" s="10" t="s">
        <v>3885</v>
      </c>
      <c r="H2112" s="27" t="s">
        <v>32</v>
      </c>
      <c r="I2112" s="28" t="s">
        <v>41</v>
      </c>
      <c r="J2112" s="12" t="s">
        <v>41</v>
      </c>
      <c r="K2112" s="13">
        <v>640</v>
      </c>
      <c r="L2112" s="21">
        <v>5.25</v>
      </c>
      <c r="M2112" s="14" t="s">
        <v>14</v>
      </c>
      <c r="N2112" s="13">
        <v>3360</v>
      </c>
      <c r="O2112" s="15">
        <v>0</v>
      </c>
      <c r="P2112" s="10" t="s">
        <v>78</v>
      </c>
      <c r="Q2112" s="11" t="s">
        <v>4624</v>
      </c>
      <c r="R2112" s="11" t="s">
        <v>4625</v>
      </c>
      <c r="S2112" s="16" t="s">
        <v>4626</v>
      </c>
      <c r="T2112" s="19" t="str">
        <f>MONTH(B2112)&amp;"-"&amp;YEAR(B2112)</f>
        <v>10-2025</v>
      </c>
      <c r="U2112" s="2">
        <f>YEAR(B2112)</f>
        <v>2025</v>
      </c>
      <c r="V2112" s="2" t="str">
        <f>IF(DAY(B2112)&gt;15,MONTH(B2112)&amp;"-C",MONTH(B2112)&amp;"-N")</f>
        <v>10-C</v>
      </c>
      <c r="W2112" s="21"/>
      <c r="X2112" s="2" t="b">
        <f t="shared" si="1143"/>
        <v>0</v>
      </c>
    </row>
    <row r="2113" spans="2:24" x14ac:dyDescent="0.2">
      <c r="B2113" s="17">
        <v>45948</v>
      </c>
      <c r="C2113" s="10" t="s">
        <v>82</v>
      </c>
      <c r="D2113" s="11">
        <v>177183</v>
      </c>
      <c r="E2113" s="26">
        <v>83599</v>
      </c>
      <c r="F2113" s="10" t="s">
        <v>29</v>
      </c>
      <c r="G2113" s="10" t="s">
        <v>3885</v>
      </c>
      <c r="H2113" s="27" t="s">
        <v>30</v>
      </c>
      <c r="I2113" s="28" t="s">
        <v>41</v>
      </c>
      <c r="J2113" s="12" t="s">
        <v>41</v>
      </c>
      <c r="K2113" s="13">
        <v>660</v>
      </c>
      <c r="L2113" s="21">
        <v>4</v>
      </c>
      <c r="M2113" s="14" t="s">
        <v>14</v>
      </c>
      <c r="N2113" s="13">
        <v>2640</v>
      </c>
      <c r="O2113" s="15">
        <v>0</v>
      </c>
      <c r="P2113" s="10" t="s">
        <v>78</v>
      </c>
      <c r="Q2113" s="11" t="s">
        <v>4627</v>
      </c>
      <c r="R2113" s="11" t="s">
        <v>4628</v>
      </c>
      <c r="S2113" s="16" t="s">
        <v>4629</v>
      </c>
      <c r="T2113" s="19" t="str">
        <f>MONTH(B2113)&amp;"-"&amp;YEAR(B2113)</f>
        <v>10-2025</v>
      </c>
      <c r="U2113" s="2">
        <f>YEAR(B2113)</f>
        <v>2025</v>
      </c>
      <c r="V2113" s="2" t="str">
        <f>IF(DAY(B2113)&gt;15,MONTH(B2113)&amp;"-C",MONTH(B2113)&amp;"-N")</f>
        <v>10-C</v>
      </c>
      <c r="W2113" s="21"/>
      <c r="X2113" s="2" t="b">
        <f t="shared" si="1143"/>
        <v>0</v>
      </c>
    </row>
    <row r="2114" spans="2:24" x14ac:dyDescent="0.2">
      <c r="B2114" s="17">
        <v>45948</v>
      </c>
      <c r="C2114" s="10" t="s">
        <v>82</v>
      </c>
      <c r="D2114" s="11">
        <v>177183</v>
      </c>
      <c r="E2114" s="26">
        <v>83599</v>
      </c>
      <c r="F2114" s="10" t="s">
        <v>33</v>
      </c>
      <c r="G2114" s="10" t="s">
        <v>3885</v>
      </c>
      <c r="H2114" s="27" t="s">
        <v>34</v>
      </c>
      <c r="I2114" s="28" t="s">
        <v>41</v>
      </c>
      <c r="J2114" s="12" t="s">
        <v>41</v>
      </c>
      <c r="K2114" s="13">
        <v>360</v>
      </c>
      <c r="L2114" s="21">
        <v>5.75</v>
      </c>
      <c r="M2114" s="14" t="s">
        <v>14</v>
      </c>
      <c r="N2114" s="13">
        <v>2070</v>
      </c>
      <c r="O2114" s="15">
        <v>0</v>
      </c>
      <c r="P2114" s="10" t="s">
        <v>78</v>
      </c>
      <c r="Q2114" s="11" t="s">
        <v>4627</v>
      </c>
      <c r="R2114" s="11" t="s">
        <v>4628</v>
      </c>
      <c r="S2114" s="16" t="s">
        <v>4629</v>
      </c>
      <c r="T2114" s="19" t="str">
        <f>MONTH(B2114)&amp;"-"&amp;YEAR(B2114)</f>
        <v>10-2025</v>
      </c>
      <c r="U2114" s="2">
        <f>YEAR(B2114)</f>
        <v>2025</v>
      </c>
      <c r="V2114" s="2" t="str">
        <f>IF(DAY(B2114)&gt;15,MONTH(B2114)&amp;"-C",MONTH(B2114)&amp;"-N")</f>
        <v>10-C</v>
      </c>
      <c r="W2114" s="21"/>
      <c r="X2114" s="2" t="b">
        <f t="shared" si="1143"/>
        <v>0</v>
      </c>
    </row>
    <row r="2115" spans="2:24" x14ac:dyDescent="0.2">
      <c r="B2115" s="17">
        <v>45951</v>
      </c>
      <c r="C2115" s="10" t="s">
        <v>107</v>
      </c>
      <c r="D2115" s="11">
        <v>176992</v>
      </c>
      <c r="E2115" s="26">
        <v>83665</v>
      </c>
      <c r="F2115" s="10" t="s">
        <v>103</v>
      </c>
      <c r="G2115" s="10" t="s">
        <v>3901</v>
      </c>
      <c r="H2115" s="27" t="s">
        <v>104</v>
      </c>
      <c r="I2115" s="28" t="s">
        <v>41</v>
      </c>
      <c r="J2115" s="12" t="s">
        <v>41</v>
      </c>
      <c r="K2115" s="13">
        <v>185</v>
      </c>
      <c r="L2115" s="21">
        <v>47.46</v>
      </c>
      <c r="M2115" s="14" t="s">
        <v>14</v>
      </c>
      <c r="N2115" s="13">
        <v>8780.1</v>
      </c>
      <c r="O2115" s="15">
        <v>0</v>
      </c>
      <c r="P2115" s="10" t="s">
        <v>84</v>
      </c>
      <c r="Q2115" s="11" t="s">
        <v>4630</v>
      </c>
      <c r="R2115" s="11" t="s">
        <v>4631</v>
      </c>
      <c r="S2115" s="16" t="s">
        <v>4632</v>
      </c>
      <c r="T2115" s="19" t="str">
        <f>MONTH(B2115)&amp;"-"&amp;YEAR(B2115)</f>
        <v>10-2025</v>
      </c>
      <c r="U2115" s="2">
        <f>YEAR(B2115)</f>
        <v>2025</v>
      </c>
      <c r="V2115" s="2" t="str">
        <f>IF(DAY(B2115)&gt;15,MONTH(B2115)&amp;"-C",MONTH(B2115)&amp;"-N")</f>
        <v>10-C</v>
      </c>
      <c r="W2115" s="21"/>
      <c r="X2115" s="2" t="b">
        <f t="shared" si="1143"/>
        <v>0</v>
      </c>
    </row>
    <row r="2116" spans="2:24" x14ac:dyDescent="0.2">
      <c r="B2116" s="17">
        <v>45951</v>
      </c>
      <c r="C2116" s="10" t="s">
        <v>107</v>
      </c>
      <c r="D2116" s="11">
        <v>176992</v>
      </c>
      <c r="E2116" s="26">
        <v>83665</v>
      </c>
      <c r="F2116" s="10" t="s">
        <v>105</v>
      </c>
      <c r="G2116" s="10" t="s">
        <v>3901</v>
      </c>
      <c r="H2116" s="27" t="s">
        <v>106</v>
      </c>
      <c r="I2116" s="28" t="s">
        <v>41</v>
      </c>
      <c r="J2116" s="12" t="s">
        <v>41</v>
      </c>
      <c r="K2116" s="13">
        <v>6160</v>
      </c>
      <c r="L2116" s="21">
        <v>11.72</v>
      </c>
      <c r="M2116" s="14" t="s">
        <v>14</v>
      </c>
      <c r="N2116" s="13">
        <v>72195.199999999997</v>
      </c>
      <c r="O2116" s="15">
        <v>0</v>
      </c>
      <c r="P2116" s="10" t="s">
        <v>84</v>
      </c>
      <c r="Q2116" s="11" t="s">
        <v>4630</v>
      </c>
      <c r="R2116" s="11" t="s">
        <v>4631</v>
      </c>
      <c r="S2116" s="16" t="s">
        <v>4632</v>
      </c>
      <c r="T2116" s="19" t="str">
        <f>MONTH(B2116)&amp;"-"&amp;YEAR(B2116)</f>
        <v>10-2025</v>
      </c>
      <c r="U2116" s="2">
        <f>YEAR(B2116)</f>
        <v>2025</v>
      </c>
      <c r="V2116" s="2" t="str">
        <f>IF(DAY(B2116)&gt;15,MONTH(B2116)&amp;"-C",MONTH(B2116)&amp;"-N")</f>
        <v>10-C</v>
      </c>
      <c r="W2116" s="21"/>
      <c r="X2116" s="2" t="b">
        <f t="shared" si="1143"/>
        <v>0</v>
      </c>
    </row>
    <row r="2117" spans="2:24" x14ac:dyDescent="0.2">
      <c r="B2117" s="17">
        <v>45951</v>
      </c>
      <c r="C2117" s="10" t="s">
        <v>25</v>
      </c>
      <c r="D2117" s="11">
        <v>176288</v>
      </c>
      <c r="E2117" s="26">
        <v>83678</v>
      </c>
      <c r="F2117" s="10" t="s">
        <v>49</v>
      </c>
      <c r="G2117" s="10" t="s">
        <v>3885</v>
      </c>
      <c r="H2117" s="27" t="s">
        <v>50</v>
      </c>
      <c r="I2117" s="28" t="s">
        <v>41</v>
      </c>
      <c r="J2117" s="12" t="s">
        <v>41</v>
      </c>
      <c r="K2117" s="13">
        <v>760</v>
      </c>
      <c r="L2117" s="21">
        <v>4.8499999999999996</v>
      </c>
      <c r="M2117" s="14" t="s">
        <v>14</v>
      </c>
      <c r="N2117" s="13">
        <v>3686</v>
      </c>
      <c r="O2117" s="15">
        <v>0</v>
      </c>
      <c r="P2117" s="10" t="s">
        <v>78</v>
      </c>
      <c r="Q2117" s="11" t="s">
        <v>4633</v>
      </c>
      <c r="R2117" s="11" t="s">
        <v>4634</v>
      </c>
      <c r="S2117" s="16" t="s">
        <v>4635</v>
      </c>
      <c r="T2117" s="19" t="str">
        <f>MONTH(B2117)&amp;"-"&amp;YEAR(B2117)</f>
        <v>10-2025</v>
      </c>
      <c r="U2117" s="2">
        <f>YEAR(B2117)</f>
        <v>2025</v>
      </c>
      <c r="V2117" s="2" t="str">
        <f>IF(DAY(B2117)&gt;15,MONTH(B2117)&amp;"-C",MONTH(B2117)&amp;"-N")</f>
        <v>10-C</v>
      </c>
      <c r="W2117" s="21"/>
      <c r="X2117" s="2" t="b">
        <f t="shared" ref="X2117:X2120" si="1144">+L2117=W2117</f>
        <v>0</v>
      </c>
    </row>
    <row r="2118" spans="2:24" x14ac:dyDescent="0.2">
      <c r="B2118" s="17">
        <v>45951</v>
      </c>
      <c r="C2118" s="10" t="s">
        <v>25</v>
      </c>
      <c r="D2118" s="11">
        <v>176898</v>
      </c>
      <c r="E2118" s="26">
        <v>83679</v>
      </c>
      <c r="F2118" s="10" t="s">
        <v>29</v>
      </c>
      <c r="G2118" s="10" t="s">
        <v>3885</v>
      </c>
      <c r="H2118" s="27" t="s">
        <v>30</v>
      </c>
      <c r="I2118" s="28" t="s">
        <v>41</v>
      </c>
      <c r="J2118" s="12" t="s">
        <v>41</v>
      </c>
      <c r="K2118" s="13">
        <v>1980</v>
      </c>
      <c r="L2118" s="21">
        <v>3.67</v>
      </c>
      <c r="M2118" s="14" t="s">
        <v>14</v>
      </c>
      <c r="N2118" s="13">
        <v>7266.6</v>
      </c>
      <c r="O2118" s="15">
        <v>0</v>
      </c>
      <c r="P2118" s="10" t="s">
        <v>78</v>
      </c>
      <c r="Q2118" s="11" t="s">
        <v>4636</v>
      </c>
      <c r="R2118" s="11" t="s">
        <v>4637</v>
      </c>
      <c r="S2118" s="16" t="s">
        <v>4638</v>
      </c>
      <c r="T2118" s="19" t="str">
        <f>MONTH(B2118)&amp;"-"&amp;YEAR(B2118)</f>
        <v>10-2025</v>
      </c>
      <c r="U2118" s="2">
        <f>YEAR(B2118)</f>
        <v>2025</v>
      </c>
      <c r="V2118" s="2" t="str">
        <f>IF(DAY(B2118)&gt;15,MONTH(B2118)&amp;"-C",MONTH(B2118)&amp;"-N")</f>
        <v>10-C</v>
      </c>
      <c r="W2118" s="21"/>
      <c r="X2118" s="2" t="b">
        <f t="shared" si="1144"/>
        <v>0</v>
      </c>
    </row>
    <row r="2119" spans="2:24" x14ac:dyDescent="0.2">
      <c r="B2119" s="17">
        <v>45951</v>
      </c>
      <c r="C2119" s="10" t="s">
        <v>25</v>
      </c>
      <c r="D2119" s="11">
        <v>176898</v>
      </c>
      <c r="E2119" s="26">
        <v>83679</v>
      </c>
      <c r="F2119" s="10" t="s">
        <v>31</v>
      </c>
      <c r="G2119" s="10" t="s">
        <v>3885</v>
      </c>
      <c r="H2119" s="27" t="s">
        <v>32</v>
      </c>
      <c r="I2119" s="28" t="s">
        <v>41</v>
      </c>
      <c r="J2119" s="12" t="s">
        <v>41</v>
      </c>
      <c r="K2119" s="13">
        <v>1920</v>
      </c>
      <c r="L2119" s="21">
        <v>4.45</v>
      </c>
      <c r="M2119" s="14" t="s">
        <v>14</v>
      </c>
      <c r="N2119" s="13">
        <v>8544</v>
      </c>
      <c r="O2119" s="15">
        <v>0</v>
      </c>
      <c r="P2119" s="10" t="s">
        <v>78</v>
      </c>
      <c r="Q2119" s="11" t="s">
        <v>4636</v>
      </c>
      <c r="R2119" s="11" t="s">
        <v>4637</v>
      </c>
      <c r="S2119" s="16" t="s">
        <v>4638</v>
      </c>
      <c r="T2119" s="19" t="str">
        <f>MONTH(B2119)&amp;"-"&amp;YEAR(B2119)</f>
        <v>10-2025</v>
      </c>
      <c r="U2119" s="2">
        <f>YEAR(B2119)</f>
        <v>2025</v>
      </c>
      <c r="V2119" s="2" t="str">
        <f>IF(DAY(B2119)&gt;15,MONTH(B2119)&amp;"-C",MONTH(B2119)&amp;"-N")</f>
        <v>10-C</v>
      </c>
      <c r="W2119" s="21"/>
      <c r="X2119" s="2" t="b">
        <f t="shared" si="1144"/>
        <v>0</v>
      </c>
    </row>
    <row r="2120" spans="2:24" x14ac:dyDescent="0.2">
      <c r="B2120" s="17">
        <v>45951</v>
      </c>
      <c r="C2120" s="10" t="s">
        <v>25</v>
      </c>
      <c r="D2120" s="11">
        <v>176898</v>
      </c>
      <c r="E2120" s="26">
        <v>83679</v>
      </c>
      <c r="F2120" s="10" t="s">
        <v>33</v>
      </c>
      <c r="G2120" s="10" t="s">
        <v>3885</v>
      </c>
      <c r="H2120" s="27" t="s">
        <v>34</v>
      </c>
      <c r="I2120" s="28" t="s">
        <v>41</v>
      </c>
      <c r="J2120" s="12" t="s">
        <v>41</v>
      </c>
      <c r="K2120" s="13">
        <v>2160</v>
      </c>
      <c r="L2120" s="21">
        <v>4.8</v>
      </c>
      <c r="M2120" s="14" t="s">
        <v>14</v>
      </c>
      <c r="N2120" s="13">
        <v>10368</v>
      </c>
      <c r="O2120" s="15">
        <v>0</v>
      </c>
      <c r="P2120" s="10" t="s">
        <v>78</v>
      </c>
      <c r="Q2120" s="11" t="s">
        <v>4636</v>
      </c>
      <c r="R2120" s="11" t="s">
        <v>4637</v>
      </c>
      <c r="S2120" s="16" t="s">
        <v>4638</v>
      </c>
      <c r="T2120" s="19" t="str">
        <f>MONTH(B2120)&amp;"-"&amp;YEAR(B2120)</f>
        <v>10-2025</v>
      </c>
      <c r="U2120" s="2">
        <f>YEAR(B2120)</f>
        <v>2025</v>
      </c>
      <c r="V2120" s="2" t="str">
        <f>IF(DAY(B2120)&gt;15,MONTH(B2120)&amp;"-C",MONTH(B2120)&amp;"-N")</f>
        <v>10-C</v>
      </c>
      <c r="W2120" s="21"/>
      <c r="X2120" s="2" t="b">
        <f t="shared" si="1144"/>
        <v>0</v>
      </c>
    </row>
    <row r="2121" spans="2:24" x14ac:dyDescent="0.2">
      <c r="B2121" s="17">
        <v>45957</v>
      </c>
      <c r="C2121" s="10" t="s">
        <v>4384</v>
      </c>
      <c r="D2121" s="11">
        <v>176628</v>
      </c>
      <c r="E2121" s="26">
        <v>83763</v>
      </c>
      <c r="F2121" s="10" t="s">
        <v>26</v>
      </c>
      <c r="G2121" s="10" t="s">
        <v>3885</v>
      </c>
      <c r="H2121" s="27" t="s">
        <v>28</v>
      </c>
      <c r="I2121" s="28" t="s">
        <v>41</v>
      </c>
      <c r="J2121" s="12" t="s">
        <v>41</v>
      </c>
      <c r="K2121" s="13">
        <v>18290</v>
      </c>
      <c r="L2121" s="21">
        <v>2.95</v>
      </c>
      <c r="M2121" s="14" t="s">
        <v>14</v>
      </c>
      <c r="N2121" s="13">
        <v>53955.5</v>
      </c>
      <c r="O2121" s="15">
        <v>0</v>
      </c>
      <c r="P2121" s="10" t="s">
        <v>78</v>
      </c>
      <c r="Q2121" s="11" t="s">
        <v>4639</v>
      </c>
      <c r="R2121" s="11" t="s">
        <v>4640</v>
      </c>
      <c r="S2121" s="16" t="s">
        <v>4641</v>
      </c>
      <c r="T2121" s="19" t="str">
        <f>MONTH(B2121)&amp;"-"&amp;YEAR(B2121)</f>
        <v>10-2025</v>
      </c>
      <c r="U2121" s="2">
        <f>YEAR(B2121)</f>
        <v>2025</v>
      </c>
      <c r="V2121" s="2" t="str">
        <f>IF(DAY(B2121)&gt;15,MONTH(B2121)&amp;"-C",MONTH(B2121)&amp;"-N")</f>
        <v>10-C</v>
      </c>
      <c r="W2121" s="21"/>
      <c r="X2121" s="2" t="b">
        <f t="shared" ref="X2121" si="1145">+L2121=W2121</f>
        <v>0</v>
      </c>
    </row>
    <row r="2122" spans="2:24" x14ac:dyDescent="0.2">
      <c r="B2122" s="17">
        <v>45957</v>
      </c>
      <c r="C2122" s="10" t="s">
        <v>25</v>
      </c>
      <c r="D2122" s="11">
        <v>176898</v>
      </c>
      <c r="E2122" s="26">
        <v>83782</v>
      </c>
      <c r="F2122" s="10" t="s">
        <v>29</v>
      </c>
      <c r="G2122" s="10" t="s">
        <v>3885</v>
      </c>
      <c r="H2122" s="27" t="s">
        <v>30</v>
      </c>
      <c r="I2122" s="28" t="s">
        <v>41</v>
      </c>
      <c r="J2122" s="12" t="s">
        <v>41</v>
      </c>
      <c r="K2122" s="13">
        <v>1980</v>
      </c>
      <c r="L2122" s="21">
        <v>3.67</v>
      </c>
      <c r="M2122" s="14" t="s">
        <v>14</v>
      </c>
      <c r="N2122" s="13">
        <v>7266.6</v>
      </c>
      <c r="O2122" s="15">
        <v>0</v>
      </c>
      <c r="P2122" s="10" t="s">
        <v>78</v>
      </c>
      <c r="Q2122" s="11" t="s">
        <v>4642</v>
      </c>
      <c r="R2122" s="11" t="s">
        <v>4643</v>
      </c>
      <c r="S2122" s="16" t="s">
        <v>4644</v>
      </c>
      <c r="T2122" s="19" t="str">
        <f>MONTH(B2122)&amp;"-"&amp;YEAR(B2122)</f>
        <v>10-2025</v>
      </c>
      <c r="U2122" s="2">
        <f>YEAR(B2122)</f>
        <v>2025</v>
      </c>
      <c r="V2122" s="2" t="str">
        <f>IF(DAY(B2122)&gt;15,MONTH(B2122)&amp;"-C",MONTH(B2122)&amp;"-N")</f>
        <v>10-C</v>
      </c>
      <c r="W2122" s="21"/>
      <c r="X2122" s="2" t="b">
        <f t="shared" ref="X2122:X2130" si="1146">+L2122=W2122</f>
        <v>0</v>
      </c>
    </row>
    <row r="2123" spans="2:24" x14ac:dyDescent="0.2">
      <c r="B2123" s="17">
        <v>45957</v>
      </c>
      <c r="C2123" s="10" t="s">
        <v>25</v>
      </c>
      <c r="D2123" s="11">
        <v>176898</v>
      </c>
      <c r="E2123" s="26">
        <v>83782</v>
      </c>
      <c r="F2123" s="10" t="s">
        <v>33</v>
      </c>
      <c r="G2123" s="10" t="s">
        <v>3885</v>
      </c>
      <c r="H2123" s="27" t="s">
        <v>34</v>
      </c>
      <c r="I2123" s="28" t="s">
        <v>41</v>
      </c>
      <c r="J2123" s="12" t="s">
        <v>41</v>
      </c>
      <c r="K2123" s="13">
        <v>2160</v>
      </c>
      <c r="L2123" s="21">
        <v>4.8</v>
      </c>
      <c r="M2123" s="14" t="s">
        <v>14</v>
      </c>
      <c r="N2123" s="13">
        <v>10368</v>
      </c>
      <c r="O2123" s="15">
        <v>0</v>
      </c>
      <c r="P2123" s="10" t="s">
        <v>78</v>
      </c>
      <c r="Q2123" s="11" t="s">
        <v>4642</v>
      </c>
      <c r="R2123" s="11" t="s">
        <v>4643</v>
      </c>
      <c r="S2123" s="16" t="s">
        <v>4644</v>
      </c>
      <c r="T2123" s="19" t="str">
        <f>MONTH(B2123)&amp;"-"&amp;YEAR(B2123)</f>
        <v>10-2025</v>
      </c>
      <c r="U2123" s="2">
        <f>YEAR(B2123)</f>
        <v>2025</v>
      </c>
      <c r="V2123" s="2" t="str">
        <f>IF(DAY(B2123)&gt;15,MONTH(B2123)&amp;"-C",MONTH(B2123)&amp;"-N")</f>
        <v>10-C</v>
      </c>
      <c r="W2123" s="21"/>
      <c r="X2123" s="2" t="b">
        <f t="shared" si="1146"/>
        <v>0</v>
      </c>
    </row>
    <row r="2124" spans="2:24" x14ac:dyDescent="0.2">
      <c r="B2124" s="17">
        <v>45950</v>
      </c>
      <c r="C2124" s="10" t="s">
        <v>4645</v>
      </c>
      <c r="D2124" s="11">
        <v>176910</v>
      </c>
      <c r="E2124" s="26">
        <v>83661</v>
      </c>
      <c r="F2124" s="10" t="s">
        <v>40</v>
      </c>
      <c r="G2124" s="10" t="s">
        <v>3884</v>
      </c>
      <c r="H2124" s="27" t="s">
        <v>23</v>
      </c>
      <c r="I2124" s="28">
        <v>1073</v>
      </c>
      <c r="J2124" s="28">
        <v>20</v>
      </c>
      <c r="K2124" s="13">
        <v>6342.59</v>
      </c>
      <c r="L2124" s="21">
        <v>5.8819999999999997</v>
      </c>
      <c r="M2124" s="14" t="s">
        <v>14</v>
      </c>
      <c r="N2124" s="13">
        <v>37304.576999999997</v>
      </c>
      <c r="O2124" s="15">
        <v>0</v>
      </c>
      <c r="P2124" s="10" t="s">
        <v>97</v>
      </c>
      <c r="Q2124" s="11" t="s">
        <v>4646</v>
      </c>
      <c r="R2124" s="11" t="s">
        <v>4647</v>
      </c>
      <c r="S2124" s="16" t="s">
        <v>4648</v>
      </c>
      <c r="T2124" s="19" t="str">
        <f>MONTH(B2124)&amp;"-"&amp;YEAR(B2124)</f>
        <v>10-2025</v>
      </c>
      <c r="U2124" s="2">
        <f>YEAR(B2124)</f>
        <v>2025</v>
      </c>
      <c r="V2124" s="2" t="str">
        <f>IF(DAY(B2124)&gt;15,MONTH(B2124)&amp;"-C",MONTH(B2124)&amp;"-N")</f>
        <v>10-C</v>
      </c>
      <c r="W2124" s="21"/>
      <c r="X2124" s="2" t="b">
        <f t="shared" si="1146"/>
        <v>0</v>
      </c>
    </row>
    <row r="2125" spans="2:24" x14ac:dyDescent="0.2">
      <c r="B2125" s="17">
        <v>45950</v>
      </c>
      <c r="C2125" s="10" t="s">
        <v>4645</v>
      </c>
      <c r="D2125" s="11">
        <v>176910</v>
      </c>
      <c r="E2125" s="26">
        <v>83661</v>
      </c>
      <c r="F2125" s="10" t="s">
        <v>723</v>
      </c>
      <c r="G2125" s="10" t="s">
        <v>3884</v>
      </c>
      <c r="H2125" s="27" t="s">
        <v>23</v>
      </c>
      <c r="I2125" s="28">
        <v>928</v>
      </c>
      <c r="J2125" s="28">
        <v>30</v>
      </c>
      <c r="K2125" s="13">
        <v>1807.66</v>
      </c>
      <c r="L2125" s="21">
        <v>5.8819999999999997</v>
      </c>
      <c r="M2125" s="14" t="s">
        <v>14</v>
      </c>
      <c r="N2125" s="13">
        <v>10631.933000000001</v>
      </c>
      <c r="O2125" s="15">
        <v>0</v>
      </c>
      <c r="P2125" s="10" t="s">
        <v>97</v>
      </c>
      <c r="Q2125" s="11" t="s">
        <v>4646</v>
      </c>
      <c r="R2125" s="11" t="s">
        <v>4647</v>
      </c>
      <c r="S2125" s="16" t="s">
        <v>4648</v>
      </c>
      <c r="T2125" s="19" t="str">
        <f>MONTH(B2125)&amp;"-"&amp;YEAR(B2125)</f>
        <v>10-2025</v>
      </c>
      <c r="U2125" s="2">
        <f>YEAR(B2125)</f>
        <v>2025</v>
      </c>
      <c r="V2125" s="2" t="str">
        <f>IF(DAY(B2125)&gt;15,MONTH(B2125)&amp;"-C",MONTH(B2125)&amp;"-N")</f>
        <v>10-C</v>
      </c>
      <c r="W2125" s="21"/>
      <c r="X2125" s="2" t="b">
        <f t="shared" si="1146"/>
        <v>0</v>
      </c>
    </row>
    <row r="2126" spans="2:24" x14ac:dyDescent="0.2">
      <c r="B2126" s="17">
        <v>45950</v>
      </c>
      <c r="C2126" s="10" t="s">
        <v>4645</v>
      </c>
      <c r="D2126" s="11">
        <v>176910</v>
      </c>
      <c r="E2126" s="26">
        <v>83661</v>
      </c>
      <c r="F2126" s="10" t="s">
        <v>39</v>
      </c>
      <c r="G2126" s="10" t="s">
        <v>3884</v>
      </c>
      <c r="H2126" s="27" t="s">
        <v>24</v>
      </c>
      <c r="I2126" s="28">
        <v>1073</v>
      </c>
      <c r="J2126" s="28">
        <v>20</v>
      </c>
      <c r="K2126" s="13">
        <v>3066.94</v>
      </c>
      <c r="L2126" s="21">
        <v>5.1459999999999999</v>
      </c>
      <c r="M2126" s="14" t="s">
        <v>14</v>
      </c>
      <c r="N2126" s="13">
        <v>15783.7</v>
      </c>
      <c r="O2126" s="15">
        <v>0</v>
      </c>
      <c r="P2126" s="10" t="s">
        <v>96</v>
      </c>
      <c r="Q2126" s="11" t="s">
        <v>4646</v>
      </c>
      <c r="R2126" s="11" t="s">
        <v>4647</v>
      </c>
      <c r="S2126" s="16" t="s">
        <v>4648</v>
      </c>
      <c r="T2126" s="19" t="str">
        <f>MONTH(B2126)&amp;"-"&amp;YEAR(B2126)</f>
        <v>10-2025</v>
      </c>
      <c r="U2126" s="2">
        <f>YEAR(B2126)</f>
        <v>2025</v>
      </c>
      <c r="V2126" s="2" t="str">
        <f>IF(DAY(B2126)&gt;15,MONTH(B2126)&amp;"-C",MONTH(B2126)&amp;"-N")</f>
        <v>10-C</v>
      </c>
      <c r="W2126" s="21"/>
      <c r="X2126" s="2" t="b">
        <f t="shared" si="1146"/>
        <v>0</v>
      </c>
    </row>
    <row r="2127" spans="2:24" x14ac:dyDescent="0.2">
      <c r="B2127" s="17">
        <v>45950</v>
      </c>
      <c r="C2127" s="10" t="s">
        <v>4645</v>
      </c>
      <c r="D2127" s="11">
        <v>176910</v>
      </c>
      <c r="E2127" s="26">
        <v>83661</v>
      </c>
      <c r="F2127" s="10" t="s">
        <v>35</v>
      </c>
      <c r="G2127" s="10" t="s">
        <v>3884</v>
      </c>
      <c r="H2127" s="27" t="s">
        <v>24</v>
      </c>
      <c r="I2127" s="28">
        <v>1113</v>
      </c>
      <c r="J2127" s="28">
        <v>20</v>
      </c>
      <c r="K2127" s="13">
        <v>2823.91</v>
      </c>
      <c r="L2127" s="21">
        <v>5.1459999999999999</v>
      </c>
      <c r="M2127" s="14" t="s">
        <v>14</v>
      </c>
      <c r="N2127" s="13">
        <v>14532.97</v>
      </c>
      <c r="O2127" s="15">
        <v>0</v>
      </c>
      <c r="P2127" s="10" t="s">
        <v>96</v>
      </c>
      <c r="Q2127" s="11" t="s">
        <v>4646</v>
      </c>
      <c r="R2127" s="11" t="s">
        <v>4647</v>
      </c>
      <c r="S2127" s="16" t="s">
        <v>4648</v>
      </c>
      <c r="T2127" s="19" t="str">
        <f>MONTH(B2127)&amp;"-"&amp;YEAR(B2127)</f>
        <v>10-2025</v>
      </c>
      <c r="U2127" s="2">
        <f>YEAR(B2127)</f>
        <v>2025</v>
      </c>
      <c r="V2127" s="2" t="str">
        <f>IF(DAY(B2127)&gt;15,MONTH(B2127)&amp;"-C",MONTH(B2127)&amp;"-N")</f>
        <v>10-C</v>
      </c>
      <c r="W2127" s="21"/>
      <c r="X2127" s="2" t="b">
        <f t="shared" si="1146"/>
        <v>0</v>
      </c>
    </row>
    <row r="2128" spans="2:24" x14ac:dyDescent="0.2">
      <c r="B2128" s="17">
        <v>45950</v>
      </c>
      <c r="C2128" s="10" t="s">
        <v>4645</v>
      </c>
      <c r="D2128" s="11">
        <v>176910</v>
      </c>
      <c r="E2128" s="26">
        <v>83661</v>
      </c>
      <c r="F2128" s="10" t="s">
        <v>47</v>
      </c>
      <c r="G2128" s="10" t="s">
        <v>3884</v>
      </c>
      <c r="H2128" s="27" t="s">
        <v>24</v>
      </c>
      <c r="I2128" s="28">
        <v>1153</v>
      </c>
      <c r="J2128" s="28">
        <v>20</v>
      </c>
      <c r="K2128" s="13">
        <v>1470.58</v>
      </c>
      <c r="L2128" s="21">
        <v>5.1459999999999999</v>
      </c>
      <c r="M2128" s="14" t="s">
        <v>14</v>
      </c>
      <c r="N2128" s="13">
        <v>7568.1930000000002</v>
      </c>
      <c r="O2128" s="15">
        <v>0</v>
      </c>
      <c r="P2128" s="10" t="s">
        <v>96</v>
      </c>
      <c r="Q2128" s="11" t="s">
        <v>4646</v>
      </c>
      <c r="R2128" s="11" t="s">
        <v>4647</v>
      </c>
      <c r="S2128" s="16" t="s">
        <v>4648</v>
      </c>
      <c r="T2128" s="19" t="str">
        <f>MONTH(B2128)&amp;"-"&amp;YEAR(B2128)</f>
        <v>10-2025</v>
      </c>
      <c r="U2128" s="2">
        <f>YEAR(B2128)</f>
        <v>2025</v>
      </c>
      <c r="V2128" s="2" t="str">
        <f>IF(DAY(B2128)&gt;15,MONTH(B2128)&amp;"-C",MONTH(B2128)&amp;"-N")</f>
        <v>10-C</v>
      </c>
      <c r="W2128" s="21"/>
      <c r="X2128" s="2" t="b">
        <f t="shared" si="1146"/>
        <v>0</v>
      </c>
    </row>
    <row r="2129" spans="2:24" x14ac:dyDescent="0.2">
      <c r="B2129" s="17">
        <v>45950</v>
      </c>
      <c r="C2129" s="10" t="s">
        <v>4645</v>
      </c>
      <c r="D2129" s="11">
        <v>176910</v>
      </c>
      <c r="E2129" s="26">
        <v>83661</v>
      </c>
      <c r="F2129" s="10" t="s">
        <v>38</v>
      </c>
      <c r="G2129" s="10" t="s">
        <v>3884</v>
      </c>
      <c r="H2129" s="27" t="s">
        <v>24</v>
      </c>
      <c r="I2129" s="28">
        <v>1278</v>
      </c>
      <c r="J2129" s="28">
        <v>20</v>
      </c>
      <c r="K2129" s="13">
        <v>1617.43</v>
      </c>
      <c r="L2129" s="21">
        <v>5.1459999999999999</v>
      </c>
      <c r="M2129" s="14" t="s">
        <v>14</v>
      </c>
      <c r="N2129" s="13">
        <v>8323.9419999999991</v>
      </c>
      <c r="O2129" s="15">
        <v>0</v>
      </c>
      <c r="P2129" s="10" t="s">
        <v>96</v>
      </c>
      <c r="Q2129" s="11" t="s">
        <v>4646</v>
      </c>
      <c r="R2129" s="11" t="s">
        <v>4647</v>
      </c>
      <c r="S2129" s="16" t="s">
        <v>4648</v>
      </c>
      <c r="T2129" s="19" t="str">
        <f>MONTH(B2129)&amp;"-"&amp;YEAR(B2129)</f>
        <v>10-2025</v>
      </c>
      <c r="U2129" s="2">
        <f>YEAR(B2129)</f>
        <v>2025</v>
      </c>
      <c r="V2129" s="2" t="str">
        <f>IF(DAY(B2129)&gt;15,MONTH(B2129)&amp;"-C",MONTH(B2129)&amp;"-N")</f>
        <v>10-C</v>
      </c>
      <c r="W2129" s="21"/>
      <c r="X2129" s="2" t="b">
        <f t="shared" si="1146"/>
        <v>0</v>
      </c>
    </row>
    <row r="2130" spans="2:24" x14ac:dyDescent="0.2">
      <c r="B2130" s="17">
        <v>45950</v>
      </c>
      <c r="C2130" s="10" t="s">
        <v>4645</v>
      </c>
      <c r="D2130" s="11">
        <v>176910</v>
      </c>
      <c r="E2130" s="26">
        <v>83661</v>
      </c>
      <c r="F2130" s="10" t="s">
        <v>693</v>
      </c>
      <c r="G2130" s="10" t="s">
        <v>3884</v>
      </c>
      <c r="H2130" s="27" t="s">
        <v>24</v>
      </c>
      <c r="I2130" s="28">
        <v>928</v>
      </c>
      <c r="J2130" s="28">
        <v>30</v>
      </c>
      <c r="K2130" s="13">
        <v>3277.29</v>
      </c>
      <c r="L2130" s="21">
        <v>5.1459999999999999</v>
      </c>
      <c r="M2130" s="14" t="s">
        <v>14</v>
      </c>
      <c r="N2130" s="13">
        <v>16866.244999999999</v>
      </c>
      <c r="O2130" s="15">
        <v>0</v>
      </c>
      <c r="P2130" s="10" t="s">
        <v>96</v>
      </c>
      <c r="Q2130" s="11" t="s">
        <v>4646</v>
      </c>
      <c r="R2130" s="11" t="s">
        <v>4647</v>
      </c>
      <c r="S2130" s="16" t="s">
        <v>4648</v>
      </c>
      <c r="T2130" s="19" t="str">
        <f>MONTH(B2130)&amp;"-"&amp;YEAR(B2130)</f>
        <v>10-2025</v>
      </c>
      <c r="U2130" s="2">
        <f>YEAR(B2130)</f>
        <v>2025</v>
      </c>
      <c r="V2130" s="2" t="str">
        <f>IF(DAY(B2130)&gt;15,MONTH(B2130)&amp;"-C",MONTH(B2130)&amp;"-N")</f>
        <v>10-C</v>
      </c>
      <c r="W2130" s="21"/>
      <c r="X2130" s="2" t="b">
        <f t="shared" si="1146"/>
        <v>0</v>
      </c>
    </row>
    <row r="2131" spans="2:24" x14ac:dyDescent="0.2">
      <c r="B2131" s="17">
        <v>45960</v>
      </c>
      <c r="C2131" s="10" t="s">
        <v>4384</v>
      </c>
      <c r="D2131" s="11">
        <v>176628</v>
      </c>
      <c r="E2131" s="26">
        <v>83849</v>
      </c>
      <c r="F2131" s="10" t="s">
        <v>26</v>
      </c>
      <c r="G2131" s="10" t="s">
        <v>3885</v>
      </c>
      <c r="H2131" s="27" t="s">
        <v>28</v>
      </c>
      <c r="I2131" s="28" t="s">
        <v>41</v>
      </c>
      <c r="J2131" s="12" t="s">
        <v>41</v>
      </c>
      <c r="K2131" s="13">
        <v>18270</v>
      </c>
      <c r="L2131" s="21">
        <v>2.95</v>
      </c>
      <c r="M2131" s="14" t="s">
        <v>14</v>
      </c>
      <c r="N2131" s="13">
        <v>53896.5</v>
      </c>
      <c r="O2131" s="15">
        <v>0</v>
      </c>
      <c r="P2131" s="10" t="s">
        <v>78</v>
      </c>
      <c r="Q2131" s="11" t="s">
        <v>4649</v>
      </c>
      <c r="R2131" s="11" t="s">
        <v>4650</v>
      </c>
      <c r="S2131" s="16" t="s">
        <v>4651</v>
      </c>
      <c r="T2131" s="19" t="str">
        <f>MONTH(B2131)&amp;"-"&amp;YEAR(B2131)</f>
        <v>10-2025</v>
      </c>
      <c r="U2131" s="2">
        <f>YEAR(B2131)</f>
        <v>2025</v>
      </c>
      <c r="V2131" s="2" t="str">
        <f>IF(DAY(B2131)&gt;15,MONTH(B2131)&amp;"-C",MONTH(B2131)&amp;"-N")</f>
        <v>10-C</v>
      </c>
      <c r="W2131" s="21"/>
      <c r="X2131" s="2" t="b">
        <f t="shared" ref="X2131" si="1147">+L2131=W2131</f>
        <v>0</v>
      </c>
    </row>
    <row r="2132" spans="2:24" x14ac:dyDescent="0.2">
      <c r="B2132" s="17">
        <v>45958</v>
      </c>
      <c r="C2132" s="10" t="s">
        <v>70</v>
      </c>
      <c r="D2132" s="11">
        <v>177190</v>
      </c>
      <c r="E2132" s="26">
        <v>83830</v>
      </c>
      <c r="F2132" s="10" t="s">
        <v>1890</v>
      </c>
      <c r="G2132" s="10" t="s">
        <v>3884</v>
      </c>
      <c r="H2132" s="27" t="s">
        <v>18</v>
      </c>
      <c r="I2132" s="28">
        <v>1048</v>
      </c>
      <c r="J2132" s="28">
        <v>12</v>
      </c>
      <c r="K2132" s="13">
        <v>853.9</v>
      </c>
      <c r="L2132" s="21">
        <v>4.58</v>
      </c>
      <c r="M2132" s="14" t="s">
        <v>14</v>
      </c>
      <c r="N2132" s="13">
        <v>3910.8620000000001</v>
      </c>
      <c r="O2132" s="15">
        <v>0</v>
      </c>
      <c r="P2132" s="10" t="s">
        <v>83</v>
      </c>
      <c r="Q2132" s="11" t="s">
        <v>4652</v>
      </c>
      <c r="R2132" s="11" t="s">
        <v>4653</v>
      </c>
      <c r="S2132" s="16" t="s">
        <v>4654</v>
      </c>
      <c r="T2132" s="19" t="str">
        <f>MONTH(B2132)&amp;"-"&amp;YEAR(B2132)</f>
        <v>10-2025</v>
      </c>
      <c r="U2132" s="2">
        <f>YEAR(B2132)</f>
        <v>2025</v>
      </c>
      <c r="V2132" s="2" t="str">
        <f>IF(DAY(B2132)&gt;15,MONTH(B2132)&amp;"-C",MONTH(B2132)&amp;"-N")</f>
        <v>10-C</v>
      </c>
      <c r="W2132" s="21"/>
      <c r="X2132" s="2" t="b">
        <f t="shared" ref="X2132:X2134" si="1148">+L2132=W2132</f>
        <v>0</v>
      </c>
    </row>
    <row r="2133" spans="2:24" x14ac:dyDescent="0.2">
      <c r="B2133" s="17">
        <v>45958</v>
      </c>
      <c r="C2133" s="10" t="s">
        <v>70</v>
      </c>
      <c r="D2133" s="11">
        <v>177190</v>
      </c>
      <c r="E2133" s="26">
        <v>83830</v>
      </c>
      <c r="F2133" s="10" t="s">
        <v>2273</v>
      </c>
      <c r="G2133" s="10" t="s">
        <v>3884</v>
      </c>
      <c r="H2133" s="27" t="s">
        <v>18</v>
      </c>
      <c r="I2133" s="28">
        <v>1140</v>
      </c>
      <c r="J2133" s="28">
        <v>12</v>
      </c>
      <c r="K2133" s="13">
        <v>3240.1</v>
      </c>
      <c r="L2133" s="21">
        <v>4.58</v>
      </c>
      <c r="M2133" s="14" t="s">
        <v>14</v>
      </c>
      <c r="N2133" s="13">
        <v>14839.657999999999</v>
      </c>
      <c r="O2133" s="15">
        <v>0</v>
      </c>
      <c r="P2133" s="10" t="s">
        <v>83</v>
      </c>
      <c r="Q2133" s="11" t="s">
        <v>4652</v>
      </c>
      <c r="R2133" s="11" t="s">
        <v>4653</v>
      </c>
      <c r="S2133" s="16" t="s">
        <v>4654</v>
      </c>
      <c r="T2133" s="19" t="str">
        <f>MONTH(B2133)&amp;"-"&amp;YEAR(B2133)</f>
        <v>10-2025</v>
      </c>
      <c r="U2133" s="2">
        <f>YEAR(B2133)</f>
        <v>2025</v>
      </c>
      <c r="V2133" s="2" t="str">
        <f>IF(DAY(B2133)&gt;15,MONTH(B2133)&amp;"-C",MONTH(B2133)&amp;"-N")</f>
        <v>10-C</v>
      </c>
      <c r="W2133" s="21"/>
      <c r="X2133" s="2" t="b">
        <f t="shared" si="1148"/>
        <v>0</v>
      </c>
    </row>
    <row r="2134" spans="2:24" x14ac:dyDescent="0.2">
      <c r="B2134" s="17">
        <v>45958</v>
      </c>
      <c r="C2134" s="10" t="s">
        <v>70</v>
      </c>
      <c r="D2134" s="11">
        <v>177190</v>
      </c>
      <c r="E2134" s="26">
        <v>83830</v>
      </c>
      <c r="F2134" s="10" t="s">
        <v>43</v>
      </c>
      <c r="G2134" s="10" t="s">
        <v>3884</v>
      </c>
      <c r="H2134" s="27" t="s">
        <v>18</v>
      </c>
      <c r="I2134" s="28">
        <v>913</v>
      </c>
      <c r="J2134" s="28">
        <v>12</v>
      </c>
      <c r="K2134" s="13">
        <v>740.9</v>
      </c>
      <c r="L2134" s="21">
        <v>4.58</v>
      </c>
      <c r="M2134" s="14" t="s">
        <v>14</v>
      </c>
      <c r="N2134" s="13">
        <v>3393.3220000000001</v>
      </c>
      <c r="O2134" s="15">
        <v>0</v>
      </c>
      <c r="P2134" s="10" t="s">
        <v>83</v>
      </c>
      <c r="Q2134" s="11" t="s">
        <v>4652</v>
      </c>
      <c r="R2134" s="11" t="s">
        <v>4653</v>
      </c>
      <c r="S2134" s="16" t="s">
        <v>4654</v>
      </c>
      <c r="T2134" s="19" t="str">
        <f>MONTH(B2134)&amp;"-"&amp;YEAR(B2134)</f>
        <v>10-2025</v>
      </c>
      <c r="U2134" s="2">
        <f>YEAR(B2134)</f>
        <v>2025</v>
      </c>
      <c r="V2134" s="2" t="str">
        <f>IF(DAY(B2134)&gt;15,MONTH(B2134)&amp;"-C",MONTH(B2134)&amp;"-N")</f>
        <v>10-C</v>
      </c>
      <c r="W2134" s="21"/>
      <c r="X2134" s="2" t="b">
        <f t="shared" si="1148"/>
        <v>0</v>
      </c>
    </row>
    <row r="2135" spans="2:24" x14ac:dyDescent="0.2">
      <c r="B2135" s="17">
        <v>45961</v>
      </c>
      <c r="C2135" s="10" t="s">
        <v>25</v>
      </c>
      <c r="D2135" s="11">
        <v>176898</v>
      </c>
      <c r="E2135" s="26">
        <v>83869</v>
      </c>
      <c r="F2135" s="10" t="s">
        <v>33</v>
      </c>
      <c r="G2135" s="10" t="s">
        <v>3885</v>
      </c>
      <c r="H2135" s="27" t="s">
        <v>34</v>
      </c>
      <c r="I2135" s="28" t="s">
        <v>41</v>
      </c>
      <c r="J2135" s="12" t="s">
        <v>41</v>
      </c>
      <c r="K2135" s="13">
        <v>180</v>
      </c>
      <c r="L2135" s="21">
        <v>4.8</v>
      </c>
      <c r="M2135" s="14" t="s">
        <v>14</v>
      </c>
      <c r="N2135" s="13">
        <v>864</v>
      </c>
      <c r="O2135" s="15">
        <v>0</v>
      </c>
      <c r="P2135" s="10" t="s">
        <v>78</v>
      </c>
      <c r="Q2135" s="11" t="s">
        <v>4655</v>
      </c>
      <c r="R2135" s="11" t="s">
        <v>4656</v>
      </c>
      <c r="S2135" s="16" t="s">
        <v>4657</v>
      </c>
      <c r="T2135" s="19" t="str">
        <f>MONTH(B2135)&amp;"-"&amp;YEAR(B2135)</f>
        <v>10-2025</v>
      </c>
      <c r="U2135" s="2">
        <f>YEAR(B2135)</f>
        <v>2025</v>
      </c>
      <c r="V2135" s="2" t="str">
        <f>IF(DAY(B2135)&gt;15,MONTH(B2135)&amp;"-C",MONTH(B2135)&amp;"-N")</f>
        <v>10-C</v>
      </c>
      <c r="W2135" s="21"/>
      <c r="X2135" s="2" t="b">
        <f t="shared" ref="X2135:X2138" si="1149">+L2135=W2135</f>
        <v>0</v>
      </c>
    </row>
    <row r="2136" spans="2:24" x14ac:dyDescent="0.2">
      <c r="B2136" s="17">
        <v>45961</v>
      </c>
      <c r="C2136" s="10" t="s">
        <v>25</v>
      </c>
      <c r="D2136" s="11">
        <v>177275</v>
      </c>
      <c r="E2136" s="26">
        <v>83868</v>
      </c>
      <c r="F2136" s="10" t="s">
        <v>33</v>
      </c>
      <c r="G2136" s="10" t="s">
        <v>3885</v>
      </c>
      <c r="H2136" s="27" t="s">
        <v>34</v>
      </c>
      <c r="I2136" s="28" t="s">
        <v>41</v>
      </c>
      <c r="J2136" s="12" t="s">
        <v>41</v>
      </c>
      <c r="K2136" s="13">
        <v>1980</v>
      </c>
      <c r="L2136" s="21">
        <v>4.8</v>
      </c>
      <c r="M2136" s="14" t="s">
        <v>14</v>
      </c>
      <c r="N2136" s="13">
        <v>9504</v>
      </c>
      <c r="O2136" s="15">
        <v>0</v>
      </c>
      <c r="P2136" s="10" t="s">
        <v>78</v>
      </c>
      <c r="Q2136" s="11" t="s">
        <v>4658</v>
      </c>
      <c r="R2136" s="11" t="s">
        <v>4659</v>
      </c>
      <c r="S2136" s="16" t="s">
        <v>4660</v>
      </c>
      <c r="T2136" s="19" t="str">
        <f>MONTH(B2136)&amp;"-"&amp;YEAR(B2136)</f>
        <v>10-2025</v>
      </c>
      <c r="U2136" s="2">
        <f>YEAR(B2136)</f>
        <v>2025</v>
      </c>
      <c r="V2136" s="2" t="str">
        <f>IF(DAY(B2136)&gt;15,MONTH(B2136)&amp;"-C",MONTH(B2136)&amp;"-N")</f>
        <v>10-C</v>
      </c>
      <c r="W2136" s="21"/>
      <c r="X2136" s="2" t="b">
        <f t="shared" si="1149"/>
        <v>0</v>
      </c>
    </row>
    <row r="2137" spans="2:24" x14ac:dyDescent="0.2">
      <c r="B2137" s="17">
        <v>45960</v>
      </c>
      <c r="C2137" s="10" t="s">
        <v>75</v>
      </c>
      <c r="D2137" s="11">
        <v>177131</v>
      </c>
      <c r="E2137" s="26">
        <v>83835</v>
      </c>
      <c r="F2137" s="10" t="s">
        <v>36</v>
      </c>
      <c r="G2137" s="10" t="s">
        <v>3884</v>
      </c>
      <c r="H2137" s="27" t="s">
        <v>23</v>
      </c>
      <c r="I2137" s="28">
        <v>1190</v>
      </c>
      <c r="J2137" s="28">
        <v>20</v>
      </c>
      <c r="K2137" s="13">
        <v>1693.82</v>
      </c>
      <c r="L2137" s="21">
        <v>6.2859999999999996</v>
      </c>
      <c r="M2137" s="14" t="s">
        <v>14</v>
      </c>
      <c r="N2137" s="13">
        <v>10647.284</v>
      </c>
      <c r="O2137" s="15">
        <v>0</v>
      </c>
      <c r="P2137" s="10" t="s">
        <v>79</v>
      </c>
      <c r="Q2137" s="11" t="s">
        <v>4661</v>
      </c>
      <c r="R2137" s="11" t="s">
        <v>4662</v>
      </c>
      <c r="S2137" s="16" t="s">
        <v>4663</v>
      </c>
      <c r="T2137" s="19" t="str">
        <f>MONTH(B2137)&amp;"-"&amp;YEAR(B2137)</f>
        <v>10-2025</v>
      </c>
      <c r="U2137" s="2">
        <f>YEAR(B2137)</f>
        <v>2025</v>
      </c>
      <c r="V2137" s="2" t="str">
        <f>IF(DAY(B2137)&gt;15,MONTH(B2137)&amp;"-C",MONTH(B2137)&amp;"-N")</f>
        <v>10-C</v>
      </c>
      <c r="W2137" s="21"/>
      <c r="X2137" s="2" t="b">
        <f t="shared" si="1149"/>
        <v>0</v>
      </c>
    </row>
    <row r="2138" spans="2:24" x14ac:dyDescent="0.2">
      <c r="B2138" s="17">
        <v>45960</v>
      </c>
      <c r="C2138" s="10" t="s">
        <v>75</v>
      </c>
      <c r="D2138" s="11">
        <v>177131</v>
      </c>
      <c r="E2138" s="26">
        <v>83835</v>
      </c>
      <c r="F2138" s="10" t="s">
        <v>95</v>
      </c>
      <c r="G2138" s="10" t="s">
        <v>3884</v>
      </c>
      <c r="H2138" s="27" t="s">
        <v>24</v>
      </c>
      <c r="I2138" s="28">
        <v>1093</v>
      </c>
      <c r="J2138" s="28">
        <v>30</v>
      </c>
      <c r="K2138" s="13">
        <v>2414.6999999999998</v>
      </c>
      <c r="L2138" s="21">
        <v>5.367</v>
      </c>
      <c r="M2138" s="14" t="s">
        <v>14</v>
      </c>
      <c r="N2138" s="13">
        <v>12959.598</v>
      </c>
      <c r="O2138" s="15">
        <v>0</v>
      </c>
      <c r="P2138" s="10" t="s">
        <v>77</v>
      </c>
      <c r="Q2138" s="11" t="s">
        <v>4661</v>
      </c>
      <c r="R2138" s="11" t="s">
        <v>4662</v>
      </c>
      <c r="S2138" s="16" t="s">
        <v>4663</v>
      </c>
      <c r="T2138" s="19" t="str">
        <f>MONTH(B2138)&amp;"-"&amp;YEAR(B2138)</f>
        <v>10-2025</v>
      </c>
      <c r="U2138" s="2">
        <f>YEAR(B2138)</f>
        <v>2025</v>
      </c>
      <c r="V2138" s="2" t="str">
        <f>IF(DAY(B2138)&gt;15,MONTH(B2138)&amp;"-C",MONTH(B2138)&amp;"-N")</f>
        <v>10-C</v>
      </c>
      <c r="W2138" s="21"/>
      <c r="X2138" s="2" t="b">
        <f t="shared" si="1149"/>
        <v>0</v>
      </c>
    </row>
    <row r="2139" spans="2:24" x14ac:dyDescent="0.2">
      <c r="B2139" s="17">
        <v>45969</v>
      </c>
      <c r="C2139" s="10" t="s">
        <v>25</v>
      </c>
      <c r="D2139" s="11">
        <v>177275</v>
      </c>
      <c r="E2139" s="26">
        <v>83987</v>
      </c>
      <c r="F2139" s="10" t="s">
        <v>33</v>
      </c>
      <c r="G2139" s="10" t="s">
        <v>3885</v>
      </c>
      <c r="H2139" s="27" t="s">
        <v>34</v>
      </c>
      <c r="I2139" s="28" t="s">
        <v>41</v>
      </c>
      <c r="J2139" s="12" t="s">
        <v>41</v>
      </c>
      <c r="K2139" s="13">
        <v>720</v>
      </c>
      <c r="L2139" s="21">
        <v>4.8</v>
      </c>
      <c r="M2139" s="14" t="s">
        <v>14</v>
      </c>
      <c r="N2139" s="13">
        <v>3456</v>
      </c>
      <c r="O2139" s="15">
        <v>0</v>
      </c>
      <c r="P2139" s="10" t="s">
        <v>78</v>
      </c>
      <c r="Q2139" s="11" t="s">
        <v>4664</v>
      </c>
      <c r="R2139" s="11" t="s">
        <v>4665</v>
      </c>
      <c r="S2139" s="16" t="s">
        <v>4666</v>
      </c>
      <c r="T2139" s="19" t="str">
        <f>MONTH(B2139)&amp;"-"&amp;YEAR(B2139)</f>
        <v>11-2025</v>
      </c>
      <c r="U2139" s="2">
        <f>YEAR(B2139)</f>
        <v>2025</v>
      </c>
      <c r="V2139" s="2" t="str">
        <f>IF(DAY(B2139)&gt;15,MONTH(B2139)&amp;"-C",MONTH(B2139)&amp;"-N")</f>
        <v>11-N</v>
      </c>
      <c r="W2139" s="21"/>
      <c r="X2139" s="2" t="b">
        <f t="shared" ref="X2139:X2145" si="1150">+L2139=W2139</f>
        <v>0</v>
      </c>
    </row>
    <row r="2140" spans="2:24" x14ac:dyDescent="0.2">
      <c r="B2140" s="17">
        <v>45969</v>
      </c>
      <c r="C2140" s="10" t="s">
        <v>25</v>
      </c>
      <c r="D2140" s="11">
        <v>176898</v>
      </c>
      <c r="E2140" s="26">
        <v>83988</v>
      </c>
      <c r="F2140" s="10" t="s">
        <v>29</v>
      </c>
      <c r="G2140" s="10" t="s">
        <v>3885</v>
      </c>
      <c r="H2140" s="27" t="s">
        <v>30</v>
      </c>
      <c r="I2140" s="28" t="s">
        <v>41</v>
      </c>
      <c r="J2140" s="12" t="s">
        <v>41</v>
      </c>
      <c r="K2140" s="13">
        <v>660</v>
      </c>
      <c r="L2140" s="21">
        <v>3.67</v>
      </c>
      <c r="M2140" s="14" t="s">
        <v>14</v>
      </c>
      <c r="N2140" s="13">
        <v>2422.1999999999998</v>
      </c>
      <c r="O2140" s="15">
        <v>0</v>
      </c>
      <c r="P2140" s="10" t="s">
        <v>78</v>
      </c>
      <c r="Q2140" s="11" t="s">
        <v>4667</v>
      </c>
      <c r="R2140" s="11" t="s">
        <v>4668</v>
      </c>
      <c r="S2140" s="16" t="s">
        <v>4669</v>
      </c>
      <c r="T2140" s="19" t="str">
        <f>MONTH(B2140)&amp;"-"&amp;YEAR(B2140)</f>
        <v>11-2025</v>
      </c>
      <c r="U2140" s="2">
        <f>YEAR(B2140)</f>
        <v>2025</v>
      </c>
      <c r="V2140" s="2" t="str">
        <f>IF(DAY(B2140)&gt;15,MONTH(B2140)&amp;"-C",MONTH(B2140)&amp;"-N")</f>
        <v>11-N</v>
      </c>
      <c r="W2140" s="21"/>
      <c r="X2140" s="2" t="b">
        <f t="shared" si="1150"/>
        <v>0</v>
      </c>
    </row>
    <row r="2141" spans="2:24" x14ac:dyDescent="0.2">
      <c r="B2141" s="17">
        <v>45969</v>
      </c>
      <c r="C2141" s="10" t="s">
        <v>25</v>
      </c>
      <c r="D2141" s="11">
        <v>176898</v>
      </c>
      <c r="E2141" s="26">
        <v>83988</v>
      </c>
      <c r="F2141" s="10" t="s">
        <v>31</v>
      </c>
      <c r="G2141" s="10" t="s">
        <v>3885</v>
      </c>
      <c r="H2141" s="27" t="s">
        <v>32</v>
      </c>
      <c r="I2141" s="28" t="s">
        <v>41</v>
      </c>
      <c r="J2141" s="12" t="s">
        <v>41</v>
      </c>
      <c r="K2141" s="13">
        <v>640</v>
      </c>
      <c r="L2141" s="21">
        <v>4.45</v>
      </c>
      <c r="M2141" s="14" t="s">
        <v>14</v>
      </c>
      <c r="N2141" s="13">
        <v>2848</v>
      </c>
      <c r="O2141" s="15">
        <v>0</v>
      </c>
      <c r="P2141" s="10" t="s">
        <v>78</v>
      </c>
      <c r="Q2141" s="11" t="s">
        <v>4667</v>
      </c>
      <c r="R2141" s="11" t="s">
        <v>4668</v>
      </c>
      <c r="S2141" s="16" t="s">
        <v>4669</v>
      </c>
      <c r="T2141" s="19" t="str">
        <f>MONTH(B2141)&amp;"-"&amp;YEAR(B2141)</f>
        <v>11-2025</v>
      </c>
      <c r="U2141" s="2">
        <f>YEAR(B2141)</f>
        <v>2025</v>
      </c>
      <c r="V2141" s="2" t="str">
        <f>IF(DAY(B2141)&gt;15,MONTH(B2141)&amp;"-C",MONTH(B2141)&amp;"-N")</f>
        <v>11-N</v>
      </c>
      <c r="W2141" s="21"/>
      <c r="X2141" s="2" t="b">
        <f t="shared" si="1150"/>
        <v>0</v>
      </c>
    </row>
    <row r="2142" spans="2:24" x14ac:dyDescent="0.2">
      <c r="B2142" s="17">
        <v>45967</v>
      </c>
      <c r="C2142" s="10" t="s">
        <v>25</v>
      </c>
      <c r="D2142" s="11">
        <v>177273</v>
      </c>
      <c r="E2142" s="26">
        <v>83965</v>
      </c>
      <c r="F2142" s="10" t="s">
        <v>26</v>
      </c>
      <c r="G2142" s="10" t="s">
        <v>3885</v>
      </c>
      <c r="H2142" s="27" t="s">
        <v>28</v>
      </c>
      <c r="I2142" s="28" t="s">
        <v>41</v>
      </c>
      <c r="J2142" s="12" t="s">
        <v>41</v>
      </c>
      <c r="K2142" s="13">
        <v>14100</v>
      </c>
      <c r="L2142" s="21">
        <v>3.15</v>
      </c>
      <c r="M2142" s="14" t="s">
        <v>14</v>
      </c>
      <c r="N2142" s="13">
        <v>44415</v>
      </c>
      <c r="O2142" s="15">
        <v>0</v>
      </c>
      <c r="P2142" s="10" t="s">
        <v>78</v>
      </c>
      <c r="Q2142" s="11" t="s">
        <v>4670</v>
      </c>
      <c r="R2142" s="11" t="s">
        <v>4671</v>
      </c>
      <c r="S2142" s="16" t="s">
        <v>4672</v>
      </c>
      <c r="T2142" s="19" t="str">
        <f>MONTH(B2142)&amp;"-"&amp;YEAR(B2142)</f>
        <v>11-2025</v>
      </c>
      <c r="U2142" s="2">
        <f>YEAR(B2142)</f>
        <v>2025</v>
      </c>
      <c r="V2142" s="2" t="str">
        <f>IF(DAY(B2142)&gt;15,MONTH(B2142)&amp;"-C",MONTH(B2142)&amp;"-N")</f>
        <v>11-N</v>
      </c>
      <c r="W2142" s="21"/>
      <c r="X2142" s="2" t="b">
        <f t="shared" si="1150"/>
        <v>0</v>
      </c>
    </row>
    <row r="2143" spans="2:24" x14ac:dyDescent="0.2">
      <c r="B2143" s="17">
        <v>45967</v>
      </c>
      <c r="C2143" s="10" t="s">
        <v>25</v>
      </c>
      <c r="D2143" s="11">
        <v>176759</v>
      </c>
      <c r="E2143" s="26">
        <v>83964</v>
      </c>
      <c r="F2143" s="10" t="s">
        <v>26</v>
      </c>
      <c r="G2143" s="10" t="s">
        <v>3885</v>
      </c>
      <c r="H2143" s="27" t="s">
        <v>28</v>
      </c>
      <c r="I2143" s="28" t="s">
        <v>41</v>
      </c>
      <c r="J2143" s="12" t="s">
        <v>41</v>
      </c>
      <c r="K2143" s="13">
        <v>5700</v>
      </c>
      <c r="L2143" s="21">
        <v>2.95</v>
      </c>
      <c r="M2143" s="14" t="s">
        <v>14</v>
      </c>
      <c r="N2143" s="13">
        <v>16815</v>
      </c>
      <c r="O2143" s="15">
        <v>0</v>
      </c>
      <c r="P2143" s="10" t="s">
        <v>78</v>
      </c>
      <c r="Q2143" s="11" t="s">
        <v>4673</v>
      </c>
      <c r="R2143" s="11" t="s">
        <v>4674</v>
      </c>
      <c r="S2143" s="16" t="s">
        <v>4675</v>
      </c>
      <c r="T2143" s="19" t="str">
        <f>MONTH(B2143)&amp;"-"&amp;YEAR(B2143)</f>
        <v>11-2025</v>
      </c>
      <c r="U2143" s="2">
        <f>YEAR(B2143)</f>
        <v>2025</v>
      </c>
      <c r="V2143" s="2" t="str">
        <f>IF(DAY(B2143)&gt;15,MONTH(B2143)&amp;"-C",MONTH(B2143)&amp;"-N")</f>
        <v>11-N</v>
      </c>
      <c r="W2143" s="21"/>
      <c r="X2143" s="2" t="b">
        <f t="shared" si="1150"/>
        <v>0</v>
      </c>
    </row>
    <row r="2144" spans="2:24" x14ac:dyDescent="0.2">
      <c r="B2144" s="17">
        <v>45965</v>
      </c>
      <c r="C2144" s="10" t="s">
        <v>107</v>
      </c>
      <c r="D2144" s="11">
        <v>176992</v>
      </c>
      <c r="E2144" s="26">
        <v>83918</v>
      </c>
      <c r="F2144" s="10" t="s">
        <v>103</v>
      </c>
      <c r="G2144" s="10" t="s">
        <v>3901</v>
      </c>
      <c r="H2144" s="27" t="s">
        <v>104</v>
      </c>
      <c r="I2144" s="28" t="s">
        <v>41</v>
      </c>
      <c r="J2144" s="12" t="s">
        <v>41</v>
      </c>
      <c r="K2144" s="13">
        <v>185</v>
      </c>
      <c r="L2144" s="21">
        <v>47.46</v>
      </c>
      <c r="M2144" s="14" t="s">
        <v>14</v>
      </c>
      <c r="N2144" s="13">
        <v>8780.1</v>
      </c>
      <c r="O2144" s="15">
        <v>0</v>
      </c>
      <c r="P2144" s="10" t="s">
        <v>84</v>
      </c>
      <c r="Q2144" s="11" t="s">
        <v>4676</v>
      </c>
      <c r="R2144" s="11" t="s">
        <v>4677</v>
      </c>
      <c r="S2144" s="16" t="s">
        <v>4678</v>
      </c>
      <c r="T2144" s="19" t="str">
        <f>MONTH(B2144)&amp;"-"&amp;YEAR(B2144)</f>
        <v>11-2025</v>
      </c>
      <c r="U2144" s="2">
        <f>YEAR(B2144)</f>
        <v>2025</v>
      </c>
      <c r="V2144" s="2" t="str">
        <f>IF(DAY(B2144)&gt;15,MONTH(B2144)&amp;"-C",MONTH(B2144)&amp;"-N")</f>
        <v>11-N</v>
      </c>
      <c r="W2144" s="21"/>
      <c r="X2144" s="2" t="b">
        <f t="shared" si="1150"/>
        <v>0</v>
      </c>
    </row>
    <row r="2145" spans="2:24" x14ac:dyDescent="0.2">
      <c r="B2145" s="17">
        <v>45965</v>
      </c>
      <c r="C2145" s="10" t="s">
        <v>107</v>
      </c>
      <c r="D2145" s="11">
        <v>176992</v>
      </c>
      <c r="E2145" s="26">
        <v>83918</v>
      </c>
      <c r="F2145" s="10" t="s">
        <v>105</v>
      </c>
      <c r="G2145" s="10" t="s">
        <v>3901</v>
      </c>
      <c r="H2145" s="27" t="s">
        <v>106</v>
      </c>
      <c r="I2145" s="28" t="s">
        <v>41</v>
      </c>
      <c r="J2145" s="12" t="s">
        <v>41</v>
      </c>
      <c r="K2145" s="13">
        <v>6160</v>
      </c>
      <c r="L2145" s="21">
        <v>11.72</v>
      </c>
      <c r="M2145" s="14" t="s">
        <v>14</v>
      </c>
      <c r="N2145" s="13">
        <v>72195.199999999997</v>
      </c>
      <c r="O2145" s="15">
        <v>0</v>
      </c>
      <c r="P2145" s="10" t="s">
        <v>84</v>
      </c>
      <c r="Q2145" s="11" t="s">
        <v>4676</v>
      </c>
      <c r="R2145" s="11" t="s">
        <v>4677</v>
      </c>
      <c r="S2145" s="16" t="s">
        <v>4678</v>
      </c>
      <c r="T2145" s="19" t="str">
        <f>MONTH(B2145)&amp;"-"&amp;YEAR(B2145)</f>
        <v>11-2025</v>
      </c>
      <c r="U2145" s="2">
        <f>YEAR(B2145)</f>
        <v>2025</v>
      </c>
      <c r="V2145" s="2" t="str">
        <f>IF(DAY(B2145)&gt;15,MONTH(B2145)&amp;"-C",MONTH(B2145)&amp;"-N")</f>
        <v>11-N</v>
      </c>
      <c r="W2145" s="21"/>
      <c r="X2145" s="2" t="b">
        <f t="shared" si="1150"/>
        <v>0</v>
      </c>
    </row>
    <row r="2146" spans="2:24" x14ac:dyDescent="0.2">
      <c r="B2146" s="17">
        <v>45964</v>
      </c>
      <c r="C2146" s="10" t="s">
        <v>75</v>
      </c>
      <c r="D2146" s="11">
        <v>177152</v>
      </c>
      <c r="E2146" s="26">
        <v>83925</v>
      </c>
      <c r="F2146" s="10" t="s">
        <v>93</v>
      </c>
      <c r="G2146" s="10" t="s">
        <v>3884</v>
      </c>
      <c r="H2146" s="27" t="s">
        <v>20</v>
      </c>
      <c r="I2146" s="28">
        <v>1093</v>
      </c>
      <c r="J2146" s="28">
        <v>25</v>
      </c>
      <c r="K2146" s="13">
        <v>784.9</v>
      </c>
      <c r="L2146" s="21">
        <v>5.6980000000000004</v>
      </c>
      <c r="M2146" s="14" t="s">
        <v>14</v>
      </c>
      <c r="N2146" s="13">
        <v>4472.2030000000004</v>
      </c>
      <c r="O2146" s="15">
        <v>0</v>
      </c>
      <c r="P2146" s="10" t="s">
        <v>89</v>
      </c>
      <c r="Q2146" s="11" t="s">
        <v>4679</v>
      </c>
      <c r="R2146" s="11" t="s">
        <v>4680</v>
      </c>
      <c r="S2146" s="16" t="s">
        <v>4681</v>
      </c>
      <c r="T2146" s="19" t="str">
        <f>MONTH(B2146)&amp;"-"&amp;YEAR(B2146)</f>
        <v>11-2025</v>
      </c>
      <c r="U2146" s="2">
        <f>YEAR(B2146)</f>
        <v>2025</v>
      </c>
      <c r="V2146" s="2" t="str">
        <f>IF(DAY(B2146)&gt;15,MONTH(B2146)&amp;"-C",MONTH(B2146)&amp;"-N")</f>
        <v>11-N</v>
      </c>
      <c r="W2146" s="21"/>
      <c r="X2146" s="2" t="b">
        <f t="shared" ref="X2146" si="1151">+L2146=W2146</f>
        <v>0</v>
      </c>
    </row>
    <row r="2147" spans="2:24" x14ac:dyDescent="0.2">
      <c r="B2147" s="17">
        <v>45973</v>
      </c>
      <c r="C2147" s="10" t="s">
        <v>25</v>
      </c>
      <c r="D2147" s="11">
        <v>176898</v>
      </c>
      <c r="E2147" s="26">
        <v>84047</v>
      </c>
      <c r="F2147" s="10" t="s">
        <v>29</v>
      </c>
      <c r="G2147" s="10" t="s">
        <v>3885</v>
      </c>
      <c r="H2147" s="27" t="s">
        <v>30</v>
      </c>
      <c r="I2147" s="28" t="s">
        <v>41</v>
      </c>
      <c r="J2147" s="12" t="s">
        <v>41</v>
      </c>
      <c r="K2147" s="13">
        <v>990</v>
      </c>
      <c r="L2147" s="21">
        <v>3.67</v>
      </c>
      <c r="M2147" s="14" t="s">
        <v>14</v>
      </c>
      <c r="N2147" s="13">
        <v>3633.3</v>
      </c>
      <c r="O2147" s="15">
        <v>0</v>
      </c>
      <c r="P2147" s="10" t="s">
        <v>78</v>
      </c>
      <c r="Q2147" s="11" t="s">
        <v>4682</v>
      </c>
      <c r="R2147" s="11" t="s">
        <v>4683</v>
      </c>
      <c r="S2147" s="16" t="s">
        <v>4684</v>
      </c>
      <c r="T2147" s="19" t="str">
        <f>MONTH(B2147)&amp;"-"&amp;YEAR(B2147)</f>
        <v>11-2025</v>
      </c>
      <c r="U2147" s="2">
        <f>YEAR(B2147)</f>
        <v>2025</v>
      </c>
      <c r="V2147" s="2" t="str">
        <f>IF(DAY(B2147)&gt;15,MONTH(B2147)&amp;"-C",MONTH(B2147)&amp;"-N")</f>
        <v>11-N</v>
      </c>
      <c r="W2147" s="21"/>
      <c r="X2147" s="2" t="b">
        <f t="shared" ref="X2147:X2155" si="1152">+L2147=W2147</f>
        <v>0</v>
      </c>
    </row>
    <row r="2148" spans="2:24" x14ac:dyDescent="0.2">
      <c r="B2148" s="17">
        <v>45973</v>
      </c>
      <c r="C2148" s="10" t="s">
        <v>25</v>
      </c>
      <c r="D2148" s="11">
        <v>177275</v>
      </c>
      <c r="E2148" s="26">
        <v>84046</v>
      </c>
      <c r="F2148" s="10" t="s">
        <v>33</v>
      </c>
      <c r="G2148" s="10" t="s">
        <v>3885</v>
      </c>
      <c r="H2148" s="27" t="s">
        <v>34</v>
      </c>
      <c r="I2148" s="28" t="s">
        <v>41</v>
      </c>
      <c r="J2148" s="12" t="s">
        <v>41</v>
      </c>
      <c r="K2148" s="13">
        <v>1080</v>
      </c>
      <c r="L2148" s="21">
        <v>4.8</v>
      </c>
      <c r="M2148" s="14" t="s">
        <v>14</v>
      </c>
      <c r="N2148" s="13">
        <v>5184</v>
      </c>
      <c r="O2148" s="15">
        <v>0</v>
      </c>
      <c r="P2148" s="10" t="s">
        <v>78</v>
      </c>
      <c r="Q2148" s="11" t="s">
        <v>4685</v>
      </c>
      <c r="R2148" s="11" t="s">
        <v>4686</v>
      </c>
      <c r="S2148" s="16" t="s">
        <v>4687</v>
      </c>
      <c r="T2148" s="19" t="str">
        <f>MONTH(B2148)&amp;"-"&amp;YEAR(B2148)</f>
        <v>11-2025</v>
      </c>
      <c r="U2148" s="2">
        <f>YEAR(B2148)</f>
        <v>2025</v>
      </c>
      <c r="V2148" s="2" t="str">
        <f>IF(DAY(B2148)&gt;15,MONTH(B2148)&amp;"-C",MONTH(B2148)&amp;"-N")</f>
        <v>11-N</v>
      </c>
      <c r="W2148" s="21"/>
      <c r="X2148" s="2" t="b">
        <f t="shared" si="1152"/>
        <v>0</v>
      </c>
    </row>
    <row r="2149" spans="2:24" x14ac:dyDescent="0.2">
      <c r="B2149" s="17">
        <v>45974</v>
      </c>
      <c r="C2149" s="10" t="s">
        <v>82</v>
      </c>
      <c r="D2149" s="11">
        <v>177274</v>
      </c>
      <c r="E2149" s="26">
        <v>84077</v>
      </c>
      <c r="F2149" s="10" t="s">
        <v>26</v>
      </c>
      <c r="G2149" s="10" t="s">
        <v>3885</v>
      </c>
      <c r="H2149" s="27" t="s">
        <v>28</v>
      </c>
      <c r="I2149" s="28" t="s">
        <v>41</v>
      </c>
      <c r="J2149" s="12" t="s">
        <v>41</v>
      </c>
      <c r="K2149" s="13">
        <v>7200</v>
      </c>
      <c r="L2149" s="21">
        <v>3.15</v>
      </c>
      <c r="M2149" s="14" t="s">
        <v>14</v>
      </c>
      <c r="N2149" s="13">
        <v>22680</v>
      </c>
      <c r="O2149" s="15">
        <v>0</v>
      </c>
      <c r="P2149" s="10" t="s">
        <v>78</v>
      </c>
      <c r="Q2149" s="11" t="s">
        <v>4688</v>
      </c>
      <c r="R2149" s="11" t="s">
        <v>4689</v>
      </c>
      <c r="S2149" s="16" t="s">
        <v>4690</v>
      </c>
      <c r="T2149" s="19" t="str">
        <f>MONTH(B2149)&amp;"-"&amp;YEAR(B2149)</f>
        <v>11-2025</v>
      </c>
      <c r="U2149" s="2">
        <f>YEAR(B2149)</f>
        <v>2025</v>
      </c>
      <c r="V2149" s="2" t="str">
        <f>IF(DAY(B2149)&gt;15,MONTH(B2149)&amp;"-C",MONTH(B2149)&amp;"-N")</f>
        <v>11-N</v>
      </c>
      <c r="W2149" s="21"/>
      <c r="X2149" s="2" t="b">
        <f t="shared" si="1152"/>
        <v>0</v>
      </c>
    </row>
    <row r="2150" spans="2:24" x14ac:dyDescent="0.2">
      <c r="B2150" s="17">
        <v>45974</v>
      </c>
      <c r="C2150" s="10" t="s">
        <v>107</v>
      </c>
      <c r="D2150" s="11">
        <v>176992</v>
      </c>
      <c r="E2150" s="26">
        <v>84074</v>
      </c>
      <c r="F2150" s="10" t="s">
        <v>103</v>
      </c>
      <c r="G2150" s="10" t="s">
        <v>3901</v>
      </c>
      <c r="H2150" s="27" t="s">
        <v>104</v>
      </c>
      <c r="I2150" s="28" t="s">
        <v>41</v>
      </c>
      <c r="J2150" s="12" t="s">
        <v>41</v>
      </c>
      <c r="K2150" s="13">
        <v>185</v>
      </c>
      <c r="L2150" s="21">
        <v>47.46</v>
      </c>
      <c r="M2150" s="14" t="s">
        <v>14</v>
      </c>
      <c r="N2150" s="13">
        <v>8780.1</v>
      </c>
      <c r="O2150" s="15">
        <v>0</v>
      </c>
      <c r="P2150" s="10" t="s">
        <v>84</v>
      </c>
      <c r="Q2150" s="11" t="s">
        <v>4691</v>
      </c>
      <c r="R2150" s="11" t="s">
        <v>4692</v>
      </c>
      <c r="S2150" s="16" t="s">
        <v>4693</v>
      </c>
      <c r="T2150" s="19" t="str">
        <f>MONTH(B2150)&amp;"-"&amp;YEAR(B2150)</f>
        <v>11-2025</v>
      </c>
      <c r="U2150" s="2">
        <f>YEAR(B2150)</f>
        <v>2025</v>
      </c>
      <c r="V2150" s="2" t="str">
        <f>IF(DAY(B2150)&gt;15,MONTH(B2150)&amp;"-C",MONTH(B2150)&amp;"-N")</f>
        <v>11-N</v>
      </c>
      <c r="W2150" s="21"/>
      <c r="X2150" s="2" t="b">
        <f t="shared" si="1152"/>
        <v>0</v>
      </c>
    </row>
    <row r="2151" spans="2:24" x14ac:dyDescent="0.2">
      <c r="B2151" s="17">
        <v>45974</v>
      </c>
      <c r="C2151" s="10" t="s">
        <v>107</v>
      </c>
      <c r="D2151" s="11">
        <v>176992</v>
      </c>
      <c r="E2151" s="26">
        <v>84074</v>
      </c>
      <c r="F2151" s="10" t="s">
        <v>105</v>
      </c>
      <c r="G2151" s="10" t="s">
        <v>3901</v>
      </c>
      <c r="H2151" s="27" t="s">
        <v>106</v>
      </c>
      <c r="I2151" s="28" t="s">
        <v>41</v>
      </c>
      <c r="J2151" s="12" t="s">
        <v>41</v>
      </c>
      <c r="K2151" s="13">
        <v>6160</v>
      </c>
      <c r="L2151" s="21">
        <v>11.72</v>
      </c>
      <c r="M2151" s="14" t="s">
        <v>14</v>
      </c>
      <c r="N2151" s="13">
        <v>72195.199999999997</v>
      </c>
      <c r="O2151" s="15">
        <v>0</v>
      </c>
      <c r="P2151" s="10" t="s">
        <v>84</v>
      </c>
      <c r="Q2151" s="11" t="s">
        <v>4691</v>
      </c>
      <c r="R2151" s="11" t="s">
        <v>4692</v>
      </c>
      <c r="S2151" s="16" t="s">
        <v>4693</v>
      </c>
      <c r="T2151" s="19" t="str">
        <f>MONTH(B2151)&amp;"-"&amp;YEAR(B2151)</f>
        <v>11-2025</v>
      </c>
      <c r="U2151" s="2">
        <f>YEAR(B2151)</f>
        <v>2025</v>
      </c>
      <c r="V2151" s="2" t="str">
        <f>IF(DAY(B2151)&gt;15,MONTH(B2151)&amp;"-C",MONTH(B2151)&amp;"-N")</f>
        <v>11-N</v>
      </c>
      <c r="W2151" s="21"/>
      <c r="X2151" s="2" t="b">
        <f t="shared" si="1152"/>
        <v>0</v>
      </c>
    </row>
    <row r="2152" spans="2:24" x14ac:dyDescent="0.2">
      <c r="B2152" s="17">
        <v>45974</v>
      </c>
      <c r="C2152" s="10" t="s">
        <v>1026</v>
      </c>
      <c r="D2152" s="11">
        <v>177318</v>
      </c>
      <c r="E2152" s="26">
        <v>84080</v>
      </c>
      <c r="F2152" s="10" t="s">
        <v>147</v>
      </c>
      <c r="G2152" s="10" t="s">
        <v>3884</v>
      </c>
      <c r="H2152" s="27" t="s">
        <v>19</v>
      </c>
      <c r="I2152" s="28">
        <v>893</v>
      </c>
      <c r="J2152" s="28">
        <v>100</v>
      </c>
      <c r="K2152" s="13">
        <v>2255.4</v>
      </c>
      <c r="L2152" s="29">
        <v>4.870752537587645</v>
      </c>
      <c r="M2152" s="14" t="s">
        <v>14</v>
      </c>
      <c r="N2152" s="13">
        <v>2029.86</v>
      </c>
      <c r="O2152" s="15">
        <v>0</v>
      </c>
      <c r="P2152" s="10" t="s">
        <v>111</v>
      </c>
      <c r="Q2152" s="11" t="s">
        <v>4694</v>
      </c>
      <c r="R2152" s="11" t="s">
        <v>4695</v>
      </c>
      <c r="S2152" s="16" t="s">
        <v>4696</v>
      </c>
      <c r="T2152" s="19" t="str">
        <f>MONTH(B2152)&amp;"-"&amp;YEAR(B2152)</f>
        <v>11-2025</v>
      </c>
      <c r="U2152" s="2">
        <f>YEAR(B2152)</f>
        <v>2025</v>
      </c>
      <c r="V2152" s="2" t="str">
        <f>IF(DAY(B2152)&gt;15,MONTH(B2152)&amp;"-C",MONTH(B2152)&amp;"-N")</f>
        <v>11-N</v>
      </c>
      <c r="W2152" s="21"/>
      <c r="X2152" s="2" t="b">
        <f t="shared" si="1152"/>
        <v>0</v>
      </c>
    </row>
    <row r="2153" spans="2:24" x14ac:dyDescent="0.2">
      <c r="B2153" s="17">
        <v>45974</v>
      </c>
      <c r="C2153" s="10" t="s">
        <v>1026</v>
      </c>
      <c r="D2153" s="11">
        <v>177318</v>
      </c>
      <c r="E2153" s="26">
        <v>84080</v>
      </c>
      <c r="F2153" s="10" t="s">
        <v>4296</v>
      </c>
      <c r="G2153" s="10" t="s">
        <v>3884</v>
      </c>
      <c r="H2153" s="27" t="s">
        <v>19</v>
      </c>
      <c r="I2153" s="28">
        <v>1104</v>
      </c>
      <c r="J2153" s="28">
        <v>92</v>
      </c>
      <c r="K2153" s="13">
        <v>717.8</v>
      </c>
      <c r="L2153" s="29">
        <v>4.870752537587645</v>
      </c>
      <c r="M2153" s="14" t="s">
        <v>14</v>
      </c>
      <c r="N2153" s="13">
        <v>646.02</v>
      </c>
      <c r="O2153" s="15">
        <v>0</v>
      </c>
      <c r="P2153" s="10" t="s">
        <v>111</v>
      </c>
      <c r="Q2153" s="11" t="s">
        <v>4694</v>
      </c>
      <c r="R2153" s="11" t="s">
        <v>4695</v>
      </c>
      <c r="S2153" s="16" t="s">
        <v>4696</v>
      </c>
      <c r="T2153" s="19" t="str">
        <f>MONTH(B2153)&amp;"-"&amp;YEAR(B2153)</f>
        <v>11-2025</v>
      </c>
      <c r="U2153" s="2">
        <f>YEAR(B2153)</f>
        <v>2025</v>
      </c>
      <c r="V2153" s="2" t="str">
        <f>IF(DAY(B2153)&gt;15,MONTH(B2153)&amp;"-C",MONTH(B2153)&amp;"-N")</f>
        <v>11-N</v>
      </c>
      <c r="W2153" s="21"/>
      <c r="X2153" s="2" t="b">
        <f t="shared" si="1152"/>
        <v>0</v>
      </c>
    </row>
    <row r="2154" spans="2:24" x14ac:dyDescent="0.2">
      <c r="B2154" s="17">
        <v>45974</v>
      </c>
      <c r="C2154" s="10" t="s">
        <v>1026</v>
      </c>
      <c r="D2154" s="11">
        <v>177318</v>
      </c>
      <c r="E2154" s="26">
        <v>84080</v>
      </c>
      <c r="F2154" s="10" t="s">
        <v>120</v>
      </c>
      <c r="G2154" s="10" t="s">
        <v>3884</v>
      </c>
      <c r="H2154" s="27" t="s">
        <v>19</v>
      </c>
      <c r="I2154" s="28">
        <v>1213</v>
      </c>
      <c r="J2154" s="28">
        <v>92</v>
      </c>
      <c r="K2154" s="13">
        <v>2799.7</v>
      </c>
      <c r="L2154" s="29">
        <v>4.870752537587645</v>
      </c>
      <c r="M2154" s="14" t="s">
        <v>14</v>
      </c>
      <c r="N2154" s="13">
        <v>2519.73</v>
      </c>
      <c r="O2154" s="15">
        <v>0</v>
      </c>
      <c r="P2154" s="10" t="s">
        <v>111</v>
      </c>
      <c r="Q2154" s="11" t="s">
        <v>4694</v>
      </c>
      <c r="R2154" s="11" t="s">
        <v>4695</v>
      </c>
      <c r="S2154" s="16" t="s">
        <v>4696</v>
      </c>
      <c r="T2154" s="19" t="str">
        <f>MONTH(B2154)&amp;"-"&amp;YEAR(B2154)</f>
        <v>11-2025</v>
      </c>
      <c r="U2154" s="2">
        <f>YEAR(B2154)</f>
        <v>2025</v>
      </c>
      <c r="V2154" s="2" t="str">
        <f>IF(DAY(B2154)&gt;15,MONTH(B2154)&amp;"-C",MONTH(B2154)&amp;"-N")</f>
        <v>11-N</v>
      </c>
      <c r="W2154" s="21"/>
      <c r="X2154" s="2" t="b">
        <f t="shared" si="1152"/>
        <v>0</v>
      </c>
    </row>
    <row r="2155" spans="2:24" x14ac:dyDescent="0.2">
      <c r="B2155" s="17">
        <v>45974</v>
      </c>
      <c r="C2155" s="10" t="s">
        <v>1026</v>
      </c>
      <c r="D2155" s="11">
        <v>177361</v>
      </c>
      <c r="E2155" s="26">
        <v>84080</v>
      </c>
      <c r="F2155" s="10" t="s">
        <v>120</v>
      </c>
      <c r="G2155" s="10" t="s">
        <v>3884</v>
      </c>
      <c r="H2155" s="27" t="s">
        <v>19</v>
      </c>
      <c r="I2155" s="28">
        <v>1213</v>
      </c>
      <c r="J2155" s="28">
        <v>92</v>
      </c>
      <c r="K2155" s="13">
        <v>1754.6</v>
      </c>
      <c r="L2155" s="29">
        <v>4.870752537587645</v>
      </c>
      <c r="M2155" s="14" t="s">
        <v>14</v>
      </c>
      <c r="N2155" s="13">
        <v>1579.14</v>
      </c>
      <c r="O2155" s="15">
        <v>0</v>
      </c>
      <c r="P2155" s="10" t="s">
        <v>111</v>
      </c>
      <c r="Q2155" s="11" t="s">
        <v>4694</v>
      </c>
      <c r="R2155" s="11" t="s">
        <v>4695</v>
      </c>
      <c r="S2155" s="16" t="s">
        <v>4696</v>
      </c>
      <c r="T2155" s="19" t="str">
        <f>MONTH(B2155)&amp;"-"&amp;YEAR(B2155)</f>
        <v>11-2025</v>
      </c>
      <c r="U2155" s="2">
        <f>YEAR(B2155)</f>
        <v>2025</v>
      </c>
      <c r="V2155" s="2" t="str">
        <f>IF(DAY(B2155)&gt;15,MONTH(B2155)&amp;"-C",MONTH(B2155)&amp;"-N")</f>
        <v>11-N</v>
      </c>
      <c r="W2155" s="21"/>
      <c r="X2155" s="2" t="b">
        <f t="shared" si="1152"/>
        <v>0</v>
      </c>
    </row>
    <row r="2156" spans="2:24" x14ac:dyDescent="0.2">
      <c r="B2156" s="17">
        <v>45975</v>
      </c>
      <c r="C2156" s="10" t="s">
        <v>25</v>
      </c>
      <c r="D2156" s="11">
        <v>176898</v>
      </c>
      <c r="E2156" s="26">
        <v>84084</v>
      </c>
      <c r="F2156" s="10" t="s">
        <v>29</v>
      </c>
      <c r="G2156" s="10" t="s">
        <v>3885</v>
      </c>
      <c r="H2156" s="27" t="s">
        <v>30</v>
      </c>
      <c r="I2156" s="28" t="s">
        <v>41</v>
      </c>
      <c r="J2156" s="12" t="s">
        <v>41</v>
      </c>
      <c r="K2156" s="13">
        <v>660</v>
      </c>
      <c r="L2156" s="21">
        <v>3.67</v>
      </c>
      <c r="M2156" s="14" t="s">
        <v>14</v>
      </c>
      <c r="N2156" s="13">
        <v>2422.1999999999998</v>
      </c>
      <c r="O2156" s="15">
        <v>0</v>
      </c>
      <c r="P2156" s="10" t="s">
        <v>78</v>
      </c>
      <c r="Q2156" s="11" t="s">
        <v>4697</v>
      </c>
      <c r="R2156" s="11" t="s">
        <v>4698</v>
      </c>
      <c r="S2156" s="16" t="s">
        <v>4699</v>
      </c>
      <c r="T2156" s="19" t="str">
        <f>MONTH(B2156)&amp;"-"&amp;YEAR(B2156)</f>
        <v>11-2025</v>
      </c>
      <c r="U2156" s="2">
        <f>YEAR(B2156)</f>
        <v>2025</v>
      </c>
      <c r="V2156" s="2" t="str">
        <f>IF(DAY(B2156)&gt;15,MONTH(B2156)&amp;"-C",MONTH(B2156)&amp;"-N")</f>
        <v>11-N</v>
      </c>
      <c r="W2156" s="21"/>
      <c r="X2156" s="2" t="b">
        <f t="shared" ref="X2156:X2158" si="1153">+L2156=W2156</f>
        <v>0</v>
      </c>
    </row>
    <row r="2157" spans="2:24" x14ac:dyDescent="0.2">
      <c r="B2157" s="17">
        <v>45975</v>
      </c>
      <c r="C2157" s="10" t="s">
        <v>25</v>
      </c>
      <c r="D2157" s="11">
        <v>176898</v>
      </c>
      <c r="E2157" s="26">
        <v>84084</v>
      </c>
      <c r="F2157" s="10" t="s">
        <v>31</v>
      </c>
      <c r="G2157" s="10" t="s">
        <v>3885</v>
      </c>
      <c r="H2157" s="27" t="s">
        <v>32</v>
      </c>
      <c r="I2157" s="28" t="s">
        <v>41</v>
      </c>
      <c r="J2157" s="12" t="s">
        <v>41</v>
      </c>
      <c r="K2157" s="13">
        <v>640</v>
      </c>
      <c r="L2157" s="21">
        <v>4.45</v>
      </c>
      <c r="M2157" s="14" t="s">
        <v>14</v>
      </c>
      <c r="N2157" s="13">
        <v>2848</v>
      </c>
      <c r="O2157" s="15">
        <v>0</v>
      </c>
      <c r="P2157" s="10" t="s">
        <v>78</v>
      </c>
      <c r="Q2157" s="11" t="s">
        <v>4697</v>
      </c>
      <c r="R2157" s="11" t="s">
        <v>4698</v>
      </c>
      <c r="S2157" s="16" t="s">
        <v>4699</v>
      </c>
      <c r="T2157" s="19" t="str">
        <f>MONTH(B2157)&amp;"-"&amp;YEAR(B2157)</f>
        <v>11-2025</v>
      </c>
      <c r="U2157" s="2">
        <f>YEAR(B2157)</f>
        <v>2025</v>
      </c>
      <c r="V2157" s="2" t="str">
        <f>IF(DAY(B2157)&gt;15,MONTH(B2157)&amp;"-C",MONTH(B2157)&amp;"-N")</f>
        <v>11-N</v>
      </c>
      <c r="W2157" s="21"/>
      <c r="X2157" s="2" t="b">
        <f t="shared" si="1153"/>
        <v>0</v>
      </c>
    </row>
    <row r="2158" spans="2:24" x14ac:dyDescent="0.2">
      <c r="B2158" s="17">
        <v>45975</v>
      </c>
      <c r="C2158" s="10" t="s">
        <v>25</v>
      </c>
      <c r="D2158" s="11">
        <v>177275</v>
      </c>
      <c r="E2158" s="26">
        <v>84083</v>
      </c>
      <c r="F2158" s="10" t="s">
        <v>33</v>
      </c>
      <c r="G2158" s="10" t="s">
        <v>3885</v>
      </c>
      <c r="H2158" s="27" t="s">
        <v>34</v>
      </c>
      <c r="I2158" s="28" t="s">
        <v>41</v>
      </c>
      <c r="J2158" s="12" t="s">
        <v>41</v>
      </c>
      <c r="K2158" s="13">
        <v>720</v>
      </c>
      <c r="L2158" s="21">
        <v>4.8</v>
      </c>
      <c r="M2158" s="14" t="s">
        <v>14</v>
      </c>
      <c r="N2158" s="13">
        <v>3456</v>
      </c>
      <c r="O2158" s="15">
        <v>0</v>
      </c>
      <c r="P2158" s="10" t="s">
        <v>78</v>
      </c>
      <c r="Q2158" s="11" t="s">
        <v>4700</v>
      </c>
      <c r="R2158" s="11" t="s">
        <v>4701</v>
      </c>
      <c r="S2158" s="16" t="s">
        <v>4702</v>
      </c>
      <c r="T2158" s="19" t="str">
        <f>MONTH(B2158)&amp;"-"&amp;YEAR(B2158)</f>
        <v>11-2025</v>
      </c>
      <c r="U2158" s="2">
        <f>YEAR(B2158)</f>
        <v>2025</v>
      </c>
      <c r="V2158" s="2" t="str">
        <f>IF(DAY(B2158)&gt;15,MONTH(B2158)&amp;"-C",MONTH(B2158)&amp;"-N")</f>
        <v>11-N</v>
      </c>
      <c r="W2158" s="21"/>
      <c r="X2158" s="2" t="b">
        <f t="shared" si="1153"/>
        <v>0</v>
      </c>
    </row>
    <row r="2159" spans="2:24" x14ac:dyDescent="0.2">
      <c r="B2159" s="17">
        <v>45982</v>
      </c>
      <c r="C2159" s="10" t="s">
        <v>4144</v>
      </c>
      <c r="D2159" s="11">
        <v>176269</v>
      </c>
      <c r="E2159" s="26">
        <v>84211</v>
      </c>
      <c r="F2159" s="10" t="s">
        <v>135</v>
      </c>
      <c r="G2159" s="10" t="s">
        <v>3901</v>
      </c>
      <c r="H2159" s="27" t="s">
        <v>136</v>
      </c>
      <c r="I2159" s="28" t="s">
        <v>41</v>
      </c>
      <c r="J2159" s="12" t="s">
        <v>41</v>
      </c>
      <c r="K2159" s="13">
        <v>2600</v>
      </c>
      <c r="L2159" s="21">
        <v>9.7409999999999997</v>
      </c>
      <c r="M2159" s="14" t="s">
        <v>14</v>
      </c>
      <c r="N2159" s="13">
        <v>25327.64</v>
      </c>
      <c r="O2159" s="15">
        <v>0</v>
      </c>
      <c r="P2159" s="10" t="s">
        <v>90</v>
      </c>
      <c r="Q2159" s="11" t="s">
        <v>4703</v>
      </c>
      <c r="R2159" s="11" t="s">
        <v>4704</v>
      </c>
      <c r="S2159" s="16" t="s">
        <v>4705</v>
      </c>
      <c r="T2159" s="19" t="str">
        <f>MONTH(B2159)&amp;"-"&amp;YEAR(B2159)</f>
        <v>11-2025</v>
      </c>
      <c r="U2159" s="2">
        <f>YEAR(B2159)</f>
        <v>2025</v>
      </c>
      <c r="V2159" s="2" t="str">
        <f>IF(DAY(B2159)&gt;15,MONTH(B2159)&amp;"-C",MONTH(B2159)&amp;"-N")</f>
        <v>11-C</v>
      </c>
      <c r="W2159" s="21"/>
      <c r="X2159" s="2" t="b">
        <f t="shared" ref="X2159:X2163" si="1154">+L2159=W2159</f>
        <v>0</v>
      </c>
    </row>
    <row r="2160" spans="2:24" x14ac:dyDescent="0.2">
      <c r="B2160" s="17">
        <v>45982</v>
      </c>
      <c r="C2160" s="10" t="s">
        <v>4144</v>
      </c>
      <c r="D2160" s="11">
        <v>176269</v>
      </c>
      <c r="E2160" s="26">
        <v>84211</v>
      </c>
      <c r="F2160" s="10" t="s">
        <v>71</v>
      </c>
      <c r="G2160" s="10" t="s">
        <v>3901</v>
      </c>
      <c r="H2160" s="27" t="s">
        <v>72</v>
      </c>
      <c r="I2160" s="28" t="s">
        <v>41</v>
      </c>
      <c r="J2160" s="12" t="s">
        <v>41</v>
      </c>
      <c r="K2160" s="13">
        <v>10400</v>
      </c>
      <c r="L2160" s="21">
        <v>9.5939999999999994</v>
      </c>
      <c r="M2160" s="14" t="s">
        <v>14</v>
      </c>
      <c r="N2160" s="13">
        <v>99781.343999999997</v>
      </c>
      <c r="O2160" s="15">
        <v>0</v>
      </c>
      <c r="P2160" s="10" t="s">
        <v>90</v>
      </c>
      <c r="Q2160" s="11" t="s">
        <v>4703</v>
      </c>
      <c r="R2160" s="11" t="s">
        <v>4704</v>
      </c>
      <c r="S2160" s="16" t="s">
        <v>4705</v>
      </c>
      <c r="T2160" s="19" t="str">
        <f>MONTH(B2160)&amp;"-"&amp;YEAR(B2160)</f>
        <v>11-2025</v>
      </c>
      <c r="U2160" s="2">
        <f>YEAR(B2160)</f>
        <v>2025</v>
      </c>
      <c r="V2160" s="2" t="str">
        <f>IF(DAY(B2160)&gt;15,MONTH(B2160)&amp;"-C",MONTH(B2160)&amp;"-N")</f>
        <v>11-C</v>
      </c>
      <c r="W2160" s="21"/>
      <c r="X2160" s="2" t="b">
        <f t="shared" si="1154"/>
        <v>0</v>
      </c>
    </row>
    <row r="2161" spans="2:24" x14ac:dyDescent="0.2">
      <c r="B2161" s="17">
        <v>45982</v>
      </c>
      <c r="C2161" s="10" t="s">
        <v>4144</v>
      </c>
      <c r="D2161" s="11">
        <v>176269</v>
      </c>
      <c r="E2161" s="26">
        <v>84211</v>
      </c>
      <c r="F2161" s="10" t="s">
        <v>2552</v>
      </c>
      <c r="G2161" s="10" t="s">
        <v>3901</v>
      </c>
      <c r="H2161" s="27" t="s">
        <v>2553</v>
      </c>
      <c r="I2161" s="28" t="s">
        <v>41</v>
      </c>
      <c r="J2161" s="12" t="s">
        <v>41</v>
      </c>
      <c r="K2161" s="13">
        <v>2200</v>
      </c>
      <c r="L2161" s="21">
        <v>9.5210000000000008</v>
      </c>
      <c r="M2161" s="14" t="s">
        <v>14</v>
      </c>
      <c r="N2161" s="13">
        <v>20945.848000000002</v>
      </c>
      <c r="O2161" s="15">
        <v>0</v>
      </c>
      <c r="P2161" s="10" t="s">
        <v>90</v>
      </c>
      <c r="Q2161" s="11" t="s">
        <v>4703</v>
      </c>
      <c r="R2161" s="11" t="s">
        <v>4704</v>
      </c>
      <c r="S2161" s="16" t="s">
        <v>4705</v>
      </c>
      <c r="T2161" s="19" t="str">
        <f>MONTH(B2161)&amp;"-"&amp;YEAR(B2161)</f>
        <v>11-2025</v>
      </c>
      <c r="U2161" s="2">
        <f>YEAR(B2161)</f>
        <v>2025</v>
      </c>
      <c r="V2161" s="2" t="str">
        <f>IF(DAY(B2161)&gt;15,MONTH(B2161)&amp;"-C",MONTH(B2161)&amp;"-N")</f>
        <v>11-C</v>
      </c>
      <c r="W2161" s="21"/>
      <c r="X2161" s="2" t="b">
        <f t="shared" si="1154"/>
        <v>0</v>
      </c>
    </row>
    <row r="2162" spans="2:24" x14ac:dyDescent="0.2">
      <c r="B2162" s="17">
        <v>45980</v>
      </c>
      <c r="C2162" s="10" t="s">
        <v>25</v>
      </c>
      <c r="D2162" s="11">
        <v>177275</v>
      </c>
      <c r="E2162" s="26">
        <v>84169</v>
      </c>
      <c r="F2162" s="10" t="s">
        <v>29</v>
      </c>
      <c r="G2162" s="10" t="s">
        <v>3885</v>
      </c>
      <c r="H2162" s="27" t="s">
        <v>30</v>
      </c>
      <c r="I2162" s="28" t="s">
        <v>41</v>
      </c>
      <c r="J2162" s="12" t="s">
        <v>41</v>
      </c>
      <c r="K2162" s="13">
        <v>990</v>
      </c>
      <c r="L2162" s="21">
        <v>3.67</v>
      </c>
      <c r="M2162" s="14" t="s">
        <v>14</v>
      </c>
      <c r="N2162" s="13">
        <v>3633.3</v>
      </c>
      <c r="O2162" s="15">
        <v>0</v>
      </c>
      <c r="P2162" s="10" t="s">
        <v>78</v>
      </c>
      <c r="Q2162" s="11" t="s">
        <v>4706</v>
      </c>
      <c r="R2162" s="11" t="s">
        <v>4707</v>
      </c>
      <c r="S2162" s="16" t="s">
        <v>4708</v>
      </c>
      <c r="T2162" s="19" t="str">
        <f>MONTH(B2162)&amp;"-"&amp;YEAR(B2162)</f>
        <v>11-2025</v>
      </c>
      <c r="U2162" s="2">
        <f>YEAR(B2162)</f>
        <v>2025</v>
      </c>
      <c r="V2162" s="2" t="str">
        <f>IF(DAY(B2162)&gt;15,MONTH(B2162)&amp;"-C",MONTH(B2162)&amp;"-N")</f>
        <v>11-C</v>
      </c>
      <c r="W2162" s="21"/>
      <c r="X2162" s="2" t="b">
        <f t="shared" si="1154"/>
        <v>0</v>
      </c>
    </row>
    <row r="2163" spans="2:24" x14ac:dyDescent="0.2">
      <c r="B2163" s="17">
        <v>45980</v>
      </c>
      <c r="C2163" s="10" t="s">
        <v>25</v>
      </c>
      <c r="D2163" s="11">
        <v>177275</v>
      </c>
      <c r="E2163" s="26">
        <v>84169</v>
      </c>
      <c r="F2163" s="10" t="s">
        <v>33</v>
      </c>
      <c r="G2163" s="10" t="s">
        <v>3885</v>
      </c>
      <c r="H2163" s="27" t="s">
        <v>34</v>
      </c>
      <c r="I2163" s="28" t="s">
        <v>41</v>
      </c>
      <c r="J2163" s="12" t="s">
        <v>41</v>
      </c>
      <c r="K2163" s="13">
        <v>1080</v>
      </c>
      <c r="L2163" s="21">
        <v>4.8</v>
      </c>
      <c r="M2163" s="14" t="s">
        <v>14</v>
      </c>
      <c r="N2163" s="13">
        <v>5184</v>
      </c>
      <c r="O2163" s="15">
        <v>0</v>
      </c>
      <c r="P2163" s="10" t="s">
        <v>78</v>
      </c>
      <c r="Q2163" s="11" t="s">
        <v>4706</v>
      </c>
      <c r="R2163" s="11" t="s">
        <v>4707</v>
      </c>
      <c r="S2163" s="16" t="s">
        <v>4708</v>
      </c>
      <c r="T2163" s="19" t="str">
        <f>MONTH(B2163)&amp;"-"&amp;YEAR(B2163)</f>
        <v>11-2025</v>
      </c>
      <c r="U2163" s="2">
        <f>YEAR(B2163)</f>
        <v>2025</v>
      </c>
      <c r="V2163" s="2" t="str">
        <f>IF(DAY(B2163)&gt;15,MONTH(B2163)&amp;"-C",MONTH(B2163)&amp;"-N")</f>
        <v>11-C</v>
      </c>
      <c r="W2163" s="21"/>
      <c r="X2163" s="2" t="b">
        <f t="shared" si="1154"/>
        <v>0</v>
      </c>
    </row>
    <row r="2164" spans="2:24" x14ac:dyDescent="0.2">
      <c r="B2164" s="17">
        <v>45980</v>
      </c>
      <c r="C2164" s="10" t="s">
        <v>25</v>
      </c>
      <c r="D2164" s="11">
        <v>176898</v>
      </c>
      <c r="E2164" s="26">
        <v>84171</v>
      </c>
      <c r="F2164" s="10" t="s">
        <v>29</v>
      </c>
      <c r="G2164" s="10" t="s">
        <v>3885</v>
      </c>
      <c r="H2164" s="27" t="s">
        <v>30</v>
      </c>
      <c r="I2164" s="28" t="s">
        <v>41</v>
      </c>
      <c r="J2164" s="12" t="s">
        <v>41</v>
      </c>
      <c r="K2164" s="13">
        <v>330</v>
      </c>
      <c r="L2164" s="21">
        <v>3.67</v>
      </c>
      <c r="M2164" s="14" t="s">
        <v>14</v>
      </c>
      <c r="N2164" s="13">
        <v>1211.0999999999999</v>
      </c>
      <c r="O2164" s="15">
        <v>0</v>
      </c>
      <c r="P2164" s="10" t="s">
        <v>78</v>
      </c>
      <c r="Q2164" s="11" t="s">
        <v>4709</v>
      </c>
      <c r="R2164" s="11" t="s">
        <v>4710</v>
      </c>
      <c r="S2164" s="16" t="s">
        <v>4711</v>
      </c>
      <c r="T2164" s="19" t="str">
        <f>MONTH(B2164)&amp;"-"&amp;YEAR(B2164)</f>
        <v>11-2025</v>
      </c>
      <c r="U2164" s="2">
        <f>YEAR(B2164)</f>
        <v>2025</v>
      </c>
      <c r="V2164" s="2" t="str">
        <f>IF(DAY(B2164)&gt;15,MONTH(B2164)&amp;"-C",MONTH(B2164)&amp;"-N")</f>
        <v>11-C</v>
      </c>
      <c r="W2164" s="21"/>
      <c r="X2164" s="2" t="b">
        <f t="shared" ref="X2164:X2172" si="1155">+L2164=W2164</f>
        <v>0</v>
      </c>
    </row>
    <row r="2165" spans="2:24" x14ac:dyDescent="0.2">
      <c r="B2165" s="17">
        <v>45980</v>
      </c>
      <c r="C2165" s="10" t="s">
        <v>25</v>
      </c>
      <c r="D2165" s="11">
        <v>176898</v>
      </c>
      <c r="E2165" s="26">
        <v>84171</v>
      </c>
      <c r="F2165" s="10" t="s">
        <v>31</v>
      </c>
      <c r="G2165" s="10" t="s">
        <v>3885</v>
      </c>
      <c r="H2165" s="27" t="s">
        <v>32</v>
      </c>
      <c r="I2165" s="28" t="s">
        <v>41</v>
      </c>
      <c r="J2165" s="12" t="s">
        <v>41</v>
      </c>
      <c r="K2165" s="13">
        <v>1280</v>
      </c>
      <c r="L2165" s="21">
        <v>4.45</v>
      </c>
      <c r="M2165" s="14" t="s">
        <v>14</v>
      </c>
      <c r="N2165" s="13">
        <v>5696</v>
      </c>
      <c r="O2165" s="15">
        <v>0</v>
      </c>
      <c r="P2165" s="10" t="s">
        <v>78</v>
      </c>
      <c r="Q2165" s="11" t="s">
        <v>4709</v>
      </c>
      <c r="R2165" s="11" t="s">
        <v>4710</v>
      </c>
      <c r="S2165" s="16" t="s">
        <v>4711</v>
      </c>
      <c r="T2165" s="19" t="str">
        <f>MONTH(B2165)&amp;"-"&amp;YEAR(B2165)</f>
        <v>11-2025</v>
      </c>
      <c r="U2165" s="2">
        <f>YEAR(B2165)</f>
        <v>2025</v>
      </c>
      <c r="V2165" s="2" t="str">
        <f>IF(DAY(B2165)&gt;15,MONTH(B2165)&amp;"-C",MONTH(B2165)&amp;"-N")</f>
        <v>11-C</v>
      </c>
      <c r="W2165" s="21"/>
      <c r="X2165" s="2" t="b">
        <f t="shared" si="1155"/>
        <v>0</v>
      </c>
    </row>
    <row r="2166" spans="2:24" x14ac:dyDescent="0.2">
      <c r="B2166" s="17">
        <v>45980</v>
      </c>
      <c r="C2166" s="10" t="s">
        <v>25</v>
      </c>
      <c r="D2166" s="11">
        <v>176288</v>
      </c>
      <c r="E2166" s="26">
        <v>84170</v>
      </c>
      <c r="F2166" s="10" t="s">
        <v>49</v>
      </c>
      <c r="G2166" s="10" t="s">
        <v>3885</v>
      </c>
      <c r="H2166" s="27" t="s">
        <v>50</v>
      </c>
      <c r="I2166" s="28" t="s">
        <v>41</v>
      </c>
      <c r="J2166" s="12" t="s">
        <v>41</v>
      </c>
      <c r="K2166" s="13">
        <v>760</v>
      </c>
      <c r="L2166" s="21">
        <v>4.8499999999999996</v>
      </c>
      <c r="M2166" s="14" t="s">
        <v>14</v>
      </c>
      <c r="N2166" s="13">
        <v>3686</v>
      </c>
      <c r="O2166" s="15">
        <v>0</v>
      </c>
      <c r="P2166" s="10" t="s">
        <v>78</v>
      </c>
      <c r="Q2166" s="11" t="s">
        <v>4712</v>
      </c>
      <c r="R2166" s="11" t="s">
        <v>4713</v>
      </c>
      <c r="S2166" s="16" t="s">
        <v>4714</v>
      </c>
      <c r="T2166" s="19" t="str">
        <f>MONTH(B2166)&amp;"-"&amp;YEAR(B2166)</f>
        <v>11-2025</v>
      </c>
      <c r="U2166" s="2">
        <f>YEAR(B2166)</f>
        <v>2025</v>
      </c>
      <c r="V2166" s="2" t="str">
        <f>IF(DAY(B2166)&gt;15,MONTH(B2166)&amp;"-C",MONTH(B2166)&amp;"-N")</f>
        <v>11-C</v>
      </c>
      <c r="W2166" s="21"/>
      <c r="X2166" s="2" t="b">
        <f t="shared" si="1155"/>
        <v>0</v>
      </c>
    </row>
    <row r="2167" spans="2:24" x14ac:dyDescent="0.2">
      <c r="B2167" s="17">
        <v>45982</v>
      </c>
      <c r="C2167" s="10" t="s">
        <v>107</v>
      </c>
      <c r="D2167" s="11">
        <v>176992</v>
      </c>
      <c r="E2167" s="26">
        <v>84215</v>
      </c>
      <c r="F2167" s="10" t="s">
        <v>103</v>
      </c>
      <c r="G2167" s="10" t="s">
        <v>3901</v>
      </c>
      <c r="H2167" s="27" t="s">
        <v>104</v>
      </c>
      <c r="I2167" s="28" t="s">
        <v>41</v>
      </c>
      <c r="J2167" s="12" t="s">
        <v>41</v>
      </c>
      <c r="K2167" s="13">
        <v>185</v>
      </c>
      <c r="L2167" s="21">
        <v>47.46</v>
      </c>
      <c r="M2167" s="14" t="s">
        <v>14</v>
      </c>
      <c r="N2167" s="13">
        <v>8780.1</v>
      </c>
      <c r="O2167" s="15">
        <v>0</v>
      </c>
      <c r="P2167" s="10" t="s">
        <v>84</v>
      </c>
      <c r="Q2167" s="11" t="s">
        <v>4715</v>
      </c>
      <c r="R2167" s="11" t="s">
        <v>4716</v>
      </c>
      <c r="S2167" s="16" t="s">
        <v>4717</v>
      </c>
      <c r="T2167" s="19" t="str">
        <f>MONTH(B2167)&amp;"-"&amp;YEAR(B2167)</f>
        <v>11-2025</v>
      </c>
      <c r="U2167" s="2">
        <f>YEAR(B2167)</f>
        <v>2025</v>
      </c>
      <c r="V2167" s="2" t="str">
        <f>IF(DAY(B2167)&gt;15,MONTH(B2167)&amp;"-C",MONTH(B2167)&amp;"-N")</f>
        <v>11-C</v>
      </c>
      <c r="W2167" s="21"/>
      <c r="X2167" s="2" t="b">
        <f t="shared" si="1155"/>
        <v>0</v>
      </c>
    </row>
    <row r="2168" spans="2:24" x14ac:dyDescent="0.2">
      <c r="B2168" s="17">
        <v>45982</v>
      </c>
      <c r="C2168" s="10" t="s">
        <v>107</v>
      </c>
      <c r="D2168" s="11">
        <v>176992</v>
      </c>
      <c r="E2168" s="26">
        <v>84215</v>
      </c>
      <c r="F2168" s="10" t="s">
        <v>105</v>
      </c>
      <c r="G2168" s="10" t="s">
        <v>3901</v>
      </c>
      <c r="H2168" s="27" t="s">
        <v>106</v>
      </c>
      <c r="I2168" s="28" t="s">
        <v>41</v>
      </c>
      <c r="J2168" s="12" t="s">
        <v>41</v>
      </c>
      <c r="K2168" s="13">
        <v>6160</v>
      </c>
      <c r="L2168" s="21">
        <v>11.72</v>
      </c>
      <c r="M2168" s="14" t="s">
        <v>14</v>
      </c>
      <c r="N2168" s="13">
        <v>72195.199999999997</v>
      </c>
      <c r="O2168" s="15">
        <v>0</v>
      </c>
      <c r="P2168" s="10" t="s">
        <v>84</v>
      </c>
      <c r="Q2168" s="11" t="s">
        <v>4715</v>
      </c>
      <c r="R2168" s="11" t="s">
        <v>4716</v>
      </c>
      <c r="S2168" s="16" t="s">
        <v>4717</v>
      </c>
      <c r="T2168" s="19" t="str">
        <f>MONTH(B2168)&amp;"-"&amp;YEAR(B2168)</f>
        <v>11-2025</v>
      </c>
      <c r="U2168" s="2">
        <f>YEAR(B2168)</f>
        <v>2025</v>
      </c>
      <c r="V2168" s="2" t="str">
        <f>IF(DAY(B2168)&gt;15,MONTH(B2168)&amp;"-C",MONTH(B2168)&amp;"-N")</f>
        <v>11-C</v>
      </c>
      <c r="W2168" s="21"/>
      <c r="X2168" s="2" t="b">
        <f t="shared" si="1155"/>
        <v>0</v>
      </c>
    </row>
    <row r="2169" spans="2:24" x14ac:dyDescent="0.2">
      <c r="B2169" s="17">
        <v>45981</v>
      </c>
      <c r="C2169" s="10" t="s">
        <v>82</v>
      </c>
      <c r="D2169" s="11">
        <v>177274</v>
      </c>
      <c r="E2169" s="26">
        <v>84192</v>
      </c>
      <c r="F2169" s="10" t="s">
        <v>26</v>
      </c>
      <c r="G2169" s="10" t="s">
        <v>3885</v>
      </c>
      <c r="H2169" s="27" t="s">
        <v>28</v>
      </c>
      <c r="I2169" s="28" t="s">
        <v>41</v>
      </c>
      <c r="J2169" s="12" t="s">
        <v>41</v>
      </c>
      <c r="K2169" s="13">
        <v>7200</v>
      </c>
      <c r="L2169" s="21">
        <v>3.15</v>
      </c>
      <c r="M2169" s="14" t="s">
        <v>14</v>
      </c>
      <c r="N2169" s="13">
        <v>22680</v>
      </c>
      <c r="O2169" s="15">
        <v>0</v>
      </c>
      <c r="P2169" s="10" t="s">
        <v>78</v>
      </c>
      <c r="Q2169" s="11" t="s">
        <v>4718</v>
      </c>
      <c r="R2169" s="11" t="s">
        <v>4719</v>
      </c>
      <c r="S2169" s="16" t="s">
        <v>4720</v>
      </c>
      <c r="T2169" s="19" t="str">
        <f>MONTH(B2169)&amp;"-"&amp;YEAR(B2169)</f>
        <v>11-2025</v>
      </c>
      <c r="U2169" s="2">
        <f>YEAR(B2169)</f>
        <v>2025</v>
      </c>
      <c r="V2169" s="2" t="str">
        <f>IF(DAY(B2169)&gt;15,MONTH(B2169)&amp;"-C",MONTH(B2169)&amp;"-N")</f>
        <v>11-C</v>
      </c>
      <c r="W2169" s="21"/>
      <c r="X2169" s="2" t="b">
        <f t="shared" si="1155"/>
        <v>0</v>
      </c>
    </row>
    <row r="2170" spans="2:24" x14ac:dyDescent="0.2">
      <c r="B2170" s="17">
        <v>45976</v>
      </c>
      <c r="C2170" s="10" t="s">
        <v>82</v>
      </c>
      <c r="D2170" s="11">
        <v>177274</v>
      </c>
      <c r="E2170" s="26">
        <v>84129</v>
      </c>
      <c r="F2170" s="10" t="s">
        <v>26</v>
      </c>
      <c r="G2170" s="10" t="s">
        <v>3885</v>
      </c>
      <c r="H2170" s="27" t="s">
        <v>28</v>
      </c>
      <c r="I2170" s="28" t="s">
        <v>41</v>
      </c>
      <c r="J2170" s="12" t="s">
        <v>41</v>
      </c>
      <c r="K2170" s="13">
        <v>2700</v>
      </c>
      <c r="L2170" s="21">
        <v>3.15</v>
      </c>
      <c r="M2170" s="14" t="s">
        <v>14</v>
      </c>
      <c r="N2170" s="13">
        <v>8505</v>
      </c>
      <c r="O2170" s="15">
        <v>0</v>
      </c>
      <c r="P2170" s="10" t="s">
        <v>78</v>
      </c>
      <c r="Q2170" s="11" t="s">
        <v>4721</v>
      </c>
      <c r="R2170" s="11" t="s">
        <v>4722</v>
      </c>
      <c r="S2170" s="16" t="s">
        <v>4723</v>
      </c>
      <c r="T2170" s="19" t="str">
        <f>MONTH(B2170)&amp;"-"&amp;YEAR(B2170)</f>
        <v>11-2025</v>
      </c>
      <c r="U2170" s="2">
        <f>YEAR(B2170)</f>
        <v>2025</v>
      </c>
      <c r="V2170" s="2" t="str">
        <f>IF(DAY(B2170)&gt;15,MONTH(B2170)&amp;"-C",MONTH(B2170)&amp;"-N")</f>
        <v>11-N</v>
      </c>
      <c r="W2170" s="21"/>
      <c r="X2170" s="2" t="b">
        <f t="shared" si="1155"/>
        <v>0</v>
      </c>
    </row>
    <row r="2171" spans="2:24" x14ac:dyDescent="0.2">
      <c r="B2171" s="17">
        <v>45978</v>
      </c>
      <c r="C2171" s="10" t="s">
        <v>82</v>
      </c>
      <c r="D2171" s="11">
        <v>177274</v>
      </c>
      <c r="E2171" s="26">
        <v>84141</v>
      </c>
      <c r="F2171" s="10" t="s">
        <v>26</v>
      </c>
      <c r="G2171" s="10" t="s">
        <v>3885</v>
      </c>
      <c r="H2171" s="27" t="s">
        <v>28</v>
      </c>
      <c r="I2171" s="28" t="s">
        <v>41</v>
      </c>
      <c r="J2171" s="12" t="s">
        <v>41</v>
      </c>
      <c r="K2171" s="13">
        <v>4500</v>
      </c>
      <c r="L2171" s="21">
        <v>3.15</v>
      </c>
      <c r="M2171" s="14" t="s">
        <v>14</v>
      </c>
      <c r="N2171" s="13">
        <v>14175</v>
      </c>
      <c r="O2171" s="15">
        <v>0</v>
      </c>
      <c r="P2171" s="10" t="s">
        <v>78</v>
      </c>
      <c r="Q2171" s="11" t="s">
        <v>4724</v>
      </c>
      <c r="R2171" s="11" t="s">
        <v>4725</v>
      </c>
      <c r="S2171" s="16" t="s">
        <v>4726</v>
      </c>
      <c r="T2171" s="19" t="str">
        <f>MONTH(B2171)&amp;"-"&amp;YEAR(B2171)</f>
        <v>11-2025</v>
      </c>
      <c r="U2171" s="2">
        <f>YEAR(B2171)</f>
        <v>2025</v>
      </c>
      <c r="V2171" s="2" t="str">
        <f>IF(DAY(B2171)&gt;15,MONTH(B2171)&amp;"-C",MONTH(B2171)&amp;"-N")</f>
        <v>11-C</v>
      </c>
      <c r="W2171" s="21"/>
      <c r="X2171" s="2" t="b">
        <f t="shared" si="1155"/>
        <v>0</v>
      </c>
    </row>
    <row r="2172" spans="2:24" x14ac:dyDescent="0.2">
      <c r="B2172" s="17">
        <v>45979</v>
      </c>
      <c r="C2172" s="10" t="s">
        <v>82</v>
      </c>
      <c r="D2172" s="11">
        <v>177274</v>
      </c>
      <c r="E2172" s="26">
        <v>84158</v>
      </c>
      <c r="F2172" s="10" t="s">
        <v>26</v>
      </c>
      <c r="G2172" s="10" t="s">
        <v>3885</v>
      </c>
      <c r="H2172" s="27" t="s">
        <v>28</v>
      </c>
      <c r="I2172" s="28" t="s">
        <v>41</v>
      </c>
      <c r="J2172" s="12" t="s">
        <v>41</v>
      </c>
      <c r="K2172" s="13">
        <v>7200</v>
      </c>
      <c r="L2172" s="21">
        <v>3.15</v>
      </c>
      <c r="M2172" s="14" t="s">
        <v>14</v>
      </c>
      <c r="N2172" s="13">
        <v>22680</v>
      </c>
      <c r="O2172" s="15">
        <v>0</v>
      </c>
      <c r="P2172" s="10" t="s">
        <v>78</v>
      </c>
      <c r="Q2172" s="11" t="s">
        <v>4727</v>
      </c>
      <c r="R2172" s="11" t="s">
        <v>4728</v>
      </c>
      <c r="S2172" s="16" t="s">
        <v>4729</v>
      </c>
      <c r="T2172" s="19" t="str">
        <f>MONTH(B2172)&amp;"-"&amp;YEAR(B2172)</f>
        <v>11-2025</v>
      </c>
      <c r="U2172" s="2">
        <f>YEAR(B2172)</f>
        <v>2025</v>
      </c>
      <c r="V2172" s="2" t="str">
        <f>IF(DAY(B2172)&gt;15,MONTH(B2172)&amp;"-C",MONTH(B2172)&amp;"-N")</f>
        <v>11-C</v>
      </c>
      <c r="W2172" s="21"/>
      <c r="X2172" s="2" t="b">
        <f t="shared" si="1155"/>
        <v>0</v>
      </c>
    </row>
    <row r="2173" spans="2:24" x14ac:dyDescent="0.2">
      <c r="B2173" s="17">
        <v>45987</v>
      </c>
      <c r="C2173" s="10" t="s">
        <v>82</v>
      </c>
      <c r="D2173" s="11">
        <v>177274</v>
      </c>
      <c r="E2173" s="26">
        <v>84307</v>
      </c>
      <c r="F2173" s="10" t="s">
        <v>26</v>
      </c>
      <c r="G2173" s="10" t="s">
        <v>3885</v>
      </c>
      <c r="H2173" s="27" t="s">
        <v>28</v>
      </c>
      <c r="I2173" s="28" t="s">
        <v>41</v>
      </c>
      <c r="J2173" s="12" t="s">
        <v>41</v>
      </c>
      <c r="K2173" s="13">
        <v>9000</v>
      </c>
      <c r="L2173" s="21">
        <v>3.15</v>
      </c>
      <c r="M2173" s="14" t="s">
        <v>14</v>
      </c>
      <c r="N2173" s="13">
        <v>28350</v>
      </c>
      <c r="O2173" s="15">
        <v>0</v>
      </c>
      <c r="P2173" s="10" t="s">
        <v>78</v>
      </c>
      <c r="Q2173" s="11" t="s">
        <v>4730</v>
      </c>
      <c r="R2173" s="11" t="s">
        <v>4731</v>
      </c>
      <c r="S2173" s="16" t="s">
        <v>4732</v>
      </c>
      <c r="T2173" s="19" t="str">
        <f>MONTH(B2173)&amp;"-"&amp;YEAR(B2173)</f>
        <v>11-2025</v>
      </c>
      <c r="U2173" s="2">
        <f>YEAR(B2173)</f>
        <v>2025</v>
      </c>
      <c r="V2173" s="2" t="str">
        <f>IF(DAY(B2173)&gt;15,MONTH(B2173)&amp;"-C",MONTH(B2173)&amp;"-N")</f>
        <v>11-C</v>
      </c>
      <c r="W2173" s="21"/>
      <c r="X2173" s="2" t="b">
        <f t="shared" ref="X2173:X2177" si="1156">+L2173=W2173</f>
        <v>0</v>
      </c>
    </row>
    <row r="2174" spans="2:24" x14ac:dyDescent="0.2">
      <c r="B2174" s="17">
        <v>45986</v>
      </c>
      <c r="C2174" s="10" t="s">
        <v>82</v>
      </c>
      <c r="D2174" s="11">
        <v>177274</v>
      </c>
      <c r="E2174" s="26">
        <v>84281</v>
      </c>
      <c r="F2174" s="10" t="s">
        <v>26</v>
      </c>
      <c r="G2174" s="10" t="s">
        <v>3885</v>
      </c>
      <c r="H2174" s="27" t="s">
        <v>28</v>
      </c>
      <c r="I2174" s="28" t="s">
        <v>41</v>
      </c>
      <c r="J2174" s="12" t="s">
        <v>41</v>
      </c>
      <c r="K2174" s="13">
        <v>9000</v>
      </c>
      <c r="L2174" s="21">
        <v>3.15</v>
      </c>
      <c r="M2174" s="14" t="s">
        <v>14</v>
      </c>
      <c r="N2174" s="13">
        <v>28350</v>
      </c>
      <c r="O2174" s="15">
        <v>0</v>
      </c>
      <c r="P2174" s="10" t="s">
        <v>78</v>
      </c>
      <c r="Q2174" s="11" t="s">
        <v>4733</v>
      </c>
      <c r="R2174" s="11" t="s">
        <v>4734</v>
      </c>
      <c r="S2174" s="16" t="s">
        <v>4735</v>
      </c>
      <c r="T2174" s="19" t="str">
        <f>MONTH(B2174)&amp;"-"&amp;YEAR(B2174)</f>
        <v>11-2025</v>
      </c>
      <c r="U2174" s="2">
        <f>YEAR(B2174)</f>
        <v>2025</v>
      </c>
      <c r="V2174" s="2" t="str">
        <f>IF(DAY(B2174)&gt;15,MONTH(B2174)&amp;"-C",MONTH(B2174)&amp;"-N")</f>
        <v>11-C</v>
      </c>
      <c r="W2174" s="21"/>
      <c r="X2174" s="2" t="b">
        <f t="shared" si="1156"/>
        <v>0</v>
      </c>
    </row>
    <row r="2175" spans="2:24" x14ac:dyDescent="0.2">
      <c r="B2175" s="17">
        <v>45985</v>
      </c>
      <c r="C2175" s="10" t="s">
        <v>82</v>
      </c>
      <c r="D2175" s="11">
        <v>177274</v>
      </c>
      <c r="E2175" s="26">
        <v>84263</v>
      </c>
      <c r="F2175" s="10" t="s">
        <v>26</v>
      </c>
      <c r="G2175" s="10" t="s">
        <v>3885</v>
      </c>
      <c r="H2175" s="27" t="s">
        <v>28</v>
      </c>
      <c r="I2175" s="28" t="s">
        <v>41</v>
      </c>
      <c r="J2175" s="12" t="s">
        <v>41</v>
      </c>
      <c r="K2175" s="13">
        <v>3600</v>
      </c>
      <c r="L2175" s="21">
        <v>3.15</v>
      </c>
      <c r="M2175" s="14" t="s">
        <v>14</v>
      </c>
      <c r="N2175" s="13">
        <v>11340</v>
      </c>
      <c r="O2175" s="15">
        <v>0</v>
      </c>
      <c r="P2175" s="10" t="s">
        <v>78</v>
      </c>
      <c r="Q2175" s="11" t="s">
        <v>4736</v>
      </c>
      <c r="R2175" s="11" t="s">
        <v>4737</v>
      </c>
      <c r="S2175" s="16" t="s">
        <v>4738</v>
      </c>
      <c r="T2175" s="19" t="str">
        <f>MONTH(B2175)&amp;"-"&amp;YEAR(B2175)</f>
        <v>11-2025</v>
      </c>
      <c r="U2175" s="2">
        <f>YEAR(B2175)</f>
        <v>2025</v>
      </c>
      <c r="V2175" s="2" t="str">
        <f>IF(DAY(B2175)&gt;15,MONTH(B2175)&amp;"-C",MONTH(B2175)&amp;"-N")</f>
        <v>11-C</v>
      </c>
      <c r="W2175" s="21"/>
      <c r="X2175" s="2" t="b">
        <f t="shared" si="1156"/>
        <v>0</v>
      </c>
    </row>
    <row r="2176" spans="2:24" x14ac:dyDescent="0.2">
      <c r="B2176" s="17">
        <v>45985</v>
      </c>
      <c r="C2176" s="10" t="s">
        <v>82</v>
      </c>
      <c r="D2176" s="11">
        <v>177429</v>
      </c>
      <c r="E2176" s="26">
        <v>84264</v>
      </c>
      <c r="F2176" s="10" t="s">
        <v>33</v>
      </c>
      <c r="G2176" s="10" t="s">
        <v>3885</v>
      </c>
      <c r="H2176" s="27" t="s">
        <v>34</v>
      </c>
      <c r="I2176" s="28" t="s">
        <v>41</v>
      </c>
      <c r="J2176" s="12" t="s">
        <v>41</v>
      </c>
      <c r="K2176" s="13">
        <v>720</v>
      </c>
      <c r="L2176" s="21">
        <v>5.75</v>
      </c>
      <c r="M2176" s="14" t="s">
        <v>14</v>
      </c>
      <c r="N2176" s="13">
        <v>4140</v>
      </c>
      <c r="O2176" s="15">
        <v>0</v>
      </c>
      <c r="P2176" s="10" t="s">
        <v>78</v>
      </c>
      <c r="Q2176" s="11" t="s">
        <v>4739</v>
      </c>
      <c r="R2176" s="11" t="s">
        <v>4740</v>
      </c>
      <c r="S2176" s="16" t="s">
        <v>4741</v>
      </c>
      <c r="T2176" s="19" t="str">
        <f>MONTH(B2176)&amp;"-"&amp;YEAR(B2176)</f>
        <v>11-2025</v>
      </c>
      <c r="U2176" s="2">
        <f>YEAR(B2176)</f>
        <v>2025</v>
      </c>
      <c r="V2176" s="2" t="str">
        <f>IF(DAY(B2176)&gt;15,MONTH(B2176)&amp;"-C",MONTH(B2176)&amp;"-N")</f>
        <v>11-C</v>
      </c>
      <c r="W2176" s="21"/>
      <c r="X2176" s="2" t="b">
        <f t="shared" si="1156"/>
        <v>0</v>
      </c>
    </row>
    <row r="2177" spans="2:24" x14ac:dyDescent="0.2">
      <c r="B2177" s="17">
        <v>45985</v>
      </c>
      <c r="C2177" s="10" t="s">
        <v>25</v>
      </c>
      <c r="D2177" s="11">
        <v>177275</v>
      </c>
      <c r="E2177" s="26">
        <v>84265</v>
      </c>
      <c r="F2177" s="10" t="s">
        <v>33</v>
      </c>
      <c r="G2177" s="10" t="s">
        <v>3885</v>
      </c>
      <c r="H2177" s="27" t="s">
        <v>34</v>
      </c>
      <c r="I2177" s="28" t="s">
        <v>41</v>
      </c>
      <c r="J2177" s="12" t="s">
        <v>41</v>
      </c>
      <c r="K2177" s="13">
        <v>1080</v>
      </c>
      <c r="L2177" s="21">
        <v>4.8</v>
      </c>
      <c r="M2177" s="14" t="s">
        <v>14</v>
      </c>
      <c r="N2177" s="13">
        <v>5184</v>
      </c>
      <c r="O2177" s="15">
        <v>0</v>
      </c>
      <c r="P2177" s="10" t="s">
        <v>78</v>
      </c>
      <c r="Q2177" s="11" t="s">
        <v>4742</v>
      </c>
      <c r="R2177" s="11" t="s">
        <v>4743</v>
      </c>
      <c r="S2177" s="16" t="s">
        <v>4744</v>
      </c>
      <c r="T2177" s="19" t="str">
        <f>MONTH(B2177)&amp;"-"&amp;YEAR(B2177)</f>
        <v>11-2025</v>
      </c>
      <c r="U2177" s="2">
        <f>YEAR(B2177)</f>
        <v>2025</v>
      </c>
      <c r="V2177" s="2" t="str">
        <f>IF(DAY(B2177)&gt;15,MONTH(B2177)&amp;"-C",MONTH(B2177)&amp;"-N")</f>
        <v>11-C</v>
      </c>
      <c r="W2177" s="21"/>
      <c r="X2177" s="2" t="b">
        <f t="shared" si="1156"/>
        <v>0</v>
      </c>
    </row>
    <row r="2178" spans="2:24" x14ac:dyDescent="0.2">
      <c r="B2178" s="17">
        <v>45984</v>
      </c>
      <c r="C2178" s="10" t="s">
        <v>82</v>
      </c>
      <c r="D2178" s="11">
        <v>177274</v>
      </c>
      <c r="E2178" s="26">
        <v>84253</v>
      </c>
      <c r="F2178" s="10" t="s">
        <v>26</v>
      </c>
      <c r="G2178" s="10" t="s">
        <v>3885</v>
      </c>
      <c r="H2178" s="27" t="s">
        <v>28</v>
      </c>
      <c r="I2178" s="28" t="s">
        <v>41</v>
      </c>
      <c r="J2178" s="12" t="s">
        <v>41</v>
      </c>
      <c r="K2178" s="13">
        <v>7200</v>
      </c>
      <c r="L2178" s="21">
        <v>3.15</v>
      </c>
      <c r="M2178" s="14" t="s">
        <v>14</v>
      </c>
      <c r="N2178" s="13">
        <v>22680</v>
      </c>
      <c r="O2178" s="15">
        <v>0</v>
      </c>
      <c r="P2178" s="10" t="s">
        <v>78</v>
      </c>
      <c r="Q2178" s="11" t="s">
        <v>4745</v>
      </c>
      <c r="R2178" s="11" t="s">
        <v>4746</v>
      </c>
      <c r="S2178" s="16" t="s">
        <v>4747</v>
      </c>
      <c r="T2178" s="19" t="str">
        <f>MONTH(B2178)&amp;"-"&amp;YEAR(B2178)</f>
        <v>11-2025</v>
      </c>
      <c r="U2178" s="2">
        <f>YEAR(B2178)</f>
        <v>2025</v>
      </c>
      <c r="V2178" s="2" t="str">
        <f>IF(DAY(B2178)&gt;15,MONTH(B2178)&amp;"-C",MONTH(B2178)&amp;"-N")</f>
        <v>11-C</v>
      </c>
      <c r="W2178" s="21"/>
      <c r="X2178" s="2" t="b">
        <f t="shared" ref="X2178" si="1157">+L2178=W2178</f>
        <v>0</v>
      </c>
    </row>
    <row r="2179" spans="2:24" x14ac:dyDescent="0.2">
      <c r="B2179" s="17">
        <v>45989</v>
      </c>
      <c r="C2179" s="10" t="s">
        <v>25</v>
      </c>
      <c r="D2179" s="11">
        <v>177275</v>
      </c>
      <c r="E2179" s="26">
        <v>84360</v>
      </c>
      <c r="F2179" s="10" t="s">
        <v>29</v>
      </c>
      <c r="G2179" s="10" t="s">
        <v>3885</v>
      </c>
      <c r="H2179" s="27" t="s">
        <v>30</v>
      </c>
      <c r="I2179" s="28" t="s">
        <v>41</v>
      </c>
      <c r="J2179" s="12" t="s">
        <v>41</v>
      </c>
      <c r="K2179" s="13">
        <v>1980</v>
      </c>
      <c r="L2179" s="21">
        <v>3.67</v>
      </c>
      <c r="M2179" s="14" t="s">
        <v>14</v>
      </c>
      <c r="N2179" s="13">
        <v>7266.6</v>
      </c>
      <c r="O2179" s="15">
        <v>0</v>
      </c>
      <c r="P2179" s="10" t="s">
        <v>78</v>
      </c>
      <c r="Q2179" s="11" t="s">
        <v>4748</v>
      </c>
      <c r="R2179" s="11" t="s">
        <v>4749</v>
      </c>
      <c r="S2179" s="16" t="s">
        <v>4750</v>
      </c>
      <c r="T2179" s="19" t="str">
        <f>MONTH(B2179)&amp;"-"&amp;YEAR(B2179)</f>
        <v>11-2025</v>
      </c>
      <c r="U2179" s="2">
        <f>YEAR(B2179)</f>
        <v>2025</v>
      </c>
      <c r="V2179" s="2" t="str">
        <f>IF(DAY(B2179)&gt;15,MONTH(B2179)&amp;"-C",MONTH(B2179)&amp;"-N")</f>
        <v>11-C</v>
      </c>
      <c r="W2179" s="21"/>
      <c r="X2179" s="2" t="b">
        <f t="shared" ref="X2179:X2184" si="1158">+L2179=W2179</f>
        <v>0</v>
      </c>
    </row>
    <row r="2180" spans="2:24" x14ac:dyDescent="0.2">
      <c r="B2180" s="17">
        <v>45989</v>
      </c>
      <c r="C2180" s="10" t="s">
        <v>25</v>
      </c>
      <c r="D2180" s="11">
        <v>177275</v>
      </c>
      <c r="E2180" s="26">
        <v>84360</v>
      </c>
      <c r="F2180" s="10" t="s">
        <v>31</v>
      </c>
      <c r="G2180" s="10" t="s">
        <v>3885</v>
      </c>
      <c r="H2180" s="27" t="s">
        <v>32</v>
      </c>
      <c r="I2180" s="28" t="s">
        <v>41</v>
      </c>
      <c r="J2180" s="12" t="s">
        <v>41</v>
      </c>
      <c r="K2180" s="13">
        <v>1280</v>
      </c>
      <c r="L2180" s="21">
        <v>4.45</v>
      </c>
      <c r="M2180" s="14" t="s">
        <v>14</v>
      </c>
      <c r="N2180" s="13">
        <v>5696</v>
      </c>
      <c r="O2180" s="15">
        <v>0</v>
      </c>
      <c r="P2180" s="10" t="s">
        <v>78</v>
      </c>
      <c r="Q2180" s="11" t="s">
        <v>4748</v>
      </c>
      <c r="R2180" s="11" t="s">
        <v>4749</v>
      </c>
      <c r="S2180" s="16" t="s">
        <v>4750</v>
      </c>
      <c r="T2180" s="19" t="str">
        <f>MONTH(B2180)&amp;"-"&amp;YEAR(B2180)</f>
        <v>11-2025</v>
      </c>
      <c r="U2180" s="2">
        <f>YEAR(B2180)</f>
        <v>2025</v>
      </c>
      <c r="V2180" s="2" t="str">
        <f>IF(DAY(B2180)&gt;15,MONTH(B2180)&amp;"-C",MONTH(B2180)&amp;"-N")</f>
        <v>11-C</v>
      </c>
      <c r="W2180" s="21"/>
      <c r="X2180" s="2" t="b">
        <f t="shared" si="1158"/>
        <v>0</v>
      </c>
    </row>
    <row r="2181" spans="2:24" x14ac:dyDescent="0.2">
      <c r="B2181" s="17">
        <v>45989</v>
      </c>
      <c r="C2181" s="10" t="s">
        <v>25</v>
      </c>
      <c r="D2181" s="11">
        <v>177275</v>
      </c>
      <c r="E2181" s="26">
        <v>84360</v>
      </c>
      <c r="F2181" s="10" t="s">
        <v>33</v>
      </c>
      <c r="G2181" s="10" t="s">
        <v>3885</v>
      </c>
      <c r="H2181" s="27" t="s">
        <v>34</v>
      </c>
      <c r="I2181" s="28" t="s">
        <v>41</v>
      </c>
      <c r="J2181" s="12" t="s">
        <v>41</v>
      </c>
      <c r="K2181" s="13">
        <v>540</v>
      </c>
      <c r="L2181" s="21">
        <v>4.8</v>
      </c>
      <c r="M2181" s="14" t="s">
        <v>14</v>
      </c>
      <c r="N2181" s="13">
        <v>2592</v>
      </c>
      <c r="O2181" s="15">
        <v>0</v>
      </c>
      <c r="P2181" s="10" t="s">
        <v>78</v>
      </c>
      <c r="Q2181" s="11" t="s">
        <v>4748</v>
      </c>
      <c r="R2181" s="11" t="s">
        <v>4749</v>
      </c>
      <c r="S2181" s="16" t="s">
        <v>4750</v>
      </c>
      <c r="T2181" s="19" t="str">
        <f>MONTH(B2181)&amp;"-"&amp;YEAR(B2181)</f>
        <v>11-2025</v>
      </c>
      <c r="U2181" s="2">
        <f>YEAR(B2181)</f>
        <v>2025</v>
      </c>
      <c r="V2181" s="2" t="str">
        <f>IF(DAY(B2181)&gt;15,MONTH(B2181)&amp;"-C",MONTH(B2181)&amp;"-N")</f>
        <v>11-C</v>
      </c>
      <c r="W2181" s="21"/>
      <c r="X2181" s="2" t="b">
        <f t="shared" si="1158"/>
        <v>0</v>
      </c>
    </row>
    <row r="2182" spans="2:24" x14ac:dyDescent="0.2">
      <c r="B2182" s="17">
        <v>45988</v>
      </c>
      <c r="C2182" s="10" t="s">
        <v>88</v>
      </c>
      <c r="D2182" s="11">
        <v>177460</v>
      </c>
      <c r="E2182" s="26">
        <v>84320</v>
      </c>
      <c r="F2182" s="10" t="s">
        <v>98</v>
      </c>
      <c r="G2182" s="10" t="s">
        <v>3901</v>
      </c>
      <c r="H2182" s="27" t="s">
        <v>99</v>
      </c>
      <c r="I2182" s="28" t="s">
        <v>41</v>
      </c>
      <c r="J2182" s="12" t="s">
        <v>41</v>
      </c>
      <c r="K2182" s="13">
        <v>32</v>
      </c>
      <c r="L2182" s="21">
        <v>11.25</v>
      </c>
      <c r="M2182" s="14" t="s">
        <v>14</v>
      </c>
      <c r="N2182" s="13">
        <v>360</v>
      </c>
      <c r="O2182" s="15">
        <v>0</v>
      </c>
      <c r="P2182" s="10" t="s">
        <v>84</v>
      </c>
      <c r="Q2182" s="11" t="s">
        <v>4751</v>
      </c>
      <c r="R2182" s="11" t="s">
        <v>4752</v>
      </c>
      <c r="S2182" s="16" t="s">
        <v>4753</v>
      </c>
      <c r="T2182" s="19" t="str">
        <f>MONTH(B2182)&amp;"-"&amp;YEAR(B2182)</f>
        <v>11-2025</v>
      </c>
      <c r="U2182" s="2">
        <f>YEAR(B2182)</f>
        <v>2025</v>
      </c>
      <c r="V2182" s="2" t="str">
        <f>IF(DAY(B2182)&gt;15,MONTH(B2182)&amp;"-C",MONTH(B2182)&amp;"-N")</f>
        <v>11-C</v>
      </c>
      <c r="W2182" s="21"/>
      <c r="X2182" s="2" t="b">
        <f t="shared" si="1158"/>
        <v>0</v>
      </c>
    </row>
    <row r="2183" spans="2:24" x14ac:dyDescent="0.2">
      <c r="B2183" s="17">
        <v>45988</v>
      </c>
      <c r="C2183" s="10" t="s">
        <v>88</v>
      </c>
      <c r="D2183" s="11">
        <v>177460</v>
      </c>
      <c r="E2183" s="26">
        <v>84320</v>
      </c>
      <c r="F2183" s="10" t="s">
        <v>100</v>
      </c>
      <c r="G2183" s="10" t="s">
        <v>3901</v>
      </c>
      <c r="H2183" s="27" t="s">
        <v>101</v>
      </c>
      <c r="I2183" s="28" t="s">
        <v>41</v>
      </c>
      <c r="J2183" s="12" t="s">
        <v>41</v>
      </c>
      <c r="K2183" s="13">
        <v>1600</v>
      </c>
      <c r="L2183" s="21">
        <v>13.22</v>
      </c>
      <c r="M2183" s="14" t="s">
        <v>14</v>
      </c>
      <c r="N2183" s="13">
        <v>21152</v>
      </c>
      <c r="O2183" s="15">
        <v>0</v>
      </c>
      <c r="P2183" s="10" t="s">
        <v>84</v>
      </c>
      <c r="Q2183" s="11" t="s">
        <v>4751</v>
      </c>
      <c r="R2183" s="11" t="s">
        <v>4752</v>
      </c>
      <c r="S2183" s="16" t="s">
        <v>4753</v>
      </c>
      <c r="T2183" s="19" t="str">
        <f>MONTH(B2183)&amp;"-"&amp;YEAR(B2183)</f>
        <v>11-2025</v>
      </c>
      <c r="U2183" s="2">
        <f>YEAR(B2183)</f>
        <v>2025</v>
      </c>
      <c r="V2183" s="2" t="str">
        <f>IF(DAY(B2183)&gt;15,MONTH(B2183)&amp;"-C",MONTH(B2183)&amp;"-N")</f>
        <v>11-C</v>
      </c>
      <c r="W2183" s="21"/>
      <c r="X2183" s="2" t="b">
        <f t="shared" si="1158"/>
        <v>0</v>
      </c>
    </row>
    <row r="2184" spans="2:24" x14ac:dyDescent="0.2">
      <c r="B2184" s="17">
        <v>45989</v>
      </c>
      <c r="C2184" s="10" t="s">
        <v>25</v>
      </c>
      <c r="D2184" s="11">
        <v>177273</v>
      </c>
      <c r="E2184" s="26">
        <v>84358</v>
      </c>
      <c r="F2184" s="10" t="s">
        <v>26</v>
      </c>
      <c r="G2184" s="10" t="s">
        <v>3885</v>
      </c>
      <c r="H2184" s="27" t="s">
        <v>28</v>
      </c>
      <c r="I2184" s="28" t="s">
        <v>41</v>
      </c>
      <c r="J2184" s="12" t="s">
        <v>41</v>
      </c>
      <c r="K2184" s="13">
        <v>15300</v>
      </c>
      <c r="L2184" s="21">
        <v>3.15</v>
      </c>
      <c r="M2184" s="14" t="s">
        <v>14</v>
      </c>
      <c r="N2184" s="13">
        <v>48195</v>
      </c>
      <c r="O2184" s="15">
        <v>0</v>
      </c>
      <c r="P2184" s="10" t="s">
        <v>78</v>
      </c>
      <c r="Q2184" s="11" t="s">
        <v>4754</v>
      </c>
      <c r="R2184" s="11" t="s">
        <v>4755</v>
      </c>
      <c r="S2184" s="16" t="s">
        <v>4756</v>
      </c>
      <c r="T2184" s="19" t="str">
        <f>MONTH(B2184)&amp;"-"&amp;YEAR(B2184)</f>
        <v>11-2025</v>
      </c>
      <c r="U2184" s="2">
        <f>YEAR(B2184)</f>
        <v>2025</v>
      </c>
      <c r="V2184" s="2" t="str">
        <f>IF(DAY(B2184)&gt;15,MONTH(B2184)&amp;"-C",MONTH(B2184)&amp;"-N")</f>
        <v>11-C</v>
      </c>
      <c r="W2184" s="21"/>
      <c r="X2184" s="2" t="b">
        <f t="shared" si="1158"/>
        <v>0</v>
      </c>
    </row>
  </sheetData>
  <autoFilter ref="A3:X2184" xr:uid="{AEAC8A93-78A5-4126-9E07-5F3D5B28E23D}"/>
  <dataConsolidate link="1"/>
  <dataValidations disablePrompts="1" count="1">
    <dataValidation type="list" allowBlank="1" showInputMessage="1" showErrorMessage="1" sqref="A1" xr:uid="{DF2DD1FE-246E-4B17-9A6B-FA5A02D59BE1}">
      <formula1>"A,N"</formula1>
    </dataValidation>
  </dataValidations>
  <pageMargins left="0.56000000000000005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Register.</vt:lpstr>
      <vt:lpstr>'Purchase Register.'!CR_2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Entry</dc:creator>
  <cp:lastModifiedBy>Tharaka W</cp:lastModifiedBy>
  <cp:lastPrinted>2023-11-04T13:03:41Z</cp:lastPrinted>
  <dcterms:created xsi:type="dcterms:W3CDTF">2020-02-04T05:47:08Z</dcterms:created>
  <dcterms:modified xsi:type="dcterms:W3CDTF">2026-04-23T09:25:13Z</dcterms:modified>
</cp:coreProperties>
</file>