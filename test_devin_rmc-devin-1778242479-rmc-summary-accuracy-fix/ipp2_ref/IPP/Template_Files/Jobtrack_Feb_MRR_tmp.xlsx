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_Files/"/>
    </mc:Choice>
  </mc:AlternateContent>
  <xr:revisionPtr revIDLastSave="2" documentId="13_ncr:1_{E9898118-75A5-4AAA-83BC-6238A5A3C1D8}" xr6:coauthVersionLast="47" xr6:coauthVersionMax="47" xr10:uidLastSave="{9CC63813-ABEE-4D7A-81DA-86F20F64E2C7}"/>
  <bookViews>
    <workbookView xWindow="-110" yWindow="-110" windowWidth="19420" windowHeight="10420" xr2:uid="{A9717AD9-1021-434D-8D70-855E8DA6081C}"/>
  </bookViews>
  <sheets>
    <sheet name="JT" sheetId="4" r:id="rId1"/>
  </sheets>
  <externalReferences>
    <externalReference r:id="rId2"/>
  </externalReferences>
  <definedNames>
    <definedName name="_xlnm._FilterDatabase" localSheetId="0" hidden="1">JT!$A$4:$HT$70</definedName>
    <definedName name="A" localSheetId="0">JT!$CY$4</definedName>
    <definedName name="A">#REF!</definedName>
    <definedName name="CHECK">'[1]RMC summary'!$B:$B</definedName>
    <definedName name="CLS_WIP">#REF!</definedName>
    <definedName name="j" localSheetId="0">JT!$J$4</definedName>
    <definedName name="j">#REF!</definedName>
    <definedName name="JT" localSheetId="0">JT!$A$4:$HT$70</definedName>
    <definedName name="JT">#REF!</definedName>
    <definedName name="OPN_WIP">#REF!</definedName>
    <definedName name="opn_wip1">#REF!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F70" i="4" l="1"/>
  <c r="IV70" i="4"/>
  <c r="II70" i="4"/>
  <c r="HW70" i="4"/>
  <c r="HQ70" i="4"/>
  <c r="HC70" i="4"/>
  <c r="GU70" i="4"/>
  <c r="ED70" i="4"/>
  <c r="CU70" i="4"/>
  <c r="CQ70" i="4"/>
  <c r="CI70" i="4"/>
  <c r="BY70" i="4"/>
  <c r="BR70" i="4"/>
  <c r="BK70" i="4"/>
  <c r="AY70" i="4"/>
  <c r="BA70" i="4" s="1"/>
  <c r="AN70" i="4"/>
  <c r="AF70" i="4"/>
  <c r="Y70" i="4"/>
  <c r="T70" i="4"/>
  <c r="JF69" i="4"/>
  <c r="IV69" i="4"/>
  <c r="II69" i="4"/>
  <c r="HW69" i="4"/>
  <c r="HQ69" i="4"/>
  <c r="HC69" i="4"/>
  <c r="GU69" i="4"/>
  <c r="ED69" i="4"/>
  <c r="CU69" i="4"/>
  <c r="CQ69" i="4"/>
  <c r="CI69" i="4"/>
  <c r="BY69" i="4"/>
  <c r="BR69" i="4"/>
  <c r="BK69" i="4"/>
  <c r="AY69" i="4"/>
  <c r="BA69" i="4" s="1"/>
  <c r="AN69" i="4"/>
  <c r="AF69" i="4"/>
  <c r="AB69" i="4"/>
  <c r="U69" i="4"/>
  <c r="T69" i="4" s="1"/>
  <c r="JF68" i="4"/>
  <c r="IV68" i="4"/>
  <c r="II68" i="4"/>
  <c r="HW68" i="4"/>
  <c r="HQ68" i="4"/>
  <c r="HC68" i="4"/>
  <c r="GU68" i="4"/>
  <c r="ED68" i="4"/>
  <c r="CU68" i="4"/>
  <c r="CQ68" i="4"/>
  <c r="CI68" i="4"/>
  <c r="BY68" i="4"/>
  <c r="BR68" i="4"/>
  <c r="BK68" i="4"/>
  <c r="AY68" i="4"/>
  <c r="BA68" i="4" s="1"/>
  <c r="AN68" i="4"/>
  <c r="AF68" i="4"/>
  <c r="AB68" i="4"/>
  <c r="U68" i="4"/>
  <c r="T68" i="4" s="1"/>
  <c r="JG67" i="4"/>
  <c r="JF67" i="4"/>
  <c r="IV67" i="4"/>
  <c r="II67" i="4"/>
  <c r="HW67" i="4"/>
  <c r="HQ67" i="4"/>
  <c r="HC67" i="4"/>
  <c r="GU67" i="4"/>
  <c r="ED67" i="4"/>
  <c r="DG67" i="4"/>
  <c r="CR67" i="4"/>
  <c r="CU67" i="4" s="1"/>
  <c r="CQ67" i="4"/>
  <c r="CP67" i="4"/>
  <c r="CN67" i="4"/>
  <c r="CH67" i="4"/>
  <c r="CG67" i="4"/>
  <c r="CI67" i="4" s="1"/>
  <c r="CL67" i="4" s="1"/>
  <c r="CE67" i="4"/>
  <c r="BY67" i="4"/>
  <c r="BP67" i="4"/>
  <c r="BR67" i="4" s="1"/>
  <c r="BN67" i="4"/>
  <c r="BK67" i="4"/>
  <c r="BA67" i="4"/>
  <c r="AN67" i="4"/>
  <c r="AB67" i="4"/>
  <c r="Z67" i="4"/>
  <c r="AF67" i="4" s="1"/>
  <c r="X67" i="4"/>
  <c r="T67" i="4"/>
  <c r="JF66" i="4"/>
  <c r="IV66" i="4"/>
  <c r="II66" i="4"/>
  <c r="HW66" i="4"/>
  <c r="HQ66" i="4"/>
  <c r="HC66" i="4"/>
  <c r="GU66" i="4"/>
  <c r="ED66" i="4"/>
  <c r="DG66" i="4"/>
  <c r="CT66" i="4"/>
  <c r="CR66" i="4"/>
  <c r="CU66" i="4" s="1"/>
  <c r="CN66" i="4"/>
  <c r="CQ66" i="4" s="1"/>
  <c r="CH66" i="4"/>
  <c r="CG66" i="4"/>
  <c r="CI66" i="4" s="1"/>
  <c r="CL66" i="4" s="1"/>
  <c r="CE66" i="4"/>
  <c r="BY66" i="4"/>
  <c r="BQ66" i="4"/>
  <c r="BP66" i="4"/>
  <c r="BR66" i="4" s="1"/>
  <c r="BN66" i="4"/>
  <c r="BK66" i="4"/>
  <c r="BA66" i="4"/>
  <c r="AN66" i="4"/>
  <c r="AB66" i="4"/>
  <c r="Z66" i="4"/>
  <c r="AF66" i="4" s="1"/>
  <c r="X66" i="4"/>
  <c r="T66" i="4"/>
  <c r="JF65" i="4"/>
  <c r="IV65" i="4"/>
  <c r="II65" i="4"/>
  <c r="HW65" i="4"/>
  <c r="HQ65" i="4"/>
  <c r="HC65" i="4"/>
  <c r="GU65" i="4"/>
  <c r="ED65" i="4"/>
  <c r="DG65" i="4"/>
  <c r="CU65" i="4"/>
  <c r="CT65" i="4"/>
  <c r="CQ65" i="4"/>
  <c r="CP65" i="4"/>
  <c r="CI65" i="4"/>
  <c r="BX65" i="4"/>
  <c r="BW65" i="4"/>
  <c r="BU65" i="4"/>
  <c r="BR65" i="4"/>
  <c r="BK65" i="4"/>
  <c r="BI65" i="4"/>
  <c r="BG65" i="4"/>
  <c r="BA65" i="4"/>
  <c r="AN65" i="4"/>
  <c r="AB65" i="4"/>
  <c r="Z65" i="4"/>
  <c r="AF65" i="4" s="1"/>
  <c r="X65" i="4"/>
  <c r="T65" i="4"/>
  <c r="JG64" i="4"/>
  <c r="JF64" i="4"/>
  <c r="IV64" i="4"/>
  <c r="II64" i="4"/>
  <c r="HW64" i="4"/>
  <c r="HQ64" i="4"/>
  <c r="HC64" i="4"/>
  <c r="GU64" i="4"/>
  <c r="ED64" i="4"/>
  <c r="DG64" i="4"/>
  <c r="CU64" i="4"/>
  <c r="CT64" i="4"/>
  <c r="CR64" i="4"/>
  <c r="CN64" i="4"/>
  <c r="CQ64" i="4" s="1"/>
  <c r="CI64" i="4"/>
  <c r="BX64" i="4"/>
  <c r="BW64" i="4"/>
  <c r="BY64" i="4" s="1"/>
  <c r="CB64" i="4" s="1"/>
  <c r="BU64" i="4"/>
  <c r="BR64" i="4"/>
  <c r="BJ64" i="4"/>
  <c r="BI64" i="4"/>
  <c r="BK64" i="4" s="1"/>
  <c r="BG64" i="4"/>
  <c r="BA64" i="4"/>
  <c r="AN64" i="4"/>
  <c r="AB64" i="4"/>
  <c r="Z64" i="4"/>
  <c r="AF64" i="4" s="1"/>
  <c r="X64" i="4"/>
  <c r="T64" i="4"/>
  <c r="JF63" i="4"/>
  <c r="IV63" i="4"/>
  <c r="II63" i="4"/>
  <c r="HW63" i="4"/>
  <c r="HQ63" i="4"/>
  <c r="HC63" i="4"/>
  <c r="GU63" i="4"/>
  <c r="ED63" i="4"/>
  <c r="DG63" i="4"/>
  <c r="CR63" i="4"/>
  <c r="CP63" i="4"/>
  <c r="CN63" i="4"/>
  <c r="CQ63" i="4" s="1"/>
  <c r="CI63" i="4"/>
  <c r="BX63" i="4"/>
  <c r="BW63" i="4"/>
  <c r="BU63" i="4"/>
  <c r="BR63" i="4"/>
  <c r="BI63" i="4"/>
  <c r="BK63" i="4" s="1"/>
  <c r="BG63" i="4"/>
  <c r="BA63" i="4"/>
  <c r="AN63" i="4"/>
  <c r="AF63" i="4"/>
  <c r="AB63" i="4"/>
  <c r="Z63" i="4"/>
  <c r="X63" i="4"/>
  <c r="T63" i="4"/>
  <c r="JF62" i="4"/>
  <c r="IV62" i="4"/>
  <c r="II62" i="4"/>
  <c r="HW62" i="4"/>
  <c r="HQ62" i="4"/>
  <c r="HC62" i="4"/>
  <c r="GU62" i="4"/>
  <c r="ED62" i="4"/>
  <c r="CU62" i="4"/>
  <c r="CQ62" i="4"/>
  <c r="CI62" i="4"/>
  <c r="BY62" i="4"/>
  <c r="BR62" i="4"/>
  <c r="BK62" i="4"/>
  <c r="AY62" i="4"/>
  <c r="BA62" i="4" s="1"/>
  <c r="AN62" i="4"/>
  <c r="AF62" i="4"/>
  <c r="Y62" i="4"/>
  <c r="T62" i="4"/>
  <c r="JF61" i="4"/>
  <c r="IV61" i="4"/>
  <c r="II61" i="4"/>
  <c r="HW61" i="4"/>
  <c r="HQ61" i="4"/>
  <c r="HC61" i="4"/>
  <c r="GU61" i="4"/>
  <c r="ED61" i="4"/>
  <c r="CU61" i="4"/>
  <c r="CQ61" i="4"/>
  <c r="CI61" i="4"/>
  <c r="BY61" i="4"/>
  <c r="BR61" i="4"/>
  <c r="BK61" i="4"/>
  <c r="BA61" i="4"/>
  <c r="AY61" i="4"/>
  <c r="AW61" i="4"/>
  <c r="AN61" i="4"/>
  <c r="AF61" i="4"/>
  <c r="AB61" i="4"/>
  <c r="U61" i="4"/>
  <c r="T61" i="4" s="1"/>
  <c r="JF60" i="4"/>
  <c r="IV60" i="4"/>
  <c r="II60" i="4"/>
  <c r="HW60" i="4"/>
  <c r="HQ60" i="4"/>
  <c r="HC60" i="4"/>
  <c r="GU60" i="4"/>
  <c r="ED60" i="4"/>
  <c r="CU60" i="4"/>
  <c r="CQ60" i="4"/>
  <c r="CI60" i="4"/>
  <c r="BY60" i="4"/>
  <c r="BR60" i="4"/>
  <c r="BK60" i="4"/>
  <c r="AY60" i="4"/>
  <c r="BA60" i="4" s="1"/>
  <c r="AN60" i="4"/>
  <c r="AF60" i="4"/>
  <c r="Y60" i="4"/>
  <c r="T60" i="4"/>
  <c r="JF59" i="4"/>
  <c r="IV59" i="4"/>
  <c r="II59" i="4"/>
  <c r="HW59" i="4"/>
  <c r="HM59" i="4"/>
  <c r="HQ59" i="4" s="1"/>
  <c r="HC59" i="4"/>
  <c r="GU59" i="4"/>
  <c r="ED59" i="4"/>
  <c r="CU59" i="4"/>
  <c r="CQ59" i="4"/>
  <c r="CI59" i="4"/>
  <c r="BY59" i="4"/>
  <c r="BR59" i="4"/>
  <c r="BK59" i="4"/>
  <c r="AY59" i="4"/>
  <c r="BA59" i="4" s="1"/>
  <c r="AW59" i="4"/>
  <c r="AN59" i="4"/>
  <c r="AF59" i="4"/>
  <c r="AB59" i="4"/>
  <c r="U59" i="4"/>
  <c r="T59" i="4" s="1"/>
  <c r="JF58" i="4"/>
  <c r="IV58" i="4"/>
  <c r="II58" i="4"/>
  <c r="HW58" i="4"/>
  <c r="HQ58" i="4"/>
  <c r="HC58" i="4"/>
  <c r="GU58" i="4"/>
  <c r="ED58" i="4"/>
  <c r="CU58" i="4"/>
  <c r="CQ58" i="4"/>
  <c r="CI58" i="4"/>
  <c r="BY58" i="4"/>
  <c r="BR58" i="4"/>
  <c r="BK58" i="4"/>
  <c r="AZ58" i="4"/>
  <c r="AY58" i="4"/>
  <c r="AW58" i="4"/>
  <c r="AN58" i="4"/>
  <c r="AF58" i="4"/>
  <c r="AB58" i="4"/>
  <c r="U58" i="4"/>
  <c r="T58" i="4"/>
  <c r="JF57" i="4"/>
  <c r="IV57" i="4"/>
  <c r="II57" i="4"/>
  <c r="HW57" i="4"/>
  <c r="HQ57" i="4"/>
  <c r="HC57" i="4"/>
  <c r="GU57" i="4"/>
  <c r="ED57" i="4"/>
  <c r="CU57" i="4"/>
  <c r="CQ57" i="4"/>
  <c r="CI57" i="4"/>
  <c r="BY57" i="4"/>
  <c r="BR57" i="4"/>
  <c r="BK57" i="4"/>
  <c r="AY57" i="4"/>
  <c r="BA57" i="4" s="1"/>
  <c r="AW57" i="4"/>
  <c r="AN57" i="4"/>
  <c r="AF57" i="4"/>
  <c r="AB57" i="4"/>
  <c r="U57" i="4"/>
  <c r="T57" i="4"/>
  <c r="JF56" i="4"/>
  <c r="IV56" i="4"/>
  <c r="II56" i="4"/>
  <c r="HW56" i="4"/>
  <c r="HQ56" i="4"/>
  <c r="HC56" i="4"/>
  <c r="GU56" i="4"/>
  <c r="ED56" i="4"/>
  <c r="CU56" i="4"/>
  <c r="CQ56" i="4"/>
  <c r="CI56" i="4"/>
  <c r="BY56" i="4"/>
  <c r="BR56" i="4"/>
  <c r="BK56" i="4"/>
  <c r="AY56" i="4"/>
  <c r="BA56" i="4" s="1"/>
  <c r="AW56" i="4"/>
  <c r="AN56" i="4"/>
  <c r="AF56" i="4"/>
  <c r="AB56" i="4"/>
  <c r="U56" i="4"/>
  <c r="T56" i="4" s="1"/>
  <c r="Y56" i="4" s="1"/>
  <c r="Y1" i="4" s="1"/>
  <c r="JF55" i="4"/>
  <c r="IV55" i="4"/>
  <c r="II55" i="4"/>
  <c r="HW55" i="4"/>
  <c r="HQ55" i="4"/>
  <c r="HC55" i="4"/>
  <c r="GU55" i="4"/>
  <c r="ED55" i="4"/>
  <c r="CU55" i="4"/>
  <c r="CQ55" i="4"/>
  <c r="CI55" i="4"/>
  <c r="BY55" i="4"/>
  <c r="BR55" i="4"/>
  <c r="BK55" i="4"/>
  <c r="AZ55" i="4"/>
  <c r="AY55" i="4"/>
  <c r="BA55" i="4" s="1"/>
  <c r="AW55" i="4"/>
  <c r="AN55" i="4"/>
  <c r="AF55" i="4"/>
  <c r="AB55" i="4"/>
  <c r="U55" i="4"/>
  <c r="T55" i="4"/>
  <c r="JF54" i="4"/>
  <c r="IV54" i="4"/>
  <c r="II54" i="4"/>
  <c r="HW54" i="4"/>
  <c r="HQ54" i="4"/>
  <c r="HC54" i="4"/>
  <c r="GU54" i="4"/>
  <c r="ED54" i="4"/>
  <c r="DG54" i="4"/>
  <c r="CU54" i="4"/>
  <c r="CT54" i="4"/>
  <c r="CQ54" i="4"/>
  <c r="CP54" i="4"/>
  <c r="CG54" i="4"/>
  <c r="CI54" i="4" s="1"/>
  <c r="CL54" i="4" s="1"/>
  <c r="CE54" i="4"/>
  <c r="BY54" i="4"/>
  <c r="BP54" i="4"/>
  <c r="BR54" i="4" s="1"/>
  <c r="BN54" i="4"/>
  <c r="BK54" i="4"/>
  <c r="BA54" i="4"/>
  <c r="AN54" i="4"/>
  <c r="AB54" i="4"/>
  <c r="Z54" i="4"/>
  <c r="AF54" i="4" s="1"/>
  <c r="X54" i="4"/>
  <c r="T54" i="4"/>
  <c r="JG53" i="4"/>
  <c r="JF53" i="4"/>
  <c r="IV53" i="4"/>
  <c r="II53" i="4"/>
  <c r="HW53" i="4"/>
  <c r="HQ53" i="4"/>
  <c r="HC53" i="4"/>
  <c r="GU53" i="4"/>
  <c r="ED53" i="4"/>
  <c r="DG53" i="4"/>
  <c r="CU53" i="4"/>
  <c r="CT53" i="4"/>
  <c r="CQ53" i="4"/>
  <c r="CP53" i="4"/>
  <c r="CH53" i="4"/>
  <c r="CI53" i="4" s="1"/>
  <c r="CL53" i="4" s="1"/>
  <c r="CG53" i="4"/>
  <c r="CE53" i="4"/>
  <c r="BY53" i="4"/>
  <c r="BR53" i="4"/>
  <c r="BP53" i="4"/>
  <c r="BN53" i="4"/>
  <c r="BK53" i="4"/>
  <c r="BA53" i="4"/>
  <c r="AN53" i="4"/>
  <c r="AB53" i="4"/>
  <c r="Z53" i="4"/>
  <c r="AF53" i="4" s="1"/>
  <c r="X53" i="4"/>
  <c r="T53" i="4"/>
  <c r="JF52" i="4"/>
  <c r="IV52" i="4"/>
  <c r="II52" i="4"/>
  <c r="HW52" i="4"/>
  <c r="HQ52" i="4"/>
  <c r="HC52" i="4"/>
  <c r="GU52" i="4"/>
  <c r="ED52" i="4"/>
  <c r="DG52" i="4"/>
  <c r="CU52" i="4"/>
  <c r="CT52" i="4"/>
  <c r="CQ52" i="4"/>
  <c r="CP52" i="4"/>
  <c r="CI52" i="4"/>
  <c r="CL52" i="4" s="1"/>
  <c r="CG52" i="4"/>
  <c r="CE52" i="4"/>
  <c r="BY52" i="4"/>
  <c r="BQ52" i="4"/>
  <c r="BP52" i="4"/>
  <c r="BR52" i="4" s="1"/>
  <c r="BN52" i="4"/>
  <c r="BK52" i="4"/>
  <c r="BA52" i="4"/>
  <c r="AN52" i="4"/>
  <c r="AB52" i="4"/>
  <c r="Z52" i="4"/>
  <c r="AF52" i="4" s="1"/>
  <c r="X52" i="4"/>
  <c r="T52" i="4"/>
  <c r="JF51" i="4"/>
  <c r="IV51" i="4"/>
  <c r="II51" i="4"/>
  <c r="HW51" i="4"/>
  <c r="HQ51" i="4"/>
  <c r="HC51" i="4"/>
  <c r="GU51" i="4"/>
  <c r="ED51" i="4"/>
  <c r="DG51" i="4"/>
  <c r="CU51" i="4"/>
  <c r="CT51" i="4"/>
  <c r="CQ51" i="4"/>
  <c r="CP51" i="4"/>
  <c r="CI51" i="4"/>
  <c r="BX51" i="4"/>
  <c r="BW51" i="4"/>
  <c r="BY51" i="4" s="1"/>
  <c r="CB51" i="4" s="1"/>
  <c r="BU51" i="4"/>
  <c r="BR51" i="4"/>
  <c r="BI51" i="4"/>
  <c r="BK51" i="4" s="1"/>
  <c r="BG51" i="4"/>
  <c r="BA51" i="4"/>
  <c r="AN51" i="4"/>
  <c r="AF51" i="4"/>
  <c r="AB51" i="4"/>
  <c r="Z51" i="4"/>
  <c r="X51" i="4"/>
  <c r="T51" i="4"/>
  <c r="JF50" i="4"/>
  <c r="IV50" i="4"/>
  <c r="II50" i="4"/>
  <c r="HW50" i="4"/>
  <c r="HQ50" i="4"/>
  <c r="HC50" i="4"/>
  <c r="GU50" i="4"/>
  <c r="ED50" i="4"/>
  <c r="DK50" i="4"/>
  <c r="DG50" i="4"/>
  <c r="CX50" i="4"/>
  <c r="CU50" i="4"/>
  <c r="CT50" i="4"/>
  <c r="CQ50" i="4"/>
  <c r="CP50" i="4"/>
  <c r="CI50" i="4"/>
  <c r="BX50" i="4"/>
  <c r="BW50" i="4"/>
  <c r="BU50" i="4"/>
  <c r="BR50" i="4"/>
  <c r="BI50" i="4"/>
  <c r="BK50" i="4" s="1"/>
  <c r="BG50" i="4"/>
  <c r="BA50" i="4"/>
  <c r="AN50" i="4"/>
  <c r="AB50" i="4"/>
  <c r="Z50" i="4"/>
  <c r="AF50" i="4" s="1"/>
  <c r="X50" i="4"/>
  <c r="T50" i="4"/>
  <c r="JG49" i="4"/>
  <c r="JF49" i="4"/>
  <c r="IV49" i="4"/>
  <c r="II49" i="4"/>
  <c r="HW49" i="4"/>
  <c r="HQ49" i="4"/>
  <c r="HC49" i="4"/>
  <c r="GU49" i="4"/>
  <c r="ED49" i="4"/>
  <c r="DG49" i="4"/>
  <c r="CU49" i="4"/>
  <c r="CT49" i="4"/>
  <c r="CR49" i="4"/>
  <c r="CN49" i="4"/>
  <c r="CQ49" i="4" s="1"/>
  <c r="CI49" i="4"/>
  <c r="BX49" i="4"/>
  <c r="BY49" i="4" s="1"/>
  <c r="CB49" i="4" s="1"/>
  <c r="BW49" i="4"/>
  <c r="BU49" i="4"/>
  <c r="BR49" i="4"/>
  <c r="BK49" i="4"/>
  <c r="BI49" i="4"/>
  <c r="BG49" i="4"/>
  <c r="BA49" i="4"/>
  <c r="AN49" i="4"/>
  <c r="AB49" i="4"/>
  <c r="Z49" i="4"/>
  <c r="AF49" i="4" s="1"/>
  <c r="X49" i="4"/>
  <c r="T49" i="4"/>
  <c r="JF48" i="4"/>
  <c r="IV48" i="4"/>
  <c r="II48" i="4"/>
  <c r="HW48" i="4"/>
  <c r="HQ48" i="4"/>
  <c r="HC48" i="4"/>
  <c r="GU48" i="4"/>
  <c r="DK48" i="4"/>
  <c r="ED48" i="4" s="1"/>
  <c r="DG48" i="4"/>
  <c r="CT48" i="4"/>
  <c r="CR48" i="4"/>
  <c r="CU48" i="4" s="1"/>
  <c r="CP48" i="4"/>
  <c r="CN48" i="4"/>
  <c r="CQ48" i="4" s="1"/>
  <c r="CI48" i="4"/>
  <c r="BX48" i="4"/>
  <c r="BW48" i="4"/>
  <c r="BY48" i="4" s="1"/>
  <c r="CB48" i="4" s="1"/>
  <c r="BU48" i="4"/>
  <c r="BR48" i="4"/>
  <c r="BI48" i="4"/>
  <c r="BK48" i="4" s="1"/>
  <c r="BG48" i="4"/>
  <c r="BA48" i="4"/>
  <c r="AN48" i="4"/>
  <c r="AB48" i="4"/>
  <c r="Z48" i="4"/>
  <c r="AF48" i="4" s="1"/>
  <c r="X48" i="4"/>
  <c r="T48" i="4"/>
  <c r="JF47" i="4"/>
  <c r="IV47" i="4"/>
  <c r="II47" i="4"/>
  <c r="HW47" i="4"/>
  <c r="HQ47" i="4"/>
  <c r="HC47" i="4"/>
  <c r="GU47" i="4"/>
  <c r="ED47" i="4"/>
  <c r="CU47" i="4"/>
  <c r="CQ47" i="4"/>
  <c r="CI47" i="4"/>
  <c r="BY47" i="4"/>
  <c r="BR47" i="4"/>
  <c r="BK47" i="4"/>
  <c r="BA47" i="4"/>
  <c r="AN47" i="4"/>
  <c r="AK47" i="4"/>
  <c r="AF47" i="4"/>
  <c r="T47" i="4"/>
  <c r="JF46" i="4"/>
  <c r="IV46" i="4"/>
  <c r="II46" i="4"/>
  <c r="HW46" i="4"/>
  <c r="HQ46" i="4"/>
  <c r="HC46" i="4"/>
  <c r="GU46" i="4"/>
  <c r="ED46" i="4"/>
  <c r="DF46" i="4"/>
  <c r="CU46" i="4"/>
  <c r="CQ46" i="4"/>
  <c r="CI46" i="4"/>
  <c r="BY46" i="4"/>
  <c r="BR46" i="4"/>
  <c r="BK46" i="4"/>
  <c r="AZ46" i="4"/>
  <c r="AY46" i="4"/>
  <c r="AN46" i="4"/>
  <c r="Z46" i="4"/>
  <c r="X46" i="4"/>
  <c r="T46" i="4"/>
  <c r="JG45" i="4"/>
  <c r="JF45" i="4"/>
  <c r="IV45" i="4"/>
  <c r="II45" i="4"/>
  <c r="HW45" i="4"/>
  <c r="HQ45" i="4"/>
  <c r="HC45" i="4"/>
  <c r="GU45" i="4"/>
  <c r="ED45" i="4"/>
  <c r="DF45" i="4"/>
  <c r="AF45" i="4" s="1"/>
  <c r="CU45" i="4"/>
  <c r="CQ45" i="4"/>
  <c r="CI45" i="4"/>
  <c r="BY45" i="4"/>
  <c r="BR45" i="4"/>
  <c r="BK45" i="4"/>
  <c r="AZ45" i="4"/>
  <c r="AY45" i="4"/>
  <c r="BA45" i="4" s="1"/>
  <c r="AN45" i="4"/>
  <c r="AB45" i="4"/>
  <c r="Z45" i="4"/>
  <c r="X45" i="4"/>
  <c r="T45" i="4"/>
  <c r="JG44" i="4"/>
  <c r="JF44" i="4"/>
  <c r="IV44" i="4"/>
  <c r="II44" i="4"/>
  <c r="HW44" i="4"/>
  <c r="HQ44" i="4"/>
  <c r="HC44" i="4"/>
  <c r="GU44" i="4"/>
  <c r="ED44" i="4"/>
  <c r="DF44" i="4"/>
  <c r="CU44" i="4"/>
  <c r="CQ44" i="4"/>
  <c r="CI44" i="4"/>
  <c r="BY44" i="4"/>
  <c r="BR44" i="4"/>
  <c r="BK44" i="4"/>
  <c r="BA44" i="4"/>
  <c r="BD44" i="4" s="1"/>
  <c r="AZ44" i="4"/>
  <c r="AY44" i="4"/>
  <c r="AN44" i="4"/>
  <c r="AB44" i="4"/>
  <c r="Z44" i="4"/>
  <c r="X44" i="4"/>
  <c r="T44" i="4"/>
  <c r="JG43" i="4"/>
  <c r="JF43" i="4"/>
  <c r="IV43" i="4"/>
  <c r="II43" i="4"/>
  <c r="HW43" i="4"/>
  <c r="HQ43" i="4"/>
  <c r="HC43" i="4"/>
  <c r="GG43" i="4"/>
  <c r="GU43" i="4" s="1"/>
  <c r="ED43" i="4"/>
  <c r="DG43" i="4"/>
  <c r="CX43" i="4"/>
  <c r="CU43" i="4"/>
  <c r="CT43" i="4"/>
  <c r="CQ43" i="4"/>
  <c r="CP43" i="4"/>
  <c r="CI43" i="4"/>
  <c r="BX43" i="4"/>
  <c r="BW43" i="4"/>
  <c r="BY43" i="4" s="1"/>
  <c r="CB43" i="4" s="1"/>
  <c r="BU43" i="4"/>
  <c r="BR43" i="4"/>
  <c r="BI43" i="4"/>
  <c r="BK43" i="4" s="1"/>
  <c r="BG43" i="4"/>
  <c r="BA43" i="4"/>
  <c r="AN43" i="4"/>
  <c r="AF43" i="4"/>
  <c r="AB43" i="4"/>
  <c r="Z43" i="4"/>
  <c r="X43" i="4"/>
  <c r="T43" i="4"/>
  <c r="JF42" i="4"/>
  <c r="IV42" i="4"/>
  <c r="II42" i="4"/>
  <c r="HW42" i="4"/>
  <c r="HQ42" i="4"/>
  <c r="HC42" i="4"/>
  <c r="GU42" i="4"/>
  <c r="ED42" i="4"/>
  <c r="DG42" i="4"/>
  <c r="CX42" i="4"/>
  <c r="CU42" i="4"/>
  <c r="CT42" i="4"/>
  <c r="CQ42" i="4"/>
  <c r="CP42" i="4"/>
  <c r="CI42" i="4"/>
  <c r="BX42" i="4"/>
  <c r="BW42" i="4"/>
  <c r="BU42" i="4"/>
  <c r="BR42" i="4"/>
  <c r="BJ42" i="4"/>
  <c r="BI42" i="4"/>
  <c r="BK42" i="4" s="1"/>
  <c r="BG42" i="4"/>
  <c r="BA42" i="4"/>
  <c r="AN42" i="4"/>
  <c r="AB42" i="4"/>
  <c r="Z42" i="4"/>
  <c r="AF42" i="4" s="1"/>
  <c r="X42" i="4"/>
  <c r="T42" i="4"/>
  <c r="JF41" i="4"/>
  <c r="IV41" i="4"/>
  <c r="II41" i="4"/>
  <c r="HW41" i="4"/>
  <c r="HQ41" i="4"/>
  <c r="HC41" i="4"/>
  <c r="GU41" i="4"/>
  <c r="ED41" i="4"/>
  <c r="DF41" i="4"/>
  <c r="CU41" i="4"/>
  <c r="CQ41" i="4"/>
  <c r="CI41" i="4"/>
  <c r="BY41" i="4"/>
  <c r="BR41" i="4"/>
  <c r="BK41" i="4"/>
  <c r="AZ41" i="4"/>
  <c r="AY41" i="4"/>
  <c r="BA41" i="4" s="1"/>
  <c r="BD41" i="4" s="1"/>
  <c r="AN41" i="4"/>
  <c r="AB41" i="4"/>
  <c r="Z41" i="4"/>
  <c r="X41" i="4"/>
  <c r="T41" i="4"/>
  <c r="JG40" i="4"/>
  <c r="JF40" i="4"/>
  <c r="IV40" i="4"/>
  <c r="II40" i="4"/>
  <c r="HW40" i="4"/>
  <c r="HQ40" i="4"/>
  <c r="HC40" i="4"/>
  <c r="GU40" i="4"/>
  <c r="ED40" i="4"/>
  <c r="DF40" i="4"/>
  <c r="CU40" i="4"/>
  <c r="CQ40" i="4"/>
  <c r="CI40" i="4"/>
  <c r="BY40" i="4"/>
  <c r="BR40" i="4"/>
  <c r="BK40" i="4"/>
  <c r="BA40" i="4"/>
  <c r="BD40" i="4" s="1"/>
  <c r="AZ40" i="4"/>
  <c r="AY40" i="4"/>
  <c r="AN40" i="4"/>
  <c r="AB40" i="4"/>
  <c r="Z40" i="4"/>
  <c r="X40" i="4"/>
  <c r="T40" i="4"/>
  <c r="JF39" i="4"/>
  <c r="IV39" i="4"/>
  <c r="II39" i="4"/>
  <c r="HW39" i="4"/>
  <c r="HQ39" i="4"/>
  <c r="HC39" i="4"/>
  <c r="GU39" i="4"/>
  <c r="ED39" i="4"/>
  <c r="CU39" i="4"/>
  <c r="CQ39" i="4"/>
  <c r="CI39" i="4"/>
  <c r="BY39" i="4"/>
  <c r="BR39" i="4"/>
  <c r="BK39" i="4"/>
  <c r="AY39" i="4"/>
  <c r="BA39" i="4" s="1"/>
  <c r="AN39" i="4"/>
  <c r="AF39" i="4"/>
  <c r="Y39" i="4"/>
  <c r="T39" i="4"/>
  <c r="JF38" i="4"/>
  <c r="IV38" i="4"/>
  <c r="II38" i="4"/>
  <c r="HW38" i="4"/>
  <c r="HQ38" i="4"/>
  <c r="HC38" i="4"/>
  <c r="GU38" i="4"/>
  <c r="ED38" i="4"/>
  <c r="CU38" i="4"/>
  <c r="CQ38" i="4"/>
  <c r="CI38" i="4"/>
  <c r="BY38" i="4"/>
  <c r="BR38" i="4"/>
  <c r="BK38" i="4"/>
  <c r="AY38" i="4"/>
  <c r="BA38" i="4" s="1"/>
  <c r="AN38" i="4"/>
  <c r="AF38" i="4"/>
  <c r="Y38" i="4"/>
  <c r="T38" i="4"/>
  <c r="X38" i="4" s="1"/>
  <c r="JF37" i="4"/>
  <c r="IV37" i="4"/>
  <c r="II37" i="4"/>
  <c r="HW37" i="4"/>
  <c r="HQ37" i="4"/>
  <c r="HC37" i="4"/>
  <c r="GU37" i="4"/>
  <c r="ED37" i="4"/>
  <c r="CU37" i="4"/>
  <c r="CQ37" i="4"/>
  <c r="CI37" i="4"/>
  <c r="BY37" i="4"/>
  <c r="BR37" i="4"/>
  <c r="BK37" i="4"/>
  <c r="BA37" i="4"/>
  <c r="AN37" i="4"/>
  <c r="AF37" i="4"/>
  <c r="T37" i="4"/>
  <c r="JF36" i="4"/>
  <c r="IV36" i="4"/>
  <c r="II36" i="4"/>
  <c r="HW36" i="4"/>
  <c r="HQ36" i="4"/>
  <c r="HC36" i="4"/>
  <c r="GU36" i="4"/>
  <c r="ED36" i="4"/>
  <c r="CU36" i="4"/>
  <c r="CQ36" i="4"/>
  <c r="CI36" i="4"/>
  <c r="BY36" i="4"/>
  <c r="BR36" i="4"/>
  <c r="BK36" i="4"/>
  <c r="AY36" i="4"/>
  <c r="BA36" i="4" s="1"/>
  <c r="AN36" i="4"/>
  <c r="AK36" i="4"/>
  <c r="AF36" i="4"/>
  <c r="T36" i="4"/>
  <c r="JF35" i="4"/>
  <c r="IV35" i="4"/>
  <c r="II35" i="4"/>
  <c r="HW35" i="4"/>
  <c r="HQ35" i="4"/>
  <c r="HC35" i="4"/>
  <c r="GU35" i="4"/>
  <c r="ED35" i="4"/>
  <c r="CU35" i="4"/>
  <c r="CQ35" i="4"/>
  <c r="CI35" i="4"/>
  <c r="BY35" i="4"/>
  <c r="BR35" i="4"/>
  <c r="BK35" i="4"/>
  <c r="BA35" i="4"/>
  <c r="AN35" i="4"/>
  <c r="AK35" i="4"/>
  <c r="AF35" i="4"/>
  <c r="T35" i="4"/>
  <c r="JF34" i="4"/>
  <c r="IV34" i="4"/>
  <c r="II34" i="4"/>
  <c r="HW34" i="4"/>
  <c r="HQ34" i="4"/>
  <c r="HC34" i="4"/>
  <c r="GU34" i="4"/>
  <c r="ED34" i="4"/>
  <c r="DF34" i="4"/>
  <c r="CU34" i="4"/>
  <c r="CQ34" i="4"/>
  <c r="CI34" i="4"/>
  <c r="BY34" i="4"/>
  <c r="BR34" i="4"/>
  <c r="BK34" i="4"/>
  <c r="BA34" i="4"/>
  <c r="AY34" i="4"/>
  <c r="AN34" i="4"/>
  <c r="Z34" i="4"/>
  <c r="AF34" i="4" s="1"/>
  <c r="X34" i="4"/>
  <c r="T34" i="4"/>
  <c r="JF33" i="4"/>
  <c r="IV33" i="4"/>
  <c r="II33" i="4"/>
  <c r="HW33" i="4"/>
  <c r="HQ33" i="4"/>
  <c r="HC33" i="4"/>
  <c r="FB33" i="4"/>
  <c r="GU33" i="4" s="1"/>
  <c r="ED33" i="4"/>
  <c r="CU33" i="4"/>
  <c r="CQ33" i="4"/>
  <c r="CI33" i="4"/>
  <c r="BY33" i="4"/>
  <c r="BR33" i="4"/>
  <c r="BK33" i="4"/>
  <c r="AY33" i="4"/>
  <c r="BA33" i="4" s="1"/>
  <c r="AW33" i="4"/>
  <c r="AN33" i="4"/>
  <c r="AF33" i="4"/>
  <c r="AB33" i="4"/>
  <c r="U33" i="4"/>
  <c r="JF32" i="4"/>
  <c r="IV32" i="4"/>
  <c r="II32" i="4"/>
  <c r="HW32" i="4"/>
  <c r="HQ32" i="4"/>
  <c r="HC32" i="4"/>
  <c r="GU32" i="4"/>
  <c r="ED32" i="4"/>
  <c r="CU32" i="4"/>
  <c r="CQ32" i="4"/>
  <c r="CI32" i="4"/>
  <c r="BY32" i="4"/>
  <c r="BR32" i="4"/>
  <c r="BK32" i="4"/>
  <c r="AY32" i="4"/>
  <c r="BA32" i="4" s="1"/>
  <c r="AW32" i="4"/>
  <c r="AN32" i="4"/>
  <c r="AF32" i="4"/>
  <c r="AB32" i="4"/>
  <c r="U32" i="4"/>
  <c r="T32" i="4" s="1"/>
  <c r="JF31" i="4"/>
  <c r="IV31" i="4"/>
  <c r="II31" i="4"/>
  <c r="HW31" i="4"/>
  <c r="HQ31" i="4"/>
  <c r="HC31" i="4"/>
  <c r="GU31" i="4"/>
  <c r="ED31" i="4"/>
  <c r="CU31" i="4"/>
  <c r="CQ31" i="4"/>
  <c r="CI31" i="4"/>
  <c r="BY31" i="4"/>
  <c r="BR31" i="4"/>
  <c r="BK31" i="4"/>
  <c r="AY31" i="4"/>
  <c r="BA31" i="4" s="1"/>
  <c r="AW31" i="4"/>
  <c r="AN31" i="4"/>
  <c r="AF31" i="4"/>
  <c r="AB31" i="4"/>
  <c r="U31" i="4"/>
  <c r="T31" i="4" s="1"/>
  <c r="JG30" i="4"/>
  <c r="JF30" i="4"/>
  <c r="IV30" i="4"/>
  <c r="II30" i="4"/>
  <c r="HW30" i="4"/>
  <c r="HQ30" i="4"/>
  <c r="HC30" i="4"/>
  <c r="GU30" i="4"/>
  <c r="ED30" i="4"/>
  <c r="DF30" i="4"/>
  <c r="CU30" i="4"/>
  <c r="CQ30" i="4"/>
  <c r="CI30" i="4"/>
  <c r="BY30" i="4"/>
  <c r="BR30" i="4"/>
  <c r="BK30" i="4"/>
  <c r="AZ30" i="4"/>
  <c r="AY30" i="4"/>
  <c r="BA30" i="4" s="1"/>
  <c r="AN30" i="4"/>
  <c r="AB30" i="4"/>
  <c r="Z30" i="4"/>
  <c r="X30" i="4"/>
  <c r="T30" i="4"/>
  <c r="JG29" i="4"/>
  <c r="JF29" i="4"/>
  <c r="IV29" i="4"/>
  <c r="II29" i="4"/>
  <c r="HW29" i="4"/>
  <c r="HQ29" i="4"/>
  <c r="HC29" i="4"/>
  <c r="GU29" i="4"/>
  <c r="ED29" i="4"/>
  <c r="DF29" i="4"/>
  <c r="CU29" i="4"/>
  <c r="CQ29" i="4"/>
  <c r="CI29" i="4"/>
  <c r="BY29" i="4"/>
  <c r="BR29" i="4"/>
  <c r="BK29" i="4"/>
  <c r="AZ29" i="4"/>
  <c r="AY29" i="4"/>
  <c r="AN29" i="4"/>
  <c r="AB29" i="4"/>
  <c r="Z29" i="4"/>
  <c r="X29" i="4"/>
  <c r="T29" i="4"/>
  <c r="JF28" i="4"/>
  <c r="IV28" i="4"/>
  <c r="II28" i="4"/>
  <c r="HW28" i="4"/>
  <c r="HQ28" i="4"/>
  <c r="HC28" i="4"/>
  <c r="GU28" i="4"/>
  <c r="FB28" i="4"/>
  <c r="ED28" i="4"/>
  <c r="CU28" i="4"/>
  <c r="CQ28" i="4"/>
  <c r="CI28" i="4"/>
  <c r="BY28" i="4"/>
  <c r="BR28" i="4"/>
  <c r="BK28" i="4"/>
  <c r="AY28" i="4"/>
  <c r="BA28" i="4" s="1"/>
  <c r="AN28" i="4"/>
  <c r="AF28" i="4"/>
  <c r="AB28" i="4"/>
  <c r="U28" i="4"/>
  <c r="T28" i="4"/>
  <c r="JF27" i="4"/>
  <c r="IV27" i="4"/>
  <c r="II27" i="4"/>
  <c r="HW27" i="4"/>
  <c r="HQ27" i="4"/>
  <c r="HC27" i="4"/>
  <c r="GU27" i="4"/>
  <c r="GR27" i="4"/>
  <c r="ED27" i="4"/>
  <c r="CU27" i="4"/>
  <c r="CQ27" i="4"/>
  <c r="CI27" i="4"/>
  <c r="BY27" i="4"/>
  <c r="BR27" i="4"/>
  <c r="BK27" i="4"/>
  <c r="AY27" i="4"/>
  <c r="BA27" i="4" s="1"/>
  <c r="AN27" i="4"/>
  <c r="AF27" i="4"/>
  <c r="AB27" i="4"/>
  <c r="U27" i="4"/>
  <c r="T27" i="4" s="1"/>
  <c r="JF26" i="4"/>
  <c r="IV26" i="4"/>
  <c r="II26" i="4"/>
  <c r="HW26" i="4"/>
  <c r="HQ26" i="4"/>
  <c r="HC26" i="4"/>
  <c r="GU26" i="4"/>
  <c r="ED26" i="4"/>
  <c r="CU26" i="4"/>
  <c r="CQ26" i="4"/>
  <c r="CI26" i="4"/>
  <c r="BY26" i="4"/>
  <c r="BR26" i="4"/>
  <c r="BK26" i="4"/>
  <c r="AY26" i="4"/>
  <c r="BA26" i="4" s="1"/>
  <c r="AW26" i="4"/>
  <c r="AN26" i="4"/>
  <c r="AF26" i="4"/>
  <c r="AB26" i="4"/>
  <c r="U26" i="4"/>
  <c r="JB25" i="4"/>
  <c r="JF25" i="4" s="1"/>
  <c r="IV25" i="4"/>
  <c r="II25" i="4"/>
  <c r="HW25" i="4"/>
  <c r="HQ25" i="4"/>
  <c r="HC25" i="4"/>
  <c r="FB25" i="4"/>
  <c r="GU25" i="4" s="1"/>
  <c r="ED25" i="4"/>
  <c r="CU25" i="4"/>
  <c r="CQ25" i="4"/>
  <c r="CI25" i="4"/>
  <c r="BY25" i="4"/>
  <c r="BR25" i="4"/>
  <c r="BK25" i="4"/>
  <c r="AZ25" i="4"/>
  <c r="AY25" i="4"/>
  <c r="BA25" i="4" s="1"/>
  <c r="AW25" i="4"/>
  <c r="AN25" i="4"/>
  <c r="AF25" i="4"/>
  <c r="AB25" i="4"/>
  <c r="U25" i="4"/>
  <c r="JF24" i="4"/>
  <c r="IV24" i="4"/>
  <c r="II24" i="4"/>
  <c r="HW24" i="4"/>
  <c r="HQ24" i="4"/>
  <c r="HC24" i="4"/>
  <c r="GU24" i="4"/>
  <c r="ED24" i="4"/>
  <c r="CU24" i="4"/>
  <c r="CQ24" i="4"/>
  <c r="CI24" i="4"/>
  <c r="BY24" i="4"/>
  <c r="BR24" i="4"/>
  <c r="BK24" i="4"/>
  <c r="AY24" i="4"/>
  <c r="BA24" i="4" s="1"/>
  <c r="AN24" i="4"/>
  <c r="AF24" i="4"/>
  <c r="Y24" i="4"/>
  <c r="T24" i="4"/>
  <c r="JF23" i="4"/>
  <c r="IV23" i="4"/>
  <c r="II23" i="4"/>
  <c r="HW23" i="4"/>
  <c r="HQ23" i="4"/>
  <c r="HC23" i="4"/>
  <c r="GU23" i="4"/>
  <c r="ED23" i="4"/>
  <c r="DG23" i="4"/>
  <c r="CU23" i="4"/>
  <c r="CT23" i="4"/>
  <c r="CQ23" i="4"/>
  <c r="CP23" i="4"/>
  <c r="CH23" i="4"/>
  <c r="CG23" i="4"/>
  <c r="CI23" i="4" s="1"/>
  <c r="CL23" i="4" s="1"/>
  <c r="CE23" i="4"/>
  <c r="BY23" i="4"/>
  <c r="BP23" i="4"/>
  <c r="BR23" i="4" s="1"/>
  <c r="BN23" i="4"/>
  <c r="BK23" i="4"/>
  <c r="BA23" i="4"/>
  <c r="AN23" i="4"/>
  <c r="AF23" i="4"/>
  <c r="AB23" i="4"/>
  <c r="Z23" i="4"/>
  <c r="X23" i="4"/>
  <c r="T23" i="4"/>
  <c r="JG22" i="4"/>
  <c r="JF22" i="4"/>
  <c r="IV22" i="4"/>
  <c r="II22" i="4"/>
  <c r="HW22" i="4"/>
  <c r="HQ22" i="4"/>
  <c r="HC22" i="4"/>
  <c r="GU22" i="4"/>
  <c r="ED22" i="4"/>
  <c r="DG22" i="4"/>
  <c r="CU22" i="4"/>
  <c r="CT22" i="4"/>
  <c r="CQ22" i="4"/>
  <c r="CP22" i="4"/>
  <c r="CH22" i="4"/>
  <c r="CG22" i="4"/>
  <c r="CI22" i="4" s="1"/>
  <c r="CL22" i="4" s="1"/>
  <c r="CE22" i="4"/>
  <c r="BY22" i="4"/>
  <c r="BP22" i="4"/>
  <c r="BR22" i="4" s="1"/>
  <c r="BN22" i="4"/>
  <c r="BK22" i="4"/>
  <c r="BA22" i="4"/>
  <c r="AN22" i="4"/>
  <c r="AB22" i="4"/>
  <c r="Z22" i="4"/>
  <c r="AF22" i="4" s="1"/>
  <c r="X22" i="4"/>
  <c r="T22" i="4"/>
  <c r="JF21" i="4"/>
  <c r="IV21" i="4"/>
  <c r="II21" i="4"/>
  <c r="HW21" i="4"/>
  <c r="HQ21" i="4"/>
  <c r="HC21" i="4"/>
  <c r="GU21" i="4"/>
  <c r="ED21" i="4"/>
  <c r="DG21" i="4"/>
  <c r="CU21" i="4"/>
  <c r="CT21" i="4"/>
  <c r="CQ21" i="4"/>
  <c r="CP21" i="4"/>
  <c r="CI21" i="4"/>
  <c r="CL21" i="4" s="1"/>
  <c r="CH21" i="4"/>
  <c r="CG21" i="4"/>
  <c r="CE21" i="4"/>
  <c r="BY21" i="4"/>
  <c r="BQ21" i="4"/>
  <c r="BP21" i="4"/>
  <c r="BR21" i="4" s="1"/>
  <c r="BN21" i="4"/>
  <c r="BK21" i="4"/>
  <c r="BA21" i="4"/>
  <c r="AN21" i="4"/>
  <c r="AB21" i="4"/>
  <c r="Z21" i="4"/>
  <c r="AF21" i="4" s="1"/>
  <c r="X21" i="4"/>
  <c r="T21" i="4"/>
  <c r="JF20" i="4"/>
  <c r="IV20" i="4"/>
  <c r="II20" i="4"/>
  <c r="HW20" i="4"/>
  <c r="HQ20" i="4"/>
  <c r="HC20" i="4"/>
  <c r="GU20" i="4"/>
  <c r="ED20" i="4"/>
  <c r="CU20" i="4"/>
  <c r="CQ20" i="4"/>
  <c r="CI20" i="4"/>
  <c r="BY20" i="4"/>
  <c r="BR20" i="4"/>
  <c r="BK20" i="4"/>
  <c r="BA20" i="4"/>
  <c r="AN20" i="4"/>
  <c r="AF20" i="4"/>
  <c r="JF19" i="4"/>
  <c r="IV19" i="4"/>
  <c r="II19" i="4"/>
  <c r="HW19" i="4"/>
  <c r="HQ19" i="4"/>
  <c r="HC19" i="4"/>
  <c r="GU19" i="4"/>
  <c r="ED19" i="4"/>
  <c r="CU19" i="4"/>
  <c r="CQ19" i="4"/>
  <c r="CI19" i="4"/>
  <c r="BY19" i="4"/>
  <c r="BR19" i="4"/>
  <c r="BK19" i="4"/>
  <c r="AY19" i="4"/>
  <c r="BA19" i="4" s="1"/>
  <c r="AW19" i="4"/>
  <c r="AN19" i="4"/>
  <c r="AF19" i="4"/>
  <c r="AB19" i="4"/>
  <c r="U19" i="4"/>
  <c r="T19" i="4" s="1"/>
  <c r="JF18" i="4"/>
  <c r="IV18" i="4"/>
  <c r="II18" i="4"/>
  <c r="HW18" i="4"/>
  <c r="HQ18" i="4"/>
  <c r="HC18" i="4"/>
  <c r="GU18" i="4"/>
  <c r="ED18" i="4"/>
  <c r="DG18" i="4"/>
  <c r="CX18" i="4"/>
  <c r="CU18" i="4"/>
  <c r="CT18" i="4"/>
  <c r="CQ18" i="4"/>
  <c r="CP18" i="4"/>
  <c r="CI18" i="4"/>
  <c r="BX18" i="4"/>
  <c r="BW18" i="4"/>
  <c r="BY18" i="4" s="1"/>
  <c r="CB18" i="4" s="1"/>
  <c r="BU18" i="4"/>
  <c r="BR18" i="4"/>
  <c r="BK18" i="4"/>
  <c r="BI18" i="4"/>
  <c r="BG18" i="4"/>
  <c r="BA18" i="4"/>
  <c r="AN18" i="4"/>
  <c r="AB18" i="4"/>
  <c r="Z18" i="4"/>
  <c r="AF18" i="4" s="1"/>
  <c r="X18" i="4"/>
  <c r="T18" i="4"/>
  <c r="JF17" i="4"/>
  <c r="IV17" i="4"/>
  <c r="II17" i="4"/>
  <c r="HW17" i="4"/>
  <c r="HQ17" i="4"/>
  <c r="HC17" i="4"/>
  <c r="GU17" i="4"/>
  <c r="ED17" i="4"/>
  <c r="DG17" i="4"/>
  <c r="CX17" i="4"/>
  <c r="CU17" i="4"/>
  <c r="CT17" i="4"/>
  <c r="CQ17" i="4"/>
  <c r="CP17" i="4"/>
  <c r="CI17" i="4"/>
  <c r="BY17" i="4"/>
  <c r="CB17" i="4" s="1"/>
  <c r="BX17" i="4"/>
  <c r="BW17" i="4"/>
  <c r="BU17" i="4"/>
  <c r="BR17" i="4"/>
  <c r="BI17" i="4"/>
  <c r="BK17" i="4" s="1"/>
  <c r="BG17" i="4"/>
  <c r="BA17" i="4"/>
  <c r="AN17" i="4"/>
  <c r="AB17" i="4"/>
  <c r="Z17" i="4"/>
  <c r="AF17" i="4" s="1"/>
  <c r="X17" i="4"/>
  <c r="T17" i="4"/>
  <c r="JF16" i="4"/>
  <c r="IV16" i="4"/>
  <c r="II16" i="4"/>
  <c r="HW16" i="4"/>
  <c r="HQ16" i="4"/>
  <c r="HC16" i="4"/>
  <c r="GU16" i="4"/>
  <c r="ED16" i="4"/>
  <c r="DG16" i="4"/>
  <c r="CU16" i="4"/>
  <c r="CT16" i="4"/>
  <c r="CQ16" i="4"/>
  <c r="CP16" i="4"/>
  <c r="CI16" i="4"/>
  <c r="BX16" i="4"/>
  <c r="BW16" i="4"/>
  <c r="BY16" i="4" s="1"/>
  <c r="CB16" i="4" s="1"/>
  <c r="BU16" i="4"/>
  <c r="BR16" i="4"/>
  <c r="BK16" i="4"/>
  <c r="BI16" i="4"/>
  <c r="BG16" i="4"/>
  <c r="BA16" i="4"/>
  <c r="AN16" i="4"/>
  <c r="AF16" i="4"/>
  <c r="AB16" i="4"/>
  <c r="Z16" i="4"/>
  <c r="X16" i="4"/>
  <c r="T16" i="4"/>
  <c r="JF15" i="4"/>
  <c r="IV15" i="4"/>
  <c r="II15" i="4"/>
  <c r="HW15" i="4"/>
  <c r="HQ15" i="4"/>
  <c r="HC15" i="4"/>
  <c r="GU15" i="4"/>
  <c r="ED15" i="4"/>
  <c r="DG15" i="4"/>
  <c r="CX15" i="4"/>
  <c r="CU15" i="4"/>
  <c r="CT15" i="4"/>
  <c r="CQ15" i="4"/>
  <c r="CP15" i="4"/>
  <c r="CI15" i="4"/>
  <c r="BW15" i="4"/>
  <c r="BY15" i="4" s="1"/>
  <c r="CB15" i="4" s="1"/>
  <c r="BU15" i="4"/>
  <c r="BR15" i="4"/>
  <c r="BI15" i="4"/>
  <c r="BK15" i="4" s="1"/>
  <c r="BG15" i="4"/>
  <c r="BA15" i="4"/>
  <c r="AN15" i="4"/>
  <c r="AB15" i="4"/>
  <c r="Z15" i="4"/>
  <c r="AF15" i="4" s="1"/>
  <c r="X15" i="4"/>
  <c r="T15" i="4"/>
  <c r="JG14" i="4"/>
  <c r="JF14" i="4"/>
  <c r="IV14" i="4"/>
  <c r="II14" i="4"/>
  <c r="HS14" i="4"/>
  <c r="HW14" i="4" s="1"/>
  <c r="HR14" i="4"/>
  <c r="HQ14" i="4"/>
  <c r="HC14" i="4"/>
  <c r="GU14" i="4"/>
  <c r="ED14" i="4"/>
  <c r="CU14" i="4"/>
  <c r="CQ14" i="4"/>
  <c r="CI14" i="4"/>
  <c r="BY14" i="4"/>
  <c r="BR14" i="4"/>
  <c r="BK14" i="4"/>
  <c r="BA14" i="4"/>
  <c r="AY14" i="4"/>
  <c r="AN14" i="4"/>
  <c r="AK14" i="4"/>
  <c r="AF14" i="4"/>
  <c r="AB14" i="4"/>
  <c r="Z14" i="4"/>
  <c r="X14" i="4"/>
  <c r="T14" i="4"/>
  <c r="JF13" i="4"/>
  <c r="IV13" i="4"/>
  <c r="II13" i="4"/>
  <c r="HW13" i="4"/>
  <c r="HQ13" i="4"/>
  <c r="HC13" i="4"/>
  <c r="GU13" i="4"/>
  <c r="ED13" i="4"/>
  <c r="CU13" i="4"/>
  <c r="CQ13" i="4"/>
  <c r="CI13" i="4"/>
  <c r="BY13" i="4"/>
  <c r="BR13" i="4"/>
  <c r="BK13" i="4"/>
  <c r="BA13" i="4"/>
  <c r="AN13" i="4"/>
  <c r="AK13" i="4"/>
  <c r="AF13" i="4"/>
  <c r="AB13" i="4"/>
  <c r="T13" i="4"/>
  <c r="JF12" i="4"/>
  <c r="IV12" i="4"/>
  <c r="II12" i="4"/>
  <c r="HW12" i="4"/>
  <c r="HQ12" i="4"/>
  <c r="HC12" i="4"/>
  <c r="GU12" i="4"/>
  <c r="ED12" i="4"/>
  <c r="CU12" i="4"/>
  <c r="CQ12" i="4"/>
  <c r="CI12" i="4"/>
  <c r="BY12" i="4"/>
  <c r="BR12" i="4"/>
  <c r="BK12" i="4"/>
  <c r="BA12" i="4"/>
  <c r="AN12" i="4"/>
  <c r="AK12" i="4"/>
  <c r="AF12" i="4"/>
  <c r="T12" i="4"/>
  <c r="JF11" i="4"/>
  <c r="IV11" i="4"/>
  <c r="II11" i="4"/>
  <c r="HU11" i="4"/>
  <c r="HW11" i="4" s="1"/>
  <c r="HQ11" i="4"/>
  <c r="HC11" i="4"/>
  <c r="GU11" i="4"/>
  <c r="ED11" i="4"/>
  <c r="CU11" i="4"/>
  <c r="CQ11" i="4"/>
  <c r="CI11" i="4"/>
  <c r="BY11" i="4"/>
  <c r="BR11" i="4"/>
  <c r="BK11" i="4"/>
  <c r="AY11" i="4"/>
  <c r="BA11" i="4" s="1"/>
  <c r="AN11" i="4"/>
  <c r="AK11" i="4"/>
  <c r="AF11" i="4"/>
  <c r="AB11" i="4"/>
  <c r="X11" i="4"/>
  <c r="T11" i="4"/>
  <c r="JF10" i="4"/>
  <c r="IV10" i="4"/>
  <c r="II10" i="4"/>
  <c r="HW10" i="4"/>
  <c r="HQ10" i="4"/>
  <c r="HC10" i="4"/>
  <c r="GU10" i="4"/>
  <c r="ED10" i="4"/>
  <c r="DF10" i="4"/>
  <c r="CU10" i="4"/>
  <c r="CQ10" i="4"/>
  <c r="CI10" i="4"/>
  <c r="BY10" i="4"/>
  <c r="BR10" i="4"/>
  <c r="BK10" i="4"/>
  <c r="AY10" i="4"/>
  <c r="BA10" i="4" s="1"/>
  <c r="BD10" i="4" s="1"/>
  <c r="AN10" i="4"/>
  <c r="Z10" i="4"/>
  <c r="X10" i="4"/>
  <c r="T10" i="4"/>
  <c r="JG9" i="4"/>
  <c r="JF9" i="4"/>
  <c r="IV9" i="4"/>
  <c r="II9" i="4"/>
  <c r="HW9" i="4"/>
  <c r="HQ9" i="4"/>
  <c r="HC9" i="4"/>
  <c r="GU9" i="4"/>
  <c r="ED9" i="4"/>
  <c r="DF9" i="4"/>
  <c r="CU9" i="4"/>
  <c r="CQ9" i="4"/>
  <c r="CI9" i="4"/>
  <c r="BY9" i="4"/>
  <c r="BR9" i="4"/>
  <c r="BK9" i="4"/>
  <c r="AZ9" i="4"/>
  <c r="AY9" i="4"/>
  <c r="BA9" i="4" s="1"/>
  <c r="AN9" i="4"/>
  <c r="AB9" i="4"/>
  <c r="Z9" i="4"/>
  <c r="AF9" i="4" s="1"/>
  <c r="X9" i="4"/>
  <c r="T9" i="4"/>
  <c r="JF8" i="4"/>
  <c r="IV8" i="4"/>
  <c r="II8" i="4"/>
  <c r="HW8" i="4"/>
  <c r="HQ8" i="4"/>
  <c r="HC8" i="4"/>
  <c r="GU8" i="4"/>
  <c r="ED8" i="4"/>
  <c r="DF8" i="4"/>
  <c r="CU8" i="4"/>
  <c r="CQ8" i="4"/>
  <c r="CI8" i="4"/>
  <c r="BY8" i="4"/>
  <c r="BR8" i="4"/>
  <c r="BK8" i="4"/>
  <c r="AZ8" i="4"/>
  <c r="AY8" i="4"/>
  <c r="BA8" i="4" s="1"/>
  <c r="AN8" i="4"/>
  <c r="AB8" i="4"/>
  <c r="Z8" i="4"/>
  <c r="AF8" i="4" s="1"/>
  <c r="X8" i="4"/>
  <c r="T8" i="4"/>
  <c r="JG7" i="4"/>
  <c r="JF7" i="4"/>
  <c r="IV7" i="4"/>
  <c r="II7" i="4"/>
  <c r="HW7" i="4"/>
  <c r="HQ7" i="4"/>
  <c r="HC7" i="4"/>
  <c r="GU7" i="4"/>
  <c r="ED7" i="4"/>
  <c r="DF7" i="4"/>
  <c r="CU7" i="4"/>
  <c r="CQ7" i="4"/>
  <c r="CI7" i="4"/>
  <c r="BY7" i="4"/>
  <c r="BR7" i="4"/>
  <c r="BK7" i="4"/>
  <c r="AZ7" i="4"/>
  <c r="AY7" i="4"/>
  <c r="BA7" i="4" s="1"/>
  <c r="AN7" i="4"/>
  <c r="AB7" i="4"/>
  <c r="Z7" i="4"/>
  <c r="AF7" i="4" s="1"/>
  <c r="X7" i="4"/>
  <c r="T7" i="4"/>
  <c r="JF6" i="4"/>
  <c r="IV6" i="4"/>
  <c r="II6" i="4"/>
  <c r="HW6" i="4"/>
  <c r="HQ6" i="4"/>
  <c r="HC6" i="4"/>
  <c r="GU6" i="4"/>
  <c r="ED6" i="4"/>
  <c r="CU6" i="4"/>
  <c r="CQ6" i="4"/>
  <c r="CI6" i="4"/>
  <c r="BY6" i="4"/>
  <c r="BR6" i="4"/>
  <c r="BK6" i="4"/>
  <c r="AY6" i="4"/>
  <c r="BA6" i="4" s="1"/>
  <c r="AN6" i="4"/>
  <c r="AK6" i="4"/>
  <c r="Z6" i="4"/>
  <c r="AF6" i="4" s="1"/>
  <c r="X6" i="4"/>
  <c r="T6" i="4"/>
  <c r="JF5" i="4"/>
  <c r="IV5" i="4"/>
  <c r="II5" i="4"/>
  <c r="HW5" i="4"/>
  <c r="HQ5" i="4"/>
  <c r="HC5" i="4"/>
  <c r="GU5" i="4"/>
  <c r="ED5" i="4"/>
  <c r="CU5" i="4"/>
  <c r="CQ5" i="4"/>
  <c r="CI5" i="4"/>
  <c r="BY5" i="4"/>
  <c r="BR5" i="4"/>
  <c r="BK5" i="4"/>
  <c r="AY5" i="4"/>
  <c r="BA5" i="4" s="1"/>
  <c r="AN5" i="4"/>
  <c r="AK5" i="4"/>
  <c r="AB5" i="4"/>
  <c r="Z5" i="4"/>
  <c r="AF5" i="4" s="1"/>
  <c r="X5" i="4"/>
  <c r="T5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CP2" i="4"/>
  <c r="AM2" i="4"/>
  <c r="HO1" i="4"/>
  <c r="HK1" i="4"/>
  <c r="DK1" i="4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CY1" i="4"/>
  <c r="CW1" i="4"/>
  <c r="CM1" i="4"/>
  <c r="CH1" i="4"/>
  <c r="BX1" i="4"/>
  <c r="AZ1" i="4"/>
  <c r="AG1" i="4"/>
  <c r="AB1" i="4"/>
  <c r="AA1" i="4"/>
  <c r="W1" i="4"/>
  <c r="GX67" i="4" l="1"/>
  <c r="GX66" i="4"/>
  <c r="GW49" i="4"/>
  <c r="BY63" i="4"/>
  <c r="CB63" i="4" s="1"/>
  <c r="CP64" i="4"/>
  <c r="AF29" i="4"/>
  <c r="BA58" i="4"/>
  <c r="AC58" i="4" s="1"/>
  <c r="AD58" i="4" s="1"/>
  <c r="AE58" i="4" s="1"/>
  <c r="AF41" i="4"/>
  <c r="AF46" i="4"/>
  <c r="BY42" i="4"/>
  <c r="CB42" i="4" s="1"/>
  <c r="AF44" i="4"/>
  <c r="AC44" i="4" s="1"/>
  <c r="AD44" i="4" s="1"/>
  <c r="AE44" i="4" s="1"/>
  <c r="AF10" i="4"/>
  <c r="AC10" i="4" s="1"/>
  <c r="AD10" i="4" s="1"/>
  <c r="AE10" i="4" s="1"/>
  <c r="BA46" i="4"/>
  <c r="AC46" i="4" s="1"/>
  <c r="AD46" i="4" s="1"/>
  <c r="AE46" i="4" s="1"/>
  <c r="AF30" i="4"/>
  <c r="AC30" i="4" s="1"/>
  <c r="AD30" i="4" s="1"/>
  <c r="AE30" i="4" s="1"/>
  <c r="BA29" i="4"/>
  <c r="AC29" i="4" s="1"/>
  <c r="AD29" i="4" s="1"/>
  <c r="AE29" i="4" s="1"/>
  <c r="BY65" i="4"/>
  <c r="CB65" i="4" s="1"/>
  <c r="BY50" i="4"/>
  <c r="CB50" i="4" s="1"/>
  <c r="AF40" i="4"/>
  <c r="AC40" i="4" s="1"/>
  <c r="AD40" i="4" s="1"/>
  <c r="AE40" i="4" s="1"/>
  <c r="X24" i="4"/>
  <c r="GX22" i="4"/>
  <c r="GW24" i="4"/>
  <c r="GW38" i="4"/>
  <c r="GX12" i="4"/>
  <c r="AC16" i="4"/>
  <c r="AD16" i="4" s="1"/>
  <c r="AE16" i="4" s="1"/>
  <c r="GX29" i="4"/>
  <c r="GX5" i="4"/>
  <c r="GX20" i="4"/>
  <c r="GX23" i="4"/>
  <c r="GV69" i="4"/>
  <c r="AC60" i="4"/>
  <c r="GW52" i="4"/>
  <c r="GX46" i="4"/>
  <c r="GW25" i="4"/>
  <c r="GW10" i="4"/>
  <c r="GX15" i="4"/>
  <c r="GW34" i="4"/>
  <c r="GW67" i="4"/>
  <c r="GW28" i="4"/>
  <c r="GX11" i="4"/>
  <c r="GV43" i="4"/>
  <c r="GX16" i="4"/>
  <c r="ED2" i="4"/>
  <c r="CX1" i="4"/>
  <c r="GX64" i="4"/>
  <c r="GV5" i="4"/>
  <c r="GW14" i="4"/>
  <c r="GX9" i="4"/>
  <c r="GX10" i="4"/>
  <c r="AC12" i="4"/>
  <c r="AD12" i="4" s="1"/>
  <c r="AE12" i="4" s="1"/>
  <c r="GX17" i="4"/>
  <c r="GW13" i="4"/>
  <c r="GX14" i="4"/>
  <c r="GX27" i="4"/>
  <c r="GW29" i="4"/>
  <c r="GW47" i="4"/>
  <c r="GX50" i="4"/>
  <c r="AC20" i="4"/>
  <c r="AD20" i="4" s="1"/>
  <c r="AE20" i="4" s="1"/>
  <c r="GX34" i="4"/>
  <c r="X39" i="4"/>
  <c r="GW43" i="4"/>
  <c r="GX19" i="4"/>
  <c r="GV36" i="4"/>
  <c r="GW39" i="4"/>
  <c r="GX41" i="4"/>
  <c r="AC21" i="4"/>
  <c r="AD21" i="4" s="1"/>
  <c r="AE21" i="4" s="1"/>
  <c r="GX24" i="4"/>
  <c r="GV32" i="4"/>
  <c r="GW40" i="4"/>
  <c r="GX30" i="4"/>
  <c r="AC36" i="4"/>
  <c r="AD36" i="4" s="1"/>
  <c r="AE36" i="4" s="1"/>
  <c r="GX37" i="4"/>
  <c r="GX42" i="4"/>
  <c r="GV51" i="4"/>
  <c r="GW27" i="4"/>
  <c r="GW63" i="4"/>
  <c r="AC54" i="4"/>
  <c r="AD54" i="4" s="1"/>
  <c r="AE54" i="4" s="1"/>
  <c r="GW68" i="4"/>
  <c r="GV62" i="4"/>
  <c r="GW60" i="4"/>
  <c r="GX60" i="4"/>
  <c r="AC70" i="4"/>
  <c r="X62" i="4"/>
  <c r="GX62" i="4"/>
  <c r="GW65" i="4"/>
  <c r="GW7" i="4"/>
  <c r="AC8" i="4"/>
  <c r="AD8" i="4" s="1"/>
  <c r="AE8" i="4" s="1"/>
  <c r="AC15" i="4"/>
  <c r="AD15" i="4" s="1"/>
  <c r="AE15" i="4" s="1"/>
  <c r="GX31" i="4"/>
  <c r="GV31" i="4"/>
  <c r="GX13" i="4"/>
  <c r="GW15" i="4"/>
  <c r="AC5" i="4"/>
  <c r="AD5" i="4" s="1"/>
  <c r="AE5" i="4" s="1"/>
  <c r="GV13" i="4"/>
  <c r="AC14" i="4"/>
  <c r="AD14" i="4" s="1"/>
  <c r="AE14" i="4" s="1"/>
  <c r="GX7" i="4"/>
  <c r="AC11" i="4"/>
  <c r="AD11" i="4" s="1"/>
  <c r="AE11" i="4" s="1"/>
  <c r="AC19" i="4"/>
  <c r="AD19" i="4" s="1"/>
  <c r="AE19" i="4" s="1"/>
  <c r="GW8" i="4"/>
  <c r="AC18" i="4"/>
  <c r="AD18" i="4" s="1"/>
  <c r="AE18" i="4" s="1"/>
  <c r="GX18" i="4"/>
  <c r="GX6" i="4"/>
  <c r="AC13" i="4"/>
  <c r="AD13" i="4" s="1"/>
  <c r="AE13" i="4" s="1"/>
  <c r="AN3" i="4"/>
  <c r="AC6" i="4"/>
  <c r="AD6" i="4" s="1"/>
  <c r="AE6" i="4" s="1"/>
  <c r="GX8" i="4"/>
  <c r="GW5" i="4"/>
  <c r="GW16" i="4"/>
  <c r="GW19" i="4"/>
  <c r="GV9" i="4"/>
  <c r="GW11" i="4"/>
  <c r="AC17" i="4"/>
  <c r="AD17" i="4" s="1"/>
  <c r="AE17" i="4" s="1"/>
  <c r="GV19" i="4"/>
  <c r="AC32" i="4"/>
  <c r="AD32" i="4" s="1"/>
  <c r="AE32" i="4" s="1"/>
  <c r="GX45" i="4"/>
  <c r="GV45" i="4"/>
  <c r="GW20" i="4"/>
  <c r="GX35" i="4"/>
  <c r="GV37" i="4"/>
  <c r="GX26" i="4"/>
  <c r="AC28" i="4"/>
  <c r="AD28" i="4" s="1"/>
  <c r="AE28" i="4" s="1"/>
  <c r="AC33" i="4"/>
  <c r="AD33" i="4" s="1"/>
  <c r="AE33" i="4" s="1"/>
  <c r="GW37" i="4"/>
  <c r="GX33" i="4"/>
  <c r="GW23" i="4"/>
  <c r="AC24" i="4"/>
  <c r="AD24" i="4" s="1"/>
  <c r="AE24" i="4" s="1"/>
  <c r="AC26" i="4"/>
  <c r="AD26" i="4" s="1"/>
  <c r="AE26" i="4" s="1"/>
  <c r="AC35" i="4"/>
  <c r="AD35" i="4" s="1"/>
  <c r="AE35" i="4" s="1"/>
  <c r="GX36" i="4"/>
  <c r="AC31" i="4"/>
  <c r="AD31" i="4" s="1"/>
  <c r="AE31" i="4" s="1"/>
  <c r="GV34" i="4"/>
  <c r="GV22" i="4"/>
  <c r="AC23" i="4"/>
  <c r="AD23" i="4" s="1"/>
  <c r="AE23" i="4" s="1"/>
  <c r="GV25" i="4"/>
  <c r="AC37" i="4"/>
  <c r="AD37" i="4" s="1"/>
  <c r="AE37" i="4" s="1"/>
  <c r="GW22" i="4"/>
  <c r="GW30" i="4"/>
  <c r="AC34" i="4"/>
  <c r="AD34" i="4" s="1"/>
  <c r="AE34" i="4" s="1"/>
  <c r="GV27" i="4"/>
  <c r="BD34" i="4"/>
  <c r="GV21" i="4"/>
  <c r="GX25" i="4"/>
  <c r="AC27" i="4"/>
  <c r="AD27" i="4" s="1"/>
  <c r="AE27" i="4" s="1"/>
  <c r="GX28" i="4"/>
  <c r="AC25" i="4"/>
  <c r="AD25" i="4" s="1"/>
  <c r="AE25" i="4" s="1"/>
  <c r="GV28" i="4"/>
  <c r="AC47" i="4"/>
  <c r="AD47" i="4" s="1"/>
  <c r="AE47" i="4" s="1"/>
  <c r="GW42" i="4"/>
  <c r="AC39" i="4"/>
  <c r="GX38" i="4"/>
  <c r="GV41" i="4"/>
  <c r="GV42" i="4"/>
  <c r="GW41" i="4"/>
  <c r="GX43" i="4"/>
  <c r="AC43" i="4"/>
  <c r="AD43" i="4" s="1"/>
  <c r="AE43" i="4" s="1"/>
  <c r="GV40" i="4"/>
  <c r="GW45" i="4"/>
  <c r="AC38" i="4"/>
  <c r="AD38" i="4" s="1"/>
  <c r="AE38" i="4" s="1"/>
  <c r="GX39" i="4"/>
  <c r="GX44" i="4"/>
  <c r="GX40" i="4"/>
  <c r="GW55" i="4"/>
  <c r="GX55" i="4"/>
  <c r="GV55" i="4"/>
  <c r="GX51" i="4"/>
  <c r="GW54" i="4"/>
  <c r="GX54" i="4"/>
  <c r="GV60" i="4"/>
  <c r="X60" i="4"/>
  <c r="GX59" i="4"/>
  <c r="GX56" i="4"/>
  <c r="GX53" i="4"/>
  <c r="AC59" i="4"/>
  <c r="AD59" i="4" s="1"/>
  <c r="AE59" i="4" s="1"/>
  <c r="AC57" i="4"/>
  <c r="AD57" i="4" s="1"/>
  <c r="AE57" i="4" s="1"/>
  <c r="GX52" i="4"/>
  <c r="GV52" i="4"/>
  <c r="GV65" i="4"/>
  <c r="GX65" i="4"/>
  <c r="AC66" i="4"/>
  <c r="AD66" i="4" s="1"/>
  <c r="AE66" i="4" s="1"/>
  <c r="AC62" i="4"/>
  <c r="GX63" i="4"/>
  <c r="GV64" i="4"/>
  <c r="AC61" i="4"/>
  <c r="AD61" i="4" s="1"/>
  <c r="AE61" i="4" s="1"/>
  <c r="GX68" i="4"/>
  <c r="GX70" i="4"/>
  <c r="GX69" i="4"/>
  <c r="GV67" i="4"/>
  <c r="X70" i="4"/>
  <c r="BD9" i="4"/>
  <c r="AC9" i="4"/>
  <c r="AD9" i="4" s="1"/>
  <c r="AE9" i="4" s="1"/>
  <c r="AC7" i="4"/>
  <c r="AD7" i="4" s="1"/>
  <c r="AE7" i="4" s="1"/>
  <c r="BD7" i="4"/>
  <c r="BD8" i="4"/>
  <c r="GV10" i="4"/>
  <c r="GV15" i="4"/>
  <c r="GV14" i="4"/>
  <c r="GV16" i="4"/>
  <c r="AC22" i="4"/>
  <c r="AD22" i="4" s="1"/>
  <c r="AE22" i="4" s="1"/>
  <c r="GW9" i="4"/>
  <c r="GV7" i="4"/>
  <c r="GV8" i="4"/>
  <c r="GV11" i="4"/>
  <c r="GV6" i="4"/>
  <c r="GW6" i="4"/>
  <c r="GV12" i="4"/>
  <c r="GW12" i="4"/>
  <c r="GW21" i="4"/>
  <c r="BD30" i="4"/>
  <c r="GX21" i="4"/>
  <c r="GV26" i="4"/>
  <c r="GW26" i="4"/>
  <c r="GV17" i="4"/>
  <c r="GW17" i="4"/>
  <c r="GV23" i="4"/>
  <c r="GV24" i="4"/>
  <c r="GV20" i="4"/>
  <c r="GV18" i="4"/>
  <c r="GW18" i="4"/>
  <c r="GW32" i="4"/>
  <c r="GX32" i="4"/>
  <c r="GV33" i="4"/>
  <c r="GW33" i="4"/>
  <c r="GW31" i="4"/>
  <c r="GW36" i="4"/>
  <c r="GV29" i="4"/>
  <c r="GV30" i="4"/>
  <c r="GV35" i="4"/>
  <c r="GW35" i="4"/>
  <c r="GV39" i="4"/>
  <c r="GV38" i="4"/>
  <c r="AC41" i="4"/>
  <c r="AD41" i="4" s="1"/>
  <c r="AE41" i="4" s="1"/>
  <c r="BD45" i="4"/>
  <c r="AC45" i="4"/>
  <c r="AD45" i="4" s="1"/>
  <c r="AE45" i="4" s="1"/>
  <c r="GV46" i="4"/>
  <c r="AC48" i="4"/>
  <c r="AD48" i="4" s="1"/>
  <c r="AE48" i="4" s="1"/>
  <c r="GW46" i="4"/>
  <c r="GX48" i="4"/>
  <c r="GW48" i="4"/>
  <c r="GV48" i="4"/>
  <c r="GX47" i="4"/>
  <c r="GV47" i="4"/>
  <c r="AC49" i="4"/>
  <c r="AD49" i="4" s="1"/>
  <c r="AE49" i="4" s="1"/>
  <c r="GX49" i="4"/>
  <c r="GV44" i="4"/>
  <c r="GW44" i="4"/>
  <c r="AC50" i="4"/>
  <c r="AD50" i="4" s="1"/>
  <c r="AE50" i="4" s="1"/>
  <c r="CP49" i="4"/>
  <c r="AC53" i="4"/>
  <c r="AD53" i="4" s="1"/>
  <c r="AE53" i="4" s="1"/>
  <c r="AC52" i="4"/>
  <c r="AD52" i="4" s="1"/>
  <c r="AE52" i="4" s="1"/>
  <c r="GV49" i="4"/>
  <c r="AC51" i="4"/>
  <c r="AD51" i="4" s="1"/>
  <c r="AE51" i="4" s="1"/>
  <c r="GV50" i="4"/>
  <c r="GW50" i="4"/>
  <c r="AC56" i="4"/>
  <c r="AD56" i="4" s="1"/>
  <c r="AE56" i="4" s="1"/>
  <c r="GW51" i="4"/>
  <c r="GX57" i="4"/>
  <c r="GW57" i="4"/>
  <c r="GV57" i="4"/>
  <c r="AC55" i="4"/>
  <c r="AD55" i="4" s="1"/>
  <c r="AE55" i="4" s="1"/>
  <c r="GV53" i="4"/>
  <c r="GW53" i="4"/>
  <c r="GV56" i="4"/>
  <c r="GW56" i="4"/>
  <c r="GV61" i="4"/>
  <c r="GW61" i="4"/>
  <c r="GX61" i="4"/>
  <c r="GW58" i="4"/>
  <c r="GV58" i="4"/>
  <c r="GX58" i="4"/>
  <c r="GV54" i="4"/>
  <c r="GW62" i="4"/>
  <c r="GV59" i="4"/>
  <c r="GW59" i="4"/>
  <c r="CU63" i="4"/>
  <c r="CT63" i="4"/>
  <c r="AC64" i="4"/>
  <c r="AD64" i="4" s="1"/>
  <c r="AE64" i="4" s="1"/>
  <c r="GV63" i="4"/>
  <c r="CP66" i="4"/>
  <c r="GW64" i="4"/>
  <c r="GV66" i="4"/>
  <c r="GW66" i="4"/>
  <c r="AC67" i="4"/>
  <c r="AD67" i="4" s="1"/>
  <c r="AE67" i="4" s="1"/>
  <c r="CT67" i="4"/>
  <c r="AC69" i="4"/>
  <c r="AD69" i="4" s="1"/>
  <c r="AE69" i="4" s="1"/>
  <c r="GV68" i="4"/>
  <c r="AC68" i="4"/>
  <c r="AD68" i="4" s="1"/>
  <c r="AE68" i="4" s="1"/>
  <c r="GW69" i="4"/>
  <c r="GV70" i="4"/>
  <c r="GW70" i="4"/>
  <c r="AC63" i="4" l="1"/>
  <c r="AD63" i="4" s="1"/>
  <c r="AE63" i="4" s="1"/>
  <c r="AC42" i="4"/>
  <c r="AD42" i="4" s="1"/>
  <c r="AE42" i="4" s="1"/>
  <c r="AD39" i="4"/>
  <c r="AE39" i="4" s="1"/>
  <c r="BD46" i="4"/>
  <c r="AD70" i="4"/>
  <c r="AE70" i="4" s="1"/>
  <c r="AC65" i="4"/>
  <c r="AD65" i="4" s="1"/>
  <c r="AE65" i="4" s="1"/>
  <c r="BD29" i="4"/>
  <c r="AD62" i="4"/>
  <c r="AE62" i="4" s="1"/>
  <c r="AD60" i="4"/>
  <c r="AE60" i="4" s="1"/>
  <c r="CP1" i="4"/>
  <c r="CU1" i="4"/>
  <c r="CV1" i="4" s="1"/>
  <c r="CQ1" i="4"/>
  <c r="CT1" i="4"/>
  <c r="AD1" i="4" l="1"/>
  <c r="AC1" i="4"/>
</calcChain>
</file>

<file path=xl/sharedStrings.xml><?xml version="1.0" encoding="utf-8"?>
<sst xmlns="http://schemas.openxmlformats.org/spreadsheetml/2006/main" count="1856" uniqueCount="518">
  <si>
    <t>Samples to be taken</t>
  </si>
  <si>
    <t>J01005</t>
  </si>
  <si>
    <t>Unprinted 3SS</t>
  </si>
  <si>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</si>
  <si>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</si>
  <si>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</si>
  <si>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</si>
  <si>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</si>
  <si>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</si>
  <si>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</si>
  <si>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</si>
  <si>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</si>
  <si>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</si>
  <si>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</si>
  <si>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</si>
  <si>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</si>
  <si>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</si>
  <si>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</si>
  <si>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</si>
  <si>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</si>
  <si>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</si>
  <si>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</si>
  <si>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</si>
  <si>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</si>
  <si>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</si>
  <si>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</si>
  <si>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</si>
  <si>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</si>
  <si>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</si>
  <si>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</si>
  <si>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</si>
  <si>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</si>
  <si>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</si>
  <si>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</si>
  <si>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</si>
  <si>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</si>
  <si>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</si>
  <si>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</si>
  <si>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</si>
  <si>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</si>
  <si>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</si>
  <si>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</si>
  <si>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</si>
  <si>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</si>
  <si>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</si>
  <si>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</si>
  <si>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</si>
  <si>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</si>
  <si>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</si>
  <si>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</si>
  <si>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</si>
  <si>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</si>
  <si>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</si>
  <si>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</si>
  <si>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</si>
  <si>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</si>
  <si>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</si>
  <si>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</si>
  <si>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</si>
  <si>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</si>
  <si>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</si>
  <si>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</si>
  <si>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</si>
  <si>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</si>
  <si>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</si>
  <si>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</si>
  <si>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</si>
  <si>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</si>
  <si>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</si>
  <si>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</si>
  <si>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</si>
  <si>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</si>
  <si>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</si>
  <si>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</si>
  <si>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</si>
  <si>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</si>
  <si>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</si>
  <si>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</si>
  <si>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</si>
  <si>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</si>
  <si>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</si>
  <si>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</si>
  <si>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</si>
  <si>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</si>
  <si>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</si>
  <si>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</si>
  <si>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</si>
  <si>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</si>
  <si>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</si>
  <si>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</si>
  <si>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</si>
  <si>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</si>
  <si>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</si>
  <si>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</si>
  <si>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</si>
  <si>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</si>
  <si>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</si>
  <si>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</si>
  <si>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</si>
  <si>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</si>
  <si>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</si>
  <si>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</si>
  <si>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</si>
  <si>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</si>
  <si>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</si>
  <si>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</si>
  <si>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</si>
  <si>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</si>
  <si>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</si>
  <si>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</si>
  <si>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</si>
  <si>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</si>
  <si>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</si>
  <si>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</si>
  <si>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</si>
  <si>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</si>
  <si>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</si>
  <si>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</si>
  <si>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</si>
  <si>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</si>
  <si>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</si>
  <si>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</si>
  <si>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</si>
  <si>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</si>
  <si>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</si>
  <si>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</si>
  <si>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 (PRODUCTION)</t>
  </si>
  <si>
    <t>Cyl. Loading/ Unloading in process (CMD)</t>
  </si>
  <si>
    <t>Ink Arrangement (CMD)</t>
  </si>
  <si>
    <t>Imp Roller / Sleeve Change (CMD)</t>
  </si>
  <si>
    <t>Registration Setting Time (CMD)</t>
  </si>
  <si>
    <t>Shade Matching Time (CMD)</t>
  </si>
  <si>
    <t>Cylinder Polishing (CMD)</t>
  </si>
  <si>
    <t>Cylinder Cleaning (CMD)</t>
  </si>
  <si>
    <t>Dr Blade Change (CMD)</t>
  </si>
  <si>
    <t>Dr Blade Cleaning (CMD)</t>
  </si>
  <si>
    <t>Cyl. Loading/ Unloading in process (PRODUCTION)</t>
  </si>
  <si>
    <t>Ink Arrangement (PRODUCTION)</t>
  </si>
  <si>
    <t>Imp Roller / Sleeve Change (PRODUCTION)</t>
  </si>
  <si>
    <t>Registration Setting Time (PRODUCTION)</t>
  </si>
  <si>
    <t>Shade Matching Time (PRODUCTION)</t>
  </si>
  <si>
    <t>Cylinder Polishing (PRODUCTION)</t>
  </si>
  <si>
    <t>Cylinder Cleaning(PRODUCTION)</t>
  </si>
  <si>
    <t>Dr Blade Change (PRODUCTION)</t>
  </si>
  <si>
    <t>Dr Blade Cleaning (PRODUCTION)</t>
  </si>
  <si>
    <t>Total Make Ready Activity</t>
  </si>
  <si>
    <t>No Clear Job (SALES)</t>
  </si>
  <si>
    <t>Reel Change (PRODUCTION)</t>
  </si>
  <si>
    <t>Pressure Roller Cleaning (PRODUCTION)</t>
  </si>
  <si>
    <t>Preassure Roller Change (PRODUCTION)</t>
  </si>
  <si>
    <t>Cylinder Cleaning (PRODUCTION)</t>
  </si>
  <si>
    <t>Cylinder Cleaning (CLYLINDER)</t>
  </si>
  <si>
    <t>Cylinder Cleaning (INK)</t>
  </si>
  <si>
    <t>Cylinder Polishing (CLYLINDER)</t>
  </si>
  <si>
    <t>Cylinder Polishing (INK)</t>
  </si>
  <si>
    <t>Dr Blade Cleaning  (PRODUCTION)</t>
  </si>
  <si>
    <t>Dr Blade Change  (PRODUCTION)</t>
  </si>
  <si>
    <t>HR &amp; Admin Meeting, (BUS &amp; Resources) (HR)</t>
  </si>
  <si>
    <t>holiday / Weekly Off / Lunch (SAELS)</t>
  </si>
  <si>
    <t>Output core change  (PRODUCTION)</t>
  </si>
  <si>
    <t>LSD Activity   (SALES)</t>
  </si>
  <si>
    <t>QC Sample (QC)</t>
  </si>
  <si>
    <t>Blocking/Filling Problem / Viscosity Problem / Humidity Issue</t>
  </si>
  <si>
    <t>No PTD / LAM / SLITTED Material</t>
  </si>
  <si>
    <t>No Inks/Adhesive/Solvent/Core etc</t>
  </si>
  <si>
    <t>RM Film Not Available</t>
  </si>
  <si>
    <t>No Oprtr / Helper / No Manpower</t>
  </si>
  <si>
    <t>INK / SOLVENT / ADHESIVE / HARDENER Change</t>
  </si>
  <si>
    <t>M/C Cleaning after or during job(cylinder cleaning on press run / adhesive tray cleaning / exhaust filter cleaning / web guide roller cleaning/ die lip cleaned)</t>
  </si>
  <si>
    <t>Web Break / Splice Failure</t>
  </si>
  <si>
    <t>Trim Break</t>
  </si>
  <si>
    <t>Web Change (PRODUCTION)</t>
  </si>
  <si>
    <t>Web Change (CMD)</t>
  </si>
  <si>
    <t>Waiting for QC Approval</t>
  </si>
  <si>
    <t xml:space="preserve">Waiting for Customer Approval </t>
  </si>
  <si>
    <t>Waiting for Ahmed Sir /Mktg Approval (SALES)</t>
  </si>
  <si>
    <t>R&amp;D</t>
  </si>
  <si>
    <t>Waiting for Temp/Heat  (PRODUCTION)</t>
  </si>
  <si>
    <t>Job Information Not Available</t>
  </si>
  <si>
    <t>Waiting for Curing (Except printing) (PRODUCTION)</t>
  </si>
  <si>
    <t>Planned / Preventive Maintenance  (PRODUCTION)</t>
  </si>
  <si>
    <t>Flag removed / Sleeve taping (PRODUCTION)</t>
  </si>
  <si>
    <t>Cylinder Re Mounting  (PRODUCTION)</t>
  </si>
  <si>
    <t>Cyl. not Available (PRODUCTION)</t>
  </si>
  <si>
    <t>Defects for RM,Filling,Zipper (PRODUCTION)</t>
  </si>
  <si>
    <t>Material Defect Removal (PRODUCTION)</t>
  </si>
  <si>
    <t>Any tools changed / M/C fittings</t>
  </si>
  <si>
    <t>Cold Start/Shutdown  (PRODUCTION)</t>
  </si>
  <si>
    <t>Internal Meeting/Trainings (PRODUCTION)</t>
  </si>
  <si>
    <t>Punch Change (PRODUCTION)</t>
  </si>
  <si>
    <t>Ink Filtered (PRODUCTION)</t>
  </si>
  <si>
    <t>Shade Issue (PRODUCTION)</t>
  </si>
  <si>
    <t>Side Guard Change (PRODUCTION)</t>
  </si>
  <si>
    <t>DB Cleaning 'Cylinder Jumping (PRODUCTION)</t>
  </si>
  <si>
    <t>Web Path Changed (PRODUCTION)</t>
  </si>
  <si>
    <t>Cylinder Change (PRODUCTION)</t>
  </si>
  <si>
    <t>Heat Pass (PRODUCTION)</t>
  </si>
  <si>
    <t>Line Cleaning (PRODUCTION)</t>
  </si>
  <si>
    <t>Ratio Check (PRODUCTION)</t>
  </si>
  <si>
    <t>Nip Clean/Change (PRODUCTION)</t>
  </si>
  <si>
    <t>DB Change (PRODUCTION)</t>
  </si>
  <si>
    <t>Roll Shift (PRODUCTION)</t>
  </si>
  <si>
    <t>Ink/Solvent Change (PRODUCITON)</t>
  </si>
  <si>
    <t>Adhesive/Hardener Change (PRODUCTION)</t>
  </si>
  <si>
    <t>Adhesive Pump Block (PRODCUTION)</t>
  </si>
  <si>
    <t>Trolly Changed  (PRODUCTION)</t>
  </si>
  <si>
    <t xml:space="preserve"> Flappyness (Only for Printing) (PRODUCTION)</t>
  </si>
  <si>
    <t>Other Idle Time</t>
  </si>
  <si>
    <t>Reason For Other Idle Time</t>
  </si>
  <si>
    <t>Department</t>
  </si>
  <si>
    <t>Mc Break Down</t>
  </si>
  <si>
    <t>Reason For Break Down</t>
  </si>
  <si>
    <t>Total Down Time</t>
  </si>
  <si>
    <t>Run Time</t>
  </si>
  <si>
    <t>Crewed Time - JCO time</t>
  </si>
  <si>
    <t>Conversion Time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</si>
  <si>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</si>
  <si>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</si>
  <si>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</si>
  <si>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</si>
  <si>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</si>
  <si>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</si>
  <si>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</si>
  <si>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</si>
  <si>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</si>
  <si>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</si>
  <si>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</si>
  <si>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</si>
  <si>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</si>
  <si>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</si>
  <si>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</si>
  <si>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</si>
  <si>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</si>
  <si>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</si>
  <si>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</si>
  <si>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</si>
  <si>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</si>
  <si>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</si>
  <si>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</si>
  <si>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</si>
  <si>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</si>
  <si>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</si>
  <si>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</si>
  <si>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</si>
  <si>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</si>
  <si>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</si>
  <si>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</si>
  <si>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</si>
  <si>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</si>
  <si>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</si>
  <si>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</si>
  <si>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</si>
  <si>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</si>
  <si>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</si>
  <si>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</si>
  <si>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</si>
  <si>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</si>
  <si>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</si>
  <si>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</si>
  <si>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</si>
  <si>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</si>
  <si>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</si>
  <si>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</si>
  <si>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</si>
  <si>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</si>
  <si>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</si>
  <si>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(Printing/Lamination)</t>
  </si>
  <si>
    <t>NEW / REPEAT JOB</t>
  </si>
  <si>
    <t>Coil Meter (Slitting)</t>
  </si>
  <si>
    <t>Pouch Type Code(Pouching)</t>
  </si>
  <si>
    <t>Country (Pouching)</t>
  </si>
  <si>
    <t xml:space="preserve">JAMS Manpower </t>
  </si>
  <si>
    <t>202602-0001-B</t>
  </si>
  <si>
    <t>02. Feb'26</t>
  </si>
  <si>
    <t>A</t>
  </si>
  <si>
    <t>EC1</t>
  </si>
  <si>
    <t>BFL</t>
  </si>
  <si>
    <t>Hamper</t>
  </si>
  <si>
    <t>G00411</t>
  </si>
  <si>
    <t>S-15</t>
  </si>
  <si>
    <t>-</t>
  </si>
  <si>
    <t>Care Direct Baby Gift Bag</t>
  </si>
  <si>
    <t>SFG</t>
  </si>
  <si>
    <t>PRINT</t>
  </si>
  <si>
    <t>WLDPE</t>
  </si>
  <si>
    <t>WPE</t>
  </si>
  <si>
    <t>Single layer</t>
  </si>
  <si>
    <t xml:space="preserve">265-DHANANJAY KUMAR SINGH </t>
  </si>
  <si>
    <t>226-RAFTAJ AHMED BAHADUR KHAN</t>
  </si>
  <si>
    <t/>
  </si>
  <si>
    <t>202602-0002-B</t>
  </si>
  <si>
    <t>B</t>
  </si>
  <si>
    <t xml:space="preserve">266-RAJESHKUMAR SINGH </t>
  </si>
  <si>
    <t>LAM</t>
  </si>
  <si>
    <t>Bi-Laminate</t>
  </si>
  <si>
    <t>ROTO I</t>
  </si>
  <si>
    <t>Printing</t>
  </si>
  <si>
    <t>WEEKLY OFF</t>
  </si>
  <si>
    <t>ROTO II</t>
  </si>
  <si>
    <t>PTR Rewinder</t>
  </si>
  <si>
    <t>Rewinding</t>
  </si>
  <si>
    <t>COMBI</t>
  </si>
  <si>
    <t>SIMPLEX</t>
  </si>
  <si>
    <t>SIMPLEX II</t>
  </si>
  <si>
    <t>BIMEC I</t>
  </si>
  <si>
    <t>Slitting</t>
  </si>
  <si>
    <t>BIMEC II</t>
  </si>
  <si>
    <t>BIMEC III</t>
  </si>
  <si>
    <t>HCI Rewinder</t>
  </si>
  <si>
    <t>Bag 2</t>
  </si>
  <si>
    <t>S-17(A)</t>
  </si>
  <si>
    <t>PET</t>
  </si>
  <si>
    <t>PET/MET PET/TPE/</t>
  </si>
  <si>
    <t>Tri-Laminate</t>
  </si>
  <si>
    <t xml:space="preserve">559-ARVIND KUMAR </t>
  </si>
  <si>
    <t>1025-KAPIL DEV VISHWAKARMA</t>
  </si>
  <si>
    <t>996-SAURABH KUSHWAHA</t>
  </si>
  <si>
    <t>1097-SHUBHAM PRAVIN FEGADE</t>
  </si>
  <si>
    <t>225-SANTOSH KUMAR YADAV</t>
  </si>
  <si>
    <t>1056-RAJENDRA DAGA SURYAWANSHI</t>
  </si>
  <si>
    <t xml:space="preserve">REPEAT </t>
  </si>
  <si>
    <t>S-11(R)</t>
  </si>
  <si>
    <t>S-24</t>
  </si>
  <si>
    <t>Nuts packing</t>
  </si>
  <si>
    <t>G-0007</t>
  </si>
  <si>
    <t>PET/FOIL/TPE/</t>
  </si>
  <si>
    <t>1005-JITENDRA KUMAR</t>
  </si>
  <si>
    <t>981-SATISH SINGH</t>
  </si>
  <si>
    <t xml:space="preserve">944-SHYAM SUNDAR </t>
  </si>
  <si>
    <t>929-DEBASISH DASH</t>
  </si>
  <si>
    <t>202602-0075-P</t>
  </si>
  <si>
    <t>N01002</t>
  </si>
  <si>
    <t>New Al Bustan Egyptian Seeds Unsalted 250gm Red</t>
  </si>
  <si>
    <t>202602-0076-P</t>
  </si>
  <si>
    <t>N00940</t>
  </si>
  <si>
    <t>New Al Bustan Egyptian Seed 250gm Salted Yellow</t>
  </si>
  <si>
    <t xml:space="preserve">510-KAMLESH KUMAR CHANDRA </t>
  </si>
  <si>
    <t>1053-JOGINDAR</t>
  </si>
  <si>
    <t>1034-MOHIT PANCHAL</t>
  </si>
  <si>
    <t>1009-RAHUL SHARMA</t>
  </si>
  <si>
    <t>202602-0079-P</t>
  </si>
  <si>
    <t>SLIT</t>
  </si>
  <si>
    <t>INH</t>
  </si>
  <si>
    <t>1099-SANDEEP KUMAR</t>
  </si>
  <si>
    <t>1026-HEMANT SINGH PACHAWARI</t>
  </si>
  <si>
    <t>1049-SUNDER SINGH GAUTAM</t>
  </si>
  <si>
    <t>1024-AVINASH CHUNILAL PATIL</t>
  </si>
  <si>
    <t>202602-0084-P</t>
  </si>
  <si>
    <t>Chips packing</t>
  </si>
  <si>
    <t>J01011</t>
  </si>
  <si>
    <t>D028</t>
  </si>
  <si>
    <t xml:space="preserve">Whole Foods 365 Veggie Chips 6oz(170gm) </t>
  </si>
  <si>
    <t>MATTE TOPP</t>
  </si>
  <si>
    <t>83464/84851</t>
  </si>
  <si>
    <t>MATTE TOPP/MOPP</t>
  </si>
  <si>
    <t>FOR SETTING ROLL 14KG</t>
  </si>
  <si>
    <t>IR</t>
  </si>
  <si>
    <t>PTD PET</t>
  </si>
  <si>
    <t>772-ANIL KUMAR YADAV</t>
  </si>
  <si>
    <t>SIDE CUT</t>
  </si>
  <si>
    <t>S-13(P)</t>
  </si>
  <si>
    <t>TPE</t>
  </si>
  <si>
    <t>TRIM</t>
  </si>
  <si>
    <t>734-ABDUL REHMAN</t>
  </si>
  <si>
    <t>INK SPOT</t>
  </si>
  <si>
    <t>L1</t>
  </si>
  <si>
    <t>FOIL</t>
  </si>
  <si>
    <t>MB655</t>
  </si>
  <si>
    <t>CT85</t>
  </si>
  <si>
    <t>1068-KASHINATH DAGDU KIRAVE</t>
  </si>
  <si>
    <t>1093-ROHIT LAXMAN SHIDRUK</t>
  </si>
  <si>
    <t>1001-ATISH SIDDHARTH SHENDE</t>
  </si>
  <si>
    <t>1029-DHARMENDRA PRATAP PATEL</t>
  </si>
  <si>
    <t>1016-BISHVJIT KUMAR DUBEY</t>
  </si>
  <si>
    <t>1094-SATEESH KUDUPUDI</t>
  </si>
  <si>
    <t>L2</t>
  </si>
  <si>
    <t>MOPP</t>
  </si>
  <si>
    <t>75-300</t>
  </si>
  <si>
    <t>CR84</t>
  </si>
  <si>
    <t>1143-AJAY</t>
  </si>
  <si>
    <t>696-DHARMENDRA KUMAR</t>
  </si>
  <si>
    <t>828-ANTHONY CHIBUIKE</t>
  </si>
  <si>
    <t>1051-SHIV KUMAR YADAV</t>
  </si>
  <si>
    <t>1017-MITHEN KUMAR</t>
  </si>
  <si>
    <t>972-SURAJ PAL</t>
  </si>
  <si>
    <t>L-0160</t>
  </si>
  <si>
    <t>PTD MATTE TOPP</t>
  </si>
  <si>
    <t>MET PET</t>
  </si>
  <si>
    <t>8 X 76</t>
  </si>
  <si>
    <t>FG</t>
  </si>
  <si>
    <t>DISP</t>
  </si>
  <si>
    <t>997-RAMKESH PARJAPATI</t>
  </si>
  <si>
    <t>1085-SURJEET KUMAR</t>
  </si>
  <si>
    <t>357-MOHAMMED JAHANGIR ALAM</t>
  </si>
  <si>
    <t>12 X 76</t>
  </si>
  <si>
    <t>973-SK ALEMUL ISLAM</t>
  </si>
  <si>
    <t>3 UPS</t>
  </si>
  <si>
    <t>6 UPS</t>
  </si>
  <si>
    <t>102-RAJESH ARAVINDAKSHAN PILLAI</t>
  </si>
  <si>
    <t>1071-HARIKESH PRASAD</t>
  </si>
  <si>
    <t>2 UPS</t>
  </si>
  <si>
    <t>373-ANAMUL HAQ</t>
  </si>
  <si>
    <t>216-MUHAMMAD MAHMOOD</t>
  </si>
  <si>
    <t>618-SHASHIKANT SINGH</t>
  </si>
  <si>
    <t>249-MOHAMMAD QURBAN</t>
  </si>
  <si>
    <t>0.7</t>
  </si>
  <si>
    <t>730-MOHAMMAD SHAKEEL</t>
  </si>
  <si>
    <t>U.A.E.</t>
  </si>
  <si>
    <t>26-NARAYAN BAHADUR TAMANG</t>
  </si>
  <si>
    <t>366-AKBAR ALI MOHAMMED KASIM</t>
  </si>
  <si>
    <t>37-KHADGA BAHADUR BUDHATHOKI</t>
  </si>
  <si>
    <t>1104-AKHILESH KUMAR PATHAK</t>
  </si>
  <si>
    <t>1146-SUBHAM</t>
  </si>
  <si>
    <t>995-ASHISH GUPTA KAILASH GUPTA</t>
  </si>
  <si>
    <t>202602-0204-RP</t>
  </si>
  <si>
    <t>202602-0207-RP</t>
  </si>
  <si>
    <t>202602-0208-RP</t>
  </si>
  <si>
    <t>202602-0209-RP</t>
  </si>
  <si>
    <t>1031-RAJAN SAHANI</t>
  </si>
  <si>
    <t>202602-0219-L</t>
  </si>
  <si>
    <t>1089-SANJAY GAHTORI</t>
  </si>
  <si>
    <t>202602-0237-L</t>
  </si>
  <si>
    <t xml:space="preserve">144-KHALIL KHAN ABDUL HADI </t>
  </si>
  <si>
    <t>992-SAHIL</t>
  </si>
  <si>
    <t>1131-MANISH KUMAR</t>
  </si>
  <si>
    <t>1070-RAUSHAN KUMAR</t>
  </si>
  <si>
    <t xml:space="preserve"> </t>
  </si>
  <si>
    <t>230-RAKESH PRAJAPATI</t>
  </si>
  <si>
    <t>PET/MPOPP</t>
  </si>
  <si>
    <t>202602-0345-L</t>
  </si>
  <si>
    <t>202602-0346-L</t>
  </si>
  <si>
    <t>1096-SANJU</t>
  </si>
  <si>
    <t>chocolate packing</t>
  </si>
  <si>
    <t>5 UPS</t>
  </si>
  <si>
    <t>202602-0394-S</t>
  </si>
  <si>
    <t>202602-0436-P&amp;B</t>
  </si>
  <si>
    <t>PTD WPE</t>
  </si>
  <si>
    <t>350*460</t>
  </si>
  <si>
    <t>202602-0509-L</t>
  </si>
  <si>
    <t>202602-0510-L</t>
  </si>
  <si>
    <t>202602-0511-L</t>
  </si>
  <si>
    <t>202602-0554-HR</t>
  </si>
  <si>
    <t>202602-0595-P&amp;B</t>
  </si>
  <si>
    <t>TAP PROBLEM</t>
  </si>
  <si>
    <t>202602-0596-P&amp;B</t>
  </si>
  <si>
    <t>Washing Powder</t>
  </si>
  <si>
    <t>B027</t>
  </si>
  <si>
    <t>MAQ - Washing Powder - 2 KG</t>
  </si>
  <si>
    <t>PET/PET/WPE/</t>
  </si>
  <si>
    <t>1110-SHAH BASARAT HUSHAMI</t>
  </si>
  <si>
    <t>MPOPP</t>
  </si>
  <si>
    <t>202602-0728-P&amp;B</t>
  </si>
  <si>
    <t>MAINTENANCE / BOTTOM PROBLEM</t>
  </si>
  <si>
    <t>202602-0729-P&amp;B</t>
  </si>
  <si>
    <t>202602-0741-P</t>
  </si>
  <si>
    <t>L00335</t>
  </si>
  <si>
    <t>202602-0742-P</t>
  </si>
  <si>
    <t>85547/85588</t>
  </si>
  <si>
    <t>1148-MIKY</t>
  </si>
  <si>
    <t>202602-0803-S</t>
  </si>
  <si>
    <t>202602-0805-S</t>
  </si>
  <si>
    <t>202602-0854-P&amp;B</t>
  </si>
  <si>
    <t>202602-0863-P</t>
  </si>
  <si>
    <t>202602-0875-RP</t>
  </si>
  <si>
    <t>202602-0882-RP</t>
  </si>
  <si>
    <t>S631</t>
  </si>
  <si>
    <t>S310</t>
  </si>
  <si>
    <t>202602-0914-S</t>
  </si>
  <si>
    <t>202602-1052-HR</t>
  </si>
  <si>
    <t>202602-1054-HR</t>
  </si>
  <si>
    <t>202602-1106-P</t>
  </si>
  <si>
    <t>H01455</t>
  </si>
  <si>
    <t>KINGSY CHOCOLATE 25 GRAMS</t>
  </si>
  <si>
    <t>202602-1107-P</t>
  </si>
  <si>
    <t>85526/85587/85573</t>
  </si>
  <si>
    <t>202602-1120-L</t>
  </si>
  <si>
    <t>PRODUCTION</t>
  </si>
  <si>
    <t>202602-1232-L</t>
  </si>
  <si>
    <t>85226/85157/85547/85572/85588</t>
  </si>
  <si>
    <t>1054-ABHISHEK PATIAL</t>
  </si>
  <si>
    <t>202602-1355-P</t>
  </si>
  <si>
    <t>N00945</t>
  </si>
  <si>
    <t>Al Bustan Sunflower Seeds 250gm</t>
  </si>
  <si>
    <t>85572/85226</t>
  </si>
  <si>
    <t>MATT LAQ CYL. CLEAN DUE TO BLOCKING</t>
  </si>
  <si>
    <t>202602-1360-P</t>
  </si>
  <si>
    <t>Seeds packing</t>
  </si>
  <si>
    <t>G00418</t>
  </si>
  <si>
    <t>Star Leo Sunflower Seeds 22gm</t>
  </si>
  <si>
    <t>85157/85573/85330</t>
  </si>
  <si>
    <t>202602-1474-P</t>
  </si>
  <si>
    <t>202602-1493-RP</t>
  </si>
  <si>
    <t>202602-1514-L</t>
  </si>
  <si>
    <t>202602-1515-L</t>
  </si>
  <si>
    <t>1149-PANDEY</t>
  </si>
  <si>
    <t>202602-1626-L</t>
  </si>
  <si>
    <t>202602-1632-L</t>
  </si>
  <si>
    <t>202602-1633-L</t>
  </si>
  <si>
    <t>202602-1634-L</t>
  </si>
  <si>
    <t>202602-1843-L</t>
  </si>
  <si>
    <t>202602-1860-S</t>
  </si>
  <si>
    <t>202602-1861-S</t>
  </si>
  <si>
    <t>202602-1982-S</t>
  </si>
  <si>
    <t>202602-1986-S</t>
  </si>
  <si>
    <t>202602-1987-S</t>
  </si>
  <si>
    <t>202602-1996-HR</t>
  </si>
  <si>
    <t>202602-2112-S</t>
  </si>
  <si>
    <t>202602-2124-HR</t>
  </si>
  <si>
    <t>762-MANISHKUMAR JAGUBHAI PATEL</t>
  </si>
  <si>
    <t>202602-2437-L</t>
  </si>
  <si>
    <t>202602-2528-L</t>
  </si>
  <si>
    <t>202602-2529-L</t>
  </si>
  <si>
    <t>202602-2653-L</t>
  </si>
  <si>
    <t>202602-2769-L</t>
  </si>
  <si>
    <t>85854/85871</t>
  </si>
  <si>
    <t>202602-2912-S</t>
  </si>
  <si>
    <t>202602-2913-S</t>
  </si>
  <si>
    <t>202602-3039-HR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</si>
</sst>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0;[Red]0"/>
    <numFmt numFmtId="166" formatCode="[$-409]mmm\-yy;@"/>
    <numFmt numFmtId="167" formatCode="_-* #,##0.00_-;\-* #,##0.00_-;_-* &quot;-&quot;??_-;_-@_-"/>
    <numFmt numFmtId="168" formatCode="[h]:mm:ss;@"/>
    <numFmt numFmtId="169" formatCode="_-&quot;$&quot;* #,##0.00_-;\-&quot;$&quot;* #,##0.00_-;_-&quot;$&quot;* &quot;-&quot;??_-;_-@_-"/>
    <numFmt numFmtId="170" formatCode="[$-409]d\-mmm\-yy;@"/>
    <numFmt numFmtId="171" formatCode="00&quot; mm&quot;"/>
    <numFmt numFmtId="172" formatCode="_ * #,##0.00_ ;_ * \-#,##0.00_ ;_ * &quot;-&quot;??_ ;_ @_ "/>
    <numFmt numFmtId="173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11"/>
      <name val="Arial"/>
      <family val="2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0"/>
      <color rgb="FF0070C0"/>
      <name val="Calibri"/>
      <family val="2"/>
      <scheme val="minor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198">
    <xf numFmtId="0" fontId="0" fillId="0" borderId="0" xfId="0"/>
    <xf numFmtId="164" fontId="0" fillId="0" borderId="0" xfId="1" applyNumberFormat="1" applyFont="1"/>
    <xf numFmtId="165" fontId="2" fillId="0" borderId="0" xfId="0" applyNumberFormat="1" applyFont="1" applyAlignment="1">
      <alignment horizontal="center"/>
    </xf>
    <xf numFmtId="43" fontId="0" fillId="0" borderId="0" xfId="1" applyFont="1"/>
    <xf numFmtId="2" fontId="1" fillId="0" borderId="0" xfId="1" applyNumberFormat="1" applyFont="1"/>
    <xf numFmtId="43" fontId="0" fillId="2" borderId="0" xfId="1" applyFont="1" applyFill="1"/>
    <xf numFmtId="164" fontId="0" fillId="0" borderId="0" xfId="1" applyNumberFormat="1" applyFont="1" applyAlignment="1"/>
    <xf numFmtId="14" fontId="3" fillId="3" borderId="0" xfId="0" applyNumberFormat="1" applyFont="1" applyFill="1"/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left"/>
    </xf>
    <xf numFmtId="43" fontId="0" fillId="0" borderId="0" xfId="0" applyNumberFormat="1"/>
    <xf numFmtId="164" fontId="4" fillId="0" borderId="0" xfId="1" applyNumberFormat="1" applyFont="1" applyAlignment="1">
      <alignment horizont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49" fontId="4" fillId="0" borderId="4" xfId="1" applyNumberFormat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center" vertical="center"/>
    </xf>
    <xf numFmtId="43" fontId="4" fillId="0" borderId="4" xfId="1" applyFont="1" applyFill="1" applyBorder="1" applyAlignment="1" applyProtection="1">
      <alignment horizontal="right" vertical="center"/>
    </xf>
    <xf numFmtId="0" fontId="5" fillId="0" borderId="5" xfId="0" applyFont="1" applyBorder="1"/>
    <xf numFmtId="164" fontId="5" fillId="0" borderId="0" xfId="1" applyNumberFormat="1" applyFont="1" applyFill="1" applyAlignment="1" applyProtection="1">
      <alignment horizontal="center"/>
    </xf>
    <xf numFmtId="43" fontId="4" fillId="0" borderId="0" xfId="1" applyFont="1" applyFill="1" applyBorder="1" applyAlignment="1" applyProtection="1">
      <alignment horizontal="left"/>
    </xf>
    <xf numFmtId="0" fontId="4" fillId="0" borderId="0" xfId="0" applyFont="1" applyAlignment="1">
      <alignment horizontal="right"/>
    </xf>
    <xf numFmtId="43" fontId="5" fillId="0" borderId="0" xfId="1" applyFont="1" applyFill="1" applyProtection="1"/>
    <xf numFmtId="43" fontId="4" fillId="0" borderId="0" xfId="1" applyFont="1" applyFill="1" applyBorder="1" applyAlignment="1" applyProtection="1">
      <alignment horizontal="center"/>
    </xf>
    <xf numFmtId="164" fontId="5" fillId="0" borderId="0" xfId="1" applyNumberFormat="1" applyFont="1" applyFill="1" applyProtection="1"/>
    <xf numFmtId="0" fontId="5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11" fillId="0" borderId="5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167" fontId="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66" fontId="22" fillId="5" borderId="11" xfId="0" applyNumberFormat="1" applyFont="1" applyFill="1" applyBorder="1" applyAlignment="1">
      <alignment horizontal="center" vertical="center" wrapText="1"/>
    </xf>
    <xf numFmtId="170" fontId="22" fillId="5" borderId="11" xfId="0" applyNumberFormat="1" applyFont="1" applyFill="1" applyBorder="1" applyAlignment="1">
      <alignment horizontal="center" vertical="center" textRotation="255" wrapText="1"/>
    </xf>
    <xf numFmtId="166" fontId="22" fillId="5" borderId="11" xfId="0" applyNumberFormat="1" applyFont="1" applyFill="1" applyBorder="1" applyAlignment="1">
      <alignment horizontal="center" vertical="center" textRotation="255"/>
    </xf>
    <xf numFmtId="166" fontId="23" fillId="5" borderId="11" xfId="0" applyNumberFormat="1" applyFont="1" applyFill="1" applyBorder="1" applyAlignment="1">
      <alignment horizontal="center" vertical="center" wrapText="1"/>
    </xf>
    <xf numFmtId="166" fontId="24" fillId="5" borderId="11" xfId="0" applyNumberFormat="1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5" fillId="5" borderId="11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center" vertical="center" textRotation="255" wrapText="1"/>
    </xf>
    <xf numFmtId="0" fontId="23" fillId="5" borderId="11" xfId="0" applyFont="1" applyFill="1" applyBorder="1" applyAlignment="1">
      <alignment horizontal="center" vertical="center" wrapText="1"/>
    </xf>
    <xf numFmtId="164" fontId="24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3" fillId="5" borderId="11" xfId="2" applyNumberFormat="1" applyFont="1" applyFill="1" applyBorder="1" applyAlignment="1" applyProtection="1">
      <alignment horizontal="center" vertical="center" wrapText="1"/>
    </xf>
    <xf numFmtId="167" fontId="22" fillId="6" borderId="11" xfId="2" applyFont="1" applyFill="1" applyBorder="1" applyAlignment="1" applyProtection="1">
      <alignment horizontal="center" vertical="center" wrapText="1"/>
    </xf>
    <xf numFmtId="167" fontId="22" fillId="5" borderId="11" xfId="2" applyFont="1" applyFill="1" applyBorder="1" applyAlignment="1" applyProtection="1">
      <alignment horizontal="center" vertical="center" wrapText="1"/>
    </xf>
    <xf numFmtId="167" fontId="26" fillId="5" borderId="11" xfId="2" applyFont="1" applyFill="1" applyBorder="1" applyAlignment="1" applyProtection="1">
      <alignment horizontal="center" vertical="center" wrapText="1"/>
    </xf>
    <xf numFmtId="167" fontId="27" fillId="7" borderId="11" xfId="2" applyFont="1" applyFill="1" applyBorder="1" applyAlignment="1" applyProtection="1">
      <alignment horizontal="center" vertical="center" wrapText="1"/>
    </xf>
    <xf numFmtId="167" fontId="27" fillId="8" borderId="11" xfId="2" applyFont="1" applyFill="1" applyBorder="1" applyAlignment="1" applyProtection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  <xf numFmtId="167" fontId="27" fillId="9" borderId="11" xfId="2" applyFont="1" applyFill="1" applyBorder="1" applyAlignment="1" applyProtection="1">
      <alignment horizontal="center" vertical="center" wrapText="1"/>
    </xf>
    <xf numFmtId="167" fontId="24" fillId="5" borderId="11" xfId="2" applyFont="1" applyFill="1" applyBorder="1" applyAlignment="1" applyProtection="1">
      <alignment horizontal="center" vertical="center" wrapText="1"/>
    </xf>
    <xf numFmtId="168" fontId="22" fillId="5" borderId="11" xfId="0" applyNumberFormat="1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2" fillId="5" borderId="11" xfId="2" applyNumberFormat="1" applyFont="1" applyFill="1" applyBorder="1" applyAlignment="1" applyProtection="1">
      <alignment horizontal="center" vertical="center" wrapText="1"/>
    </xf>
    <xf numFmtId="0" fontId="26" fillId="5" borderId="11" xfId="2" applyNumberFormat="1" applyFont="1" applyFill="1" applyBorder="1" applyAlignment="1" applyProtection="1">
      <alignment horizontal="center" vertical="center" wrapText="1"/>
    </xf>
    <xf numFmtId="0" fontId="24" fillId="5" borderId="11" xfId="2" applyNumberFormat="1" applyFont="1" applyFill="1" applyBorder="1" applyAlignment="1" applyProtection="1">
      <alignment horizontal="center" vertical="center" wrapText="1"/>
    </xf>
    <xf numFmtId="167" fontId="23" fillId="5" borderId="11" xfId="2" applyFont="1" applyFill="1" applyBorder="1" applyAlignment="1" applyProtection="1">
      <alignment horizontal="center" vertical="center" wrapText="1"/>
    </xf>
    <xf numFmtId="167" fontId="10" fillId="5" borderId="11" xfId="2" applyFont="1" applyFill="1" applyBorder="1" applyAlignment="1" applyProtection="1">
      <alignment horizontal="center" vertical="center" wrapText="1"/>
    </xf>
    <xf numFmtId="0" fontId="10" fillId="11" borderId="11" xfId="2" applyNumberFormat="1" applyFont="1" applyFill="1" applyBorder="1" applyAlignment="1" applyProtection="1">
      <alignment horizontal="center" vertical="center" wrapText="1"/>
    </xf>
    <xf numFmtId="164" fontId="10" fillId="2" borderId="11" xfId="2" applyNumberFormat="1" applyFont="1" applyFill="1" applyBorder="1" applyAlignment="1" applyProtection="1">
      <alignment horizontal="center" vertical="center" wrapText="1"/>
    </xf>
    <xf numFmtId="0" fontId="10" fillId="5" borderId="11" xfId="2" applyNumberFormat="1" applyFont="1" applyFill="1" applyBorder="1" applyAlignment="1" applyProtection="1">
      <alignment horizontal="center" vertical="center" wrapText="1"/>
    </xf>
    <xf numFmtId="167" fontId="10" fillId="2" borderId="11" xfId="2" applyFont="1" applyFill="1" applyBorder="1" applyAlignment="1" applyProtection="1">
      <alignment horizontal="center" vertical="center" wrapText="1"/>
    </xf>
    <xf numFmtId="0" fontId="10" fillId="2" borderId="11" xfId="2" applyNumberFormat="1" applyFont="1" applyFill="1" applyBorder="1" applyAlignment="1" applyProtection="1">
      <alignment horizontal="center" vertical="center" wrapText="1"/>
    </xf>
    <xf numFmtId="0" fontId="27" fillId="9" borderId="11" xfId="2" applyNumberFormat="1" applyFont="1" applyFill="1" applyBorder="1" applyAlignment="1" applyProtection="1">
      <alignment horizontal="center" vertical="center" wrapText="1"/>
    </xf>
    <xf numFmtId="49" fontId="10" fillId="2" borderId="11" xfId="2" applyNumberFormat="1" applyFont="1" applyFill="1" applyBorder="1" applyAlignment="1" applyProtection="1">
      <alignment vertical="center" wrapText="1"/>
    </xf>
    <xf numFmtId="0" fontId="22" fillId="12" borderId="11" xfId="2" applyNumberFormat="1" applyFont="1" applyFill="1" applyBorder="1" applyAlignment="1" applyProtection="1">
      <alignment horizontal="center" vertical="center" wrapText="1"/>
    </xf>
    <xf numFmtId="0" fontId="22" fillId="0" borderId="11" xfId="2" applyNumberFormat="1" applyFont="1" applyFill="1" applyBorder="1" applyAlignment="1" applyProtection="1">
      <alignment horizontal="center" vertical="center" wrapText="1"/>
    </xf>
    <xf numFmtId="0" fontId="22" fillId="13" borderId="11" xfId="2" applyNumberFormat="1" applyFont="1" applyFill="1" applyBorder="1" applyAlignment="1" applyProtection="1">
      <alignment horizontal="center" vertical="center" wrapText="1"/>
    </xf>
    <xf numFmtId="1" fontId="28" fillId="14" borderId="11" xfId="2" applyNumberFormat="1" applyFont="1" applyFill="1" applyBorder="1" applyAlignment="1" applyProtection="1">
      <alignment horizontal="center" vertical="center" wrapText="1"/>
    </xf>
    <xf numFmtId="1" fontId="26" fillId="5" borderId="11" xfId="2" applyNumberFormat="1" applyFont="1" applyFill="1" applyBorder="1" applyAlignment="1" applyProtection="1">
      <alignment horizontal="center" vertical="center" wrapText="1"/>
    </xf>
    <xf numFmtId="167" fontId="29" fillId="5" borderId="11" xfId="2" applyFont="1" applyFill="1" applyBorder="1" applyAlignment="1" applyProtection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30" fillId="15" borderId="12" xfId="2" applyNumberFormat="1" applyFont="1" applyFill="1" applyBorder="1" applyAlignment="1" applyProtection="1">
      <alignment vertical="center" wrapText="1"/>
    </xf>
    <xf numFmtId="1" fontId="31" fillId="16" borderId="11" xfId="2" applyNumberFormat="1" applyFont="1" applyFill="1" applyBorder="1" applyAlignment="1" applyProtection="1">
      <alignment horizontal="center" vertical="center" wrapText="1"/>
    </xf>
    <xf numFmtId="1" fontId="32" fillId="10" borderId="11" xfId="2" applyNumberFormat="1" applyFont="1" applyFill="1" applyBorder="1" applyAlignment="1" applyProtection="1">
      <alignment horizontal="center" vertical="center" wrapText="1"/>
    </xf>
    <xf numFmtId="167" fontId="28" fillId="5" borderId="11" xfId="2" applyFont="1" applyFill="1" applyBorder="1" applyAlignment="1" applyProtection="1">
      <alignment horizontal="center" vertical="center" wrapText="1"/>
    </xf>
    <xf numFmtId="167" fontId="26" fillId="17" borderId="11" xfId="2" applyFont="1" applyFill="1" applyBorder="1" applyAlignment="1" applyProtection="1">
      <alignment horizontal="center" vertical="center" wrapText="1"/>
    </xf>
    <xf numFmtId="4" fontId="28" fillId="18" borderId="11" xfId="2" applyNumberFormat="1" applyFont="1" applyFill="1" applyBorder="1" applyAlignment="1" applyProtection="1">
      <alignment horizontal="center" vertical="center" wrapText="1"/>
    </xf>
    <xf numFmtId="4" fontId="29" fillId="3" borderId="11" xfId="2" applyNumberFormat="1" applyFont="1" applyFill="1" applyBorder="1" applyAlignment="1" applyProtection="1">
      <alignment horizontal="center" vertical="center" wrapText="1"/>
    </xf>
    <xf numFmtId="4" fontId="28" fillId="7" borderId="11" xfId="2" applyNumberFormat="1" applyFont="1" applyFill="1" applyBorder="1" applyAlignment="1" applyProtection="1">
      <alignment horizontal="center" vertical="center" wrapText="1"/>
    </xf>
    <xf numFmtId="4" fontId="28" fillId="3" borderId="11" xfId="2" applyNumberFormat="1" applyFont="1" applyFill="1" applyBorder="1" applyAlignment="1" applyProtection="1">
      <alignment horizontal="center" vertical="center" wrapText="1"/>
    </xf>
    <xf numFmtId="4" fontId="28" fillId="18" borderId="13" xfId="2" applyNumberFormat="1" applyFont="1" applyFill="1" applyBorder="1" applyAlignment="1" applyProtection="1">
      <alignment horizontal="center" vertical="center" wrapText="1"/>
    </xf>
    <xf numFmtId="4" fontId="28" fillId="7" borderId="13" xfId="2" applyNumberFormat="1" applyFont="1" applyFill="1" applyBorder="1" applyAlignment="1" applyProtection="1">
      <alignment horizontal="center" vertical="center" wrapText="1"/>
    </xf>
    <xf numFmtId="4" fontId="28" fillId="3" borderId="13" xfId="2" applyNumberFormat="1" applyFont="1" applyFill="1" applyBorder="1" applyAlignment="1" applyProtection="1">
      <alignment horizontal="center" vertical="center" wrapText="1"/>
    </xf>
    <xf numFmtId="4" fontId="30" fillId="18" borderId="12" xfId="2" applyNumberFormat="1" applyFont="1" applyFill="1" applyBorder="1" applyAlignment="1" applyProtection="1">
      <alignment vertical="center" wrapText="1"/>
    </xf>
    <xf numFmtId="0" fontId="33" fillId="5" borderId="12" xfId="2" applyNumberFormat="1" applyFont="1" applyFill="1" applyBorder="1" applyAlignment="1" applyProtection="1">
      <alignment horizontal="center" vertical="center" wrapText="1"/>
    </xf>
    <xf numFmtId="0" fontId="34" fillId="5" borderId="11" xfId="2" applyNumberFormat="1" applyFont="1" applyFill="1" applyBorder="1" applyAlignment="1" applyProtection="1">
      <alignment vertical="center" wrapText="1"/>
    </xf>
    <xf numFmtId="0" fontId="35" fillId="0" borderId="0" xfId="0" quotePrefix="1" applyFont="1" applyAlignment="1">
      <alignment horizontal="left" vertical="center"/>
    </xf>
    <xf numFmtId="170" fontId="35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/>
    <xf numFmtId="0" fontId="29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0" xfId="0" applyFont="1"/>
    <xf numFmtId="171" fontId="36" fillId="0" borderId="0" xfId="0" applyNumberFormat="1" applyFont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2" fontId="38" fillId="0" borderId="0" xfId="3" applyFont="1"/>
    <xf numFmtId="167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7" fontId="36" fillId="0" borderId="0" xfId="0" applyNumberFormat="1" applyFont="1" applyAlignment="1">
      <alignment horizontal="right"/>
    </xf>
    <xf numFmtId="172" fontId="37" fillId="0" borderId="0" xfId="3" applyFont="1" applyAlignment="1">
      <alignment horizontal="center"/>
    </xf>
    <xf numFmtId="2" fontId="37" fillId="0" borderId="0" xfId="0" applyNumberFormat="1" applyFont="1" applyAlignment="1">
      <alignment horizontal="center"/>
    </xf>
    <xf numFmtId="172" fontId="28" fillId="6" borderId="0" xfId="3" applyFont="1" applyFill="1" applyAlignment="1" applyProtection="1">
      <alignment horizontal="center"/>
    </xf>
    <xf numFmtId="172" fontId="28" fillId="8" borderId="0" xfId="3" applyFont="1" applyFill="1" applyAlignment="1" applyProtection="1">
      <alignment horizontal="center"/>
    </xf>
    <xf numFmtId="172" fontId="28" fillId="11" borderId="0" xfId="3" applyFont="1" applyFill="1" applyAlignment="1" applyProtection="1">
      <alignment horizontal="center"/>
    </xf>
    <xf numFmtId="172" fontId="38" fillId="9" borderId="0" xfId="3" applyFont="1" applyFill="1" applyAlignment="1" applyProtection="1">
      <alignment horizontal="center"/>
    </xf>
    <xf numFmtId="173" fontId="37" fillId="0" borderId="0" xfId="0" applyNumberFormat="1" applyFont="1"/>
    <xf numFmtId="172" fontId="38" fillId="0" borderId="0" xfId="3" applyFont="1" applyFill="1" applyProtection="1"/>
    <xf numFmtId="20" fontId="37" fillId="0" borderId="0" xfId="0" applyNumberFormat="1" applyFont="1"/>
    <xf numFmtId="0" fontId="2" fillId="10" borderId="0" xfId="0" applyFont="1" applyFill="1" applyAlignment="1">
      <alignment horizontal="center"/>
    </xf>
    <xf numFmtId="4" fontId="26" fillId="0" borderId="0" xfId="0" applyNumberFormat="1" applyFont="1" applyAlignment="1">
      <alignment horizontal="center"/>
    </xf>
    <xf numFmtId="167" fontId="37" fillId="2" borderId="0" xfId="0" applyNumberFormat="1" applyFont="1" applyFill="1"/>
    <xf numFmtId="164" fontId="26" fillId="2" borderId="0" xfId="3" applyNumberFormat="1" applyFont="1" applyFill="1" applyAlignment="1" applyProtection="1">
      <alignment horizontal="right"/>
    </xf>
    <xf numFmtId="0" fontId="3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26" fillId="2" borderId="0" xfId="3" applyNumberFormat="1" applyFont="1" applyFill="1" applyAlignment="1" applyProtection="1">
      <alignment horizontal="center"/>
    </xf>
    <xf numFmtId="4" fontId="33" fillId="0" borderId="0" xfId="0" applyNumberFormat="1" applyFont="1" applyAlignment="1">
      <alignment horizontal="center"/>
    </xf>
    <xf numFmtId="167" fontId="0" fillId="2" borderId="0" xfId="0" applyNumberFormat="1" applyFill="1"/>
    <xf numFmtId="164" fontId="33" fillId="2" borderId="0" xfId="3" applyNumberFormat="1" applyFont="1" applyFill="1" applyAlignment="1" applyProtection="1">
      <alignment horizontal="right"/>
    </xf>
    <xf numFmtId="172" fontId="39" fillId="9" borderId="0" xfId="3" applyFont="1" applyFill="1" applyProtection="1"/>
    <xf numFmtId="49" fontId="0" fillId="2" borderId="0" xfId="0" applyNumberFormat="1" applyFill="1"/>
    <xf numFmtId="4" fontId="37" fillId="0" borderId="0" xfId="0" applyNumberFormat="1" applyFont="1"/>
    <xf numFmtId="0" fontId="30" fillId="0" borderId="0" xfId="0" applyFont="1"/>
    <xf numFmtId="167" fontId="37" fillId="0" borderId="0" xfId="0" applyNumberFormat="1" applyFont="1" applyAlignment="1">
      <alignment horizontal="center"/>
    </xf>
    <xf numFmtId="167" fontId="37" fillId="0" borderId="0" xfId="0" applyNumberFormat="1" applyFont="1" applyAlignment="1">
      <alignment horizontal="right"/>
    </xf>
    <xf numFmtId="0" fontId="38" fillId="0" borderId="0" xfId="0" applyFont="1"/>
    <xf numFmtId="1" fontId="40" fillId="0" borderId="0" xfId="0" applyNumberFormat="1" applyFont="1" applyAlignment="1">
      <alignment horizontal="center"/>
    </xf>
    <xf numFmtId="1" fontId="28" fillId="15" borderId="0" xfId="0" applyNumberFormat="1" applyFont="1" applyFill="1" applyAlignment="1">
      <alignment horizontal="center"/>
    </xf>
    <xf numFmtId="1" fontId="40" fillId="16" borderId="0" xfId="0" applyNumberFormat="1" applyFont="1" applyFill="1" applyAlignment="1">
      <alignment horizontal="center"/>
    </xf>
    <xf numFmtId="4" fontId="24" fillId="0" borderId="0" xfId="3" applyNumberFormat="1" applyFont="1" applyFill="1" applyAlignment="1" applyProtection="1">
      <alignment horizontal="center"/>
    </xf>
    <xf numFmtId="0" fontId="40" fillId="0" borderId="0" xfId="0" applyFont="1"/>
    <xf numFmtId="43" fontId="0" fillId="0" borderId="0" xfId="1" applyFont="1" applyFill="1"/>
    <xf numFmtId="168" fontId="0" fillId="0" borderId="0" xfId="0" applyNumberFormat="1"/>
    <xf numFmtId="4" fontId="4" fillId="0" borderId="1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10" fillId="0" borderId="1" xfId="1" applyNumberFormat="1" applyFont="1" applyFill="1" applyBorder="1" applyAlignment="1" applyProtection="1">
      <alignment horizontal="center"/>
    </xf>
    <xf numFmtId="4" fontId="10" fillId="0" borderId="2" xfId="1" applyNumberFormat="1" applyFont="1" applyFill="1" applyBorder="1" applyAlignment="1" applyProtection="1">
      <alignment horizontal="center"/>
    </xf>
    <xf numFmtId="4" fontId="10" fillId="0" borderId="3" xfId="1" applyNumberFormat="1" applyFont="1" applyFill="1" applyBorder="1" applyAlignment="1" applyProtection="1">
      <alignment horizontal="center"/>
    </xf>
    <xf numFmtId="4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2" applyFont="1" applyFill="1" applyBorder="1" applyAlignment="1" applyProtection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2" fontId="20" fillId="2" borderId="1" xfId="0" applyNumberFormat="1" applyFont="1" applyFill="1" applyBorder="1" applyAlignment="1">
      <alignment horizontal="center" vertical="center"/>
    </xf>
    <xf numFmtId="2" fontId="20" fillId="2" borderId="2" xfId="0" applyNumberFormat="1" applyFont="1" applyFill="1" applyBorder="1" applyAlignment="1">
      <alignment horizontal="center" vertical="center"/>
    </xf>
    <xf numFmtId="2" fontId="20" fillId="2" borderId="3" xfId="0" applyNumberFormat="1" applyFont="1" applyFill="1" applyBorder="1" applyAlignment="1">
      <alignment horizontal="center" vertical="center"/>
    </xf>
    <xf numFmtId="169" fontId="21" fillId="4" borderId="6" xfId="0" applyNumberFormat="1" applyFont="1" applyFill="1" applyBorder="1" applyAlignment="1">
      <alignment horizontal="center"/>
    </xf>
    <xf numFmtId="169" fontId="21" fillId="4" borderId="9" xfId="0" applyNumberFormat="1" applyFont="1" applyFill="1" applyBorder="1" applyAlignment="1">
      <alignment horizontal="center"/>
    </xf>
    <xf numFmtId="169" fontId="21" fillId="4" borderId="10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2C36BDAE-CEE2-4CE5-8C13-AF7E86DD9576}"/>
    <cellStyle name="Comma 20 2" xfId="2" xr:uid="{56A5EEA6-D01C-4074-90C3-E65EFC764C31}"/>
    <cellStyle name="Normal" xfId="0" builtinId="0"/>
  </cellStyles>
  <dxfs count="8">
    <dxf>
      <numFmt numFmtId="174" formatCode="\-"/>
    </dxf>
    <dxf>
      <numFmt numFmtId="174" formatCode="\-"/>
    </dxf>
    <dxf>
      <fill>
        <patternFill>
          <bgColor rgb="FFFFF98B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</xdr:row>
      <xdr:rowOff>13607</xdr:rowOff>
    </xdr:from>
    <xdr:to>
      <xdr:col>5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C9EA89C-6783-4A84-9FC3-CFFE73B9400F}"/>
            </a:ext>
          </a:extLst>
        </xdr:cNvPr>
        <xdr:cNvSpPr/>
      </xdr:nvSpPr>
      <xdr:spPr>
        <a:xfrm>
          <a:off x="3941989" y="251732"/>
          <a:ext cx="1061357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6</xdr:col>
      <xdr:colOff>16327</xdr:colOff>
      <xdr:row>1</xdr:row>
      <xdr:rowOff>16330</xdr:rowOff>
    </xdr:from>
    <xdr:to>
      <xdr:col>6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B9306AF-5E5C-461B-B932-6264F2C48308}"/>
            </a:ext>
          </a:extLst>
        </xdr:cNvPr>
        <xdr:cNvSpPr/>
      </xdr:nvSpPr>
      <xdr:spPr>
        <a:xfrm>
          <a:off x="5026477" y="254455"/>
          <a:ext cx="1099459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sijo/Desktop/Base%20RMC/2026%2002.%20Feb%2026/BRMC/02%20-%20Base%20RMC%20_%202026%20February.xlsx" TargetMode="External"/><Relationship Id="rId2" Type="http://schemas.openxmlformats.org/officeDocument/2006/relationships/externalLinkPath" Target="file:///C:\Users\sijo\Desktop\Base%20RMC\2026%2002.%20Feb%2026\BRMC\02%20-%20Base%20RMC%20_%202026%20February.xlsx" TargetMode="External"/><Relationship Id="rId1" Type="http://schemas.openxmlformats.org/officeDocument/2006/relationships/externalLinkPath" Target="/Users/sijo/Desktop/Base%20RMC/2026%2002.%20Feb%2026/BRMC/02%20-%20Base%20RMC%20_%202026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ion KPI"/>
      <sheetName val="Extr JCO"/>
      <sheetName val="BFL"/>
      <sheetName val="Pivot (BFL)"/>
      <sheetName val="Embossing"/>
      <sheetName val="Pivot (E)"/>
      <sheetName val="Spout&amp;Valve"/>
      <sheetName val="Pivot (Spout&amp;Valve)"/>
      <sheetName val="Bag&amp;Pouch"/>
      <sheetName val="Pivot (B &amp; P)"/>
      <sheetName val="PTR Rew"/>
      <sheetName val="Pivot (PTR Rew)"/>
      <sheetName val="Pivot_Lam Rates"/>
      <sheetName val="Slit"/>
      <sheetName val="Pivot (S)"/>
      <sheetName val="Lam"/>
      <sheetName val="Pivot (L)"/>
      <sheetName val="Matt Laquer"/>
      <sheetName val="Print"/>
      <sheetName val="RMC summary"/>
      <sheetName val="prnt wrkg pivot"/>
      <sheetName val="Printing Work"/>
      <sheetName val="Pivot (P)"/>
      <sheetName val="HCI Rew"/>
      <sheetName val="Pivot (HCI Rew)"/>
      <sheetName val="Reco-RMC QTY"/>
      <sheetName val="Jobtrack"/>
      <sheetName val="Sheet5"/>
      <sheetName val="Jobtrack (ADH adj)"/>
      <sheetName val="Printed Meters (P)"/>
      <sheetName val="FG"/>
      <sheetName val="Overall Wastage - Product Wise"/>
      <sheetName val="Overall Wastage - Process Wise"/>
      <sheetName val="OPN_WIP"/>
      <sheetName val="CLS_WIP"/>
      <sheetName val="Samples Feb"/>
      <sheetName val="NOTE"/>
      <sheetName val="Sheet4"/>
      <sheetName val="Sheet1"/>
      <sheetName val="Sheet3"/>
      <sheetName val="Sheet2"/>
      <sheetName val="NO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">
          <cell r="B6" t="str">
            <v>Order No</v>
          </cell>
        </row>
        <row r="7">
          <cell r="B7" t="str">
            <v>B01065</v>
          </cell>
        </row>
        <row r="8">
          <cell r="B8" t="str">
            <v>G00411</v>
          </cell>
        </row>
        <row r="9">
          <cell r="B9" t="str">
            <v>N00942</v>
          </cell>
        </row>
        <row r="10">
          <cell r="B10" t="str">
            <v>N01007</v>
          </cell>
        </row>
        <row r="11">
          <cell r="B11" t="str">
            <v>L00328</v>
          </cell>
        </row>
        <row r="12">
          <cell r="B12" t="str">
            <v>J00828</v>
          </cell>
        </row>
        <row r="13">
          <cell r="B13" t="str">
            <v>J00832</v>
          </cell>
        </row>
        <row r="14">
          <cell r="B14" t="str">
            <v>N00936</v>
          </cell>
        </row>
        <row r="15">
          <cell r="B15" t="str">
            <v>N01002</v>
          </cell>
        </row>
        <row r="16">
          <cell r="B16" t="str">
            <v>N00940</v>
          </cell>
        </row>
        <row r="17">
          <cell r="B17" t="str">
            <v>N01001</v>
          </cell>
        </row>
        <row r="18">
          <cell r="B18" t="str">
            <v>C01503</v>
          </cell>
        </row>
        <row r="19">
          <cell r="B19" t="str">
            <v>C01428</v>
          </cell>
        </row>
        <row r="20">
          <cell r="B20" t="str">
            <v>C01506</v>
          </cell>
        </row>
        <row r="21">
          <cell r="B21" t="str">
            <v>E01013</v>
          </cell>
        </row>
        <row r="22">
          <cell r="B22" t="str">
            <v>J01011</v>
          </cell>
        </row>
        <row r="23">
          <cell r="B23" t="str">
            <v>J01012</v>
          </cell>
        </row>
        <row r="24">
          <cell r="B24" t="str">
            <v>C01549</v>
          </cell>
        </row>
        <row r="25">
          <cell r="B25" t="str">
            <v>C01548</v>
          </cell>
        </row>
        <row r="26">
          <cell r="B26" t="str">
            <v>J01013</v>
          </cell>
        </row>
        <row r="27">
          <cell r="B27" t="str">
            <v>N00937</v>
          </cell>
        </row>
        <row r="28">
          <cell r="B28" t="str">
            <v>N01006</v>
          </cell>
        </row>
        <row r="29">
          <cell r="B29" t="str">
            <v>J01014</v>
          </cell>
        </row>
        <row r="30">
          <cell r="B30" t="str">
            <v>N01008</v>
          </cell>
        </row>
        <row r="31">
          <cell r="B31" t="str">
            <v>N01004</v>
          </cell>
        </row>
        <row r="32">
          <cell r="B32" t="str">
            <v>N01011</v>
          </cell>
        </row>
        <row r="33">
          <cell r="B33" t="str">
            <v>N01009</v>
          </cell>
        </row>
        <row r="34">
          <cell r="B34" t="str">
            <v>N00999</v>
          </cell>
        </row>
        <row r="35">
          <cell r="B35" t="str">
            <v>N01005</v>
          </cell>
        </row>
        <row r="36">
          <cell r="B36" t="str">
            <v>N01012</v>
          </cell>
        </row>
        <row r="37">
          <cell r="B37" t="str">
            <v>C01547</v>
          </cell>
        </row>
        <row r="38">
          <cell r="B38" t="str">
            <v>C01447</v>
          </cell>
        </row>
        <row r="39">
          <cell r="B39" t="str">
            <v>C01456</v>
          </cell>
        </row>
        <row r="40">
          <cell r="B40" t="str">
            <v>C01419</v>
          </cell>
        </row>
        <row r="41">
          <cell r="B41" t="str">
            <v>C01498</v>
          </cell>
        </row>
        <row r="42">
          <cell r="B42" t="str">
            <v>C01500</v>
          </cell>
        </row>
        <row r="43">
          <cell r="B43" t="str">
            <v>N00785</v>
          </cell>
        </row>
        <row r="44">
          <cell r="B44" t="str">
            <v>N00962</v>
          </cell>
        </row>
        <row r="45">
          <cell r="B45" t="str">
            <v>N01000</v>
          </cell>
        </row>
        <row r="46">
          <cell r="B46" t="str">
            <v>N01010</v>
          </cell>
        </row>
        <row r="47">
          <cell r="B47" t="str">
            <v>H01384</v>
          </cell>
        </row>
        <row r="48">
          <cell r="B48" t="str">
            <v>C01539</v>
          </cell>
        </row>
        <row r="49">
          <cell r="B49" t="str">
            <v>C01542</v>
          </cell>
        </row>
        <row r="50">
          <cell r="B50" t="str">
            <v>C01544</v>
          </cell>
        </row>
        <row r="51">
          <cell r="B51" t="str">
            <v>C01545</v>
          </cell>
        </row>
        <row r="52">
          <cell r="B52" t="str">
            <v>C01546</v>
          </cell>
        </row>
        <row r="53">
          <cell r="B53" t="str">
            <v>C01540</v>
          </cell>
        </row>
        <row r="54">
          <cell r="B54" t="str">
            <v>C01402</v>
          </cell>
        </row>
        <row r="55">
          <cell r="B55" t="str">
            <v>C01537</v>
          </cell>
        </row>
        <row r="56">
          <cell r="B56" t="str">
            <v>C01533</v>
          </cell>
        </row>
        <row r="57">
          <cell r="B57" t="str">
            <v>C01534</v>
          </cell>
        </row>
        <row r="58">
          <cell r="B58" t="str">
            <v>C01535</v>
          </cell>
        </row>
        <row r="59">
          <cell r="B59" t="str">
            <v>E01060</v>
          </cell>
        </row>
        <row r="60">
          <cell r="B60" t="str">
            <v>J00989</v>
          </cell>
        </row>
        <row r="61">
          <cell r="B61" t="str">
            <v>N00821</v>
          </cell>
        </row>
        <row r="62">
          <cell r="B62" t="str">
            <v>J01016</v>
          </cell>
        </row>
        <row r="63">
          <cell r="B63" t="str">
            <v>J00990</v>
          </cell>
        </row>
        <row r="64">
          <cell r="B64" t="str">
            <v>J01004</v>
          </cell>
        </row>
        <row r="65">
          <cell r="B65" t="str">
            <v>J00996</v>
          </cell>
        </row>
        <row r="66">
          <cell r="B66" t="str">
            <v>P00468</v>
          </cell>
        </row>
        <row r="67">
          <cell r="B67" t="str">
            <v>B01057</v>
          </cell>
        </row>
        <row r="68">
          <cell r="B68" t="str">
            <v>B01066</v>
          </cell>
        </row>
        <row r="69">
          <cell r="B69" t="str">
            <v>N00822</v>
          </cell>
        </row>
        <row r="70">
          <cell r="B70" t="str">
            <v>N00825</v>
          </cell>
        </row>
        <row r="71">
          <cell r="B71" t="str">
            <v>N00824</v>
          </cell>
        </row>
        <row r="72">
          <cell r="B72" t="str">
            <v>P00466</v>
          </cell>
        </row>
        <row r="73">
          <cell r="B73" t="str">
            <v>H01347</v>
          </cell>
        </row>
        <row r="74">
          <cell r="B74" t="str">
            <v>H01283</v>
          </cell>
        </row>
        <row r="75">
          <cell r="B75" t="str">
            <v>C01561</v>
          </cell>
        </row>
        <row r="76">
          <cell r="B76" t="str">
            <v>F00895</v>
          </cell>
        </row>
        <row r="77">
          <cell r="B77" t="str">
            <v>N00973</v>
          </cell>
        </row>
        <row r="78">
          <cell r="B78" t="str">
            <v>N00981</v>
          </cell>
        </row>
        <row r="79">
          <cell r="B79" t="str">
            <v>H01299</v>
          </cell>
        </row>
        <row r="80">
          <cell r="B80" t="str">
            <v>B01060</v>
          </cell>
        </row>
        <row r="81">
          <cell r="B81" t="str">
            <v>L00326</v>
          </cell>
        </row>
        <row r="82">
          <cell r="B82" t="str">
            <v>L00327</v>
          </cell>
        </row>
        <row r="83">
          <cell r="B83" t="str">
            <v>C01358</v>
          </cell>
        </row>
        <row r="84">
          <cell r="B84" t="str">
            <v>C01509</v>
          </cell>
        </row>
        <row r="85">
          <cell r="B85" t="str">
            <v>C01483</v>
          </cell>
        </row>
        <row r="86">
          <cell r="B86" t="str">
            <v>N00750</v>
          </cell>
        </row>
        <row r="87">
          <cell r="B87" t="str">
            <v>N00772</v>
          </cell>
        </row>
        <row r="88">
          <cell r="B88" t="str">
            <v>F00878</v>
          </cell>
        </row>
        <row r="89">
          <cell r="B89" t="str">
            <v>B01063</v>
          </cell>
        </row>
        <row r="90">
          <cell r="B90" t="str">
            <v>B01064</v>
          </cell>
        </row>
        <row r="91">
          <cell r="B91" t="str">
            <v>B01077</v>
          </cell>
        </row>
        <row r="92">
          <cell r="B92" t="str">
            <v>L00335</v>
          </cell>
        </row>
        <row r="93">
          <cell r="B93" t="str">
            <v>B01062</v>
          </cell>
        </row>
        <row r="94">
          <cell r="B94" t="str">
            <v>E00957</v>
          </cell>
        </row>
        <row r="95">
          <cell r="B95" t="str">
            <v>N00949</v>
          </cell>
        </row>
        <row r="96">
          <cell r="B96" t="str">
            <v>N01029</v>
          </cell>
        </row>
        <row r="97">
          <cell r="B97" t="str">
            <v>N00932</v>
          </cell>
        </row>
        <row r="98">
          <cell r="B98" t="str">
            <v>H01354</v>
          </cell>
        </row>
        <row r="99">
          <cell r="B99" t="str">
            <v>H01351</v>
          </cell>
        </row>
        <row r="100">
          <cell r="B100" t="str">
            <v>H01350</v>
          </cell>
        </row>
        <row r="101">
          <cell r="B101" t="str">
            <v>N01035</v>
          </cell>
        </row>
        <row r="102">
          <cell r="B102" t="str">
            <v>C01541</v>
          </cell>
        </row>
        <row r="103">
          <cell r="B103" t="str">
            <v>C01538</v>
          </cell>
        </row>
        <row r="104">
          <cell r="B104" t="str">
            <v>C01536</v>
          </cell>
        </row>
        <row r="105">
          <cell r="B105" t="str">
            <v>C01572</v>
          </cell>
        </row>
        <row r="106">
          <cell r="B106" t="str">
            <v>J01029</v>
          </cell>
        </row>
        <row r="107">
          <cell r="B107" t="str">
            <v>N01032</v>
          </cell>
        </row>
        <row r="108">
          <cell r="B108" t="str">
            <v>P00495</v>
          </cell>
        </row>
        <row r="109">
          <cell r="B109" t="str">
            <v>C01527</v>
          </cell>
        </row>
        <row r="110">
          <cell r="B110" t="str">
            <v>C01526</v>
          </cell>
        </row>
        <row r="111">
          <cell r="B111" t="str">
            <v>C01560</v>
          </cell>
        </row>
        <row r="112">
          <cell r="B112" t="str">
            <v>C01532</v>
          </cell>
        </row>
        <row r="113">
          <cell r="B113" t="str">
            <v>C01514</v>
          </cell>
        </row>
        <row r="114">
          <cell r="B114" t="str">
            <v>C01516</v>
          </cell>
        </row>
        <row r="115">
          <cell r="B115" t="str">
            <v>C01555</v>
          </cell>
        </row>
        <row r="116">
          <cell r="B116" t="str">
            <v>J01028</v>
          </cell>
        </row>
        <row r="117">
          <cell r="B117" t="str">
            <v>J00971</v>
          </cell>
        </row>
        <row r="118">
          <cell r="B118" t="str">
            <v>J00972</v>
          </cell>
        </row>
        <row r="119">
          <cell r="B119" t="str">
            <v>J00973</v>
          </cell>
        </row>
        <row r="120">
          <cell r="B120" t="str">
            <v>N00701</v>
          </cell>
        </row>
        <row r="121">
          <cell r="B121" t="str">
            <v>N00702</v>
          </cell>
        </row>
        <row r="122">
          <cell r="B122" t="str">
            <v>N00873</v>
          </cell>
        </row>
        <row r="123">
          <cell r="B123" t="str">
            <v>N00872</v>
          </cell>
        </row>
        <row r="124">
          <cell r="B124" t="str">
            <v>C01422</v>
          </cell>
        </row>
        <row r="125">
          <cell r="B125" t="str">
            <v>C01427</v>
          </cell>
        </row>
        <row r="126">
          <cell r="B126" t="str">
            <v>B01087</v>
          </cell>
        </row>
        <row r="127">
          <cell r="B127" t="str">
            <v>J01030</v>
          </cell>
        </row>
        <row r="128">
          <cell r="B128" t="str">
            <v>J01027</v>
          </cell>
        </row>
        <row r="129">
          <cell r="B129" t="str">
            <v>H01455</v>
          </cell>
        </row>
        <row r="130">
          <cell r="B130" t="str">
            <v>P00500</v>
          </cell>
        </row>
        <row r="131">
          <cell r="B131" t="str">
            <v>F00894</v>
          </cell>
        </row>
        <row r="132">
          <cell r="B132" t="str">
            <v>N00974</v>
          </cell>
        </row>
        <row r="133">
          <cell r="B133" t="str">
            <v>P00474</v>
          </cell>
        </row>
        <row r="134">
          <cell r="B134" t="str">
            <v>P00470</v>
          </cell>
        </row>
        <row r="135">
          <cell r="B135" t="str">
            <v>P00444</v>
          </cell>
        </row>
        <row r="136">
          <cell r="B136" t="str">
            <v>P00477</v>
          </cell>
        </row>
        <row r="137">
          <cell r="B137" t="str">
            <v>H01382</v>
          </cell>
        </row>
        <row r="138">
          <cell r="B138" t="str">
            <v>E01020</v>
          </cell>
        </row>
        <row r="139">
          <cell r="B139" t="str">
            <v>E01061</v>
          </cell>
        </row>
        <row r="140">
          <cell r="B140" t="str">
            <v>H01240</v>
          </cell>
        </row>
        <row r="141">
          <cell r="B141" t="str">
            <v>C01577</v>
          </cell>
        </row>
        <row r="142">
          <cell r="B142" t="str">
            <v>E01066</v>
          </cell>
        </row>
        <row r="143">
          <cell r="B143" t="str">
            <v>E01065</v>
          </cell>
        </row>
        <row r="144">
          <cell r="B144" t="str">
            <v>C01556</v>
          </cell>
        </row>
        <row r="145">
          <cell r="B145" t="str">
            <v>C01476</v>
          </cell>
        </row>
        <row r="146">
          <cell r="B146" t="str">
            <v>P00475</v>
          </cell>
        </row>
        <row r="147">
          <cell r="B147" t="str">
            <v>P00471</v>
          </cell>
        </row>
        <row r="148">
          <cell r="B148" t="str">
            <v>N01003</v>
          </cell>
        </row>
        <row r="149">
          <cell r="B149" t="str">
            <v>N00888</v>
          </cell>
        </row>
        <row r="150">
          <cell r="B150" t="str">
            <v>P00469</v>
          </cell>
        </row>
        <row r="151">
          <cell r="B151" t="str">
            <v>P00478</v>
          </cell>
        </row>
        <row r="152">
          <cell r="B152" t="str">
            <v>N00945</v>
          </cell>
        </row>
        <row r="153">
          <cell r="B153" t="str">
            <v>N00854</v>
          </cell>
        </row>
        <row r="154">
          <cell r="B154" t="str">
            <v>N00855</v>
          </cell>
        </row>
        <row r="155">
          <cell r="B155" t="str">
            <v>N00852</v>
          </cell>
        </row>
        <row r="156">
          <cell r="B156" t="str">
            <v>G00418</v>
          </cell>
        </row>
        <row r="157">
          <cell r="B157" t="str">
            <v>C01339</v>
          </cell>
        </row>
        <row r="158">
          <cell r="B158" t="str">
            <v>C01341</v>
          </cell>
        </row>
        <row r="159">
          <cell r="B159" t="str">
            <v>N00796</v>
          </cell>
        </row>
        <row r="160">
          <cell r="B160" t="str">
            <v>N00850</v>
          </cell>
        </row>
        <row r="161">
          <cell r="B161" t="str">
            <v>C01342</v>
          </cell>
        </row>
        <row r="162">
          <cell r="B162" t="str">
            <v>C01340</v>
          </cell>
        </row>
        <row r="163">
          <cell r="B163" t="str">
            <v>G00425</v>
          </cell>
        </row>
        <row r="164">
          <cell r="B164" t="str">
            <v>G00422</v>
          </cell>
        </row>
        <row r="165">
          <cell r="B165" t="str">
            <v>G00423</v>
          </cell>
        </row>
        <row r="166">
          <cell r="B166" t="str">
            <v>G00426</v>
          </cell>
        </row>
        <row r="167">
          <cell r="B167" t="str">
            <v>P00497</v>
          </cell>
        </row>
        <row r="168">
          <cell r="B168" t="str">
            <v>L00332</v>
          </cell>
        </row>
        <row r="169">
          <cell r="B169" t="str">
            <v>L00329</v>
          </cell>
        </row>
        <row r="170">
          <cell r="B170" t="str">
            <v>H01367</v>
          </cell>
        </row>
        <row r="171">
          <cell r="B171" t="str">
            <v>H01372</v>
          </cell>
        </row>
        <row r="172">
          <cell r="B172" t="str">
            <v>E00795</v>
          </cell>
        </row>
        <row r="173">
          <cell r="B173" t="str">
            <v>E00794</v>
          </cell>
        </row>
        <row r="174">
          <cell r="B174">
            <v>64478</v>
          </cell>
        </row>
        <row r="175">
          <cell r="B175">
            <v>64479</v>
          </cell>
        </row>
        <row r="176">
          <cell r="B176" t="str">
            <v>J01000</v>
          </cell>
        </row>
        <row r="177">
          <cell r="B177">
            <v>64480</v>
          </cell>
        </row>
        <row r="178">
          <cell r="B178" t="str">
            <v>N00859</v>
          </cell>
        </row>
        <row r="179">
          <cell r="B179" t="str">
            <v>C01586</v>
          </cell>
        </row>
        <row r="180">
          <cell r="B180" t="str">
            <v>C01587</v>
          </cell>
        </row>
        <row r="181">
          <cell r="B181" t="str">
            <v>C01585</v>
          </cell>
        </row>
        <row r="182">
          <cell r="B182" t="str">
            <v>G00421</v>
          </cell>
        </row>
        <row r="183">
          <cell r="B183" t="str">
            <v>E01069</v>
          </cell>
        </row>
        <row r="184">
          <cell r="B184" t="str">
            <v>N00853</v>
          </cell>
        </row>
        <row r="185">
          <cell r="B185" t="str">
            <v>G00419</v>
          </cell>
        </row>
        <row r="186">
          <cell r="B186" t="str">
            <v>P00502</v>
          </cell>
        </row>
        <row r="187">
          <cell r="B187" t="str">
            <v>B01061</v>
          </cell>
        </row>
        <row r="188">
          <cell r="B188" t="str">
            <v>B01059</v>
          </cell>
        </row>
        <row r="189">
          <cell r="B189" t="str">
            <v>P00449</v>
          </cell>
        </row>
        <row r="190">
          <cell r="B190" t="str">
            <v>P00476</v>
          </cell>
        </row>
        <row r="191">
          <cell r="B191" t="str">
            <v>P00479</v>
          </cell>
        </row>
        <row r="192">
          <cell r="B192" t="str">
            <v>P00472</v>
          </cell>
        </row>
        <row r="193">
          <cell r="B193" t="str">
            <v>P00487</v>
          </cell>
        </row>
        <row r="194">
          <cell r="B194" t="str">
            <v>C01575</v>
          </cell>
        </row>
        <row r="195">
          <cell r="B195" t="str">
            <v>G00417</v>
          </cell>
        </row>
        <row r="196">
          <cell r="B196" t="str">
            <v>F00898</v>
          </cell>
        </row>
        <row r="197">
          <cell r="B197" t="str">
            <v>C01569</v>
          </cell>
        </row>
        <row r="198">
          <cell r="B198" t="str">
            <v>H01287</v>
          </cell>
        </row>
        <row r="199">
          <cell r="B199" t="str">
            <v>H01340</v>
          </cell>
        </row>
        <row r="200">
          <cell r="B200" t="str">
            <v>C01576</v>
          </cell>
        </row>
        <row r="201">
          <cell r="B201" t="str">
            <v>C01510</v>
          </cell>
        </row>
        <row r="202">
          <cell r="B202" t="str">
            <v>C01563</v>
          </cell>
        </row>
        <row r="203">
          <cell r="B203" t="str">
            <v>C01564</v>
          </cell>
        </row>
        <row r="204">
          <cell r="B204" t="str">
            <v>C01550</v>
          </cell>
        </row>
        <row r="205">
          <cell r="B205" t="str">
            <v>H01467</v>
          </cell>
        </row>
        <row r="206">
          <cell r="B206" t="str">
            <v>E01085</v>
          </cell>
        </row>
        <row r="207">
          <cell r="B207" t="str">
            <v>P00496</v>
          </cell>
        </row>
        <row r="208">
          <cell r="B208" t="str">
            <v>N00909</v>
          </cell>
        </row>
        <row r="209">
          <cell r="B209" t="str">
            <v>N00958</v>
          </cell>
        </row>
        <row r="210">
          <cell r="B210" t="str">
            <v>N00707</v>
          </cell>
        </row>
        <row r="211">
          <cell r="B211" t="str">
            <v>N01013</v>
          </cell>
        </row>
        <row r="212">
          <cell r="B212" t="str">
            <v>E01068</v>
          </cell>
        </row>
        <row r="213">
          <cell r="B213" t="str">
            <v>C01579</v>
          </cell>
        </row>
        <row r="214">
          <cell r="B214" t="str">
            <v>E01067</v>
          </cell>
        </row>
        <row r="215">
          <cell r="B215" t="str">
            <v>F00901</v>
          </cell>
        </row>
        <row r="216">
          <cell r="B216" t="str">
            <v>F00899</v>
          </cell>
        </row>
        <row r="217">
          <cell r="B217" t="str">
            <v>C01596</v>
          </cell>
        </row>
        <row r="218">
          <cell r="B218" t="str">
            <v>C01595</v>
          </cell>
        </row>
        <row r="219">
          <cell r="B219" t="str">
            <v>H01453</v>
          </cell>
        </row>
        <row r="220">
          <cell r="B220" t="str">
            <v>C01565</v>
          </cell>
        </row>
        <row r="221">
          <cell r="B221" t="str">
            <v>N01014</v>
          </cell>
        </row>
        <row r="222">
          <cell r="B222" t="str">
            <v>F00904</v>
          </cell>
        </row>
        <row r="223">
          <cell r="B223" t="str">
            <v>F00906</v>
          </cell>
        </row>
        <row r="224">
          <cell r="B224" t="str">
            <v>F00902</v>
          </cell>
        </row>
        <row r="225">
          <cell r="B225" t="str">
            <v>J01035</v>
          </cell>
        </row>
        <row r="226">
          <cell r="B226" t="str">
            <v>F00909</v>
          </cell>
        </row>
        <row r="227">
          <cell r="B227" t="str">
            <v>N01051</v>
          </cell>
        </row>
        <row r="228">
          <cell r="B228" t="str">
            <v>N01069</v>
          </cell>
        </row>
        <row r="229">
          <cell r="B229" t="str">
            <v>H01454</v>
          </cell>
        </row>
        <row r="230">
          <cell r="B230" t="str">
            <v>P00498</v>
          </cell>
        </row>
        <row r="231">
          <cell r="B231" t="str">
            <v>B01090</v>
          </cell>
        </row>
        <row r="232">
          <cell r="B232" t="str">
            <v>N00917</v>
          </cell>
        </row>
        <row r="233">
          <cell r="B233" t="str">
            <v>N01071</v>
          </cell>
        </row>
        <row r="234">
          <cell r="B234" t="str">
            <v>N01068</v>
          </cell>
        </row>
        <row r="235">
          <cell r="B235" t="str">
            <v>N01076</v>
          </cell>
        </row>
        <row r="236">
          <cell r="B236" t="str">
            <v>N01050</v>
          </cell>
        </row>
        <row r="237">
          <cell r="B237" t="str">
            <v>C01602</v>
          </cell>
        </row>
        <row r="238">
          <cell r="B238" t="str">
            <v>C01603</v>
          </cell>
        </row>
        <row r="239">
          <cell r="B239" t="str">
            <v>C01568</v>
          </cell>
        </row>
        <row r="240">
          <cell r="B240" t="str">
            <v>C01567</v>
          </cell>
        </row>
        <row r="241">
          <cell r="B241" t="str">
            <v>N01067</v>
          </cell>
        </row>
        <row r="242">
          <cell r="B242" t="str">
            <v>H01321</v>
          </cell>
        </row>
        <row r="243">
          <cell r="B243" t="str">
            <v>C01590</v>
          </cell>
        </row>
        <row r="244">
          <cell r="B244" t="str">
            <v>H01389</v>
          </cell>
        </row>
        <row r="245">
          <cell r="B245" t="str">
            <v>N00916</v>
          </cell>
        </row>
        <row r="246">
          <cell r="B246" t="str">
            <v>N00966</v>
          </cell>
        </row>
        <row r="247">
          <cell r="B247" t="str">
            <v>H01320</v>
          </cell>
        </row>
        <row r="248">
          <cell r="B248" t="str">
            <v>H01370</v>
          </cell>
        </row>
        <row r="249">
          <cell r="B249" t="str">
            <v>C01578</v>
          </cell>
        </row>
        <row r="250">
          <cell r="B250" t="str">
            <v>C01591</v>
          </cell>
        </row>
        <row r="251">
          <cell r="B251" t="str">
            <v>E01086</v>
          </cell>
        </row>
        <row r="252">
          <cell r="B252" t="str">
            <v>E01087</v>
          </cell>
        </row>
        <row r="253">
          <cell r="B253" t="str">
            <v>C01502</v>
          </cell>
        </row>
        <row r="254">
          <cell r="B254" t="str">
            <v>C01571</v>
          </cell>
        </row>
        <row r="255">
          <cell r="B255" t="str">
            <v>C01594</v>
          </cell>
        </row>
        <row r="256">
          <cell r="B256" t="str">
            <v>C01592</v>
          </cell>
        </row>
        <row r="257">
          <cell r="B257" t="str">
            <v>C01562</v>
          </cell>
        </row>
        <row r="258">
          <cell r="B258" t="str">
            <v>H01386</v>
          </cell>
        </row>
        <row r="259">
          <cell r="B259" t="str">
            <v>N00918</v>
          </cell>
        </row>
        <row r="260">
          <cell r="B260" t="str">
            <v>N00988</v>
          </cell>
        </row>
        <row r="261">
          <cell r="B261" t="str">
            <v>G00427</v>
          </cell>
        </row>
        <row r="262">
          <cell r="B262" t="str">
            <v>P00462</v>
          </cell>
        </row>
        <row r="263">
          <cell r="B263" t="str">
            <v>N01031</v>
          </cell>
        </row>
        <row r="264">
          <cell r="B264" t="str">
            <v>G00404</v>
          </cell>
        </row>
        <row r="265">
          <cell r="B265" t="str">
            <v>E01088</v>
          </cell>
        </row>
        <row r="266">
          <cell r="B266" t="str">
            <v>C01593</v>
          </cell>
        </row>
        <row r="267">
          <cell r="B267" t="str">
            <v>C01557</v>
          </cell>
        </row>
        <row r="268">
          <cell r="B268" t="str">
            <v>C01558</v>
          </cell>
        </row>
        <row r="269">
          <cell r="B269" t="str">
            <v>C01559</v>
          </cell>
        </row>
        <row r="270">
          <cell r="B270" t="str">
            <v>F00907</v>
          </cell>
        </row>
        <row r="271">
          <cell r="B271" t="str">
            <v>F00908</v>
          </cell>
        </row>
        <row r="272">
          <cell r="B272" t="str">
            <v>F00905</v>
          </cell>
        </row>
        <row r="273">
          <cell r="B273" t="str">
            <v>F00910</v>
          </cell>
        </row>
        <row r="274">
          <cell r="B274" t="str">
            <v>E01089</v>
          </cell>
        </row>
        <row r="275">
          <cell r="B275" t="str">
            <v>B01107</v>
          </cell>
        </row>
        <row r="276">
          <cell r="B276" t="str">
            <v>B01109</v>
          </cell>
        </row>
        <row r="277">
          <cell r="B277" t="str">
            <v>B01108</v>
          </cell>
        </row>
        <row r="278">
          <cell r="B278" t="str">
            <v>E01091</v>
          </cell>
        </row>
        <row r="279">
          <cell r="B279" t="str">
            <v>H01313</v>
          </cell>
        </row>
        <row r="280">
          <cell r="B280" t="str">
            <v>E01090</v>
          </cell>
        </row>
        <row r="281">
          <cell r="B281" t="str">
            <v>H01375</v>
          </cell>
        </row>
        <row r="282">
          <cell r="B282" t="str">
            <v>C01583</v>
          </cell>
        </row>
        <row r="283">
          <cell r="B283" t="str">
            <v>F00900</v>
          </cell>
        </row>
        <row r="284">
          <cell r="B284" t="str">
            <v>N00965</v>
          </cell>
        </row>
        <row r="285">
          <cell r="B285" t="str">
            <v>N00914</v>
          </cell>
        </row>
        <row r="286">
          <cell r="B286" t="str">
            <v>N00915</v>
          </cell>
        </row>
        <row r="287">
          <cell r="B287" t="str">
            <v>N00967</v>
          </cell>
        </row>
        <row r="288">
          <cell r="B288" t="str">
            <v>N00968</v>
          </cell>
        </row>
        <row r="289">
          <cell r="B289" t="str">
            <v>N00969</v>
          </cell>
        </row>
        <row r="290">
          <cell r="B290" t="str">
            <v>N01030</v>
          </cell>
        </row>
        <row r="291">
          <cell r="B291" t="str">
            <v>N00993</v>
          </cell>
        </row>
        <row r="292">
          <cell r="B292" t="str">
            <v>N00992</v>
          </cell>
        </row>
        <row r="293">
          <cell r="B293" t="str">
            <v>N00928</v>
          </cell>
        </row>
        <row r="294">
          <cell r="B294" t="str">
            <v>N00930</v>
          </cell>
        </row>
        <row r="295">
          <cell r="B295" t="str">
            <v>N00927</v>
          </cell>
        </row>
        <row r="296">
          <cell r="B296" t="str">
            <v>N00926</v>
          </cell>
        </row>
        <row r="297">
          <cell r="B297" t="str">
            <v>N00929</v>
          </cell>
        </row>
        <row r="298">
          <cell r="B298" t="str">
            <v>J01031</v>
          </cell>
        </row>
        <row r="299">
          <cell r="B299" t="str">
            <v>N00906</v>
          </cell>
        </row>
        <row r="300">
          <cell r="B300" t="str">
            <v>H01315</v>
          </cell>
        </row>
        <row r="301">
          <cell r="B301" t="str">
            <v>N00997</v>
          </cell>
        </row>
        <row r="302">
          <cell r="B302" t="str">
            <v>R00016</v>
          </cell>
        </row>
        <row r="303">
          <cell r="B303" t="str">
            <v>R00018</v>
          </cell>
        </row>
        <row r="304">
          <cell r="B304" t="str">
            <v>R00019</v>
          </cell>
        </row>
        <row r="305">
          <cell r="B305" t="str">
            <v>R00017</v>
          </cell>
        </row>
        <row r="306">
          <cell r="B306" t="str">
            <v>C01589</v>
          </cell>
        </row>
        <row r="307">
          <cell r="B307" t="str">
            <v>C01588</v>
          </cell>
        </row>
        <row r="308">
          <cell r="B308" t="str">
            <v>C01566</v>
          </cell>
        </row>
        <row r="309">
          <cell r="B309" t="str">
            <v>N01092</v>
          </cell>
        </row>
        <row r="310">
          <cell r="B310" t="str">
            <v>H01324</v>
          </cell>
        </row>
        <row r="311">
          <cell r="B311" t="str">
            <v>J00947</v>
          </cell>
        </row>
        <row r="312">
          <cell r="B312" t="str">
            <v>N00851</v>
          </cell>
        </row>
        <row r="313">
          <cell r="B313" t="str">
            <v>N00856</v>
          </cell>
        </row>
        <row r="314">
          <cell r="B314" t="str">
            <v>N00857</v>
          </cell>
        </row>
        <row r="315">
          <cell r="B315" t="str">
            <v>N00858</v>
          </cell>
        </row>
        <row r="316">
          <cell r="B316" t="str">
            <v>N01052</v>
          </cell>
        </row>
        <row r="317">
          <cell r="B317" t="str">
            <v>N01056</v>
          </cell>
        </row>
        <row r="318">
          <cell r="B318" t="str">
            <v>N01053</v>
          </cell>
        </row>
        <row r="319">
          <cell r="B319" t="str">
            <v>B01080</v>
          </cell>
        </row>
        <row r="320">
          <cell r="B320" t="str">
            <v>B01079</v>
          </cell>
        </row>
        <row r="321">
          <cell r="B321" t="str">
            <v>B01081</v>
          </cell>
        </row>
        <row r="322">
          <cell r="B322" t="str">
            <v>B01078</v>
          </cell>
        </row>
        <row r="323">
          <cell r="B323" t="str">
            <v>H01333</v>
          </cell>
        </row>
        <row r="324">
          <cell r="B324" t="str">
            <v>H01310</v>
          </cell>
        </row>
        <row r="325">
          <cell r="B325" t="str">
            <v>H01336</v>
          </cell>
        </row>
        <row r="326">
          <cell r="B326" t="str">
            <v>H01418</v>
          </cell>
        </row>
        <row r="327">
          <cell r="B327" t="str">
            <v>N00946</v>
          </cell>
        </row>
        <row r="328">
          <cell r="B328" t="str">
            <v>N00922</v>
          </cell>
        </row>
        <row r="329">
          <cell r="B329" t="str">
            <v>N00923</v>
          </cell>
        </row>
        <row r="330">
          <cell r="B330" t="str">
            <v>J01034</v>
          </cell>
        </row>
        <row r="331">
          <cell r="B331" t="str">
            <v>N00984</v>
          </cell>
        </row>
        <row r="332">
          <cell r="B332" t="str">
            <v>N00985</v>
          </cell>
        </row>
        <row r="333">
          <cell r="B333" t="str">
            <v>N00983</v>
          </cell>
        </row>
        <row r="334">
          <cell r="B334" t="str">
            <v>N00982</v>
          </cell>
        </row>
        <row r="335">
          <cell r="B335" t="str">
            <v>N01090</v>
          </cell>
        </row>
        <row r="336">
          <cell r="B336" t="str">
            <v>H01421</v>
          </cell>
        </row>
        <row r="337">
          <cell r="B337" t="str">
            <v>J00948</v>
          </cell>
        </row>
        <row r="338">
          <cell r="B338" t="str">
            <v>N01034</v>
          </cell>
        </row>
        <row r="339">
          <cell r="B339" t="str">
            <v>N01066</v>
          </cell>
        </row>
        <row r="340">
          <cell r="B340" t="str">
            <v>N01074</v>
          </cell>
        </row>
        <row r="341">
          <cell r="B341" t="str">
            <v>N01075</v>
          </cell>
        </row>
        <row r="342">
          <cell r="B342" t="str">
            <v>N01077</v>
          </cell>
        </row>
        <row r="343">
          <cell r="B343" t="str">
            <v>N01070</v>
          </cell>
        </row>
        <row r="344">
          <cell r="B344" t="str">
            <v>N00947</v>
          </cell>
        </row>
        <row r="345">
          <cell r="B345" t="str">
            <v>H01473</v>
          </cell>
        </row>
        <row r="346">
          <cell r="B346" t="str">
            <v>H01476</v>
          </cell>
        </row>
        <row r="347">
          <cell r="B347" t="str">
            <v>H01443</v>
          </cell>
        </row>
        <row r="348">
          <cell r="B348" t="str">
            <v>B01056</v>
          </cell>
        </row>
        <row r="349">
          <cell r="B349" t="str">
            <v>B01082</v>
          </cell>
        </row>
        <row r="350">
          <cell r="B350" t="str">
            <v>B01083</v>
          </cell>
        </row>
        <row r="351">
          <cell r="B351" t="str">
            <v>N01073</v>
          </cell>
        </row>
        <row r="352">
          <cell r="B352" t="str">
            <v>N01098</v>
          </cell>
        </row>
        <row r="353">
          <cell r="B353" t="str">
            <v>N01072</v>
          </cell>
        </row>
        <row r="354">
          <cell r="B354" t="str">
            <v>N01078</v>
          </cell>
        </row>
        <row r="355">
          <cell r="B355" t="str">
            <v>N01108</v>
          </cell>
        </row>
        <row r="356">
          <cell r="B356" t="str">
            <v>B01096</v>
          </cell>
        </row>
        <row r="357">
          <cell r="B357" t="str">
            <v>B01097</v>
          </cell>
        </row>
        <row r="358">
          <cell r="B358" t="str">
            <v>B01098</v>
          </cell>
        </row>
        <row r="359">
          <cell r="B359" t="str">
            <v>B01099</v>
          </cell>
        </row>
        <row r="360">
          <cell r="B360" t="str">
            <v>B01095</v>
          </cell>
        </row>
        <row r="361">
          <cell r="B361" t="str">
            <v>B01114</v>
          </cell>
        </row>
        <row r="362">
          <cell r="B362" t="str">
            <v>H01385</v>
          </cell>
        </row>
        <row r="363">
          <cell r="B363" t="str">
            <v>H01368</v>
          </cell>
        </row>
        <row r="364">
          <cell r="B364" t="str">
            <v>N00979</v>
          </cell>
        </row>
        <row r="365">
          <cell r="B365" t="str">
            <v>N00874</v>
          </cell>
        </row>
        <row r="366">
          <cell r="B366" t="str">
            <v>N00971</v>
          </cell>
        </row>
        <row r="367">
          <cell r="B367" t="str">
            <v>N01086</v>
          </cell>
        </row>
        <row r="368">
          <cell r="B368" t="str">
            <v>H01413</v>
          </cell>
        </row>
        <row r="369">
          <cell r="B369" t="str">
            <v>N00990</v>
          </cell>
        </row>
        <row r="370">
          <cell r="B370" t="str">
            <v>B01086</v>
          </cell>
        </row>
        <row r="371">
          <cell r="B371" t="str">
            <v>R00021</v>
          </cell>
        </row>
        <row r="372">
          <cell r="B372" t="str">
            <v>F00914</v>
          </cell>
        </row>
        <row r="373">
          <cell r="B373" t="str">
            <v>F00916</v>
          </cell>
        </row>
        <row r="374">
          <cell r="B374" t="str">
            <v>F00917</v>
          </cell>
        </row>
        <row r="375">
          <cell r="B375" t="str">
            <v>F00918</v>
          </cell>
        </row>
        <row r="376">
          <cell r="B376" t="str">
            <v>F00920</v>
          </cell>
        </row>
        <row r="377">
          <cell r="B377" t="str">
            <v>B01100</v>
          </cell>
        </row>
        <row r="378">
          <cell r="B378" t="str">
            <v>C01605</v>
          </cell>
        </row>
        <row r="379">
          <cell r="B379" t="str">
            <v>B01127</v>
          </cell>
        </row>
        <row r="380">
          <cell r="B380" t="str">
            <v>G00433</v>
          </cell>
        </row>
        <row r="381">
          <cell r="B381" t="str">
            <v>H01403</v>
          </cell>
        </row>
        <row r="382">
          <cell r="B382" t="str">
            <v>H01383</v>
          </cell>
        </row>
        <row r="383">
          <cell r="B383" t="str">
            <v>B01106</v>
          </cell>
        </row>
        <row r="384">
          <cell r="B384" t="str">
            <v>B01105</v>
          </cell>
        </row>
        <row r="385">
          <cell r="B385" t="str">
            <v>N00931</v>
          </cell>
        </row>
        <row r="386">
          <cell r="B386" t="str">
            <v>N00920</v>
          </cell>
        </row>
        <row r="387">
          <cell r="B387" t="str">
            <v>N00925</v>
          </cell>
        </row>
        <row r="388">
          <cell r="B388" t="str">
            <v>B01119</v>
          </cell>
        </row>
        <row r="389">
          <cell r="B389" t="str">
            <v>J01005</v>
          </cell>
        </row>
        <row r="390">
          <cell r="B390" t="str">
            <v>J00877</v>
          </cell>
        </row>
        <row r="391">
          <cell r="B391" t="str">
            <v>H01307</v>
          </cell>
        </row>
        <row r="392">
          <cell r="B392" t="str">
            <v>N00765</v>
          </cell>
        </row>
        <row r="393">
          <cell r="B393" t="str">
            <v>G00400</v>
          </cell>
        </row>
        <row r="394">
          <cell r="B394" t="str">
            <v>N00764</v>
          </cell>
        </row>
        <row r="395">
          <cell r="B395" t="str">
            <v>H01318</v>
          </cell>
        </row>
        <row r="396">
          <cell r="B396" t="str">
            <v>E01025</v>
          </cell>
        </row>
        <row r="397">
          <cell r="B397" t="str">
            <v>G00403</v>
          </cell>
        </row>
        <row r="398">
          <cell r="B398" t="str">
            <v>C01480</v>
          </cell>
        </row>
        <row r="399">
          <cell r="B399" t="str">
            <v>J01001</v>
          </cell>
        </row>
        <row r="400">
          <cell r="B400" t="str">
            <v>N00989</v>
          </cell>
        </row>
        <row r="401">
          <cell r="B401" t="str">
            <v>B01067</v>
          </cell>
        </row>
        <row r="402">
          <cell r="B402" t="str">
            <v>B01068</v>
          </cell>
        </row>
        <row r="403">
          <cell r="B403" t="str">
            <v>R00007</v>
          </cell>
        </row>
        <row r="404">
          <cell r="B404" t="str">
            <v>P00463</v>
          </cell>
        </row>
        <row r="405">
          <cell r="B405" t="str">
            <v>N00892</v>
          </cell>
        </row>
        <row r="406">
          <cell r="B406" t="str">
            <v>J01002</v>
          </cell>
        </row>
        <row r="407">
          <cell r="B407" t="str">
            <v>J01003</v>
          </cell>
        </row>
        <row r="408">
          <cell r="B408" t="str">
            <v>E01026</v>
          </cell>
        </row>
        <row r="409">
          <cell r="B409" t="str">
            <v>L00325</v>
          </cell>
        </row>
        <row r="410">
          <cell r="B410" t="str">
            <v>C01513</v>
          </cell>
        </row>
        <row r="411">
          <cell r="B411" t="str">
            <v>E01027</v>
          </cell>
        </row>
        <row r="412">
          <cell r="B412" t="str">
            <v>L00334</v>
          </cell>
        </row>
        <row r="413">
          <cell r="B413" t="str">
            <v>G00409</v>
          </cell>
        </row>
        <row r="414">
          <cell r="B414" t="str">
            <v>L00333</v>
          </cell>
        </row>
        <row r="415">
          <cell r="B415" t="str">
            <v>L00331</v>
          </cell>
        </row>
        <row r="416">
          <cell r="B416" t="str">
            <v>L00330</v>
          </cell>
        </row>
        <row r="417">
          <cell r="B417" t="str">
            <v>H01268</v>
          </cell>
        </row>
        <row r="418">
          <cell r="B418" t="str">
            <v>H01205</v>
          </cell>
        </row>
        <row r="419">
          <cell r="B419" t="str">
            <v>P00461</v>
          </cell>
        </row>
        <row r="420">
          <cell r="B420" t="str">
            <v>H01272</v>
          </cell>
        </row>
        <row r="421">
          <cell r="B421" t="str">
            <v>J00875</v>
          </cell>
        </row>
        <row r="422">
          <cell r="B422" t="str">
            <v>G00413</v>
          </cell>
        </row>
        <row r="423">
          <cell r="B423" t="str">
            <v>G00414</v>
          </cell>
        </row>
        <row r="424">
          <cell r="B424" t="str">
            <v>G00415</v>
          </cell>
        </row>
        <row r="425">
          <cell r="B425" t="str">
            <v>G00416</v>
          </cell>
        </row>
        <row r="426">
          <cell r="B426" t="str">
            <v>F00892</v>
          </cell>
        </row>
        <row r="427">
          <cell r="B427" t="str">
            <v>E00989</v>
          </cell>
        </row>
        <row r="428">
          <cell r="B428" t="str">
            <v>E01021</v>
          </cell>
        </row>
        <row r="429">
          <cell r="B429" t="str">
            <v>E01018</v>
          </cell>
        </row>
        <row r="430">
          <cell r="B430" t="str">
            <v>H01355</v>
          </cell>
        </row>
        <row r="431">
          <cell r="B431" t="str">
            <v>B01058</v>
          </cell>
        </row>
        <row r="432">
          <cell r="B432" t="str">
            <v>H01391</v>
          </cell>
        </row>
        <row r="433">
          <cell r="B433" t="str">
            <v>N00902</v>
          </cell>
        </row>
        <row r="434">
          <cell r="B434" t="str">
            <v>N00890</v>
          </cell>
        </row>
        <row r="435">
          <cell r="B435" t="str">
            <v>P00491</v>
          </cell>
        </row>
        <row r="436">
          <cell r="B436" t="str">
            <v>P00492</v>
          </cell>
        </row>
        <row r="437">
          <cell r="B437" t="str">
            <v>J00945</v>
          </cell>
        </row>
        <row r="438">
          <cell r="B438" t="str">
            <v>C01523</v>
          </cell>
        </row>
        <row r="439">
          <cell r="B439" t="str">
            <v>C01325</v>
          </cell>
        </row>
        <row r="440">
          <cell r="B440" t="str">
            <v>C01497</v>
          </cell>
        </row>
        <row r="441">
          <cell r="B441" t="str">
            <v>B01069</v>
          </cell>
        </row>
        <row r="442">
          <cell r="B442" t="str">
            <v>P00493</v>
          </cell>
        </row>
        <row r="443">
          <cell r="B443" t="str">
            <v>C01531</v>
          </cell>
        </row>
        <row r="444">
          <cell r="B444" t="str">
            <v>H01360</v>
          </cell>
        </row>
        <row r="445">
          <cell r="B445" t="str">
            <v>H01363</v>
          </cell>
        </row>
        <row r="446">
          <cell r="B446" t="str">
            <v>H01364</v>
          </cell>
        </row>
        <row r="447">
          <cell r="B447" t="str">
            <v>H01365</v>
          </cell>
        </row>
        <row r="448">
          <cell r="B448" t="str">
            <v>F00897</v>
          </cell>
        </row>
        <row r="449">
          <cell r="B449" t="str">
            <v>F00893</v>
          </cell>
        </row>
        <row r="450">
          <cell r="B450" t="str">
            <v>C01554</v>
          </cell>
        </row>
        <row r="451">
          <cell r="B451" t="str">
            <v>C01528</v>
          </cell>
        </row>
        <row r="452">
          <cell r="B452" t="str">
            <v>C01552</v>
          </cell>
        </row>
        <row r="453">
          <cell r="B453" t="str">
            <v>C01553</v>
          </cell>
        </row>
        <row r="454">
          <cell r="B454" t="str">
            <v>C01529</v>
          </cell>
        </row>
        <row r="455">
          <cell r="B455" t="str">
            <v>C01499</v>
          </cell>
        </row>
        <row r="456">
          <cell r="B456" t="str">
            <v>B01084</v>
          </cell>
        </row>
        <row r="457">
          <cell r="B457" t="str">
            <v>H01270</v>
          </cell>
        </row>
        <row r="458">
          <cell r="B458" t="str">
            <v>C01501</v>
          </cell>
        </row>
        <row r="459">
          <cell r="B459" t="str">
            <v>C01357</v>
          </cell>
        </row>
        <row r="460">
          <cell r="B460" t="str">
            <v>C01508</v>
          </cell>
        </row>
        <row r="461">
          <cell r="B461" t="str">
            <v>G00424</v>
          </cell>
        </row>
        <row r="462">
          <cell r="B462" t="str">
            <v>C01551</v>
          </cell>
        </row>
        <row r="463">
          <cell r="B463" t="str">
            <v>B01085</v>
          </cell>
        </row>
        <row r="464">
          <cell r="B464" t="str">
            <v>H01379</v>
          </cell>
        </row>
        <row r="465">
          <cell r="B465" t="str">
            <v>J01006</v>
          </cell>
        </row>
        <row r="466">
          <cell r="B466" t="str">
            <v>J00873</v>
          </cell>
        </row>
        <row r="467">
          <cell r="B467" t="str">
            <v>C01449</v>
          </cell>
        </row>
        <row r="468">
          <cell r="B468" t="str">
            <v>H01306</v>
          </cell>
        </row>
        <row r="469">
          <cell r="B469" t="str">
            <v>B01030</v>
          </cell>
        </row>
        <row r="470">
          <cell r="B470" t="str">
            <v>G00399</v>
          </cell>
        </row>
        <row r="471">
          <cell r="B471" t="str">
            <v>N00938</v>
          </cell>
        </row>
        <row r="472">
          <cell r="B472" t="str">
            <v>N00943</v>
          </cell>
        </row>
        <row r="473">
          <cell r="B473" t="str">
            <v>N00939</v>
          </cell>
        </row>
        <row r="474">
          <cell r="B474" t="str">
            <v>N00944</v>
          </cell>
        </row>
        <row r="475">
          <cell r="B475" t="str">
            <v>G00407</v>
          </cell>
        </row>
        <row r="476">
          <cell r="B476" t="str">
            <v>J00992</v>
          </cell>
        </row>
        <row r="477">
          <cell r="B477" t="str">
            <v>J00993</v>
          </cell>
        </row>
        <row r="478">
          <cell r="B478" t="str">
            <v>J00991</v>
          </cell>
        </row>
        <row r="479">
          <cell r="B479" t="str">
            <v>F00882</v>
          </cell>
        </row>
        <row r="480">
          <cell r="B480" t="str">
            <v>N00905</v>
          </cell>
        </row>
        <row r="481">
          <cell r="B481" t="str">
            <v>C01496</v>
          </cell>
        </row>
        <row r="482">
          <cell r="B482" t="str">
            <v>C01512</v>
          </cell>
        </row>
        <row r="483">
          <cell r="B483" t="str">
            <v>C01517</v>
          </cell>
        </row>
        <row r="484">
          <cell r="B484" t="str">
            <v>B01072</v>
          </cell>
        </row>
        <row r="485">
          <cell r="B485" t="str">
            <v>C01518</v>
          </cell>
        </row>
        <row r="486">
          <cell r="B486" t="str">
            <v>G00410</v>
          </cell>
        </row>
        <row r="487">
          <cell r="B487" t="str">
            <v>C01521</v>
          </cell>
        </row>
        <row r="488">
          <cell r="B488" t="str">
            <v>C01522</v>
          </cell>
        </row>
        <row r="489">
          <cell r="B489" t="str">
            <v>C01520</v>
          </cell>
        </row>
        <row r="490">
          <cell r="B490" t="str">
            <v>H01271</v>
          </cell>
        </row>
        <row r="491">
          <cell r="B491" t="str">
            <v>P00419</v>
          </cell>
        </row>
        <row r="492">
          <cell r="B492" t="str">
            <v>H01215</v>
          </cell>
        </row>
        <row r="493">
          <cell r="B493" t="str">
            <v>H01266</v>
          </cell>
        </row>
        <row r="494">
          <cell r="B494" t="str">
            <v>H01387</v>
          </cell>
        </row>
        <row r="495">
          <cell r="B495" t="str">
            <v>H01293</v>
          </cell>
        </row>
        <row r="496">
          <cell r="B496" t="str">
            <v>P00441</v>
          </cell>
        </row>
        <row r="497">
          <cell r="B497" t="str">
            <v>B01052</v>
          </cell>
        </row>
        <row r="498">
          <cell r="B498" t="str">
            <v>B01044</v>
          </cell>
        </row>
        <row r="499">
          <cell r="B499" t="str">
            <v>B00998</v>
          </cell>
        </row>
        <row r="500">
          <cell r="B500" t="str">
            <v>B00999</v>
          </cell>
        </row>
        <row r="501">
          <cell r="B501" t="str">
            <v>B00996</v>
          </cell>
        </row>
        <row r="502">
          <cell r="B502" t="str">
            <v>B00995</v>
          </cell>
        </row>
        <row r="503">
          <cell r="B503" t="str">
            <v>B01005</v>
          </cell>
        </row>
        <row r="504">
          <cell r="B504" t="str">
            <v>J00904</v>
          </cell>
        </row>
        <row r="505">
          <cell r="B505" t="str">
            <v>J00909</v>
          </cell>
        </row>
        <row r="506">
          <cell r="B506" t="str">
            <v>J00833</v>
          </cell>
        </row>
        <row r="507">
          <cell r="B507">
            <v>64521</v>
          </cell>
        </row>
        <row r="508">
          <cell r="B508" t="str">
            <v>J00745</v>
          </cell>
        </row>
        <row r="509">
          <cell r="B509" t="str">
            <v>J00744</v>
          </cell>
        </row>
        <row r="510">
          <cell r="B510" t="str">
            <v>J00747</v>
          </cell>
        </row>
        <row r="511">
          <cell r="B511" t="str">
            <v>J00750</v>
          </cell>
        </row>
        <row r="512">
          <cell r="B512" t="str">
            <v>J00896</v>
          </cell>
        </row>
        <row r="513">
          <cell r="B513" t="str">
            <v>J00898</v>
          </cell>
        </row>
        <row r="514">
          <cell r="B514" t="str">
            <v>B00919</v>
          </cell>
        </row>
        <row r="515">
          <cell r="B515" t="str">
            <v>L00288</v>
          </cell>
        </row>
        <row r="516">
          <cell r="B516" t="str">
            <v>C01276</v>
          </cell>
        </row>
        <row r="517">
          <cell r="B517">
            <v>64423</v>
          </cell>
        </row>
        <row r="518">
          <cell r="B518" t="str">
            <v>B00684</v>
          </cell>
        </row>
        <row r="519">
          <cell r="B519" t="str">
            <v>C00605</v>
          </cell>
        </row>
        <row r="520">
          <cell r="B520" t="str">
            <v>C00611</v>
          </cell>
        </row>
        <row r="521">
          <cell r="B521" t="str">
            <v>C00660</v>
          </cell>
        </row>
        <row r="522">
          <cell r="B522" t="str">
            <v>C00875</v>
          </cell>
        </row>
        <row r="523">
          <cell r="B523" t="str">
            <v>F00386</v>
          </cell>
        </row>
        <row r="524">
          <cell r="B524" t="str">
            <v>F00468</v>
          </cell>
        </row>
        <row r="525">
          <cell r="B525" t="str">
            <v>J00631</v>
          </cell>
        </row>
        <row r="526">
          <cell r="B526" t="str">
            <v>F00626</v>
          </cell>
        </row>
        <row r="527">
          <cell r="B527" t="str">
            <v>J00140</v>
          </cell>
        </row>
        <row r="528">
          <cell r="B528" t="str">
            <v>H00512</v>
          </cell>
        </row>
        <row r="529">
          <cell r="B529" t="str">
            <v>G00306</v>
          </cell>
        </row>
        <row r="530">
          <cell r="B530" t="str">
            <v>H00916</v>
          </cell>
        </row>
        <row r="531">
          <cell r="B531" t="str">
            <v>B00389</v>
          </cell>
        </row>
        <row r="532">
          <cell r="B532" t="str">
            <v>H01120</v>
          </cell>
        </row>
        <row r="533">
          <cell r="B533" t="str">
            <v>J00187</v>
          </cell>
        </row>
        <row r="534">
          <cell r="B534" t="str">
            <v>J00432</v>
          </cell>
        </row>
        <row r="535">
          <cell r="B535">
            <v>59411</v>
          </cell>
        </row>
        <row r="536">
          <cell r="B536">
            <v>60810</v>
          </cell>
        </row>
        <row r="537">
          <cell r="B537">
            <v>59394</v>
          </cell>
        </row>
        <row r="538">
          <cell r="B538" t="str">
            <v>S22-20</v>
          </cell>
        </row>
        <row r="539">
          <cell r="B539">
            <v>60503</v>
          </cell>
        </row>
        <row r="540">
          <cell r="B540" t="str">
            <v>C00566</v>
          </cell>
        </row>
        <row r="541">
          <cell r="B541" t="str">
            <v>S13-38</v>
          </cell>
        </row>
        <row r="542">
          <cell r="B542">
            <v>58923</v>
          </cell>
        </row>
        <row r="543">
          <cell r="B543" t="str">
            <v>E00221</v>
          </cell>
        </row>
        <row r="544">
          <cell r="B544" t="str">
            <v>J00735</v>
          </cell>
        </row>
        <row r="545">
          <cell r="B545" t="str">
            <v>J00777</v>
          </cell>
        </row>
        <row r="546">
          <cell r="B546" t="str">
            <v>J00780</v>
          </cell>
        </row>
        <row r="547">
          <cell r="B547" t="str">
            <v>J00782</v>
          </cell>
        </row>
        <row r="548">
          <cell r="B548" t="str">
            <v>G00324</v>
          </cell>
        </row>
        <row r="549">
          <cell r="B549" t="str">
            <v>J00695</v>
          </cell>
        </row>
        <row r="550">
          <cell r="B550" t="str">
            <v>J00687</v>
          </cell>
        </row>
        <row r="551">
          <cell r="B551" t="str">
            <v>J00693</v>
          </cell>
        </row>
        <row r="552">
          <cell r="B552" t="str">
            <v>J00697</v>
          </cell>
        </row>
        <row r="553">
          <cell r="B553" t="str">
            <v>J00689</v>
          </cell>
        </row>
        <row r="554">
          <cell r="B554" t="str">
            <v>J00699</v>
          </cell>
        </row>
        <row r="555">
          <cell r="B555" t="str">
            <v>P00253</v>
          </cell>
        </row>
        <row r="556">
          <cell r="B556" t="str">
            <v>J00331</v>
          </cell>
        </row>
        <row r="557">
          <cell r="B557" t="str">
            <v>J00326</v>
          </cell>
        </row>
        <row r="558">
          <cell r="B558" t="str">
            <v>N00339</v>
          </cell>
        </row>
        <row r="559">
          <cell r="B559" t="str">
            <v>N00337</v>
          </cell>
        </row>
        <row r="560">
          <cell r="B560" t="str">
            <v>G00162</v>
          </cell>
        </row>
        <row r="561">
          <cell r="B561" t="str">
            <v>J00399</v>
          </cell>
        </row>
        <row r="562">
          <cell r="B562" t="str">
            <v>J00401</v>
          </cell>
        </row>
        <row r="563">
          <cell r="B563" t="str">
            <v>J00397</v>
          </cell>
        </row>
        <row r="564">
          <cell r="B564" t="str">
            <v>J00389</v>
          </cell>
        </row>
        <row r="565">
          <cell r="B565" t="str">
            <v>J00395</v>
          </cell>
        </row>
        <row r="566">
          <cell r="B566" t="str">
            <v>J00391</v>
          </cell>
        </row>
        <row r="567">
          <cell r="B567" t="str">
            <v>C00507</v>
          </cell>
        </row>
        <row r="568">
          <cell r="B568" t="str">
            <v>C00505</v>
          </cell>
        </row>
        <row r="569">
          <cell r="B569">
            <v>59360</v>
          </cell>
        </row>
        <row r="570">
          <cell r="B570">
            <v>61362</v>
          </cell>
        </row>
        <row r="571">
          <cell r="B571">
            <v>61368</v>
          </cell>
        </row>
        <row r="572">
          <cell r="B572" t="str">
            <v>N00416</v>
          </cell>
        </row>
        <row r="573">
          <cell r="B573" t="str">
            <v>P00335</v>
          </cell>
        </row>
        <row r="574">
          <cell r="B574">
            <v>50014</v>
          </cell>
        </row>
        <row r="575">
          <cell r="B575" t="str">
            <v>N00546</v>
          </cell>
        </row>
        <row r="576">
          <cell r="B576" t="str">
            <v>B00641</v>
          </cell>
        </row>
        <row r="577">
          <cell r="B577" t="str">
            <v>B00619</v>
          </cell>
        </row>
        <row r="578">
          <cell r="B578" t="str">
            <v>B00623</v>
          </cell>
        </row>
        <row r="579">
          <cell r="B579" t="str">
            <v>N00669</v>
          </cell>
        </row>
        <row r="580">
          <cell r="B580" t="str">
            <v>J00563</v>
          </cell>
        </row>
        <row r="581">
          <cell r="B581" t="str">
            <v>J00582</v>
          </cell>
        </row>
        <row r="582">
          <cell r="B582" t="str">
            <v>J00111</v>
          </cell>
        </row>
        <row r="583">
          <cell r="B583" t="str">
            <v>B00803</v>
          </cell>
        </row>
        <row r="584">
          <cell r="B584" t="str">
            <v>P00334</v>
          </cell>
        </row>
        <row r="585">
          <cell r="B585" t="str">
            <v>J00686</v>
          </cell>
        </row>
        <row r="586">
          <cell r="B586" t="str">
            <v>H01065</v>
          </cell>
        </row>
        <row r="587">
          <cell r="B587" t="str">
            <v>B00774</v>
          </cell>
        </row>
        <row r="588">
          <cell r="B588" t="str">
            <v>B00136</v>
          </cell>
        </row>
        <row r="589">
          <cell r="B589" t="str">
            <v>J00400</v>
          </cell>
        </row>
        <row r="590">
          <cell r="B590">
            <v>64418</v>
          </cell>
        </row>
        <row r="591">
          <cell r="B591" t="str">
            <v>E01035</v>
          </cell>
        </row>
        <row r="592">
          <cell r="B592" t="str">
            <v>E01036</v>
          </cell>
        </row>
        <row r="593">
          <cell r="B593" t="str">
            <v>E01033</v>
          </cell>
        </row>
        <row r="594">
          <cell r="B594" t="str">
            <v>E01032</v>
          </cell>
        </row>
        <row r="595">
          <cell r="B595" t="str">
            <v>E01051</v>
          </cell>
        </row>
        <row r="596">
          <cell r="B596" t="str">
            <v>E01052</v>
          </cell>
        </row>
        <row r="597">
          <cell r="B597" t="str">
            <v>E01047</v>
          </cell>
        </row>
        <row r="598">
          <cell r="B598" t="str">
            <v>E01054</v>
          </cell>
        </row>
        <row r="599">
          <cell r="B599" t="str">
            <v>E01050</v>
          </cell>
        </row>
        <row r="600">
          <cell r="B600" t="str">
            <v>E01057</v>
          </cell>
        </row>
        <row r="601">
          <cell r="B601" t="str">
            <v>E01058</v>
          </cell>
        </row>
        <row r="602">
          <cell r="B602" t="str">
            <v>E01059</v>
          </cell>
        </row>
        <row r="603">
          <cell r="B603" t="str">
            <v>E01048</v>
          </cell>
        </row>
        <row r="604">
          <cell r="B604" t="str">
            <v>E01056</v>
          </cell>
        </row>
        <row r="605">
          <cell r="B605" t="str">
            <v>E01046</v>
          </cell>
        </row>
        <row r="606">
          <cell r="B606" t="str">
            <v>E01055</v>
          </cell>
        </row>
        <row r="607">
          <cell r="B607" t="str">
            <v>E01072</v>
          </cell>
        </row>
        <row r="608">
          <cell r="B608" t="str">
            <v>E01073</v>
          </cell>
        </row>
        <row r="609">
          <cell r="B609" t="str">
            <v>E01049</v>
          </cell>
        </row>
        <row r="610">
          <cell r="B610" t="str">
            <v>E01071</v>
          </cell>
        </row>
        <row r="611">
          <cell r="B611" t="str">
            <v>E01082</v>
          </cell>
        </row>
        <row r="612">
          <cell r="B612" t="str">
            <v>E01083</v>
          </cell>
        </row>
        <row r="613">
          <cell r="B613" t="str">
            <v>E01078</v>
          </cell>
        </row>
        <row r="614">
          <cell r="B614" t="str">
            <v>E01070</v>
          </cell>
        </row>
        <row r="615">
          <cell r="B615" t="str">
            <v>E01074</v>
          </cell>
        </row>
        <row r="616">
          <cell r="B616" t="str">
            <v>E01077</v>
          </cell>
        </row>
        <row r="617">
          <cell r="B617" t="str">
            <v>E01075</v>
          </cell>
        </row>
        <row r="618">
          <cell r="B618" t="str">
            <v>E01076</v>
          </cell>
        </row>
        <row r="619">
          <cell r="B619" t="str">
            <v>E01081</v>
          </cell>
        </row>
        <row r="620">
          <cell r="B620" t="str">
            <v>E01084</v>
          </cell>
        </row>
        <row r="621">
          <cell r="B621" t="str">
            <v>E01092</v>
          </cell>
        </row>
        <row r="622">
          <cell r="B622" t="str">
            <v>G00210</v>
          </cell>
        </row>
        <row r="623">
          <cell r="B623" t="str">
            <v>C01584</v>
          </cell>
        </row>
        <row r="624">
          <cell r="B624" t="str">
            <v>C01582</v>
          </cell>
        </row>
        <row r="625">
          <cell r="B625" t="str">
            <v>C01573</v>
          </cell>
        </row>
        <row r="626">
          <cell r="B626" t="str">
            <v>H01456</v>
          </cell>
        </row>
        <row r="627">
          <cell r="B627" t="str">
            <v>E01099</v>
          </cell>
        </row>
        <row r="628">
          <cell r="B628" t="str">
            <v>J01066/J01009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8AF7-E2B5-4B56-8B93-A7877771DA6B}">
  <dimension ref="A1:JL75"/>
  <sheetViews>
    <sheetView tabSelected="1" topLeftCell="DW3" zoomScale="70" zoomScaleNormal="70" workbookViewId="0">
      <selection activeCell="BC40" sqref="BC40"/>
    </sheetView>
  </sheetViews>
  <sheetFormatPr defaultRowHeight="14.5" outlineLevelCol="1" x14ac:dyDescent="0.35"/>
  <cols>
    <col min="1" max="1" width="12.54296875" customWidth="1"/>
    <col min="2" max="2" width="12.1796875" customWidth="1"/>
    <col min="3" max="3" width="13.453125" customWidth="1"/>
    <col min="4" max="4" width="7.26953125" customWidth="1"/>
    <col min="5" max="5" width="13.26953125" customWidth="1"/>
    <col min="6" max="6" width="16.453125" customWidth="1"/>
    <col min="7" max="7" width="17" customWidth="1"/>
    <col min="8" max="9" width="9.1796875" customWidth="1"/>
    <col min="10" max="10" width="12.26953125" hidden="1" customWidth="1"/>
    <col min="11" max="11" width="11.1796875" customWidth="1"/>
    <col min="12" max="12" width="8.453125" hidden="1" customWidth="1"/>
    <col min="13" max="13" width="10.54296875" hidden="1" customWidth="1"/>
    <col min="14" max="14" width="51.453125" hidden="1" customWidth="1"/>
    <col min="15" max="15" width="42.54296875" customWidth="1"/>
    <col min="16" max="16" width="16.453125" hidden="1" customWidth="1"/>
    <col min="17" max="17" width="11.81640625" style="1" hidden="1" customWidth="1"/>
    <col min="18" max="18" width="19.26953125" style="1" hidden="1" customWidth="1"/>
    <col min="19" max="21" width="11.81640625" hidden="1" customWidth="1"/>
    <col min="22" max="22" width="13.26953125" hidden="1" customWidth="1"/>
    <col min="23" max="23" width="12.54296875" hidden="1" customWidth="1"/>
    <col min="24" max="24" width="17.1796875" hidden="1" customWidth="1"/>
    <col min="25" max="25" width="18" hidden="1" customWidth="1"/>
    <col min="26" max="26" width="19.26953125" hidden="1" customWidth="1"/>
    <col min="27" max="27" width="13" hidden="1" customWidth="1"/>
    <col min="28" max="28" width="14.7265625" style="3" hidden="1" customWidth="1"/>
    <col min="29" max="29" width="16.26953125" style="3" hidden="1" customWidth="1"/>
    <col min="30" max="30" width="14" style="166" hidden="1" customWidth="1"/>
    <col min="31" max="31" width="14.1796875" style="3" hidden="1" customWidth="1"/>
    <col min="32" max="34" width="9.1796875" hidden="1" customWidth="1"/>
    <col min="35" max="35" width="9.1796875" style="3" hidden="1" customWidth="1"/>
    <col min="36" max="36" width="12.54296875" style="3" hidden="1" customWidth="1"/>
    <col min="37" max="37" width="14.81640625" style="167" hidden="1" customWidth="1"/>
    <col min="38" max="38" width="13.7265625" style="167" hidden="1" customWidth="1"/>
    <col min="39" max="39" width="15" hidden="1" customWidth="1"/>
    <col min="40" max="42" width="9.1796875" hidden="1" customWidth="1"/>
    <col min="43" max="44" width="9" hidden="1" customWidth="1"/>
    <col min="45" max="45" width="9" customWidth="1"/>
    <col min="46" max="46" width="14.1796875" customWidth="1"/>
    <col min="47" max="47" width="11.81640625" customWidth="1"/>
    <col min="48" max="48" width="9" customWidth="1"/>
    <col min="49" max="49" width="9.26953125" customWidth="1"/>
    <col min="50" max="50" width="13.1796875" style="3" customWidth="1"/>
    <col min="51" max="51" width="12.1796875" style="3" customWidth="1"/>
    <col min="52" max="52" width="14.1796875" style="3" customWidth="1"/>
    <col min="53" max="53" width="15.453125" customWidth="1"/>
    <col min="54" max="54" width="12.7265625" style="3" customWidth="1"/>
    <col min="55" max="55" width="12.7265625" style="1" customWidth="1"/>
    <col min="56" max="56" width="12.7265625" customWidth="1"/>
    <col min="57" max="59" width="9.1796875" customWidth="1"/>
    <col min="60" max="60" width="12.453125" customWidth="1"/>
    <col min="61" max="61" width="9.1796875" customWidth="1"/>
    <col min="62" max="62" width="13.1796875" customWidth="1"/>
    <col min="63" max="63" width="12.7265625" customWidth="1"/>
    <col min="64" max="66" width="9.1796875" customWidth="1"/>
    <col min="67" max="67" width="11.26953125" customWidth="1"/>
    <col min="68" max="68" width="9.1796875" customWidth="1"/>
    <col min="69" max="69" width="19.1796875" customWidth="1"/>
    <col min="70" max="70" width="11.54296875" customWidth="1"/>
    <col min="71" max="75" width="9.1796875" customWidth="1"/>
    <col min="76" max="76" width="13.81640625" customWidth="1"/>
    <col min="77" max="77" width="11.1796875" customWidth="1"/>
    <col min="78" max="78" width="10.7265625" style="4" customWidth="1"/>
    <col min="79" max="79" width="13.453125" customWidth="1"/>
    <col min="80" max="80" width="11.54296875" customWidth="1"/>
    <col min="81" max="83" width="9.1796875" customWidth="1"/>
    <col min="84" max="84" width="10" customWidth="1"/>
    <col min="85" max="85" width="9.1796875" customWidth="1"/>
    <col min="86" max="86" width="14.453125" customWidth="1"/>
    <col min="87" max="87" width="14.81640625" customWidth="1"/>
    <col min="88" max="88" width="11.54296875" style="3" customWidth="1"/>
    <col min="89" max="89" width="14" customWidth="1"/>
    <col min="90" max="90" width="12.1796875" customWidth="1"/>
    <col min="91" max="91" width="13" style="1" customWidth="1"/>
    <col min="92" max="92" width="9.7265625" style="3" customWidth="1"/>
    <col min="93" max="93" width="10.7265625" customWidth="1"/>
    <col min="94" max="94" width="13.81640625" bestFit="1" customWidth="1"/>
    <col min="95" max="95" width="9.26953125" style="1" customWidth="1"/>
    <col min="96" max="96" width="10.26953125" style="3" customWidth="1"/>
    <col min="97" max="97" width="13.81640625" customWidth="1"/>
    <col min="98" max="98" width="9.1796875" customWidth="1"/>
    <col min="99" max="99" width="9.26953125" style="1" customWidth="1"/>
    <col min="100" max="100" width="9.1796875" style="3" customWidth="1"/>
    <col min="101" max="101" width="9.453125" customWidth="1"/>
    <col min="102" max="103" width="9.1796875" customWidth="1"/>
    <col min="104" max="104" width="9.1796875" customWidth="1" outlineLevel="1"/>
    <col min="105" max="105" width="9.1796875" customWidth="1"/>
    <col min="106" max="106" width="24" customWidth="1"/>
    <col min="107" max="107" width="14.81640625" customWidth="1"/>
    <col min="108" max="108" width="9.1796875" customWidth="1"/>
    <col min="109" max="109" width="9.1796875" style="11" customWidth="1"/>
    <col min="110" max="110" width="10.7265625" customWidth="1"/>
    <col min="111" max="111" width="9.7265625" customWidth="1"/>
    <col min="112" max="112" width="9.1796875" customWidth="1"/>
    <col min="113" max="113" width="29.7265625" customWidth="1"/>
    <col min="114" max="115" width="12" customWidth="1"/>
    <col min="116" max="122" width="9.1796875" customWidth="1"/>
    <col min="123" max="123" width="15.26953125" customWidth="1"/>
    <col min="124" max="124" width="17.81640625" customWidth="1"/>
    <col min="125" max="126" width="12.54296875" customWidth="1"/>
    <col min="127" max="130" width="9.1796875" customWidth="1"/>
    <col min="131" max="131" width="15.453125" customWidth="1"/>
    <col min="132" max="132" width="15" customWidth="1"/>
    <col min="133" max="133" width="16.54296875" customWidth="1"/>
    <col min="134" max="134" width="9.1796875" customWidth="1"/>
    <col min="135" max="135" width="12.81640625" customWidth="1"/>
    <col min="136" max="138" width="9.1796875" customWidth="1"/>
    <col min="139" max="139" width="27.453125" customWidth="1"/>
    <col min="140" max="140" width="9.1796875" customWidth="1"/>
    <col min="141" max="141" width="13.54296875" customWidth="1"/>
    <col min="142" max="142" width="9.1796875" customWidth="1"/>
    <col min="143" max="143" width="10" customWidth="1"/>
    <col min="144" max="144" width="11.81640625" customWidth="1"/>
    <col min="145" max="145" width="12.26953125" customWidth="1"/>
    <col min="146" max="146" width="9.1796875" customWidth="1"/>
    <col min="147" max="147" width="12.81640625" customWidth="1"/>
    <col min="148" max="149" width="9.1796875" customWidth="1"/>
    <col min="150" max="151" width="10.1796875" customWidth="1"/>
    <col min="152" max="152" width="9.1796875" customWidth="1"/>
    <col min="153" max="153" width="39" customWidth="1"/>
    <col min="154" max="155" width="10.1796875" customWidth="1"/>
    <col min="156" max="156" width="9.81640625" customWidth="1"/>
    <col min="157" max="157" width="9.7265625" customWidth="1"/>
    <col min="158" max="158" width="9.26953125" customWidth="1"/>
    <col min="159" max="159" width="15.54296875" customWidth="1"/>
    <col min="160" max="160" width="14.453125" customWidth="1"/>
    <col min="161" max="161" width="21.81640625" customWidth="1"/>
    <col min="162" max="162" width="15.453125" customWidth="1"/>
    <col min="163" max="217" width="9.1796875" customWidth="1"/>
    <col min="218" max="218" width="15.81640625" customWidth="1"/>
    <col min="219" max="219" width="15.7265625" customWidth="1"/>
    <col min="220" max="228" width="9.1796875" customWidth="1"/>
  </cols>
  <sheetData>
    <row r="1" spans="1:272" s="1" customFormat="1" ht="18.75" customHeight="1" thickBot="1" x14ac:dyDescent="0.4">
      <c r="J1" s="2"/>
      <c r="K1" s="1" t="s">
        <v>0</v>
      </c>
      <c r="M1" s="1" t="s">
        <v>1</v>
      </c>
      <c r="N1" s="1" t="s">
        <v>1</v>
      </c>
      <c r="O1" s="1" t="s">
        <v>2</v>
      </c>
      <c r="W1" s="1">
        <f>SUBTOTAL(9,W5:W1048576)</f>
        <v>100.1</v>
      </c>
      <c r="Y1" s="1">
        <f>SUBTOTAL(9,Y5:Y1048576)</f>
        <v>72681.679999999993</v>
      </c>
      <c r="AA1" s="1">
        <f>SUBTOTAL(9,AA5:AA1048576)</f>
        <v>78520</v>
      </c>
      <c r="AB1" s="1">
        <f>SUBTOTAL(9,AB5:AB1048576)</f>
        <v>4418.1400000000003</v>
      </c>
      <c r="AC1" s="1">
        <f>SUBTOTAL(9,AC5:AC1048576)</f>
        <v>189236.01511775056</v>
      </c>
      <c r="AD1" s="1">
        <f>SUBTOTAL(9,AD5:AD1048576)</f>
        <v>4410.1551177505826</v>
      </c>
      <c r="AG1" s="1">
        <f>266/4</f>
        <v>66.5</v>
      </c>
      <c r="AJ1" s="1">
        <v>64507</v>
      </c>
      <c r="AK1" s="1">
        <v>82867</v>
      </c>
      <c r="AZ1" s="1">
        <f>SUBTOTAL(9,AZ5:AZ1048576)</f>
        <v>-3289.1</v>
      </c>
      <c r="BB1" s="3"/>
      <c r="BX1" s="1">
        <f>SUBTOTAL(9,BX5:BX1048576)</f>
        <v>-2702.1</v>
      </c>
      <c r="BZ1" s="4"/>
      <c r="CH1" s="1">
        <f>SUBTOTAL(9,CH5:CH1048576)</f>
        <v>-1191</v>
      </c>
      <c r="CJ1" s="3"/>
      <c r="CM1" s="1">
        <f>SUBTOTAL(9,CM5:CM1048576)</f>
        <v>0</v>
      </c>
      <c r="CN1" s="3"/>
      <c r="CP1" s="1">
        <f>SUBTOTAL(9,CP5:CP1048576)</f>
        <v>27254.275443999995</v>
      </c>
      <c r="CQ1" s="1">
        <f>SUBTOTAL(9,CQ5:CQ1048576)</f>
        <v>2137.3439160839162</v>
      </c>
      <c r="CS1" s="1">
        <v>12943.338591801239</v>
      </c>
      <c r="CT1" s="1">
        <f>SUBTOTAL(9,CT5:CT1048576)</f>
        <v>6802.7464987018639</v>
      </c>
      <c r="CU1" s="1">
        <f>SUBTOTAL(9,CU5:CU1048576)</f>
        <v>558.73</v>
      </c>
      <c r="CV1" s="5">
        <f>+CW1/CU1</f>
        <v>3.2623806059570576E-2</v>
      </c>
      <c r="CW1" s="1">
        <f>SUBTOTAL(9,CW5:CW1048576)</f>
        <v>18.227899159663867</v>
      </c>
      <c r="CX1" s="1">
        <f>SUBTOTAL(9,CX5:CX1048576)</f>
        <v>3235.9381781512607</v>
      </c>
      <c r="CY1" s="1">
        <f>SUBTOTAL(9,CY5:CY1048576)</f>
        <v>215</v>
      </c>
      <c r="DB1" s="6"/>
      <c r="DJ1" s="1">
        <v>115</v>
      </c>
      <c r="DK1" s="1">
        <f>+DJ1+1</f>
        <v>116</v>
      </c>
      <c r="DL1" s="1">
        <f t="shared" ref="DL1:FB1" si="0">+DK1+1</f>
        <v>117</v>
      </c>
      <c r="DM1" s="1">
        <f t="shared" si="0"/>
        <v>118</v>
      </c>
      <c r="DN1" s="1">
        <f t="shared" si="0"/>
        <v>119</v>
      </c>
      <c r="DO1" s="1">
        <f t="shared" si="0"/>
        <v>120</v>
      </c>
      <c r="DP1" s="1">
        <f t="shared" si="0"/>
        <v>121</v>
      </c>
      <c r="DQ1" s="1">
        <f t="shared" si="0"/>
        <v>122</v>
      </c>
      <c r="DR1" s="1">
        <f t="shared" si="0"/>
        <v>123</v>
      </c>
      <c r="DS1" s="1">
        <f t="shared" si="0"/>
        <v>124</v>
      </c>
      <c r="DT1" s="1">
        <f t="shared" si="0"/>
        <v>125</v>
      </c>
      <c r="DU1" s="1">
        <f t="shared" si="0"/>
        <v>126</v>
      </c>
      <c r="DV1" s="1">
        <f t="shared" si="0"/>
        <v>127</v>
      </c>
      <c r="DW1" s="1">
        <f t="shared" si="0"/>
        <v>128</v>
      </c>
      <c r="DX1" s="1">
        <f t="shared" si="0"/>
        <v>129</v>
      </c>
      <c r="DY1" s="1">
        <f t="shared" si="0"/>
        <v>130</v>
      </c>
      <c r="DZ1" s="1">
        <f t="shared" si="0"/>
        <v>131</v>
      </c>
      <c r="EA1" s="1">
        <f t="shared" si="0"/>
        <v>132</v>
      </c>
      <c r="EB1" s="1">
        <f t="shared" si="0"/>
        <v>133</v>
      </c>
      <c r="EC1" s="1">
        <f t="shared" si="0"/>
        <v>134</v>
      </c>
      <c r="ED1" s="1">
        <f t="shared" si="0"/>
        <v>135</v>
      </c>
      <c r="EE1" s="1">
        <f t="shared" si="0"/>
        <v>136</v>
      </c>
      <c r="EF1" s="1">
        <f t="shared" si="0"/>
        <v>137</v>
      </c>
      <c r="EG1" s="1">
        <f t="shared" si="0"/>
        <v>138</v>
      </c>
      <c r="EH1" s="1">
        <f t="shared" si="0"/>
        <v>139</v>
      </c>
      <c r="EI1" s="1">
        <f t="shared" si="0"/>
        <v>140</v>
      </c>
      <c r="EJ1" s="1">
        <f t="shared" si="0"/>
        <v>141</v>
      </c>
      <c r="EK1" s="1">
        <f t="shared" si="0"/>
        <v>142</v>
      </c>
      <c r="EL1" s="1">
        <f t="shared" si="0"/>
        <v>143</v>
      </c>
      <c r="EM1" s="1">
        <f t="shared" si="0"/>
        <v>144</v>
      </c>
      <c r="EN1" s="1">
        <f t="shared" si="0"/>
        <v>145</v>
      </c>
      <c r="EO1" s="1">
        <f t="shared" si="0"/>
        <v>146</v>
      </c>
      <c r="EP1" s="1">
        <f t="shared" si="0"/>
        <v>147</v>
      </c>
      <c r="EQ1" s="1">
        <f t="shared" si="0"/>
        <v>148</v>
      </c>
      <c r="ER1" s="1">
        <f t="shared" si="0"/>
        <v>149</v>
      </c>
      <c r="ES1" s="1">
        <f t="shared" si="0"/>
        <v>150</v>
      </c>
      <c r="ET1" s="1">
        <f t="shared" si="0"/>
        <v>151</v>
      </c>
      <c r="EU1" s="1">
        <f t="shared" si="0"/>
        <v>152</v>
      </c>
      <c r="EV1" s="1">
        <f t="shared" si="0"/>
        <v>153</v>
      </c>
      <c r="EW1" s="1">
        <f t="shared" si="0"/>
        <v>154</v>
      </c>
      <c r="EX1" s="1">
        <f t="shared" si="0"/>
        <v>155</v>
      </c>
      <c r="EY1" s="1">
        <f t="shared" si="0"/>
        <v>156</v>
      </c>
      <c r="EZ1" s="1">
        <f t="shared" si="0"/>
        <v>157</v>
      </c>
      <c r="FA1" s="1">
        <f t="shared" si="0"/>
        <v>158</v>
      </c>
      <c r="FB1" s="1">
        <f t="shared" si="0"/>
        <v>159</v>
      </c>
      <c r="HK1" s="1">
        <f>SUBTOTAL(9,HK5:HK1048576)</f>
        <v>0</v>
      </c>
      <c r="HO1" s="1">
        <f>SUBTOTAL(9,HO5:HO1048576)</f>
        <v>457</v>
      </c>
    </row>
    <row r="2" spans="1:272" ht="19" thickBot="1" x14ac:dyDescent="0.5">
      <c r="B2" s="7" t="s">
        <v>3</v>
      </c>
      <c r="C2" s="8"/>
      <c r="D2" s="1"/>
      <c r="E2" s="8"/>
      <c r="H2" s="9"/>
      <c r="J2" s="2"/>
      <c r="M2" s="2"/>
      <c r="N2" s="10"/>
      <c r="Q2" s="168" t="s">
        <v>4</v>
      </c>
      <c r="R2" s="169"/>
      <c r="S2" s="169"/>
      <c r="T2" s="169"/>
      <c r="U2" s="169"/>
      <c r="V2" s="169"/>
      <c r="W2" s="169"/>
      <c r="X2" s="169"/>
      <c r="Y2" s="169"/>
      <c r="Z2" s="169"/>
      <c r="AA2" s="170"/>
      <c r="AD2" s="3"/>
      <c r="AF2" s="11"/>
      <c r="AK2" s="3"/>
      <c r="AL2" s="3"/>
      <c r="AM2" s="12">
        <f>+SUBTOTAL(9,AM5:AM70)</f>
        <v>32.635416666666664</v>
      </c>
      <c r="AT2" s="13"/>
      <c r="AU2" s="14"/>
      <c r="AV2" s="15"/>
      <c r="AW2" s="16"/>
      <c r="AX2" s="14"/>
      <c r="AY2" s="14"/>
      <c r="AZ2" s="14"/>
      <c r="BA2" s="17" t="s">
        <v>5</v>
      </c>
      <c r="BB2" s="18"/>
      <c r="BC2" s="19"/>
      <c r="BD2" s="171" t="s">
        <v>6</v>
      </c>
      <c r="BE2" s="172"/>
      <c r="BF2" s="172"/>
      <c r="BG2" s="172"/>
      <c r="BH2" s="172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  <c r="BT2" s="172"/>
      <c r="BU2" s="172"/>
      <c r="BV2" s="172"/>
      <c r="BW2" s="172"/>
      <c r="BX2" s="172"/>
      <c r="BY2" s="172"/>
      <c r="BZ2" s="172"/>
      <c r="CA2" s="172"/>
      <c r="CB2" s="172"/>
      <c r="CC2" s="172"/>
      <c r="CD2" s="172"/>
      <c r="CE2" s="172"/>
      <c r="CF2" s="172"/>
      <c r="CG2" s="172"/>
      <c r="CH2" s="172"/>
      <c r="CI2" s="172"/>
      <c r="CJ2" s="172"/>
      <c r="CK2" s="173"/>
      <c r="CL2" s="20"/>
      <c r="CM2" s="21"/>
      <c r="CN2" s="22"/>
      <c r="CO2" s="23"/>
      <c r="CP2" s="24">
        <f t="shared" ref="CP2" si="1">IF(CL2="811 A",CM2/1.667,IF(CL2="MB635",CM2/1.33,IF(CL2="MB655",CM2/1.43,IF(CL2="LG 59A",CM2/1.667,IF(CL2="HB 6680",CM2/1.25,IF(CL2="MB688",CM2/1.25,CM2))))))</f>
        <v>0</v>
      </c>
      <c r="CQ2" s="21"/>
      <c r="CR2" s="25"/>
      <c r="CS2" s="23"/>
      <c r="CT2" s="24"/>
      <c r="CU2" s="26"/>
      <c r="CV2" s="25"/>
      <c r="CW2" s="23"/>
      <c r="CX2" s="27"/>
      <c r="CY2" s="27"/>
      <c r="CZ2" s="28"/>
      <c r="DA2" s="27"/>
      <c r="DB2" s="29"/>
      <c r="DC2" s="30"/>
      <c r="DD2" s="31"/>
      <c r="DE2" s="32"/>
      <c r="DF2" s="33"/>
      <c r="DG2" s="27"/>
      <c r="DH2" s="34"/>
      <c r="DI2" s="27"/>
      <c r="DJ2" s="12">
        <f t="shared" ref="DJ2:EO2" si="2">+SUBTOTAL(9,DJ5:DJ70)</f>
        <v>0</v>
      </c>
      <c r="DK2" s="12">
        <f t="shared" si="2"/>
        <v>445</v>
      </c>
      <c r="DL2" s="12">
        <f t="shared" si="2"/>
        <v>0</v>
      </c>
      <c r="DM2" s="12">
        <f t="shared" si="2"/>
        <v>0</v>
      </c>
      <c r="DN2" s="12">
        <f t="shared" si="2"/>
        <v>0</v>
      </c>
      <c r="DO2" s="12">
        <f t="shared" si="2"/>
        <v>0</v>
      </c>
      <c r="DP2" s="12">
        <f t="shared" si="2"/>
        <v>0</v>
      </c>
      <c r="DQ2" s="12">
        <f t="shared" si="2"/>
        <v>0</v>
      </c>
      <c r="DR2" s="12">
        <f t="shared" si="2"/>
        <v>0</v>
      </c>
      <c r="DS2" s="12">
        <f t="shared" si="2"/>
        <v>0</v>
      </c>
      <c r="DT2" s="12">
        <f t="shared" si="2"/>
        <v>0</v>
      </c>
      <c r="DU2" s="12">
        <f t="shared" si="2"/>
        <v>70</v>
      </c>
      <c r="DV2" s="12">
        <f t="shared" si="2"/>
        <v>0</v>
      </c>
      <c r="DW2" s="12">
        <f t="shared" si="2"/>
        <v>70</v>
      </c>
      <c r="DX2" s="12">
        <f t="shared" si="2"/>
        <v>70</v>
      </c>
      <c r="DY2" s="12">
        <f t="shared" si="2"/>
        <v>70</v>
      </c>
      <c r="DZ2" s="12">
        <f t="shared" si="2"/>
        <v>70</v>
      </c>
      <c r="EA2" s="12">
        <f t="shared" si="2"/>
        <v>0</v>
      </c>
      <c r="EB2" s="12">
        <f t="shared" si="2"/>
        <v>70</v>
      </c>
      <c r="EC2" s="12">
        <f t="shared" si="2"/>
        <v>80</v>
      </c>
      <c r="ED2" s="12">
        <f t="shared" si="2"/>
        <v>945</v>
      </c>
      <c r="EE2" s="12">
        <f t="shared" si="2"/>
        <v>0</v>
      </c>
      <c r="EF2" s="12">
        <f t="shared" si="2"/>
        <v>2256</v>
      </c>
      <c r="EG2" s="12">
        <f t="shared" si="2"/>
        <v>25</v>
      </c>
      <c r="EH2" s="12">
        <f t="shared" si="2"/>
        <v>15</v>
      </c>
      <c r="EI2" s="12">
        <f t="shared" si="2"/>
        <v>15</v>
      </c>
      <c r="EJ2" s="12">
        <f t="shared" si="2"/>
        <v>20</v>
      </c>
      <c r="EK2" s="12">
        <f t="shared" si="2"/>
        <v>0</v>
      </c>
      <c r="EL2" s="12">
        <f t="shared" si="2"/>
        <v>5</v>
      </c>
      <c r="EM2" s="12">
        <f t="shared" si="2"/>
        <v>0</v>
      </c>
      <c r="EN2" s="12">
        <f t="shared" si="2"/>
        <v>0</v>
      </c>
      <c r="EO2" s="12">
        <f t="shared" si="2"/>
        <v>15</v>
      </c>
      <c r="EP2" s="12">
        <f t="shared" ref="EP2:FF2" si="3">+SUBTOTAL(9,EP5:EP70)</f>
        <v>140</v>
      </c>
      <c r="EQ2" s="12">
        <f t="shared" si="3"/>
        <v>0</v>
      </c>
      <c r="ER2" s="12">
        <f t="shared" si="3"/>
        <v>817</v>
      </c>
      <c r="ES2" s="12">
        <f t="shared" si="3"/>
        <v>841</v>
      </c>
      <c r="ET2" s="12">
        <f t="shared" si="3"/>
        <v>0</v>
      </c>
      <c r="EU2" s="12">
        <f t="shared" si="3"/>
        <v>132</v>
      </c>
      <c r="EV2" s="12">
        <f t="shared" si="3"/>
        <v>0</v>
      </c>
      <c r="EW2" s="12">
        <f t="shared" si="3"/>
        <v>55</v>
      </c>
      <c r="EX2" s="12">
        <f t="shared" si="3"/>
        <v>0</v>
      </c>
      <c r="EY2" s="12">
        <f t="shared" si="3"/>
        <v>0</v>
      </c>
      <c r="EZ2" s="12">
        <f t="shared" si="3"/>
        <v>0</v>
      </c>
      <c r="FA2" s="12">
        <f t="shared" si="3"/>
        <v>0</v>
      </c>
      <c r="FB2" s="12">
        <f t="shared" si="3"/>
        <v>290</v>
      </c>
      <c r="FC2" s="12">
        <f t="shared" si="3"/>
        <v>0</v>
      </c>
      <c r="FD2" s="12">
        <f t="shared" si="3"/>
        <v>0</v>
      </c>
      <c r="FE2" s="12">
        <f t="shared" si="3"/>
        <v>15</v>
      </c>
      <c r="FF2" s="12">
        <f t="shared" si="3"/>
        <v>0</v>
      </c>
      <c r="FG2" s="35"/>
      <c r="FH2" s="35"/>
      <c r="FI2" s="36"/>
      <c r="FJ2" s="36"/>
      <c r="FK2" s="37"/>
      <c r="FL2" s="31"/>
      <c r="FM2" s="38"/>
      <c r="FN2" s="36"/>
      <c r="FO2" s="174" t="s">
        <v>7</v>
      </c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6"/>
      <c r="HJ2" s="9"/>
    </row>
    <row r="3" spans="1:272" s="39" customFormat="1" ht="32.25" customHeight="1" thickBot="1" x14ac:dyDescent="0.75">
      <c r="C3"/>
      <c r="E3"/>
      <c r="M3" s="40"/>
      <c r="R3" s="177" t="s">
        <v>8</v>
      </c>
      <c r="S3" s="178"/>
      <c r="T3" s="41"/>
      <c r="U3" s="42"/>
      <c r="V3" s="43"/>
      <c r="W3" s="44"/>
      <c r="X3" s="177" t="s">
        <v>9</v>
      </c>
      <c r="Y3" s="179"/>
      <c r="Z3" s="179"/>
      <c r="AA3" s="179"/>
      <c r="AB3" s="178"/>
      <c r="AC3" s="45"/>
      <c r="AD3" s="45"/>
      <c r="AE3" s="45"/>
      <c r="AF3" s="45"/>
      <c r="AJ3" s="45"/>
      <c r="AK3" s="45"/>
      <c r="AL3" s="46"/>
      <c r="AM3" s="46"/>
      <c r="AN3" s="39">
        <f>SUBTOTAL(9,AN5:AN71)</f>
        <v>22682</v>
      </c>
      <c r="AU3" s="180" t="s">
        <v>10</v>
      </c>
      <c r="AV3" s="181"/>
      <c r="AW3" s="181"/>
      <c r="AX3" s="181"/>
      <c r="AY3" s="181"/>
      <c r="AZ3" s="181"/>
      <c r="BA3" s="181"/>
      <c r="BB3" s="181"/>
      <c r="BC3" s="181"/>
      <c r="BD3" s="182"/>
      <c r="BE3" s="183" t="s">
        <v>11</v>
      </c>
      <c r="BF3" s="184"/>
      <c r="BG3" s="184"/>
      <c r="BH3" s="184"/>
      <c r="BI3" s="184"/>
      <c r="BJ3" s="184"/>
      <c r="BK3" s="185"/>
      <c r="BL3" s="183" t="s">
        <v>12</v>
      </c>
      <c r="BM3" s="184"/>
      <c r="BN3" s="184"/>
      <c r="BO3" s="184"/>
      <c r="BP3" s="184"/>
      <c r="BQ3" s="184"/>
      <c r="BR3" s="185"/>
      <c r="BS3" s="186" t="s">
        <v>13</v>
      </c>
      <c r="BT3" s="187"/>
      <c r="BU3" s="187"/>
      <c r="BV3" s="187"/>
      <c r="BW3" s="187"/>
      <c r="BX3" s="187"/>
      <c r="BY3" s="187"/>
      <c r="BZ3" s="187"/>
      <c r="CA3" s="188"/>
      <c r="CB3" s="189"/>
      <c r="CC3" s="183" t="s">
        <v>14</v>
      </c>
      <c r="CD3" s="184"/>
      <c r="CE3" s="184"/>
      <c r="CF3" s="184"/>
      <c r="CG3" s="184"/>
      <c r="CH3" s="184"/>
      <c r="CI3" s="184"/>
      <c r="CJ3" s="187"/>
      <c r="CK3" s="188"/>
      <c r="CL3" s="185"/>
      <c r="CM3" s="183" t="s">
        <v>15</v>
      </c>
      <c r="CN3" s="184"/>
      <c r="CO3" s="184"/>
      <c r="CP3" s="184"/>
      <c r="CQ3" s="185"/>
      <c r="CR3" s="183" t="s">
        <v>16</v>
      </c>
      <c r="CS3" s="184"/>
      <c r="CT3" s="184"/>
      <c r="CU3" s="185"/>
      <c r="CV3" s="183" t="s">
        <v>17</v>
      </c>
      <c r="CW3" s="184"/>
      <c r="CX3" s="185"/>
      <c r="CY3" s="196" t="s">
        <v>18</v>
      </c>
      <c r="CZ3" s="197"/>
      <c r="DA3" s="47"/>
      <c r="DB3" s="48"/>
      <c r="DC3" s="48"/>
      <c r="DD3" s="48"/>
      <c r="DE3" s="48"/>
      <c r="DF3" s="49"/>
      <c r="DG3" s="50"/>
      <c r="DH3" s="48"/>
      <c r="DI3" s="51"/>
      <c r="DJ3" s="48"/>
      <c r="DK3" s="52" t="s">
        <v>19</v>
      </c>
      <c r="DL3" s="53"/>
      <c r="DM3" s="53"/>
      <c r="DN3" s="53"/>
      <c r="DO3" s="53"/>
      <c r="DP3" s="53"/>
      <c r="DQ3" s="53"/>
      <c r="DR3" s="53"/>
      <c r="DS3" s="53"/>
      <c r="DT3" s="53"/>
      <c r="DU3" s="54"/>
      <c r="DV3" s="54"/>
      <c r="DW3" s="54"/>
      <c r="DX3" s="54"/>
      <c r="DY3" s="54"/>
      <c r="DZ3" s="54"/>
      <c r="EA3" s="54"/>
      <c r="EB3" s="54"/>
      <c r="EC3" s="54"/>
      <c r="ED3" s="55"/>
      <c r="EE3" s="52" t="s">
        <v>20</v>
      </c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5"/>
      <c r="HD3" s="56" t="s">
        <v>21</v>
      </c>
      <c r="HE3" s="57"/>
      <c r="HF3" s="57"/>
      <c r="HG3" s="58"/>
      <c r="HH3" s="59" t="s">
        <v>22</v>
      </c>
      <c r="HI3" s="58"/>
      <c r="HJ3" s="48"/>
      <c r="HK3" s="48"/>
      <c r="HL3" s="190" t="s">
        <v>23</v>
      </c>
      <c r="HM3" s="191"/>
      <c r="HN3" s="191"/>
      <c r="HO3" s="191"/>
      <c r="HP3" s="191"/>
      <c r="HQ3" s="192"/>
      <c r="HR3" s="190" t="s">
        <v>24</v>
      </c>
      <c r="HS3" s="191"/>
      <c r="HT3" s="191"/>
      <c r="HU3" s="191"/>
      <c r="HV3" s="191"/>
      <c r="HW3" s="192"/>
      <c r="HX3" s="190" t="s">
        <v>25</v>
      </c>
      <c r="HY3" s="191"/>
      <c r="HZ3" s="191"/>
      <c r="IA3" s="191"/>
      <c r="IB3" s="191"/>
      <c r="IC3" s="191"/>
      <c r="ID3" s="191"/>
      <c r="IE3" s="191"/>
      <c r="IF3" s="191"/>
      <c r="IG3" s="191"/>
      <c r="IH3" s="191"/>
      <c r="II3" s="192"/>
      <c r="IJ3" s="190" t="s">
        <v>26</v>
      </c>
      <c r="IK3" s="191"/>
      <c r="IL3" s="191"/>
      <c r="IM3" s="191"/>
      <c r="IN3" s="191"/>
      <c r="IO3" s="191"/>
      <c r="IP3" s="191"/>
      <c r="IQ3" s="191"/>
      <c r="IR3" s="191"/>
      <c r="IS3" s="191"/>
      <c r="IT3" s="191"/>
      <c r="IU3" s="191"/>
      <c r="IV3" s="192"/>
      <c r="IW3" s="190" t="s">
        <v>27</v>
      </c>
      <c r="IX3" s="191"/>
      <c r="IY3" s="191"/>
      <c r="IZ3" s="191"/>
      <c r="JA3" s="191"/>
      <c r="JB3" s="191"/>
      <c r="JC3" s="191"/>
      <c r="JD3" s="191"/>
      <c r="JE3" s="191"/>
      <c r="JF3" s="192"/>
      <c r="JG3" s="193" t="s">
        <v>28</v>
      </c>
      <c r="JH3" s="194"/>
      <c r="JI3" s="194"/>
      <c r="JJ3" s="194"/>
      <c r="JK3" s="195"/>
    </row>
    <row r="4" spans="1:272" s="39" customFormat="1" ht="96.75" customHeight="1" thickBot="1" x14ac:dyDescent="0.4">
      <c r="A4" s="60" t="s">
        <v>29</v>
      </c>
      <c r="B4" s="60" t="s">
        <v>30</v>
      </c>
      <c r="C4" s="61" t="s">
        <v>31</v>
      </c>
      <c r="D4" s="62" t="s">
        <v>32</v>
      </c>
      <c r="E4" s="60" t="s">
        <v>33</v>
      </c>
      <c r="F4" s="60" t="s">
        <v>34</v>
      </c>
      <c r="G4" s="60" t="s">
        <v>35</v>
      </c>
      <c r="H4" s="63" t="s">
        <v>36</v>
      </c>
      <c r="I4" s="64" t="s">
        <v>37</v>
      </c>
      <c r="J4" s="65" t="s">
        <v>38</v>
      </c>
      <c r="K4" s="65" t="s">
        <v>39</v>
      </c>
      <c r="L4" s="66" t="s">
        <v>40</v>
      </c>
      <c r="M4" s="67" t="s">
        <v>41</v>
      </c>
      <c r="N4" s="65" t="s">
        <v>42</v>
      </c>
      <c r="O4" s="65" t="s">
        <v>43</v>
      </c>
      <c r="P4" s="68" t="s">
        <v>44</v>
      </c>
      <c r="Q4" s="69" t="s">
        <v>45</v>
      </c>
      <c r="R4" s="70" t="s">
        <v>46</v>
      </c>
      <c r="S4" s="70" t="s">
        <v>47</v>
      </c>
      <c r="T4" s="69" t="s">
        <v>48</v>
      </c>
      <c r="U4" s="71" t="s">
        <v>49</v>
      </c>
      <c r="V4" s="69" t="s">
        <v>50</v>
      </c>
      <c r="W4" s="72" t="s">
        <v>51</v>
      </c>
      <c r="X4" s="73" t="s">
        <v>52</v>
      </c>
      <c r="Y4" s="74" t="s">
        <v>53</v>
      </c>
      <c r="Z4" s="75" t="s">
        <v>54</v>
      </c>
      <c r="AA4" s="74" t="s">
        <v>55</v>
      </c>
      <c r="AB4" s="65" t="s">
        <v>56</v>
      </c>
      <c r="AC4" s="76" t="s">
        <v>57</v>
      </c>
      <c r="AD4" s="77" t="s">
        <v>58</v>
      </c>
      <c r="AE4" s="78" t="s">
        <v>59</v>
      </c>
      <c r="AF4" s="79" t="s">
        <v>60</v>
      </c>
      <c r="AG4" s="65" t="s">
        <v>61</v>
      </c>
      <c r="AH4" s="69" t="s">
        <v>62</v>
      </c>
      <c r="AI4" s="69" t="s">
        <v>63</v>
      </c>
      <c r="AJ4" s="80" t="s">
        <v>64</v>
      </c>
      <c r="AK4" s="80" t="s">
        <v>65</v>
      </c>
      <c r="AL4" s="81" t="s">
        <v>66</v>
      </c>
      <c r="AM4" s="81" t="s">
        <v>67</v>
      </c>
      <c r="AN4" s="82" t="s">
        <v>68</v>
      </c>
      <c r="AO4" s="69" t="s">
        <v>69</v>
      </c>
      <c r="AP4" s="69" t="s">
        <v>70</v>
      </c>
      <c r="AQ4" s="69" t="s">
        <v>71</v>
      </c>
      <c r="AR4" s="83" t="s">
        <v>72</v>
      </c>
      <c r="AS4" s="83" t="s">
        <v>73</v>
      </c>
      <c r="AT4" s="84" t="s">
        <v>74</v>
      </c>
      <c r="AU4" s="72" t="s">
        <v>75</v>
      </c>
      <c r="AV4" s="83" t="s">
        <v>76</v>
      </c>
      <c r="AW4" s="83" t="s">
        <v>77</v>
      </c>
      <c r="AX4" s="85" t="s">
        <v>78</v>
      </c>
      <c r="AY4" s="86" t="s">
        <v>79</v>
      </c>
      <c r="AZ4" s="74" t="s">
        <v>80</v>
      </c>
      <c r="BA4" s="87" t="s">
        <v>81</v>
      </c>
      <c r="BB4" s="88" t="s">
        <v>82</v>
      </c>
      <c r="BC4" s="89" t="s">
        <v>83</v>
      </c>
      <c r="BD4" s="89" t="s">
        <v>84</v>
      </c>
      <c r="BE4" s="72" t="s">
        <v>85</v>
      </c>
      <c r="BF4" s="83" t="s">
        <v>76</v>
      </c>
      <c r="BG4" s="83" t="s">
        <v>77</v>
      </c>
      <c r="BH4" s="85" t="s">
        <v>86</v>
      </c>
      <c r="BI4" s="72" t="s">
        <v>87</v>
      </c>
      <c r="BJ4" s="83" t="s">
        <v>80</v>
      </c>
      <c r="BK4" s="90" t="s">
        <v>88</v>
      </c>
      <c r="BL4" s="72" t="s">
        <v>89</v>
      </c>
      <c r="BM4" s="83" t="s">
        <v>90</v>
      </c>
      <c r="BN4" s="83" t="s">
        <v>91</v>
      </c>
      <c r="BO4" s="85" t="s">
        <v>92</v>
      </c>
      <c r="BP4" s="72" t="s">
        <v>93</v>
      </c>
      <c r="BQ4" s="83" t="s">
        <v>80</v>
      </c>
      <c r="BR4" s="90" t="s">
        <v>94</v>
      </c>
      <c r="BS4" s="72" t="s">
        <v>95</v>
      </c>
      <c r="BT4" s="83" t="s">
        <v>90</v>
      </c>
      <c r="BU4" s="83" t="s">
        <v>91</v>
      </c>
      <c r="BV4" s="85" t="s">
        <v>96</v>
      </c>
      <c r="BW4" s="72" t="s">
        <v>97</v>
      </c>
      <c r="BX4" s="83" t="s">
        <v>80</v>
      </c>
      <c r="BY4" s="90" t="s">
        <v>98</v>
      </c>
      <c r="BZ4" s="88" t="s">
        <v>82</v>
      </c>
      <c r="CA4" s="91" t="s">
        <v>83</v>
      </c>
      <c r="CB4" s="89" t="s">
        <v>99</v>
      </c>
      <c r="CC4" s="72" t="s">
        <v>100</v>
      </c>
      <c r="CD4" s="83" t="s">
        <v>90</v>
      </c>
      <c r="CE4" s="83" t="s">
        <v>91</v>
      </c>
      <c r="CF4" s="85" t="s">
        <v>101</v>
      </c>
      <c r="CG4" s="72" t="s">
        <v>102</v>
      </c>
      <c r="CH4" s="83" t="s">
        <v>80</v>
      </c>
      <c r="CI4" s="90" t="s">
        <v>103</v>
      </c>
      <c r="CJ4" s="88" t="s">
        <v>82</v>
      </c>
      <c r="CK4" s="91" t="s">
        <v>83</v>
      </c>
      <c r="CL4" s="89" t="s">
        <v>104</v>
      </c>
      <c r="CM4" s="83" t="s">
        <v>105</v>
      </c>
      <c r="CN4" s="83" t="s">
        <v>106</v>
      </c>
      <c r="CO4" s="92" t="s">
        <v>83</v>
      </c>
      <c r="CP4" s="92" t="s">
        <v>107</v>
      </c>
      <c r="CQ4" s="93" t="s">
        <v>108</v>
      </c>
      <c r="CR4" s="83" t="s">
        <v>109</v>
      </c>
      <c r="CS4" s="94" t="s">
        <v>83</v>
      </c>
      <c r="CT4" s="92" t="s">
        <v>110</v>
      </c>
      <c r="CU4" s="93" t="s">
        <v>111</v>
      </c>
      <c r="CV4" s="83" t="s">
        <v>112</v>
      </c>
      <c r="CW4" s="92" t="s">
        <v>83</v>
      </c>
      <c r="CX4" s="92" t="s">
        <v>113</v>
      </c>
      <c r="CY4" s="95" t="s">
        <v>114</v>
      </c>
      <c r="CZ4" s="95" t="s">
        <v>115</v>
      </c>
      <c r="DA4" s="96" t="s">
        <v>116</v>
      </c>
      <c r="DB4" s="83" t="s">
        <v>117</v>
      </c>
      <c r="DC4" s="83" t="s">
        <v>118</v>
      </c>
      <c r="DD4" s="83" t="s">
        <v>119</v>
      </c>
      <c r="DE4" s="83" t="s">
        <v>120</v>
      </c>
      <c r="DF4" s="74" t="s">
        <v>121</v>
      </c>
      <c r="DG4" s="83" t="s">
        <v>122</v>
      </c>
      <c r="DH4" s="83" t="s">
        <v>123</v>
      </c>
      <c r="DI4" s="72" t="s">
        <v>124</v>
      </c>
      <c r="DJ4" s="97" t="s">
        <v>125</v>
      </c>
      <c r="DK4" s="83" t="s">
        <v>126</v>
      </c>
      <c r="DL4" s="83" t="s">
        <v>127</v>
      </c>
      <c r="DM4" s="83" t="s">
        <v>128</v>
      </c>
      <c r="DN4" s="83" t="s">
        <v>129</v>
      </c>
      <c r="DO4" s="83" t="s">
        <v>130</v>
      </c>
      <c r="DP4" s="83" t="s">
        <v>131</v>
      </c>
      <c r="DQ4" s="83" t="s">
        <v>132</v>
      </c>
      <c r="DR4" s="83" t="s">
        <v>133</v>
      </c>
      <c r="DS4" s="83" t="s">
        <v>134</v>
      </c>
      <c r="DT4" s="83" t="s">
        <v>135</v>
      </c>
      <c r="DU4" s="83" t="s">
        <v>136</v>
      </c>
      <c r="DV4" s="83" t="s">
        <v>137</v>
      </c>
      <c r="DW4" s="83" t="s">
        <v>138</v>
      </c>
      <c r="DX4" s="83" t="s">
        <v>139</v>
      </c>
      <c r="DY4" s="83" t="s">
        <v>140</v>
      </c>
      <c r="DZ4" s="83" t="s">
        <v>141</v>
      </c>
      <c r="EA4" s="83" t="s">
        <v>142</v>
      </c>
      <c r="EB4" s="83" t="s">
        <v>143</v>
      </c>
      <c r="EC4" s="83" t="s">
        <v>144</v>
      </c>
      <c r="ED4" s="98" t="s">
        <v>145</v>
      </c>
      <c r="EE4" s="99" t="s">
        <v>146</v>
      </c>
      <c r="EF4" s="99" t="s">
        <v>147</v>
      </c>
      <c r="EG4" s="83" t="s">
        <v>148</v>
      </c>
      <c r="EH4" s="83" t="s">
        <v>149</v>
      </c>
      <c r="EI4" s="83" t="s">
        <v>150</v>
      </c>
      <c r="EJ4" s="83" t="s">
        <v>151</v>
      </c>
      <c r="EK4" s="83" t="s">
        <v>152</v>
      </c>
      <c r="EL4" s="83" t="s">
        <v>141</v>
      </c>
      <c r="EM4" s="83" t="s">
        <v>153</v>
      </c>
      <c r="EN4" s="83" t="s">
        <v>154</v>
      </c>
      <c r="EO4" s="100" t="s">
        <v>155</v>
      </c>
      <c r="EP4" s="75" t="s">
        <v>156</v>
      </c>
      <c r="EQ4" s="75" t="s">
        <v>157</v>
      </c>
      <c r="ER4" s="75" t="s">
        <v>158</v>
      </c>
      <c r="ES4" s="75" t="s">
        <v>159</v>
      </c>
      <c r="ET4" s="75" t="s">
        <v>160</v>
      </c>
      <c r="EU4" s="101" t="s">
        <v>161</v>
      </c>
      <c r="EV4" s="75" t="s">
        <v>162</v>
      </c>
      <c r="EW4" s="75" t="s">
        <v>163</v>
      </c>
      <c r="EX4" s="75" t="s">
        <v>164</v>
      </c>
      <c r="EY4" s="75" t="s">
        <v>165</v>
      </c>
      <c r="EZ4" s="75" t="s">
        <v>166</v>
      </c>
      <c r="FA4" s="75" t="s">
        <v>167</v>
      </c>
      <c r="FB4" s="75" t="s">
        <v>168</v>
      </c>
      <c r="FC4" s="75" t="s">
        <v>169</v>
      </c>
      <c r="FD4" s="75" t="s">
        <v>170</v>
      </c>
      <c r="FE4" s="101" t="s">
        <v>171</v>
      </c>
      <c r="FF4" s="101" t="s">
        <v>172</v>
      </c>
      <c r="FG4" s="75" t="s">
        <v>173</v>
      </c>
      <c r="FH4" s="75" t="s">
        <v>174</v>
      </c>
      <c r="FI4" s="75" t="s">
        <v>175</v>
      </c>
      <c r="FJ4" s="75" t="s">
        <v>176</v>
      </c>
      <c r="FK4" s="75" t="s">
        <v>177</v>
      </c>
      <c r="FL4" s="75" t="s">
        <v>178</v>
      </c>
      <c r="FM4" s="75" t="s">
        <v>179</v>
      </c>
      <c r="FN4" s="75" t="s">
        <v>180</v>
      </c>
      <c r="FO4" s="75" t="s">
        <v>181</v>
      </c>
      <c r="FP4" s="75" t="s">
        <v>182</v>
      </c>
      <c r="FQ4" s="75" t="s">
        <v>183</v>
      </c>
      <c r="FR4" s="75" t="s">
        <v>184</v>
      </c>
      <c r="FS4" s="75" t="s">
        <v>185</v>
      </c>
      <c r="FT4" s="75" t="s">
        <v>186</v>
      </c>
      <c r="FU4" s="75" t="s">
        <v>187</v>
      </c>
      <c r="FV4" s="75" t="s">
        <v>188</v>
      </c>
      <c r="FW4" s="75" t="s">
        <v>189</v>
      </c>
      <c r="FX4" s="75" t="s">
        <v>190</v>
      </c>
      <c r="FY4" s="75" t="s">
        <v>191</v>
      </c>
      <c r="FZ4" s="75" t="s">
        <v>192</v>
      </c>
      <c r="GA4" s="75" t="s">
        <v>193</v>
      </c>
      <c r="GB4" s="75" t="s">
        <v>194</v>
      </c>
      <c r="GC4" s="75" t="s">
        <v>195</v>
      </c>
      <c r="GD4" s="75" t="s">
        <v>196</v>
      </c>
      <c r="GE4" s="75" t="s">
        <v>197</v>
      </c>
      <c r="GF4" s="75" t="s">
        <v>198</v>
      </c>
      <c r="GG4" s="75" t="s">
        <v>199</v>
      </c>
      <c r="GH4" s="75" t="s">
        <v>200</v>
      </c>
      <c r="GI4" s="75" t="s">
        <v>201</v>
      </c>
      <c r="GJ4" s="75" t="s">
        <v>202</v>
      </c>
      <c r="GK4" s="75" t="s">
        <v>203</v>
      </c>
      <c r="GL4" s="75" t="s">
        <v>204</v>
      </c>
      <c r="GM4" s="75" t="s">
        <v>205</v>
      </c>
      <c r="GN4" s="75" t="s">
        <v>206</v>
      </c>
      <c r="GO4" s="75" t="s">
        <v>207</v>
      </c>
      <c r="GP4" s="100" t="s">
        <v>208</v>
      </c>
      <c r="GQ4" s="100" t="s">
        <v>209</v>
      </c>
      <c r="GR4" s="75" t="s">
        <v>210</v>
      </c>
      <c r="GS4" s="100" t="s">
        <v>211</v>
      </c>
      <c r="GT4" s="100" t="s">
        <v>209</v>
      </c>
      <c r="GU4" s="98" t="s">
        <v>212</v>
      </c>
      <c r="GV4" s="102" t="s">
        <v>213</v>
      </c>
      <c r="GW4" s="103" t="s">
        <v>214</v>
      </c>
      <c r="GX4" s="104" t="s">
        <v>215</v>
      </c>
      <c r="GY4" s="84" t="s">
        <v>216</v>
      </c>
      <c r="GZ4" s="84" t="s">
        <v>217</v>
      </c>
      <c r="HA4" s="84" t="s">
        <v>218</v>
      </c>
      <c r="HB4" s="84" t="s">
        <v>219</v>
      </c>
      <c r="HC4" s="105" t="s">
        <v>220</v>
      </c>
      <c r="HD4" s="75" t="s">
        <v>221</v>
      </c>
      <c r="HE4" s="75" t="s">
        <v>222</v>
      </c>
      <c r="HF4" s="75" t="s">
        <v>223</v>
      </c>
      <c r="HG4" s="75" t="s">
        <v>224</v>
      </c>
      <c r="HH4" s="75" t="s">
        <v>225</v>
      </c>
      <c r="HI4" s="75" t="s">
        <v>226</v>
      </c>
      <c r="HJ4" s="75" t="s">
        <v>227</v>
      </c>
      <c r="HK4" s="106" t="s">
        <v>228</v>
      </c>
      <c r="HL4" s="107" t="s">
        <v>229</v>
      </c>
      <c r="HM4" s="107" t="s">
        <v>230</v>
      </c>
      <c r="HN4" s="107" t="s">
        <v>231</v>
      </c>
      <c r="HO4" s="107" t="s">
        <v>232</v>
      </c>
      <c r="HP4" s="107" t="s">
        <v>233</v>
      </c>
      <c r="HQ4" s="108" t="s">
        <v>234</v>
      </c>
      <c r="HR4" s="107" t="s">
        <v>235</v>
      </c>
      <c r="HS4" s="107" t="s">
        <v>236</v>
      </c>
      <c r="HT4" s="107" t="s">
        <v>237</v>
      </c>
      <c r="HU4" s="107" t="s">
        <v>238</v>
      </c>
      <c r="HV4" s="109" t="s">
        <v>239</v>
      </c>
      <c r="HW4" s="110" t="s">
        <v>240</v>
      </c>
      <c r="HX4" s="111" t="s">
        <v>241</v>
      </c>
      <c r="HY4" s="111" t="s">
        <v>242</v>
      </c>
      <c r="HZ4" s="111" t="s">
        <v>243</v>
      </c>
      <c r="IA4" s="111" t="s">
        <v>244</v>
      </c>
      <c r="IB4" s="111" t="s">
        <v>245</v>
      </c>
      <c r="IC4" s="111" t="s">
        <v>246</v>
      </c>
      <c r="ID4" s="111" t="s">
        <v>247</v>
      </c>
      <c r="IE4" s="111" t="s">
        <v>248</v>
      </c>
      <c r="IF4" s="111" t="s">
        <v>249</v>
      </c>
      <c r="IG4" s="111" t="s">
        <v>250</v>
      </c>
      <c r="IH4" s="112" t="s">
        <v>251</v>
      </c>
      <c r="II4" s="113" t="s">
        <v>252</v>
      </c>
      <c r="IJ4" s="111" t="s">
        <v>253</v>
      </c>
      <c r="IK4" s="111" t="s">
        <v>254</v>
      </c>
      <c r="IL4" s="111" t="s">
        <v>255</v>
      </c>
      <c r="IM4" s="114" t="s">
        <v>26</v>
      </c>
      <c r="IN4" s="114" t="s">
        <v>243</v>
      </c>
      <c r="IO4" s="111" t="s">
        <v>256</v>
      </c>
      <c r="IP4" s="111" t="s">
        <v>257</v>
      </c>
      <c r="IQ4" s="111" t="s">
        <v>258</v>
      </c>
      <c r="IR4" s="111" t="s">
        <v>232</v>
      </c>
      <c r="IS4" s="111" t="s">
        <v>259</v>
      </c>
      <c r="IT4" s="111" t="s">
        <v>250</v>
      </c>
      <c r="IU4" s="111" t="s">
        <v>260</v>
      </c>
      <c r="IV4" s="113" t="s">
        <v>261</v>
      </c>
      <c r="IW4" s="111" t="s">
        <v>262</v>
      </c>
      <c r="IX4" s="111" t="s">
        <v>255</v>
      </c>
      <c r="IY4" s="111" t="s">
        <v>254</v>
      </c>
      <c r="IZ4" s="111" t="s">
        <v>263</v>
      </c>
      <c r="JA4" s="111" t="s">
        <v>264</v>
      </c>
      <c r="JB4" s="111" t="s">
        <v>232</v>
      </c>
      <c r="JC4" s="111" t="s">
        <v>259</v>
      </c>
      <c r="JD4" s="111" t="s">
        <v>250</v>
      </c>
      <c r="JE4" s="111" t="s">
        <v>260</v>
      </c>
      <c r="JF4" s="113" t="s">
        <v>265</v>
      </c>
      <c r="JG4" s="115" t="s">
        <v>266</v>
      </c>
      <c r="JH4" s="115" t="s">
        <v>267</v>
      </c>
      <c r="JI4" s="115" t="s">
        <v>268</v>
      </c>
      <c r="JJ4" s="115" t="s">
        <v>269</v>
      </c>
      <c r="JK4" s="115" t="s">
        <v>270</v>
      </c>
      <c r="JL4" s="116" t="s">
        <v>271</v>
      </c>
    </row>
    <row r="5" spans="1:272" ht="16.5" customHeight="1" x14ac:dyDescent="0.35">
      <c r="A5" t="s">
        <v>272</v>
      </c>
      <c r="B5" s="117" t="s">
        <v>273</v>
      </c>
      <c r="C5" s="118">
        <v>46054</v>
      </c>
      <c r="D5" s="119" t="s">
        <v>274</v>
      </c>
      <c r="E5" s="120" t="s">
        <v>275</v>
      </c>
      <c r="F5" s="120" t="s">
        <v>276</v>
      </c>
      <c r="G5" s="121" t="s">
        <v>277</v>
      </c>
      <c r="H5" s="122"/>
      <c r="I5" s="123"/>
      <c r="J5" s="124"/>
      <c r="K5" s="2" t="s">
        <v>278</v>
      </c>
      <c r="L5" s="125"/>
      <c r="M5" s="126" t="s">
        <v>279</v>
      </c>
      <c r="N5" s="127" t="s">
        <v>280</v>
      </c>
      <c r="O5" s="10" t="s">
        <v>281</v>
      </c>
      <c r="P5" s="128" t="s">
        <v>282</v>
      </c>
      <c r="Q5" s="129"/>
      <c r="R5" s="130"/>
      <c r="S5" s="130"/>
      <c r="T5" s="131" t="str">
        <f t="shared" ref="T5:T6" si="4">IF(H5*U5=0,"",H5*U5)</f>
        <v/>
      </c>
      <c r="U5" s="132">
        <v>4</v>
      </c>
      <c r="V5" s="133"/>
      <c r="W5" s="133"/>
      <c r="X5" s="134">
        <f>250+250+317+317</f>
        <v>1134</v>
      </c>
      <c r="Y5" s="134"/>
      <c r="Z5" s="134">
        <f>2400+2400+3000+3000</f>
        <v>10800</v>
      </c>
      <c r="AA5" s="134"/>
      <c r="AB5" s="135">
        <f>64+15</f>
        <v>79</v>
      </c>
      <c r="AC5" s="136">
        <f t="shared" ref="AC5:AC6" si="5">BA5+AF5+BK5+BR5+BY5+CI5+CQ5+CU5</f>
        <v>1213</v>
      </c>
      <c r="AD5" s="137">
        <f t="shared" ref="AD5:AD6" si="6">+AC5-X5</f>
        <v>79</v>
      </c>
      <c r="AE5" s="138">
        <f t="shared" ref="AE5:AE6" si="7">AD5-AB5</f>
        <v>0</v>
      </c>
      <c r="AF5" s="139">
        <f t="shared" ref="AF5:AF6" si="8">IFERROR(+(Z5*AV5*DF5)/10^6,0)</f>
        <v>0</v>
      </c>
      <c r="AG5" s="123"/>
      <c r="AH5" s="122"/>
      <c r="AI5" s="122"/>
      <c r="AJ5" s="140"/>
      <c r="AK5" s="141" t="str">
        <f t="shared" ref="AK5:AK6" si="9">IF(AJ5*60=0,"",AJ5*60)</f>
        <v/>
      </c>
      <c r="AL5" s="142">
        <v>0.28125</v>
      </c>
      <c r="AM5" s="142">
        <v>0.8125</v>
      </c>
      <c r="AN5" s="143">
        <f t="shared" ref="AN5:AN6" si="10">IF(AM5&gt;AL5,((AM5-AL5)*1440),(1440+(AM5-AL5)*1440))</f>
        <v>765</v>
      </c>
      <c r="AO5" s="123"/>
      <c r="AP5" s="123"/>
      <c r="AQ5" s="127"/>
      <c r="AR5" s="123"/>
      <c r="AS5" s="123"/>
      <c r="AT5" s="123" t="s">
        <v>283</v>
      </c>
      <c r="AU5" s="123" t="s">
        <v>284</v>
      </c>
      <c r="AV5" s="123">
        <v>1220</v>
      </c>
      <c r="AW5" s="123">
        <v>90</v>
      </c>
      <c r="AX5" s="132">
        <v>4</v>
      </c>
      <c r="AY5" s="123">
        <f>250+250+317+317+64+15</f>
        <v>1213</v>
      </c>
      <c r="AZ5" s="123"/>
      <c r="BA5" s="144">
        <f t="shared" ref="BA5:BA6" si="11">SUM(AY5+AZ5)</f>
        <v>1213</v>
      </c>
      <c r="BB5" s="127"/>
      <c r="BC5" s="145"/>
      <c r="BD5" s="146"/>
      <c r="BH5" s="147"/>
      <c r="BK5" s="144">
        <f t="shared" ref="BK5:BK6" si="12">SUM(BI5+BJ5)</f>
        <v>0</v>
      </c>
      <c r="BO5" s="147"/>
      <c r="BR5" s="144">
        <f t="shared" ref="BR5:BR6" si="13">SUM(BP5+BQ5)</f>
        <v>0</v>
      </c>
      <c r="BV5" s="147"/>
      <c r="BY5" s="144">
        <f t="shared" ref="BY5:BY6" si="14">SUM(BW5+BX5)</f>
        <v>0</v>
      </c>
      <c r="BZ5" s="148"/>
      <c r="CA5" s="149"/>
      <c r="CB5" s="150"/>
      <c r="CF5" s="147"/>
      <c r="CI5" s="151">
        <f t="shared" ref="CI5:CI6" si="15">SUM(CG5+CH5)</f>
        <v>0</v>
      </c>
      <c r="CJ5" s="148"/>
      <c r="CK5" s="149"/>
      <c r="CL5" s="150"/>
      <c r="CM5"/>
      <c r="CN5"/>
      <c r="CO5" s="152"/>
      <c r="CP5" s="153"/>
      <c r="CQ5" s="154">
        <f t="shared" ref="CQ5:CQ6" si="16">IF(CM5="811 A",CN5/1.667,IF(CM5="MB635",CN5/1.33,IF(CM5="MB655",CN5/1.43,IF(CM5="LG 59A",CN5/1.667,IF(CM5="HB 6680",CN5/1.25,IF(CM5="MB688",CN5/1.25,CN5))))))</f>
        <v>0</v>
      </c>
      <c r="CR5"/>
      <c r="CS5" s="155"/>
      <c r="CT5" s="153"/>
      <c r="CU5" s="154">
        <f t="shared" ref="CU5:CU6" si="17">IF(CM5="811 A",CR5/1.33,IF(CM5="HB 6680",CR5/1.33,IF(CM5="MB688",CR5/1.333,CR5)))</f>
        <v>0</v>
      </c>
      <c r="CV5"/>
      <c r="CX5" s="153"/>
      <c r="CY5" s="156"/>
      <c r="CZ5" s="156"/>
      <c r="DA5" s="128"/>
      <c r="DB5" s="123"/>
      <c r="DC5" s="157" t="s">
        <v>285</v>
      </c>
      <c r="DD5" s="157" t="s">
        <v>286</v>
      </c>
      <c r="DE5" s="127"/>
      <c r="DF5" s="158"/>
      <c r="DG5" s="159"/>
      <c r="DH5" s="160"/>
      <c r="DI5" s="122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V5" s="123"/>
      <c r="DW5" s="123"/>
      <c r="DX5" s="123"/>
      <c r="DY5" s="123"/>
      <c r="DZ5" s="123"/>
      <c r="EA5" s="123"/>
      <c r="EB5" s="123"/>
      <c r="EC5" s="123"/>
      <c r="ED5" s="161">
        <f>SUM(DK5:EC5)</f>
        <v>0</v>
      </c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2"/>
      <c r="EP5" s="123"/>
      <c r="EQ5" s="123"/>
      <c r="ER5" s="123"/>
      <c r="ES5" s="123"/>
      <c r="ET5" s="123"/>
      <c r="EU5" s="123"/>
      <c r="EV5" s="124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4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>
        <v>300</v>
      </c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8">
        <f>SUM(EE5:GO5,GR5)</f>
        <v>300</v>
      </c>
      <c r="GV5" s="162">
        <f>AN5-ED5-GU5</f>
        <v>465</v>
      </c>
      <c r="GW5" s="163">
        <f>AN5-ED5-ER5-FN5</f>
        <v>765</v>
      </c>
      <c r="GX5" s="163">
        <f>AN5-GU5</f>
        <v>465</v>
      </c>
      <c r="GY5" s="123"/>
      <c r="GZ5" s="123"/>
      <c r="HA5" s="123"/>
      <c r="HB5" s="123"/>
      <c r="HC5" s="128">
        <f t="shared" ref="HC5:HC6" si="18">SUM(GY5:HB5)</f>
        <v>0</v>
      </c>
      <c r="HD5" s="123" t="s">
        <v>287</v>
      </c>
      <c r="HE5" s="123" t="s">
        <v>288</v>
      </c>
      <c r="HF5" s="123" t="s">
        <v>289</v>
      </c>
      <c r="HG5" s="123" t="s">
        <v>289</v>
      </c>
      <c r="HH5" s="123" t="s">
        <v>289</v>
      </c>
      <c r="HI5" s="123" t="s">
        <v>289</v>
      </c>
      <c r="HJ5" s="123"/>
      <c r="HK5" s="123"/>
      <c r="HL5" s="127"/>
      <c r="HM5" s="127"/>
      <c r="HN5" s="127"/>
      <c r="HO5" s="127"/>
      <c r="HP5" s="127"/>
      <c r="HQ5" s="164">
        <f t="shared" ref="HQ5:HQ6" si="19">SUM(HL5:HP5)</f>
        <v>0</v>
      </c>
      <c r="HW5" s="164">
        <f t="shared" ref="HW5:HW6" si="20">SUM(HR5:HU5)</f>
        <v>0</v>
      </c>
      <c r="II5" s="164">
        <f t="shared" ref="II5:II6" si="21">SUM(HX5:IG5)</f>
        <v>0</v>
      </c>
      <c r="IV5" s="165">
        <f t="shared" ref="IV5:IV6" si="22">SUM(IJ5:IT5)</f>
        <v>0</v>
      </c>
      <c r="JF5" s="165">
        <f t="shared" ref="JF5:JF6" si="23">SUM(IW5:JD5)</f>
        <v>0</v>
      </c>
      <c r="JG5" s="148"/>
      <c r="JH5" s="148"/>
      <c r="JI5" s="148"/>
      <c r="JJ5" s="148"/>
      <c r="JK5" s="148"/>
    </row>
    <row r="6" spans="1:272" ht="16.5" customHeight="1" x14ac:dyDescent="0.35">
      <c r="A6" t="s">
        <v>290</v>
      </c>
      <c r="B6" s="117" t="s">
        <v>273</v>
      </c>
      <c r="C6" s="118">
        <v>46054</v>
      </c>
      <c r="D6" s="119" t="s">
        <v>291</v>
      </c>
      <c r="E6" s="120" t="s">
        <v>275</v>
      </c>
      <c r="F6" s="120" t="s">
        <v>276</v>
      </c>
      <c r="G6" s="121" t="s">
        <v>277</v>
      </c>
      <c r="H6" s="122"/>
      <c r="I6" s="123"/>
      <c r="J6" s="124"/>
      <c r="K6" s="2" t="s">
        <v>278</v>
      </c>
      <c r="L6" s="125"/>
      <c r="M6" s="126" t="s">
        <v>279</v>
      </c>
      <c r="N6" s="127" t="s">
        <v>280</v>
      </c>
      <c r="O6" s="10" t="s">
        <v>281</v>
      </c>
      <c r="P6" s="128" t="s">
        <v>282</v>
      </c>
      <c r="Q6" s="129"/>
      <c r="R6" s="130"/>
      <c r="S6" s="130"/>
      <c r="T6" s="131" t="str">
        <f t="shared" si="4"/>
        <v/>
      </c>
      <c r="U6" s="132">
        <v>2</v>
      </c>
      <c r="V6" s="133"/>
      <c r="W6" s="133"/>
      <c r="X6" s="134">
        <f>536+536</f>
        <v>1072</v>
      </c>
      <c r="Y6" s="134"/>
      <c r="Z6" s="134">
        <f>5000+5000</f>
        <v>10000</v>
      </c>
      <c r="AA6" s="134"/>
      <c r="AB6" s="135">
        <v>16</v>
      </c>
      <c r="AC6" s="136">
        <f t="shared" si="5"/>
        <v>1088</v>
      </c>
      <c r="AD6" s="137">
        <f t="shared" si="6"/>
        <v>16</v>
      </c>
      <c r="AE6" s="138">
        <f t="shared" si="7"/>
        <v>0</v>
      </c>
      <c r="AF6" s="139">
        <f t="shared" si="8"/>
        <v>0</v>
      </c>
      <c r="AG6" s="123"/>
      <c r="AH6" s="122"/>
      <c r="AI6" s="122"/>
      <c r="AJ6" s="140"/>
      <c r="AK6" s="141" t="str">
        <f t="shared" si="9"/>
        <v/>
      </c>
      <c r="AL6" s="142">
        <v>0.8125</v>
      </c>
      <c r="AM6" s="142">
        <v>6.25E-2</v>
      </c>
      <c r="AN6" s="143">
        <f t="shared" si="10"/>
        <v>360</v>
      </c>
      <c r="AO6" s="123"/>
      <c r="AP6" s="123"/>
      <c r="AQ6" s="127"/>
      <c r="AR6" s="123"/>
      <c r="AS6" s="123"/>
      <c r="AT6" s="123" t="s">
        <v>283</v>
      </c>
      <c r="AU6" s="123" t="s">
        <v>284</v>
      </c>
      <c r="AV6" s="123">
        <v>1220</v>
      </c>
      <c r="AW6" s="123">
        <v>90</v>
      </c>
      <c r="AX6" s="132">
        <v>2</v>
      </c>
      <c r="AY6" s="123">
        <f>536+536+16</f>
        <v>1088</v>
      </c>
      <c r="AZ6" s="123"/>
      <c r="BA6" s="144">
        <f t="shared" si="11"/>
        <v>1088</v>
      </c>
      <c r="BB6" s="127"/>
      <c r="BC6" s="145"/>
      <c r="BD6" s="146"/>
      <c r="BH6" s="147"/>
      <c r="BK6" s="144">
        <f t="shared" si="12"/>
        <v>0</v>
      </c>
      <c r="BO6" s="147"/>
      <c r="BR6" s="144">
        <f t="shared" si="13"/>
        <v>0</v>
      </c>
      <c r="BV6" s="147"/>
      <c r="BY6" s="144">
        <f t="shared" si="14"/>
        <v>0</v>
      </c>
      <c r="BZ6" s="148"/>
      <c r="CA6" s="149"/>
      <c r="CB6" s="150"/>
      <c r="CF6" s="147"/>
      <c r="CI6" s="151">
        <f t="shared" si="15"/>
        <v>0</v>
      </c>
      <c r="CJ6" s="148"/>
      <c r="CK6" s="149"/>
      <c r="CL6" s="150"/>
      <c r="CM6"/>
      <c r="CN6"/>
      <c r="CO6" s="152"/>
      <c r="CP6" s="153"/>
      <c r="CQ6" s="154">
        <f t="shared" si="16"/>
        <v>0</v>
      </c>
      <c r="CR6"/>
      <c r="CS6" s="155"/>
      <c r="CT6" s="153"/>
      <c r="CU6" s="154">
        <f t="shared" si="17"/>
        <v>0</v>
      </c>
      <c r="CV6"/>
      <c r="CX6" s="153"/>
      <c r="CY6" s="156"/>
      <c r="CZ6" s="156"/>
      <c r="DA6" s="128"/>
      <c r="DB6" s="123"/>
      <c r="DC6" s="157" t="s">
        <v>285</v>
      </c>
      <c r="DD6" s="157" t="s">
        <v>286</v>
      </c>
      <c r="DE6" s="127"/>
      <c r="DF6" s="158"/>
      <c r="DG6" s="159"/>
      <c r="DH6" s="160"/>
      <c r="DI6" s="122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V6" s="123"/>
      <c r="DW6" s="123"/>
      <c r="DX6" s="123"/>
      <c r="DY6" s="123"/>
      <c r="DZ6" s="123"/>
      <c r="EA6" s="123"/>
      <c r="EB6" s="123"/>
      <c r="EC6" s="123"/>
      <c r="ED6" s="161">
        <f t="shared" ref="ED6" si="24">SUM(DK6:EC6)</f>
        <v>0</v>
      </c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2"/>
      <c r="EP6" s="123"/>
      <c r="EQ6" s="123"/>
      <c r="ER6" s="123"/>
      <c r="ES6" s="123"/>
      <c r="ET6" s="123"/>
      <c r="EU6" s="123"/>
      <c r="EV6" s="124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4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8">
        <f t="shared" ref="GU6" si="25">SUM(EE6:GO6,GR6)</f>
        <v>0</v>
      </c>
      <c r="GV6" s="162">
        <f t="shared" ref="GV6" si="26">AN6-ED6-GU6</f>
        <v>360</v>
      </c>
      <c r="GW6" s="163">
        <f t="shared" ref="GW6" si="27">AN6-ED6-ER6-FN6</f>
        <v>360</v>
      </c>
      <c r="GX6" s="163">
        <f t="shared" ref="GX6" si="28">AN6-GU6</f>
        <v>360</v>
      </c>
      <c r="GY6" s="123"/>
      <c r="GZ6" s="123"/>
      <c r="HA6" s="123"/>
      <c r="HB6" s="123"/>
      <c r="HC6" s="128">
        <f t="shared" si="18"/>
        <v>0</v>
      </c>
      <c r="HD6" s="123" t="s">
        <v>292</v>
      </c>
      <c r="HE6" s="123" t="s">
        <v>289</v>
      </c>
      <c r="HF6" s="123" t="s">
        <v>289</v>
      </c>
      <c r="HG6" s="123" t="s">
        <v>289</v>
      </c>
      <c r="HH6" s="123" t="s">
        <v>289</v>
      </c>
      <c r="HI6" s="123" t="s">
        <v>289</v>
      </c>
      <c r="HJ6" s="123"/>
      <c r="HK6" s="123"/>
      <c r="HL6" s="127"/>
      <c r="HM6" s="127"/>
      <c r="HN6" s="127"/>
      <c r="HO6" s="127"/>
      <c r="HP6" s="127"/>
      <c r="HQ6" s="164">
        <f t="shared" si="19"/>
        <v>0</v>
      </c>
      <c r="HW6" s="164">
        <f t="shared" si="20"/>
        <v>0</v>
      </c>
      <c r="II6" s="164">
        <f t="shared" si="21"/>
        <v>0</v>
      </c>
      <c r="IV6" s="165">
        <f t="shared" si="22"/>
        <v>0</v>
      </c>
      <c r="JF6" s="165">
        <f t="shared" si="23"/>
        <v>0</v>
      </c>
      <c r="JG6" s="148"/>
      <c r="JH6" s="148"/>
      <c r="JI6" s="148"/>
      <c r="JJ6" s="148"/>
      <c r="JK6" s="148"/>
    </row>
    <row r="7" spans="1:272" ht="16.5" customHeight="1" x14ac:dyDescent="0.35">
      <c r="A7" t="s">
        <v>330</v>
      </c>
      <c r="B7" s="117" t="s">
        <v>273</v>
      </c>
      <c r="C7" s="118">
        <v>46055</v>
      </c>
      <c r="D7" s="119" t="s">
        <v>291</v>
      </c>
      <c r="E7" s="120" t="s">
        <v>295</v>
      </c>
      <c r="F7" s="120" t="s">
        <v>296</v>
      </c>
      <c r="G7" s="121" t="s">
        <v>323</v>
      </c>
      <c r="H7" s="122"/>
      <c r="I7" s="123"/>
      <c r="J7" s="124"/>
      <c r="K7" s="2" t="s">
        <v>331</v>
      </c>
      <c r="L7" s="125"/>
      <c r="M7" s="126" t="s">
        <v>310</v>
      </c>
      <c r="N7" s="127" t="s">
        <v>324</v>
      </c>
      <c r="O7" s="10" t="s">
        <v>332</v>
      </c>
      <c r="P7" s="128" t="s">
        <v>282</v>
      </c>
      <c r="Q7" s="129">
        <v>1</v>
      </c>
      <c r="R7" s="130"/>
      <c r="S7" s="130">
        <v>45317.032604451437</v>
      </c>
      <c r="T7" s="131" t="str">
        <f t="shared" ref="T7:T10" si="29">IF(H7*U7=0,"",H7*U7)</f>
        <v/>
      </c>
      <c r="U7" s="132">
        <v>5</v>
      </c>
      <c r="V7" s="133"/>
      <c r="W7" s="133"/>
      <c r="X7" s="134">
        <f>74+189+274+105+288</f>
        <v>930</v>
      </c>
      <c r="Y7" s="134"/>
      <c r="Z7" s="134">
        <f>3500+9200+13400+5300+14400</f>
        <v>45800</v>
      </c>
      <c r="AA7" s="134"/>
      <c r="AB7" s="135">
        <f>29</f>
        <v>29</v>
      </c>
      <c r="AC7" s="136">
        <f t="shared" ref="AC7:AC10" si="30">BA7+AF7+BK7+BR7+BY7+CI7+CQ7+CU7</f>
        <v>965.47641999999996</v>
      </c>
      <c r="AD7" s="137">
        <f t="shared" ref="AD7:AD10" si="31">+AC7-X7</f>
        <v>35.476419999999962</v>
      </c>
      <c r="AE7" s="138">
        <f t="shared" ref="AE7:AE10" si="32">AD7-AB7</f>
        <v>6.4764199999999619</v>
      </c>
      <c r="AF7" s="139">
        <f t="shared" ref="AF7:AF10" si="33">IFERROR(+(Z7*AV7*DF7)/10^6,0)</f>
        <v>111.97641999999999</v>
      </c>
      <c r="AG7" s="123"/>
      <c r="AH7" s="122">
        <v>280</v>
      </c>
      <c r="AI7" s="122">
        <v>280</v>
      </c>
      <c r="AJ7" s="140">
        <v>3.5211355069634291</v>
      </c>
      <c r="AK7" s="141">
        <v>3.7032632055994683</v>
      </c>
      <c r="AL7" s="142">
        <v>0</v>
      </c>
      <c r="AM7" s="142">
        <v>0.1701388888888889</v>
      </c>
      <c r="AN7" s="143">
        <f t="shared" ref="AN7:AN10" si="34">IF(AM7&gt;AL7,((AM7-AL7)*1440),(1440+(AM7-AL7)*1440))</f>
        <v>245</v>
      </c>
      <c r="AO7" s="123"/>
      <c r="AP7" s="123"/>
      <c r="AQ7" s="127"/>
      <c r="AR7" s="123"/>
      <c r="AS7" s="123"/>
      <c r="AT7" s="123" t="s">
        <v>293</v>
      </c>
      <c r="AU7" s="123" t="s">
        <v>311</v>
      </c>
      <c r="AV7" s="123">
        <v>1063</v>
      </c>
      <c r="AW7" s="123">
        <v>12</v>
      </c>
      <c r="AX7" s="132">
        <v>3</v>
      </c>
      <c r="AY7" s="123">
        <f>161+429.5+429</f>
        <v>1019.5</v>
      </c>
      <c r="AZ7" s="123">
        <f>-166</f>
        <v>-166</v>
      </c>
      <c r="BA7" s="144">
        <f t="shared" ref="BA7:BA10" si="35">SUM(AY7+AZ7)</f>
        <v>853.5</v>
      </c>
      <c r="BB7" s="127">
        <v>85157</v>
      </c>
      <c r="BC7" s="145">
        <v>4.4039999999999999</v>
      </c>
      <c r="BD7" s="146">
        <f t="shared" ref="BD7:BD10" si="36">+BA7*BC7</f>
        <v>3758.8139999999999</v>
      </c>
      <c r="BH7" s="147"/>
      <c r="BK7" s="144">
        <f t="shared" ref="BK7:BK10" si="37">SUM(BI7+BJ7)</f>
        <v>0</v>
      </c>
      <c r="BO7" s="147"/>
      <c r="BR7" s="144">
        <f t="shared" ref="BR7:BR10" si="38">SUM(BP7+BQ7)</f>
        <v>0</v>
      </c>
      <c r="BV7" s="147"/>
      <c r="BY7" s="144">
        <f t="shared" ref="BY7:BY10" si="39">SUM(BW7+BX7)</f>
        <v>0</v>
      </c>
      <c r="BZ7" s="148"/>
      <c r="CA7" s="149"/>
      <c r="CB7" s="150"/>
      <c r="CF7" s="147"/>
      <c r="CI7" s="151">
        <f t="shared" ref="CI7:CI10" si="40">SUM(CG7+CH7)</f>
        <v>0</v>
      </c>
      <c r="CJ7" s="148"/>
      <c r="CK7" s="149"/>
      <c r="CL7" s="150"/>
      <c r="CM7"/>
      <c r="CN7"/>
      <c r="CO7" s="152"/>
      <c r="CP7" s="153"/>
      <c r="CQ7" s="154">
        <f t="shared" ref="CQ7:CQ10" si="41">IF(CM7="811 A",CN7/1.667,IF(CM7="MB635",CN7/1.33,IF(CM7="MB655",CN7/1.43,IF(CM7="LG 59A",CN7/1.667,IF(CM7="HB 6680",CN7/1.25,IF(CM7="MB688",CN7/1.25,CN7))))))</f>
        <v>0</v>
      </c>
      <c r="CR7"/>
      <c r="CS7" s="155"/>
      <c r="CT7" s="153"/>
      <c r="CU7" s="154">
        <f t="shared" ref="CU7:CU10" si="42">IF(CM7="811 A",CR7/1.33,IF(CM7="HB 6680",CR7/1.33,IF(CM7="MB688",CR7/1.333,CR7)))</f>
        <v>0</v>
      </c>
      <c r="CV7"/>
      <c r="CX7" s="153"/>
      <c r="CY7" s="156"/>
      <c r="CZ7" s="156"/>
      <c r="DA7" s="128"/>
      <c r="DB7" s="123"/>
      <c r="DC7" s="157" t="s">
        <v>325</v>
      </c>
      <c r="DD7" s="157" t="s">
        <v>313</v>
      </c>
      <c r="DE7" s="127">
        <v>8</v>
      </c>
      <c r="DF7" s="158">
        <f>1.6+0.7</f>
        <v>2.2999999999999998</v>
      </c>
      <c r="DG7" s="159"/>
      <c r="DH7" s="160"/>
      <c r="DI7" s="122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>
        <v>10</v>
      </c>
      <c r="DV7" s="123"/>
      <c r="DW7" s="123">
        <v>10</v>
      </c>
      <c r="DX7" s="123">
        <v>10</v>
      </c>
      <c r="DY7" s="123">
        <v>10</v>
      </c>
      <c r="DZ7" s="123">
        <v>10</v>
      </c>
      <c r="EA7" s="123"/>
      <c r="EB7" s="123">
        <v>10</v>
      </c>
      <c r="EC7" s="123"/>
      <c r="ED7" s="161">
        <f t="shared" ref="ED7:ED10" si="43">SUM(DK7:EC7)</f>
        <v>60</v>
      </c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2"/>
      <c r="EP7" s="123"/>
      <c r="EQ7" s="123"/>
      <c r="ER7" s="123"/>
      <c r="ES7" s="123"/>
      <c r="ET7" s="123"/>
      <c r="EU7" s="123"/>
      <c r="EV7" s="124"/>
      <c r="EW7" s="123"/>
      <c r="EX7" s="123"/>
      <c r="EY7" s="123"/>
      <c r="EZ7" s="123"/>
      <c r="FA7" s="123"/>
      <c r="FB7" s="123">
        <v>20</v>
      </c>
      <c r="FC7" s="123"/>
      <c r="FD7" s="123"/>
      <c r="FE7" s="123"/>
      <c r="FF7" s="123"/>
      <c r="FG7" s="123"/>
      <c r="FH7" s="123"/>
      <c r="FI7" s="123"/>
      <c r="FJ7" s="124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8">
        <f t="shared" ref="GU7:GU10" si="44">SUM(EE7:GO7,GR7)</f>
        <v>20</v>
      </c>
      <c r="GV7" s="162">
        <f t="shared" ref="GV7:GV10" si="45">AN7-ED7-GU7</f>
        <v>165</v>
      </c>
      <c r="GW7" s="163">
        <f t="shared" ref="GW7:GW10" si="46">AN7-ED7-ER7-FN7</f>
        <v>185</v>
      </c>
      <c r="GX7" s="163">
        <f t="shared" ref="GX7:GX10" si="47">AN7-GU7</f>
        <v>225</v>
      </c>
      <c r="GY7" s="123">
        <v>300</v>
      </c>
      <c r="GZ7" s="123">
        <v>500</v>
      </c>
      <c r="HA7" s="123">
        <v>500</v>
      </c>
      <c r="HB7" s="123">
        <v>350</v>
      </c>
      <c r="HC7" s="128">
        <f t="shared" ref="HC7:HC10" si="48">SUM(GY7:HB7)</f>
        <v>1650</v>
      </c>
      <c r="HD7" s="123" t="s">
        <v>326</v>
      </c>
      <c r="HE7" s="123" t="s">
        <v>327</v>
      </c>
      <c r="HF7" s="123" t="s">
        <v>317</v>
      </c>
      <c r="HG7" s="123" t="s">
        <v>328</v>
      </c>
      <c r="HH7" s="123" t="s">
        <v>289</v>
      </c>
      <c r="HI7" s="123" t="s">
        <v>329</v>
      </c>
      <c r="HJ7" s="123"/>
      <c r="HK7" s="123"/>
      <c r="HL7" s="127"/>
      <c r="HM7" s="127"/>
      <c r="HN7" s="127"/>
      <c r="HO7" s="127"/>
      <c r="HP7" s="127"/>
      <c r="HQ7" s="164">
        <f t="shared" ref="HQ7:HQ10" si="49">SUM(HL7:HP7)</f>
        <v>0</v>
      </c>
      <c r="HW7" s="164">
        <f t="shared" ref="HW7:HW10" si="50">SUM(HR7:HU7)</f>
        <v>0</v>
      </c>
      <c r="II7" s="164">
        <f t="shared" ref="II7:II10" si="51">SUM(HX7:IG7)</f>
        <v>0</v>
      </c>
      <c r="IV7" s="165">
        <f t="shared" ref="IV7:IV10" si="52">SUM(IJ7:IT7)</f>
        <v>0</v>
      </c>
      <c r="JF7" s="165">
        <f t="shared" ref="JF7:JF10" si="53">SUM(IW7:JD7)</f>
        <v>0</v>
      </c>
      <c r="JG7" s="148">
        <f>1+1</f>
        <v>2</v>
      </c>
      <c r="JH7" s="148" t="s">
        <v>320</v>
      </c>
      <c r="JI7" s="148"/>
      <c r="JJ7" s="148"/>
      <c r="JK7" s="148"/>
    </row>
    <row r="8" spans="1:272" ht="16.5" customHeight="1" x14ac:dyDescent="0.35">
      <c r="A8" t="s">
        <v>333</v>
      </c>
      <c r="B8" s="117" t="s">
        <v>273</v>
      </c>
      <c r="C8" s="118">
        <v>46055</v>
      </c>
      <c r="D8" s="119" t="s">
        <v>291</v>
      </c>
      <c r="E8" s="120" t="s">
        <v>295</v>
      </c>
      <c r="F8" s="120" t="s">
        <v>296</v>
      </c>
      <c r="G8" s="121" t="s">
        <v>323</v>
      </c>
      <c r="H8" s="122"/>
      <c r="I8" s="123"/>
      <c r="J8" s="124"/>
      <c r="K8" s="2" t="s">
        <v>334</v>
      </c>
      <c r="L8" s="125"/>
      <c r="M8" s="126" t="s">
        <v>310</v>
      </c>
      <c r="N8" s="127" t="s">
        <v>324</v>
      </c>
      <c r="O8" s="10" t="s">
        <v>335</v>
      </c>
      <c r="P8" s="128" t="s">
        <v>282</v>
      </c>
      <c r="Q8" s="129">
        <v>1</v>
      </c>
      <c r="R8" s="130"/>
      <c r="S8" s="130">
        <v>9063.4065208902866</v>
      </c>
      <c r="T8" s="131" t="str">
        <f t="shared" si="29"/>
        <v/>
      </c>
      <c r="U8" s="132">
        <v>2</v>
      </c>
      <c r="V8" s="133"/>
      <c r="W8" s="133"/>
      <c r="X8" s="134">
        <f>63+120</f>
        <v>183</v>
      </c>
      <c r="Y8" s="134"/>
      <c r="Z8" s="134">
        <f>3100+6200</f>
        <v>9300</v>
      </c>
      <c r="AA8" s="134"/>
      <c r="AB8" s="135">
        <f>19</f>
        <v>19</v>
      </c>
      <c r="AC8" s="136">
        <f t="shared" si="30"/>
        <v>204.13517999999999</v>
      </c>
      <c r="AD8" s="137">
        <f t="shared" si="31"/>
        <v>21.135179999999991</v>
      </c>
      <c r="AE8" s="138">
        <f t="shared" si="32"/>
        <v>2.1351799999999912</v>
      </c>
      <c r="AF8" s="139">
        <f t="shared" si="33"/>
        <v>21.135179999999998</v>
      </c>
      <c r="AG8" s="123"/>
      <c r="AH8" s="122">
        <v>280</v>
      </c>
      <c r="AI8" s="122">
        <v>280</v>
      </c>
      <c r="AJ8" s="140">
        <v>1.6042271013926857</v>
      </c>
      <c r="AK8" s="141">
        <v>1.6872043652578248</v>
      </c>
      <c r="AL8" s="142">
        <v>0.1701388888888889</v>
      </c>
      <c r="AM8" s="142">
        <v>0.2361111111111111</v>
      </c>
      <c r="AN8" s="143">
        <f t="shared" si="34"/>
        <v>94.999999999999986</v>
      </c>
      <c r="AO8" s="123"/>
      <c r="AP8" s="123"/>
      <c r="AQ8" s="127"/>
      <c r="AR8" s="123"/>
      <c r="AS8" s="123"/>
      <c r="AT8" s="123" t="s">
        <v>293</v>
      </c>
      <c r="AU8" s="123" t="s">
        <v>311</v>
      </c>
      <c r="AV8" s="123">
        <v>1033</v>
      </c>
      <c r="AW8" s="123">
        <v>12</v>
      </c>
      <c r="AX8" s="132">
        <v>2</v>
      </c>
      <c r="AY8" s="123">
        <f>138+321</f>
        <v>459</v>
      </c>
      <c r="AZ8" s="123">
        <f>-276</f>
        <v>-276</v>
      </c>
      <c r="BA8" s="144">
        <f t="shared" si="35"/>
        <v>183</v>
      </c>
      <c r="BB8" s="127">
        <v>85051</v>
      </c>
      <c r="BC8" s="145">
        <v>4.22</v>
      </c>
      <c r="BD8" s="146">
        <f t="shared" si="36"/>
        <v>772.26</v>
      </c>
      <c r="BH8" s="147"/>
      <c r="BK8" s="144">
        <f t="shared" si="37"/>
        <v>0</v>
      </c>
      <c r="BO8" s="147"/>
      <c r="BR8" s="144">
        <f t="shared" si="38"/>
        <v>0</v>
      </c>
      <c r="BV8" s="147"/>
      <c r="BY8" s="144">
        <f t="shared" si="39"/>
        <v>0</v>
      </c>
      <c r="BZ8" s="148"/>
      <c r="CA8" s="149"/>
      <c r="CB8" s="150"/>
      <c r="CF8" s="147"/>
      <c r="CI8" s="151">
        <f t="shared" si="40"/>
        <v>0</v>
      </c>
      <c r="CJ8" s="148"/>
      <c r="CK8" s="149"/>
      <c r="CL8" s="150"/>
      <c r="CM8"/>
      <c r="CN8"/>
      <c r="CO8" s="152"/>
      <c r="CP8" s="153"/>
      <c r="CQ8" s="154">
        <f t="shared" si="41"/>
        <v>0</v>
      </c>
      <c r="CR8"/>
      <c r="CS8" s="155"/>
      <c r="CT8" s="153"/>
      <c r="CU8" s="154">
        <f t="shared" si="42"/>
        <v>0</v>
      </c>
      <c r="CV8"/>
      <c r="CX8" s="153"/>
      <c r="CY8" s="156"/>
      <c r="CZ8" s="156"/>
      <c r="DA8" s="128"/>
      <c r="DB8" s="123"/>
      <c r="DC8" s="157" t="s">
        <v>325</v>
      </c>
      <c r="DD8" s="157" t="s">
        <v>313</v>
      </c>
      <c r="DE8" s="127">
        <v>8</v>
      </c>
      <c r="DF8" s="158">
        <f>1.5+0.7</f>
        <v>2.2000000000000002</v>
      </c>
      <c r="DG8" s="159"/>
      <c r="DH8" s="160"/>
      <c r="DI8" s="122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>
        <v>10</v>
      </c>
      <c r="DV8" s="123"/>
      <c r="DW8" s="123">
        <v>10</v>
      </c>
      <c r="DX8" s="123">
        <v>10</v>
      </c>
      <c r="DY8" s="123">
        <v>10</v>
      </c>
      <c r="DZ8" s="123">
        <v>10</v>
      </c>
      <c r="EA8" s="123"/>
      <c r="EB8" s="123">
        <v>10</v>
      </c>
      <c r="EC8" s="123"/>
      <c r="ED8" s="161">
        <f t="shared" si="43"/>
        <v>60</v>
      </c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2"/>
      <c r="EP8" s="123"/>
      <c r="EQ8" s="123"/>
      <c r="ER8" s="123"/>
      <c r="ES8" s="123"/>
      <c r="ET8" s="123"/>
      <c r="EU8" s="123"/>
      <c r="EV8" s="124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4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8">
        <f t="shared" si="44"/>
        <v>0</v>
      </c>
      <c r="GV8" s="162">
        <f t="shared" si="45"/>
        <v>34.999999999999986</v>
      </c>
      <c r="GW8" s="163">
        <f t="shared" si="46"/>
        <v>34.999999999999986</v>
      </c>
      <c r="GX8" s="163">
        <f t="shared" si="47"/>
        <v>94.999999999999986</v>
      </c>
      <c r="GY8" s="123">
        <v>300</v>
      </c>
      <c r="GZ8" s="123">
        <v>500</v>
      </c>
      <c r="HA8" s="123">
        <v>300</v>
      </c>
      <c r="HB8" s="123">
        <v>0</v>
      </c>
      <c r="HC8" s="128">
        <f t="shared" si="48"/>
        <v>1100</v>
      </c>
      <c r="HD8" s="123" t="s">
        <v>326</v>
      </c>
      <c r="HE8" s="123" t="s">
        <v>327</v>
      </c>
      <c r="HF8" s="123" t="s">
        <v>317</v>
      </c>
      <c r="HG8" s="123" t="s">
        <v>328</v>
      </c>
      <c r="HH8" s="123" t="s">
        <v>289</v>
      </c>
      <c r="HI8" s="123" t="s">
        <v>329</v>
      </c>
      <c r="HJ8" s="123"/>
      <c r="HK8" s="123"/>
      <c r="HL8" s="127"/>
      <c r="HM8" s="127"/>
      <c r="HN8" s="127"/>
      <c r="HO8" s="127"/>
      <c r="HP8" s="127"/>
      <c r="HQ8" s="164">
        <f t="shared" si="49"/>
        <v>0</v>
      </c>
      <c r="HW8" s="164">
        <f t="shared" si="50"/>
        <v>0</v>
      </c>
      <c r="II8" s="164">
        <f t="shared" si="51"/>
        <v>0</v>
      </c>
      <c r="IV8" s="165">
        <f t="shared" si="52"/>
        <v>0</v>
      </c>
      <c r="JF8" s="165">
        <f t="shared" si="53"/>
        <v>0</v>
      </c>
      <c r="JG8" s="148">
        <v>1</v>
      </c>
      <c r="JH8" s="148" t="s">
        <v>320</v>
      </c>
      <c r="JI8" s="148"/>
      <c r="JJ8" s="148"/>
      <c r="JK8" s="148"/>
    </row>
    <row r="9" spans="1:272" ht="16.5" customHeight="1" x14ac:dyDescent="0.35">
      <c r="A9" t="s">
        <v>340</v>
      </c>
      <c r="B9" s="117" t="s">
        <v>273</v>
      </c>
      <c r="C9" s="118">
        <v>46055</v>
      </c>
      <c r="D9" s="119" t="s">
        <v>274</v>
      </c>
      <c r="E9" s="120" t="s">
        <v>298</v>
      </c>
      <c r="F9" s="120" t="s">
        <v>296</v>
      </c>
      <c r="G9" s="121" t="s">
        <v>277</v>
      </c>
      <c r="H9" s="122"/>
      <c r="I9" s="123"/>
      <c r="J9" s="124"/>
      <c r="K9" s="2" t="s">
        <v>278</v>
      </c>
      <c r="L9" s="125"/>
      <c r="M9" s="126" t="s">
        <v>279</v>
      </c>
      <c r="N9" s="127" t="s">
        <v>280</v>
      </c>
      <c r="O9" s="10" t="s">
        <v>281</v>
      </c>
      <c r="P9" s="128" t="s">
        <v>282</v>
      </c>
      <c r="Q9" s="129">
        <v>1</v>
      </c>
      <c r="R9" s="130"/>
      <c r="S9" s="130">
        <v>29395.636111752487</v>
      </c>
      <c r="T9" s="131" t="str">
        <f t="shared" si="29"/>
        <v/>
      </c>
      <c r="U9" s="132">
        <v>8</v>
      </c>
      <c r="V9" s="133"/>
      <c r="W9" s="133"/>
      <c r="X9" s="134">
        <f>312+564+556+248+535+247+538+165</f>
        <v>3165</v>
      </c>
      <c r="Y9" s="134"/>
      <c r="Z9" s="134">
        <f>3000+5300+5200+2300+5000+2300+5000+1500</f>
        <v>29600</v>
      </c>
      <c r="AA9" s="134"/>
      <c r="AB9" s="135">
        <f>31</f>
        <v>31</v>
      </c>
      <c r="AC9" s="136">
        <f t="shared" si="30"/>
        <v>3200.7502399999998</v>
      </c>
      <c r="AD9" s="137">
        <f t="shared" si="31"/>
        <v>35.750239999999849</v>
      </c>
      <c r="AE9" s="138">
        <f t="shared" si="32"/>
        <v>4.7502399999998488</v>
      </c>
      <c r="AF9" s="139">
        <f t="shared" si="33"/>
        <v>9.7502399999999998</v>
      </c>
      <c r="AG9" s="123"/>
      <c r="AH9" s="122">
        <v>170</v>
      </c>
      <c r="AI9" s="122">
        <v>160</v>
      </c>
      <c r="AJ9" s="140">
        <v>3.8819251089953415</v>
      </c>
      <c r="AK9" s="141">
        <v>4.0827143387709626</v>
      </c>
      <c r="AL9" s="142">
        <v>0.4513888888888889</v>
      </c>
      <c r="AM9" s="142">
        <v>0.64930555555555558</v>
      </c>
      <c r="AN9" s="143">
        <f t="shared" si="34"/>
        <v>285</v>
      </c>
      <c r="AO9" s="123"/>
      <c r="AP9" s="123"/>
      <c r="AQ9" s="127"/>
      <c r="AR9" s="123"/>
      <c r="AS9" s="123"/>
      <c r="AT9" s="123" t="s">
        <v>341</v>
      </c>
      <c r="AU9" s="123" t="s">
        <v>285</v>
      </c>
      <c r="AV9" s="123">
        <v>1220</v>
      </c>
      <c r="AW9" s="123">
        <v>90</v>
      </c>
      <c r="AX9" s="132">
        <v>8</v>
      </c>
      <c r="AY9" s="123">
        <f>317+565+565+250+536+250+536+317</f>
        <v>3336</v>
      </c>
      <c r="AZ9" s="123">
        <f>-145</f>
        <v>-145</v>
      </c>
      <c r="BA9" s="144">
        <f t="shared" si="35"/>
        <v>3191</v>
      </c>
      <c r="BB9" s="127" t="s">
        <v>342</v>
      </c>
      <c r="BC9" s="145">
        <v>4.6992526305327065</v>
      </c>
      <c r="BD9" s="146">
        <f t="shared" si="36"/>
        <v>14995.315144029866</v>
      </c>
      <c r="BH9" s="147"/>
      <c r="BK9" s="144">
        <f t="shared" si="37"/>
        <v>0</v>
      </c>
      <c r="BO9" s="147"/>
      <c r="BR9" s="144">
        <f t="shared" si="38"/>
        <v>0</v>
      </c>
      <c r="BV9" s="147"/>
      <c r="BY9" s="144">
        <f t="shared" si="39"/>
        <v>0</v>
      </c>
      <c r="BZ9" s="148"/>
      <c r="CA9" s="149"/>
      <c r="CB9" s="150"/>
      <c r="CF9" s="147"/>
      <c r="CI9" s="151">
        <f t="shared" si="40"/>
        <v>0</v>
      </c>
      <c r="CJ9" s="148"/>
      <c r="CK9" s="149"/>
      <c r="CL9" s="150"/>
      <c r="CM9"/>
      <c r="CN9"/>
      <c r="CO9" s="152"/>
      <c r="CP9" s="153"/>
      <c r="CQ9" s="154">
        <f t="shared" si="41"/>
        <v>0</v>
      </c>
      <c r="CR9"/>
      <c r="CS9" s="155"/>
      <c r="CT9" s="153"/>
      <c r="CU9" s="154">
        <f t="shared" si="42"/>
        <v>0</v>
      </c>
      <c r="CV9"/>
      <c r="CX9" s="153"/>
      <c r="CY9" s="156"/>
      <c r="CZ9" s="156"/>
      <c r="DA9" s="128"/>
      <c r="DB9" s="123"/>
      <c r="DC9" s="157" t="s">
        <v>285</v>
      </c>
      <c r="DD9" s="157" t="s">
        <v>286</v>
      </c>
      <c r="DE9" s="127">
        <v>8</v>
      </c>
      <c r="DF9" s="158">
        <f>AVERAGE(0.28,0.27,0.26)</f>
        <v>0.27</v>
      </c>
      <c r="DG9" s="159"/>
      <c r="DH9" s="160"/>
      <c r="DI9" s="122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>
        <v>10</v>
      </c>
      <c r="DV9" s="123"/>
      <c r="DW9" s="123">
        <v>10</v>
      </c>
      <c r="DX9" s="123">
        <v>10</v>
      </c>
      <c r="DY9" s="123">
        <v>10</v>
      </c>
      <c r="DZ9" s="123">
        <v>10</v>
      </c>
      <c r="EA9" s="123"/>
      <c r="EB9" s="123">
        <v>10</v>
      </c>
      <c r="EC9" s="123"/>
      <c r="ED9" s="161">
        <f t="shared" si="43"/>
        <v>60</v>
      </c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2"/>
      <c r="EP9" s="123"/>
      <c r="EQ9" s="123"/>
      <c r="ER9" s="123"/>
      <c r="ES9" s="123"/>
      <c r="ET9" s="123"/>
      <c r="EU9" s="123"/>
      <c r="EV9" s="124"/>
      <c r="EW9" s="123"/>
      <c r="EX9" s="123"/>
      <c r="EY9" s="123"/>
      <c r="EZ9" s="123"/>
      <c r="FA9" s="123"/>
      <c r="FB9" s="123"/>
      <c r="FC9" s="123"/>
      <c r="FD9" s="123"/>
      <c r="FE9" s="123">
        <v>15</v>
      </c>
      <c r="FF9" s="123"/>
      <c r="FG9" s="123"/>
      <c r="FH9" s="123"/>
      <c r="FI9" s="123"/>
      <c r="FJ9" s="124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8">
        <f t="shared" si="44"/>
        <v>15</v>
      </c>
      <c r="GV9" s="162">
        <f t="shared" si="45"/>
        <v>210</v>
      </c>
      <c r="GW9" s="163">
        <f t="shared" si="46"/>
        <v>225</v>
      </c>
      <c r="GX9" s="163">
        <f t="shared" si="47"/>
        <v>270</v>
      </c>
      <c r="GY9" s="123">
        <v>0</v>
      </c>
      <c r="GZ9" s="123">
        <v>0</v>
      </c>
      <c r="HA9" s="123">
        <v>150</v>
      </c>
      <c r="HB9" s="123">
        <v>150</v>
      </c>
      <c r="HC9" s="128">
        <f t="shared" si="48"/>
        <v>300</v>
      </c>
      <c r="HD9" s="123" t="s">
        <v>336</v>
      </c>
      <c r="HE9" s="123" t="s">
        <v>337</v>
      </c>
      <c r="HF9" s="123" t="s">
        <v>338</v>
      </c>
      <c r="HG9" s="123" t="s">
        <v>339</v>
      </c>
      <c r="HH9" s="123" t="s">
        <v>289</v>
      </c>
      <c r="HI9" s="123" t="s">
        <v>319</v>
      </c>
      <c r="HJ9" s="123"/>
      <c r="HK9" s="123"/>
      <c r="HL9" s="127"/>
      <c r="HM9" s="127"/>
      <c r="HN9" s="127"/>
      <c r="HO9" s="127"/>
      <c r="HP9" s="127"/>
      <c r="HQ9" s="164">
        <f t="shared" si="49"/>
        <v>0</v>
      </c>
      <c r="HW9" s="164">
        <f t="shared" si="50"/>
        <v>0</v>
      </c>
      <c r="II9" s="164">
        <f t="shared" si="51"/>
        <v>0</v>
      </c>
      <c r="IV9" s="165">
        <f t="shared" si="52"/>
        <v>0</v>
      </c>
      <c r="JF9" s="165">
        <f t="shared" si="53"/>
        <v>0</v>
      </c>
      <c r="JG9" s="148">
        <f>1+1</f>
        <v>2</v>
      </c>
      <c r="JH9" s="148" t="s">
        <v>320</v>
      </c>
      <c r="JI9" s="148"/>
      <c r="JJ9" s="148"/>
      <c r="JK9" s="148"/>
    </row>
    <row r="10" spans="1:272" ht="16.5" customHeight="1" x14ac:dyDescent="0.35">
      <c r="A10" t="s">
        <v>347</v>
      </c>
      <c r="B10" s="117" t="s">
        <v>273</v>
      </c>
      <c r="C10" s="118">
        <v>46055</v>
      </c>
      <c r="D10" s="119" t="s">
        <v>291</v>
      </c>
      <c r="E10" s="120" t="s">
        <v>298</v>
      </c>
      <c r="F10" s="120" t="s">
        <v>296</v>
      </c>
      <c r="G10" s="121" t="s">
        <v>348</v>
      </c>
      <c r="H10" s="122"/>
      <c r="I10" s="123"/>
      <c r="J10" s="124"/>
      <c r="K10" s="2" t="s">
        <v>349</v>
      </c>
      <c r="L10" s="125"/>
      <c r="M10" s="126" t="s">
        <v>322</v>
      </c>
      <c r="N10" s="127" t="s">
        <v>350</v>
      </c>
      <c r="O10" s="10" t="s">
        <v>351</v>
      </c>
      <c r="P10" s="128" t="s">
        <v>282</v>
      </c>
      <c r="Q10" s="129">
        <v>1</v>
      </c>
      <c r="R10" s="130"/>
      <c r="S10" s="130">
        <v>20668.880932867469</v>
      </c>
      <c r="T10" s="131" t="str">
        <f t="shared" si="29"/>
        <v/>
      </c>
      <c r="U10" s="132">
        <v>3</v>
      </c>
      <c r="V10" s="133"/>
      <c r="W10" s="133"/>
      <c r="X10" s="134">
        <f>96+242+230</f>
        <v>568</v>
      </c>
      <c r="Y10" s="134"/>
      <c r="Z10" s="134">
        <f>3400+8800+8200</f>
        <v>20400</v>
      </c>
      <c r="AA10" s="134"/>
      <c r="AB10" s="135"/>
      <c r="AC10" s="136">
        <f t="shared" si="30"/>
        <v>563.94714399999998</v>
      </c>
      <c r="AD10" s="137">
        <f t="shared" si="31"/>
        <v>-4.0528560000000198</v>
      </c>
      <c r="AE10" s="138">
        <f t="shared" si="32"/>
        <v>-4.0528560000000198</v>
      </c>
      <c r="AF10" s="139">
        <f t="shared" si="33"/>
        <v>33.147143999999997</v>
      </c>
      <c r="AG10" s="123"/>
      <c r="AH10" s="122">
        <v>350</v>
      </c>
      <c r="AI10" s="122">
        <v>280</v>
      </c>
      <c r="AJ10" s="140">
        <v>1.9842324253746413</v>
      </c>
      <c r="AK10" s="141">
        <v>2.0868651370319506</v>
      </c>
      <c r="AL10" s="142">
        <v>0.99652777777777779</v>
      </c>
      <c r="AM10" s="142">
        <v>0.10416666666666667</v>
      </c>
      <c r="AN10" s="143">
        <f t="shared" si="34"/>
        <v>155</v>
      </c>
      <c r="AO10" s="123"/>
      <c r="AP10" s="123"/>
      <c r="AQ10" s="127"/>
      <c r="AR10" s="123"/>
      <c r="AS10" s="123"/>
      <c r="AT10" s="123" t="s">
        <v>293</v>
      </c>
      <c r="AU10" s="123" t="s">
        <v>352</v>
      </c>
      <c r="AV10" s="123">
        <v>955.8</v>
      </c>
      <c r="AW10" s="123">
        <v>30</v>
      </c>
      <c r="AX10" s="132">
        <v>1</v>
      </c>
      <c r="AY10" s="123">
        <f>184+346.8</f>
        <v>530.79999999999995</v>
      </c>
      <c r="AZ10" s="123"/>
      <c r="BA10" s="144">
        <f t="shared" si="35"/>
        <v>530.79999999999995</v>
      </c>
      <c r="BB10" s="127" t="s">
        <v>353</v>
      </c>
      <c r="BC10" s="145">
        <v>6.4315222305953279</v>
      </c>
      <c r="BD10" s="146">
        <f t="shared" si="36"/>
        <v>3413.8519999999999</v>
      </c>
      <c r="BH10" s="147"/>
      <c r="BK10" s="144">
        <f t="shared" si="37"/>
        <v>0</v>
      </c>
      <c r="BO10" s="147"/>
      <c r="BR10" s="144">
        <f t="shared" si="38"/>
        <v>0</v>
      </c>
      <c r="BV10" s="147"/>
      <c r="BY10" s="144">
        <f t="shared" si="39"/>
        <v>0</v>
      </c>
      <c r="BZ10" s="148"/>
      <c r="CA10" s="149"/>
      <c r="CB10" s="150"/>
      <c r="CF10" s="147"/>
      <c r="CI10" s="151">
        <f t="shared" si="40"/>
        <v>0</v>
      </c>
      <c r="CJ10" s="148"/>
      <c r="CK10" s="149"/>
      <c r="CL10" s="150"/>
      <c r="CM10"/>
      <c r="CN10"/>
      <c r="CO10" s="152"/>
      <c r="CP10" s="153"/>
      <c r="CQ10" s="154">
        <f t="shared" si="41"/>
        <v>0</v>
      </c>
      <c r="CR10"/>
      <c r="CS10" s="155"/>
      <c r="CT10" s="153"/>
      <c r="CU10" s="154">
        <f t="shared" si="42"/>
        <v>0</v>
      </c>
      <c r="CV10"/>
      <c r="CX10" s="153"/>
      <c r="CY10" s="156"/>
      <c r="CZ10" s="156"/>
      <c r="DA10" s="128"/>
      <c r="DB10" s="123"/>
      <c r="DC10" s="157" t="s">
        <v>354</v>
      </c>
      <c r="DD10" s="157" t="s">
        <v>294</v>
      </c>
      <c r="DE10" s="127">
        <v>8</v>
      </c>
      <c r="DF10" s="158">
        <f>AVERAGE(1.7)</f>
        <v>1.7</v>
      </c>
      <c r="DG10" s="159"/>
      <c r="DH10" s="160"/>
      <c r="DI10" s="122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>
        <v>10</v>
      </c>
      <c r="DV10" s="123"/>
      <c r="DW10" s="123">
        <v>10</v>
      </c>
      <c r="DX10" s="123">
        <v>10</v>
      </c>
      <c r="DY10" s="123">
        <v>10</v>
      </c>
      <c r="DZ10" s="123">
        <v>10</v>
      </c>
      <c r="EA10" s="123"/>
      <c r="EB10" s="123">
        <v>10</v>
      </c>
      <c r="EC10" s="123"/>
      <c r="ED10" s="161">
        <f t="shared" si="43"/>
        <v>60</v>
      </c>
      <c r="EE10" s="123"/>
      <c r="EF10" s="123"/>
      <c r="EG10" s="123"/>
      <c r="EH10" s="123"/>
      <c r="EI10" s="123"/>
      <c r="EJ10" s="123">
        <v>20</v>
      </c>
      <c r="EK10" s="123"/>
      <c r="EL10" s="123"/>
      <c r="EM10" s="123"/>
      <c r="EN10" s="123"/>
      <c r="EO10" s="122"/>
      <c r="EP10" s="123"/>
      <c r="EQ10" s="123"/>
      <c r="ER10" s="123"/>
      <c r="ES10" s="123"/>
      <c r="ET10" s="123"/>
      <c r="EU10" s="123"/>
      <c r="EV10" s="124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4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8">
        <f t="shared" si="44"/>
        <v>20</v>
      </c>
      <c r="GV10" s="162">
        <f t="shared" si="45"/>
        <v>75</v>
      </c>
      <c r="GW10" s="163">
        <f t="shared" si="46"/>
        <v>95</v>
      </c>
      <c r="GX10" s="163">
        <f t="shared" si="47"/>
        <v>135</v>
      </c>
      <c r="GY10" s="123">
        <v>0</v>
      </c>
      <c r="GZ10" s="123">
        <v>0</v>
      </c>
      <c r="HA10" s="123">
        <v>0</v>
      </c>
      <c r="HB10" s="123">
        <v>0</v>
      </c>
      <c r="HC10" s="128">
        <f t="shared" si="48"/>
        <v>0</v>
      </c>
      <c r="HD10" s="123" t="s">
        <v>343</v>
      </c>
      <c r="HE10" s="123" t="s">
        <v>344</v>
      </c>
      <c r="HF10" s="123" t="s">
        <v>345</v>
      </c>
      <c r="HG10" s="123" t="s">
        <v>346</v>
      </c>
      <c r="HH10" s="123" t="s">
        <v>289</v>
      </c>
      <c r="HI10" s="123" t="s">
        <v>329</v>
      </c>
      <c r="HJ10" s="123" t="s">
        <v>355</v>
      </c>
      <c r="HK10" s="123"/>
      <c r="HL10" s="127"/>
      <c r="HM10" s="127"/>
      <c r="HN10" s="127"/>
      <c r="HO10" s="127"/>
      <c r="HP10" s="127"/>
      <c r="HQ10" s="164">
        <f t="shared" si="49"/>
        <v>0</v>
      </c>
      <c r="HW10" s="164">
        <f t="shared" si="50"/>
        <v>0</v>
      </c>
      <c r="II10" s="164">
        <f t="shared" si="51"/>
        <v>0</v>
      </c>
      <c r="IV10" s="165">
        <f t="shared" si="52"/>
        <v>0</v>
      </c>
      <c r="JF10" s="165">
        <f t="shared" si="53"/>
        <v>0</v>
      </c>
      <c r="JG10" s="148">
        <v>1</v>
      </c>
      <c r="JH10" s="148" t="s">
        <v>320</v>
      </c>
      <c r="JI10" s="148"/>
      <c r="JJ10" s="148"/>
      <c r="JK10" s="148"/>
    </row>
    <row r="11" spans="1:272" ht="16.5" customHeight="1" x14ac:dyDescent="0.35">
      <c r="A11" t="s">
        <v>414</v>
      </c>
      <c r="B11" s="117" t="s">
        <v>273</v>
      </c>
      <c r="C11" s="118">
        <v>46056</v>
      </c>
      <c r="D11" s="119" t="s">
        <v>274</v>
      </c>
      <c r="E11" s="120" t="s">
        <v>299</v>
      </c>
      <c r="F11" s="120" t="s">
        <v>300</v>
      </c>
      <c r="G11" s="121" t="s">
        <v>348</v>
      </c>
      <c r="H11" s="122"/>
      <c r="I11" s="123" t="s">
        <v>283</v>
      </c>
      <c r="J11" s="124"/>
      <c r="K11" s="2" t="s">
        <v>349</v>
      </c>
      <c r="L11" s="125"/>
      <c r="M11" s="126" t="s">
        <v>322</v>
      </c>
      <c r="N11" s="127" t="s">
        <v>350</v>
      </c>
      <c r="O11" s="10" t="s">
        <v>351</v>
      </c>
      <c r="P11" s="128" t="s">
        <v>356</v>
      </c>
      <c r="Q11" s="129"/>
      <c r="R11" s="130"/>
      <c r="S11" s="130"/>
      <c r="T11" s="131" t="str">
        <f t="shared" ref="T11:T16" si="54">IF(H11*U11=0,"",H11*U11)</f>
        <v/>
      </c>
      <c r="U11" s="132">
        <v>3</v>
      </c>
      <c r="V11" s="133"/>
      <c r="W11" s="133"/>
      <c r="X11" s="134">
        <f>230+40+290</f>
        <v>560</v>
      </c>
      <c r="Y11" s="134"/>
      <c r="Z11" s="134">
        <v>8200</v>
      </c>
      <c r="AA11" s="134"/>
      <c r="AB11" s="135">
        <f>4+4</f>
        <v>8</v>
      </c>
      <c r="AC11" s="136">
        <f t="shared" ref="AC11:AC16" si="55">BA11+AF11+BK11+BR11+BY11+CI11+CQ11+CU11</f>
        <v>568</v>
      </c>
      <c r="AD11" s="137">
        <f t="shared" ref="AD11:AD16" si="56">+AC11-X11</f>
        <v>8</v>
      </c>
      <c r="AE11" s="138">
        <f t="shared" ref="AE11:AE16" si="57">AD11-AB11</f>
        <v>0</v>
      </c>
      <c r="AF11" s="139">
        <f t="shared" ref="AF11:AF16" si="58">IFERROR(+(Z11*AV11*DF11)/10^6,0)</f>
        <v>0</v>
      </c>
      <c r="AG11" s="123"/>
      <c r="AH11" s="122"/>
      <c r="AI11" s="122"/>
      <c r="AJ11" s="140"/>
      <c r="AK11" s="141" t="str">
        <f t="shared" ref="AK11:AK14" si="59">IF(AJ11*60=0,"",AJ11*60)</f>
        <v/>
      </c>
      <c r="AL11" s="142">
        <v>0.30208333333333331</v>
      </c>
      <c r="AM11" s="142">
        <v>0.37569444444444444</v>
      </c>
      <c r="AN11" s="143">
        <f t="shared" ref="AN11:AN16" si="60">IF(AM11&gt;AL11,((AM11-AL11)*1440),(1440+(AM11-AL11)*1440))</f>
        <v>106.00000000000003</v>
      </c>
      <c r="AO11" s="123"/>
      <c r="AP11" s="123"/>
      <c r="AQ11" s="127"/>
      <c r="AR11" s="123"/>
      <c r="AS11" s="123"/>
      <c r="AT11" s="123"/>
      <c r="AU11" s="123" t="s">
        <v>386</v>
      </c>
      <c r="AV11" s="123">
        <v>955.8</v>
      </c>
      <c r="AW11" s="123">
        <v>30</v>
      </c>
      <c r="AX11" s="132">
        <v>3</v>
      </c>
      <c r="AY11" s="123">
        <f>230+96+242</f>
        <v>568</v>
      </c>
      <c r="AZ11" s="123"/>
      <c r="BA11" s="144">
        <f t="shared" ref="BA11:BA16" si="61">SUM(AY11+AZ11)</f>
        <v>568</v>
      </c>
      <c r="BB11" s="127"/>
      <c r="BC11" s="145"/>
      <c r="BD11" s="146"/>
      <c r="BH11" s="147"/>
      <c r="BK11" s="144">
        <f t="shared" ref="BK11:BK16" si="62">SUM(BI11+BJ11)</f>
        <v>0</v>
      </c>
      <c r="BO11" s="147"/>
      <c r="BR11" s="144">
        <f t="shared" ref="BR11:BR16" si="63">SUM(BP11+BQ11)</f>
        <v>0</v>
      </c>
      <c r="BV11" s="147"/>
      <c r="BY11" s="144">
        <f t="shared" ref="BY11:BY16" si="64">SUM(BW11+BX11)</f>
        <v>0</v>
      </c>
      <c r="BZ11" s="148"/>
      <c r="CA11" s="149"/>
      <c r="CB11" s="150"/>
      <c r="CF11" s="147"/>
      <c r="CI11" s="151">
        <f t="shared" ref="CI11:CI16" si="65">SUM(CG11+CH11)</f>
        <v>0</v>
      </c>
      <c r="CJ11" s="148"/>
      <c r="CK11" s="149"/>
      <c r="CL11" s="150"/>
      <c r="CM11"/>
      <c r="CN11"/>
      <c r="CO11" s="152"/>
      <c r="CP11" s="153"/>
      <c r="CQ11" s="154">
        <f t="shared" ref="CQ11:CQ16" si="66">IF(CM11="811 A",CN11/1.667,IF(CM11="MB635",CN11/1.33,IF(CM11="MB655",CN11/1.43,IF(CM11="LG 59A",CN11/1.667,IF(CM11="HB 6680",CN11/1.25,IF(CM11="MB688",CN11/1.25,CN11))))))</f>
        <v>0</v>
      </c>
      <c r="CR11"/>
      <c r="CS11" s="155"/>
      <c r="CT11" s="153"/>
      <c r="CU11" s="154">
        <f t="shared" ref="CU11:CU16" si="67">IF(CM11="811 A",CR11/1.33,IF(CM11="HB 6680",CR11/1.33,IF(CM11="MB688",CR11/1.333,CR11)))</f>
        <v>0</v>
      </c>
      <c r="CV11"/>
      <c r="CX11" s="153"/>
      <c r="CY11" s="156"/>
      <c r="CZ11" s="156"/>
      <c r="DA11" s="128"/>
      <c r="DB11" s="123"/>
      <c r="DC11" s="157" t="s">
        <v>354</v>
      </c>
      <c r="DD11" s="157" t="s">
        <v>294</v>
      </c>
      <c r="DE11" s="127"/>
      <c r="DF11" s="158"/>
      <c r="DG11" s="159"/>
      <c r="DH11" s="160"/>
      <c r="DI11" s="122"/>
      <c r="DK11" s="123">
        <v>10</v>
      </c>
      <c r="DL11" s="123"/>
      <c r="DM11" s="123"/>
      <c r="DN11" s="123"/>
      <c r="DO11" s="123"/>
      <c r="DP11" s="123"/>
      <c r="DQ11" s="123"/>
      <c r="DR11" s="123"/>
      <c r="DS11" s="123"/>
      <c r="DT11" s="123"/>
      <c r="DV11" s="123"/>
      <c r="DW11" s="123"/>
      <c r="DX11" s="123"/>
      <c r="DY11" s="123"/>
      <c r="DZ11" s="123"/>
      <c r="EA11" s="123"/>
      <c r="EB11" s="123"/>
      <c r="EC11" s="123"/>
      <c r="ED11" s="161">
        <f t="shared" ref="ED11:ED16" si="68">SUM(DK11:EC11)</f>
        <v>10</v>
      </c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2"/>
      <c r="EP11" s="123"/>
      <c r="EQ11" s="123"/>
      <c r="ER11" s="123">
        <v>9</v>
      </c>
      <c r="ES11" s="123"/>
      <c r="ET11" s="123"/>
      <c r="EU11" s="123"/>
      <c r="EV11" s="124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4"/>
      <c r="FK11" s="123"/>
      <c r="FL11" s="123"/>
      <c r="FM11" s="123"/>
      <c r="FN11" s="123"/>
      <c r="FO11" s="123">
        <v>10</v>
      </c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8">
        <f t="shared" ref="GU11:GU16" si="69">SUM(EE11:GO11,GR11)</f>
        <v>19</v>
      </c>
      <c r="GV11" s="162">
        <f t="shared" ref="GV11:GV16" si="70">AN11-ED11-GU11</f>
        <v>77.000000000000028</v>
      </c>
      <c r="GW11" s="163">
        <f t="shared" ref="GW11:GW16" si="71">AN11-ED11-ER11-FN11</f>
        <v>87.000000000000028</v>
      </c>
      <c r="GX11" s="163">
        <f t="shared" ref="GX11:GX16" si="72">AN11-GU11</f>
        <v>87.000000000000028</v>
      </c>
      <c r="GY11" s="123"/>
      <c r="GZ11" s="123"/>
      <c r="HA11" s="123"/>
      <c r="HB11" s="123"/>
      <c r="HC11" s="128">
        <f t="shared" ref="HC11:HC16" si="73">SUM(GY11:HB11)</f>
        <v>0</v>
      </c>
      <c r="HD11" s="123" t="s">
        <v>358</v>
      </c>
      <c r="HE11" s="123" t="s">
        <v>289</v>
      </c>
      <c r="HF11" s="123" t="s">
        <v>289</v>
      </c>
      <c r="HG11" s="123" t="s">
        <v>289</v>
      </c>
      <c r="HH11" s="123" t="s">
        <v>289</v>
      </c>
      <c r="HI11" s="123" t="s">
        <v>319</v>
      </c>
      <c r="HJ11" s="123"/>
      <c r="HK11" s="123"/>
      <c r="HL11" s="127"/>
      <c r="HM11" s="127"/>
      <c r="HN11" s="127"/>
      <c r="HO11" s="127"/>
      <c r="HP11" s="127"/>
      <c r="HQ11" s="164">
        <f t="shared" ref="HQ11:HQ16" si="74">SUM(HL11:HP11)</f>
        <v>0</v>
      </c>
      <c r="HU11">
        <f>4+4</f>
        <v>8</v>
      </c>
      <c r="HV11" t="s">
        <v>359</v>
      </c>
      <c r="HW11" s="164">
        <f t="shared" ref="HW11:HW16" si="75">SUM(HR11:HU11)</f>
        <v>8</v>
      </c>
      <c r="II11" s="164">
        <f t="shared" ref="II11:II16" si="76">SUM(HX11:IG11)</f>
        <v>0</v>
      </c>
      <c r="IV11" s="165">
        <f t="shared" ref="IV11:IV16" si="77">SUM(IJ11:IT11)</f>
        <v>0</v>
      </c>
      <c r="JF11" s="165">
        <f t="shared" ref="JF11:JF16" si="78">SUM(IW11:JD11)</f>
        <v>0</v>
      </c>
      <c r="JG11" s="148"/>
      <c r="JH11" s="148"/>
      <c r="JI11" s="148"/>
      <c r="JJ11" s="148"/>
      <c r="JK11" s="148"/>
    </row>
    <row r="12" spans="1:272" ht="16.5" customHeight="1" x14ac:dyDescent="0.35">
      <c r="A12" t="s">
        <v>415</v>
      </c>
      <c r="B12" s="117" t="s">
        <v>273</v>
      </c>
      <c r="C12" s="118">
        <v>46056</v>
      </c>
      <c r="D12" s="119" t="s">
        <v>274</v>
      </c>
      <c r="E12" s="120" t="s">
        <v>299</v>
      </c>
      <c r="F12" s="120" t="s">
        <v>300</v>
      </c>
      <c r="G12" s="121" t="s">
        <v>323</v>
      </c>
      <c r="H12" s="122"/>
      <c r="I12" s="123" t="s">
        <v>283</v>
      </c>
      <c r="J12" s="124"/>
      <c r="K12" s="2" t="s">
        <v>334</v>
      </c>
      <c r="L12" s="125"/>
      <c r="M12" s="126" t="s">
        <v>310</v>
      </c>
      <c r="N12" s="127" t="s">
        <v>324</v>
      </c>
      <c r="O12" s="10" t="s">
        <v>335</v>
      </c>
      <c r="P12" s="128" t="s">
        <v>356</v>
      </c>
      <c r="Q12" s="129"/>
      <c r="R12" s="130"/>
      <c r="S12" s="130"/>
      <c r="T12" s="131" t="str">
        <f t="shared" si="54"/>
        <v/>
      </c>
      <c r="U12" s="132">
        <v>1</v>
      </c>
      <c r="V12" s="133"/>
      <c r="W12" s="133"/>
      <c r="X12" s="134">
        <v>120</v>
      </c>
      <c r="Y12" s="134"/>
      <c r="Z12" s="134">
        <v>6200</v>
      </c>
      <c r="AA12" s="134"/>
      <c r="AB12" s="135"/>
      <c r="AC12" s="136">
        <f t="shared" si="55"/>
        <v>120</v>
      </c>
      <c r="AD12" s="137">
        <f t="shared" si="56"/>
        <v>0</v>
      </c>
      <c r="AE12" s="138">
        <f t="shared" si="57"/>
        <v>0</v>
      </c>
      <c r="AF12" s="139">
        <f t="shared" si="58"/>
        <v>0</v>
      </c>
      <c r="AG12" s="123"/>
      <c r="AH12" s="122"/>
      <c r="AI12" s="122"/>
      <c r="AJ12" s="140"/>
      <c r="AK12" s="141" t="str">
        <f t="shared" si="59"/>
        <v/>
      </c>
      <c r="AL12" s="142">
        <v>0.63958333333333339</v>
      </c>
      <c r="AM12" s="142">
        <v>0.80208333333333337</v>
      </c>
      <c r="AN12" s="143">
        <f t="shared" si="60"/>
        <v>233.99999999999997</v>
      </c>
      <c r="AO12" s="123"/>
      <c r="AP12" s="123"/>
      <c r="AQ12" s="127"/>
      <c r="AR12" s="123"/>
      <c r="AS12" s="123"/>
      <c r="AT12" s="123"/>
      <c r="AU12" s="123" t="s">
        <v>357</v>
      </c>
      <c r="AV12" s="123">
        <v>1033</v>
      </c>
      <c r="AW12" s="123">
        <v>12</v>
      </c>
      <c r="AX12" s="132">
        <v>1</v>
      </c>
      <c r="AY12" s="123">
        <v>120</v>
      </c>
      <c r="AZ12" s="123"/>
      <c r="BA12" s="144">
        <f t="shared" si="61"/>
        <v>120</v>
      </c>
      <c r="BB12" s="127"/>
      <c r="BC12" s="145"/>
      <c r="BD12" s="146"/>
      <c r="BH12" s="147"/>
      <c r="BK12" s="144">
        <f t="shared" si="62"/>
        <v>0</v>
      </c>
      <c r="BO12" s="147"/>
      <c r="BR12" s="144">
        <f t="shared" si="63"/>
        <v>0</v>
      </c>
      <c r="BV12" s="147"/>
      <c r="BY12" s="144">
        <f t="shared" si="64"/>
        <v>0</v>
      </c>
      <c r="BZ12" s="148"/>
      <c r="CA12" s="149"/>
      <c r="CB12" s="150"/>
      <c r="CF12" s="147"/>
      <c r="CI12" s="151">
        <f t="shared" si="65"/>
        <v>0</v>
      </c>
      <c r="CJ12" s="148"/>
      <c r="CK12" s="149"/>
      <c r="CL12" s="150"/>
      <c r="CM12"/>
      <c r="CN12"/>
      <c r="CO12" s="152"/>
      <c r="CP12" s="153"/>
      <c r="CQ12" s="154">
        <f t="shared" si="66"/>
        <v>0</v>
      </c>
      <c r="CR12"/>
      <c r="CS12" s="155"/>
      <c r="CT12" s="153"/>
      <c r="CU12" s="154">
        <f t="shared" si="67"/>
        <v>0</v>
      </c>
      <c r="CV12"/>
      <c r="CX12" s="153"/>
      <c r="CY12" s="156"/>
      <c r="CZ12" s="156"/>
      <c r="DA12" s="128"/>
      <c r="DB12" s="123"/>
      <c r="DC12" s="157" t="s">
        <v>325</v>
      </c>
      <c r="DD12" s="157" t="s">
        <v>313</v>
      </c>
      <c r="DE12" s="127"/>
      <c r="DF12" s="158"/>
      <c r="DG12" s="159"/>
      <c r="DH12" s="160"/>
      <c r="DI12" s="122"/>
      <c r="DK12" s="123">
        <v>10</v>
      </c>
      <c r="DL12" s="123"/>
      <c r="DM12" s="123"/>
      <c r="DN12" s="123"/>
      <c r="DO12" s="123"/>
      <c r="DP12" s="123"/>
      <c r="DQ12" s="123"/>
      <c r="DR12" s="123"/>
      <c r="DS12" s="123"/>
      <c r="DT12" s="123"/>
      <c r="DV12" s="123"/>
      <c r="DW12" s="123"/>
      <c r="DX12" s="123"/>
      <c r="DY12" s="123"/>
      <c r="DZ12" s="123"/>
      <c r="EA12" s="123"/>
      <c r="EB12" s="123"/>
      <c r="EC12" s="123"/>
      <c r="ED12" s="161">
        <f t="shared" si="68"/>
        <v>10</v>
      </c>
      <c r="EE12" s="123"/>
      <c r="EF12" s="123">
        <v>10</v>
      </c>
      <c r="EG12" s="123"/>
      <c r="EH12" s="123"/>
      <c r="EI12" s="123"/>
      <c r="EJ12" s="123"/>
      <c r="EK12" s="123"/>
      <c r="EL12" s="123"/>
      <c r="EM12" s="123"/>
      <c r="EN12" s="123"/>
      <c r="EO12" s="122"/>
      <c r="EP12" s="123"/>
      <c r="EQ12" s="123"/>
      <c r="ER12" s="123">
        <v>20</v>
      </c>
      <c r="ES12" s="123">
        <v>10</v>
      </c>
      <c r="ET12" s="123"/>
      <c r="EU12" s="123"/>
      <c r="EV12" s="124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4"/>
      <c r="FK12" s="123"/>
      <c r="FL12" s="123"/>
      <c r="FM12" s="123"/>
      <c r="FN12" s="123"/>
      <c r="FO12" s="123">
        <v>10</v>
      </c>
      <c r="FP12" s="123"/>
      <c r="FQ12" s="123"/>
      <c r="FR12" s="123">
        <v>10</v>
      </c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8">
        <f t="shared" si="69"/>
        <v>60</v>
      </c>
      <c r="GV12" s="162">
        <f t="shared" si="70"/>
        <v>163.99999999999997</v>
      </c>
      <c r="GW12" s="163">
        <f t="shared" si="71"/>
        <v>203.99999999999997</v>
      </c>
      <c r="GX12" s="163">
        <f t="shared" si="72"/>
        <v>173.99999999999997</v>
      </c>
      <c r="GY12" s="123"/>
      <c r="GZ12" s="123"/>
      <c r="HA12" s="123"/>
      <c r="HB12" s="123"/>
      <c r="HC12" s="128">
        <f t="shared" si="73"/>
        <v>0</v>
      </c>
      <c r="HD12" s="123" t="s">
        <v>358</v>
      </c>
      <c r="HE12" s="123" t="s">
        <v>289</v>
      </c>
      <c r="HF12" s="123" t="s">
        <v>289</v>
      </c>
      <c r="HG12" s="123" t="s">
        <v>289</v>
      </c>
      <c r="HH12" s="123" t="s">
        <v>289</v>
      </c>
      <c r="HI12" s="123" t="s">
        <v>319</v>
      </c>
      <c r="HJ12" s="123"/>
      <c r="HK12" s="123"/>
      <c r="HL12" s="127"/>
      <c r="HM12" s="127"/>
      <c r="HN12" s="127"/>
      <c r="HO12" s="127"/>
      <c r="HP12" s="127"/>
      <c r="HQ12" s="164">
        <f t="shared" si="74"/>
        <v>0</v>
      </c>
      <c r="HW12" s="164">
        <f t="shared" si="75"/>
        <v>0</v>
      </c>
      <c r="II12" s="164">
        <f t="shared" si="76"/>
        <v>0</v>
      </c>
      <c r="IV12" s="165">
        <f t="shared" si="77"/>
        <v>0</v>
      </c>
      <c r="JF12" s="165">
        <f t="shared" si="78"/>
        <v>0</v>
      </c>
      <c r="JG12" s="148"/>
      <c r="JH12" s="148"/>
      <c r="JI12" s="148"/>
      <c r="JJ12" s="148"/>
      <c r="JK12" s="148"/>
    </row>
    <row r="13" spans="1:272" ht="16.5" customHeight="1" x14ac:dyDescent="0.35">
      <c r="A13" t="s">
        <v>416</v>
      </c>
      <c r="B13" s="117" t="s">
        <v>273</v>
      </c>
      <c r="C13" s="118">
        <v>46056</v>
      </c>
      <c r="D13" s="119" t="s">
        <v>291</v>
      </c>
      <c r="E13" s="120" t="s">
        <v>299</v>
      </c>
      <c r="F13" s="120" t="s">
        <v>300</v>
      </c>
      <c r="G13" s="121" t="s">
        <v>323</v>
      </c>
      <c r="H13" s="122"/>
      <c r="I13" s="123" t="s">
        <v>283</v>
      </c>
      <c r="J13" s="124"/>
      <c r="K13" s="2" t="s">
        <v>334</v>
      </c>
      <c r="L13" s="125"/>
      <c r="M13" s="126" t="s">
        <v>310</v>
      </c>
      <c r="N13" s="127" t="s">
        <v>324</v>
      </c>
      <c r="O13" s="10" t="s">
        <v>335</v>
      </c>
      <c r="P13" s="128" t="s">
        <v>356</v>
      </c>
      <c r="Q13" s="129"/>
      <c r="R13" s="130"/>
      <c r="S13" s="130"/>
      <c r="T13" s="131" t="str">
        <f t="shared" si="54"/>
        <v/>
      </c>
      <c r="U13" s="132">
        <v>1</v>
      </c>
      <c r="V13" s="133"/>
      <c r="W13" s="133"/>
      <c r="X13" s="134">
        <v>110</v>
      </c>
      <c r="Y13" s="134"/>
      <c r="Z13" s="134">
        <v>6100</v>
      </c>
      <c r="AA13" s="134"/>
      <c r="AB13" s="135">
        <f>2+8</f>
        <v>10</v>
      </c>
      <c r="AC13" s="136">
        <f t="shared" si="55"/>
        <v>120</v>
      </c>
      <c r="AD13" s="137">
        <f t="shared" si="56"/>
        <v>10</v>
      </c>
      <c r="AE13" s="138">
        <f t="shared" si="57"/>
        <v>0</v>
      </c>
      <c r="AF13" s="139">
        <f t="shared" si="58"/>
        <v>0</v>
      </c>
      <c r="AG13" s="123"/>
      <c r="AH13" s="122"/>
      <c r="AI13" s="122"/>
      <c r="AJ13" s="140"/>
      <c r="AK13" s="141" t="str">
        <f t="shared" si="59"/>
        <v/>
      </c>
      <c r="AL13" s="142">
        <v>0.80208333333333337</v>
      </c>
      <c r="AM13" s="142">
        <v>0.84930555555555554</v>
      </c>
      <c r="AN13" s="143">
        <f t="shared" si="60"/>
        <v>67.999999999999915</v>
      </c>
      <c r="AO13" s="123"/>
      <c r="AP13" s="123"/>
      <c r="AQ13" s="127"/>
      <c r="AR13" s="123"/>
      <c r="AS13" s="123"/>
      <c r="AT13" s="123"/>
      <c r="AU13" s="123" t="s">
        <v>357</v>
      </c>
      <c r="AV13" s="123">
        <v>1033</v>
      </c>
      <c r="AW13" s="123">
        <v>12</v>
      </c>
      <c r="AX13" s="132">
        <v>1</v>
      </c>
      <c r="AY13" s="123">
        <v>120</v>
      </c>
      <c r="AZ13" s="123"/>
      <c r="BA13" s="144">
        <f t="shared" si="61"/>
        <v>120</v>
      </c>
      <c r="BB13" s="127"/>
      <c r="BC13" s="145"/>
      <c r="BD13" s="146"/>
      <c r="BH13" s="147"/>
      <c r="BK13" s="144">
        <f t="shared" si="62"/>
        <v>0</v>
      </c>
      <c r="BO13" s="147"/>
      <c r="BR13" s="144">
        <f t="shared" si="63"/>
        <v>0</v>
      </c>
      <c r="BV13" s="147"/>
      <c r="BY13" s="144">
        <f t="shared" si="64"/>
        <v>0</v>
      </c>
      <c r="BZ13" s="148"/>
      <c r="CA13" s="149"/>
      <c r="CB13" s="150"/>
      <c r="CF13" s="147"/>
      <c r="CI13" s="151">
        <f t="shared" si="65"/>
        <v>0</v>
      </c>
      <c r="CJ13" s="148"/>
      <c r="CK13" s="149"/>
      <c r="CL13" s="150"/>
      <c r="CM13"/>
      <c r="CN13"/>
      <c r="CO13" s="152"/>
      <c r="CP13" s="153"/>
      <c r="CQ13" s="154">
        <f t="shared" si="66"/>
        <v>0</v>
      </c>
      <c r="CR13"/>
      <c r="CS13" s="155"/>
      <c r="CT13" s="153"/>
      <c r="CU13" s="154">
        <f t="shared" si="67"/>
        <v>0</v>
      </c>
      <c r="CV13"/>
      <c r="CX13" s="153"/>
      <c r="CY13" s="156"/>
      <c r="CZ13" s="156"/>
      <c r="DA13" s="128"/>
      <c r="DB13" s="123"/>
      <c r="DC13" s="157" t="s">
        <v>325</v>
      </c>
      <c r="DD13" s="157" t="s">
        <v>313</v>
      </c>
      <c r="DE13" s="127"/>
      <c r="DF13" s="158"/>
      <c r="DG13" s="159"/>
      <c r="DH13" s="160"/>
      <c r="DI13" s="122"/>
      <c r="DK13" s="123">
        <v>10</v>
      </c>
      <c r="DL13" s="123"/>
      <c r="DM13" s="123"/>
      <c r="DN13" s="123"/>
      <c r="DO13" s="123"/>
      <c r="DP13" s="123"/>
      <c r="DQ13" s="123"/>
      <c r="DR13" s="123"/>
      <c r="DS13" s="123"/>
      <c r="DT13" s="123"/>
      <c r="DV13" s="123"/>
      <c r="DW13" s="123"/>
      <c r="DX13" s="123"/>
      <c r="DY13" s="123"/>
      <c r="DZ13" s="123"/>
      <c r="EA13" s="123"/>
      <c r="EB13" s="123"/>
      <c r="EC13" s="123"/>
      <c r="ED13" s="161">
        <f t="shared" si="68"/>
        <v>10</v>
      </c>
      <c r="EE13" s="123"/>
      <c r="EF13" s="123">
        <v>10</v>
      </c>
      <c r="EG13" s="123"/>
      <c r="EH13" s="123"/>
      <c r="EI13" s="123"/>
      <c r="EJ13" s="123"/>
      <c r="EK13" s="123"/>
      <c r="EL13" s="123"/>
      <c r="EM13" s="123"/>
      <c r="EN13" s="123"/>
      <c r="EO13" s="122"/>
      <c r="EP13" s="123"/>
      <c r="EQ13" s="123"/>
      <c r="ER13" s="123">
        <v>6</v>
      </c>
      <c r="ES13" s="123">
        <v>10</v>
      </c>
      <c r="ET13" s="123"/>
      <c r="EU13" s="123"/>
      <c r="EV13" s="124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4"/>
      <c r="FK13" s="123"/>
      <c r="FL13" s="123"/>
      <c r="FM13" s="123"/>
      <c r="FN13" s="123"/>
      <c r="FO13" s="123">
        <v>10</v>
      </c>
      <c r="FP13" s="123"/>
      <c r="FQ13" s="123"/>
      <c r="FR13" s="123">
        <v>10</v>
      </c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8">
        <f t="shared" si="69"/>
        <v>46</v>
      </c>
      <c r="GV13" s="162">
        <f t="shared" si="70"/>
        <v>11.999999999999915</v>
      </c>
      <c r="GW13" s="163">
        <f t="shared" si="71"/>
        <v>51.999999999999915</v>
      </c>
      <c r="GX13" s="163">
        <f t="shared" si="72"/>
        <v>21.999999999999915</v>
      </c>
      <c r="GY13" s="123"/>
      <c r="GZ13" s="123"/>
      <c r="HA13" s="123"/>
      <c r="HB13" s="123"/>
      <c r="HC13" s="128">
        <f t="shared" si="73"/>
        <v>0</v>
      </c>
      <c r="HD13" s="123" t="s">
        <v>363</v>
      </c>
      <c r="HE13" s="123" t="s">
        <v>289</v>
      </c>
      <c r="HF13" s="123" t="s">
        <v>289</v>
      </c>
      <c r="HG13" s="123" t="s">
        <v>289</v>
      </c>
      <c r="HH13" s="123" t="s">
        <v>289</v>
      </c>
      <c r="HI13" s="123" t="s">
        <v>329</v>
      </c>
      <c r="HJ13" s="123"/>
      <c r="HK13" s="123"/>
      <c r="HL13" s="127"/>
      <c r="HM13" s="127"/>
      <c r="HN13" s="127"/>
      <c r="HO13" s="127"/>
      <c r="HP13" s="127"/>
      <c r="HQ13" s="164">
        <f t="shared" si="74"/>
        <v>0</v>
      </c>
      <c r="HR13">
        <v>2</v>
      </c>
      <c r="HU13">
        <v>8</v>
      </c>
      <c r="HV13" t="s">
        <v>362</v>
      </c>
      <c r="HW13" s="164">
        <f t="shared" si="75"/>
        <v>10</v>
      </c>
      <c r="II13" s="164">
        <f t="shared" si="76"/>
        <v>0</v>
      </c>
      <c r="IV13" s="165">
        <f t="shared" si="77"/>
        <v>0</v>
      </c>
      <c r="JF13" s="165">
        <f t="shared" si="78"/>
        <v>0</v>
      </c>
      <c r="JG13" s="148">
        <v>1</v>
      </c>
      <c r="JH13" s="148"/>
      <c r="JI13" s="148"/>
      <c r="JJ13" s="148"/>
      <c r="JK13" s="148"/>
    </row>
    <row r="14" spans="1:272" ht="16.5" customHeight="1" x14ac:dyDescent="0.35">
      <c r="A14" t="s">
        <v>417</v>
      </c>
      <c r="B14" s="117" t="s">
        <v>273</v>
      </c>
      <c r="C14" s="118">
        <v>46056</v>
      </c>
      <c r="D14" s="119" t="s">
        <v>291</v>
      </c>
      <c r="E14" s="120" t="s">
        <v>299</v>
      </c>
      <c r="F14" s="120" t="s">
        <v>300</v>
      </c>
      <c r="G14" s="121" t="s">
        <v>323</v>
      </c>
      <c r="H14" s="122"/>
      <c r="I14" s="123" t="s">
        <v>283</v>
      </c>
      <c r="J14" s="124"/>
      <c r="K14" s="2" t="s">
        <v>331</v>
      </c>
      <c r="L14" s="125"/>
      <c r="M14" s="126" t="s">
        <v>310</v>
      </c>
      <c r="N14" s="127" t="s">
        <v>324</v>
      </c>
      <c r="O14" s="10" t="s">
        <v>332</v>
      </c>
      <c r="P14" s="128" t="s">
        <v>356</v>
      </c>
      <c r="Q14" s="129"/>
      <c r="R14" s="130"/>
      <c r="S14" s="130"/>
      <c r="T14" s="131" t="str">
        <f t="shared" si="54"/>
        <v/>
      </c>
      <c r="U14" s="132">
        <v>2</v>
      </c>
      <c r="V14" s="133"/>
      <c r="W14" s="133"/>
      <c r="X14" s="134">
        <f>435+440</f>
        <v>875</v>
      </c>
      <c r="Y14" s="134"/>
      <c r="Z14" s="134">
        <f>22200+22900</f>
        <v>45100</v>
      </c>
      <c r="AA14" s="134"/>
      <c r="AB14" s="135">
        <f>18+2+2+5+2+26</f>
        <v>55</v>
      </c>
      <c r="AC14" s="136">
        <f t="shared" si="55"/>
        <v>930</v>
      </c>
      <c r="AD14" s="137">
        <f t="shared" si="56"/>
        <v>55</v>
      </c>
      <c r="AE14" s="138">
        <f t="shared" si="57"/>
        <v>0</v>
      </c>
      <c r="AF14" s="139">
        <f t="shared" si="58"/>
        <v>0</v>
      </c>
      <c r="AG14" s="123"/>
      <c r="AH14" s="122"/>
      <c r="AI14" s="122"/>
      <c r="AJ14" s="140"/>
      <c r="AK14" s="141" t="str">
        <f t="shared" si="59"/>
        <v/>
      </c>
      <c r="AL14" s="142">
        <v>0.84930555555555554</v>
      </c>
      <c r="AM14" s="142">
        <v>0.19930555555555557</v>
      </c>
      <c r="AN14" s="143">
        <f t="shared" si="60"/>
        <v>504.00000000000011</v>
      </c>
      <c r="AO14" s="123"/>
      <c r="AP14" s="123"/>
      <c r="AQ14" s="127"/>
      <c r="AR14" s="123"/>
      <c r="AS14" s="123"/>
      <c r="AT14" s="123"/>
      <c r="AU14" s="123" t="s">
        <v>357</v>
      </c>
      <c r="AV14" s="123">
        <v>1063</v>
      </c>
      <c r="AW14" s="123">
        <v>12</v>
      </c>
      <c r="AX14" s="132">
        <v>5</v>
      </c>
      <c r="AY14" s="123">
        <f>74+274+105+288+189</f>
        <v>930</v>
      </c>
      <c r="AZ14" s="123"/>
      <c r="BA14" s="144">
        <f t="shared" si="61"/>
        <v>930</v>
      </c>
      <c r="BB14" s="127"/>
      <c r="BC14" s="145"/>
      <c r="BD14" s="146"/>
      <c r="BH14" s="147"/>
      <c r="BK14" s="144">
        <f t="shared" si="62"/>
        <v>0</v>
      </c>
      <c r="BO14" s="147"/>
      <c r="BR14" s="144">
        <f t="shared" si="63"/>
        <v>0</v>
      </c>
      <c r="BV14" s="147"/>
      <c r="BY14" s="144">
        <f t="shared" si="64"/>
        <v>0</v>
      </c>
      <c r="BZ14" s="148"/>
      <c r="CA14" s="149"/>
      <c r="CB14" s="150"/>
      <c r="CF14" s="147"/>
      <c r="CI14" s="151">
        <f t="shared" si="65"/>
        <v>0</v>
      </c>
      <c r="CJ14" s="148"/>
      <c r="CK14" s="149"/>
      <c r="CL14" s="150"/>
      <c r="CM14"/>
      <c r="CN14"/>
      <c r="CO14" s="152"/>
      <c r="CP14" s="153"/>
      <c r="CQ14" s="154">
        <f t="shared" si="66"/>
        <v>0</v>
      </c>
      <c r="CR14"/>
      <c r="CS14" s="155"/>
      <c r="CT14" s="153"/>
      <c r="CU14" s="154">
        <f t="shared" si="67"/>
        <v>0</v>
      </c>
      <c r="CV14"/>
      <c r="CX14" s="153"/>
      <c r="CY14" s="156"/>
      <c r="CZ14" s="156"/>
      <c r="DA14" s="128"/>
      <c r="DB14" s="123"/>
      <c r="DC14" s="157" t="s">
        <v>325</v>
      </c>
      <c r="DD14" s="157" t="s">
        <v>313</v>
      </c>
      <c r="DE14" s="127"/>
      <c r="DF14" s="158"/>
      <c r="DG14" s="159"/>
      <c r="DH14" s="160"/>
      <c r="DI14" s="122"/>
      <c r="DK14" s="123">
        <v>10</v>
      </c>
      <c r="DL14" s="123"/>
      <c r="DM14" s="123"/>
      <c r="DN14" s="123"/>
      <c r="DO14" s="123"/>
      <c r="DP14" s="123"/>
      <c r="DQ14" s="123"/>
      <c r="DR14" s="123"/>
      <c r="DS14" s="123"/>
      <c r="DT14" s="123"/>
      <c r="DV14" s="123"/>
      <c r="DW14" s="123"/>
      <c r="DX14" s="123"/>
      <c r="DY14" s="123"/>
      <c r="DZ14" s="123"/>
      <c r="EA14" s="123"/>
      <c r="EB14" s="123"/>
      <c r="EC14" s="123"/>
      <c r="ED14" s="161">
        <f t="shared" si="68"/>
        <v>10</v>
      </c>
      <c r="EE14" s="123"/>
      <c r="EF14" s="123">
        <v>10</v>
      </c>
      <c r="EG14" s="123"/>
      <c r="EH14" s="123"/>
      <c r="EI14" s="123"/>
      <c r="EJ14" s="123"/>
      <c r="EK14" s="123"/>
      <c r="EL14" s="123"/>
      <c r="EM14" s="123"/>
      <c r="EN14" s="123"/>
      <c r="EO14" s="122"/>
      <c r="EP14" s="123"/>
      <c r="EQ14" s="123"/>
      <c r="ER14" s="123">
        <v>42</v>
      </c>
      <c r="ES14" s="123">
        <v>10</v>
      </c>
      <c r="ET14" s="123"/>
      <c r="EU14" s="123"/>
      <c r="EV14" s="124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4"/>
      <c r="FK14" s="123"/>
      <c r="FL14" s="123"/>
      <c r="FM14" s="123"/>
      <c r="FN14" s="123"/>
      <c r="FO14" s="123">
        <v>10</v>
      </c>
      <c r="FP14" s="123"/>
      <c r="FQ14" s="123"/>
      <c r="FR14" s="123">
        <v>10</v>
      </c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8">
        <f t="shared" si="69"/>
        <v>82</v>
      </c>
      <c r="GV14" s="162">
        <f t="shared" si="70"/>
        <v>412.00000000000011</v>
      </c>
      <c r="GW14" s="163">
        <f t="shared" si="71"/>
        <v>452.00000000000011</v>
      </c>
      <c r="GX14" s="163">
        <f t="shared" si="72"/>
        <v>422.00000000000011</v>
      </c>
      <c r="GY14" s="123"/>
      <c r="GZ14" s="123"/>
      <c r="HA14" s="123"/>
      <c r="HB14" s="123"/>
      <c r="HC14" s="128">
        <f t="shared" si="73"/>
        <v>0</v>
      </c>
      <c r="HD14" s="123" t="s">
        <v>363</v>
      </c>
      <c r="HE14" s="123" t="s">
        <v>289</v>
      </c>
      <c r="HF14" s="123" t="s">
        <v>289</v>
      </c>
      <c r="HG14" s="123" t="s">
        <v>289</v>
      </c>
      <c r="HH14" s="123" t="s">
        <v>289</v>
      </c>
      <c r="HI14" s="123" t="s">
        <v>329</v>
      </c>
      <c r="HJ14" s="123"/>
      <c r="HK14" s="123"/>
      <c r="HL14" s="127"/>
      <c r="HM14" s="127"/>
      <c r="HN14" s="127"/>
      <c r="HO14" s="127"/>
      <c r="HP14" s="127"/>
      <c r="HQ14" s="164">
        <f t="shared" si="74"/>
        <v>0</v>
      </c>
      <c r="HR14">
        <f>2+2</f>
        <v>4</v>
      </c>
      <c r="HS14">
        <f>5+2</f>
        <v>7</v>
      </c>
      <c r="HU14">
        <v>18</v>
      </c>
      <c r="HV14" t="s">
        <v>362</v>
      </c>
      <c r="HW14" s="164">
        <f t="shared" si="75"/>
        <v>29</v>
      </c>
      <c r="II14" s="164">
        <f t="shared" si="76"/>
        <v>0</v>
      </c>
      <c r="IV14" s="165">
        <f t="shared" si="77"/>
        <v>0</v>
      </c>
      <c r="JF14" s="165">
        <f t="shared" si="78"/>
        <v>0</v>
      </c>
      <c r="JG14" s="148">
        <f>2+1</f>
        <v>3</v>
      </c>
      <c r="JH14" s="148"/>
      <c r="JI14" s="148"/>
      <c r="JJ14" s="148"/>
      <c r="JK14" s="148"/>
    </row>
    <row r="15" spans="1:272" ht="16.5" customHeight="1" x14ac:dyDescent="0.35">
      <c r="A15" t="s">
        <v>419</v>
      </c>
      <c r="B15" s="117" t="s">
        <v>273</v>
      </c>
      <c r="C15" s="118">
        <v>46056</v>
      </c>
      <c r="D15" s="119" t="s">
        <v>291</v>
      </c>
      <c r="E15" s="120" t="s">
        <v>301</v>
      </c>
      <c r="F15" s="120" t="s">
        <v>293</v>
      </c>
      <c r="G15" s="121" t="s">
        <v>323</v>
      </c>
      <c r="H15" s="122"/>
      <c r="I15" s="123"/>
      <c r="J15" s="124"/>
      <c r="K15" s="2" t="s">
        <v>334</v>
      </c>
      <c r="L15" s="125"/>
      <c r="M15" s="126" t="s">
        <v>310</v>
      </c>
      <c r="N15" s="127" t="s">
        <v>324</v>
      </c>
      <c r="O15" s="10" t="s">
        <v>335</v>
      </c>
      <c r="P15" s="128" t="s">
        <v>282</v>
      </c>
      <c r="Q15" s="129"/>
      <c r="R15" s="130"/>
      <c r="S15" s="130">
        <v>9063.4065208902866</v>
      </c>
      <c r="T15" s="131" t="str">
        <f t="shared" si="54"/>
        <v/>
      </c>
      <c r="U15" s="132">
        <v>1</v>
      </c>
      <c r="V15" s="133"/>
      <c r="W15" s="133"/>
      <c r="X15" s="134">
        <f>269</f>
        <v>269</v>
      </c>
      <c r="Y15" s="134"/>
      <c r="Z15" s="134">
        <f>5660</f>
        <v>5660</v>
      </c>
      <c r="AA15" s="134"/>
      <c r="AB15" s="135">
        <f>2</f>
        <v>2</v>
      </c>
      <c r="AC15" s="136">
        <f t="shared" si="55"/>
        <v>270.96993006993006</v>
      </c>
      <c r="AD15" s="137">
        <f t="shared" si="56"/>
        <v>1.9699300699300579</v>
      </c>
      <c r="AE15" s="138">
        <f t="shared" si="57"/>
        <v>-3.0069930069942075E-2</v>
      </c>
      <c r="AF15" s="139">
        <f t="shared" si="58"/>
        <v>0</v>
      </c>
      <c r="AG15" s="123"/>
      <c r="AH15" s="122">
        <v>180</v>
      </c>
      <c r="AI15" s="122">
        <v>190</v>
      </c>
      <c r="AJ15" s="140">
        <v>0.25176129224695237</v>
      </c>
      <c r="AK15" s="141">
        <v>15.105677534817143</v>
      </c>
      <c r="AL15" s="142">
        <v>0.26041666666666669</v>
      </c>
      <c r="AM15" s="142">
        <v>0.30208333333333331</v>
      </c>
      <c r="AN15" s="143">
        <f t="shared" si="60"/>
        <v>59.999999999999943</v>
      </c>
      <c r="AO15" s="123"/>
      <c r="AP15" s="123"/>
      <c r="AQ15" s="127"/>
      <c r="AR15" s="123"/>
      <c r="AS15" s="123" t="s">
        <v>365</v>
      </c>
      <c r="AT15" s="123" t="s">
        <v>293</v>
      </c>
      <c r="AU15" s="123"/>
      <c r="AV15" s="123"/>
      <c r="AW15" s="123"/>
      <c r="AX15" s="132"/>
      <c r="AY15" s="123"/>
      <c r="AZ15" s="123"/>
      <c r="BA15" s="144">
        <f t="shared" si="61"/>
        <v>0</v>
      </c>
      <c r="BB15" s="127"/>
      <c r="BC15" s="145"/>
      <c r="BD15" s="146"/>
      <c r="BE15" t="s">
        <v>357</v>
      </c>
      <c r="BF15">
        <v>1033</v>
      </c>
      <c r="BG15">
        <f>12</f>
        <v>12</v>
      </c>
      <c r="BH15" s="147">
        <v>1</v>
      </c>
      <c r="BI15">
        <f>110</f>
        <v>110</v>
      </c>
      <c r="BK15" s="144">
        <f t="shared" si="62"/>
        <v>110</v>
      </c>
      <c r="BO15" s="147"/>
      <c r="BR15" s="144">
        <f t="shared" si="63"/>
        <v>0</v>
      </c>
      <c r="BS15" t="s">
        <v>366</v>
      </c>
      <c r="BT15">
        <v>1033</v>
      </c>
      <c r="BU15">
        <f>9</f>
        <v>9</v>
      </c>
      <c r="BV15" s="147"/>
      <c r="BW15">
        <f>139</f>
        <v>139</v>
      </c>
      <c r="BY15" s="144">
        <f t="shared" si="64"/>
        <v>139</v>
      </c>
      <c r="BZ15" s="148">
        <v>85473</v>
      </c>
      <c r="CA15" s="149">
        <v>13.528</v>
      </c>
      <c r="CB15" s="150">
        <f t="shared" ref="CB15:CB16" si="79">+BY15*CA15</f>
        <v>1880.3920000000001</v>
      </c>
      <c r="CF15" s="147"/>
      <c r="CI15" s="151">
        <f t="shared" si="65"/>
        <v>0</v>
      </c>
      <c r="CJ15" s="148"/>
      <c r="CK15" s="149"/>
      <c r="CL15" s="150"/>
      <c r="CM15" t="s">
        <v>367</v>
      </c>
      <c r="CN15">
        <v>30.13</v>
      </c>
      <c r="CO15" s="152">
        <v>11.719999999999999</v>
      </c>
      <c r="CP15" s="153">
        <f t="shared" ref="CP15:CP16" si="80">+CN15*CO15</f>
        <v>353.12359999999995</v>
      </c>
      <c r="CQ15" s="154">
        <f t="shared" si="66"/>
        <v>21.06993006993007</v>
      </c>
      <c r="CR15">
        <v>0.9</v>
      </c>
      <c r="CS15" s="155">
        <v>47.460000000000008</v>
      </c>
      <c r="CT15" s="153">
        <f t="shared" ref="CT15:CT16" si="81">+CR15*CS15</f>
        <v>42.714000000000006</v>
      </c>
      <c r="CU15" s="154">
        <f t="shared" si="67"/>
        <v>0.9</v>
      </c>
      <c r="CV15">
        <v>24.1</v>
      </c>
      <c r="CW15">
        <v>3.0379831932773111</v>
      </c>
      <c r="CX15" s="153">
        <f t="shared" ref="CX15" si="82">+CW15*CV15</f>
        <v>73.215394957983207</v>
      </c>
      <c r="CY15" s="156"/>
      <c r="CZ15" s="156"/>
      <c r="DA15" s="128" t="s">
        <v>368</v>
      </c>
      <c r="DB15" s="123">
        <v>1025</v>
      </c>
      <c r="DC15" s="157" t="s">
        <v>325</v>
      </c>
      <c r="DD15" s="157" t="s">
        <v>313</v>
      </c>
      <c r="DE15" s="127"/>
      <c r="DF15" s="158"/>
      <c r="DG15" s="159">
        <f>AVERAGE(2.8,3,2.88,2.95)</f>
        <v>2.9074999999999998</v>
      </c>
      <c r="DH15" s="160"/>
      <c r="DI15" s="122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V15" s="123"/>
      <c r="DW15" s="123"/>
      <c r="DX15" s="123"/>
      <c r="DY15" s="123"/>
      <c r="DZ15" s="123"/>
      <c r="EA15" s="123"/>
      <c r="EB15" s="123"/>
      <c r="EC15" s="123"/>
      <c r="ED15" s="161">
        <f t="shared" si="68"/>
        <v>0</v>
      </c>
      <c r="EE15" s="123"/>
      <c r="EF15" s="123">
        <v>15</v>
      </c>
      <c r="EG15" s="123"/>
      <c r="EH15" s="123"/>
      <c r="EI15" s="123"/>
      <c r="EJ15" s="123"/>
      <c r="EK15" s="123"/>
      <c r="EL15" s="123"/>
      <c r="EM15" s="123"/>
      <c r="EN15" s="123"/>
      <c r="EO15" s="122"/>
      <c r="EP15" s="123"/>
      <c r="EQ15" s="123"/>
      <c r="ER15" s="123"/>
      <c r="ES15" s="123"/>
      <c r="ET15" s="123"/>
      <c r="EU15" s="123">
        <v>5</v>
      </c>
      <c r="EV15" s="124"/>
      <c r="EW15" s="123"/>
      <c r="EX15" s="123"/>
      <c r="EY15" s="123"/>
      <c r="EZ15" s="123"/>
      <c r="FA15" s="123"/>
      <c r="FB15" s="123"/>
      <c r="FC15" s="123"/>
      <c r="FD15" s="123"/>
      <c r="FE15" s="123"/>
      <c r="FF15" s="123"/>
      <c r="FG15" s="123"/>
      <c r="FH15" s="123"/>
      <c r="FI15" s="123"/>
      <c r="FJ15" s="124"/>
      <c r="FK15" s="123"/>
      <c r="FL15" s="123"/>
      <c r="FM15" s="123"/>
      <c r="FN15" s="123"/>
      <c r="FO15" s="123"/>
      <c r="FP15" s="123"/>
      <c r="FQ15" s="123"/>
      <c r="FR15" s="123"/>
      <c r="FS15" s="123"/>
      <c r="FT15" s="123"/>
      <c r="FU15" s="123"/>
      <c r="FV15" s="123"/>
      <c r="FW15" s="123"/>
      <c r="FX15" s="123"/>
      <c r="FY15" s="123"/>
      <c r="FZ15" s="123"/>
      <c r="GA15" s="123"/>
      <c r="GB15" s="123"/>
      <c r="GC15" s="123"/>
      <c r="GD15" s="123"/>
      <c r="GE15" s="123"/>
      <c r="GF15" s="123"/>
      <c r="GG15" s="123">
        <v>5</v>
      </c>
      <c r="GH15" s="123"/>
      <c r="GI15" s="123"/>
      <c r="GJ15" s="123"/>
      <c r="GK15" s="123"/>
      <c r="GL15" s="123"/>
      <c r="GM15" s="123"/>
      <c r="GN15" s="123"/>
      <c r="GO15" s="123"/>
      <c r="GP15" s="123"/>
      <c r="GQ15" s="123"/>
      <c r="GR15" s="123"/>
      <c r="GS15" s="123"/>
      <c r="GT15" s="123"/>
      <c r="GU15" s="128">
        <f t="shared" si="69"/>
        <v>25</v>
      </c>
      <c r="GV15" s="162">
        <f t="shared" si="70"/>
        <v>34.999999999999943</v>
      </c>
      <c r="GW15" s="163">
        <f t="shared" si="71"/>
        <v>59.999999999999943</v>
      </c>
      <c r="GX15" s="163">
        <f t="shared" si="72"/>
        <v>34.999999999999943</v>
      </c>
      <c r="GY15" s="123"/>
      <c r="GZ15" s="123"/>
      <c r="HA15" s="123"/>
      <c r="HB15" s="123"/>
      <c r="HC15" s="128">
        <f t="shared" si="73"/>
        <v>0</v>
      </c>
      <c r="HD15" s="123" t="s">
        <v>418</v>
      </c>
      <c r="HE15" s="123" t="s">
        <v>373</v>
      </c>
      <c r="HF15" s="123" t="s">
        <v>289</v>
      </c>
      <c r="HG15" s="123" t="s">
        <v>289</v>
      </c>
      <c r="HH15" s="123" t="s">
        <v>289</v>
      </c>
      <c r="HI15" s="123" t="s">
        <v>374</v>
      </c>
      <c r="HJ15" s="123"/>
      <c r="HK15" s="123"/>
      <c r="HL15" s="127"/>
      <c r="HM15" s="127"/>
      <c r="HN15" s="127"/>
      <c r="HO15" s="127"/>
      <c r="HP15" s="127"/>
      <c r="HQ15" s="164">
        <f t="shared" si="74"/>
        <v>0</v>
      </c>
      <c r="HW15" s="164">
        <f t="shared" si="75"/>
        <v>0</v>
      </c>
      <c r="IB15">
        <v>2</v>
      </c>
      <c r="II15" s="164">
        <f t="shared" si="76"/>
        <v>2</v>
      </c>
      <c r="IV15" s="165">
        <f t="shared" si="77"/>
        <v>0</v>
      </c>
      <c r="JF15" s="165">
        <f t="shared" si="78"/>
        <v>0</v>
      </c>
      <c r="JG15" s="148">
        <v>1</v>
      </c>
      <c r="JH15" s="148"/>
      <c r="JI15" s="148"/>
      <c r="JJ15" s="148"/>
      <c r="JK15" s="148"/>
    </row>
    <row r="16" spans="1:272" ht="16.5" customHeight="1" x14ac:dyDescent="0.35">
      <c r="A16" t="s">
        <v>421</v>
      </c>
      <c r="B16" s="117" t="s">
        <v>273</v>
      </c>
      <c r="C16" s="118">
        <v>46056</v>
      </c>
      <c r="D16" s="119" t="s">
        <v>291</v>
      </c>
      <c r="E16" s="120" t="s">
        <v>303</v>
      </c>
      <c r="F16" s="120" t="s">
        <v>293</v>
      </c>
      <c r="G16" s="121" t="s">
        <v>348</v>
      </c>
      <c r="H16" s="122"/>
      <c r="I16" s="123"/>
      <c r="J16" s="124"/>
      <c r="K16" s="2" t="s">
        <v>349</v>
      </c>
      <c r="L16" s="125"/>
      <c r="M16" s="126" t="s">
        <v>322</v>
      </c>
      <c r="N16" s="127" t="s">
        <v>350</v>
      </c>
      <c r="O16" s="10" t="s">
        <v>351</v>
      </c>
      <c r="P16" s="128" t="s">
        <v>282</v>
      </c>
      <c r="Q16" s="129">
        <v>1</v>
      </c>
      <c r="R16" s="130"/>
      <c r="S16" s="130">
        <v>20668.880932867469</v>
      </c>
      <c r="T16" s="131" t="str">
        <f t="shared" si="54"/>
        <v/>
      </c>
      <c r="U16" s="132">
        <v>2</v>
      </c>
      <c r="V16" s="133"/>
      <c r="W16" s="133"/>
      <c r="X16" s="134">
        <f>534+595</f>
        <v>1129</v>
      </c>
      <c r="Y16" s="134"/>
      <c r="Z16" s="134">
        <f>9382+10420</f>
        <v>19802</v>
      </c>
      <c r="AA16" s="134"/>
      <c r="AB16" s="135">
        <f>3+4+5+2.48+2</f>
        <v>16.48</v>
      </c>
      <c r="AC16" s="136">
        <f t="shared" si="55"/>
        <v>1145.48</v>
      </c>
      <c r="AD16" s="137">
        <f t="shared" si="56"/>
        <v>16.480000000000018</v>
      </c>
      <c r="AE16" s="138">
        <f t="shared" si="57"/>
        <v>0</v>
      </c>
      <c r="AF16" s="139">
        <f t="shared" si="58"/>
        <v>0</v>
      </c>
      <c r="AG16" s="123"/>
      <c r="AH16" s="122">
        <v>300</v>
      </c>
      <c r="AI16" s="122">
        <v>200</v>
      </c>
      <c r="AJ16" s="140">
        <v>0.34448134888112453</v>
      </c>
      <c r="AK16" s="141">
        <v>20.66888093286747</v>
      </c>
      <c r="AL16" s="142">
        <v>0.92013888888888884</v>
      </c>
      <c r="AM16" s="142">
        <v>3.8194444444444448E-2</v>
      </c>
      <c r="AN16" s="143">
        <f t="shared" si="60"/>
        <v>170</v>
      </c>
      <c r="AO16" s="123"/>
      <c r="AP16" s="123"/>
      <c r="AQ16" s="127"/>
      <c r="AR16" s="123"/>
      <c r="AS16" s="123" t="s">
        <v>365</v>
      </c>
      <c r="AT16" s="123" t="s">
        <v>341</v>
      </c>
      <c r="AU16" s="123"/>
      <c r="AV16" s="123"/>
      <c r="AW16" s="123"/>
      <c r="AX16" s="132"/>
      <c r="AY16" s="123"/>
      <c r="AZ16" s="123"/>
      <c r="BA16" s="144">
        <f t="shared" si="61"/>
        <v>0</v>
      </c>
      <c r="BB16" s="127"/>
      <c r="BC16" s="145"/>
      <c r="BD16" s="146"/>
      <c r="BE16" t="s">
        <v>386</v>
      </c>
      <c r="BF16">
        <v>964</v>
      </c>
      <c r="BG16">
        <f>30</f>
        <v>30</v>
      </c>
      <c r="BH16" s="147">
        <v>3</v>
      </c>
      <c r="BI16">
        <f>230+40+290</f>
        <v>560</v>
      </c>
      <c r="BK16" s="144">
        <f t="shared" si="62"/>
        <v>560</v>
      </c>
      <c r="BO16" s="147"/>
      <c r="BR16" s="144">
        <f t="shared" si="63"/>
        <v>0</v>
      </c>
      <c r="BS16" t="s">
        <v>376</v>
      </c>
      <c r="BT16">
        <v>1003</v>
      </c>
      <c r="BU16">
        <f>30</f>
        <v>30</v>
      </c>
      <c r="BV16" s="147">
        <v>2</v>
      </c>
      <c r="BW16">
        <f>364.99+355.49</f>
        <v>720.48</v>
      </c>
      <c r="BX16">
        <f>-175</f>
        <v>-175</v>
      </c>
      <c r="BY16" s="144">
        <f t="shared" si="64"/>
        <v>545.48</v>
      </c>
      <c r="BZ16" s="148">
        <v>85284</v>
      </c>
      <c r="CA16" s="149">
        <v>5.9180000000000001</v>
      </c>
      <c r="CB16" s="150">
        <f t="shared" si="79"/>
        <v>3228.1506400000003</v>
      </c>
      <c r="CF16" s="147"/>
      <c r="CI16" s="151">
        <f t="shared" si="65"/>
        <v>0</v>
      </c>
      <c r="CJ16" s="148"/>
      <c r="CK16" s="149"/>
      <c r="CL16" s="150"/>
      <c r="CM16" t="s">
        <v>377</v>
      </c>
      <c r="CN16">
        <v>28.57</v>
      </c>
      <c r="CO16" s="152">
        <v>9.59436</v>
      </c>
      <c r="CP16" s="153">
        <f t="shared" si="80"/>
        <v>274.11086519999998</v>
      </c>
      <c r="CQ16" s="154">
        <f t="shared" si="66"/>
        <v>28.57</v>
      </c>
      <c r="CR16">
        <v>11.43</v>
      </c>
      <c r="CS16" s="155">
        <v>9.7414000000000005</v>
      </c>
      <c r="CT16" s="153">
        <f t="shared" si="81"/>
        <v>111.34420200000001</v>
      </c>
      <c r="CU16" s="154">
        <f t="shared" si="67"/>
        <v>11.43</v>
      </c>
      <c r="CV16"/>
      <c r="CX16" s="153"/>
      <c r="CY16" s="156">
        <v>5</v>
      </c>
      <c r="CZ16" s="156">
        <v>2</v>
      </c>
      <c r="DA16" s="128" t="s">
        <v>378</v>
      </c>
      <c r="DB16" s="123">
        <v>956</v>
      </c>
      <c r="DC16" s="157" t="s">
        <v>354</v>
      </c>
      <c r="DD16" s="157" t="s">
        <v>294</v>
      </c>
      <c r="DE16" s="127"/>
      <c r="DF16" s="158"/>
      <c r="DG16" s="159">
        <f>AVERAGE(2,2.2,2.05,2,2.01)</f>
        <v>2.052</v>
      </c>
      <c r="DH16" s="160"/>
      <c r="DI16" s="122"/>
      <c r="DK16" s="123">
        <v>40</v>
      </c>
      <c r="DL16" s="123"/>
      <c r="DM16" s="123"/>
      <c r="DN16" s="123"/>
      <c r="DO16" s="123"/>
      <c r="DP16" s="123"/>
      <c r="DQ16" s="123"/>
      <c r="DR16" s="123"/>
      <c r="DS16" s="123"/>
      <c r="DT16" s="123"/>
      <c r="DV16" s="123"/>
      <c r="DW16" s="123"/>
      <c r="DX16" s="123"/>
      <c r="DY16" s="123"/>
      <c r="DZ16" s="123"/>
      <c r="EA16" s="123"/>
      <c r="EB16" s="123"/>
      <c r="EC16" s="123"/>
      <c r="ED16" s="161">
        <f t="shared" si="68"/>
        <v>40</v>
      </c>
      <c r="EE16" s="123"/>
      <c r="EF16" s="123">
        <v>30</v>
      </c>
      <c r="EG16" s="123"/>
      <c r="EH16" s="123"/>
      <c r="EI16" s="123"/>
      <c r="EJ16" s="123"/>
      <c r="EK16" s="123"/>
      <c r="EL16" s="123"/>
      <c r="EM16" s="123"/>
      <c r="EN16" s="123"/>
      <c r="EO16" s="122"/>
      <c r="EP16" s="123"/>
      <c r="EQ16" s="123"/>
      <c r="ER16" s="123"/>
      <c r="ES16" s="123"/>
      <c r="ET16" s="123"/>
      <c r="EU16" s="123">
        <v>10</v>
      </c>
      <c r="EV16" s="124"/>
      <c r="EW16" s="123"/>
      <c r="EX16" s="123"/>
      <c r="EY16" s="123"/>
      <c r="EZ16" s="123"/>
      <c r="FA16" s="123"/>
      <c r="FB16" s="123"/>
      <c r="FC16" s="123"/>
      <c r="FD16" s="123"/>
      <c r="FE16" s="123"/>
      <c r="FF16" s="123"/>
      <c r="FG16" s="123"/>
      <c r="FH16" s="123"/>
      <c r="FI16" s="123"/>
      <c r="FJ16" s="124"/>
      <c r="FK16" s="123"/>
      <c r="FL16" s="123"/>
      <c r="FM16" s="123"/>
      <c r="FN16" s="123"/>
      <c r="FO16" s="123"/>
      <c r="FP16" s="123"/>
      <c r="FQ16" s="123"/>
      <c r="FR16" s="123"/>
      <c r="FS16" s="123"/>
      <c r="FT16" s="123"/>
      <c r="FU16" s="123"/>
      <c r="FV16" s="123"/>
      <c r="FW16" s="123"/>
      <c r="FX16" s="123"/>
      <c r="FY16" s="123"/>
      <c r="FZ16" s="123"/>
      <c r="GA16" s="123"/>
      <c r="GB16" s="123"/>
      <c r="GC16" s="123"/>
      <c r="GD16" s="123"/>
      <c r="GE16" s="123"/>
      <c r="GF16" s="123"/>
      <c r="GG16" s="123">
        <v>10</v>
      </c>
      <c r="GH16" s="123"/>
      <c r="GI16" s="123"/>
      <c r="GJ16" s="123"/>
      <c r="GK16" s="123"/>
      <c r="GL16" s="123"/>
      <c r="GM16" s="123"/>
      <c r="GN16" s="123"/>
      <c r="GO16" s="123"/>
      <c r="GP16" s="123"/>
      <c r="GQ16" s="123"/>
      <c r="GR16" s="123"/>
      <c r="GS16" s="123"/>
      <c r="GT16" s="123"/>
      <c r="GU16" s="128">
        <f t="shared" si="69"/>
        <v>50</v>
      </c>
      <c r="GV16" s="162">
        <f t="shared" si="70"/>
        <v>80</v>
      </c>
      <c r="GW16" s="163">
        <f t="shared" si="71"/>
        <v>130</v>
      </c>
      <c r="GX16" s="163">
        <f t="shared" si="72"/>
        <v>120</v>
      </c>
      <c r="GY16" s="123"/>
      <c r="GZ16" s="123"/>
      <c r="HA16" s="123"/>
      <c r="HB16" s="123"/>
      <c r="HC16" s="128">
        <f t="shared" si="73"/>
        <v>0</v>
      </c>
      <c r="HD16" s="123" t="s">
        <v>372</v>
      </c>
      <c r="HE16" s="123" t="s">
        <v>384</v>
      </c>
      <c r="HF16" s="123" t="s">
        <v>289</v>
      </c>
      <c r="HG16" s="123" t="s">
        <v>289</v>
      </c>
      <c r="HH16" s="123" t="s">
        <v>289</v>
      </c>
      <c r="HI16" s="123" t="s">
        <v>374</v>
      </c>
      <c r="HJ16" s="123"/>
      <c r="HK16" s="123"/>
      <c r="HL16" s="127"/>
      <c r="HM16" s="127"/>
      <c r="HN16" s="127"/>
      <c r="HO16" s="127"/>
      <c r="HP16" s="127"/>
      <c r="HQ16" s="164">
        <f t="shared" si="74"/>
        <v>0</v>
      </c>
      <c r="HW16" s="164">
        <f t="shared" si="75"/>
        <v>0</v>
      </c>
      <c r="HX16">
        <v>3</v>
      </c>
      <c r="HZ16">
        <v>4</v>
      </c>
      <c r="IB16">
        <v>5</v>
      </c>
      <c r="IC16">
        <v>2.48</v>
      </c>
      <c r="IF16">
        <v>2</v>
      </c>
      <c r="II16" s="164">
        <f t="shared" si="76"/>
        <v>16.48</v>
      </c>
      <c r="IV16" s="165">
        <f t="shared" si="77"/>
        <v>0</v>
      </c>
      <c r="JF16" s="165">
        <f t="shared" si="78"/>
        <v>0</v>
      </c>
      <c r="JG16" s="148">
        <v>2</v>
      </c>
      <c r="JH16" s="148"/>
      <c r="JI16" s="148"/>
      <c r="JJ16" s="148"/>
      <c r="JK16" s="148"/>
    </row>
    <row r="17" spans="1:271" ht="16.5" customHeight="1" x14ac:dyDescent="0.35">
      <c r="A17" t="s">
        <v>429</v>
      </c>
      <c r="B17" s="117" t="s">
        <v>273</v>
      </c>
      <c r="C17" s="118">
        <v>46057</v>
      </c>
      <c r="D17" s="119" t="s">
        <v>274</v>
      </c>
      <c r="E17" s="120" t="s">
        <v>301</v>
      </c>
      <c r="F17" s="120" t="s">
        <v>293</v>
      </c>
      <c r="G17" s="121" t="s">
        <v>323</v>
      </c>
      <c r="H17" s="122"/>
      <c r="I17" s="123"/>
      <c r="J17" s="124"/>
      <c r="K17" s="2" t="s">
        <v>334</v>
      </c>
      <c r="L17" s="125"/>
      <c r="M17" s="126" t="s">
        <v>310</v>
      </c>
      <c r="N17" s="127" t="s">
        <v>324</v>
      </c>
      <c r="O17" s="10" t="s">
        <v>335</v>
      </c>
      <c r="P17" s="128" t="s">
        <v>282</v>
      </c>
      <c r="Q17" s="129"/>
      <c r="R17" s="130"/>
      <c r="S17" s="130">
        <v>3403.4065208902866</v>
      </c>
      <c r="T17" s="131" t="str">
        <f t="shared" ref="T17:T18" si="83">IF(H17*U17=0,"",H17*U17)</f>
        <v/>
      </c>
      <c r="U17" s="132">
        <v>1</v>
      </c>
      <c r="V17" s="133"/>
      <c r="W17" s="133"/>
      <c r="X17" s="134">
        <f>141</f>
        <v>141</v>
      </c>
      <c r="Y17" s="134"/>
      <c r="Z17" s="134">
        <f>3098</f>
        <v>3098</v>
      </c>
      <c r="AA17" s="134"/>
      <c r="AB17" s="135">
        <f>5+1+2</f>
        <v>8</v>
      </c>
      <c r="AC17" s="136">
        <f t="shared" ref="AC17:AC18" si="84">BA17+AF17+BK17+BR17+BY17+CI17+CQ17+CU17</f>
        <v>149.97538461538463</v>
      </c>
      <c r="AD17" s="137">
        <f t="shared" ref="AD17:AD18" si="85">+AC17-X17</f>
        <v>8.9753846153846268</v>
      </c>
      <c r="AE17" s="138">
        <f t="shared" ref="AE17:AE18" si="86">AD17-AB17</f>
        <v>0.97538461538462684</v>
      </c>
      <c r="AF17" s="139">
        <f t="shared" ref="AF17:AF18" si="87">IFERROR(+(Z17*AV17*DF17)/10^6,0)</f>
        <v>0</v>
      </c>
      <c r="AG17" s="123"/>
      <c r="AH17" s="122">
        <v>200</v>
      </c>
      <c r="AI17" s="122">
        <v>180</v>
      </c>
      <c r="AJ17" s="140">
        <v>8.508516302225716E-2</v>
      </c>
      <c r="AK17" s="141">
        <v>5.1051097813354298</v>
      </c>
      <c r="AL17" s="142">
        <v>0.30208333333333331</v>
      </c>
      <c r="AM17" s="142">
        <v>0.33333333333333331</v>
      </c>
      <c r="AN17" s="143">
        <f t="shared" ref="AN17:AN18" si="88">IF(AM17&gt;AL17,((AM17-AL17)*1440),(1440+(AM17-AL17)*1440))</f>
        <v>45</v>
      </c>
      <c r="AO17" s="123"/>
      <c r="AP17" s="123"/>
      <c r="AQ17" s="127"/>
      <c r="AR17" s="123"/>
      <c r="AS17" s="123" t="s">
        <v>365</v>
      </c>
      <c r="AT17" s="123" t="s">
        <v>293</v>
      </c>
      <c r="AU17" s="123"/>
      <c r="AV17" s="123"/>
      <c r="AW17" s="123"/>
      <c r="AX17" s="132"/>
      <c r="AY17" s="123"/>
      <c r="AZ17" s="123"/>
      <c r="BA17" s="144">
        <f t="shared" ref="BA17:BA18" si="89">SUM(AY17+AZ17)</f>
        <v>0</v>
      </c>
      <c r="BB17" s="127"/>
      <c r="BC17" s="145"/>
      <c r="BD17" s="146"/>
      <c r="BE17" t="s">
        <v>357</v>
      </c>
      <c r="BF17">
        <v>1033</v>
      </c>
      <c r="BG17">
        <f>12</f>
        <v>12</v>
      </c>
      <c r="BH17" s="147">
        <v>1</v>
      </c>
      <c r="BI17">
        <f>63</f>
        <v>63</v>
      </c>
      <c r="BK17" s="144">
        <f t="shared" ref="BK17:BK18" si="90">SUM(BI17+BJ17)</f>
        <v>63</v>
      </c>
      <c r="BO17" s="147"/>
      <c r="BR17" s="144">
        <f t="shared" ref="BR17:BR18" si="91">SUM(BP17+BQ17)</f>
        <v>0</v>
      </c>
      <c r="BS17" t="s">
        <v>366</v>
      </c>
      <c r="BT17">
        <v>1033</v>
      </c>
      <c r="BU17">
        <f>9</f>
        <v>9</v>
      </c>
      <c r="BV17" s="147">
        <v>1</v>
      </c>
      <c r="BW17">
        <f>624</f>
        <v>624</v>
      </c>
      <c r="BX17">
        <f>-546</f>
        <v>-546</v>
      </c>
      <c r="BY17" s="144">
        <f t="shared" ref="BY17:BY18" si="92">SUM(BW17+BX17)</f>
        <v>78</v>
      </c>
      <c r="BZ17" s="148">
        <v>85473</v>
      </c>
      <c r="CA17" s="149">
        <v>13.528</v>
      </c>
      <c r="CB17" s="150">
        <f t="shared" ref="CB17:CB18" si="93">+BY17*CA17</f>
        <v>1055.184</v>
      </c>
      <c r="CF17" s="147"/>
      <c r="CI17" s="151">
        <f t="shared" ref="CI17:CI18" si="94">SUM(CG17+CH17)</f>
        <v>0</v>
      </c>
      <c r="CJ17" s="148"/>
      <c r="CK17" s="149"/>
      <c r="CL17" s="150"/>
      <c r="CM17" t="s">
        <v>367</v>
      </c>
      <c r="CN17">
        <v>12.32</v>
      </c>
      <c r="CO17" s="152">
        <v>11.719999999999999</v>
      </c>
      <c r="CP17" s="153">
        <f t="shared" ref="CP17:CP18" si="95">+CN17*CO17</f>
        <v>144.3904</v>
      </c>
      <c r="CQ17" s="154">
        <f t="shared" ref="CQ17:CQ18" si="96">IF(CM17="811 A",CN17/1.667,IF(CM17="MB635",CN17/1.33,IF(CM17="MB655",CN17/1.43,IF(CM17="LG 59A",CN17/1.667,IF(CM17="HB 6680",CN17/1.25,IF(CM17="MB688",CN17/1.25,CN17))))))</f>
        <v>8.6153846153846168</v>
      </c>
      <c r="CR17">
        <v>0.36</v>
      </c>
      <c r="CS17" s="155">
        <v>47.460000000000008</v>
      </c>
      <c r="CT17" s="153">
        <f t="shared" ref="CT17:CT18" si="97">+CR17*CS17</f>
        <v>17.085600000000003</v>
      </c>
      <c r="CU17" s="154">
        <f t="shared" ref="CU17:CU18" si="98">IF(CM17="811 A",CR17/1.33,IF(CM17="HB 6680",CR17/1.33,IF(CM17="MB688",CR17/1.333,CR17)))</f>
        <v>0.36</v>
      </c>
      <c r="CV17">
        <v>9.85</v>
      </c>
      <c r="CW17">
        <v>3.0379831932773111</v>
      </c>
      <c r="CX17" s="153">
        <f t="shared" ref="CX17:CX18" si="99">+CW17*CV17</f>
        <v>29.924134453781512</v>
      </c>
      <c r="CY17" s="156"/>
      <c r="CZ17" s="156"/>
      <c r="DA17" s="128" t="s">
        <v>368</v>
      </c>
      <c r="DB17" s="123">
        <v>1025</v>
      </c>
      <c r="DC17" s="157" t="s">
        <v>325</v>
      </c>
      <c r="DD17" s="157" t="s">
        <v>313</v>
      </c>
      <c r="DE17" s="127"/>
      <c r="DF17" s="158"/>
      <c r="DG17" s="159">
        <f>AVERAGE(2.81,2.94)</f>
        <v>2.875</v>
      </c>
      <c r="DH17" s="160"/>
      <c r="DI17" s="122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V17" s="123"/>
      <c r="DW17" s="123"/>
      <c r="DX17" s="123"/>
      <c r="DY17" s="123"/>
      <c r="DZ17" s="123"/>
      <c r="EA17" s="123"/>
      <c r="EB17" s="123"/>
      <c r="EC17" s="123"/>
      <c r="ED17" s="161">
        <f t="shared" ref="ED17:ED18" si="100">SUM(DK17:EC17)</f>
        <v>0</v>
      </c>
      <c r="EE17" s="123"/>
      <c r="EF17" s="123">
        <v>15</v>
      </c>
      <c r="EG17" s="123"/>
      <c r="EH17" s="123"/>
      <c r="EI17" s="123"/>
      <c r="EJ17" s="123"/>
      <c r="EK17" s="123"/>
      <c r="EL17" s="123"/>
      <c r="EM17" s="123"/>
      <c r="EN17" s="123"/>
      <c r="EO17" s="122"/>
      <c r="EP17" s="123"/>
      <c r="EQ17" s="123"/>
      <c r="ER17" s="123"/>
      <c r="ES17" s="123"/>
      <c r="ET17" s="123"/>
      <c r="EU17" s="123">
        <v>7</v>
      </c>
      <c r="EV17" s="124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4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>
        <v>6</v>
      </c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8">
        <f t="shared" ref="GU17:GU18" si="101">SUM(EE17:GO17,GR17)</f>
        <v>28</v>
      </c>
      <c r="GV17" s="162">
        <f t="shared" ref="GV17:GV18" si="102">AN17-ED17-GU17</f>
        <v>17</v>
      </c>
      <c r="GW17" s="163">
        <f t="shared" ref="GW17:GW18" si="103">AN17-ED17-ER17-FN17</f>
        <v>45</v>
      </c>
      <c r="GX17" s="163">
        <f t="shared" ref="GX17:GX18" si="104">AN17-GU17</f>
        <v>17</v>
      </c>
      <c r="GY17" s="123"/>
      <c r="GZ17" s="123"/>
      <c r="HA17" s="123"/>
      <c r="HB17" s="123"/>
      <c r="HC17" s="128">
        <f t="shared" ref="HC17:HC18" si="105">SUM(GY17:HB17)</f>
        <v>0</v>
      </c>
      <c r="HD17" s="123" t="s">
        <v>369</v>
      </c>
      <c r="HE17" s="123" t="s">
        <v>370</v>
      </c>
      <c r="HF17" s="123" t="s">
        <v>289</v>
      </c>
      <c r="HG17" s="123" t="s">
        <v>289</v>
      </c>
      <c r="HH17" s="123" t="s">
        <v>289</v>
      </c>
      <c r="HI17" s="123" t="s">
        <v>371</v>
      </c>
      <c r="HJ17" s="123"/>
      <c r="HK17" s="123"/>
      <c r="HL17" s="127"/>
      <c r="HM17" s="127"/>
      <c r="HN17" s="127"/>
      <c r="HO17" s="127"/>
      <c r="HP17" s="127"/>
      <c r="HQ17" s="164">
        <f t="shared" ref="HQ17:HQ18" si="106">SUM(HL17:HP17)</f>
        <v>0</v>
      </c>
      <c r="HW17" s="164">
        <f t="shared" ref="HW17:HW18" si="107">SUM(HR17:HU17)</f>
        <v>0</v>
      </c>
      <c r="HZ17">
        <v>5</v>
      </c>
      <c r="IC17">
        <v>1</v>
      </c>
      <c r="IF17">
        <v>2</v>
      </c>
      <c r="II17" s="164">
        <f t="shared" ref="II17:II18" si="108">SUM(HX17:IG17)</f>
        <v>8</v>
      </c>
      <c r="IV17" s="165">
        <f t="shared" ref="IV17:IV18" si="109">SUM(IJ17:IT17)</f>
        <v>0</v>
      </c>
      <c r="JF17" s="165">
        <f t="shared" ref="JF17:JF18" si="110">SUM(IW17:JD17)</f>
        <v>0</v>
      </c>
      <c r="JG17" s="148">
        <v>1</v>
      </c>
      <c r="JH17" s="148"/>
      <c r="JI17" s="148"/>
      <c r="JJ17" s="148"/>
      <c r="JK17" s="148"/>
    </row>
    <row r="18" spans="1:271" ht="16.5" customHeight="1" x14ac:dyDescent="0.35">
      <c r="A18" t="s">
        <v>430</v>
      </c>
      <c r="B18" s="117" t="s">
        <v>273</v>
      </c>
      <c r="C18" s="118">
        <v>46057</v>
      </c>
      <c r="D18" s="119" t="s">
        <v>274</v>
      </c>
      <c r="E18" s="120" t="s">
        <v>301</v>
      </c>
      <c r="F18" s="120" t="s">
        <v>293</v>
      </c>
      <c r="G18" s="121" t="s">
        <v>323</v>
      </c>
      <c r="H18" s="122"/>
      <c r="I18" s="123"/>
      <c r="J18" s="124"/>
      <c r="K18" s="2" t="s">
        <v>331</v>
      </c>
      <c r="L18" s="125"/>
      <c r="M18" s="126" t="s">
        <v>310</v>
      </c>
      <c r="N18" s="127" t="s">
        <v>324</v>
      </c>
      <c r="O18" s="10" t="s">
        <v>332</v>
      </c>
      <c r="P18" s="128" t="s">
        <v>282</v>
      </c>
      <c r="Q18" s="129"/>
      <c r="R18" s="130"/>
      <c r="S18" s="130">
        <v>45317.032604451437</v>
      </c>
      <c r="T18" s="131" t="str">
        <f t="shared" si="83"/>
        <v/>
      </c>
      <c r="U18" s="132">
        <v>5</v>
      </c>
      <c r="V18" s="133"/>
      <c r="W18" s="133"/>
      <c r="X18" s="134">
        <f>473+474+473+426+256</f>
        <v>2102</v>
      </c>
      <c r="Y18" s="134"/>
      <c r="Z18" s="134">
        <f>10016+10030+10015+9016+5421</f>
        <v>44498</v>
      </c>
      <c r="AA18" s="134"/>
      <c r="AB18" s="135">
        <f>6+7+2+2</f>
        <v>17</v>
      </c>
      <c r="AC18" s="136">
        <f t="shared" si="84"/>
        <v>2118.8714685314685</v>
      </c>
      <c r="AD18" s="137">
        <f t="shared" si="85"/>
        <v>16.871468531468508</v>
      </c>
      <c r="AE18" s="138">
        <f t="shared" si="86"/>
        <v>-0.12853146853149156</v>
      </c>
      <c r="AF18" s="139">
        <f t="shared" si="87"/>
        <v>0</v>
      </c>
      <c r="AG18" s="123"/>
      <c r="AH18" s="122">
        <v>200</v>
      </c>
      <c r="AI18" s="122">
        <v>190</v>
      </c>
      <c r="AJ18" s="140">
        <v>1.1329258151112858</v>
      </c>
      <c r="AK18" s="141">
        <v>67.975548906677147</v>
      </c>
      <c r="AL18" s="142">
        <v>0.33333333333333331</v>
      </c>
      <c r="AM18" s="142">
        <v>0.53819444444444442</v>
      </c>
      <c r="AN18" s="143">
        <f t="shared" si="88"/>
        <v>295</v>
      </c>
      <c r="AO18" s="123"/>
      <c r="AP18" s="123"/>
      <c r="AQ18" s="127"/>
      <c r="AR18" s="123"/>
      <c r="AS18" s="123" t="s">
        <v>365</v>
      </c>
      <c r="AT18" s="123" t="s">
        <v>293</v>
      </c>
      <c r="AU18" s="123"/>
      <c r="AV18" s="123"/>
      <c r="AW18" s="123"/>
      <c r="AX18" s="132"/>
      <c r="AY18" s="123"/>
      <c r="AZ18" s="123"/>
      <c r="BA18" s="144">
        <f t="shared" si="89"/>
        <v>0</v>
      </c>
      <c r="BB18" s="127"/>
      <c r="BC18" s="145"/>
      <c r="BD18" s="146"/>
      <c r="BE18" t="s">
        <v>357</v>
      </c>
      <c r="BF18">
        <v>1033</v>
      </c>
      <c r="BG18">
        <f>12</f>
        <v>12</v>
      </c>
      <c r="BH18" s="147">
        <v>2</v>
      </c>
      <c r="BI18">
        <f>435+440</f>
        <v>875</v>
      </c>
      <c r="BK18" s="144">
        <f t="shared" si="90"/>
        <v>875</v>
      </c>
      <c r="BO18" s="147"/>
      <c r="BR18" s="144">
        <f t="shared" si="91"/>
        <v>0</v>
      </c>
      <c r="BS18" t="s">
        <v>366</v>
      </c>
      <c r="BT18">
        <v>1033</v>
      </c>
      <c r="BU18">
        <f>9</f>
        <v>9</v>
      </c>
      <c r="BV18" s="147">
        <v>1</v>
      </c>
      <c r="BW18">
        <f>546+626</f>
        <v>1172</v>
      </c>
      <c r="BX18">
        <f>-58</f>
        <v>-58</v>
      </c>
      <c r="BY18" s="144">
        <f t="shared" si="92"/>
        <v>1114</v>
      </c>
      <c r="BZ18" s="148">
        <v>85473</v>
      </c>
      <c r="CA18" s="149">
        <v>13.528</v>
      </c>
      <c r="CB18" s="150">
        <f t="shared" si="93"/>
        <v>15070.192000000001</v>
      </c>
      <c r="CF18" s="147"/>
      <c r="CI18" s="151">
        <f t="shared" si="94"/>
        <v>0</v>
      </c>
      <c r="CJ18" s="148"/>
      <c r="CK18" s="149"/>
      <c r="CL18" s="150"/>
      <c r="CM18" t="s">
        <v>367</v>
      </c>
      <c r="CN18">
        <v>178.08</v>
      </c>
      <c r="CO18" s="152">
        <v>11.719999999999999</v>
      </c>
      <c r="CP18" s="153">
        <f t="shared" si="95"/>
        <v>2087.0976000000001</v>
      </c>
      <c r="CQ18" s="154">
        <f t="shared" si="96"/>
        <v>124.53146853146855</v>
      </c>
      <c r="CR18">
        <v>5.34</v>
      </c>
      <c r="CS18" s="155">
        <v>47.460000000000008</v>
      </c>
      <c r="CT18" s="153">
        <f t="shared" si="97"/>
        <v>253.43640000000005</v>
      </c>
      <c r="CU18" s="154">
        <f t="shared" si="98"/>
        <v>5.34</v>
      </c>
      <c r="CV18">
        <v>142.46</v>
      </c>
      <c r="CW18">
        <v>3.0379831932773111</v>
      </c>
      <c r="CX18" s="153">
        <f t="shared" si="99"/>
        <v>432.79108571428577</v>
      </c>
      <c r="CY18" s="156">
        <v>35</v>
      </c>
      <c r="CZ18" s="156">
        <v>5</v>
      </c>
      <c r="DA18" s="128" t="s">
        <v>368</v>
      </c>
      <c r="DB18" s="123">
        <v>1025</v>
      </c>
      <c r="DC18" s="157" t="s">
        <v>325</v>
      </c>
      <c r="DD18" s="157" t="s">
        <v>313</v>
      </c>
      <c r="DE18" s="127"/>
      <c r="DF18" s="158"/>
      <c r="DG18" s="159">
        <f>AVERAGE(2.91,2.94)</f>
        <v>2.9249999999999998</v>
      </c>
      <c r="DH18" s="160"/>
      <c r="DI18" s="122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V18" s="123"/>
      <c r="DW18" s="123"/>
      <c r="DX18" s="123"/>
      <c r="DY18" s="123"/>
      <c r="DZ18" s="123"/>
      <c r="EA18" s="123"/>
      <c r="EB18" s="123"/>
      <c r="EC18" s="123"/>
      <c r="ED18" s="161">
        <f t="shared" si="100"/>
        <v>0</v>
      </c>
      <c r="EE18" s="123"/>
      <c r="EF18" s="123">
        <v>50</v>
      </c>
      <c r="EG18" s="123"/>
      <c r="EH18" s="123"/>
      <c r="EI18" s="123"/>
      <c r="EJ18" s="123"/>
      <c r="EK18" s="123"/>
      <c r="EL18" s="123"/>
      <c r="EM18" s="123"/>
      <c r="EN18" s="123"/>
      <c r="EO18" s="122"/>
      <c r="EP18" s="123"/>
      <c r="EQ18" s="123"/>
      <c r="ER18" s="123"/>
      <c r="ES18" s="123"/>
      <c r="ET18" s="123"/>
      <c r="EU18" s="123">
        <v>5</v>
      </c>
      <c r="EV18" s="124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4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>
        <v>5</v>
      </c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8">
        <f t="shared" si="101"/>
        <v>60</v>
      </c>
      <c r="GV18" s="162">
        <f t="shared" si="102"/>
        <v>235</v>
      </c>
      <c r="GW18" s="163">
        <f t="shared" si="103"/>
        <v>295</v>
      </c>
      <c r="GX18" s="163">
        <f t="shared" si="104"/>
        <v>235</v>
      </c>
      <c r="GY18" s="123"/>
      <c r="GZ18" s="123"/>
      <c r="HA18" s="123"/>
      <c r="HB18" s="123"/>
      <c r="HC18" s="128">
        <f t="shared" si="105"/>
        <v>0</v>
      </c>
      <c r="HD18" s="123" t="s">
        <v>369</v>
      </c>
      <c r="HE18" s="123" t="s">
        <v>370</v>
      </c>
      <c r="HF18" s="123" t="s">
        <v>289</v>
      </c>
      <c r="HG18" s="123" t="s">
        <v>289</v>
      </c>
      <c r="HH18" s="123" t="s">
        <v>289</v>
      </c>
      <c r="HI18" s="123" t="s">
        <v>371</v>
      </c>
      <c r="HJ18" s="123"/>
      <c r="HK18" s="123"/>
      <c r="HL18" s="127"/>
      <c r="HM18" s="127"/>
      <c r="HN18" s="127"/>
      <c r="HO18" s="127"/>
      <c r="HP18" s="127"/>
      <c r="HQ18" s="164">
        <f t="shared" si="106"/>
        <v>0</v>
      </c>
      <c r="HW18" s="164">
        <f t="shared" si="107"/>
        <v>0</v>
      </c>
      <c r="HZ18">
        <v>6</v>
      </c>
      <c r="IB18">
        <v>7</v>
      </c>
      <c r="IC18">
        <v>2</v>
      </c>
      <c r="IF18">
        <v>2</v>
      </c>
      <c r="II18" s="164">
        <f t="shared" si="108"/>
        <v>17</v>
      </c>
      <c r="IV18" s="165">
        <f t="shared" si="109"/>
        <v>0</v>
      </c>
      <c r="JF18" s="165">
        <f t="shared" si="110"/>
        <v>0</v>
      </c>
      <c r="JG18" s="148">
        <v>5</v>
      </c>
      <c r="JH18" s="148"/>
      <c r="JI18" s="148"/>
      <c r="JJ18" s="148"/>
      <c r="JK18" s="148"/>
    </row>
    <row r="19" spans="1:271" ht="16.5" customHeight="1" x14ac:dyDescent="0.35">
      <c r="A19" t="s">
        <v>434</v>
      </c>
      <c r="B19" s="117" t="s">
        <v>273</v>
      </c>
      <c r="C19" s="118">
        <v>46057</v>
      </c>
      <c r="D19" s="119" t="s">
        <v>291</v>
      </c>
      <c r="E19" s="120" t="s">
        <v>307</v>
      </c>
      <c r="F19" s="120" t="s">
        <v>305</v>
      </c>
      <c r="G19" s="121" t="s">
        <v>348</v>
      </c>
      <c r="H19" s="122">
        <v>1.19</v>
      </c>
      <c r="I19" s="123"/>
      <c r="J19" s="124"/>
      <c r="K19" s="2" t="s">
        <v>349</v>
      </c>
      <c r="L19" s="125" t="s">
        <v>394</v>
      </c>
      <c r="M19" s="126" t="s">
        <v>322</v>
      </c>
      <c r="N19" s="127" t="s">
        <v>350</v>
      </c>
      <c r="O19" s="10" t="s">
        <v>351</v>
      </c>
      <c r="P19" s="128" t="s">
        <v>389</v>
      </c>
      <c r="Q19" s="129"/>
      <c r="R19" s="130"/>
      <c r="S19" s="130"/>
      <c r="T19" s="131">
        <f t="shared" ref="T19" si="111">IF(H19*U19=0,"",H19*U19)</f>
        <v>42.839999999999996</v>
      </c>
      <c r="U19" s="132">
        <f>32+4</f>
        <v>36</v>
      </c>
      <c r="V19" s="133"/>
      <c r="W19" s="133"/>
      <c r="X19" s="134">
        <v>1037.8</v>
      </c>
      <c r="Y19" s="134">
        <v>1080.6399999999999</v>
      </c>
      <c r="Z19" s="134">
        <v>19000</v>
      </c>
      <c r="AA19" s="134"/>
      <c r="AB19" s="135">
        <f>1.2+1+38+5+46</f>
        <v>91.2</v>
      </c>
      <c r="AC19" s="136">
        <f t="shared" ref="AC19:AC20" si="112">BA19+AF19+BK19+BR19+BY19+CI19+CQ19+CU19</f>
        <v>1129</v>
      </c>
      <c r="AD19" s="137">
        <f t="shared" ref="AD19:AD20" si="113">+AC19-X19</f>
        <v>91.200000000000045</v>
      </c>
      <c r="AE19" s="138">
        <f t="shared" ref="AE19:AE20" si="114">AD19-AB19</f>
        <v>0</v>
      </c>
      <c r="AF19" s="139">
        <f t="shared" ref="AF19:AF20" si="115">IFERROR(+(Z19*AV19*DF19)/10^6,0)</f>
        <v>0</v>
      </c>
      <c r="AG19" s="123"/>
      <c r="AH19" s="122"/>
      <c r="AI19" s="122">
        <v>760</v>
      </c>
      <c r="AJ19" s="140"/>
      <c r="AK19" s="141"/>
      <c r="AL19" s="142">
        <v>0.21875</v>
      </c>
      <c r="AM19" s="142">
        <v>0.30208333333333331</v>
      </c>
      <c r="AN19" s="143">
        <f t="shared" ref="AN19:AN20" si="116">IF(AM19&gt;AL19,((AM19-AL19)*1440),(1440+(AM19-AL19)*1440))</f>
        <v>119.99999999999997</v>
      </c>
      <c r="AO19" s="123"/>
      <c r="AP19" s="123"/>
      <c r="AQ19" s="127"/>
      <c r="AR19" s="123"/>
      <c r="AS19" s="123"/>
      <c r="AT19" s="123" t="s">
        <v>390</v>
      </c>
      <c r="AU19" s="123" t="s">
        <v>365</v>
      </c>
      <c r="AV19" s="123">
        <v>471.4</v>
      </c>
      <c r="AW19" s="123">
        <f>30+30</f>
        <v>60</v>
      </c>
      <c r="AX19" s="132">
        <v>2</v>
      </c>
      <c r="AY19" s="123">
        <f>534+595</f>
        <v>1129</v>
      </c>
      <c r="AZ19" s="123"/>
      <c r="BA19" s="144">
        <f t="shared" ref="BA19:BA20" si="117">SUM(AY19+AZ19)</f>
        <v>1129</v>
      </c>
      <c r="BB19" s="127"/>
      <c r="BC19" s="145"/>
      <c r="BD19" s="146"/>
      <c r="BH19" s="147"/>
      <c r="BK19" s="144">
        <f t="shared" ref="BK19:BK20" si="118">SUM(BI19+BJ19)</f>
        <v>0</v>
      </c>
      <c r="BO19" s="147"/>
      <c r="BR19" s="144">
        <f t="shared" ref="BR19:BR20" si="119">SUM(BP19+BQ19)</f>
        <v>0</v>
      </c>
      <c r="BV19" s="147"/>
      <c r="BY19" s="144">
        <f t="shared" ref="BY19:BY20" si="120">SUM(BW19+BX19)</f>
        <v>0</v>
      </c>
      <c r="BZ19" s="148"/>
      <c r="CA19" s="149"/>
      <c r="CB19" s="150"/>
      <c r="CF19" s="147"/>
      <c r="CI19" s="151">
        <f t="shared" ref="CI19:CI20" si="121">SUM(CG19+CH19)</f>
        <v>0</v>
      </c>
      <c r="CJ19" s="148"/>
      <c r="CK19" s="149"/>
      <c r="CL19" s="150"/>
      <c r="CM19"/>
      <c r="CN19"/>
      <c r="CO19" s="152"/>
      <c r="CP19" s="153"/>
      <c r="CQ19" s="154">
        <f t="shared" ref="CQ19:CQ20" si="122">IF(CM19="811 A",CN19/1.667,IF(CM19="MB635",CN19/1.33,IF(CM19="MB655",CN19/1.43,IF(CM19="LG 59A",CN19/1.667,IF(CM19="HB 6680",CN19/1.25,IF(CM19="MB688",CN19/1.25,CN19))))))</f>
        <v>0</v>
      </c>
      <c r="CR19"/>
      <c r="CS19" s="155"/>
      <c r="CT19" s="153"/>
      <c r="CU19" s="154">
        <f t="shared" ref="CU19:CU20" si="123">IF(CM19="811 A",CR19/1.33,IF(CM19="HB 6680",CR19/1.33,IF(CM19="MB688",CR19/1.333,CR19)))</f>
        <v>0</v>
      </c>
      <c r="CV19"/>
      <c r="CX19" s="153"/>
      <c r="CY19" s="156"/>
      <c r="CZ19" s="156"/>
      <c r="DA19" s="128"/>
      <c r="DB19" s="123"/>
      <c r="DC19" s="157" t="s">
        <v>354</v>
      </c>
      <c r="DD19" s="157" t="s">
        <v>294</v>
      </c>
      <c r="DE19" s="127" t="s">
        <v>400</v>
      </c>
      <c r="DF19" s="158"/>
      <c r="DG19" s="159"/>
      <c r="DH19" s="160"/>
      <c r="DI19" s="122"/>
      <c r="DK19" s="123">
        <v>20</v>
      </c>
      <c r="DL19" s="123"/>
      <c r="DM19" s="123"/>
      <c r="DN19" s="123"/>
      <c r="DO19" s="123"/>
      <c r="DP19" s="123"/>
      <c r="DQ19" s="123"/>
      <c r="DR19" s="123"/>
      <c r="DS19" s="123"/>
      <c r="DT19" s="123"/>
      <c r="DV19" s="123"/>
      <c r="DW19" s="123"/>
      <c r="DX19" s="123"/>
      <c r="DY19" s="123"/>
      <c r="DZ19" s="123"/>
      <c r="EA19" s="123"/>
      <c r="EB19" s="123"/>
      <c r="EC19" s="123"/>
      <c r="ED19" s="161">
        <f t="shared" ref="ED19:ED20" si="124">SUM(DK19:EC19)</f>
        <v>20</v>
      </c>
      <c r="EE19" s="123"/>
      <c r="EF19" s="123">
        <v>10</v>
      </c>
      <c r="EG19" s="123"/>
      <c r="EH19" s="123"/>
      <c r="EI19" s="123"/>
      <c r="EJ19" s="123"/>
      <c r="EK19" s="123"/>
      <c r="EL19" s="123"/>
      <c r="EM19" s="123"/>
      <c r="EN19" s="123"/>
      <c r="EO19" s="122"/>
      <c r="EP19" s="123"/>
      <c r="EQ19" s="123"/>
      <c r="ER19" s="123"/>
      <c r="ES19" s="123">
        <v>10</v>
      </c>
      <c r="ET19" s="123"/>
      <c r="EU19" s="123"/>
      <c r="EV19" s="124"/>
      <c r="EW19" s="123"/>
      <c r="EX19" s="123"/>
      <c r="EY19" s="123"/>
      <c r="EZ19" s="123"/>
      <c r="FA19" s="123"/>
      <c r="FB19" s="123">
        <v>10</v>
      </c>
      <c r="FC19" s="123"/>
      <c r="FD19" s="123"/>
      <c r="FE19" s="123"/>
      <c r="FF19" s="123"/>
      <c r="FG19" s="123"/>
      <c r="FH19" s="123"/>
      <c r="FI19" s="123"/>
      <c r="FJ19" s="124"/>
      <c r="FK19" s="123"/>
      <c r="FL19" s="123"/>
      <c r="FM19" s="123"/>
      <c r="FN19" s="123"/>
      <c r="FO19" s="123">
        <v>45</v>
      </c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8">
        <f t="shared" ref="GU19:GU20" si="125">SUM(EE19:GO19,GR19)</f>
        <v>75</v>
      </c>
      <c r="GV19" s="162">
        <f t="shared" ref="GV19:GV20" si="126">AN19-ED19-GU19</f>
        <v>24.999999999999972</v>
      </c>
      <c r="GW19" s="163">
        <f t="shared" ref="GW19:GW20" si="127">AN19-ED19-ER19-FN19</f>
        <v>99.999999999999972</v>
      </c>
      <c r="GX19" s="163">
        <f t="shared" ref="GX19:GX20" si="128">AN19-GU19</f>
        <v>44.999999999999972</v>
      </c>
      <c r="GY19" s="123"/>
      <c r="GZ19" s="123"/>
      <c r="HA19" s="123"/>
      <c r="HB19" s="123"/>
      <c r="HC19" s="128">
        <f t="shared" ref="HC19:HC20" si="129">SUM(GY19:HB19)</f>
        <v>0</v>
      </c>
      <c r="HD19" s="123" t="s">
        <v>402</v>
      </c>
      <c r="HE19" s="123" t="s">
        <v>403</v>
      </c>
      <c r="HF19" s="123" t="s">
        <v>289</v>
      </c>
      <c r="HG19" s="123" t="s">
        <v>289</v>
      </c>
      <c r="HH19" s="123" t="s">
        <v>289</v>
      </c>
      <c r="HI19" s="123" t="s">
        <v>392</v>
      </c>
      <c r="HJ19" s="123"/>
      <c r="HK19" s="123"/>
      <c r="HL19" s="127">
        <v>1.2</v>
      </c>
      <c r="HM19" s="127">
        <v>1</v>
      </c>
      <c r="HN19" s="127">
        <v>38</v>
      </c>
      <c r="HO19" s="127">
        <v>5</v>
      </c>
      <c r="HP19" s="127">
        <v>46</v>
      </c>
      <c r="HQ19" s="164">
        <f t="shared" ref="HQ19:HQ20" si="130">SUM(HL19:HP19)</f>
        <v>91.2</v>
      </c>
      <c r="HW19" s="164">
        <f t="shared" ref="HW19:HW20" si="131">SUM(HR19:HU19)</f>
        <v>0</v>
      </c>
      <c r="II19" s="164">
        <f t="shared" ref="II19:II20" si="132">SUM(HX19:IG19)</f>
        <v>0</v>
      </c>
      <c r="IV19" s="165">
        <f t="shared" ref="IV19:IV20" si="133">SUM(IJ19:IT19)</f>
        <v>0</v>
      </c>
      <c r="JF19" s="165">
        <f t="shared" ref="JF19:JF20" si="134">SUM(IW19:JD19)</f>
        <v>0</v>
      </c>
      <c r="JG19" s="148"/>
      <c r="JH19" s="148"/>
      <c r="JI19" s="148">
        <v>1080</v>
      </c>
      <c r="JJ19" s="148"/>
      <c r="JK19" s="148"/>
    </row>
    <row r="20" spans="1:271" ht="16.5" customHeight="1" x14ac:dyDescent="0.35">
      <c r="A20" t="s">
        <v>435</v>
      </c>
      <c r="B20" s="117" t="s">
        <v>273</v>
      </c>
      <c r="C20" s="118">
        <v>46057</v>
      </c>
      <c r="D20" s="119" t="s">
        <v>291</v>
      </c>
      <c r="E20" s="120" t="s">
        <v>309</v>
      </c>
      <c r="F20" s="120" t="s">
        <v>27</v>
      </c>
      <c r="G20" s="121" t="s">
        <v>277</v>
      </c>
      <c r="H20" s="122"/>
      <c r="I20" s="123"/>
      <c r="J20" s="124"/>
      <c r="K20" s="2" t="s">
        <v>278</v>
      </c>
      <c r="L20" s="125"/>
      <c r="M20" s="126" t="s">
        <v>279</v>
      </c>
      <c r="N20" s="127" t="s">
        <v>280</v>
      </c>
      <c r="O20" s="10" t="s">
        <v>281</v>
      </c>
      <c r="P20" s="128" t="s">
        <v>389</v>
      </c>
      <c r="Q20" s="129"/>
      <c r="R20" s="130"/>
      <c r="S20" s="130"/>
      <c r="T20" s="131"/>
      <c r="U20" s="132"/>
      <c r="V20" s="133" t="s">
        <v>289</v>
      </c>
      <c r="W20" s="133" t="s">
        <v>289</v>
      </c>
      <c r="X20" s="134"/>
      <c r="Y20" s="134" t="s">
        <v>289</v>
      </c>
      <c r="Z20" s="134"/>
      <c r="AA20" s="134"/>
      <c r="AB20" s="135"/>
      <c r="AC20" s="136">
        <f t="shared" si="112"/>
        <v>0</v>
      </c>
      <c r="AD20" s="137">
        <f t="shared" si="113"/>
        <v>0</v>
      </c>
      <c r="AE20" s="138">
        <f t="shared" si="114"/>
        <v>0</v>
      </c>
      <c r="AF20" s="139">
        <f t="shared" si="115"/>
        <v>0</v>
      </c>
      <c r="AG20" s="123"/>
      <c r="AH20" s="122"/>
      <c r="AI20" s="122" t="s">
        <v>289</v>
      </c>
      <c r="AJ20" s="140"/>
      <c r="AK20" s="141" t="s">
        <v>289</v>
      </c>
      <c r="AL20" s="142">
        <v>0.80208333333333337</v>
      </c>
      <c r="AM20" s="142">
        <v>0.30208333333333331</v>
      </c>
      <c r="AN20" s="143">
        <f t="shared" si="116"/>
        <v>720</v>
      </c>
      <c r="AO20" s="123"/>
      <c r="AP20" s="123"/>
      <c r="AQ20" s="127"/>
      <c r="AR20" s="123"/>
      <c r="AS20" s="123"/>
      <c r="AT20" s="123" t="s">
        <v>390</v>
      </c>
      <c r="AU20" s="123" t="s">
        <v>436</v>
      </c>
      <c r="AV20" s="123" t="s">
        <v>437</v>
      </c>
      <c r="AW20" s="123">
        <v>90</v>
      </c>
      <c r="AX20" s="132">
        <v>1</v>
      </c>
      <c r="AY20" s="123">
        <v>566</v>
      </c>
      <c r="AZ20" s="123">
        <v>-566</v>
      </c>
      <c r="BA20" s="144">
        <f t="shared" si="117"/>
        <v>0</v>
      </c>
      <c r="BB20" s="127"/>
      <c r="BC20" s="145"/>
      <c r="BD20" s="146"/>
      <c r="BH20" s="147"/>
      <c r="BK20" s="144">
        <f t="shared" si="118"/>
        <v>0</v>
      </c>
      <c r="BO20" s="147"/>
      <c r="BR20" s="144">
        <f t="shared" si="119"/>
        <v>0</v>
      </c>
      <c r="BS20" t="s">
        <v>289</v>
      </c>
      <c r="BV20" s="147"/>
      <c r="BY20" s="144">
        <f t="shared" si="120"/>
        <v>0</v>
      </c>
      <c r="BZ20" s="148"/>
      <c r="CA20" s="149"/>
      <c r="CB20" s="150"/>
      <c r="CC20" t="s">
        <v>289</v>
      </c>
      <c r="CF20" s="147"/>
      <c r="CI20" s="151">
        <f t="shared" si="121"/>
        <v>0</v>
      </c>
      <c r="CJ20" s="148"/>
      <c r="CK20" s="149"/>
      <c r="CL20" s="150"/>
      <c r="CM20"/>
      <c r="CN20"/>
      <c r="CO20" s="152"/>
      <c r="CP20" s="153"/>
      <c r="CQ20" s="154">
        <f t="shared" si="122"/>
        <v>0</v>
      </c>
      <c r="CR20"/>
      <c r="CS20" s="155"/>
      <c r="CT20" s="153"/>
      <c r="CU20" s="154">
        <f t="shared" si="123"/>
        <v>0</v>
      </c>
      <c r="CV20"/>
      <c r="CX20" s="153"/>
      <c r="CY20" s="156"/>
      <c r="CZ20" s="156"/>
      <c r="DA20" s="128"/>
      <c r="DB20" s="123"/>
      <c r="DC20" s="157" t="s">
        <v>285</v>
      </c>
      <c r="DD20" s="157" t="s">
        <v>286</v>
      </c>
      <c r="DE20" s="127"/>
      <c r="DF20" s="158"/>
      <c r="DG20" s="159"/>
      <c r="DH20" s="160" t="s">
        <v>250</v>
      </c>
      <c r="DI20" s="122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V20" s="123"/>
      <c r="DW20" s="123"/>
      <c r="DX20" s="123"/>
      <c r="DY20" s="123"/>
      <c r="DZ20" s="123"/>
      <c r="EA20" s="123"/>
      <c r="EB20" s="123"/>
      <c r="EC20" s="123">
        <v>80</v>
      </c>
      <c r="ED20" s="161">
        <f t="shared" si="124"/>
        <v>80</v>
      </c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2"/>
      <c r="EP20" s="123"/>
      <c r="EQ20" s="123"/>
      <c r="ER20" s="123"/>
      <c r="ES20" s="123"/>
      <c r="ET20" s="123"/>
      <c r="EU20" s="123"/>
      <c r="EV20" s="124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4"/>
      <c r="FK20" s="123"/>
      <c r="FL20" s="123"/>
      <c r="FM20" s="123"/>
      <c r="FN20" s="123">
        <v>640</v>
      </c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8">
        <f t="shared" si="125"/>
        <v>640</v>
      </c>
      <c r="GV20" s="162">
        <f t="shared" si="126"/>
        <v>0</v>
      </c>
      <c r="GW20" s="163">
        <f t="shared" si="127"/>
        <v>0</v>
      </c>
      <c r="GX20" s="163">
        <f t="shared" si="128"/>
        <v>80</v>
      </c>
      <c r="GY20" s="123"/>
      <c r="GZ20" s="123"/>
      <c r="HA20" s="123"/>
      <c r="HB20" s="123"/>
      <c r="HC20" s="128">
        <f t="shared" si="129"/>
        <v>0</v>
      </c>
      <c r="HD20" s="123" t="s">
        <v>289</v>
      </c>
      <c r="HE20" s="123" t="s">
        <v>289</v>
      </c>
      <c r="HF20" s="123" t="s">
        <v>289</v>
      </c>
      <c r="HG20" s="123" t="s">
        <v>289</v>
      </c>
      <c r="HH20" s="123" t="s">
        <v>289</v>
      </c>
      <c r="HI20" s="123" t="s">
        <v>289</v>
      </c>
      <c r="HJ20" s="123"/>
      <c r="HK20" s="123"/>
      <c r="HL20" s="127"/>
      <c r="HM20" s="127"/>
      <c r="HN20" s="127"/>
      <c r="HO20" s="127"/>
      <c r="HP20" s="127"/>
      <c r="HQ20" s="164">
        <f t="shared" si="130"/>
        <v>0</v>
      </c>
      <c r="HW20" s="164">
        <f t="shared" si="131"/>
        <v>0</v>
      </c>
      <c r="II20" s="164">
        <f t="shared" si="132"/>
        <v>0</v>
      </c>
      <c r="IV20" s="165">
        <f t="shared" si="133"/>
        <v>0</v>
      </c>
      <c r="JF20" s="165">
        <f t="shared" si="134"/>
        <v>0</v>
      </c>
      <c r="JG20" s="148"/>
      <c r="JH20" s="148"/>
      <c r="JI20" s="148"/>
      <c r="JJ20" s="148">
        <v>18</v>
      </c>
      <c r="JK20" s="148" t="s">
        <v>407</v>
      </c>
    </row>
    <row r="21" spans="1:271" ht="16.5" customHeight="1" x14ac:dyDescent="0.35">
      <c r="A21" t="s">
        <v>438</v>
      </c>
      <c r="B21" s="117" t="s">
        <v>273</v>
      </c>
      <c r="C21" s="118">
        <v>46058</v>
      </c>
      <c r="D21" s="119" t="s">
        <v>274</v>
      </c>
      <c r="E21" s="120" t="s">
        <v>303</v>
      </c>
      <c r="F21" s="120" t="s">
        <v>293</v>
      </c>
      <c r="G21" s="121" t="s">
        <v>323</v>
      </c>
      <c r="H21" s="122"/>
      <c r="I21" s="123"/>
      <c r="J21" s="124"/>
      <c r="K21" s="2" t="s">
        <v>331</v>
      </c>
      <c r="L21" s="125"/>
      <c r="M21" s="126" t="s">
        <v>310</v>
      </c>
      <c r="N21" s="127" t="s">
        <v>324</v>
      </c>
      <c r="O21" s="10" t="s">
        <v>332</v>
      </c>
      <c r="P21" s="128" t="s">
        <v>282</v>
      </c>
      <c r="Q21" s="129"/>
      <c r="R21" s="130"/>
      <c r="S21" s="130">
        <v>45317.032604451437</v>
      </c>
      <c r="T21" s="131" t="str">
        <f t="shared" ref="T21:T23" si="135">IF(H21*U21=0,"",H21*U21)</f>
        <v/>
      </c>
      <c r="U21" s="132">
        <v>2</v>
      </c>
      <c r="V21" s="133"/>
      <c r="W21" s="133"/>
      <c r="X21" s="134">
        <f>262+750+204+437+224+194+356+270</f>
        <v>2697</v>
      </c>
      <c r="Y21" s="134"/>
      <c r="Z21" s="134">
        <f>2128+6096+1660+3580+1838+1589+2917+2287</f>
        <v>22095</v>
      </c>
      <c r="AA21" s="134"/>
      <c r="AB21" s="135">
        <f>1+3.7+1+1</f>
        <v>6.7</v>
      </c>
      <c r="AC21" s="136">
        <f t="shared" ref="AC21:AC23" si="136">BA21+AF21+BK21+BR21+BY21+CI21+CQ21+CU21</f>
        <v>2703.7</v>
      </c>
      <c r="AD21" s="137">
        <f t="shared" ref="AD21:AD23" si="137">+AC21-X21</f>
        <v>6.6999999999998181</v>
      </c>
      <c r="AE21" s="138">
        <f t="shared" ref="AE21:AE23" si="138">AD21-AB21</f>
        <v>-1.8207657603852567E-13</v>
      </c>
      <c r="AF21" s="139">
        <f t="shared" ref="AF21:AF23" si="139">IFERROR(+(Z21*AV21*DF21)/10^6,0)</f>
        <v>0</v>
      </c>
      <c r="AG21" s="123"/>
      <c r="AH21" s="122">
        <v>250</v>
      </c>
      <c r="AI21" s="122">
        <v>200</v>
      </c>
      <c r="AJ21" s="140">
        <v>0.90634065208902859</v>
      </c>
      <c r="AK21" s="141">
        <v>54.380439125341717</v>
      </c>
      <c r="AL21" s="142">
        <v>0.66666666666666663</v>
      </c>
      <c r="AM21" s="142">
        <v>0.80208333333333337</v>
      </c>
      <c r="AN21" s="143">
        <f t="shared" ref="AN21:AN23" si="140">IF(AM21&gt;AL21,((AM21-AL21)*1440),(1440+(AM21-AL21)*1440))</f>
        <v>195.00000000000011</v>
      </c>
      <c r="AO21" s="123"/>
      <c r="AP21" s="123"/>
      <c r="AQ21" s="127"/>
      <c r="AR21" s="123"/>
      <c r="AS21" s="123" t="s">
        <v>375</v>
      </c>
      <c r="AT21" s="123" t="s">
        <v>341</v>
      </c>
      <c r="AU21" s="123"/>
      <c r="AV21" s="123"/>
      <c r="AW21" s="123"/>
      <c r="AX21" s="132"/>
      <c r="AY21" s="123"/>
      <c r="AZ21" s="123"/>
      <c r="BA21" s="144">
        <f t="shared" ref="BA21:BA23" si="141">SUM(AY21+AZ21)</f>
        <v>0</v>
      </c>
      <c r="BB21" s="127"/>
      <c r="BC21" s="145"/>
      <c r="BD21" s="146"/>
      <c r="BH21" s="147"/>
      <c r="BK21" s="144">
        <f t="shared" ref="BK21:BK23" si="142">SUM(BI21+BJ21)</f>
        <v>0</v>
      </c>
      <c r="BL21" t="s">
        <v>365</v>
      </c>
      <c r="BM21">
        <v>1033</v>
      </c>
      <c r="BN21">
        <f t="shared" ref="BN21:BN23" si="143">12+9</f>
        <v>21</v>
      </c>
      <c r="BO21" s="147">
        <v>3</v>
      </c>
      <c r="BP21">
        <f>474+473+426</f>
        <v>1373</v>
      </c>
      <c r="BQ21">
        <f>-318</f>
        <v>-318</v>
      </c>
      <c r="BR21" s="144">
        <f t="shared" ref="BR21:BR23" si="144">SUM(BP21+BQ21)</f>
        <v>1055</v>
      </c>
      <c r="BV21" s="147"/>
      <c r="BY21" s="144">
        <f t="shared" ref="BY21:BY23" si="145">SUM(BW21+BX21)</f>
        <v>0</v>
      </c>
      <c r="BZ21" s="148"/>
      <c r="CA21" s="149"/>
      <c r="CB21" s="150"/>
      <c r="CC21" t="s">
        <v>361</v>
      </c>
      <c r="CD21">
        <v>1033</v>
      </c>
      <c r="CE21">
        <f>75</f>
        <v>75</v>
      </c>
      <c r="CF21" s="147">
        <v>4</v>
      </c>
      <c r="CG21">
        <f>157+412.8+412.8+377.8+371.3</f>
        <v>1731.6999999999998</v>
      </c>
      <c r="CH21">
        <f>-57-69</f>
        <v>-126</v>
      </c>
      <c r="CI21" s="151">
        <f t="shared" ref="CI21:CI23" si="146">SUM(CG21+CH21)</f>
        <v>1605.6999999999998</v>
      </c>
      <c r="CJ21" s="148">
        <v>85527</v>
      </c>
      <c r="CK21" s="149">
        <v>4.9000000000000004</v>
      </c>
      <c r="CL21" s="150">
        <f t="shared" ref="CL21:CL23" si="147">+CI21*CK21</f>
        <v>7867.9299999999994</v>
      </c>
      <c r="CM21" t="s">
        <v>377</v>
      </c>
      <c r="CN21">
        <v>30.7</v>
      </c>
      <c r="CO21" s="152">
        <v>9.59436</v>
      </c>
      <c r="CP21" s="153">
        <f t="shared" ref="CP21:CP23" si="148">+CN21*CO21</f>
        <v>294.546852</v>
      </c>
      <c r="CQ21" s="154">
        <f t="shared" ref="CQ21:CQ23" si="149">IF(CM21="811 A",CN21/1.667,IF(CM21="MB635",CN21/1.33,IF(CM21="MB655",CN21/1.43,IF(CM21="LG 59A",CN21/1.667,IF(CM21="HB 6680",CN21/1.25,IF(CM21="MB688",CN21/1.25,CN21))))))</f>
        <v>30.7</v>
      </c>
      <c r="CR21">
        <v>12.3</v>
      </c>
      <c r="CS21" s="155">
        <v>9.7414000000000005</v>
      </c>
      <c r="CT21" s="153">
        <f t="shared" ref="CT21:CT23" si="150">+CR21*CS21</f>
        <v>119.81922000000002</v>
      </c>
      <c r="CU21" s="154">
        <f t="shared" ref="CU21:CU23" si="151">IF(CM21="811 A",CR21/1.33,IF(CM21="HB 6680",CR21/1.33,IF(CM21="MB688",CR21/1.333,CR21)))</f>
        <v>12.3</v>
      </c>
      <c r="CV21"/>
      <c r="CX21" s="153"/>
      <c r="CY21" s="156"/>
      <c r="CZ21" s="156"/>
      <c r="DA21" s="128" t="s">
        <v>378</v>
      </c>
      <c r="DB21" s="123">
        <v>1025</v>
      </c>
      <c r="DC21" s="157" t="s">
        <v>325</v>
      </c>
      <c r="DD21" s="157" t="s">
        <v>313</v>
      </c>
      <c r="DE21" s="127"/>
      <c r="DF21" s="158"/>
      <c r="DG21" s="159">
        <f>AVERAGE(1.81,1.83)</f>
        <v>1.82</v>
      </c>
      <c r="DH21" s="160"/>
      <c r="DI21" s="122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V21" s="123"/>
      <c r="DW21" s="123"/>
      <c r="DX21" s="123"/>
      <c r="DY21" s="123"/>
      <c r="DZ21" s="123"/>
      <c r="EA21" s="123"/>
      <c r="EB21" s="123"/>
      <c r="EC21" s="123"/>
      <c r="ED21" s="161">
        <f t="shared" ref="ED21:ED23" si="152">SUM(DK21:EC21)</f>
        <v>0</v>
      </c>
      <c r="EE21" s="123"/>
      <c r="EF21" s="123">
        <v>65</v>
      </c>
      <c r="EG21" s="123"/>
      <c r="EH21" s="123"/>
      <c r="EI21" s="123"/>
      <c r="EJ21" s="123"/>
      <c r="EK21" s="123"/>
      <c r="EL21" s="123"/>
      <c r="EM21" s="123"/>
      <c r="EN21" s="123"/>
      <c r="EO21" s="122"/>
      <c r="EP21" s="123"/>
      <c r="EQ21" s="123"/>
      <c r="ER21" s="123"/>
      <c r="ES21" s="123"/>
      <c r="ET21" s="123"/>
      <c r="EU21" s="123">
        <v>5</v>
      </c>
      <c r="EV21" s="124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4"/>
      <c r="FK21" s="123"/>
      <c r="FL21" s="123"/>
      <c r="FM21" s="123"/>
      <c r="FN21" s="123"/>
      <c r="FO21" s="123"/>
      <c r="FP21" s="123"/>
      <c r="FQ21" s="123"/>
      <c r="FR21" s="123">
        <v>15</v>
      </c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8">
        <f t="shared" ref="GU21:GU23" si="153">SUM(EE21:GO21,GR21)</f>
        <v>85</v>
      </c>
      <c r="GV21" s="162">
        <f t="shared" ref="GV21:GV23" si="154">AN21-ED21-GU21</f>
        <v>110.00000000000011</v>
      </c>
      <c r="GW21" s="163">
        <f t="shared" ref="GW21:GW23" si="155">AN21-ED21-ER21-FN21</f>
        <v>195.00000000000011</v>
      </c>
      <c r="GX21" s="163">
        <f t="shared" ref="GX21:GX23" si="156">AN21-GU21</f>
        <v>110.00000000000011</v>
      </c>
      <c r="GY21" s="123"/>
      <c r="GZ21" s="123"/>
      <c r="HA21" s="123"/>
      <c r="HB21" s="123"/>
      <c r="HC21" s="128">
        <f t="shared" ref="HC21:HC23" si="157">SUM(GY21:HB21)</f>
        <v>0</v>
      </c>
      <c r="HD21" s="123" t="s">
        <v>431</v>
      </c>
      <c r="HE21" s="123" t="s">
        <v>381</v>
      </c>
      <c r="HF21" s="123" t="s">
        <v>289</v>
      </c>
      <c r="HG21" s="123" t="s">
        <v>289</v>
      </c>
      <c r="HH21" s="123" t="s">
        <v>289</v>
      </c>
      <c r="HI21" s="123" t="s">
        <v>289</v>
      </c>
      <c r="HJ21" s="123"/>
      <c r="HK21" s="123"/>
      <c r="HL21" s="127"/>
      <c r="HM21" s="127"/>
      <c r="HN21" s="127"/>
      <c r="HO21" s="127"/>
      <c r="HP21" s="127"/>
      <c r="HQ21" s="164">
        <f t="shared" ref="HQ21:HQ23" si="158">SUM(HL21:HP21)</f>
        <v>0</v>
      </c>
      <c r="HW21" s="164">
        <f t="shared" ref="HW21:HW23" si="159">SUM(HR21:HU21)</f>
        <v>0</v>
      </c>
      <c r="HX21">
        <v>1</v>
      </c>
      <c r="IB21">
        <v>3.7</v>
      </c>
      <c r="IE21">
        <v>1</v>
      </c>
      <c r="IF21">
        <v>1</v>
      </c>
      <c r="II21" s="164">
        <f t="shared" ref="II21:II23" si="160">SUM(HX21:IG21)</f>
        <v>6.7</v>
      </c>
      <c r="IV21" s="165">
        <f t="shared" ref="IV21:IV23" si="161">SUM(IJ21:IT21)</f>
        <v>0</v>
      </c>
      <c r="JF21" s="165">
        <f t="shared" ref="JF21:JF23" si="162">SUM(IW21:JD21)</f>
        <v>0</v>
      </c>
      <c r="JG21" s="148">
        <v>8</v>
      </c>
      <c r="JH21" s="148"/>
      <c r="JI21" s="148"/>
      <c r="JJ21" s="148"/>
      <c r="JK21" s="148"/>
    </row>
    <row r="22" spans="1:271" ht="16.5" customHeight="1" x14ac:dyDescent="0.35">
      <c r="A22" t="s">
        <v>439</v>
      </c>
      <c r="B22" s="117" t="s">
        <v>273</v>
      </c>
      <c r="C22" s="118">
        <v>46058</v>
      </c>
      <c r="D22" s="119" t="s">
        <v>291</v>
      </c>
      <c r="E22" s="120" t="s">
        <v>303</v>
      </c>
      <c r="F22" s="120" t="s">
        <v>293</v>
      </c>
      <c r="G22" s="121" t="s">
        <v>323</v>
      </c>
      <c r="H22" s="122"/>
      <c r="I22" s="123"/>
      <c r="J22" s="124"/>
      <c r="K22" s="2" t="s">
        <v>331</v>
      </c>
      <c r="L22" s="125"/>
      <c r="M22" s="126" t="s">
        <v>310</v>
      </c>
      <c r="N22" s="127" t="s">
        <v>324</v>
      </c>
      <c r="O22" s="10" t="s">
        <v>332</v>
      </c>
      <c r="P22" s="128" t="s">
        <v>282</v>
      </c>
      <c r="Q22" s="129"/>
      <c r="R22" s="130"/>
      <c r="S22" s="130"/>
      <c r="T22" s="131" t="str">
        <f t="shared" si="135"/>
        <v/>
      </c>
      <c r="U22" s="132">
        <v>3</v>
      </c>
      <c r="V22" s="133"/>
      <c r="W22" s="133"/>
      <c r="X22" s="134">
        <f>553+247+445+535+220+660</f>
        <v>2660</v>
      </c>
      <c r="Y22" s="134"/>
      <c r="Z22" s="134">
        <f>4586+2028+3630+4386+1786+5344</f>
        <v>21760</v>
      </c>
      <c r="AA22" s="134"/>
      <c r="AB22" s="135">
        <f>3+2+7+4</f>
        <v>16</v>
      </c>
      <c r="AC22" s="136">
        <f t="shared" si="136"/>
        <v>2676</v>
      </c>
      <c r="AD22" s="137">
        <f t="shared" si="137"/>
        <v>16</v>
      </c>
      <c r="AE22" s="138">
        <f t="shared" si="138"/>
        <v>0</v>
      </c>
      <c r="AF22" s="139">
        <f t="shared" si="139"/>
        <v>0</v>
      </c>
      <c r="AG22" s="123"/>
      <c r="AH22" s="122">
        <v>250</v>
      </c>
      <c r="AI22" s="122">
        <v>200</v>
      </c>
      <c r="AJ22" s="140" t="s">
        <v>289</v>
      </c>
      <c r="AK22" s="141">
        <v>0</v>
      </c>
      <c r="AL22" s="142">
        <v>0.80208333333333337</v>
      </c>
      <c r="AM22" s="142">
        <v>0.93055555555555558</v>
      </c>
      <c r="AN22" s="143">
        <f t="shared" si="140"/>
        <v>184.99999999999997</v>
      </c>
      <c r="AO22" s="123"/>
      <c r="AP22" s="123"/>
      <c r="AQ22" s="127"/>
      <c r="AR22" s="123"/>
      <c r="AS22" s="123" t="s">
        <v>375</v>
      </c>
      <c r="AT22" s="123" t="s">
        <v>341</v>
      </c>
      <c r="AU22" s="123"/>
      <c r="AV22" s="123"/>
      <c r="AW22" s="123"/>
      <c r="AX22" s="132"/>
      <c r="AY22" s="123"/>
      <c r="AZ22" s="123"/>
      <c r="BA22" s="144">
        <f t="shared" si="141"/>
        <v>0</v>
      </c>
      <c r="BB22" s="127"/>
      <c r="BC22" s="145"/>
      <c r="BD22" s="146"/>
      <c r="BH22" s="147"/>
      <c r="BK22" s="144">
        <f t="shared" si="142"/>
        <v>0</v>
      </c>
      <c r="BL22" t="s">
        <v>365</v>
      </c>
      <c r="BM22">
        <v>1033</v>
      </c>
      <c r="BN22">
        <f t="shared" si="143"/>
        <v>21</v>
      </c>
      <c r="BO22" s="147">
        <v>3</v>
      </c>
      <c r="BP22">
        <f>318+473+256</f>
        <v>1047</v>
      </c>
      <c r="BR22" s="144">
        <f t="shared" si="144"/>
        <v>1047</v>
      </c>
      <c r="BV22" s="147"/>
      <c r="BY22" s="144">
        <f t="shared" si="145"/>
        <v>0</v>
      </c>
      <c r="BZ22" s="148"/>
      <c r="CA22" s="149"/>
      <c r="CB22" s="150"/>
      <c r="CC22" t="s">
        <v>361</v>
      </c>
      <c r="CD22">
        <v>1033</v>
      </c>
      <c r="CE22">
        <f>75</f>
        <v>75</v>
      </c>
      <c r="CF22" s="147">
        <v>5</v>
      </c>
      <c r="CG22">
        <f>397.2+397.2+412.5+412.5+369.6</f>
        <v>1989</v>
      </c>
      <c r="CH22">
        <f>-322-66-14</f>
        <v>-402</v>
      </c>
      <c r="CI22" s="151">
        <f t="shared" si="146"/>
        <v>1587</v>
      </c>
      <c r="CJ22" s="148">
        <v>85527</v>
      </c>
      <c r="CK22" s="149">
        <v>4.9000000000000004</v>
      </c>
      <c r="CL22" s="150">
        <f t="shared" si="147"/>
        <v>7776.3</v>
      </c>
      <c r="CM22" t="s">
        <v>377</v>
      </c>
      <c r="CN22">
        <v>30</v>
      </c>
      <c r="CO22" s="152">
        <v>9.59436</v>
      </c>
      <c r="CP22" s="153">
        <f t="shared" si="148"/>
        <v>287.83080000000001</v>
      </c>
      <c r="CQ22" s="154">
        <f t="shared" si="149"/>
        <v>30</v>
      </c>
      <c r="CR22">
        <v>12</v>
      </c>
      <c r="CS22" s="155">
        <v>9.7414000000000005</v>
      </c>
      <c r="CT22" s="153">
        <f t="shared" si="150"/>
        <v>116.89680000000001</v>
      </c>
      <c r="CU22" s="154">
        <f t="shared" si="151"/>
        <v>12</v>
      </c>
      <c r="CV22"/>
      <c r="CX22" s="153"/>
      <c r="CY22" s="156">
        <v>5</v>
      </c>
      <c r="CZ22" s="156">
        <v>2</v>
      </c>
      <c r="DA22" s="128" t="s">
        <v>378</v>
      </c>
      <c r="DB22" s="123">
        <v>1025</v>
      </c>
      <c r="DC22" s="157" t="s">
        <v>325</v>
      </c>
      <c r="DD22" s="157" t="s">
        <v>313</v>
      </c>
      <c r="DE22" s="127"/>
      <c r="DF22" s="158"/>
      <c r="DG22" s="159">
        <f>AVERAGE(1.8,2,1.87,1.94)</f>
        <v>1.9024999999999999</v>
      </c>
      <c r="DH22" s="160"/>
      <c r="DI22" s="122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V22" s="123"/>
      <c r="DW22" s="123"/>
      <c r="DX22" s="123"/>
      <c r="DY22" s="123"/>
      <c r="DZ22" s="123"/>
      <c r="EA22" s="123"/>
      <c r="EB22" s="123"/>
      <c r="EC22" s="123"/>
      <c r="ED22" s="161">
        <f t="shared" si="152"/>
        <v>0</v>
      </c>
      <c r="EE22" s="123"/>
      <c r="EF22" s="123">
        <v>60</v>
      </c>
      <c r="EG22" s="123"/>
      <c r="EH22" s="123"/>
      <c r="EI22" s="123"/>
      <c r="EJ22" s="123"/>
      <c r="EK22" s="123"/>
      <c r="EL22" s="123"/>
      <c r="EM22" s="123"/>
      <c r="EN22" s="123"/>
      <c r="EO22" s="122"/>
      <c r="EP22" s="123"/>
      <c r="EQ22" s="123"/>
      <c r="ER22" s="123"/>
      <c r="ES22" s="123"/>
      <c r="ET22" s="123"/>
      <c r="EU22" s="123">
        <v>5</v>
      </c>
      <c r="EV22" s="124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4"/>
      <c r="FK22" s="123"/>
      <c r="FL22" s="123"/>
      <c r="FM22" s="123"/>
      <c r="FN22" s="123"/>
      <c r="FO22" s="123">
        <v>5</v>
      </c>
      <c r="FP22" s="123"/>
      <c r="FQ22" s="123"/>
      <c r="FR22" s="123">
        <v>10</v>
      </c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8">
        <f t="shared" si="153"/>
        <v>80</v>
      </c>
      <c r="GV22" s="162">
        <f t="shared" si="154"/>
        <v>104.99999999999997</v>
      </c>
      <c r="GW22" s="163">
        <f t="shared" si="155"/>
        <v>184.99999999999997</v>
      </c>
      <c r="GX22" s="163">
        <f t="shared" si="156"/>
        <v>104.99999999999997</v>
      </c>
      <c r="GY22" s="123"/>
      <c r="GZ22" s="123"/>
      <c r="HA22" s="123"/>
      <c r="HB22" s="123"/>
      <c r="HC22" s="128">
        <f t="shared" si="157"/>
        <v>0</v>
      </c>
      <c r="HD22" s="123" t="s">
        <v>383</v>
      </c>
      <c r="HE22" s="123" t="s">
        <v>384</v>
      </c>
      <c r="HF22" s="123" t="s">
        <v>289</v>
      </c>
      <c r="HG22" s="123" t="s">
        <v>289</v>
      </c>
      <c r="HH22" s="123" t="s">
        <v>289</v>
      </c>
      <c r="HI22" s="123" t="s">
        <v>374</v>
      </c>
      <c r="HJ22" s="123"/>
      <c r="HK22" s="123"/>
      <c r="HL22" s="127"/>
      <c r="HM22" s="127"/>
      <c r="HN22" s="127"/>
      <c r="HO22" s="127"/>
      <c r="HP22" s="127"/>
      <c r="HQ22" s="164">
        <f t="shared" si="158"/>
        <v>0</v>
      </c>
      <c r="HW22" s="164">
        <f t="shared" si="159"/>
        <v>0</v>
      </c>
      <c r="HX22">
        <v>3</v>
      </c>
      <c r="HZ22">
        <v>2</v>
      </c>
      <c r="IB22">
        <v>7</v>
      </c>
      <c r="IE22">
        <v>4</v>
      </c>
      <c r="II22" s="164">
        <f t="shared" si="160"/>
        <v>16</v>
      </c>
      <c r="IV22" s="165">
        <f t="shared" si="161"/>
        <v>0</v>
      </c>
      <c r="JF22" s="165">
        <f t="shared" si="162"/>
        <v>0</v>
      </c>
      <c r="JG22" s="148">
        <f>14-8</f>
        <v>6</v>
      </c>
      <c r="JH22" s="148"/>
      <c r="JI22" s="148"/>
      <c r="JJ22" s="148"/>
      <c r="JK22" s="148"/>
    </row>
    <row r="23" spans="1:271" ht="16.5" customHeight="1" x14ac:dyDescent="0.35">
      <c r="A23" t="s">
        <v>440</v>
      </c>
      <c r="B23" s="117" t="s">
        <v>273</v>
      </c>
      <c r="C23" s="118">
        <v>46058</v>
      </c>
      <c r="D23" s="119" t="s">
        <v>291</v>
      </c>
      <c r="E23" s="120" t="s">
        <v>303</v>
      </c>
      <c r="F23" s="120" t="s">
        <v>293</v>
      </c>
      <c r="G23" s="121" t="s">
        <v>323</v>
      </c>
      <c r="H23" s="122"/>
      <c r="I23" s="123"/>
      <c r="J23" s="124"/>
      <c r="K23" s="2" t="s">
        <v>334</v>
      </c>
      <c r="L23" s="125"/>
      <c r="M23" s="126" t="s">
        <v>310</v>
      </c>
      <c r="N23" s="127" t="s">
        <v>324</v>
      </c>
      <c r="O23" s="10" t="s">
        <v>335</v>
      </c>
      <c r="P23" s="128" t="s">
        <v>282</v>
      </c>
      <c r="Q23" s="129"/>
      <c r="R23" s="130"/>
      <c r="S23" s="130">
        <v>9063.4065208902866</v>
      </c>
      <c r="T23" s="131" t="str">
        <f t="shared" si="135"/>
        <v/>
      </c>
      <c r="U23" s="132">
        <v>1</v>
      </c>
      <c r="V23" s="133"/>
      <c r="W23" s="133"/>
      <c r="X23" s="134">
        <f>661+350</f>
        <v>1011</v>
      </c>
      <c r="Y23" s="134"/>
      <c r="Z23" s="134">
        <f>5431+2893</f>
        <v>8324</v>
      </c>
      <c r="AA23" s="134"/>
      <c r="AB23" s="135">
        <f>2.6+5+3</f>
        <v>10.6</v>
      </c>
      <c r="AC23" s="136">
        <f t="shared" si="136"/>
        <v>1021.6</v>
      </c>
      <c r="AD23" s="137">
        <f t="shared" si="137"/>
        <v>10.600000000000023</v>
      </c>
      <c r="AE23" s="138">
        <f t="shared" si="138"/>
        <v>2.3092638912203256E-14</v>
      </c>
      <c r="AF23" s="139">
        <f t="shared" si="139"/>
        <v>0</v>
      </c>
      <c r="AG23" s="123"/>
      <c r="AH23" s="122">
        <v>250</v>
      </c>
      <c r="AI23" s="122">
        <v>200</v>
      </c>
      <c r="AJ23" s="140">
        <v>0.18126813041780571</v>
      </c>
      <c r="AK23" s="141">
        <v>10.876087825068343</v>
      </c>
      <c r="AL23" s="142">
        <v>0.93055555555555558</v>
      </c>
      <c r="AM23" s="142">
        <v>0.97916666666666663</v>
      </c>
      <c r="AN23" s="143">
        <f t="shared" si="140"/>
        <v>69.999999999999915</v>
      </c>
      <c r="AO23" s="123"/>
      <c r="AP23" s="123"/>
      <c r="AQ23" s="127"/>
      <c r="AR23" s="123"/>
      <c r="AS23" s="123" t="s">
        <v>375</v>
      </c>
      <c r="AT23" s="123" t="s">
        <v>341</v>
      </c>
      <c r="AU23" s="123"/>
      <c r="AV23" s="123"/>
      <c r="AW23" s="123"/>
      <c r="AX23" s="132"/>
      <c r="AY23" s="123"/>
      <c r="AZ23" s="123"/>
      <c r="BA23" s="144">
        <f t="shared" si="141"/>
        <v>0</v>
      </c>
      <c r="BB23" s="127"/>
      <c r="BC23" s="145"/>
      <c r="BD23" s="146"/>
      <c r="BH23" s="147"/>
      <c r="BK23" s="144">
        <f t="shared" si="142"/>
        <v>0</v>
      </c>
      <c r="BL23" t="s">
        <v>365</v>
      </c>
      <c r="BM23">
        <v>1033</v>
      </c>
      <c r="BN23">
        <f t="shared" si="143"/>
        <v>21</v>
      </c>
      <c r="BO23" s="147">
        <v>2</v>
      </c>
      <c r="BP23">
        <f>269+142</f>
        <v>411</v>
      </c>
      <c r="BR23" s="144">
        <f t="shared" si="144"/>
        <v>411</v>
      </c>
      <c r="BV23" s="147"/>
      <c r="BY23" s="144">
        <f t="shared" si="145"/>
        <v>0</v>
      </c>
      <c r="BZ23" s="148"/>
      <c r="CA23" s="149"/>
      <c r="CB23" s="150"/>
      <c r="CC23" t="s">
        <v>361</v>
      </c>
      <c r="CD23">
        <v>1033</v>
      </c>
      <c r="CE23">
        <f>75</f>
        <v>75</v>
      </c>
      <c r="CF23" s="147">
        <v>1</v>
      </c>
      <c r="CG23">
        <f>322+412.6</f>
        <v>734.6</v>
      </c>
      <c r="CH23">
        <f>-142</f>
        <v>-142</v>
      </c>
      <c r="CI23" s="151">
        <f t="shared" si="146"/>
        <v>592.6</v>
      </c>
      <c r="CJ23" s="148">
        <v>85527</v>
      </c>
      <c r="CK23" s="149">
        <v>4.9000000000000004</v>
      </c>
      <c r="CL23" s="150">
        <f t="shared" si="147"/>
        <v>2903.7400000000002</v>
      </c>
      <c r="CM23" t="s">
        <v>377</v>
      </c>
      <c r="CN23">
        <v>12.85</v>
      </c>
      <c r="CO23" s="152">
        <v>9.59436</v>
      </c>
      <c r="CP23" s="153">
        <f t="shared" si="148"/>
        <v>123.287526</v>
      </c>
      <c r="CQ23" s="154">
        <f t="shared" si="149"/>
        <v>12.85</v>
      </c>
      <c r="CR23">
        <v>5.15</v>
      </c>
      <c r="CS23" s="155">
        <v>9.7414000000000005</v>
      </c>
      <c r="CT23" s="153">
        <f t="shared" si="150"/>
        <v>50.168210000000009</v>
      </c>
      <c r="CU23" s="154">
        <f t="shared" si="151"/>
        <v>5.15</v>
      </c>
      <c r="CV23"/>
      <c r="CX23" s="153"/>
      <c r="CY23" s="156">
        <v>5</v>
      </c>
      <c r="CZ23" s="156">
        <v>2</v>
      </c>
      <c r="DA23" s="128" t="s">
        <v>378</v>
      </c>
      <c r="DB23" s="123">
        <v>1025</v>
      </c>
      <c r="DC23" s="157" t="s">
        <v>325</v>
      </c>
      <c r="DD23" s="157" t="s">
        <v>313</v>
      </c>
      <c r="DE23" s="127"/>
      <c r="DF23" s="158"/>
      <c r="DG23" s="159">
        <f>AVERAGE(1.8,2,1.86,1.93)</f>
        <v>1.8975</v>
      </c>
      <c r="DH23" s="160"/>
      <c r="DI23" s="122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V23" s="123"/>
      <c r="DW23" s="123"/>
      <c r="DX23" s="123"/>
      <c r="DY23" s="123"/>
      <c r="DZ23" s="123"/>
      <c r="EA23" s="123"/>
      <c r="EB23" s="123"/>
      <c r="EC23" s="123"/>
      <c r="ED23" s="161">
        <f t="shared" si="152"/>
        <v>0</v>
      </c>
      <c r="EE23" s="123"/>
      <c r="EF23" s="123">
        <v>25</v>
      </c>
      <c r="EG23" s="123"/>
      <c r="EH23" s="123"/>
      <c r="EI23" s="123"/>
      <c r="EJ23" s="123"/>
      <c r="EK23" s="123"/>
      <c r="EL23" s="123"/>
      <c r="EM23" s="123"/>
      <c r="EN23" s="123"/>
      <c r="EO23" s="122"/>
      <c r="EP23" s="123"/>
      <c r="EQ23" s="123"/>
      <c r="ER23" s="123"/>
      <c r="ES23" s="123"/>
      <c r="ET23" s="123"/>
      <c r="EU23" s="123">
        <v>5</v>
      </c>
      <c r="EV23" s="124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4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8">
        <f t="shared" si="153"/>
        <v>30</v>
      </c>
      <c r="GV23" s="162">
        <f t="shared" si="154"/>
        <v>39.999999999999915</v>
      </c>
      <c r="GW23" s="163">
        <f t="shared" si="155"/>
        <v>69.999999999999915</v>
      </c>
      <c r="GX23" s="163">
        <f t="shared" si="156"/>
        <v>39.999999999999915</v>
      </c>
      <c r="GY23" s="123"/>
      <c r="GZ23" s="123"/>
      <c r="HA23" s="123"/>
      <c r="HB23" s="123"/>
      <c r="HC23" s="128">
        <f t="shared" si="157"/>
        <v>0</v>
      </c>
      <c r="HD23" s="123" t="s">
        <v>383</v>
      </c>
      <c r="HE23" s="123" t="s">
        <v>384</v>
      </c>
      <c r="HF23" s="123" t="s">
        <v>289</v>
      </c>
      <c r="HG23" s="123" t="s">
        <v>289</v>
      </c>
      <c r="HH23" s="123" t="s">
        <v>289</v>
      </c>
      <c r="HI23" s="123" t="s">
        <v>374</v>
      </c>
      <c r="HJ23" s="123"/>
      <c r="HK23" s="123"/>
      <c r="HL23" s="127"/>
      <c r="HM23" s="127"/>
      <c r="HN23" s="127"/>
      <c r="HO23" s="127"/>
      <c r="HP23" s="127"/>
      <c r="HQ23" s="164">
        <f t="shared" si="158"/>
        <v>0</v>
      </c>
      <c r="HW23" s="164">
        <f t="shared" si="159"/>
        <v>0</v>
      </c>
      <c r="HX23">
        <v>2.6</v>
      </c>
      <c r="IB23">
        <v>5</v>
      </c>
      <c r="IE23">
        <v>3</v>
      </c>
      <c r="II23" s="164">
        <f t="shared" si="160"/>
        <v>10.6</v>
      </c>
      <c r="IV23" s="165">
        <f t="shared" si="161"/>
        <v>0</v>
      </c>
      <c r="JF23" s="165">
        <f t="shared" si="162"/>
        <v>0</v>
      </c>
      <c r="JG23" s="148">
        <v>2</v>
      </c>
      <c r="JH23" s="148"/>
      <c r="JI23" s="148"/>
      <c r="JJ23" s="148"/>
      <c r="JK23" s="148"/>
    </row>
    <row r="24" spans="1:271" ht="16.5" customHeight="1" x14ac:dyDescent="0.35">
      <c r="A24" t="s">
        <v>441</v>
      </c>
      <c r="B24" s="117" t="s">
        <v>273</v>
      </c>
      <c r="C24" s="118">
        <v>46058</v>
      </c>
      <c r="D24" s="119" t="s">
        <v>291</v>
      </c>
      <c r="E24" s="120" t="s">
        <v>308</v>
      </c>
      <c r="F24" s="120" t="s">
        <v>300</v>
      </c>
      <c r="G24" s="121" t="s">
        <v>348</v>
      </c>
      <c r="H24" s="122">
        <v>1.19</v>
      </c>
      <c r="I24" s="123"/>
      <c r="J24" s="124"/>
      <c r="K24" s="2" t="s">
        <v>349</v>
      </c>
      <c r="L24" s="125"/>
      <c r="M24" s="126" t="s">
        <v>322</v>
      </c>
      <c r="N24" s="127" t="s">
        <v>350</v>
      </c>
      <c r="O24" s="10" t="s">
        <v>351</v>
      </c>
      <c r="P24" s="128"/>
      <c r="Q24" s="129"/>
      <c r="R24" s="130"/>
      <c r="S24" s="130"/>
      <c r="T24" s="131">
        <f t="shared" ref="T24" si="163">IF(H24*U24=0,"",H24*U24)</f>
        <v>4.76</v>
      </c>
      <c r="U24" s="132">
        <v>4</v>
      </c>
      <c r="V24" s="133"/>
      <c r="W24" s="133"/>
      <c r="X24" s="134">
        <f t="shared" ref="X24" si="164">Y24-T24</f>
        <v>92.3</v>
      </c>
      <c r="Y24" s="134">
        <f>25.1+21.84+24.12+26</f>
        <v>97.06</v>
      </c>
      <c r="Z24" s="134"/>
      <c r="AA24" s="134"/>
      <c r="AB24" s="135">
        <v>26.909999999999997</v>
      </c>
      <c r="AC24" s="136">
        <f t="shared" ref="AC24" si="165">BA24+AF24+BK24+BR24+BY24+CI24+CQ24+CU24</f>
        <v>119.21</v>
      </c>
      <c r="AD24" s="137">
        <f t="shared" ref="AD24:AD26" si="166">+AC24-X24</f>
        <v>26.909999999999997</v>
      </c>
      <c r="AE24" s="138">
        <f t="shared" ref="AE24:AE25" si="167">AD24-AB24</f>
        <v>0</v>
      </c>
      <c r="AF24" s="139">
        <f t="shared" ref="AF24" si="168">IFERROR(+(Z24*AV24*DF24)/10^6,0)</f>
        <v>0</v>
      </c>
      <c r="AG24" s="123"/>
      <c r="AH24" s="122"/>
      <c r="AI24" s="122" t="s">
        <v>426</v>
      </c>
      <c r="AJ24" s="140"/>
      <c r="AK24" s="141" t="s">
        <v>289</v>
      </c>
      <c r="AL24" s="142">
        <v>4.1666666666666664E-2</v>
      </c>
      <c r="AM24" s="142">
        <v>0.125</v>
      </c>
      <c r="AN24" s="143">
        <f t="shared" ref="AN24" si="169">IF(AM24&gt;AL24,((AM24-AL24)*1440),(1440+(AM24-AL24)*1440))</f>
        <v>120.00000000000001</v>
      </c>
      <c r="AO24" s="123"/>
      <c r="AP24" s="123"/>
      <c r="AQ24" s="127"/>
      <c r="AR24" s="123"/>
      <c r="AS24" s="123"/>
      <c r="AT24" s="123"/>
      <c r="AU24" s="123"/>
      <c r="AV24" s="123"/>
      <c r="AW24" s="123"/>
      <c r="AX24" s="132">
        <v>4</v>
      </c>
      <c r="AY24" s="123">
        <f>31.04+30.85+31.04+31.04-1.19*4</f>
        <v>119.21</v>
      </c>
      <c r="AZ24" s="123"/>
      <c r="BA24" s="144">
        <f t="shared" ref="BA24:BA26" si="170">SUM(AY24+AZ24)</f>
        <v>119.21</v>
      </c>
      <c r="BB24" s="127"/>
      <c r="BC24" s="145"/>
      <c r="BD24" s="146"/>
      <c r="BH24" s="147"/>
      <c r="BK24" s="144">
        <f t="shared" ref="BK24:BK26" si="171">SUM(BI24+BJ24)</f>
        <v>0</v>
      </c>
      <c r="BO24" s="147"/>
      <c r="BR24" s="144">
        <f t="shared" ref="BR24:BR26" si="172">SUM(BP24+BQ24)</f>
        <v>0</v>
      </c>
      <c r="BV24" s="147"/>
      <c r="BY24" s="144">
        <f t="shared" ref="BY24:BY26" si="173">SUM(BW24+BX24)</f>
        <v>0</v>
      </c>
      <c r="BZ24" s="148"/>
      <c r="CA24" s="149"/>
      <c r="CB24" s="150"/>
      <c r="CF24" s="147"/>
      <c r="CI24" s="151">
        <f t="shared" ref="CI24:CI26" si="174">SUM(CG24+CH24)</f>
        <v>0</v>
      </c>
      <c r="CJ24" s="148"/>
      <c r="CK24" s="149"/>
      <c r="CL24" s="150"/>
      <c r="CM24"/>
      <c r="CN24"/>
      <c r="CO24" s="152"/>
      <c r="CP24" s="153"/>
      <c r="CQ24" s="154">
        <f t="shared" ref="CQ24:CQ26" si="175">IF(CM24="811 A",CN24/1.667,IF(CM24="MB635",CN24/1.33,IF(CM24="MB655",CN24/1.43,IF(CM24="LG 59A",CN24/1.667,IF(CM24="HB 6680",CN24/1.25,IF(CM24="MB688",CN24/1.25,CN24))))))</f>
        <v>0</v>
      </c>
      <c r="CR24"/>
      <c r="CS24" s="155"/>
      <c r="CT24" s="153"/>
      <c r="CU24" s="154">
        <f t="shared" ref="CU24:CU26" si="176">IF(CM24="811 A",CR24/1.33,IF(CM24="HB 6680",CR24/1.33,IF(CM24="MB688",CR24/1.333,CR24)))</f>
        <v>0</v>
      </c>
      <c r="CV24"/>
      <c r="CX24" s="153"/>
      <c r="CY24" s="156"/>
      <c r="CZ24" s="156"/>
      <c r="DA24" s="128"/>
      <c r="DB24" s="123"/>
      <c r="DC24" s="157" t="s">
        <v>354</v>
      </c>
      <c r="DD24" s="157" t="s">
        <v>294</v>
      </c>
      <c r="DE24" s="127"/>
      <c r="DF24" s="158"/>
      <c r="DG24" s="159"/>
      <c r="DH24" s="160"/>
      <c r="DI24" s="122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V24" s="123"/>
      <c r="DW24" s="123"/>
      <c r="DX24" s="123"/>
      <c r="DY24" s="123"/>
      <c r="DZ24" s="123"/>
      <c r="EA24" s="123"/>
      <c r="EB24" s="123"/>
      <c r="EC24" s="123"/>
      <c r="ED24" s="161">
        <f t="shared" ref="ED24" si="177">SUM(DK24:EC24)</f>
        <v>0</v>
      </c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2"/>
      <c r="EP24" s="123"/>
      <c r="EQ24" s="123"/>
      <c r="ER24" s="123"/>
      <c r="ES24" s="123"/>
      <c r="ET24" s="123"/>
      <c r="EU24" s="123"/>
      <c r="EV24" s="124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4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8">
        <f t="shared" ref="GU24" si="178">SUM(EE24:GO24,GR24)</f>
        <v>0</v>
      </c>
      <c r="GV24" s="162">
        <f t="shared" ref="GV24" si="179">AN24-ED24-GU24</f>
        <v>120.00000000000001</v>
      </c>
      <c r="GW24" s="163">
        <f t="shared" ref="GW24" si="180">AN24-ED24-ER24-FN24</f>
        <v>120.00000000000001</v>
      </c>
      <c r="GX24" s="163">
        <f t="shared" ref="GX24" si="181">AN24-GU24</f>
        <v>120.00000000000001</v>
      </c>
      <c r="GY24" s="123"/>
      <c r="GZ24" s="123"/>
      <c r="HA24" s="123"/>
      <c r="HB24" s="123"/>
      <c r="HC24" s="128">
        <f t="shared" ref="HC24" si="182">SUM(GY24:HB24)</f>
        <v>0</v>
      </c>
      <c r="HD24" s="123" t="s">
        <v>289</v>
      </c>
      <c r="HE24" s="123" t="s">
        <v>289</v>
      </c>
      <c r="HF24" s="123" t="s">
        <v>289</v>
      </c>
      <c r="HG24" s="123" t="s">
        <v>289</v>
      </c>
      <c r="HH24" s="123" t="s">
        <v>289</v>
      </c>
      <c r="HI24" s="123" t="s">
        <v>289</v>
      </c>
      <c r="HJ24" s="123"/>
      <c r="HK24" s="123"/>
      <c r="HL24" s="127"/>
      <c r="HM24" s="127"/>
      <c r="HN24" s="127"/>
      <c r="HO24" s="127"/>
      <c r="HP24" s="127"/>
      <c r="HQ24" s="164">
        <f t="shared" ref="HQ24" si="183">SUM(HL24:HP24)</f>
        <v>0</v>
      </c>
      <c r="HW24" s="164">
        <f t="shared" ref="HW24" si="184">SUM(HR24:HU24)</f>
        <v>0</v>
      </c>
      <c r="II24" s="164">
        <f t="shared" ref="II24" si="185">SUM(HX24:IG24)</f>
        <v>0</v>
      </c>
      <c r="IV24" s="165">
        <f t="shared" ref="IV24" si="186">SUM(IJ24:IT24)</f>
        <v>0</v>
      </c>
      <c r="JF24" s="165">
        <f t="shared" ref="JF24" si="187">SUM(IW24:JD24)</f>
        <v>0</v>
      </c>
      <c r="JG24" s="148"/>
      <c r="JH24" s="148"/>
      <c r="JI24" s="148"/>
      <c r="JJ24" s="148"/>
      <c r="JK24" s="148"/>
    </row>
    <row r="25" spans="1:271" ht="16.5" customHeight="1" x14ac:dyDescent="0.35">
      <c r="A25" t="s">
        <v>442</v>
      </c>
      <c r="B25" s="117" t="s">
        <v>273</v>
      </c>
      <c r="C25" s="118">
        <v>46058</v>
      </c>
      <c r="D25" s="119" t="s">
        <v>274</v>
      </c>
      <c r="E25" s="120" t="s">
        <v>309</v>
      </c>
      <c r="F25" s="120" t="s">
        <v>27</v>
      </c>
      <c r="G25" s="121" t="s">
        <v>277</v>
      </c>
      <c r="H25" s="122"/>
      <c r="I25" s="123"/>
      <c r="J25" s="124"/>
      <c r="K25" s="2" t="s">
        <v>278</v>
      </c>
      <c r="L25" s="125"/>
      <c r="M25" s="126" t="s">
        <v>279</v>
      </c>
      <c r="N25" s="127" t="s">
        <v>280</v>
      </c>
      <c r="O25" s="10" t="s">
        <v>281</v>
      </c>
      <c r="P25" s="128" t="s">
        <v>389</v>
      </c>
      <c r="Q25" s="129"/>
      <c r="R25" s="130"/>
      <c r="S25" s="130"/>
      <c r="T25" s="131"/>
      <c r="U25" s="132">
        <f>24</f>
        <v>24</v>
      </c>
      <c r="V25" s="133" t="s">
        <v>405</v>
      </c>
      <c r="W25" s="133">
        <v>16.799999999999997</v>
      </c>
      <c r="X25" s="134">
        <v>472.8</v>
      </c>
      <c r="Y25" s="134">
        <v>489.6</v>
      </c>
      <c r="Z25" s="134"/>
      <c r="AA25" s="134">
        <v>13200</v>
      </c>
      <c r="AB25" s="135">
        <f>15+2+22+7+4+10+3</f>
        <v>63</v>
      </c>
      <c r="AC25" s="136">
        <f t="shared" ref="AC25:AC26" si="188">BA25+AF25+BK25+BR25+BY25+CI25+CQ25+CU25</f>
        <v>535.79999999999995</v>
      </c>
      <c r="AD25" s="137">
        <f t="shared" si="166"/>
        <v>62.999999999999943</v>
      </c>
      <c r="AE25" s="138">
        <f t="shared" si="167"/>
        <v>-5.6843418860808015E-14</v>
      </c>
      <c r="AF25" s="139">
        <f t="shared" ref="AF25:AF26" si="189">IFERROR(+(Z25*AV25*DF25)/10^6,0)</f>
        <v>0</v>
      </c>
      <c r="AG25" s="123"/>
      <c r="AH25" s="122"/>
      <c r="AI25" s="122">
        <v>24</v>
      </c>
      <c r="AJ25" s="140"/>
      <c r="AK25" s="141" t="s">
        <v>289</v>
      </c>
      <c r="AL25" s="142">
        <v>0.34375</v>
      </c>
      <c r="AM25" s="142">
        <v>0.80208333333333337</v>
      </c>
      <c r="AN25" s="143">
        <f t="shared" ref="AN25:AN26" si="190">IF(AM25&gt;AL25,((AM25-AL25)*1440),(1440+(AM25-AL25)*1440))</f>
        <v>660</v>
      </c>
      <c r="AO25" s="123"/>
      <c r="AP25" s="123"/>
      <c r="AQ25" s="127"/>
      <c r="AR25" s="123"/>
      <c r="AS25" s="123"/>
      <c r="AT25" s="123" t="s">
        <v>390</v>
      </c>
      <c r="AU25" s="123" t="s">
        <v>436</v>
      </c>
      <c r="AV25" s="123" t="s">
        <v>437</v>
      </c>
      <c r="AW25" s="123">
        <f>90</f>
        <v>90</v>
      </c>
      <c r="AX25" s="132">
        <v>1</v>
      </c>
      <c r="AY25" s="123">
        <f>556+223</f>
        <v>779</v>
      </c>
      <c r="AZ25" s="123">
        <f>-243.2</f>
        <v>-243.2</v>
      </c>
      <c r="BA25" s="144">
        <f t="shared" si="170"/>
        <v>535.79999999999995</v>
      </c>
      <c r="BB25" s="127"/>
      <c r="BC25" s="145"/>
      <c r="BD25" s="146"/>
      <c r="BH25" s="147"/>
      <c r="BK25" s="144">
        <f t="shared" si="171"/>
        <v>0</v>
      </c>
      <c r="BO25" s="147"/>
      <c r="BR25" s="144">
        <f t="shared" si="172"/>
        <v>0</v>
      </c>
      <c r="BS25" t="s">
        <v>289</v>
      </c>
      <c r="BV25" s="147"/>
      <c r="BY25" s="144">
        <f t="shared" si="173"/>
        <v>0</v>
      </c>
      <c r="BZ25" s="148"/>
      <c r="CA25" s="149"/>
      <c r="CB25" s="150"/>
      <c r="CC25" t="s">
        <v>289</v>
      </c>
      <c r="CF25" s="147"/>
      <c r="CI25" s="151">
        <f t="shared" si="174"/>
        <v>0</v>
      </c>
      <c r="CJ25" s="148"/>
      <c r="CK25" s="149"/>
      <c r="CL25" s="150"/>
      <c r="CM25"/>
      <c r="CN25"/>
      <c r="CO25" s="152"/>
      <c r="CP25" s="153"/>
      <c r="CQ25" s="154">
        <f t="shared" si="175"/>
        <v>0</v>
      </c>
      <c r="CR25"/>
      <c r="CS25" s="155"/>
      <c r="CT25" s="153"/>
      <c r="CU25" s="154">
        <f t="shared" si="176"/>
        <v>0</v>
      </c>
      <c r="CV25"/>
      <c r="CX25" s="153"/>
      <c r="CY25" s="156"/>
      <c r="CZ25" s="156"/>
      <c r="DA25" s="128"/>
      <c r="DB25" s="123"/>
      <c r="DC25" s="157" t="s">
        <v>285</v>
      </c>
      <c r="DD25" s="157" t="s">
        <v>286</v>
      </c>
      <c r="DE25" s="127"/>
      <c r="DF25" s="158"/>
      <c r="DG25" s="159"/>
      <c r="DH25" s="160"/>
      <c r="DI25" s="122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V25" s="123"/>
      <c r="DW25" s="123"/>
      <c r="DX25" s="123"/>
      <c r="DY25" s="123"/>
      <c r="DZ25" s="123"/>
      <c r="EA25" s="123"/>
      <c r="EB25" s="123"/>
      <c r="EC25" s="123"/>
      <c r="ED25" s="161">
        <f t="shared" ref="ED25:ED26" si="191">SUM(DK25:EC25)</f>
        <v>0</v>
      </c>
      <c r="EE25" s="123"/>
      <c r="EF25" s="123">
        <v>20</v>
      </c>
      <c r="EG25" s="123"/>
      <c r="EH25" s="123"/>
      <c r="EI25" s="123"/>
      <c r="EJ25" s="123"/>
      <c r="EK25" s="123"/>
      <c r="EL25" s="123"/>
      <c r="EM25" s="123"/>
      <c r="EN25" s="123"/>
      <c r="EO25" s="122"/>
      <c r="EP25" s="123"/>
      <c r="EQ25" s="123"/>
      <c r="ER25" s="123"/>
      <c r="ES25" s="123"/>
      <c r="ET25" s="123"/>
      <c r="EU25" s="123"/>
      <c r="EV25" s="124"/>
      <c r="EW25" s="123"/>
      <c r="EX25" s="123"/>
      <c r="EY25" s="123"/>
      <c r="EZ25" s="123"/>
      <c r="FA25" s="123"/>
      <c r="FB25" s="123">
        <f>15+30</f>
        <v>45</v>
      </c>
      <c r="FC25" s="123"/>
      <c r="FD25" s="123"/>
      <c r="FE25" s="123"/>
      <c r="FF25" s="123"/>
      <c r="FG25" s="123"/>
      <c r="FH25" s="123"/>
      <c r="FI25" s="123"/>
      <c r="FJ25" s="124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>
        <v>100</v>
      </c>
      <c r="GS25" s="123" t="s">
        <v>443</v>
      </c>
      <c r="GT25" s="123"/>
      <c r="GU25" s="128">
        <f t="shared" ref="GU25:GU26" si="192">SUM(EE25:GO25,GR25)</f>
        <v>165</v>
      </c>
      <c r="GV25" s="162">
        <f t="shared" ref="GV25:GV26" si="193">AN25-ED25-GU25</f>
        <v>495</v>
      </c>
      <c r="GW25" s="163">
        <f t="shared" ref="GW25:GW26" si="194">AN25-ED25-ER25-FN25</f>
        <v>660</v>
      </c>
      <c r="GX25" s="163">
        <f t="shared" ref="GX25:GX26" si="195">AN25-GU25</f>
        <v>495</v>
      </c>
      <c r="GY25" s="123"/>
      <c r="GZ25" s="123"/>
      <c r="HA25" s="123"/>
      <c r="HB25" s="123"/>
      <c r="HC25" s="128">
        <f t="shared" ref="HC25:HC26" si="196">SUM(GY25:HB25)</f>
        <v>0</v>
      </c>
      <c r="HD25" s="123" t="s">
        <v>408</v>
      </c>
      <c r="HE25" s="123" t="s">
        <v>409</v>
      </c>
      <c r="HF25" s="123" t="s">
        <v>289</v>
      </c>
      <c r="HG25" s="123" t="s">
        <v>289</v>
      </c>
      <c r="HH25" s="123" t="s">
        <v>289</v>
      </c>
      <c r="HI25" s="123" t="s">
        <v>404</v>
      </c>
      <c r="HJ25" s="123"/>
      <c r="HK25" s="123"/>
      <c r="HL25" s="127"/>
      <c r="HM25" s="127"/>
      <c r="HN25" s="127"/>
      <c r="HO25" s="127"/>
      <c r="HP25" s="127"/>
      <c r="HQ25" s="164">
        <f t="shared" ref="HQ25:HQ26" si="197">SUM(HL25:HP25)</f>
        <v>0</v>
      </c>
      <c r="HW25" s="164">
        <f t="shared" ref="HW25:HW26" si="198">SUM(HR25:HU25)</f>
        <v>0</v>
      </c>
      <c r="II25" s="164">
        <f t="shared" ref="II25:II26" si="199">SUM(HX25:IG25)</f>
        <v>0</v>
      </c>
      <c r="IV25" s="165">
        <f t="shared" ref="IV25:IV26" si="200">SUM(IJ25:IT25)</f>
        <v>0</v>
      </c>
      <c r="IW25">
        <v>15</v>
      </c>
      <c r="IX25">
        <v>22</v>
      </c>
      <c r="IY25">
        <v>10</v>
      </c>
      <c r="JA25">
        <v>7</v>
      </c>
      <c r="JB25">
        <f>4+3</f>
        <v>7</v>
      </c>
      <c r="JC25">
        <v>2</v>
      </c>
      <c r="JF25" s="165">
        <f t="shared" ref="JF25:JF26" si="201">SUM(IW25:JD25)</f>
        <v>63</v>
      </c>
      <c r="JG25" s="148"/>
      <c r="JH25" s="148"/>
      <c r="JI25" s="148"/>
      <c r="JJ25" s="148">
        <v>18</v>
      </c>
      <c r="JK25" s="148" t="s">
        <v>407</v>
      </c>
    </row>
    <row r="26" spans="1:271" ht="16.5" customHeight="1" x14ac:dyDescent="0.35">
      <c r="A26" t="s">
        <v>444</v>
      </c>
      <c r="B26" s="117" t="s">
        <v>273</v>
      </c>
      <c r="C26" s="118">
        <v>46058</v>
      </c>
      <c r="D26" s="119" t="s">
        <v>291</v>
      </c>
      <c r="E26" s="120" t="s">
        <v>309</v>
      </c>
      <c r="F26" s="120" t="s">
        <v>27</v>
      </c>
      <c r="G26" s="121" t="s">
        <v>277</v>
      </c>
      <c r="H26" s="122"/>
      <c r="I26" s="123"/>
      <c r="J26" s="124"/>
      <c r="K26" s="2" t="s">
        <v>278</v>
      </c>
      <c r="L26" s="125"/>
      <c r="M26" s="126" t="s">
        <v>279</v>
      </c>
      <c r="N26" s="127" t="s">
        <v>280</v>
      </c>
      <c r="O26" s="10" t="s">
        <v>281</v>
      </c>
      <c r="P26" s="128" t="s">
        <v>389</v>
      </c>
      <c r="Q26" s="129"/>
      <c r="R26" s="130"/>
      <c r="S26" s="130"/>
      <c r="T26" s="131"/>
      <c r="U26" s="132">
        <f>51-24</f>
        <v>27</v>
      </c>
      <c r="V26" s="133" t="s">
        <v>405</v>
      </c>
      <c r="W26" s="133">
        <v>18.899999999999999</v>
      </c>
      <c r="X26" s="134">
        <v>531.9</v>
      </c>
      <c r="Y26" s="134">
        <v>550.79999999999995</v>
      </c>
      <c r="Z26" s="134"/>
      <c r="AA26" s="134">
        <v>14850</v>
      </c>
      <c r="AB26" s="135">
        <f>4+6+5+20+10</f>
        <v>45</v>
      </c>
      <c r="AC26" s="136">
        <f t="shared" si="188"/>
        <v>576.90000000000009</v>
      </c>
      <c r="AD26" s="137">
        <f t="shared" si="166"/>
        <v>45.000000000000114</v>
      </c>
      <c r="AE26" s="138">
        <f>AD26-AB26</f>
        <v>1.1368683772161603E-13</v>
      </c>
      <c r="AF26" s="139">
        <f t="shared" si="189"/>
        <v>0</v>
      </c>
      <c r="AG26" s="123"/>
      <c r="AH26" s="122"/>
      <c r="AI26" s="122">
        <v>24</v>
      </c>
      <c r="AJ26" s="140"/>
      <c r="AK26" s="141" t="s">
        <v>289</v>
      </c>
      <c r="AL26" s="142">
        <v>0.80208333333333337</v>
      </c>
      <c r="AM26" s="142">
        <v>0.30208333333333331</v>
      </c>
      <c r="AN26" s="143">
        <f t="shared" si="190"/>
        <v>720</v>
      </c>
      <c r="AO26" s="123"/>
      <c r="AP26" s="123"/>
      <c r="AQ26" s="127"/>
      <c r="AR26" s="123"/>
      <c r="AS26" s="123"/>
      <c r="AT26" s="123" t="s">
        <v>390</v>
      </c>
      <c r="AU26" s="123" t="s">
        <v>436</v>
      </c>
      <c r="AV26" s="123" t="s">
        <v>437</v>
      </c>
      <c r="AW26" s="123">
        <f>90</f>
        <v>90</v>
      </c>
      <c r="AX26" s="132">
        <v>2</v>
      </c>
      <c r="AY26" s="123">
        <f>243.2+564</f>
        <v>807.2</v>
      </c>
      <c r="AZ26" s="123">
        <v>-230.3</v>
      </c>
      <c r="BA26" s="144">
        <f t="shared" si="170"/>
        <v>576.90000000000009</v>
      </c>
      <c r="BB26" s="127"/>
      <c r="BC26" s="145"/>
      <c r="BD26" s="146"/>
      <c r="BH26" s="147"/>
      <c r="BK26" s="144">
        <f t="shared" si="171"/>
        <v>0</v>
      </c>
      <c r="BO26" s="147"/>
      <c r="BR26" s="144">
        <f t="shared" si="172"/>
        <v>0</v>
      </c>
      <c r="BS26" t="s">
        <v>289</v>
      </c>
      <c r="BV26" s="147"/>
      <c r="BY26" s="144">
        <f t="shared" si="173"/>
        <v>0</v>
      </c>
      <c r="BZ26" s="148"/>
      <c r="CA26" s="149"/>
      <c r="CB26" s="150"/>
      <c r="CC26" t="s">
        <v>289</v>
      </c>
      <c r="CF26" s="147"/>
      <c r="CI26" s="151">
        <f t="shared" si="174"/>
        <v>0</v>
      </c>
      <c r="CJ26" s="148"/>
      <c r="CK26" s="149"/>
      <c r="CL26" s="150"/>
      <c r="CM26"/>
      <c r="CN26"/>
      <c r="CO26" s="152"/>
      <c r="CP26" s="153"/>
      <c r="CQ26" s="154">
        <f t="shared" si="175"/>
        <v>0</v>
      </c>
      <c r="CR26"/>
      <c r="CS26" s="155"/>
      <c r="CT26" s="153"/>
      <c r="CU26" s="154">
        <f t="shared" si="176"/>
        <v>0</v>
      </c>
      <c r="CV26"/>
      <c r="CX26" s="153"/>
      <c r="CY26" s="156"/>
      <c r="CZ26" s="156"/>
      <c r="DA26" s="128"/>
      <c r="DB26" s="123"/>
      <c r="DC26" s="157" t="s">
        <v>285</v>
      </c>
      <c r="DD26" s="157" t="s">
        <v>286</v>
      </c>
      <c r="DE26" s="127"/>
      <c r="DF26" s="158"/>
      <c r="DG26" s="159"/>
      <c r="DH26" s="160"/>
      <c r="DI26" s="122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V26" s="123"/>
      <c r="DW26" s="123"/>
      <c r="DX26" s="123"/>
      <c r="DY26" s="123"/>
      <c r="DZ26" s="123"/>
      <c r="EA26" s="123"/>
      <c r="EB26" s="123"/>
      <c r="EC26" s="123"/>
      <c r="ED26" s="161">
        <f t="shared" si="191"/>
        <v>0</v>
      </c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2"/>
      <c r="EP26" s="123"/>
      <c r="EQ26" s="123"/>
      <c r="ER26" s="123"/>
      <c r="ES26" s="123"/>
      <c r="ET26" s="123"/>
      <c r="EU26" s="123"/>
      <c r="EV26" s="124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4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8">
        <f t="shared" si="192"/>
        <v>0</v>
      </c>
      <c r="GV26" s="162">
        <f t="shared" si="193"/>
        <v>720</v>
      </c>
      <c r="GW26" s="163">
        <f t="shared" si="194"/>
        <v>720</v>
      </c>
      <c r="GX26" s="163">
        <f t="shared" si="195"/>
        <v>720</v>
      </c>
      <c r="GY26" s="123"/>
      <c r="GZ26" s="123"/>
      <c r="HA26" s="123"/>
      <c r="HB26" s="123"/>
      <c r="HC26" s="128">
        <f t="shared" si="196"/>
        <v>0</v>
      </c>
      <c r="HD26" s="123" t="s">
        <v>289</v>
      </c>
      <c r="HE26" s="123" t="s">
        <v>289</v>
      </c>
      <c r="HF26" s="123" t="s">
        <v>289</v>
      </c>
      <c r="HG26" s="123" t="s">
        <v>289</v>
      </c>
      <c r="HH26" s="123" t="s">
        <v>289</v>
      </c>
      <c r="HI26" s="123" t="s">
        <v>289</v>
      </c>
      <c r="HJ26" s="123"/>
      <c r="HK26" s="123"/>
      <c r="HL26" s="127"/>
      <c r="HM26" s="127"/>
      <c r="HN26" s="127"/>
      <c r="HO26" s="127"/>
      <c r="HP26" s="127"/>
      <c r="HQ26" s="164">
        <f t="shared" si="197"/>
        <v>0</v>
      </c>
      <c r="HW26" s="164">
        <f t="shared" si="198"/>
        <v>0</v>
      </c>
      <c r="II26" s="164">
        <f t="shared" si="199"/>
        <v>0</v>
      </c>
      <c r="IV26" s="165">
        <f t="shared" si="200"/>
        <v>0</v>
      </c>
      <c r="JF26" s="165">
        <f t="shared" si="201"/>
        <v>0</v>
      </c>
      <c r="JG26" s="148"/>
      <c r="JH26" s="148"/>
      <c r="JI26" s="148"/>
      <c r="JJ26" s="148">
        <v>18</v>
      </c>
      <c r="JK26" s="148" t="s">
        <v>407</v>
      </c>
    </row>
    <row r="27" spans="1:271" ht="16.5" customHeight="1" x14ac:dyDescent="0.35">
      <c r="A27" t="s">
        <v>451</v>
      </c>
      <c r="B27" s="117" t="s">
        <v>273</v>
      </c>
      <c r="C27" s="118">
        <v>46059</v>
      </c>
      <c r="D27" s="119" t="s">
        <v>274</v>
      </c>
      <c r="E27" s="120" t="s">
        <v>309</v>
      </c>
      <c r="F27" s="120" t="s">
        <v>27</v>
      </c>
      <c r="G27" s="121" t="s">
        <v>277</v>
      </c>
      <c r="H27" s="122"/>
      <c r="I27" s="123"/>
      <c r="J27" s="124"/>
      <c r="K27" s="2" t="s">
        <v>278</v>
      </c>
      <c r="L27" s="125"/>
      <c r="M27" s="126" t="s">
        <v>279</v>
      </c>
      <c r="N27" s="127" t="s">
        <v>280</v>
      </c>
      <c r="O27" s="10" t="s">
        <v>281</v>
      </c>
      <c r="P27" s="128" t="s">
        <v>389</v>
      </c>
      <c r="Q27" s="129"/>
      <c r="R27" s="130"/>
      <c r="S27" s="130"/>
      <c r="T27" s="131" t="str">
        <f t="shared" ref="T27:T30" si="202">IF(H27*U27=0,"",H27*U27)</f>
        <v/>
      </c>
      <c r="U27" s="132">
        <f>83-51</f>
        <v>32</v>
      </c>
      <c r="V27" s="133" t="s">
        <v>405</v>
      </c>
      <c r="W27" s="133">
        <v>22.4</v>
      </c>
      <c r="X27" s="134">
        <v>630</v>
      </c>
      <c r="Y27" s="134">
        <v>652.79999999999995</v>
      </c>
      <c r="Z27" s="134"/>
      <c r="AA27" s="134">
        <v>17600</v>
      </c>
      <c r="AB27" s="135">
        <f>25+7+2+6+4+11</f>
        <v>55</v>
      </c>
      <c r="AC27" s="136">
        <f t="shared" ref="AC27:AC30" si="203">BA27+AF27+BK27+BR27+BY27+CI27+CQ27+CU27</f>
        <v>685.4</v>
      </c>
      <c r="AD27" s="137">
        <f t="shared" ref="AD27:AD28" si="204">+AC27-X27</f>
        <v>55.399999999999977</v>
      </c>
      <c r="AE27" s="138">
        <f t="shared" ref="AE27:AE30" si="205">AD27-AB27</f>
        <v>0.39999999999997726</v>
      </c>
      <c r="AF27" s="139">
        <f t="shared" ref="AF27:AF30" si="206">IFERROR(+(Z27*AV27*DF27)/10^6,0)</f>
        <v>0</v>
      </c>
      <c r="AG27" s="123"/>
      <c r="AH27" s="122"/>
      <c r="AI27" s="122">
        <v>24</v>
      </c>
      <c r="AJ27" s="140"/>
      <c r="AK27" s="141" t="s">
        <v>289</v>
      </c>
      <c r="AL27" s="142">
        <v>0.30208333333333331</v>
      </c>
      <c r="AM27" s="142">
        <v>0.80208333333333337</v>
      </c>
      <c r="AN27" s="143">
        <f t="shared" ref="AN27:AN30" si="207">IF(AM27&gt;AL27,((AM27-AL27)*1440),(1440+(AM27-AL27)*1440))</f>
        <v>720</v>
      </c>
      <c r="AO27" s="123"/>
      <c r="AP27" s="123"/>
      <c r="AQ27" s="127"/>
      <c r="AR27" s="123"/>
      <c r="AS27" s="123"/>
      <c r="AT27" s="123" t="s">
        <v>390</v>
      </c>
      <c r="AU27" s="123" t="s">
        <v>436</v>
      </c>
      <c r="AV27" s="123" t="s">
        <v>437</v>
      </c>
      <c r="AW27" s="123">
        <v>100</v>
      </c>
      <c r="AX27" s="132">
        <v>1</v>
      </c>
      <c r="AY27" s="123">
        <f>231+538</f>
        <v>769</v>
      </c>
      <c r="AZ27" s="123">
        <v>-83.6</v>
      </c>
      <c r="BA27" s="144">
        <f t="shared" ref="BA27:BA28" si="208">SUM(AY27+AZ27)</f>
        <v>685.4</v>
      </c>
      <c r="BB27" s="127"/>
      <c r="BC27" s="145"/>
      <c r="BD27" s="146"/>
      <c r="BH27" s="147"/>
      <c r="BK27" s="144">
        <f t="shared" ref="BK27:BK28" si="209">SUM(BI27+BJ27)</f>
        <v>0</v>
      </c>
      <c r="BO27" s="147"/>
      <c r="BR27" s="144">
        <f t="shared" ref="BR27:BR28" si="210">SUM(BP27+BQ27)</f>
        <v>0</v>
      </c>
      <c r="BV27" s="147"/>
      <c r="BY27" s="144">
        <f t="shared" ref="BY27:BY28" si="211">SUM(BW27+BX27)</f>
        <v>0</v>
      </c>
      <c r="BZ27" s="148"/>
      <c r="CA27" s="149"/>
      <c r="CB27" s="150"/>
      <c r="CF27" s="147"/>
      <c r="CI27" s="151">
        <f t="shared" ref="CI27:CI28" si="212">SUM(CG27+CH27)</f>
        <v>0</v>
      </c>
      <c r="CJ27" s="148"/>
      <c r="CK27" s="149"/>
      <c r="CL27" s="150"/>
      <c r="CM27"/>
      <c r="CN27"/>
      <c r="CO27" s="152"/>
      <c r="CP27" s="153"/>
      <c r="CQ27" s="154">
        <f t="shared" ref="CQ27:CQ28" si="213">IF(CM27="811 A",CN27/1.667,IF(CM27="MB635",CN27/1.33,IF(CM27="MB655",CN27/1.43,IF(CM27="LG 59A",CN27/1.667,IF(CM27="HB 6680",CN27/1.25,IF(CM27="MB688",CN27/1.25,CN27))))))</f>
        <v>0</v>
      </c>
      <c r="CR27"/>
      <c r="CS27" s="155"/>
      <c r="CT27" s="153"/>
      <c r="CU27" s="154">
        <f t="shared" ref="CU27:CU28" si="214">IF(CM27="811 A",CR27/1.33,IF(CM27="HB 6680",CR27/1.33,IF(CM27="MB688",CR27/1.333,CR27)))</f>
        <v>0</v>
      </c>
      <c r="CV27"/>
      <c r="CX27" s="153"/>
      <c r="CY27" s="156"/>
      <c r="CZ27" s="156"/>
      <c r="DA27" s="128"/>
      <c r="DB27" s="123"/>
      <c r="DC27" s="157" t="s">
        <v>285</v>
      </c>
      <c r="DD27" s="157" t="s">
        <v>286</v>
      </c>
      <c r="DE27" s="127"/>
      <c r="DF27" s="158"/>
      <c r="DG27" s="159"/>
      <c r="DH27" s="160"/>
      <c r="DI27" s="122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V27" s="123"/>
      <c r="DW27" s="123"/>
      <c r="DX27" s="123"/>
      <c r="DY27" s="123"/>
      <c r="DZ27" s="123"/>
      <c r="EA27" s="123"/>
      <c r="EB27" s="123"/>
      <c r="EC27" s="123"/>
      <c r="ED27" s="161">
        <f t="shared" ref="ED27:ED30" si="215">SUM(DK27:EC27)</f>
        <v>0</v>
      </c>
      <c r="EE27" s="123"/>
      <c r="EF27" s="123">
        <v>20</v>
      </c>
      <c r="EG27" s="123"/>
      <c r="EH27" s="123"/>
      <c r="EI27" s="123"/>
      <c r="EJ27" s="123"/>
      <c r="EK27" s="123"/>
      <c r="EL27" s="123"/>
      <c r="EM27" s="123"/>
      <c r="EN27" s="123"/>
      <c r="EO27" s="122"/>
      <c r="EP27" s="123"/>
      <c r="EQ27" s="123"/>
      <c r="ER27" s="123"/>
      <c r="ES27" s="123"/>
      <c r="ET27" s="123"/>
      <c r="EU27" s="123"/>
      <c r="EV27" s="124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4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>
        <f>15+30</f>
        <v>45</v>
      </c>
      <c r="GS27" s="123" t="s">
        <v>452</v>
      </c>
      <c r="GT27" s="123"/>
      <c r="GU27" s="128">
        <f t="shared" ref="GU27:GU30" si="216">SUM(EE27:GO27,GR27)</f>
        <v>65</v>
      </c>
      <c r="GV27" s="162">
        <f t="shared" ref="GV27:GV30" si="217">AN27-ED27-GU27</f>
        <v>655</v>
      </c>
      <c r="GW27" s="163">
        <f t="shared" ref="GW27:GW30" si="218">AN27-ED27-ER27-FN27</f>
        <v>720</v>
      </c>
      <c r="GX27" s="163">
        <f t="shared" ref="GX27:GX30" si="219">AN27-GU27</f>
        <v>655</v>
      </c>
      <c r="GY27" s="123"/>
      <c r="GZ27" s="123"/>
      <c r="HA27" s="123"/>
      <c r="HB27" s="123"/>
      <c r="HC27" s="128">
        <f t="shared" ref="HC27:HC30" si="220">SUM(GY27:HB27)</f>
        <v>0</v>
      </c>
      <c r="HD27" s="123" t="s">
        <v>408</v>
      </c>
      <c r="HE27" s="123" t="s">
        <v>406</v>
      </c>
      <c r="HF27" s="123" t="s">
        <v>289</v>
      </c>
      <c r="HG27" s="123" t="s">
        <v>289</v>
      </c>
      <c r="HH27" s="123" t="s">
        <v>289</v>
      </c>
      <c r="HI27" s="123" t="s">
        <v>289</v>
      </c>
      <c r="HJ27" s="123"/>
      <c r="HK27" s="123"/>
      <c r="HL27" s="127"/>
      <c r="HM27" s="127"/>
      <c r="HN27" s="127"/>
      <c r="HO27" s="127"/>
      <c r="HP27" s="127"/>
      <c r="HQ27" s="164">
        <f t="shared" ref="HQ27:HQ30" si="221">SUM(HL27:HP27)</f>
        <v>0</v>
      </c>
      <c r="HW27" s="164">
        <f t="shared" ref="HW27:HW30" si="222">SUM(HR27:HU27)</f>
        <v>0</v>
      </c>
      <c r="II27" s="164">
        <f t="shared" ref="II27:II30" si="223">SUM(HX27:IG27)</f>
        <v>0</v>
      </c>
      <c r="IV27" s="165">
        <f t="shared" ref="IV27:IV30" si="224">SUM(IJ27:IT27)</f>
        <v>0</v>
      </c>
      <c r="IW27">
        <v>2</v>
      </c>
      <c r="IX27">
        <v>25</v>
      </c>
      <c r="IY27">
        <v>11</v>
      </c>
      <c r="IZ27">
        <v>6</v>
      </c>
      <c r="JA27">
        <v>7</v>
      </c>
      <c r="JB27">
        <v>4</v>
      </c>
      <c r="JF27" s="165">
        <f t="shared" ref="JF27:JF30" si="225">SUM(IW27:JD27)</f>
        <v>55</v>
      </c>
      <c r="JG27" s="148"/>
      <c r="JH27" s="148"/>
      <c r="JI27" s="148"/>
      <c r="JJ27" s="148">
        <v>18</v>
      </c>
      <c r="JK27" s="148" t="s">
        <v>407</v>
      </c>
    </row>
    <row r="28" spans="1:271" ht="16.5" customHeight="1" x14ac:dyDescent="0.35">
      <c r="A28" t="s">
        <v>453</v>
      </c>
      <c r="B28" s="117" t="s">
        <v>273</v>
      </c>
      <c r="C28" s="118">
        <v>46059</v>
      </c>
      <c r="D28" s="119" t="s">
        <v>291</v>
      </c>
      <c r="E28" s="120" t="s">
        <v>309</v>
      </c>
      <c r="F28" s="120" t="s">
        <v>27</v>
      </c>
      <c r="G28" s="121" t="s">
        <v>277</v>
      </c>
      <c r="H28" s="122"/>
      <c r="I28" s="123"/>
      <c r="J28" s="124"/>
      <c r="K28" s="2" t="s">
        <v>278</v>
      </c>
      <c r="L28" s="125"/>
      <c r="M28" s="126" t="s">
        <v>279</v>
      </c>
      <c r="N28" s="127" t="s">
        <v>280</v>
      </c>
      <c r="O28" s="10" t="s">
        <v>281</v>
      </c>
      <c r="P28" s="128" t="s">
        <v>389</v>
      </c>
      <c r="Q28" s="129"/>
      <c r="R28" s="130"/>
      <c r="S28" s="130"/>
      <c r="T28" s="131" t="str">
        <f t="shared" si="202"/>
        <v/>
      </c>
      <c r="U28" s="132">
        <f>117-83</f>
        <v>34</v>
      </c>
      <c r="V28" s="133" t="s">
        <v>405</v>
      </c>
      <c r="W28" s="133">
        <v>23.799999999999997</v>
      </c>
      <c r="X28" s="134">
        <v>669.8</v>
      </c>
      <c r="Y28" s="134">
        <v>693.6</v>
      </c>
      <c r="Z28" s="134"/>
      <c r="AA28" s="134">
        <v>18700</v>
      </c>
      <c r="AB28" s="135">
        <f>4+4+27+10+3+12</f>
        <v>60</v>
      </c>
      <c r="AC28" s="136">
        <f t="shared" si="203"/>
        <v>729.6</v>
      </c>
      <c r="AD28" s="137">
        <f t="shared" si="204"/>
        <v>59.800000000000068</v>
      </c>
      <c r="AE28" s="138">
        <f t="shared" si="205"/>
        <v>-0.19999999999993179</v>
      </c>
      <c r="AF28" s="139">
        <f t="shared" si="206"/>
        <v>0</v>
      </c>
      <c r="AG28" s="123"/>
      <c r="AH28" s="122"/>
      <c r="AI28" s="122">
        <v>24</v>
      </c>
      <c r="AJ28" s="140"/>
      <c r="AK28" s="141" t="s">
        <v>289</v>
      </c>
      <c r="AL28" s="142">
        <v>0.80208333333333337</v>
      </c>
      <c r="AM28" s="142">
        <v>0.30208333333333331</v>
      </c>
      <c r="AN28" s="143">
        <f t="shared" si="207"/>
        <v>720</v>
      </c>
      <c r="AO28" s="123"/>
      <c r="AP28" s="123"/>
      <c r="AQ28" s="127"/>
      <c r="AR28" s="123"/>
      <c r="AS28" s="123"/>
      <c r="AT28" s="123" t="s">
        <v>390</v>
      </c>
      <c r="AU28" s="123" t="s">
        <v>436</v>
      </c>
      <c r="AV28" s="123" t="s">
        <v>437</v>
      </c>
      <c r="AW28" s="123">
        <v>90</v>
      </c>
      <c r="AX28" s="132">
        <v>2</v>
      </c>
      <c r="AY28" s="123">
        <f>83.6+535+247</f>
        <v>865.6</v>
      </c>
      <c r="AZ28" s="123">
        <v>-136</v>
      </c>
      <c r="BA28" s="144">
        <f t="shared" si="208"/>
        <v>729.6</v>
      </c>
      <c r="BB28" s="127"/>
      <c r="BC28" s="145"/>
      <c r="BD28" s="146"/>
      <c r="BH28" s="147"/>
      <c r="BK28" s="144">
        <f t="shared" si="209"/>
        <v>0</v>
      </c>
      <c r="BO28" s="147"/>
      <c r="BR28" s="144">
        <f t="shared" si="210"/>
        <v>0</v>
      </c>
      <c r="BV28" s="147"/>
      <c r="BY28" s="144">
        <f t="shared" si="211"/>
        <v>0</v>
      </c>
      <c r="BZ28" s="148"/>
      <c r="CA28" s="149"/>
      <c r="CB28" s="150"/>
      <c r="CF28" s="147"/>
      <c r="CI28" s="151">
        <f t="shared" si="212"/>
        <v>0</v>
      </c>
      <c r="CJ28" s="148"/>
      <c r="CK28" s="149"/>
      <c r="CL28" s="150"/>
      <c r="CM28"/>
      <c r="CN28"/>
      <c r="CO28" s="152"/>
      <c r="CP28" s="153"/>
      <c r="CQ28" s="154">
        <f t="shared" si="213"/>
        <v>0</v>
      </c>
      <c r="CR28"/>
      <c r="CS28" s="155"/>
      <c r="CT28" s="153"/>
      <c r="CU28" s="154">
        <f t="shared" si="214"/>
        <v>0</v>
      </c>
      <c r="CV28"/>
      <c r="CX28" s="153"/>
      <c r="CY28" s="156"/>
      <c r="CZ28" s="156"/>
      <c r="DA28" s="128"/>
      <c r="DB28" s="123"/>
      <c r="DC28" s="157" t="s">
        <v>285</v>
      </c>
      <c r="DD28" s="157" t="s">
        <v>286</v>
      </c>
      <c r="DE28" s="127"/>
      <c r="DF28" s="158"/>
      <c r="DG28" s="159"/>
      <c r="DH28" s="160"/>
      <c r="DI28" s="122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V28" s="123"/>
      <c r="DW28" s="123"/>
      <c r="DX28" s="123"/>
      <c r="DY28" s="123"/>
      <c r="DZ28" s="123"/>
      <c r="EA28" s="123"/>
      <c r="EB28" s="123"/>
      <c r="EC28" s="123"/>
      <c r="ED28" s="161">
        <f t="shared" si="215"/>
        <v>0</v>
      </c>
      <c r="EE28" s="123"/>
      <c r="EF28" s="123">
        <v>15</v>
      </c>
      <c r="EG28" s="123"/>
      <c r="EH28" s="123"/>
      <c r="EI28" s="123"/>
      <c r="EJ28" s="123"/>
      <c r="EK28" s="123"/>
      <c r="EL28" s="123"/>
      <c r="EM28" s="123"/>
      <c r="EN28" s="123"/>
      <c r="EO28" s="122"/>
      <c r="EP28" s="123"/>
      <c r="EQ28" s="123"/>
      <c r="ER28" s="123"/>
      <c r="ES28" s="123"/>
      <c r="ET28" s="123"/>
      <c r="EU28" s="123"/>
      <c r="EV28" s="124"/>
      <c r="EW28" s="123"/>
      <c r="EX28" s="123"/>
      <c r="EY28" s="123"/>
      <c r="EZ28" s="123"/>
      <c r="FA28" s="123"/>
      <c r="FB28" s="123">
        <f>30+10</f>
        <v>40</v>
      </c>
      <c r="FC28" s="123"/>
      <c r="FD28" s="123"/>
      <c r="FE28" s="123"/>
      <c r="FF28" s="123"/>
      <c r="FG28" s="123"/>
      <c r="FH28" s="123"/>
      <c r="FI28" s="123"/>
      <c r="FJ28" s="124"/>
      <c r="FK28" s="123"/>
      <c r="FL28" s="123"/>
      <c r="FM28" s="123"/>
      <c r="FN28" s="123"/>
      <c r="FO28" s="123"/>
      <c r="FP28" s="123"/>
      <c r="FQ28" s="123"/>
      <c r="FR28" s="123"/>
      <c r="FS28" s="123"/>
      <c r="FT28" s="123"/>
      <c r="FU28" s="123"/>
      <c r="FV28" s="123"/>
      <c r="FW28" s="123"/>
      <c r="FX28" s="123"/>
      <c r="FY28" s="123"/>
      <c r="FZ28" s="123"/>
      <c r="GA28" s="123"/>
      <c r="GB28" s="123"/>
      <c r="GC28" s="123"/>
      <c r="GD28" s="123"/>
      <c r="GE28" s="123"/>
      <c r="GF28" s="123"/>
      <c r="GG28" s="123"/>
      <c r="GH28" s="123"/>
      <c r="GI28" s="123"/>
      <c r="GJ28" s="123"/>
      <c r="GK28" s="123"/>
      <c r="GL28" s="123"/>
      <c r="GM28" s="123"/>
      <c r="GN28" s="123"/>
      <c r="GO28" s="123"/>
      <c r="GP28" s="123"/>
      <c r="GQ28" s="123"/>
      <c r="GR28" s="123"/>
      <c r="GS28" s="123"/>
      <c r="GT28" s="123"/>
      <c r="GU28" s="128">
        <f t="shared" si="216"/>
        <v>55</v>
      </c>
      <c r="GV28" s="162">
        <f t="shared" si="217"/>
        <v>665</v>
      </c>
      <c r="GW28" s="163">
        <f t="shared" si="218"/>
        <v>720</v>
      </c>
      <c r="GX28" s="163">
        <f t="shared" si="219"/>
        <v>665</v>
      </c>
      <c r="GY28" s="123"/>
      <c r="GZ28" s="123"/>
      <c r="HA28" s="123"/>
      <c r="HB28" s="123"/>
      <c r="HC28" s="128">
        <f t="shared" si="220"/>
        <v>0</v>
      </c>
      <c r="HD28" s="123" t="s">
        <v>410</v>
      </c>
      <c r="HE28" s="123" t="s">
        <v>427</v>
      </c>
      <c r="HF28" s="123" t="s">
        <v>289</v>
      </c>
      <c r="HG28" s="123" t="s">
        <v>289</v>
      </c>
      <c r="HH28" s="123" t="s">
        <v>289</v>
      </c>
      <c r="HI28" s="123" t="s">
        <v>289</v>
      </c>
      <c r="HJ28" s="123"/>
      <c r="HK28" s="123"/>
      <c r="HL28" s="127"/>
      <c r="HM28" s="127"/>
      <c r="HN28" s="127"/>
      <c r="HO28" s="127"/>
      <c r="HP28" s="127"/>
      <c r="HQ28" s="164">
        <f t="shared" si="221"/>
        <v>0</v>
      </c>
      <c r="HW28" s="164">
        <f t="shared" si="222"/>
        <v>0</v>
      </c>
      <c r="II28" s="164">
        <f t="shared" si="223"/>
        <v>0</v>
      </c>
      <c r="IV28" s="165">
        <f t="shared" si="224"/>
        <v>0</v>
      </c>
      <c r="IW28">
        <v>4</v>
      </c>
      <c r="IX28">
        <v>27</v>
      </c>
      <c r="IY28">
        <v>12</v>
      </c>
      <c r="IZ28">
        <v>4</v>
      </c>
      <c r="JA28">
        <v>10</v>
      </c>
      <c r="JB28">
        <v>3</v>
      </c>
      <c r="JF28" s="165">
        <f t="shared" si="225"/>
        <v>60</v>
      </c>
      <c r="JG28" s="148"/>
      <c r="JH28" s="148"/>
      <c r="JI28" s="148"/>
      <c r="JJ28" s="148">
        <v>18</v>
      </c>
      <c r="JK28" s="148" t="s">
        <v>407</v>
      </c>
    </row>
    <row r="29" spans="1:271" ht="16.5" customHeight="1" x14ac:dyDescent="0.35">
      <c r="A29" t="s">
        <v>454</v>
      </c>
      <c r="B29" s="117" t="s">
        <v>273</v>
      </c>
      <c r="C29" s="118">
        <v>46060</v>
      </c>
      <c r="D29" s="119" t="s">
        <v>274</v>
      </c>
      <c r="E29" s="120" t="s">
        <v>295</v>
      </c>
      <c r="F29" s="120" t="s">
        <v>296</v>
      </c>
      <c r="G29" s="121" t="s">
        <v>445</v>
      </c>
      <c r="H29" s="122"/>
      <c r="I29" s="123"/>
      <c r="J29" s="124"/>
      <c r="K29" s="2" t="s">
        <v>455</v>
      </c>
      <c r="L29" s="125"/>
      <c r="M29" s="126" t="s">
        <v>321</v>
      </c>
      <c r="N29" s="127" t="s">
        <v>446</v>
      </c>
      <c r="O29" s="10" t="s">
        <v>447</v>
      </c>
      <c r="P29" s="128" t="s">
        <v>282</v>
      </c>
      <c r="Q29" s="129"/>
      <c r="R29" s="130"/>
      <c r="S29" s="130"/>
      <c r="T29" s="131" t="str">
        <f t="shared" si="202"/>
        <v/>
      </c>
      <c r="U29" s="132">
        <v>2</v>
      </c>
      <c r="V29" s="133"/>
      <c r="W29" s="133"/>
      <c r="X29" s="134">
        <f>315+451</f>
        <v>766</v>
      </c>
      <c r="Y29" s="134"/>
      <c r="Z29" s="134">
        <f>14000+20000</f>
        <v>34000</v>
      </c>
      <c r="AA29" s="134"/>
      <c r="AB29" s="135">
        <f>8</f>
        <v>8</v>
      </c>
      <c r="AC29" s="136">
        <f t="shared" si="203"/>
        <v>772.09343999999999</v>
      </c>
      <c r="AD29" s="137">
        <f t="shared" ref="AD29:AD30" si="226">+AC29-X29</f>
        <v>6.0934399999999869</v>
      </c>
      <c r="AE29" s="138">
        <f t="shared" si="205"/>
        <v>-1.9065600000000131</v>
      </c>
      <c r="AF29" s="139">
        <f t="shared" si="206"/>
        <v>52.093440000000001</v>
      </c>
      <c r="AG29" s="123"/>
      <c r="AH29" s="122"/>
      <c r="AI29" s="122">
        <v>333</v>
      </c>
      <c r="AJ29" s="140"/>
      <c r="AK29" s="141"/>
      <c r="AL29" s="142">
        <v>0.69791666666666663</v>
      </c>
      <c r="AM29" s="142">
        <v>0.80208333333333337</v>
      </c>
      <c r="AN29" s="143">
        <f t="shared" si="207"/>
        <v>150.00000000000011</v>
      </c>
      <c r="AO29" s="123"/>
      <c r="AP29" s="123"/>
      <c r="AQ29" s="127"/>
      <c r="AR29" s="123"/>
      <c r="AS29" s="123"/>
      <c r="AT29" s="123" t="s">
        <v>293</v>
      </c>
      <c r="AU29" s="123" t="s">
        <v>311</v>
      </c>
      <c r="AV29" s="123">
        <v>1197</v>
      </c>
      <c r="AW29" s="123">
        <v>12</v>
      </c>
      <c r="AX29" s="132">
        <v>3</v>
      </c>
      <c r="AY29" s="123">
        <f>40+486.2+486.8</f>
        <v>1013</v>
      </c>
      <c r="AZ29" s="123">
        <f>-293</f>
        <v>-293</v>
      </c>
      <c r="BA29" s="144">
        <f t="shared" ref="BA29:BA30" si="227">SUM(AY29+AZ29)</f>
        <v>720</v>
      </c>
      <c r="BB29" s="127">
        <v>85547</v>
      </c>
      <c r="BC29" s="145">
        <v>4.22</v>
      </c>
      <c r="BD29" s="146">
        <f t="shared" ref="BD29:BD30" si="228">+BA29*BC29</f>
        <v>3038.3999999999996</v>
      </c>
      <c r="BH29" s="147"/>
      <c r="BK29" s="144">
        <f t="shared" ref="BK29:BK30" si="229">SUM(BI29+BJ29)</f>
        <v>0</v>
      </c>
      <c r="BO29" s="147"/>
      <c r="BR29" s="144">
        <f t="shared" ref="BR29:BR30" si="230">SUM(BP29+BQ29)</f>
        <v>0</v>
      </c>
      <c r="BV29" s="147"/>
      <c r="BY29" s="144">
        <f t="shared" ref="BY29:BY30" si="231">SUM(BW29+BX29)</f>
        <v>0</v>
      </c>
      <c r="BZ29" s="148"/>
      <c r="CA29" s="149"/>
      <c r="CB29" s="150"/>
      <c r="CF29" s="147"/>
      <c r="CI29" s="151">
        <f t="shared" ref="CI29:CI30" si="232">SUM(CG29+CH29)</f>
        <v>0</v>
      </c>
      <c r="CJ29" s="148"/>
      <c r="CK29" s="149"/>
      <c r="CL29" s="150"/>
      <c r="CM29"/>
      <c r="CN29"/>
      <c r="CO29" s="152"/>
      <c r="CP29" s="153"/>
      <c r="CQ29" s="154">
        <f t="shared" ref="CQ29:CQ30" si="233">IF(CM29="811 A",CN29/1.667,IF(CM29="MB635",CN29/1.33,IF(CM29="MB655",CN29/1.43,IF(CM29="LG 59A",CN29/1.667,IF(CM29="HB 6680",CN29/1.25,IF(CM29="MB688",CN29/1.25,CN29))))))</f>
        <v>0</v>
      </c>
      <c r="CR29"/>
      <c r="CS29" s="155"/>
      <c r="CT29" s="153"/>
      <c r="CU29" s="154">
        <f t="shared" ref="CU29:CU30" si="234">IF(CM29="811 A",CR29/1.33,IF(CM29="HB 6680",CR29/1.33,IF(CM29="MB688",CR29/1.333,CR29)))</f>
        <v>0</v>
      </c>
      <c r="CV29"/>
      <c r="CX29" s="153"/>
      <c r="CY29" s="156"/>
      <c r="CZ29" s="156"/>
      <c r="DA29" s="128"/>
      <c r="DB29" s="123"/>
      <c r="DC29" s="157" t="s">
        <v>448</v>
      </c>
      <c r="DD29" s="157" t="s">
        <v>313</v>
      </c>
      <c r="DE29" s="127">
        <v>8</v>
      </c>
      <c r="DF29" s="158">
        <f>AVERAGE(1.28)</f>
        <v>1.28</v>
      </c>
      <c r="DG29" s="159"/>
      <c r="DH29" s="160"/>
      <c r="DI29" s="122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V29" s="123"/>
      <c r="DW29" s="123"/>
      <c r="DX29" s="123"/>
      <c r="DY29" s="123"/>
      <c r="DZ29" s="123"/>
      <c r="EA29" s="123"/>
      <c r="EB29" s="123"/>
      <c r="EC29" s="123"/>
      <c r="ED29" s="161">
        <f t="shared" si="215"/>
        <v>0</v>
      </c>
      <c r="EE29" s="123"/>
      <c r="EF29" s="123"/>
      <c r="EG29" s="123"/>
      <c r="EH29" s="123"/>
      <c r="EI29" s="123"/>
      <c r="EJ29" s="123"/>
      <c r="EK29" s="123"/>
      <c r="EL29" s="123">
        <v>5</v>
      </c>
      <c r="EM29" s="123"/>
      <c r="EN29" s="123"/>
      <c r="EO29" s="122"/>
      <c r="EP29" s="123">
        <v>10</v>
      </c>
      <c r="EQ29" s="123"/>
      <c r="ER29" s="123"/>
      <c r="ES29" s="123"/>
      <c r="ET29" s="123"/>
      <c r="EU29" s="123"/>
      <c r="EV29" s="124"/>
      <c r="EW29" s="123"/>
      <c r="EX29" s="123"/>
      <c r="EY29" s="123"/>
      <c r="EZ29" s="123"/>
      <c r="FA29" s="123"/>
      <c r="FB29" s="123"/>
      <c r="FC29" s="123"/>
      <c r="FD29" s="123"/>
      <c r="FE29" s="123"/>
      <c r="FF29" s="123"/>
      <c r="FG29" s="123"/>
      <c r="FH29" s="123"/>
      <c r="FI29" s="123"/>
      <c r="FJ29" s="124"/>
      <c r="FK29" s="123"/>
      <c r="FL29" s="123"/>
      <c r="FM29" s="123"/>
      <c r="FN29" s="123"/>
      <c r="FO29" s="123"/>
      <c r="FP29" s="123"/>
      <c r="FQ29" s="123"/>
      <c r="FR29" s="123"/>
      <c r="FS29" s="123"/>
      <c r="FT29" s="123"/>
      <c r="FU29" s="123"/>
      <c r="FV29" s="123"/>
      <c r="FW29" s="123"/>
      <c r="FX29" s="123"/>
      <c r="FY29" s="123"/>
      <c r="FZ29" s="123"/>
      <c r="GA29" s="123"/>
      <c r="GB29" s="123"/>
      <c r="GC29" s="123">
        <v>20</v>
      </c>
      <c r="GD29" s="123"/>
      <c r="GE29" s="123"/>
      <c r="GF29" s="123"/>
      <c r="GG29" s="123"/>
      <c r="GH29" s="123"/>
      <c r="GI29" s="123"/>
      <c r="GJ29" s="123"/>
      <c r="GK29" s="123"/>
      <c r="GL29" s="123"/>
      <c r="GM29" s="123"/>
      <c r="GN29" s="123"/>
      <c r="GO29" s="123"/>
      <c r="GP29" s="123"/>
      <c r="GQ29" s="123"/>
      <c r="GR29" s="123"/>
      <c r="GS29" s="123"/>
      <c r="GT29" s="123"/>
      <c r="GU29" s="128">
        <f t="shared" si="216"/>
        <v>35</v>
      </c>
      <c r="GV29" s="162">
        <f t="shared" si="217"/>
        <v>115.00000000000011</v>
      </c>
      <c r="GW29" s="163">
        <f t="shared" si="218"/>
        <v>150.00000000000011</v>
      </c>
      <c r="GX29" s="163">
        <f t="shared" si="219"/>
        <v>115.00000000000011</v>
      </c>
      <c r="GY29" s="123">
        <v>0</v>
      </c>
      <c r="GZ29" s="123">
        <v>0</v>
      </c>
      <c r="HA29" s="123">
        <v>0</v>
      </c>
      <c r="HB29" s="123">
        <v>0</v>
      </c>
      <c r="HC29" s="128">
        <f t="shared" si="220"/>
        <v>0</v>
      </c>
      <c r="HD29" s="123" t="s">
        <v>314</v>
      </c>
      <c r="HE29" s="123" t="s">
        <v>315</v>
      </c>
      <c r="HF29" s="123" t="s">
        <v>316</v>
      </c>
      <c r="HG29" s="123" t="s">
        <v>411</v>
      </c>
      <c r="HH29" s="123" t="s">
        <v>289</v>
      </c>
      <c r="HI29" s="123" t="s">
        <v>289</v>
      </c>
      <c r="HJ29" s="123"/>
      <c r="HK29" s="123"/>
      <c r="HL29" s="127"/>
      <c r="HM29" s="127"/>
      <c r="HN29" s="127"/>
      <c r="HO29" s="127"/>
      <c r="HP29" s="127"/>
      <c r="HQ29" s="164">
        <f t="shared" si="221"/>
        <v>0</v>
      </c>
      <c r="HW29" s="164">
        <f t="shared" si="222"/>
        <v>0</v>
      </c>
      <c r="II29" s="164">
        <f t="shared" si="223"/>
        <v>0</v>
      </c>
      <c r="IV29" s="165">
        <f t="shared" si="224"/>
        <v>0</v>
      </c>
      <c r="JF29" s="165">
        <f t="shared" si="225"/>
        <v>0</v>
      </c>
      <c r="JG29" s="148">
        <f>1+1</f>
        <v>2</v>
      </c>
      <c r="JH29" s="148" t="s">
        <v>320</v>
      </c>
      <c r="JI29" s="148"/>
      <c r="JJ29" s="148"/>
      <c r="JK29" s="148"/>
    </row>
    <row r="30" spans="1:271" ht="16.5" customHeight="1" x14ac:dyDescent="0.35">
      <c r="A30" t="s">
        <v>456</v>
      </c>
      <c r="B30" s="117" t="s">
        <v>273</v>
      </c>
      <c r="C30" s="118">
        <v>46060</v>
      </c>
      <c r="D30" s="119" t="s">
        <v>291</v>
      </c>
      <c r="E30" s="120" t="s">
        <v>295</v>
      </c>
      <c r="F30" s="120" t="s">
        <v>296</v>
      </c>
      <c r="G30" s="121" t="s">
        <v>445</v>
      </c>
      <c r="H30" s="122"/>
      <c r="I30" s="123"/>
      <c r="J30" s="124"/>
      <c r="K30" s="2" t="s">
        <v>455</v>
      </c>
      <c r="L30" s="125"/>
      <c r="M30" s="126" t="s">
        <v>321</v>
      </c>
      <c r="N30" s="127" t="s">
        <v>446</v>
      </c>
      <c r="O30" s="10" t="s">
        <v>447</v>
      </c>
      <c r="P30" s="128" t="s">
        <v>282</v>
      </c>
      <c r="Q30" s="129"/>
      <c r="R30" s="130"/>
      <c r="S30" s="130"/>
      <c r="T30" s="131" t="str">
        <f t="shared" si="202"/>
        <v/>
      </c>
      <c r="U30" s="132">
        <v>12</v>
      </c>
      <c r="V30" s="133"/>
      <c r="W30" s="133"/>
      <c r="X30" s="134">
        <f>329+521+518+60+431+530+511+533+161+368+524+207</f>
        <v>4693</v>
      </c>
      <c r="Y30" s="134"/>
      <c r="Z30" s="134">
        <f>14600+23500+23900+2500+19600+24000+22800+24000+7200+16400+23400+9100</f>
        <v>211000</v>
      </c>
      <c r="AA30" s="134"/>
      <c r="AB30" s="135">
        <f>20</f>
        <v>20</v>
      </c>
      <c r="AC30" s="136">
        <f t="shared" si="203"/>
        <v>4709.6371000000008</v>
      </c>
      <c r="AD30" s="137">
        <f t="shared" si="226"/>
        <v>16.637100000000828</v>
      </c>
      <c r="AE30" s="138">
        <f t="shared" si="205"/>
        <v>-3.362899999999172</v>
      </c>
      <c r="AF30" s="139">
        <f t="shared" si="206"/>
        <v>328.33710000000002</v>
      </c>
      <c r="AG30" s="123"/>
      <c r="AH30" s="122"/>
      <c r="AI30" s="122">
        <v>333</v>
      </c>
      <c r="AJ30" s="140"/>
      <c r="AK30" s="141"/>
      <c r="AL30" s="142">
        <v>0.80208333333333337</v>
      </c>
      <c r="AM30" s="142">
        <v>0.30208333333333331</v>
      </c>
      <c r="AN30" s="143">
        <f t="shared" si="207"/>
        <v>720</v>
      </c>
      <c r="AO30" s="123"/>
      <c r="AP30" s="123"/>
      <c r="AQ30" s="127"/>
      <c r="AR30" s="123"/>
      <c r="AS30" s="123"/>
      <c r="AT30" s="123" t="s">
        <v>293</v>
      </c>
      <c r="AU30" s="123" t="s">
        <v>311</v>
      </c>
      <c r="AV30" s="123">
        <v>1197</v>
      </c>
      <c r="AW30" s="123">
        <v>12</v>
      </c>
      <c r="AX30" s="132">
        <v>10</v>
      </c>
      <c r="AY30" s="123">
        <f>293+486+485.4+482.3+488.3+489.3+491.8+489.8+485.6+484.8</f>
        <v>4676.3000000000011</v>
      </c>
      <c r="AZ30" s="123">
        <f>-295</f>
        <v>-295</v>
      </c>
      <c r="BA30" s="144">
        <f t="shared" si="227"/>
        <v>4381.3000000000011</v>
      </c>
      <c r="BB30" s="127" t="s">
        <v>457</v>
      </c>
      <c r="BC30" s="145">
        <v>4.22</v>
      </c>
      <c r="BD30" s="146">
        <f t="shared" si="228"/>
        <v>18489.086000000003</v>
      </c>
      <c r="BH30" s="147"/>
      <c r="BK30" s="144">
        <f t="shared" si="229"/>
        <v>0</v>
      </c>
      <c r="BO30" s="147"/>
      <c r="BR30" s="144">
        <f t="shared" si="230"/>
        <v>0</v>
      </c>
      <c r="BV30" s="147"/>
      <c r="BY30" s="144">
        <f t="shared" si="231"/>
        <v>0</v>
      </c>
      <c r="BZ30" s="148"/>
      <c r="CA30" s="149"/>
      <c r="CB30" s="150"/>
      <c r="CF30" s="147"/>
      <c r="CI30" s="151">
        <f t="shared" si="232"/>
        <v>0</v>
      </c>
      <c r="CJ30" s="148"/>
      <c r="CK30" s="149"/>
      <c r="CL30" s="150"/>
      <c r="CM30"/>
      <c r="CN30"/>
      <c r="CO30" s="152"/>
      <c r="CP30" s="153"/>
      <c r="CQ30" s="154">
        <f t="shared" si="233"/>
        <v>0</v>
      </c>
      <c r="CR30"/>
      <c r="CS30" s="155"/>
      <c r="CT30" s="153"/>
      <c r="CU30" s="154">
        <f t="shared" si="234"/>
        <v>0</v>
      </c>
      <c r="CV30"/>
      <c r="CX30" s="153"/>
      <c r="CY30" s="156"/>
      <c r="CZ30" s="156"/>
      <c r="DA30" s="128"/>
      <c r="DB30" s="123"/>
      <c r="DC30" s="157" t="s">
        <v>448</v>
      </c>
      <c r="DD30" s="157" t="s">
        <v>313</v>
      </c>
      <c r="DE30" s="127">
        <v>8</v>
      </c>
      <c r="DF30" s="158">
        <f>AVERAGE(1.3)</f>
        <v>1.3</v>
      </c>
      <c r="DG30" s="159"/>
      <c r="DH30" s="160"/>
      <c r="DI30" s="122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V30" s="123"/>
      <c r="DW30" s="123"/>
      <c r="DX30" s="123"/>
      <c r="DY30" s="123"/>
      <c r="DZ30" s="123"/>
      <c r="EA30" s="123"/>
      <c r="EB30" s="123"/>
      <c r="EC30" s="123"/>
      <c r="ED30" s="161">
        <f t="shared" si="215"/>
        <v>0</v>
      </c>
      <c r="EE30" s="123"/>
      <c r="EF30" s="123"/>
      <c r="EG30" s="123">
        <v>25</v>
      </c>
      <c r="EH30" s="123"/>
      <c r="EI30" s="123"/>
      <c r="EJ30" s="123"/>
      <c r="EK30" s="123"/>
      <c r="EL30" s="123"/>
      <c r="EM30" s="123"/>
      <c r="EN30" s="123"/>
      <c r="EO30" s="122"/>
      <c r="EP30" s="123">
        <v>20</v>
      </c>
      <c r="EQ30" s="123"/>
      <c r="ER30" s="123"/>
      <c r="ES30" s="123"/>
      <c r="ET30" s="123"/>
      <c r="EU30" s="123"/>
      <c r="EV30" s="124"/>
      <c r="EW30" s="123"/>
      <c r="EX30" s="123"/>
      <c r="EY30" s="123"/>
      <c r="EZ30" s="123"/>
      <c r="FA30" s="123"/>
      <c r="FB30" s="123"/>
      <c r="FC30" s="123"/>
      <c r="FD30" s="123"/>
      <c r="FE30" s="123"/>
      <c r="FF30" s="123"/>
      <c r="FG30" s="123"/>
      <c r="FH30" s="123"/>
      <c r="FI30" s="123"/>
      <c r="FJ30" s="124"/>
      <c r="FK30" s="123"/>
      <c r="FL30" s="123"/>
      <c r="FM30" s="123"/>
      <c r="FN30" s="123"/>
      <c r="FO30" s="123"/>
      <c r="FP30" s="123"/>
      <c r="FQ30" s="123"/>
      <c r="FR30" s="123"/>
      <c r="FS30" s="123"/>
      <c r="FT30" s="123">
        <v>15</v>
      </c>
      <c r="FU30" s="123"/>
      <c r="FV30" s="123"/>
      <c r="FW30" s="123"/>
      <c r="FX30" s="123"/>
      <c r="FY30" s="123"/>
      <c r="FZ30" s="123"/>
      <c r="GA30" s="123"/>
      <c r="GB30" s="123"/>
      <c r="GC30" s="123"/>
      <c r="GD30" s="123"/>
      <c r="GE30" s="123"/>
      <c r="GF30" s="123"/>
      <c r="GG30" s="123"/>
      <c r="GH30" s="123"/>
      <c r="GI30" s="123"/>
      <c r="GJ30" s="123"/>
      <c r="GK30" s="123"/>
      <c r="GL30" s="123"/>
      <c r="GM30" s="123"/>
      <c r="GN30" s="123"/>
      <c r="GO30" s="123"/>
      <c r="GP30" s="123"/>
      <c r="GQ30" s="123"/>
      <c r="GR30" s="123"/>
      <c r="GS30" s="123"/>
      <c r="GT30" s="123"/>
      <c r="GU30" s="128">
        <f t="shared" si="216"/>
        <v>60</v>
      </c>
      <c r="GV30" s="162">
        <f t="shared" si="217"/>
        <v>660</v>
      </c>
      <c r="GW30" s="163">
        <f t="shared" si="218"/>
        <v>720</v>
      </c>
      <c r="GX30" s="163">
        <f t="shared" si="219"/>
        <v>660</v>
      </c>
      <c r="GY30" s="123">
        <v>0</v>
      </c>
      <c r="GZ30" s="123">
        <v>0</v>
      </c>
      <c r="HA30" s="123">
        <v>0</v>
      </c>
      <c r="HB30" s="123">
        <v>0</v>
      </c>
      <c r="HC30" s="128">
        <f t="shared" si="220"/>
        <v>0</v>
      </c>
      <c r="HD30" s="123" t="s">
        <v>326</v>
      </c>
      <c r="HE30" s="123" t="s">
        <v>327</v>
      </c>
      <c r="HF30" s="123" t="s">
        <v>317</v>
      </c>
      <c r="HG30" s="123" t="s">
        <v>328</v>
      </c>
      <c r="HH30" s="123" t="s">
        <v>289</v>
      </c>
      <c r="HI30" s="123" t="s">
        <v>329</v>
      </c>
      <c r="HJ30" s="123"/>
      <c r="HK30" s="123"/>
      <c r="HL30" s="127"/>
      <c r="HM30" s="127"/>
      <c r="HN30" s="127"/>
      <c r="HO30" s="127"/>
      <c r="HP30" s="127"/>
      <c r="HQ30" s="164">
        <f t="shared" si="221"/>
        <v>0</v>
      </c>
      <c r="HW30" s="164">
        <f t="shared" si="222"/>
        <v>0</v>
      </c>
      <c r="II30" s="164">
        <f t="shared" si="223"/>
        <v>0</v>
      </c>
      <c r="IV30" s="165">
        <f t="shared" si="224"/>
        <v>0</v>
      </c>
      <c r="JF30" s="165">
        <f t="shared" si="225"/>
        <v>0</v>
      </c>
      <c r="JG30" s="148">
        <f>1+1</f>
        <v>2</v>
      </c>
      <c r="JH30" s="148" t="s">
        <v>320</v>
      </c>
      <c r="JI30" s="148"/>
      <c r="JJ30" s="148"/>
      <c r="JK30" s="148"/>
    </row>
    <row r="31" spans="1:271" ht="16.5" customHeight="1" x14ac:dyDescent="0.35">
      <c r="A31" t="s">
        <v>459</v>
      </c>
      <c r="B31" s="117" t="s">
        <v>273</v>
      </c>
      <c r="C31" s="118">
        <v>46060</v>
      </c>
      <c r="D31" s="119" t="s">
        <v>291</v>
      </c>
      <c r="E31" s="120" t="s">
        <v>306</v>
      </c>
      <c r="F31" s="120" t="s">
        <v>305</v>
      </c>
      <c r="G31" s="121" t="s">
        <v>323</v>
      </c>
      <c r="H31" s="122">
        <v>0.88</v>
      </c>
      <c r="I31" s="123"/>
      <c r="J31" s="124"/>
      <c r="K31" s="2" t="s">
        <v>331</v>
      </c>
      <c r="L31" s="125" t="s">
        <v>394</v>
      </c>
      <c r="M31" s="126" t="s">
        <v>310</v>
      </c>
      <c r="N31" s="127" t="s">
        <v>324</v>
      </c>
      <c r="O31" s="10" t="s">
        <v>332</v>
      </c>
      <c r="P31" s="128" t="s">
        <v>389</v>
      </c>
      <c r="Q31" s="129"/>
      <c r="R31" s="130"/>
      <c r="S31" s="130"/>
      <c r="T31" s="131">
        <f t="shared" ref="T31:T32" si="235">IF(H31*U31=0,"",H31*U31)</f>
        <v>116.16</v>
      </c>
      <c r="U31" s="132">
        <f>129+3</f>
        <v>132</v>
      </c>
      <c r="V31" s="133"/>
      <c r="W31" s="133"/>
      <c r="X31" s="134">
        <v>5101.29</v>
      </c>
      <c r="Y31" s="134">
        <v>5217.45</v>
      </c>
      <c r="Z31" s="134">
        <v>42290</v>
      </c>
      <c r="AA31" s="134"/>
      <c r="AB31" s="135">
        <f>28+120+56+52.71</f>
        <v>256.70999999999998</v>
      </c>
      <c r="AC31" s="136">
        <f t="shared" ref="AC31:AC32" si="236">BA31+AF31+BK31+BR31+BY31+CI31+CQ31+CU31</f>
        <v>5358</v>
      </c>
      <c r="AD31" s="137">
        <f t="shared" ref="AD31:AD34" si="237">+AC31-X31</f>
        <v>256.71000000000004</v>
      </c>
      <c r="AE31" s="138">
        <f t="shared" ref="AE31:AE33" si="238">AD31-AB31</f>
        <v>0</v>
      </c>
      <c r="AF31" s="139">
        <f t="shared" ref="AF31:AF32" si="239">IFERROR(+(Z31*AV31*DF31)/10^6,0)</f>
        <v>0</v>
      </c>
      <c r="AG31" s="123"/>
      <c r="AH31" s="122"/>
      <c r="AI31" s="122">
        <v>503</v>
      </c>
      <c r="AJ31" s="140"/>
      <c r="AK31" s="141"/>
      <c r="AL31" s="142">
        <v>0.875</v>
      </c>
      <c r="AM31" s="142">
        <v>0.125</v>
      </c>
      <c r="AN31" s="143">
        <f t="shared" ref="AN31:AN32" si="240">IF(AM31&gt;AL31,((AM31-AL31)*1440),(1440+(AM31-AL31)*1440))</f>
        <v>360</v>
      </c>
      <c r="AO31" s="123"/>
      <c r="AP31" s="123"/>
      <c r="AQ31" s="127"/>
      <c r="AR31" s="123"/>
      <c r="AS31" s="123"/>
      <c r="AT31" s="123" t="s">
        <v>390</v>
      </c>
      <c r="AU31" s="123" t="s">
        <v>375</v>
      </c>
      <c r="AV31" s="123">
        <v>340</v>
      </c>
      <c r="AW31" s="123">
        <f t="shared" ref="AW31:AW32" si="241">12+9+75</f>
        <v>96</v>
      </c>
      <c r="AX31" s="132">
        <v>14</v>
      </c>
      <c r="AY31" s="123">
        <f>554+445+247+262+750+204+437+224+194+270+356+535+220+660</f>
        <v>5358</v>
      </c>
      <c r="AZ31" s="123"/>
      <c r="BA31" s="144">
        <f t="shared" ref="BA31:BA34" si="242">SUM(AY31+AZ31)</f>
        <v>5358</v>
      </c>
      <c r="BB31" s="127"/>
      <c r="BC31" s="145"/>
      <c r="BD31" s="146"/>
      <c r="BH31" s="147"/>
      <c r="BK31" s="144">
        <f t="shared" ref="BK31:BK34" si="243">SUM(BI31+BJ31)</f>
        <v>0</v>
      </c>
      <c r="BO31" s="147"/>
      <c r="BR31" s="144">
        <f t="shared" ref="BR31:BR34" si="244">SUM(BP31+BQ31)</f>
        <v>0</v>
      </c>
      <c r="BV31" s="147"/>
      <c r="BY31" s="144">
        <f t="shared" ref="BY31:BY34" si="245">SUM(BW31+BX31)</f>
        <v>0</v>
      </c>
      <c r="BZ31" s="148"/>
      <c r="CA31" s="149"/>
      <c r="CB31" s="150"/>
      <c r="CF31" s="147"/>
      <c r="CI31" s="151">
        <f t="shared" ref="CI31:CI34" si="246">SUM(CG31+CH31)</f>
        <v>0</v>
      </c>
      <c r="CJ31" s="148"/>
      <c r="CK31" s="149"/>
      <c r="CL31" s="150"/>
      <c r="CM31"/>
      <c r="CN31"/>
      <c r="CO31" s="152"/>
      <c r="CP31" s="153"/>
      <c r="CQ31" s="154">
        <f t="shared" ref="CQ31:CQ34" si="247">IF(CM31="811 A",CN31/1.667,IF(CM31="MB635",CN31/1.33,IF(CM31="MB655",CN31/1.43,IF(CM31="LG 59A",CN31/1.667,IF(CM31="HB 6680",CN31/1.25,IF(CM31="MB688",CN31/1.25,CN31))))))</f>
        <v>0</v>
      </c>
      <c r="CR31"/>
      <c r="CS31" s="155"/>
      <c r="CT31" s="153"/>
      <c r="CU31" s="154">
        <f t="shared" ref="CU31:CU34" si="248">IF(CM31="811 A",CR31/1.33,IF(CM31="HB 6680",CR31/1.33,IF(CM31="MB688",CR31/1.333,CR31)))</f>
        <v>0</v>
      </c>
      <c r="CV31"/>
      <c r="CX31" s="153"/>
      <c r="CY31" s="156"/>
      <c r="CZ31" s="156"/>
      <c r="DA31" s="128"/>
      <c r="DB31" s="123"/>
      <c r="DC31" s="157" t="s">
        <v>325</v>
      </c>
      <c r="DD31" s="157" t="s">
        <v>313</v>
      </c>
      <c r="DE31" s="127" t="s">
        <v>396</v>
      </c>
      <c r="DF31" s="158"/>
      <c r="DG31" s="159"/>
      <c r="DH31" s="160"/>
      <c r="DI31" s="122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V31" s="123"/>
      <c r="DW31" s="123"/>
      <c r="DX31" s="123"/>
      <c r="DY31" s="123"/>
      <c r="DZ31" s="123"/>
      <c r="EA31" s="123"/>
      <c r="EB31" s="123"/>
      <c r="EC31" s="123"/>
      <c r="ED31" s="161">
        <f t="shared" ref="ED31:ED32" si="249">SUM(DK31:EC31)</f>
        <v>0</v>
      </c>
      <c r="EE31" s="123"/>
      <c r="EF31" s="123">
        <v>70</v>
      </c>
      <c r="EG31" s="123"/>
      <c r="EH31" s="123"/>
      <c r="EI31" s="123"/>
      <c r="EJ31" s="123"/>
      <c r="EK31" s="123"/>
      <c r="EL31" s="123"/>
      <c r="EM31" s="123"/>
      <c r="EN31" s="123"/>
      <c r="EO31" s="122"/>
      <c r="EP31" s="123">
        <v>10</v>
      </c>
      <c r="EQ31" s="123"/>
      <c r="ER31" s="123"/>
      <c r="ES31" s="123">
        <v>60</v>
      </c>
      <c r="ET31" s="123"/>
      <c r="EU31" s="123"/>
      <c r="EV31" s="124"/>
      <c r="EW31" s="123"/>
      <c r="EX31" s="123"/>
      <c r="EY31" s="123"/>
      <c r="EZ31" s="123"/>
      <c r="FA31" s="123"/>
      <c r="FB31" s="123"/>
      <c r="FC31" s="123"/>
      <c r="FD31" s="123"/>
      <c r="FE31" s="123"/>
      <c r="FF31" s="123"/>
      <c r="FG31" s="123"/>
      <c r="FH31" s="123"/>
      <c r="FI31" s="123"/>
      <c r="FJ31" s="124"/>
      <c r="FK31" s="123"/>
      <c r="FL31" s="123"/>
      <c r="FM31" s="123"/>
      <c r="FN31" s="123"/>
      <c r="FO31" s="123">
        <v>136</v>
      </c>
      <c r="FP31" s="123"/>
      <c r="FQ31" s="123"/>
      <c r="FR31" s="123"/>
      <c r="FS31" s="123"/>
      <c r="FT31" s="123"/>
      <c r="FU31" s="123"/>
      <c r="FV31" s="123"/>
      <c r="FW31" s="123"/>
      <c r="FX31" s="123"/>
      <c r="FY31" s="123"/>
      <c r="FZ31" s="123"/>
      <c r="GA31" s="123"/>
      <c r="GB31" s="123"/>
      <c r="GC31" s="123"/>
      <c r="GD31" s="123"/>
      <c r="GE31" s="123"/>
      <c r="GF31" s="123"/>
      <c r="GG31" s="123"/>
      <c r="GH31" s="123"/>
      <c r="GI31" s="123"/>
      <c r="GJ31" s="123"/>
      <c r="GK31" s="123"/>
      <c r="GL31" s="123"/>
      <c r="GM31" s="123"/>
      <c r="GN31" s="123"/>
      <c r="GO31" s="123"/>
      <c r="GP31" s="123"/>
      <c r="GQ31" s="123"/>
      <c r="GR31" s="123"/>
      <c r="GS31" s="123"/>
      <c r="GT31" s="123"/>
      <c r="GU31" s="128">
        <f t="shared" ref="GU31:GU32" si="250">SUM(EE31:GO31,GR31)</f>
        <v>276</v>
      </c>
      <c r="GV31" s="162">
        <f t="shared" ref="GV31:GV32" si="251">AN31-ED31-GU31</f>
        <v>84</v>
      </c>
      <c r="GW31" s="163">
        <f t="shared" ref="GW31:GW32" si="252">AN31-ED31-ER31-FN31</f>
        <v>360</v>
      </c>
      <c r="GX31" s="163">
        <f t="shared" ref="GX31:GX32" si="253">AN31-GU31</f>
        <v>84</v>
      </c>
      <c r="GY31" s="123"/>
      <c r="GZ31" s="123"/>
      <c r="HA31" s="123"/>
      <c r="HB31" s="123"/>
      <c r="HC31" s="128">
        <f t="shared" ref="HC31:HC32" si="254">SUM(GY31:HB31)</f>
        <v>0</v>
      </c>
      <c r="HD31" s="123" t="s">
        <v>398</v>
      </c>
      <c r="HE31" s="123" t="s">
        <v>399</v>
      </c>
      <c r="HF31" s="123" t="s">
        <v>289</v>
      </c>
      <c r="HG31" s="123" t="s">
        <v>289</v>
      </c>
      <c r="HH31" s="123" t="s">
        <v>289</v>
      </c>
      <c r="HI31" s="123" t="s">
        <v>392</v>
      </c>
      <c r="HJ31" s="123"/>
      <c r="HK31" s="123"/>
      <c r="HL31" s="127"/>
      <c r="HM31" s="127">
        <v>28</v>
      </c>
      <c r="HN31" s="127">
        <v>120</v>
      </c>
      <c r="HO31" s="127">
        <v>56</v>
      </c>
      <c r="HP31" s="127">
        <v>52.71</v>
      </c>
      <c r="HQ31" s="164">
        <f t="shared" ref="HQ31:HQ32" si="255">SUM(HL31:HP31)</f>
        <v>256.70999999999998</v>
      </c>
      <c r="HW31" s="164">
        <f t="shared" ref="HW31:HW32" si="256">SUM(HR31:HU31)</f>
        <v>0</v>
      </c>
      <c r="II31" s="164">
        <f t="shared" ref="II31:II32" si="257">SUM(HX31:IG31)</f>
        <v>0</v>
      </c>
      <c r="IV31" s="165">
        <f t="shared" ref="IV31:IV32" si="258">SUM(IJ31:IT31)</f>
        <v>0</v>
      </c>
      <c r="JF31" s="165">
        <f t="shared" ref="JF31:JF32" si="259">SUM(IW31:JD31)</f>
        <v>0</v>
      </c>
      <c r="JG31" s="148"/>
      <c r="JH31" s="148"/>
      <c r="JI31" s="148">
        <v>970</v>
      </c>
      <c r="JJ31" s="148"/>
      <c r="JK31" s="148"/>
    </row>
    <row r="32" spans="1:271" ht="16.5" customHeight="1" x14ac:dyDescent="0.35">
      <c r="A32" t="s">
        <v>460</v>
      </c>
      <c r="B32" s="117" t="s">
        <v>273</v>
      </c>
      <c r="C32" s="118">
        <v>46060</v>
      </c>
      <c r="D32" s="119" t="s">
        <v>291</v>
      </c>
      <c r="E32" s="120" t="s">
        <v>306</v>
      </c>
      <c r="F32" s="120" t="s">
        <v>305</v>
      </c>
      <c r="G32" s="121" t="s">
        <v>323</v>
      </c>
      <c r="H32" s="122">
        <v>0.88</v>
      </c>
      <c r="I32" s="123"/>
      <c r="J32" s="124"/>
      <c r="K32" s="2" t="s">
        <v>334</v>
      </c>
      <c r="L32" s="125" t="s">
        <v>394</v>
      </c>
      <c r="M32" s="126" t="s">
        <v>310</v>
      </c>
      <c r="N32" s="127" t="s">
        <v>324</v>
      </c>
      <c r="O32" s="10" t="s">
        <v>335</v>
      </c>
      <c r="P32" s="128" t="s">
        <v>389</v>
      </c>
      <c r="Q32" s="129"/>
      <c r="R32" s="130"/>
      <c r="S32" s="130"/>
      <c r="T32" s="131">
        <f t="shared" si="235"/>
        <v>23.76</v>
      </c>
      <c r="U32" s="132">
        <f>26+1</f>
        <v>27</v>
      </c>
      <c r="V32" s="133"/>
      <c r="W32" s="133"/>
      <c r="X32" s="134">
        <v>966.63</v>
      </c>
      <c r="Y32" s="134">
        <v>990.39</v>
      </c>
      <c r="Z32" s="134">
        <v>8000</v>
      </c>
      <c r="AA32" s="134"/>
      <c r="AB32" s="135">
        <f>2+20+8+14.37</f>
        <v>44.37</v>
      </c>
      <c r="AC32" s="136">
        <f t="shared" si="236"/>
        <v>1011</v>
      </c>
      <c r="AD32" s="137">
        <f t="shared" si="237"/>
        <v>44.370000000000005</v>
      </c>
      <c r="AE32" s="138">
        <f t="shared" si="238"/>
        <v>0</v>
      </c>
      <c r="AF32" s="139">
        <f t="shared" si="239"/>
        <v>0</v>
      </c>
      <c r="AG32" s="123"/>
      <c r="AH32" s="122"/>
      <c r="AI32" s="122">
        <v>500</v>
      </c>
      <c r="AJ32" s="140"/>
      <c r="AK32" s="141"/>
      <c r="AL32" s="142">
        <v>0.22222222222222221</v>
      </c>
      <c r="AM32" s="142">
        <v>0.30208333333333331</v>
      </c>
      <c r="AN32" s="143">
        <f t="shared" si="240"/>
        <v>114.99999999999999</v>
      </c>
      <c r="AO32" s="123"/>
      <c r="AP32" s="123"/>
      <c r="AQ32" s="127"/>
      <c r="AR32" s="123"/>
      <c r="AS32" s="123"/>
      <c r="AT32" s="123" t="s">
        <v>390</v>
      </c>
      <c r="AU32" s="123" t="s">
        <v>375</v>
      </c>
      <c r="AV32" s="123">
        <v>340</v>
      </c>
      <c r="AW32" s="123">
        <f t="shared" si="241"/>
        <v>96</v>
      </c>
      <c r="AX32" s="132">
        <v>2</v>
      </c>
      <c r="AY32" s="123">
        <f>661+350</f>
        <v>1011</v>
      </c>
      <c r="AZ32" s="123"/>
      <c r="BA32" s="144">
        <f t="shared" si="242"/>
        <v>1011</v>
      </c>
      <c r="BB32" s="127"/>
      <c r="BC32" s="145"/>
      <c r="BD32" s="146"/>
      <c r="BH32" s="147"/>
      <c r="BK32" s="144">
        <f t="shared" si="243"/>
        <v>0</v>
      </c>
      <c r="BO32" s="147"/>
      <c r="BR32" s="144">
        <f t="shared" si="244"/>
        <v>0</v>
      </c>
      <c r="BV32" s="147"/>
      <c r="BY32" s="144">
        <f t="shared" si="245"/>
        <v>0</v>
      </c>
      <c r="BZ32" s="148"/>
      <c r="CA32" s="149"/>
      <c r="CB32" s="150"/>
      <c r="CF32" s="147"/>
      <c r="CI32" s="151">
        <f t="shared" si="246"/>
        <v>0</v>
      </c>
      <c r="CJ32" s="148"/>
      <c r="CK32" s="149"/>
      <c r="CL32" s="150"/>
      <c r="CM32"/>
      <c r="CN32"/>
      <c r="CO32" s="152"/>
      <c r="CP32" s="153"/>
      <c r="CQ32" s="154">
        <f t="shared" si="247"/>
        <v>0</v>
      </c>
      <c r="CR32"/>
      <c r="CS32" s="155"/>
      <c r="CT32" s="153"/>
      <c r="CU32" s="154">
        <f t="shared" si="248"/>
        <v>0</v>
      </c>
      <c r="CV32"/>
      <c r="CX32" s="153"/>
      <c r="CY32" s="156"/>
      <c r="CZ32" s="156"/>
      <c r="DA32" s="128"/>
      <c r="DB32" s="123"/>
      <c r="DC32" s="157" t="s">
        <v>325</v>
      </c>
      <c r="DD32" s="157" t="s">
        <v>313</v>
      </c>
      <c r="DE32" s="127" t="s">
        <v>396</v>
      </c>
      <c r="DF32" s="158"/>
      <c r="DG32" s="159"/>
      <c r="DH32" s="160"/>
      <c r="DI32" s="122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V32" s="123"/>
      <c r="DW32" s="123"/>
      <c r="DX32" s="123"/>
      <c r="DY32" s="123"/>
      <c r="DZ32" s="123"/>
      <c r="EA32" s="123"/>
      <c r="EB32" s="123"/>
      <c r="EC32" s="123"/>
      <c r="ED32" s="161">
        <f t="shared" si="249"/>
        <v>0</v>
      </c>
      <c r="EE32" s="123"/>
      <c r="EF32" s="123">
        <v>10</v>
      </c>
      <c r="EG32" s="123"/>
      <c r="EH32" s="123"/>
      <c r="EI32" s="123"/>
      <c r="EJ32" s="123"/>
      <c r="EK32" s="123"/>
      <c r="EL32" s="123"/>
      <c r="EM32" s="123"/>
      <c r="EN32" s="123"/>
      <c r="EO32" s="122"/>
      <c r="EP32" s="123"/>
      <c r="EQ32" s="123"/>
      <c r="ER32" s="123"/>
      <c r="ES32" s="123">
        <v>9</v>
      </c>
      <c r="ET32" s="123"/>
      <c r="EU32" s="123"/>
      <c r="EV32" s="124"/>
      <c r="EW32" s="123">
        <v>55</v>
      </c>
      <c r="EX32" s="123"/>
      <c r="EY32" s="123"/>
      <c r="EZ32" s="123"/>
      <c r="FA32" s="123"/>
      <c r="FB32" s="123"/>
      <c r="FC32" s="123"/>
      <c r="FD32" s="123"/>
      <c r="FE32" s="123"/>
      <c r="FF32" s="123"/>
      <c r="FG32" s="123"/>
      <c r="FH32" s="123"/>
      <c r="FI32" s="123"/>
      <c r="FJ32" s="124"/>
      <c r="FK32" s="123"/>
      <c r="FL32" s="123"/>
      <c r="FM32" s="123"/>
      <c r="FN32" s="123"/>
      <c r="FO32" s="123">
        <v>25</v>
      </c>
      <c r="FP32" s="123"/>
      <c r="FQ32" s="123"/>
      <c r="FR32" s="123"/>
      <c r="FS32" s="123"/>
      <c r="FT32" s="123"/>
      <c r="FU32" s="123"/>
      <c r="FV32" s="123"/>
      <c r="FW32" s="123"/>
      <c r="FX32" s="123"/>
      <c r="FY32" s="123"/>
      <c r="FZ32" s="123"/>
      <c r="GA32" s="123"/>
      <c r="GB32" s="123"/>
      <c r="GC32" s="123"/>
      <c r="GD32" s="123"/>
      <c r="GE32" s="123"/>
      <c r="GF32" s="123"/>
      <c r="GG32" s="123"/>
      <c r="GH32" s="123"/>
      <c r="GI32" s="123"/>
      <c r="GJ32" s="123"/>
      <c r="GK32" s="123"/>
      <c r="GL32" s="123"/>
      <c r="GM32" s="123"/>
      <c r="GN32" s="123"/>
      <c r="GO32" s="123"/>
      <c r="GP32" s="123"/>
      <c r="GQ32" s="123"/>
      <c r="GR32" s="123"/>
      <c r="GS32" s="123"/>
      <c r="GT32" s="123"/>
      <c r="GU32" s="128">
        <f t="shared" si="250"/>
        <v>99</v>
      </c>
      <c r="GV32" s="162">
        <f t="shared" si="251"/>
        <v>15.999999999999986</v>
      </c>
      <c r="GW32" s="163">
        <f t="shared" si="252"/>
        <v>114.99999999999999</v>
      </c>
      <c r="GX32" s="163">
        <f t="shared" si="253"/>
        <v>15.999999999999986</v>
      </c>
      <c r="GY32" s="123"/>
      <c r="GZ32" s="123"/>
      <c r="HA32" s="123"/>
      <c r="HB32" s="123"/>
      <c r="HC32" s="128">
        <f t="shared" si="254"/>
        <v>0</v>
      </c>
      <c r="HD32" s="123" t="s">
        <v>398</v>
      </c>
      <c r="HE32" s="123" t="s">
        <v>399</v>
      </c>
      <c r="HF32" s="123" t="s">
        <v>289</v>
      </c>
      <c r="HG32" s="123" t="s">
        <v>289</v>
      </c>
      <c r="HH32" s="123" t="s">
        <v>289</v>
      </c>
      <c r="HI32" s="123" t="s">
        <v>392</v>
      </c>
      <c r="HJ32" s="123"/>
      <c r="HK32" s="123"/>
      <c r="HL32" s="127"/>
      <c r="HM32" s="127">
        <v>2</v>
      </c>
      <c r="HN32" s="127">
        <v>20</v>
      </c>
      <c r="HO32" s="127">
        <v>8</v>
      </c>
      <c r="HP32" s="127">
        <v>14.37</v>
      </c>
      <c r="HQ32" s="164">
        <f t="shared" si="255"/>
        <v>44.37</v>
      </c>
      <c r="HW32" s="164">
        <f t="shared" si="256"/>
        <v>0</v>
      </c>
      <c r="II32" s="164">
        <f t="shared" si="257"/>
        <v>0</v>
      </c>
      <c r="IV32" s="165">
        <f t="shared" si="258"/>
        <v>0</v>
      </c>
      <c r="JF32" s="165">
        <f t="shared" si="259"/>
        <v>0</v>
      </c>
      <c r="JG32" s="148"/>
      <c r="JH32" s="148"/>
      <c r="JI32" s="148">
        <v>970</v>
      </c>
      <c r="JJ32" s="148"/>
      <c r="JK32" s="148"/>
    </row>
    <row r="33" spans="1:271" ht="16.5" customHeight="1" x14ac:dyDescent="0.35">
      <c r="A33" t="s">
        <v>461</v>
      </c>
      <c r="B33" s="117" t="s">
        <v>273</v>
      </c>
      <c r="C33" s="118">
        <v>46060</v>
      </c>
      <c r="D33" s="119" t="s">
        <v>274</v>
      </c>
      <c r="E33" s="120" t="s">
        <v>309</v>
      </c>
      <c r="F33" s="120" t="s">
        <v>27</v>
      </c>
      <c r="G33" s="121" t="s">
        <v>277</v>
      </c>
      <c r="H33" s="122"/>
      <c r="I33" s="123"/>
      <c r="J33" s="124"/>
      <c r="K33" s="2" t="s">
        <v>278</v>
      </c>
      <c r="L33" s="125"/>
      <c r="M33" s="126" t="s">
        <v>279</v>
      </c>
      <c r="N33" s="127" t="s">
        <v>280</v>
      </c>
      <c r="O33" s="10" t="s">
        <v>281</v>
      </c>
      <c r="P33" s="128" t="s">
        <v>389</v>
      </c>
      <c r="Q33" s="129"/>
      <c r="R33" s="130"/>
      <c r="S33" s="130"/>
      <c r="T33" s="131"/>
      <c r="U33" s="132">
        <f>143-117</f>
        <v>26</v>
      </c>
      <c r="V33" s="133" t="s">
        <v>405</v>
      </c>
      <c r="W33" s="133">
        <v>18.2</v>
      </c>
      <c r="X33" s="134">
        <v>507.6</v>
      </c>
      <c r="Y33" s="134">
        <v>525.80000000000007</v>
      </c>
      <c r="Z33" s="134"/>
      <c r="AA33" s="134">
        <v>14170</v>
      </c>
      <c r="AB33" s="135">
        <f>23+21+6+5+10.6</f>
        <v>65.599999999999994</v>
      </c>
      <c r="AC33" s="136">
        <f t="shared" ref="AC33:AC36" si="260">BA33+AF33+BK33+BR33+BY33+CI33+CQ33+CU33</f>
        <v>573</v>
      </c>
      <c r="AD33" s="137">
        <f t="shared" si="237"/>
        <v>65.399999999999977</v>
      </c>
      <c r="AE33" s="138">
        <f t="shared" si="238"/>
        <v>-0.20000000000001705</v>
      </c>
      <c r="AF33" s="139">
        <f t="shared" ref="AF33:AF36" si="261">IFERROR(+(Z33*AV33*DF33)/10^6,0)</f>
        <v>0</v>
      </c>
      <c r="AG33" s="123"/>
      <c r="AH33" s="122"/>
      <c r="AI33" s="122">
        <v>24</v>
      </c>
      <c r="AJ33" s="140"/>
      <c r="AK33" s="141" t="s">
        <v>289</v>
      </c>
      <c r="AL33" s="142">
        <v>0.30208333333333331</v>
      </c>
      <c r="AM33" s="142">
        <v>0.80208333333333337</v>
      </c>
      <c r="AN33" s="143">
        <f t="shared" ref="AN33:AN36" si="262">IF(AM33&gt;AL33,((AM33-AL33)*1440),(1440+(AM33-AL33)*1440))</f>
        <v>720</v>
      </c>
      <c r="AO33" s="123"/>
      <c r="AP33" s="123"/>
      <c r="AQ33" s="127"/>
      <c r="AR33" s="123"/>
      <c r="AS33" s="123"/>
      <c r="AT33" s="123" t="s">
        <v>390</v>
      </c>
      <c r="AU33" s="123" t="s">
        <v>436</v>
      </c>
      <c r="AV33" s="123" t="s">
        <v>437</v>
      </c>
      <c r="AW33" s="123">
        <f>90</f>
        <v>90</v>
      </c>
      <c r="AX33" s="132">
        <v>3</v>
      </c>
      <c r="AY33" s="123">
        <f>136+272+165</f>
        <v>573</v>
      </c>
      <c r="AZ33" s="123"/>
      <c r="BA33" s="144">
        <f t="shared" si="242"/>
        <v>573</v>
      </c>
      <c r="BB33" s="127"/>
      <c r="BC33" s="145"/>
      <c r="BD33" s="146"/>
      <c r="BH33" s="147"/>
      <c r="BK33" s="144">
        <f t="shared" si="243"/>
        <v>0</v>
      </c>
      <c r="BO33" s="147"/>
      <c r="BR33" s="144">
        <f t="shared" si="244"/>
        <v>0</v>
      </c>
      <c r="BS33" t="s">
        <v>289</v>
      </c>
      <c r="BV33" s="147"/>
      <c r="BY33" s="144">
        <f t="shared" si="245"/>
        <v>0</v>
      </c>
      <c r="BZ33" s="148"/>
      <c r="CA33" s="149"/>
      <c r="CB33" s="150"/>
      <c r="CC33" t="s">
        <v>289</v>
      </c>
      <c r="CF33" s="147"/>
      <c r="CI33" s="151">
        <f t="shared" si="246"/>
        <v>0</v>
      </c>
      <c r="CJ33" s="148"/>
      <c r="CK33" s="149"/>
      <c r="CL33" s="150"/>
      <c r="CM33"/>
      <c r="CN33"/>
      <c r="CO33" s="152"/>
      <c r="CP33" s="153"/>
      <c r="CQ33" s="154">
        <f t="shared" si="247"/>
        <v>0</v>
      </c>
      <c r="CR33"/>
      <c r="CS33" s="155"/>
      <c r="CT33" s="153"/>
      <c r="CU33" s="154">
        <f t="shared" si="248"/>
        <v>0</v>
      </c>
      <c r="CV33"/>
      <c r="CX33" s="153"/>
      <c r="CY33" s="156"/>
      <c r="CZ33" s="156"/>
      <c r="DA33" s="128"/>
      <c r="DB33" s="123"/>
      <c r="DC33" s="157" t="s">
        <v>285</v>
      </c>
      <c r="DD33" s="157" t="s">
        <v>286</v>
      </c>
      <c r="DE33" s="127"/>
      <c r="DF33" s="158"/>
      <c r="DG33" s="159"/>
      <c r="DH33" s="160"/>
      <c r="DI33" s="122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V33" s="123"/>
      <c r="DW33" s="123"/>
      <c r="DX33" s="123"/>
      <c r="DY33" s="123"/>
      <c r="DZ33" s="123"/>
      <c r="EA33" s="123"/>
      <c r="EB33" s="123"/>
      <c r="EC33" s="123"/>
      <c r="ED33" s="161">
        <f t="shared" ref="ED33:ED36" si="263">SUM(DK33:EC33)</f>
        <v>0</v>
      </c>
      <c r="EE33" s="123"/>
      <c r="EF33" s="123">
        <v>20</v>
      </c>
      <c r="EG33" s="123"/>
      <c r="EH33" s="123"/>
      <c r="EI33" s="123"/>
      <c r="EJ33" s="123"/>
      <c r="EK33" s="123"/>
      <c r="EL33" s="123"/>
      <c r="EM33" s="123"/>
      <c r="EN33" s="123"/>
      <c r="EO33" s="122"/>
      <c r="EP33" s="123"/>
      <c r="EQ33" s="123"/>
      <c r="ER33" s="123"/>
      <c r="ES33" s="123"/>
      <c r="ET33" s="123"/>
      <c r="EU33" s="123"/>
      <c r="EV33" s="124"/>
      <c r="EW33" s="123"/>
      <c r="EX33" s="123"/>
      <c r="EY33" s="123"/>
      <c r="EZ33" s="123"/>
      <c r="FA33" s="123"/>
      <c r="FB33" s="123">
        <f>15+25</f>
        <v>40</v>
      </c>
      <c r="FC33" s="123"/>
      <c r="FD33" s="123"/>
      <c r="FE33" s="123"/>
      <c r="FF33" s="123"/>
      <c r="FG33" s="123"/>
      <c r="FH33" s="123"/>
      <c r="FI33" s="123"/>
      <c r="FJ33" s="124"/>
      <c r="FK33" s="123"/>
      <c r="FL33" s="123"/>
      <c r="FM33" s="123"/>
      <c r="FN33" s="123"/>
      <c r="FO33" s="123"/>
      <c r="FP33" s="123"/>
      <c r="FQ33" s="123"/>
      <c r="FR33" s="123"/>
      <c r="FS33" s="123"/>
      <c r="FT33" s="123"/>
      <c r="FU33" s="123"/>
      <c r="FV33" s="123"/>
      <c r="FW33" s="123"/>
      <c r="FX33" s="123"/>
      <c r="FY33" s="123"/>
      <c r="FZ33" s="123"/>
      <c r="GA33" s="123"/>
      <c r="GB33" s="123"/>
      <c r="GC33" s="123"/>
      <c r="GD33" s="123"/>
      <c r="GE33" s="123"/>
      <c r="GF33" s="123"/>
      <c r="GG33" s="123"/>
      <c r="GH33" s="123"/>
      <c r="GI33" s="123"/>
      <c r="GJ33" s="123"/>
      <c r="GK33" s="123"/>
      <c r="GL33" s="123"/>
      <c r="GM33" s="123"/>
      <c r="GN33" s="123"/>
      <c r="GO33" s="123"/>
      <c r="GP33" s="123"/>
      <c r="GQ33" s="123"/>
      <c r="GR33" s="123"/>
      <c r="GS33" s="123"/>
      <c r="GT33" s="123"/>
      <c r="GU33" s="128">
        <f t="shared" ref="GU33:GU36" si="264">SUM(EE33:GO33,GR33)</f>
        <v>60</v>
      </c>
      <c r="GV33" s="162">
        <f t="shared" ref="GV33:GV36" si="265">AN33-ED33-GU33</f>
        <v>660</v>
      </c>
      <c r="GW33" s="163">
        <f t="shared" ref="GW33:GW36" si="266">AN33-ED33-ER33-FN33</f>
        <v>720</v>
      </c>
      <c r="GX33" s="163">
        <f t="shared" ref="GX33:GX36" si="267">AN33-GU33</f>
        <v>660</v>
      </c>
      <c r="GY33" s="123"/>
      <c r="GZ33" s="123"/>
      <c r="HA33" s="123"/>
      <c r="HB33" s="123"/>
      <c r="HC33" s="128">
        <f t="shared" ref="HC33:HC36" si="268">SUM(GY33:HB33)</f>
        <v>0</v>
      </c>
      <c r="HD33" s="123" t="s">
        <v>408</v>
      </c>
      <c r="HE33" s="123" t="s">
        <v>406</v>
      </c>
      <c r="HF33" s="123" t="s">
        <v>289</v>
      </c>
      <c r="HG33" s="123" t="s">
        <v>289</v>
      </c>
      <c r="HH33" s="123" t="s">
        <v>289</v>
      </c>
      <c r="HI33" s="123" t="s">
        <v>404</v>
      </c>
      <c r="HJ33" s="123"/>
      <c r="HK33" s="123"/>
      <c r="HL33" s="127"/>
      <c r="HM33" s="127"/>
      <c r="HN33" s="127"/>
      <c r="HO33" s="127"/>
      <c r="HP33" s="127"/>
      <c r="HQ33" s="164">
        <f t="shared" ref="HQ33:HQ37" si="269">SUM(HL33:HP33)</f>
        <v>0</v>
      </c>
      <c r="HW33" s="164">
        <f t="shared" ref="HW33:HW36" si="270">SUM(HR33:HU33)</f>
        <v>0</v>
      </c>
      <c r="II33" s="164">
        <f t="shared" ref="II33:II36" si="271">SUM(HX33:IG33)</f>
        <v>0</v>
      </c>
      <c r="IV33" s="165">
        <f t="shared" ref="IV33:IV36" si="272">SUM(IJ33:IT33)</f>
        <v>0</v>
      </c>
      <c r="IX33">
        <v>23</v>
      </c>
      <c r="IY33">
        <v>10.6</v>
      </c>
      <c r="JA33">
        <v>21</v>
      </c>
      <c r="JB33">
        <v>5</v>
      </c>
      <c r="JC33">
        <v>6</v>
      </c>
      <c r="JF33" s="165">
        <f t="shared" ref="JF33:JF36" si="273">SUM(IW33:JD33)</f>
        <v>65.599999999999994</v>
      </c>
      <c r="JG33" s="148"/>
      <c r="JH33" s="148"/>
      <c r="JI33" s="148"/>
      <c r="JJ33" s="148">
        <v>18</v>
      </c>
      <c r="JK33" s="148" t="s">
        <v>407</v>
      </c>
    </row>
    <row r="34" spans="1:271" ht="16.5" customHeight="1" x14ac:dyDescent="0.35">
      <c r="A34" t="s">
        <v>462</v>
      </c>
      <c r="B34" s="117" t="s">
        <v>273</v>
      </c>
      <c r="C34" s="118">
        <v>46061</v>
      </c>
      <c r="D34" s="119" t="s">
        <v>274</v>
      </c>
      <c r="E34" s="120" t="s">
        <v>295</v>
      </c>
      <c r="F34" s="120" t="s">
        <v>296</v>
      </c>
      <c r="G34" s="121" t="s">
        <v>445</v>
      </c>
      <c r="H34" s="122"/>
      <c r="I34" s="123"/>
      <c r="J34" s="124"/>
      <c r="K34" s="2" t="s">
        <v>455</v>
      </c>
      <c r="L34" s="125"/>
      <c r="M34" s="126" t="s">
        <v>321</v>
      </c>
      <c r="N34" s="127" t="s">
        <v>446</v>
      </c>
      <c r="O34" s="10" t="s">
        <v>447</v>
      </c>
      <c r="P34" s="128" t="s">
        <v>282</v>
      </c>
      <c r="Q34" s="129"/>
      <c r="R34" s="130"/>
      <c r="S34" s="130"/>
      <c r="T34" s="131" t="str">
        <f t="shared" ref="T34:T37" si="274">IF(H34*U34=0,"",H34*U34)</f>
        <v/>
      </c>
      <c r="U34" s="132">
        <v>1</v>
      </c>
      <c r="V34" s="133"/>
      <c r="W34" s="133"/>
      <c r="X34" s="134">
        <f>317</f>
        <v>317</v>
      </c>
      <c r="Y34" s="134"/>
      <c r="Z34" s="134">
        <f>14100</f>
        <v>14100</v>
      </c>
      <c r="AA34" s="134"/>
      <c r="AB34" s="135"/>
      <c r="AC34" s="136">
        <f t="shared" si="260"/>
        <v>316.94101000000001</v>
      </c>
      <c r="AD34" s="137">
        <f t="shared" si="237"/>
        <v>-5.8989999999994325E-2</v>
      </c>
      <c r="AE34" s="138">
        <f t="shared" ref="AE34:AE37" si="275">AD34-AB34</f>
        <v>-5.8989999999994325E-2</v>
      </c>
      <c r="AF34" s="139">
        <f t="shared" si="261"/>
        <v>21.941009999999999</v>
      </c>
      <c r="AG34" s="123"/>
      <c r="AH34" s="122"/>
      <c r="AI34" s="122">
        <v>333</v>
      </c>
      <c r="AJ34" s="140"/>
      <c r="AK34" s="141"/>
      <c r="AL34" s="142">
        <v>0.30208333333333331</v>
      </c>
      <c r="AM34" s="142">
        <v>0.33333333333333331</v>
      </c>
      <c r="AN34" s="143">
        <f t="shared" si="262"/>
        <v>45</v>
      </c>
      <c r="AO34" s="123"/>
      <c r="AP34" s="123"/>
      <c r="AQ34" s="127"/>
      <c r="AR34" s="123"/>
      <c r="AS34" s="123"/>
      <c r="AT34" s="123" t="s">
        <v>293</v>
      </c>
      <c r="AU34" s="123" t="s">
        <v>311</v>
      </c>
      <c r="AV34" s="123">
        <v>1197</v>
      </c>
      <c r="AW34" s="123">
        <v>12</v>
      </c>
      <c r="AX34" s="132"/>
      <c r="AY34" s="123">
        <f>295</f>
        <v>295</v>
      </c>
      <c r="AZ34" s="123"/>
      <c r="BA34" s="144">
        <f t="shared" si="242"/>
        <v>295</v>
      </c>
      <c r="BB34" s="127">
        <v>85588</v>
      </c>
      <c r="BC34" s="145">
        <v>4.22</v>
      </c>
      <c r="BD34" s="146">
        <f t="shared" ref="BD34" si="276">+BA34*BC34</f>
        <v>1244.8999999999999</v>
      </c>
      <c r="BH34" s="147"/>
      <c r="BK34" s="144">
        <f t="shared" si="243"/>
        <v>0</v>
      </c>
      <c r="BO34" s="147"/>
      <c r="BR34" s="144">
        <f t="shared" si="244"/>
        <v>0</v>
      </c>
      <c r="BV34" s="147"/>
      <c r="BY34" s="144">
        <f t="shared" si="245"/>
        <v>0</v>
      </c>
      <c r="BZ34" s="148"/>
      <c r="CA34" s="149"/>
      <c r="CB34" s="150"/>
      <c r="CF34" s="147"/>
      <c r="CI34" s="151">
        <f t="shared" si="246"/>
        <v>0</v>
      </c>
      <c r="CJ34" s="148"/>
      <c r="CK34" s="149"/>
      <c r="CL34" s="150"/>
      <c r="CM34"/>
      <c r="CN34"/>
      <c r="CO34" s="152"/>
      <c r="CP34" s="153"/>
      <c r="CQ34" s="154">
        <f t="shared" si="247"/>
        <v>0</v>
      </c>
      <c r="CR34"/>
      <c r="CS34" s="155"/>
      <c r="CT34" s="153"/>
      <c r="CU34" s="154">
        <f t="shared" si="248"/>
        <v>0</v>
      </c>
      <c r="CV34"/>
      <c r="CX34" s="153"/>
      <c r="CY34" s="156"/>
      <c r="CZ34" s="156"/>
      <c r="DA34" s="128"/>
      <c r="DB34" s="123"/>
      <c r="DC34" s="157" t="s">
        <v>448</v>
      </c>
      <c r="DD34" s="157" t="s">
        <v>313</v>
      </c>
      <c r="DE34" s="127">
        <v>8</v>
      </c>
      <c r="DF34" s="158">
        <f>AVERAGE(1.3)</f>
        <v>1.3</v>
      </c>
      <c r="DG34" s="159"/>
      <c r="DH34" s="160"/>
      <c r="DI34" s="122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V34" s="123"/>
      <c r="DW34" s="123"/>
      <c r="DX34" s="123"/>
      <c r="DY34" s="123"/>
      <c r="DZ34" s="123"/>
      <c r="EA34" s="123"/>
      <c r="EB34" s="123"/>
      <c r="EC34" s="123"/>
      <c r="ED34" s="161">
        <f t="shared" si="263"/>
        <v>0</v>
      </c>
      <c r="EE34" s="123"/>
      <c r="EF34" s="123"/>
      <c r="EG34" s="123"/>
      <c r="EH34" s="123"/>
      <c r="EI34" s="123"/>
      <c r="EJ34" s="123"/>
      <c r="EK34" s="123"/>
      <c r="EL34" s="123"/>
      <c r="EM34" s="123"/>
      <c r="EN34" s="123"/>
      <c r="EO34" s="122"/>
      <c r="EP34" s="123"/>
      <c r="EQ34" s="123"/>
      <c r="ER34" s="123"/>
      <c r="ES34" s="123"/>
      <c r="ET34" s="123"/>
      <c r="EU34" s="123"/>
      <c r="EV34" s="124"/>
      <c r="EW34" s="123"/>
      <c r="EX34" s="123"/>
      <c r="EY34" s="123"/>
      <c r="EZ34" s="123"/>
      <c r="FA34" s="123"/>
      <c r="FB34" s="123"/>
      <c r="FC34" s="123"/>
      <c r="FD34" s="123"/>
      <c r="FE34" s="123"/>
      <c r="FF34" s="123"/>
      <c r="FG34" s="123"/>
      <c r="FH34" s="123"/>
      <c r="FI34" s="123"/>
      <c r="FJ34" s="124"/>
      <c r="FK34" s="123"/>
      <c r="FL34" s="123"/>
      <c r="FM34" s="123"/>
      <c r="FN34" s="123"/>
      <c r="FO34" s="123"/>
      <c r="FP34" s="123"/>
      <c r="FQ34" s="123"/>
      <c r="FR34" s="123"/>
      <c r="FS34" s="123"/>
      <c r="FT34" s="123"/>
      <c r="FU34" s="123"/>
      <c r="FV34" s="123"/>
      <c r="FW34" s="123"/>
      <c r="FX34" s="123"/>
      <c r="FY34" s="123"/>
      <c r="FZ34" s="123"/>
      <c r="GA34" s="123"/>
      <c r="GB34" s="123"/>
      <c r="GC34" s="123"/>
      <c r="GD34" s="123"/>
      <c r="GE34" s="123"/>
      <c r="GF34" s="123"/>
      <c r="GG34" s="123"/>
      <c r="GH34" s="123"/>
      <c r="GI34" s="123"/>
      <c r="GJ34" s="123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8">
        <f t="shared" si="264"/>
        <v>0</v>
      </c>
      <c r="GV34" s="162">
        <f t="shared" si="265"/>
        <v>45</v>
      </c>
      <c r="GW34" s="163">
        <f t="shared" si="266"/>
        <v>45</v>
      </c>
      <c r="GX34" s="163">
        <f t="shared" si="267"/>
        <v>45</v>
      </c>
      <c r="GY34" s="123">
        <v>0</v>
      </c>
      <c r="GZ34" s="123">
        <v>0</v>
      </c>
      <c r="HA34" s="123">
        <v>0</v>
      </c>
      <c r="HB34" s="123">
        <v>0</v>
      </c>
      <c r="HC34" s="128">
        <f t="shared" si="268"/>
        <v>0</v>
      </c>
      <c r="HD34" s="123" t="s">
        <v>314</v>
      </c>
      <c r="HE34" s="123" t="s">
        <v>315</v>
      </c>
      <c r="HF34" s="123" t="s">
        <v>316</v>
      </c>
      <c r="HG34" s="123" t="s">
        <v>318</v>
      </c>
      <c r="HH34" s="123" t="s">
        <v>289</v>
      </c>
      <c r="HI34" s="123" t="s">
        <v>319</v>
      </c>
      <c r="HJ34" s="123"/>
      <c r="HK34" s="123"/>
      <c r="HL34" s="127"/>
      <c r="HM34" s="127"/>
      <c r="HN34" s="127"/>
      <c r="HO34" s="127"/>
      <c r="HP34" s="127"/>
      <c r="HQ34" s="164">
        <f t="shared" si="269"/>
        <v>0</v>
      </c>
      <c r="HW34" s="164">
        <f t="shared" si="270"/>
        <v>0</v>
      </c>
      <c r="II34" s="164">
        <f t="shared" si="271"/>
        <v>0</v>
      </c>
      <c r="IV34" s="165">
        <f t="shared" si="272"/>
        <v>0</v>
      </c>
      <c r="JF34" s="165">
        <f t="shared" si="273"/>
        <v>0</v>
      </c>
      <c r="JG34" s="148">
        <v>0</v>
      </c>
      <c r="JH34" s="148" t="s">
        <v>320</v>
      </c>
      <c r="JI34" s="148"/>
      <c r="JJ34" s="148"/>
      <c r="JK34" s="148"/>
    </row>
    <row r="35" spans="1:271" ht="16.5" customHeight="1" x14ac:dyDescent="0.35">
      <c r="A35" t="s">
        <v>463</v>
      </c>
      <c r="B35" s="117" t="s">
        <v>273</v>
      </c>
      <c r="C35" s="118">
        <v>46061</v>
      </c>
      <c r="D35" s="119" t="s">
        <v>274</v>
      </c>
      <c r="E35" s="120" t="s">
        <v>299</v>
      </c>
      <c r="F35" s="120" t="s">
        <v>300</v>
      </c>
      <c r="G35" s="121" t="s">
        <v>445</v>
      </c>
      <c r="H35" s="122"/>
      <c r="I35" s="123" t="s">
        <v>283</v>
      </c>
      <c r="J35" s="124"/>
      <c r="K35" s="2" t="s">
        <v>455</v>
      </c>
      <c r="L35" s="125"/>
      <c r="M35" s="126" t="s">
        <v>321</v>
      </c>
      <c r="N35" s="127" t="s">
        <v>446</v>
      </c>
      <c r="O35" s="10" t="s">
        <v>447</v>
      </c>
      <c r="P35" s="128" t="s">
        <v>356</v>
      </c>
      <c r="Q35" s="129"/>
      <c r="R35" s="130"/>
      <c r="S35" s="130"/>
      <c r="T35" s="131" t="str">
        <f t="shared" si="274"/>
        <v/>
      </c>
      <c r="U35" s="132">
        <v>1</v>
      </c>
      <c r="V35" s="133"/>
      <c r="W35" s="133"/>
      <c r="X35" s="134">
        <v>315</v>
      </c>
      <c r="Y35" s="134"/>
      <c r="Z35" s="134">
        <v>14000</v>
      </c>
      <c r="AA35" s="134"/>
      <c r="AB35" s="135">
        <v>2</v>
      </c>
      <c r="AC35" s="136">
        <f t="shared" si="260"/>
        <v>317</v>
      </c>
      <c r="AD35" s="137">
        <f t="shared" ref="AD35:AD37" si="277">+AC35-X35</f>
        <v>2</v>
      </c>
      <c r="AE35" s="138">
        <f t="shared" si="275"/>
        <v>0</v>
      </c>
      <c r="AF35" s="139">
        <f t="shared" si="261"/>
        <v>0</v>
      </c>
      <c r="AG35" s="123"/>
      <c r="AH35" s="122"/>
      <c r="AI35" s="122"/>
      <c r="AJ35" s="140"/>
      <c r="AK35" s="141" t="str">
        <f t="shared" ref="AK35:AK36" si="278">IF(AJ35*60=0,"",AJ35*60)</f>
        <v/>
      </c>
      <c r="AL35" s="142">
        <v>0.33333333333333337</v>
      </c>
      <c r="AM35" s="142">
        <v>0.49652777777777779</v>
      </c>
      <c r="AN35" s="143">
        <f t="shared" si="262"/>
        <v>234.99999999999997</v>
      </c>
      <c r="AO35" s="123"/>
      <c r="AP35" s="123"/>
      <c r="AQ35" s="127"/>
      <c r="AR35" s="123"/>
      <c r="AS35" s="123"/>
      <c r="AT35" s="123"/>
      <c r="AU35" s="123" t="s">
        <v>357</v>
      </c>
      <c r="AV35" s="123">
        <v>1197</v>
      </c>
      <c r="AW35" s="123">
        <v>12</v>
      </c>
      <c r="AX35" s="132">
        <v>1</v>
      </c>
      <c r="AY35" s="123">
        <v>317</v>
      </c>
      <c r="AZ35" s="123"/>
      <c r="BA35" s="144">
        <f t="shared" ref="BA35:BA37" si="279">SUM(AY35+AZ35)</f>
        <v>317</v>
      </c>
      <c r="BB35" s="127"/>
      <c r="BC35" s="145"/>
      <c r="BD35" s="146"/>
      <c r="BH35" s="147"/>
      <c r="BK35" s="144">
        <f t="shared" ref="BK35:BK37" si="280">SUM(BI35+BJ35)</f>
        <v>0</v>
      </c>
      <c r="BO35" s="147"/>
      <c r="BR35" s="144">
        <f t="shared" ref="BR35:BR37" si="281">SUM(BP35+BQ35)</f>
        <v>0</v>
      </c>
      <c r="BV35" s="147"/>
      <c r="BY35" s="144">
        <f t="shared" ref="BY35:BY37" si="282">SUM(BW35+BX35)</f>
        <v>0</v>
      </c>
      <c r="BZ35" s="148"/>
      <c r="CA35" s="149"/>
      <c r="CB35" s="150"/>
      <c r="CF35" s="147"/>
      <c r="CI35" s="151">
        <f t="shared" ref="CI35:CI37" si="283">SUM(CG35+CH35)</f>
        <v>0</v>
      </c>
      <c r="CJ35" s="148"/>
      <c r="CK35" s="149"/>
      <c r="CL35" s="150"/>
      <c r="CM35"/>
      <c r="CN35"/>
      <c r="CO35" s="152"/>
      <c r="CP35" s="153"/>
      <c r="CQ35" s="154">
        <f t="shared" ref="CQ35:CQ37" si="284">IF(CM35="811 A",CN35/1.667,IF(CM35="MB635",CN35/1.33,IF(CM35="MB655",CN35/1.43,IF(CM35="LG 59A",CN35/1.667,IF(CM35="HB 6680",CN35/1.25,IF(CM35="MB688",CN35/1.25,CN35))))))</f>
        <v>0</v>
      </c>
      <c r="CR35"/>
      <c r="CS35" s="155"/>
      <c r="CT35" s="153"/>
      <c r="CU35" s="154">
        <f t="shared" ref="CU35:CU37" si="285">IF(CM35="811 A",CR35/1.33,IF(CM35="HB 6680",CR35/1.33,IF(CM35="MB688",CR35/1.333,CR35)))</f>
        <v>0</v>
      </c>
      <c r="CV35"/>
      <c r="CX35" s="153"/>
      <c r="CY35" s="156"/>
      <c r="CZ35" s="156"/>
      <c r="DA35" s="128"/>
      <c r="DB35" s="123"/>
      <c r="DC35" s="157" t="s">
        <v>448</v>
      </c>
      <c r="DD35" s="157" t="s">
        <v>313</v>
      </c>
      <c r="DE35" s="127"/>
      <c r="DF35" s="158"/>
      <c r="DG35" s="159"/>
      <c r="DH35" s="160"/>
      <c r="DI35" s="122"/>
      <c r="DK35" s="123">
        <v>10</v>
      </c>
      <c r="DL35" s="123"/>
      <c r="DM35" s="123"/>
      <c r="DN35" s="123"/>
      <c r="DO35" s="123"/>
      <c r="DP35" s="123"/>
      <c r="DQ35" s="123"/>
      <c r="DR35" s="123"/>
      <c r="DS35" s="123"/>
      <c r="DT35" s="123"/>
      <c r="DV35" s="123"/>
      <c r="DW35" s="123"/>
      <c r="DX35" s="123"/>
      <c r="DY35" s="123"/>
      <c r="DZ35" s="123"/>
      <c r="EA35" s="123"/>
      <c r="EB35" s="123"/>
      <c r="EC35" s="123"/>
      <c r="ED35" s="161">
        <f t="shared" si="263"/>
        <v>10</v>
      </c>
      <c r="EE35" s="123"/>
      <c r="EF35" s="123">
        <v>10</v>
      </c>
      <c r="EG35" s="123"/>
      <c r="EH35" s="123"/>
      <c r="EI35" s="123"/>
      <c r="EJ35" s="123"/>
      <c r="EK35" s="123"/>
      <c r="EL35" s="123"/>
      <c r="EM35" s="123"/>
      <c r="EN35" s="123"/>
      <c r="EO35" s="122"/>
      <c r="EP35" s="123"/>
      <c r="EQ35" s="123"/>
      <c r="ER35" s="123">
        <v>20</v>
      </c>
      <c r="ES35" s="123">
        <v>10</v>
      </c>
      <c r="ET35" s="123"/>
      <c r="EU35" s="123"/>
      <c r="EV35" s="124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4"/>
      <c r="FK35" s="123"/>
      <c r="FL35" s="123"/>
      <c r="FM35" s="123"/>
      <c r="FN35" s="123"/>
      <c r="FO35" s="123">
        <v>10</v>
      </c>
      <c r="FP35" s="123"/>
      <c r="FQ35" s="123"/>
      <c r="FR35" s="123">
        <v>10</v>
      </c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8">
        <f t="shared" si="264"/>
        <v>60</v>
      </c>
      <c r="GV35" s="162">
        <f t="shared" si="265"/>
        <v>164.99999999999997</v>
      </c>
      <c r="GW35" s="163">
        <f t="shared" si="266"/>
        <v>204.99999999999997</v>
      </c>
      <c r="GX35" s="163">
        <f t="shared" si="267"/>
        <v>174.99999999999997</v>
      </c>
      <c r="GY35" s="123"/>
      <c r="GZ35" s="123"/>
      <c r="HA35" s="123"/>
      <c r="HB35" s="123"/>
      <c r="HC35" s="128">
        <f t="shared" si="268"/>
        <v>0</v>
      </c>
      <c r="HD35" s="123" t="s">
        <v>358</v>
      </c>
      <c r="HE35" s="123" t="s">
        <v>289</v>
      </c>
      <c r="HF35" s="123" t="s">
        <v>289</v>
      </c>
      <c r="HG35" s="123" t="s">
        <v>289</v>
      </c>
      <c r="HH35" s="123" t="s">
        <v>289</v>
      </c>
      <c r="HI35" s="123" t="s">
        <v>289</v>
      </c>
      <c r="HJ35" s="123"/>
      <c r="HK35" s="123"/>
      <c r="HL35" s="127"/>
      <c r="HM35" s="127"/>
      <c r="HN35" s="127"/>
      <c r="HO35" s="127"/>
      <c r="HP35" s="127"/>
      <c r="HQ35" s="164">
        <f t="shared" si="269"/>
        <v>0</v>
      </c>
      <c r="HU35">
        <v>2</v>
      </c>
      <c r="HV35" t="s">
        <v>364</v>
      </c>
      <c r="HW35" s="164">
        <f t="shared" si="270"/>
        <v>2</v>
      </c>
      <c r="II35" s="164">
        <f t="shared" si="271"/>
        <v>0</v>
      </c>
      <c r="IV35" s="165">
        <f t="shared" si="272"/>
        <v>0</v>
      </c>
      <c r="JF35" s="165">
        <f t="shared" si="273"/>
        <v>0</v>
      </c>
      <c r="JG35" s="148"/>
      <c r="JH35" s="148"/>
      <c r="JI35" s="148"/>
      <c r="JJ35" s="148"/>
      <c r="JK35" s="148"/>
    </row>
    <row r="36" spans="1:271" ht="16.5" customHeight="1" x14ac:dyDescent="0.35">
      <c r="A36" t="s">
        <v>464</v>
      </c>
      <c r="B36" s="117" t="s">
        <v>273</v>
      </c>
      <c r="C36" s="118">
        <v>46061</v>
      </c>
      <c r="D36" s="119" t="s">
        <v>291</v>
      </c>
      <c r="E36" s="120" t="s">
        <v>299</v>
      </c>
      <c r="F36" s="120" t="s">
        <v>300</v>
      </c>
      <c r="G36" s="121" t="s">
        <v>445</v>
      </c>
      <c r="H36" s="122"/>
      <c r="I36" s="123" t="s">
        <v>283</v>
      </c>
      <c r="J36" s="124"/>
      <c r="K36" s="2" t="s">
        <v>455</v>
      </c>
      <c r="L36" s="125"/>
      <c r="M36" s="126" t="s">
        <v>321</v>
      </c>
      <c r="N36" s="127" t="s">
        <v>446</v>
      </c>
      <c r="O36" s="10" t="s">
        <v>447</v>
      </c>
      <c r="P36" s="128" t="s">
        <v>356</v>
      </c>
      <c r="Q36" s="129"/>
      <c r="R36" s="130"/>
      <c r="S36" s="130"/>
      <c r="T36" s="131" t="str">
        <f t="shared" si="274"/>
        <v/>
      </c>
      <c r="U36" s="132">
        <v>1</v>
      </c>
      <c r="V36" s="133"/>
      <c r="W36" s="133"/>
      <c r="X36" s="134">
        <v>195</v>
      </c>
      <c r="Y36" s="134"/>
      <c r="Z36" s="134">
        <v>8800</v>
      </c>
      <c r="AA36" s="134"/>
      <c r="AB36" s="135">
        <v>26</v>
      </c>
      <c r="AC36" s="136">
        <f t="shared" si="260"/>
        <v>221</v>
      </c>
      <c r="AD36" s="137">
        <f t="shared" si="277"/>
        <v>26</v>
      </c>
      <c r="AE36" s="138">
        <f t="shared" si="275"/>
        <v>0</v>
      </c>
      <c r="AF36" s="139">
        <f t="shared" si="261"/>
        <v>0</v>
      </c>
      <c r="AG36" s="123"/>
      <c r="AH36" s="122"/>
      <c r="AI36" s="122"/>
      <c r="AJ36" s="140"/>
      <c r="AK36" s="141" t="str">
        <f t="shared" si="278"/>
        <v/>
      </c>
      <c r="AL36" s="142">
        <v>0.20069444444444445</v>
      </c>
      <c r="AM36" s="142">
        <v>0.30208333333333331</v>
      </c>
      <c r="AN36" s="143">
        <f t="shared" si="262"/>
        <v>145.99999999999997</v>
      </c>
      <c r="AO36" s="123"/>
      <c r="AP36" s="123"/>
      <c r="AQ36" s="127"/>
      <c r="AR36" s="123"/>
      <c r="AS36" s="123"/>
      <c r="AT36" s="123"/>
      <c r="AU36" s="123" t="s">
        <v>357</v>
      </c>
      <c r="AV36" s="123">
        <v>1197</v>
      </c>
      <c r="AW36" s="123">
        <v>12</v>
      </c>
      <c r="AX36" s="132">
        <v>2</v>
      </c>
      <c r="AY36" s="123">
        <f>161+60</f>
        <v>221</v>
      </c>
      <c r="AZ36" s="123"/>
      <c r="BA36" s="144">
        <f t="shared" si="279"/>
        <v>221</v>
      </c>
      <c r="BB36" s="127"/>
      <c r="BC36" s="145"/>
      <c r="BD36" s="146"/>
      <c r="BH36" s="147"/>
      <c r="BK36" s="144">
        <f t="shared" si="280"/>
        <v>0</v>
      </c>
      <c r="BO36" s="147"/>
      <c r="BR36" s="144">
        <f t="shared" si="281"/>
        <v>0</v>
      </c>
      <c r="BV36" s="147"/>
      <c r="BY36" s="144">
        <f t="shared" si="282"/>
        <v>0</v>
      </c>
      <c r="BZ36" s="148"/>
      <c r="CA36" s="149"/>
      <c r="CB36" s="150"/>
      <c r="CF36" s="147"/>
      <c r="CI36" s="151">
        <f t="shared" si="283"/>
        <v>0</v>
      </c>
      <c r="CJ36" s="148"/>
      <c r="CK36" s="149"/>
      <c r="CL36" s="150"/>
      <c r="CM36"/>
      <c r="CN36"/>
      <c r="CO36" s="152"/>
      <c r="CP36" s="153"/>
      <c r="CQ36" s="154">
        <f t="shared" si="284"/>
        <v>0</v>
      </c>
      <c r="CR36"/>
      <c r="CS36" s="155"/>
      <c r="CT36" s="153"/>
      <c r="CU36" s="154">
        <f t="shared" si="285"/>
        <v>0</v>
      </c>
      <c r="CV36"/>
      <c r="CX36" s="153"/>
      <c r="CY36" s="156"/>
      <c r="CZ36" s="156"/>
      <c r="DA36" s="128"/>
      <c r="DB36" s="123"/>
      <c r="DC36" s="157" t="s">
        <v>448</v>
      </c>
      <c r="DD36" s="157" t="s">
        <v>313</v>
      </c>
      <c r="DE36" s="127"/>
      <c r="DF36" s="158"/>
      <c r="DG36" s="159"/>
      <c r="DH36" s="160"/>
      <c r="DI36" s="122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V36" s="123"/>
      <c r="DW36" s="123"/>
      <c r="DX36" s="123"/>
      <c r="DY36" s="123"/>
      <c r="DZ36" s="123"/>
      <c r="EA36" s="123"/>
      <c r="EB36" s="123"/>
      <c r="EC36" s="123"/>
      <c r="ED36" s="161">
        <f t="shared" si="263"/>
        <v>0</v>
      </c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2"/>
      <c r="EP36" s="123"/>
      <c r="EQ36" s="123"/>
      <c r="ER36" s="123"/>
      <c r="ES36" s="123"/>
      <c r="ET36" s="123"/>
      <c r="EU36" s="123"/>
      <c r="EV36" s="124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4"/>
      <c r="FK36" s="123"/>
      <c r="FL36" s="123"/>
      <c r="FM36" s="123"/>
      <c r="FN36" s="123"/>
      <c r="FO36" s="123"/>
      <c r="FP36" s="123"/>
      <c r="FQ36" s="123"/>
      <c r="FR36" s="123">
        <v>10</v>
      </c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8">
        <f t="shared" si="264"/>
        <v>10</v>
      </c>
      <c r="GV36" s="162">
        <f t="shared" si="265"/>
        <v>135.99999999999997</v>
      </c>
      <c r="GW36" s="163">
        <f t="shared" si="266"/>
        <v>145.99999999999997</v>
      </c>
      <c r="GX36" s="163">
        <f t="shared" si="267"/>
        <v>135.99999999999997</v>
      </c>
      <c r="GY36" s="123"/>
      <c r="GZ36" s="123"/>
      <c r="HA36" s="123"/>
      <c r="HB36" s="123"/>
      <c r="HC36" s="128">
        <f t="shared" si="268"/>
        <v>0</v>
      </c>
      <c r="HD36" s="123" t="s">
        <v>363</v>
      </c>
      <c r="HE36" s="123" t="s">
        <v>289</v>
      </c>
      <c r="HF36" s="123" t="s">
        <v>289</v>
      </c>
      <c r="HG36" s="123" t="s">
        <v>289</v>
      </c>
      <c r="HH36" s="123" t="s">
        <v>289</v>
      </c>
      <c r="HI36" s="123" t="s">
        <v>329</v>
      </c>
      <c r="HJ36" s="123"/>
      <c r="HK36" s="123"/>
      <c r="HL36" s="127"/>
      <c r="HM36" s="127"/>
      <c r="HN36" s="127"/>
      <c r="HO36" s="127"/>
      <c r="HP36" s="127"/>
      <c r="HQ36" s="164">
        <f t="shared" si="269"/>
        <v>0</v>
      </c>
      <c r="HW36" s="164">
        <f t="shared" si="270"/>
        <v>0</v>
      </c>
      <c r="II36" s="164">
        <f t="shared" si="271"/>
        <v>0</v>
      </c>
      <c r="IV36" s="165">
        <f t="shared" si="272"/>
        <v>0</v>
      </c>
      <c r="JF36" s="165">
        <f t="shared" si="273"/>
        <v>0</v>
      </c>
      <c r="JG36" s="148">
        <v>1</v>
      </c>
      <c r="JH36" s="148"/>
      <c r="JI36" s="148"/>
      <c r="JJ36" s="148"/>
      <c r="JK36" s="148"/>
    </row>
    <row r="37" spans="1:271" ht="16.5" customHeight="1" x14ac:dyDescent="0.35">
      <c r="A37" t="s">
        <v>467</v>
      </c>
      <c r="B37" s="117" t="s">
        <v>273</v>
      </c>
      <c r="C37" s="118">
        <v>46061</v>
      </c>
      <c r="D37" s="119" t="s">
        <v>274</v>
      </c>
      <c r="E37" s="120" t="s">
        <v>307</v>
      </c>
      <c r="F37" s="120" t="s">
        <v>305</v>
      </c>
      <c r="G37" s="121" t="s">
        <v>280</v>
      </c>
      <c r="H37" s="122"/>
      <c r="I37" s="123"/>
      <c r="J37" s="124"/>
      <c r="K37" s="2"/>
      <c r="L37" s="125"/>
      <c r="M37" s="126" t="s">
        <v>280</v>
      </c>
      <c r="N37" s="127" t="s">
        <v>280</v>
      </c>
      <c r="O37" s="10" t="s">
        <v>297</v>
      </c>
      <c r="P37" s="128"/>
      <c r="Q37" s="129"/>
      <c r="R37" s="130"/>
      <c r="S37" s="130"/>
      <c r="T37" s="131" t="str">
        <f t="shared" si="274"/>
        <v/>
      </c>
      <c r="U37" s="132"/>
      <c r="V37" s="133"/>
      <c r="W37" s="133"/>
      <c r="X37" s="134"/>
      <c r="Y37" s="134" t="s">
        <v>289</v>
      </c>
      <c r="Z37" s="134"/>
      <c r="AA37" s="134"/>
      <c r="AB37" s="135"/>
      <c r="AC37" s="136">
        <f t="shared" ref="AC37" si="286">BA37+AF37+BK37+BR37+BY37+CI37+CQ37+CU37</f>
        <v>0</v>
      </c>
      <c r="AD37" s="137">
        <f t="shared" si="277"/>
        <v>0</v>
      </c>
      <c r="AE37" s="138">
        <f t="shared" si="275"/>
        <v>0</v>
      </c>
      <c r="AF37" s="139">
        <f t="shared" ref="AF37" si="287">IFERROR(+(Z37*AV37*DF37)/10^6,0)</f>
        <v>0</v>
      </c>
      <c r="AG37" s="123"/>
      <c r="AH37" s="122"/>
      <c r="AI37" s="122"/>
      <c r="AJ37" s="140"/>
      <c r="AK37" s="141"/>
      <c r="AL37" s="142">
        <v>0.30208333333333331</v>
      </c>
      <c r="AM37" s="142">
        <v>0.80208333333333337</v>
      </c>
      <c r="AN37" s="143">
        <f t="shared" ref="AN37" si="288">IF(AM37&gt;AL37,((AM37-AL37)*1440),(1440+(AM37-AL37)*1440))</f>
        <v>720</v>
      </c>
      <c r="AO37" s="123"/>
      <c r="AP37" s="123"/>
      <c r="AQ37" s="127"/>
      <c r="AR37" s="123"/>
      <c r="AS37" s="123"/>
      <c r="AT37" s="123"/>
      <c r="AU37" s="123"/>
      <c r="AV37" s="123"/>
      <c r="AW37" s="123"/>
      <c r="AX37" s="132"/>
      <c r="AY37" s="123"/>
      <c r="AZ37" s="123"/>
      <c r="BA37" s="144">
        <f t="shared" si="279"/>
        <v>0</v>
      </c>
      <c r="BB37" s="127"/>
      <c r="BC37" s="145"/>
      <c r="BD37" s="146"/>
      <c r="BH37" s="147"/>
      <c r="BK37" s="144">
        <f t="shared" si="280"/>
        <v>0</v>
      </c>
      <c r="BO37" s="147"/>
      <c r="BR37" s="144">
        <f t="shared" si="281"/>
        <v>0</v>
      </c>
      <c r="BV37" s="147"/>
      <c r="BY37" s="144">
        <f t="shared" si="282"/>
        <v>0</v>
      </c>
      <c r="BZ37" s="148"/>
      <c r="CA37" s="149"/>
      <c r="CB37" s="150"/>
      <c r="CF37" s="147"/>
      <c r="CI37" s="151">
        <f t="shared" si="283"/>
        <v>0</v>
      </c>
      <c r="CJ37" s="148"/>
      <c r="CK37" s="149"/>
      <c r="CL37" s="150"/>
      <c r="CM37"/>
      <c r="CN37"/>
      <c r="CO37" s="152"/>
      <c r="CP37" s="153"/>
      <c r="CQ37" s="154">
        <f t="shared" si="284"/>
        <v>0</v>
      </c>
      <c r="CR37"/>
      <c r="CS37" s="155"/>
      <c r="CT37" s="153"/>
      <c r="CU37" s="154">
        <f t="shared" si="285"/>
        <v>0</v>
      </c>
      <c r="CV37"/>
      <c r="CX37" s="153"/>
      <c r="CY37" s="156"/>
      <c r="CZ37" s="156"/>
      <c r="DA37" s="128"/>
      <c r="DB37" s="123"/>
      <c r="DC37" s="157" t="s">
        <v>280</v>
      </c>
      <c r="DD37" s="157" t="s">
        <v>280</v>
      </c>
      <c r="DE37" s="127"/>
      <c r="DF37" s="158"/>
      <c r="DG37" s="159"/>
      <c r="DH37" s="160" t="s">
        <v>250</v>
      </c>
      <c r="DI37" s="122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V37" s="123"/>
      <c r="DW37" s="123"/>
      <c r="DX37" s="123"/>
      <c r="DY37" s="123"/>
      <c r="DZ37" s="123"/>
      <c r="EA37" s="123"/>
      <c r="EB37" s="123"/>
      <c r="EC37" s="123"/>
      <c r="ED37" s="161">
        <f t="shared" ref="ED37" si="289">SUM(DK37:EC37)</f>
        <v>0</v>
      </c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2"/>
      <c r="EP37" s="123"/>
      <c r="EQ37" s="123"/>
      <c r="ER37" s="123">
        <v>720</v>
      </c>
      <c r="ES37" s="123"/>
      <c r="ET37" s="123"/>
      <c r="EU37" s="123"/>
      <c r="EV37" s="124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4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8">
        <f t="shared" ref="GU37" si="290">SUM(EE37:GO37,GR37)</f>
        <v>720</v>
      </c>
      <c r="GV37" s="162">
        <f t="shared" ref="GV37" si="291">AN37-ED37-GU37</f>
        <v>0</v>
      </c>
      <c r="GW37" s="163">
        <f t="shared" ref="GW37" si="292">AN37-ED37-ER37-FN37</f>
        <v>0</v>
      </c>
      <c r="GX37" s="163">
        <f t="shared" ref="GX37" si="293">AN37-GU37</f>
        <v>0</v>
      </c>
      <c r="GY37" s="123"/>
      <c r="GZ37" s="123"/>
      <c r="HA37" s="123"/>
      <c r="HB37" s="123"/>
      <c r="HC37" s="128">
        <f t="shared" ref="HC37" si="294">SUM(GY37:HB37)</f>
        <v>0</v>
      </c>
      <c r="HD37" s="123" t="s">
        <v>289</v>
      </c>
      <c r="HE37" s="123" t="s">
        <v>289</v>
      </c>
      <c r="HF37" s="123" t="s">
        <v>289</v>
      </c>
      <c r="HG37" s="123" t="s">
        <v>289</v>
      </c>
      <c r="HH37" s="123" t="s">
        <v>289</v>
      </c>
      <c r="HI37" s="123" t="s">
        <v>289</v>
      </c>
      <c r="HJ37" s="123"/>
      <c r="HK37" s="123"/>
      <c r="HL37" s="127"/>
      <c r="HM37" s="127"/>
      <c r="HN37" s="127"/>
      <c r="HO37" s="127"/>
      <c r="HP37" s="127"/>
      <c r="HQ37" s="164">
        <f t="shared" si="269"/>
        <v>0</v>
      </c>
      <c r="HW37" s="164">
        <f t="shared" ref="HW37" si="295">SUM(HR37:HU37)</f>
        <v>0</v>
      </c>
      <c r="II37" s="164">
        <f t="shared" ref="II37" si="296">SUM(HX37:IG37)</f>
        <v>0</v>
      </c>
      <c r="IV37" s="165">
        <f t="shared" ref="IV37" si="297">SUM(IJ37:IT37)</f>
        <v>0</v>
      </c>
      <c r="JF37" s="165">
        <f t="shared" ref="JF37" si="298">SUM(IW37:JD37)</f>
        <v>0</v>
      </c>
      <c r="JG37" s="148"/>
      <c r="JH37" s="148"/>
      <c r="JI37" s="148"/>
      <c r="JJ37" s="148"/>
      <c r="JK37" s="148"/>
    </row>
    <row r="38" spans="1:271" ht="16.5" customHeight="1" x14ac:dyDescent="0.35">
      <c r="A38" t="s">
        <v>468</v>
      </c>
      <c r="B38" s="117" t="s">
        <v>273</v>
      </c>
      <c r="C38" s="118">
        <v>46062</v>
      </c>
      <c r="D38" s="119" t="s">
        <v>274</v>
      </c>
      <c r="E38" s="120" t="s">
        <v>308</v>
      </c>
      <c r="F38" s="120" t="s">
        <v>300</v>
      </c>
      <c r="G38" s="121" t="s">
        <v>323</v>
      </c>
      <c r="H38" s="122">
        <v>0.88</v>
      </c>
      <c r="I38" s="123"/>
      <c r="J38" s="124"/>
      <c r="K38" s="2" t="s">
        <v>334</v>
      </c>
      <c r="L38" s="125"/>
      <c r="M38" s="126" t="s">
        <v>310</v>
      </c>
      <c r="N38" s="127" t="s">
        <v>324</v>
      </c>
      <c r="O38" s="10" t="s">
        <v>335</v>
      </c>
      <c r="P38" s="128"/>
      <c r="Q38" s="129"/>
      <c r="R38" s="130"/>
      <c r="S38" s="130"/>
      <c r="T38" s="131">
        <f t="shared" ref="T38:T39" si="299">IF(H38*U38=0,"",H38*U38)</f>
        <v>0.88</v>
      </c>
      <c r="U38" s="132">
        <v>1</v>
      </c>
      <c r="V38" s="133"/>
      <c r="W38" s="133"/>
      <c r="X38" s="134">
        <f>Y38-T38</f>
        <v>34.82</v>
      </c>
      <c r="Y38" s="134">
        <f>35.7</f>
        <v>35.700000000000003</v>
      </c>
      <c r="Z38" s="134"/>
      <c r="AA38" s="134"/>
      <c r="AB38" s="135">
        <v>4.26</v>
      </c>
      <c r="AC38" s="136">
        <f t="shared" ref="AC38:AC39" si="300">BA38+AF38+BK38+BR38+BY38+CI38+CQ38+CU38</f>
        <v>39.08</v>
      </c>
      <c r="AD38" s="137">
        <f t="shared" ref="AD38:AD39" si="301">+AC38-X38</f>
        <v>4.259999999999998</v>
      </c>
      <c r="AE38" s="138">
        <f t="shared" ref="AE38:AE39" si="302">AD38-AB38</f>
        <v>0</v>
      </c>
      <c r="AF38" s="139">
        <f t="shared" ref="AF38:AF39" si="303">IFERROR(+(Z38*AV38*DF38)/10^6,0)</f>
        <v>0</v>
      </c>
      <c r="AG38" s="123"/>
      <c r="AH38" s="122"/>
      <c r="AI38" s="122" t="s">
        <v>426</v>
      </c>
      <c r="AJ38" s="140"/>
      <c r="AK38" s="141" t="s">
        <v>289</v>
      </c>
      <c r="AL38" s="142">
        <v>0.58333333333333337</v>
      </c>
      <c r="AM38" s="142">
        <v>0.625</v>
      </c>
      <c r="AN38" s="143">
        <f t="shared" ref="AN38:AN39" si="304">IF(AM38&gt;AL38,((AM38-AL38)*1440),(1440+(AM38-AL38)*1440))</f>
        <v>59.999999999999943</v>
      </c>
      <c r="AO38" s="123"/>
      <c r="AP38" s="123"/>
      <c r="AQ38" s="127"/>
      <c r="AR38" s="123"/>
      <c r="AS38" s="123"/>
      <c r="AT38" s="123"/>
      <c r="AU38" s="123"/>
      <c r="AV38" s="123"/>
      <c r="AW38" s="123"/>
      <c r="AX38" s="132">
        <v>1</v>
      </c>
      <c r="AY38" s="123">
        <f>39.96-0.88*1</f>
        <v>39.08</v>
      </c>
      <c r="AZ38" s="123"/>
      <c r="BA38" s="144">
        <f t="shared" ref="BA38:BA39" si="305">SUM(AY38+AZ38)</f>
        <v>39.08</v>
      </c>
      <c r="BB38" s="127"/>
      <c r="BC38" s="145"/>
      <c r="BD38" s="146"/>
      <c r="BH38" s="147"/>
      <c r="BK38" s="144">
        <f t="shared" ref="BK38:BK39" si="306">SUM(BI38+BJ38)</f>
        <v>0</v>
      </c>
      <c r="BO38" s="147"/>
      <c r="BR38" s="144">
        <f t="shared" ref="BR38:BR39" si="307">SUM(BP38+BQ38)</f>
        <v>0</v>
      </c>
      <c r="BV38" s="147"/>
      <c r="BY38" s="144">
        <f t="shared" ref="BY38:BY39" si="308">SUM(BW38+BX38)</f>
        <v>0</v>
      </c>
      <c r="BZ38" s="148"/>
      <c r="CA38" s="149"/>
      <c r="CB38" s="150"/>
      <c r="CF38" s="147"/>
      <c r="CI38" s="151">
        <f t="shared" ref="CI38:CI39" si="309">SUM(CG38+CH38)</f>
        <v>0</v>
      </c>
      <c r="CJ38" s="148"/>
      <c r="CK38" s="149"/>
      <c r="CL38" s="150"/>
      <c r="CM38"/>
      <c r="CN38"/>
      <c r="CO38" s="152"/>
      <c r="CP38" s="153"/>
      <c r="CQ38" s="154">
        <f t="shared" ref="CQ38:CQ39" si="310">IF(CM38="811 A",CN38/1.667,IF(CM38="MB635",CN38/1.33,IF(CM38="MB655",CN38/1.43,IF(CM38="LG 59A",CN38/1.667,IF(CM38="HB 6680",CN38/1.25,IF(CM38="MB688",CN38/1.25,CN38))))))</f>
        <v>0</v>
      </c>
      <c r="CR38"/>
      <c r="CS38" s="155"/>
      <c r="CT38" s="153"/>
      <c r="CU38" s="154">
        <f t="shared" ref="CU38:CU39" si="311">IF(CM38="811 A",CR38/1.33,IF(CM38="HB 6680",CR38/1.33,IF(CM38="MB688",CR38/1.333,CR38)))</f>
        <v>0</v>
      </c>
      <c r="CV38"/>
      <c r="CX38" s="153"/>
      <c r="CY38" s="156"/>
      <c r="CZ38" s="156"/>
      <c r="DA38" s="128"/>
      <c r="DB38" s="123"/>
      <c r="DC38" s="157" t="s">
        <v>325</v>
      </c>
      <c r="DD38" s="157" t="s">
        <v>313</v>
      </c>
      <c r="DE38" s="127"/>
      <c r="DF38" s="158"/>
      <c r="DG38" s="159"/>
      <c r="DH38" s="160"/>
      <c r="DI38" s="122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V38" s="123"/>
      <c r="DW38" s="123"/>
      <c r="DX38" s="123"/>
      <c r="DY38" s="123"/>
      <c r="DZ38" s="123"/>
      <c r="EA38" s="123"/>
      <c r="EB38" s="123"/>
      <c r="EC38" s="123"/>
      <c r="ED38" s="161">
        <f t="shared" ref="ED38:ED39" si="312">SUM(DK38:EC38)</f>
        <v>0</v>
      </c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2"/>
      <c r="EP38" s="123"/>
      <c r="EQ38" s="123"/>
      <c r="ER38" s="123"/>
      <c r="ES38" s="123"/>
      <c r="ET38" s="123"/>
      <c r="EU38" s="123"/>
      <c r="EV38" s="124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4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8">
        <f t="shared" ref="GU38:GU39" si="313">SUM(EE38:GO38,GR38)</f>
        <v>0</v>
      </c>
      <c r="GV38" s="162">
        <f t="shared" ref="GV38:GV39" si="314">AN38-ED38-GU38</f>
        <v>59.999999999999943</v>
      </c>
      <c r="GW38" s="163">
        <f t="shared" ref="GW38:GW39" si="315">AN38-ED38-ER38-FN38</f>
        <v>59.999999999999943</v>
      </c>
      <c r="GX38" s="163">
        <f t="shared" ref="GX38:GX39" si="316">AN38-GU38</f>
        <v>59.999999999999943</v>
      </c>
      <c r="GY38" s="123"/>
      <c r="GZ38" s="123"/>
      <c r="HA38" s="123"/>
      <c r="HB38" s="123"/>
      <c r="HC38" s="128">
        <f t="shared" ref="HC38:HC39" si="317">SUM(GY38:HB38)</f>
        <v>0</v>
      </c>
      <c r="HD38" s="123" t="s">
        <v>289</v>
      </c>
      <c r="HE38" s="123" t="s">
        <v>289</v>
      </c>
      <c r="HF38" s="123" t="s">
        <v>289</v>
      </c>
      <c r="HG38" s="123" t="s">
        <v>289</v>
      </c>
      <c r="HH38" s="123" t="s">
        <v>289</v>
      </c>
      <c r="HI38" s="123" t="s">
        <v>289</v>
      </c>
      <c r="HJ38" s="123"/>
      <c r="HK38" s="123"/>
      <c r="HL38" s="127"/>
      <c r="HM38" s="127"/>
      <c r="HN38" s="127"/>
      <c r="HO38" s="127"/>
      <c r="HP38" s="127"/>
      <c r="HQ38" s="164">
        <f t="shared" ref="HQ38:HQ39" si="318">SUM(HL38:HP38)</f>
        <v>0</v>
      </c>
      <c r="HW38" s="164">
        <f t="shared" ref="HW38:HW39" si="319">SUM(HR38:HU38)</f>
        <v>0</v>
      </c>
      <c r="II38" s="164">
        <f t="shared" ref="II38:II39" si="320">SUM(HX38:IG38)</f>
        <v>0</v>
      </c>
      <c r="IV38" s="165">
        <f t="shared" ref="IV38:IV39" si="321">SUM(IJ38:IT38)</f>
        <v>0</v>
      </c>
      <c r="JF38" s="165">
        <f t="shared" ref="JF38:JF39" si="322">SUM(IW38:JD38)</f>
        <v>0</v>
      </c>
      <c r="JG38" s="148"/>
      <c r="JH38" s="148"/>
      <c r="JI38" s="148"/>
      <c r="JJ38" s="148"/>
      <c r="JK38" s="148"/>
    </row>
    <row r="39" spans="1:271" ht="16.5" customHeight="1" x14ac:dyDescent="0.35">
      <c r="A39" t="s">
        <v>469</v>
      </c>
      <c r="B39" s="117" t="s">
        <v>273</v>
      </c>
      <c r="C39" s="118">
        <v>46062</v>
      </c>
      <c r="D39" s="119" t="s">
        <v>274</v>
      </c>
      <c r="E39" s="120" t="s">
        <v>308</v>
      </c>
      <c r="F39" s="120" t="s">
        <v>300</v>
      </c>
      <c r="G39" s="121" t="s">
        <v>323</v>
      </c>
      <c r="H39" s="122">
        <v>0.88</v>
      </c>
      <c r="I39" s="123"/>
      <c r="J39" s="124"/>
      <c r="K39" s="2" t="s">
        <v>331</v>
      </c>
      <c r="L39" s="125"/>
      <c r="M39" s="126" t="s">
        <v>310</v>
      </c>
      <c r="N39" s="127" t="s">
        <v>324</v>
      </c>
      <c r="O39" s="10" t="s">
        <v>332</v>
      </c>
      <c r="P39" s="128"/>
      <c r="Q39" s="129"/>
      <c r="R39" s="130"/>
      <c r="S39" s="130"/>
      <c r="T39" s="131">
        <f t="shared" si="299"/>
        <v>2.64</v>
      </c>
      <c r="U39" s="132">
        <v>3</v>
      </c>
      <c r="V39" s="133"/>
      <c r="W39" s="133"/>
      <c r="X39" s="134">
        <f>Y39-T39</f>
        <v>112.19000000000001</v>
      </c>
      <c r="Y39" s="134">
        <f>38.7+37.98+38.15</f>
        <v>114.83000000000001</v>
      </c>
      <c r="Z39" s="134"/>
      <c r="AA39" s="134"/>
      <c r="AB39" s="135">
        <v>4.3</v>
      </c>
      <c r="AC39" s="136">
        <f t="shared" si="300"/>
        <v>116.49</v>
      </c>
      <c r="AD39" s="137">
        <f t="shared" si="301"/>
        <v>4.2999999999999829</v>
      </c>
      <c r="AE39" s="138">
        <f t="shared" si="302"/>
        <v>-1.6875389974302379E-14</v>
      </c>
      <c r="AF39" s="139">
        <f t="shared" si="303"/>
        <v>0</v>
      </c>
      <c r="AG39" s="123"/>
      <c r="AH39" s="122"/>
      <c r="AI39" s="122" t="s">
        <v>426</v>
      </c>
      <c r="AJ39" s="140"/>
      <c r="AK39" s="141" t="s">
        <v>289</v>
      </c>
      <c r="AL39" s="142">
        <v>0.70833333333333337</v>
      </c>
      <c r="AM39" s="142">
        <v>0.80208333333333337</v>
      </c>
      <c r="AN39" s="143">
        <f t="shared" si="304"/>
        <v>135</v>
      </c>
      <c r="AO39" s="123"/>
      <c r="AP39" s="123"/>
      <c r="AQ39" s="127"/>
      <c r="AR39" s="123"/>
      <c r="AS39" s="123"/>
      <c r="AT39" s="123"/>
      <c r="AU39" s="123"/>
      <c r="AV39" s="123"/>
      <c r="AW39" s="123"/>
      <c r="AX39" s="132">
        <v>3</v>
      </c>
      <c r="AY39" s="123">
        <f>39.71+39.71+39.71-0.88*3</f>
        <v>116.49</v>
      </c>
      <c r="AZ39" s="123"/>
      <c r="BA39" s="144">
        <f t="shared" si="305"/>
        <v>116.49</v>
      </c>
      <c r="BB39" s="127"/>
      <c r="BC39" s="145"/>
      <c r="BD39" s="146"/>
      <c r="BH39" s="147"/>
      <c r="BK39" s="144">
        <f t="shared" si="306"/>
        <v>0</v>
      </c>
      <c r="BO39" s="147"/>
      <c r="BR39" s="144">
        <f t="shared" si="307"/>
        <v>0</v>
      </c>
      <c r="BV39" s="147"/>
      <c r="BY39" s="144">
        <f t="shared" si="308"/>
        <v>0</v>
      </c>
      <c r="BZ39" s="148"/>
      <c r="CA39" s="149"/>
      <c r="CB39" s="150"/>
      <c r="CF39" s="147"/>
      <c r="CI39" s="151">
        <f t="shared" si="309"/>
        <v>0</v>
      </c>
      <c r="CJ39" s="148"/>
      <c r="CK39" s="149"/>
      <c r="CL39" s="150"/>
      <c r="CM39"/>
      <c r="CN39"/>
      <c r="CO39" s="152"/>
      <c r="CP39" s="153"/>
      <c r="CQ39" s="154">
        <f t="shared" si="310"/>
        <v>0</v>
      </c>
      <c r="CR39"/>
      <c r="CS39" s="155"/>
      <c r="CT39" s="153"/>
      <c r="CU39" s="154">
        <f t="shared" si="311"/>
        <v>0</v>
      </c>
      <c r="CV39"/>
      <c r="CX39" s="153"/>
      <c r="CY39" s="156"/>
      <c r="CZ39" s="156"/>
      <c r="DA39" s="128"/>
      <c r="DB39" s="123"/>
      <c r="DC39" s="157" t="s">
        <v>325</v>
      </c>
      <c r="DD39" s="157" t="s">
        <v>313</v>
      </c>
      <c r="DE39" s="127"/>
      <c r="DF39" s="158"/>
      <c r="DG39" s="159"/>
      <c r="DH39" s="160"/>
      <c r="DI39" s="122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V39" s="123"/>
      <c r="DW39" s="123"/>
      <c r="DX39" s="123"/>
      <c r="DY39" s="123"/>
      <c r="DZ39" s="123"/>
      <c r="EA39" s="123"/>
      <c r="EB39" s="123"/>
      <c r="EC39" s="123"/>
      <c r="ED39" s="161">
        <f t="shared" si="312"/>
        <v>0</v>
      </c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2"/>
      <c r="EP39" s="123"/>
      <c r="EQ39" s="123"/>
      <c r="ER39" s="123"/>
      <c r="ES39" s="123"/>
      <c r="ET39" s="123"/>
      <c r="EU39" s="123"/>
      <c r="EV39" s="124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4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8">
        <f t="shared" si="313"/>
        <v>0</v>
      </c>
      <c r="GV39" s="162">
        <f t="shared" si="314"/>
        <v>135</v>
      </c>
      <c r="GW39" s="163">
        <f t="shared" si="315"/>
        <v>135</v>
      </c>
      <c r="GX39" s="163">
        <f t="shared" si="316"/>
        <v>135</v>
      </c>
      <c r="GY39" s="123"/>
      <c r="GZ39" s="123"/>
      <c r="HA39" s="123"/>
      <c r="HB39" s="123"/>
      <c r="HC39" s="128">
        <f t="shared" si="317"/>
        <v>0</v>
      </c>
      <c r="HD39" s="123" t="s">
        <v>289</v>
      </c>
      <c r="HE39" s="123" t="s">
        <v>289</v>
      </c>
      <c r="HF39" s="123" t="s">
        <v>289</v>
      </c>
      <c r="HG39" s="123" t="s">
        <v>289</v>
      </c>
      <c r="HH39" s="123" t="s">
        <v>289</v>
      </c>
      <c r="HI39" s="123" t="s">
        <v>289</v>
      </c>
      <c r="HJ39" s="123"/>
      <c r="HK39" s="123"/>
      <c r="HL39" s="127"/>
      <c r="HM39" s="127"/>
      <c r="HN39" s="127"/>
      <c r="HO39" s="127"/>
      <c r="HP39" s="127"/>
      <c r="HQ39" s="164">
        <f t="shared" si="318"/>
        <v>0</v>
      </c>
      <c r="HW39" s="164">
        <f t="shared" si="319"/>
        <v>0</v>
      </c>
      <c r="II39" s="164">
        <f t="shared" si="320"/>
        <v>0</v>
      </c>
      <c r="IV39" s="165">
        <f t="shared" si="321"/>
        <v>0</v>
      </c>
      <c r="JF39" s="165">
        <f t="shared" si="322"/>
        <v>0</v>
      </c>
      <c r="JG39" s="148"/>
      <c r="JH39" s="148"/>
      <c r="JI39" s="148"/>
      <c r="JJ39" s="148"/>
      <c r="JK39" s="148"/>
    </row>
    <row r="40" spans="1:271" ht="16.5" customHeight="1" x14ac:dyDescent="0.35">
      <c r="A40" t="s">
        <v>470</v>
      </c>
      <c r="B40" s="117" t="s">
        <v>273</v>
      </c>
      <c r="C40" s="118">
        <v>46063</v>
      </c>
      <c r="D40" s="119" t="s">
        <v>274</v>
      </c>
      <c r="E40" s="120" t="s">
        <v>298</v>
      </c>
      <c r="F40" s="120" t="s">
        <v>296</v>
      </c>
      <c r="G40" s="121" t="s">
        <v>432</v>
      </c>
      <c r="H40" s="122"/>
      <c r="I40" s="123"/>
      <c r="J40" s="124"/>
      <c r="K40" s="2" t="s">
        <v>471</v>
      </c>
      <c r="L40" s="125"/>
      <c r="M40" s="126" t="s">
        <v>360</v>
      </c>
      <c r="N40" s="127" t="s">
        <v>280</v>
      </c>
      <c r="O40" s="10" t="s">
        <v>472</v>
      </c>
      <c r="P40" s="128" t="s">
        <v>282</v>
      </c>
      <c r="Q40" s="129">
        <v>1</v>
      </c>
      <c r="R40" s="130"/>
      <c r="S40" s="130">
        <v>143517.12637708103</v>
      </c>
      <c r="T40" s="131" t="str">
        <f t="shared" ref="T40:T42" si="323">IF(H40*U40=0,"",H40*U40)</f>
        <v/>
      </c>
      <c r="U40" s="132">
        <v>5</v>
      </c>
      <c r="V40" s="133"/>
      <c r="W40" s="133"/>
      <c r="X40" s="134">
        <f>137+211+132+87+258</f>
        <v>825</v>
      </c>
      <c r="Y40" s="134"/>
      <c r="Z40" s="134">
        <f>5800+9800+5700+3800+11400</f>
        <v>36500</v>
      </c>
      <c r="AA40" s="134"/>
      <c r="AB40" s="135">
        <f>8+22</f>
        <v>30</v>
      </c>
      <c r="AC40" s="136">
        <f t="shared" ref="AC40:AC42" si="324">BA40+AF40+BK40+BR40+BY40+CI40+CQ40+CU40</f>
        <v>851.54755</v>
      </c>
      <c r="AD40" s="137">
        <f t="shared" ref="AD40:AD42" si="325">+AC40-X40</f>
        <v>26.547550000000001</v>
      </c>
      <c r="AE40" s="138">
        <f t="shared" ref="AE40:AE42" si="326">AD40-AB40</f>
        <v>-3.4524499999999989</v>
      </c>
      <c r="AF40" s="139">
        <f t="shared" ref="AF40:AF42" si="327">IFERROR(+(Z40*AV40*DF40)/10^6,0)</f>
        <v>81.347549999999998</v>
      </c>
      <c r="AG40" s="123"/>
      <c r="AH40" s="122">
        <v>350</v>
      </c>
      <c r="AI40" s="122">
        <v>250</v>
      </c>
      <c r="AJ40" s="140">
        <v>7.8341488750990971</v>
      </c>
      <c r="AK40" s="141">
        <v>8.2393634720869802</v>
      </c>
      <c r="AL40" s="142">
        <v>0.59722222222222221</v>
      </c>
      <c r="AM40" s="142">
        <v>0.80208333333333337</v>
      </c>
      <c r="AN40" s="143">
        <f t="shared" ref="AN40:AN42" si="328">IF(AM40&gt;AL40,((AM40-AL40)*1440),(1440+(AM40-AL40)*1440))</f>
        <v>295.00000000000006</v>
      </c>
      <c r="AO40" s="123"/>
      <c r="AP40" s="123"/>
      <c r="AQ40" s="127"/>
      <c r="AR40" s="123"/>
      <c r="AS40" s="123"/>
      <c r="AT40" s="123" t="s">
        <v>293</v>
      </c>
      <c r="AU40" s="123" t="s">
        <v>311</v>
      </c>
      <c r="AV40" s="123">
        <v>1173</v>
      </c>
      <c r="AW40" s="123">
        <v>12</v>
      </c>
      <c r="AX40" s="132">
        <v>3</v>
      </c>
      <c r="AY40" s="123">
        <f>93+478.7+478.5</f>
        <v>1050.2</v>
      </c>
      <c r="AZ40" s="123">
        <f>-140-140</f>
        <v>-280</v>
      </c>
      <c r="BA40" s="144">
        <f t="shared" ref="BA40:BA42" si="329">SUM(AY40+AZ40)</f>
        <v>770.2</v>
      </c>
      <c r="BB40" s="127">
        <v>85526</v>
      </c>
      <c r="BC40" s="145">
        <v>4.5869999999999997</v>
      </c>
      <c r="BD40" s="146">
        <f t="shared" ref="BD40:BD41" si="330">+BA40*BC40</f>
        <v>3532.9074000000001</v>
      </c>
      <c r="BH40" s="147"/>
      <c r="BK40" s="144">
        <f t="shared" ref="BK40:BK42" si="331">SUM(BI40+BJ40)</f>
        <v>0</v>
      </c>
      <c r="BO40" s="147"/>
      <c r="BR40" s="144">
        <f t="shared" ref="BR40:BR42" si="332">SUM(BP40+BQ40)</f>
        <v>0</v>
      </c>
      <c r="BV40" s="147"/>
      <c r="BY40" s="144">
        <f t="shared" ref="BY40:BY42" si="333">SUM(BW40+BX40)</f>
        <v>0</v>
      </c>
      <c r="BZ40" s="148"/>
      <c r="CA40" s="149"/>
      <c r="CB40" s="150"/>
      <c r="CF40" s="147"/>
      <c r="CI40" s="151">
        <f t="shared" ref="CI40:CI42" si="334">SUM(CG40+CH40)</f>
        <v>0</v>
      </c>
      <c r="CJ40" s="148"/>
      <c r="CK40" s="149"/>
      <c r="CL40" s="150"/>
      <c r="CM40"/>
      <c r="CN40"/>
      <c r="CO40" s="152"/>
      <c r="CP40" s="153"/>
      <c r="CQ40" s="154">
        <f t="shared" ref="CQ40:CQ42" si="335">IF(CM40="811 A",CN40/1.667,IF(CM40="MB635",CN40/1.33,IF(CM40="MB655",CN40/1.43,IF(CM40="LG 59A",CN40/1.667,IF(CM40="HB 6680",CN40/1.25,IF(CM40="MB688",CN40/1.25,CN40))))))</f>
        <v>0</v>
      </c>
      <c r="CR40"/>
      <c r="CS40" s="155"/>
      <c r="CT40" s="153"/>
      <c r="CU40" s="154">
        <f t="shared" ref="CU40:CU42" si="336">IF(CM40="811 A",CR40/1.33,IF(CM40="HB 6680",CR40/1.33,IF(CM40="MB688",CR40/1.333,CR40)))</f>
        <v>0</v>
      </c>
      <c r="CV40"/>
      <c r="CX40" s="153"/>
      <c r="CY40" s="156"/>
      <c r="CZ40" s="156"/>
      <c r="DA40" s="128"/>
      <c r="DB40" s="123"/>
      <c r="DC40" s="157" t="s">
        <v>428</v>
      </c>
      <c r="DD40" s="157" t="s">
        <v>294</v>
      </c>
      <c r="DE40" s="127">
        <v>8</v>
      </c>
      <c r="DF40" s="158">
        <f>AVERAGE(1.9)</f>
        <v>1.9</v>
      </c>
      <c r="DG40" s="159"/>
      <c r="DH40" s="160"/>
      <c r="DI40" s="122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>
        <v>10</v>
      </c>
      <c r="DV40" s="123"/>
      <c r="DW40" s="123">
        <v>10</v>
      </c>
      <c r="DX40" s="123">
        <v>10</v>
      </c>
      <c r="DY40" s="123">
        <v>10</v>
      </c>
      <c r="DZ40" s="123">
        <v>10</v>
      </c>
      <c r="EA40" s="123"/>
      <c r="EB40" s="123">
        <v>10</v>
      </c>
      <c r="EC40" s="123"/>
      <c r="ED40" s="161">
        <f t="shared" ref="ED40:ED42" si="337">SUM(DK40:EC40)</f>
        <v>60</v>
      </c>
      <c r="EE40" s="123"/>
      <c r="EF40" s="123"/>
      <c r="EG40" s="123"/>
      <c r="EH40" s="123">
        <v>15</v>
      </c>
      <c r="EI40" s="123">
        <v>15</v>
      </c>
      <c r="EJ40" s="123"/>
      <c r="EK40" s="123"/>
      <c r="EL40" s="123"/>
      <c r="EM40" s="123"/>
      <c r="EN40" s="123"/>
      <c r="EO40" s="122"/>
      <c r="EP40" s="123"/>
      <c r="EQ40" s="123"/>
      <c r="ER40" s="123"/>
      <c r="ES40" s="123"/>
      <c r="ET40" s="123"/>
      <c r="EU40" s="123"/>
      <c r="EV40" s="124"/>
      <c r="EW40" s="123"/>
      <c r="EX40" s="123"/>
      <c r="EY40" s="123"/>
      <c r="EZ40" s="123"/>
      <c r="FA40" s="123"/>
      <c r="FB40" s="123">
        <v>25</v>
      </c>
      <c r="FC40" s="123"/>
      <c r="FD40" s="123"/>
      <c r="FE40" s="123"/>
      <c r="FF40" s="123"/>
      <c r="FG40" s="123"/>
      <c r="FH40" s="123"/>
      <c r="FI40" s="123"/>
      <c r="FJ40" s="124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8">
        <f t="shared" ref="GU40:GU42" si="338">SUM(EE40:GO40,GR40)</f>
        <v>55</v>
      </c>
      <c r="GV40" s="162">
        <f t="shared" ref="GV40:GV42" si="339">AN40-ED40-GU40</f>
        <v>180.00000000000006</v>
      </c>
      <c r="GW40" s="163">
        <f t="shared" ref="GW40:GW42" si="340">AN40-ED40-ER40-FN40</f>
        <v>235.00000000000006</v>
      </c>
      <c r="GX40" s="163">
        <f t="shared" ref="GX40:GX42" si="341">AN40-GU40</f>
        <v>240.00000000000006</v>
      </c>
      <c r="GY40" s="123">
        <v>0</v>
      </c>
      <c r="GZ40" s="123">
        <v>400</v>
      </c>
      <c r="HA40" s="123">
        <v>0</v>
      </c>
      <c r="HB40" s="123">
        <v>0</v>
      </c>
      <c r="HC40" s="128">
        <f t="shared" ref="HC40:HC42" si="342">SUM(GY40:HB40)</f>
        <v>400</v>
      </c>
      <c r="HD40" s="123" t="s">
        <v>336</v>
      </c>
      <c r="HE40" s="123" t="s">
        <v>337</v>
      </c>
      <c r="HF40" s="123" t="s">
        <v>412</v>
      </c>
      <c r="HG40" s="123" t="s">
        <v>346</v>
      </c>
      <c r="HH40" s="123" t="s">
        <v>289</v>
      </c>
      <c r="HI40" s="123" t="s">
        <v>319</v>
      </c>
      <c r="HJ40" s="123"/>
      <c r="HK40" s="123"/>
      <c r="HL40" s="127"/>
      <c r="HM40" s="127"/>
      <c r="HN40" s="127"/>
      <c r="HO40" s="127"/>
      <c r="HP40" s="127"/>
      <c r="HQ40" s="164">
        <f t="shared" ref="HQ40:HQ42" si="343">SUM(HL40:HP40)</f>
        <v>0</v>
      </c>
      <c r="HW40" s="164">
        <f t="shared" ref="HW40:HW42" si="344">SUM(HR40:HU40)</f>
        <v>0</v>
      </c>
      <c r="II40" s="164">
        <f t="shared" ref="II40:II42" si="345">SUM(HX40:IG40)</f>
        <v>0</v>
      </c>
      <c r="IV40" s="165">
        <f t="shared" ref="IV40:IV42" si="346">SUM(IJ40:IT40)</f>
        <v>0</v>
      </c>
      <c r="JF40" s="165">
        <f t="shared" ref="JF40:JF42" si="347">SUM(IW40:JD40)</f>
        <v>0</v>
      </c>
      <c r="JG40" s="148">
        <f>1+1+1+1</f>
        <v>4</v>
      </c>
      <c r="JH40" s="148" t="s">
        <v>320</v>
      </c>
      <c r="JI40" s="148"/>
      <c r="JJ40" s="148"/>
      <c r="JK40" s="148"/>
    </row>
    <row r="41" spans="1:271" ht="16.5" customHeight="1" x14ac:dyDescent="0.35">
      <c r="A41" t="s">
        <v>473</v>
      </c>
      <c r="B41" s="117" t="s">
        <v>273</v>
      </c>
      <c r="C41" s="118">
        <v>46063</v>
      </c>
      <c r="D41" s="119" t="s">
        <v>291</v>
      </c>
      <c r="E41" s="120" t="s">
        <v>298</v>
      </c>
      <c r="F41" s="120" t="s">
        <v>296</v>
      </c>
      <c r="G41" s="121" t="s">
        <v>432</v>
      </c>
      <c r="H41" s="122"/>
      <c r="I41" s="123"/>
      <c r="J41" s="124"/>
      <c r="K41" s="2" t="s">
        <v>471</v>
      </c>
      <c r="L41" s="125"/>
      <c r="M41" s="126" t="s">
        <v>360</v>
      </c>
      <c r="N41" s="127" t="s">
        <v>280</v>
      </c>
      <c r="O41" s="10" t="s">
        <v>472</v>
      </c>
      <c r="P41" s="128" t="s">
        <v>282</v>
      </c>
      <c r="Q41" s="129"/>
      <c r="R41" s="130"/>
      <c r="S41" s="130"/>
      <c r="T41" s="131" t="str">
        <f t="shared" si="323"/>
        <v/>
      </c>
      <c r="U41" s="132">
        <v>6</v>
      </c>
      <c r="V41" s="133"/>
      <c r="W41" s="133"/>
      <c r="X41" s="134">
        <f>408+275+535+534+553+97</f>
        <v>2402</v>
      </c>
      <c r="Y41" s="134"/>
      <c r="Z41" s="134">
        <f>18500+12300+24000+24000+24300+4300</f>
        <v>107400</v>
      </c>
      <c r="AA41" s="134"/>
      <c r="AB41" s="135">
        <f>14</f>
        <v>14</v>
      </c>
      <c r="AC41" s="136">
        <f t="shared" si="324"/>
        <v>2407.3231719999999</v>
      </c>
      <c r="AD41" s="137">
        <f t="shared" si="325"/>
        <v>5.3231719999998859</v>
      </c>
      <c r="AE41" s="138">
        <f t="shared" si="326"/>
        <v>-8.6768280000001141</v>
      </c>
      <c r="AF41" s="139">
        <f t="shared" si="327"/>
        <v>234.32317199999997</v>
      </c>
      <c r="AG41" s="123"/>
      <c r="AH41" s="122">
        <v>350</v>
      </c>
      <c r="AI41" s="122">
        <v>350</v>
      </c>
      <c r="AJ41" s="140"/>
      <c r="AK41" s="141"/>
      <c r="AL41" s="142">
        <v>0.80208333333333337</v>
      </c>
      <c r="AM41" s="142">
        <v>2.7777777777777776E-2</v>
      </c>
      <c r="AN41" s="143">
        <f t="shared" si="328"/>
        <v>325</v>
      </c>
      <c r="AO41" s="123"/>
      <c r="AP41" s="123"/>
      <c r="AQ41" s="127"/>
      <c r="AR41" s="123"/>
      <c r="AS41" s="123"/>
      <c r="AT41" s="123" t="s">
        <v>293</v>
      </c>
      <c r="AU41" s="123" t="s">
        <v>311</v>
      </c>
      <c r="AV41" s="123">
        <v>1173</v>
      </c>
      <c r="AW41" s="123">
        <v>12</v>
      </c>
      <c r="AX41" s="132">
        <v>6</v>
      </c>
      <c r="AY41" s="123">
        <f>140+479+482.3+480.1+499.6+140</f>
        <v>2221</v>
      </c>
      <c r="AZ41" s="123">
        <f>-48</f>
        <v>-48</v>
      </c>
      <c r="BA41" s="144">
        <f t="shared" si="329"/>
        <v>2173</v>
      </c>
      <c r="BB41" s="127" t="s">
        <v>474</v>
      </c>
      <c r="BC41" s="145">
        <v>4.5878739363378509</v>
      </c>
      <c r="BD41" s="146">
        <f t="shared" si="330"/>
        <v>9969.4500636621506</v>
      </c>
      <c r="BH41" s="147"/>
      <c r="BK41" s="144">
        <f t="shared" si="331"/>
        <v>0</v>
      </c>
      <c r="BO41" s="147"/>
      <c r="BR41" s="144">
        <f t="shared" si="332"/>
        <v>0</v>
      </c>
      <c r="BV41" s="147"/>
      <c r="BY41" s="144">
        <f t="shared" si="333"/>
        <v>0</v>
      </c>
      <c r="BZ41" s="148"/>
      <c r="CA41" s="149"/>
      <c r="CB41" s="150"/>
      <c r="CF41" s="147"/>
      <c r="CI41" s="151">
        <f t="shared" si="334"/>
        <v>0</v>
      </c>
      <c r="CJ41" s="148"/>
      <c r="CK41" s="149"/>
      <c r="CL41" s="150"/>
      <c r="CM41"/>
      <c r="CN41"/>
      <c r="CO41" s="152"/>
      <c r="CP41" s="153"/>
      <c r="CQ41" s="154">
        <f t="shared" si="335"/>
        <v>0</v>
      </c>
      <c r="CR41"/>
      <c r="CS41" s="155"/>
      <c r="CT41" s="153"/>
      <c r="CU41" s="154">
        <f t="shared" si="336"/>
        <v>0</v>
      </c>
      <c r="CV41"/>
      <c r="CX41" s="153"/>
      <c r="CY41" s="156"/>
      <c r="CZ41" s="156"/>
      <c r="DA41" s="128"/>
      <c r="DB41" s="123"/>
      <c r="DC41" s="157" t="s">
        <v>428</v>
      </c>
      <c r="DD41" s="157" t="s">
        <v>294</v>
      </c>
      <c r="DE41" s="127">
        <v>8</v>
      </c>
      <c r="DF41" s="158">
        <f>AVERAGE(1.9,1.82)</f>
        <v>1.8599999999999999</v>
      </c>
      <c r="DG41" s="159"/>
      <c r="DH41" s="160"/>
      <c r="DI41" s="122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V41" s="123"/>
      <c r="DW41" s="123"/>
      <c r="DX41" s="123"/>
      <c r="DY41" s="123"/>
      <c r="DZ41" s="123"/>
      <c r="EA41" s="123"/>
      <c r="EB41" s="123"/>
      <c r="EC41" s="123"/>
      <c r="ED41" s="161">
        <f t="shared" si="337"/>
        <v>0</v>
      </c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2">
        <v>15</v>
      </c>
      <c r="EP41" s="123"/>
      <c r="EQ41" s="123"/>
      <c r="ER41" s="123"/>
      <c r="ES41" s="123"/>
      <c r="ET41" s="123"/>
      <c r="EU41" s="123"/>
      <c r="EV41" s="124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4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8">
        <f t="shared" si="338"/>
        <v>15</v>
      </c>
      <c r="GV41" s="162">
        <f t="shared" si="339"/>
        <v>310</v>
      </c>
      <c r="GW41" s="163">
        <f t="shared" si="340"/>
        <v>325</v>
      </c>
      <c r="GX41" s="163">
        <f t="shared" si="341"/>
        <v>310</v>
      </c>
      <c r="GY41" s="123">
        <v>0</v>
      </c>
      <c r="GZ41" s="123">
        <v>0</v>
      </c>
      <c r="HA41" s="123">
        <v>0</v>
      </c>
      <c r="HB41" s="123">
        <v>0</v>
      </c>
      <c r="HC41" s="128">
        <f t="shared" si="342"/>
        <v>0</v>
      </c>
      <c r="HD41" s="123" t="s">
        <v>413</v>
      </c>
      <c r="HE41" s="123" t="s">
        <v>344</v>
      </c>
      <c r="HF41" s="123" t="s">
        <v>345</v>
      </c>
      <c r="HG41" s="123" t="s">
        <v>339</v>
      </c>
      <c r="HH41" s="123" t="s">
        <v>289</v>
      </c>
      <c r="HI41" s="123" t="s">
        <v>329</v>
      </c>
      <c r="HJ41" s="123"/>
      <c r="HK41" s="123"/>
      <c r="HL41" s="127"/>
      <c r="HM41" s="127"/>
      <c r="HN41" s="127"/>
      <c r="HO41" s="127"/>
      <c r="HP41" s="127"/>
      <c r="HQ41" s="164">
        <f t="shared" si="343"/>
        <v>0</v>
      </c>
      <c r="HW41" s="164">
        <f t="shared" si="344"/>
        <v>0</v>
      </c>
      <c r="II41" s="164">
        <f t="shared" si="345"/>
        <v>0</v>
      </c>
      <c r="IV41" s="165">
        <f t="shared" si="346"/>
        <v>0</v>
      </c>
      <c r="JF41" s="165">
        <f t="shared" si="347"/>
        <v>0</v>
      </c>
      <c r="JG41" s="148">
        <v>1</v>
      </c>
      <c r="JH41" s="148" t="s">
        <v>320</v>
      </c>
      <c r="JI41" s="148"/>
      <c r="JJ41" s="148"/>
      <c r="JK41" s="148"/>
    </row>
    <row r="42" spans="1:271" ht="16.5" customHeight="1" x14ac:dyDescent="0.35">
      <c r="A42" t="s">
        <v>475</v>
      </c>
      <c r="B42" s="117" t="s">
        <v>273</v>
      </c>
      <c r="C42" s="118">
        <v>46063</v>
      </c>
      <c r="D42" s="119" t="s">
        <v>291</v>
      </c>
      <c r="E42" s="120" t="s">
        <v>301</v>
      </c>
      <c r="F42" s="120" t="s">
        <v>293</v>
      </c>
      <c r="G42" s="121" t="s">
        <v>445</v>
      </c>
      <c r="H42" s="122"/>
      <c r="I42" s="123"/>
      <c r="J42" s="124"/>
      <c r="K42" s="2" t="s">
        <v>455</v>
      </c>
      <c r="L42" s="125"/>
      <c r="M42" s="126" t="s">
        <v>321</v>
      </c>
      <c r="N42" s="127" t="s">
        <v>446</v>
      </c>
      <c r="O42" s="10" t="s">
        <v>447</v>
      </c>
      <c r="P42" s="128" t="s">
        <v>282</v>
      </c>
      <c r="Q42" s="129"/>
      <c r="R42" s="130"/>
      <c r="S42" s="130">
        <v>258068.50459482044</v>
      </c>
      <c r="T42" s="131" t="str">
        <f t="shared" si="323"/>
        <v/>
      </c>
      <c r="U42" s="132">
        <v>8</v>
      </c>
      <c r="V42" s="133"/>
      <c r="W42" s="133"/>
      <c r="X42" s="134">
        <f>561+531+788+248+688+274+685+530</f>
        <v>4305</v>
      </c>
      <c r="Y42" s="134"/>
      <c r="Z42" s="134">
        <f>11659+11227+17194+6252+16601+6899+16016+13000</f>
        <v>98848</v>
      </c>
      <c r="AA42" s="134"/>
      <c r="AB42" s="135">
        <f>8+5+10+3</f>
        <v>26</v>
      </c>
      <c r="AC42" s="136">
        <f t="shared" si="324"/>
        <v>4330.7618881118879</v>
      </c>
      <c r="AD42" s="137">
        <f t="shared" si="325"/>
        <v>25.761888111887856</v>
      </c>
      <c r="AE42" s="138">
        <f t="shared" si="326"/>
        <v>-0.23811188811214379</v>
      </c>
      <c r="AF42" s="139">
        <f t="shared" si="327"/>
        <v>0</v>
      </c>
      <c r="AG42" s="123"/>
      <c r="AH42" s="122">
        <v>380</v>
      </c>
      <c r="AI42" s="122">
        <v>390</v>
      </c>
      <c r="AJ42" s="140">
        <v>3.3956382183529006</v>
      </c>
      <c r="AK42" s="141">
        <v>203.73829310117404</v>
      </c>
      <c r="AL42" s="142">
        <v>6.25E-2</v>
      </c>
      <c r="AM42" s="142">
        <v>0.30208333333333331</v>
      </c>
      <c r="AN42" s="143">
        <f t="shared" si="328"/>
        <v>345</v>
      </c>
      <c r="AO42" s="123"/>
      <c r="AP42" s="123"/>
      <c r="AQ42" s="127"/>
      <c r="AR42" s="123"/>
      <c r="AS42" s="123" t="s">
        <v>365</v>
      </c>
      <c r="AT42" s="123" t="s">
        <v>293</v>
      </c>
      <c r="AU42" s="123"/>
      <c r="AV42" s="123"/>
      <c r="AW42" s="123"/>
      <c r="AX42" s="132"/>
      <c r="AY42" s="123"/>
      <c r="AZ42" s="123"/>
      <c r="BA42" s="144">
        <f t="shared" si="329"/>
        <v>0</v>
      </c>
      <c r="BB42" s="127"/>
      <c r="BC42" s="145"/>
      <c r="BD42" s="146"/>
      <c r="BE42" t="s">
        <v>357</v>
      </c>
      <c r="BF42">
        <v>1197</v>
      </c>
      <c r="BG42">
        <f>12</f>
        <v>12</v>
      </c>
      <c r="BH42" s="147">
        <v>5</v>
      </c>
      <c r="BI42">
        <f>511+518+521+530+431</f>
        <v>2511</v>
      </c>
      <c r="BJ42">
        <f>-365</f>
        <v>-365</v>
      </c>
      <c r="BK42" s="144">
        <f t="shared" si="331"/>
        <v>2146</v>
      </c>
      <c r="BO42" s="147"/>
      <c r="BR42" s="144">
        <f t="shared" si="332"/>
        <v>0</v>
      </c>
      <c r="BS42" t="s">
        <v>311</v>
      </c>
      <c r="BT42">
        <v>1197</v>
      </c>
      <c r="BU42">
        <f>12</f>
        <v>12</v>
      </c>
      <c r="BV42" s="147">
        <v>4</v>
      </c>
      <c r="BW42">
        <f>350.9+466.1+463.6+466.1+487.8</f>
        <v>2234.5</v>
      </c>
      <c r="BX42">
        <f>-284.5</f>
        <v>-284.5</v>
      </c>
      <c r="BY42" s="144">
        <f t="shared" si="333"/>
        <v>1950</v>
      </c>
      <c r="BZ42" s="148" t="s">
        <v>457</v>
      </c>
      <c r="CA42" s="149">
        <v>4.22</v>
      </c>
      <c r="CB42" s="150">
        <f t="shared" ref="CB42" si="348">+BY42*CA42</f>
        <v>8229</v>
      </c>
      <c r="CF42" s="147"/>
      <c r="CI42" s="151">
        <f t="shared" si="334"/>
        <v>0</v>
      </c>
      <c r="CJ42" s="148"/>
      <c r="CK42" s="149"/>
      <c r="CL42" s="150"/>
      <c r="CM42" t="s">
        <v>367</v>
      </c>
      <c r="CN42">
        <v>321.91000000000003</v>
      </c>
      <c r="CO42" s="152">
        <v>11.719999999999999</v>
      </c>
      <c r="CP42" s="153">
        <f t="shared" ref="CP42" si="349">+CN42*CO42</f>
        <v>3772.7851999999998</v>
      </c>
      <c r="CQ42" s="154">
        <f t="shared" si="335"/>
        <v>225.11188811188813</v>
      </c>
      <c r="CR42">
        <v>9.65</v>
      </c>
      <c r="CS42" s="155">
        <v>47.460000000000008</v>
      </c>
      <c r="CT42" s="153">
        <f t="shared" ref="CT42" si="350">+CR42*CS42</f>
        <v>457.98900000000009</v>
      </c>
      <c r="CU42" s="154">
        <f t="shared" si="336"/>
        <v>9.65</v>
      </c>
      <c r="CV42">
        <v>257.52999999999997</v>
      </c>
      <c r="CW42">
        <v>3.0379831932773111</v>
      </c>
      <c r="CX42" s="153">
        <f t="shared" ref="CX42" si="351">+CW42*CV42</f>
        <v>782.37181176470585</v>
      </c>
      <c r="CY42" s="156"/>
      <c r="CZ42" s="156"/>
      <c r="DA42" s="128" t="s">
        <v>368</v>
      </c>
      <c r="DB42" s="123">
        <v>1189</v>
      </c>
      <c r="DC42" s="157" t="s">
        <v>448</v>
      </c>
      <c r="DD42" s="157" t="s">
        <v>313</v>
      </c>
      <c r="DE42" s="127"/>
      <c r="DF42" s="158"/>
      <c r="DG42" s="159">
        <f>AVERAGE(2.8,3,2.92,3.01)</f>
        <v>2.9324999999999997</v>
      </c>
      <c r="DH42" s="160"/>
      <c r="DI42" s="122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V42" s="123"/>
      <c r="DW42" s="123"/>
      <c r="DX42" s="123"/>
      <c r="DY42" s="123"/>
      <c r="DZ42" s="123"/>
      <c r="EA42" s="123"/>
      <c r="EB42" s="123"/>
      <c r="EC42" s="123"/>
      <c r="ED42" s="161">
        <f t="shared" si="337"/>
        <v>0</v>
      </c>
      <c r="EE42" s="123"/>
      <c r="EF42" s="123">
        <v>82</v>
      </c>
      <c r="EG42" s="123"/>
      <c r="EH42" s="123"/>
      <c r="EI42" s="123"/>
      <c r="EJ42" s="123"/>
      <c r="EK42" s="123"/>
      <c r="EL42" s="123"/>
      <c r="EM42" s="123"/>
      <c r="EN42" s="123"/>
      <c r="EO42" s="122"/>
      <c r="EP42" s="123"/>
      <c r="EQ42" s="123"/>
      <c r="ER42" s="123"/>
      <c r="ES42" s="123"/>
      <c r="ET42" s="123"/>
      <c r="EU42" s="123">
        <v>5</v>
      </c>
      <c r="EV42" s="124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4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>
        <v>5</v>
      </c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8">
        <f t="shared" si="338"/>
        <v>92</v>
      </c>
      <c r="GV42" s="162">
        <f t="shared" si="339"/>
        <v>253</v>
      </c>
      <c r="GW42" s="163">
        <f t="shared" si="340"/>
        <v>345</v>
      </c>
      <c r="GX42" s="163">
        <f t="shared" si="341"/>
        <v>253</v>
      </c>
      <c r="GY42" s="123"/>
      <c r="GZ42" s="123"/>
      <c r="HA42" s="123"/>
      <c r="HB42" s="123"/>
      <c r="HC42" s="128">
        <f t="shared" si="342"/>
        <v>0</v>
      </c>
      <c r="HD42" s="123" t="s">
        <v>373</v>
      </c>
      <c r="HE42" s="123" t="s">
        <v>449</v>
      </c>
      <c r="HF42" s="123" t="s">
        <v>289</v>
      </c>
      <c r="HG42" s="123" t="s">
        <v>289</v>
      </c>
      <c r="HH42" s="123" t="s">
        <v>289</v>
      </c>
      <c r="HI42" s="123" t="s">
        <v>374</v>
      </c>
      <c r="HJ42" s="123"/>
      <c r="HK42" s="123"/>
      <c r="HL42" s="127"/>
      <c r="HM42" s="127"/>
      <c r="HN42" s="127"/>
      <c r="HO42" s="127"/>
      <c r="HP42" s="127"/>
      <c r="HQ42" s="164">
        <f t="shared" si="343"/>
        <v>0</v>
      </c>
      <c r="HW42" s="164">
        <f t="shared" si="344"/>
        <v>0</v>
      </c>
      <c r="IB42">
        <v>8</v>
      </c>
      <c r="IC42">
        <v>5</v>
      </c>
      <c r="ID42">
        <v>10</v>
      </c>
      <c r="IF42">
        <v>3</v>
      </c>
      <c r="II42" s="164">
        <f t="shared" si="345"/>
        <v>26</v>
      </c>
      <c r="IV42" s="165">
        <f t="shared" si="346"/>
        <v>0</v>
      </c>
      <c r="JF42" s="165">
        <f t="shared" si="347"/>
        <v>0</v>
      </c>
      <c r="JG42" s="148">
        <v>8</v>
      </c>
      <c r="JH42" s="148"/>
      <c r="JI42" s="148"/>
      <c r="JJ42" s="148"/>
      <c r="JK42" s="148"/>
    </row>
    <row r="43" spans="1:271" ht="16.5" customHeight="1" x14ac:dyDescent="0.35">
      <c r="A43" t="s">
        <v>477</v>
      </c>
      <c r="B43" s="117" t="s">
        <v>273</v>
      </c>
      <c r="C43" s="118">
        <v>46064</v>
      </c>
      <c r="D43" s="119" t="s">
        <v>274</v>
      </c>
      <c r="E43" s="120" t="s">
        <v>301</v>
      </c>
      <c r="F43" s="120" t="s">
        <v>293</v>
      </c>
      <c r="G43" s="121" t="s">
        <v>445</v>
      </c>
      <c r="H43" s="122"/>
      <c r="I43" s="123"/>
      <c r="J43" s="124"/>
      <c r="K43" s="2" t="s">
        <v>455</v>
      </c>
      <c r="L43" s="125"/>
      <c r="M43" s="126" t="s">
        <v>321</v>
      </c>
      <c r="N43" s="127" t="s">
        <v>446</v>
      </c>
      <c r="O43" s="10" t="s">
        <v>447</v>
      </c>
      <c r="P43" s="128" t="s">
        <v>282</v>
      </c>
      <c r="Q43" s="129">
        <v>1</v>
      </c>
      <c r="R43" s="130"/>
      <c r="S43" s="130">
        <v>159220.50459482044</v>
      </c>
      <c r="T43" s="131" t="str">
        <f t="shared" ref="T43" si="352">IF(H43*U43=0,"",H43*U43)</f>
        <v/>
      </c>
      <c r="U43" s="132">
        <v>13</v>
      </c>
      <c r="V43" s="133"/>
      <c r="W43" s="133"/>
      <c r="X43" s="134">
        <f>671+530+372+410+695+557+571+616+655+400+535+670+661</f>
        <v>7343</v>
      </c>
      <c r="Y43" s="134"/>
      <c r="Z43" s="134">
        <f>14418+11502+8000+8846+15072+12050+12357+13359+14240+8615+11581+14180+14000</f>
        <v>158220</v>
      </c>
      <c r="AA43" s="134"/>
      <c r="AB43" s="135">
        <f>7+21.2+27+10+5</f>
        <v>70.2</v>
      </c>
      <c r="AC43" s="136">
        <f t="shared" ref="AC43" si="353">BA43+AF43+BK43+BR43+BY43+CI43+CQ43+CU43</f>
        <v>7412.6814685314694</v>
      </c>
      <c r="AD43" s="137">
        <f t="shared" ref="AD43" si="354">+AC43-X43</f>
        <v>69.681468531469363</v>
      </c>
      <c r="AE43" s="138">
        <f t="shared" ref="AE43" si="355">AD43-AB43</f>
        <v>-0.51853146853063947</v>
      </c>
      <c r="AF43" s="139">
        <f t="shared" ref="AF43" si="356">IFERROR(+(Z43*AV43*DF43)/10^6,0)</f>
        <v>0</v>
      </c>
      <c r="AG43" s="123"/>
      <c r="AH43" s="122">
        <v>380</v>
      </c>
      <c r="AI43" s="122">
        <v>390</v>
      </c>
      <c r="AJ43" s="140">
        <v>2.0950066394055318</v>
      </c>
      <c r="AK43" s="141">
        <v>125.70039836433192</v>
      </c>
      <c r="AL43" s="142">
        <v>0.30208333333333331</v>
      </c>
      <c r="AM43" s="142">
        <v>0.7</v>
      </c>
      <c r="AN43" s="143">
        <f t="shared" ref="AN43" si="357">IF(AM43&gt;AL43,((AM43-AL43)*1440),(1440+(AM43-AL43)*1440))</f>
        <v>573</v>
      </c>
      <c r="AO43" s="123"/>
      <c r="AP43" s="123"/>
      <c r="AQ43" s="127"/>
      <c r="AR43" s="123"/>
      <c r="AS43" s="123" t="s">
        <v>365</v>
      </c>
      <c r="AT43" s="123" t="s">
        <v>293</v>
      </c>
      <c r="AU43" s="123"/>
      <c r="AV43" s="123"/>
      <c r="AW43" s="123"/>
      <c r="AX43" s="132"/>
      <c r="AY43" s="123"/>
      <c r="AZ43" s="123"/>
      <c r="BA43" s="144">
        <f t="shared" ref="BA43" si="358">SUM(AY43+AZ43)</f>
        <v>0</v>
      </c>
      <c r="BB43" s="127"/>
      <c r="BC43" s="145"/>
      <c r="BD43" s="146"/>
      <c r="BE43" t="s">
        <v>357</v>
      </c>
      <c r="BF43">
        <v>1197</v>
      </c>
      <c r="BG43">
        <f>12</f>
        <v>12</v>
      </c>
      <c r="BH43" s="147">
        <v>9</v>
      </c>
      <c r="BI43">
        <f>365+451+524+533+329+315+195+207+368+315</f>
        <v>3602</v>
      </c>
      <c r="BK43" s="144">
        <f t="shared" ref="BK43" si="359">SUM(BI43+BJ43)</f>
        <v>3602</v>
      </c>
      <c r="BO43" s="147"/>
      <c r="BR43" s="144">
        <f t="shared" ref="BR43" si="360">SUM(BP43+BQ43)</f>
        <v>0</v>
      </c>
      <c r="BS43" t="s">
        <v>311</v>
      </c>
      <c r="BT43">
        <v>1197</v>
      </c>
      <c r="BU43">
        <f>12</f>
        <v>12</v>
      </c>
      <c r="BV43" s="147">
        <v>8</v>
      </c>
      <c r="BW43">
        <f>284.5+461.9+483+500.8+487.8+490.4+305+497.8</f>
        <v>3511.2000000000003</v>
      </c>
      <c r="BX43">
        <f>-210</f>
        <v>-210</v>
      </c>
      <c r="BY43" s="144">
        <f t="shared" ref="BY43" si="361">SUM(BW43+BX43)</f>
        <v>3301.2000000000003</v>
      </c>
      <c r="BZ43" s="148" t="s">
        <v>478</v>
      </c>
      <c r="CA43" s="149">
        <v>4.3499717475506952</v>
      </c>
      <c r="CB43" s="150">
        <f>+BY43*CA43</f>
        <v>14360.126733014356</v>
      </c>
      <c r="CF43" s="147"/>
      <c r="CI43" s="151">
        <f t="shared" ref="CI43" si="362">SUM(CG43+CH43)</f>
        <v>0</v>
      </c>
      <c r="CJ43" s="148"/>
      <c r="CK43" s="149"/>
      <c r="CL43" s="150"/>
      <c r="CM43" t="s">
        <v>367</v>
      </c>
      <c r="CN43">
        <v>698.6</v>
      </c>
      <c r="CO43" s="152">
        <v>11.719999999999999</v>
      </c>
      <c r="CP43" s="153">
        <f t="shared" ref="CP43" si="363">+CN43*CO43</f>
        <v>8187.5919999999996</v>
      </c>
      <c r="CQ43" s="154">
        <f t="shared" ref="CQ43" si="364">IF(CM43="811 A",CN43/1.667,IF(CM43="MB635",CN43/1.33,IF(CM43="MB655",CN43/1.43,IF(CM43="LG 59A",CN43/1.667,IF(CM43="HB 6680",CN43/1.25,IF(CM43="MB688",CN43/1.25,CN43))))))</f>
        <v>488.53146853146859</v>
      </c>
      <c r="CR43">
        <v>20.95</v>
      </c>
      <c r="CS43" s="155">
        <v>47.460000000000008</v>
      </c>
      <c r="CT43" s="153">
        <f t="shared" ref="CT43" si="365">+CR43*CS43</f>
        <v>994.28700000000015</v>
      </c>
      <c r="CU43" s="154">
        <f t="shared" ref="CU43" si="366">IF(CM43="811 A",CR43/1.33,IF(CM43="HB 6680",CR43/1.33,IF(CM43="MB688",CR43/1.333,CR43)))</f>
        <v>20.95</v>
      </c>
      <c r="CV43">
        <v>558.9</v>
      </c>
      <c r="CW43">
        <v>3.0379831932773111</v>
      </c>
      <c r="CX43" s="153">
        <f t="shared" ref="CX43" si="367">+CW43*CV43</f>
        <v>1697.9288067226892</v>
      </c>
      <c r="CY43" s="156">
        <v>100</v>
      </c>
      <c r="CZ43" s="156">
        <v>23</v>
      </c>
      <c r="DA43" s="128" t="s">
        <v>368</v>
      </c>
      <c r="DB43" s="123">
        <v>1189</v>
      </c>
      <c r="DC43" s="157" t="s">
        <v>448</v>
      </c>
      <c r="DD43" s="157" t="s">
        <v>313</v>
      </c>
      <c r="DE43" s="127"/>
      <c r="DF43" s="158"/>
      <c r="DG43" s="159">
        <f>AVERAGE(2.8,3,2.85,3)</f>
        <v>2.9125000000000001</v>
      </c>
      <c r="DH43" s="160"/>
      <c r="DI43" s="122"/>
      <c r="DK43" s="123">
        <v>10</v>
      </c>
      <c r="DL43" s="123"/>
      <c r="DM43" s="123"/>
      <c r="DN43" s="123"/>
      <c r="DO43" s="123"/>
      <c r="DP43" s="123"/>
      <c r="DQ43" s="123"/>
      <c r="DR43" s="123"/>
      <c r="DS43" s="123"/>
      <c r="DT43" s="123"/>
      <c r="DV43" s="123"/>
      <c r="DW43" s="123"/>
      <c r="DX43" s="123"/>
      <c r="DY43" s="123"/>
      <c r="DZ43" s="123"/>
      <c r="EA43" s="123"/>
      <c r="EB43" s="123"/>
      <c r="EC43" s="123"/>
      <c r="ED43" s="161">
        <f t="shared" ref="ED43" si="368">SUM(DK43:EC43)</f>
        <v>10</v>
      </c>
      <c r="EE43" s="123"/>
      <c r="EF43" s="123">
        <v>143</v>
      </c>
      <c r="EG43" s="123"/>
      <c r="EH43" s="123"/>
      <c r="EI43" s="123"/>
      <c r="EJ43" s="123"/>
      <c r="EK43" s="123"/>
      <c r="EL43" s="123"/>
      <c r="EM43" s="123"/>
      <c r="EN43" s="123"/>
      <c r="EO43" s="122"/>
      <c r="EP43" s="123"/>
      <c r="EQ43" s="123"/>
      <c r="ER43" s="123"/>
      <c r="ES43" s="123"/>
      <c r="ET43" s="123"/>
      <c r="EU43" s="123">
        <v>5</v>
      </c>
      <c r="EV43" s="124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4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>
        <f>5+5</f>
        <v>10</v>
      </c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8">
        <f t="shared" ref="GU43" si="369">SUM(EE43:GO43,GR43)</f>
        <v>158</v>
      </c>
      <c r="GV43" s="162">
        <f t="shared" ref="GV43" si="370">AN43-ED43-GU43</f>
        <v>405</v>
      </c>
      <c r="GW43" s="163">
        <f t="shared" ref="GW43" si="371">AN43-ED43-ER43-FN43</f>
        <v>563</v>
      </c>
      <c r="GX43" s="163">
        <f t="shared" ref="GX43" si="372">AN43-GU43</f>
        <v>415</v>
      </c>
      <c r="GY43" s="123"/>
      <c r="GZ43" s="123"/>
      <c r="HA43" s="123"/>
      <c r="HB43" s="123"/>
      <c r="HC43" s="128">
        <f t="shared" ref="HC43" si="373">SUM(GY43:HB43)</f>
        <v>0</v>
      </c>
      <c r="HD43" s="123" t="s">
        <v>418</v>
      </c>
      <c r="HE43" s="123" t="s">
        <v>479</v>
      </c>
      <c r="HF43" s="123" t="s">
        <v>289</v>
      </c>
      <c r="HG43" s="123" t="s">
        <v>289</v>
      </c>
      <c r="HH43" s="123" t="s">
        <v>289</v>
      </c>
      <c r="HI43" s="123" t="s">
        <v>289</v>
      </c>
      <c r="HJ43" s="123"/>
      <c r="HK43" s="123"/>
      <c r="HL43" s="127"/>
      <c r="HM43" s="127"/>
      <c r="HN43" s="127"/>
      <c r="HO43" s="127"/>
      <c r="HP43" s="127"/>
      <c r="HQ43" s="164">
        <f t="shared" ref="HQ43" si="374">SUM(HL43:HP43)</f>
        <v>0</v>
      </c>
      <c r="HW43" s="164">
        <f t="shared" ref="HW43" si="375">SUM(HR43:HU43)</f>
        <v>0</v>
      </c>
      <c r="HX43">
        <v>7</v>
      </c>
      <c r="IB43">
        <v>21.2</v>
      </c>
      <c r="IC43">
        <v>27</v>
      </c>
      <c r="ID43">
        <v>10</v>
      </c>
      <c r="IF43">
        <v>5</v>
      </c>
      <c r="II43" s="164">
        <f t="shared" ref="II43" si="376">SUM(HX43:IG43)</f>
        <v>70.2</v>
      </c>
      <c r="IV43" s="165">
        <f t="shared" ref="IV43" si="377">SUM(IJ43:IT43)</f>
        <v>0</v>
      </c>
      <c r="JF43" s="165">
        <f t="shared" ref="JF43" si="378">SUM(IW43:JD43)</f>
        <v>0</v>
      </c>
      <c r="JG43" s="148">
        <f>21-8</f>
        <v>13</v>
      </c>
      <c r="JH43" s="148"/>
      <c r="JI43" s="148"/>
      <c r="JJ43" s="148"/>
      <c r="JK43" s="148"/>
    </row>
    <row r="44" spans="1:271" ht="16.5" customHeight="1" x14ac:dyDescent="0.35">
      <c r="A44" t="s">
        <v>480</v>
      </c>
      <c r="B44" s="117" t="s">
        <v>273</v>
      </c>
      <c r="C44" s="118">
        <v>46065</v>
      </c>
      <c r="D44" s="119" t="s">
        <v>291</v>
      </c>
      <c r="E44" s="120" t="s">
        <v>295</v>
      </c>
      <c r="F44" s="120" t="s">
        <v>296</v>
      </c>
      <c r="G44" s="121" t="s">
        <v>323</v>
      </c>
      <c r="H44" s="122"/>
      <c r="I44" s="123"/>
      <c r="J44" s="124"/>
      <c r="K44" s="2" t="s">
        <v>481</v>
      </c>
      <c r="L44" s="125"/>
      <c r="M44" s="126" t="s">
        <v>310</v>
      </c>
      <c r="N44" s="127" t="s">
        <v>324</v>
      </c>
      <c r="O44" s="10" t="s">
        <v>482</v>
      </c>
      <c r="P44" s="128" t="s">
        <v>282</v>
      </c>
      <c r="Q44" s="129"/>
      <c r="R44" s="130"/>
      <c r="S44" s="130">
        <v>26099.362487481201</v>
      </c>
      <c r="T44" s="131" t="str">
        <f t="shared" ref="T44:T45" si="379">IF(H44*U44=0,"",H44*U44)</f>
        <v/>
      </c>
      <c r="U44" s="132">
        <v>3</v>
      </c>
      <c r="V44" s="133"/>
      <c r="W44" s="133"/>
      <c r="X44" s="134">
        <f>50+135+123</f>
        <v>308</v>
      </c>
      <c r="Y44" s="134"/>
      <c r="Z44" s="134">
        <f>3500+7400+7100</f>
        <v>18000</v>
      </c>
      <c r="AA44" s="134"/>
      <c r="AB44" s="135">
        <f>23+20</f>
        <v>43</v>
      </c>
      <c r="AC44" s="136">
        <f t="shared" ref="AC44:AC45" si="380">BA44+AF44+BK44+BR44+BY44+CI44+CQ44+CU44</f>
        <v>360.88499999999993</v>
      </c>
      <c r="AD44" s="137">
        <f t="shared" ref="AD44" si="381">+AC44-X44</f>
        <v>52.884999999999934</v>
      </c>
      <c r="AE44" s="138">
        <f t="shared" ref="AE44" si="382">AD44-AB44</f>
        <v>9.8849999999999341</v>
      </c>
      <c r="AF44" s="139">
        <f t="shared" ref="AF44:AF45" si="383">IFERROR(+(Z44*AV44*DF44)/10^6,0)</f>
        <v>41.085000000000001</v>
      </c>
      <c r="AG44" s="123"/>
      <c r="AH44" s="122">
        <v>280</v>
      </c>
      <c r="AI44" s="122">
        <v>200</v>
      </c>
      <c r="AJ44" s="140">
        <v>2.7399574991654134</v>
      </c>
      <c r="AK44" s="141">
        <v>2.8816794387774176</v>
      </c>
      <c r="AL44" s="142">
        <v>0.16319444444444445</v>
      </c>
      <c r="AM44" s="142">
        <v>0.30208333333333331</v>
      </c>
      <c r="AN44" s="143">
        <f t="shared" ref="AN44:AN45" si="384">IF(AM44&gt;AL44,((AM44-AL44)*1440),(1440+(AM44-AL44)*1440))</f>
        <v>199.99999999999997</v>
      </c>
      <c r="AO44" s="123"/>
      <c r="AP44" s="123"/>
      <c r="AQ44" s="127"/>
      <c r="AR44" s="123"/>
      <c r="AS44" s="123"/>
      <c r="AT44" s="123" t="s">
        <v>293</v>
      </c>
      <c r="AU44" s="123" t="s">
        <v>311</v>
      </c>
      <c r="AV44" s="123">
        <v>913</v>
      </c>
      <c r="AW44" s="123">
        <v>12</v>
      </c>
      <c r="AX44" s="132">
        <v>6</v>
      </c>
      <c r="AY44" s="123">
        <f>200+376.8</f>
        <v>576.79999999999995</v>
      </c>
      <c r="AZ44" s="123">
        <f>-257</f>
        <v>-257</v>
      </c>
      <c r="BA44" s="144">
        <f t="shared" ref="BA44" si="385">SUM(AY44+AZ44)</f>
        <v>319.79999999999995</v>
      </c>
      <c r="BB44" s="127" t="s">
        <v>483</v>
      </c>
      <c r="BC44" s="145">
        <v>4.4603994452149802</v>
      </c>
      <c r="BD44" s="146">
        <f t="shared" ref="BD44:BD45" si="386">+BA44*BC44</f>
        <v>1426.4357425797505</v>
      </c>
      <c r="BH44" s="147"/>
      <c r="BK44" s="144">
        <f t="shared" ref="BK44" si="387">SUM(BI44+BJ44)</f>
        <v>0</v>
      </c>
      <c r="BO44" s="147"/>
      <c r="BR44" s="144">
        <f t="shared" ref="BR44" si="388">SUM(BP44+BQ44)</f>
        <v>0</v>
      </c>
      <c r="BV44" s="147"/>
      <c r="BY44" s="144">
        <f t="shared" ref="BY44" si="389">SUM(BW44+BX44)</f>
        <v>0</v>
      </c>
      <c r="BZ44" s="148"/>
      <c r="CA44" s="149"/>
      <c r="CB44" s="150"/>
      <c r="CF44" s="147"/>
      <c r="CI44" s="151">
        <f t="shared" ref="CI44" si="390">SUM(CG44+CH44)</f>
        <v>0</v>
      </c>
      <c r="CJ44" s="148"/>
      <c r="CK44" s="149"/>
      <c r="CL44" s="150"/>
      <c r="CM44"/>
      <c r="CN44"/>
      <c r="CO44" s="152"/>
      <c r="CP44" s="153"/>
      <c r="CQ44" s="154">
        <f t="shared" ref="CQ44" si="391">IF(CM44="811 A",CN44/1.667,IF(CM44="MB635",CN44/1.33,IF(CM44="MB655",CN44/1.43,IF(CM44="LG 59A",CN44/1.667,IF(CM44="HB 6680",CN44/1.25,IF(CM44="MB688",CN44/1.25,CN44))))))</f>
        <v>0</v>
      </c>
      <c r="CR44"/>
      <c r="CS44" s="155"/>
      <c r="CT44" s="153"/>
      <c r="CU44" s="154">
        <f t="shared" ref="CU44" si="392">IF(CM44="811 A",CR44/1.33,IF(CM44="HB 6680",CR44/1.33,IF(CM44="MB688",CR44/1.333,CR44)))</f>
        <v>0</v>
      </c>
      <c r="CV44"/>
      <c r="CX44" s="153"/>
      <c r="CY44" s="156"/>
      <c r="CZ44" s="156"/>
      <c r="DA44" s="128"/>
      <c r="DB44" s="123"/>
      <c r="DC44" s="157" t="s">
        <v>325</v>
      </c>
      <c r="DD44" s="157" t="s">
        <v>313</v>
      </c>
      <c r="DE44" s="127">
        <v>7</v>
      </c>
      <c r="DF44" s="158">
        <f>1.5+1</f>
        <v>2.5</v>
      </c>
      <c r="DG44" s="159"/>
      <c r="DH44" s="160"/>
      <c r="DI44" s="122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>
        <v>10</v>
      </c>
      <c r="DV44" s="123"/>
      <c r="DW44" s="123">
        <v>10</v>
      </c>
      <c r="DX44" s="123">
        <v>10</v>
      </c>
      <c r="DY44" s="123">
        <v>10</v>
      </c>
      <c r="DZ44" s="123">
        <v>10</v>
      </c>
      <c r="EA44" s="123"/>
      <c r="EB44" s="123">
        <v>10</v>
      </c>
      <c r="EC44" s="123"/>
      <c r="ED44" s="161">
        <f t="shared" ref="ED44:ED45" si="393">SUM(DK44:EC44)</f>
        <v>60</v>
      </c>
      <c r="EE44" s="123"/>
      <c r="EF44" s="123"/>
      <c r="EG44" s="123"/>
      <c r="EH44" s="123"/>
      <c r="EI44" s="123"/>
      <c r="EJ44" s="123"/>
      <c r="EK44" s="123"/>
      <c r="EL44" s="123"/>
      <c r="EM44" s="123"/>
      <c r="EN44" s="123"/>
      <c r="EO44" s="122"/>
      <c r="EP44" s="123"/>
      <c r="EQ44" s="123"/>
      <c r="ER44" s="123"/>
      <c r="ES44" s="123"/>
      <c r="ET44" s="123"/>
      <c r="EU44" s="123"/>
      <c r="EV44" s="124"/>
      <c r="EW44" s="123"/>
      <c r="EX44" s="123"/>
      <c r="EY44" s="123"/>
      <c r="EZ44" s="123"/>
      <c r="FA44" s="123"/>
      <c r="FB44" s="123"/>
      <c r="FC44" s="123"/>
      <c r="FD44" s="123"/>
      <c r="FE44" s="123"/>
      <c r="FF44" s="123"/>
      <c r="FG44" s="123"/>
      <c r="FH44" s="123"/>
      <c r="FI44" s="123"/>
      <c r="FJ44" s="124"/>
      <c r="FK44" s="123"/>
      <c r="FL44" s="123"/>
      <c r="FM44" s="123"/>
      <c r="FN44" s="123"/>
      <c r="FO44" s="123"/>
      <c r="FP44" s="123"/>
      <c r="FQ44" s="123">
        <v>15</v>
      </c>
      <c r="FR44" s="123"/>
      <c r="FS44" s="123"/>
      <c r="FT44" s="123"/>
      <c r="FU44" s="123"/>
      <c r="FV44" s="123"/>
      <c r="FW44" s="123"/>
      <c r="FX44" s="123"/>
      <c r="FY44" s="123"/>
      <c r="FZ44" s="123"/>
      <c r="GA44" s="123"/>
      <c r="GB44" s="123"/>
      <c r="GC44" s="123"/>
      <c r="GD44" s="123"/>
      <c r="GE44" s="123"/>
      <c r="GF44" s="123"/>
      <c r="GG44" s="123"/>
      <c r="GH44" s="123"/>
      <c r="GI44" s="123"/>
      <c r="GJ44" s="123"/>
      <c r="GK44" s="123"/>
      <c r="GL44" s="123"/>
      <c r="GM44" s="123"/>
      <c r="GN44" s="123"/>
      <c r="GO44" s="123"/>
      <c r="GP44" s="123"/>
      <c r="GQ44" s="123"/>
      <c r="GR44" s="123">
        <v>20</v>
      </c>
      <c r="GS44" s="123" t="s">
        <v>484</v>
      </c>
      <c r="GT44" s="123" t="s">
        <v>476</v>
      </c>
      <c r="GU44" s="128">
        <f t="shared" ref="GU44:GU45" si="394">SUM(EE44:GO44,GR44)</f>
        <v>35</v>
      </c>
      <c r="GV44" s="162">
        <f t="shared" ref="GV44:GV45" si="395">AN44-ED44-GU44</f>
        <v>104.99999999999997</v>
      </c>
      <c r="GW44" s="163">
        <f t="shared" ref="GW44:GW45" si="396">AN44-ED44-ER44-FN44</f>
        <v>139.99999999999997</v>
      </c>
      <c r="GX44" s="163">
        <f t="shared" ref="GX44:GX45" si="397">AN44-GU44</f>
        <v>164.99999999999997</v>
      </c>
      <c r="GY44" s="123">
        <v>300</v>
      </c>
      <c r="GZ44" s="123">
        <v>600</v>
      </c>
      <c r="HA44" s="123">
        <v>300</v>
      </c>
      <c r="HB44" s="123">
        <v>300</v>
      </c>
      <c r="HC44" s="128">
        <f t="shared" ref="HC44" si="398">SUM(GY44:HB44)</f>
        <v>1500</v>
      </c>
      <c r="HD44" s="123" t="s">
        <v>326</v>
      </c>
      <c r="HE44" s="123" t="s">
        <v>317</v>
      </c>
      <c r="HF44" s="123" t="s">
        <v>412</v>
      </c>
      <c r="HG44" s="123" t="s">
        <v>411</v>
      </c>
      <c r="HH44" s="123" t="s">
        <v>289</v>
      </c>
      <c r="HI44" s="123" t="s">
        <v>329</v>
      </c>
      <c r="HJ44" s="123"/>
      <c r="HK44" s="123"/>
      <c r="HL44" s="127"/>
      <c r="HM44" s="127"/>
      <c r="HN44" s="127"/>
      <c r="HO44" s="127"/>
      <c r="HP44" s="127"/>
      <c r="HQ44" s="164">
        <f t="shared" ref="HQ44" si="399">SUM(HL44:HP44)</f>
        <v>0</v>
      </c>
      <c r="HW44" s="164">
        <f t="shared" ref="HW44" si="400">SUM(HR44:HU44)</f>
        <v>0</v>
      </c>
      <c r="II44" s="164">
        <f t="shared" ref="II44" si="401">SUM(HX44:IG44)</f>
        <v>0</v>
      </c>
      <c r="IV44" s="165">
        <f t="shared" ref="IV44" si="402">SUM(IJ44:IT44)</f>
        <v>0</v>
      </c>
      <c r="JF44" s="165">
        <f t="shared" ref="JF44" si="403">SUM(IW44:JD44)</f>
        <v>0</v>
      </c>
      <c r="JG44" s="148">
        <f>1+1</f>
        <v>2</v>
      </c>
      <c r="JH44" s="148" t="s">
        <v>320</v>
      </c>
      <c r="JI44" s="148"/>
      <c r="JJ44" s="148"/>
      <c r="JK44" s="148"/>
    </row>
    <row r="45" spans="1:271" ht="16.5" customHeight="1" x14ac:dyDescent="0.35">
      <c r="A45" t="s">
        <v>485</v>
      </c>
      <c r="B45" s="117" t="s">
        <v>273</v>
      </c>
      <c r="C45" s="118">
        <v>46065</v>
      </c>
      <c r="D45" s="119" t="s">
        <v>291</v>
      </c>
      <c r="E45" s="120" t="s">
        <v>298</v>
      </c>
      <c r="F45" s="120" t="s">
        <v>296</v>
      </c>
      <c r="G45" s="121" t="s">
        <v>486</v>
      </c>
      <c r="H45" s="122"/>
      <c r="I45" s="123"/>
      <c r="J45" s="124"/>
      <c r="K45" s="2" t="s">
        <v>487</v>
      </c>
      <c r="L45" s="125"/>
      <c r="M45" s="126" t="s">
        <v>279</v>
      </c>
      <c r="N45" s="127" t="s">
        <v>385</v>
      </c>
      <c r="O45" s="10" t="s">
        <v>488</v>
      </c>
      <c r="P45" s="128" t="s">
        <v>282</v>
      </c>
      <c r="Q45" s="129">
        <v>1</v>
      </c>
      <c r="R45" s="130"/>
      <c r="S45" s="130">
        <v>161891.67002380799</v>
      </c>
      <c r="T45" s="131" t="str">
        <f t="shared" si="379"/>
        <v/>
      </c>
      <c r="U45" s="132">
        <v>10</v>
      </c>
      <c r="V45" s="133"/>
      <c r="W45" s="133"/>
      <c r="X45" s="134">
        <f>87+234+185+278+355+483+488+490+278+440</f>
        <v>3318</v>
      </c>
      <c r="Y45" s="134"/>
      <c r="Z45" s="134">
        <f>4300+11600+9200+13700+17600+24100+23800+24000+13600+20600</f>
        <v>162500</v>
      </c>
      <c r="AA45" s="134"/>
      <c r="AB45" s="135">
        <f>11</f>
        <v>11</v>
      </c>
      <c r="AC45" s="136">
        <f t="shared" si="380"/>
        <v>3321.8044166666664</v>
      </c>
      <c r="AD45" s="137">
        <f t="shared" ref="AD45" si="404">+AC45-X45</f>
        <v>3.8044166666663841</v>
      </c>
      <c r="AE45" s="138">
        <f t="shared" ref="AE45" si="405">AD45-AB45</f>
        <v>-7.1955833333336159</v>
      </c>
      <c r="AF45" s="139">
        <f t="shared" si="383"/>
        <v>330.50441666666671</v>
      </c>
      <c r="AG45" s="123"/>
      <c r="AH45" s="122">
        <v>350</v>
      </c>
      <c r="AI45" s="122">
        <v>333</v>
      </c>
      <c r="AJ45" s="140">
        <v>8.7091271439908571</v>
      </c>
      <c r="AK45" s="141">
        <v>9.1595992376455566</v>
      </c>
      <c r="AL45" s="142">
        <v>0.87847222222222221</v>
      </c>
      <c r="AM45" s="142">
        <v>0.30208333333333331</v>
      </c>
      <c r="AN45" s="143">
        <f t="shared" si="384"/>
        <v>610.00000000000011</v>
      </c>
      <c r="AO45" s="123"/>
      <c r="AP45" s="123"/>
      <c r="AQ45" s="127"/>
      <c r="AR45" s="123"/>
      <c r="AS45" s="123"/>
      <c r="AT45" s="123" t="s">
        <v>293</v>
      </c>
      <c r="AU45" s="123" t="s">
        <v>311</v>
      </c>
      <c r="AV45" s="123">
        <v>1063</v>
      </c>
      <c r="AW45" s="123">
        <v>12</v>
      </c>
      <c r="AX45" s="132">
        <v>7</v>
      </c>
      <c r="AY45" s="123">
        <f>180+432.8+431.7+432.1+433.8+435.4+253+455.5</f>
        <v>3054.2999999999997</v>
      </c>
      <c r="AZ45" s="123">
        <f>-63</f>
        <v>-63</v>
      </c>
      <c r="BA45" s="144">
        <f t="shared" ref="BA45" si="406">SUM(AY45+AZ45)</f>
        <v>2991.2999999999997</v>
      </c>
      <c r="BB45" s="127" t="s">
        <v>489</v>
      </c>
      <c r="BC45" s="145">
        <v>4.546673345774809</v>
      </c>
      <c r="BD45" s="146">
        <f t="shared" si="386"/>
        <v>13600.463979216185</v>
      </c>
      <c r="BH45" s="147"/>
      <c r="BK45" s="144">
        <f t="shared" ref="BK45" si="407">SUM(BI45+BJ45)</f>
        <v>0</v>
      </c>
      <c r="BO45" s="147"/>
      <c r="BR45" s="144">
        <f t="shared" ref="BR45" si="408">SUM(BP45+BQ45)</f>
        <v>0</v>
      </c>
      <c r="BV45" s="147"/>
      <c r="BY45" s="144">
        <f t="shared" ref="BY45" si="409">SUM(BW45+BX45)</f>
        <v>0</v>
      </c>
      <c r="BZ45" s="148"/>
      <c r="CA45" s="149"/>
      <c r="CB45" s="150"/>
      <c r="CF45" s="147"/>
      <c r="CI45" s="151">
        <f t="shared" ref="CI45" si="410">SUM(CG45+CH45)</f>
        <v>0</v>
      </c>
      <c r="CJ45" s="148"/>
      <c r="CK45" s="149"/>
      <c r="CL45" s="150"/>
      <c r="CM45"/>
      <c r="CN45"/>
      <c r="CO45" s="152"/>
      <c r="CP45" s="153"/>
      <c r="CQ45" s="154">
        <f t="shared" ref="CQ45" si="411">IF(CM45="811 A",CN45/1.667,IF(CM45="MB635",CN45/1.33,IF(CM45="MB655",CN45/1.43,IF(CM45="LG 59A",CN45/1.667,IF(CM45="HB 6680",CN45/1.25,IF(CM45="MB688",CN45/1.25,CN45))))))</f>
        <v>0</v>
      </c>
      <c r="CR45"/>
      <c r="CS45" s="155"/>
      <c r="CT45" s="153"/>
      <c r="CU45" s="154">
        <f t="shared" ref="CU45" si="412">IF(CM45="811 A",CR45/1.33,IF(CM45="HB 6680",CR45/1.33,IF(CM45="MB688",CR45/1.333,CR45)))</f>
        <v>0</v>
      </c>
      <c r="CV45"/>
      <c r="CX45" s="153"/>
      <c r="CY45" s="156"/>
      <c r="CZ45" s="156"/>
      <c r="DA45" s="128"/>
      <c r="DB45" s="123"/>
      <c r="DC45" s="157" t="s">
        <v>312</v>
      </c>
      <c r="DD45" s="157" t="s">
        <v>313</v>
      </c>
      <c r="DE45" s="127">
        <v>7</v>
      </c>
      <c r="DF45" s="158">
        <f>AVERAGE(1.94,1.9,1.9)</f>
        <v>1.9133333333333333</v>
      </c>
      <c r="DG45" s="159"/>
      <c r="DH45" s="160"/>
      <c r="DI45" s="122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>
        <v>10</v>
      </c>
      <c r="DV45" s="123"/>
      <c r="DW45" s="123">
        <v>10</v>
      </c>
      <c r="DX45" s="123">
        <v>10</v>
      </c>
      <c r="DY45" s="123">
        <v>10</v>
      </c>
      <c r="DZ45" s="123">
        <v>10</v>
      </c>
      <c r="EA45" s="123"/>
      <c r="EB45" s="123">
        <v>10</v>
      </c>
      <c r="EC45" s="123"/>
      <c r="ED45" s="161">
        <f t="shared" si="393"/>
        <v>60</v>
      </c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2"/>
      <c r="EP45" s="123">
        <v>15</v>
      </c>
      <c r="EQ45" s="123"/>
      <c r="ER45" s="123"/>
      <c r="ES45" s="123"/>
      <c r="ET45" s="123"/>
      <c r="EU45" s="123"/>
      <c r="EV45" s="124"/>
      <c r="EW45" s="123"/>
      <c r="EX45" s="123"/>
      <c r="EY45" s="123"/>
      <c r="EZ45" s="123"/>
      <c r="FA45" s="123"/>
      <c r="FB45" s="123">
        <v>15</v>
      </c>
      <c r="FC45" s="123"/>
      <c r="FD45" s="123"/>
      <c r="FE45" s="123"/>
      <c r="FF45" s="123"/>
      <c r="FG45" s="123"/>
      <c r="FH45" s="123"/>
      <c r="FI45" s="123"/>
      <c r="FJ45" s="124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8">
        <f t="shared" si="394"/>
        <v>30</v>
      </c>
      <c r="GV45" s="162">
        <f t="shared" si="395"/>
        <v>520.00000000000011</v>
      </c>
      <c r="GW45" s="163">
        <f t="shared" si="396"/>
        <v>550.00000000000011</v>
      </c>
      <c r="GX45" s="163">
        <f t="shared" si="397"/>
        <v>580.00000000000011</v>
      </c>
      <c r="GY45" s="123">
        <v>200</v>
      </c>
      <c r="GZ45" s="123">
        <v>400</v>
      </c>
      <c r="HA45" s="123">
        <v>0</v>
      </c>
      <c r="HB45" s="123">
        <v>0</v>
      </c>
      <c r="HC45" s="128">
        <f t="shared" ref="HC45" si="413">SUM(GY45:HB45)</f>
        <v>600</v>
      </c>
      <c r="HD45" s="123" t="s">
        <v>413</v>
      </c>
      <c r="HE45" s="123" t="s">
        <v>344</v>
      </c>
      <c r="HF45" s="123" t="s">
        <v>343</v>
      </c>
      <c r="HG45" s="123" t="s">
        <v>339</v>
      </c>
      <c r="HH45" s="123" t="s">
        <v>289</v>
      </c>
      <c r="HI45" s="123" t="s">
        <v>329</v>
      </c>
      <c r="HJ45" s="123"/>
      <c r="HK45" s="123"/>
      <c r="HL45" s="127"/>
      <c r="HM45" s="127"/>
      <c r="HN45" s="127"/>
      <c r="HO45" s="127"/>
      <c r="HP45" s="127"/>
      <c r="HQ45" s="164">
        <f t="shared" ref="HQ45" si="414">SUM(HL45:HP45)</f>
        <v>0</v>
      </c>
      <c r="HW45" s="164">
        <f t="shared" ref="HW45" si="415">SUM(HR45:HU45)</f>
        <v>0</v>
      </c>
      <c r="II45" s="164">
        <f t="shared" ref="II45" si="416">SUM(HX45:IG45)</f>
        <v>0</v>
      </c>
      <c r="IV45" s="165">
        <f t="shared" ref="IV45" si="417">SUM(IJ45:IT45)</f>
        <v>0</v>
      </c>
      <c r="JF45" s="165">
        <f t="shared" ref="JF45" si="418">SUM(IW45:JD45)</f>
        <v>0</v>
      </c>
      <c r="JG45" s="148">
        <f>1+1+1+1</f>
        <v>4</v>
      </c>
      <c r="JH45" s="148" t="s">
        <v>320</v>
      </c>
      <c r="JI45" s="148"/>
      <c r="JJ45" s="148"/>
      <c r="JK45" s="148"/>
    </row>
    <row r="46" spans="1:271" ht="16.5" customHeight="1" x14ac:dyDescent="0.35">
      <c r="A46" t="s">
        <v>490</v>
      </c>
      <c r="B46" s="117" t="s">
        <v>273</v>
      </c>
      <c r="C46" s="118">
        <v>46066</v>
      </c>
      <c r="D46" s="119" t="s">
        <v>274</v>
      </c>
      <c r="E46" s="120" t="s">
        <v>295</v>
      </c>
      <c r="F46" s="120" t="s">
        <v>296</v>
      </c>
      <c r="G46" s="121" t="s">
        <v>323</v>
      </c>
      <c r="H46" s="122"/>
      <c r="I46" s="123"/>
      <c r="J46" s="124"/>
      <c r="K46" s="2" t="s">
        <v>481</v>
      </c>
      <c r="L46" s="125"/>
      <c r="M46" s="126" t="s">
        <v>310</v>
      </c>
      <c r="N46" s="127" t="s">
        <v>324</v>
      </c>
      <c r="O46" s="10" t="s">
        <v>482</v>
      </c>
      <c r="P46" s="128" t="s">
        <v>282</v>
      </c>
      <c r="Q46" s="129"/>
      <c r="R46" s="130"/>
      <c r="S46" s="130">
        <v>8099.3624874812012</v>
      </c>
      <c r="T46" s="131" t="str">
        <f t="shared" ref="T46:T49" si="419">IF(H46*U46=0,"",H46*U46)</f>
        <v/>
      </c>
      <c r="U46" s="132">
        <v>1</v>
      </c>
      <c r="V46" s="133"/>
      <c r="W46" s="133"/>
      <c r="X46" s="134">
        <f>151</f>
        <v>151</v>
      </c>
      <c r="Y46" s="134"/>
      <c r="Z46" s="134">
        <f>8300</f>
        <v>8300</v>
      </c>
      <c r="AA46" s="134"/>
      <c r="AB46" s="135"/>
      <c r="AC46" s="136">
        <f t="shared" ref="AC46:AC49" si="420">BA46+AF46+BK46+BR46+BY46+CI46+CQ46+CU46</f>
        <v>147.02052900000001</v>
      </c>
      <c r="AD46" s="137">
        <f t="shared" ref="AD46" si="421">+AC46-X46</f>
        <v>-3.9794709999999895</v>
      </c>
      <c r="AE46" s="138">
        <f t="shared" ref="AE46" si="422">AD46-AB46</f>
        <v>-3.9794709999999895</v>
      </c>
      <c r="AF46" s="139">
        <f t="shared" ref="AF46:AF49" si="423">IFERROR(+(Z46*AV46*DF46)/10^6,0)</f>
        <v>19.020529</v>
      </c>
      <c r="AG46" s="123"/>
      <c r="AH46" s="122">
        <v>280</v>
      </c>
      <c r="AI46" s="122">
        <v>280</v>
      </c>
      <c r="AJ46" s="140">
        <v>1.5399574991654135</v>
      </c>
      <c r="AK46" s="141">
        <v>1.6196104732601762</v>
      </c>
      <c r="AL46" s="142">
        <v>0.30208333333333331</v>
      </c>
      <c r="AM46" s="142">
        <v>0.32291666666666669</v>
      </c>
      <c r="AN46" s="143">
        <f t="shared" ref="AN46:AN49" si="424">IF(AM46&gt;AL46,((AM46-AL46)*1440),(1440+(AM46-AL46)*1440))</f>
        <v>30.000000000000053</v>
      </c>
      <c r="AO46" s="123"/>
      <c r="AP46" s="123"/>
      <c r="AQ46" s="127"/>
      <c r="AR46" s="123"/>
      <c r="AS46" s="123"/>
      <c r="AT46" s="123" t="s">
        <v>293</v>
      </c>
      <c r="AU46" s="123" t="s">
        <v>311</v>
      </c>
      <c r="AV46" s="123">
        <v>913</v>
      </c>
      <c r="AW46" s="123">
        <v>12</v>
      </c>
      <c r="AX46" s="132">
        <v>1</v>
      </c>
      <c r="AY46" s="123">
        <f>260</f>
        <v>260</v>
      </c>
      <c r="AZ46" s="123">
        <f>-132</f>
        <v>-132</v>
      </c>
      <c r="BA46" s="144">
        <f t="shared" ref="BA46" si="425">SUM(AY46+AZ46)</f>
        <v>128</v>
      </c>
      <c r="BB46" s="127">
        <v>85572</v>
      </c>
      <c r="BC46" s="145">
        <v>4.5880000000000001</v>
      </c>
      <c r="BD46" s="146">
        <f t="shared" ref="BD46" si="426">+BA46*BC46</f>
        <v>587.26400000000001</v>
      </c>
      <c r="BH46" s="147"/>
      <c r="BK46" s="144">
        <f t="shared" ref="BK46" si="427">SUM(BI46+BJ46)</f>
        <v>0</v>
      </c>
      <c r="BO46" s="147"/>
      <c r="BR46" s="144">
        <f t="shared" ref="BR46" si="428">SUM(BP46+BQ46)</f>
        <v>0</v>
      </c>
      <c r="BV46" s="147"/>
      <c r="BY46" s="144">
        <f t="shared" ref="BY46" si="429">SUM(BW46+BX46)</f>
        <v>0</v>
      </c>
      <c r="BZ46" s="148"/>
      <c r="CA46" s="149"/>
      <c r="CB46" s="150"/>
      <c r="CF46" s="147"/>
      <c r="CI46" s="151">
        <f t="shared" ref="CI46" si="430">SUM(CG46+CH46)</f>
        <v>0</v>
      </c>
      <c r="CJ46" s="148"/>
      <c r="CK46" s="149"/>
      <c r="CL46" s="150"/>
      <c r="CM46"/>
      <c r="CN46"/>
      <c r="CO46" s="152"/>
      <c r="CP46" s="153"/>
      <c r="CQ46" s="154">
        <f t="shared" ref="CQ46" si="431">IF(CM46="811 A",CN46/1.667,IF(CM46="MB635",CN46/1.33,IF(CM46="MB655",CN46/1.43,IF(CM46="LG 59A",CN46/1.667,IF(CM46="HB 6680",CN46/1.25,IF(CM46="MB688",CN46/1.25,CN46))))))</f>
        <v>0</v>
      </c>
      <c r="CR46"/>
      <c r="CS46" s="155"/>
      <c r="CT46" s="153"/>
      <c r="CU46" s="154">
        <f t="shared" ref="CU46" si="432">IF(CM46="811 A",CR46/1.33,IF(CM46="HB 6680",CR46/1.33,IF(CM46="MB688",CR46/1.333,CR46)))</f>
        <v>0</v>
      </c>
      <c r="CV46"/>
      <c r="CX46" s="153"/>
      <c r="CY46" s="156"/>
      <c r="CZ46" s="156"/>
      <c r="DA46" s="128"/>
      <c r="DB46" s="123"/>
      <c r="DC46" s="157" t="s">
        <v>325</v>
      </c>
      <c r="DD46" s="157" t="s">
        <v>313</v>
      </c>
      <c r="DE46" s="127">
        <v>7</v>
      </c>
      <c r="DF46" s="158">
        <f>1.51+1</f>
        <v>2.5099999999999998</v>
      </c>
      <c r="DG46" s="159"/>
      <c r="DH46" s="160"/>
      <c r="DI46" s="122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V46" s="123"/>
      <c r="DW46" s="123"/>
      <c r="DX46" s="123"/>
      <c r="DY46" s="123"/>
      <c r="DZ46" s="123"/>
      <c r="EA46" s="123"/>
      <c r="EB46" s="123"/>
      <c r="EC46" s="123"/>
      <c r="ED46" s="161">
        <f t="shared" ref="ED46:ED49" si="433">SUM(DK46:EC46)</f>
        <v>0</v>
      </c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2"/>
      <c r="EP46" s="123"/>
      <c r="EQ46" s="123"/>
      <c r="ER46" s="123"/>
      <c r="ES46" s="123"/>
      <c r="ET46" s="123"/>
      <c r="EU46" s="123"/>
      <c r="EV46" s="124"/>
      <c r="EW46" s="123"/>
      <c r="EX46" s="123"/>
      <c r="EY46" s="123"/>
      <c r="EZ46" s="123"/>
      <c r="FA46" s="123"/>
      <c r="FB46" s="123"/>
      <c r="FC46" s="123"/>
      <c r="FD46" s="123"/>
      <c r="FE46" s="123"/>
      <c r="FF46" s="123"/>
      <c r="FG46" s="123"/>
      <c r="FH46" s="123"/>
      <c r="FI46" s="123"/>
      <c r="FJ46" s="124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8">
        <f t="shared" ref="GU46:GU49" si="434">SUM(EE46:GO46,GR46)</f>
        <v>0</v>
      </c>
      <c r="GV46" s="162">
        <f t="shared" ref="GV46:GV49" si="435">AN46-ED46-GU46</f>
        <v>30.000000000000053</v>
      </c>
      <c r="GW46" s="163">
        <f t="shared" ref="GW46:GW49" si="436">AN46-ED46-ER46-FN46</f>
        <v>30.000000000000053</v>
      </c>
      <c r="GX46" s="163">
        <f t="shared" ref="GX46:GX49" si="437">AN46-GU46</f>
        <v>30.000000000000053</v>
      </c>
      <c r="GY46" s="123">
        <v>0</v>
      </c>
      <c r="GZ46" s="123">
        <v>0</v>
      </c>
      <c r="HA46" s="123">
        <v>0</v>
      </c>
      <c r="HB46" s="123">
        <v>0</v>
      </c>
      <c r="HC46" s="128">
        <f t="shared" ref="HC46" si="438">SUM(GY46:HB46)</f>
        <v>0</v>
      </c>
      <c r="HD46" s="123" t="s">
        <v>314</v>
      </c>
      <c r="HE46" s="123" t="s">
        <v>315</v>
      </c>
      <c r="HF46" s="123" t="s">
        <v>316</v>
      </c>
      <c r="HG46" s="123" t="s">
        <v>318</v>
      </c>
      <c r="HH46" s="123" t="s">
        <v>289</v>
      </c>
      <c r="HI46" s="123" t="s">
        <v>319</v>
      </c>
      <c r="HJ46" s="123"/>
      <c r="HK46" s="123"/>
      <c r="HL46" s="127"/>
      <c r="HM46" s="127"/>
      <c r="HN46" s="127"/>
      <c r="HO46" s="127"/>
      <c r="HP46" s="127"/>
      <c r="HQ46" s="164">
        <f t="shared" ref="HQ46" si="439">SUM(HL46:HP46)</f>
        <v>0</v>
      </c>
      <c r="HW46" s="164">
        <f t="shared" ref="HW46" si="440">SUM(HR46:HU46)</f>
        <v>0</v>
      </c>
      <c r="II46" s="164">
        <f t="shared" ref="II46" si="441">SUM(HX46:IG46)</f>
        <v>0</v>
      </c>
      <c r="IV46" s="165">
        <f t="shared" ref="IV46" si="442">SUM(IJ46:IT46)</f>
        <v>0</v>
      </c>
      <c r="JF46" s="165">
        <f t="shared" ref="JF46" si="443">SUM(IW46:JD46)</f>
        <v>0</v>
      </c>
      <c r="JG46" s="148">
        <v>0</v>
      </c>
      <c r="JH46" s="148" t="s">
        <v>320</v>
      </c>
      <c r="JI46" s="148"/>
      <c r="JJ46" s="148"/>
      <c r="JK46" s="148"/>
    </row>
    <row r="47" spans="1:271" ht="16.5" customHeight="1" x14ac:dyDescent="0.35">
      <c r="A47" t="s">
        <v>491</v>
      </c>
      <c r="B47" s="117" t="s">
        <v>273</v>
      </c>
      <c r="C47" s="118">
        <v>46066</v>
      </c>
      <c r="D47" s="119" t="s">
        <v>274</v>
      </c>
      <c r="E47" s="120" t="s">
        <v>299</v>
      </c>
      <c r="F47" s="120" t="s">
        <v>300</v>
      </c>
      <c r="G47" s="121" t="s">
        <v>323</v>
      </c>
      <c r="H47" s="122"/>
      <c r="I47" s="123" t="s">
        <v>283</v>
      </c>
      <c r="J47" s="124"/>
      <c r="K47" s="2" t="s">
        <v>481</v>
      </c>
      <c r="L47" s="125"/>
      <c r="M47" s="126" t="s">
        <v>310</v>
      </c>
      <c r="N47" s="127" t="s">
        <v>324</v>
      </c>
      <c r="O47" s="10" t="s">
        <v>482</v>
      </c>
      <c r="P47" s="128" t="s">
        <v>356</v>
      </c>
      <c r="Q47" s="129"/>
      <c r="R47" s="130"/>
      <c r="S47" s="130"/>
      <c r="T47" s="131" t="str">
        <f t="shared" si="419"/>
        <v/>
      </c>
      <c r="U47" s="132">
        <v>1</v>
      </c>
      <c r="V47" s="133"/>
      <c r="W47" s="133"/>
      <c r="X47" s="134">
        <v>48</v>
      </c>
      <c r="Y47" s="134"/>
      <c r="Z47" s="134">
        <v>3200</v>
      </c>
      <c r="AA47" s="134"/>
      <c r="AB47" s="135">
        <v>2</v>
      </c>
      <c r="AC47" s="136">
        <f t="shared" si="420"/>
        <v>50</v>
      </c>
      <c r="AD47" s="137">
        <f t="shared" ref="AD47:AD49" si="444">+AC47-X47</f>
        <v>2</v>
      </c>
      <c r="AE47" s="138">
        <f t="shared" ref="AE47:AE49" si="445">AD47-AB47</f>
        <v>0</v>
      </c>
      <c r="AF47" s="139">
        <f t="shared" si="423"/>
        <v>0</v>
      </c>
      <c r="AG47" s="123"/>
      <c r="AH47" s="122"/>
      <c r="AI47" s="122"/>
      <c r="AJ47" s="140"/>
      <c r="AK47" s="141" t="str">
        <f t="shared" ref="AK47" si="446">IF(AJ47*60=0,"",AJ47*60)</f>
        <v/>
      </c>
      <c r="AL47" s="142">
        <v>0.58333333333333337</v>
      </c>
      <c r="AM47" s="142">
        <v>0.65</v>
      </c>
      <c r="AN47" s="143">
        <f t="shared" si="424"/>
        <v>95.999999999999972</v>
      </c>
      <c r="AO47" s="123"/>
      <c r="AP47" s="123"/>
      <c r="AQ47" s="127"/>
      <c r="AR47" s="123"/>
      <c r="AS47" s="123"/>
      <c r="AT47" s="123"/>
      <c r="AU47" s="123" t="s">
        <v>357</v>
      </c>
      <c r="AV47" s="123">
        <v>913</v>
      </c>
      <c r="AW47" s="123">
        <v>12</v>
      </c>
      <c r="AX47" s="132">
        <v>1</v>
      </c>
      <c r="AY47" s="123">
        <v>50</v>
      </c>
      <c r="AZ47" s="123"/>
      <c r="BA47" s="144">
        <f t="shared" ref="BA47:BA49" si="447">SUM(AY47+AZ47)</f>
        <v>50</v>
      </c>
      <c r="BB47" s="127"/>
      <c r="BC47" s="145"/>
      <c r="BD47" s="146"/>
      <c r="BH47" s="147"/>
      <c r="BK47" s="144">
        <f t="shared" ref="BK47:BK49" si="448">SUM(BI47+BJ47)</f>
        <v>0</v>
      </c>
      <c r="BO47" s="147"/>
      <c r="BR47" s="144">
        <f t="shared" ref="BR47:BR49" si="449">SUM(BP47+BQ47)</f>
        <v>0</v>
      </c>
      <c r="BV47" s="147"/>
      <c r="BY47" s="144">
        <f t="shared" ref="BY47:BY49" si="450">SUM(BW47+BX47)</f>
        <v>0</v>
      </c>
      <c r="BZ47" s="148"/>
      <c r="CA47" s="149"/>
      <c r="CB47" s="150"/>
      <c r="CF47" s="147"/>
      <c r="CI47" s="151">
        <f t="shared" ref="CI47:CI49" si="451">SUM(CG47+CH47)</f>
        <v>0</v>
      </c>
      <c r="CJ47" s="148"/>
      <c r="CK47" s="149"/>
      <c r="CL47" s="150"/>
      <c r="CM47"/>
      <c r="CN47"/>
      <c r="CO47" s="152"/>
      <c r="CP47" s="153"/>
      <c r="CQ47" s="154">
        <f t="shared" ref="CQ47:CQ49" si="452">IF(CM47="811 A",CN47/1.667,IF(CM47="MB635",CN47/1.33,IF(CM47="MB655",CN47/1.43,IF(CM47="LG 59A",CN47/1.667,IF(CM47="HB 6680",CN47/1.25,IF(CM47="MB688",CN47/1.25,CN47))))))</f>
        <v>0</v>
      </c>
      <c r="CR47"/>
      <c r="CS47" s="155"/>
      <c r="CT47" s="153"/>
      <c r="CU47" s="154">
        <f t="shared" ref="CU47:CU49" si="453">IF(CM47="811 A",CR47/1.33,IF(CM47="HB 6680",CR47/1.33,IF(CM47="MB688",CR47/1.333,CR47)))</f>
        <v>0</v>
      </c>
      <c r="CV47"/>
      <c r="CX47" s="153"/>
      <c r="CY47" s="156"/>
      <c r="CZ47" s="156"/>
      <c r="DA47" s="128"/>
      <c r="DB47" s="123"/>
      <c r="DC47" s="157" t="s">
        <v>325</v>
      </c>
      <c r="DD47" s="157" t="s">
        <v>313</v>
      </c>
      <c r="DE47" s="127"/>
      <c r="DF47" s="158"/>
      <c r="DG47" s="159"/>
      <c r="DH47" s="160"/>
      <c r="DI47" s="122"/>
      <c r="DK47" s="123">
        <v>10</v>
      </c>
      <c r="DL47" s="123"/>
      <c r="DM47" s="123"/>
      <c r="DN47" s="123"/>
      <c r="DO47" s="123"/>
      <c r="DP47" s="123"/>
      <c r="DQ47" s="123"/>
      <c r="DR47" s="123"/>
      <c r="DS47" s="123"/>
      <c r="DT47" s="123"/>
      <c r="DV47" s="123"/>
      <c r="DW47" s="123"/>
      <c r="DX47" s="123"/>
      <c r="DY47" s="123"/>
      <c r="DZ47" s="123"/>
      <c r="EA47" s="123"/>
      <c r="EB47" s="123"/>
      <c r="EC47" s="123"/>
      <c r="ED47" s="161">
        <f t="shared" si="433"/>
        <v>10</v>
      </c>
      <c r="EE47" s="123"/>
      <c r="EF47" s="123">
        <v>10</v>
      </c>
      <c r="EG47" s="123"/>
      <c r="EH47" s="123"/>
      <c r="EI47" s="123"/>
      <c r="EJ47" s="123"/>
      <c r="EK47" s="123"/>
      <c r="EL47" s="123"/>
      <c r="EM47" s="123"/>
      <c r="EN47" s="123"/>
      <c r="EO47" s="122"/>
      <c r="EP47" s="123"/>
      <c r="EQ47" s="123"/>
      <c r="ER47" s="123"/>
      <c r="ES47" s="123">
        <v>10</v>
      </c>
      <c r="ET47" s="123"/>
      <c r="EU47" s="123"/>
      <c r="EV47" s="124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4"/>
      <c r="FK47" s="123"/>
      <c r="FL47" s="123"/>
      <c r="FM47" s="123"/>
      <c r="FN47" s="123"/>
      <c r="FO47" s="123">
        <v>10</v>
      </c>
      <c r="FP47" s="123"/>
      <c r="FQ47" s="123"/>
      <c r="FR47" s="123">
        <v>10</v>
      </c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8">
        <f t="shared" si="434"/>
        <v>40</v>
      </c>
      <c r="GV47" s="162">
        <f t="shared" si="435"/>
        <v>45.999999999999972</v>
      </c>
      <c r="GW47" s="163">
        <f t="shared" si="436"/>
        <v>85.999999999999972</v>
      </c>
      <c r="GX47" s="163">
        <f t="shared" si="437"/>
        <v>55.999999999999972</v>
      </c>
      <c r="GY47" s="123"/>
      <c r="GZ47" s="123"/>
      <c r="HA47" s="123"/>
      <c r="HB47" s="123"/>
      <c r="HC47" s="128">
        <f t="shared" ref="HC47:HC49" si="454">SUM(GY47:HB47)</f>
        <v>0</v>
      </c>
      <c r="HD47" s="123" t="s">
        <v>319</v>
      </c>
      <c r="HE47" s="123" t="s">
        <v>289</v>
      </c>
      <c r="HF47" s="123" t="s">
        <v>289</v>
      </c>
      <c r="HG47" s="123" t="s">
        <v>289</v>
      </c>
      <c r="HH47" s="123" t="s">
        <v>289</v>
      </c>
      <c r="HI47" s="123" t="s">
        <v>289</v>
      </c>
      <c r="HJ47" s="123"/>
      <c r="HK47" s="123"/>
      <c r="HL47" s="127"/>
      <c r="HM47" s="127"/>
      <c r="HN47" s="127"/>
      <c r="HO47" s="127"/>
      <c r="HP47" s="127"/>
      <c r="HQ47" s="164">
        <f t="shared" ref="HQ47:HQ49" si="455">SUM(HL47:HP47)</f>
        <v>0</v>
      </c>
      <c r="HW47" s="164">
        <f t="shared" ref="HW47:HW49" si="456">SUM(HR47:HU47)</f>
        <v>0</v>
      </c>
      <c r="II47" s="164">
        <f t="shared" ref="II47:II49" si="457">SUM(HX47:IG47)</f>
        <v>0</v>
      </c>
      <c r="IV47" s="165">
        <f t="shared" ref="IV47:IV49" si="458">SUM(IJ47:IT47)</f>
        <v>0</v>
      </c>
      <c r="JF47" s="165">
        <f t="shared" ref="JF47:JF49" si="459">SUM(IW47:JD47)</f>
        <v>0</v>
      </c>
      <c r="JG47" s="148"/>
      <c r="JH47" s="148"/>
      <c r="JI47" s="148"/>
      <c r="JJ47" s="148"/>
      <c r="JK47" s="148"/>
    </row>
    <row r="48" spans="1:271" ht="16.5" customHeight="1" x14ac:dyDescent="0.35">
      <c r="A48" t="s">
        <v>492</v>
      </c>
      <c r="B48" s="117" t="s">
        <v>273</v>
      </c>
      <c r="C48" s="118">
        <v>46066</v>
      </c>
      <c r="D48" s="119" t="s">
        <v>274</v>
      </c>
      <c r="E48" s="120" t="s">
        <v>302</v>
      </c>
      <c r="F48" s="120" t="s">
        <v>293</v>
      </c>
      <c r="G48" s="121" t="s">
        <v>432</v>
      </c>
      <c r="H48" s="122"/>
      <c r="I48" s="123"/>
      <c r="J48" s="124"/>
      <c r="K48" s="2" t="s">
        <v>471</v>
      </c>
      <c r="L48" s="125"/>
      <c r="M48" s="126" t="s">
        <v>360</v>
      </c>
      <c r="N48" s="127" t="s">
        <v>280</v>
      </c>
      <c r="O48" s="10" t="s">
        <v>472</v>
      </c>
      <c r="P48" s="128" t="s">
        <v>282</v>
      </c>
      <c r="Q48" s="129"/>
      <c r="R48" s="130"/>
      <c r="S48" s="130">
        <v>143517.12637708103</v>
      </c>
      <c r="T48" s="131" t="str">
        <f t="shared" si="419"/>
        <v/>
      </c>
      <c r="U48" s="132">
        <v>5</v>
      </c>
      <c r="V48" s="133"/>
      <c r="W48" s="133"/>
      <c r="X48" s="134">
        <f>507+696+522+780+572</f>
        <v>3077</v>
      </c>
      <c r="Y48" s="134"/>
      <c r="Z48" s="134">
        <f>9891+13400+10045+15022+11000</f>
        <v>59358</v>
      </c>
      <c r="AA48" s="134"/>
      <c r="AB48" s="135">
        <f>2+2.4+15+5</f>
        <v>24.4</v>
      </c>
      <c r="AC48" s="136">
        <f t="shared" si="420"/>
        <v>3101.4</v>
      </c>
      <c r="AD48" s="137">
        <f t="shared" si="444"/>
        <v>24.400000000000091</v>
      </c>
      <c r="AE48" s="138">
        <f t="shared" si="445"/>
        <v>9.2370555648813024E-14</v>
      </c>
      <c r="AF48" s="139">
        <f t="shared" si="423"/>
        <v>0</v>
      </c>
      <c r="AG48" s="123"/>
      <c r="AH48" s="122">
        <v>200</v>
      </c>
      <c r="AI48" s="122">
        <v>150</v>
      </c>
      <c r="AJ48" s="140">
        <v>11.95976053142342</v>
      </c>
      <c r="AK48" s="141">
        <v>717.58563188540518</v>
      </c>
      <c r="AL48" s="142">
        <v>0.36458333333333331</v>
      </c>
      <c r="AM48" s="142">
        <v>0.80208333333333337</v>
      </c>
      <c r="AN48" s="143">
        <f t="shared" si="424"/>
        <v>630.00000000000011</v>
      </c>
      <c r="AO48" s="123"/>
      <c r="AP48" s="123"/>
      <c r="AQ48" s="127"/>
      <c r="AR48" s="123"/>
      <c r="AS48" s="123" t="s">
        <v>365</v>
      </c>
      <c r="AT48" s="123" t="s">
        <v>341</v>
      </c>
      <c r="AU48" s="123"/>
      <c r="AV48" s="123"/>
      <c r="AW48" s="123"/>
      <c r="AX48" s="132"/>
      <c r="AY48" s="123"/>
      <c r="AZ48" s="123"/>
      <c r="BA48" s="144">
        <f t="shared" si="447"/>
        <v>0</v>
      </c>
      <c r="BB48" s="127"/>
      <c r="BC48" s="145"/>
      <c r="BD48" s="146"/>
      <c r="BE48" t="s">
        <v>357</v>
      </c>
      <c r="BF48">
        <v>1173</v>
      </c>
      <c r="BG48">
        <f>12</f>
        <v>12</v>
      </c>
      <c r="BH48" s="147">
        <v>3</v>
      </c>
      <c r="BI48">
        <f>535+275+534</f>
        <v>1344</v>
      </c>
      <c r="BK48" s="144">
        <f t="shared" si="448"/>
        <v>1344</v>
      </c>
      <c r="BO48" s="147"/>
      <c r="BR48" s="144">
        <f t="shared" si="449"/>
        <v>0</v>
      </c>
      <c r="BS48" t="s">
        <v>450</v>
      </c>
      <c r="BT48">
        <v>1165</v>
      </c>
      <c r="BU48">
        <f>28</f>
        <v>28</v>
      </c>
      <c r="BV48" s="147">
        <v>6</v>
      </c>
      <c r="BW48">
        <f>261.1+200+308.8+300.3+299.8+304.3+309.1+300.6</f>
        <v>2284</v>
      </c>
      <c r="BX48">
        <f>-211.6-455</f>
        <v>-666.6</v>
      </c>
      <c r="BY48" s="144">
        <f t="shared" si="450"/>
        <v>1617.4</v>
      </c>
      <c r="BZ48" s="148">
        <v>81185</v>
      </c>
      <c r="CA48" s="149">
        <v>14.336</v>
      </c>
      <c r="CB48" s="150">
        <f t="shared" ref="CB48:CB49" si="460">+BY48*CA48</f>
        <v>23187.046400000003</v>
      </c>
      <c r="CF48" s="147"/>
      <c r="CI48" s="151">
        <f t="shared" si="451"/>
        <v>0</v>
      </c>
      <c r="CJ48" s="148"/>
      <c r="CK48" s="149"/>
      <c r="CL48" s="150"/>
      <c r="CM48" t="s">
        <v>377</v>
      </c>
      <c r="CN48">
        <f>92+7</f>
        <v>99</v>
      </c>
      <c r="CO48" s="152">
        <v>9.59436</v>
      </c>
      <c r="CP48" s="153">
        <f t="shared" ref="CP48:CP49" si="461">+CN48*CO48</f>
        <v>949.84163999999998</v>
      </c>
      <c r="CQ48" s="154">
        <f t="shared" si="452"/>
        <v>99</v>
      </c>
      <c r="CR48">
        <f>38+3</f>
        <v>41</v>
      </c>
      <c r="CS48" s="155">
        <v>9.7414000000000005</v>
      </c>
      <c r="CT48" s="153">
        <f t="shared" ref="CT48:CT49" si="462">+CR48*CS48</f>
        <v>399.3974</v>
      </c>
      <c r="CU48" s="154">
        <f t="shared" si="453"/>
        <v>41</v>
      </c>
      <c r="CV48"/>
      <c r="CX48" s="153"/>
      <c r="CY48" s="156">
        <v>5</v>
      </c>
      <c r="CZ48" s="156">
        <v>3</v>
      </c>
      <c r="DA48" s="128" t="s">
        <v>378</v>
      </c>
      <c r="DB48" s="123">
        <v>1165</v>
      </c>
      <c r="DC48" s="157" t="s">
        <v>428</v>
      </c>
      <c r="DD48" s="157" t="s">
        <v>294</v>
      </c>
      <c r="DE48" s="127"/>
      <c r="DF48" s="158"/>
      <c r="DG48" s="159">
        <f>AVERAGE(2,2.2,2.19,2.24)</f>
        <v>2.1575000000000002</v>
      </c>
      <c r="DH48" s="160"/>
      <c r="DI48" s="122"/>
      <c r="DK48" s="123">
        <f>30+30</f>
        <v>60</v>
      </c>
      <c r="DL48" s="123"/>
      <c r="DM48" s="123"/>
      <c r="DN48" s="123"/>
      <c r="DO48" s="123"/>
      <c r="DP48" s="123"/>
      <c r="DQ48" s="123"/>
      <c r="DR48" s="123"/>
      <c r="DS48" s="123"/>
      <c r="DT48" s="123"/>
      <c r="DV48" s="123"/>
      <c r="DW48" s="123"/>
      <c r="DX48" s="123"/>
      <c r="DY48" s="123"/>
      <c r="DZ48" s="123"/>
      <c r="EA48" s="123"/>
      <c r="EB48" s="123"/>
      <c r="EC48" s="123"/>
      <c r="ED48" s="161">
        <f t="shared" si="433"/>
        <v>60</v>
      </c>
      <c r="EE48" s="123"/>
      <c r="EF48" s="123">
        <v>64</v>
      </c>
      <c r="EG48" s="123"/>
      <c r="EH48" s="123"/>
      <c r="EI48" s="123"/>
      <c r="EJ48" s="123"/>
      <c r="EK48" s="123"/>
      <c r="EL48" s="123"/>
      <c r="EM48" s="123"/>
      <c r="EN48" s="123"/>
      <c r="EO48" s="122"/>
      <c r="EP48" s="123"/>
      <c r="EQ48" s="123"/>
      <c r="ER48" s="123"/>
      <c r="ES48" s="123"/>
      <c r="ET48" s="123"/>
      <c r="EU48" s="123">
        <v>10</v>
      </c>
      <c r="EV48" s="124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4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>
        <v>10</v>
      </c>
      <c r="GG48" s="123">
        <v>20</v>
      </c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8">
        <f t="shared" si="434"/>
        <v>104</v>
      </c>
      <c r="GV48" s="162">
        <f t="shared" si="435"/>
        <v>466.00000000000011</v>
      </c>
      <c r="GW48" s="163">
        <f t="shared" si="436"/>
        <v>570.00000000000011</v>
      </c>
      <c r="GX48" s="163">
        <f t="shared" si="437"/>
        <v>526.00000000000011</v>
      </c>
      <c r="GY48" s="123"/>
      <c r="GZ48" s="123"/>
      <c r="HA48" s="123"/>
      <c r="HB48" s="123"/>
      <c r="HC48" s="128">
        <f t="shared" si="454"/>
        <v>0</v>
      </c>
      <c r="HD48" s="123" t="s">
        <v>382</v>
      </c>
      <c r="HE48" s="123" t="s">
        <v>289</v>
      </c>
      <c r="HF48" s="123" t="s">
        <v>289</v>
      </c>
      <c r="HG48" s="123" t="s">
        <v>289</v>
      </c>
      <c r="HH48" s="123" t="s">
        <v>289</v>
      </c>
      <c r="HI48" s="123" t="s">
        <v>289</v>
      </c>
      <c r="HJ48" s="123"/>
      <c r="HK48" s="123"/>
      <c r="HL48" s="127"/>
      <c r="HM48" s="127"/>
      <c r="HN48" s="127"/>
      <c r="HO48" s="127"/>
      <c r="HP48" s="127"/>
      <c r="HQ48" s="164">
        <f t="shared" si="455"/>
        <v>0</v>
      </c>
      <c r="HW48" s="164">
        <f t="shared" si="456"/>
        <v>0</v>
      </c>
      <c r="HX48">
        <v>2</v>
      </c>
      <c r="HY48">
        <v>2.4</v>
      </c>
      <c r="IB48">
        <v>5</v>
      </c>
      <c r="IF48">
        <v>5</v>
      </c>
      <c r="II48" s="164">
        <f t="shared" si="457"/>
        <v>14.4</v>
      </c>
      <c r="IV48" s="165">
        <f t="shared" si="458"/>
        <v>0</v>
      </c>
      <c r="JF48" s="165">
        <f t="shared" si="459"/>
        <v>0</v>
      </c>
      <c r="JG48" s="148">
        <v>5</v>
      </c>
      <c r="JH48" s="148"/>
      <c r="JI48" s="148"/>
      <c r="JJ48" s="148"/>
      <c r="JK48" s="148"/>
    </row>
    <row r="49" spans="1:271" ht="16.5" customHeight="1" x14ac:dyDescent="0.35">
      <c r="A49" t="s">
        <v>493</v>
      </c>
      <c r="B49" s="117" t="s">
        <v>273</v>
      </c>
      <c r="C49" s="118">
        <v>46066</v>
      </c>
      <c r="D49" s="119" t="s">
        <v>291</v>
      </c>
      <c r="E49" s="120" t="s">
        <v>302</v>
      </c>
      <c r="F49" s="120" t="s">
        <v>293</v>
      </c>
      <c r="G49" s="121" t="s">
        <v>432</v>
      </c>
      <c r="H49" s="122"/>
      <c r="I49" s="123"/>
      <c r="J49" s="124"/>
      <c r="K49" s="2" t="s">
        <v>471</v>
      </c>
      <c r="L49" s="125"/>
      <c r="M49" s="126" t="s">
        <v>360</v>
      </c>
      <c r="N49" s="127" t="s">
        <v>280</v>
      </c>
      <c r="O49" s="10" t="s">
        <v>472</v>
      </c>
      <c r="P49" s="128" t="s">
        <v>282</v>
      </c>
      <c r="Q49" s="129"/>
      <c r="R49" s="130"/>
      <c r="S49" s="130"/>
      <c r="T49" s="131" t="str">
        <f t="shared" si="419"/>
        <v/>
      </c>
      <c r="U49" s="132">
        <v>6</v>
      </c>
      <c r="V49" s="133"/>
      <c r="W49" s="133"/>
      <c r="X49" s="134">
        <f>745+800+785+884+543+320</f>
        <v>4077</v>
      </c>
      <c r="Y49" s="134"/>
      <c r="Z49" s="134">
        <f>14358+15396+15208+17142+10496+5800</f>
        <v>78400</v>
      </c>
      <c r="AA49" s="134"/>
      <c r="AB49" s="135">
        <f>5+10+10+5+3</f>
        <v>33</v>
      </c>
      <c r="AC49" s="136">
        <f t="shared" si="420"/>
        <v>4110.7</v>
      </c>
      <c r="AD49" s="137">
        <f t="shared" si="444"/>
        <v>33.699999999999818</v>
      </c>
      <c r="AE49" s="138">
        <f t="shared" si="445"/>
        <v>0.6999999999998181</v>
      </c>
      <c r="AF49" s="139">
        <f t="shared" si="423"/>
        <v>0</v>
      </c>
      <c r="AG49" s="123"/>
      <c r="AH49" s="122">
        <v>200</v>
      </c>
      <c r="AI49" s="122">
        <v>150</v>
      </c>
      <c r="AJ49" s="140" t="s">
        <v>289</v>
      </c>
      <c r="AK49" s="141">
        <v>0</v>
      </c>
      <c r="AL49" s="142">
        <v>0.80208333333333337</v>
      </c>
      <c r="AM49" s="142">
        <v>0.30208333333333331</v>
      </c>
      <c r="AN49" s="143">
        <f t="shared" si="424"/>
        <v>720</v>
      </c>
      <c r="AO49" s="123"/>
      <c r="AP49" s="123"/>
      <c r="AQ49" s="127"/>
      <c r="AR49" s="123"/>
      <c r="AS49" s="123" t="s">
        <v>365</v>
      </c>
      <c r="AT49" s="123" t="s">
        <v>341</v>
      </c>
      <c r="AU49" s="123"/>
      <c r="AV49" s="123"/>
      <c r="AW49" s="123"/>
      <c r="AX49" s="132"/>
      <c r="AY49" s="123"/>
      <c r="AZ49" s="123"/>
      <c r="BA49" s="144">
        <f t="shared" si="447"/>
        <v>0</v>
      </c>
      <c r="BB49" s="127"/>
      <c r="BC49" s="145"/>
      <c r="BD49" s="146"/>
      <c r="BE49" t="s">
        <v>357</v>
      </c>
      <c r="BF49">
        <v>1173</v>
      </c>
      <c r="BG49">
        <f>12</f>
        <v>12</v>
      </c>
      <c r="BH49" s="147">
        <v>7</v>
      </c>
      <c r="BI49">
        <f>553+408+258+211+97+132+137</f>
        <v>1796</v>
      </c>
      <c r="BK49" s="144">
        <f t="shared" si="448"/>
        <v>1796</v>
      </c>
      <c r="BO49" s="147"/>
      <c r="BR49" s="144">
        <f t="shared" si="449"/>
        <v>0</v>
      </c>
      <c r="BS49" t="s">
        <v>450</v>
      </c>
      <c r="BT49">
        <v>1165</v>
      </c>
      <c r="BU49">
        <f>28</f>
        <v>28</v>
      </c>
      <c r="BV49" s="147">
        <v>7</v>
      </c>
      <c r="BW49">
        <f>211.6+297.5+296.7+289.6+289.2+292.3+291.2+300.5</f>
        <v>2268.6000000000004</v>
      </c>
      <c r="BX49">
        <f>-145</f>
        <v>-145</v>
      </c>
      <c r="BY49" s="144">
        <f t="shared" si="450"/>
        <v>2123.6000000000004</v>
      </c>
      <c r="BZ49" s="148">
        <v>81185</v>
      </c>
      <c r="CA49" s="149">
        <v>14.336</v>
      </c>
      <c r="CB49" s="150">
        <f t="shared" si="460"/>
        <v>30443.929600000007</v>
      </c>
      <c r="CF49" s="147"/>
      <c r="CI49" s="151">
        <f t="shared" si="451"/>
        <v>0</v>
      </c>
      <c r="CJ49" s="148"/>
      <c r="CK49" s="149"/>
      <c r="CL49" s="150"/>
      <c r="CM49" t="s">
        <v>377</v>
      </c>
      <c r="CN49">
        <f>129.35+7.1</f>
        <v>136.44999999999999</v>
      </c>
      <c r="CO49" s="152">
        <v>9.59436</v>
      </c>
      <c r="CP49" s="153">
        <f t="shared" si="461"/>
        <v>1309.1504219999999</v>
      </c>
      <c r="CQ49" s="154">
        <f t="shared" si="452"/>
        <v>136.44999999999999</v>
      </c>
      <c r="CR49">
        <f>51.75+2.9</f>
        <v>54.65</v>
      </c>
      <c r="CS49" s="155">
        <v>9.7414000000000005</v>
      </c>
      <c r="CT49" s="153">
        <f t="shared" si="462"/>
        <v>532.36751000000004</v>
      </c>
      <c r="CU49" s="154">
        <f t="shared" si="453"/>
        <v>54.65</v>
      </c>
      <c r="CV49"/>
      <c r="CX49" s="153"/>
      <c r="CY49" s="156"/>
      <c r="CZ49" s="156"/>
      <c r="DA49" s="128" t="s">
        <v>378</v>
      </c>
      <c r="DB49" s="123">
        <v>1165</v>
      </c>
      <c r="DC49" s="157" t="s">
        <v>428</v>
      </c>
      <c r="DD49" s="157" t="s">
        <v>294</v>
      </c>
      <c r="DE49" s="127"/>
      <c r="DF49" s="158"/>
      <c r="DG49" s="159">
        <f>AVERAGE(2,2.2,2.18,2.06)</f>
        <v>2.1100000000000003</v>
      </c>
      <c r="DH49" s="160"/>
      <c r="DI49" s="122"/>
      <c r="DK49" s="123"/>
      <c r="DL49" s="123"/>
      <c r="DM49" s="123"/>
      <c r="DN49" s="123"/>
      <c r="DO49" s="123"/>
      <c r="DP49" s="123"/>
      <c r="DQ49" s="123"/>
      <c r="DR49" s="123"/>
      <c r="DS49" s="123"/>
      <c r="DT49" s="123"/>
      <c r="DV49" s="123"/>
      <c r="DW49" s="123"/>
      <c r="DX49" s="123"/>
      <c r="DY49" s="123"/>
      <c r="DZ49" s="123"/>
      <c r="EA49" s="123"/>
      <c r="EB49" s="123"/>
      <c r="EC49" s="123"/>
      <c r="ED49" s="161">
        <f t="shared" si="433"/>
        <v>0</v>
      </c>
      <c r="EE49" s="123"/>
      <c r="EF49" s="123">
        <v>84</v>
      </c>
      <c r="EG49" s="123"/>
      <c r="EH49" s="123"/>
      <c r="EI49" s="123"/>
      <c r="EJ49" s="123"/>
      <c r="EK49" s="123"/>
      <c r="EL49" s="123"/>
      <c r="EM49" s="123"/>
      <c r="EN49" s="123"/>
      <c r="EO49" s="122"/>
      <c r="EP49" s="123"/>
      <c r="EQ49" s="123"/>
      <c r="ER49" s="123"/>
      <c r="ES49" s="123"/>
      <c r="ET49" s="123"/>
      <c r="EU49" s="123">
        <v>5</v>
      </c>
      <c r="EV49" s="124"/>
      <c r="EW49" s="123"/>
      <c r="EX49" s="123"/>
      <c r="EY49" s="123"/>
      <c r="EZ49" s="123"/>
      <c r="FA49" s="123"/>
      <c r="FB49" s="123"/>
      <c r="FC49" s="123"/>
      <c r="FD49" s="123"/>
      <c r="FE49" s="123"/>
      <c r="FF49" s="123"/>
      <c r="FG49" s="123"/>
      <c r="FH49" s="123"/>
      <c r="FI49" s="123"/>
      <c r="FJ49" s="124"/>
      <c r="FK49" s="123"/>
      <c r="FL49" s="123"/>
      <c r="FM49" s="123"/>
      <c r="FN49" s="123"/>
      <c r="FO49" s="123">
        <v>20</v>
      </c>
      <c r="FP49" s="123"/>
      <c r="FQ49" s="123"/>
      <c r="FR49" s="123"/>
      <c r="FS49" s="123"/>
      <c r="FT49" s="123"/>
      <c r="FU49" s="123"/>
      <c r="FV49" s="123"/>
      <c r="FW49" s="123"/>
      <c r="FX49" s="123"/>
      <c r="FY49" s="123"/>
      <c r="FZ49" s="123"/>
      <c r="GA49" s="123"/>
      <c r="GB49" s="123"/>
      <c r="GC49" s="123"/>
      <c r="GD49" s="123"/>
      <c r="GE49" s="123"/>
      <c r="GF49" s="123"/>
      <c r="GG49" s="123">
        <v>20</v>
      </c>
      <c r="GH49" s="123"/>
      <c r="GI49" s="123"/>
      <c r="GJ49" s="123"/>
      <c r="GK49" s="123"/>
      <c r="GL49" s="123"/>
      <c r="GM49" s="123"/>
      <c r="GN49" s="123"/>
      <c r="GO49" s="123"/>
      <c r="GP49" s="123"/>
      <c r="GQ49" s="123"/>
      <c r="GR49" s="123"/>
      <c r="GS49" s="123"/>
      <c r="GT49" s="123"/>
      <c r="GU49" s="128">
        <f t="shared" si="434"/>
        <v>129</v>
      </c>
      <c r="GV49" s="162">
        <f t="shared" si="435"/>
        <v>591</v>
      </c>
      <c r="GW49" s="163">
        <f t="shared" si="436"/>
        <v>720</v>
      </c>
      <c r="GX49" s="163">
        <f t="shared" si="437"/>
        <v>591</v>
      </c>
      <c r="GY49" s="123"/>
      <c r="GZ49" s="123"/>
      <c r="HA49" s="123"/>
      <c r="HB49" s="123"/>
      <c r="HC49" s="128">
        <f t="shared" si="454"/>
        <v>0</v>
      </c>
      <c r="HD49" s="123" t="s">
        <v>420</v>
      </c>
      <c r="HE49" s="123" t="s">
        <v>379</v>
      </c>
      <c r="HF49" s="123" t="s">
        <v>289</v>
      </c>
      <c r="HG49" s="123" t="s">
        <v>289</v>
      </c>
      <c r="HH49" s="123" t="s">
        <v>289</v>
      </c>
      <c r="HI49" s="123" t="s">
        <v>374</v>
      </c>
      <c r="HJ49" s="123"/>
      <c r="HK49" s="123"/>
      <c r="HL49" s="127"/>
      <c r="HM49" s="127"/>
      <c r="HN49" s="127"/>
      <c r="HO49" s="127"/>
      <c r="HP49" s="127"/>
      <c r="HQ49" s="164">
        <f t="shared" si="455"/>
        <v>0</v>
      </c>
      <c r="HW49" s="164">
        <f t="shared" si="456"/>
        <v>0</v>
      </c>
      <c r="IA49">
        <v>10</v>
      </c>
      <c r="IB49">
        <v>10</v>
      </c>
      <c r="IF49">
        <v>3</v>
      </c>
      <c r="II49" s="164">
        <f t="shared" si="457"/>
        <v>23</v>
      </c>
      <c r="IV49" s="165">
        <f t="shared" si="458"/>
        <v>0</v>
      </c>
      <c r="JF49" s="165">
        <f t="shared" si="459"/>
        <v>0</v>
      </c>
      <c r="JG49" s="148">
        <f>11-5</f>
        <v>6</v>
      </c>
      <c r="JH49" s="148"/>
      <c r="JI49" s="148"/>
      <c r="JJ49" s="148"/>
      <c r="JK49" s="148"/>
    </row>
    <row r="50" spans="1:271" ht="16.5" customHeight="1" x14ac:dyDescent="0.35">
      <c r="A50" t="s">
        <v>495</v>
      </c>
      <c r="B50" s="117" t="s">
        <v>273</v>
      </c>
      <c r="C50" s="118">
        <v>46067</v>
      </c>
      <c r="D50" s="119" t="s">
        <v>274</v>
      </c>
      <c r="E50" s="120" t="s">
        <v>301</v>
      </c>
      <c r="F50" s="120" t="s">
        <v>293</v>
      </c>
      <c r="G50" s="121" t="s">
        <v>323</v>
      </c>
      <c r="H50" s="122"/>
      <c r="I50" s="123"/>
      <c r="J50" s="124"/>
      <c r="K50" s="2" t="s">
        <v>481</v>
      </c>
      <c r="L50" s="125"/>
      <c r="M50" s="126" t="s">
        <v>310</v>
      </c>
      <c r="N50" s="127" t="s">
        <v>324</v>
      </c>
      <c r="O50" s="10" t="s">
        <v>482</v>
      </c>
      <c r="P50" s="128" t="s">
        <v>282</v>
      </c>
      <c r="Q50" s="129">
        <v>1</v>
      </c>
      <c r="R50" s="130"/>
      <c r="S50" s="130">
        <v>26099.362487481201</v>
      </c>
      <c r="T50" s="131" t="str">
        <f t="shared" ref="T50:T53" si="463">IF(H50*U50=0,"",H50*U50)</f>
        <v/>
      </c>
      <c r="U50" s="132">
        <v>4</v>
      </c>
      <c r="V50" s="133"/>
      <c r="W50" s="133"/>
      <c r="X50" s="134">
        <f>344+80+218+417</f>
        <v>1059</v>
      </c>
      <c r="Y50" s="134"/>
      <c r="Z50" s="134">
        <f>8162+1731+5218+9985</f>
        <v>25096</v>
      </c>
      <c r="AA50" s="134"/>
      <c r="AB50" s="135">
        <f>6+6+2</f>
        <v>14</v>
      </c>
      <c r="AC50" s="136">
        <f t="shared" ref="AC50:AC53" si="464">BA50+AF50+BK50+BR50+BY50+CI50+CQ50+CU50</f>
        <v>1072.9237762237763</v>
      </c>
      <c r="AD50" s="137">
        <f t="shared" ref="AD50:AD53" si="465">+AC50-X50</f>
        <v>13.923776223776258</v>
      </c>
      <c r="AE50" s="138">
        <f t="shared" ref="AE50:AE53" si="466">AD50-AB50</f>
        <v>-7.6223776223741879E-2</v>
      </c>
      <c r="AF50" s="139">
        <f t="shared" ref="AF50:AF53" si="467">IFERROR(+(Z50*AV50*DF50)/10^6,0)</f>
        <v>0</v>
      </c>
      <c r="AG50" s="123"/>
      <c r="AH50" s="122">
        <v>220</v>
      </c>
      <c r="AI50" s="122">
        <v>180</v>
      </c>
      <c r="AJ50" s="140">
        <v>1.0931673292609365</v>
      </c>
      <c r="AK50" s="141">
        <v>65.590039755656193</v>
      </c>
      <c r="AL50" s="142">
        <v>0.46527777777777779</v>
      </c>
      <c r="AM50" s="142">
        <v>0.61111111111111116</v>
      </c>
      <c r="AN50" s="143">
        <f t="shared" ref="AN50:AN53" si="468">IF(AM50&gt;AL50,((AM50-AL50)*1440),(1440+(AM50-AL50)*1440))</f>
        <v>210.00000000000006</v>
      </c>
      <c r="AO50" s="123"/>
      <c r="AP50" s="123"/>
      <c r="AQ50" s="127"/>
      <c r="AR50" s="123"/>
      <c r="AS50" s="123" t="s">
        <v>365</v>
      </c>
      <c r="AT50" s="123" t="s">
        <v>293</v>
      </c>
      <c r="AU50" s="123"/>
      <c r="AV50" s="123"/>
      <c r="AW50" s="123"/>
      <c r="AX50" s="132"/>
      <c r="AY50" s="123"/>
      <c r="AZ50" s="123"/>
      <c r="BA50" s="144">
        <f t="shared" ref="BA50:BA53" si="469">SUM(AY50+AZ50)</f>
        <v>0</v>
      </c>
      <c r="BB50" s="127"/>
      <c r="BC50" s="145"/>
      <c r="BD50" s="146"/>
      <c r="BE50" t="s">
        <v>357</v>
      </c>
      <c r="BF50">
        <v>913</v>
      </c>
      <c r="BG50">
        <f>12</f>
        <v>12</v>
      </c>
      <c r="BH50" s="147">
        <v>4</v>
      </c>
      <c r="BI50">
        <f>151+123+48+135</f>
        <v>457</v>
      </c>
      <c r="BK50" s="144">
        <f t="shared" ref="BK50:BK53" si="470">SUM(BI50+BJ50)</f>
        <v>457</v>
      </c>
      <c r="BO50" s="147"/>
      <c r="BR50" s="144">
        <f t="shared" ref="BR50:BR53" si="471">SUM(BP50+BQ50)</f>
        <v>0</v>
      </c>
      <c r="BS50" t="s">
        <v>366</v>
      </c>
      <c r="BT50">
        <v>893</v>
      </c>
      <c r="BU50">
        <f>9</f>
        <v>9</v>
      </c>
      <c r="BV50" s="147">
        <v>2</v>
      </c>
      <c r="BW50">
        <f>499+515</f>
        <v>1014</v>
      </c>
      <c r="BX50">
        <f>-464</f>
        <v>-464</v>
      </c>
      <c r="BY50" s="144">
        <f t="shared" ref="BY50:BY53" si="472">SUM(BW50+BX50)</f>
        <v>550</v>
      </c>
      <c r="BZ50" s="148">
        <v>85473</v>
      </c>
      <c r="CA50" s="149">
        <v>13.528</v>
      </c>
      <c r="CB50" s="150">
        <f t="shared" ref="CB50:CB51" si="473">+BY50*CA50</f>
        <v>7440.4000000000005</v>
      </c>
      <c r="CF50" s="147"/>
      <c r="CI50" s="151">
        <f t="shared" ref="CI50:CI53" si="474">SUM(CG50+CH50)</f>
        <v>0</v>
      </c>
      <c r="CJ50" s="148"/>
      <c r="CK50" s="149"/>
      <c r="CL50" s="150"/>
      <c r="CM50" t="s">
        <v>367</v>
      </c>
      <c r="CN50">
        <v>90.41</v>
      </c>
      <c r="CO50" s="152">
        <v>11.719999999999999</v>
      </c>
      <c r="CP50" s="153">
        <f t="shared" ref="CP50:CP53" si="475">+CN50*CO50</f>
        <v>1059.6052</v>
      </c>
      <c r="CQ50" s="154">
        <f t="shared" ref="CQ50:CQ53" si="476">IF(CM50="811 A",CN50/1.667,IF(CM50="MB635",CN50/1.33,IF(CM50="MB655",CN50/1.43,IF(CM50="LG 59A",CN50/1.667,IF(CM50="HB 6680",CN50/1.25,IF(CM50="MB688",CN50/1.25,CN50))))))</f>
        <v>63.223776223776227</v>
      </c>
      <c r="CR50">
        <v>2.7</v>
      </c>
      <c r="CS50" s="155">
        <v>47.460000000000008</v>
      </c>
      <c r="CT50" s="153">
        <f t="shared" ref="CT50:CT53" si="477">+CR50*CS50</f>
        <v>128.14200000000002</v>
      </c>
      <c r="CU50" s="154">
        <f t="shared" ref="CU50:CU53" si="478">IF(CM50="811 A",CR50/1.33,IF(CM50="HB 6680",CR50/1.33,IF(CM50="MB688",CR50/1.333,CR50)))</f>
        <v>2.7</v>
      </c>
      <c r="CV50">
        <v>72.319999999999993</v>
      </c>
      <c r="CW50">
        <v>3.0379831932773111</v>
      </c>
      <c r="CX50" s="153">
        <f t="shared" ref="CX50" si="479">+CW50*CV50</f>
        <v>219.70694453781513</v>
      </c>
      <c r="CY50" s="156">
        <v>10</v>
      </c>
      <c r="CZ50" s="156">
        <v>2</v>
      </c>
      <c r="DA50" s="128" t="s">
        <v>368</v>
      </c>
      <c r="DB50" s="123">
        <v>885</v>
      </c>
      <c r="DC50" s="157" t="s">
        <v>325</v>
      </c>
      <c r="DD50" s="157" t="s">
        <v>313</v>
      </c>
      <c r="DE50" s="127"/>
      <c r="DF50" s="158"/>
      <c r="DG50" s="159">
        <f>AVERAGE(2.8,3,2.89,2.94)</f>
        <v>2.9074999999999998</v>
      </c>
      <c r="DH50" s="160"/>
      <c r="DI50" s="122"/>
      <c r="DK50" s="123">
        <f>5+30</f>
        <v>35</v>
      </c>
      <c r="DL50" s="123"/>
      <c r="DM50" s="123"/>
      <c r="DN50" s="123"/>
      <c r="DO50" s="123"/>
      <c r="DP50" s="123"/>
      <c r="DQ50" s="123"/>
      <c r="DR50" s="123"/>
      <c r="DS50" s="123"/>
      <c r="DT50" s="123"/>
      <c r="DV50" s="123"/>
      <c r="DW50" s="123"/>
      <c r="DX50" s="123"/>
      <c r="DY50" s="123"/>
      <c r="DZ50" s="123"/>
      <c r="EA50" s="123"/>
      <c r="EB50" s="123"/>
      <c r="EC50" s="123"/>
      <c r="ED50" s="161">
        <f t="shared" ref="ED50:ED53" si="480">SUM(DK50:EC50)</f>
        <v>35</v>
      </c>
      <c r="EE50" s="123"/>
      <c r="EF50" s="123">
        <v>35</v>
      </c>
      <c r="EG50" s="123"/>
      <c r="EH50" s="123"/>
      <c r="EI50" s="123"/>
      <c r="EJ50" s="123"/>
      <c r="EK50" s="123"/>
      <c r="EL50" s="123"/>
      <c r="EM50" s="123"/>
      <c r="EN50" s="123"/>
      <c r="EO50" s="122"/>
      <c r="EP50" s="123"/>
      <c r="EQ50" s="123"/>
      <c r="ER50" s="123"/>
      <c r="ES50" s="123"/>
      <c r="ET50" s="123"/>
      <c r="EU50" s="123">
        <v>5</v>
      </c>
      <c r="EV50" s="124"/>
      <c r="EW50" s="123"/>
      <c r="EX50" s="123"/>
      <c r="EY50" s="123"/>
      <c r="EZ50" s="123"/>
      <c r="FA50" s="123"/>
      <c r="FB50" s="123"/>
      <c r="FC50" s="123"/>
      <c r="FD50" s="123"/>
      <c r="FE50" s="123"/>
      <c r="FF50" s="123"/>
      <c r="FG50" s="123"/>
      <c r="FH50" s="123"/>
      <c r="FI50" s="123"/>
      <c r="FJ50" s="124"/>
      <c r="FK50" s="123"/>
      <c r="FL50" s="123"/>
      <c r="FM50" s="123"/>
      <c r="FN50" s="123"/>
      <c r="FO50" s="123"/>
      <c r="FP50" s="123"/>
      <c r="FQ50" s="123"/>
      <c r="FR50" s="123"/>
      <c r="FS50" s="123"/>
      <c r="FT50" s="123"/>
      <c r="FU50" s="123"/>
      <c r="FV50" s="123"/>
      <c r="FW50" s="123"/>
      <c r="FX50" s="123"/>
      <c r="FY50" s="123"/>
      <c r="FZ50" s="123"/>
      <c r="GA50" s="123"/>
      <c r="GB50" s="123"/>
      <c r="GC50" s="123"/>
      <c r="GD50" s="123"/>
      <c r="GE50" s="123"/>
      <c r="GF50" s="123"/>
      <c r="GG50" s="123">
        <v>5</v>
      </c>
      <c r="GH50" s="123"/>
      <c r="GI50" s="123"/>
      <c r="GJ50" s="123"/>
      <c r="GK50" s="123"/>
      <c r="GL50" s="123"/>
      <c r="GM50" s="123"/>
      <c r="GN50" s="123"/>
      <c r="GO50" s="123"/>
      <c r="GP50" s="123"/>
      <c r="GQ50" s="123"/>
      <c r="GR50" s="123"/>
      <c r="GS50" s="123"/>
      <c r="GT50" s="123"/>
      <c r="GU50" s="128">
        <f t="shared" ref="GU50:GU53" si="481">SUM(EE50:GO50,GR50)</f>
        <v>45</v>
      </c>
      <c r="GV50" s="162">
        <f t="shared" ref="GV50:GV53" si="482">AN50-ED50-GU50</f>
        <v>130.00000000000006</v>
      </c>
      <c r="GW50" s="163">
        <f t="shared" ref="GW50:GW53" si="483">AN50-ED50-ER50-FN50</f>
        <v>175.00000000000006</v>
      </c>
      <c r="GX50" s="163">
        <f t="shared" ref="GX50:GX53" si="484">AN50-GU50</f>
        <v>165.00000000000006</v>
      </c>
      <c r="GY50" s="123"/>
      <c r="GZ50" s="123"/>
      <c r="HA50" s="123"/>
      <c r="HB50" s="123"/>
      <c r="HC50" s="128">
        <f t="shared" ref="HC50:HC53" si="485">SUM(GY50:HB50)</f>
        <v>0</v>
      </c>
      <c r="HD50" s="123" t="s">
        <v>418</v>
      </c>
      <c r="HE50" s="123" t="s">
        <v>370</v>
      </c>
      <c r="HF50" s="123" t="s">
        <v>494</v>
      </c>
      <c r="HG50" s="123" t="s">
        <v>289</v>
      </c>
      <c r="HH50" s="123" t="s">
        <v>289</v>
      </c>
      <c r="HI50" s="123" t="s">
        <v>289</v>
      </c>
      <c r="HJ50" s="123"/>
      <c r="HK50" s="123"/>
      <c r="HL50" s="127"/>
      <c r="HM50" s="127"/>
      <c r="HN50" s="127"/>
      <c r="HO50" s="127"/>
      <c r="HP50" s="127"/>
      <c r="HQ50" s="164">
        <f t="shared" ref="HQ50:HQ53" si="486">SUM(HL50:HP50)</f>
        <v>0</v>
      </c>
      <c r="HW50" s="164">
        <f t="shared" ref="HW50:HW53" si="487">SUM(HR50:HU50)</f>
        <v>0</v>
      </c>
      <c r="HX50">
        <v>6</v>
      </c>
      <c r="IB50">
        <v>6</v>
      </c>
      <c r="IC50">
        <v>2</v>
      </c>
      <c r="II50" s="164">
        <f t="shared" ref="II50:II53" si="488">SUM(HX50:IG50)</f>
        <v>14</v>
      </c>
      <c r="IV50" s="165">
        <f t="shared" ref="IV50:IV53" si="489">SUM(IJ50:IT50)</f>
        <v>0</v>
      </c>
      <c r="JF50" s="165">
        <f t="shared" ref="JF50:JF53" si="490">SUM(IW50:JD50)</f>
        <v>0</v>
      </c>
      <c r="JG50" s="148">
        <v>4</v>
      </c>
      <c r="JH50" s="148"/>
      <c r="JI50" s="148"/>
      <c r="JJ50" s="148"/>
      <c r="JK50" s="148"/>
    </row>
    <row r="51" spans="1:271" ht="16.5" customHeight="1" x14ac:dyDescent="0.35">
      <c r="A51" t="s">
        <v>496</v>
      </c>
      <c r="B51" s="117" t="s">
        <v>273</v>
      </c>
      <c r="C51" s="118">
        <v>46067</v>
      </c>
      <c r="D51" s="119" t="s">
        <v>274</v>
      </c>
      <c r="E51" s="120" t="s">
        <v>302</v>
      </c>
      <c r="F51" s="120" t="s">
        <v>293</v>
      </c>
      <c r="G51" s="121" t="s">
        <v>432</v>
      </c>
      <c r="H51" s="122"/>
      <c r="I51" s="123"/>
      <c r="J51" s="124"/>
      <c r="K51" s="2" t="s">
        <v>471</v>
      </c>
      <c r="L51" s="125"/>
      <c r="M51" s="126" t="s">
        <v>360</v>
      </c>
      <c r="N51" s="127" t="s">
        <v>280</v>
      </c>
      <c r="O51" s="10" t="s">
        <v>472</v>
      </c>
      <c r="P51" s="128" t="s">
        <v>282</v>
      </c>
      <c r="Q51" s="129"/>
      <c r="R51" s="130"/>
      <c r="S51" s="130">
        <v>5759.1263770810328</v>
      </c>
      <c r="T51" s="131" t="str">
        <f t="shared" si="463"/>
        <v/>
      </c>
      <c r="U51" s="132">
        <v>1</v>
      </c>
      <c r="V51" s="133"/>
      <c r="W51" s="133"/>
      <c r="X51" s="134">
        <f>188</f>
        <v>188</v>
      </c>
      <c r="Y51" s="134"/>
      <c r="Z51" s="134">
        <f>3509</f>
        <v>3509</v>
      </c>
      <c r="AA51" s="134"/>
      <c r="AB51" s="135">
        <f>3</f>
        <v>3</v>
      </c>
      <c r="AC51" s="136">
        <f t="shared" si="464"/>
        <v>191</v>
      </c>
      <c r="AD51" s="137">
        <f t="shared" si="465"/>
        <v>3</v>
      </c>
      <c r="AE51" s="138">
        <f t="shared" si="466"/>
        <v>0</v>
      </c>
      <c r="AF51" s="139">
        <f t="shared" si="467"/>
        <v>0</v>
      </c>
      <c r="AG51" s="123"/>
      <c r="AH51" s="122">
        <v>150</v>
      </c>
      <c r="AI51" s="122">
        <v>150</v>
      </c>
      <c r="AJ51" s="140">
        <v>0.6919708792360344</v>
      </c>
      <c r="AK51" s="141">
        <v>41.518252754162063</v>
      </c>
      <c r="AL51" s="142">
        <v>0.30208333333333331</v>
      </c>
      <c r="AM51" s="142">
        <v>0.33333333333333331</v>
      </c>
      <c r="AN51" s="143">
        <f t="shared" si="468"/>
        <v>45</v>
      </c>
      <c r="AO51" s="123"/>
      <c r="AP51" s="123"/>
      <c r="AQ51" s="127"/>
      <c r="AR51" s="123"/>
      <c r="AS51" s="123" t="s">
        <v>365</v>
      </c>
      <c r="AT51" s="123" t="s">
        <v>341</v>
      </c>
      <c r="AU51" s="123"/>
      <c r="AV51" s="123"/>
      <c r="AW51" s="123"/>
      <c r="AX51" s="132"/>
      <c r="AY51" s="123"/>
      <c r="AZ51" s="123"/>
      <c r="BA51" s="144">
        <f t="shared" si="469"/>
        <v>0</v>
      </c>
      <c r="BB51" s="127"/>
      <c r="BC51" s="145"/>
      <c r="BD51" s="146"/>
      <c r="BE51" t="s">
        <v>357</v>
      </c>
      <c r="BF51">
        <v>1173</v>
      </c>
      <c r="BG51">
        <f>12</f>
        <v>12</v>
      </c>
      <c r="BH51" s="147">
        <v>1</v>
      </c>
      <c r="BI51">
        <f>87</f>
        <v>87</v>
      </c>
      <c r="BK51" s="144">
        <f t="shared" si="470"/>
        <v>87</v>
      </c>
      <c r="BO51" s="147"/>
      <c r="BR51" s="144">
        <f t="shared" si="471"/>
        <v>0</v>
      </c>
      <c r="BS51" t="s">
        <v>450</v>
      </c>
      <c r="BT51">
        <v>1165</v>
      </c>
      <c r="BU51">
        <f>28</f>
        <v>28</v>
      </c>
      <c r="BV51" s="147"/>
      <c r="BW51">
        <f>145</f>
        <v>145</v>
      </c>
      <c r="BX51">
        <f>-50</f>
        <v>-50</v>
      </c>
      <c r="BY51" s="144">
        <f t="shared" si="472"/>
        <v>95</v>
      </c>
      <c r="BZ51" s="148">
        <v>81185</v>
      </c>
      <c r="CA51" s="149">
        <v>14.336</v>
      </c>
      <c r="CB51" s="150">
        <f t="shared" si="473"/>
        <v>1361.92</v>
      </c>
      <c r="CF51" s="147"/>
      <c r="CI51" s="151">
        <f t="shared" si="474"/>
        <v>0</v>
      </c>
      <c r="CJ51" s="148"/>
      <c r="CK51" s="149"/>
      <c r="CL51" s="150"/>
      <c r="CM51" t="s">
        <v>377</v>
      </c>
      <c r="CN51">
        <v>6.4</v>
      </c>
      <c r="CO51" s="152">
        <v>9.59436</v>
      </c>
      <c r="CP51" s="153">
        <f t="shared" si="475"/>
        <v>61.403904000000004</v>
      </c>
      <c r="CQ51" s="154">
        <f t="shared" si="476"/>
        <v>6.4</v>
      </c>
      <c r="CR51">
        <v>2.6</v>
      </c>
      <c r="CS51" s="155">
        <v>9.7414000000000005</v>
      </c>
      <c r="CT51" s="153">
        <f t="shared" si="477"/>
        <v>25.327640000000002</v>
      </c>
      <c r="CU51" s="154">
        <f t="shared" si="478"/>
        <v>2.6</v>
      </c>
      <c r="CV51"/>
      <c r="CX51" s="153"/>
      <c r="CY51" s="156">
        <v>5</v>
      </c>
      <c r="CZ51" s="156">
        <v>3</v>
      </c>
      <c r="DA51" s="128" t="s">
        <v>378</v>
      </c>
      <c r="DB51" s="123">
        <v>1165</v>
      </c>
      <c r="DC51" s="157" t="s">
        <v>428</v>
      </c>
      <c r="DD51" s="157" t="s">
        <v>294</v>
      </c>
      <c r="DE51" s="127"/>
      <c r="DF51" s="158"/>
      <c r="DG51" s="159">
        <f>AVERAGE(2,2.2,2.16,2.22)</f>
        <v>2.145</v>
      </c>
      <c r="DH51" s="160"/>
      <c r="DI51" s="122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V51" s="123"/>
      <c r="DW51" s="123"/>
      <c r="DX51" s="123"/>
      <c r="DY51" s="123"/>
      <c r="DZ51" s="123"/>
      <c r="EA51" s="123"/>
      <c r="EB51" s="123"/>
      <c r="EC51" s="123"/>
      <c r="ED51" s="161">
        <f t="shared" si="480"/>
        <v>0</v>
      </c>
      <c r="EE51" s="123"/>
      <c r="EF51" s="123">
        <v>12</v>
      </c>
      <c r="EG51" s="123"/>
      <c r="EH51" s="123"/>
      <c r="EI51" s="123"/>
      <c r="EJ51" s="123"/>
      <c r="EK51" s="123"/>
      <c r="EL51" s="123"/>
      <c r="EM51" s="123"/>
      <c r="EN51" s="123"/>
      <c r="EO51" s="122"/>
      <c r="EP51" s="123"/>
      <c r="EQ51" s="123"/>
      <c r="ER51" s="123"/>
      <c r="ES51" s="123"/>
      <c r="ET51" s="123"/>
      <c r="EU51" s="123"/>
      <c r="EV51" s="124"/>
      <c r="EW51" s="123"/>
      <c r="EX51" s="123"/>
      <c r="EY51" s="123"/>
      <c r="EZ51" s="123"/>
      <c r="FA51" s="123"/>
      <c r="FB51" s="123"/>
      <c r="FC51" s="123"/>
      <c r="FD51" s="123"/>
      <c r="FE51" s="123"/>
      <c r="FF51" s="123"/>
      <c r="FG51" s="123"/>
      <c r="FH51" s="123"/>
      <c r="FI51" s="123"/>
      <c r="FJ51" s="124"/>
      <c r="FK51" s="123"/>
      <c r="FL51" s="123"/>
      <c r="FM51" s="123"/>
      <c r="FN51" s="123"/>
      <c r="FO51" s="123"/>
      <c r="FP51" s="123"/>
      <c r="FQ51" s="123"/>
      <c r="FR51" s="123"/>
      <c r="FS51" s="123"/>
      <c r="FT51" s="123"/>
      <c r="FU51" s="123"/>
      <c r="FV51" s="123"/>
      <c r="FW51" s="123"/>
      <c r="FX51" s="123"/>
      <c r="FY51" s="123"/>
      <c r="FZ51" s="123"/>
      <c r="GA51" s="123"/>
      <c r="GB51" s="123"/>
      <c r="GC51" s="123"/>
      <c r="GD51" s="123"/>
      <c r="GE51" s="123"/>
      <c r="GF51" s="123"/>
      <c r="GG51" s="123">
        <v>8</v>
      </c>
      <c r="GH51" s="123"/>
      <c r="GI51" s="123"/>
      <c r="GJ51" s="123"/>
      <c r="GK51" s="123"/>
      <c r="GL51" s="123"/>
      <c r="GM51" s="123"/>
      <c r="GN51" s="123"/>
      <c r="GO51" s="123"/>
      <c r="GP51" s="123"/>
      <c r="GQ51" s="123"/>
      <c r="GR51" s="123"/>
      <c r="GS51" s="123"/>
      <c r="GT51" s="123"/>
      <c r="GU51" s="128">
        <f t="shared" si="481"/>
        <v>20</v>
      </c>
      <c r="GV51" s="162">
        <f t="shared" si="482"/>
        <v>25</v>
      </c>
      <c r="GW51" s="163">
        <f t="shared" si="483"/>
        <v>45</v>
      </c>
      <c r="GX51" s="163">
        <f t="shared" si="484"/>
        <v>25</v>
      </c>
      <c r="GY51" s="123"/>
      <c r="GZ51" s="123"/>
      <c r="HA51" s="123"/>
      <c r="HB51" s="123"/>
      <c r="HC51" s="128">
        <f t="shared" si="485"/>
        <v>0</v>
      </c>
      <c r="HD51" s="123" t="s">
        <v>382</v>
      </c>
      <c r="HE51" s="123" t="s">
        <v>458</v>
      </c>
      <c r="HF51" s="123" t="s">
        <v>289</v>
      </c>
      <c r="HG51" s="123" t="s">
        <v>289</v>
      </c>
      <c r="HH51" s="123" t="s">
        <v>289</v>
      </c>
      <c r="HI51" s="123" t="s">
        <v>289</v>
      </c>
      <c r="HJ51" s="123"/>
      <c r="HK51" s="123"/>
      <c r="HL51" s="127"/>
      <c r="HM51" s="127"/>
      <c r="HN51" s="127"/>
      <c r="HO51" s="127"/>
      <c r="HP51" s="127"/>
      <c r="HQ51" s="164">
        <f t="shared" si="486"/>
        <v>0</v>
      </c>
      <c r="HW51" s="164">
        <f t="shared" si="487"/>
        <v>0</v>
      </c>
      <c r="IC51">
        <v>3</v>
      </c>
      <c r="II51" s="164">
        <f t="shared" si="488"/>
        <v>3</v>
      </c>
      <c r="IV51" s="165">
        <f t="shared" si="489"/>
        <v>0</v>
      </c>
      <c r="JF51" s="165">
        <f t="shared" si="490"/>
        <v>0</v>
      </c>
      <c r="JG51" s="148">
        <v>1</v>
      </c>
      <c r="JH51" s="148"/>
      <c r="JI51" s="148"/>
      <c r="JJ51" s="148"/>
      <c r="JK51" s="148"/>
    </row>
    <row r="52" spans="1:271" ht="16.5" customHeight="1" x14ac:dyDescent="0.35">
      <c r="A52" t="s">
        <v>497</v>
      </c>
      <c r="B52" s="117" t="s">
        <v>273</v>
      </c>
      <c r="C52" s="118">
        <v>46067</v>
      </c>
      <c r="D52" s="119" t="s">
        <v>274</v>
      </c>
      <c r="E52" s="120" t="s">
        <v>302</v>
      </c>
      <c r="F52" s="120" t="s">
        <v>293</v>
      </c>
      <c r="G52" s="121" t="s">
        <v>445</v>
      </c>
      <c r="H52" s="122"/>
      <c r="I52" s="123"/>
      <c r="J52" s="124"/>
      <c r="K52" s="2" t="s">
        <v>455</v>
      </c>
      <c r="L52" s="125"/>
      <c r="M52" s="126" t="s">
        <v>321</v>
      </c>
      <c r="N52" s="127" t="s">
        <v>446</v>
      </c>
      <c r="O52" s="10" t="s">
        <v>447</v>
      </c>
      <c r="P52" s="128" t="s">
        <v>282</v>
      </c>
      <c r="Q52" s="129">
        <v>1</v>
      </c>
      <c r="R52" s="130"/>
      <c r="S52" s="130">
        <v>258068.50459482044</v>
      </c>
      <c r="T52" s="131" t="str">
        <f t="shared" si="463"/>
        <v/>
      </c>
      <c r="U52" s="132">
        <v>29</v>
      </c>
      <c r="V52" s="133"/>
      <c r="W52" s="133"/>
      <c r="X52" s="134">
        <f>378+792+785+785+786+794+794+787+795+795+786+787+794+792+793+793+780+798+800+800+800+800+791+790+800+860+759+759+759</f>
        <v>22532</v>
      </c>
      <c r="Y52" s="134"/>
      <c r="Z52" s="134">
        <f>2512+5282+5231+5229+5233+5287+5286+5236+5290+5290+5228+5235+5278+5280+5288+5286+5162+5277+5288+5289+5290+5290+5227+5222+5289+5686+5281+5285+5285</f>
        <v>150342</v>
      </c>
      <c r="AA52" s="134"/>
      <c r="AB52" s="135">
        <f>2.5+20+20+5</f>
        <v>47.5</v>
      </c>
      <c r="AC52" s="136">
        <f t="shared" si="464"/>
        <v>22579.5</v>
      </c>
      <c r="AD52" s="137">
        <f t="shared" si="465"/>
        <v>47.5</v>
      </c>
      <c r="AE52" s="138">
        <f t="shared" si="466"/>
        <v>0</v>
      </c>
      <c r="AF52" s="139">
        <f t="shared" si="467"/>
        <v>0</v>
      </c>
      <c r="AG52" s="123"/>
      <c r="AH52" s="122">
        <v>350</v>
      </c>
      <c r="AI52" s="122">
        <v>350</v>
      </c>
      <c r="AJ52" s="140">
        <v>4.1866929227831493</v>
      </c>
      <c r="AK52" s="141">
        <v>251.20157536698895</v>
      </c>
      <c r="AL52" s="142">
        <v>0.33333333333333331</v>
      </c>
      <c r="AM52" s="142">
        <v>0.80208333333333337</v>
      </c>
      <c r="AN52" s="143">
        <f t="shared" si="468"/>
        <v>675.00000000000011</v>
      </c>
      <c r="AO52" s="123"/>
      <c r="AP52" s="123"/>
      <c r="AQ52" s="127"/>
      <c r="AR52" s="123"/>
      <c r="AS52" s="123" t="s">
        <v>375</v>
      </c>
      <c r="AT52" s="123" t="s">
        <v>341</v>
      </c>
      <c r="AU52" s="123"/>
      <c r="AV52" s="123"/>
      <c r="AW52" s="123"/>
      <c r="AX52" s="132"/>
      <c r="AY52" s="123"/>
      <c r="AZ52" s="123"/>
      <c r="BA52" s="144">
        <f t="shared" si="469"/>
        <v>0</v>
      </c>
      <c r="BB52" s="127"/>
      <c r="BC52" s="145"/>
      <c r="BD52" s="146"/>
      <c r="BH52" s="147"/>
      <c r="BK52" s="144">
        <f t="shared" si="470"/>
        <v>0</v>
      </c>
      <c r="BL52" t="s">
        <v>365</v>
      </c>
      <c r="BM52">
        <v>1197</v>
      </c>
      <c r="BN52">
        <f>12+12</f>
        <v>24</v>
      </c>
      <c r="BO52" s="147">
        <v>12</v>
      </c>
      <c r="BP52">
        <f>780+635+616+541+658+530+671+695+521+571+372+557</f>
        <v>7147</v>
      </c>
      <c r="BQ52">
        <f>-382</f>
        <v>-382</v>
      </c>
      <c r="BR52" s="144">
        <f t="shared" si="471"/>
        <v>6765</v>
      </c>
      <c r="BV52" s="147"/>
      <c r="BY52" s="144">
        <f t="shared" si="472"/>
        <v>0</v>
      </c>
      <c r="BZ52" s="148"/>
      <c r="CA52" s="149"/>
      <c r="CB52" s="150"/>
      <c r="CC52" t="s">
        <v>285</v>
      </c>
      <c r="CD52">
        <v>1197</v>
      </c>
      <c r="CE52">
        <f>90</f>
        <v>90</v>
      </c>
      <c r="CF52" s="147">
        <v>29</v>
      </c>
      <c r="CG52">
        <f>267+545.5+538.1+538.1+538+544+544.2+538+544.5+544.4+539.1+539.1+541.3+544.2+546.6+546.7+546.7+546.5+544.9+544.7+545.9+545.5+537.7+537.6+544.1+546.6+544.3+546.4+545.8</f>
        <v>15475.500000000002</v>
      </c>
      <c r="CI52" s="151">
        <f t="shared" si="474"/>
        <v>15475.500000000002</v>
      </c>
      <c r="CJ52" s="148">
        <v>85654</v>
      </c>
      <c r="CK52" s="149">
        <v>5</v>
      </c>
      <c r="CL52" s="150">
        <f t="shared" ref="CL52:CL53" si="491">+CI52*CK52</f>
        <v>77377.500000000015</v>
      </c>
      <c r="CM52" t="s">
        <v>377</v>
      </c>
      <c r="CN52">
        <v>242</v>
      </c>
      <c r="CO52" s="152">
        <v>9.59436</v>
      </c>
      <c r="CP52" s="153">
        <f t="shared" si="475"/>
        <v>2321.8351200000002</v>
      </c>
      <c r="CQ52" s="154">
        <f t="shared" si="476"/>
        <v>242</v>
      </c>
      <c r="CR52">
        <v>97</v>
      </c>
      <c r="CS52" s="155">
        <v>9.7414000000000005</v>
      </c>
      <c r="CT52" s="153">
        <f t="shared" si="477"/>
        <v>944.9158000000001</v>
      </c>
      <c r="CU52" s="154">
        <f t="shared" si="478"/>
        <v>97</v>
      </c>
      <c r="CV52"/>
      <c r="CX52" s="153"/>
      <c r="CY52" s="156">
        <v>5</v>
      </c>
      <c r="CZ52" s="156">
        <v>3</v>
      </c>
      <c r="DA52" s="128" t="s">
        <v>378</v>
      </c>
      <c r="DB52" s="123">
        <v>1189</v>
      </c>
      <c r="DC52" s="157" t="s">
        <v>448</v>
      </c>
      <c r="DD52" s="157" t="s">
        <v>313</v>
      </c>
      <c r="DE52" s="127"/>
      <c r="DF52" s="158"/>
      <c r="DG52" s="159">
        <f>AVERAGE(1.8,2,1.87,1.94)</f>
        <v>1.9024999999999999</v>
      </c>
      <c r="DH52" s="160"/>
      <c r="DI52" s="122"/>
      <c r="DK52" s="123">
        <v>30</v>
      </c>
      <c r="DL52" s="123"/>
      <c r="DM52" s="123"/>
      <c r="DN52" s="123"/>
      <c r="DO52" s="123"/>
      <c r="DP52" s="123"/>
      <c r="DQ52" s="123"/>
      <c r="DR52" s="123"/>
      <c r="DS52" s="123"/>
      <c r="DT52" s="123"/>
      <c r="DV52" s="123"/>
      <c r="DW52" s="123"/>
      <c r="DX52" s="123"/>
      <c r="DY52" s="123"/>
      <c r="DZ52" s="123"/>
      <c r="EA52" s="123"/>
      <c r="EB52" s="123"/>
      <c r="EC52" s="123"/>
      <c r="ED52" s="161">
        <f t="shared" si="480"/>
        <v>30</v>
      </c>
      <c r="EE52" s="123"/>
      <c r="EF52" s="123">
        <v>204</v>
      </c>
      <c r="EG52" s="123"/>
      <c r="EH52" s="123"/>
      <c r="EI52" s="123"/>
      <c r="EJ52" s="123"/>
      <c r="EK52" s="123"/>
      <c r="EL52" s="123"/>
      <c r="EM52" s="123"/>
      <c r="EN52" s="123"/>
      <c r="EO52" s="122"/>
      <c r="EP52" s="123"/>
      <c r="EQ52" s="123"/>
      <c r="ER52" s="123"/>
      <c r="ES52" s="123"/>
      <c r="ET52" s="123"/>
      <c r="EU52" s="123">
        <v>5</v>
      </c>
      <c r="EV52" s="124"/>
      <c r="EW52" s="123"/>
      <c r="EX52" s="123"/>
      <c r="EY52" s="123"/>
      <c r="EZ52" s="123"/>
      <c r="FA52" s="123"/>
      <c r="FB52" s="123"/>
      <c r="FC52" s="123"/>
      <c r="FD52" s="123"/>
      <c r="FE52" s="123"/>
      <c r="FF52" s="123"/>
      <c r="FG52" s="123"/>
      <c r="FH52" s="123"/>
      <c r="FI52" s="123"/>
      <c r="FJ52" s="124"/>
      <c r="FK52" s="123"/>
      <c r="FL52" s="123"/>
      <c r="FM52" s="123"/>
      <c r="FN52" s="123"/>
      <c r="FO52" s="123"/>
      <c r="FP52" s="123"/>
      <c r="FQ52" s="123"/>
      <c r="FR52" s="123"/>
      <c r="FS52" s="123"/>
      <c r="FT52" s="123">
        <v>6</v>
      </c>
      <c r="FU52" s="123"/>
      <c r="FV52" s="123"/>
      <c r="FW52" s="123"/>
      <c r="FX52" s="123"/>
      <c r="FY52" s="123"/>
      <c r="FZ52" s="123"/>
      <c r="GA52" s="123"/>
      <c r="GB52" s="123"/>
      <c r="GC52" s="123"/>
      <c r="GD52" s="123"/>
      <c r="GE52" s="123">
        <v>30</v>
      </c>
      <c r="GF52" s="123">
        <v>10</v>
      </c>
      <c r="GG52" s="123"/>
      <c r="GH52" s="123"/>
      <c r="GI52" s="123"/>
      <c r="GJ52" s="123"/>
      <c r="GK52" s="123"/>
      <c r="GL52" s="123"/>
      <c r="GM52" s="123"/>
      <c r="GN52" s="123"/>
      <c r="GO52" s="123"/>
      <c r="GP52" s="123"/>
      <c r="GQ52" s="123"/>
      <c r="GR52" s="123"/>
      <c r="GS52" s="123"/>
      <c r="GT52" s="123"/>
      <c r="GU52" s="128">
        <f t="shared" si="481"/>
        <v>255</v>
      </c>
      <c r="GV52" s="162">
        <f t="shared" si="482"/>
        <v>390.00000000000011</v>
      </c>
      <c r="GW52" s="163">
        <f t="shared" si="483"/>
        <v>645.00000000000011</v>
      </c>
      <c r="GX52" s="163">
        <f t="shared" si="484"/>
        <v>420.00000000000011</v>
      </c>
      <c r="GY52" s="123"/>
      <c r="GZ52" s="123"/>
      <c r="HA52" s="123"/>
      <c r="HB52" s="123"/>
      <c r="HC52" s="128">
        <f t="shared" si="485"/>
        <v>0</v>
      </c>
      <c r="HD52" s="123" t="s">
        <v>382</v>
      </c>
      <c r="HE52" s="123" t="s">
        <v>458</v>
      </c>
      <c r="HF52" s="123" t="s">
        <v>289</v>
      </c>
      <c r="HG52" s="123" t="s">
        <v>289</v>
      </c>
      <c r="HH52" s="123" t="s">
        <v>289</v>
      </c>
      <c r="HI52" s="123" t="s">
        <v>289</v>
      </c>
      <c r="HJ52" s="123"/>
      <c r="HK52" s="123"/>
      <c r="HL52" s="127"/>
      <c r="HM52" s="127"/>
      <c r="HN52" s="127"/>
      <c r="HO52" s="127"/>
      <c r="HP52" s="127"/>
      <c r="HQ52" s="164">
        <f t="shared" si="486"/>
        <v>0</v>
      </c>
      <c r="HW52" s="164">
        <f t="shared" si="487"/>
        <v>0</v>
      </c>
      <c r="HX52">
        <v>2.5</v>
      </c>
      <c r="IA52">
        <v>20</v>
      </c>
      <c r="IB52">
        <v>20</v>
      </c>
      <c r="IF52">
        <v>5</v>
      </c>
      <c r="II52" s="164">
        <f t="shared" si="488"/>
        <v>47.5</v>
      </c>
      <c r="IV52" s="165">
        <f t="shared" si="489"/>
        <v>0</v>
      </c>
      <c r="JF52" s="165">
        <f t="shared" si="490"/>
        <v>0</v>
      </c>
      <c r="JG52" s="148">
        <v>29</v>
      </c>
      <c r="JH52" s="148"/>
      <c r="JI52" s="148"/>
      <c r="JJ52" s="148"/>
      <c r="JK52" s="148"/>
    </row>
    <row r="53" spans="1:271" ht="16.5" customHeight="1" x14ac:dyDescent="0.35">
      <c r="A53" t="s">
        <v>498</v>
      </c>
      <c r="B53" s="117" t="s">
        <v>273</v>
      </c>
      <c r="C53" s="118">
        <v>46067</v>
      </c>
      <c r="D53" s="119" t="s">
        <v>291</v>
      </c>
      <c r="E53" s="120" t="s">
        <v>302</v>
      </c>
      <c r="F53" s="120" t="s">
        <v>293</v>
      </c>
      <c r="G53" s="121" t="s">
        <v>445</v>
      </c>
      <c r="H53" s="122"/>
      <c r="I53" s="123"/>
      <c r="J53" s="124"/>
      <c r="K53" s="2" t="s">
        <v>455</v>
      </c>
      <c r="L53" s="125"/>
      <c r="M53" s="126" t="s">
        <v>321</v>
      </c>
      <c r="N53" s="127" t="s">
        <v>446</v>
      </c>
      <c r="O53" s="10" t="s">
        <v>447</v>
      </c>
      <c r="P53" s="128" t="s">
        <v>282</v>
      </c>
      <c r="Q53" s="129"/>
      <c r="R53" s="130"/>
      <c r="S53" s="130"/>
      <c r="T53" s="131" t="str">
        <f t="shared" si="463"/>
        <v/>
      </c>
      <c r="U53" s="132">
        <v>1</v>
      </c>
      <c r="V53" s="133"/>
      <c r="W53" s="133"/>
      <c r="X53" s="134">
        <f>794+788+788+792+790+791+792+800+800+799+797+789+795+790+798+799+800+800+790+410</f>
        <v>15502</v>
      </c>
      <c r="Y53" s="134"/>
      <c r="Z53" s="134">
        <f>5263+5223+5220+5240+5232+5232+5236+5285+5285+5283+5285+5226+5232+5210+5272+5280+5285+5290+5225+2710</f>
        <v>102514</v>
      </c>
      <c r="AA53" s="134"/>
      <c r="AB53" s="135">
        <f>3.7+20+15+15+5</f>
        <v>58.7</v>
      </c>
      <c r="AC53" s="136">
        <f t="shared" si="464"/>
        <v>15560.699999999999</v>
      </c>
      <c r="AD53" s="137">
        <f t="shared" si="465"/>
        <v>58.699999999998909</v>
      </c>
      <c r="AE53" s="138">
        <f t="shared" si="466"/>
        <v>-1.0942358130705543E-12</v>
      </c>
      <c r="AF53" s="139">
        <f t="shared" si="467"/>
        <v>0</v>
      </c>
      <c r="AG53" s="123"/>
      <c r="AH53" s="122">
        <v>350</v>
      </c>
      <c r="AI53" s="122">
        <v>350</v>
      </c>
      <c r="AJ53" s="140" t="s">
        <v>289</v>
      </c>
      <c r="AK53" s="141">
        <v>0</v>
      </c>
      <c r="AL53" s="142">
        <v>0.80208333333333337</v>
      </c>
      <c r="AM53" s="142">
        <v>0.14583333333333334</v>
      </c>
      <c r="AN53" s="143">
        <f t="shared" si="468"/>
        <v>495</v>
      </c>
      <c r="AO53" s="123"/>
      <c r="AP53" s="123"/>
      <c r="AQ53" s="127"/>
      <c r="AR53" s="123"/>
      <c r="AS53" s="123" t="s">
        <v>375</v>
      </c>
      <c r="AT53" s="123" t="s">
        <v>341</v>
      </c>
      <c r="AU53" s="123"/>
      <c r="AV53" s="123"/>
      <c r="AW53" s="123"/>
      <c r="AX53" s="132"/>
      <c r="AY53" s="123"/>
      <c r="AZ53" s="123"/>
      <c r="BA53" s="144">
        <f t="shared" si="469"/>
        <v>0</v>
      </c>
      <c r="BB53" s="127"/>
      <c r="BC53" s="145"/>
      <c r="BD53" s="146"/>
      <c r="BH53" s="147"/>
      <c r="BK53" s="144">
        <f t="shared" si="470"/>
        <v>0</v>
      </c>
      <c r="BL53" t="s">
        <v>365</v>
      </c>
      <c r="BM53">
        <v>1197</v>
      </c>
      <c r="BN53">
        <f>12+12</f>
        <v>24</v>
      </c>
      <c r="BO53" s="147">
        <v>9</v>
      </c>
      <c r="BP53">
        <f>382+410+530+630+535+274+382+248+661+670</f>
        <v>4722</v>
      </c>
      <c r="BR53" s="144">
        <f t="shared" si="471"/>
        <v>4722</v>
      </c>
      <c r="BV53" s="147"/>
      <c r="BY53" s="144">
        <f t="shared" si="472"/>
        <v>0</v>
      </c>
      <c r="BZ53" s="148"/>
      <c r="CA53" s="149"/>
      <c r="CB53" s="150"/>
      <c r="CC53" t="s">
        <v>285</v>
      </c>
      <c r="CD53">
        <v>1197</v>
      </c>
      <c r="CE53">
        <f>90</f>
        <v>90</v>
      </c>
      <c r="CF53" s="147">
        <v>20</v>
      </c>
      <c r="CG53">
        <f>545.8+544.3+544.2+539.6+539.9+539.8+539.6+544.8+544.6+544.4+544.5+546.4+539.4+539.4+546.4+546.4+546.2+546.1+539.4+539.5</f>
        <v>10860.699999999999</v>
      </c>
      <c r="CH53">
        <f>-262</f>
        <v>-262</v>
      </c>
      <c r="CI53" s="151">
        <f t="shared" si="474"/>
        <v>10598.699999999999</v>
      </c>
      <c r="CJ53" s="148">
        <v>85654</v>
      </c>
      <c r="CK53" s="149">
        <v>5</v>
      </c>
      <c r="CL53" s="150">
        <f t="shared" si="491"/>
        <v>52993.499999999993</v>
      </c>
      <c r="CM53" t="s">
        <v>377</v>
      </c>
      <c r="CN53">
        <v>171.42</v>
      </c>
      <c r="CO53" s="152">
        <v>9.59436</v>
      </c>
      <c r="CP53" s="153">
        <f t="shared" si="475"/>
        <v>1644.6651912</v>
      </c>
      <c r="CQ53" s="154">
        <f t="shared" si="476"/>
        <v>171.42</v>
      </c>
      <c r="CR53">
        <v>68.58</v>
      </c>
      <c r="CS53" s="155">
        <v>9.7414000000000005</v>
      </c>
      <c r="CT53" s="153">
        <f t="shared" si="477"/>
        <v>668.06521199999997</v>
      </c>
      <c r="CU53" s="154">
        <f t="shared" si="478"/>
        <v>68.58</v>
      </c>
      <c r="CV53"/>
      <c r="CX53" s="153"/>
      <c r="CY53" s="156">
        <v>5</v>
      </c>
      <c r="CZ53" s="156">
        <v>5</v>
      </c>
      <c r="DA53" s="128" t="s">
        <v>378</v>
      </c>
      <c r="DB53" s="123">
        <v>1189</v>
      </c>
      <c r="DC53" s="157" t="s">
        <v>448</v>
      </c>
      <c r="DD53" s="157" t="s">
        <v>313</v>
      </c>
      <c r="DE53" s="127"/>
      <c r="DF53" s="158"/>
      <c r="DG53" s="159">
        <f>AVERAGE(1.81,1.75,1.8)</f>
        <v>1.7866666666666668</v>
      </c>
      <c r="DH53" s="160"/>
      <c r="DI53" s="122"/>
      <c r="DK53" s="123"/>
      <c r="DL53" s="123"/>
      <c r="DM53" s="123"/>
      <c r="DN53" s="123"/>
      <c r="DO53" s="123"/>
      <c r="DP53" s="123"/>
      <c r="DQ53" s="123"/>
      <c r="DR53" s="123"/>
      <c r="DS53" s="123"/>
      <c r="DT53" s="123"/>
      <c r="DV53" s="123"/>
      <c r="DW53" s="123"/>
      <c r="DX53" s="123"/>
      <c r="DY53" s="123"/>
      <c r="DZ53" s="123"/>
      <c r="EA53" s="123"/>
      <c r="EB53" s="123"/>
      <c r="EC53" s="123"/>
      <c r="ED53" s="161">
        <f t="shared" si="480"/>
        <v>0</v>
      </c>
      <c r="EE53" s="123"/>
      <c r="EF53" s="123">
        <v>180</v>
      </c>
      <c r="EG53" s="123"/>
      <c r="EH53" s="123"/>
      <c r="EI53" s="123"/>
      <c r="EJ53" s="123"/>
      <c r="EK53" s="123"/>
      <c r="EL53" s="123"/>
      <c r="EM53" s="123"/>
      <c r="EN53" s="123"/>
      <c r="EO53" s="122"/>
      <c r="EP53" s="123"/>
      <c r="EQ53" s="123"/>
      <c r="ER53" s="123"/>
      <c r="ES53" s="123"/>
      <c r="ET53" s="123"/>
      <c r="EU53" s="123">
        <v>5</v>
      </c>
      <c r="EV53" s="124"/>
      <c r="EW53" s="123"/>
      <c r="EX53" s="123"/>
      <c r="EY53" s="123"/>
      <c r="EZ53" s="123"/>
      <c r="FA53" s="123"/>
      <c r="FB53" s="123"/>
      <c r="FC53" s="123"/>
      <c r="FD53" s="123"/>
      <c r="FE53" s="123"/>
      <c r="FF53" s="123"/>
      <c r="FG53" s="123"/>
      <c r="FH53" s="123"/>
      <c r="FI53" s="123"/>
      <c r="FJ53" s="124"/>
      <c r="FK53" s="123"/>
      <c r="FL53" s="123"/>
      <c r="FM53" s="123"/>
      <c r="FN53" s="123"/>
      <c r="FO53" s="123">
        <v>17</v>
      </c>
      <c r="FP53" s="123"/>
      <c r="FQ53" s="123"/>
      <c r="FR53" s="123"/>
      <c r="FS53" s="123"/>
      <c r="FT53" s="123"/>
      <c r="FU53" s="123"/>
      <c r="FV53" s="123"/>
      <c r="FW53" s="123"/>
      <c r="FX53" s="123"/>
      <c r="FY53" s="123"/>
      <c r="FZ53" s="123"/>
      <c r="GA53" s="123"/>
      <c r="GB53" s="123"/>
      <c r="GC53" s="123"/>
      <c r="GD53" s="123"/>
      <c r="GE53" s="123"/>
      <c r="GF53" s="123"/>
      <c r="GG53" s="123"/>
      <c r="GH53" s="123"/>
      <c r="GI53" s="123"/>
      <c r="GJ53" s="123"/>
      <c r="GK53" s="123"/>
      <c r="GL53" s="123"/>
      <c r="GM53" s="123"/>
      <c r="GN53" s="123"/>
      <c r="GO53" s="123"/>
      <c r="GP53" s="123"/>
      <c r="GQ53" s="123"/>
      <c r="GR53" s="123"/>
      <c r="GS53" s="123"/>
      <c r="GT53" s="123"/>
      <c r="GU53" s="128">
        <f t="shared" si="481"/>
        <v>202</v>
      </c>
      <c r="GV53" s="162">
        <f t="shared" si="482"/>
        <v>293</v>
      </c>
      <c r="GW53" s="163">
        <f t="shared" si="483"/>
        <v>495</v>
      </c>
      <c r="GX53" s="163">
        <f t="shared" si="484"/>
        <v>293</v>
      </c>
      <c r="GY53" s="123"/>
      <c r="GZ53" s="123"/>
      <c r="HA53" s="123"/>
      <c r="HB53" s="123"/>
      <c r="HC53" s="128">
        <f t="shared" si="485"/>
        <v>0</v>
      </c>
      <c r="HD53" s="123" t="s">
        <v>380</v>
      </c>
      <c r="HE53" s="123" t="s">
        <v>289</v>
      </c>
      <c r="HF53" s="123" t="s">
        <v>289</v>
      </c>
      <c r="HG53" s="123" t="s">
        <v>289</v>
      </c>
      <c r="HH53" s="123" t="s">
        <v>289</v>
      </c>
      <c r="HI53" s="123" t="s">
        <v>374</v>
      </c>
      <c r="HJ53" s="123"/>
      <c r="HK53" s="123"/>
      <c r="HL53" s="127"/>
      <c r="HM53" s="127"/>
      <c r="HN53" s="127"/>
      <c r="HO53" s="127"/>
      <c r="HP53" s="127"/>
      <c r="HQ53" s="164">
        <f t="shared" si="486"/>
        <v>0</v>
      </c>
      <c r="HW53" s="164">
        <f t="shared" si="487"/>
        <v>0</v>
      </c>
      <c r="HY53">
        <v>3.7</v>
      </c>
      <c r="IB53">
        <v>20</v>
      </c>
      <c r="ID53">
        <v>15</v>
      </c>
      <c r="IE53">
        <v>15</v>
      </c>
      <c r="IF53">
        <v>5</v>
      </c>
      <c r="II53" s="164">
        <f t="shared" si="488"/>
        <v>58.7</v>
      </c>
      <c r="IV53" s="165">
        <f t="shared" si="489"/>
        <v>0</v>
      </c>
      <c r="JF53" s="165">
        <f t="shared" si="490"/>
        <v>0</v>
      </c>
      <c r="JG53" s="148">
        <f>49-29</f>
        <v>20</v>
      </c>
      <c r="JH53" s="148"/>
      <c r="JI53" s="148"/>
      <c r="JJ53" s="148"/>
      <c r="JK53" s="148"/>
    </row>
    <row r="54" spans="1:271" ht="16.5" customHeight="1" x14ac:dyDescent="0.35">
      <c r="A54" t="s">
        <v>499</v>
      </c>
      <c r="B54" s="117" t="s">
        <v>273</v>
      </c>
      <c r="C54" s="118">
        <v>46069</v>
      </c>
      <c r="D54" s="119" t="s">
        <v>291</v>
      </c>
      <c r="E54" s="120" t="s">
        <v>303</v>
      </c>
      <c r="F54" s="120" t="s">
        <v>293</v>
      </c>
      <c r="G54" s="121" t="s">
        <v>323</v>
      </c>
      <c r="H54" s="122"/>
      <c r="I54" s="123"/>
      <c r="J54" s="124"/>
      <c r="K54" s="2" t="s">
        <v>481</v>
      </c>
      <c r="L54" s="125"/>
      <c r="M54" s="126" t="s">
        <v>310</v>
      </c>
      <c r="N54" s="127" t="s">
        <v>324</v>
      </c>
      <c r="O54" s="10" t="s">
        <v>482</v>
      </c>
      <c r="P54" s="128" t="s">
        <v>282</v>
      </c>
      <c r="Q54" s="129">
        <v>1</v>
      </c>
      <c r="R54" s="130"/>
      <c r="S54" s="130">
        <v>26099.362487481201</v>
      </c>
      <c r="T54" s="131" t="str">
        <f t="shared" ref="T54" si="492">IF(H54*U54=0,"",H54*U54)</f>
        <v/>
      </c>
      <c r="U54" s="132">
        <v>7</v>
      </c>
      <c r="V54" s="133"/>
      <c r="W54" s="133"/>
      <c r="X54" s="134">
        <f>618+613+340+308+564+475+230</f>
        <v>3148</v>
      </c>
      <c r="Y54" s="134"/>
      <c r="Z54" s="134">
        <f>4868+4833+269+2417+4403+3690+1700</f>
        <v>22180</v>
      </c>
      <c r="AA54" s="134"/>
      <c r="AB54" s="135">
        <f>3+3+2+11+6+3.6</f>
        <v>28.6</v>
      </c>
      <c r="AC54" s="136">
        <f t="shared" ref="AC54" si="493">BA54+AF54+BK54+BR54+BY54+CI54+CQ54+CU54</f>
        <v>3176.6</v>
      </c>
      <c r="AD54" s="137">
        <f t="shared" ref="AD54:AD56" si="494">+AC54-X54</f>
        <v>28.599999999999909</v>
      </c>
      <c r="AE54" s="138">
        <f t="shared" ref="AE54:AE56" si="495">AD54-AB54</f>
        <v>-9.2370555648813024E-14</v>
      </c>
      <c r="AF54" s="139">
        <f t="shared" ref="AF54" si="496">IFERROR(+(Z54*AV54*DF54)/10^6,0)</f>
        <v>0</v>
      </c>
      <c r="AG54" s="123"/>
      <c r="AH54" s="122">
        <v>250</v>
      </c>
      <c r="AI54" s="122">
        <v>200</v>
      </c>
      <c r="AJ54" s="140">
        <v>1.0219872497496241</v>
      </c>
      <c r="AK54" s="141">
        <v>61.319234984977442</v>
      </c>
      <c r="AL54" s="142">
        <v>0.80208333333333337</v>
      </c>
      <c r="AM54" s="142">
        <v>0.97916666666666663</v>
      </c>
      <c r="AN54" s="143">
        <f t="shared" ref="AN54" si="497">IF(AM54&gt;AL54,((AM54-AL54)*1440),(1440+(AM54-AL54)*1440))</f>
        <v>254.99999999999989</v>
      </c>
      <c r="AO54" s="123"/>
      <c r="AP54" s="123"/>
      <c r="AQ54" s="127"/>
      <c r="AR54" s="123"/>
      <c r="AS54" s="123" t="s">
        <v>375</v>
      </c>
      <c r="AT54" s="123" t="s">
        <v>341</v>
      </c>
      <c r="AU54" s="123"/>
      <c r="AV54" s="123"/>
      <c r="AW54" s="123"/>
      <c r="AX54" s="132"/>
      <c r="AY54" s="123"/>
      <c r="AZ54" s="123"/>
      <c r="BA54" s="144">
        <f t="shared" ref="BA54:BA56" si="498">SUM(AY54+AZ54)</f>
        <v>0</v>
      </c>
      <c r="BB54" s="127"/>
      <c r="BC54" s="145"/>
      <c r="BD54" s="146"/>
      <c r="BH54" s="147"/>
      <c r="BK54" s="144">
        <f t="shared" ref="BK54:BK56" si="499">SUM(BI54+BJ54)</f>
        <v>0</v>
      </c>
      <c r="BL54" t="s">
        <v>365</v>
      </c>
      <c r="BM54">
        <v>915</v>
      </c>
      <c r="BN54">
        <f>12+9</f>
        <v>21</v>
      </c>
      <c r="BO54" s="147">
        <v>4</v>
      </c>
      <c r="BP54">
        <f>417+218+344+80</f>
        <v>1059</v>
      </c>
      <c r="BR54" s="144">
        <f t="shared" ref="BR54:BR56" si="500">SUM(BP54+BQ54)</f>
        <v>1059</v>
      </c>
      <c r="BV54" s="147"/>
      <c r="BY54" s="144">
        <f t="shared" ref="BY54:BY56" si="501">SUM(BW54+BX54)</f>
        <v>0</v>
      </c>
      <c r="BZ54" s="148"/>
      <c r="CA54" s="149"/>
      <c r="CB54" s="150"/>
      <c r="CC54" t="s">
        <v>361</v>
      </c>
      <c r="CD54">
        <v>893</v>
      </c>
      <c r="CE54">
        <f>100</f>
        <v>100</v>
      </c>
      <c r="CF54" s="147">
        <v>7</v>
      </c>
      <c r="CG54">
        <f>131+276.9+278.1+278.1+277.8+277.2+277.9+277.6</f>
        <v>2074.6</v>
      </c>
      <c r="CI54" s="151">
        <f t="shared" ref="CI54:CI56" si="502">SUM(CG54+CH54)</f>
        <v>2074.6</v>
      </c>
      <c r="CJ54" s="148">
        <v>84080</v>
      </c>
      <c r="CK54" s="149">
        <v>4.7848326016150375</v>
      </c>
      <c r="CL54" s="150">
        <f>+CI54*CK54</f>
        <v>9926.6137153105556</v>
      </c>
      <c r="CM54" t="s">
        <v>377</v>
      </c>
      <c r="CN54">
        <v>30.7</v>
      </c>
      <c r="CO54" s="152">
        <v>9.59436</v>
      </c>
      <c r="CP54" s="153">
        <f t="shared" ref="CP54" si="503">+CN54*CO54</f>
        <v>294.546852</v>
      </c>
      <c r="CQ54" s="154">
        <f t="shared" ref="CQ54:CQ56" si="504">IF(CM54="811 A",CN54/1.667,IF(CM54="MB635",CN54/1.33,IF(CM54="MB655",CN54/1.43,IF(CM54="LG 59A",CN54/1.667,IF(CM54="HB 6680",CN54/1.25,IF(CM54="MB688",CN54/1.25,CN54))))))</f>
        <v>30.7</v>
      </c>
      <c r="CR54">
        <v>12.3</v>
      </c>
      <c r="CS54" s="155">
        <v>9.7414000000000005</v>
      </c>
      <c r="CT54" s="153">
        <f t="shared" ref="CT54" si="505">+CR54*CS54</f>
        <v>119.81922000000002</v>
      </c>
      <c r="CU54" s="154">
        <f t="shared" ref="CU54:CU56" si="506">IF(CM54="811 A",CR54/1.33,IF(CM54="HB 6680",CR54/1.33,IF(CM54="MB688",CR54/1.333,CR54)))</f>
        <v>12.3</v>
      </c>
      <c r="CV54"/>
      <c r="CX54" s="153"/>
      <c r="CY54" s="156">
        <v>15</v>
      </c>
      <c r="CZ54" s="156">
        <v>7</v>
      </c>
      <c r="DA54" s="128" t="s">
        <v>378</v>
      </c>
      <c r="DB54" s="123">
        <v>885</v>
      </c>
      <c r="DC54" s="157" t="s">
        <v>325</v>
      </c>
      <c r="DD54" s="157" t="s">
        <v>313</v>
      </c>
      <c r="DE54" s="127"/>
      <c r="DF54" s="158"/>
      <c r="DG54" s="159">
        <f>AVERAGE(1.8,2,1.88,1.84,1.9)</f>
        <v>1.8839999999999999</v>
      </c>
      <c r="DH54" s="160"/>
      <c r="DI54" s="122"/>
      <c r="DK54" s="123">
        <v>20</v>
      </c>
      <c r="DL54" s="123"/>
      <c r="DM54" s="123"/>
      <c r="DN54" s="123"/>
      <c r="DO54" s="123"/>
      <c r="DP54" s="123"/>
      <c r="DQ54" s="123"/>
      <c r="DR54" s="123"/>
      <c r="DS54" s="123"/>
      <c r="DT54" s="123"/>
      <c r="DV54" s="123"/>
      <c r="DW54" s="123"/>
      <c r="DX54" s="123"/>
      <c r="DY54" s="123"/>
      <c r="DZ54" s="123"/>
      <c r="EA54" s="123"/>
      <c r="EB54" s="123"/>
      <c r="EC54" s="123"/>
      <c r="ED54" s="161">
        <f t="shared" ref="ED54" si="507">SUM(DK54:EC54)</f>
        <v>20</v>
      </c>
      <c r="EE54" s="123"/>
      <c r="EF54" s="123">
        <v>57</v>
      </c>
      <c r="EG54" s="123"/>
      <c r="EH54" s="123"/>
      <c r="EI54" s="123"/>
      <c r="EJ54" s="123"/>
      <c r="EK54" s="123"/>
      <c r="EL54" s="123"/>
      <c r="EM54" s="123"/>
      <c r="EN54" s="123"/>
      <c r="EO54" s="122"/>
      <c r="EP54" s="123"/>
      <c r="EQ54" s="123"/>
      <c r="ER54" s="123"/>
      <c r="ES54" s="123"/>
      <c r="ET54" s="123"/>
      <c r="EU54" s="123">
        <v>10</v>
      </c>
      <c r="EV54" s="124"/>
      <c r="EW54" s="123"/>
      <c r="EX54" s="123"/>
      <c r="EY54" s="123"/>
      <c r="EZ54" s="123"/>
      <c r="FA54" s="123"/>
      <c r="FB54" s="123"/>
      <c r="FC54" s="123"/>
      <c r="FD54" s="123"/>
      <c r="FE54" s="123"/>
      <c r="FF54" s="123"/>
      <c r="FG54" s="123"/>
      <c r="FH54" s="123"/>
      <c r="FI54" s="123"/>
      <c r="FJ54" s="124"/>
      <c r="FK54" s="123"/>
      <c r="FL54" s="123"/>
      <c r="FM54" s="123"/>
      <c r="FN54" s="123"/>
      <c r="FO54" s="123">
        <v>10</v>
      </c>
      <c r="FP54" s="123"/>
      <c r="FQ54" s="123"/>
      <c r="FR54" s="123"/>
      <c r="FS54" s="123"/>
      <c r="FT54" s="123"/>
      <c r="FU54" s="123"/>
      <c r="FV54" s="123"/>
      <c r="FW54" s="123"/>
      <c r="FX54" s="123"/>
      <c r="FY54" s="123"/>
      <c r="FZ54" s="123"/>
      <c r="GA54" s="123"/>
      <c r="GB54" s="123"/>
      <c r="GC54" s="123"/>
      <c r="GD54" s="123"/>
      <c r="GE54" s="123">
        <v>30</v>
      </c>
      <c r="GF54" s="123">
        <v>5</v>
      </c>
      <c r="GG54" s="123"/>
      <c r="GH54" s="123"/>
      <c r="GI54" s="123"/>
      <c r="GJ54" s="123"/>
      <c r="GK54" s="123"/>
      <c r="GL54" s="123"/>
      <c r="GM54" s="123"/>
      <c r="GN54" s="123"/>
      <c r="GO54" s="123"/>
      <c r="GP54" s="123"/>
      <c r="GQ54" s="123"/>
      <c r="GR54" s="123"/>
      <c r="GS54" s="123"/>
      <c r="GT54" s="123"/>
      <c r="GU54" s="128">
        <f t="shared" ref="GU54" si="508">SUM(EE54:GO54,GR54)</f>
        <v>112</v>
      </c>
      <c r="GV54" s="162">
        <f t="shared" ref="GV54" si="509">AN54-ED54-GU54</f>
        <v>122.99999999999989</v>
      </c>
      <c r="GW54" s="163">
        <f t="shared" ref="GW54" si="510">AN54-ED54-ER54-FN54</f>
        <v>234.99999999999989</v>
      </c>
      <c r="GX54" s="163">
        <f t="shared" ref="GX54" si="511">AN54-GU54</f>
        <v>142.99999999999989</v>
      </c>
      <c r="GY54" s="123"/>
      <c r="GZ54" s="123"/>
      <c r="HA54" s="123"/>
      <c r="HB54" s="123"/>
      <c r="HC54" s="128">
        <f t="shared" ref="HC54:HC56" si="512">SUM(GY54:HB54)</f>
        <v>0</v>
      </c>
      <c r="HD54" s="123" t="s">
        <v>431</v>
      </c>
      <c r="HE54" s="123" t="s">
        <v>381</v>
      </c>
      <c r="HF54" s="123" t="s">
        <v>289</v>
      </c>
      <c r="HG54" s="123" t="s">
        <v>289</v>
      </c>
      <c r="HH54" s="123" t="s">
        <v>289</v>
      </c>
      <c r="HI54" s="123" t="s">
        <v>374</v>
      </c>
      <c r="HJ54" s="123"/>
      <c r="HK54" s="123"/>
      <c r="HL54" s="127"/>
      <c r="HM54" s="127"/>
      <c r="HN54" s="127"/>
      <c r="HO54" s="127"/>
      <c r="HP54" s="127"/>
      <c r="HQ54" s="164">
        <f t="shared" ref="HQ54:HQ56" si="513">SUM(HL54:HP54)</f>
        <v>0</v>
      </c>
      <c r="HW54" s="164">
        <f t="shared" ref="HW54:HW56" si="514">SUM(HR54:HU54)</f>
        <v>0</v>
      </c>
      <c r="HX54">
        <v>3</v>
      </c>
      <c r="HY54">
        <v>3</v>
      </c>
      <c r="HZ54">
        <v>2</v>
      </c>
      <c r="IB54">
        <v>11</v>
      </c>
      <c r="IE54">
        <v>6</v>
      </c>
      <c r="IF54">
        <v>3.6</v>
      </c>
      <c r="II54" s="164">
        <f t="shared" ref="II54:II56" si="515">SUM(HX54:IG54)</f>
        <v>28.6</v>
      </c>
      <c r="IV54" s="165">
        <f t="shared" ref="IV54:IV56" si="516">SUM(IJ54:IT54)</f>
        <v>0</v>
      </c>
      <c r="JF54" s="165">
        <f t="shared" ref="JF54:JF56" si="517">SUM(IW54:JD54)</f>
        <v>0</v>
      </c>
      <c r="JG54" s="148">
        <v>7</v>
      </c>
      <c r="JH54" s="148"/>
      <c r="JI54" s="148"/>
      <c r="JJ54" s="148"/>
      <c r="JK54" s="148"/>
    </row>
    <row r="55" spans="1:271" ht="16.5" customHeight="1" x14ac:dyDescent="0.35">
      <c r="A55" t="s">
        <v>500</v>
      </c>
      <c r="B55" s="117" t="s">
        <v>273</v>
      </c>
      <c r="C55" s="118">
        <v>46069</v>
      </c>
      <c r="D55" s="119" t="s">
        <v>274</v>
      </c>
      <c r="E55" s="120" t="s">
        <v>306</v>
      </c>
      <c r="F55" s="120" t="s">
        <v>305</v>
      </c>
      <c r="G55" s="121" t="s">
        <v>445</v>
      </c>
      <c r="H55" s="122">
        <v>1.49</v>
      </c>
      <c r="I55" s="123"/>
      <c r="J55" s="124"/>
      <c r="K55" s="2" t="s">
        <v>455</v>
      </c>
      <c r="L55" s="125" t="s">
        <v>394</v>
      </c>
      <c r="M55" s="126" t="s">
        <v>321</v>
      </c>
      <c r="N55" s="127" t="s">
        <v>446</v>
      </c>
      <c r="O55" s="10" t="s">
        <v>447</v>
      </c>
      <c r="P55" s="128" t="s">
        <v>389</v>
      </c>
      <c r="Q55" s="129"/>
      <c r="R55" s="130"/>
      <c r="S55" s="130"/>
      <c r="T55" s="131">
        <f t="shared" ref="T55:T56" si="518">IF(H55*U55=0,"",H55*U55)</f>
        <v>312.89999999999998</v>
      </c>
      <c r="U55" s="132">
        <f>210</f>
        <v>210</v>
      </c>
      <c r="V55" s="133"/>
      <c r="W55" s="133"/>
      <c r="X55" s="134">
        <v>11473.82</v>
      </c>
      <c r="Y55" s="134">
        <v>11786.72</v>
      </c>
      <c r="Z55" s="134">
        <v>76660</v>
      </c>
      <c r="AA55" s="134"/>
      <c r="AB55" s="135">
        <f>30+135+60+139.18</f>
        <v>364.18</v>
      </c>
      <c r="AC55" s="136">
        <f t="shared" ref="AC55:AC56" si="519">BA55+AF55+BK55+BR55+BY55+CI55+CQ55+CU55</f>
        <v>11838</v>
      </c>
      <c r="AD55" s="137">
        <f t="shared" si="494"/>
        <v>364.18000000000029</v>
      </c>
      <c r="AE55" s="138">
        <f t="shared" si="495"/>
        <v>0</v>
      </c>
      <c r="AF55" s="139">
        <f t="shared" ref="AF55:AF56" si="520">IFERROR(+(Z55*AV55*DF55)/10^6,0)</f>
        <v>0</v>
      </c>
      <c r="AG55" s="123"/>
      <c r="AH55" s="122"/>
      <c r="AI55" s="122">
        <v>666</v>
      </c>
      <c r="AJ55" s="140"/>
      <c r="AK55" s="141"/>
      <c r="AL55" s="142">
        <v>0.5</v>
      </c>
      <c r="AM55" s="142">
        <v>0.80208333333333337</v>
      </c>
      <c r="AN55" s="143">
        <f t="shared" ref="AN55:AN56" si="521">IF(AM55&gt;AL55,((AM55-AL55)*1440),(1440+(AM55-AL55)*1440))</f>
        <v>435.00000000000006</v>
      </c>
      <c r="AO55" s="123"/>
      <c r="AP55" s="123"/>
      <c r="AQ55" s="127"/>
      <c r="AR55" s="123"/>
      <c r="AS55" s="123"/>
      <c r="AT55" s="123" t="s">
        <v>390</v>
      </c>
      <c r="AU55" s="123" t="s">
        <v>375</v>
      </c>
      <c r="AV55" s="123">
        <v>592</v>
      </c>
      <c r="AW55" s="123">
        <f>12+12+90</f>
        <v>114</v>
      </c>
      <c r="AX55" s="132">
        <v>15</v>
      </c>
      <c r="AY55" s="123">
        <f>785+796+785+794+787+794+795+786+787+794+792+793+793+789+798</f>
        <v>11868</v>
      </c>
      <c r="AZ55" s="123">
        <f>-30</f>
        <v>-30</v>
      </c>
      <c r="BA55" s="144">
        <f t="shared" si="498"/>
        <v>11838</v>
      </c>
      <c r="BB55" s="127"/>
      <c r="BC55" s="145"/>
      <c r="BD55" s="146"/>
      <c r="BH55" s="147"/>
      <c r="BK55" s="144">
        <f t="shared" si="499"/>
        <v>0</v>
      </c>
      <c r="BO55" s="147"/>
      <c r="BR55" s="144">
        <f t="shared" si="500"/>
        <v>0</v>
      </c>
      <c r="BV55" s="147"/>
      <c r="BY55" s="144">
        <f t="shared" si="501"/>
        <v>0</v>
      </c>
      <c r="BZ55" s="148"/>
      <c r="CA55" s="149"/>
      <c r="CB55" s="150"/>
      <c r="CF55" s="147"/>
      <c r="CI55" s="151">
        <f t="shared" si="502"/>
        <v>0</v>
      </c>
      <c r="CJ55" s="148"/>
      <c r="CK55" s="149"/>
      <c r="CL55" s="150"/>
      <c r="CM55"/>
      <c r="CN55"/>
      <c r="CO55" s="152"/>
      <c r="CP55" s="153"/>
      <c r="CQ55" s="154">
        <f t="shared" si="504"/>
        <v>0</v>
      </c>
      <c r="CR55"/>
      <c r="CS55" s="155"/>
      <c r="CT55" s="153"/>
      <c r="CU55" s="154">
        <f t="shared" si="506"/>
        <v>0</v>
      </c>
      <c r="CV55"/>
      <c r="CX55" s="153"/>
      <c r="CY55" s="156"/>
      <c r="CZ55" s="156"/>
      <c r="DA55" s="128"/>
      <c r="DB55" s="123"/>
      <c r="DC55" s="157" t="s">
        <v>448</v>
      </c>
      <c r="DD55" s="157" t="s">
        <v>313</v>
      </c>
      <c r="DE55" s="127" t="s">
        <v>400</v>
      </c>
      <c r="DF55" s="158"/>
      <c r="DG55" s="159"/>
      <c r="DH55" s="160"/>
      <c r="DI55" s="122"/>
      <c r="DK55" s="123">
        <v>10</v>
      </c>
      <c r="DL55" s="123"/>
      <c r="DM55" s="123"/>
      <c r="DN55" s="123"/>
      <c r="DO55" s="123"/>
      <c r="DP55" s="123"/>
      <c r="DQ55" s="123"/>
      <c r="DR55" s="123"/>
      <c r="DS55" s="123"/>
      <c r="DT55" s="123"/>
      <c r="DV55" s="123"/>
      <c r="DW55" s="123"/>
      <c r="DX55" s="123"/>
      <c r="DY55" s="123"/>
      <c r="DZ55" s="123"/>
      <c r="EA55" s="123"/>
      <c r="EB55" s="123"/>
      <c r="EC55" s="123"/>
      <c r="ED55" s="161">
        <f t="shared" ref="ED55:ED56" si="522">SUM(DK55:EC55)</f>
        <v>10</v>
      </c>
      <c r="EE55" s="123"/>
      <c r="EF55" s="123">
        <v>75</v>
      </c>
      <c r="EG55" s="123"/>
      <c r="EH55" s="123"/>
      <c r="EI55" s="123"/>
      <c r="EJ55" s="123"/>
      <c r="EK55" s="123"/>
      <c r="EL55" s="123"/>
      <c r="EM55" s="123"/>
      <c r="EN55" s="123"/>
      <c r="EO55" s="122"/>
      <c r="EP55" s="123">
        <v>10</v>
      </c>
      <c r="EQ55" s="123"/>
      <c r="ER55" s="123"/>
      <c r="ES55" s="123">
        <v>80</v>
      </c>
      <c r="ET55" s="123"/>
      <c r="EU55" s="123"/>
      <c r="EV55" s="124"/>
      <c r="EW55" s="123"/>
      <c r="EX55" s="123"/>
      <c r="EY55" s="123"/>
      <c r="EZ55" s="123"/>
      <c r="FA55" s="123"/>
      <c r="FB55" s="123">
        <v>10</v>
      </c>
      <c r="FC55" s="123"/>
      <c r="FD55" s="123"/>
      <c r="FE55" s="123"/>
      <c r="FF55" s="123"/>
      <c r="FG55" s="123"/>
      <c r="FH55" s="123"/>
      <c r="FI55" s="123"/>
      <c r="FJ55" s="124"/>
      <c r="FK55" s="123"/>
      <c r="FL55" s="123"/>
      <c r="FM55" s="123"/>
      <c r="FN55" s="123"/>
      <c r="FO55" s="123">
        <v>135</v>
      </c>
      <c r="FP55" s="123"/>
      <c r="FQ55" s="123"/>
      <c r="FR55" s="123"/>
      <c r="FS55" s="123"/>
      <c r="FT55" s="123"/>
      <c r="FU55" s="123"/>
      <c r="FV55" s="123"/>
      <c r="FW55" s="123"/>
      <c r="FX55" s="123"/>
      <c r="FY55" s="123"/>
      <c r="FZ55" s="123"/>
      <c r="GA55" s="123"/>
      <c r="GB55" s="123"/>
      <c r="GC55" s="123"/>
      <c r="GD55" s="123"/>
      <c r="GE55" s="123"/>
      <c r="GF55" s="123"/>
      <c r="GG55" s="123"/>
      <c r="GH55" s="123"/>
      <c r="GI55" s="123"/>
      <c r="GJ55" s="123"/>
      <c r="GK55" s="123"/>
      <c r="GL55" s="123"/>
      <c r="GM55" s="123"/>
      <c r="GN55" s="123"/>
      <c r="GO55" s="123"/>
      <c r="GP55" s="123"/>
      <c r="GQ55" s="123"/>
      <c r="GR55" s="123"/>
      <c r="GS55" s="123"/>
      <c r="GT55" s="123"/>
      <c r="GU55" s="128">
        <f t="shared" ref="GU55:GU56" si="523">SUM(EE55:GO55,GR55)</f>
        <v>310</v>
      </c>
      <c r="GV55" s="162">
        <f t="shared" ref="GV55:GV56" si="524">AN55-ED55-GU55</f>
        <v>115.00000000000006</v>
      </c>
      <c r="GW55" s="163">
        <f t="shared" ref="GW55:GW56" si="525">AN55-ED55-ER55-FN55</f>
        <v>425.00000000000006</v>
      </c>
      <c r="GX55" s="163">
        <f t="shared" ref="GX55:GX56" si="526">AN55-GU55</f>
        <v>125.00000000000006</v>
      </c>
      <c r="GY55" s="123"/>
      <c r="GZ55" s="123"/>
      <c r="HA55" s="123"/>
      <c r="HB55" s="123"/>
      <c r="HC55" s="128">
        <f t="shared" si="512"/>
        <v>0</v>
      </c>
      <c r="HD55" s="123" t="s">
        <v>398</v>
      </c>
      <c r="HE55" s="123" t="s">
        <v>399</v>
      </c>
      <c r="HF55" s="123" t="s">
        <v>289</v>
      </c>
      <c r="HG55" s="123" t="s">
        <v>289</v>
      </c>
      <c r="HH55" s="123" t="s">
        <v>289</v>
      </c>
      <c r="HI55" s="123" t="s">
        <v>392</v>
      </c>
      <c r="HJ55" s="123"/>
      <c r="HK55" s="123"/>
      <c r="HL55" s="127"/>
      <c r="HM55" s="127">
        <v>30</v>
      </c>
      <c r="HN55" s="127">
        <v>135</v>
      </c>
      <c r="HO55" s="127">
        <v>60</v>
      </c>
      <c r="HP55" s="127">
        <v>139.18</v>
      </c>
      <c r="HQ55" s="164">
        <f t="shared" si="513"/>
        <v>364.18</v>
      </c>
      <c r="HW55" s="164">
        <f t="shared" si="514"/>
        <v>0</v>
      </c>
      <c r="II55" s="164">
        <f t="shared" si="515"/>
        <v>0</v>
      </c>
      <c r="IV55" s="165">
        <f t="shared" si="516"/>
        <v>0</v>
      </c>
      <c r="JF55" s="165">
        <f t="shared" si="517"/>
        <v>0</v>
      </c>
      <c r="JG55" s="148"/>
      <c r="JH55" s="148"/>
      <c r="JI55" s="148">
        <v>730</v>
      </c>
      <c r="JJ55" s="148"/>
      <c r="JK55" s="148"/>
    </row>
    <row r="56" spans="1:271" ht="16.5" customHeight="1" x14ac:dyDescent="0.35">
      <c r="A56" t="s">
        <v>501</v>
      </c>
      <c r="B56" s="117" t="s">
        <v>273</v>
      </c>
      <c r="C56" s="118">
        <v>46069</v>
      </c>
      <c r="D56" s="119" t="s">
        <v>291</v>
      </c>
      <c r="E56" s="120" t="s">
        <v>306</v>
      </c>
      <c r="F56" s="120" t="s">
        <v>305</v>
      </c>
      <c r="G56" s="121" t="s">
        <v>445</v>
      </c>
      <c r="H56" s="122">
        <v>1.49</v>
      </c>
      <c r="I56" s="123"/>
      <c r="J56" s="124"/>
      <c r="K56" s="2" t="s">
        <v>455</v>
      </c>
      <c r="L56" s="125" t="s">
        <v>394</v>
      </c>
      <c r="M56" s="126" t="s">
        <v>321</v>
      </c>
      <c r="N56" s="127" t="s">
        <v>446</v>
      </c>
      <c r="O56" s="10" t="s">
        <v>447</v>
      </c>
      <c r="P56" s="128" t="s">
        <v>389</v>
      </c>
      <c r="Q56" s="129"/>
      <c r="R56" s="130"/>
      <c r="S56" s="130"/>
      <c r="T56" s="131">
        <f t="shared" si="518"/>
        <v>569.17999999999995</v>
      </c>
      <c r="U56" s="132">
        <f>381+1</f>
        <v>382</v>
      </c>
      <c r="V56" s="133"/>
      <c r="W56" s="133"/>
      <c r="X56" s="134">
        <v>21129.86</v>
      </c>
      <c r="Y56" s="134">
        <f t="shared" ref="Y56" si="527">IFERROR(X56+T56,"")</f>
        <v>21699.040000000001</v>
      </c>
      <c r="Z56" s="134">
        <v>141000</v>
      </c>
      <c r="AA56" s="134"/>
      <c r="AB56" s="135">
        <f>50+230+50+349.14</f>
        <v>679.14</v>
      </c>
      <c r="AC56" s="136">
        <f t="shared" si="519"/>
        <v>21809</v>
      </c>
      <c r="AD56" s="137">
        <f t="shared" si="494"/>
        <v>679.13999999999942</v>
      </c>
      <c r="AE56" s="138">
        <f t="shared" si="495"/>
        <v>0</v>
      </c>
      <c r="AF56" s="139">
        <f t="shared" si="520"/>
        <v>0</v>
      </c>
      <c r="AG56" s="123"/>
      <c r="AH56" s="122"/>
      <c r="AI56" s="122">
        <v>701</v>
      </c>
      <c r="AJ56" s="140"/>
      <c r="AK56" s="141"/>
      <c r="AL56" s="142">
        <v>0.80208333333333337</v>
      </c>
      <c r="AM56" s="142">
        <v>0.30208333333333331</v>
      </c>
      <c r="AN56" s="143">
        <f t="shared" si="521"/>
        <v>720</v>
      </c>
      <c r="AO56" s="123"/>
      <c r="AP56" s="123"/>
      <c r="AQ56" s="127"/>
      <c r="AR56" s="123"/>
      <c r="AS56" s="123"/>
      <c r="AT56" s="123" t="s">
        <v>390</v>
      </c>
      <c r="AU56" s="123" t="s">
        <v>375</v>
      </c>
      <c r="AV56" s="123">
        <v>592</v>
      </c>
      <c r="AW56" s="123">
        <f>12+12+90</f>
        <v>114</v>
      </c>
      <c r="AX56" s="132">
        <v>29</v>
      </c>
      <c r="AY56" s="123">
        <f>30+759+795+786+759+794+788+788+800+792+799+790+791+800+792+800+789+796+797+799+798+800+790+410+800+800+800+791+806</f>
        <v>21839</v>
      </c>
      <c r="AZ56" s="123">
        <v>-30</v>
      </c>
      <c r="BA56" s="144">
        <f t="shared" si="498"/>
        <v>21809</v>
      </c>
      <c r="BB56" s="127"/>
      <c r="BC56" s="145"/>
      <c r="BD56" s="146"/>
      <c r="BH56" s="147"/>
      <c r="BK56" s="144">
        <f t="shared" si="499"/>
        <v>0</v>
      </c>
      <c r="BO56" s="147"/>
      <c r="BR56" s="144">
        <f t="shared" si="500"/>
        <v>0</v>
      </c>
      <c r="BV56" s="147"/>
      <c r="BY56" s="144">
        <f t="shared" si="501"/>
        <v>0</v>
      </c>
      <c r="BZ56" s="148"/>
      <c r="CA56" s="149"/>
      <c r="CB56" s="150"/>
      <c r="CF56" s="147"/>
      <c r="CI56" s="151">
        <f t="shared" si="502"/>
        <v>0</v>
      </c>
      <c r="CJ56" s="148"/>
      <c r="CK56" s="149"/>
      <c r="CL56" s="150"/>
      <c r="CM56"/>
      <c r="CN56"/>
      <c r="CO56" s="152"/>
      <c r="CP56" s="153"/>
      <c r="CQ56" s="154">
        <f t="shared" si="504"/>
        <v>0</v>
      </c>
      <c r="CR56"/>
      <c r="CS56" s="155"/>
      <c r="CT56" s="153"/>
      <c r="CU56" s="154">
        <f t="shared" si="506"/>
        <v>0</v>
      </c>
      <c r="CV56"/>
      <c r="CX56" s="153"/>
      <c r="CY56" s="156"/>
      <c r="CZ56" s="156"/>
      <c r="DA56" s="128"/>
      <c r="DB56" s="123"/>
      <c r="DC56" s="157" t="s">
        <v>448</v>
      </c>
      <c r="DD56" s="157" t="s">
        <v>313</v>
      </c>
      <c r="DE56" s="127" t="s">
        <v>400</v>
      </c>
      <c r="DF56" s="158"/>
      <c r="DG56" s="159"/>
      <c r="DH56" s="160"/>
      <c r="DI56" s="122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V56" s="123"/>
      <c r="DW56" s="123"/>
      <c r="DX56" s="123"/>
      <c r="DY56" s="123"/>
      <c r="DZ56" s="123"/>
      <c r="EA56" s="123"/>
      <c r="EB56" s="123"/>
      <c r="EC56" s="123"/>
      <c r="ED56" s="161">
        <f t="shared" si="522"/>
        <v>0</v>
      </c>
      <c r="EE56" s="123"/>
      <c r="EF56" s="123">
        <v>190</v>
      </c>
      <c r="EG56" s="123"/>
      <c r="EH56" s="123"/>
      <c r="EI56" s="123"/>
      <c r="EJ56" s="123"/>
      <c r="EK56" s="123"/>
      <c r="EL56" s="123"/>
      <c r="EM56" s="123"/>
      <c r="EN56" s="123"/>
      <c r="EO56" s="122"/>
      <c r="EP56" s="123">
        <v>30</v>
      </c>
      <c r="EQ56" s="123"/>
      <c r="ER56" s="123"/>
      <c r="ES56" s="123">
        <v>150</v>
      </c>
      <c r="ET56" s="123"/>
      <c r="EU56" s="123"/>
      <c r="EV56" s="124"/>
      <c r="EW56" s="123"/>
      <c r="EX56" s="123"/>
      <c r="EY56" s="123"/>
      <c r="EZ56" s="123"/>
      <c r="FA56" s="123"/>
      <c r="FB56" s="123">
        <v>15</v>
      </c>
      <c r="FC56" s="123"/>
      <c r="FD56" s="123"/>
      <c r="FE56" s="123"/>
      <c r="FF56" s="123"/>
      <c r="FG56" s="123"/>
      <c r="FH56" s="123"/>
      <c r="FI56" s="123"/>
      <c r="FJ56" s="124"/>
      <c r="FK56" s="123"/>
      <c r="FL56" s="123"/>
      <c r="FM56" s="123"/>
      <c r="FN56" s="123"/>
      <c r="FO56" s="123">
        <v>134</v>
      </c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/>
      <c r="GS56" s="123"/>
      <c r="GT56" s="123"/>
      <c r="GU56" s="128">
        <f t="shared" si="523"/>
        <v>519</v>
      </c>
      <c r="GV56" s="162">
        <f t="shared" si="524"/>
        <v>201</v>
      </c>
      <c r="GW56" s="163">
        <f t="shared" si="525"/>
        <v>720</v>
      </c>
      <c r="GX56" s="163">
        <f t="shared" si="526"/>
        <v>201</v>
      </c>
      <c r="GY56" s="123"/>
      <c r="GZ56" s="123"/>
      <c r="HA56" s="123"/>
      <c r="HB56" s="123"/>
      <c r="HC56" s="128">
        <f t="shared" si="512"/>
        <v>0</v>
      </c>
      <c r="HD56" s="123" t="s">
        <v>422</v>
      </c>
      <c r="HE56" s="123" t="s">
        <v>424</v>
      </c>
      <c r="HF56" s="123" t="s">
        <v>423</v>
      </c>
      <c r="HG56" s="123" t="s">
        <v>289</v>
      </c>
      <c r="HH56" s="123" t="s">
        <v>289</v>
      </c>
      <c r="HI56" s="123" t="s">
        <v>392</v>
      </c>
      <c r="HJ56" s="123"/>
      <c r="HK56" s="123"/>
      <c r="HL56" s="127"/>
      <c r="HM56" s="127">
        <v>50</v>
      </c>
      <c r="HN56" s="127">
        <v>230</v>
      </c>
      <c r="HO56" s="127">
        <v>50</v>
      </c>
      <c r="HP56" s="127">
        <v>349.14</v>
      </c>
      <c r="HQ56" s="164">
        <f t="shared" si="513"/>
        <v>679.14</v>
      </c>
      <c r="HW56" s="164">
        <f t="shared" si="514"/>
        <v>0</v>
      </c>
      <c r="II56" s="164">
        <f t="shared" si="515"/>
        <v>0</v>
      </c>
      <c r="IV56" s="165">
        <f t="shared" si="516"/>
        <v>0</v>
      </c>
      <c r="JF56" s="165">
        <f t="shared" si="517"/>
        <v>0</v>
      </c>
      <c r="JG56" s="148"/>
      <c r="JH56" s="148"/>
      <c r="JI56" s="148">
        <v>740</v>
      </c>
      <c r="JJ56" s="148"/>
      <c r="JK56" s="148"/>
    </row>
    <row r="57" spans="1:271" ht="16.5" customHeight="1" x14ac:dyDescent="0.35">
      <c r="A57" t="s">
        <v>502</v>
      </c>
      <c r="B57" s="117" t="s">
        <v>273</v>
      </c>
      <c r="C57" s="118">
        <v>46070</v>
      </c>
      <c r="D57" s="119" t="s">
        <v>274</v>
      </c>
      <c r="E57" s="120" t="s">
        <v>306</v>
      </c>
      <c r="F57" s="120" t="s">
        <v>305</v>
      </c>
      <c r="G57" s="121" t="s">
        <v>445</v>
      </c>
      <c r="H57" s="122">
        <v>1.49</v>
      </c>
      <c r="I57" s="123"/>
      <c r="J57" s="124"/>
      <c r="K57" s="2" t="s">
        <v>455</v>
      </c>
      <c r="L57" s="125" t="s">
        <v>394</v>
      </c>
      <c r="M57" s="126" t="s">
        <v>321</v>
      </c>
      <c r="N57" s="127" t="s">
        <v>446</v>
      </c>
      <c r="O57" s="10" t="s">
        <v>447</v>
      </c>
      <c r="P57" s="128" t="s">
        <v>389</v>
      </c>
      <c r="Q57" s="129"/>
      <c r="R57" s="130"/>
      <c r="S57" s="130"/>
      <c r="T57" s="131">
        <f t="shared" ref="T57:T60" si="528">IF(H57*U57=0,"",H57*U57)</f>
        <v>116.22</v>
      </c>
      <c r="U57" s="132">
        <f>78</f>
        <v>78</v>
      </c>
      <c r="V57" s="133"/>
      <c r="W57" s="133"/>
      <c r="X57" s="134">
        <v>4220.58</v>
      </c>
      <c r="Y57" s="134">
        <v>4336.8</v>
      </c>
      <c r="Z57" s="134">
        <v>28140</v>
      </c>
      <c r="AA57" s="134"/>
      <c r="AB57" s="135">
        <f>12+85+24+65.42</f>
        <v>186.42000000000002</v>
      </c>
      <c r="AC57" s="136">
        <f t="shared" ref="AC57" si="529">BA57+AF57+BK57+BR57+BY57+CI57+CQ57+CU57</f>
        <v>4407</v>
      </c>
      <c r="AD57" s="137">
        <f t="shared" ref="AD57:AD60" si="530">+AC57-X57</f>
        <v>186.42000000000007</v>
      </c>
      <c r="AE57" s="138">
        <f t="shared" ref="AE57:AE60" si="531">AD57-AB57</f>
        <v>0</v>
      </c>
      <c r="AF57" s="139">
        <f t="shared" ref="AF57" si="532">IFERROR(+(Z57*AV57*DF57)/10^6,0)</f>
        <v>0</v>
      </c>
      <c r="AG57" s="123"/>
      <c r="AH57" s="122"/>
      <c r="AI57" s="122">
        <v>625</v>
      </c>
      <c r="AJ57" s="140"/>
      <c r="AK57" s="141"/>
      <c r="AL57" s="142">
        <v>0.30208333333333331</v>
      </c>
      <c r="AM57" s="142">
        <v>0.45833333333333331</v>
      </c>
      <c r="AN57" s="143">
        <f t="shared" ref="AN57" si="533">IF(AM57&gt;AL57,((AM57-AL57)*1440),(1440+(AM57-AL57)*1440))</f>
        <v>225</v>
      </c>
      <c r="AO57" s="123"/>
      <c r="AP57" s="123"/>
      <c r="AQ57" s="127"/>
      <c r="AR57" s="123"/>
      <c r="AS57" s="123"/>
      <c r="AT57" s="123" t="s">
        <v>390</v>
      </c>
      <c r="AU57" s="123" t="s">
        <v>375</v>
      </c>
      <c r="AV57" s="123">
        <v>592</v>
      </c>
      <c r="AW57" s="123">
        <f>12+12+90</f>
        <v>114</v>
      </c>
      <c r="AX57" s="132">
        <v>6</v>
      </c>
      <c r="AY57" s="123">
        <f>30+759+860+790+800+790+378</f>
        <v>4407</v>
      </c>
      <c r="AZ57" s="123"/>
      <c r="BA57" s="144">
        <f t="shared" ref="BA57:BA60" si="534">SUM(AY57+AZ57)</f>
        <v>4407</v>
      </c>
      <c r="BB57" s="127"/>
      <c r="BC57" s="145"/>
      <c r="BD57" s="146"/>
      <c r="BH57" s="147"/>
      <c r="BK57" s="144">
        <f t="shared" ref="BK57:BK60" si="535">SUM(BI57+BJ57)</f>
        <v>0</v>
      </c>
      <c r="BO57" s="147"/>
      <c r="BR57" s="144">
        <f t="shared" ref="BR57:BR60" si="536">SUM(BP57+BQ57)</f>
        <v>0</v>
      </c>
      <c r="BV57" s="147"/>
      <c r="BY57" s="144">
        <f t="shared" ref="BY57:BY60" si="537">SUM(BW57+BX57)</f>
        <v>0</v>
      </c>
      <c r="BZ57" s="148"/>
      <c r="CA57" s="149"/>
      <c r="CB57" s="150"/>
      <c r="CF57" s="147"/>
      <c r="CI57" s="151">
        <f t="shared" ref="CI57:CI60" si="538">SUM(CG57+CH57)</f>
        <v>0</v>
      </c>
      <c r="CJ57" s="148"/>
      <c r="CK57" s="149"/>
      <c r="CL57" s="150"/>
      <c r="CM57"/>
      <c r="CN57"/>
      <c r="CO57" s="152"/>
      <c r="CP57" s="153"/>
      <c r="CQ57" s="154">
        <f t="shared" ref="CQ57:CQ60" si="539">IF(CM57="811 A",CN57/1.667,IF(CM57="MB635",CN57/1.33,IF(CM57="MB655",CN57/1.43,IF(CM57="LG 59A",CN57/1.667,IF(CM57="HB 6680",CN57/1.25,IF(CM57="MB688",CN57/1.25,CN57))))))</f>
        <v>0</v>
      </c>
      <c r="CR57"/>
      <c r="CS57" s="155"/>
      <c r="CT57" s="153"/>
      <c r="CU57" s="154">
        <f t="shared" ref="CU57:CU60" si="540">IF(CM57="811 A",CR57/1.33,IF(CM57="HB 6680",CR57/1.33,IF(CM57="MB688",CR57/1.333,CR57)))</f>
        <v>0</v>
      </c>
      <c r="CV57"/>
      <c r="CX57" s="153"/>
      <c r="CY57" s="156"/>
      <c r="CZ57" s="156"/>
      <c r="DA57" s="128"/>
      <c r="DB57" s="123"/>
      <c r="DC57" s="157" t="s">
        <v>448</v>
      </c>
      <c r="DD57" s="157" t="s">
        <v>313</v>
      </c>
      <c r="DE57" s="127" t="s">
        <v>400</v>
      </c>
      <c r="DF57" s="158"/>
      <c r="DG57" s="159"/>
      <c r="DH57" s="160"/>
      <c r="DI57" s="122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V57" s="123"/>
      <c r="DW57" s="123"/>
      <c r="DX57" s="123"/>
      <c r="DY57" s="123"/>
      <c r="DZ57" s="123"/>
      <c r="EA57" s="123"/>
      <c r="EB57" s="123"/>
      <c r="EC57" s="123"/>
      <c r="ED57" s="161">
        <f t="shared" ref="ED57" si="541">SUM(DK57:EC57)</f>
        <v>0</v>
      </c>
      <c r="EE57" s="123"/>
      <c r="EF57" s="123">
        <v>30</v>
      </c>
      <c r="EG57" s="123"/>
      <c r="EH57" s="123"/>
      <c r="EI57" s="123"/>
      <c r="EJ57" s="123"/>
      <c r="EK57" s="123"/>
      <c r="EL57" s="123"/>
      <c r="EM57" s="123"/>
      <c r="EN57" s="123"/>
      <c r="EO57" s="122"/>
      <c r="EP57" s="123">
        <v>10</v>
      </c>
      <c r="EQ57" s="123"/>
      <c r="ER57" s="123"/>
      <c r="ES57" s="123">
        <v>40</v>
      </c>
      <c r="ET57" s="123"/>
      <c r="EU57" s="123"/>
      <c r="EV57" s="124"/>
      <c r="EW57" s="123"/>
      <c r="EX57" s="123"/>
      <c r="EY57" s="123"/>
      <c r="EZ57" s="123"/>
      <c r="FA57" s="123"/>
      <c r="FB57" s="123">
        <v>10</v>
      </c>
      <c r="FC57" s="123"/>
      <c r="FD57" s="123"/>
      <c r="FE57" s="123"/>
      <c r="FF57" s="123"/>
      <c r="FG57" s="123"/>
      <c r="FH57" s="123"/>
      <c r="FI57" s="123"/>
      <c r="FJ57" s="124"/>
      <c r="FK57" s="123"/>
      <c r="FL57" s="123"/>
      <c r="FM57" s="123"/>
      <c r="FN57" s="123"/>
      <c r="FO57" s="123">
        <v>90</v>
      </c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8">
        <f t="shared" ref="GU57" si="542">SUM(EE57:GO57,GR57)</f>
        <v>180</v>
      </c>
      <c r="GV57" s="162">
        <f t="shared" ref="GV57" si="543">AN57-ED57-GU57</f>
        <v>45</v>
      </c>
      <c r="GW57" s="163">
        <f t="shared" ref="GW57" si="544">AN57-ED57-ER57-FN57</f>
        <v>225</v>
      </c>
      <c r="GX57" s="163">
        <f t="shared" ref="GX57" si="545">AN57-GU57</f>
        <v>45</v>
      </c>
      <c r="GY57" s="123"/>
      <c r="GZ57" s="123"/>
      <c r="HA57" s="123"/>
      <c r="HB57" s="123"/>
      <c r="HC57" s="128">
        <f t="shared" ref="HC57:HC60" si="546">SUM(GY57:HB57)</f>
        <v>0</v>
      </c>
      <c r="HD57" s="123" t="s">
        <v>398</v>
      </c>
      <c r="HE57" s="123" t="s">
        <v>399</v>
      </c>
      <c r="HF57" s="123" t="s">
        <v>289</v>
      </c>
      <c r="HG57" s="123" t="s">
        <v>289</v>
      </c>
      <c r="HH57" s="123" t="s">
        <v>289</v>
      </c>
      <c r="HI57" s="123" t="s">
        <v>392</v>
      </c>
      <c r="HJ57" s="123"/>
      <c r="HK57" s="123"/>
      <c r="HL57" s="127"/>
      <c r="HM57" s="127">
        <v>12</v>
      </c>
      <c r="HN57" s="127">
        <v>85</v>
      </c>
      <c r="HO57" s="127">
        <v>24</v>
      </c>
      <c r="HP57" s="127">
        <v>65.42</v>
      </c>
      <c r="HQ57" s="164">
        <f t="shared" ref="HQ57:HQ60" si="547">SUM(HL57:HP57)</f>
        <v>186.42000000000002</v>
      </c>
      <c r="HW57" s="164">
        <f t="shared" ref="HW57:HW60" si="548">SUM(HR57:HU57)</f>
        <v>0</v>
      </c>
      <c r="II57" s="164">
        <f t="shared" ref="II57:II60" si="549">SUM(HX57:IG57)</f>
        <v>0</v>
      </c>
      <c r="IV57" s="165">
        <f t="shared" ref="IV57:IV60" si="550">SUM(IJ57:IT57)</f>
        <v>0</v>
      </c>
      <c r="JF57" s="165">
        <f t="shared" ref="JF57:JF60" si="551">SUM(IW57:JD57)</f>
        <v>0</v>
      </c>
      <c r="JG57" s="148"/>
      <c r="JH57" s="148"/>
      <c r="JI57" s="148">
        <v>730</v>
      </c>
      <c r="JJ57" s="148"/>
      <c r="JK57" s="148"/>
    </row>
    <row r="58" spans="1:271" ht="16.5" customHeight="1" x14ac:dyDescent="0.35">
      <c r="A58" t="s">
        <v>503</v>
      </c>
      <c r="B58" s="117" t="s">
        <v>273</v>
      </c>
      <c r="C58" s="118">
        <v>46070</v>
      </c>
      <c r="D58" s="119" t="s">
        <v>274</v>
      </c>
      <c r="E58" s="120" t="s">
        <v>306</v>
      </c>
      <c r="F58" s="120" t="s">
        <v>305</v>
      </c>
      <c r="G58" s="121" t="s">
        <v>432</v>
      </c>
      <c r="H58" s="122">
        <v>0.3</v>
      </c>
      <c r="I58" s="123"/>
      <c r="J58" s="124"/>
      <c r="K58" s="2" t="s">
        <v>471</v>
      </c>
      <c r="L58" s="125" t="s">
        <v>388</v>
      </c>
      <c r="M58" s="126" t="s">
        <v>360</v>
      </c>
      <c r="N58" s="127" t="s">
        <v>280</v>
      </c>
      <c r="O58" s="10" t="s">
        <v>472</v>
      </c>
      <c r="P58" s="128" t="s">
        <v>389</v>
      </c>
      <c r="Q58" s="129"/>
      <c r="R58" s="130"/>
      <c r="S58" s="130"/>
      <c r="T58" s="131">
        <f t="shared" si="528"/>
        <v>23.4</v>
      </c>
      <c r="U58" s="132">
        <f>78</f>
        <v>78</v>
      </c>
      <c r="V58" s="133"/>
      <c r="W58" s="133"/>
      <c r="X58" s="134">
        <v>734.52</v>
      </c>
      <c r="Y58" s="134">
        <v>757.92</v>
      </c>
      <c r="Z58" s="134">
        <v>14220</v>
      </c>
      <c r="AA58" s="134"/>
      <c r="AB58" s="135">
        <f>1+2+10+17.48</f>
        <v>30.48</v>
      </c>
      <c r="AC58" s="136">
        <f t="shared" ref="AC58:AC60" si="552">BA58+AF58+BK58+BR58+BY58+CI58+CQ58+CU58</f>
        <v>765</v>
      </c>
      <c r="AD58" s="137">
        <f t="shared" si="530"/>
        <v>30.480000000000018</v>
      </c>
      <c r="AE58" s="138">
        <f t="shared" si="531"/>
        <v>0</v>
      </c>
      <c r="AF58" s="139">
        <f t="shared" ref="AF58:AF60" si="553">IFERROR(+(Z58*AV58*DF58)/10^6,0)</f>
        <v>0</v>
      </c>
      <c r="AG58" s="123"/>
      <c r="AH58" s="122"/>
      <c r="AI58" s="122">
        <v>790</v>
      </c>
      <c r="AJ58" s="140"/>
      <c r="AK58" s="141"/>
      <c r="AL58" s="142">
        <v>0.72916666666666663</v>
      </c>
      <c r="AM58" s="142">
        <v>0.80208333333333337</v>
      </c>
      <c r="AN58" s="143">
        <f t="shared" ref="AN58:AN60" si="554">IF(AM58&gt;AL58,((AM58-AL58)*1440),(1440+(AM58-AL58)*1440))</f>
        <v>105.00000000000011</v>
      </c>
      <c r="AO58" s="123"/>
      <c r="AP58" s="123"/>
      <c r="AQ58" s="127"/>
      <c r="AR58" s="123"/>
      <c r="AS58" s="123"/>
      <c r="AT58" s="123" t="s">
        <v>390</v>
      </c>
      <c r="AU58" s="123" t="s">
        <v>365</v>
      </c>
      <c r="AV58" s="123">
        <v>192</v>
      </c>
      <c r="AW58" s="123">
        <f>12+28</f>
        <v>40</v>
      </c>
      <c r="AX58" s="132">
        <v>1</v>
      </c>
      <c r="AY58" s="123">
        <f>780</f>
        <v>780</v>
      </c>
      <c r="AZ58" s="123">
        <f>-15</f>
        <v>-15</v>
      </c>
      <c r="BA58" s="144">
        <f t="shared" si="534"/>
        <v>765</v>
      </c>
      <c r="BB58" s="127"/>
      <c r="BC58" s="145"/>
      <c r="BD58" s="146"/>
      <c r="BH58" s="147"/>
      <c r="BK58" s="144">
        <f t="shared" si="535"/>
        <v>0</v>
      </c>
      <c r="BO58" s="147"/>
      <c r="BR58" s="144">
        <f t="shared" si="536"/>
        <v>0</v>
      </c>
      <c r="BV58" s="147"/>
      <c r="BY58" s="144">
        <f t="shared" si="537"/>
        <v>0</v>
      </c>
      <c r="BZ58" s="148"/>
      <c r="CA58" s="149"/>
      <c r="CB58" s="150"/>
      <c r="CF58" s="147"/>
      <c r="CI58" s="151">
        <f t="shared" si="538"/>
        <v>0</v>
      </c>
      <c r="CJ58" s="148"/>
      <c r="CK58" s="149"/>
      <c r="CL58" s="150"/>
      <c r="CM58"/>
      <c r="CN58"/>
      <c r="CO58" s="152"/>
      <c r="CP58" s="153"/>
      <c r="CQ58" s="154">
        <f t="shared" si="539"/>
        <v>0</v>
      </c>
      <c r="CR58"/>
      <c r="CS58" s="155"/>
      <c r="CT58" s="153"/>
      <c r="CU58" s="154">
        <f t="shared" si="540"/>
        <v>0</v>
      </c>
      <c r="CV58"/>
      <c r="CX58" s="153"/>
      <c r="CY58" s="156"/>
      <c r="CZ58" s="156"/>
      <c r="DA58" s="128"/>
      <c r="DB58" s="123"/>
      <c r="DC58" s="157" t="s">
        <v>428</v>
      </c>
      <c r="DD58" s="157" t="s">
        <v>294</v>
      </c>
      <c r="DE58" s="127" t="s">
        <v>397</v>
      </c>
      <c r="DF58" s="158"/>
      <c r="DG58" s="159"/>
      <c r="DH58" s="160"/>
      <c r="DI58" s="122"/>
      <c r="DK58" s="123">
        <v>30</v>
      </c>
      <c r="DL58" s="123"/>
      <c r="DM58" s="123"/>
      <c r="DN58" s="123"/>
      <c r="DO58" s="123"/>
      <c r="DP58" s="123"/>
      <c r="DQ58" s="123"/>
      <c r="DR58" s="123"/>
      <c r="DS58" s="123"/>
      <c r="DT58" s="123"/>
      <c r="DV58" s="123"/>
      <c r="DW58" s="123"/>
      <c r="DX58" s="123"/>
      <c r="DY58" s="123"/>
      <c r="DZ58" s="123"/>
      <c r="EA58" s="123"/>
      <c r="EB58" s="123"/>
      <c r="EC58" s="123"/>
      <c r="ED58" s="161">
        <f t="shared" ref="ED58:ED60" si="555">SUM(DK58:EC58)</f>
        <v>30</v>
      </c>
      <c r="EE58" s="123"/>
      <c r="EF58" s="123">
        <v>5</v>
      </c>
      <c r="EG58" s="123"/>
      <c r="EH58" s="123"/>
      <c r="EI58" s="123"/>
      <c r="EJ58" s="123"/>
      <c r="EK58" s="123"/>
      <c r="EL58" s="123"/>
      <c r="EM58" s="123"/>
      <c r="EN58" s="123"/>
      <c r="EO58" s="122"/>
      <c r="EP58" s="123">
        <v>15</v>
      </c>
      <c r="EQ58" s="123"/>
      <c r="ER58" s="123"/>
      <c r="ES58" s="123">
        <v>17</v>
      </c>
      <c r="ET58" s="123"/>
      <c r="EU58" s="123"/>
      <c r="EV58" s="124"/>
      <c r="EW58" s="123"/>
      <c r="EX58" s="123"/>
      <c r="EY58" s="123"/>
      <c r="EZ58" s="123"/>
      <c r="FA58" s="123"/>
      <c r="FB58" s="123">
        <v>10</v>
      </c>
      <c r="FC58" s="123"/>
      <c r="FD58" s="123"/>
      <c r="FE58" s="123"/>
      <c r="FF58" s="123"/>
      <c r="FG58" s="123"/>
      <c r="FH58" s="123"/>
      <c r="FI58" s="123"/>
      <c r="FJ58" s="124"/>
      <c r="FK58" s="123"/>
      <c r="FL58" s="123"/>
      <c r="FM58" s="123"/>
      <c r="FN58" s="123"/>
      <c r="FO58" s="123">
        <v>10</v>
      </c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8">
        <f t="shared" ref="GU58:GU60" si="556">SUM(EE58:GO58,GR58)</f>
        <v>57</v>
      </c>
      <c r="GV58" s="162">
        <f t="shared" ref="GV58:GV60" si="557">AN58-ED58-GU58</f>
        <v>18.000000000000114</v>
      </c>
      <c r="GW58" s="163">
        <f t="shared" ref="GW58:GW60" si="558">AN58-ED58-ER58-FN58</f>
        <v>75.000000000000114</v>
      </c>
      <c r="GX58" s="163">
        <f t="shared" ref="GX58:GX60" si="559">AN58-GU58</f>
        <v>48.000000000000114</v>
      </c>
      <c r="GY58" s="123"/>
      <c r="GZ58" s="123"/>
      <c r="HA58" s="123"/>
      <c r="HB58" s="123"/>
      <c r="HC58" s="128">
        <f t="shared" si="546"/>
        <v>0</v>
      </c>
      <c r="HD58" s="123" t="s">
        <v>398</v>
      </c>
      <c r="HE58" s="123" t="s">
        <v>399</v>
      </c>
      <c r="HF58" s="123" t="s">
        <v>289</v>
      </c>
      <c r="HG58" s="123" t="s">
        <v>289</v>
      </c>
      <c r="HH58" s="123" t="s">
        <v>289</v>
      </c>
      <c r="HI58" s="123" t="s">
        <v>392</v>
      </c>
      <c r="HJ58" s="123"/>
      <c r="HK58" s="123"/>
      <c r="HL58" s="127">
        <v>1</v>
      </c>
      <c r="HM58" s="127">
        <v>2</v>
      </c>
      <c r="HN58" s="127">
        <v>10</v>
      </c>
      <c r="HO58" s="127"/>
      <c r="HP58" s="127">
        <v>17.48</v>
      </c>
      <c r="HQ58" s="164">
        <f t="shared" si="547"/>
        <v>30.48</v>
      </c>
      <c r="HW58" s="164">
        <f t="shared" si="548"/>
        <v>0</v>
      </c>
      <c r="II58" s="164">
        <f t="shared" si="549"/>
        <v>0</v>
      </c>
      <c r="IV58" s="165">
        <f t="shared" si="550"/>
        <v>0</v>
      </c>
      <c r="JF58" s="165">
        <f t="shared" si="551"/>
        <v>0</v>
      </c>
      <c r="JG58" s="148"/>
      <c r="JH58" s="148"/>
      <c r="JI58" s="148">
        <v>1130</v>
      </c>
      <c r="JJ58" s="148"/>
      <c r="JK58" s="148"/>
    </row>
    <row r="59" spans="1:271" ht="16.5" customHeight="1" x14ac:dyDescent="0.35">
      <c r="A59" t="s">
        <v>504</v>
      </c>
      <c r="B59" s="117" t="s">
        <v>273</v>
      </c>
      <c r="C59" s="118">
        <v>46070</v>
      </c>
      <c r="D59" s="119" t="s">
        <v>291</v>
      </c>
      <c r="E59" s="120" t="s">
        <v>306</v>
      </c>
      <c r="F59" s="120" t="s">
        <v>305</v>
      </c>
      <c r="G59" s="121" t="s">
        <v>432</v>
      </c>
      <c r="H59" s="122">
        <v>0.3</v>
      </c>
      <c r="I59" s="123"/>
      <c r="J59" s="124"/>
      <c r="K59" s="2" t="s">
        <v>471</v>
      </c>
      <c r="L59" s="125" t="s">
        <v>388</v>
      </c>
      <c r="M59" s="126" t="s">
        <v>360</v>
      </c>
      <c r="N59" s="127" t="s">
        <v>280</v>
      </c>
      <c r="O59" s="10" t="s">
        <v>472</v>
      </c>
      <c r="P59" s="128" t="s">
        <v>389</v>
      </c>
      <c r="Q59" s="129"/>
      <c r="R59" s="130"/>
      <c r="S59" s="130"/>
      <c r="T59" s="131">
        <f t="shared" si="528"/>
        <v>201.6</v>
      </c>
      <c r="U59" s="132">
        <f>639+33</f>
        <v>672</v>
      </c>
      <c r="V59" s="133"/>
      <c r="W59" s="133"/>
      <c r="X59" s="134">
        <v>6292.62</v>
      </c>
      <c r="Y59" s="134">
        <v>6494.22</v>
      </c>
      <c r="Z59" s="134">
        <v>122000</v>
      </c>
      <c r="AA59" s="134"/>
      <c r="AB59" s="135">
        <f>40+134+90+20</f>
        <v>284</v>
      </c>
      <c r="AC59" s="136">
        <f t="shared" si="552"/>
        <v>6577</v>
      </c>
      <c r="AD59" s="137">
        <f t="shared" si="530"/>
        <v>284.38000000000011</v>
      </c>
      <c r="AE59" s="138">
        <f t="shared" si="531"/>
        <v>0.38000000000010914</v>
      </c>
      <c r="AF59" s="139">
        <f t="shared" si="553"/>
        <v>0</v>
      </c>
      <c r="AG59" s="123"/>
      <c r="AH59" s="122"/>
      <c r="AI59" s="122">
        <v>753</v>
      </c>
      <c r="AJ59" s="140"/>
      <c r="AK59" s="141"/>
      <c r="AL59" s="142">
        <v>0.80208333333333337</v>
      </c>
      <c r="AM59" s="142">
        <v>0.24305555555555555</v>
      </c>
      <c r="AN59" s="143">
        <f t="shared" si="554"/>
        <v>635</v>
      </c>
      <c r="AO59" s="123"/>
      <c r="AP59" s="123"/>
      <c r="AQ59" s="127"/>
      <c r="AR59" s="123"/>
      <c r="AS59" s="123"/>
      <c r="AT59" s="123" t="s">
        <v>390</v>
      </c>
      <c r="AU59" s="123" t="s">
        <v>365</v>
      </c>
      <c r="AV59" s="123">
        <v>192</v>
      </c>
      <c r="AW59" s="123">
        <f>12+28</f>
        <v>40</v>
      </c>
      <c r="AX59" s="132">
        <v>12</v>
      </c>
      <c r="AY59" s="123">
        <f>15+522+800+785+884+543+320+745+572+696+507+188</f>
        <v>6577</v>
      </c>
      <c r="AZ59" s="123"/>
      <c r="BA59" s="144">
        <f t="shared" si="534"/>
        <v>6577</v>
      </c>
      <c r="BB59" s="127"/>
      <c r="BC59" s="145"/>
      <c r="BD59" s="146"/>
      <c r="BH59" s="147"/>
      <c r="BK59" s="144">
        <f t="shared" si="535"/>
        <v>0</v>
      </c>
      <c r="BO59" s="147"/>
      <c r="BR59" s="144">
        <f t="shared" si="536"/>
        <v>0</v>
      </c>
      <c r="BV59" s="147"/>
      <c r="BY59" s="144">
        <f t="shared" si="537"/>
        <v>0</v>
      </c>
      <c r="BZ59" s="148"/>
      <c r="CA59" s="149"/>
      <c r="CB59" s="150"/>
      <c r="CF59" s="147"/>
      <c r="CI59" s="151">
        <f t="shared" si="538"/>
        <v>0</v>
      </c>
      <c r="CJ59" s="148"/>
      <c r="CK59" s="149"/>
      <c r="CL59" s="150"/>
      <c r="CM59"/>
      <c r="CN59"/>
      <c r="CO59" s="152"/>
      <c r="CP59" s="153"/>
      <c r="CQ59" s="154">
        <f t="shared" si="539"/>
        <v>0</v>
      </c>
      <c r="CR59"/>
      <c r="CS59" s="155"/>
      <c r="CT59" s="153"/>
      <c r="CU59" s="154">
        <f t="shared" si="540"/>
        <v>0</v>
      </c>
      <c r="CV59"/>
      <c r="CX59" s="153"/>
      <c r="CY59" s="156"/>
      <c r="CZ59" s="156"/>
      <c r="DA59" s="128"/>
      <c r="DB59" s="123"/>
      <c r="DC59" s="157" t="s">
        <v>428</v>
      </c>
      <c r="DD59" s="157" t="s">
        <v>294</v>
      </c>
      <c r="DE59" s="127" t="s">
        <v>397</v>
      </c>
      <c r="DF59" s="158"/>
      <c r="DG59" s="159"/>
      <c r="DH59" s="160"/>
      <c r="DI59" s="122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V59" s="123"/>
      <c r="DW59" s="123"/>
      <c r="DX59" s="123"/>
      <c r="DY59" s="123"/>
      <c r="DZ59" s="123"/>
      <c r="EA59" s="123"/>
      <c r="EB59" s="123"/>
      <c r="EC59" s="123"/>
      <c r="ED59" s="161">
        <f t="shared" si="555"/>
        <v>0</v>
      </c>
      <c r="EE59" s="123"/>
      <c r="EF59" s="123">
        <v>78</v>
      </c>
      <c r="EG59" s="123"/>
      <c r="EH59" s="123"/>
      <c r="EI59" s="123"/>
      <c r="EJ59" s="123"/>
      <c r="EK59" s="123"/>
      <c r="EL59" s="123"/>
      <c r="EM59" s="123"/>
      <c r="EN59" s="123"/>
      <c r="EO59" s="122"/>
      <c r="EP59" s="123">
        <v>15</v>
      </c>
      <c r="EQ59" s="123"/>
      <c r="ER59" s="123"/>
      <c r="ES59" s="123">
        <v>240</v>
      </c>
      <c r="ET59" s="123"/>
      <c r="EU59" s="123"/>
      <c r="EV59" s="124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4"/>
      <c r="FK59" s="123"/>
      <c r="FL59" s="123"/>
      <c r="FM59" s="123"/>
      <c r="FN59" s="123"/>
      <c r="FO59" s="123">
        <v>140</v>
      </c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/>
      <c r="GS59" s="123"/>
      <c r="GT59" s="123"/>
      <c r="GU59" s="128">
        <f t="shared" si="556"/>
        <v>473</v>
      </c>
      <c r="GV59" s="162">
        <f t="shared" si="557"/>
        <v>162</v>
      </c>
      <c r="GW59" s="163">
        <f t="shared" si="558"/>
        <v>635</v>
      </c>
      <c r="GX59" s="163">
        <f t="shared" si="559"/>
        <v>162</v>
      </c>
      <c r="GY59" s="123"/>
      <c r="GZ59" s="123"/>
      <c r="HA59" s="123"/>
      <c r="HB59" s="123"/>
      <c r="HC59" s="128">
        <f t="shared" si="546"/>
        <v>0</v>
      </c>
      <c r="HD59" s="123" t="s">
        <v>422</v>
      </c>
      <c r="HE59" s="123" t="s">
        <v>395</v>
      </c>
      <c r="HF59" s="123" t="s">
        <v>289</v>
      </c>
      <c r="HG59" s="123" t="s">
        <v>289</v>
      </c>
      <c r="HH59" s="123" t="s">
        <v>289</v>
      </c>
      <c r="HI59" s="123" t="s">
        <v>392</v>
      </c>
      <c r="HJ59" s="123"/>
      <c r="HK59" s="123"/>
      <c r="HL59" s="127"/>
      <c r="HM59" s="127">
        <f>40+134</f>
        <v>174</v>
      </c>
      <c r="HN59" s="127">
        <v>90</v>
      </c>
      <c r="HO59" s="127">
        <v>20</v>
      </c>
      <c r="HP59" s="127"/>
      <c r="HQ59" s="164">
        <f t="shared" si="547"/>
        <v>284</v>
      </c>
      <c r="HW59" s="164">
        <f t="shared" si="548"/>
        <v>0</v>
      </c>
      <c r="II59" s="164">
        <f t="shared" si="549"/>
        <v>0</v>
      </c>
      <c r="IV59" s="165">
        <f t="shared" si="550"/>
        <v>0</v>
      </c>
      <c r="JF59" s="165">
        <f t="shared" si="551"/>
        <v>0</v>
      </c>
      <c r="JG59" s="148"/>
      <c r="JH59" s="148"/>
      <c r="JI59" s="148">
        <v>1100</v>
      </c>
      <c r="JJ59" s="148"/>
      <c r="JK59" s="148"/>
    </row>
    <row r="60" spans="1:271" ht="16.5" customHeight="1" x14ac:dyDescent="0.35">
      <c r="A60" t="s">
        <v>505</v>
      </c>
      <c r="B60" s="117" t="s">
        <v>273</v>
      </c>
      <c r="C60" s="118">
        <v>46070</v>
      </c>
      <c r="D60" s="119" t="s">
        <v>274</v>
      </c>
      <c r="E60" s="120" t="s">
        <v>308</v>
      </c>
      <c r="F60" s="120" t="s">
        <v>300</v>
      </c>
      <c r="G60" s="121" t="s">
        <v>445</v>
      </c>
      <c r="H60" s="122">
        <v>1</v>
      </c>
      <c r="I60" s="123"/>
      <c r="J60" s="124"/>
      <c r="K60" s="2" t="s">
        <v>455</v>
      </c>
      <c r="L60" s="125"/>
      <c r="M60" s="126" t="s">
        <v>321</v>
      </c>
      <c r="N60" s="127" t="s">
        <v>446</v>
      </c>
      <c r="O60" s="10" t="s">
        <v>447</v>
      </c>
      <c r="P60" s="128"/>
      <c r="Q60" s="129"/>
      <c r="R60" s="130"/>
      <c r="S60" s="130"/>
      <c r="T60" s="131">
        <f t="shared" si="528"/>
        <v>1</v>
      </c>
      <c r="U60" s="132">
        <v>1</v>
      </c>
      <c r="V60" s="133"/>
      <c r="W60" s="133"/>
      <c r="X60" s="134">
        <f>Y60-T60</f>
        <v>54.5</v>
      </c>
      <c r="Y60" s="134">
        <f>55.5</f>
        <v>55.5</v>
      </c>
      <c r="Z60" s="134"/>
      <c r="AA60" s="134"/>
      <c r="AB60" s="135">
        <v>1.36</v>
      </c>
      <c r="AC60" s="136">
        <f t="shared" si="552"/>
        <v>55.86</v>
      </c>
      <c r="AD60" s="137">
        <f t="shared" si="530"/>
        <v>1.3599999999999994</v>
      </c>
      <c r="AE60" s="138">
        <f t="shared" si="531"/>
        <v>0</v>
      </c>
      <c r="AF60" s="139">
        <f t="shared" si="553"/>
        <v>0</v>
      </c>
      <c r="AG60" s="123"/>
      <c r="AH60" s="122"/>
      <c r="AI60" s="122" t="s">
        <v>426</v>
      </c>
      <c r="AJ60" s="140"/>
      <c r="AK60" s="141" t="s">
        <v>289</v>
      </c>
      <c r="AL60" s="142">
        <v>0.54166666666666663</v>
      </c>
      <c r="AM60" s="142">
        <v>0.58333333333333337</v>
      </c>
      <c r="AN60" s="143">
        <f t="shared" si="554"/>
        <v>60.000000000000107</v>
      </c>
      <c r="AO60" s="123"/>
      <c r="AP60" s="123"/>
      <c r="AQ60" s="127"/>
      <c r="AR60" s="123"/>
      <c r="AS60" s="123"/>
      <c r="AT60" s="123"/>
      <c r="AU60" s="123"/>
      <c r="AV60" s="123"/>
      <c r="AW60" s="123"/>
      <c r="AX60" s="132">
        <v>1</v>
      </c>
      <c r="AY60" s="123">
        <f>56.86-1*1</f>
        <v>55.86</v>
      </c>
      <c r="AZ60" s="123"/>
      <c r="BA60" s="144">
        <f t="shared" si="534"/>
        <v>55.86</v>
      </c>
      <c r="BB60" s="127"/>
      <c r="BC60" s="145"/>
      <c r="BD60" s="146"/>
      <c r="BH60" s="147"/>
      <c r="BK60" s="144">
        <f t="shared" si="535"/>
        <v>0</v>
      </c>
      <c r="BO60" s="147"/>
      <c r="BR60" s="144">
        <f t="shared" si="536"/>
        <v>0</v>
      </c>
      <c r="BV60" s="147"/>
      <c r="BY60" s="144">
        <f t="shared" si="537"/>
        <v>0</v>
      </c>
      <c r="BZ60" s="148"/>
      <c r="CA60" s="149"/>
      <c r="CB60" s="150"/>
      <c r="CF60" s="147"/>
      <c r="CI60" s="151">
        <f t="shared" si="538"/>
        <v>0</v>
      </c>
      <c r="CJ60" s="148"/>
      <c r="CK60" s="149"/>
      <c r="CL60" s="150"/>
      <c r="CM60"/>
      <c r="CN60"/>
      <c r="CO60" s="152"/>
      <c r="CP60" s="153"/>
      <c r="CQ60" s="154">
        <f t="shared" si="539"/>
        <v>0</v>
      </c>
      <c r="CR60"/>
      <c r="CS60" s="155"/>
      <c r="CT60" s="153"/>
      <c r="CU60" s="154">
        <f t="shared" si="540"/>
        <v>0</v>
      </c>
      <c r="CV60"/>
      <c r="CX60" s="153"/>
      <c r="CY60" s="156"/>
      <c r="CZ60" s="156"/>
      <c r="DA60" s="128"/>
      <c r="DB60" s="123"/>
      <c r="DC60" s="157" t="s">
        <v>448</v>
      </c>
      <c r="DD60" s="157" t="s">
        <v>313</v>
      </c>
      <c r="DE60" s="127"/>
      <c r="DF60" s="158"/>
      <c r="DG60" s="159"/>
      <c r="DH60" s="160"/>
      <c r="DI60" s="122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V60" s="123"/>
      <c r="DW60" s="123"/>
      <c r="DX60" s="123"/>
      <c r="DY60" s="123"/>
      <c r="DZ60" s="123"/>
      <c r="EA60" s="123"/>
      <c r="EB60" s="123"/>
      <c r="EC60" s="123"/>
      <c r="ED60" s="161">
        <f t="shared" si="555"/>
        <v>0</v>
      </c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2"/>
      <c r="EP60" s="123"/>
      <c r="EQ60" s="123"/>
      <c r="ER60" s="123"/>
      <c r="ES60" s="123"/>
      <c r="ET60" s="123"/>
      <c r="EU60" s="123"/>
      <c r="EV60" s="124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4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/>
      <c r="GS60" s="123"/>
      <c r="GT60" s="123"/>
      <c r="GU60" s="128">
        <f t="shared" si="556"/>
        <v>0</v>
      </c>
      <c r="GV60" s="162">
        <f t="shared" si="557"/>
        <v>60.000000000000107</v>
      </c>
      <c r="GW60" s="163">
        <f t="shared" si="558"/>
        <v>60.000000000000107</v>
      </c>
      <c r="GX60" s="163">
        <f t="shared" si="559"/>
        <v>60.000000000000107</v>
      </c>
      <c r="GY60" s="123"/>
      <c r="GZ60" s="123"/>
      <c r="HA60" s="123"/>
      <c r="HB60" s="123"/>
      <c r="HC60" s="128">
        <f t="shared" si="546"/>
        <v>0</v>
      </c>
      <c r="HD60" s="123" t="s">
        <v>289</v>
      </c>
      <c r="HE60" s="123" t="s">
        <v>289</v>
      </c>
      <c r="HF60" s="123" t="s">
        <v>289</v>
      </c>
      <c r="HG60" s="123" t="s">
        <v>289</v>
      </c>
      <c r="HH60" s="123" t="s">
        <v>289</v>
      </c>
      <c r="HI60" s="123" t="s">
        <v>289</v>
      </c>
      <c r="HJ60" s="123"/>
      <c r="HK60" s="123"/>
      <c r="HL60" s="127"/>
      <c r="HM60" s="127"/>
      <c r="HN60" s="127"/>
      <c r="HO60" s="127"/>
      <c r="HP60" s="127"/>
      <c r="HQ60" s="164">
        <f t="shared" si="547"/>
        <v>0</v>
      </c>
      <c r="HW60" s="164">
        <f t="shared" si="548"/>
        <v>0</v>
      </c>
      <c r="II60" s="164">
        <f t="shared" si="549"/>
        <v>0</v>
      </c>
      <c r="IV60" s="165">
        <f t="shared" si="550"/>
        <v>0</v>
      </c>
      <c r="JF60" s="165">
        <f t="shared" si="551"/>
        <v>0</v>
      </c>
      <c r="JG60" s="148"/>
      <c r="JH60" s="148"/>
      <c r="JI60" s="148"/>
      <c r="JJ60" s="148"/>
      <c r="JK60" s="148"/>
    </row>
    <row r="61" spans="1:271" ht="16.5" customHeight="1" x14ac:dyDescent="0.35">
      <c r="A61" t="s">
        <v>506</v>
      </c>
      <c r="B61" s="117" t="s">
        <v>273</v>
      </c>
      <c r="C61" s="118">
        <v>46071</v>
      </c>
      <c r="D61" s="119" t="s">
        <v>291</v>
      </c>
      <c r="E61" s="120" t="s">
        <v>307</v>
      </c>
      <c r="F61" s="120" t="s">
        <v>305</v>
      </c>
      <c r="G61" s="121" t="s">
        <v>323</v>
      </c>
      <c r="H61" s="122">
        <v>1.5</v>
      </c>
      <c r="I61" s="123"/>
      <c r="J61" s="124"/>
      <c r="K61" s="2" t="s">
        <v>481</v>
      </c>
      <c r="L61" s="125" t="s">
        <v>394</v>
      </c>
      <c r="M61" s="126" t="s">
        <v>310</v>
      </c>
      <c r="N61" s="127" t="s">
        <v>324</v>
      </c>
      <c r="O61" s="10" t="s">
        <v>482</v>
      </c>
      <c r="P61" s="128" t="s">
        <v>389</v>
      </c>
      <c r="Q61" s="129"/>
      <c r="R61" s="130"/>
      <c r="S61" s="130"/>
      <c r="T61" s="131">
        <f t="shared" ref="T61:T62" si="560">IF(H61*U61=0,"",H61*U61)</f>
        <v>75</v>
      </c>
      <c r="U61" s="132">
        <f>50</f>
        <v>50</v>
      </c>
      <c r="V61" s="133"/>
      <c r="W61" s="133"/>
      <c r="X61" s="134">
        <v>2916.14</v>
      </c>
      <c r="Y61" s="134">
        <v>2991.14</v>
      </c>
      <c r="Z61" s="134">
        <v>23500</v>
      </c>
      <c r="AA61" s="134"/>
      <c r="AB61" s="135">
        <f>0.86+6+75+20+130</f>
        <v>231.86</v>
      </c>
      <c r="AC61" s="136">
        <f t="shared" ref="AC61:AC62" si="561">BA61+AF61+BK61+BR61+BY61+CI61+CQ61+CU61</f>
        <v>3148</v>
      </c>
      <c r="AD61" s="137">
        <f t="shared" ref="AD61:AD62" si="562">+AC61-X61</f>
        <v>231.86000000000013</v>
      </c>
      <c r="AE61" s="138">
        <f t="shared" ref="AE61:AE62" si="563">AD61-AB61</f>
        <v>0</v>
      </c>
      <c r="AF61" s="139">
        <f t="shared" ref="AF61:AF62" si="564">IFERROR(+(Z61*AV61*DF61)/10^6,0)</f>
        <v>0</v>
      </c>
      <c r="AG61" s="123"/>
      <c r="AH61" s="122"/>
      <c r="AI61" s="122">
        <v>180</v>
      </c>
      <c r="AJ61" s="140"/>
      <c r="AK61" s="141"/>
      <c r="AL61" s="142">
        <v>0.14583333333333334</v>
      </c>
      <c r="AM61" s="142">
        <v>0.34375</v>
      </c>
      <c r="AN61" s="143">
        <f t="shared" ref="AN61:AN62" si="565">IF(AM61&gt;AL61,((AM61-AL61)*1440),(1440+(AM61-AL61)*1440))</f>
        <v>285</v>
      </c>
      <c r="AO61" s="123"/>
      <c r="AP61" s="123"/>
      <c r="AQ61" s="127"/>
      <c r="AR61" s="123"/>
      <c r="AS61" s="123"/>
      <c r="AT61" s="123" t="s">
        <v>390</v>
      </c>
      <c r="AU61" s="123" t="s">
        <v>375</v>
      </c>
      <c r="AV61" s="123">
        <v>438</v>
      </c>
      <c r="AW61" s="123">
        <f>12+9+100</f>
        <v>121</v>
      </c>
      <c r="AX61" s="132">
        <v>7</v>
      </c>
      <c r="AY61" s="123">
        <f>618+613+340+308+564+475+230</f>
        <v>3148</v>
      </c>
      <c r="AZ61" s="123"/>
      <c r="BA61" s="144">
        <f t="shared" ref="BA61:BA62" si="566">SUM(AY61+AZ61)</f>
        <v>3148</v>
      </c>
      <c r="BB61" s="127"/>
      <c r="BC61" s="145"/>
      <c r="BD61" s="146"/>
      <c r="BH61" s="147"/>
      <c r="BK61" s="144">
        <f t="shared" ref="BK61:BK62" si="567">SUM(BI61+BJ61)</f>
        <v>0</v>
      </c>
      <c r="BO61" s="147"/>
      <c r="BR61" s="144">
        <f t="shared" ref="BR61:BR62" si="568">SUM(BP61+BQ61)</f>
        <v>0</v>
      </c>
      <c r="BV61" s="147"/>
      <c r="BY61" s="144">
        <f t="shared" ref="BY61:BY62" si="569">SUM(BW61+BX61)</f>
        <v>0</v>
      </c>
      <c r="BZ61" s="148"/>
      <c r="CA61" s="149"/>
      <c r="CB61" s="150"/>
      <c r="CF61" s="147"/>
      <c r="CI61" s="151">
        <f t="shared" ref="CI61:CI62" si="570">SUM(CG61+CH61)</f>
        <v>0</v>
      </c>
      <c r="CJ61" s="148"/>
      <c r="CK61" s="149"/>
      <c r="CL61" s="150"/>
      <c r="CM61"/>
      <c r="CN61"/>
      <c r="CO61" s="152"/>
      <c r="CP61" s="153"/>
      <c r="CQ61" s="154">
        <f t="shared" ref="CQ61:CQ62" si="571">IF(CM61="811 A",CN61/1.667,IF(CM61="MB635",CN61/1.33,IF(CM61="MB655",CN61/1.43,IF(CM61="LG 59A",CN61/1.667,IF(CM61="HB 6680",CN61/1.25,IF(CM61="MB688",CN61/1.25,CN61))))))</f>
        <v>0</v>
      </c>
      <c r="CR61"/>
      <c r="CS61" s="155"/>
      <c r="CT61" s="153"/>
      <c r="CU61" s="154">
        <f t="shared" ref="CU61:CU62" si="572">IF(CM61="811 A",CR61/1.33,IF(CM61="HB 6680",CR61/1.33,IF(CM61="MB688",CR61/1.333,CR61)))</f>
        <v>0</v>
      </c>
      <c r="CV61"/>
      <c r="CX61" s="153"/>
      <c r="CY61" s="156"/>
      <c r="CZ61" s="156"/>
      <c r="DA61" s="128"/>
      <c r="DB61" s="123"/>
      <c r="DC61" s="157" t="s">
        <v>325</v>
      </c>
      <c r="DD61" s="157" t="s">
        <v>313</v>
      </c>
      <c r="DE61" s="127" t="s">
        <v>400</v>
      </c>
      <c r="DF61" s="158"/>
      <c r="DG61" s="159"/>
      <c r="DH61" s="160"/>
      <c r="DI61" s="122"/>
      <c r="DK61" s="123">
        <v>20</v>
      </c>
      <c r="DL61" s="123"/>
      <c r="DM61" s="123"/>
      <c r="DN61" s="123"/>
      <c r="DO61" s="123"/>
      <c r="DP61" s="123"/>
      <c r="DQ61" s="123"/>
      <c r="DR61" s="123"/>
      <c r="DS61" s="123"/>
      <c r="DT61" s="123"/>
      <c r="DV61" s="123"/>
      <c r="DW61" s="123"/>
      <c r="DX61" s="123"/>
      <c r="DY61" s="123"/>
      <c r="DZ61" s="123"/>
      <c r="EA61" s="123"/>
      <c r="EB61" s="123"/>
      <c r="EC61" s="123"/>
      <c r="ED61" s="161">
        <f t="shared" ref="ED61:ED62" si="573">SUM(DK61:EC61)</f>
        <v>20</v>
      </c>
      <c r="EE61" s="123"/>
      <c r="EF61" s="123">
        <v>35</v>
      </c>
      <c r="EG61" s="123"/>
      <c r="EH61" s="123"/>
      <c r="EI61" s="123"/>
      <c r="EJ61" s="123"/>
      <c r="EK61" s="123"/>
      <c r="EL61" s="123"/>
      <c r="EM61" s="123"/>
      <c r="EN61" s="123"/>
      <c r="EO61" s="122"/>
      <c r="EP61" s="123"/>
      <c r="EQ61" s="123"/>
      <c r="ER61" s="123"/>
      <c r="ES61" s="123">
        <v>25</v>
      </c>
      <c r="ET61" s="123"/>
      <c r="EU61" s="123"/>
      <c r="EV61" s="124"/>
      <c r="EW61" s="123"/>
      <c r="EX61" s="123"/>
      <c r="EY61" s="123"/>
      <c r="EZ61" s="123"/>
      <c r="FA61" s="123"/>
      <c r="FB61" s="123">
        <v>10</v>
      </c>
      <c r="FC61" s="123"/>
      <c r="FD61" s="123"/>
      <c r="FE61" s="123"/>
      <c r="FF61" s="123"/>
      <c r="FG61" s="123"/>
      <c r="FH61" s="123"/>
      <c r="FI61" s="123"/>
      <c r="FJ61" s="124"/>
      <c r="FK61" s="123"/>
      <c r="FL61" s="123"/>
      <c r="FM61" s="123"/>
      <c r="FN61" s="123"/>
      <c r="FO61" s="123">
        <v>50</v>
      </c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/>
      <c r="GS61" s="123"/>
      <c r="GT61" s="123"/>
      <c r="GU61" s="128">
        <f t="shared" ref="GU61:GU62" si="574">SUM(EE61:GO61,GR61)</f>
        <v>120</v>
      </c>
      <c r="GV61" s="162">
        <f t="shared" ref="GV61:GV62" si="575">AN61-ED61-GU61</f>
        <v>145</v>
      </c>
      <c r="GW61" s="163">
        <f t="shared" ref="GW61:GW62" si="576">AN61-ED61-ER61-FN61</f>
        <v>265</v>
      </c>
      <c r="GX61" s="163">
        <f t="shared" ref="GX61:GX62" si="577">AN61-GU61</f>
        <v>165</v>
      </c>
      <c r="GY61" s="123"/>
      <c r="GZ61" s="123"/>
      <c r="HA61" s="123"/>
      <c r="HB61" s="123"/>
      <c r="HC61" s="128">
        <f t="shared" ref="HC61:HC62" si="578">SUM(GY61:HB61)</f>
        <v>0</v>
      </c>
      <c r="HD61" s="123" t="s">
        <v>402</v>
      </c>
      <c r="HE61" s="123" t="s">
        <v>403</v>
      </c>
      <c r="HF61" s="123" t="s">
        <v>395</v>
      </c>
      <c r="HG61" s="123" t="s">
        <v>289</v>
      </c>
      <c r="HH61" s="123" t="s">
        <v>289</v>
      </c>
      <c r="HI61" s="123" t="s">
        <v>392</v>
      </c>
      <c r="HJ61" s="123"/>
      <c r="HK61" s="123"/>
      <c r="HL61" s="127">
        <v>0.86</v>
      </c>
      <c r="HM61" s="127">
        <v>6</v>
      </c>
      <c r="HN61" s="127">
        <v>75</v>
      </c>
      <c r="HO61" s="127">
        <v>20</v>
      </c>
      <c r="HP61" s="127">
        <v>130</v>
      </c>
      <c r="HQ61" s="164">
        <f t="shared" ref="HQ61:HQ62" si="579">SUM(HL61:HP61)</f>
        <v>231.86</v>
      </c>
      <c r="HW61" s="164">
        <f t="shared" ref="HW61:HW62" si="580">SUM(HR61:HU61)</f>
        <v>0</v>
      </c>
      <c r="II61" s="164">
        <f t="shared" ref="II61:II62" si="581">SUM(HX61:IG61)</f>
        <v>0</v>
      </c>
      <c r="IV61" s="165">
        <f t="shared" ref="IV61:IV62" si="582">SUM(IJ61:IT61)</f>
        <v>0</v>
      </c>
      <c r="JF61" s="165">
        <f t="shared" ref="JF61:JF62" si="583">SUM(IW61:JD61)</f>
        <v>0</v>
      </c>
      <c r="JG61" s="148"/>
      <c r="JH61" s="148"/>
      <c r="JI61" s="148">
        <v>950</v>
      </c>
      <c r="JJ61" s="148"/>
      <c r="JK61" s="148"/>
    </row>
    <row r="62" spans="1:271" ht="16.5" customHeight="1" x14ac:dyDescent="0.35">
      <c r="A62" t="s">
        <v>507</v>
      </c>
      <c r="B62" s="117" t="s">
        <v>273</v>
      </c>
      <c r="C62" s="118">
        <v>46071</v>
      </c>
      <c r="D62" s="119" t="s">
        <v>291</v>
      </c>
      <c r="E62" s="120" t="s">
        <v>308</v>
      </c>
      <c r="F62" s="120" t="s">
        <v>300</v>
      </c>
      <c r="G62" s="121" t="s">
        <v>432</v>
      </c>
      <c r="H62" s="122">
        <v>0.3</v>
      </c>
      <c r="I62" s="123"/>
      <c r="J62" s="124"/>
      <c r="K62" s="2" t="s">
        <v>471</v>
      </c>
      <c r="L62" s="125"/>
      <c r="M62" s="126" t="s">
        <v>360</v>
      </c>
      <c r="N62" s="127" t="s">
        <v>280</v>
      </c>
      <c r="O62" s="10" t="s">
        <v>472</v>
      </c>
      <c r="P62" s="128"/>
      <c r="Q62" s="129"/>
      <c r="R62" s="130"/>
      <c r="S62" s="130"/>
      <c r="T62" s="131">
        <f t="shared" si="560"/>
        <v>9.9</v>
      </c>
      <c r="U62" s="132">
        <v>33</v>
      </c>
      <c r="V62" s="133"/>
      <c r="W62" s="133"/>
      <c r="X62" s="134">
        <f t="shared" ref="X62" si="584">Y62-T62</f>
        <v>310.12999999999988</v>
      </c>
      <c r="Y62" s="134">
        <f>9.65+9.6+9.65+9.6+9.6+9.78+9.78+9.72+9.82+9.69+9.77+9.77+9.65+9.72+9.72+9.72+9.72+9.72+9.6+9.7+9.7+9.65+9.6+9.6+9.72+9.77+9.77+9.65+9.7+9.7+9.65+9.77+9.77</f>
        <v>320.02999999999986</v>
      </c>
      <c r="Z62" s="134"/>
      <c r="AA62" s="134"/>
      <c r="AB62" s="135"/>
      <c r="AC62" s="136">
        <f t="shared" si="561"/>
        <v>310.12999999999988</v>
      </c>
      <c r="AD62" s="137">
        <f t="shared" si="562"/>
        <v>0</v>
      </c>
      <c r="AE62" s="138">
        <f t="shared" si="563"/>
        <v>0</v>
      </c>
      <c r="AF62" s="139">
        <f t="shared" si="564"/>
        <v>0</v>
      </c>
      <c r="AG62" s="123"/>
      <c r="AH62" s="122"/>
      <c r="AI62" s="122" t="s">
        <v>426</v>
      </c>
      <c r="AJ62" s="140"/>
      <c r="AK62" s="141" t="s">
        <v>289</v>
      </c>
      <c r="AL62" s="142">
        <v>8.3333333333333329E-2</v>
      </c>
      <c r="AM62" s="142">
        <v>0.34375</v>
      </c>
      <c r="AN62" s="143">
        <f t="shared" si="565"/>
        <v>375</v>
      </c>
      <c r="AO62" s="123"/>
      <c r="AP62" s="123"/>
      <c r="AQ62" s="127"/>
      <c r="AR62" s="123"/>
      <c r="AS62" s="123"/>
      <c r="AT62" s="123"/>
      <c r="AU62" s="123"/>
      <c r="AV62" s="123"/>
      <c r="AW62" s="123"/>
      <c r="AX62" s="132">
        <v>33</v>
      </c>
      <c r="AY62" s="123">
        <f>9.65+9.6+9.65+9.6+9.6+9.78+9.78+9.72+9.82+9.69+9.77+9.77+9.65+9.72+9.72+9.72+9.72+9.72+9.6+9.7+9.7+9.65+9.6+9.6+9.72+9.77+9.77+9.65+9.7+9.7+9.65+9.77+9.77-0.3*33</f>
        <v>310.12999999999988</v>
      </c>
      <c r="AZ62" s="123"/>
      <c r="BA62" s="144">
        <f t="shared" si="566"/>
        <v>310.12999999999988</v>
      </c>
      <c r="BB62" s="127"/>
      <c r="BC62" s="145"/>
      <c r="BD62" s="146"/>
      <c r="BH62" s="147"/>
      <c r="BK62" s="144">
        <f t="shared" si="567"/>
        <v>0</v>
      </c>
      <c r="BO62" s="147"/>
      <c r="BR62" s="144">
        <f t="shared" si="568"/>
        <v>0</v>
      </c>
      <c r="BV62" s="147"/>
      <c r="BY62" s="144">
        <f t="shared" si="569"/>
        <v>0</v>
      </c>
      <c r="BZ62" s="148"/>
      <c r="CA62" s="149"/>
      <c r="CB62" s="150"/>
      <c r="CF62" s="147"/>
      <c r="CI62" s="151">
        <f t="shared" si="570"/>
        <v>0</v>
      </c>
      <c r="CJ62" s="148"/>
      <c r="CK62" s="149"/>
      <c r="CL62" s="150"/>
      <c r="CM62"/>
      <c r="CN62"/>
      <c r="CO62" s="152"/>
      <c r="CP62" s="153"/>
      <c r="CQ62" s="154">
        <f t="shared" si="571"/>
        <v>0</v>
      </c>
      <c r="CR62"/>
      <c r="CS62" s="155"/>
      <c r="CT62" s="153"/>
      <c r="CU62" s="154">
        <f t="shared" si="572"/>
        <v>0</v>
      </c>
      <c r="CV62"/>
      <c r="CX62" s="153"/>
      <c r="CY62" s="156"/>
      <c r="CZ62" s="156"/>
      <c r="DA62" s="128"/>
      <c r="DB62" s="123"/>
      <c r="DC62" s="157" t="s">
        <v>428</v>
      </c>
      <c r="DD62" s="157" t="s">
        <v>294</v>
      </c>
      <c r="DE62" s="127"/>
      <c r="DF62" s="158"/>
      <c r="DG62" s="159"/>
      <c r="DH62" s="160"/>
      <c r="DI62" s="122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V62" s="123"/>
      <c r="DW62" s="123"/>
      <c r="DX62" s="123"/>
      <c r="DY62" s="123"/>
      <c r="DZ62" s="123"/>
      <c r="EA62" s="123"/>
      <c r="EB62" s="123"/>
      <c r="EC62" s="123"/>
      <c r="ED62" s="161">
        <f t="shared" si="573"/>
        <v>0</v>
      </c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2"/>
      <c r="EP62" s="123"/>
      <c r="EQ62" s="123"/>
      <c r="ER62" s="123"/>
      <c r="ES62" s="123"/>
      <c r="ET62" s="123"/>
      <c r="EU62" s="123"/>
      <c r="EV62" s="124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4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/>
      <c r="GS62" s="123"/>
      <c r="GT62" s="123"/>
      <c r="GU62" s="128">
        <f t="shared" si="574"/>
        <v>0</v>
      </c>
      <c r="GV62" s="162">
        <f t="shared" si="575"/>
        <v>375</v>
      </c>
      <c r="GW62" s="163">
        <f t="shared" si="576"/>
        <v>375</v>
      </c>
      <c r="GX62" s="163">
        <f t="shared" si="577"/>
        <v>375</v>
      </c>
      <c r="GY62" s="123"/>
      <c r="GZ62" s="123"/>
      <c r="HA62" s="123"/>
      <c r="HB62" s="123"/>
      <c r="HC62" s="128">
        <f t="shared" si="578"/>
        <v>0</v>
      </c>
      <c r="HD62" s="123" t="s">
        <v>401</v>
      </c>
      <c r="HE62" s="123" t="s">
        <v>289</v>
      </c>
      <c r="HF62" s="123" t="s">
        <v>289</v>
      </c>
      <c r="HG62" s="123" t="s">
        <v>289</v>
      </c>
      <c r="HH62" s="123" t="s">
        <v>289</v>
      </c>
      <c r="HI62" s="123" t="s">
        <v>289</v>
      </c>
      <c r="HJ62" s="123"/>
      <c r="HK62" s="123"/>
      <c r="HL62" s="127"/>
      <c r="HM62" s="127"/>
      <c r="HN62" s="127"/>
      <c r="HO62" s="127"/>
      <c r="HP62" s="127"/>
      <c r="HQ62" s="164">
        <f t="shared" si="579"/>
        <v>0</v>
      </c>
      <c r="HW62" s="164">
        <f t="shared" si="580"/>
        <v>0</v>
      </c>
      <c r="II62" s="164">
        <f t="shared" si="581"/>
        <v>0</v>
      </c>
      <c r="IV62" s="165">
        <f t="shared" si="582"/>
        <v>0</v>
      </c>
      <c r="JF62" s="165">
        <f t="shared" si="583"/>
        <v>0</v>
      </c>
      <c r="JG62" s="148"/>
      <c r="JH62" s="148"/>
      <c r="JI62" s="148"/>
      <c r="JJ62" s="148"/>
      <c r="JK62" s="148"/>
    </row>
    <row r="63" spans="1:271" ht="16.5" customHeight="1" x14ac:dyDescent="0.35">
      <c r="A63" t="s">
        <v>509</v>
      </c>
      <c r="B63" s="117" t="s">
        <v>273</v>
      </c>
      <c r="C63" s="118">
        <v>46074</v>
      </c>
      <c r="D63" s="119" t="s">
        <v>291</v>
      </c>
      <c r="E63" s="120" t="s">
        <v>302</v>
      </c>
      <c r="F63" s="120" t="s">
        <v>293</v>
      </c>
      <c r="G63" s="121" t="s">
        <v>486</v>
      </c>
      <c r="H63" s="122"/>
      <c r="I63" s="123"/>
      <c r="J63" s="124"/>
      <c r="K63" s="2" t="s">
        <v>487</v>
      </c>
      <c r="L63" s="125"/>
      <c r="M63" s="126" t="s">
        <v>279</v>
      </c>
      <c r="N63" s="127" t="s">
        <v>385</v>
      </c>
      <c r="O63" s="10" t="s">
        <v>488</v>
      </c>
      <c r="P63" s="128" t="s">
        <v>282</v>
      </c>
      <c r="Q63" s="129">
        <v>1</v>
      </c>
      <c r="R63" s="130"/>
      <c r="S63" s="130">
        <v>161891.67002380799</v>
      </c>
      <c r="T63" s="131" t="str">
        <f t="shared" ref="T63" si="585">IF(H63*U63=0,"",H63*U63)</f>
        <v/>
      </c>
      <c r="U63" s="132">
        <v>3</v>
      </c>
      <c r="V63" s="133"/>
      <c r="W63" s="133"/>
      <c r="X63" s="134">
        <f>194+749+718</f>
        <v>1661</v>
      </c>
      <c r="Y63" s="134"/>
      <c r="Z63" s="134">
        <f>4965+18288+17520</f>
        <v>40773</v>
      </c>
      <c r="AA63" s="134"/>
      <c r="AB63" s="135">
        <f>2+6+5+2</f>
        <v>15</v>
      </c>
      <c r="AC63" s="136">
        <f t="shared" ref="AC63" si="586">BA63+AF63+BK63+BR63+BY63+CI63+CQ63+CU63</f>
        <v>1676.33</v>
      </c>
      <c r="AD63" s="137">
        <f t="shared" ref="AD63" si="587">+AC63-X63</f>
        <v>15.329999999999927</v>
      </c>
      <c r="AE63" s="138">
        <f t="shared" ref="AE63" si="588">AD63-AB63</f>
        <v>0.32999999999992724</v>
      </c>
      <c r="AF63" s="139">
        <f t="shared" ref="AF63" si="589">IFERROR(+(Z63*AV63*DF63)/10^6,0)</f>
        <v>0</v>
      </c>
      <c r="AG63" s="123"/>
      <c r="AH63" s="122">
        <v>180</v>
      </c>
      <c r="AI63" s="122">
        <v>150</v>
      </c>
      <c r="AJ63" s="140">
        <v>0.32270769680518518</v>
      </c>
      <c r="AK63" s="141">
        <v>19.36246180831111</v>
      </c>
      <c r="AL63" s="142">
        <v>3.472222222222222E-3</v>
      </c>
      <c r="AM63" s="142">
        <v>0.34375</v>
      </c>
      <c r="AN63" s="143">
        <f t="shared" ref="AN63" si="590">IF(AM63&gt;AL63,((AM63-AL63)*1440),(1440+(AM63-AL63)*1440))</f>
        <v>490</v>
      </c>
      <c r="AO63" s="123"/>
      <c r="AP63" s="123"/>
      <c r="AQ63" s="127"/>
      <c r="AR63" s="123"/>
      <c r="AS63" s="123" t="s">
        <v>365</v>
      </c>
      <c r="AT63" s="123" t="s">
        <v>293</v>
      </c>
      <c r="AU63" s="123"/>
      <c r="AV63" s="123"/>
      <c r="AW63" s="123"/>
      <c r="AX63" s="132"/>
      <c r="AY63" s="123"/>
      <c r="AZ63" s="123"/>
      <c r="BA63" s="144">
        <f t="shared" ref="BA63" si="591">SUM(AY63+AZ63)</f>
        <v>0</v>
      </c>
      <c r="BB63" s="127"/>
      <c r="BC63" s="145"/>
      <c r="BD63" s="146"/>
      <c r="BE63" t="s">
        <v>357</v>
      </c>
      <c r="BF63">
        <v>1063</v>
      </c>
      <c r="BG63">
        <f>12</f>
        <v>12</v>
      </c>
      <c r="BH63" s="147">
        <v>2</v>
      </c>
      <c r="BI63">
        <f>490+355</f>
        <v>845</v>
      </c>
      <c r="BK63" s="144">
        <f t="shared" ref="BK63" si="592">SUM(BI63+BJ63)</f>
        <v>845</v>
      </c>
      <c r="BO63" s="147"/>
      <c r="BR63" s="144">
        <f t="shared" ref="BR63" si="593">SUM(BP63+BQ63)</f>
        <v>0</v>
      </c>
      <c r="BS63" t="s">
        <v>387</v>
      </c>
      <c r="BT63">
        <v>1063</v>
      </c>
      <c r="BU63">
        <f>12</f>
        <v>12</v>
      </c>
      <c r="BV63" s="147">
        <v>2</v>
      </c>
      <c r="BW63">
        <f>325+436</f>
        <v>761</v>
      </c>
      <c r="BX63">
        <f>-25</f>
        <v>-25</v>
      </c>
      <c r="BY63" s="144">
        <f t="shared" ref="BY63" si="594">SUM(BW63+BX63)</f>
        <v>736</v>
      </c>
      <c r="BZ63" s="148">
        <v>85039</v>
      </c>
      <c r="CA63" s="149">
        <v>5.32</v>
      </c>
      <c r="CB63" s="150">
        <f t="shared" ref="CB63" si="595">+BY63*CA63</f>
        <v>3915.5200000000004</v>
      </c>
      <c r="CF63" s="147"/>
      <c r="CI63" s="151">
        <f t="shared" ref="CI63" si="596">SUM(CG63+CH63)</f>
        <v>0</v>
      </c>
      <c r="CJ63" s="148"/>
      <c r="CK63" s="149"/>
      <c r="CL63" s="150"/>
      <c r="CM63" t="s">
        <v>377</v>
      </c>
      <c r="CN63">
        <f>64.52+3.6</f>
        <v>68.11999999999999</v>
      </c>
      <c r="CO63" s="152">
        <v>9.59436</v>
      </c>
      <c r="CP63" s="153">
        <f t="shared" ref="CP63" si="597">+CN63*CO63</f>
        <v>653.56780319999996</v>
      </c>
      <c r="CQ63" s="154">
        <f t="shared" ref="CQ63" si="598">IF(CM63="811 A",CN63/1.667,IF(CM63="MB635",CN63/1.33,IF(CM63="MB655",CN63/1.43,IF(CM63="LG 59A",CN63/1.667,IF(CM63="HB 6680",CN63/1.25,IF(CM63="MB688",CN63/1.25,CN63))))))</f>
        <v>68.11999999999999</v>
      </c>
      <c r="CR63">
        <f>25.81+1.4</f>
        <v>27.209999999999997</v>
      </c>
      <c r="CS63" s="155">
        <v>9.7414000000000005</v>
      </c>
      <c r="CT63" s="153">
        <f t="shared" ref="CT63" si="599">+CR63*CS63</f>
        <v>265.06349399999999</v>
      </c>
      <c r="CU63" s="154">
        <f t="shared" ref="CU63" si="600">IF(CM63="811 A",CR63/1.33,IF(CM63="HB 6680",CR63/1.33,IF(CM63="MB688",CR63/1.333,CR63)))</f>
        <v>27.209999999999997</v>
      </c>
      <c r="CV63"/>
      <c r="CX63" s="153"/>
      <c r="CY63" s="156">
        <v>10</v>
      </c>
      <c r="CZ63" s="156">
        <v>5</v>
      </c>
      <c r="DA63" s="128" t="s">
        <v>378</v>
      </c>
      <c r="DB63" s="123">
        <v>1055</v>
      </c>
      <c r="DC63" s="157" t="s">
        <v>312</v>
      </c>
      <c r="DD63" s="157" t="s">
        <v>313</v>
      </c>
      <c r="DE63" s="127"/>
      <c r="DF63" s="158"/>
      <c r="DG63" s="159">
        <f>AVERAGE(1.8,2,1.97,2.01)</f>
        <v>1.9449999999999998</v>
      </c>
      <c r="DH63" s="160"/>
      <c r="DI63" s="122"/>
      <c r="DK63" s="123">
        <v>20</v>
      </c>
      <c r="DL63" s="123"/>
      <c r="DM63" s="123"/>
      <c r="DN63" s="123"/>
      <c r="DO63" s="123"/>
      <c r="DP63" s="123"/>
      <c r="DQ63" s="123"/>
      <c r="DR63" s="123"/>
      <c r="DS63" s="123"/>
      <c r="DT63" s="123"/>
      <c r="DV63" s="123"/>
      <c r="DW63" s="123"/>
      <c r="DX63" s="123"/>
      <c r="DY63" s="123"/>
      <c r="DZ63" s="123"/>
      <c r="EA63" s="123"/>
      <c r="EB63" s="123"/>
      <c r="EC63" s="123"/>
      <c r="ED63" s="161">
        <f t="shared" ref="ED63" si="601">SUM(DK63:EC63)</f>
        <v>20</v>
      </c>
      <c r="EE63" s="123"/>
      <c r="EF63" s="123">
        <v>30</v>
      </c>
      <c r="EG63" s="123"/>
      <c r="EH63" s="123"/>
      <c r="EI63" s="123"/>
      <c r="EJ63" s="123"/>
      <c r="EK63" s="123"/>
      <c r="EL63" s="123"/>
      <c r="EM63" s="123"/>
      <c r="EN63" s="123"/>
      <c r="EO63" s="122"/>
      <c r="EP63" s="123"/>
      <c r="EQ63" s="123"/>
      <c r="ER63" s="123"/>
      <c r="ES63" s="123"/>
      <c r="ET63" s="123"/>
      <c r="EU63" s="123">
        <v>5</v>
      </c>
      <c r="EV63" s="124"/>
      <c r="EW63" s="123"/>
      <c r="EX63" s="123"/>
      <c r="EY63" s="123"/>
      <c r="EZ63" s="123"/>
      <c r="FA63" s="123"/>
      <c r="FB63" s="123">
        <v>25</v>
      </c>
      <c r="FC63" s="123"/>
      <c r="FD63" s="123"/>
      <c r="FE63" s="123"/>
      <c r="FF63" s="123"/>
      <c r="FG63" s="123"/>
      <c r="FH63" s="123"/>
      <c r="FI63" s="123"/>
      <c r="FJ63" s="124"/>
      <c r="FK63" s="123"/>
      <c r="FL63" s="123"/>
      <c r="FM63" s="123"/>
      <c r="FN63" s="123"/>
      <c r="FO63" s="123">
        <v>10</v>
      </c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>
        <v>50</v>
      </c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/>
      <c r="GS63" s="123"/>
      <c r="GT63" s="123"/>
      <c r="GU63" s="128">
        <f t="shared" ref="GU63" si="602">SUM(EE63:GO63,GR63)</f>
        <v>120</v>
      </c>
      <c r="GV63" s="162">
        <f t="shared" ref="GV63" si="603">AN63-ED63-GU63</f>
        <v>350</v>
      </c>
      <c r="GW63" s="163">
        <f t="shared" ref="GW63" si="604">AN63-ED63-ER63-FN63</f>
        <v>470</v>
      </c>
      <c r="GX63" s="163">
        <f t="shared" ref="GX63" si="605">AN63-GU63</f>
        <v>370</v>
      </c>
      <c r="GY63" s="123"/>
      <c r="GZ63" s="123"/>
      <c r="HA63" s="123"/>
      <c r="HB63" s="123"/>
      <c r="HC63" s="128">
        <f t="shared" ref="HC63" si="606">SUM(GY63:HB63)</f>
        <v>0</v>
      </c>
      <c r="HD63" s="123" t="s">
        <v>420</v>
      </c>
      <c r="HE63" s="123" t="s">
        <v>494</v>
      </c>
      <c r="HF63" s="123" t="s">
        <v>289</v>
      </c>
      <c r="HG63" s="123" t="s">
        <v>289</v>
      </c>
      <c r="HH63" s="123" t="s">
        <v>289</v>
      </c>
      <c r="HI63" s="123" t="s">
        <v>374</v>
      </c>
      <c r="HJ63" s="123"/>
      <c r="HK63" s="123"/>
      <c r="HL63" s="127"/>
      <c r="HM63" s="127"/>
      <c r="HN63" s="127"/>
      <c r="HO63" s="127"/>
      <c r="HP63" s="127"/>
      <c r="HQ63" s="164">
        <f t="shared" ref="HQ63" si="607">SUM(HL63:HP63)</f>
        <v>0</v>
      </c>
      <c r="HW63" s="164">
        <f t="shared" ref="HW63" si="608">SUM(HR63:HU63)</f>
        <v>0</v>
      </c>
      <c r="HX63">
        <v>5</v>
      </c>
      <c r="IF63">
        <v>5</v>
      </c>
      <c r="II63" s="164">
        <f t="shared" ref="II63" si="609">SUM(HX63:IG63)</f>
        <v>10</v>
      </c>
      <c r="IV63" s="165">
        <f t="shared" ref="IV63" si="610">SUM(IJ63:IT63)</f>
        <v>0</v>
      </c>
      <c r="JF63" s="165">
        <f t="shared" ref="JF63" si="611">SUM(IW63:JD63)</f>
        <v>0</v>
      </c>
      <c r="JG63" s="148">
        <v>3</v>
      </c>
      <c r="JH63" s="148"/>
      <c r="JI63" s="148"/>
      <c r="JJ63" s="148"/>
      <c r="JK63" s="148"/>
    </row>
    <row r="64" spans="1:271" ht="16.5" customHeight="1" x14ac:dyDescent="0.35">
      <c r="A64" t="s">
        <v>510</v>
      </c>
      <c r="B64" s="117" t="s">
        <v>273</v>
      </c>
      <c r="C64" s="118">
        <v>46075</v>
      </c>
      <c r="D64" s="119" t="s">
        <v>274</v>
      </c>
      <c r="E64" s="120" t="s">
        <v>302</v>
      </c>
      <c r="F64" s="120" t="s">
        <v>293</v>
      </c>
      <c r="G64" s="121" t="s">
        <v>486</v>
      </c>
      <c r="H64" s="122"/>
      <c r="I64" s="123"/>
      <c r="J64" s="124"/>
      <c r="K64" s="2" t="s">
        <v>487</v>
      </c>
      <c r="L64" s="125"/>
      <c r="M64" s="126" t="s">
        <v>279</v>
      </c>
      <c r="N64" s="127" t="s">
        <v>385</v>
      </c>
      <c r="O64" s="10" t="s">
        <v>488</v>
      </c>
      <c r="P64" s="128" t="s">
        <v>282</v>
      </c>
      <c r="Q64" s="129"/>
      <c r="R64" s="130"/>
      <c r="S64" s="130">
        <v>161891.67002380799</v>
      </c>
      <c r="T64" s="131" t="str">
        <f t="shared" ref="T64:T65" si="612">IF(H64*U64=0,"",H64*U64)</f>
        <v/>
      </c>
      <c r="U64" s="132">
        <v>7</v>
      </c>
      <c r="V64" s="133"/>
      <c r="W64" s="133"/>
      <c r="X64" s="134">
        <f>610+612+615+605+630+356+406</f>
        <v>3834</v>
      </c>
      <c r="Y64" s="134"/>
      <c r="Z64" s="134">
        <f>15035+15090+15160+14920+15520+8785+10000</f>
        <v>94510</v>
      </c>
      <c r="AA64" s="134"/>
      <c r="AB64" s="135">
        <f>3+3+5+7+10+4+3.3</f>
        <v>35.299999999999997</v>
      </c>
      <c r="AC64" s="136">
        <f t="shared" ref="AC64:AC65" si="613">BA64+AF64+BK64+BR64+BY64+CI64+CQ64+CU64</f>
        <v>3869.3</v>
      </c>
      <c r="AD64" s="137">
        <f t="shared" ref="AD64:AD65" si="614">+AC64-X64</f>
        <v>35.300000000000182</v>
      </c>
      <c r="AE64" s="138">
        <f t="shared" ref="AE64:AE65" si="615">AD64-AB64</f>
        <v>1.8474111129762605E-13</v>
      </c>
      <c r="AF64" s="139">
        <f t="shared" ref="AF64:AF65" si="616">IFERROR(+(Z64*AV64*DF64)/10^6,0)</f>
        <v>0</v>
      </c>
      <c r="AG64" s="123"/>
      <c r="AH64" s="122">
        <v>180</v>
      </c>
      <c r="AI64" s="122">
        <v>150</v>
      </c>
      <c r="AJ64" s="140">
        <v>0.32270769680518518</v>
      </c>
      <c r="AK64" s="141">
        <v>19.36246180831111</v>
      </c>
      <c r="AL64" s="142">
        <v>0.34375</v>
      </c>
      <c r="AM64" s="142">
        <v>0.84375</v>
      </c>
      <c r="AN64" s="143">
        <f t="shared" ref="AN64:AN65" si="617">IF(AM64&gt;AL64,((AM64-AL64)*1440),(1440+(AM64-AL64)*1440))</f>
        <v>720</v>
      </c>
      <c r="AO64" s="123"/>
      <c r="AP64" s="123"/>
      <c r="AQ64" s="127"/>
      <c r="AR64" s="123"/>
      <c r="AS64" s="123" t="s">
        <v>365</v>
      </c>
      <c r="AT64" s="123" t="s">
        <v>293</v>
      </c>
      <c r="AU64" s="123"/>
      <c r="AV64" s="123"/>
      <c r="AW64" s="123"/>
      <c r="AX64" s="132"/>
      <c r="AY64" s="123"/>
      <c r="AZ64" s="123"/>
      <c r="BA64" s="144">
        <f t="shared" ref="BA64:BA65" si="618">SUM(AY64+AZ64)</f>
        <v>0</v>
      </c>
      <c r="BB64" s="127"/>
      <c r="BC64" s="145"/>
      <c r="BD64" s="146"/>
      <c r="BE64" t="s">
        <v>357</v>
      </c>
      <c r="BF64">
        <v>1063</v>
      </c>
      <c r="BG64">
        <f>12</f>
        <v>12</v>
      </c>
      <c r="BH64" s="147">
        <v>7</v>
      </c>
      <c r="BI64">
        <f>483+488+278+185+234+87+278</f>
        <v>2033</v>
      </c>
      <c r="BJ64">
        <f>-74</f>
        <v>-74</v>
      </c>
      <c r="BK64" s="144">
        <f t="shared" ref="BK64:BK65" si="619">SUM(BI64+BJ64)</f>
        <v>1959</v>
      </c>
      <c r="BO64" s="147"/>
      <c r="BR64" s="144">
        <f t="shared" ref="BR64:BR65" si="620">SUM(BP64+BQ64)</f>
        <v>0</v>
      </c>
      <c r="BS64" t="s">
        <v>387</v>
      </c>
      <c r="BT64">
        <v>1063</v>
      </c>
      <c r="BU64">
        <f>12</f>
        <v>12</v>
      </c>
      <c r="BV64" s="147">
        <v>5</v>
      </c>
      <c r="BW64">
        <f>25+433.2+431.5+431.5+432.1</f>
        <v>1753.3000000000002</v>
      </c>
      <c r="BX64">
        <f>-38</f>
        <v>-38</v>
      </c>
      <c r="BY64" s="144">
        <f t="shared" ref="BY64:BY65" si="621">SUM(BW64+BX64)</f>
        <v>1715.3000000000002</v>
      </c>
      <c r="BZ64" s="148">
        <v>85039</v>
      </c>
      <c r="CA64" s="149">
        <v>5.32</v>
      </c>
      <c r="CB64" s="150">
        <f t="shared" ref="CB64:CB65" si="622">+BY64*CA64</f>
        <v>9125.3960000000006</v>
      </c>
      <c r="CF64" s="147"/>
      <c r="CI64" s="151">
        <f t="shared" ref="CI64:CI65" si="623">SUM(CG64+CH64)</f>
        <v>0</v>
      </c>
      <c r="CJ64" s="148"/>
      <c r="CK64" s="149"/>
      <c r="CL64" s="150"/>
      <c r="CM64" t="s">
        <v>377</v>
      </c>
      <c r="CN64">
        <f>128.57+10.7</f>
        <v>139.26999999999998</v>
      </c>
      <c r="CO64" s="152">
        <v>9.59436</v>
      </c>
      <c r="CP64" s="153">
        <f t="shared" ref="CP64:CP65" si="624">+CN64*CO64</f>
        <v>1336.2065171999998</v>
      </c>
      <c r="CQ64" s="154">
        <f t="shared" ref="CQ64:CQ65" si="625">IF(CM64="811 A",CN64/1.667,IF(CM64="MB635",CN64/1.33,IF(CM64="MB655",CN64/1.43,IF(CM64="LG 59A",CN64/1.667,IF(CM64="HB 6680",CN64/1.25,IF(CM64="MB688",CN64/1.25,CN64))))))</f>
        <v>139.26999999999998</v>
      </c>
      <c r="CR64">
        <f>51.43+4.3</f>
        <v>55.73</v>
      </c>
      <c r="CS64" s="155">
        <v>9.7414000000000005</v>
      </c>
      <c r="CT64" s="153">
        <f t="shared" ref="CT64:CT65" si="626">+CR64*CS64</f>
        <v>542.88822200000004</v>
      </c>
      <c r="CU64" s="154">
        <f t="shared" ref="CU64:CU65" si="627">IF(CM64="811 A",CR64/1.33,IF(CM64="HB 6680",CR64/1.33,IF(CM64="MB688",CR64/1.333,CR64)))</f>
        <v>55.73</v>
      </c>
      <c r="CV64"/>
      <c r="CX64" s="153"/>
      <c r="CY64" s="156">
        <v>5</v>
      </c>
      <c r="CZ64" s="156">
        <v>5</v>
      </c>
      <c r="DA64" s="128" t="s">
        <v>378</v>
      </c>
      <c r="DB64" s="123">
        <v>1055</v>
      </c>
      <c r="DC64" s="157" t="s">
        <v>312</v>
      </c>
      <c r="DD64" s="157" t="s">
        <v>313</v>
      </c>
      <c r="DE64" s="127"/>
      <c r="DF64" s="158"/>
      <c r="DG64" s="159">
        <f>AVERAGE(1.8,2,1.91,1.86,1.95)</f>
        <v>1.9039999999999999</v>
      </c>
      <c r="DH64" s="160"/>
      <c r="DI64" s="122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V64" s="123"/>
      <c r="DW64" s="123"/>
      <c r="DX64" s="123"/>
      <c r="DY64" s="123"/>
      <c r="DZ64" s="123"/>
      <c r="EA64" s="123"/>
      <c r="EB64" s="123"/>
      <c r="EC64" s="123"/>
      <c r="ED64" s="161">
        <f t="shared" ref="ED64:ED65" si="628">SUM(DK64:EC64)</f>
        <v>0</v>
      </c>
      <c r="EE64" s="123"/>
      <c r="EF64" s="123">
        <v>70</v>
      </c>
      <c r="EG64" s="123"/>
      <c r="EH64" s="123"/>
      <c r="EI64" s="123"/>
      <c r="EJ64" s="123"/>
      <c r="EK64" s="123"/>
      <c r="EL64" s="123"/>
      <c r="EM64" s="123"/>
      <c r="EN64" s="123"/>
      <c r="EO64" s="122"/>
      <c r="EP64" s="123"/>
      <c r="EQ64" s="123"/>
      <c r="ER64" s="123"/>
      <c r="ES64" s="123"/>
      <c r="ET64" s="123"/>
      <c r="EU64" s="123">
        <v>10</v>
      </c>
      <c r="EV64" s="124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4"/>
      <c r="FK64" s="123"/>
      <c r="FL64" s="123"/>
      <c r="FM64" s="123"/>
      <c r="FN64" s="123"/>
      <c r="FO64" s="123">
        <v>10</v>
      </c>
      <c r="FP64" s="123"/>
      <c r="FQ64" s="123"/>
      <c r="FR64" s="123"/>
      <c r="FS64" s="123"/>
      <c r="FT64" s="123"/>
      <c r="FU64" s="123"/>
      <c r="FV64" s="123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>
        <v>10</v>
      </c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/>
      <c r="GS64" s="123"/>
      <c r="GT64" s="123"/>
      <c r="GU64" s="128">
        <f t="shared" ref="GU64:GU65" si="629">SUM(EE64:GO64,GR64)</f>
        <v>100</v>
      </c>
      <c r="GV64" s="162">
        <f t="shared" ref="GV64:GV65" si="630">AN64-ED64-GU64</f>
        <v>620</v>
      </c>
      <c r="GW64" s="163">
        <f t="shared" ref="GW64:GW65" si="631">AN64-ED64-ER64-FN64</f>
        <v>720</v>
      </c>
      <c r="GX64" s="163">
        <f t="shared" ref="GX64:GX65" si="632">AN64-GU64</f>
        <v>620</v>
      </c>
      <c r="GY64" s="123"/>
      <c r="GZ64" s="123"/>
      <c r="HA64" s="123"/>
      <c r="HB64" s="123"/>
      <c r="HC64" s="128">
        <f t="shared" ref="HC64:HC65" si="633">SUM(GY64:HB64)</f>
        <v>0</v>
      </c>
      <c r="HD64" s="123" t="s">
        <v>380</v>
      </c>
      <c r="HE64" s="123" t="s">
        <v>379</v>
      </c>
      <c r="HF64" s="123" t="s">
        <v>289</v>
      </c>
      <c r="HG64" s="123" t="s">
        <v>289</v>
      </c>
      <c r="HH64" s="123" t="s">
        <v>289</v>
      </c>
      <c r="HI64" s="123" t="s">
        <v>289</v>
      </c>
      <c r="HJ64" s="123"/>
      <c r="HK64" s="123"/>
      <c r="HL64" s="127"/>
      <c r="HM64" s="127"/>
      <c r="HN64" s="127"/>
      <c r="HO64" s="127"/>
      <c r="HP64" s="127"/>
      <c r="HQ64" s="164">
        <f t="shared" ref="HQ64:HQ65" si="634">SUM(HL64:HP64)</f>
        <v>0</v>
      </c>
      <c r="HW64" s="164">
        <f t="shared" ref="HW64:HW65" si="635">SUM(HR64:HU64)</f>
        <v>0</v>
      </c>
      <c r="HX64">
        <v>1.3</v>
      </c>
      <c r="IB64">
        <v>7</v>
      </c>
      <c r="IC64">
        <v>10</v>
      </c>
      <c r="IF64">
        <v>2</v>
      </c>
      <c r="II64" s="164">
        <f t="shared" ref="II64:II65" si="636">SUM(HX64:IG64)</f>
        <v>20.3</v>
      </c>
      <c r="IV64" s="165">
        <f t="shared" ref="IV64:IV65" si="637">SUM(IJ64:IT64)</f>
        <v>0</v>
      </c>
      <c r="JF64" s="165">
        <f t="shared" ref="JF64:JF65" si="638">SUM(IW64:JD64)</f>
        <v>0</v>
      </c>
      <c r="JG64" s="148">
        <f>10-3</f>
        <v>7</v>
      </c>
      <c r="JH64" s="148"/>
      <c r="JI64" s="148"/>
      <c r="JJ64" s="148"/>
      <c r="JK64" s="148"/>
    </row>
    <row r="65" spans="1:271" ht="16.5" customHeight="1" x14ac:dyDescent="0.35">
      <c r="A65" t="s">
        <v>511</v>
      </c>
      <c r="B65" s="117" t="s">
        <v>273</v>
      </c>
      <c r="C65" s="118">
        <v>46075</v>
      </c>
      <c r="D65" s="119" t="s">
        <v>291</v>
      </c>
      <c r="E65" s="120" t="s">
        <v>302</v>
      </c>
      <c r="F65" s="120" t="s">
        <v>293</v>
      </c>
      <c r="G65" s="121" t="s">
        <v>486</v>
      </c>
      <c r="H65" s="122"/>
      <c r="I65" s="123"/>
      <c r="J65" s="124"/>
      <c r="K65" s="2" t="s">
        <v>487</v>
      </c>
      <c r="L65" s="125"/>
      <c r="M65" s="126" t="s">
        <v>279</v>
      </c>
      <c r="N65" s="127" t="s">
        <v>385</v>
      </c>
      <c r="O65" s="10" t="s">
        <v>488</v>
      </c>
      <c r="P65" s="128" t="s">
        <v>282</v>
      </c>
      <c r="Q65" s="129">
        <v>1</v>
      </c>
      <c r="R65" s="130"/>
      <c r="S65" s="130"/>
      <c r="T65" s="131" t="str">
        <f t="shared" si="612"/>
        <v/>
      </c>
      <c r="U65" s="132">
        <v>2</v>
      </c>
      <c r="V65" s="133"/>
      <c r="W65" s="133"/>
      <c r="X65" s="134">
        <f>493+491</f>
        <v>984</v>
      </c>
      <c r="Y65" s="134"/>
      <c r="Z65" s="134">
        <f>11901+11868</f>
        <v>23769</v>
      </c>
      <c r="AA65" s="134"/>
      <c r="AB65" s="135">
        <f>2+5</f>
        <v>7</v>
      </c>
      <c r="AC65" s="136">
        <f t="shared" si="613"/>
        <v>991.16</v>
      </c>
      <c r="AD65" s="137">
        <f t="shared" si="614"/>
        <v>7.1599999999999682</v>
      </c>
      <c r="AE65" s="138">
        <f t="shared" si="615"/>
        <v>0.15999999999996817</v>
      </c>
      <c r="AF65" s="139">
        <f t="shared" si="616"/>
        <v>0</v>
      </c>
      <c r="AG65" s="123"/>
      <c r="AH65" s="122">
        <v>180</v>
      </c>
      <c r="AI65" s="122">
        <v>150</v>
      </c>
      <c r="AJ65" s="140" t="s">
        <v>289</v>
      </c>
      <c r="AK65" s="141"/>
      <c r="AL65" s="142">
        <v>0.84375</v>
      </c>
      <c r="AM65" s="142">
        <v>3.125E-2</v>
      </c>
      <c r="AN65" s="143">
        <f t="shared" si="617"/>
        <v>270</v>
      </c>
      <c r="AO65" s="123"/>
      <c r="AP65" s="123"/>
      <c r="AQ65" s="127"/>
      <c r="AR65" s="123"/>
      <c r="AS65" s="123" t="s">
        <v>365</v>
      </c>
      <c r="AT65" s="123" t="s">
        <v>293</v>
      </c>
      <c r="AU65" s="123"/>
      <c r="AV65" s="123"/>
      <c r="AW65" s="123"/>
      <c r="AX65" s="132"/>
      <c r="AY65" s="123"/>
      <c r="AZ65" s="123"/>
      <c r="BA65" s="144">
        <f t="shared" si="618"/>
        <v>0</v>
      </c>
      <c r="BB65" s="127"/>
      <c r="BC65" s="145"/>
      <c r="BD65" s="146"/>
      <c r="BE65" t="s">
        <v>357</v>
      </c>
      <c r="BF65">
        <v>1063</v>
      </c>
      <c r="BG65">
        <f>12</f>
        <v>12</v>
      </c>
      <c r="BH65" s="147">
        <v>2</v>
      </c>
      <c r="BI65">
        <f>74+440</f>
        <v>514</v>
      </c>
      <c r="BK65" s="144">
        <f t="shared" si="619"/>
        <v>514</v>
      </c>
      <c r="BO65" s="147"/>
      <c r="BR65" s="144">
        <f t="shared" si="620"/>
        <v>0</v>
      </c>
      <c r="BS65" t="s">
        <v>387</v>
      </c>
      <c r="BT65">
        <v>1063</v>
      </c>
      <c r="BU65">
        <f>12</f>
        <v>12</v>
      </c>
      <c r="BV65" s="147">
        <v>1</v>
      </c>
      <c r="BW65">
        <f>38+426.5</f>
        <v>464.5</v>
      </c>
      <c r="BX65">
        <f>-40</f>
        <v>-40</v>
      </c>
      <c r="BY65" s="144">
        <f t="shared" si="621"/>
        <v>424.5</v>
      </c>
      <c r="BZ65" s="148">
        <v>85039</v>
      </c>
      <c r="CA65" s="149">
        <v>5.32</v>
      </c>
      <c r="CB65" s="150">
        <f t="shared" si="622"/>
        <v>2258.34</v>
      </c>
      <c r="CF65" s="147"/>
      <c r="CI65" s="151">
        <f t="shared" si="623"/>
        <v>0</v>
      </c>
      <c r="CJ65" s="148"/>
      <c r="CK65" s="149"/>
      <c r="CL65" s="150"/>
      <c r="CM65" t="s">
        <v>377</v>
      </c>
      <c r="CN65">
        <v>37.61</v>
      </c>
      <c r="CO65" s="152">
        <v>9.59436</v>
      </c>
      <c r="CP65" s="153">
        <f t="shared" si="624"/>
        <v>360.84387959999998</v>
      </c>
      <c r="CQ65" s="154">
        <f t="shared" si="625"/>
        <v>37.61</v>
      </c>
      <c r="CR65">
        <v>15.05</v>
      </c>
      <c r="CS65" s="155">
        <v>9.7414000000000005</v>
      </c>
      <c r="CT65" s="153">
        <f t="shared" si="626"/>
        <v>146.60807000000003</v>
      </c>
      <c r="CU65" s="154">
        <f t="shared" si="627"/>
        <v>15.05</v>
      </c>
      <c r="CV65"/>
      <c r="CX65" s="153"/>
      <c r="CY65" s="156"/>
      <c r="CZ65" s="156"/>
      <c r="DA65" s="128" t="s">
        <v>378</v>
      </c>
      <c r="DB65" s="123">
        <v>1055</v>
      </c>
      <c r="DC65" s="157" t="s">
        <v>312</v>
      </c>
      <c r="DD65" s="157" t="s">
        <v>313</v>
      </c>
      <c r="DE65" s="127"/>
      <c r="DF65" s="158"/>
      <c r="DG65" s="159">
        <f>AVERAGE(1.8,2,1.89,1.97)</f>
        <v>1.9149999999999998</v>
      </c>
      <c r="DH65" s="160"/>
      <c r="DI65" s="122"/>
      <c r="DK65" s="123">
        <v>20</v>
      </c>
      <c r="DL65" s="123"/>
      <c r="DM65" s="123"/>
      <c r="DN65" s="123"/>
      <c r="DO65" s="123"/>
      <c r="DP65" s="123"/>
      <c r="DQ65" s="123"/>
      <c r="DR65" s="123"/>
      <c r="DS65" s="123"/>
      <c r="DT65" s="123"/>
      <c r="DV65" s="123"/>
      <c r="DW65" s="123"/>
      <c r="DX65" s="123"/>
      <c r="DY65" s="123"/>
      <c r="DZ65" s="123"/>
      <c r="EA65" s="123"/>
      <c r="EB65" s="123"/>
      <c r="EC65" s="123"/>
      <c r="ED65" s="161">
        <f t="shared" si="628"/>
        <v>20</v>
      </c>
      <c r="EE65" s="123"/>
      <c r="EF65" s="123">
        <v>24</v>
      </c>
      <c r="EG65" s="123"/>
      <c r="EH65" s="123"/>
      <c r="EI65" s="123"/>
      <c r="EJ65" s="123"/>
      <c r="EK65" s="123"/>
      <c r="EL65" s="123"/>
      <c r="EM65" s="123"/>
      <c r="EN65" s="123"/>
      <c r="EO65" s="122"/>
      <c r="EP65" s="123"/>
      <c r="EQ65" s="123"/>
      <c r="ER65" s="123"/>
      <c r="ES65" s="123"/>
      <c r="ET65" s="123"/>
      <c r="EU65" s="123">
        <v>5</v>
      </c>
      <c r="EV65" s="124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4"/>
      <c r="FK65" s="123"/>
      <c r="FL65" s="123"/>
      <c r="FM65" s="123"/>
      <c r="FN65" s="123"/>
      <c r="FO65" s="123">
        <v>5</v>
      </c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>
        <v>40</v>
      </c>
      <c r="GF65" s="123"/>
      <c r="GG65" s="123">
        <v>10</v>
      </c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8">
        <f t="shared" si="629"/>
        <v>84</v>
      </c>
      <c r="GV65" s="162">
        <f t="shared" si="630"/>
        <v>166</v>
      </c>
      <c r="GW65" s="163">
        <f t="shared" si="631"/>
        <v>250</v>
      </c>
      <c r="GX65" s="163">
        <f t="shared" si="632"/>
        <v>186</v>
      </c>
      <c r="GY65" s="123"/>
      <c r="GZ65" s="123"/>
      <c r="HA65" s="123"/>
      <c r="HB65" s="123"/>
      <c r="HC65" s="128">
        <f t="shared" si="633"/>
        <v>0</v>
      </c>
      <c r="HD65" s="123" t="s">
        <v>420</v>
      </c>
      <c r="HE65" s="123" t="s">
        <v>494</v>
      </c>
      <c r="HF65" s="123" t="s">
        <v>289</v>
      </c>
      <c r="HG65" s="123" t="s">
        <v>289</v>
      </c>
      <c r="HH65" s="123" t="s">
        <v>289</v>
      </c>
      <c r="HI65" s="123" t="s">
        <v>374</v>
      </c>
      <c r="HJ65" s="123"/>
      <c r="HK65" s="123"/>
      <c r="HL65" s="127"/>
      <c r="HM65" s="127"/>
      <c r="HN65" s="127"/>
      <c r="HO65" s="127"/>
      <c r="HP65" s="127"/>
      <c r="HQ65" s="164">
        <f t="shared" si="634"/>
        <v>0</v>
      </c>
      <c r="HW65" s="164">
        <f t="shared" si="635"/>
        <v>0</v>
      </c>
      <c r="IB65">
        <v>2</v>
      </c>
      <c r="IC65">
        <v>5</v>
      </c>
      <c r="II65" s="164">
        <f t="shared" si="636"/>
        <v>7</v>
      </c>
      <c r="IV65" s="165">
        <f t="shared" si="637"/>
        <v>0</v>
      </c>
      <c r="JF65" s="165">
        <f t="shared" si="638"/>
        <v>0</v>
      </c>
      <c r="JG65" s="148">
        <v>2</v>
      </c>
      <c r="JH65" s="148"/>
      <c r="JI65" s="148"/>
      <c r="JJ65" s="148"/>
      <c r="JK65" s="148"/>
    </row>
    <row r="66" spans="1:271" ht="16.5" customHeight="1" x14ac:dyDescent="0.35">
      <c r="A66" t="s">
        <v>512</v>
      </c>
      <c r="B66" s="117" t="s">
        <v>273</v>
      </c>
      <c r="C66" s="118">
        <v>46076</v>
      </c>
      <c r="D66" s="119" t="s">
        <v>291</v>
      </c>
      <c r="E66" s="120" t="s">
        <v>303</v>
      </c>
      <c r="F66" s="120" t="s">
        <v>293</v>
      </c>
      <c r="G66" s="121" t="s">
        <v>486</v>
      </c>
      <c r="H66" s="122"/>
      <c r="I66" s="123"/>
      <c r="J66" s="124"/>
      <c r="K66" s="2" t="s">
        <v>487</v>
      </c>
      <c r="L66" s="125"/>
      <c r="M66" s="126" t="s">
        <v>279</v>
      </c>
      <c r="N66" s="127" t="s">
        <v>385</v>
      </c>
      <c r="O66" s="10" t="s">
        <v>488</v>
      </c>
      <c r="P66" s="128" t="s">
        <v>282</v>
      </c>
      <c r="Q66" s="129">
        <v>1</v>
      </c>
      <c r="R66" s="130"/>
      <c r="S66" s="130">
        <v>161891.67002380799</v>
      </c>
      <c r="T66" s="131" t="str">
        <f t="shared" ref="T66" si="639">IF(H66*U66=0,"",H66*U66)</f>
        <v/>
      </c>
      <c r="U66" s="132">
        <v>1</v>
      </c>
      <c r="V66" s="133"/>
      <c r="W66" s="133"/>
      <c r="X66" s="134">
        <f>672+280+492+614+625+255+658</f>
        <v>3596</v>
      </c>
      <c r="Y66" s="134"/>
      <c r="Z66" s="134">
        <f>7362+3026+5302+6657+6748+2738+7000</f>
        <v>38833</v>
      </c>
      <c r="AA66" s="134"/>
      <c r="AB66" s="135">
        <f>3.7+5+18+17+3</f>
        <v>46.7</v>
      </c>
      <c r="AC66" s="136">
        <f t="shared" ref="AC66" si="640">BA66+AF66+BK66+BR66+BY66+CI66+CQ66+CU66</f>
        <v>3642.6</v>
      </c>
      <c r="AD66" s="137">
        <f t="shared" ref="AD66" si="641">+AC66-X66</f>
        <v>46.599999999999909</v>
      </c>
      <c r="AE66" s="138">
        <f t="shared" ref="AE66" si="642">AD66-AB66</f>
        <v>-0.10000000000009379</v>
      </c>
      <c r="AF66" s="139">
        <f t="shared" ref="AF66" si="643">IFERROR(+(Z66*AV66*DF66)/10^6,0)</f>
        <v>0</v>
      </c>
      <c r="AG66" s="123"/>
      <c r="AH66" s="122">
        <v>300</v>
      </c>
      <c r="AI66" s="122">
        <v>300</v>
      </c>
      <c r="AJ66" s="140">
        <v>3.1981945003967995</v>
      </c>
      <c r="AK66" s="141">
        <v>191.89167002380796</v>
      </c>
      <c r="AL66" s="142">
        <v>0.1875</v>
      </c>
      <c r="AM66" s="142">
        <v>0.34375</v>
      </c>
      <c r="AN66" s="143">
        <f t="shared" ref="AN66" si="644">IF(AM66&gt;AL66,((AM66-AL66)*1440),(1440+(AM66-AL66)*1440))</f>
        <v>225</v>
      </c>
      <c r="AO66" s="123"/>
      <c r="AP66" s="123"/>
      <c r="AQ66" s="127"/>
      <c r="AR66" s="123"/>
      <c r="AS66" s="123" t="s">
        <v>375</v>
      </c>
      <c r="AT66" s="123" t="s">
        <v>341</v>
      </c>
      <c r="AU66" s="123"/>
      <c r="AV66" s="123"/>
      <c r="AW66" s="123"/>
      <c r="AX66" s="132"/>
      <c r="AY66" s="123"/>
      <c r="AZ66" s="123"/>
      <c r="BA66" s="144">
        <f t="shared" ref="BA66" si="645">SUM(AY66+AZ66)</f>
        <v>0</v>
      </c>
      <c r="BB66" s="127"/>
      <c r="BC66" s="145"/>
      <c r="BD66" s="146"/>
      <c r="BH66" s="147"/>
      <c r="BK66" s="144">
        <f t="shared" ref="BK66" si="646">SUM(BI66+BJ66)</f>
        <v>0</v>
      </c>
      <c r="BL66" t="s">
        <v>365</v>
      </c>
      <c r="BM66">
        <v>1063</v>
      </c>
      <c r="BN66">
        <f>12+12</f>
        <v>24</v>
      </c>
      <c r="BO66" s="147">
        <v>3</v>
      </c>
      <c r="BP66">
        <f>718+615+406</f>
        <v>1739</v>
      </c>
      <c r="BQ66">
        <f>-120</f>
        <v>-120</v>
      </c>
      <c r="BR66" s="144">
        <f t="shared" ref="BR66" si="647">SUM(BP66+BQ66)</f>
        <v>1619</v>
      </c>
      <c r="BV66" s="147"/>
      <c r="BY66" s="144">
        <f t="shared" ref="BY66" si="648">SUM(BW66+BX66)</f>
        <v>0</v>
      </c>
      <c r="BZ66" s="148"/>
      <c r="CA66" s="149"/>
      <c r="CB66" s="150"/>
      <c r="CC66" t="s">
        <v>361</v>
      </c>
      <c r="CD66">
        <v>1063</v>
      </c>
      <c r="CE66">
        <f>50</f>
        <v>50</v>
      </c>
      <c r="CF66" s="147">
        <v>6</v>
      </c>
      <c r="CG66">
        <f>132+336.4+336.2+335.4+335.2+335.5+316.9</f>
        <v>2127.6</v>
      </c>
      <c r="CH66">
        <f>-170</f>
        <v>-170</v>
      </c>
      <c r="CI66" s="151">
        <f t="shared" ref="CI66" si="649">SUM(CG66+CH66)</f>
        <v>1957.6</v>
      </c>
      <c r="CJ66" s="148">
        <v>85854</v>
      </c>
      <c r="CK66" s="149">
        <v>4.9000000000000004</v>
      </c>
      <c r="CL66" s="150">
        <f t="shared" ref="CL66" si="650">+CI66*CK66</f>
        <v>9592.24</v>
      </c>
      <c r="CM66" t="s">
        <v>465</v>
      </c>
      <c r="CN66">
        <f>38.12+3.12</f>
        <v>41.239999999999995</v>
      </c>
      <c r="CO66" s="152">
        <v>10.03548</v>
      </c>
      <c r="CP66" s="153">
        <f t="shared" ref="CP66" si="651">+CN66*CO66</f>
        <v>413.86319519999995</v>
      </c>
      <c r="CQ66" s="154">
        <f t="shared" ref="CQ66" si="652">IF(CM66="811 A",CN66/1.667,IF(CM66="MB635",CN66/1.33,IF(CM66="MB655",CN66/1.43,IF(CM66="LG 59A",CN66/1.667,IF(CM66="HB 6680",CN66/1.25,IF(CM66="MB688",CN66/1.25,CN66))))))</f>
        <v>41.239999999999995</v>
      </c>
      <c r="CR66">
        <f>22.88+1.88</f>
        <v>24.759999999999998</v>
      </c>
      <c r="CS66" s="155">
        <v>8.3445198757763972</v>
      </c>
      <c r="CT66" s="153">
        <f t="shared" ref="CT66" si="653">+CR66*CS66</f>
        <v>206.61031212422358</v>
      </c>
      <c r="CU66" s="154">
        <f t="shared" ref="CU66" si="654">IF(CM66="811 A",CR66/1.33,IF(CM66="HB 6680",CR66/1.33,IF(CM66="MB688",CR66/1.333,CR66)))</f>
        <v>24.759999999999998</v>
      </c>
      <c r="CV66"/>
      <c r="CX66" s="153"/>
      <c r="CY66" s="156">
        <v>5</v>
      </c>
      <c r="CZ66" s="156">
        <v>2</v>
      </c>
      <c r="DA66" s="128" t="s">
        <v>466</v>
      </c>
      <c r="DB66" s="123">
        <v>1055</v>
      </c>
      <c r="DC66" s="157" t="s">
        <v>312</v>
      </c>
      <c r="DD66" s="157" t="s">
        <v>313</v>
      </c>
      <c r="DE66" s="127"/>
      <c r="DF66" s="158"/>
      <c r="DG66" s="159">
        <f>AVERAGE(1.5,1.43,1.51)</f>
        <v>1.4799999999999998</v>
      </c>
      <c r="DH66" s="160"/>
      <c r="DI66" s="122"/>
      <c r="DK66" s="123">
        <v>30</v>
      </c>
      <c r="DL66" s="123"/>
      <c r="DM66" s="123"/>
      <c r="DN66" s="123"/>
      <c r="DO66" s="123"/>
      <c r="DP66" s="123"/>
      <c r="DQ66" s="123"/>
      <c r="DR66" s="123"/>
      <c r="DS66" s="123"/>
      <c r="DT66" s="123"/>
      <c r="DV66" s="123"/>
      <c r="DW66" s="123"/>
      <c r="DX66" s="123"/>
      <c r="DY66" s="123"/>
      <c r="DZ66" s="123"/>
      <c r="EA66" s="123"/>
      <c r="EB66" s="123"/>
      <c r="EC66" s="123"/>
      <c r="ED66" s="161">
        <f t="shared" ref="ED66" si="655">SUM(DK66:EC66)</f>
        <v>30</v>
      </c>
      <c r="EE66" s="123"/>
      <c r="EF66" s="123">
        <v>50</v>
      </c>
      <c r="EG66" s="123"/>
      <c r="EH66" s="123"/>
      <c r="EI66" s="123"/>
      <c r="EJ66" s="123"/>
      <c r="EK66" s="123"/>
      <c r="EL66" s="123"/>
      <c r="EM66" s="123"/>
      <c r="EN66" s="123"/>
      <c r="EO66" s="122"/>
      <c r="EP66" s="123"/>
      <c r="EQ66" s="123"/>
      <c r="ER66" s="123"/>
      <c r="ES66" s="123"/>
      <c r="ET66" s="123"/>
      <c r="EU66" s="123">
        <v>10</v>
      </c>
      <c r="EV66" s="124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4"/>
      <c r="FK66" s="123"/>
      <c r="FL66" s="123"/>
      <c r="FM66" s="123"/>
      <c r="FN66" s="123"/>
      <c r="FO66" s="123">
        <v>5</v>
      </c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/>
      <c r="GS66" s="123"/>
      <c r="GT66" s="123"/>
      <c r="GU66" s="128">
        <f t="shared" ref="GU66" si="656">SUM(EE66:GO66,GR66)</f>
        <v>65</v>
      </c>
      <c r="GV66" s="162">
        <f t="shared" ref="GV66" si="657">AN66-ED66-GU66</f>
        <v>130</v>
      </c>
      <c r="GW66" s="163">
        <f t="shared" ref="GW66" si="658">AN66-ED66-ER66-FN66</f>
        <v>195</v>
      </c>
      <c r="GX66" s="163">
        <f t="shared" ref="GX66" si="659">AN66-GU66</f>
        <v>160</v>
      </c>
      <c r="GY66" s="123"/>
      <c r="GZ66" s="123"/>
      <c r="HA66" s="123"/>
      <c r="HB66" s="123"/>
      <c r="HC66" s="128">
        <f t="shared" ref="HC66" si="660">SUM(GY66:HB66)</f>
        <v>0</v>
      </c>
      <c r="HD66" s="123" t="s">
        <v>383</v>
      </c>
      <c r="HE66" s="123" t="s">
        <v>384</v>
      </c>
      <c r="HF66" s="123" t="s">
        <v>289</v>
      </c>
      <c r="HG66" s="123" t="s">
        <v>289</v>
      </c>
      <c r="HH66" s="123" t="s">
        <v>289</v>
      </c>
      <c r="HI66" s="123" t="s">
        <v>374</v>
      </c>
      <c r="HJ66" s="123"/>
      <c r="HK66" s="123"/>
      <c r="HL66" s="127"/>
      <c r="HM66" s="127"/>
      <c r="HN66" s="127"/>
      <c r="HO66" s="127"/>
      <c r="HP66" s="127"/>
      <c r="HQ66" s="164">
        <f t="shared" ref="HQ66" si="661">SUM(HL66:HP66)</f>
        <v>0</v>
      </c>
      <c r="HW66" s="164">
        <f t="shared" ref="HW66" si="662">SUM(HR66:HU66)</f>
        <v>0</v>
      </c>
      <c r="HX66">
        <v>3.7</v>
      </c>
      <c r="HZ66">
        <v>5</v>
      </c>
      <c r="IB66">
        <v>13</v>
      </c>
      <c r="IE66">
        <v>17</v>
      </c>
      <c r="IF66">
        <v>3</v>
      </c>
      <c r="II66" s="164">
        <f t="shared" ref="II66" si="663">SUM(HX66:IG66)</f>
        <v>41.7</v>
      </c>
      <c r="IV66" s="165">
        <f t="shared" ref="IV66" si="664">SUM(IJ66:IT66)</f>
        <v>0</v>
      </c>
      <c r="JF66" s="165">
        <f t="shared" ref="JF66" si="665">SUM(IW66:JD66)</f>
        <v>0</v>
      </c>
      <c r="JG66" s="148">
        <v>7</v>
      </c>
      <c r="JH66" s="148"/>
      <c r="JI66" s="148"/>
      <c r="JJ66" s="148"/>
      <c r="JK66" s="148"/>
    </row>
    <row r="67" spans="1:271" ht="16.5" customHeight="1" x14ac:dyDescent="0.35">
      <c r="A67" t="s">
        <v>513</v>
      </c>
      <c r="B67" s="117" t="s">
        <v>273</v>
      </c>
      <c r="C67" s="118">
        <v>46077</v>
      </c>
      <c r="D67" s="119" t="s">
        <v>274</v>
      </c>
      <c r="E67" s="120" t="s">
        <v>303</v>
      </c>
      <c r="F67" s="120" t="s">
        <v>293</v>
      </c>
      <c r="G67" s="121" t="s">
        <v>486</v>
      </c>
      <c r="H67" s="122"/>
      <c r="I67" s="123"/>
      <c r="J67" s="124"/>
      <c r="K67" s="2" t="s">
        <v>487</v>
      </c>
      <c r="L67" s="125"/>
      <c r="M67" s="126" t="s">
        <v>279</v>
      </c>
      <c r="N67" s="127" t="s">
        <v>385</v>
      </c>
      <c r="O67" s="10" t="s">
        <v>488</v>
      </c>
      <c r="P67" s="128" t="s">
        <v>282</v>
      </c>
      <c r="Q67" s="129"/>
      <c r="R67" s="130"/>
      <c r="S67" s="130">
        <v>123058.67002380799</v>
      </c>
      <c r="T67" s="131" t="str">
        <f t="shared" ref="T67" si="666">IF(H67*U67=0,"",H67*U67)</f>
        <v/>
      </c>
      <c r="U67" s="132">
        <v>1</v>
      </c>
      <c r="V67" s="133"/>
      <c r="W67" s="133"/>
      <c r="X67" s="134">
        <f>313+635+636+580+629+620+630+495+495+531+530+635+515+633+403+453+65+660+739+470</f>
        <v>10667</v>
      </c>
      <c r="Y67" s="134"/>
      <c r="Z67" s="134">
        <f>3336+6770+6782+6096+6784+6685+6784+5309+5297+5702+5662+6761+5493+6742+4334+4867+700+7035+7875+5000</f>
        <v>114014</v>
      </c>
      <c r="AA67" s="134"/>
      <c r="AB67" s="135">
        <f>5+15+29+45+2.1</f>
        <v>96.1</v>
      </c>
      <c r="AC67" s="136">
        <f t="shared" ref="AC67" si="667">BA67+AF67+BK67+BR67+BY67+CI67+CQ67+CU67</f>
        <v>10763.1</v>
      </c>
      <c r="AD67" s="137">
        <f t="shared" ref="AD67" si="668">+AC67-X67</f>
        <v>96.100000000000364</v>
      </c>
      <c r="AE67" s="138">
        <f t="shared" ref="AE67" si="669">AD67-AB67</f>
        <v>3.694822225952521E-13</v>
      </c>
      <c r="AF67" s="139">
        <f t="shared" ref="AF67" si="670">IFERROR(+(Z67*AV67*DF67)/10^6,0)</f>
        <v>0</v>
      </c>
      <c r="AG67" s="123"/>
      <c r="AH67" s="122">
        <v>300</v>
      </c>
      <c r="AI67" s="122">
        <v>300</v>
      </c>
      <c r="AJ67" s="140">
        <v>2.050977833730133</v>
      </c>
      <c r="AK67" s="141">
        <v>123.05867002380799</v>
      </c>
      <c r="AL67" s="142">
        <v>0.34375</v>
      </c>
      <c r="AM67" s="142">
        <v>0.79166666666666663</v>
      </c>
      <c r="AN67" s="143">
        <f t="shared" ref="AN67" si="671">IF(AM67&gt;AL67,((AM67-AL67)*1440),(1440+(AM67-AL67)*1440))</f>
        <v>645</v>
      </c>
      <c r="AO67" s="123"/>
      <c r="AP67" s="123"/>
      <c r="AQ67" s="127"/>
      <c r="AR67" s="123"/>
      <c r="AS67" s="123" t="s">
        <v>375</v>
      </c>
      <c r="AT67" s="123" t="s">
        <v>341</v>
      </c>
      <c r="AU67" s="123"/>
      <c r="AV67" s="123"/>
      <c r="AW67" s="123"/>
      <c r="AX67" s="132"/>
      <c r="AY67" s="123"/>
      <c r="AZ67" s="123"/>
      <c r="BA67" s="144">
        <f t="shared" ref="BA67" si="672">SUM(AY67+AZ67)</f>
        <v>0</v>
      </c>
      <c r="BB67" s="127"/>
      <c r="BC67" s="145"/>
      <c r="BD67" s="146"/>
      <c r="BH67" s="147"/>
      <c r="BK67" s="144">
        <f t="shared" ref="BK67" si="673">SUM(BI67+BJ67)</f>
        <v>0</v>
      </c>
      <c r="BL67" t="s">
        <v>365</v>
      </c>
      <c r="BM67">
        <v>1063</v>
      </c>
      <c r="BN67">
        <f>12+12</f>
        <v>24</v>
      </c>
      <c r="BO67" s="147">
        <v>9</v>
      </c>
      <c r="BP67">
        <f>120+491+493+610+749+605+612+630+356+184</f>
        <v>4850</v>
      </c>
      <c r="BR67" s="144">
        <f t="shared" ref="BR67" si="674">SUM(BP67+BQ67)</f>
        <v>4850</v>
      </c>
      <c r="BV67" s="147"/>
      <c r="BY67" s="144">
        <f t="shared" ref="BY67" si="675">SUM(BW67+BX67)</f>
        <v>0</v>
      </c>
      <c r="BZ67" s="148"/>
      <c r="CA67" s="149"/>
      <c r="CB67" s="150"/>
      <c r="CC67" t="s">
        <v>361</v>
      </c>
      <c r="CD67">
        <v>1063</v>
      </c>
      <c r="CE67">
        <f>50</f>
        <v>50</v>
      </c>
      <c r="CF67" s="147">
        <v>18</v>
      </c>
      <c r="CG67">
        <f>170+336.3+335.5+336+336+336.1+336.9+263.8+263.9+282.3+336.1+283.5+422.1+264.1+284.9+320.4+284.8+264.1+334.3</f>
        <v>5791.1</v>
      </c>
      <c r="CH67">
        <f>-89</f>
        <v>-89</v>
      </c>
      <c r="CI67" s="151">
        <f t="shared" ref="CI67" si="676">SUM(CG67+CH67)</f>
        <v>5702.1</v>
      </c>
      <c r="CJ67" s="148" t="s">
        <v>514</v>
      </c>
      <c r="CK67" s="149">
        <v>4.9000000000000004</v>
      </c>
      <c r="CL67" s="150">
        <f>+CI67*CK67</f>
        <v>27940.290000000005</v>
      </c>
      <c r="CM67" t="s">
        <v>465</v>
      </c>
      <c r="CN67">
        <f>116.3+15.63</f>
        <v>131.93</v>
      </c>
      <c r="CO67" s="152">
        <v>10.03548</v>
      </c>
      <c r="CP67" s="153">
        <f t="shared" ref="CP67" si="677">+CN67*CO67</f>
        <v>1323.9808763999999</v>
      </c>
      <c r="CQ67" s="154">
        <f t="shared" ref="CQ67" si="678">IF(CM67="811 A",CN67/1.667,IF(CM67="MB635",CN67/1.33,IF(CM67="MB655",CN67/1.43,IF(CM67="LG 59A",CN67/1.667,IF(CM67="HB 6680",CN67/1.25,IF(CM67="MB688",CN67/1.25,CN67))))))</f>
        <v>131.93</v>
      </c>
      <c r="CR67">
        <f>69.7+9.37</f>
        <v>79.070000000000007</v>
      </c>
      <c r="CS67" s="155">
        <v>8.3445198757763972</v>
      </c>
      <c r="CT67" s="153">
        <f t="shared" ref="CT67" si="679">+CR67*CS67</f>
        <v>659.80118657763978</v>
      </c>
      <c r="CU67" s="154">
        <f t="shared" ref="CU67" si="680">IF(CM67="811 A",CR67/1.33,IF(CM67="HB 6680",CR67/1.33,IF(CM67="MB688",CR67/1.333,CR67)))</f>
        <v>79.070000000000007</v>
      </c>
      <c r="CV67"/>
      <c r="CX67" s="153"/>
      <c r="CY67" s="156"/>
      <c r="CZ67" s="156"/>
      <c r="DA67" s="128" t="s">
        <v>466</v>
      </c>
      <c r="DB67" s="123">
        <v>1055</v>
      </c>
      <c r="DC67" s="157" t="s">
        <v>312</v>
      </c>
      <c r="DD67" s="157" t="s">
        <v>313</v>
      </c>
      <c r="DE67" s="127"/>
      <c r="DF67" s="158"/>
      <c r="DG67" s="159">
        <f>AVERAGE(1.4,1.5,1.54,1.49,1.5)</f>
        <v>1.486</v>
      </c>
      <c r="DH67" s="160"/>
      <c r="DI67" s="122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V67" s="123"/>
      <c r="DW67" s="123"/>
      <c r="DX67" s="123"/>
      <c r="DY67" s="123"/>
      <c r="DZ67" s="123"/>
      <c r="EA67" s="123"/>
      <c r="EB67" s="123"/>
      <c r="EC67" s="123"/>
      <c r="ED67" s="161">
        <f t="shared" ref="ED67" si="681">SUM(DK67:EC67)</f>
        <v>0</v>
      </c>
      <c r="EE67" s="123"/>
      <c r="EF67" s="123">
        <v>196</v>
      </c>
      <c r="EG67" s="123"/>
      <c r="EH67" s="123"/>
      <c r="EI67" s="123"/>
      <c r="EJ67" s="123"/>
      <c r="EK67" s="123"/>
      <c r="EL67" s="123"/>
      <c r="EM67" s="123"/>
      <c r="EN67" s="123"/>
      <c r="EO67" s="122"/>
      <c r="EP67" s="123"/>
      <c r="EQ67" s="123"/>
      <c r="ER67" s="123"/>
      <c r="ES67" s="123"/>
      <c r="ET67" s="123"/>
      <c r="EU67" s="123">
        <v>10</v>
      </c>
      <c r="EV67" s="124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4"/>
      <c r="FK67" s="123"/>
      <c r="FL67" s="123"/>
      <c r="FM67" s="123"/>
      <c r="FN67" s="123"/>
      <c r="FO67" s="123">
        <v>48</v>
      </c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>
        <v>10</v>
      </c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8">
        <f t="shared" ref="GU67" si="682">SUM(EE67:GO67,GR67)</f>
        <v>264</v>
      </c>
      <c r="GV67" s="162">
        <f t="shared" ref="GV67" si="683">AN67-ED67-GU67</f>
        <v>381</v>
      </c>
      <c r="GW67" s="163">
        <f t="shared" ref="GW67" si="684">AN67-ED67-ER67-FN67</f>
        <v>645</v>
      </c>
      <c r="GX67" s="163">
        <f t="shared" ref="GX67" si="685">AN67-GU67</f>
        <v>381</v>
      </c>
      <c r="GY67" s="123"/>
      <c r="GZ67" s="123"/>
      <c r="HA67" s="123"/>
      <c r="HB67" s="123"/>
      <c r="HC67" s="128">
        <f t="shared" ref="HC67" si="686">SUM(GY67:HB67)</f>
        <v>0</v>
      </c>
      <c r="HD67" s="123" t="s">
        <v>431</v>
      </c>
      <c r="HE67" s="123" t="s">
        <v>381</v>
      </c>
      <c r="HF67" s="123" t="s">
        <v>289</v>
      </c>
      <c r="HG67" s="123" t="s">
        <v>289</v>
      </c>
      <c r="HH67" s="123" t="s">
        <v>289</v>
      </c>
      <c r="HI67" s="123" t="s">
        <v>289</v>
      </c>
      <c r="HJ67" s="123"/>
      <c r="HK67" s="123"/>
      <c r="HL67" s="127"/>
      <c r="HM67" s="127"/>
      <c r="HN67" s="127"/>
      <c r="HO67" s="127"/>
      <c r="HP67" s="127"/>
      <c r="HQ67" s="164">
        <f t="shared" ref="HQ67" si="687">SUM(HL67:HP67)</f>
        <v>0</v>
      </c>
      <c r="HW67" s="164">
        <f t="shared" ref="HW67" si="688">SUM(HR67:HU67)</f>
        <v>0</v>
      </c>
      <c r="HY67">
        <v>5</v>
      </c>
      <c r="HZ67">
        <v>5</v>
      </c>
      <c r="IB67">
        <v>24</v>
      </c>
      <c r="IE67">
        <v>35</v>
      </c>
      <c r="IF67">
        <v>2.1</v>
      </c>
      <c r="II67" s="164">
        <f t="shared" ref="II67" si="689">SUM(HX67:IG67)</f>
        <v>71.099999999999994</v>
      </c>
      <c r="IV67" s="165">
        <f t="shared" ref="IV67" si="690">SUM(IJ67:IT67)</f>
        <v>0</v>
      </c>
      <c r="JF67" s="165">
        <f t="shared" ref="JF67" si="691">SUM(IW67:JD67)</f>
        <v>0</v>
      </c>
      <c r="JG67" s="148">
        <f>27-7</f>
        <v>20</v>
      </c>
      <c r="JH67" s="148"/>
      <c r="JI67" s="148"/>
      <c r="JJ67" s="148"/>
      <c r="JK67" s="148"/>
    </row>
    <row r="68" spans="1:271" ht="16.5" customHeight="1" x14ac:dyDescent="0.35">
      <c r="A68" t="s">
        <v>515</v>
      </c>
      <c r="B68" s="117" t="s">
        <v>273</v>
      </c>
      <c r="C68" s="118">
        <v>46078</v>
      </c>
      <c r="D68" s="119" t="s">
        <v>274</v>
      </c>
      <c r="E68" s="120" t="s">
        <v>304</v>
      </c>
      <c r="F68" s="120" t="s">
        <v>305</v>
      </c>
      <c r="G68" s="121" t="s">
        <v>486</v>
      </c>
      <c r="H68" s="122">
        <v>0.54</v>
      </c>
      <c r="I68" s="123"/>
      <c r="J68" s="124"/>
      <c r="K68" s="2" t="s">
        <v>487</v>
      </c>
      <c r="L68" s="125" t="s">
        <v>394</v>
      </c>
      <c r="M68" s="126" t="s">
        <v>279</v>
      </c>
      <c r="N68" s="127" t="s">
        <v>385</v>
      </c>
      <c r="O68" s="10" t="s">
        <v>488</v>
      </c>
      <c r="P68" s="128" t="s">
        <v>389</v>
      </c>
      <c r="Q68" s="129"/>
      <c r="R68" s="130"/>
      <c r="S68" s="130"/>
      <c r="T68" s="131">
        <f t="shared" ref="T68:T69" si="692">IF(H68*U68=0,"",H68*U68)</f>
        <v>270</v>
      </c>
      <c r="U68" s="132">
        <f>493+7</f>
        <v>500</v>
      </c>
      <c r="V68" s="133"/>
      <c r="W68" s="133"/>
      <c r="X68" s="134">
        <v>12474.6</v>
      </c>
      <c r="Y68" s="134">
        <v>12744.6</v>
      </c>
      <c r="Z68" s="134">
        <v>137490</v>
      </c>
      <c r="AA68" s="134"/>
      <c r="AB68" s="135">
        <f>2.4+10+215+202+410</f>
        <v>839.4</v>
      </c>
      <c r="AC68" s="136">
        <f t="shared" ref="AC68:AC69" si="693">BA68+AF68+BK68+BR68+BY68+CI68+CQ68+CU68</f>
        <v>13314</v>
      </c>
      <c r="AD68" s="137">
        <f t="shared" ref="AD68:AD69" si="694">+AC68-X68</f>
        <v>839.39999999999964</v>
      </c>
      <c r="AE68" s="138">
        <f t="shared" ref="AE68:AE69" si="695">AD68-AB68</f>
        <v>0</v>
      </c>
      <c r="AF68" s="139">
        <f t="shared" ref="AF68:AF69" si="696">IFERROR(+(Z68*AV68*DF68)/10^6,0)</f>
        <v>0</v>
      </c>
      <c r="AG68" s="123"/>
      <c r="AH68" s="122"/>
      <c r="AI68" s="122">
        <v>485</v>
      </c>
      <c r="AJ68" s="140"/>
      <c r="AK68" s="141"/>
      <c r="AL68" s="142">
        <v>0.34375</v>
      </c>
      <c r="AM68" s="142">
        <v>0.84375</v>
      </c>
      <c r="AN68" s="143">
        <f t="shared" ref="AN68:AN69" si="697">IF(AM68&gt;AL68,((AM68-AL68)*1440),(1440+(AM68-AL68)*1440))</f>
        <v>720</v>
      </c>
      <c r="AO68" s="123"/>
      <c r="AP68" s="123"/>
      <c r="AQ68" s="127"/>
      <c r="AR68" s="123"/>
      <c r="AS68" s="123"/>
      <c r="AT68" s="123" t="s">
        <v>390</v>
      </c>
      <c r="AU68" s="123" t="s">
        <v>375</v>
      </c>
      <c r="AV68" s="123">
        <v>210</v>
      </c>
      <c r="AW68" s="123">
        <v>74</v>
      </c>
      <c r="AX68" s="132">
        <v>25</v>
      </c>
      <c r="AY68" s="123">
        <f>672+280+492+614+635+625+658+255+531+635+530+495+660+739+470+629+495+515+403+633+453+620+230+580+465</f>
        <v>13314</v>
      </c>
      <c r="AZ68" s="123"/>
      <c r="BA68" s="144">
        <f t="shared" ref="BA68:BA69" si="698">SUM(AY68+AZ68)</f>
        <v>13314</v>
      </c>
      <c r="BB68" s="127"/>
      <c r="BC68" s="145"/>
      <c r="BD68" s="146"/>
      <c r="BH68" s="147"/>
      <c r="BK68" s="144">
        <f t="shared" ref="BK68:BK69" si="699">SUM(BI68+BJ68)</f>
        <v>0</v>
      </c>
      <c r="BO68" s="147"/>
      <c r="BR68" s="144">
        <f t="shared" ref="BR68:BR69" si="700">SUM(BP68+BQ68)</f>
        <v>0</v>
      </c>
      <c r="BV68" s="147"/>
      <c r="BY68" s="144">
        <f t="shared" ref="BY68:BY69" si="701">SUM(BW68+BX68)</f>
        <v>0</v>
      </c>
      <c r="BZ68" s="148"/>
      <c r="CA68" s="149"/>
      <c r="CB68" s="150"/>
      <c r="CF68" s="147"/>
      <c r="CI68" s="151">
        <f t="shared" ref="CI68:CI69" si="702">SUM(CG68+CH68)</f>
        <v>0</v>
      </c>
      <c r="CJ68" s="148"/>
      <c r="CK68" s="149"/>
      <c r="CL68" s="150"/>
      <c r="CM68"/>
      <c r="CN68"/>
      <c r="CO68" s="152"/>
      <c r="CP68" s="153"/>
      <c r="CQ68" s="154">
        <f t="shared" ref="CQ68" si="703">IF(CM68="811 A",CN68/1.667,IF(CM68="MB635",CN68/1.33,IF(CM68="MB655",CN68/1.43,IF(CM68="LG 59A",CN68/1.667,IF(CM68="HB 6680",CN68/1.25,IF(CM68="MB688",CN68/1.25,CN68))))))</f>
        <v>0</v>
      </c>
      <c r="CR68"/>
      <c r="CS68" s="155"/>
      <c r="CT68" s="153"/>
      <c r="CU68" s="154">
        <f t="shared" ref="CU68:CU69" si="704">IF(CM68="811 A",CR68/1.33,IF(CM68="HB 6680",CR68/1.33,IF(CM68="MB688",CR68/1.333,CR68)))</f>
        <v>0</v>
      </c>
      <c r="CV68"/>
      <c r="CX68" s="153"/>
      <c r="CY68" s="156"/>
      <c r="CZ68" s="156"/>
      <c r="DA68" s="128"/>
      <c r="DB68" s="123"/>
      <c r="DC68" s="157" t="s">
        <v>312</v>
      </c>
      <c r="DD68" s="157" t="s">
        <v>313</v>
      </c>
      <c r="DE68" s="127" t="s">
        <v>433</v>
      </c>
      <c r="DF68" s="158"/>
      <c r="DG68" s="159"/>
      <c r="DH68" s="160"/>
      <c r="DI68" s="122"/>
      <c r="DK68" s="123">
        <v>30</v>
      </c>
      <c r="DL68" s="123"/>
      <c r="DM68" s="123"/>
      <c r="DN68" s="123"/>
      <c r="DO68" s="123"/>
      <c r="DP68" s="123"/>
      <c r="DQ68" s="123"/>
      <c r="DR68" s="123"/>
      <c r="DS68" s="123"/>
      <c r="DT68" s="123"/>
      <c r="DV68" s="123"/>
      <c r="DW68" s="123"/>
      <c r="DX68" s="123"/>
      <c r="DY68" s="123"/>
      <c r="DZ68" s="123"/>
      <c r="EA68" s="123"/>
      <c r="EB68" s="123"/>
      <c r="EC68" s="123"/>
      <c r="ED68" s="161">
        <f t="shared" ref="ED68:ED69" si="705">SUM(DK68:EC68)</f>
        <v>30</v>
      </c>
      <c r="EE68" s="123"/>
      <c r="EF68" s="123">
        <v>125</v>
      </c>
      <c r="EG68" s="123"/>
      <c r="EH68" s="123"/>
      <c r="EI68" s="123"/>
      <c r="EJ68" s="123"/>
      <c r="EK68" s="123"/>
      <c r="EL68" s="123"/>
      <c r="EM68" s="123"/>
      <c r="EN68" s="123"/>
      <c r="EO68" s="122"/>
      <c r="EP68" s="123"/>
      <c r="EQ68" s="123"/>
      <c r="ER68" s="123"/>
      <c r="ES68" s="123">
        <v>137</v>
      </c>
      <c r="ET68" s="123"/>
      <c r="EU68" s="123"/>
      <c r="EV68" s="124"/>
      <c r="EW68" s="123"/>
      <c r="EX68" s="123"/>
      <c r="EY68" s="123"/>
      <c r="EZ68" s="123"/>
      <c r="FA68" s="123"/>
      <c r="FB68" s="123">
        <v>15</v>
      </c>
      <c r="FC68" s="123"/>
      <c r="FD68" s="123"/>
      <c r="FE68" s="123"/>
      <c r="FF68" s="123"/>
      <c r="FG68" s="123"/>
      <c r="FH68" s="123"/>
      <c r="FI68" s="123"/>
      <c r="FJ68" s="124"/>
      <c r="FK68" s="123"/>
      <c r="FL68" s="123"/>
      <c r="FM68" s="123"/>
      <c r="FN68" s="123"/>
      <c r="FO68" s="123">
        <v>130</v>
      </c>
      <c r="FP68" s="123"/>
      <c r="FQ68" s="123"/>
      <c r="FR68" s="123"/>
      <c r="FS68" s="123"/>
      <c r="FT68" s="123"/>
      <c r="FU68" s="123"/>
      <c r="FV68" s="123"/>
      <c r="FW68" s="123"/>
      <c r="FX68" s="123"/>
      <c r="FY68" s="123"/>
      <c r="FZ68" s="123"/>
      <c r="GA68" s="123"/>
      <c r="GB68" s="123"/>
      <c r="GC68" s="123"/>
      <c r="GD68" s="123"/>
      <c r="GE68" s="123"/>
      <c r="GF68" s="123"/>
      <c r="GG68" s="123"/>
      <c r="GH68" s="123"/>
      <c r="GI68" s="123"/>
      <c r="GJ68" s="123"/>
      <c r="GK68" s="123"/>
      <c r="GL68" s="123"/>
      <c r="GM68" s="123"/>
      <c r="GN68" s="123"/>
      <c r="GO68" s="123"/>
      <c r="GP68" s="123"/>
      <c r="GQ68" s="123"/>
      <c r="GR68" s="123"/>
      <c r="GS68" s="123"/>
      <c r="GT68" s="123"/>
      <c r="GU68" s="128">
        <f t="shared" ref="GU68:GU69" si="706">SUM(EE68:GO68,GR68)</f>
        <v>407</v>
      </c>
      <c r="GV68" s="162">
        <f t="shared" ref="GV68:GV69" si="707">AN68-ED68-GU68</f>
        <v>283</v>
      </c>
      <c r="GW68" s="163">
        <f t="shared" ref="GW68:GW69" si="708">AN68-ED68-ER68-FN68</f>
        <v>690</v>
      </c>
      <c r="GX68" s="163">
        <f t="shared" ref="GX68:GX69" si="709">AN68-GU68</f>
        <v>313</v>
      </c>
      <c r="GY68" s="123"/>
      <c r="GZ68" s="123"/>
      <c r="HA68" s="123"/>
      <c r="HB68" s="123"/>
      <c r="HC68" s="128">
        <f t="shared" ref="HC68:HC69" si="710">SUM(GY68:HB68)</f>
        <v>0</v>
      </c>
      <c r="HD68" s="123" t="s">
        <v>391</v>
      </c>
      <c r="HE68" s="123" t="s">
        <v>425</v>
      </c>
      <c r="HF68" s="123" t="s">
        <v>289</v>
      </c>
      <c r="HG68" s="123" t="s">
        <v>289</v>
      </c>
      <c r="HH68" s="123" t="s">
        <v>289</v>
      </c>
      <c r="HI68" s="123" t="s">
        <v>508</v>
      </c>
      <c r="HJ68" s="123"/>
      <c r="HK68" s="123"/>
      <c r="HL68" s="127">
        <v>2.4</v>
      </c>
      <c r="HM68" s="127">
        <v>10</v>
      </c>
      <c r="HN68" s="127">
        <v>215</v>
      </c>
      <c r="HO68" s="127">
        <v>202</v>
      </c>
      <c r="HP68" s="127">
        <v>410</v>
      </c>
      <c r="HQ68" s="164">
        <f t="shared" ref="HQ68:HQ69" si="711">SUM(HL68:HP68)</f>
        <v>839.4</v>
      </c>
      <c r="HW68" s="164">
        <f t="shared" ref="HW68:HW69" si="712">SUM(HR68:HU68)</f>
        <v>0</v>
      </c>
      <c r="II68" s="164">
        <f t="shared" ref="II68:II69" si="713">SUM(HX68:IG68)</f>
        <v>0</v>
      </c>
      <c r="IV68" s="165">
        <f t="shared" ref="IV68:IV69" si="714">SUM(IJ68:IT68)</f>
        <v>0</v>
      </c>
      <c r="JF68" s="165">
        <f t="shared" ref="JF68:JF69" si="715">SUM(IW68:JD68)</f>
        <v>0</v>
      </c>
      <c r="JG68" s="148"/>
      <c r="JH68" s="148"/>
      <c r="JI68" s="148">
        <v>1380</v>
      </c>
      <c r="JJ68" s="148"/>
      <c r="JK68" s="148"/>
    </row>
    <row r="69" spans="1:271" ht="16.5" customHeight="1" x14ac:dyDescent="0.35">
      <c r="A69" t="s">
        <v>516</v>
      </c>
      <c r="B69" s="117" t="s">
        <v>273</v>
      </c>
      <c r="C69" s="118">
        <v>46078</v>
      </c>
      <c r="D69" s="119" t="s">
        <v>291</v>
      </c>
      <c r="E69" s="120" t="s">
        <v>304</v>
      </c>
      <c r="F69" s="120" t="s">
        <v>305</v>
      </c>
      <c r="G69" s="121" t="s">
        <v>486</v>
      </c>
      <c r="H69" s="122">
        <v>0.54</v>
      </c>
      <c r="I69" s="123"/>
      <c r="J69" s="124"/>
      <c r="K69" s="2" t="s">
        <v>487</v>
      </c>
      <c r="L69" s="125" t="s">
        <v>394</v>
      </c>
      <c r="M69" s="126" t="s">
        <v>279</v>
      </c>
      <c r="N69" s="127" t="s">
        <v>385</v>
      </c>
      <c r="O69" s="10" t="s">
        <v>488</v>
      </c>
      <c r="P69" s="128" t="s">
        <v>389</v>
      </c>
      <c r="Q69" s="129"/>
      <c r="R69" s="130"/>
      <c r="S69" s="130"/>
      <c r="T69" s="131">
        <f t="shared" si="692"/>
        <v>18.900000000000002</v>
      </c>
      <c r="U69" s="132">
        <f>35</f>
        <v>35</v>
      </c>
      <c r="V69" s="133"/>
      <c r="W69" s="133"/>
      <c r="X69" s="134">
        <v>877.75</v>
      </c>
      <c r="Y69" s="134">
        <v>896.65</v>
      </c>
      <c r="Z69" s="134">
        <v>9660</v>
      </c>
      <c r="AA69" s="134"/>
      <c r="AB69" s="135">
        <f>2.25+10+12+47</f>
        <v>71.25</v>
      </c>
      <c r="AC69" s="136">
        <f t="shared" si="693"/>
        <v>949</v>
      </c>
      <c r="AD69" s="137">
        <f t="shared" si="694"/>
        <v>71.25</v>
      </c>
      <c r="AE69" s="138">
        <f t="shared" si="695"/>
        <v>0</v>
      </c>
      <c r="AF69" s="139">
        <f t="shared" si="696"/>
        <v>0</v>
      </c>
      <c r="AG69" s="123"/>
      <c r="AH69" s="122"/>
      <c r="AI69" s="122">
        <v>483</v>
      </c>
      <c r="AJ69" s="140"/>
      <c r="AK69" s="141"/>
      <c r="AL69" s="142">
        <v>0.84375</v>
      </c>
      <c r="AM69" s="142">
        <v>0.89930555555555558</v>
      </c>
      <c r="AN69" s="143">
        <f t="shared" si="697"/>
        <v>80.000000000000028</v>
      </c>
      <c r="AO69" s="123"/>
      <c r="AP69" s="123"/>
      <c r="AQ69" s="127"/>
      <c r="AR69" s="123"/>
      <c r="AS69" s="123"/>
      <c r="AT69" s="123" t="s">
        <v>390</v>
      </c>
      <c r="AU69" s="123" t="s">
        <v>375</v>
      </c>
      <c r="AV69" s="123">
        <v>210</v>
      </c>
      <c r="AW69" s="123">
        <v>74</v>
      </c>
      <c r="AX69" s="132">
        <v>2</v>
      </c>
      <c r="AY69" s="123">
        <f>636+313</f>
        <v>949</v>
      </c>
      <c r="AZ69" s="123"/>
      <c r="BA69" s="144">
        <f t="shared" si="698"/>
        <v>949</v>
      </c>
      <c r="BB69" s="127"/>
      <c r="BC69" s="145"/>
      <c r="BD69" s="146"/>
      <c r="BH69" s="147"/>
      <c r="BK69" s="144">
        <f t="shared" si="699"/>
        <v>0</v>
      </c>
      <c r="BO69" s="147"/>
      <c r="BR69" s="144">
        <f t="shared" si="700"/>
        <v>0</v>
      </c>
      <c r="BV69" s="147"/>
      <c r="BY69" s="144">
        <f t="shared" si="701"/>
        <v>0</v>
      </c>
      <c r="BZ69" s="148"/>
      <c r="CA69" s="149"/>
      <c r="CB69" s="150"/>
      <c r="CF69" s="147"/>
      <c r="CI69" s="151">
        <f t="shared" si="702"/>
        <v>0</v>
      </c>
      <c r="CJ69" s="148"/>
      <c r="CK69" s="149"/>
      <c r="CL69" s="150"/>
      <c r="CM69"/>
      <c r="CN69"/>
      <c r="CO69" s="152"/>
      <c r="CP69" s="153"/>
      <c r="CQ69" s="154">
        <f t="shared" ref="CQ69" si="716">IF(CM69="811 A",CN69/1.667,IF(CM69="MB635",CN69/1.33,IF(CM69="MB655",CN69/1.43,IF(CM69="LG 59A",CN69/1.667,IF(CM69="HB 6680",CN69/1.25,IF(CM69="MB688",CN69/1.25,CN69))))))</f>
        <v>0</v>
      </c>
      <c r="CR69"/>
      <c r="CS69" s="155"/>
      <c r="CT69" s="153"/>
      <c r="CU69" s="154">
        <f t="shared" si="704"/>
        <v>0</v>
      </c>
      <c r="CV69"/>
      <c r="CX69" s="153"/>
      <c r="CY69" s="156"/>
      <c r="CZ69" s="156"/>
      <c r="DA69" s="128"/>
      <c r="DB69" s="123"/>
      <c r="DC69" s="157" t="s">
        <v>312</v>
      </c>
      <c r="DD69" s="157" t="s">
        <v>313</v>
      </c>
      <c r="DE69" s="127" t="s">
        <v>433</v>
      </c>
      <c r="DF69" s="158"/>
      <c r="DG69" s="159"/>
      <c r="DH69" s="160"/>
      <c r="DI69" s="122"/>
      <c r="DK69" s="123">
        <v>10</v>
      </c>
      <c r="DL69" s="123"/>
      <c r="DM69" s="123"/>
      <c r="DN69" s="123"/>
      <c r="DO69" s="123"/>
      <c r="DP69" s="123"/>
      <c r="DQ69" s="123"/>
      <c r="DR69" s="123"/>
      <c r="DS69" s="123"/>
      <c r="DT69" s="123"/>
      <c r="DV69" s="123"/>
      <c r="DW69" s="123"/>
      <c r="DX69" s="123"/>
      <c r="DY69" s="123"/>
      <c r="DZ69" s="123"/>
      <c r="EA69" s="123"/>
      <c r="EB69" s="123"/>
      <c r="EC69" s="123"/>
      <c r="ED69" s="161">
        <f t="shared" si="705"/>
        <v>10</v>
      </c>
      <c r="EE69" s="123"/>
      <c r="EF69" s="123">
        <v>12</v>
      </c>
      <c r="EG69" s="123"/>
      <c r="EH69" s="123"/>
      <c r="EI69" s="123"/>
      <c r="EJ69" s="123"/>
      <c r="EK69" s="123"/>
      <c r="EL69" s="123"/>
      <c r="EM69" s="123"/>
      <c r="EN69" s="123"/>
      <c r="EO69" s="122"/>
      <c r="EP69" s="123">
        <v>5</v>
      </c>
      <c r="EQ69" s="123"/>
      <c r="ER69" s="123"/>
      <c r="ES69" s="123">
        <v>23</v>
      </c>
      <c r="ET69" s="123"/>
      <c r="EU69" s="123"/>
      <c r="EV69" s="124"/>
      <c r="EW69" s="123"/>
      <c r="EX69" s="123"/>
      <c r="EY69" s="123"/>
      <c r="EZ69" s="123"/>
      <c r="FA69" s="123"/>
      <c r="FB69" s="123"/>
      <c r="FC69" s="123"/>
      <c r="FD69" s="123"/>
      <c r="FE69" s="123"/>
      <c r="FF69" s="123"/>
      <c r="FG69" s="123"/>
      <c r="FH69" s="123"/>
      <c r="FI69" s="123"/>
      <c r="FJ69" s="124"/>
      <c r="FK69" s="123"/>
      <c r="FL69" s="123"/>
      <c r="FM69" s="123"/>
      <c r="FN69" s="123"/>
      <c r="FO69" s="123">
        <v>10</v>
      </c>
      <c r="FP69" s="123"/>
      <c r="FQ69" s="123"/>
      <c r="FR69" s="123"/>
      <c r="FS69" s="123"/>
      <c r="FT69" s="123"/>
      <c r="FU69" s="123"/>
      <c r="FV69" s="123"/>
      <c r="FW69" s="123"/>
      <c r="FX69" s="123"/>
      <c r="FY69" s="123"/>
      <c r="FZ69" s="123"/>
      <c r="GA69" s="123"/>
      <c r="GB69" s="123"/>
      <c r="GC69" s="123"/>
      <c r="GD69" s="123"/>
      <c r="GE69" s="123"/>
      <c r="GF69" s="123"/>
      <c r="GG69" s="123"/>
      <c r="GH69" s="123"/>
      <c r="GI69" s="123"/>
      <c r="GJ69" s="123"/>
      <c r="GK69" s="123"/>
      <c r="GL69" s="123"/>
      <c r="GM69" s="123"/>
      <c r="GN69" s="123"/>
      <c r="GO69" s="123"/>
      <c r="GP69" s="123"/>
      <c r="GQ69" s="123"/>
      <c r="GR69" s="123"/>
      <c r="GS69" s="123"/>
      <c r="GT69" s="123"/>
      <c r="GU69" s="128">
        <f t="shared" si="706"/>
        <v>50</v>
      </c>
      <c r="GV69" s="162">
        <f t="shared" si="707"/>
        <v>20.000000000000028</v>
      </c>
      <c r="GW69" s="163">
        <f t="shared" si="708"/>
        <v>70.000000000000028</v>
      </c>
      <c r="GX69" s="163">
        <f t="shared" si="709"/>
        <v>30.000000000000028</v>
      </c>
      <c r="GY69" s="123"/>
      <c r="GZ69" s="123"/>
      <c r="HA69" s="123"/>
      <c r="HB69" s="123"/>
      <c r="HC69" s="128">
        <f t="shared" si="710"/>
        <v>0</v>
      </c>
      <c r="HD69" s="123" t="s">
        <v>393</v>
      </c>
      <c r="HE69" s="123" t="s">
        <v>423</v>
      </c>
      <c r="HF69" s="123" t="s">
        <v>289</v>
      </c>
      <c r="HG69" s="123" t="s">
        <v>289</v>
      </c>
      <c r="HH69" s="123" t="s">
        <v>289</v>
      </c>
      <c r="HI69" s="123" t="s">
        <v>508</v>
      </c>
      <c r="HJ69" s="123"/>
      <c r="HK69" s="123"/>
      <c r="HL69" s="127"/>
      <c r="HM69" s="127">
        <v>2.25</v>
      </c>
      <c r="HN69" s="127">
        <v>10</v>
      </c>
      <c r="HO69" s="127">
        <v>12</v>
      </c>
      <c r="HP69" s="127">
        <v>47</v>
      </c>
      <c r="HQ69" s="164">
        <f t="shared" si="711"/>
        <v>71.25</v>
      </c>
      <c r="HW69" s="164">
        <f t="shared" si="712"/>
        <v>0</v>
      </c>
      <c r="II69" s="164">
        <f t="shared" si="713"/>
        <v>0</v>
      </c>
      <c r="IV69" s="165">
        <f t="shared" si="714"/>
        <v>0</v>
      </c>
      <c r="JF69" s="165">
        <f t="shared" si="715"/>
        <v>0</v>
      </c>
      <c r="JG69" s="148"/>
      <c r="JH69" s="148"/>
      <c r="JI69" s="148">
        <v>1380</v>
      </c>
      <c r="JJ69" s="148"/>
      <c r="JK69" s="148"/>
    </row>
    <row r="70" spans="1:271" ht="16.5" customHeight="1" x14ac:dyDescent="0.35">
      <c r="A70" t="s">
        <v>517</v>
      </c>
      <c r="B70" s="117" t="s">
        <v>273</v>
      </c>
      <c r="C70" s="118">
        <v>46079</v>
      </c>
      <c r="D70" s="119" t="s">
        <v>274</v>
      </c>
      <c r="E70" s="120" t="s">
        <v>308</v>
      </c>
      <c r="F70" s="120" t="s">
        <v>300</v>
      </c>
      <c r="G70" s="121" t="s">
        <v>486</v>
      </c>
      <c r="H70" s="122">
        <v>0.53</v>
      </c>
      <c r="I70" s="123"/>
      <c r="J70" s="124"/>
      <c r="K70" s="2" t="s">
        <v>487</v>
      </c>
      <c r="L70" s="125"/>
      <c r="M70" s="126" t="s">
        <v>279</v>
      </c>
      <c r="N70" s="127" t="s">
        <v>385</v>
      </c>
      <c r="O70" s="10" t="s">
        <v>488</v>
      </c>
      <c r="P70" s="128"/>
      <c r="Q70" s="129"/>
      <c r="R70" s="130"/>
      <c r="S70" s="130"/>
      <c r="T70" s="131">
        <f t="shared" ref="T70" si="717">IF(H70*U70=0,"",H70*U70)</f>
        <v>3.18</v>
      </c>
      <c r="U70" s="132">
        <v>6</v>
      </c>
      <c r="V70" s="133"/>
      <c r="W70" s="133"/>
      <c r="X70" s="134">
        <f>Y70-T70</f>
        <v>147.20999999999998</v>
      </c>
      <c r="Y70" s="134">
        <f>23.8+24.75+25.6+25.6+25.64+25</f>
        <v>150.38999999999999</v>
      </c>
      <c r="Z70" s="134"/>
      <c r="AA70" s="134"/>
      <c r="AB70" s="135">
        <v>28.42</v>
      </c>
      <c r="AC70" s="136">
        <f t="shared" ref="AC70" si="718">BA70+AF70+BK70+BR70+BY70+CI70+CQ70+CU70</f>
        <v>175.63000000000002</v>
      </c>
      <c r="AD70" s="137">
        <f t="shared" ref="AD70" si="719">+AC70-X70</f>
        <v>28.420000000000044</v>
      </c>
      <c r="AE70" s="138">
        <f t="shared" ref="AE70" si="720">AD70-AB70</f>
        <v>4.2632564145606011E-14</v>
      </c>
      <c r="AF70" s="139">
        <f t="shared" ref="AF70" si="721">IFERROR(+(Z70*AV70*DF70)/10^6,0)</f>
        <v>0</v>
      </c>
      <c r="AG70" s="123"/>
      <c r="AH70" s="122"/>
      <c r="AI70" s="122" t="s">
        <v>426</v>
      </c>
      <c r="AJ70" s="140"/>
      <c r="AK70" s="141" t="s">
        <v>289</v>
      </c>
      <c r="AL70" s="142">
        <v>0.34375</v>
      </c>
      <c r="AM70" s="142">
        <v>0.45833333333333331</v>
      </c>
      <c r="AN70" s="143">
        <f t="shared" ref="AN70" si="722">IF(AM70&gt;AL70,((AM70-AL70)*1440),(1440+(AM70-AL70)*1440))</f>
        <v>164.99999999999997</v>
      </c>
      <c r="AO70" s="123"/>
      <c r="AP70" s="123"/>
      <c r="AQ70" s="127"/>
      <c r="AR70" s="123"/>
      <c r="AS70" s="123"/>
      <c r="AT70" s="123"/>
      <c r="AU70" s="123"/>
      <c r="AV70" s="123"/>
      <c r="AW70" s="123"/>
      <c r="AX70" s="132">
        <v>7</v>
      </c>
      <c r="AY70" s="123">
        <f>25.66+25.6+25.6+25.6+25.64+25.6+25.64-0.53*7</f>
        <v>175.63000000000002</v>
      </c>
      <c r="AZ70" s="123"/>
      <c r="BA70" s="144">
        <f t="shared" ref="BA70" si="723">SUM(AY70+AZ70)</f>
        <v>175.63000000000002</v>
      </c>
      <c r="BB70" s="127"/>
      <c r="BC70" s="145"/>
      <c r="BD70" s="146"/>
      <c r="BH70" s="147"/>
      <c r="BK70" s="144">
        <f t="shared" ref="BK70" si="724">SUM(BI70+BJ70)</f>
        <v>0</v>
      </c>
      <c r="BO70" s="147"/>
      <c r="BR70" s="144">
        <f t="shared" ref="BR70" si="725">SUM(BP70+BQ70)</f>
        <v>0</v>
      </c>
      <c r="BV70" s="147"/>
      <c r="BY70" s="144">
        <f t="shared" ref="BY70" si="726">SUM(BW70+BX70)</f>
        <v>0</v>
      </c>
      <c r="BZ70" s="148"/>
      <c r="CA70" s="149"/>
      <c r="CB70" s="150"/>
      <c r="CF70" s="147"/>
      <c r="CI70" s="151">
        <f t="shared" ref="CI70" si="727">SUM(CG70+CH70)</f>
        <v>0</v>
      </c>
      <c r="CJ70" s="148"/>
      <c r="CK70" s="149"/>
      <c r="CL70" s="150"/>
      <c r="CM70"/>
      <c r="CN70"/>
      <c r="CO70" s="152"/>
      <c r="CP70" s="153"/>
      <c r="CQ70" s="154">
        <f t="shared" ref="CQ70" si="728">IF(CM70="811 A",CN70/1.667,IF(CM70="MB635",CN70/1.33,IF(CM70="MB655",CN70/1.43,IF(CM70="LG 59A",CN70/1.667,IF(CM70="HB 6680",CN70/1.25,IF(CM70="MB688",CN70/1.25,CN70))))))</f>
        <v>0</v>
      </c>
      <c r="CR70"/>
      <c r="CS70" s="155"/>
      <c r="CT70" s="153"/>
      <c r="CU70" s="154">
        <f t="shared" ref="CU70" si="729">IF(CM70="811 A",CR70/1.33,IF(CM70="HB 6680",CR70/1.33,IF(CM70="MB688",CR70/1.333,CR70)))</f>
        <v>0</v>
      </c>
      <c r="CV70"/>
      <c r="CX70" s="153"/>
      <c r="CY70" s="156"/>
      <c r="CZ70" s="156"/>
      <c r="DA70" s="128"/>
      <c r="DB70" s="123"/>
      <c r="DC70" s="157" t="s">
        <v>312</v>
      </c>
      <c r="DD70" s="157" t="s">
        <v>313</v>
      </c>
      <c r="DE70" s="127"/>
      <c r="DF70" s="158"/>
      <c r="DG70" s="159"/>
      <c r="DH70" s="160"/>
      <c r="DI70" s="122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V70" s="123"/>
      <c r="DW70" s="123"/>
      <c r="DX70" s="123"/>
      <c r="DY70" s="123"/>
      <c r="DZ70" s="123"/>
      <c r="EA70" s="123"/>
      <c r="EB70" s="123"/>
      <c r="EC70" s="123"/>
      <c r="ED70" s="161">
        <f t="shared" ref="ED70" si="730">SUM(DK70:EC70)</f>
        <v>0</v>
      </c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2"/>
      <c r="EP70" s="123"/>
      <c r="EQ70" s="123"/>
      <c r="ER70" s="123"/>
      <c r="ES70" s="123"/>
      <c r="ET70" s="123"/>
      <c r="EU70" s="123"/>
      <c r="EV70" s="124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4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8">
        <f t="shared" ref="GU70" si="731">SUM(EE70:GO70,GR70)</f>
        <v>0</v>
      </c>
      <c r="GV70" s="162">
        <f t="shared" ref="GV70" si="732">AN70-ED70-GU70</f>
        <v>164.99999999999997</v>
      </c>
      <c r="GW70" s="163">
        <f t="shared" ref="GW70" si="733">AN70-ED70-ER70-FN70</f>
        <v>164.99999999999997</v>
      </c>
      <c r="GX70" s="163">
        <f t="shared" ref="GX70" si="734">AN70-GU70</f>
        <v>164.99999999999997</v>
      </c>
      <c r="GY70" s="123"/>
      <c r="GZ70" s="123"/>
      <c r="HA70" s="123"/>
      <c r="HB70" s="123"/>
      <c r="HC70" s="128">
        <f t="shared" ref="HC70" si="735">SUM(GY70:HB70)</f>
        <v>0</v>
      </c>
      <c r="HD70" s="123" t="s">
        <v>289</v>
      </c>
      <c r="HE70" s="123" t="s">
        <v>289</v>
      </c>
      <c r="HF70" s="123" t="s">
        <v>289</v>
      </c>
      <c r="HG70" s="123" t="s">
        <v>289</v>
      </c>
      <c r="HH70" s="123" t="s">
        <v>289</v>
      </c>
      <c r="HI70" s="123" t="s">
        <v>289</v>
      </c>
      <c r="HJ70" s="123"/>
      <c r="HK70" s="123"/>
      <c r="HL70" s="127"/>
      <c r="HM70" s="127"/>
      <c r="HN70" s="127"/>
      <c r="HO70" s="127"/>
      <c r="HP70" s="127"/>
      <c r="HQ70" s="164">
        <f t="shared" ref="HQ70" si="736">SUM(HL70:HP70)</f>
        <v>0</v>
      </c>
      <c r="HW70" s="164">
        <f t="shared" ref="HW70" si="737">SUM(HR70:HU70)</f>
        <v>0</v>
      </c>
      <c r="II70" s="164">
        <f t="shared" ref="II70" si="738">SUM(HX70:IG70)</f>
        <v>0</v>
      </c>
      <c r="IV70" s="165">
        <f t="shared" ref="IV70" si="739">SUM(IJ70:IT70)</f>
        <v>0</v>
      </c>
      <c r="JF70" s="165">
        <f t="shared" ref="JF70" si="740">SUM(IW70:JD70)</f>
        <v>0</v>
      </c>
      <c r="JG70" s="148"/>
      <c r="JH70" s="148"/>
      <c r="JI70" s="148"/>
      <c r="JJ70" s="148"/>
      <c r="JK70" s="148"/>
    </row>
    <row r="72" spans="1:271" x14ac:dyDescent="0.35">
      <c r="BH72" s="147"/>
    </row>
    <row r="73" spans="1:271" x14ac:dyDescent="0.35">
      <c r="BA73" s="11"/>
    </row>
    <row r="74" spans="1:271" x14ac:dyDescent="0.35">
      <c r="BA74" s="11"/>
    </row>
    <row r="75" spans="1:271" x14ac:dyDescent="0.35">
      <c r="AY75"/>
    </row>
  </sheetData>
  <autoFilter ref="A4:HT70" xr:uid="{00000000-0001-0000-1300-000000000000}"/>
  <mergeCells count="20">
    <mergeCell ref="HX3:II3"/>
    <mergeCell ref="IJ3:IV3"/>
    <mergeCell ref="IW3:JF3"/>
    <mergeCell ref="JG3:JK3"/>
    <mergeCell ref="CM3:CQ3"/>
    <mergeCell ref="CR3:CU3"/>
    <mergeCell ref="CV3:CX3"/>
    <mergeCell ref="CY3:CZ3"/>
    <mergeCell ref="HL3:HQ3"/>
    <mergeCell ref="HR3:HW3"/>
    <mergeCell ref="Q2:AA2"/>
    <mergeCell ref="BD2:CK2"/>
    <mergeCell ref="FO2:FZ2"/>
    <mergeCell ref="R3:S3"/>
    <mergeCell ref="X3:AB3"/>
    <mergeCell ref="AU3:BD3"/>
    <mergeCell ref="BE3:BK3"/>
    <mergeCell ref="BL3:BR3"/>
    <mergeCell ref="BS3:CB3"/>
    <mergeCell ref="CC3:CL3"/>
  </mergeCells>
  <conditionalFormatting sqref="K27">
    <cfRule type="expression" dxfId="7" priority="9">
      <formula>OR(#REF! - $AI27 &gt; 50, #REF! - $AI27 &lt; -50)</formula>
    </cfRule>
  </conditionalFormatting>
  <conditionalFormatting sqref="O27">
    <cfRule type="expression" dxfId="6" priority="3">
      <formula>ISNUMBER(SEARCH("Gusset", O27))</formula>
    </cfRule>
    <cfRule type="expression" dxfId="5" priority="4">
      <formula>ISNUMBER(SEARCH("Sample", O27))</formula>
    </cfRule>
    <cfRule type="expression" dxfId="4" priority="5">
      <formula>ISNUMBER(SEARCH("Pouch", O27))</formula>
    </cfRule>
    <cfRule type="expression" dxfId="3" priority="7">
      <formula>ISNUMBER(SEARCH("VALVE", O27))</formula>
    </cfRule>
  </conditionalFormatting>
  <conditionalFormatting sqref="P27">
    <cfRule type="expression" dxfId="2" priority="6">
      <formula>OR(J27="AS PER POUCH", J27="AS PER RM", J27 = "AS PER SLIT", J27="AS PER PRINT")</formula>
    </cfRule>
  </conditionalFormatting>
  <conditionalFormatting sqref="AM2 DJ2:FF2">
    <cfRule type="cellIs" dxfId="1" priority="11" operator="equal">
      <formula>0</formula>
    </cfRule>
  </conditionalFormatting>
  <conditionalFormatting sqref="CM2 CQ2 DE2:DF2">
    <cfRule type="cellIs" dxfId="0" priority="12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JT</vt:lpstr>
      <vt:lpstr>JT!A</vt:lpstr>
      <vt:lpstr>JT!j</vt:lpstr>
      <vt:lpstr>JT!JT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Mohamad Alani (AKI)</cp:lastModifiedBy>
  <dcterms:created xsi:type="dcterms:W3CDTF">2026-04-21T07:26:31Z</dcterms:created>
  <dcterms:modified xsi:type="dcterms:W3CDTF">2026-04-21T19:47:32Z</dcterms:modified>
</cp:coreProperties>
</file>